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1961531albertaltd-my.sharepoint.com/personal/jschneider_sanjel_com/Documents/Desktop/"/>
    </mc:Choice>
  </mc:AlternateContent>
  <xr:revisionPtr revIDLastSave="362" documentId="13_ncr:1_{1B30E4FE-2256-48DE-928F-21B631631A1C}" xr6:coauthVersionLast="47" xr6:coauthVersionMax="47" xr10:uidLastSave="{BEEAA8E2-152C-4CC5-B371-2BB5A70D5F08}"/>
  <bookViews>
    <workbookView xWindow="-28920" yWindow="-120" windowWidth="29040" windowHeight="15720" tabRatio="866" xr2:uid="{E181215F-33A2-4F43-A4CB-6823152E5153}"/>
  </bookViews>
  <sheets>
    <sheet name="Details of Data Entry" sheetId="15" r:id="rId1"/>
    <sheet name="ProgramRequest" sheetId="1" r:id="rId2"/>
    <sheet name="RigSetting" sheetId="6" r:id="rId3"/>
    <sheet name="CasingPipe" sheetId="3" r:id="rId4"/>
    <sheet name="CasingString" sheetId="10" r:id="rId5"/>
    <sheet name="Centralizer" sheetId="11" r:id="rId6"/>
    <sheet name="BHA" sheetId="8" r:id="rId7"/>
    <sheet name="Mud" sheetId="12" r:id="rId8"/>
    <sheet name="WellConfiguration" sheetId="9" r:id="rId9"/>
    <sheet name="WellLog" sheetId="13" r:id="rId10"/>
    <sheet name="Formation" sheetId="7" r:id="rId11"/>
    <sheet name="DepthInfo" sheetId="14" r:id="rId12"/>
    <sheet name="Tubing" sheetId="5" r:id="rId13"/>
    <sheet name="Open Hole" sheetId="2" r:id="rId14"/>
    <sheet name="Drill Pipe" sheetId="4"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2" l="1"/>
  <c r="F4" i="12"/>
  <c r="F2" i="12"/>
  <c r="D42" i="3"/>
  <c r="D36" i="3"/>
</calcChain>
</file>

<file path=xl/sharedStrings.xml><?xml version="1.0" encoding="utf-8"?>
<sst xmlns="http://schemas.openxmlformats.org/spreadsheetml/2006/main" count="450" uniqueCount="228">
  <si>
    <t>Entity Field</t>
  </si>
  <si>
    <t>Stick Diagram Section</t>
  </si>
  <si>
    <t>Field</t>
  </si>
  <si>
    <t>Parsing Rule</t>
  </si>
  <si>
    <t>Comments</t>
  </si>
  <si>
    <t>MeasuredDepthFrom</t>
  </si>
  <si>
    <t>MeasuredDepthTo</t>
  </si>
  <si>
    <t>Size</t>
  </si>
  <si>
    <t>TrueVerticalDepthFrom</t>
  </si>
  <si>
    <t>TrueVerticalDepthTo</t>
  </si>
  <si>
    <t>CasingType</t>
  </si>
  <si>
    <t>InsideDiameter</t>
  </si>
  <si>
    <t>OutsideDiameter</t>
  </si>
  <si>
    <t>Weight</t>
  </si>
  <si>
    <t>Grade</t>
  </si>
  <si>
    <t>ThreadType</t>
  </si>
  <si>
    <t>ConnectionType</t>
  </si>
  <si>
    <t>InternalYieldPressure</t>
  </si>
  <si>
    <t>WallThickness</t>
  </si>
  <si>
    <t>BodyYield</t>
  </si>
  <si>
    <t>Supplier</t>
  </si>
  <si>
    <t>CollapsePressure</t>
  </si>
  <si>
    <t>Example</t>
  </si>
  <si>
    <t>AFENumber</t>
  </si>
  <si>
    <t>AFE#</t>
  </si>
  <si>
    <t>Well.Name</t>
  </si>
  <si>
    <t>Well Name</t>
  </si>
  <si>
    <t xml:space="preserve">Well.SurfaceLocation </t>
  </si>
  <si>
    <t>Surface Location</t>
  </si>
  <si>
    <t>Well.DownholeLocation</t>
  </si>
  <si>
    <t>Bottom Hole Location</t>
  </si>
  <si>
    <t>Well.Licence</t>
  </si>
  <si>
    <t>Licence No</t>
  </si>
  <si>
    <t>GroundLevel</t>
  </si>
  <si>
    <t>GL</t>
  </si>
  <si>
    <t>KBElevation</t>
  </si>
  <si>
    <t>KB Elevation</t>
  </si>
  <si>
    <t>GLtoKB</t>
  </si>
  <si>
    <t>GL to KB</t>
  </si>
  <si>
    <t>Rig</t>
  </si>
  <si>
    <t>ClientContacts.Title</t>
  </si>
  <si>
    <t>ClientContacts.Name</t>
  </si>
  <si>
    <t>Name</t>
  </si>
  <si>
    <t>STICK DIAGRAM / DRILLING PROGRAM - Montney HZ</t>
  </si>
  <si>
    <t>No Title</t>
  </si>
  <si>
    <t>ClientContacts.Email</t>
  </si>
  <si>
    <t>ClientContacts.Comments</t>
  </si>
  <si>
    <t>ClientContacts.PhoneNumber</t>
  </si>
  <si>
    <t>May not be provided</t>
  </si>
  <si>
    <t>PhoneNumber</t>
  </si>
  <si>
    <t>Mike Braun</t>
  </si>
  <si>
    <t>(403) 556-9264</t>
  </si>
  <si>
    <t>Supervisors</t>
  </si>
  <si>
    <t>ServiceProviderContacts.Title</t>
  </si>
  <si>
    <t>ServiceProviderContacts.Name</t>
  </si>
  <si>
    <t>ServiceProviderContacts.PhoneNumber</t>
  </si>
  <si>
    <t>ServiceProviderContacts.Email</t>
  </si>
  <si>
    <t>ServiceProviderContacts.Comments</t>
  </si>
  <si>
    <t>Field Operation</t>
  </si>
  <si>
    <t>GP South</t>
  </si>
  <si>
    <t>(780)831-7475</t>
  </si>
  <si>
    <t>OSRContacts.Title</t>
  </si>
  <si>
    <t>OSRContacts.Name</t>
  </si>
  <si>
    <t>OSRContacts.PhoneNumber</t>
  </si>
  <si>
    <t>OSRContacts.Email</t>
  </si>
  <si>
    <t>OSRContacts.Comments</t>
  </si>
  <si>
    <t>Casing Delivery</t>
  </si>
  <si>
    <t>Tenaris Rig Direct</t>
  </si>
  <si>
    <t>(780)766-0310</t>
  </si>
  <si>
    <t>WellLog.LogType</t>
  </si>
  <si>
    <t>Title</t>
  </si>
  <si>
    <t>MWD Logs</t>
  </si>
  <si>
    <t>WellLog.LoggingCompany</t>
  </si>
  <si>
    <t>Logging Co</t>
  </si>
  <si>
    <t>Phoenix</t>
  </si>
  <si>
    <t>WellLog.Comments</t>
  </si>
  <si>
    <t>Logging Suite</t>
  </si>
  <si>
    <t>MWD gamma from drill out to TD</t>
  </si>
  <si>
    <t>This section will be specified with each stick diagram</t>
  </si>
  <si>
    <t>FormationType</t>
  </si>
  <si>
    <t>Formation</t>
  </si>
  <si>
    <t>Column</t>
  </si>
  <si>
    <t xml:space="preserve"> Formation</t>
  </si>
  <si>
    <t>Puskwaskau</t>
  </si>
  <si>
    <t>MeausreDepth</t>
  </si>
  <si>
    <t>MD</t>
  </si>
  <si>
    <t>TrueVerticalDepth</t>
  </si>
  <si>
    <t>TVD</t>
  </si>
  <si>
    <t>MaximumPressure</t>
  </si>
  <si>
    <t>Max Press.</t>
  </si>
  <si>
    <t>MaximumPressureGradient</t>
  </si>
  <si>
    <t>Max GRAD</t>
  </si>
  <si>
    <t>MaximumEstimatedMudDensity</t>
  </si>
  <si>
    <t>ExpectMuDensity</t>
  </si>
  <si>
    <t>Max EMD Per Fmn</t>
  </si>
  <si>
    <t>Expected MWT</t>
  </si>
  <si>
    <t>H2SConcentration</t>
  </si>
  <si>
    <t>H2S</t>
  </si>
  <si>
    <t>Null</t>
  </si>
  <si>
    <t>IsOverPressureZone</t>
  </si>
  <si>
    <t>IsLossCirculationZone</t>
  </si>
  <si>
    <t>null and 0 has different meaning</t>
  </si>
  <si>
    <t>Need special instruction</t>
  </si>
  <si>
    <t>Col 1</t>
  </si>
  <si>
    <t>Col 2</t>
  </si>
  <si>
    <t>Co 3</t>
  </si>
  <si>
    <t>Col 3</t>
  </si>
  <si>
    <t>Well.DepthInfo.Label</t>
  </si>
  <si>
    <t>Surface Casing</t>
  </si>
  <si>
    <t>Well.DepthInfo.MeasuredDepth</t>
  </si>
  <si>
    <t>Col 4</t>
  </si>
  <si>
    <t>Well.DepthInfo.TrueVerticalDepth</t>
  </si>
  <si>
    <t>Component</t>
  </si>
  <si>
    <t>Section Title</t>
  </si>
  <si>
    <t>BHA #1: Surface - SCP</t>
  </si>
  <si>
    <t>Bit</t>
  </si>
  <si>
    <t>Row 1</t>
  </si>
  <si>
    <t>Motor</t>
  </si>
  <si>
    <t>Telemetry</t>
  </si>
  <si>
    <t>Subs</t>
  </si>
  <si>
    <t>NMDC</t>
  </si>
  <si>
    <t>Collars</t>
  </si>
  <si>
    <t>HWDP</t>
  </si>
  <si>
    <t>DPtoSurface</t>
  </si>
  <si>
    <t>DrillingJars</t>
  </si>
  <si>
    <t>311 mm 619 PDC</t>
  </si>
  <si>
    <t>Slick MM – 9 7/8", 7.0 stg, 1.83° Adj, 0.047 rev/L</t>
  </si>
  <si>
    <t>PHX Velocity</t>
  </si>
  <si>
    <t>X/O Sub, Gap Sub</t>
  </si>
  <si>
    <t>Yes</t>
  </si>
  <si>
    <t>8 × 6.25" DCs</t>
  </si>
  <si>
    <t>Row 5</t>
  </si>
  <si>
    <t>Row 7</t>
  </si>
  <si>
    <t>Row 9</t>
  </si>
  <si>
    <t>Maybe match Sub</t>
  </si>
  <si>
    <t>Row 2,3</t>
  </si>
  <si>
    <t>Row 4, 6</t>
  </si>
  <si>
    <t>Row 10</t>
  </si>
  <si>
    <t>Row 11</t>
  </si>
  <si>
    <t xml:space="preserve">114.3 mm </t>
  </si>
  <si>
    <t>split 2</t>
  </si>
  <si>
    <t>Split 1</t>
  </si>
  <si>
    <t>Label</t>
  </si>
  <si>
    <t>Extract from "ICP (32° inc)"</t>
  </si>
  <si>
    <t xml:space="preserve">ICP  </t>
  </si>
  <si>
    <t>MeasureDepth</t>
  </si>
  <si>
    <t>SSDepth</t>
  </si>
  <si>
    <t>InclinationAngel</t>
  </si>
  <si>
    <t>SS Depth</t>
  </si>
  <si>
    <t>Savanna 651</t>
  </si>
  <si>
    <t>Surface</t>
  </si>
  <si>
    <t>NA</t>
  </si>
  <si>
    <t>J55</t>
  </si>
  <si>
    <t>LTC</t>
  </si>
  <si>
    <t>Intermediate</t>
  </si>
  <si>
    <t xml:space="preserve">P110-ICY </t>
  </si>
  <si>
    <t>BTC SC</t>
  </si>
  <si>
    <t>Production</t>
  </si>
  <si>
    <t>T95</t>
  </si>
  <si>
    <t>W461</t>
  </si>
  <si>
    <t>TXP BTC</t>
  </si>
  <si>
    <t>Float Shoe</t>
  </si>
  <si>
    <t>1.5 m above on stop collar</t>
  </si>
  <si>
    <t>Type</t>
  </si>
  <si>
    <t>Bow Spring</t>
  </si>
  <si>
    <t>1 every 50m (3 joints) to surface</t>
  </si>
  <si>
    <t>1.5 m below and above</t>
  </si>
  <si>
    <t>Float Collar</t>
  </si>
  <si>
    <t>0m - SCP</t>
  </si>
  <si>
    <t>Centralizers - Surface</t>
  </si>
  <si>
    <t>Centralizers - Intermediate</t>
  </si>
  <si>
    <t>Vertical Open Hole</t>
  </si>
  <si>
    <t>Surface To SCP</t>
  </si>
  <si>
    <t>Build</t>
  </si>
  <si>
    <t>1 per 3 joints</t>
  </si>
  <si>
    <t>Stand Off Band, floating</t>
  </si>
  <si>
    <t>1 every joint</t>
  </si>
  <si>
    <t>Centralizers - Production</t>
  </si>
  <si>
    <t>Hz Centralization</t>
  </si>
  <si>
    <t>Build Centralization</t>
  </si>
  <si>
    <t>Vertical Hole</t>
  </si>
  <si>
    <t>1 per 2 joint</t>
  </si>
  <si>
    <t>1 per joint</t>
  </si>
  <si>
    <t>SOB (floating)</t>
  </si>
  <si>
    <t>Surface Hole</t>
  </si>
  <si>
    <t>System</t>
  </si>
  <si>
    <t>Polymer</t>
  </si>
  <si>
    <t>Density</t>
  </si>
  <si>
    <t>1080 - 1150</t>
  </si>
  <si>
    <t>Intermediate Hole</t>
  </si>
  <si>
    <t>Production Hole</t>
  </si>
  <si>
    <t>CaCl2 Brine</t>
  </si>
  <si>
    <t>Will create rules in the future on type and density of preflush/spacers required. This will also affect the cement densities required.</t>
  </si>
  <si>
    <t>The purpose for the mapping template is for Engineer to provide with the new layout stick diagram. Developer will follow the mapping to create configuration, so the system can read out the data from pdf file.</t>
  </si>
  <si>
    <t>Column A</t>
  </si>
  <si>
    <t xml:space="preserve"> Entity Field</t>
  </si>
  <si>
    <t>Column B</t>
  </si>
  <si>
    <t xml:space="preserve"> Stick Diagram Section</t>
  </si>
  <si>
    <t>Column C</t>
  </si>
  <si>
    <t xml:space="preserve"> Column</t>
  </si>
  <si>
    <t>Column D</t>
  </si>
  <si>
    <t xml:space="preserve"> Field</t>
  </si>
  <si>
    <t>Column E</t>
  </si>
  <si>
    <t xml:space="preserve"> Example</t>
  </si>
  <si>
    <t>Column F</t>
  </si>
  <si>
    <t xml:space="preserve"> Parsing Rule</t>
  </si>
  <si>
    <t>Column G</t>
  </si>
  <si>
    <t xml:space="preserve"> Comments</t>
  </si>
  <si>
    <t>This indeciates the data block in stick digram is a table with multiple data records. If it has column headers,  fill the header text. If it doesn't have column headers,   use sequence number from left to right  starts from 1. Sometimes it is a one column list then use this to describe the Row numbers e.g. BHA worksheet</t>
  </si>
  <si>
    <t>This is the label text for the data if there is one. e.g. RigSetting</t>
  </si>
  <si>
    <t>This is for the code names</t>
  </si>
  <si>
    <t>Is the section drew out by the engineer for easy reading</t>
  </si>
  <si>
    <t>Copy the sample data from the sample stick diagram</t>
  </si>
  <si>
    <t>Describe how to extract the data. e.g. BHA,  HWDP and DP to Surface</t>
  </si>
  <si>
    <t>Any comments to explain the situation not able to be describe in above</t>
  </si>
  <si>
    <t>DR250312</t>
  </si>
  <si>
    <t>CNRL HZ ELM 9-33-66-5</t>
  </si>
  <si>
    <t>09-31-066-05W6</t>
  </si>
  <si>
    <t>100/09-33-066-05W6/00</t>
  </si>
  <si>
    <t>UWI or BHL</t>
  </si>
  <si>
    <t>Or SL</t>
  </si>
  <si>
    <t>or License #, or Well Licence</t>
  </si>
  <si>
    <t>Completion System</t>
  </si>
  <si>
    <t>Plugs</t>
  </si>
  <si>
    <t>Centralizer detail</t>
  </si>
  <si>
    <t>Spiral SOB (floating)</t>
  </si>
  <si>
    <t>ICP (32° inc)</t>
  </si>
  <si>
    <t>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</si>
</sst>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i/>
      <sz val="11"/>
      <color theme="1"/>
      <name val="Aptos Narrow"/>
      <family val="2"/>
      <scheme val="minor"/>
    </font>
    <font>
      <sz val="8"/>
      <name val="Aptos Narrow"/>
      <family val="2"/>
      <scheme val="minor"/>
    </font>
    <font>
      <sz val="12"/>
      <color rgb="FF000000"/>
      <name val="Arial"/>
      <family val="2"/>
    </font>
    <font>
      <sz val="12"/>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0" fillId="2" borderId="0" xfId="0" applyFill="1"/>
    <xf numFmtId="0" fontId="0" fillId="2" borderId="0" xfId="0" applyFill="1" applyAlignment="1">
      <alignment horizontal="right"/>
    </xf>
    <xf numFmtId="0" fontId="0" fillId="0" borderId="0" xfId="0" applyAlignment="1">
      <alignment horizontal="center"/>
    </xf>
    <xf numFmtId="0" fontId="1" fillId="0" borderId="0" xfId="0" applyFont="1" applyAlignment="1">
      <alignment horizontal="center"/>
    </xf>
    <xf numFmtId="0" fontId="0" fillId="2" borderId="0" xfId="0" applyFill="1" applyAlignment="1">
      <alignment horizontal="center"/>
    </xf>
    <xf numFmtId="0" fontId="1" fillId="2" borderId="0" xfId="0" applyFont="1" applyFill="1"/>
    <xf numFmtId="0" fontId="1" fillId="2" borderId="0" xfId="0" applyFont="1" applyFill="1" applyAlignment="1">
      <alignment horizontal="center"/>
    </xf>
    <xf numFmtId="0" fontId="4" fillId="0" borderId="0" xfId="0" applyFont="1" applyAlignment="1">
      <alignment vertical="center" wrapText="1"/>
    </xf>
    <xf numFmtId="0" fontId="5" fillId="0" borderId="0" xfId="0" applyFont="1"/>
    <xf numFmtId="0" fontId="5" fillId="0" borderId="0" xfId="0" applyFont="1" applyAlignment="1">
      <alignment wrapText="1"/>
    </xf>
    <xf numFmtId="0" fontId="0" fillId="0" borderId="0" xfId="0" applyAlignment="1">
      <alignment horizontal="left"/>
    </xf>
    <xf numFmtId="0" fontId="4" fillId="0" borderId="0" xfId="0" applyFont="1" applyAlignment="1">
      <alignment horizontal="center"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546F-1D59-4A2E-A910-797E5EA05C69}">
  <dimension ref="A1:C8"/>
  <sheetViews>
    <sheetView tabSelected="1" workbookViewId="0">
      <selection activeCell="C8" sqref="C8"/>
    </sheetView>
  </sheetViews>
  <sheetFormatPr defaultRowHeight="15" x14ac:dyDescent="0.2"/>
  <cols>
    <col min="1" max="1" width="11.5703125" style="11" customWidth="1"/>
    <col min="2" max="2" width="24.7109375" style="11" bestFit="1" customWidth="1"/>
    <col min="3" max="3" width="140" style="11" customWidth="1"/>
    <col min="4" max="4" width="48" style="11" bestFit="1" customWidth="1"/>
    <col min="5" max="16384" width="9.140625" style="11"/>
  </cols>
  <sheetData>
    <row r="1" spans="1:3" ht="46.5" customHeight="1" x14ac:dyDescent="0.2">
      <c r="A1" s="14" t="s">
        <v>193</v>
      </c>
      <c r="B1" s="14"/>
      <c r="C1" s="14"/>
    </row>
    <row r="2" spans="1:3" x14ac:dyDescent="0.2">
      <c r="A2" s="10" t="s">
        <v>194</v>
      </c>
      <c r="B2" s="15" t="s">
        <v>195</v>
      </c>
      <c r="C2" s="12" t="s">
        <v>210</v>
      </c>
    </row>
    <row r="3" spans="1:3" x14ac:dyDescent="0.2">
      <c r="A3" s="10" t="s">
        <v>196</v>
      </c>
      <c r="B3" s="15" t="s">
        <v>197</v>
      </c>
      <c r="C3" s="12" t="s">
        <v>211</v>
      </c>
    </row>
    <row r="4" spans="1:3" ht="45" x14ac:dyDescent="0.2">
      <c r="A4" s="10" t="s">
        <v>198</v>
      </c>
      <c r="B4" s="15" t="s">
        <v>199</v>
      </c>
      <c r="C4" s="12" t="s">
        <v>208</v>
      </c>
    </row>
    <row r="5" spans="1:3" x14ac:dyDescent="0.2">
      <c r="A5" s="10" t="s">
        <v>200</v>
      </c>
      <c r="B5" s="15" t="s">
        <v>201</v>
      </c>
      <c r="C5" s="12" t="s">
        <v>209</v>
      </c>
    </row>
    <row r="6" spans="1:3" x14ac:dyDescent="0.2">
      <c r="A6" s="10" t="s">
        <v>202</v>
      </c>
      <c r="B6" s="15" t="s">
        <v>203</v>
      </c>
      <c r="C6" s="12" t="s">
        <v>212</v>
      </c>
    </row>
    <row r="7" spans="1:3" x14ac:dyDescent="0.2">
      <c r="A7" s="10" t="s">
        <v>204</v>
      </c>
      <c r="B7" s="15" t="s">
        <v>205</v>
      </c>
      <c r="C7" s="12" t="s">
        <v>213</v>
      </c>
    </row>
    <row r="8" spans="1:3" x14ac:dyDescent="0.2">
      <c r="A8" s="10" t="s">
        <v>206</v>
      </c>
      <c r="B8" s="15" t="s">
        <v>207</v>
      </c>
      <c r="C8" s="12" t="s">
        <v>214</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C009-4818-4351-A966-9472F242D4E5}">
  <dimension ref="A1:G28"/>
  <sheetViews>
    <sheetView workbookViewId="0">
      <selection activeCell="E11" sqref="E11"/>
    </sheetView>
  </sheetViews>
  <sheetFormatPr defaultRowHeight="15" x14ac:dyDescent="0.25"/>
  <cols>
    <col min="1" max="1" width="36.28515625" bestFit="1" customWidth="1"/>
    <col min="2" max="2" width="20.85546875" bestFit="1" customWidth="1"/>
    <col min="3" max="3" width="15.7109375" bestFit="1" customWidth="1"/>
    <col min="4" max="4" width="15.7109375" customWidth="1"/>
    <col min="5" max="5" width="46.28515625" bestFit="1" customWidth="1"/>
    <col min="6" max="6" width="12.140625" bestFit="1" customWidth="1"/>
    <col min="7" max="7" width="18.85546875" bestFit="1" customWidth="1"/>
  </cols>
  <sheetData>
    <row r="1" spans="1:7" x14ac:dyDescent="0.25">
      <c r="A1" s="1" t="s">
        <v>0</v>
      </c>
      <c r="B1" s="1" t="s">
        <v>1</v>
      </c>
      <c r="C1" s="1" t="s">
        <v>2</v>
      </c>
      <c r="D1" s="1" t="s">
        <v>70</v>
      </c>
      <c r="E1" s="1" t="s">
        <v>22</v>
      </c>
      <c r="F1" s="1" t="s">
        <v>3</v>
      </c>
      <c r="G1" s="1" t="s">
        <v>4</v>
      </c>
    </row>
    <row r="2" spans="1:7" x14ac:dyDescent="0.25">
      <c r="A2" t="s">
        <v>42</v>
      </c>
      <c r="B2">
        <v>1</v>
      </c>
      <c r="C2" t="s">
        <v>44</v>
      </c>
      <c r="E2" t="s">
        <v>43</v>
      </c>
    </row>
    <row r="3" spans="1:7" x14ac:dyDescent="0.25">
      <c r="A3" t="s">
        <v>23</v>
      </c>
      <c r="B3">
        <v>1</v>
      </c>
      <c r="C3" t="s">
        <v>24</v>
      </c>
      <c r="E3" t="s">
        <v>215</v>
      </c>
    </row>
    <row r="4" spans="1:7" x14ac:dyDescent="0.25">
      <c r="A4" t="s">
        <v>25</v>
      </c>
      <c r="B4">
        <v>2</v>
      </c>
      <c r="C4" t="s">
        <v>26</v>
      </c>
      <c r="E4" t="s">
        <v>216</v>
      </c>
    </row>
    <row r="5" spans="1:7" x14ac:dyDescent="0.25">
      <c r="A5" t="s">
        <v>27</v>
      </c>
      <c r="B5">
        <v>2</v>
      </c>
      <c r="C5" t="s">
        <v>28</v>
      </c>
      <c r="E5" t="s">
        <v>217</v>
      </c>
      <c r="G5" t="s">
        <v>220</v>
      </c>
    </row>
    <row r="6" spans="1:7" x14ac:dyDescent="0.25">
      <c r="A6" t="s">
        <v>29</v>
      </c>
      <c r="B6">
        <v>2</v>
      </c>
      <c r="C6" t="s">
        <v>30</v>
      </c>
      <c r="E6" t="s">
        <v>218</v>
      </c>
      <c r="G6" t="s">
        <v>219</v>
      </c>
    </row>
    <row r="7" spans="1:7" x14ac:dyDescent="0.25">
      <c r="A7" t="s">
        <v>31</v>
      </c>
      <c r="B7">
        <v>2</v>
      </c>
      <c r="C7" t="s">
        <v>32</v>
      </c>
      <c r="E7" s="13">
        <v>508421</v>
      </c>
      <c r="G7" t="s">
        <v>221</v>
      </c>
    </row>
    <row r="8" spans="1:7" x14ac:dyDescent="0.25">
      <c r="A8" t="s">
        <v>61</v>
      </c>
      <c r="B8">
        <v>2</v>
      </c>
      <c r="C8" t="s">
        <v>103</v>
      </c>
      <c r="E8" t="s">
        <v>52</v>
      </c>
    </row>
    <row r="9" spans="1:7" x14ac:dyDescent="0.25">
      <c r="A9" t="s">
        <v>62</v>
      </c>
      <c r="B9">
        <v>2</v>
      </c>
      <c r="C9" t="s">
        <v>42</v>
      </c>
      <c r="E9" t="s">
        <v>50</v>
      </c>
    </row>
    <row r="10" spans="1:7" x14ac:dyDescent="0.25">
      <c r="A10" t="s">
        <v>63</v>
      </c>
      <c r="B10">
        <v>2</v>
      </c>
      <c r="C10" t="s">
        <v>49</v>
      </c>
      <c r="E10" t="s">
        <v>51</v>
      </c>
    </row>
    <row r="11" spans="1:7" x14ac:dyDescent="0.25">
      <c r="A11" t="s">
        <v>64</v>
      </c>
      <c r="B11">
        <v>2</v>
      </c>
      <c r="G11" t="s">
        <v>48</v>
      </c>
    </row>
    <row r="12" spans="1:7" x14ac:dyDescent="0.25">
      <c r="A12" t="s">
        <v>65</v>
      </c>
      <c r="B12">
        <v>2</v>
      </c>
      <c r="G12" t="s">
        <v>48</v>
      </c>
    </row>
    <row r="13" spans="1:7" x14ac:dyDescent="0.25">
      <c r="A13" t="s">
        <v>40</v>
      </c>
      <c r="B13">
        <v>3</v>
      </c>
      <c r="C13" t="s">
        <v>103</v>
      </c>
      <c r="E13" t="s">
        <v>58</v>
      </c>
    </row>
    <row r="14" spans="1:7" x14ac:dyDescent="0.25">
      <c r="A14" t="s">
        <v>41</v>
      </c>
      <c r="B14">
        <v>3</v>
      </c>
      <c r="C14" t="s">
        <v>104</v>
      </c>
      <c r="E14" t="s">
        <v>59</v>
      </c>
    </row>
    <row r="15" spans="1:7" x14ac:dyDescent="0.25">
      <c r="A15" t="s">
        <v>47</v>
      </c>
      <c r="B15">
        <v>3</v>
      </c>
      <c r="C15" t="s">
        <v>105</v>
      </c>
      <c r="E15" t="s">
        <v>60</v>
      </c>
    </row>
    <row r="16" spans="1:7" x14ac:dyDescent="0.25">
      <c r="A16" t="s">
        <v>45</v>
      </c>
      <c r="B16">
        <v>3</v>
      </c>
      <c r="G16" t="s">
        <v>48</v>
      </c>
    </row>
    <row r="17" spans="1:7" x14ac:dyDescent="0.25">
      <c r="A17" t="s">
        <v>46</v>
      </c>
      <c r="B17">
        <v>3</v>
      </c>
      <c r="G17" t="s">
        <v>48</v>
      </c>
    </row>
    <row r="18" spans="1:7" x14ac:dyDescent="0.25">
      <c r="A18" t="s">
        <v>53</v>
      </c>
      <c r="B18">
        <v>4</v>
      </c>
      <c r="C18" t="s">
        <v>103</v>
      </c>
      <c r="E18" t="s">
        <v>66</v>
      </c>
    </row>
    <row r="19" spans="1:7" x14ac:dyDescent="0.25">
      <c r="A19" t="s">
        <v>54</v>
      </c>
      <c r="B19">
        <v>4</v>
      </c>
      <c r="C19" t="s">
        <v>104</v>
      </c>
      <c r="E19" t="s">
        <v>67</v>
      </c>
    </row>
    <row r="20" spans="1:7" x14ac:dyDescent="0.25">
      <c r="A20" t="s">
        <v>55</v>
      </c>
      <c r="B20">
        <v>4</v>
      </c>
      <c r="C20" t="s">
        <v>106</v>
      </c>
      <c r="E20" t="s">
        <v>68</v>
      </c>
    </row>
    <row r="21" spans="1:7" x14ac:dyDescent="0.25">
      <c r="A21" t="s">
        <v>56</v>
      </c>
      <c r="B21">
        <v>4</v>
      </c>
      <c r="G21" t="s">
        <v>48</v>
      </c>
    </row>
    <row r="22" spans="1:7" x14ac:dyDescent="0.25">
      <c r="A22" t="s">
        <v>57</v>
      </c>
      <c r="B22">
        <v>4</v>
      </c>
      <c r="G22" t="s">
        <v>48</v>
      </c>
    </row>
    <row r="23" spans="1:7" x14ac:dyDescent="0.25">
      <c r="A23" t="s">
        <v>69</v>
      </c>
      <c r="B23">
        <v>5</v>
      </c>
      <c r="C23" t="s">
        <v>70</v>
      </c>
      <c r="E23" t="s">
        <v>71</v>
      </c>
      <c r="G23" t="s">
        <v>78</v>
      </c>
    </row>
    <row r="24" spans="1:7" x14ac:dyDescent="0.25">
      <c r="A24" t="s">
        <v>72</v>
      </c>
      <c r="B24">
        <v>5</v>
      </c>
      <c r="C24" t="s">
        <v>73</v>
      </c>
      <c r="E24" t="s">
        <v>74</v>
      </c>
    </row>
    <row r="25" spans="1:7" x14ac:dyDescent="0.25">
      <c r="A25" t="s">
        <v>75</v>
      </c>
      <c r="B25">
        <v>5</v>
      </c>
      <c r="C25" t="s">
        <v>76</v>
      </c>
      <c r="E25" t="s">
        <v>77</v>
      </c>
    </row>
    <row r="26" spans="1:7" x14ac:dyDescent="0.25">
      <c r="A26" t="s">
        <v>107</v>
      </c>
      <c r="B26">
        <v>6</v>
      </c>
      <c r="C26" t="s">
        <v>103</v>
      </c>
      <c r="D26" t="s">
        <v>80</v>
      </c>
      <c r="E26" t="s">
        <v>108</v>
      </c>
    </row>
    <row r="27" spans="1:7" x14ac:dyDescent="0.25">
      <c r="A27" t="s">
        <v>109</v>
      </c>
      <c r="B27">
        <v>6</v>
      </c>
      <c r="C27" t="s">
        <v>104</v>
      </c>
      <c r="D27" t="s">
        <v>85</v>
      </c>
      <c r="E27">
        <v>615</v>
      </c>
    </row>
    <row r="28" spans="1:7" x14ac:dyDescent="0.25">
      <c r="A28" t="s">
        <v>111</v>
      </c>
      <c r="B28">
        <v>6</v>
      </c>
      <c r="C28" t="s">
        <v>110</v>
      </c>
      <c r="D28" t="s">
        <v>87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628AB-C749-4797-BCC1-2D7ED29BAC9B}">
  <dimension ref="A1:F5"/>
  <sheetViews>
    <sheetView workbookViewId="0">
      <selection activeCell="E2" sqref="E2"/>
    </sheetView>
  </sheetViews>
  <sheetFormatPr defaultRowHeight="15" x14ac:dyDescent="0.25"/>
  <cols>
    <col min="1" max="1" width="12.85546875" bestFit="1" customWidth="1"/>
    <col min="2" max="2" width="20.85546875" bestFit="1" customWidth="1"/>
    <col min="3" max="3" width="11.7109375" bestFit="1" customWidth="1"/>
    <col min="4" max="4" width="12" bestFit="1" customWidth="1"/>
    <col min="5" max="5" width="13.42578125" customWidth="1"/>
    <col min="6" max="6" width="13.140625" customWidth="1"/>
  </cols>
  <sheetData>
    <row r="1" spans="1:6" x14ac:dyDescent="0.25">
      <c r="A1" s="1" t="s">
        <v>0</v>
      </c>
      <c r="B1" s="1" t="s">
        <v>1</v>
      </c>
      <c r="C1" s="1" t="s">
        <v>2</v>
      </c>
      <c r="D1" s="1" t="s">
        <v>22</v>
      </c>
      <c r="E1" s="1" t="s">
        <v>3</v>
      </c>
      <c r="F1" s="1" t="s">
        <v>4</v>
      </c>
    </row>
    <row r="2" spans="1:6" x14ac:dyDescent="0.25">
      <c r="A2" t="s">
        <v>33</v>
      </c>
      <c r="B2">
        <v>2</v>
      </c>
      <c r="C2" t="s">
        <v>34</v>
      </c>
      <c r="D2" s="4">
        <v>775.8</v>
      </c>
    </row>
    <row r="3" spans="1:6" x14ac:dyDescent="0.25">
      <c r="A3" t="s">
        <v>35</v>
      </c>
      <c r="B3">
        <v>2</v>
      </c>
      <c r="C3" t="s">
        <v>36</v>
      </c>
      <c r="D3" s="4">
        <v>783.9</v>
      </c>
    </row>
    <row r="4" spans="1:6" x14ac:dyDescent="0.25">
      <c r="A4" t="s">
        <v>37</v>
      </c>
      <c r="B4">
        <v>2</v>
      </c>
      <c r="C4" t="s">
        <v>38</v>
      </c>
      <c r="D4" s="4">
        <v>8.1</v>
      </c>
    </row>
    <row r="5" spans="1:6" x14ac:dyDescent="0.25">
      <c r="A5" t="s">
        <v>39</v>
      </c>
      <c r="B5" s="3">
        <v>2</v>
      </c>
      <c r="C5" t="s">
        <v>39</v>
      </c>
      <c r="D5" s="4"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0EEA-AD9C-41FD-A8E7-DE73C9303A8C}">
  <dimension ref="A1:K43"/>
  <sheetViews>
    <sheetView topLeftCell="A13" workbookViewId="0">
      <selection activeCell="C37" sqref="C37"/>
    </sheetView>
  </sheetViews>
  <sheetFormatPr defaultRowHeight="15" x14ac:dyDescent="0.25"/>
  <cols>
    <col min="1" max="1" width="21.7109375" bestFit="1" customWidth="1"/>
    <col min="2" max="2" width="20.85546875" bestFit="1" customWidth="1"/>
    <col min="3" max="3" width="14.28515625" style="5" customWidth="1"/>
    <col min="4" max="4" width="14.28515625" customWidth="1"/>
    <col min="5" max="5" width="12.140625" bestFit="1" customWidth="1"/>
    <col min="6" max="6" width="11" bestFit="1" customWidth="1"/>
    <col min="10" max="10" width="20.140625" bestFit="1" customWidth="1"/>
  </cols>
  <sheetData>
    <row r="1" spans="1:11" x14ac:dyDescent="0.25">
      <c r="A1" s="1" t="s">
        <v>0</v>
      </c>
      <c r="B1" s="1" t="s">
        <v>1</v>
      </c>
      <c r="C1" s="6" t="s">
        <v>2</v>
      </c>
      <c r="D1" s="1" t="s">
        <v>22</v>
      </c>
      <c r="E1" s="1" t="s">
        <v>3</v>
      </c>
      <c r="F1" s="1" t="s">
        <v>4</v>
      </c>
    </row>
    <row r="2" spans="1:11" x14ac:dyDescent="0.25">
      <c r="A2" t="s">
        <v>10</v>
      </c>
      <c r="B2">
        <v>8</v>
      </c>
      <c r="D2" s="5" t="s">
        <v>150</v>
      </c>
    </row>
    <row r="3" spans="1:11" x14ac:dyDescent="0.25">
      <c r="A3" t="s">
        <v>11</v>
      </c>
      <c r="B3">
        <v>8</v>
      </c>
      <c r="D3" s="5" t="s">
        <v>151</v>
      </c>
      <c r="J3" t="s">
        <v>16</v>
      </c>
      <c r="K3" t="s">
        <v>151</v>
      </c>
    </row>
    <row r="4" spans="1:11" x14ac:dyDescent="0.25">
      <c r="A4" t="s">
        <v>5</v>
      </c>
      <c r="B4">
        <v>6</v>
      </c>
      <c r="D4" s="5">
        <v>0</v>
      </c>
      <c r="J4" t="s">
        <v>17</v>
      </c>
      <c r="K4" t="s">
        <v>151</v>
      </c>
    </row>
    <row r="5" spans="1:11" x14ac:dyDescent="0.25">
      <c r="A5" t="s">
        <v>6</v>
      </c>
      <c r="B5">
        <v>6</v>
      </c>
      <c r="C5" s="5" t="s">
        <v>108</v>
      </c>
      <c r="D5" s="5">
        <v>615</v>
      </c>
      <c r="J5" t="s">
        <v>18</v>
      </c>
      <c r="K5" t="s">
        <v>151</v>
      </c>
    </row>
    <row r="6" spans="1:11" x14ac:dyDescent="0.25">
      <c r="A6" t="s">
        <v>12</v>
      </c>
      <c r="B6">
        <v>8</v>
      </c>
      <c r="D6" s="5">
        <v>244.5</v>
      </c>
      <c r="J6" t="s">
        <v>19</v>
      </c>
      <c r="K6" t="s">
        <v>151</v>
      </c>
    </row>
    <row r="7" spans="1:11" x14ac:dyDescent="0.25">
      <c r="A7" t="s">
        <v>13</v>
      </c>
      <c r="B7">
        <v>8</v>
      </c>
      <c r="D7" s="5">
        <v>53.57</v>
      </c>
      <c r="J7" t="s">
        <v>20</v>
      </c>
      <c r="K7" t="s">
        <v>151</v>
      </c>
    </row>
    <row r="8" spans="1:11" x14ac:dyDescent="0.25">
      <c r="A8" t="s">
        <v>14</v>
      </c>
      <c r="B8">
        <v>8</v>
      </c>
      <c r="D8" s="5" t="s">
        <v>152</v>
      </c>
      <c r="J8" t="s">
        <v>21</v>
      </c>
      <c r="K8" t="s">
        <v>151</v>
      </c>
    </row>
    <row r="9" spans="1:11" x14ac:dyDescent="0.25">
      <c r="A9" t="s">
        <v>15</v>
      </c>
      <c r="B9">
        <v>8</v>
      </c>
      <c r="D9" s="5" t="s">
        <v>153</v>
      </c>
    </row>
    <row r="10" spans="1:11" x14ac:dyDescent="0.25">
      <c r="A10" t="s">
        <v>8</v>
      </c>
      <c r="B10">
        <v>6</v>
      </c>
      <c r="D10" s="5">
        <v>0</v>
      </c>
    </row>
    <row r="11" spans="1:11" x14ac:dyDescent="0.25">
      <c r="A11" t="s">
        <v>9</v>
      </c>
      <c r="B11">
        <v>6</v>
      </c>
      <c r="D11" s="5">
        <v>615</v>
      </c>
    </row>
    <row r="12" spans="1:11" x14ac:dyDescent="0.25">
      <c r="D12" s="5"/>
    </row>
    <row r="13" spans="1:11" x14ac:dyDescent="0.25">
      <c r="A13" t="s">
        <v>10</v>
      </c>
      <c r="B13">
        <v>8</v>
      </c>
      <c r="D13" s="5" t="s">
        <v>154</v>
      </c>
      <c r="E13" s="2"/>
      <c r="F13" s="2"/>
    </row>
    <row r="14" spans="1:11" x14ac:dyDescent="0.25">
      <c r="A14" t="s">
        <v>11</v>
      </c>
      <c r="B14">
        <v>8</v>
      </c>
      <c r="D14" s="5" t="s">
        <v>151</v>
      </c>
    </row>
    <row r="15" spans="1:11" x14ac:dyDescent="0.25">
      <c r="A15" t="s">
        <v>5</v>
      </c>
      <c r="B15">
        <v>6</v>
      </c>
      <c r="D15" s="5">
        <v>0</v>
      </c>
    </row>
    <row r="16" spans="1:11" x14ac:dyDescent="0.25">
      <c r="A16" t="s">
        <v>6</v>
      </c>
      <c r="B16">
        <v>6</v>
      </c>
      <c r="C16" s="5" t="s">
        <v>226</v>
      </c>
      <c r="D16" s="5">
        <v>2556</v>
      </c>
    </row>
    <row r="17" spans="1:4" x14ac:dyDescent="0.25">
      <c r="A17" t="s">
        <v>12</v>
      </c>
      <c r="B17">
        <v>8</v>
      </c>
      <c r="D17" s="5">
        <v>193.68</v>
      </c>
    </row>
    <row r="18" spans="1:4" x14ac:dyDescent="0.25">
      <c r="A18" t="s">
        <v>13</v>
      </c>
      <c r="B18">
        <v>8</v>
      </c>
      <c r="D18" s="5">
        <v>39.29</v>
      </c>
    </row>
    <row r="19" spans="1:4" x14ac:dyDescent="0.25">
      <c r="A19" t="s">
        <v>14</v>
      </c>
      <c r="B19">
        <v>8</v>
      </c>
      <c r="D19" s="5" t="s">
        <v>155</v>
      </c>
    </row>
    <row r="20" spans="1:4" x14ac:dyDescent="0.25">
      <c r="A20" t="s">
        <v>15</v>
      </c>
      <c r="B20">
        <v>8</v>
      </c>
      <c r="D20" s="5" t="s">
        <v>156</v>
      </c>
    </row>
    <row r="21" spans="1:4" x14ac:dyDescent="0.25">
      <c r="A21" t="s">
        <v>8</v>
      </c>
      <c r="B21">
        <v>6</v>
      </c>
      <c r="D21" s="5">
        <v>0</v>
      </c>
    </row>
    <row r="22" spans="1:4" x14ac:dyDescent="0.25">
      <c r="A22" t="s">
        <v>9</v>
      </c>
      <c r="B22">
        <v>6</v>
      </c>
      <c r="D22" s="5">
        <v>2540</v>
      </c>
    </row>
    <row r="23" spans="1:4" x14ac:dyDescent="0.25">
      <c r="D23" s="5"/>
    </row>
    <row r="24" spans="1:4" x14ac:dyDescent="0.25">
      <c r="A24" t="s">
        <v>10</v>
      </c>
      <c r="B24">
        <v>8</v>
      </c>
      <c r="D24" s="5" t="s">
        <v>157</v>
      </c>
    </row>
    <row r="25" spans="1:4" x14ac:dyDescent="0.25">
      <c r="A25" t="s">
        <v>11</v>
      </c>
      <c r="B25">
        <v>8</v>
      </c>
      <c r="D25" s="5" t="s">
        <v>151</v>
      </c>
    </row>
    <row r="26" spans="1:4" x14ac:dyDescent="0.25">
      <c r="A26" t="s">
        <v>5</v>
      </c>
      <c r="B26">
        <v>6</v>
      </c>
      <c r="D26" s="5">
        <v>0</v>
      </c>
    </row>
    <row r="27" spans="1:4" x14ac:dyDescent="0.25">
      <c r="A27" t="s">
        <v>6</v>
      </c>
      <c r="B27">
        <v>6</v>
      </c>
      <c r="D27" s="7">
        <v>2943</v>
      </c>
    </row>
    <row r="28" spans="1:4" x14ac:dyDescent="0.25">
      <c r="A28" t="s">
        <v>12</v>
      </c>
      <c r="B28">
        <v>8</v>
      </c>
      <c r="D28" s="5">
        <v>139.69999999999999</v>
      </c>
    </row>
    <row r="29" spans="1:4" x14ac:dyDescent="0.25">
      <c r="A29" t="s">
        <v>13</v>
      </c>
      <c r="B29">
        <v>8</v>
      </c>
      <c r="D29" s="5">
        <v>34.200000000000003</v>
      </c>
    </row>
    <row r="30" spans="1:4" x14ac:dyDescent="0.25">
      <c r="A30" t="s">
        <v>14</v>
      </c>
      <c r="B30">
        <v>8</v>
      </c>
      <c r="D30" s="5" t="s">
        <v>158</v>
      </c>
    </row>
    <row r="31" spans="1:4" x14ac:dyDescent="0.25">
      <c r="A31" t="s">
        <v>15</v>
      </c>
      <c r="B31">
        <v>8</v>
      </c>
      <c r="D31" s="5" t="s">
        <v>159</v>
      </c>
    </row>
    <row r="32" spans="1:4" x14ac:dyDescent="0.25">
      <c r="A32" t="s">
        <v>8</v>
      </c>
      <c r="B32">
        <v>6</v>
      </c>
      <c r="D32" s="5">
        <v>0</v>
      </c>
    </row>
    <row r="33" spans="1:4" x14ac:dyDescent="0.25">
      <c r="A33" t="s">
        <v>9</v>
      </c>
      <c r="B33">
        <v>6</v>
      </c>
      <c r="D33" s="5">
        <v>2687</v>
      </c>
    </row>
    <row r="34" spans="1:4" x14ac:dyDescent="0.25">
      <c r="A34" t="s">
        <v>10</v>
      </c>
      <c r="B34">
        <v>8</v>
      </c>
      <c r="D34" s="5" t="s">
        <v>157</v>
      </c>
    </row>
    <row r="35" spans="1:4" x14ac:dyDescent="0.25">
      <c r="A35" t="s">
        <v>11</v>
      </c>
      <c r="B35">
        <v>8</v>
      </c>
      <c r="D35" s="5" t="s">
        <v>151</v>
      </c>
    </row>
    <row r="36" spans="1:4" x14ac:dyDescent="0.25">
      <c r="A36" t="s">
        <v>5</v>
      </c>
      <c r="B36">
        <v>6</v>
      </c>
      <c r="D36" s="7">
        <f>D27</f>
        <v>2943</v>
      </c>
    </row>
    <row r="37" spans="1:4" x14ac:dyDescent="0.25">
      <c r="A37" t="s">
        <v>6</v>
      </c>
      <c r="B37">
        <v>6</v>
      </c>
      <c r="C37" s="5" t="s">
        <v>227</v>
      </c>
      <c r="D37" s="7">
        <v>5771</v>
      </c>
    </row>
    <row r="38" spans="1:4" x14ac:dyDescent="0.25">
      <c r="A38" t="s">
        <v>12</v>
      </c>
      <c r="B38">
        <v>8</v>
      </c>
      <c r="D38" s="5">
        <v>114.3</v>
      </c>
    </row>
    <row r="39" spans="1:4" x14ac:dyDescent="0.25">
      <c r="A39" t="s">
        <v>13</v>
      </c>
      <c r="B39">
        <v>8</v>
      </c>
      <c r="D39" s="5">
        <v>22.47</v>
      </c>
    </row>
    <row r="40" spans="1:4" x14ac:dyDescent="0.25">
      <c r="A40" t="s">
        <v>14</v>
      </c>
      <c r="B40">
        <v>8</v>
      </c>
      <c r="D40" s="5" t="s">
        <v>155</v>
      </c>
    </row>
    <row r="41" spans="1:4" x14ac:dyDescent="0.25">
      <c r="A41" t="s">
        <v>15</v>
      </c>
      <c r="B41">
        <v>8</v>
      </c>
      <c r="D41" s="5" t="s">
        <v>160</v>
      </c>
    </row>
    <row r="42" spans="1:4" x14ac:dyDescent="0.25">
      <c r="A42" t="s">
        <v>8</v>
      </c>
      <c r="B42">
        <v>6</v>
      </c>
      <c r="D42" s="5">
        <f>D33</f>
        <v>2687</v>
      </c>
    </row>
    <row r="43" spans="1:4" x14ac:dyDescent="0.25">
      <c r="A43" t="s">
        <v>9</v>
      </c>
      <c r="B43">
        <v>6</v>
      </c>
      <c r="D43" s="5">
        <v>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89A51-A419-41B4-A70F-1A9FC24BB780}">
  <dimension ref="A1:G4"/>
  <sheetViews>
    <sheetView workbookViewId="0">
      <selection activeCell="A5" sqref="A5"/>
    </sheetView>
  </sheetViews>
  <sheetFormatPr defaultRowHeight="15" x14ac:dyDescent="0.25"/>
  <cols>
    <col min="1" max="1" width="18" bestFit="1" customWidth="1"/>
    <col min="2" max="2" width="20.85546875" bestFit="1" customWidth="1"/>
    <col min="3" max="3" width="11" customWidth="1"/>
    <col min="4" max="4" width="9.140625" customWidth="1"/>
    <col min="5" max="5" width="13.42578125" customWidth="1"/>
    <col min="6" max="6" width="19.85546875" customWidth="1"/>
    <col min="7" max="7" width="11" bestFit="1" customWidth="1"/>
  </cols>
  <sheetData>
    <row r="1" spans="1:7" x14ac:dyDescent="0.25">
      <c r="A1" s="1" t="s">
        <v>0</v>
      </c>
      <c r="B1" s="1" t="s">
        <v>1</v>
      </c>
      <c r="C1" s="1" t="s">
        <v>81</v>
      </c>
      <c r="D1" s="1" t="s">
        <v>2</v>
      </c>
      <c r="E1" s="1" t="s">
        <v>22</v>
      </c>
      <c r="F1" s="1" t="s">
        <v>3</v>
      </c>
      <c r="G1" s="1" t="s">
        <v>4</v>
      </c>
    </row>
    <row r="2" spans="1:7" x14ac:dyDescent="0.25">
      <c r="A2" t="s">
        <v>223</v>
      </c>
    </row>
    <row r="3" spans="1:7" x14ac:dyDescent="0.25">
      <c r="A3" t="s">
        <v>222</v>
      </c>
    </row>
    <row r="4" spans="1:7" x14ac:dyDescent="0.25">
      <c r="A4" t="s">
        <v>224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DE1F3-ECF3-4DD2-92BE-B14197FAF170}">
  <dimension ref="A1:H10"/>
  <sheetViews>
    <sheetView workbookViewId="0">
      <selection activeCell="H23" sqref="H23"/>
    </sheetView>
  </sheetViews>
  <sheetFormatPr defaultRowHeight="15" x14ac:dyDescent="0.25"/>
  <cols>
    <col min="1" max="1" width="24.5703125" style="5" bestFit="1" customWidth="1"/>
    <col min="2" max="2" width="20.85546875" style="5" bestFit="1" customWidth="1"/>
    <col min="3" max="3" width="19" style="5" customWidth="1"/>
    <col min="4" max="4" width="34.7109375" style="5" bestFit="1" customWidth="1"/>
    <col min="5" max="5" width="24.42578125" style="5" customWidth="1"/>
    <col min="6" max="6" width="22.42578125" style="5" customWidth="1"/>
    <col min="7" max="7" width="15.28515625" style="5" customWidth="1"/>
    <col min="8" max="8" width="13.5703125" style="5" customWidth="1"/>
    <col min="9" max="9" width="9" style="5" customWidth="1"/>
    <col min="10" max="16384" width="9.140625" style="5"/>
  </cols>
  <sheetData>
    <row r="1" spans="1:8" x14ac:dyDescent="0.25">
      <c r="A1" s="6" t="s">
        <v>0</v>
      </c>
      <c r="B1" s="6" t="s">
        <v>1</v>
      </c>
      <c r="C1" s="6" t="s">
        <v>81</v>
      </c>
      <c r="D1" s="6" t="s">
        <v>2</v>
      </c>
      <c r="E1" s="9" t="s">
        <v>163</v>
      </c>
      <c r="F1" s="6" t="s">
        <v>22</v>
      </c>
      <c r="G1" s="6" t="s">
        <v>3</v>
      </c>
      <c r="H1" s="6" t="s">
        <v>4</v>
      </c>
    </row>
    <row r="2" spans="1:8" x14ac:dyDescent="0.25">
      <c r="A2" s="5" t="s">
        <v>169</v>
      </c>
      <c r="B2" s="5">
        <v>8</v>
      </c>
      <c r="C2" s="5" t="s">
        <v>161</v>
      </c>
      <c r="D2" s="5" t="s">
        <v>162</v>
      </c>
      <c r="E2" s="5" t="s">
        <v>164</v>
      </c>
    </row>
    <row r="3" spans="1:8" x14ac:dyDescent="0.25">
      <c r="A3" s="5" t="s">
        <v>169</v>
      </c>
      <c r="B3" s="5">
        <v>8</v>
      </c>
      <c r="C3" s="5" t="s">
        <v>167</v>
      </c>
      <c r="D3" s="5" t="s">
        <v>166</v>
      </c>
      <c r="E3" s="5" t="s">
        <v>164</v>
      </c>
    </row>
    <row r="4" spans="1:8" x14ac:dyDescent="0.25">
      <c r="A4" s="5" t="s">
        <v>169</v>
      </c>
      <c r="B4" s="5">
        <v>8</v>
      </c>
      <c r="C4" s="5" t="s">
        <v>168</v>
      </c>
      <c r="D4" s="5" t="s">
        <v>165</v>
      </c>
      <c r="E4" s="5" t="s">
        <v>164</v>
      </c>
    </row>
    <row r="5" spans="1:8" x14ac:dyDescent="0.25">
      <c r="A5" s="5" t="s">
        <v>170</v>
      </c>
      <c r="B5" s="5">
        <v>8</v>
      </c>
      <c r="C5" s="5" t="s">
        <v>172</v>
      </c>
      <c r="D5" s="5" t="s">
        <v>174</v>
      </c>
      <c r="E5" s="5" t="s">
        <v>164</v>
      </c>
    </row>
    <row r="6" spans="1:8" x14ac:dyDescent="0.25">
      <c r="A6" s="5" t="s">
        <v>170</v>
      </c>
      <c r="B6" s="5">
        <v>8</v>
      </c>
      <c r="C6" s="5" t="s">
        <v>171</v>
      </c>
      <c r="D6" s="5" t="s">
        <v>174</v>
      </c>
      <c r="E6" s="5" t="s">
        <v>175</v>
      </c>
    </row>
    <row r="7" spans="1:8" x14ac:dyDescent="0.25">
      <c r="A7" s="5" t="s">
        <v>170</v>
      </c>
      <c r="B7" s="5">
        <v>8</v>
      </c>
      <c r="C7" s="5" t="s">
        <v>173</v>
      </c>
      <c r="D7" s="5" t="s">
        <v>176</v>
      </c>
      <c r="E7" s="5" t="s">
        <v>175</v>
      </c>
    </row>
    <row r="8" spans="1:8" x14ac:dyDescent="0.25">
      <c r="A8" s="5" t="s">
        <v>177</v>
      </c>
      <c r="B8" s="5">
        <v>8</v>
      </c>
      <c r="C8" s="5" t="s">
        <v>180</v>
      </c>
      <c r="D8" s="5" t="s">
        <v>174</v>
      </c>
      <c r="E8" s="5" t="s">
        <v>225</v>
      </c>
    </row>
    <row r="9" spans="1:8" x14ac:dyDescent="0.25">
      <c r="A9" s="5" t="s">
        <v>177</v>
      </c>
      <c r="B9" s="5">
        <v>8</v>
      </c>
      <c r="C9" s="5" t="s">
        <v>179</v>
      </c>
      <c r="D9" s="5" t="s">
        <v>181</v>
      </c>
      <c r="E9" s="5" t="s">
        <v>225</v>
      </c>
    </row>
    <row r="10" spans="1:8" x14ac:dyDescent="0.25">
      <c r="A10" s="5" t="s">
        <v>177</v>
      </c>
      <c r="B10" s="5">
        <v>8</v>
      </c>
      <c r="C10" s="5" t="s">
        <v>178</v>
      </c>
      <c r="D10" s="5" t="s">
        <v>182</v>
      </c>
      <c r="E10" s="5" t="s">
        <v>183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4717-BC17-4837-8949-31AA54571320}">
  <dimension ref="A1:G11"/>
  <sheetViews>
    <sheetView workbookViewId="0">
      <selection activeCell="H20" sqref="H20"/>
    </sheetView>
  </sheetViews>
  <sheetFormatPr defaultRowHeight="15" x14ac:dyDescent="0.25"/>
  <cols>
    <col min="1" max="1" width="15.5703125" customWidth="1"/>
    <col min="2" max="2" width="20.85546875" bestFit="1" customWidth="1"/>
    <col min="3" max="3" width="11.5703125" bestFit="1" customWidth="1"/>
    <col min="4" max="4" width="15.42578125" customWidth="1"/>
    <col min="5" max="5" width="45.7109375" customWidth="1"/>
    <col min="6" max="6" width="17" customWidth="1"/>
    <col min="7" max="7" width="15.28515625" customWidth="1"/>
  </cols>
  <sheetData>
    <row r="1" spans="1:7" x14ac:dyDescent="0.25">
      <c r="A1" s="1" t="s">
        <v>0</v>
      </c>
      <c r="B1" s="1" t="s">
        <v>1</v>
      </c>
      <c r="C1" s="1" t="s">
        <v>81</v>
      </c>
      <c r="D1" s="1" t="s">
        <v>2</v>
      </c>
      <c r="E1" s="1" t="s">
        <v>22</v>
      </c>
      <c r="F1" s="1" t="s">
        <v>3</v>
      </c>
      <c r="G1" s="1" t="s">
        <v>4</v>
      </c>
    </row>
    <row r="2" spans="1:7" x14ac:dyDescent="0.25">
      <c r="A2" t="s">
        <v>112</v>
      </c>
      <c r="B2">
        <v>7</v>
      </c>
      <c r="C2" t="s">
        <v>113</v>
      </c>
      <c r="E2" t="s">
        <v>114</v>
      </c>
    </row>
    <row r="3" spans="1:7" x14ac:dyDescent="0.25">
      <c r="A3" t="s">
        <v>115</v>
      </c>
      <c r="B3">
        <v>7</v>
      </c>
      <c r="C3" t="s">
        <v>116</v>
      </c>
      <c r="E3" t="s">
        <v>125</v>
      </c>
    </row>
    <row r="4" spans="1:7" x14ac:dyDescent="0.25">
      <c r="A4" t="s">
        <v>117</v>
      </c>
      <c r="B4">
        <v>7</v>
      </c>
      <c r="C4" t="s">
        <v>135</v>
      </c>
      <c r="E4" t="s">
        <v>126</v>
      </c>
    </row>
    <row r="5" spans="1:7" x14ac:dyDescent="0.25">
      <c r="A5" t="s">
        <v>118</v>
      </c>
      <c r="B5">
        <v>7</v>
      </c>
      <c r="C5" t="s">
        <v>131</v>
      </c>
      <c r="E5" t="s">
        <v>127</v>
      </c>
    </row>
    <row r="6" spans="1:7" x14ac:dyDescent="0.25">
      <c r="A6" t="s">
        <v>119</v>
      </c>
      <c r="B6">
        <v>7</v>
      </c>
      <c r="C6" t="s">
        <v>136</v>
      </c>
      <c r="E6" t="s">
        <v>128</v>
      </c>
      <c r="G6" t="s">
        <v>134</v>
      </c>
    </row>
    <row r="7" spans="1:7" x14ac:dyDescent="0.25">
      <c r="A7" t="s">
        <v>120</v>
      </c>
      <c r="B7">
        <v>7</v>
      </c>
      <c r="C7" t="s">
        <v>132</v>
      </c>
      <c r="E7" t="s">
        <v>120</v>
      </c>
    </row>
    <row r="8" spans="1:7" x14ac:dyDescent="0.25">
      <c r="A8" t="s">
        <v>121</v>
      </c>
      <c r="B8">
        <v>7</v>
      </c>
      <c r="C8" t="s">
        <v>133</v>
      </c>
      <c r="E8" t="s">
        <v>130</v>
      </c>
    </row>
    <row r="9" spans="1:7" x14ac:dyDescent="0.25">
      <c r="A9" t="s">
        <v>124</v>
      </c>
      <c r="B9">
        <v>7</v>
      </c>
      <c r="C9" t="s">
        <v>137</v>
      </c>
      <c r="E9" t="s">
        <v>129</v>
      </c>
    </row>
    <row r="10" spans="1:7" x14ac:dyDescent="0.25">
      <c r="A10" t="s">
        <v>122</v>
      </c>
      <c r="B10">
        <v>7</v>
      </c>
      <c r="C10" t="s">
        <v>138</v>
      </c>
      <c r="E10" t="s">
        <v>139</v>
      </c>
      <c r="G10" t="s">
        <v>141</v>
      </c>
    </row>
    <row r="11" spans="1:7" x14ac:dyDescent="0.25">
      <c r="A11" t="s">
        <v>123</v>
      </c>
      <c r="B11">
        <v>7</v>
      </c>
      <c r="C11" t="s">
        <v>138</v>
      </c>
      <c r="E11" t="s">
        <v>129</v>
      </c>
      <c r="G11" t="s">
        <v>140</v>
      </c>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648A-7490-4AF9-84CB-BFB75BCBD10D}">
  <dimension ref="A1:H4"/>
  <sheetViews>
    <sheetView workbookViewId="0">
      <selection activeCell="C23" sqref="C23"/>
    </sheetView>
  </sheetViews>
  <sheetFormatPr defaultRowHeight="15" x14ac:dyDescent="0.25"/>
  <cols>
    <col min="1" max="1" width="15.5703125" customWidth="1"/>
    <col min="2" max="2" width="20.85546875" bestFit="1" customWidth="1"/>
    <col min="3" max="3" width="8.140625" bestFit="1" customWidth="1"/>
    <col min="4" max="4" width="11" bestFit="1" customWidth="1"/>
    <col min="5" max="5" width="10.5703125" bestFit="1" customWidth="1"/>
    <col min="6" max="6" width="24.42578125" bestFit="1" customWidth="1"/>
    <col min="7" max="7" width="12.140625" bestFit="1" customWidth="1"/>
    <col min="8" max="8" width="39.7109375" customWidth="1"/>
  </cols>
  <sheetData>
    <row r="1" spans="1:8" x14ac:dyDescent="0.25">
      <c r="A1" s="1" t="s">
        <v>0</v>
      </c>
      <c r="B1" s="1" t="s">
        <v>1</v>
      </c>
      <c r="C1" s="1" t="s">
        <v>81</v>
      </c>
      <c r="D1" s="1" t="s">
        <v>2</v>
      </c>
      <c r="E1" s="8" t="s">
        <v>187</v>
      </c>
      <c r="F1" s="1" t="s">
        <v>22</v>
      </c>
      <c r="G1" s="1" t="s">
        <v>3</v>
      </c>
      <c r="H1" s="1" t="s">
        <v>4</v>
      </c>
    </row>
    <row r="2" spans="1:8" x14ac:dyDescent="0.25">
      <c r="A2" t="s">
        <v>184</v>
      </c>
      <c r="B2">
        <v>9</v>
      </c>
      <c r="C2" t="s">
        <v>185</v>
      </c>
      <c r="D2" t="s">
        <v>186</v>
      </c>
      <c r="E2" t="s">
        <v>188</v>
      </c>
      <c r="F2" t="str">
        <f>D2 &amp; " " &amp; E2 &amp; " kg/m3"</f>
        <v>Polymer 1080 - 1150 kg/m3</v>
      </c>
      <c r="H2" t="s">
        <v>192</v>
      </c>
    </row>
    <row r="3" spans="1:8" x14ac:dyDescent="0.25">
      <c r="A3" t="s">
        <v>189</v>
      </c>
      <c r="B3">
        <v>9</v>
      </c>
      <c r="C3" t="s">
        <v>185</v>
      </c>
      <c r="D3" t="s">
        <v>191</v>
      </c>
      <c r="E3">
        <v>1250</v>
      </c>
      <c r="F3" t="str">
        <f t="shared" ref="F3:F4" si="0">D3 &amp; " " &amp; E3 &amp; " kg/m3"</f>
        <v>CaCl2 Brine 1250 kg/m3</v>
      </c>
    </row>
    <row r="4" spans="1:8" x14ac:dyDescent="0.25">
      <c r="A4" t="s">
        <v>190</v>
      </c>
      <c r="B4">
        <v>9</v>
      </c>
      <c r="C4" t="s">
        <v>185</v>
      </c>
      <c r="D4" t="s">
        <v>191</v>
      </c>
      <c r="E4">
        <v>1250</v>
      </c>
      <c r="F4" t="str">
        <f t="shared" si="0"/>
        <v>CaCl2 Brine 1250 kg/m3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30CE2-B78D-4CF6-8E7F-5FB24BDFB9C5}">
  <dimension ref="A1:G16"/>
  <sheetViews>
    <sheetView workbookViewId="0">
      <selection activeCell="G15" sqref="G15"/>
    </sheetView>
  </sheetViews>
  <sheetFormatPr defaultRowHeight="15" x14ac:dyDescent="0.25"/>
  <cols>
    <col min="1" max="1" width="16.85546875" bestFit="1" customWidth="1"/>
    <col min="2" max="2" width="20.85546875" bestFit="1" customWidth="1"/>
    <col min="4" max="4" width="11.28515625" customWidth="1"/>
    <col min="5" max="5" width="14.140625" bestFit="1" customWidth="1"/>
    <col min="6" max="6" width="12.140625" bestFit="1" customWidth="1"/>
    <col min="7" max="7" width="24.28515625" bestFit="1" customWidth="1"/>
  </cols>
  <sheetData>
    <row r="1" spans="1:7" x14ac:dyDescent="0.25">
      <c r="A1" s="1" t="s">
        <v>0</v>
      </c>
      <c r="B1" s="1" t="s">
        <v>1</v>
      </c>
      <c r="C1" s="1" t="s">
        <v>81</v>
      </c>
      <c r="D1" s="1" t="s">
        <v>2</v>
      </c>
      <c r="E1" s="1" t="s">
        <v>22</v>
      </c>
      <c r="F1" s="1" t="s">
        <v>3</v>
      </c>
      <c r="G1" s="1" t="s">
        <v>4</v>
      </c>
    </row>
    <row r="2" spans="1:7" x14ac:dyDescent="0.25">
      <c r="A2" t="s">
        <v>142</v>
      </c>
      <c r="B2">
        <v>6</v>
      </c>
      <c r="C2">
        <v>1</v>
      </c>
      <c r="D2" t="s">
        <v>80</v>
      </c>
      <c r="E2" t="s">
        <v>108</v>
      </c>
    </row>
    <row r="3" spans="1:7" x14ac:dyDescent="0.25">
      <c r="A3" t="s">
        <v>145</v>
      </c>
      <c r="B3">
        <v>6</v>
      </c>
      <c r="C3">
        <v>2</v>
      </c>
      <c r="E3">
        <v>615</v>
      </c>
    </row>
    <row r="4" spans="1:7" x14ac:dyDescent="0.25">
      <c r="A4" t="s">
        <v>146</v>
      </c>
      <c r="B4">
        <v>6</v>
      </c>
      <c r="C4">
        <v>3</v>
      </c>
      <c r="E4">
        <v>169</v>
      </c>
    </row>
    <row r="5" spans="1:7" x14ac:dyDescent="0.25">
      <c r="A5" t="s">
        <v>86</v>
      </c>
      <c r="B5">
        <v>6</v>
      </c>
      <c r="C5">
        <v>4</v>
      </c>
      <c r="E5">
        <v>615</v>
      </c>
    </row>
    <row r="6" spans="1:7" x14ac:dyDescent="0.25">
      <c r="A6" t="s">
        <v>147</v>
      </c>
      <c r="B6">
        <v>6</v>
      </c>
      <c r="C6">
        <v>5</v>
      </c>
    </row>
    <row r="7" spans="1:7" x14ac:dyDescent="0.25">
      <c r="A7" t="s">
        <v>142</v>
      </c>
      <c r="B7">
        <v>6</v>
      </c>
      <c r="C7">
        <v>1</v>
      </c>
      <c r="D7" t="s">
        <v>80</v>
      </c>
      <c r="E7" t="s">
        <v>144</v>
      </c>
      <c r="G7" t="s">
        <v>143</v>
      </c>
    </row>
    <row r="8" spans="1:7" x14ac:dyDescent="0.25">
      <c r="A8" t="s">
        <v>145</v>
      </c>
      <c r="B8">
        <v>6</v>
      </c>
      <c r="C8">
        <v>2</v>
      </c>
      <c r="E8">
        <v>2556</v>
      </c>
    </row>
    <row r="9" spans="1:7" x14ac:dyDescent="0.25">
      <c r="A9" t="s">
        <v>146</v>
      </c>
      <c r="B9">
        <v>6</v>
      </c>
      <c r="C9">
        <v>3</v>
      </c>
      <c r="E9">
        <v>-1756</v>
      </c>
    </row>
    <row r="10" spans="1:7" x14ac:dyDescent="0.25">
      <c r="A10" t="s">
        <v>86</v>
      </c>
      <c r="B10">
        <v>6</v>
      </c>
      <c r="C10">
        <v>4</v>
      </c>
      <c r="E10">
        <v>2540</v>
      </c>
    </row>
    <row r="11" spans="1:7" x14ac:dyDescent="0.25">
      <c r="A11" t="s">
        <v>147</v>
      </c>
      <c r="B11">
        <v>6</v>
      </c>
      <c r="C11">
        <v>5</v>
      </c>
    </row>
    <row r="12" spans="1:7" x14ac:dyDescent="0.25">
      <c r="A12" t="s">
        <v>142</v>
      </c>
      <c r="B12">
        <v>6</v>
      </c>
      <c r="C12">
        <v>1</v>
      </c>
      <c r="D12" t="s">
        <v>80</v>
      </c>
      <c r="E12" t="s">
        <v>227</v>
      </c>
    </row>
    <row r="13" spans="1:7" x14ac:dyDescent="0.25">
      <c r="A13" t="s">
        <v>145</v>
      </c>
      <c r="B13">
        <v>6</v>
      </c>
      <c r="C13">
        <v>2</v>
      </c>
      <c r="E13">
        <v>5771</v>
      </c>
    </row>
    <row r="14" spans="1:7" x14ac:dyDescent="0.25">
      <c r="A14" t="s">
        <v>146</v>
      </c>
      <c r="B14">
        <v>6</v>
      </c>
      <c r="C14">
        <v>3</v>
      </c>
      <c r="E14">
        <v>-1853</v>
      </c>
    </row>
    <row r="15" spans="1:7" x14ac:dyDescent="0.25">
      <c r="A15" t="s">
        <v>86</v>
      </c>
      <c r="B15">
        <v>6</v>
      </c>
      <c r="C15">
        <v>4</v>
      </c>
      <c r="E15">
        <v>2637</v>
      </c>
    </row>
    <row r="16" spans="1:7" x14ac:dyDescent="0.25">
      <c r="A16" t="s">
        <v>147</v>
      </c>
      <c r="B16">
        <v>6</v>
      </c>
      <c r="C16">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F298E-CF14-4533-969A-3132A6D4D4DA}">
  <dimension ref="A1:G1"/>
  <sheetViews>
    <sheetView workbookViewId="0">
      <selection activeCell="G18" sqref="G18"/>
    </sheetView>
  </sheetViews>
  <sheetFormatPr defaultRowHeight="15" x14ac:dyDescent="0.25"/>
  <sheetData>
    <row r="1" spans="1:7" x14ac:dyDescent="0.25">
      <c r="A1" s="1" t="s">
        <v>0</v>
      </c>
      <c r="B1" s="1" t="s">
        <v>1</v>
      </c>
      <c r="C1" s="1" t="s">
        <v>81</v>
      </c>
      <c r="D1" s="1" t="s">
        <v>2</v>
      </c>
      <c r="E1" s="1" t="s">
        <v>22</v>
      </c>
      <c r="F1" s="1" t="s">
        <v>3</v>
      </c>
      <c r="G1" s="1" t="s">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21686-0BA4-4321-8E48-E747D9B5E95B}">
  <dimension ref="A1:G12"/>
  <sheetViews>
    <sheetView workbookViewId="0">
      <selection activeCell="G12" sqref="G12"/>
    </sheetView>
  </sheetViews>
  <sheetFormatPr defaultRowHeight="15" x14ac:dyDescent="0.25"/>
  <cols>
    <col min="1" max="1" width="29.28515625" bestFit="1" customWidth="1"/>
    <col min="2" max="2" width="20.85546875" bestFit="1" customWidth="1"/>
    <col min="3" max="3" width="20.85546875" customWidth="1"/>
    <col min="4" max="4" width="23.28515625" bestFit="1" customWidth="1"/>
    <col min="5" max="5" width="14.7109375" customWidth="1"/>
    <col min="6" max="6" width="12.140625" bestFit="1" customWidth="1"/>
    <col min="7" max="7" width="30" bestFit="1" customWidth="1"/>
  </cols>
  <sheetData>
    <row r="1" spans="1:7" x14ac:dyDescent="0.25">
      <c r="A1" s="1" t="s">
        <v>0</v>
      </c>
      <c r="B1" s="1" t="s">
        <v>1</v>
      </c>
      <c r="C1" s="1" t="s">
        <v>81</v>
      </c>
      <c r="D1" s="1" t="s">
        <v>2</v>
      </c>
      <c r="E1" s="1" t="s">
        <v>22</v>
      </c>
      <c r="F1" s="1" t="s">
        <v>3</v>
      </c>
      <c r="G1" s="1" t="s">
        <v>4</v>
      </c>
    </row>
    <row r="2" spans="1:7" x14ac:dyDescent="0.25">
      <c r="A2" t="s">
        <v>79</v>
      </c>
      <c r="B2">
        <v>6</v>
      </c>
      <c r="C2">
        <v>1</v>
      </c>
      <c r="D2" t="s">
        <v>82</v>
      </c>
      <c r="E2" t="s">
        <v>83</v>
      </c>
    </row>
    <row r="3" spans="1:7" x14ac:dyDescent="0.25">
      <c r="A3" t="s">
        <v>84</v>
      </c>
      <c r="C3">
        <v>2</v>
      </c>
      <c r="D3" t="s">
        <v>85</v>
      </c>
      <c r="E3">
        <v>943</v>
      </c>
    </row>
    <row r="4" spans="1:7" x14ac:dyDescent="0.25">
      <c r="A4" t="s">
        <v>146</v>
      </c>
      <c r="C4">
        <v>3</v>
      </c>
      <c r="D4" t="s">
        <v>148</v>
      </c>
    </row>
    <row r="5" spans="1:7" x14ac:dyDescent="0.25">
      <c r="A5" t="s">
        <v>86</v>
      </c>
      <c r="C5">
        <v>4</v>
      </c>
      <c r="D5" t="s">
        <v>87</v>
      </c>
      <c r="E5">
        <v>942</v>
      </c>
    </row>
    <row r="6" spans="1:7" x14ac:dyDescent="0.25">
      <c r="A6" t="s">
        <v>88</v>
      </c>
      <c r="C6">
        <v>5</v>
      </c>
      <c r="D6" t="s">
        <v>89</v>
      </c>
      <c r="E6">
        <v>9234</v>
      </c>
    </row>
    <row r="7" spans="1:7" x14ac:dyDescent="0.25">
      <c r="A7" t="s">
        <v>90</v>
      </c>
      <c r="C7">
        <v>6</v>
      </c>
      <c r="D7" t="s">
        <v>91</v>
      </c>
      <c r="E7">
        <v>9.8000000000000007</v>
      </c>
    </row>
    <row r="8" spans="1:7" x14ac:dyDescent="0.25">
      <c r="A8" t="s">
        <v>92</v>
      </c>
      <c r="C8">
        <v>7</v>
      </c>
      <c r="D8" t="s">
        <v>94</v>
      </c>
      <c r="E8">
        <v>999</v>
      </c>
    </row>
    <row r="9" spans="1:7" x14ac:dyDescent="0.25">
      <c r="A9" t="s">
        <v>93</v>
      </c>
      <c r="C9">
        <v>8</v>
      </c>
      <c r="D9" t="s">
        <v>95</v>
      </c>
      <c r="E9">
        <v>1000</v>
      </c>
    </row>
    <row r="10" spans="1:7" x14ac:dyDescent="0.25">
      <c r="A10" t="s">
        <v>96</v>
      </c>
      <c r="C10">
        <v>9</v>
      </c>
      <c r="D10" t="s">
        <v>97</v>
      </c>
      <c r="E10" t="s">
        <v>98</v>
      </c>
      <c r="G10" t="s">
        <v>101</v>
      </c>
    </row>
    <row r="11" spans="1:7" x14ac:dyDescent="0.25">
      <c r="A11" t="s">
        <v>100</v>
      </c>
      <c r="G11" t="s">
        <v>102</v>
      </c>
    </row>
    <row r="12" spans="1:7" x14ac:dyDescent="0.25">
      <c r="A12" t="s">
        <v>99</v>
      </c>
      <c r="G12" t="s">
        <v>102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C55F4-7519-4AEB-8AE3-F9996FE25C43}">
  <dimension ref="A1:G1"/>
  <sheetViews>
    <sheetView workbookViewId="0">
      <selection activeCell="G8" sqref="G8"/>
    </sheetView>
  </sheetViews>
  <sheetFormatPr defaultRowHeight="15" x14ac:dyDescent="0.25"/>
  <sheetData>
    <row r="1" spans="1:7" x14ac:dyDescent="0.25">
      <c r="A1" s="1" t="s">
        <v>0</v>
      </c>
      <c r="B1" s="1" t="s">
        <v>1</v>
      </c>
      <c r="C1" s="1" t="s">
        <v>81</v>
      </c>
      <c r="D1" s="1" t="s">
        <v>2</v>
      </c>
      <c r="E1" s="1" t="s">
        <v>22</v>
      </c>
      <c r="F1" s="1" t="s">
        <v>3</v>
      </c>
      <c r="G1" s="1" t="s">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6333B-B7DC-45D1-B0EE-6DFB9D34A7A7}">
  <dimension ref="A1:F3"/>
  <sheetViews>
    <sheetView workbookViewId="0">
      <selection activeCell="K13" sqref="K13"/>
    </sheetView>
  </sheetViews>
  <sheetFormatPr defaultRowHeight="15" x14ac:dyDescent="0.25"/>
  <cols>
    <col min="1" max="1" width="12.42578125" customWidth="1"/>
    <col min="2" max="2" width="20.5703125" customWidth="1"/>
    <col min="3" max="3" width="11.7109375" customWidth="1"/>
    <col min="4" max="4" width="12.7109375" customWidth="1"/>
    <col min="5" max="5" width="19.42578125" customWidth="1"/>
  </cols>
  <sheetData>
    <row r="1" spans="1:6" x14ac:dyDescent="0.25">
      <c r="A1" s="1" t="s">
        <v>0</v>
      </c>
      <c r="B1" s="1" t="s">
        <v>1</v>
      </c>
      <c r="C1" s="1" t="s">
        <v>2</v>
      </c>
      <c r="D1" s="1" t="s">
        <v>22</v>
      </c>
      <c r="E1" s="1" t="s">
        <v>3</v>
      </c>
      <c r="F1" s="1" t="s">
        <v>4</v>
      </c>
    </row>
    <row r="2" spans="1:6" x14ac:dyDescent="0.25">
      <c r="A2" t="s">
        <v>7</v>
      </c>
    </row>
    <row r="3" spans="1:6" x14ac:dyDescent="0.25">
      <c r="A3" t="s">
        <v>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E37E1-D6D2-4385-B5B9-FBF0BBBB4E9B}">
  <dimension ref="A1:F21"/>
  <sheetViews>
    <sheetView workbookViewId="0">
      <selection activeCell="D22" sqref="D22"/>
    </sheetView>
  </sheetViews>
  <sheetFormatPr defaultRowHeight="15" x14ac:dyDescent="0.25"/>
  <cols>
    <col min="1" max="1" width="21.7109375" bestFit="1" customWidth="1"/>
    <col min="2" max="2" width="20.28515625" bestFit="1" customWidth="1"/>
    <col min="3" max="3" width="13.7109375" customWidth="1"/>
    <col min="5" max="5" width="12" bestFit="1" customWidth="1"/>
    <col min="6" max="6" width="10.42578125" bestFit="1" customWidth="1"/>
  </cols>
  <sheetData>
    <row r="1" spans="1:6" x14ac:dyDescent="0.25">
      <c r="A1" s="1" t="s">
        <v>0</v>
      </c>
      <c r="B1" s="1" t="s">
        <v>1</v>
      </c>
      <c r="C1" s="1" t="s">
        <v>2</v>
      </c>
      <c r="D1" s="1" t="s">
        <v>22</v>
      </c>
      <c r="E1" s="1" t="s">
        <v>3</v>
      </c>
      <c r="F1" s="1" t="s">
        <v>4</v>
      </c>
    </row>
    <row r="2" spans="1:6" x14ac:dyDescent="0.25">
      <c r="A2" t="s">
        <v>5</v>
      </c>
      <c r="B2">
        <v>6</v>
      </c>
      <c r="C2" t="s">
        <v>150</v>
      </c>
      <c r="D2">
        <v>0</v>
      </c>
    </row>
    <row r="3" spans="1:6" x14ac:dyDescent="0.25">
      <c r="A3" t="s">
        <v>6</v>
      </c>
      <c r="B3">
        <v>6</v>
      </c>
      <c r="C3" t="s">
        <v>150</v>
      </c>
      <c r="D3">
        <v>615</v>
      </c>
    </row>
    <row r="4" spans="1:6" x14ac:dyDescent="0.25">
      <c r="A4" t="s">
        <v>7</v>
      </c>
      <c r="B4">
        <v>7</v>
      </c>
      <c r="C4" t="s">
        <v>150</v>
      </c>
      <c r="D4">
        <v>311</v>
      </c>
    </row>
    <row r="5" spans="1:6" x14ac:dyDescent="0.25">
      <c r="A5" t="s">
        <v>8</v>
      </c>
      <c r="B5">
        <v>6</v>
      </c>
      <c r="C5" t="s">
        <v>150</v>
      </c>
      <c r="D5">
        <v>0</v>
      </c>
    </row>
    <row r="6" spans="1:6" x14ac:dyDescent="0.25">
      <c r="A6" t="s">
        <v>9</v>
      </c>
      <c r="B6">
        <v>6</v>
      </c>
      <c r="C6" t="s">
        <v>150</v>
      </c>
      <c r="D6">
        <v>615</v>
      </c>
    </row>
    <row r="7" spans="1:6" x14ac:dyDescent="0.25">
      <c r="A7" t="s">
        <v>5</v>
      </c>
      <c r="B7">
        <v>6</v>
      </c>
      <c r="C7" t="s">
        <v>154</v>
      </c>
      <c r="D7">
        <v>615</v>
      </c>
    </row>
    <row r="8" spans="1:6" x14ac:dyDescent="0.25">
      <c r="A8" t="s">
        <v>6</v>
      </c>
      <c r="B8">
        <v>6</v>
      </c>
      <c r="C8" t="s">
        <v>154</v>
      </c>
      <c r="D8">
        <v>2556</v>
      </c>
    </row>
    <row r="9" spans="1:6" x14ac:dyDescent="0.25">
      <c r="A9" t="s">
        <v>7</v>
      </c>
      <c r="B9">
        <v>7</v>
      </c>
      <c r="C9" t="s">
        <v>154</v>
      </c>
      <c r="D9">
        <v>222</v>
      </c>
    </row>
    <row r="10" spans="1:6" x14ac:dyDescent="0.25">
      <c r="A10" t="s">
        <v>8</v>
      </c>
      <c r="B10">
        <v>6</v>
      </c>
      <c r="C10" t="s">
        <v>154</v>
      </c>
      <c r="D10">
        <v>615</v>
      </c>
    </row>
    <row r="11" spans="1:6" x14ac:dyDescent="0.25">
      <c r="A11" t="s">
        <v>9</v>
      </c>
      <c r="B11">
        <v>6</v>
      </c>
      <c r="C11" t="s">
        <v>154</v>
      </c>
      <c r="D11">
        <v>2540</v>
      </c>
    </row>
    <row r="12" spans="1:6" x14ac:dyDescent="0.25">
      <c r="A12" t="s">
        <v>5</v>
      </c>
      <c r="B12">
        <v>6</v>
      </c>
      <c r="C12" t="s">
        <v>157</v>
      </c>
      <c r="D12">
        <v>2556</v>
      </c>
    </row>
    <row r="13" spans="1:6" x14ac:dyDescent="0.25">
      <c r="A13" t="s">
        <v>6</v>
      </c>
      <c r="B13">
        <v>6</v>
      </c>
      <c r="C13" t="s">
        <v>157</v>
      </c>
      <c r="D13">
        <v>2940</v>
      </c>
    </row>
    <row r="14" spans="1:6" x14ac:dyDescent="0.25">
      <c r="A14" t="s">
        <v>7</v>
      </c>
      <c r="B14">
        <v>7</v>
      </c>
      <c r="C14" t="s">
        <v>157</v>
      </c>
      <c r="D14">
        <v>171</v>
      </c>
    </row>
    <row r="15" spans="1:6" x14ac:dyDescent="0.25">
      <c r="A15" t="s">
        <v>8</v>
      </c>
      <c r="B15">
        <v>6</v>
      </c>
      <c r="C15" t="s">
        <v>157</v>
      </c>
      <c r="D15">
        <v>2540</v>
      </c>
    </row>
    <row r="16" spans="1:6" x14ac:dyDescent="0.25">
      <c r="A16" t="s">
        <v>9</v>
      </c>
      <c r="B16">
        <v>6</v>
      </c>
      <c r="C16" t="s">
        <v>157</v>
      </c>
      <c r="D16">
        <v>2687</v>
      </c>
    </row>
    <row r="17" spans="1:4" x14ac:dyDescent="0.25">
      <c r="A17" t="s">
        <v>5</v>
      </c>
      <c r="B17">
        <v>6</v>
      </c>
      <c r="C17" t="s">
        <v>157</v>
      </c>
      <c r="D17">
        <v>2940</v>
      </c>
    </row>
    <row r="18" spans="1:4" x14ac:dyDescent="0.25">
      <c r="A18" t="s">
        <v>6</v>
      </c>
      <c r="B18">
        <v>6</v>
      </c>
      <c r="C18" t="s">
        <v>157</v>
      </c>
      <c r="D18">
        <v>5771</v>
      </c>
    </row>
    <row r="19" spans="1:4" x14ac:dyDescent="0.25">
      <c r="A19" t="s">
        <v>7</v>
      </c>
      <c r="B19">
        <v>7</v>
      </c>
      <c r="C19" t="s">
        <v>157</v>
      </c>
      <c r="D19">
        <v>159</v>
      </c>
    </row>
    <row r="20" spans="1:4" x14ac:dyDescent="0.25">
      <c r="A20" t="s">
        <v>8</v>
      </c>
      <c r="B20">
        <v>6</v>
      </c>
      <c r="C20" t="s">
        <v>157</v>
      </c>
      <c r="D20">
        <v>2540</v>
      </c>
    </row>
    <row r="21" spans="1:4" x14ac:dyDescent="0.25">
      <c r="A21" t="s">
        <v>9</v>
      </c>
      <c r="B21">
        <v>6</v>
      </c>
      <c r="C21" t="s">
        <v>157</v>
      </c>
      <c r="D21">
        <v>2637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AD631-01B9-4257-8B04-94EFA1063B0D}">
  <dimension ref="A1:F3"/>
  <sheetViews>
    <sheetView workbookViewId="0">
      <selection activeCell="G22" sqref="G22"/>
    </sheetView>
  </sheetViews>
  <sheetFormatPr defaultRowHeight="15" x14ac:dyDescent="0.25"/>
  <cols>
    <col min="1" max="1" width="11.140625" bestFit="1" customWidth="1"/>
    <col min="2" max="2" width="20.85546875" bestFit="1" customWidth="1"/>
  </cols>
  <sheetData>
    <row r="1" spans="1:6" x14ac:dyDescent="0.25">
      <c r="A1" s="1" t="s">
        <v>0</v>
      </c>
      <c r="B1" s="1" t="s">
        <v>1</v>
      </c>
      <c r="C1" s="1" t="s">
        <v>2</v>
      </c>
      <c r="D1" s="1" t="s">
        <v>22</v>
      </c>
      <c r="E1" s="1" t="s">
        <v>3</v>
      </c>
      <c r="F1" s="1" t="s">
        <v>4</v>
      </c>
    </row>
    <row r="2" spans="1:6" x14ac:dyDescent="0.25">
      <c r="A2" t="s">
        <v>7</v>
      </c>
    </row>
    <row r="3" spans="1:6" x14ac:dyDescent="0.25">
      <c r="A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Details of Data Entry</vt:lpstr>
      <vt:lpstr>ProgramRequest</vt:lpstr>
      <vt:lpstr>RigSetting</vt:lpstr>
      <vt:lpstr>CasingPipe</vt:lpstr>
      <vt:lpstr>CasingString</vt:lpstr>
      <vt:lpstr>Centralizer</vt:lpstr>
      <vt:lpstr>BHA</vt:lpstr>
      <vt:lpstr>Mud</vt:lpstr>
      <vt:lpstr>WellConfiguration</vt:lpstr>
      <vt:lpstr>WellLog</vt:lpstr>
      <vt:lpstr>Formation</vt:lpstr>
      <vt:lpstr>DepthInfo</vt:lpstr>
      <vt:lpstr>Tubing</vt:lpstr>
      <vt:lpstr>Open Hole</vt:lpstr>
      <vt:lpstr>Drill Pipe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Wang</dc:creator>
  <cp:lastModifiedBy>Jason Schneider</cp:lastModifiedBy>
  <dcterms:created xsi:type="dcterms:W3CDTF">2025-11-26T17:50:14Z</dcterms:created>
  <dcterms:modified xsi:type="dcterms:W3CDTF">2025-12-19T22:41:25Z</dcterms:modified>
</cp:coreProperties>
</file>