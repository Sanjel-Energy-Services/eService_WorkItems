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 Metashare SVN\SanjelDocuments\Requirements\Phase 20\"/>
    </mc:Choice>
  </mc:AlternateContent>
  <xr:revisionPtr revIDLastSave="0" documentId="8_{8F06C03C-855E-41C7-BB67-649F44C3D5D4}" xr6:coauthVersionLast="45" xr6:coauthVersionMax="45" xr10:uidLastSave="{00000000-0000-0000-0000-000000000000}"/>
  <bookViews>
    <workbookView xWindow="-120" yWindow="-120" windowWidth="25440" windowHeight="15390" tabRatio="944" xr2:uid="{00000000-000D-0000-FFFF-FFFF00000000}"/>
  </bookViews>
  <sheets>
    <sheet name="Bulk Plant Input" sheetId="6" r:id="rId1"/>
    <sheet name="Blends" sheetId="39" state="veryHidden" r:id="rId2"/>
    <sheet name="Blend Assembly" sheetId="36" state="veryHidden" r:id="rId3"/>
    <sheet name="Silo Sizes" sheetId="32" state="veryHidden" r:id="rId4"/>
    <sheet name="Bulk Plant Loading" sheetId="7" r:id="rId5"/>
    <sheet name="Bulk Plant Batch Loading" sheetId="33" state="veryHidden" r:id="rId6"/>
    <sheet name="MTS Sheet" sheetId="35" state="veryHidden" r:id="rId7"/>
    <sheet name="Management Sheet" sheetId="34" state="hidden" r:id="rId8"/>
    <sheet name="Max Add &amp; Blend Densities" sheetId="31" state="veryHidden" r:id="rId9"/>
    <sheet name="BLEND INCOMPATIBILITIES" sheetId="9" state="hidden" r:id="rId10"/>
    <sheet name="ADDITIVE INCOMPATIBILITIES" sheetId="10" state="hidden" r:id="rId11"/>
    <sheet name="ADDITIVE NAME CROSS-REFERENCE" sheetId="12" r:id="rId12"/>
    <sheet name="Job Type Mapping" sheetId="40" state="hidden" r:id="rId13"/>
    <sheet name="Update Tracker" sheetId="37" state="veryHidden" r:id="rId14"/>
    <sheet name="Client List (AX) - 161208" sheetId="38" state="veryHidden" r:id="rId15"/>
    <sheet name="Bulk Plant Version Changes" sheetId="30" state="veryHidden" r:id="rId16"/>
    <sheet name="Base Blend Compatibility Test" sheetId="8" state="veryHidden" r:id="rId17"/>
    <sheet name="SPECIFIC GRAVITIES" sheetId="3" state="veryHidden" r:id="rId18"/>
    <sheet name="Sheet1" sheetId="41" r:id="rId19"/>
    <sheet name="Blend Prop (For Template)" sheetId="1" state="veryHidden" r:id="rId20"/>
    <sheet name="Base Blend Property Calculation" sheetId="2" state="veryHidden" r:id="rId21"/>
  </sheets>
  <definedNames>
    <definedName name="_xlnm._FilterDatabase" localSheetId="20" hidden="1">'Base Blend Property Calculation'!$A$7:$BV$7</definedName>
    <definedName name="_xlnm._FilterDatabase" localSheetId="17" hidden="1">'SPECIFIC GRAVITIES'!$L$4:$M$4</definedName>
    <definedName name="BagSize">'Silo Sizes'!$C$2:$C$7</definedName>
    <definedName name="Client_List">'Client List (AX) - 161208'!$B$2:$B$410</definedName>
    <definedName name="_xlnm.Print_Area" localSheetId="10">'ADDITIVE INCOMPATIBILITIES'!$A$1:$E$18</definedName>
    <definedName name="_xlnm.Print_Area" localSheetId="5">'Bulk Plant Batch Loading'!$A$1:$K$423</definedName>
    <definedName name="_xlnm.Print_Area" localSheetId="4">'Bulk Plant Loading'!$A$1:$K$101</definedName>
    <definedName name="_xlnm.Print_Area" localSheetId="6">'MTS Sheet'!$A$1:$H$202</definedName>
    <definedName name="SiloSize">'Silo Sizes'!$E$2:$G$9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9" i="6" l="1"/>
  <c r="F30" i="6"/>
  <c r="F31" i="6"/>
  <c r="F32" i="6"/>
  <c r="F33" i="6"/>
  <c r="F34" i="6"/>
  <c r="F35" i="6"/>
  <c r="F36" i="6"/>
  <c r="F37" i="6"/>
  <c r="E143" i="31" l="1"/>
  <c r="A141" i="39"/>
  <c r="BO147" i="2"/>
  <c r="BJ147" i="2"/>
  <c r="BS147" i="2"/>
  <c r="A32" i="8" l="1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E127" i="31"/>
  <c r="G127" i="31" s="1"/>
  <c r="H127" i="31" s="1"/>
  <c r="E128" i="31"/>
  <c r="G128" i="31" s="1"/>
  <c r="F128" i="31" s="1"/>
  <c r="E129" i="31"/>
  <c r="G129" i="31" s="1"/>
  <c r="F129" i="31" s="1"/>
  <c r="E130" i="31"/>
  <c r="G130" i="31" s="1"/>
  <c r="H130" i="31" s="1"/>
  <c r="E131" i="31"/>
  <c r="G131" i="31" s="1"/>
  <c r="H131" i="31" s="1"/>
  <c r="E132" i="31"/>
  <c r="G132" i="31" s="1"/>
  <c r="F132" i="31" s="1"/>
  <c r="E133" i="31"/>
  <c r="G133" i="31" s="1"/>
  <c r="F133" i="31" s="1"/>
  <c r="E134" i="31"/>
  <c r="G134" i="31" s="1"/>
  <c r="H134" i="31" s="1"/>
  <c r="E135" i="31"/>
  <c r="G135" i="31" s="1"/>
  <c r="H135" i="31" s="1"/>
  <c r="E136" i="31"/>
  <c r="G136" i="31" s="1"/>
  <c r="F136" i="31" s="1"/>
  <c r="E137" i="31"/>
  <c r="G137" i="31" s="1"/>
  <c r="F137" i="31" s="1"/>
  <c r="E138" i="31"/>
  <c r="G138" i="31" s="1"/>
  <c r="H138" i="31" s="1"/>
  <c r="E139" i="31"/>
  <c r="G139" i="31" s="1"/>
  <c r="H139" i="31" s="1"/>
  <c r="E140" i="31"/>
  <c r="G140" i="31" s="1"/>
  <c r="F140" i="31" s="1"/>
  <c r="E141" i="31"/>
  <c r="G141" i="31" s="1"/>
  <c r="F141" i="31" s="1"/>
  <c r="E142" i="31"/>
  <c r="E126" i="31"/>
  <c r="G126" i="31" s="1"/>
  <c r="H126" i="31" s="1"/>
  <c r="E121" i="31"/>
  <c r="G121" i="31" s="1"/>
  <c r="F121" i="31" s="1"/>
  <c r="E122" i="31"/>
  <c r="G122" i="31" s="1"/>
  <c r="H122" i="31" s="1"/>
  <c r="E123" i="31"/>
  <c r="G123" i="31" s="1"/>
  <c r="H123" i="31" s="1"/>
  <c r="E124" i="31"/>
  <c r="G124" i="31" s="1"/>
  <c r="F124" i="31" s="1"/>
  <c r="E125" i="31"/>
  <c r="G125" i="31" s="1"/>
  <c r="F125" i="31" s="1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82" i="39"/>
  <c r="A83" i="39"/>
  <c r="A84" i="39"/>
  <c r="A85" i="39"/>
  <c r="A86" i="39"/>
  <c r="A87" i="39"/>
  <c r="A88" i="39"/>
  <c r="A89" i="39"/>
  <c r="A90" i="39"/>
  <c r="A91" i="39"/>
  <c r="A92" i="39"/>
  <c r="A93" i="39"/>
  <c r="A94" i="39"/>
  <c r="A95" i="39"/>
  <c r="A96" i="39"/>
  <c r="A97" i="39"/>
  <c r="A98" i="39"/>
  <c r="A99" i="39"/>
  <c r="A100" i="39"/>
  <c r="A101" i="39"/>
  <c r="A102" i="39"/>
  <c r="A103" i="39"/>
  <c r="A104" i="39"/>
  <c r="A105" i="39"/>
  <c r="A106" i="39"/>
  <c r="A107" i="39"/>
  <c r="A108" i="39"/>
  <c r="A109" i="39"/>
  <c r="A110" i="39"/>
  <c r="A111" i="39"/>
  <c r="A112" i="39"/>
  <c r="A113" i="39"/>
  <c r="A114" i="39"/>
  <c r="A115" i="39"/>
  <c r="A116" i="39"/>
  <c r="A117" i="39"/>
  <c r="A118" i="39"/>
  <c r="A119" i="39"/>
  <c r="A120" i="39"/>
  <c r="A121" i="39"/>
  <c r="A122" i="39"/>
  <c r="A123" i="39"/>
  <c r="A124" i="39"/>
  <c r="A125" i="39"/>
  <c r="A126" i="39"/>
  <c r="A127" i="39"/>
  <c r="A128" i="39"/>
  <c r="A129" i="39"/>
  <c r="A130" i="39"/>
  <c r="A131" i="39"/>
  <c r="A132" i="39"/>
  <c r="A133" i="39"/>
  <c r="A134" i="39"/>
  <c r="A135" i="39"/>
  <c r="A136" i="39"/>
  <c r="A137" i="39"/>
  <c r="A138" i="39"/>
  <c r="A139" i="39"/>
  <c r="A140" i="39"/>
  <c r="BO126" i="2"/>
  <c r="BS126" i="2"/>
  <c r="BJ126" i="2"/>
  <c r="F139" i="31" l="1"/>
  <c r="F135" i="31"/>
  <c r="F131" i="31"/>
  <c r="F127" i="31"/>
  <c r="F123" i="31"/>
  <c r="H141" i="31"/>
  <c r="H137" i="31"/>
  <c r="H133" i="31"/>
  <c r="H129" i="31"/>
  <c r="H125" i="31"/>
  <c r="H121" i="31"/>
  <c r="F138" i="31"/>
  <c r="F134" i="31"/>
  <c r="F130" i="31"/>
  <c r="F126" i="31"/>
  <c r="F122" i="31"/>
  <c r="H140" i="31"/>
  <c r="H136" i="31"/>
  <c r="H132" i="31"/>
  <c r="H128" i="31"/>
  <c r="H124" i="3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3" i="8"/>
  <c r="C4" i="8"/>
  <c r="X8" i="8"/>
  <c r="X9" i="8"/>
  <c r="BO146" i="2" l="1"/>
  <c r="BJ146" i="2"/>
  <c r="BS146" i="2"/>
  <c r="K5" i="7" l="1"/>
  <c r="K2" i="7" l="1"/>
  <c r="K4" i="7" s="1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32" i="40"/>
  <c r="D33" i="40"/>
  <c r="D34" i="40"/>
  <c r="D35" i="40"/>
  <c r="D36" i="40"/>
  <c r="D37" i="40"/>
  <c r="D38" i="40"/>
  <c r="D39" i="40"/>
  <c r="D40" i="40"/>
  <c r="D41" i="40"/>
  <c r="D42" i="40"/>
  <c r="D43" i="40"/>
  <c r="D44" i="40"/>
  <c r="D45" i="40"/>
  <c r="D46" i="40"/>
  <c r="D47" i="40"/>
  <c r="D48" i="40"/>
  <c r="D49" i="40"/>
  <c r="D50" i="40"/>
  <c r="D51" i="40"/>
  <c r="D52" i="40"/>
  <c r="D53" i="40"/>
  <c r="D54" i="40"/>
  <c r="D55" i="40"/>
  <c r="D56" i="40"/>
  <c r="D57" i="40"/>
  <c r="D58" i="40"/>
  <c r="D59" i="40"/>
  <c r="D60" i="40"/>
  <c r="D61" i="40"/>
  <c r="D62" i="40"/>
  <c r="D63" i="40"/>
  <c r="D2" i="40"/>
  <c r="K3" i="7" l="1"/>
  <c r="U3" i="8" l="1"/>
  <c r="U6" i="8" s="1"/>
  <c r="B36" i="8" l="1"/>
  <c r="F43" i="8" l="1"/>
  <c r="G43" i="8"/>
  <c r="H43" i="8"/>
  <c r="I43" i="8"/>
  <c r="J43" i="8"/>
  <c r="K43" i="8"/>
  <c r="L43" i="8"/>
  <c r="M43" i="8"/>
  <c r="N43" i="8"/>
  <c r="O43" i="8"/>
  <c r="P43" i="8"/>
  <c r="Q43" i="8"/>
  <c r="R43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F46" i="8"/>
  <c r="G46" i="8"/>
  <c r="H46" i="8"/>
  <c r="I46" i="8"/>
  <c r="J46" i="8"/>
  <c r="K46" i="8"/>
  <c r="L46" i="8"/>
  <c r="M46" i="8"/>
  <c r="N46" i="8"/>
  <c r="O46" i="8"/>
  <c r="P46" i="8"/>
  <c r="Q46" i="8"/>
  <c r="R46" i="8"/>
  <c r="F47" i="8"/>
  <c r="G47" i="8"/>
  <c r="H47" i="8"/>
  <c r="I47" i="8"/>
  <c r="J47" i="8"/>
  <c r="K47" i="8"/>
  <c r="L47" i="8"/>
  <c r="M47" i="8"/>
  <c r="N47" i="8"/>
  <c r="O47" i="8"/>
  <c r="P47" i="8"/>
  <c r="Q47" i="8"/>
  <c r="R47" i="8"/>
  <c r="F48" i="8"/>
  <c r="G48" i="8"/>
  <c r="H48" i="8"/>
  <c r="I48" i="8"/>
  <c r="J48" i="8"/>
  <c r="K48" i="8"/>
  <c r="L48" i="8"/>
  <c r="M48" i="8"/>
  <c r="N48" i="8"/>
  <c r="O48" i="8"/>
  <c r="P48" i="8"/>
  <c r="Q48" i="8"/>
  <c r="R48" i="8"/>
  <c r="F49" i="8"/>
  <c r="G49" i="8"/>
  <c r="H49" i="8"/>
  <c r="I49" i="8"/>
  <c r="J49" i="8"/>
  <c r="K49" i="8"/>
  <c r="L49" i="8"/>
  <c r="M49" i="8"/>
  <c r="N49" i="8"/>
  <c r="O49" i="8"/>
  <c r="P49" i="8"/>
  <c r="Q49" i="8"/>
  <c r="R49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F51" i="8"/>
  <c r="G51" i="8"/>
  <c r="H51" i="8"/>
  <c r="I51" i="8"/>
  <c r="J51" i="8"/>
  <c r="K51" i="8"/>
  <c r="L51" i="8"/>
  <c r="M51" i="8"/>
  <c r="N51" i="8"/>
  <c r="O51" i="8"/>
  <c r="P51" i="8"/>
  <c r="Q51" i="8"/>
  <c r="R51" i="8"/>
  <c r="F52" i="8"/>
  <c r="G52" i="8"/>
  <c r="H52" i="8"/>
  <c r="I52" i="8"/>
  <c r="J52" i="8"/>
  <c r="K52" i="8"/>
  <c r="L52" i="8"/>
  <c r="M52" i="8"/>
  <c r="N52" i="8"/>
  <c r="O52" i="8"/>
  <c r="P52" i="8"/>
  <c r="Q52" i="8"/>
  <c r="R52" i="8"/>
  <c r="F53" i="8"/>
  <c r="G53" i="8"/>
  <c r="H53" i="8"/>
  <c r="I53" i="8"/>
  <c r="J53" i="8"/>
  <c r="K53" i="8"/>
  <c r="L53" i="8"/>
  <c r="M53" i="8"/>
  <c r="N53" i="8"/>
  <c r="O53" i="8"/>
  <c r="P53" i="8"/>
  <c r="Q53" i="8"/>
  <c r="R53" i="8"/>
  <c r="F54" i="8"/>
  <c r="G54" i="8"/>
  <c r="H54" i="8"/>
  <c r="I54" i="8"/>
  <c r="J54" i="8"/>
  <c r="K54" i="8"/>
  <c r="L54" i="8"/>
  <c r="M54" i="8"/>
  <c r="N54" i="8"/>
  <c r="O54" i="8"/>
  <c r="P54" i="8"/>
  <c r="Q54" i="8"/>
  <c r="R54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F56" i="8"/>
  <c r="G56" i="8"/>
  <c r="H56" i="8"/>
  <c r="I56" i="8"/>
  <c r="J56" i="8"/>
  <c r="K56" i="8"/>
  <c r="L56" i="8"/>
  <c r="M56" i="8"/>
  <c r="N56" i="8"/>
  <c r="O56" i="8"/>
  <c r="P56" i="8"/>
  <c r="Q56" i="8"/>
  <c r="R56" i="8"/>
  <c r="F57" i="8"/>
  <c r="G57" i="8"/>
  <c r="H57" i="8"/>
  <c r="I57" i="8"/>
  <c r="J57" i="8"/>
  <c r="K57" i="8"/>
  <c r="L57" i="8"/>
  <c r="M57" i="8"/>
  <c r="N57" i="8"/>
  <c r="O57" i="8"/>
  <c r="P57" i="8"/>
  <c r="Q57" i="8"/>
  <c r="R57" i="8"/>
  <c r="F58" i="8"/>
  <c r="G58" i="8"/>
  <c r="H58" i="8"/>
  <c r="I58" i="8"/>
  <c r="J58" i="8"/>
  <c r="K58" i="8"/>
  <c r="L58" i="8"/>
  <c r="M58" i="8"/>
  <c r="N58" i="8"/>
  <c r="O58" i="8"/>
  <c r="P58" i="8"/>
  <c r="Q58" i="8"/>
  <c r="R58" i="8"/>
  <c r="F59" i="8"/>
  <c r="G59" i="8"/>
  <c r="H59" i="8"/>
  <c r="I59" i="8"/>
  <c r="J59" i="8"/>
  <c r="K59" i="8"/>
  <c r="L59" i="8"/>
  <c r="M59" i="8"/>
  <c r="N59" i="8"/>
  <c r="O59" i="8"/>
  <c r="P59" i="8"/>
  <c r="Q59" i="8"/>
  <c r="R59" i="8"/>
  <c r="F60" i="8"/>
  <c r="G60" i="8"/>
  <c r="H60" i="8"/>
  <c r="I60" i="8"/>
  <c r="J60" i="8"/>
  <c r="K60" i="8"/>
  <c r="L60" i="8"/>
  <c r="M60" i="8"/>
  <c r="N60" i="8"/>
  <c r="O60" i="8"/>
  <c r="P60" i="8"/>
  <c r="Q60" i="8"/>
  <c r="R60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F63" i="8"/>
  <c r="G63" i="8"/>
  <c r="H63" i="8"/>
  <c r="I63" i="8"/>
  <c r="J63" i="8"/>
  <c r="K63" i="8"/>
  <c r="L63" i="8"/>
  <c r="M63" i="8"/>
  <c r="N63" i="8"/>
  <c r="O63" i="8"/>
  <c r="P63" i="8"/>
  <c r="Q63" i="8"/>
  <c r="R63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F70" i="8"/>
  <c r="G70" i="8"/>
  <c r="H70" i="8"/>
  <c r="I70" i="8"/>
  <c r="J70" i="8"/>
  <c r="K70" i="8"/>
  <c r="L70" i="8"/>
  <c r="M70" i="8"/>
  <c r="N70" i="8"/>
  <c r="O70" i="8"/>
  <c r="P70" i="8"/>
  <c r="Q70" i="8"/>
  <c r="R70" i="8"/>
  <c r="F71" i="8"/>
  <c r="G71" i="8"/>
  <c r="H71" i="8"/>
  <c r="I71" i="8"/>
  <c r="J71" i="8"/>
  <c r="K71" i="8"/>
  <c r="L71" i="8"/>
  <c r="M71" i="8"/>
  <c r="N71" i="8"/>
  <c r="O71" i="8"/>
  <c r="P71" i="8"/>
  <c r="Q71" i="8"/>
  <c r="R71" i="8"/>
  <c r="F72" i="8"/>
  <c r="G72" i="8"/>
  <c r="H72" i="8"/>
  <c r="I72" i="8"/>
  <c r="J72" i="8"/>
  <c r="K72" i="8"/>
  <c r="L72" i="8"/>
  <c r="M72" i="8"/>
  <c r="N72" i="8"/>
  <c r="O72" i="8"/>
  <c r="P72" i="8"/>
  <c r="Q72" i="8"/>
  <c r="R72" i="8"/>
  <c r="F73" i="8"/>
  <c r="G73" i="8"/>
  <c r="H73" i="8"/>
  <c r="I73" i="8"/>
  <c r="J73" i="8"/>
  <c r="K73" i="8"/>
  <c r="L73" i="8"/>
  <c r="M73" i="8"/>
  <c r="N73" i="8"/>
  <c r="O73" i="8"/>
  <c r="P73" i="8"/>
  <c r="Q73" i="8"/>
  <c r="R73" i="8"/>
  <c r="F74" i="8"/>
  <c r="G74" i="8"/>
  <c r="H74" i="8"/>
  <c r="I74" i="8"/>
  <c r="J74" i="8"/>
  <c r="K74" i="8"/>
  <c r="L74" i="8"/>
  <c r="M74" i="8"/>
  <c r="N74" i="8"/>
  <c r="O74" i="8"/>
  <c r="P74" i="8"/>
  <c r="Q74" i="8"/>
  <c r="R74" i="8"/>
  <c r="F75" i="8"/>
  <c r="G75" i="8"/>
  <c r="H75" i="8"/>
  <c r="I75" i="8"/>
  <c r="J75" i="8"/>
  <c r="K75" i="8"/>
  <c r="L75" i="8"/>
  <c r="M75" i="8"/>
  <c r="N75" i="8"/>
  <c r="O75" i="8"/>
  <c r="P75" i="8"/>
  <c r="Q75" i="8"/>
  <c r="R75" i="8"/>
  <c r="F76" i="8"/>
  <c r="G76" i="8"/>
  <c r="H76" i="8"/>
  <c r="I76" i="8"/>
  <c r="J76" i="8"/>
  <c r="K76" i="8"/>
  <c r="L76" i="8"/>
  <c r="M76" i="8"/>
  <c r="N76" i="8"/>
  <c r="O76" i="8"/>
  <c r="P76" i="8"/>
  <c r="Q76" i="8"/>
  <c r="R76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F78" i="8"/>
  <c r="G78" i="8"/>
  <c r="H78" i="8"/>
  <c r="I78" i="8"/>
  <c r="J78" i="8"/>
  <c r="K78" i="8"/>
  <c r="L78" i="8"/>
  <c r="M78" i="8"/>
  <c r="N78" i="8"/>
  <c r="O78" i="8"/>
  <c r="P78" i="8"/>
  <c r="Q78" i="8"/>
  <c r="R78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F80" i="8"/>
  <c r="G80" i="8"/>
  <c r="H80" i="8"/>
  <c r="I80" i="8"/>
  <c r="J80" i="8"/>
  <c r="K80" i="8"/>
  <c r="L80" i="8"/>
  <c r="M80" i="8"/>
  <c r="N80" i="8"/>
  <c r="O80" i="8"/>
  <c r="P80" i="8"/>
  <c r="Q80" i="8"/>
  <c r="R80" i="8"/>
  <c r="F81" i="8"/>
  <c r="G81" i="8"/>
  <c r="H81" i="8"/>
  <c r="I81" i="8"/>
  <c r="J81" i="8"/>
  <c r="K81" i="8"/>
  <c r="L81" i="8"/>
  <c r="M81" i="8"/>
  <c r="N81" i="8"/>
  <c r="O81" i="8"/>
  <c r="P81" i="8"/>
  <c r="Q81" i="8"/>
  <c r="R81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F83" i="8"/>
  <c r="G83" i="8"/>
  <c r="H83" i="8"/>
  <c r="I83" i="8"/>
  <c r="J83" i="8"/>
  <c r="K83" i="8"/>
  <c r="L83" i="8"/>
  <c r="M83" i="8"/>
  <c r="N83" i="8"/>
  <c r="O83" i="8"/>
  <c r="P83" i="8"/>
  <c r="Q83" i="8"/>
  <c r="R83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F85" i="8"/>
  <c r="G85" i="8"/>
  <c r="H85" i="8"/>
  <c r="I85" i="8"/>
  <c r="J85" i="8"/>
  <c r="K85" i="8"/>
  <c r="L85" i="8"/>
  <c r="M85" i="8"/>
  <c r="N85" i="8"/>
  <c r="O85" i="8"/>
  <c r="P85" i="8"/>
  <c r="Q85" i="8"/>
  <c r="R85" i="8"/>
  <c r="F86" i="8"/>
  <c r="G86" i="8"/>
  <c r="H86" i="8"/>
  <c r="I86" i="8"/>
  <c r="J86" i="8"/>
  <c r="K86" i="8"/>
  <c r="L86" i="8"/>
  <c r="M86" i="8"/>
  <c r="N86" i="8"/>
  <c r="O86" i="8"/>
  <c r="P86" i="8"/>
  <c r="Q86" i="8"/>
  <c r="R86" i="8"/>
  <c r="F87" i="8"/>
  <c r="G87" i="8"/>
  <c r="H87" i="8"/>
  <c r="I87" i="8"/>
  <c r="J87" i="8"/>
  <c r="K87" i="8"/>
  <c r="L87" i="8"/>
  <c r="M87" i="8"/>
  <c r="N87" i="8"/>
  <c r="O87" i="8"/>
  <c r="P87" i="8"/>
  <c r="Q87" i="8"/>
  <c r="R87" i="8"/>
  <c r="F88" i="8"/>
  <c r="G88" i="8"/>
  <c r="H88" i="8"/>
  <c r="I88" i="8"/>
  <c r="J88" i="8"/>
  <c r="K88" i="8"/>
  <c r="L88" i="8"/>
  <c r="M88" i="8"/>
  <c r="N88" i="8"/>
  <c r="O88" i="8"/>
  <c r="P88" i="8"/>
  <c r="Q88" i="8"/>
  <c r="R88" i="8"/>
  <c r="F89" i="8"/>
  <c r="G89" i="8"/>
  <c r="H89" i="8"/>
  <c r="I89" i="8"/>
  <c r="J89" i="8"/>
  <c r="K89" i="8"/>
  <c r="L89" i="8"/>
  <c r="M89" i="8"/>
  <c r="N89" i="8"/>
  <c r="O89" i="8"/>
  <c r="P89" i="8"/>
  <c r="Q89" i="8"/>
  <c r="R89" i="8"/>
  <c r="F90" i="8"/>
  <c r="G90" i="8"/>
  <c r="H90" i="8"/>
  <c r="I90" i="8"/>
  <c r="J90" i="8"/>
  <c r="K90" i="8"/>
  <c r="L90" i="8"/>
  <c r="M90" i="8"/>
  <c r="N90" i="8"/>
  <c r="O90" i="8"/>
  <c r="P90" i="8"/>
  <c r="Q90" i="8"/>
  <c r="R90" i="8"/>
  <c r="F91" i="8"/>
  <c r="G91" i="8"/>
  <c r="H91" i="8"/>
  <c r="I91" i="8"/>
  <c r="J91" i="8"/>
  <c r="K91" i="8"/>
  <c r="L91" i="8"/>
  <c r="M91" i="8"/>
  <c r="N91" i="8"/>
  <c r="O91" i="8"/>
  <c r="P91" i="8"/>
  <c r="Q91" i="8"/>
  <c r="R91" i="8"/>
  <c r="F92" i="8"/>
  <c r="G92" i="8"/>
  <c r="H92" i="8"/>
  <c r="I92" i="8"/>
  <c r="J92" i="8"/>
  <c r="K92" i="8"/>
  <c r="L92" i="8"/>
  <c r="M92" i="8"/>
  <c r="N92" i="8"/>
  <c r="O92" i="8"/>
  <c r="P92" i="8"/>
  <c r="Q92" i="8"/>
  <c r="R92" i="8"/>
  <c r="F93" i="8"/>
  <c r="G93" i="8"/>
  <c r="H93" i="8"/>
  <c r="I93" i="8"/>
  <c r="J93" i="8"/>
  <c r="K93" i="8"/>
  <c r="L93" i="8"/>
  <c r="M93" i="8"/>
  <c r="N93" i="8"/>
  <c r="O93" i="8"/>
  <c r="P93" i="8"/>
  <c r="Q93" i="8"/>
  <c r="R93" i="8"/>
  <c r="F94" i="8"/>
  <c r="G94" i="8"/>
  <c r="H94" i="8"/>
  <c r="I94" i="8"/>
  <c r="J94" i="8"/>
  <c r="K94" i="8"/>
  <c r="L94" i="8"/>
  <c r="M94" i="8"/>
  <c r="N94" i="8"/>
  <c r="O94" i="8"/>
  <c r="P94" i="8"/>
  <c r="Q94" i="8"/>
  <c r="R94" i="8"/>
  <c r="F95" i="8"/>
  <c r="G95" i="8"/>
  <c r="H95" i="8"/>
  <c r="I95" i="8"/>
  <c r="J95" i="8"/>
  <c r="K95" i="8"/>
  <c r="L95" i="8"/>
  <c r="M95" i="8"/>
  <c r="N95" i="8"/>
  <c r="O95" i="8"/>
  <c r="P95" i="8"/>
  <c r="Q95" i="8"/>
  <c r="R95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F97" i="8"/>
  <c r="G97" i="8"/>
  <c r="H97" i="8"/>
  <c r="I97" i="8"/>
  <c r="J97" i="8"/>
  <c r="K97" i="8"/>
  <c r="L97" i="8"/>
  <c r="M97" i="8"/>
  <c r="N97" i="8"/>
  <c r="O97" i="8"/>
  <c r="P97" i="8"/>
  <c r="Q97" i="8"/>
  <c r="R97" i="8"/>
  <c r="F98" i="8"/>
  <c r="G98" i="8"/>
  <c r="H98" i="8"/>
  <c r="I98" i="8"/>
  <c r="J98" i="8"/>
  <c r="K98" i="8"/>
  <c r="L98" i="8"/>
  <c r="M98" i="8"/>
  <c r="N98" i="8"/>
  <c r="O98" i="8"/>
  <c r="P98" i="8"/>
  <c r="Q98" i="8"/>
  <c r="R98" i="8"/>
  <c r="F99" i="8"/>
  <c r="G99" i="8"/>
  <c r="H99" i="8"/>
  <c r="I99" i="8"/>
  <c r="J99" i="8"/>
  <c r="K99" i="8"/>
  <c r="L99" i="8"/>
  <c r="M99" i="8"/>
  <c r="N99" i="8"/>
  <c r="O99" i="8"/>
  <c r="P99" i="8"/>
  <c r="Q99" i="8"/>
  <c r="R99" i="8"/>
  <c r="F100" i="8"/>
  <c r="G100" i="8"/>
  <c r="H100" i="8"/>
  <c r="I100" i="8"/>
  <c r="J100" i="8"/>
  <c r="K100" i="8"/>
  <c r="L100" i="8"/>
  <c r="M100" i="8"/>
  <c r="N100" i="8"/>
  <c r="O100" i="8"/>
  <c r="P100" i="8"/>
  <c r="Q100" i="8"/>
  <c r="R100" i="8"/>
  <c r="F101" i="8"/>
  <c r="G101" i="8"/>
  <c r="H101" i="8"/>
  <c r="I101" i="8"/>
  <c r="J101" i="8"/>
  <c r="K101" i="8"/>
  <c r="L101" i="8"/>
  <c r="M101" i="8"/>
  <c r="N101" i="8"/>
  <c r="O101" i="8"/>
  <c r="P101" i="8"/>
  <c r="Q101" i="8"/>
  <c r="R101" i="8"/>
  <c r="F102" i="8"/>
  <c r="G102" i="8"/>
  <c r="H102" i="8"/>
  <c r="I102" i="8"/>
  <c r="J102" i="8"/>
  <c r="K102" i="8"/>
  <c r="L102" i="8"/>
  <c r="M102" i="8"/>
  <c r="N102" i="8"/>
  <c r="O102" i="8"/>
  <c r="P102" i="8"/>
  <c r="Q102" i="8"/>
  <c r="R102" i="8"/>
  <c r="F103" i="8"/>
  <c r="G103" i="8"/>
  <c r="H103" i="8"/>
  <c r="I103" i="8"/>
  <c r="J103" i="8"/>
  <c r="K103" i="8"/>
  <c r="L103" i="8"/>
  <c r="M103" i="8"/>
  <c r="N103" i="8"/>
  <c r="O103" i="8"/>
  <c r="P103" i="8"/>
  <c r="Q103" i="8"/>
  <c r="R103" i="8"/>
  <c r="F104" i="8"/>
  <c r="G104" i="8"/>
  <c r="H104" i="8"/>
  <c r="I104" i="8"/>
  <c r="J104" i="8"/>
  <c r="K104" i="8"/>
  <c r="L104" i="8"/>
  <c r="M104" i="8"/>
  <c r="N104" i="8"/>
  <c r="O104" i="8"/>
  <c r="P104" i="8"/>
  <c r="Q104" i="8"/>
  <c r="R104" i="8"/>
  <c r="F105" i="8"/>
  <c r="G105" i="8"/>
  <c r="H105" i="8"/>
  <c r="I105" i="8"/>
  <c r="J105" i="8"/>
  <c r="K105" i="8"/>
  <c r="L105" i="8"/>
  <c r="M105" i="8"/>
  <c r="N105" i="8"/>
  <c r="O105" i="8"/>
  <c r="P105" i="8"/>
  <c r="Q105" i="8"/>
  <c r="R105" i="8"/>
  <c r="F106" i="8"/>
  <c r="G106" i="8"/>
  <c r="H106" i="8"/>
  <c r="I106" i="8"/>
  <c r="J106" i="8"/>
  <c r="K106" i="8"/>
  <c r="L106" i="8"/>
  <c r="M106" i="8"/>
  <c r="N106" i="8"/>
  <c r="O106" i="8"/>
  <c r="P106" i="8"/>
  <c r="Q106" i="8"/>
  <c r="R106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B46" i="8"/>
  <c r="B47" i="8"/>
  <c r="B50" i="8"/>
  <c r="B54" i="8"/>
  <c r="B58" i="8"/>
  <c r="B62" i="8"/>
  <c r="B66" i="8"/>
  <c r="B70" i="8"/>
  <c r="B74" i="8"/>
  <c r="B78" i="8"/>
  <c r="B82" i="8"/>
  <c r="B86" i="8"/>
  <c r="B90" i="8"/>
  <c r="B94" i="8"/>
  <c r="B98" i="8"/>
  <c r="B102" i="8"/>
  <c r="B106" i="8"/>
  <c r="B110" i="8"/>
  <c r="B114" i="8"/>
  <c r="B118" i="8"/>
  <c r="B122" i="8"/>
  <c r="B126" i="8"/>
  <c r="B130" i="8"/>
  <c r="B134" i="8"/>
  <c r="B138" i="8"/>
  <c r="B142" i="8"/>
  <c r="B146" i="8"/>
  <c r="B43" i="8"/>
  <c r="B44" i="8"/>
  <c r="B45" i="8"/>
  <c r="B48" i="8"/>
  <c r="B49" i="8"/>
  <c r="B51" i="8"/>
  <c r="B52" i="8"/>
  <c r="B53" i="8"/>
  <c r="B55" i="8"/>
  <c r="B56" i="8"/>
  <c r="B57" i="8"/>
  <c r="B59" i="8"/>
  <c r="B60" i="8"/>
  <c r="B61" i="8"/>
  <c r="B63" i="8"/>
  <c r="B64" i="8"/>
  <c r="B65" i="8"/>
  <c r="B67" i="8"/>
  <c r="B68" i="8"/>
  <c r="B69" i="8"/>
  <c r="B71" i="8"/>
  <c r="B72" i="8"/>
  <c r="B73" i="8"/>
  <c r="B75" i="8"/>
  <c r="B76" i="8"/>
  <c r="B77" i="8"/>
  <c r="B79" i="8"/>
  <c r="B80" i="8"/>
  <c r="B81" i="8"/>
  <c r="B83" i="8"/>
  <c r="B84" i="8"/>
  <c r="B85" i="8"/>
  <c r="B87" i="8"/>
  <c r="B88" i="8"/>
  <c r="B89" i="8"/>
  <c r="B91" i="8"/>
  <c r="B92" i="8"/>
  <c r="B93" i="8"/>
  <c r="B95" i="8"/>
  <c r="B96" i="8"/>
  <c r="B97" i="8"/>
  <c r="B99" i="8"/>
  <c r="B100" i="8"/>
  <c r="B101" i="8"/>
  <c r="B103" i="8"/>
  <c r="B104" i="8"/>
  <c r="B105" i="8"/>
  <c r="B107" i="8"/>
  <c r="B108" i="8"/>
  <c r="B109" i="8"/>
  <c r="B111" i="8"/>
  <c r="B112" i="8"/>
  <c r="B113" i="8"/>
  <c r="B115" i="8"/>
  <c r="B116" i="8"/>
  <c r="B117" i="8"/>
  <c r="B119" i="8"/>
  <c r="B120" i="8"/>
  <c r="B121" i="8"/>
  <c r="B123" i="8"/>
  <c r="B124" i="8"/>
  <c r="B125" i="8"/>
  <c r="B127" i="8"/>
  <c r="B128" i="8"/>
  <c r="B129" i="8"/>
  <c r="B131" i="8"/>
  <c r="B132" i="8"/>
  <c r="B133" i="8"/>
  <c r="B135" i="8"/>
  <c r="B136" i="8"/>
  <c r="B137" i="8"/>
  <c r="B139" i="8"/>
  <c r="B140" i="8"/>
  <c r="B141" i="8"/>
  <c r="B143" i="8"/>
  <c r="B144" i="8"/>
  <c r="B145" i="8"/>
  <c r="B147" i="8"/>
  <c r="E45" i="31"/>
  <c r="G45" i="31" s="1"/>
  <c r="E46" i="31"/>
  <c r="G46" i="31" s="1"/>
  <c r="E47" i="31"/>
  <c r="G47" i="31" s="1"/>
  <c r="E48" i="31"/>
  <c r="G48" i="31" s="1"/>
  <c r="E49" i="31"/>
  <c r="G49" i="31" s="1"/>
  <c r="E50" i="31"/>
  <c r="G50" i="31" s="1"/>
  <c r="E51" i="31"/>
  <c r="G51" i="31" s="1"/>
  <c r="E52" i="31"/>
  <c r="G52" i="31" s="1"/>
  <c r="E53" i="31"/>
  <c r="G53" i="31" s="1"/>
  <c r="E54" i="31"/>
  <c r="G54" i="31" s="1"/>
  <c r="E55" i="31"/>
  <c r="G55" i="31" s="1"/>
  <c r="E56" i="31"/>
  <c r="G56" i="31" s="1"/>
  <c r="E57" i="31"/>
  <c r="G57" i="31" s="1"/>
  <c r="E58" i="31"/>
  <c r="G58" i="31" s="1"/>
  <c r="E59" i="31"/>
  <c r="G59" i="31" s="1"/>
  <c r="E60" i="31"/>
  <c r="G60" i="31" s="1"/>
  <c r="E61" i="31"/>
  <c r="G61" i="31" s="1"/>
  <c r="E62" i="31"/>
  <c r="G62" i="31" s="1"/>
  <c r="E63" i="31"/>
  <c r="G63" i="31" s="1"/>
  <c r="E64" i="31"/>
  <c r="G64" i="31" s="1"/>
  <c r="E65" i="31"/>
  <c r="G65" i="31" s="1"/>
  <c r="E66" i="31"/>
  <c r="G66" i="31" s="1"/>
  <c r="E67" i="31"/>
  <c r="G67" i="31" s="1"/>
  <c r="E68" i="31"/>
  <c r="G68" i="31" s="1"/>
  <c r="E69" i="31"/>
  <c r="G69" i="31" s="1"/>
  <c r="E70" i="31"/>
  <c r="G70" i="31" s="1"/>
  <c r="E71" i="31"/>
  <c r="G71" i="31" s="1"/>
  <c r="E72" i="31"/>
  <c r="G72" i="31" s="1"/>
  <c r="E73" i="31"/>
  <c r="G73" i="31" s="1"/>
  <c r="E74" i="31"/>
  <c r="G74" i="31" s="1"/>
  <c r="E75" i="31"/>
  <c r="G75" i="31" s="1"/>
  <c r="E76" i="31"/>
  <c r="G76" i="31" s="1"/>
  <c r="E77" i="31"/>
  <c r="G77" i="31" s="1"/>
  <c r="E78" i="31"/>
  <c r="G78" i="31" s="1"/>
  <c r="E79" i="31"/>
  <c r="G79" i="31" s="1"/>
  <c r="E80" i="31"/>
  <c r="G80" i="31" s="1"/>
  <c r="E81" i="31"/>
  <c r="G81" i="31" s="1"/>
  <c r="E82" i="31"/>
  <c r="G82" i="31" s="1"/>
  <c r="E83" i="31"/>
  <c r="G83" i="31" s="1"/>
  <c r="E84" i="31"/>
  <c r="G84" i="31" s="1"/>
  <c r="E85" i="31"/>
  <c r="G85" i="31" s="1"/>
  <c r="E86" i="31"/>
  <c r="G86" i="31" s="1"/>
  <c r="E87" i="31"/>
  <c r="G87" i="31" s="1"/>
  <c r="E88" i="31"/>
  <c r="G88" i="31" s="1"/>
  <c r="E89" i="31"/>
  <c r="G89" i="31" s="1"/>
  <c r="E90" i="31"/>
  <c r="G90" i="31" s="1"/>
  <c r="E91" i="31"/>
  <c r="G91" i="31" s="1"/>
  <c r="E92" i="31"/>
  <c r="G92" i="31" s="1"/>
  <c r="E93" i="31"/>
  <c r="G93" i="31" s="1"/>
  <c r="E94" i="31"/>
  <c r="G94" i="31" s="1"/>
  <c r="E95" i="31"/>
  <c r="G95" i="31" s="1"/>
  <c r="E96" i="31"/>
  <c r="G96" i="31" s="1"/>
  <c r="E97" i="31"/>
  <c r="G97" i="31" s="1"/>
  <c r="E98" i="31"/>
  <c r="G98" i="31" s="1"/>
  <c r="E99" i="31"/>
  <c r="G99" i="31" s="1"/>
  <c r="E100" i="31"/>
  <c r="G100" i="31" s="1"/>
  <c r="E101" i="31"/>
  <c r="G101" i="31" s="1"/>
  <c r="E102" i="31"/>
  <c r="G102" i="31" s="1"/>
  <c r="E103" i="31"/>
  <c r="G103" i="31" s="1"/>
  <c r="E104" i="31"/>
  <c r="G104" i="31" s="1"/>
  <c r="E105" i="31"/>
  <c r="G105" i="31" s="1"/>
  <c r="E106" i="31"/>
  <c r="G106" i="31" s="1"/>
  <c r="E107" i="31"/>
  <c r="G107" i="31" s="1"/>
  <c r="E108" i="31"/>
  <c r="G108" i="31" s="1"/>
  <c r="E109" i="31"/>
  <c r="G109" i="31" s="1"/>
  <c r="E110" i="31"/>
  <c r="G110" i="31" s="1"/>
  <c r="E111" i="31"/>
  <c r="G111" i="31" s="1"/>
  <c r="E112" i="31"/>
  <c r="G112" i="31" s="1"/>
  <c r="E113" i="31"/>
  <c r="G113" i="31" s="1"/>
  <c r="E114" i="31"/>
  <c r="G114" i="31" s="1"/>
  <c r="E115" i="31"/>
  <c r="G115" i="31" s="1"/>
  <c r="E116" i="31"/>
  <c r="G116" i="31" s="1"/>
  <c r="E117" i="31"/>
  <c r="G117" i="31" s="1"/>
  <c r="E118" i="31"/>
  <c r="G118" i="31" s="1"/>
  <c r="E119" i="31"/>
  <c r="G119" i="31" s="1"/>
  <c r="E120" i="31"/>
  <c r="G120" i="31" s="1"/>
  <c r="BS49" i="2"/>
  <c r="BS50" i="2"/>
  <c r="BO49" i="2"/>
  <c r="BO50" i="2"/>
  <c r="H47" i="31" l="1"/>
  <c r="F47" i="31"/>
  <c r="H111" i="31"/>
  <c r="F111" i="31"/>
  <c r="H99" i="31"/>
  <c r="F99" i="31"/>
  <c r="H87" i="31"/>
  <c r="F87" i="31"/>
  <c r="H75" i="31"/>
  <c r="F75" i="31"/>
  <c r="H63" i="31"/>
  <c r="F63" i="31"/>
  <c r="H114" i="31"/>
  <c r="F114" i="31"/>
  <c r="H106" i="31"/>
  <c r="F106" i="31"/>
  <c r="H102" i="31"/>
  <c r="F102" i="31"/>
  <c r="H98" i="31"/>
  <c r="F98" i="31"/>
  <c r="H94" i="31"/>
  <c r="F94" i="31"/>
  <c r="H90" i="31"/>
  <c r="F90" i="31"/>
  <c r="H86" i="31"/>
  <c r="F86" i="31"/>
  <c r="H82" i="31"/>
  <c r="F82" i="31"/>
  <c r="H78" i="31"/>
  <c r="F78" i="31"/>
  <c r="H74" i="31"/>
  <c r="F74" i="31"/>
  <c r="H70" i="31"/>
  <c r="F70" i="31"/>
  <c r="H66" i="31"/>
  <c r="F66" i="31"/>
  <c r="H62" i="31"/>
  <c r="F62" i="31"/>
  <c r="H58" i="31"/>
  <c r="F58" i="31"/>
  <c r="H54" i="31"/>
  <c r="F54" i="31"/>
  <c r="H50" i="31"/>
  <c r="F50" i="31"/>
  <c r="H46" i="31"/>
  <c r="F46" i="31"/>
  <c r="H119" i="31"/>
  <c r="F119" i="31"/>
  <c r="H103" i="31"/>
  <c r="F103" i="31"/>
  <c r="H91" i="31"/>
  <c r="F91" i="31"/>
  <c r="H79" i="31"/>
  <c r="F79" i="31"/>
  <c r="H67" i="31"/>
  <c r="F67" i="31"/>
  <c r="H55" i="31"/>
  <c r="F55" i="31"/>
  <c r="H118" i="31"/>
  <c r="F118" i="31"/>
  <c r="H110" i="31"/>
  <c r="F110" i="31"/>
  <c r="F117" i="31"/>
  <c r="H117" i="31"/>
  <c r="F113" i="31"/>
  <c r="H113" i="31"/>
  <c r="F109" i="31"/>
  <c r="H109" i="31"/>
  <c r="F105" i="31"/>
  <c r="H105" i="31"/>
  <c r="F101" i="31"/>
  <c r="H101" i="31"/>
  <c r="F97" i="31"/>
  <c r="H97" i="31"/>
  <c r="F93" i="31"/>
  <c r="H93" i="31"/>
  <c r="F89" i="31"/>
  <c r="H89" i="31"/>
  <c r="F85" i="31"/>
  <c r="H85" i="31"/>
  <c r="F81" i="31"/>
  <c r="H81" i="31"/>
  <c r="F77" i="31"/>
  <c r="H77" i="31"/>
  <c r="F73" i="31"/>
  <c r="H73" i="31"/>
  <c r="F69" i="31"/>
  <c r="H69" i="31"/>
  <c r="F65" i="31"/>
  <c r="H65" i="31"/>
  <c r="F61" i="31"/>
  <c r="H61" i="31"/>
  <c r="F57" i="31"/>
  <c r="H57" i="31"/>
  <c r="F53" i="31"/>
  <c r="H53" i="31"/>
  <c r="F49" i="31"/>
  <c r="H49" i="31"/>
  <c r="F45" i="31"/>
  <c r="H45" i="31"/>
  <c r="H115" i="31"/>
  <c r="F115" i="31"/>
  <c r="H107" i="31"/>
  <c r="F107" i="31"/>
  <c r="H95" i="31"/>
  <c r="F95" i="31"/>
  <c r="H83" i="31"/>
  <c r="F83" i="31"/>
  <c r="H71" i="31"/>
  <c r="F71" i="31"/>
  <c r="H59" i="31"/>
  <c r="F59" i="31"/>
  <c r="I51" i="31"/>
  <c r="F51" i="31"/>
  <c r="H51" i="31"/>
  <c r="F120" i="31"/>
  <c r="H120" i="31"/>
  <c r="F116" i="31"/>
  <c r="H116" i="31"/>
  <c r="F112" i="31"/>
  <c r="H112" i="31"/>
  <c r="F108" i="31"/>
  <c r="H108" i="31"/>
  <c r="F104" i="31"/>
  <c r="H104" i="31"/>
  <c r="F100" i="31"/>
  <c r="H100" i="31"/>
  <c r="F96" i="31"/>
  <c r="H96" i="31"/>
  <c r="F92" i="31"/>
  <c r="H92" i="31"/>
  <c r="F88" i="31"/>
  <c r="H88" i="31"/>
  <c r="F84" i="31"/>
  <c r="H84" i="31"/>
  <c r="F80" i="31"/>
  <c r="H80" i="31"/>
  <c r="F76" i="31"/>
  <c r="H76" i="31"/>
  <c r="F72" i="31"/>
  <c r="H72" i="31"/>
  <c r="F68" i="31"/>
  <c r="H68" i="31"/>
  <c r="F64" i="31"/>
  <c r="H64" i="31"/>
  <c r="F60" i="31"/>
  <c r="H60" i="31"/>
  <c r="F56" i="31"/>
  <c r="H56" i="31"/>
  <c r="F52" i="31"/>
  <c r="H52" i="31"/>
  <c r="I52" i="31"/>
  <c r="F48" i="31"/>
  <c r="H48" i="31"/>
  <c r="BO85" i="2"/>
  <c r="BJ127" i="2" l="1"/>
  <c r="BJ125" i="2"/>
  <c r="BO65" i="2" l="1"/>
  <c r="BJ65" i="2"/>
  <c r="BS65" i="2"/>
  <c r="BO114" i="2" l="1"/>
  <c r="BO90" i="2"/>
  <c r="BS128" i="2" l="1"/>
  <c r="BO128" i="2"/>
  <c r="I104" i="31" l="1"/>
  <c r="BO129" i="2"/>
  <c r="BO127" i="2"/>
  <c r="BO125" i="2"/>
  <c r="BS129" i="2"/>
  <c r="BS127" i="2"/>
  <c r="BS125" i="2"/>
  <c r="A2" i="39" l="1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BS143" i="2" l="1"/>
  <c r="BO143" i="2"/>
  <c r="BS132" i="2"/>
  <c r="BO132" i="2"/>
  <c r="BJ132" i="2"/>
  <c r="BS142" i="2"/>
  <c r="BO142" i="2"/>
  <c r="BS62" i="2" l="1"/>
  <c r="BO62" i="2"/>
  <c r="BS141" i="2"/>
  <c r="BS64" i="2"/>
  <c r="BO141" i="2"/>
  <c r="BO64" i="2"/>
  <c r="BS116" i="2" l="1"/>
  <c r="BO116" i="2"/>
  <c r="BS89" i="2" l="1"/>
  <c r="BS88" i="2"/>
  <c r="BO89" i="2"/>
  <c r="BO88" i="2"/>
  <c r="BO83" i="2"/>
  <c r="BS83" i="2"/>
  <c r="A1" i="39" l="1"/>
  <c r="BO117" i="2" l="1"/>
  <c r="BS117" i="2"/>
  <c r="BO115" i="2" l="1"/>
  <c r="BS115" i="2"/>
  <c r="BO120" i="2"/>
  <c r="BS120" i="2"/>
  <c r="BO111" i="2" l="1"/>
  <c r="BS111" i="2"/>
  <c r="BT8" i="2" l="1"/>
  <c r="BS92" i="2"/>
  <c r="BO92" i="2"/>
  <c r="BO91" i="2"/>
  <c r="BS91" i="2"/>
  <c r="BS48" i="2" l="1"/>
  <c r="BO48" i="2"/>
  <c r="BO47" i="2"/>
  <c r="BO61" i="2"/>
  <c r="BS47" i="2"/>
  <c r="G26" i="6" l="1"/>
  <c r="G36" i="6"/>
  <c r="G35" i="6"/>
  <c r="G34" i="6"/>
  <c r="G33" i="6"/>
  <c r="G32" i="6"/>
  <c r="G31" i="6"/>
  <c r="G30" i="6"/>
  <c r="G29" i="6"/>
  <c r="G27" i="6"/>
  <c r="G25" i="6"/>
  <c r="G24" i="6"/>
  <c r="C11" i="7" l="1"/>
  <c r="C12" i="7"/>
  <c r="C13" i="7"/>
  <c r="C14" i="7"/>
  <c r="C25" i="6" l="1"/>
  <c r="F25" i="6" s="1"/>
  <c r="C26" i="6"/>
  <c r="F26" i="6" s="1"/>
  <c r="C27" i="6"/>
  <c r="F27" i="6" s="1"/>
  <c r="C28" i="6"/>
  <c r="F28" i="6" s="1"/>
  <c r="C29" i="6"/>
  <c r="C30" i="6"/>
  <c r="C31" i="6"/>
  <c r="C32" i="6"/>
  <c r="C33" i="6"/>
  <c r="C34" i="6"/>
  <c r="C35" i="6"/>
  <c r="C36" i="6"/>
  <c r="C37" i="6"/>
  <c r="BO66" i="2" l="1"/>
  <c r="BS61" i="2" l="1"/>
  <c r="BS66" i="2" l="1"/>
  <c r="G4" i="7" l="1"/>
  <c r="G2" i="7"/>
  <c r="G3" i="7"/>
  <c r="A1" i="7" l="1"/>
  <c r="D27" i="6" l="1"/>
  <c r="K4" i="2" l="1"/>
  <c r="K5" i="2" s="1"/>
  <c r="BO139" i="2" l="1"/>
  <c r="BS139" i="2"/>
  <c r="BO40" i="2" l="1"/>
  <c r="BO41" i="2"/>
  <c r="BO42" i="2"/>
  <c r="BO43" i="2"/>
  <c r="BO44" i="2"/>
  <c r="BO45" i="2"/>
  <c r="BO46" i="2"/>
  <c r="BO51" i="2"/>
  <c r="BO52" i="2"/>
  <c r="BO54" i="2"/>
  <c r="BO53" i="2"/>
  <c r="BO55" i="2"/>
  <c r="BO56" i="2"/>
  <c r="BO57" i="2"/>
  <c r="BO58" i="2"/>
  <c r="BO59" i="2"/>
  <c r="BO60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O82" i="2"/>
  <c r="BO84" i="2"/>
  <c r="BO86" i="2"/>
  <c r="BO95" i="2"/>
  <c r="BO96" i="2"/>
  <c r="BO97" i="2"/>
  <c r="BO98" i="2"/>
  <c r="BO99" i="2"/>
  <c r="BO100" i="2"/>
  <c r="BO101" i="2"/>
  <c r="BO102" i="2"/>
  <c r="BO103" i="2"/>
  <c r="BO104" i="2"/>
  <c r="BO105" i="2"/>
  <c r="BO106" i="2"/>
  <c r="BO107" i="2"/>
  <c r="BO108" i="2"/>
  <c r="BO109" i="2"/>
  <c r="BO110" i="2"/>
  <c r="BO112" i="2"/>
  <c r="BO113" i="2"/>
  <c r="BO119" i="2"/>
  <c r="BO118" i="2"/>
  <c r="BO121" i="2"/>
  <c r="BO122" i="2"/>
  <c r="BO123" i="2"/>
  <c r="BO124" i="2"/>
  <c r="BO130" i="2"/>
  <c r="BO131" i="2"/>
  <c r="BO133" i="2"/>
  <c r="BO134" i="2"/>
  <c r="BO135" i="2"/>
  <c r="BO136" i="2"/>
  <c r="BO137" i="2"/>
  <c r="BO138" i="2"/>
  <c r="BO140" i="2"/>
  <c r="BO144" i="2"/>
  <c r="BO145" i="2"/>
  <c r="BO93" i="2"/>
  <c r="BO87" i="2"/>
  <c r="BO94" i="2"/>
  <c r="BO63" i="2"/>
  <c r="BS63" i="2"/>
  <c r="B16" i="6" l="1"/>
  <c r="B14" i="6"/>
  <c r="G23" i="6" s="1"/>
  <c r="B6" i="6"/>
  <c r="K104" i="31" l="1"/>
  <c r="J104" i="31"/>
  <c r="BS94" i="2"/>
  <c r="BS87" i="2"/>
  <c r="BJ87" i="2"/>
  <c r="B4" i="7" l="1"/>
  <c r="B2" i="7"/>
  <c r="B48" i="6"/>
  <c r="F19" i="6" s="1"/>
  <c r="B3" i="7"/>
  <c r="A7" i="7"/>
  <c r="F5" i="35"/>
  <c r="F2" i="35"/>
  <c r="F1" i="35"/>
  <c r="F55" i="35"/>
  <c r="F52" i="35"/>
  <c r="F51" i="35"/>
  <c r="F156" i="35"/>
  <c r="F153" i="35"/>
  <c r="F152" i="35"/>
  <c r="F102" i="35"/>
  <c r="F106" i="35"/>
  <c r="F103" i="35"/>
  <c r="D10" i="35"/>
  <c r="D8" i="35"/>
  <c r="D7" i="35"/>
  <c r="D60" i="35"/>
  <c r="D58" i="35"/>
  <c r="D57" i="35"/>
  <c r="D111" i="35"/>
  <c r="D109" i="35"/>
  <c r="D108" i="35"/>
  <c r="D162" i="35"/>
  <c r="D160" i="35"/>
  <c r="D159" i="35"/>
  <c r="I8" i="6"/>
  <c r="I7" i="6"/>
  <c r="I10" i="6" s="1"/>
  <c r="I11" i="6" s="1"/>
  <c r="I6" i="6"/>
  <c r="F189" i="35"/>
  <c r="F188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73" i="35"/>
  <c r="F122" i="35"/>
  <c r="D173" i="35" l="1"/>
  <c r="C173" i="35"/>
  <c r="F169" i="35"/>
  <c r="C169" i="35"/>
  <c r="F168" i="35"/>
  <c r="C168" i="35"/>
  <c r="F167" i="35"/>
  <c r="C167" i="35"/>
  <c r="F138" i="35"/>
  <c r="F137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D122" i="35"/>
  <c r="C122" i="35"/>
  <c r="E123" i="35" s="1"/>
  <c r="C118" i="35"/>
  <c r="F117" i="35"/>
  <c r="C117" i="35"/>
  <c r="C116" i="35"/>
  <c r="F71" i="35"/>
  <c r="F87" i="35"/>
  <c r="F86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D71" i="35"/>
  <c r="C71" i="35"/>
  <c r="C15" i="35"/>
  <c r="C16" i="35"/>
  <c r="C17" i="35"/>
  <c r="C67" i="35"/>
  <c r="C66" i="35"/>
  <c r="C65" i="35"/>
  <c r="E184" i="35" l="1"/>
  <c r="E136" i="35"/>
  <c r="E132" i="35"/>
  <c r="E128" i="35"/>
  <c r="E124" i="35"/>
  <c r="E176" i="35"/>
  <c r="E180" i="35"/>
  <c r="E174" i="35"/>
  <c r="E178" i="35"/>
  <c r="E182" i="35"/>
  <c r="E186" i="35"/>
  <c r="E175" i="35"/>
  <c r="E179" i="35"/>
  <c r="E183" i="35"/>
  <c r="E187" i="35"/>
  <c r="E188" i="35"/>
  <c r="E173" i="35"/>
  <c r="E177" i="35"/>
  <c r="E181" i="35"/>
  <c r="E190" i="35" s="1"/>
  <c r="E185" i="35"/>
  <c r="E189" i="35"/>
  <c r="E86" i="35"/>
  <c r="E82" i="35"/>
  <c r="E78" i="35"/>
  <c r="E84" i="35"/>
  <c r="E80" i="35"/>
  <c r="E76" i="35"/>
  <c r="E87" i="35"/>
  <c r="E83" i="35"/>
  <c r="E79" i="35"/>
  <c r="E85" i="35"/>
  <c r="E81" i="35"/>
  <c r="E77" i="35"/>
  <c r="E138" i="35"/>
  <c r="E134" i="35"/>
  <c r="E130" i="35"/>
  <c r="E126" i="35"/>
  <c r="E137" i="35"/>
  <c r="E133" i="35"/>
  <c r="E129" i="35"/>
  <c r="E125" i="35"/>
  <c r="E122" i="35"/>
  <c r="E135" i="35"/>
  <c r="E131" i="35"/>
  <c r="E127" i="35"/>
  <c r="F21" i="35"/>
  <c r="C21" i="35"/>
  <c r="F37" i="35"/>
  <c r="F36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D21" i="35"/>
  <c r="C6" i="36"/>
  <c r="C7" i="36"/>
  <c r="C8" i="36"/>
  <c r="C9" i="36"/>
  <c r="C10" i="36"/>
  <c r="C11" i="36"/>
  <c r="E11" i="36" s="1"/>
  <c r="C12" i="36"/>
  <c r="E12" i="36" s="1"/>
  <c r="C13" i="36"/>
  <c r="E13" i="36" s="1"/>
  <c r="C14" i="36"/>
  <c r="E14" i="36" s="1"/>
  <c r="C15" i="36"/>
  <c r="E15" i="36" s="1"/>
  <c r="C16" i="36"/>
  <c r="E16" i="36" s="1"/>
  <c r="C17" i="36"/>
  <c r="E17" i="36" s="1"/>
  <c r="C18" i="36"/>
  <c r="E18" i="36" s="1"/>
  <c r="C5" i="36"/>
  <c r="C4" i="36"/>
  <c r="E4" i="36" s="1"/>
  <c r="E9" i="36" l="1"/>
  <c r="E10" i="36"/>
  <c r="E7" i="36"/>
  <c r="E8" i="36"/>
  <c r="E35" i="35"/>
  <c r="E31" i="35"/>
  <c r="E27" i="35"/>
  <c r="E34" i="35"/>
  <c r="E29" i="35"/>
  <c r="E32" i="35"/>
  <c r="E28" i="35"/>
  <c r="E37" i="35"/>
  <c r="E26" i="35"/>
  <c r="E30" i="35"/>
  <c r="E33" i="35"/>
  <c r="E36" i="35"/>
  <c r="E139" i="35"/>
  <c r="E5" i="36"/>
  <c r="E6" i="36"/>
  <c r="E21" i="36" l="1"/>
  <c r="F66" i="35" s="1"/>
  <c r="F118" i="35"/>
  <c r="F116" i="35"/>
  <c r="F16" i="35"/>
  <c r="F15" i="35" l="1"/>
  <c r="F65" i="35"/>
  <c r="F67" i="35"/>
  <c r="F17" i="35"/>
  <c r="D21" i="33"/>
  <c r="D79" i="33"/>
  <c r="D101" i="33"/>
  <c r="D159" i="33"/>
  <c r="G101" i="33"/>
  <c r="E101" i="33"/>
  <c r="B101" i="33"/>
  <c r="B100" i="33"/>
  <c r="G79" i="33"/>
  <c r="E79" i="33"/>
  <c r="B79" i="33"/>
  <c r="G21" i="33"/>
  <c r="E21" i="33"/>
  <c r="B21" i="33"/>
  <c r="B20" i="33"/>
  <c r="D23" i="6" l="1"/>
  <c r="D18" i="33"/>
  <c r="B78" i="33"/>
  <c r="B398" i="33"/>
  <c r="B340" i="33"/>
  <c r="B260" i="33"/>
  <c r="B158" i="33"/>
  <c r="B180" i="33"/>
  <c r="B238" i="33"/>
  <c r="B318" i="33"/>
  <c r="B262" i="33"/>
  <c r="B416" i="33"/>
  <c r="B415" i="33"/>
  <c r="B401" i="33"/>
  <c r="B402" i="33"/>
  <c r="B403" i="33"/>
  <c r="B404" i="33"/>
  <c r="B405" i="33"/>
  <c r="B406" i="33"/>
  <c r="B407" i="33"/>
  <c r="B408" i="33"/>
  <c r="B409" i="33"/>
  <c r="B410" i="33"/>
  <c r="B411" i="33"/>
  <c r="B412" i="33"/>
  <c r="B413" i="33"/>
  <c r="B414" i="33"/>
  <c r="B400" i="33"/>
  <c r="B320" i="33"/>
  <c r="B342" i="33"/>
  <c r="B336" i="33"/>
  <c r="B335" i="33"/>
  <c r="B321" i="33"/>
  <c r="B322" i="33"/>
  <c r="B323" i="33"/>
  <c r="B324" i="33"/>
  <c r="B325" i="33"/>
  <c r="B326" i="33"/>
  <c r="B327" i="33"/>
  <c r="B328" i="33"/>
  <c r="B329" i="33"/>
  <c r="B330" i="33"/>
  <c r="B331" i="33"/>
  <c r="B332" i="33"/>
  <c r="B333" i="33"/>
  <c r="B334" i="33"/>
  <c r="B240" i="33"/>
  <c r="B256" i="33"/>
  <c r="B255" i="33"/>
  <c r="B241" i="33"/>
  <c r="B242" i="33"/>
  <c r="B243" i="33"/>
  <c r="B244" i="33"/>
  <c r="B245" i="33"/>
  <c r="B246" i="33"/>
  <c r="B247" i="33"/>
  <c r="B248" i="33"/>
  <c r="B249" i="33"/>
  <c r="B250" i="33"/>
  <c r="B251" i="33"/>
  <c r="B252" i="33"/>
  <c r="B253" i="33"/>
  <c r="B254" i="33"/>
  <c r="B80" i="33"/>
  <c r="B182" i="33"/>
  <c r="B102" i="33"/>
  <c r="B22" i="33"/>
  <c r="B176" i="33"/>
  <c r="D176" i="33" s="1"/>
  <c r="B175" i="33"/>
  <c r="B161" i="33"/>
  <c r="B162" i="33"/>
  <c r="B163" i="33"/>
  <c r="B164" i="33"/>
  <c r="B165" i="33"/>
  <c r="B166" i="33"/>
  <c r="B167" i="33"/>
  <c r="D167" i="33" s="1"/>
  <c r="B168" i="33"/>
  <c r="D168" i="33" s="1"/>
  <c r="B169" i="33"/>
  <c r="D169" i="33" s="1"/>
  <c r="B170" i="33"/>
  <c r="D170" i="33" s="1"/>
  <c r="B171" i="33"/>
  <c r="D251" i="33" s="1"/>
  <c r="B172" i="33"/>
  <c r="D172" i="33" s="1"/>
  <c r="B173" i="33"/>
  <c r="D173" i="33" s="1"/>
  <c r="B174" i="33"/>
  <c r="B160" i="33"/>
  <c r="B96" i="33"/>
  <c r="D96" i="33" s="1"/>
  <c r="B95" i="33"/>
  <c r="B94" i="33"/>
  <c r="B93" i="33"/>
  <c r="D93" i="33" s="1"/>
  <c r="B92" i="33"/>
  <c r="D92" i="33" s="1"/>
  <c r="B91" i="33"/>
  <c r="D91" i="33" s="1"/>
  <c r="B90" i="33"/>
  <c r="D90" i="33" s="1"/>
  <c r="B89" i="33"/>
  <c r="D89" i="33" s="1"/>
  <c r="B88" i="33"/>
  <c r="D88" i="33" s="1"/>
  <c r="B87" i="33"/>
  <c r="D87" i="33" s="1"/>
  <c r="B86" i="33"/>
  <c r="B85" i="33"/>
  <c r="B84" i="33"/>
  <c r="B83" i="33"/>
  <c r="B82" i="33"/>
  <c r="B81" i="33"/>
  <c r="J17" i="33"/>
  <c r="G16" i="33"/>
  <c r="D16" i="33"/>
  <c r="J14" i="33"/>
  <c r="C14" i="33"/>
  <c r="B14" i="33"/>
  <c r="D14" i="33" s="1"/>
  <c r="I13" i="33"/>
  <c r="H13" i="33"/>
  <c r="J13" i="33" s="1"/>
  <c r="C13" i="33"/>
  <c r="B13" i="33"/>
  <c r="D13" i="33" s="1"/>
  <c r="I12" i="33"/>
  <c r="H12" i="33"/>
  <c r="J12" i="33" s="1"/>
  <c r="F12" i="33"/>
  <c r="E12" i="33"/>
  <c r="G12" i="33" s="1"/>
  <c r="C12" i="33"/>
  <c r="B12" i="33"/>
  <c r="D12" i="33" s="1"/>
  <c r="F11" i="33"/>
  <c r="E11" i="33"/>
  <c r="G11" i="33" s="1"/>
  <c r="C11" i="33"/>
  <c r="B11" i="33"/>
  <c r="D11" i="33" s="1"/>
  <c r="F10" i="33"/>
  <c r="E10" i="33"/>
  <c r="G10" i="33" s="1"/>
  <c r="C10" i="33"/>
  <c r="B10" i="33"/>
  <c r="D10" i="33" s="1"/>
  <c r="F9" i="33"/>
  <c r="E9" i="33"/>
  <c r="G9" i="33" s="1"/>
  <c r="C9" i="33"/>
  <c r="B9" i="33"/>
  <c r="D9" i="33" s="1"/>
  <c r="A7" i="33"/>
  <c r="H4" i="33"/>
  <c r="B4" i="33"/>
  <c r="H2" i="33"/>
  <c r="D416" i="33" l="1"/>
  <c r="D412" i="33"/>
  <c r="D408" i="33"/>
  <c r="D411" i="33"/>
  <c r="D407" i="33"/>
  <c r="D410" i="33"/>
  <c r="D413" i="33"/>
  <c r="D409" i="33"/>
  <c r="D332" i="33"/>
  <c r="D328" i="33"/>
  <c r="D336" i="33"/>
  <c r="D331" i="33"/>
  <c r="D327" i="33"/>
  <c r="D330" i="33"/>
  <c r="D333" i="33"/>
  <c r="D329" i="33"/>
  <c r="D171" i="33"/>
  <c r="D252" i="33"/>
  <c r="D250" i="33"/>
  <c r="D248" i="33"/>
  <c r="D256" i="33"/>
  <c r="D247" i="33"/>
  <c r="D253" i="33"/>
  <c r="D249" i="33"/>
  <c r="BJ93" i="2" l="1"/>
  <c r="BS93" i="2"/>
  <c r="H42" i="1" l="1"/>
  <c r="BS140" i="2" l="1"/>
  <c r="D16" i="7" l="1"/>
  <c r="J17" i="7" l="1"/>
  <c r="C51" i="6" l="1"/>
  <c r="L28" i="31" s="1"/>
  <c r="C50" i="6"/>
  <c r="L27" i="31" s="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12" i="31"/>
  <c r="E4" i="31"/>
  <c r="G4" i="31" s="1"/>
  <c r="F4" i="31" s="1"/>
  <c r="E5" i="31"/>
  <c r="G5" i="31" s="1"/>
  <c r="E6" i="31"/>
  <c r="G6" i="31" s="1"/>
  <c r="E7" i="31"/>
  <c r="G7" i="31" s="1"/>
  <c r="E8" i="31"/>
  <c r="G8" i="31" s="1"/>
  <c r="E9" i="31"/>
  <c r="G9" i="31" s="1"/>
  <c r="E10" i="31"/>
  <c r="G10" i="31" s="1"/>
  <c r="E11" i="31"/>
  <c r="G11" i="31" s="1"/>
  <c r="E12" i="31"/>
  <c r="G12" i="31" s="1"/>
  <c r="E13" i="31"/>
  <c r="G13" i="31" s="1"/>
  <c r="E14" i="31"/>
  <c r="G14" i="31" s="1"/>
  <c r="E15" i="31"/>
  <c r="G15" i="31" s="1"/>
  <c r="E16" i="31"/>
  <c r="G16" i="31" s="1"/>
  <c r="E17" i="31"/>
  <c r="G17" i="31" s="1"/>
  <c r="E18" i="31"/>
  <c r="G18" i="31" s="1"/>
  <c r="E19" i="31"/>
  <c r="G19" i="31" s="1"/>
  <c r="E20" i="31"/>
  <c r="G20" i="31" s="1"/>
  <c r="E21" i="31"/>
  <c r="G21" i="31" s="1"/>
  <c r="E22" i="31"/>
  <c r="G22" i="31" s="1"/>
  <c r="E23" i="31"/>
  <c r="G23" i="31" s="1"/>
  <c r="E24" i="31"/>
  <c r="G24" i="31" s="1"/>
  <c r="E25" i="31"/>
  <c r="G25" i="31" s="1"/>
  <c r="E26" i="31"/>
  <c r="G26" i="31" s="1"/>
  <c r="E27" i="31"/>
  <c r="G27" i="31" s="1"/>
  <c r="E28" i="31"/>
  <c r="G28" i="31" s="1"/>
  <c r="E29" i="31"/>
  <c r="G29" i="31" s="1"/>
  <c r="E30" i="31"/>
  <c r="G30" i="31" s="1"/>
  <c r="E31" i="31"/>
  <c r="G31" i="31" s="1"/>
  <c r="E32" i="31"/>
  <c r="G32" i="31" s="1"/>
  <c r="E33" i="31"/>
  <c r="G33" i="31" s="1"/>
  <c r="E34" i="31"/>
  <c r="G34" i="31" s="1"/>
  <c r="E35" i="31"/>
  <c r="G35" i="31" s="1"/>
  <c r="E36" i="31"/>
  <c r="G36" i="31" s="1"/>
  <c r="E37" i="31"/>
  <c r="G37" i="31" s="1"/>
  <c r="E38" i="31"/>
  <c r="G38" i="31" s="1"/>
  <c r="E39" i="31"/>
  <c r="G39" i="31" s="1"/>
  <c r="E40" i="31"/>
  <c r="G40" i="31" s="1"/>
  <c r="E41" i="31"/>
  <c r="G41" i="31" s="1"/>
  <c r="E42" i="31"/>
  <c r="G42" i="31" s="1"/>
  <c r="E43" i="31"/>
  <c r="G43" i="31" s="1"/>
  <c r="E44" i="31"/>
  <c r="G44" i="31" s="1"/>
  <c r="G142" i="31"/>
  <c r="E3" i="31"/>
  <c r="F40" i="31" l="1"/>
  <c r="H40" i="31"/>
  <c r="F32" i="31"/>
  <c r="H32" i="31"/>
  <c r="F28" i="31"/>
  <c r="H28" i="31"/>
  <c r="F20" i="31"/>
  <c r="H20" i="31"/>
  <c r="K20" i="31" s="1"/>
  <c r="F12" i="31"/>
  <c r="H12" i="31"/>
  <c r="H43" i="31"/>
  <c r="F43" i="31"/>
  <c r="H42" i="31"/>
  <c r="F42" i="31"/>
  <c r="H38" i="31"/>
  <c r="F38" i="31"/>
  <c r="J38" i="31" s="1"/>
  <c r="H34" i="31"/>
  <c r="F34" i="31"/>
  <c r="H30" i="31"/>
  <c r="F30" i="31"/>
  <c r="H26" i="31"/>
  <c r="F26" i="31"/>
  <c r="H22" i="31"/>
  <c r="F22" i="31"/>
  <c r="H18" i="31"/>
  <c r="F18" i="31"/>
  <c r="H14" i="31"/>
  <c r="F14" i="31"/>
  <c r="J14" i="31" s="1"/>
  <c r="H10" i="31"/>
  <c r="F10" i="31"/>
  <c r="H6" i="31"/>
  <c r="F6" i="31"/>
  <c r="J6" i="31" s="1"/>
  <c r="F44" i="31"/>
  <c r="H44" i="31"/>
  <c r="F41" i="31"/>
  <c r="H41" i="31"/>
  <c r="K41" i="31" s="1"/>
  <c r="F37" i="31"/>
  <c r="H37" i="31"/>
  <c r="F33" i="31"/>
  <c r="H33" i="31"/>
  <c r="F29" i="31"/>
  <c r="H29" i="31"/>
  <c r="F25" i="31"/>
  <c r="H25" i="31"/>
  <c r="F21" i="31"/>
  <c r="H21" i="31"/>
  <c r="F17" i="31"/>
  <c r="H17" i="31"/>
  <c r="K17" i="31" s="1"/>
  <c r="F13" i="31"/>
  <c r="H13" i="31"/>
  <c r="F9" i="31"/>
  <c r="H9" i="31"/>
  <c r="F5" i="31"/>
  <c r="H5" i="31"/>
  <c r="F36" i="31"/>
  <c r="H36" i="31"/>
  <c r="K36" i="31" s="1"/>
  <c r="F24" i="31"/>
  <c r="H24" i="31"/>
  <c r="F16" i="31"/>
  <c r="H16" i="31"/>
  <c r="K16" i="31" s="1"/>
  <c r="F8" i="31"/>
  <c r="H8" i="31"/>
  <c r="H39" i="31"/>
  <c r="F39" i="31"/>
  <c r="J39" i="31" s="1"/>
  <c r="H35" i="31"/>
  <c r="F35" i="31"/>
  <c r="H31" i="31"/>
  <c r="F31" i="31"/>
  <c r="H27" i="31"/>
  <c r="F27" i="31"/>
  <c r="H23" i="31"/>
  <c r="F23" i="31"/>
  <c r="J23" i="31" s="1"/>
  <c r="H19" i="31"/>
  <c r="F19" i="31"/>
  <c r="H15" i="31"/>
  <c r="F15" i="31"/>
  <c r="J15" i="31" s="1"/>
  <c r="H11" i="31"/>
  <c r="F11" i="31"/>
  <c r="H7" i="31"/>
  <c r="F7" i="31"/>
  <c r="H142" i="31"/>
  <c r="K142" i="31" s="1"/>
  <c r="F142" i="31"/>
  <c r="J142" i="31" s="1"/>
  <c r="I111" i="31"/>
  <c r="I142" i="31"/>
  <c r="J137" i="31"/>
  <c r="I137" i="31"/>
  <c r="J133" i="31"/>
  <c r="I133" i="31"/>
  <c r="J129" i="31"/>
  <c r="I129" i="31"/>
  <c r="J125" i="31"/>
  <c r="I125" i="31"/>
  <c r="J121" i="31"/>
  <c r="I121" i="31"/>
  <c r="J117" i="31"/>
  <c r="I117" i="31"/>
  <c r="J113" i="31"/>
  <c r="I113" i="31"/>
  <c r="J109" i="31"/>
  <c r="I109" i="31"/>
  <c r="I105" i="31"/>
  <c r="J100" i="31"/>
  <c r="I100" i="31"/>
  <c r="J96" i="31"/>
  <c r="I96" i="31"/>
  <c r="J92" i="31"/>
  <c r="I92" i="31"/>
  <c r="J88" i="31"/>
  <c r="I88" i="31"/>
  <c r="J84" i="31"/>
  <c r="I84" i="31"/>
  <c r="J80" i="31"/>
  <c r="I80" i="31"/>
  <c r="J76" i="31"/>
  <c r="I76" i="31"/>
  <c r="J72" i="31"/>
  <c r="I72" i="31"/>
  <c r="J68" i="31"/>
  <c r="I68" i="31"/>
  <c r="I56" i="31"/>
  <c r="J48" i="31"/>
  <c r="I48" i="31"/>
  <c r="J140" i="31"/>
  <c r="I140" i="31"/>
  <c r="J136" i="31"/>
  <c r="I136" i="31"/>
  <c r="J132" i="31"/>
  <c r="I132" i="31"/>
  <c r="J128" i="31"/>
  <c r="I128" i="31"/>
  <c r="J124" i="31"/>
  <c r="I124" i="31"/>
  <c r="J120" i="31"/>
  <c r="I120" i="31"/>
  <c r="J116" i="31"/>
  <c r="I116" i="31"/>
  <c r="J112" i="31"/>
  <c r="I112" i="31"/>
  <c r="J108" i="31"/>
  <c r="I108" i="31"/>
  <c r="J103" i="31"/>
  <c r="I103" i="31"/>
  <c r="J99" i="31"/>
  <c r="I99" i="31"/>
  <c r="J95" i="31"/>
  <c r="I95" i="31"/>
  <c r="J91" i="31"/>
  <c r="I91" i="31"/>
  <c r="J87" i="31"/>
  <c r="I87" i="31"/>
  <c r="J83" i="31"/>
  <c r="I83" i="31"/>
  <c r="J79" i="31"/>
  <c r="I79" i="31"/>
  <c r="J75" i="31"/>
  <c r="I75" i="31"/>
  <c r="J71" i="31"/>
  <c r="I71" i="31"/>
  <c r="J67" i="31"/>
  <c r="I67" i="31"/>
  <c r="I55" i="31"/>
  <c r="J47" i="31"/>
  <c r="I47" i="31"/>
  <c r="J141" i="31"/>
  <c r="I141" i="31"/>
  <c r="J139" i="31"/>
  <c r="I139" i="31"/>
  <c r="J135" i="31"/>
  <c r="I135" i="31"/>
  <c r="J131" i="31"/>
  <c r="I131" i="31"/>
  <c r="J127" i="31"/>
  <c r="I127" i="31"/>
  <c r="J123" i="31"/>
  <c r="I123" i="31"/>
  <c r="J119" i="31"/>
  <c r="I119" i="31"/>
  <c r="J115" i="31"/>
  <c r="I115" i="31"/>
  <c r="J107" i="31"/>
  <c r="I107" i="31"/>
  <c r="I102" i="31"/>
  <c r="J102" i="31"/>
  <c r="I98" i="31"/>
  <c r="J98" i="31"/>
  <c r="I94" i="31"/>
  <c r="J94" i="31"/>
  <c r="I90" i="31"/>
  <c r="J90" i="31"/>
  <c r="I86" i="31"/>
  <c r="J86" i="31"/>
  <c r="I82" i="31"/>
  <c r="J82" i="31"/>
  <c r="I78" i="31"/>
  <c r="J78" i="31"/>
  <c r="I74" i="31"/>
  <c r="J74" i="31"/>
  <c r="I70" i="31"/>
  <c r="J70" i="31"/>
  <c r="I66" i="31"/>
  <c r="J66" i="31"/>
  <c r="I58" i="31"/>
  <c r="I54" i="31"/>
  <c r="I50" i="31"/>
  <c r="J50" i="31"/>
  <c r="J46" i="31"/>
  <c r="I138" i="31"/>
  <c r="J138" i="31"/>
  <c r="I134" i="31"/>
  <c r="J134" i="31"/>
  <c r="I130" i="31"/>
  <c r="J130" i="31"/>
  <c r="I126" i="31"/>
  <c r="J126" i="31"/>
  <c r="I122" i="31"/>
  <c r="N5" i="31" s="1"/>
  <c r="J122" i="31"/>
  <c r="I118" i="31"/>
  <c r="J118" i="31"/>
  <c r="I114" i="31"/>
  <c r="J114" i="31"/>
  <c r="I110" i="31"/>
  <c r="J110" i="31"/>
  <c r="I106" i="31"/>
  <c r="J106" i="31"/>
  <c r="J101" i="31"/>
  <c r="I101" i="31"/>
  <c r="J97" i="31"/>
  <c r="I97" i="31"/>
  <c r="J93" i="31"/>
  <c r="I93" i="31"/>
  <c r="J89" i="31"/>
  <c r="I89" i="31"/>
  <c r="J85" i="31"/>
  <c r="I85" i="31"/>
  <c r="J81" i="31"/>
  <c r="I81" i="31"/>
  <c r="J77" i="31"/>
  <c r="I77" i="31"/>
  <c r="J73" i="31"/>
  <c r="I73" i="31"/>
  <c r="J69" i="31"/>
  <c r="I69" i="31"/>
  <c r="J65" i="31"/>
  <c r="I65" i="31"/>
  <c r="I57" i="31"/>
  <c r="I53" i="31"/>
  <c r="J49" i="31"/>
  <c r="I49" i="31"/>
  <c r="J45" i="31"/>
  <c r="K117" i="31"/>
  <c r="K96" i="31"/>
  <c r="K80" i="31"/>
  <c r="K76" i="31"/>
  <c r="K68" i="31"/>
  <c r="K48" i="31"/>
  <c r="K40" i="31"/>
  <c r="J40" i="31"/>
  <c r="K116" i="31"/>
  <c r="K95" i="31"/>
  <c r="K83" i="31"/>
  <c r="K79" i="31"/>
  <c r="K71" i="31"/>
  <c r="K67" i="31"/>
  <c r="K51" i="31"/>
  <c r="J51" i="31"/>
  <c r="K47" i="31"/>
  <c r="K43" i="31"/>
  <c r="J43" i="31"/>
  <c r="K39" i="31"/>
  <c r="K119" i="31"/>
  <c r="K115" i="31"/>
  <c r="K111" i="31"/>
  <c r="J111" i="31"/>
  <c r="K94" i="31"/>
  <c r="K86" i="31"/>
  <c r="K82" i="31"/>
  <c r="K78" i="31"/>
  <c r="K74" i="31"/>
  <c r="K70" i="31"/>
  <c r="K66" i="31"/>
  <c r="K50" i="31"/>
  <c r="K46" i="31"/>
  <c r="J42" i="31"/>
  <c r="K42" i="31"/>
  <c r="K38" i="31"/>
  <c r="K113" i="31"/>
  <c r="K88" i="31"/>
  <c r="K84" i="31"/>
  <c r="K72" i="31"/>
  <c r="K52" i="31"/>
  <c r="J52" i="31"/>
  <c r="K44" i="31"/>
  <c r="J44" i="31"/>
  <c r="K120" i="31"/>
  <c r="K112" i="31"/>
  <c r="K87" i="31"/>
  <c r="K75" i="31"/>
  <c r="K118" i="31"/>
  <c r="K114" i="31"/>
  <c r="K93" i="31"/>
  <c r="K89" i="31"/>
  <c r="K85" i="31"/>
  <c r="K81" i="31"/>
  <c r="K77" i="31"/>
  <c r="K73" i="31"/>
  <c r="K69" i="31"/>
  <c r="K65" i="31"/>
  <c r="K49" i="31"/>
  <c r="K45" i="31"/>
  <c r="J41" i="31"/>
  <c r="K107" i="31"/>
  <c r="K18" i="31"/>
  <c r="J18" i="31"/>
  <c r="K6" i="31"/>
  <c r="K126" i="31"/>
  <c r="K138" i="31"/>
  <c r="K110" i="31"/>
  <c r="K97" i="31"/>
  <c r="K21" i="31"/>
  <c r="J21" i="31"/>
  <c r="K139" i="31"/>
  <c r="K100" i="31"/>
  <c r="J36" i="31"/>
  <c r="J20" i="31"/>
  <c r="J16" i="31"/>
  <c r="K12" i="31"/>
  <c r="J12" i="31"/>
  <c r="K124" i="31"/>
  <c r="K128" i="31"/>
  <c r="K132" i="31"/>
  <c r="K136" i="31"/>
  <c r="K140" i="31"/>
  <c r="K102" i="31"/>
  <c r="K98" i="31"/>
  <c r="K90" i="31"/>
  <c r="K22" i="31"/>
  <c r="J22" i="31"/>
  <c r="K14" i="31"/>
  <c r="K122" i="31"/>
  <c r="K130" i="31"/>
  <c r="K134" i="31"/>
  <c r="K106" i="31"/>
  <c r="K101" i="31"/>
  <c r="K37" i="31"/>
  <c r="J37" i="31"/>
  <c r="J17" i="31"/>
  <c r="K13" i="31"/>
  <c r="J13" i="31"/>
  <c r="K123" i="31"/>
  <c r="K127" i="31"/>
  <c r="K131" i="31"/>
  <c r="K135" i="31"/>
  <c r="K109" i="31"/>
  <c r="J105" i="31"/>
  <c r="K105" i="31"/>
  <c r="K92" i="31"/>
  <c r="K108" i="31"/>
  <c r="K103" i="31"/>
  <c r="K99" i="31"/>
  <c r="K91" i="31"/>
  <c r="K23" i="31"/>
  <c r="K19" i="31"/>
  <c r="J19" i="31"/>
  <c r="K15" i="31"/>
  <c r="K121" i="31"/>
  <c r="K125" i="31"/>
  <c r="K129" i="31"/>
  <c r="K133" i="31"/>
  <c r="K137" i="31"/>
  <c r="K141" i="31"/>
  <c r="G3" i="31"/>
  <c r="B12" i="6" s="1"/>
  <c r="N3" i="31"/>
  <c r="N4" i="31"/>
  <c r="I61" i="31" l="1"/>
  <c r="I60" i="31"/>
  <c r="I59" i="31"/>
  <c r="I64" i="31"/>
  <c r="I63" i="31"/>
  <c r="I62" i="31"/>
  <c r="K62" i="31"/>
  <c r="K59" i="31"/>
  <c r="K64" i="31"/>
  <c r="K61" i="31"/>
  <c r="K63" i="31"/>
  <c r="K60" i="31"/>
  <c r="K3" i="31"/>
  <c r="J3" i="31"/>
  <c r="C10" i="6"/>
  <c r="L16" i="7" l="1"/>
  <c r="L16" i="33"/>
  <c r="E152" i="2" l="1"/>
  <c r="P152" i="2" l="1"/>
  <c r="O152" i="2"/>
  <c r="AQ152" i="2"/>
  <c r="W152" i="2"/>
  <c r="H152" i="2"/>
  <c r="AO152" i="2"/>
  <c r="AW152" i="2"/>
  <c r="F152" i="2"/>
  <c r="AE152" i="2"/>
  <c r="AY152" i="2"/>
  <c r="Y152" i="2"/>
  <c r="J152" i="2"/>
  <c r="S152" i="2"/>
  <c r="AA152" i="2"/>
  <c r="AK152" i="2"/>
  <c r="AS152" i="2"/>
  <c r="BA152" i="2"/>
  <c r="Q152" i="2"/>
  <c r="AG152" i="2"/>
  <c r="C152" i="2"/>
  <c r="M152" i="2"/>
  <c r="U152" i="2"/>
  <c r="AC152" i="2"/>
  <c r="AM152" i="2"/>
  <c r="AU152" i="2"/>
  <c r="BE152" i="2"/>
  <c r="BC152" i="2"/>
  <c r="L152" i="2"/>
  <c r="T152" i="2"/>
  <c r="X152" i="2"/>
  <c r="AB152" i="2"/>
  <c r="AF152" i="2"/>
  <c r="AJ152" i="2"/>
  <c r="AN152" i="2"/>
  <c r="AR152" i="2"/>
  <c r="AV152" i="2"/>
  <c r="AZ152" i="2"/>
  <c r="BD152" i="2"/>
  <c r="D152" i="2"/>
  <c r="R152" i="2"/>
  <c r="V152" i="2"/>
  <c r="Z152" i="2"/>
  <c r="AD152" i="2"/>
  <c r="AH152" i="2"/>
  <c r="AL152" i="2"/>
  <c r="AP152" i="2"/>
  <c r="AT152" i="2"/>
  <c r="AX152" i="2"/>
  <c r="BB152" i="2"/>
  <c r="BF152" i="2"/>
  <c r="C44" i="6"/>
  <c r="C43" i="6"/>
  <c r="G152" i="2" l="1"/>
  <c r="I152" i="2"/>
  <c r="BO152" i="2"/>
  <c r="AI152" i="2"/>
  <c r="BG152" i="2"/>
  <c r="N152" i="2"/>
  <c r="G16" i="7" l="1"/>
  <c r="I13" i="7"/>
  <c r="H13" i="7"/>
  <c r="J13" i="7" s="1"/>
  <c r="J14" i="7"/>
  <c r="B22" i="7" l="1"/>
  <c r="F6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D4" i="2"/>
  <c r="D5" i="2" s="1"/>
  <c r="E4" i="2"/>
  <c r="F4" i="2"/>
  <c r="G4" i="2"/>
  <c r="H4" i="2"/>
  <c r="I4" i="2"/>
  <c r="J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U5" i="2" s="1"/>
  <c r="BA4" i="2"/>
  <c r="BB4" i="2"/>
  <c r="BC4" i="2"/>
  <c r="BD4" i="2"/>
  <c r="BE4" i="2"/>
  <c r="BF4" i="2"/>
  <c r="BS8" i="2"/>
  <c r="BS9" i="2"/>
  <c r="BS10" i="2"/>
  <c r="BS12" i="2"/>
  <c r="BS13" i="2"/>
  <c r="BS14" i="2"/>
  <c r="BS15" i="2"/>
  <c r="BS11" i="2"/>
  <c r="BS16" i="2"/>
  <c r="BS17" i="2"/>
  <c r="BS20" i="2"/>
  <c r="BS21" i="2"/>
  <c r="BS22" i="2"/>
  <c r="BS23" i="2"/>
  <c r="BS24" i="2"/>
  <c r="BS25" i="2"/>
  <c r="BS26" i="2"/>
  <c r="BS27" i="2"/>
  <c r="BS18" i="2"/>
  <c r="BS19" i="2"/>
  <c r="BS28" i="2"/>
  <c r="BS29" i="2"/>
  <c r="BS32" i="2"/>
  <c r="BS33" i="2"/>
  <c r="BS34" i="2"/>
  <c r="BS35" i="2"/>
  <c r="BS36" i="2"/>
  <c r="BS37" i="2"/>
  <c r="BS38" i="2"/>
  <c r="BS39" i="2"/>
  <c r="BS30" i="2"/>
  <c r="BS31" i="2"/>
  <c r="BS40" i="2"/>
  <c r="BS41" i="2"/>
  <c r="BS42" i="2"/>
  <c r="BS43" i="2"/>
  <c r="BS44" i="2"/>
  <c r="BS45" i="2"/>
  <c r="BS46" i="2"/>
  <c r="BS51" i="2"/>
  <c r="BS52" i="2"/>
  <c r="BS54" i="2"/>
  <c r="BS53" i="2"/>
  <c r="BS55" i="2"/>
  <c r="BS56" i="2"/>
  <c r="BS57" i="2"/>
  <c r="BS58" i="2"/>
  <c r="BS59" i="2"/>
  <c r="BS60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S82" i="2"/>
  <c r="BS84" i="2"/>
  <c r="BS85" i="2"/>
  <c r="BS86" i="2"/>
  <c r="BS95" i="2"/>
  <c r="BS96" i="2"/>
  <c r="BS97" i="2"/>
  <c r="BS98" i="2"/>
  <c r="BS99" i="2"/>
  <c r="BS100" i="2"/>
  <c r="BS101" i="2"/>
  <c r="BS102" i="2"/>
  <c r="BS103" i="2"/>
  <c r="BS104" i="2"/>
  <c r="BS105" i="2"/>
  <c r="BS106" i="2"/>
  <c r="BS107" i="2"/>
  <c r="BS108" i="2"/>
  <c r="BS109" i="2"/>
  <c r="BS110" i="2"/>
  <c r="BS112" i="2"/>
  <c r="BS113" i="2"/>
  <c r="BS119" i="2"/>
  <c r="BS118" i="2"/>
  <c r="BS121" i="2"/>
  <c r="BS122" i="2"/>
  <c r="BS123" i="2"/>
  <c r="BS124" i="2"/>
  <c r="BS130" i="2"/>
  <c r="BS131" i="2"/>
  <c r="BS133" i="2"/>
  <c r="BS134" i="2"/>
  <c r="BS135" i="2"/>
  <c r="BS136" i="2"/>
  <c r="BS137" i="2"/>
  <c r="BS138" i="2"/>
  <c r="BS144" i="2"/>
  <c r="BS145" i="2"/>
  <c r="A86" i="3" l="1"/>
  <c r="AY4" i="2" s="1"/>
  <c r="AY5" i="2" s="1"/>
  <c r="B86" i="3"/>
  <c r="AV4" i="2" l="1"/>
  <c r="AW4" i="2"/>
  <c r="AW5" i="2" s="1"/>
  <c r="AX4" i="2"/>
  <c r="BI152" i="2"/>
  <c r="BS152" i="2" s="1"/>
  <c r="L4" i="2"/>
  <c r="B343" i="33" l="1"/>
  <c r="B183" i="33"/>
  <c r="B23" i="33"/>
  <c r="B263" i="33"/>
  <c r="B103" i="33"/>
  <c r="BT9" i="2"/>
  <c r="B23" i="7"/>
  <c r="X3" i="8"/>
  <c r="B24" i="7" l="1"/>
  <c r="BT10" i="2"/>
  <c r="BT11" i="2" s="1"/>
  <c r="BT12" i="2" s="1"/>
  <c r="BT13" i="2" s="1"/>
  <c r="BT14" i="2" s="1"/>
  <c r="BT15" i="2" s="1"/>
  <c r="BT16" i="2" s="1"/>
  <c r="BT17" i="2" s="1"/>
  <c r="BT18" i="2" s="1"/>
  <c r="BT19" i="2" s="1"/>
  <c r="BT20" i="2" s="1"/>
  <c r="BT21" i="2" s="1"/>
  <c r="BT22" i="2" s="1"/>
  <c r="BT23" i="2" s="1"/>
  <c r="BT24" i="2" s="1"/>
  <c r="BT25" i="2" s="1"/>
  <c r="BT26" i="2" s="1"/>
  <c r="BT27" i="2" s="1"/>
  <c r="BT28" i="2" s="1"/>
  <c r="BT29" i="2" s="1"/>
  <c r="BT30" i="2" s="1"/>
  <c r="BT31" i="2" s="1"/>
  <c r="BT32" i="2" s="1"/>
  <c r="BT33" i="2" s="1"/>
  <c r="BT34" i="2" s="1"/>
  <c r="BT35" i="2" s="1"/>
  <c r="BT36" i="2" s="1"/>
  <c r="BT37" i="2" s="1"/>
  <c r="BT38" i="2" s="1"/>
  <c r="BT39" i="2" s="1"/>
  <c r="BT40" i="2" s="1"/>
  <c r="BT41" i="2" s="1"/>
  <c r="BT42" i="2" s="1"/>
  <c r="BT43" i="2" s="1"/>
  <c r="BT44" i="2" s="1"/>
  <c r="BT45" i="2" s="1"/>
  <c r="BT46" i="2" s="1"/>
  <c r="BT47" i="2" s="1"/>
  <c r="BT48" i="2" s="1"/>
  <c r="D22" i="7"/>
  <c r="J22" i="7" s="1"/>
  <c r="B184" i="33"/>
  <c r="B104" i="33"/>
  <c r="B264" i="33"/>
  <c r="B344" i="33"/>
  <c r="B24" i="33"/>
  <c r="BH152" i="2"/>
  <c r="BJ152" i="2" s="1"/>
  <c r="A4" i="8"/>
  <c r="B4" i="8"/>
  <c r="A5" i="8"/>
  <c r="B5" i="8"/>
  <c r="A6" i="8"/>
  <c r="B6" i="8"/>
  <c r="A7" i="8"/>
  <c r="B7" i="8"/>
  <c r="A8" i="8"/>
  <c r="B8" i="8"/>
  <c r="A9" i="8"/>
  <c r="B9" i="8"/>
  <c r="A10" i="8"/>
  <c r="B10" i="8"/>
  <c r="A11" i="8"/>
  <c r="B11" i="8"/>
  <c r="A12" i="8"/>
  <c r="B12" i="8"/>
  <c r="A13" i="8"/>
  <c r="B13" i="8"/>
  <c r="A14" i="8"/>
  <c r="B14" i="8"/>
  <c r="A15" i="8"/>
  <c r="B15" i="8"/>
  <c r="A16" i="8"/>
  <c r="B16" i="8"/>
  <c r="A17" i="8"/>
  <c r="B17" i="8"/>
  <c r="A18" i="8"/>
  <c r="B18" i="8"/>
  <c r="A19" i="8"/>
  <c r="B19" i="8"/>
  <c r="A20" i="8"/>
  <c r="B20" i="8"/>
  <c r="A21" i="8"/>
  <c r="B21" i="8"/>
  <c r="A22" i="8"/>
  <c r="B22" i="8"/>
  <c r="A23" i="8"/>
  <c r="B23" i="8"/>
  <c r="A24" i="8"/>
  <c r="B24" i="8"/>
  <c r="A25" i="8"/>
  <c r="B25" i="8"/>
  <c r="A26" i="8"/>
  <c r="B26" i="8"/>
  <c r="A27" i="8"/>
  <c r="B27" i="8"/>
  <c r="A28" i="8"/>
  <c r="B28" i="8"/>
  <c r="A29" i="8"/>
  <c r="B29" i="8"/>
  <c r="A30" i="8"/>
  <c r="B30" i="8"/>
  <c r="A31" i="8"/>
  <c r="B31" i="8"/>
  <c r="B32" i="8"/>
  <c r="B33" i="8"/>
  <c r="B34" i="8"/>
  <c r="B35" i="8"/>
  <c r="B37" i="8"/>
  <c r="B38" i="8"/>
  <c r="B39" i="8"/>
  <c r="B40" i="8"/>
  <c r="B41" i="8"/>
  <c r="B42" i="8"/>
  <c r="A3" i="8"/>
  <c r="B3" i="8"/>
  <c r="A5" i="1"/>
  <c r="B5" i="1"/>
  <c r="C5" i="1"/>
  <c r="F5" i="1"/>
  <c r="H5" i="1"/>
  <c r="I5" i="1"/>
  <c r="J5" i="1"/>
  <c r="A6" i="1"/>
  <c r="B6" i="1"/>
  <c r="C6" i="1"/>
  <c r="H6" i="1"/>
  <c r="I6" i="1"/>
  <c r="J6" i="1"/>
  <c r="A7" i="1"/>
  <c r="B7" i="1"/>
  <c r="C7" i="1"/>
  <c r="H7" i="1"/>
  <c r="I7" i="1"/>
  <c r="J7" i="1"/>
  <c r="A8" i="1"/>
  <c r="B8" i="1"/>
  <c r="C8" i="1"/>
  <c r="H8" i="1"/>
  <c r="I8" i="1"/>
  <c r="J8" i="1"/>
  <c r="A9" i="1"/>
  <c r="B9" i="1"/>
  <c r="C9" i="1"/>
  <c r="H9" i="1"/>
  <c r="I9" i="1"/>
  <c r="J9" i="1"/>
  <c r="A10" i="1"/>
  <c r="B10" i="1"/>
  <c r="C10" i="1"/>
  <c r="H10" i="1"/>
  <c r="I10" i="1"/>
  <c r="J10" i="1"/>
  <c r="A11" i="1"/>
  <c r="B11" i="1"/>
  <c r="C11" i="1"/>
  <c r="H11" i="1"/>
  <c r="I11" i="1"/>
  <c r="J11" i="1"/>
  <c r="A12" i="1"/>
  <c r="B12" i="1"/>
  <c r="C12" i="1"/>
  <c r="H12" i="1"/>
  <c r="I12" i="1"/>
  <c r="J12" i="1"/>
  <c r="A13" i="1"/>
  <c r="B13" i="1"/>
  <c r="C13" i="1"/>
  <c r="H13" i="1"/>
  <c r="I13" i="1"/>
  <c r="J13" i="1"/>
  <c r="A14" i="1"/>
  <c r="B14" i="1"/>
  <c r="C14" i="1"/>
  <c r="H14" i="1"/>
  <c r="I14" i="1"/>
  <c r="J14" i="1"/>
  <c r="A15" i="1"/>
  <c r="B15" i="1"/>
  <c r="C15" i="1"/>
  <c r="H15" i="1"/>
  <c r="I15" i="1"/>
  <c r="J15" i="1"/>
  <c r="A16" i="1"/>
  <c r="B16" i="1"/>
  <c r="C16" i="1"/>
  <c r="H16" i="1"/>
  <c r="I16" i="1"/>
  <c r="J16" i="1"/>
  <c r="A17" i="1"/>
  <c r="B17" i="1"/>
  <c r="C17" i="1"/>
  <c r="H17" i="1"/>
  <c r="I17" i="1"/>
  <c r="J17" i="1"/>
  <c r="A18" i="1"/>
  <c r="B18" i="1"/>
  <c r="C18" i="1"/>
  <c r="H18" i="1"/>
  <c r="I18" i="1"/>
  <c r="J18" i="1"/>
  <c r="A19" i="1"/>
  <c r="B19" i="1"/>
  <c r="C19" i="1"/>
  <c r="H19" i="1"/>
  <c r="I19" i="1"/>
  <c r="J19" i="1"/>
  <c r="A20" i="1"/>
  <c r="B20" i="1"/>
  <c r="C20" i="1"/>
  <c r="H20" i="1"/>
  <c r="I20" i="1"/>
  <c r="J20" i="1"/>
  <c r="A21" i="1"/>
  <c r="B21" i="1"/>
  <c r="C21" i="1"/>
  <c r="H21" i="1"/>
  <c r="I21" i="1"/>
  <c r="J21" i="1"/>
  <c r="A22" i="1"/>
  <c r="B22" i="1"/>
  <c r="C22" i="1"/>
  <c r="H22" i="1"/>
  <c r="I22" i="1"/>
  <c r="J22" i="1"/>
  <c r="A23" i="1"/>
  <c r="B23" i="1"/>
  <c r="C23" i="1"/>
  <c r="H23" i="1"/>
  <c r="I23" i="1"/>
  <c r="J23" i="1"/>
  <c r="A24" i="1"/>
  <c r="B24" i="1"/>
  <c r="C24" i="1"/>
  <c r="H24" i="1"/>
  <c r="I24" i="1"/>
  <c r="J24" i="1"/>
  <c r="A25" i="1"/>
  <c r="B25" i="1"/>
  <c r="C25" i="1"/>
  <c r="H25" i="1"/>
  <c r="I25" i="1"/>
  <c r="J25" i="1"/>
  <c r="A26" i="1"/>
  <c r="B26" i="1"/>
  <c r="C26" i="1"/>
  <c r="H26" i="1"/>
  <c r="I26" i="1"/>
  <c r="J26" i="1"/>
  <c r="A27" i="1"/>
  <c r="B27" i="1"/>
  <c r="C27" i="1"/>
  <c r="H27" i="1"/>
  <c r="I27" i="1"/>
  <c r="J27" i="1"/>
  <c r="A28" i="1"/>
  <c r="B28" i="1"/>
  <c r="C28" i="1"/>
  <c r="H28" i="1"/>
  <c r="I28" i="1"/>
  <c r="J28" i="1"/>
  <c r="A29" i="1"/>
  <c r="B29" i="1"/>
  <c r="C29" i="1"/>
  <c r="H29" i="1"/>
  <c r="I29" i="1"/>
  <c r="J29" i="1"/>
  <c r="A30" i="1"/>
  <c r="B30" i="1"/>
  <c r="C30" i="1"/>
  <c r="H30" i="1"/>
  <c r="I30" i="1"/>
  <c r="J30" i="1"/>
  <c r="A31" i="1"/>
  <c r="B31" i="1"/>
  <c r="C31" i="1"/>
  <c r="H31" i="1"/>
  <c r="I31" i="1"/>
  <c r="J31" i="1"/>
  <c r="A32" i="1"/>
  <c r="B32" i="1"/>
  <c r="C32" i="1"/>
  <c r="H32" i="1"/>
  <c r="I32" i="1"/>
  <c r="J32" i="1"/>
  <c r="A33" i="1"/>
  <c r="B33" i="1"/>
  <c r="C33" i="1"/>
  <c r="H33" i="1"/>
  <c r="I33" i="1"/>
  <c r="J33" i="1"/>
  <c r="A34" i="1"/>
  <c r="B34" i="1"/>
  <c r="C34" i="1"/>
  <c r="H34" i="1"/>
  <c r="I34" i="1"/>
  <c r="J34" i="1"/>
  <c r="A35" i="1"/>
  <c r="B35" i="1"/>
  <c r="C35" i="1"/>
  <c r="H35" i="1"/>
  <c r="I35" i="1"/>
  <c r="J35" i="1"/>
  <c r="A36" i="1"/>
  <c r="B36" i="1"/>
  <c r="C36" i="1"/>
  <c r="H36" i="1"/>
  <c r="I36" i="1"/>
  <c r="J36" i="1"/>
  <c r="A37" i="1"/>
  <c r="B37" i="1"/>
  <c r="C37" i="1"/>
  <c r="H37" i="1"/>
  <c r="I37" i="1"/>
  <c r="J37" i="1"/>
  <c r="A38" i="1"/>
  <c r="B38" i="1"/>
  <c r="C38" i="1"/>
  <c r="H38" i="1"/>
  <c r="I38" i="1"/>
  <c r="J38" i="1"/>
  <c r="A39" i="1"/>
  <c r="B39" i="1"/>
  <c r="C39" i="1"/>
  <c r="H39" i="1"/>
  <c r="I39" i="1"/>
  <c r="J39" i="1"/>
  <c r="A40" i="1"/>
  <c r="B40" i="1"/>
  <c r="C40" i="1"/>
  <c r="H40" i="1"/>
  <c r="I40" i="1"/>
  <c r="J40" i="1"/>
  <c r="A41" i="1"/>
  <c r="B41" i="1"/>
  <c r="C41" i="1"/>
  <c r="H41" i="1"/>
  <c r="I41" i="1"/>
  <c r="J41" i="1"/>
  <c r="A42" i="1"/>
  <c r="B42" i="1"/>
  <c r="C42" i="1"/>
  <c r="I42" i="1"/>
  <c r="J42" i="1"/>
  <c r="A43" i="1"/>
  <c r="B43" i="1"/>
  <c r="C43" i="1"/>
  <c r="H43" i="1"/>
  <c r="I43" i="1"/>
  <c r="J43" i="1"/>
  <c r="A44" i="1"/>
  <c r="B44" i="1"/>
  <c r="C44" i="1"/>
  <c r="H44" i="1"/>
  <c r="I44" i="1"/>
  <c r="J44" i="1"/>
  <c r="A45" i="1"/>
  <c r="B45" i="1"/>
  <c r="C45" i="1"/>
  <c r="H45" i="1"/>
  <c r="I45" i="1"/>
  <c r="J45" i="1"/>
  <c r="A46" i="1"/>
  <c r="B46" i="1"/>
  <c r="C46" i="1"/>
  <c r="H46" i="1"/>
  <c r="I46" i="1"/>
  <c r="J46" i="1"/>
  <c r="A47" i="1"/>
  <c r="B47" i="1"/>
  <c r="C47" i="1"/>
  <c r="H47" i="1"/>
  <c r="I47" i="1"/>
  <c r="J47" i="1"/>
  <c r="A48" i="1"/>
  <c r="B48" i="1"/>
  <c r="C48" i="1"/>
  <c r="H48" i="1"/>
  <c r="I48" i="1"/>
  <c r="J48" i="1"/>
  <c r="A49" i="1"/>
  <c r="B49" i="1"/>
  <c r="C49" i="1"/>
  <c r="H49" i="1"/>
  <c r="I49" i="1"/>
  <c r="J49" i="1"/>
  <c r="A50" i="1"/>
  <c r="B50" i="1"/>
  <c r="C50" i="1"/>
  <c r="H50" i="1"/>
  <c r="I50" i="1"/>
  <c r="J50" i="1"/>
  <c r="A51" i="1"/>
  <c r="B51" i="1"/>
  <c r="C51" i="1"/>
  <c r="H51" i="1"/>
  <c r="I51" i="1"/>
  <c r="J51" i="1"/>
  <c r="A52" i="1"/>
  <c r="B52" i="1"/>
  <c r="C52" i="1"/>
  <c r="H52" i="1"/>
  <c r="I52" i="1"/>
  <c r="J52" i="1"/>
  <c r="A53" i="1"/>
  <c r="B53" i="1"/>
  <c r="C53" i="1"/>
  <c r="H53" i="1"/>
  <c r="I53" i="1"/>
  <c r="J53" i="1"/>
  <c r="A54" i="1"/>
  <c r="B54" i="1"/>
  <c r="C54" i="1"/>
  <c r="H54" i="1"/>
  <c r="I54" i="1"/>
  <c r="J54" i="1"/>
  <c r="A55" i="1"/>
  <c r="B55" i="1"/>
  <c r="C55" i="1"/>
  <c r="H55" i="1"/>
  <c r="I55" i="1"/>
  <c r="J55" i="1"/>
  <c r="A56" i="1"/>
  <c r="B56" i="1"/>
  <c r="C56" i="1"/>
  <c r="H56" i="1"/>
  <c r="I56" i="1"/>
  <c r="J56" i="1"/>
  <c r="K56" i="1"/>
  <c r="A57" i="1"/>
  <c r="B57" i="1"/>
  <c r="C57" i="1"/>
  <c r="H57" i="1"/>
  <c r="I57" i="1"/>
  <c r="J57" i="1"/>
  <c r="A58" i="1"/>
  <c r="B58" i="1"/>
  <c r="C58" i="1"/>
  <c r="H58" i="1"/>
  <c r="I58" i="1"/>
  <c r="J58" i="1"/>
  <c r="A59" i="1"/>
  <c r="B59" i="1"/>
  <c r="C59" i="1"/>
  <c r="H59" i="1"/>
  <c r="I59" i="1"/>
  <c r="J59" i="1"/>
  <c r="A60" i="1"/>
  <c r="B60" i="1"/>
  <c r="C60" i="1"/>
  <c r="H60" i="1"/>
  <c r="I60" i="1"/>
  <c r="J60" i="1"/>
  <c r="A61" i="1"/>
  <c r="B61" i="1"/>
  <c r="C61" i="1"/>
  <c r="H61" i="1"/>
  <c r="I61" i="1"/>
  <c r="J61" i="1"/>
  <c r="A62" i="1"/>
  <c r="B62" i="1"/>
  <c r="C62" i="1"/>
  <c r="H62" i="1"/>
  <c r="I62" i="1"/>
  <c r="J62" i="1"/>
  <c r="A63" i="1"/>
  <c r="B63" i="1"/>
  <c r="C63" i="1"/>
  <c r="H63" i="1"/>
  <c r="I63" i="1"/>
  <c r="J63" i="1"/>
  <c r="A64" i="1"/>
  <c r="B64" i="1"/>
  <c r="C64" i="1"/>
  <c r="H64" i="1"/>
  <c r="I64" i="1"/>
  <c r="J64" i="1"/>
  <c r="A65" i="1"/>
  <c r="B65" i="1"/>
  <c r="C65" i="1"/>
  <c r="H65" i="1"/>
  <c r="I65" i="1"/>
  <c r="J65" i="1"/>
  <c r="A66" i="1"/>
  <c r="B66" i="1"/>
  <c r="C66" i="1"/>
  <c r="H66" i="1"/>
  <c r="I66" i="1"/>
  <c r="J66" i="1"/>
  <c r="A67" i="1"/>
  <c r="B67" i="1"/>
  <c r="C67" i="1"/>
  <c r="H67" i="1"/>
  <c r="I67" i="1"/>
  <c r="J67" i="1"/>
  <c r="A68" i="1"/>
  <c r="B68" i="1"/>
  <c r="C68" i="1"/>
  <c r="H68" i="1"/>
  <c r="I68" i="1"/>
  <c r="J68" i="1"/>
  <c r="A69" i="1"/>
  <c r="B69" i="1"/>
  <c r="C69" i="1"/>
  <c r="H69" i="1"/>
  <c r="I69" i="1"/>
  <c r="J69" i="1"/>
  <c r="A70" i="1"/>
  <c r="B70" i="1"/>
  <c r="C70" i="1"/>
  <c r="H70" i="1"/>
  <c r="I70" i="1"/>
  <c r="J70" i="1"/>
  <c r="A71" i="1"/>
  <c r="B71" i="1"/>
  <c r="C71" i="1"/>
  <c r="H71" i="1"/>
  <c r="I71" i="1"/>
  <c r="J71" i="1"/>
  <c r="A72" i="1"/>
  <c r="B72" i="1"/>
  <c r="C72" i="1"/>
  <c r="H72" i="1"/>
  <c r="I72" i="1"/>
  <c r="J72" i="1"/>
  <c r="A73" i="1"/>
  <c r="B73" i="1"/>
  <c r="C73" i="1"/>
  <c r="H73" i="1"/>
  <c r="I73" i="1"/>
  <c r="J73" i="1"/>
  <c r="A74" i="1"/>
  <c r="B74" i="1"/>
  <c r="C74" i="1"/>
  <c r="H74" i="1"/>
  <c r="I74" i="1"/>
  <c r="J74" i="1"/>
  <c r="K74" i="1"/>
  <c r="A75" i="1"/>
  <c r="B75" i="1"/>
  <c r="C75" i="1"/>
  <c r="H75" i="1"/>
  <c r="I75" i="1"/>
  <c r="J75" i="1"/>
  <c r="A76" i="1"/>
  <c r="B76" i="1"/>
  <c r="C76" i="1"/>
  <c r="H76" i="1"/>
  <c r="I76" i="1"/>
  <c r="J76" i="1"/>
  <c r="A77" i="1"/>
  <c r="B77" i="1"/>
  <c r="C77" i="1"/>
  <c r="H77" i="1"/>
  <c r="I77" i="1"/>
  <c r="J77" i="1"/>
  <c r="A78" i="1"/>
  <c r="B78" i="1"/>
  <c r="C78" i="1"/>
  <c r="H78" i="1"/>
  <c r="I78" i="1"/>
  <c r="J78" i="1"/>
  <c r="A79" i="1"/>
  <c r="B79" i="1"/>
  <c r="C79" i="1"/>
  <c r="H79" i="1"/>
  <c r="I79" i="1"/>
  <c r="J79" i="1"/>
  <c r="A80" i="1"/>
  <c r="B80" i="1"/>
  <c r="C80" i="1"/>
  <c r="H80" i="1"/>
  <c r="I80" i="1"/>
  <c r="J80" i="1"/>
  <c r="A81" i="1"/>
  <c r="B81" i="1"/>
  <c r="C81" i="1"/>
  <c r="H81" i="1"/>
  <c r="I81" i="1"/>
  <c r="J81" i="1"/>
  <c r="A82" i="1"/>
  <c r="B82" i="1"/>
  <c r="C82" i="1"/>
  <c r="H82" i="1"/>
  <c r="I82" i="1"/>
  <c r="J82" i="1"/>
  <c r="A83" i="1"/>
  <c r="B83" i="1"/>
  <c r="C83" i="1"/>
  <c r="H83" i="1"/>
  <c r="I83" i="1"/>
  <c r="J83" i="1"/>
  <c r="A84" i="1"/>
  <c r="B84" i="1"/>
  <c r="C84" i="1"/>
  <c r="H84" i="1"/>
  <c r="I84" i="1"/>
  <c r="J84" i="1"/>
  <c r="A85" i="1"/>
  <c r="B85" i="1"/>
  <c r="C85" i="1"/>
  <c r="H85" i="1"/>
  <c r="I85" i="1"/>
  <c r="J85" i="1"/>
  <c r="A86" i="1"/>
  <c r="B86" i="1"/>
  <c r="C86" i="1"/>
  <c r="H86" i="1"/>
  <c r="I86" i="1"/>
  <c r="J86" i="1"/>
  <c r="A87" i="1"/>
  <c r="B87" i="1"/>
  <c r="C87" i="1"/>
  <c r="H87" i="1"/>
  <c r="I87" i="1"/>
  <c r="J87" i="1"/>
  <c r="A88" i="1"/>
  <c r="B88" i="1"/>
  <c r="C88" i="1"/>
  <c r="H88" i="1"/>
  <c r="I88" i="1"/>
  <c r="J88" i="1"/>
  <c r="A89" i="1"/>
  <c r="B89" i="1"/>
  <c r="C89" i="1"/>
  <c r="H89" i="1"/>
  <c r="I89" i="1"/>
  <c r="J89" i="1"/>
  <c r="A90" i="1"/>
  <c r="B90" i="1"/>
  <c r="C90" i="1"/>
  <c r="H90" i="1"/>
  <c r="I90" i="1"/>
  <c r="J90" i="1"/>
  <c r="A91" i="1"/>
  <c r="B91" i="1"/>
  <c r="C91" i="1"/>
  <c r="H91" i="1"/>
  <c r="I91" i="1"/>
  <c r="J91" i="1"/>
  <c r="A92" i="1"/>
  <c r="B92" i="1"/>
  <c r="C92" i="1"/>
  <c r="H92" i="1"/>
  <c r="I92" i="1"/>
  <c r="J92" i="1"/>
  <c r="A93" i="1"/>
  <c r="B93" i="1"/>
  <c r="C93" i="1"/>
  <c r="H93" i="1"/>
  <c r="I93" i="1"/>
  <c r="J93" i="1"/>
  <c r="A94" i="1"/>
  <c r="B94" i="1"/>
  <c r="C94" i="1"/>
  <c r="H94" i="1"/>
  <c r="I94" i="1"/>
  <c r="J94" i="1"/>
  <c r="A95" i="1"/>
  <c r="B95" i="1"/>
  <c r="C95" i="1"/>
  <c r="H95" i="1"/>
  <c r="I95" i="1"/>
  <c r="J95" i="1"/>
  <c r="A96" i="1"/>
  <c r="B96" i="1"/>
  <c r="C96" i="1"/>
  <c r="H96" i="1"/>
  <c r="I96" i="1"/>
  <c r="J96" i="1"/>
  <c r="A97" i="1"/>
  <c r="B97" i="1"/>
  <c r="C97" i="1"/>
  <c r="H97" i="1"/>
  <c r="I97" i="1"/>
  <c r="K97" i="1"/>
  <c r="A98" i="1"/>
  <c r="B98" i="1"/>
  <c r="C98" i="1"/>
  <c r="H98" i="1"/>
  <c r="I98" i="1"/>
  <c r="K98" i="1"/>
  <c r="A99" i="1"/>
  <c r="B99" i="1"/>
  <c r="C99" i="1"/>
  <c r="H99" i="1"/>
  <c r="I99" i="1"/>
  <c r="J99" i="1"/>
  <c r="A100" i="1"/>
  <c r="B100" i="1"/>
  <c r="C100" i="1"/>
  <c r="H100" i="1"/>
  <c r="I100" i="1"/>
  <c r="J100" i="1"/>
  <c r="A101" i="1"/>
  <c r="B101" i="1"/>
  <c r="C101" i="1"/>
  <c r="H101" i="1"/>
  <c r="I101" i="1"/>
  <c r="J101" i="1"/>
  <c r="A102" i="1"/>
  <c r="B102" i="1"/>
  <c r="C102" i="1"/>
  <c r="H102" i="1"/>
  <c r="I102" i="1"/>
  <c r="J102" i="1"/>
  <c r="A103" i="1"/>
  <c r="B103" i="1"/>
  <c r="C103" i="1"/>
  <c r="H103" i="1"/>
  <c r="I103" i="1"/>
  <c r="J103" i="1"/>
  <c r="A104" i="1"/>
  <c r="B104" i="1"/>
  <c r="C104" i="1"/>
  <c r="H104" i="1"/>
  <c r="I104" i="1"/>
  <c r="J104" i="1"/>
  <c r="A105" i="1"/>
  <c r="B105" i="1"/>
  <c r="C105" i="1"/>
  <c r="H105" i="1"/>
  <c r="I105" i="1"/>
  <c r="J105" i="1"/>
  <c r="A106" i="1"/>
  <c r="B106" i="1"/>
  <c r="C106" i="1"/>
  <c r="H106" i="1"/>
  <c r="I106" i="1"/>
  <c r="J106" i="1"/>
  <c r="A107" i="1"/>
  <c r="B107" i="1"/>
  <c r="C107" i="1"/>
  <c r="H107" i="1"/>
  <c r="I107" i="1"/>
  <c r="J107" i="1"/>
  <c r="A108" i="1"/>
  <c r="B108" i="1"/>
  <c r="C108" i="1"/>
  <c r="F108" i="1"/>
  <c r="H108" i="1"/>
  <c r="I108" i="1"/>
  <c r="J108" i="1"/>
  <c r="A109" i="1"/>
  <c r="B109" i="1"/>
  <c r="C109" i="1"/>
  <c r="F109" i="1"/>
  <c r="H109" i="1"/>
  <c r="I109" i="1"/>
  <c r="J109" i="1"/>
  <c r="K109" i="1"/>
  <c r="A110" i="1"/>
  <c r="B110" i="1"/>
  <c r="C110" i="1"/>
  <c r="F110" i="1"/>
  <c r="H110" i="1"/>
  <c r="I110" i="1"/>
  <c r="J110" i="1"/>
  <c r="K110" i="1"/>
  <c r="A111" i="1"/>
  <c r="B111" i="1"/>
  <c r="C111" i="1"/>
  <c r="F111" i="1"/>
  <c r="H111" i="1"/>
  <c r="I111" i="1"/>
  <c r="J111" i="1"/>
  <c r="K111" i="1"/>
  <c r="A112" i="1"/>
  <c r="B112" i="1"/>
  <c r="C112" i="1"/>
  <c r="F112" i="1"/>
  <c r="H112" i="1"/>
  <c r="I112" i="1"/>
  <c r="J112" i="1"/>
  <c r="K112" i="1"/>
  <c r="A113" i="1"/>
  <c r="B113" i="1"/>
  <c r="C113" i="1"/>
  <c r="F113" i="1"/>
  <c r="H113" i="1"/>
  <c r="I113" i="1"/>
  <c r="J113" i="1"/>
  <c r="K113" i="1"/>
  <c r="A114" i="1"/>
  <c r="B114" i="1"/>
  <c r="C114" i="1"/>
  <c r="F114" i="1"/>
  <c r="H114" i="1"/>
  <c r="I114" i="1"/>
  <c r="J114" i="1"/>
  <c r="K114" i="1"/>
  <c r="A115" i="1"/>
  <c r="B115" i="1"/>
  <c r="C115" i="1"/>
  <c r="F115" i="1"/>
  <c r="H115" i="1"/>
  <c r="I115" i="1"/>
  <c r="J115" i="1"/>
  <c r="K115" i="1"/>
  <c r="A116" i="1"/>
  <c r="B116" i="1"/>
  <c r="C116" i="1"/>
  <c r="F116" i="1"/>
  <c r="H116" i="1"/>
  <c r="I116" i="1"/>
  <c r="J116" i="1"/>
  <c r="K116" i="1"/>
  <c r="A117" i="1"/>
  <c r="B117" i="1"/>
  <c r="C117" i="1"/>
  <c r="F117" i="1"/>
  <c r="H117" i="1"/>
  <c r="I117" i="1"/>
  <c r="J117" i="1"/>
  <c r="K117" i="1"/>
  <c r="A118" i="1"/>
  <c r="B118" i="1"/>
  <c r="C118" i="1"/>
  <c r="F118" i="1"/>
  <c r="H118" i="1"/>
  <c r="I118" i="1"/>
  <c r="J118" i="1"/>
  <c r="K118" i="1"/>
  <c r="A119" i="1"/>
  <c r="B119" i="1"/>
  <c r="C119" i="1"/>
  <c r="F119" i="1"/>
  <c r="H119" i="1"/>
  <c r="I119" i="1"/>
  <c r="J119" i="1"/>
  <c r="K119" i="1"/>
  <c r="A120" i="1"/>
  <c r="B120" i="1"/>
  <c r="C120" i="1"/>
  <c r="F120" i="1"/>
  <c r="H120" i="1"/>
  <c r="I120" i="1"/>
  <c r="J120" i="1"/>
  <c r="K120" i="1"/>
  <c r="A121" i="1"/>
  <c r="B121" i="1"/>
  <c r="C121" i="1"/>
  <c r="F121" i="1"/>
  <c r="H121" i="1"/>
  <c r="I121" i="1"/>
  <c r="J121" i="1"/>
  <c r="K121" i="1"/>
  <c r="A122" i="1"/>
  <c r="B122" i="1"/>
  <c r="C122" i="1"/>
  <c r="D122" i="1"/>
  <c r="E122" i="1"/>
  <c r="F122" i="1"/>
  <c r="G122" i="1"/>
  <c r="H122" i="1"/>
  <c r="I122" i="1"/>
  <c r="J122" i="1"/>
  <c r="K122" i="1"/>
  <c r="A123" i="1"/>
  <c r="B123" i="1"/>
  <c r="C123" i="1"/>
  <c r="F123" i="1"/>
  <c r="H123" i="1"/>
  <c r="I123" i="1"/>
  <c r="J123" i="1"/>
  <c r="K123" i="1"/>
  <c r="A124" i="1"/>
  <c r="B124" i="1"/>
  <c r="C124" i="1"/>
  <c r="D124" i="1"/>
  <c r="E124" i="1"/>
  <c r="F124" i="1"/>
  <c r="G124" i="1"/>
  <c r="H124" i="1"/>
  <c r="I124" i="1"/>
  <c r="J124" i="1"/>
  <c r="K124" i="1"/>
  <c r="A125" i="1"/>
  <c r="B125" i="1"/>
  <c r="C125" i="1"/>
  <c r="F125" i="1"/>
  <c r="H125" i="1"/>
  <c r="I125" i="1"/>
  <c r="J125" i="1"/>
  <c r="K125" i="1"/>
  <c r="A126" i="1"/>
  <c r="B126" i="1"/>
  <c r="C126" i="1"/>
  <c r="F126" i="1"/>
  <c r="H126" i="1"/>
  <c r="I126" i="1"/>
  <c r="J126" i="1"/>
  <c r="K126" i="1"/>
  <c r="A127" i="1"/>
  <c r="B127" i="1"/>
  <c r="C127" i="1"/>
  <c r="F127" i="1"/>
  <c r="H127" i="1"/>
  <c r="I127" i="1"/>
  <c r="J127" i="1"/>
  <c r="K127" i="1"/>
  <c r="K73" i="1"/>
  <c r="AA10" i="8" l="1"/>
  <c r="X10" i="8"/>
  <c r="X15" i="8"/>
  <c r="D61" i="7"/>
  <c r="BT49" i="2"/>
  <c r="D23" i="7"/>
  <c r="J23" i="7" s="1"/>
  <c r="B185" i="33"/>
  <c r="B345" i="33"/>
  <c r="B105" i="33"/>
  <c r="B265" i="33"/>
  <c r="B25" i="7"/>
  <c r="B25" i="33"/>
  <c r="K94" i="1"/>
  <c r="AA12" i="8" l="1"/>
  <c r="D62" i="7"/>
  <c r="BT50" i="2"/>
  <c r="D44" i="6"/>
  <c r="D63" i="7" l="1"/>
  <c r="BT51" i="2"/>
  <c r="BT52" i="2" s="1"/>
  <c r="BT53" i="2" s="1"/>
  <c r="D34" i="6"/>
  <c r="D35" i="6"/>
  <c r="BT54" i="2" l="1"/>
  <c r="D64" i="7"/>
  <c r="F14" i="33"/>
  <c r="E14" i="33"/>
  <c r="G14" i="33" s="1"/>
  <c r="H9" i="33"/>
  <c r="J9" i="33" s="1"/>
  <c r="I9" i="33"/>
  <c r="D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D5" i="8"/>
  <c r="E5" i="8"/>
  <c r="F5" i="8"/>
  <c r="G5" i="8"/>
  <c r="H5" i="8"/>
  <c r="I5" i="8"/>
  <c r="J5" i="8"/>
  <c r="K5" i="8"/>
  <c r="L5" i="8"/>
  <c r="M5" i="8"/>
  <c r="N5" i="8"/>
  <c r="O5" i="8"/>
  <c r="P5" i="8"/>
  <c r="Q5" i="8"/>
  <c r="R5" i="8"/>
  <c r="D6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D7" i="8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D8" i="8"/>
  <c r="E8" i="8"/>
  <c r="F8" i="8"/>
  <c r="G8" i="8"/>
  <c r="H8" i="8"/>
  <c r="I8" i="8"/>
  <c r="J8" i="8"/>
  <c r="K8" i="8"/>
  <c r="L8" i="8"/>
  <c r="M8" i="8"/>
  <c r="N8" i="8"/>
  <c r="O8" i="8"/>
  <c r="P8" i="8"/>
  <c r="Q8" i="8"/>
  <c r="R8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D38" i="8"/>
  <c r="E38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D40" i="8"/>
  <c r="E40" i="8"/>
  <c r="F40" i="8"/>
  <c r="G40" i="8"/>
  <c r="H40" i="8"/>
  <c r="I40" i="8"/>
  <c r="J40" i="8"/>
  <c r="K40" i="8"/>
  <c r="L40" i="8"/>
  <c r="M40" i="8"/>
  <c r="N40" i="8"/>
  <c r="O40" i="8"/>
  <c r="P40" i="8"/>
  <c r="Q40" i="8"/>
  <c r="R40" i="8"/>
  <c r="F107" i="8"/>
  <c r="G107" i="8"/>
  <c r="H107" i="8"/>
  <c r="I107" i="8"/>
  <c r="J107" i="8"/>
  <c r="K107" i="8"/>
  <c r="L107" i="8"/>
  <c r="M107" i="8"/>
  <c r="N107" i="8"/>
  <c r="O107" i="8"/>
  <c r="P107" i="8"/>
  <c r="Q107" i="8"/>
  <c r="R107" i="8"/>
  <c r="F108" i="8"/>
  <c r="G108" i="8"/>
  <c r="H108" i="8"/>
  <c r="I108" i="8"/>
  <c r="J108" i="8"/>
  <c r="K108" i="8"/>
  <c r="L108" i="8"/>
  <c r="M108" i="8"/>
  <c r="N108" i="8"/>
  <c r="O108" i="8"/>
  <c r="P108" i="8"/>
  <c r="Q108" i="8"/>
  <c r="R108" i="8"/>
  <c r="F109" i="8"/>
  <c r="G109" i="8"/>
  <c r="H109" i="8"/>
  <c r="I109" i="8"/>
  <c r="J109" i="8"/>
  <c r="K109" i="8"/>
  <c r="L109" i="8"/>
  <c r="M109" i="8"/>
  <c r="N109" i="8"/>
  <c r="O109" i="8"/>
  <c r="P109" i="8"/>
  <c r="Q109" i="8"/>
  <c r="R109" i="8"/>
  <c r="F110" i="8"/>
  <c r="G110" i="8"/>
  <c r="H110" i="8"/>
  <c r="I110" i="8"/>
  <c r="J110" i="8"/>
  <c r="K110" i="8"/>
  <c r="L110" i="8"/>
  <c r="M110" i="8"/>
  <c r="N110" i="8"/>
  <c r="O110" i="8"/>
  <c r="P110" i="8"/>
  <c r="Q110" i="8"/>
  <c r="R110" i="8"/>
  <c r="F111" i="8"/>
  <c r="G111" i="8"/>
  <c r="H111" i="8"/>
  <c r="I111" i="8"/>
  <c r="J111" i="8"/>
  <c r="K111" i="8"/>
  <c r="L111" i="8"/>
  <c r="M111" i="8"/>
  <c r="N111" i="8"/>
  <c r="O111" i="8"/>
  <c r="P111" i="8"/>
  <c r="Q111" i="8"/>
  <c r="R111" i="8"/>
  <c r="F112" i="8"/>
  <c r="G112" i="8"/>
  <c r="H112" i="8"/>
  <c r="I112" i="8"/>
  <c r="J112" i="8"/>
  <c r="K112" i="8"/>
  <c r="L112" i="8"/>
  <c r="M112" i="8"/>
  <c r="N112" i="8"/>
  <c r="O112" i="8"/>
  <c r="P112" i="8"/>
  <c r="Q112" i="8"/>
  <c r="R112" i="8"/>
  <c r="F113" i="8"/>
  <c r="G113" i="8"/>
  <c r="H113" i="8"/>
  <c r="I113" i="8"/>
  <c r="J113" i="8"/>
  <c r="K113" i="8"/>
  <c r="L113" i="8"/>
  <c r="M113" i="8"/>
  <c r="N113" i="8"/>
  <c r="O113" i="8"/>
  <c r="P113" i="8"/>
  <c r="Q113" i="8"/>
  <c r="R113" i="8"/>
  <c r="F114" i="8"/>
  <c r="G114" i="8"/>
  <c r="H114" i="8"/>
  <c r="I114" i="8"/>
  <c r="J114" i="8"/>
  <c r="K114" i="8"/>
  <c r="L114" i="8"/>
  <c r="M114" i="8"/>
  <c r="N114" i="8"/>
  <c r="O114" i="8"/>
  <c r="P114" i="8"/>
  <c r="Q114" i="8"/>
  <c r="R114" i="8"/>
  <c r="F115" i="8"/>
  <c r="G115" i="8"/>
  <c r="H115" i="8"/>
  <c r="I115" i="8"/>
  <c r="J115" i="8"/>
  <c r="K115" i="8"/>
  <c r="L115" i="8"/>
  <c r="M115" i="8"/>
  <c r="N115" i="8"/>
  <c r="O115" i="8"/>
  <c r="P115" i="8"/>
  <c r="Q115" i="8"/>
  <c r="R115" i="8"/>
  <c r="F116" i="8"/>
  <c r="G116" i="8"/>
  <c r="H116" i="8"/>
  <c r="I116" i="8"/>
  <c r="J116" i="8"/>
  <c r="K116" i="8"/>
  <c r="L116" i="8"/>
  <c r="M116" i="8"/>
  <c r="N116" i="8"/>
  <c r="O116" i="8"/>
  <c r="P116" i="8"/>
  <c r="Q116" i="8"/>
  <c r="R116" i="8"/>
  <c r="F117" i="8"/>
  <c r="G117" i="8"/>
  <c r="H117" i="8"/>
  <c r="I117" i="8"/>
  <c r="J117" i="8"/>
  <c r="K117" i="8"/>
  <c r="L117" i="8"/>
  <c r="M117" i="8"/>
  <c r="N117" i="8"/>
  <c r="O117" i="8"/>
  <c r="P117" i="8"/>
  <c r="Q117" i="8"/>
  <c r="R117" i="8"/>
  <c r="F118" i="8"/>
  <c r="G118" i="8"/>
  <c r="H118" i="8"/>
  <c r="I118" i="8"/>
  <c r="J118" i="8"/>
  <c r="K118" i="8"/>
  <c r="L118" i="8"/>
  <c r="M118" i="8"/>
  <c r="N118" i="8"/>
  <c r="O118" i="8"/>
  <c r="P118" i="8"/>
  <c r="Q118" i="8"/>
  <c r="R118" i="8"/>
  <c r="F119" i="8"/>
  <c r="G119" i="8"/>
  <c r="H119" i="8"/>
  <c r="I119" i="8"/>
  <c r="J119" i="8"/>
  <c r="K119" i="8"/>
  <c r="L119" i="8"/>
  <c r="M119" i="8"/>
  <c r="N119" i="8"/>
  <c r="O119" i="8"/>
  <c r="P119" i="8"/>
  <c r="Q119" i="8"/>
  <c r="R119" i="8"/>
  <c r="F120" i="8"/>
  <c r="G120" i="8"/>
  <c r="H120" i="8"/>
  <c r="I120" i="8"/>
  <c r="J120" i="8"/>
  <c r="K120" i="8"/>
  <c r="L120" i="8"/>
  <c r="M120" i="8"/>
  <c r="N120" i="8"/>
  <c r="O120" i="8"/>
  <c r="P120" i="8"/>
  <c r="Q120" i="8"/>
  <c r="R120" i="8"/>
  <c r="F121" i="8"/>
  <c r="G121" i="8"/>
  <c r="H121" i="8"/>
  <c r="I121" i="8"/>
  <c r="J121" i="8"/>
  <c r="K121" i="8"/>
  <c r="L121" i="8"/>
  <c r="M121" i="8"/>
  <c r="N121" i="8"/>
  <c r="O121" i="8"/>
  <c r="P121" i="8"/>
  <c r="Q121" i="8"/>
  <c r="R121" i="8"/>
  <c r="F122" i="8"/>
  <c r="G122" i="8"/>
  <c r="H122" i="8"/>
  <c r="I122" i="8"/>
  <c r="J122" i="8"/>
  <c r="K122" i="8"/>
  <c r="L122" i="8"/>
  <c r="M122" i="8"/>
  <c r="N122" i="8"/>
  <c r="O122" i="8"/>
  <c r="P122" i="8"/>
  <c r="Q122" i="8"/>
  <c r="R122" i="8"/>
  <c r="F123" i="8"/>
  <c r="G123" i="8"/>
  <c r="H123" i="8"/>
  <c r="I123" i="8"/>
  <c r="J123" i="8"/>
  <c r="K123" i="8"/>
  <c r="L123" i="8"/>
  <c r="M123" i="8"/>
  <c r="N123" i="8"/>
  <c r="O123" i="8"/>
  <c r="P123" i="8"/>
  <c r="Q123" i="8"/>
  <c r="R123" i="8"/>
  <c r="F124" i="8"/>
  <c r="G124" i="8"/>
  <c r="H124" i="8"/>
  <c r="I124" i="8"/>
  <c r="J124" i="8"/>
  <c r="K124" i="8"/>
  <c r="L124" i="8"/>
  <c r="M124" i="8"/>
  <c r="N124" i="8"/>
  <c r="O124" i="8"/>
  <c r="P124" i="8"/>
  <c r="Q124" i="8"/>
  <c r="R124" i="8"/>
  <c r="F125" i="8"/>
  <c r="G125" i="8"/>
  <c r="H125" i="8"/>
  <c r="I125" i="8"/>
  <c r="J125" i="8"/>
  <c r="K125" i="8"/>
  <c r="L125" i="8"/>
  <c r="M125" i="8"/>
  <c r="N125" i="8"/>
  <c r="O125" i="8"/>
  <c r="P125" i="8"/>
  <c r="Q125" i="8"/>
  <c r="R125" i="8"/>
  <c r="F126" i="8"/>
  <c r="G126" i="8"/>
  <c r="H126" i="8"/>
  <c r="I126" i="8"/>
  <c r="J126" i="8"/>
  <c r="K126" i="8"/>
  <c r="L126" i="8"/>
  <c r="M126" i="8"/>
  <c r="N126" i="8"/>
  <c r="O126" i="8"/>
  <c r="P126" i="8"/>
  <c r="Q126" i="8"/>
  <c r="R126" i="8"/>
  <c r="F127" i="8"/>
  <c r="G127" i="8"/>
  <c r="H127" i="8"/>
  <c r="I127" i="8"/>
  <c r="J127" i="8"/>
  <c r="K127" i="8"/>
  <c r="L127" i="8"/>
  <c r="M127" i="8"/>
  <c r="N127" i="8"/>
  <c r="O127" i="8"/>
  <c r="P127" i="8"/>
  <c r="Q127" i="8"/>
  <c r="R127" i="8"/>
  <c r="F128" i="8"/>
  <c r="G128" i="8"/>
  <c r="H128" i="8"/>
  <c r="I128" i="8"/>
  <c r="J128" i="8"/>
  <c r="K128" i="8"/>
  <c r="L128" i="8"/>
  <c r="M128" i="8"/>
  <c r="N128" i="8"/>
  <c r="O128" i="8"/>
  <c r="P128" i="8"/>
  <c r="Q128" i="8"/>
  <c r="R128" i="8"/>
  <c r="F129" i="8"/>
  <c r="G129" i="8"/>
  <c r="H129" i="8"/>
  <c r="I129" i="8"/>
  <c r="J129" i="8"/>
  <c r="K129" i="8"/>
  <c r="L129" i="8"/>
  <c r="M129" i="8"/>
  <c r="N129" i="8"/>
  <c r="O129" i="8"/>
  <c r="P129" i="8"/>
  <c r="Q129" i="8"/>
  <c r="R129" i="8"/>
  <c r="F130" i="8"/>
  <c r="G130" i="8"/>
  <c r="H130" i="8"/>
  <c r="I130" i="8"/>
  <c r="J130" i="8"/>
  <c r="K130" i="8"/>
  <c r="L130" i="8"/>
  <c r="M130" i="8"/>
  <c r="N130" i="8"/>
  <c r="O130" i="8"/>
  <c r="P130" i="8"/>
  <c r="Q130" i="8"/>
  <c r="R130" i="8"/>
  <c r="F131" i="8"/>
  <c r="G131" i="8"/>
  <c r="H131" i="8"/>
  <c r="I131" i="8"/>
  <c r="J131" i="8"/>
  <c r="K131" i="8"/>
  <c r="L131" i="8"/>
  <c r="M131" i="8"/>
  <c r="N131" i="8"/>
  <c r="O131" i="8"/>
  <c r="P131" i="8"/>
  <c r="Q131" i="8"/>
  <c r="R131" i="8"/>
  <c r="F132" i="8"/>
  <c r="G132" i="8"/>
  <c r="H132" i="8"/>
  <c r="I132" i="8"/>
  <c r="J132" i="8"/>
  <c r="K132" i="8"/>
  <c r="L132" i="8"/>
  <c r="M132" i="8"/>
  <c r="N132" i="8"/>
  <c r="O132" i="8"/>
  <c r="P132" i="8"/>
  <c r="Q132" i="8"/>
  <c r="R132" i="8"/>
  <c r="F133" i="8"/>
  <c r="G133" i="8"/>
  <c r="H133" i="8"/>
  <c r="I133" i="8"/>
  <c r="J133" i="8"/>
  <c r="K133" i="8"/>
  <c r="L133" i="8"/>
  <c r="M133" i="8"/>
  <c r="N133" i="8"/>
  <c r="O133" i="8"/>
  <c r="P133" i="8"/>
  <c r="Q133" i="8"/>
  <c r="R133" i="8"/>
  <c r="F134" i="8"/>
  <c r="G134" i="8"/>
  <c r="H134" i="8"/>
  <c r="I134" i="8"/>
  <c r="J134" i="8"/>
  <c r="K134" i="8"/>
  <c r="L134" i="8"/>
  <c r="M134" i="8"/>
  <c r="N134" i="8"/>
  <c r="O134" i="8"/>
  <c r="P134" i="8"/>
  <c r="Q134" i="8"/>
  <c r="R134" i="8"/>
  <c r="F135" i="8"/>
  <c r="G135" i="8"/>
  <c r="H135" i="8"/>
  <c r="I135" i="8"/>
  <c r="J135" i="8"/>
  <c r="K135" i="8"/>
  <c r="L135" i="8"/>
  <c r="M135" i="8"/>
  <c r="N135" i="8"/>
  <c r="O135" i="8"/>
  <c r="P135" i="8"/>
  <c r="Q135" i="8"/>
  <c r="R135" i="8"/>
  <c r="F136" i="8"/>
  <c r="G136" i="8"/>
  <c r="H136" i="8"/>
  <c r="I136" i="8"/>
  <c r="J136" i="8"/>
  <c r="K136" i="8"/>
  <c r="L136" i="8"/>
  <c r="M136" i="8"/>
  <c r="N136" i="8"/>
  <c r="O136" i="8"/>
  <c r="P136" i="8"/>
  <c r="Q136" i="8"/>
  <c r="R136" i="8"/>
  <c r="F137" i="8"/>
  <c r="G137" i="8"/>
  <c r="H137" i="8"/>
  <c r="I137" i="8"/>
  <c r="J137" i="8"/>
  <c r="K137" i="8"/>
  <c r="L137" i="8"/>
  <c r="M137" i="8"/>
  <c r="N137" i="8"/>
  <c r="O137" i="8"/>
  <c r="P137" i="8"/>
  <c r="Q137" i="8"/>
  <c r="R137" i="8"/>
  <c r="F138" i="8"/>
  <c r="G138" i="8"/>
  <c r="H138" i="8"/>
  <c r="I138" i="8"/>
  <c r="J138" i="8"/>
  <c r="K138" i="8"/>
  <c r="L138" i="8"/>
  <c r="M138" i="8"/>
  <c r="N138" i="8"/>
  <c r="O138" i="8"/>
  <c r="P138" i="8"/>
  <c r="Q138" i="8"/>
  <c r="R138" i="8"/>
  <c r="F139" i="8"/>
  <c r="G139" i="8"/>
  <c r="H139" i="8"/>
  <c r="I139" i="8"/>
  <c r="J139" i="8"/>
  <c r="K139" i="8"/>
  <c r="L139" i="8"/>
  <c r="M139" i="8"/>
  <c r="N139" i="8"/>
  <c r="O139" i="8"/>
  <c r="P139" i="8"/>
  <c r="Q139" i="8"/>
  <c r="R139" i="8"/>
  <c r="F140" i="8"/>
  <c r="G140" i="8"/>
  <c r="H140" i="8"/>
  <c r="I140" i="8"/>
  <c r="J140" i="8"/>
  <c r="K140" i="8"/>
  <c r="L140" i="8"/>
  <c r="M140" i="8"/>
  <c r="N140" i="8"/>
  <c r="O140" i="8"/>
  <c r="P140" i="8"/>
  <c r="Q140" i="8"/>
  <c r="R140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R141" i="8"/>
  <c r="F142" i="8"/>
  <c r="G142" i="8"/>
  <c r="H142" i="8"/>
  <c r="I142" i="8"/>
  <c r="J142" i="8"/>
  <c r="K142" i="8"/>
  <c r="L142" i="8"/>
  <c r="M142" i="8"/>
  <c r="N142" i="8"/>
  <c r="O142" i="8"/>
  <c r="P142" i="8"/>
  <c r="Q142" i="8"/>
  <c r="R142" i="8"/>
  <c r="F143" i="8"/>
  <c r="G143" i="8"/>
  <c r="H143" i="8"/>
  <c r="I143" i="8"/>
  <c r="J143" i="8"/>
  <c r="K143" i="8"/>
  <c r="L143" i="8"/>
  <c r="M143" i="8"/>
  <c r="N143" i="8"/>
  <c r="O143" i="8"/>
  <c r="P143" i="8"/>
  <c r="Q143" i="8"/>
  <c r="R143" i="8"/>
  <c r="F144" i="8"/>
  <c r="G144" i="8"/>
  <c r="H144" i="8"/>
  <c r="I144" i="8"/>
  <c r="J144" i="8"/>
  <c r="K144" i="8"/>
  <c r="L144" i="8"/>
  <c r="M144" i="8"/>
  <c r="N144" i="8"/>
  <c r="O144" i="8"/>
  <c r="P144" i="8"/>
  <c r="Q144" i="8"/>
  <c r="R144" i="8"/>
  <c r="F145" i="8"/>
  <c r="G145" i="8"/>
  <c r="H145" i="8"/>
  <c r="I145" i="8"/>
  <c r="J145" i="8"/>
  <c r="K145" i="8"/>
  <c r="L145" i="8"/>
  <c r="M145" i="8"/>
  <c r="N145" i="8"/>
  <c r="O145" i="8"/>
  <c r="P145" i="8"/>
  <c r="Q145" i="8"/>
  <c r="R145" i="8"/>
  <c r="F146" i="8"/>
  <c r="G146" i="8"/>
  <c r="H146" i="8"/>
  <c r="I146" i="8"/>
  <c r="J146" i="8"/>
  <c r="K146" i="8"/>
  <c r="L146" i="8"/>
  <c r="M146" i="8"/>
  <c r="N146" i="8"/>
  <c r="O146" i="8"/>
  <c r="P146" i="8"/>
  <c r="Q146" i="8"/>
  <c r="R146" i="8"/>
  <c r="F147" i="8"/>
  <c r="G147" i="8"/>
  <c r="H147" i="8"/>
  <c r="I147" i="8"/>
  <c r="J147" i="8"/>
  <c r="K147" i="8"/>
  <c r="L147" i="8"/>
  <c r="M147" i="8"/>
  <c r="N147" i="8"/>
  <c r="O147" i="8"/>
  <c r="P147" i="8"/>
  <c r="Q147" i="8"/>
  <c r="R147" i="8"/>
  <c r="F148" i="8"/>
  <c r="G148" i="8"/>
  <c r="H148" i="8"/>
  <c r="I148" i="8"/>
  <c r="J148" i="8"/>
  <c r="K148" i="8"/>
  <c r="L148" i="8"/>
  <c r="M148" i="8"/>
  <c r="N148" i="8"/>
  <c r="O148" i="8"/>
  <c r="P148" i="8"/>
  <c r="Q148" i="8"/>
  <c r="R148" i="8"/>
  <c r="F149" i="8"/>
  <c r="G149" i="8"/>
  <c r="H149" i="8"/>
  <c r="I149" i="8"/>
  <c r="J149" i="8"/>
  <c r="K149" i="8"/>
  <c r="L149" i="8"/>
  <c r="M149" i="8"/>
  <c r="N149" i="8"/>
  <c r="O149" i="8"/>
  <c r="P149" i="8"/>
  <c r="Q149" i="8"/>
  <c r="R149" i="8"/>
  <c r="F150" i="8"/>
  <c r="G150" i="8"/>
  <c r="H150" i="8"/>
  <c r="I150" i="8"/>
  <c r="J150" i="8"/>
  <c r="K150" i="8"/>
  <c r="L150" i="8"/>
  <c r="M150" i="8"/>
  <c r="N150" i="8"/>
  <c r="O150" i="8"/>
  <c r="P150" i="8"/>
  <c r="Q150" i="8"/>
  <c r="R150" i="8"/>
  <c r="F151" i="8"/>
  <c r="G151" i="8"/>
  <c r="H151" i="8"/>
  <c r="I151" i="8"/>
  <c r="J151" i="8"/>
  <c r="K151" i="8"/>
  <c r="L151" i="8"/>
  <c r="M151" i="8"/>
  <c r="N151" i="8"/>
  <c r="O151" i="8"/>
  <c r="P151" i="8"/>
  <c r="Q151" i="8"/>
  <c r="R151" i="8"/>
  <c r="F152" i="8"/>
  <c r="G152" i="8"/>
  <c r="H152" i="8"/>
  <c r="I152" i="8"/>
  <c r="J152" i="8"/>
  <c r="K152" i="8"/>
  <c r="L152" i="8"/>
  <c r="M152" i="8"/>
  <c r="N152" i="8"/>
  <c r="O152" i="8"/>
  <c r="P152" i="8"/>
  <c r="Q152" i="8"/>
  <c r="R152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Z3" i="8"/>
  <c r="Y3" i="8"/>
  <c r="W3" i="8"/>
  <c r="V3" i="8"/>
  <c r="D36" i="8"/>
  <c r="E36" i="8"/>
  <c r="F36" i="8"/>
  <c r="G36" i="8"/>
  <c r="H36" i="8"/>
  <c r="I36" i="8"/>
  <c r="J36" i="8"/>
  <c r="K36" i="8"/>
  <c r="L36" i="8"/>
  <c r="M36" i="8"/>
  <c r="N36" i="8"/>
  <c r="O36" i="8"/>
  <c r="P36" i="8"/>
  <c r="Q36" i="8"/>
  <c r="R36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D42" i="8"/>
  <c r="E42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BT55" i="2" l="1"/>
  <c r="D65" i="7"/>
  <c r="B346" i="33"/>
  <c r="B186" i="33"/>
  <c r="B106" i="33"/>
  <c r="B26" i="33"/>
  <c r="B26" i="7"/>
  <c r="B266" i="33"/>
  <c r="D24" i="7"/>
  <c r="J24" i="7" s="1"/>
  <c r="AA3" i="8"/>
  <c r="BT56" i="2" l="1"/>
  <c r="D66" i="7"/>
  <c r="V6" i="8"/>
  <c r="AA5" i="8" s="1"/>
  <c r="A20" i="6" s="1"/>
  <c r="B27" i="33"/>
  <c r="B187" i="33"/>
  <c r="B347" i="33"/>
  <c r="B267" i="33"/>
  <c r="B107" i="33"/>
  <c r="D25" i="7"/>
  <c r="J25" i="7" s="1"/>
  <c r="B27" i="7"/>
  <c r="I12" i="7"/>
  <c r="H12" i="7"/>
  <c r="J12" i="7" s="1"/>
  <c r="B10" i="7"/>
  <c r="D10" i="7" s="1"/>
  <c r="C10" i="7"/>
  <c r="B11" i="7"/>
  <c r="D11" i="7" s="1"/>
  <c r="B12" i="7"/>
  <c r="D12" i="7" s="1"/>
  <c r="B13" i="7"/>
  <c r="D13" i="7" s="1"/>
  <c r="B14" i="7"/>
  <c r="D14" i="7" s="1"/>
  <c r="E9" i="7"/>
  <c r="G9" i="7" s="1"/>
  <c r="F9" i="7"/>
  <c r="E10" i="7"/>
  <c r="G10" i="7" s="1"/>
  <c r="F10" i="7"/>
  <c r="E11" i="7"/>
  <c r="G11" i="7" s="1"/>
  <c r="F11" i="7"/>
  <c r="E12" i="7"/>
  <c r="G12" i="7" s="1"/>
  <c r="F12" i="7"/>
  <c r="C9" i="7"/>
  <c r="B9" i="7"/>
  <c r="D9" i="7" s="1"/>
  <c r="B96" i="7"/>
  <c r="D96" i="7" s="1"/>
  <c r="J96" i="7" s="1"/>
  <c r="B95" i="7"/>
  <c r="D95" i="7" s="1"/>
  <c r="J95" i="7" s="1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80" i="7"/>
  <c r="D3" i="2"/>
  <c r="E3" i="2" s="1"/>
  <c r="F3" i="2" s="1"/>
  <c r="G3" i="2" s="1"/>
  <c r="H3" i="2" s="1"/>
  <c r="I3" i="2" s="1"/>
  <c r="J3" i="2" s="1"/>
  <c r="L3" i="2" s="1"/>
  <c r="M3" i="2" s="1"/>
  <c r="N3" i="2" s="1"/>
  <c r="O3" i="2" s="1"/>
  <c r="P3" i="2" s="1"/>
  <c r="Q3" i="2" s="1"/>
  <c r="R3" i="2" s="1"/>
  <c r="S3" i="2" s="1"/>
  <c r="T3" i="2" s="1"/>
  <c r="U3" i="2" s="1"/>
  <c r="V3" i="2" s="1"/>
  <c r="W3" i="2" s="1"/>
  <c r="X3" i="2" s="1"/>
  <c r="Y3" i="2" s="1"/>
  <c r="Z3" i="2" s="1"/>
  <c r="AA3" i="2" s="1"/>
  <c r="AB3" i="2" s="1"/>
  <c r="AC3" i="2" s="1"/>
  <c r="AD3" i="2" s="1"/>
  <c r="AE3" i="2" s="1"/>
  <c r="AF3" i="2" s="1"/>
  <c r="AG3" i="2" s="1"/>
  <c r="AH3" i="2" s="1"/>
  <c r="AI3" i="2" s="1"/>
  <c r="AJ3" i="2" s="1"/>
  <c r="AK3" i="2" s="1"/>
  <c r="AL3" i="2" s="1"/>
  <c r="AM3" i="2" s="1"/>
  <c r="AN3" i="2" s="1"/>
  <c r="AO3" i="2" s="1"/>
  <c r="AP3" i="2" s="1"/>
  <c r="AQ3" i="2" s="1"/>
  <c r="AR3" i="2" s="1"/>
  <c r="AS3" i="2" s="1"/>
  <c r="AT3" i="2" s="1"/>
  <c r="AU3" i="2" s="1"/>
  <c r="AV3" i="2" s="1"/>
  <c r="AW3" i="2" s="1"/>
  <c r="AX3" i="2" s="1"/>
  <c r="AY3" i="2" s="1"/>
  <c r="AZ3" i="2" s="1"/>
  <c r="BA3" i="2" s="1"/>
  <c r="BB3" i="2" s="1"/>
  <c r="BC3" i="2" s="1"/>
  <c r="BD3" i="2" s="1"/>
  <c r="BE3" i="2" s="1"/>
  <c r="BF3" i="2" s="1"/>
  <c r="BT57" i="2" l="1"/>
  <c r="D67" i="7"/>
  <c r="B69" i="7"/>
  <c r="B268" i="33"/>
  <c r="B348" i="33"/>
  <c r="B188" i="33"/>
  <c r="B28" i="33"/>
  <c r="B28" i="7"/>
  <c r="B108" i="33"/>
  <c r="D26" i="7"/>
  <c r="J26" i="7" s="1"/>
  <c r="B2" i="33"/>
  <c r="A19" i="7"/>
  <c r="A19" i="33"/>
  <c r="BT58" i="2" l="1"/>
  <c r="D68" i="7"/>
  <c r="B70" i="7"/>
  <c r="B269" i="33"/>
  <c r="B29" i="33"/>
  <c r="B189" i="33"/>
  <c r="B349" i="33"/>
  <c r="D27" i="7"/>
  <c r="J27" i="7" s="1"/>
  <c r="B109" i="33"/>
  <c r="B29" i="7"/>
  <c r="D43" i="6"/>
  <c r="B39" i="6"/>
  <c r="D24" i="6"/>
  <c r="D25" i="6"/>
  <c r="D26" i="6"/>
  <c r="D28" i="6"/>
  <c r="D29" i="6"/>
  <c r="D30" i="6"/>
  <c r="D31" i="6"/>
  <c r="D32" i="6"/>
  <c r="D33" i="6"/>
  <c r="D36" i="6"/>
  <c r="D37" i="6"/>
  <c r="C24" i="6"/>
  <c r="F24" i="6" s="1"/>
  <c r="D87" i="7"/>
  <c r="J87" i="7" s="1"/>
  <c r="D88" i="7"/>
  <c r="J88" i="7" s="1"/>
  <c r="D89" i="7"/>
  <c r="J89" i="7" s="1"/>
  <c r="D90" i="7"/>
  <c r="J90" i="7" s="1"/>
  <c r="D91" i="7"/>
  <c r="J91" i="7" s="1"/>
  <c r="D92" i="7"/>
  <c r="J92" i="7" s="1"/>
  <c r="D93" i="7"/>
  <c r="J93" i="7" s="1"/>
  <c r="C23" i="6"/>
  <c r="F23" i="6" s="1"/>
  <c r="J16" i="7" l="1"/>
  <c r="G37" i="6"/>
  <c r="L26" i="31" s="1"/>
  <c r="L30" i="31" s="1"/>
  <c r="E23" i="6"/>
  <c r="BT59" i="2"/>
  <c r="D69" i="7"/>
  <c r="B350" i="33"/>
  <c r="B110" i="33"/>
  <c r="B30" i="7"/>
  <c r="B30" i="33"/>
  <c r="B270" i="33"/>
  <c r="D28" i="7"/>
  <c r="J28" i="7" s="1"/>
  <c r="B190" i="33"/>
  <c r="E75" i="35"/>
  <c r="E25" i="35"/>
  <c r="E74" i="35"/>
  <c r="E24" i="35"/>
  <c r="E73" i="35"/>
  <c r="E23" i="35"/>
  <c r="E72" i="35"/>
  <c r="E22" i="35"/>
  <c r="E71" i="35"/>
  <c r="E21" i="35"/>
  <c r="D80" i="7"/>
  <c r="J80" i="7" s="1"/>
  <c r="D94" i="7"/>
  <c r="J94" i="7" s="1"/>
  <c r="D86" i="7"/>
  <c r="J86" i="7" s="1"/>
  <c r="D85" i="7"/>
  <c r="J85" i="7" s="1"/>
  <c r="D84" i="7"/>
  <c r="J84" i="7" s="1"/>
  <c r="D83" i="7"/>
  <c r="J83" i="7" s="1"/>
  <c r="D82" i="7"/>
  <c r="J82" i="7" s="1"/>
  <c r="H10" i="33"/>
  <c r="J10" i="33" s="1"/>
  <c r="I10" i="33"/>
  <c r="E13" i="33"/>
  <c r="G13" i="33" s="1"/>
  <c r="F13" i="33"/>
  <c r="H11" i="33"/>
  <c r="J11" i="33" s="1"/>
  <c r="I11" i="33"/>
  <c r="D81" i="7"/>
  <c r="J81" i="7" s="1"/>
  <c r="E27" i="6"/>
  <c r="E32" i="6"/>
  <c r="E30" i="6"/>
  <c r="E29" i="6"/>
  <c r="E31" i="6"/>
  <c r="E25" i="6"/>
  <c r="I11" i="7"/>
  <c r="H11" i="7"/>
  <c r="J11" i="7" s="1"/>
  <c r="H10" i="7"/>
  <c r="J10" i="7" s="1"/>
  <c r="I10" i="7"/>
  <c r="E36" i="6"/>
  <c r="H9" i="7"/>
  <c r="J9" i="7" s="1"/>
  <c r="I9" i="7"/>
  <c r="E35" i="6"/>
  <c r="E14" i="7"/>
  <c r="G14" i="7" s="1"/>
  <c r="F14" i="7"/>
  <c r="E34" i="6"/>
  <c r="E33" i="6"/>
  <c r="F13" i="7"/>
  <c r="E13" i="7"/>
  <c r="G13" i="7" s="1"/>
  <c r="E28" i="6"/>
  <c r="E26" i="6"/>
  <c r="E24" i="6"/>
  <c r="C39" i="6"/>
  <c r="E37" i="6"/>
  <c r="C128" i="1"/>
  <c r="F128" i="1"/>
  <c r="H128" i="1"/>
  <c r="I128" i="1"/>
  <c r="J128" i="1"/>
  <c r="K128" i="1"/>
  <c r="C129" i="1"/>
  <c r="F129" i="1"/>
  <c r="H129" i="1"/>
  <c r="I129" i="1"/>
  <c r="J129" i="1"/>
  <c r="K129" i="1"/>
  <c r="C130" i="1"/>
  <c r="F130" i="1"/>
  <c r="H130" i="1"/>
  <c r="I130" i="1"/>
  <c r="J130" i="1"/>
  <c r="K130" i="1"/>
  <c r="C131" i="1"/>
  <c r="F131" i="1"/>
  <c r="H131" i="1"/>
  <c r="I131" i="1"/>
  <c r="J131" i="1"/>
  <c r="K131" i="1"/>
  <c r="C132" i="1"/>
  <c r="F132" i="1"/>
  <c r="H132" i="1"/>
  <c r="I132" i="1"/>
  <c r="J132" i="1"/>
  <c r="K132" i="1"/>
  <c r="C133" i="1"/>
  <c r="F133" i="1"/>
  <c r="H133" i="1"/>
  <c r="I133" i="1"/>
  <c r="J133" i="1"/>
  <c r="K133" i="1"/>
  <c r="C134" i="1"/>
  <c r="F134" i="1"/>
  <c r="H134" i="1"/>
  <c r="I134" i="1"/>
  <c r="J134" i="1"/>
  <c r="K134" i="1"/>
  <c r="C135" i="1"/>
  <c r="F135" i="1"/>
  <c r="H135" i="1"/>
  <c r="I135" i="1"/>
  <c r="J135" i="1"/>
  <c r="K135" i="1"/>
  <c r="C136" i="1"/>
  <c r="F136" i="1"/>
  <c r="H136" i="1"/>
  <c r="I136" i="1"/>
  <c r="J136" i="1"/>
  <c r="K136" i="1"/>
  <c r="C137" i="1"/>
  <c r="F137" i="1"/>
  <c r="H137" i="1"/>
  <c r="I137" i="1"/>
  <c r="J137" i="1"/>
  <c r="K137" i="1"/>
  <c r="C138" i="1"/>
  <c r="F138" i="1"/>
  <c r="H138" i="1"/>
  <c r="I138" i="1"/>
  <c r="J138" i="1"/>
  <c r="K138" i="1"/>
  <c r="C139" i="1"/>
  <c r="F139" i="1"/>
  <c r="H139" i="1"/>
  <c r="I139" i="1"/>
  <c r="J139" i="1"/>
  <c r="K139" i="1"/>
  <c r="C140" i="1"/>
  <c r="D140" i="1"/>
  <c r="E140" i="1"/>
  <c r="F140" i="1"/>
  <c r="G140" i="1"/>
  <c r="H140" i="1"/>
  <c r="I140" i="1"/>
  <c r="J140" i="1"/>
  <c r="K140" i="1"/>
  <c r="C141" i="1"/>
  <c r="D141" i="1"/>
  <c r="E141" i="1"/>
  <c r="F141" i="1"/>
  <c r="G141" i="1"/>
  <c r="H141" i="1"/>
  <c r="I141" i="1"/>
  <c r="J141" i="1"/>
  <c r="K141" i="1"/>
  <c r="C142" i="1"/>
  <c r="F142" i="1"/>
  <c r="H142" i="1"/>
  <c r="I142" i="1"/>
  <c r="J142" i="1"/>
  <c r="K142" i="1"/>
  <c r="C143" i="1"/>
  <c r="F143" i="1"/>
  <c r="H143" i="1"/>
  <c r="I143" i="1"/>
  <c r="J143" i="1"/>
  <c r="K143" i="1"/>
  <c r="C144" i="1"/>
  <c r="F144" i="1"/>
  <c r="H144" i="1"/>
  <c r="I144" i="1"/>
  <c r="J144" i="1"/>
  <c r="K144" i="1"/>
  <c r="C145" i="1"/>
  <c r="D145" i="1"/>
  <c r="E145" i="1"/>
  <c r="F145" i="1"/>
  <c r="G145" i="1"/>
  <c r="H145" i="1"/>
  <c r="I145" i="1"/>
  <c r="J145" i="1"/>
  <c r="K145" i="1"/>
  <c r="C146" i="1"/>
  <c r="D146" i="1"/>
  <c r="E146" i="1"/>
  <c r="F146" i="1"/>
  <c r="G146" i="1"/>
  <c r="H146" i="1"/>
  <c r="I146" i="1"/>
  <c r="J146" i="1"/>
  <c r="K146" i="1"/>
  <c r="C147" i="1"/>
  <c r="D147" i="1"/>
  <c r="E147" i="1"/>
  <c r="F147" i="1"/>
  <c r="G147" i="1"/>
  <c r="H147" i="1"/>
  <c r="I147" i="1"/>
  <c r="J147" i="1"/>
  <c r="K147" i="1"/>
  <c r="C148" i="1"/>
  <c r="D148" i="1"/>
  <c r="E148" i="1"/>
  <c r="F148" i="1"/>
  <c r="G148" i="1"/>
  <c r="H148" i="1"/>
  <c r="I148" i="1"/>
  <c r="J148" i="1"/>
  <c r="K148" i="1"/>
  <c r="C149" i="1"/>
  <c r="D149" i="1"/>
  <c r="E149" i="1"/>
  <c r="F149" i="1"/>
  <c r="G149" i="1"/>
  <c r="H149" i="1"/>
  <c r="I149" i="1"/>
  <c r="J149" i="1"/>
  <c r="K149" i="1"/>
  <c r="C150" i="1"/>
  <c r="D150" i="1"/>
  <c r="E150" i="1"/>
  <c r="F150" i="1"/>
  <c r="G150" i="1"/>
  <c r="H150" i="1"/>
  <c r="I150" i="1"/>
  <c r="J150" i="1"/>
  <c r="K150" i="1"/>
  <c r="C151" i="1"/>
  <c r="D151" i="1"/>
  <c r="E151" i="1"/>
  <c r="F151" i="1"/>
  <c r="G151" i="1"/>
  <c r="H151" i="1"/>
  <c r="I151" i="1"/>
  <c r="J151" i="1"/>
  <c r="K151" i="1"/>
  <c r="L20" i="33" l="1"/>
  <c r="L20" i="7"/>
  <c r="BT60" i="2"/>
  <c r="D70" i="7"/>
  <c r="B31" i="33"/>
  <c r="B191" i="33"/>
  <c r="B31" i="7"/>
  <c r="B351" i="33"/>
  <c r="B271" i="33"/>
  <c r="B111" i="33"/>
  <c r="D29" i="7"/>
  <c r="J29" i="7" s="1"/>
  <c r="E88" i="35"/>
  <c r="E38" i="35"/>
  <c r="E39" i="6"/>
  <c r="J4" i="1"/>
  <c r="I4" i="1"/>
  <c r="BT61" i="2" l="1"/>
  <c r="D71" i="7"/>
  <c r="B73" i="7"/>
  <c r="B32" i="33"/>
  <c r="B272" i="33"/>
  <c r="B352" i="33"/>
  <c r="D30" i="7"/>
  <c r="J30" i="7" s="1"/>
  <c r="B192" i="33"/>
  <c r="B32" i="7"/>
  <c r="B112" i="33"/>
  <c r="G4" i="1"/>
  <c r="BS7" i="2"/>
  <c r="E5" i="2"/>
  <c r="F5" i="2"/>
  <c r="G5" i="2"/>
  <c r="H5" i="2"/>
  <c r="I5" i="2"/>
  <c r="J5" i="2"/>
  <c r="L5" i="2"/>
  <c r="M5" i="2"/>
  <c r="N5" i="2"/>
  <c r="O5" i="2"/>
  <c r="P5" i="2"/>
  <c r="Q5" i="2"/>
  <c r="T5" i="2"/>
  <c r="R5" i="2"/>
  <c r="S5" i="2"/>
  <c r="U5" i="2"/>
  <c r="V5" i="2"/>
  <c r="W5" i="2"/>
  <c r="X5" i="2"/>
  <c r="Y5" i="2"/>
  <c r="Z5" i="2"/>
  <c r="AA5" i="2"/>
  <c r="AB5" i="2"/>
  <c r="AD5" i="2"/>
  <c r="AE5" i="2"/>
  <c r="AC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V5" i="2"/>
  <c r="AX5" i="2"/>
  <c r="BA5" i="2"/>
  <c r="BB5" i="2"/>
  <c r="BC5" i="2"/>
  <c r="BD5" i="2"/>
  <c r="BE5" i="2"/>
  <c r="BF5" i="2"/>
  <c r="C4" i="2"/>
  <c r="C5" i="2" s="1"/>
  <c r="BO8" i="2"/>
  <c r="K5" i="1" s="1"/>
  <c r="BO9" i="2"/>
  <c r="K6" i="1" s="1"/>
  <c r="BO10" i="2"/>
  <c r="BO12" i="2"/>
  <c r="BO13" i="2"/>
  <c r="BO14" i="2"/>
  <c r="BO15" i="2"/>
  <c r="BO11" i="2"/>
  <c r="BO16" i="2"/>
  <c r="K13" i="1" s="1"/>
  <c r="BO17" i="2"/>
  <c r="K14" i="1" s="1"/>
  <c r="BO20" i="2"/>
  <c r="BO21" i="2"/>
  <c r="BO22" i="2"/>
  <c r="BO23" i="2"/>
  <c r="BO24" i="2"/>
  <c r="BO25" i="2"/>
  <c r="BO26" i="2"/>
  <c r="BO27" i="2"/>
  <c r="BO18" i="2"/>
  <c r="BO19" i="2"/>
  <c r="BO28" i="2"/>
  <c r="K25" i="1" s="1"/>
  <c r="BO29" i="2"/>
  <c r="K26" i="1" s="1"/>
  <c r="BO32" i="2"/>
  <c r="BO33" i="2"/>
  <c r="BO34" i="2"/>
  <c r="BO35" i="2"/>
  <c r="BO36" i="2"/>
  <c r="BO37" i="2"/>
  <c r="BO38" i="2"/>
  <c r="BO39" i="2"/>
  <c r="BO30" i="2"/>
  <c r="BO31" i="2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5" i="1"/>
  <c r="K96" i="1"/>
  <c r="K99" i="1"/>
  <c r="K100" i="1"/>
  <c r="K101" i="1"/>
  <c r="K102" i="1"/>
  <c r="K103" i="1"/>
  <c r="K104" i="1"/>
  <c r="K105" i="1"/>
  <c r="K106" i="1"/>
  <c r="K107" i="1"/>
  <c r="K108" i="1"/>
  <c r="BO7" i="2"/>
  <c r="K4" i="1" s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40" i="1"/>
  <c r="A140" i="1"/>
  <c r="B139" i="1"/>
  <c r="A139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H4" i="1"/>
  <c r="F4" i="1"/>
  <c r="C4" i="1"/>
  <c r="B4" i="1"/>
  <c r="A4" i="1"/>
  <c r="BR146" i="2" l="1"/>
  <c r="BR147" i="2"/>
  <c r="BT62" i="2"/>
  <c r="D72" i="7"/>
  <c r="B74" i="7"/>
  <c r="BR65" i="2"/>
  <c r="BR50" i="2"/>
  <c r="BR49" i="2"/>
  <c r="BR7" i="2"/>
  <c r="BR128" i="2"/>
  <c r="BR127" i="2"/>
  <c r="BR129" i="2"/>
  <c r="BR125" i="2"/>
  <c r="K35" i="1"/>
  <c r="K31" i="1"/>
  <c r="K23" i="1"/>
  <c r="K19" i="1"/>
  <c r="K34" i="1"/>
  <c r="K30" i="1"/>
  <c r="K22" i="1"/>
  <c r="K18" i="1"/>
  <c r="B13" i="6"/>
  <c r="B15" i="6" s="1"/>
  <c r="B17" i="6" s="1"/>
  <c r="BR143" i="2"/>
  <c r="BR132" i="2"/>
  <c r="BR142" i="2"/>
  <c r="BR131" i="2"/>
  <c r="BG131" i="2" s="1"/>
  <c r="D130" i="1" s="1"/>
  <c r="BR141" i="2"/>
  <c r="BR62" i="2"/>
  <c r="BR64" i="2"/>
  <c r="BR116" i="2"/>
  <c r="BR123" i="2"/>
  <c r="BR88" i="2"/>
  <c r="BR89" i="2"/>
  <c r="BR83" i="2"/>
  <c r="BR117" i="2"/>
  <c r="BR120" i="2"/>
  <c r="BR115" i="2"/>
  <c r="BR111" i="2"/>
  <c r="BR92" i="2"/>
  <c r="BR91" i="2"/>
  <c r="BR47" i="2"/>
  <c r="BR48" i="2"/>
  <c r="K27" i="1"/>
  <c r="K15" i="1"/>
  <c r="K33" i="1"/>
  <c r="K29" i="1"/>
  <c r="K21" i="1"/>
  <c r="K36" i="1"/>
  <c r="K32" i="1"/>
  <c r="K28" i="1"/>
  <c r="K24" i="1"/>
  <c r="K20" i="1"/>
  <c r="K16" i="1"/>
  <c r="D335" i="33"/>
  <c r="D95" i="33"/>
  <c r="D255" i="33"/>
  <c r="D415" i="33"/>
  <c r="D175" i="33"/>
  <c r="BR94" i="2"/>
  <c r="BR61" i="2"/>
  <c r="BR66" i="2"/>
  <c r="BR139" i="2"/>
  <c r="BR63" i="2"/>
  <c r="BR87" i="2"/>
  <c r="BR93" i="2"/>
  <c r="BR145" i="2"/>
  <c r="BG145" i="2" s="1"/>
  <c r="BR140" i="2"/>
  <c r="K7" i="1"/>
  <c r="BR152" i="2"/>
  <c r="K17" i="1"/>
  <c r="K12" i="1"/>
  <c r="K11" i="1"/>
  <c r="K10" i="1"/>
  <c r="K9" i="1"/>
  <c r="K8" i="1"/>
  <c r="BR81" i="2"/>
  <c r="BG81" i="2" s="1"/>
  <c r="BR84" i="2"/>
  <c r="BG84" i="2" s="1"/>
  <c r="BR82" i="2"/>
  <c r="BG82" i="2" s="1"/>
  <c r="BR79" i="2"/>
  <c r="BG79" i="2" s="1"/>
  <c r="BR80" i="2"/>
  <c r="BG80" i="2" s="1"/>
  <c r="BR85" i="2"/>
  <c r="BR8" i="2"/>
  <c r="BG8" i="2" s="1"/>
  <c r="BR26" i="2"/>
  <c r="BG26" i="2" s="1"/>
  <c r="BR40" i="2"/>
  <c r="BG40" i="2" s="1"/>
  <c r="BR52" i="2"/>
  <c r="BG52" i="2" s="1"/>
  <c r="BR60" i="2"/>
  <c r="BG60" i="2" s="1"/>
  <c r="BR78" i="2"/>
  <c r="BG78" i="2" s="1"/>
  <c r="BR95" i="2"/>
  <c r="BR107" i="2"/>
  <c r="BR130" i="2"/>
  <c r="BR135" i="2"/>
  <c r="BR9" i="2"/>
  <c r="BG9" i="2" s="1"/>
  <c r="BR14" i="2"/>
  <c r="BG14" i="2" s="1"/>
  <c r="BR17" i="2"/>
  <c r="BG17" i="2" s="1"/>
  <c r="BR23" i="2"/>
  <c r="BG23" i="2" s="1"/>
  <c r="BR27" i="2"/>
  <c r="BG27" i="2" s="1"/>
  <c r="BR35" i="2"/>
  <c r="BG35" i="2" s="1"/>
  <c r="BR41" i="2"/>
  <c r="BG41" i="2" s="1"/>
  <c r="BR57" i="2"/>
  <c r="BG57" i="2" s="1"/>
  <c r="BR71" i="2"/>
  <c r="BG71" i="2" s="1"/>
  <c r="BR75" i="2"/>
  <c r="BG75" i="2" s="1"/>
  <c r="BR104" i="2"/>
  <c r="BG104" i="2" s="1"/>
  <c r="BR113" i="2"/>
  <c r="BG113" i="2" s="1"/>
  <c r="D110" i="1" s="1"/>
  <c r="BR24" i="2"/>
  <c r="BG24" i="2" s="1"/>
  <c r="BR30" i="2"/>
  <c r="BG30" i="2" s="1"/>
  <c r="BR46" i="2"/>
  <c r="BG46" i="2" s="1"/>
  <c r="BR58" i="2"/>
  <c r="BG58" i="2" s="1"/>
  <c r="BR72" i="2"/>
  <c r="BG72" i="2" s="1"/>
  <c r="BR97" i="2"/>
  <c r="BG97" i="2" s="1"/>
  <c r="BR105" i="2"/>
  <c r="BG105" i="2" s="1"/>
  <c r="BR109" i="2"/>
  <c r="BR137" i="2"/>
  <c r="BR12" i="2"/>
  <c r="BG12" i="2" s="1"/>
  <c r="BR11" i="2"/>
  <c r="BG11" i="2" s="1"/>
  <c r="BR21" i="2"/>
  <c r="BG21" i="2" s="1"/>
  <c r="BR25" i="2"/>
  <c r="BG25" i="2" s="1"/>
  <c r="BR19" i="2"/>
  <c r="BG19" i="2" s="1"/>
  <c r="BR33" i="2"/>
  <c r="BG33" i="2" s="1"/>
  <c r="BR37" i="2"/>
  <c r="BG37" i="2" s="1"/>
  <c r="BR31" i="2"/>
  <c r="BG31" i="2" s="1"/>
  <c r="BR43" i="2"/>
  <c r="BG43" i="2" s="1"/>
  <c r="BR51" i="2"/>
  <c r="BG51" i="2" s="1"/>
  <c r="BR55" i="2"/>
  <c r="BG55" i="2" s="1"/>
  <c r="BR59" i="2"/>
  <c r="BG59" i="2" s="1"/>
  <c r="BR69" i="2"/>
  <c r="BG69" i="2" s="1"/>
  <c r="BR73" i="2"/>
  <c r="BG73" i="2" s="1"/>
  <c r="BR77" i="2"/>
  <c r="BG77" i="2" s="1"/>
  <c r="BR86" i="2"/>
  <c r="BR98" i="2"/>
  <c r="BG98" i="2" s="1"/>
  <c r="BR102" i="2"/>
  <c r="BG102" i="2" s="1"/>
  <c r="BR106" i="2"/>
  <c r="BG106" i="2" s="1"/>
  <c r="BR110" i="2"/>
  <c r="BG110" i="2" s="1"/>
  <c r="BR118" i="2"/>
  <c r="BG118" i="2" s="1"/>
  <c r="BR124" i="2"/>
  <c r="BR134" i="2"/>
  <c r="BG134" i="2" s="1"/>
  <c r="BR138" i="2"/>
  <c r="BG138" i="2" s="1"/>
  <c r="BR13" i="2"/>
  <c r="BG13" i="2" s="1"/>
  <c r="BR16" i="2"/>
  <c r="BG16" i="2" s="1"/>
  <c r="BR22" i="2"/>
  <c r="BR28" i="2"/>
  <c r="BG28" i="2" s="1"/>
  <c r="BR34" i="2"/>
  <c r="BG34" i="2" s="1"/>
  <c r="BR38" i="2"/>
  <c r="BG38" i="2" s="1"/>
  <c r="BR44" i="2"/>
  <c r="BG44" i="2" s="1"/>
  <c r="BR56" i="2"/>
  <c r="BG56" i="2" s="1"/>
  <c r="BR70" i="2"/>
  <c r="BG70" i="2" s="1"/>
  <c r="BR74" i="2"/>
  <c r="BG74" i="2" s="1"/>
  <c r="BR99" i="2"/>
  <c r="BG99" i="2" s="1"/>
  <c r="BR103" i="2"/>
  <c r="BG103" i="2" s="1"/>
  <c r="BR112" i="2"/>
  <c r="BR121" i="2"/>
  <c r="BR144" i="2"/>
  <c r="BR29" i="2"/>
  <c r="BG29" i="2" s="1"/>
  <c r="BR39" i="2"/>
  <c r="BG39" i="2" s="1"/>
  <c r="BR45" i="2"/>
  <c r="BG45" i="2" s="1"/>
  <c r="BR54" i="2"/>
  <c r="BG54" i="2" s="1"/>
  <c r="BR67" i="2"/>
  <c r="BG67" i="2" s="1"/>
  <c r="BR96" i="2"/>
  <c r="BG96" i="2" s="1"/>
  <c r="BR100" i="2"/>
  <c r="BG100" i="2" s="1"/>
  <c r="BR108" i="2"/>
  <c r="BG108" i="2" s="1"/>
  <c r="BR122" i="2"/>
  <c r="BG122" i="2" s="1"/>
  <c r="BR136" i="2"/>
  <c r="BG136" i="2" s="1"/>
  <c r="BR10" i="2"/>
  <c r="BG10" i="2" s="1"/>
  <c r="BR15" i="2"/>
  <c r="BG15" i="2" s="1"/>
  <c r="BR20" i="2"/>
  <c r="BG20" i="2" s="1"/>
  <c r="BR18" i="2"/>
  <c r="BG18" i="2" s="1"/>
  <c r="BR32" i="2"/>
  <c r="BG32" i="2" s="1"/>
  <c r="BR36" i="2"/>
  <c r="BG36" i="2" s="1"/>
  <c r="BR42" i="2"/>
  <c r="BG42" i="2" s="1"/>
  <c r="BR53" i="2"/>
  <c r="BG53" i="2" s="1"/>
  <c r="BR68" i="2"/>
  <c r="BG68" i="2" s="1"/>
  <c r="BR76" i="2"/>
  <c r="BG76" i="2" s="1"/>
  <c r="BR101" i="2"/>
  <c r="BG101" i="2" s="1"/>
  <c r="BR119" i="2"/>
  <c r="BR133" i="2"/>
  <c r="E4" i="1"/>
  <c r="D4" i="1"/>
  <c r="BT63" i="2" l="1"/>
  <c r="D73" i="7"/>
  <c r="B75" i="7"/>
  <c r="D137" i="1"/>
  <c r="D144" i="1"/>
  <c r="D123" i="1"/>
  <c r="D129" i="1"/>
  <c r="D114" i="1"/>
  <c r="D112" i="1"/>
  <c r="D126" i="1"/>
  <c r="D120" i="1"/>
  <c r="D254" i="33"/>
  <c r="D414" i="33"/>
  <c r="D94" i="33"/>
  <c r="D174" i="33"/>
  <c r="D334" i="33"/>
  <c r="D86" i="33"/>
  <c r="D166" i="33"/>
  <c r="D406" i="33"/>
  <c r="D326" i="33"/>
  <c r="D246" i="33"/>
  <c r="D165" i="33"/>
  <c r="D85" i="33"/>
  <c r="D245" i="33"/>
  <c r="D325" i="33"/>
  <c r="D405" i="33"/>
  <c r="I17" i="6"/>
  <c r="I18" i="6" s="1"/>
  <c r="D244" i="33"/>
  <c r="D164" i="33"/>
  <c r="D84" i="33"/>
  <c r="D324" i="33"/>
  <c r="D404" i="33"/>
  <c r="D403" i="33"/>
  <c r="D83" i="33"/>
  <c r="D163" i="33"/>
  <c r="D323" i="33"/>
  <c r="D243" i="33"/>
  <c r="D162" i="33"/>
  <c r="D322" i="33"/>
  <c r="D82" i="33"/>
  <c r="D402" i="33"/>
  <c r="D242" i="33"/>
  <c r="D343" i="33"/>
  <c r="D347" i="33"/>
  <c r="D263" i="33"/>
  <c r="D267" i="33"/>
  <c r="D186" i="33"/>
  <c r="D190" i="33"/>
  <c r="D22" i="33"/>
  <c r="D320" i="33"/>
  <c r="D344" i="33"/>
  <c r="D348" i="33"/>
  <c r="D264" i="33"/>
  <c r="D268" i="33"/>
  <c r="D183" i="33"/>
  <c r="D187" i="33"/>
  <c r="D345" i="33"/>
  <c r="D349" i="33"/>
  <c r="D342" i="33"/>
  <c r="D265" i="33"/>
  <c r="D269" i="33"/>
  <c r="D182" i="33"/>
  <c r="D184" i="33"/>
  <c r="D188" i="33"/>
  <c r="D346" i="33"/>
  <c r="D350" i="33"/>
  <c r="D262" i="33"/>
  <c r="D266" i="33"/>
  <c r="D270" i="33"/>
  <c r="D185" i="33"/>
  <c r="D189" i="33"/>
  <c r="D400" i="33"/>
  <c r="D160" i="33"/>
  <c r="D241" i="33"/>
  <c r="D401" i="33"/>
  <c r="D240" i="33"/>
  <c r="D321" i="33"/>
  <c r="D161" i="33"/>
  <c r="D107" i="33"/>
  <c r="D104" i="33"/>
  <c r="D25" i="33"/>
  <c r="D29" i="33"/>
  <c r="D108" i="33"/>
  <c r="D81" i="33"/>
  <c r="D26" i="33"/>
  <c r="D30" i="33"/>
  <c r="D105" i="33"/>
  <c r="D109" i="33"/>
  <c r="D102" i="33"/>
  <c r="D27" i="33"/>
  <c r="D23" i="33"/>
  <c r="D106" i="33"/>
  <c r="D110" i="33"/>
  <c r="D103" i="33"/>
  <c r="D28" i="33"/>
  <c r="D24" i="33"/>
  <c r="D80" i="33"/>
  <c r="D17" i="33"/>
  <c r="BG140" i="2"/>
  <c r="D139" i="1" s="1"/>
  <c r="BG22" i="2"/>
  <c r="D17" i="1" s="1"/>
  <c r="BG133" i="2"/>
  <c r="BG119" i="2"/>
  <c r="BH119" i="2" s="1"/>
  <c r="BG112" i="2"/>
  <c r="BH112" i="2" s="1"/>
  <c r="BG95" i="2"/>
  <c r="D73" i="1" s="1"/>
  <c r="BG121" i="2"/>
  <c r="BH121" i="2" s="1"/>
  <c r="BG137" i="2"/>
  <c r="D135" i="1" s="1"/>
  <c r="BG135" i="2"/>
  <c r="D127" i="1" s="1"/>
  <c r="BG109" i="2"/>
  <c r="D87" i="1" s="1"/>
  <c r="BG107" i="2"/>
  <c r="BH107" i="2" s="1"/>
  <c r="BG144" i="2"/>
  <c r="D143" i="1" s="1"/>
  <c r="E117" i="1"/>
  <c r="BH42" i="2"/>
  <c r="BH122" i="2"/>
  <c r="BH29" i="2"/>
  <c r="D49" i="1"/>
  <c r="BH138" i="2"/>
  <c r="D72" i="1"/>
  <c r="BH31" i="2"/>
  <c r="D20" i="1"/>
  <c r="BH97" i="2"/>
  <c r="BH113" i="2"/>
  <c r="D18" i="1"/>
  <c r="D21" i="1"/>
  <c r="D31" i="1"/>
  <c r="BH108" i="2"/>
  <c r="D41" i="1"/>
  <c r="BH134" i="2"/>
  <c r="D64" i="1"/>
  <c r="BH55" i="2"/>
  <c r="BH21" i="2"/>
  <c r="BH72" i="2"/>
  <c r="BH104" i="2"/>
  <c r="BH17" i="2"/>
  <c r="BH60" i="2"/>
  <c r="BH82" i="2"/>
  <c r="BH68" i="2"/>
  <c r="D27" i="1"/>
  <c r="BH100" i="2"/>
  <c r="BH45" i="2"/>
  <c r="BH74" i="2"/>
  <c r="D33" i="1"/>
  <c r="BH16" i="2"/>
  <c r="BH102" i="2"/>
  <c r="D60" i="1"/>
  <c r="BH51" i="2"/>
  <c r="D28" i="1"/>
  <c r="D12" i="1"/>
  <c r="BH58" i="2"/>
  <c r="BH75" i="2"/>
  <c r="D30" i="1"/>
  <c r="D10" i="1"/>
  <c r="BH52" i="2"/>
  <c r="BH84" i="2"/>
  <c r="D79" i="1"/>
  <c r="D15" i="1"/>
  <c r="BH67" i="2"/>
  <c r="BH103" i="2"/>
  <c r="BH28" i="2"/>
  <c r="BH110" i="2"/>
  <c r="BH59" i="2"/>
  <c r="D35" i="1"/>
  <c r="BH57" i="2"/>
  <c r="D65" i="1"/>
  <c r="BH79" i="2"/>
  <c r="D63" i="1"/>
  <c r="D11" i="1"/>
  <c r="BH54" i="2"/>
  <c r="BH99" i="2"/>
  <c r="BH106" i="2"/>
  <c r="BH37" i="2"/>
  <c r="BH24" i="2"/>
  <c r="BH41" i="2"/>
  <c r="BH53" i="2"/>
  <c r="D23" i="1"/>
  <c r="BH136" i="2"/>
  <c r="BH96" i="2"/>
  <c r="D34" i="1"/>
  <c r="BH70" i="2"/>
  <c r="D29" i="1"/>
  <c r="D92" i="1"/>
  <c r="BH98" i="2"/>
  <c r="BH69" i="2"/>
  <c r="BH43" i="2"/>
  <c r="D24" i="1"/>
  <c r="BH12" i="2"/>
  <c r="BH105" i="2"/>
  <c r="BH46" i="2"/>
  <c r="BH131" i="2"/>
  <c r="BH71" i="2"/>
  <c r="BH27" i="2"/>
  <c r="D37" i="1"/>
  <c r="BH80" i="2"/>
  <c r="BH81" i="2"/>
  <c r="D82" i="1"/>
  <c r="D69" i="1"/>
  <c r="D6" i="1"/>
  <c r="D5" i="1"/>
  <c r="BT64" i="2" l="1"/>
  <c r="D74" i="7"/>
  <c r="D106" i="1"/>
  <c r="E109" i="1"/>
  <c r="E129" i="1"/>
  <c r="E130" i="1"/>
  <c r="D109" i="1"/>
  <c r="E137" i="1"/>
  <c r="D116" i="1"/>
  <c r="D134" i="1"/>
  <c r="D136" i="1"/>
  <c r="D125" i="1"/>
  <c r="D131" i="1"/>
  <c r="D128" i="1"/>
  <c r="D138" i="1"/>
  <c r="D133" i="1"/>
  <c r="D132" i="1"/>
  <c r="D142" i="1"/>
  <c r="D117" i="1"/>
  <c r="E110" i="1"/>
  <c r="E123" i="1"/>
  <c r="D107" i="1"/>
  <c r="E116" i="1"/>
  <c r="E126" i="1"/>
  <c r="D97" i="1"/>
  <c r="D121" i="1"/>
  <c r="D108" i="1"/>
  <c r="BH135" i="2"/>
  <c r="E134" i="1" s="1"/>
  <c r="D113" i="1"/>
  <c r="BH133" i="2"/>
  <c r="E131" i="1" s="1"/>
  <c r="D111" i="1"/>
  <c r="D96" i="1"/>
  <c r="BH140" i="2"/>
  <c r="E139" i="1" s="1"/>
  <c r="D118" i="1"/>
  <c r="BH144" i="2"/>
  <c r="E142" i="1" s="1"/>
  <c r="D119" i="1"/>
  <c r="BH137" i="2"/>
  <c r="E136" i="1" s="1"/>
  <c r="D115" i="1"/>
  <c r="BJ105" i="2"/>
  <c r="BJ70" i="2"/>
  <c r="BJ57" i="2"/>
  <c r="BJ58" i="2"/>
  <c r="BJ59" i="2"/>
  <c r="BJ67" i="2"/>
  <c r="BJ75" i="2"/>
  <c r="BJ45" i="2"/>
  <c r="BJ82" i="2"/>
  <c r="BJ134" i="2"/>
  <c r="BJ46" i="2"/>
  <c r="BJ43" i="2"/>
  <c r="BJ136" i="2"/>
  <c r="BJ54" i="2"/>
  <c r="BJ110" i="2"/>
  <c r="BJ52" i="2"/>
  <c r="BJ51" i="2"/>
  <c r="BJ100" i="2"/>
  <c r="BJ60" i="2"/>
  <c r="J35" i="31"/>
  <c r="K35" i="31"/>
  <c r="J25" i="31"/>
  <c r="K25" i="31"/>
  <c r="BJ123" i="2"/>
  <c r="BJ112" i="2"/>
  <c r="K55" i="31"/>
  <c r="J55" i="31"/>
  <c r="J24" i="31"/>
  <c r="K24" i="31"/>
  <c r="BJ55" i="2"/>
  <c r="BJ108" i="2"/>
  <c r="BJ122" i="2"/>
  <c r="BJ119" i="2"/>
  <c r="BJ81" i="2"/>
  <c r="BJ71" i="2"/>
  <c r="J7" i="31"/>
  <c r="K7" i="31"/>
  <c r="BJ98" i="2"/>
  <c r="BJ53" i="2"/>
  <c r="BJ106" i="2"/>
  <c r="BJ103" i="2"/>
  <c r="BJ84" i="2"/>
  <c r="BJ102" i="2"/>
  <c r="BJ74" i="2"/>
  <c r="BJ68" i="2"/>
  <c r="BJ104" i="2"/>
  <c r="BJ97" i="2"/>
  <c r="BJ138" i="2"/>
  <c r="G137" i="1" s="1"/>
  <c r="BJ42" i="2"/>
  <c r="BJ107" i="2"/>
  <c r="BJ113" i="2"/>
  <c r="BJ80" i="2"/>
  <c r="BJ131" i="2"/>
  <c r="G130" i="1" s="1"/>
  <c r="BJ96" i="2"/>
  <c r="BJ41" i="2"/>
  <c r="BJ99" i="2"/>
  <c r="BJ85" i="2"/>
  <c r="BJ72" i="2"/>
  <c r="BJ27" i="2"/>
  <c r="D85" i="1"/>
  <c r="D99" i="1"/>
  <c r="D93" i="1"/>
  <c r="D101" i="1"/>
  <c r="D91" i="1"/>
  <c r="D103" i="1"/>
  <c r="D95" i="1"/>
  <c r="D105" i="1"/>
  <c r="D89" i="1"/>
  <c r="BJ121" i="2"/>
  <c r="BH109" i="2"/>
  <c r="E105" i="1" s="1"/>
  <c r="BH95" i="2"/>
  <c r="E84" i="1" s="1"/>
  <c r="D9" i="1"/>
  <c r="D7" i="1"/>
  <c r="D52" i="1"/>
  <c r="BH40" i="2"/>
  <c r="BH78" i="2"/>
  <c r="BH35" i="2"/>
  <c r="E32" i="1" s="1"/>
  <c r="D44" i="1"/>
  <c r="D25" i="1"/>
  <c r="BH34" i="2"/>
  <c r="D48" i="1"/>
  <c r="D14" i="1"/>
  <c r="BH77" i="2"/>
  <c r="E78" i="1"/>
  <c r="BH39" i="2"/>
  <c r="E36" i="1" s="1"/>
  <c r="BH18" i="2"/>
  <c r="BH38" i="2"/>
  <c r="D43" i="1"/>
  <c r="D62" i="1"/>
  <c r="D90" i="1"/>
  <c r="D98" i="1"/>
  <c r="BH19" i="2"/>
  <c r="E16" i="1" s="1"/>
  <c r="BH56" i="2"/>
  <c r="E51" i="1" s="1"/>
  <c r="D58" i="1"/>
  <c r="D76" i="1"/>
  <c r="D38" i="1"/>
  <c r="D13" i="1"/>
  <c r="D40" i="1"/>
  <c r="BH23" i="2"/>
  <c r="D77" i="1"/>
  <c r="D68" i="1"/>
  <c r="D54" i="1"/>
  <c r="D56" i="1"/>
  <c r="D104" i="1"/>
  <c r="D80" i="1"/>
  <c r="BH76" i="2"/>
  <c r="E69" i="1" s="1"/>
  <c r="BH73" i="2"/>
  <c r="E66" i="1" s="1"/>
  <c r="BH36" i="2"/>
  <c r="BH25" i="2"/>
  <c r="E22" i="1" s="1"/>
  <c r="D67" i="1"/>
  <c r="BH13" i="2"/>
  <c r="BH145" i="2"/>
  <c r="BH33" i="2"/>
  <c r="BH44" i="2"/>
  <c r="D50" i="1"/>
  <c r="D100" i="1"/>
  <c r="D81" i="1"/>
  <c r="D94" i="1"/>
  <c r="D66" i="1"/>
  <c r="D32" i="1"/>
  <c r="D36" i="1"/>
  <c r="D70" i="1"/>
  <c r="D78" i="1"/>
  <c r="BH101" i="2"/>
  <c r="E90" i="1" s="1"/>
  <c r="D39" i="1"/>
  <c r="D26" i="1"/>
  <c r="D8" i="1"/>
  <c r="D75" i="1"/>
  <c r="BH15" i="2"/>
  <c r="BH20" i="2"/>
  <c r="BH11" i="2"/>
  <c r="E8" i="1" s="1"/>
  <c r="BH32" i="2"/>
  <c r="D22" i="1"/>
  <c r="BH118" i="2"/>
  <c r="E102" i="1" s="1"/>
  <c r="D19" i="1"/>
  <c r="BH30" i="2"/>
  <c r="D16" i="1"/>
  <c r="D71" i="1"/>
  <c r="D84" i="1"/>
  <c r="D102" i="1"/>
  <c r="D61" i="1"/>
  <c r="D47" i="1"/>
  <c r="D53" i="1"/>
  <c r="BH22" i="2"/>
  <c r="E19" i="1" s="1"/>
  <c r="BH14" i="2"/>
  <c r="BH26" i="2"/>
  <c r="E56" i="1"/>
  <c r="BJ69" i="2"/>
  <c r="G56" i="1" s="1"/>
  <c r="D42" i="1"/>
  <c r="D86" i="1"/>
  <c r="D46" i="1"/>
  <c r="BJ79" i="2"/>
  <c r="D83" i="1"/>
  <c r="D55" i="1"/>
  <c r="D51" i="1"/>
  <c r="D88" i="1"/>
  <c r="D59" i="1"/>
  <c r="D45" i="1"/>
  <c r="D57" i="1"/>
  <c r="D74" i="1"/>
  <c r="E94" i="1"/>
  <c r="E74" i="1"/>
  <c r="BJ21" i="2"/>
  <c r="BJ24" i="2"/>
  <c r="BJ37" i="2"/>
  <c r="BH10" i="2"/>
  <c r="E55" i="1"/>
  <c r="E47" i="1"/>
  <c r="E43" i="1"/>
  <c r="BH9" i="2"/>
  <c r="E52" i="1"/>
  <c r="E38" i="1"/>
  <c r="E107" i="1"/>
  <c r="E42" i="1"/>
  <c r="E39" i="1"/>
  <c r="E75" i="1"/>
  <c r="E103" i="1"/>
  <c r="E53" i="1"/>
  <c r="E25" i="1"/>
  <c r="E58" i="1"/>
  <c r="E62" i="1"/>
  <c r="E83" i="1"/>
  <c r="E95" i="1"/>
  <c r="BH8" i="2"/>
  <c r="E45" i="1"/>
  <c r="E26" i="1"/>
  <c r="E13" i="1"/>
  <c r="E89" i="1"/>
  <c r="E50" i="1"/>
  <c r="E61" i="1"/>
  <c r="E101" i="1"/>
  <c r="E86" i="1"/>
  <c r="E76" i="1"/>
  <c r="E100" i="1"/>
  <c r="E44" i="1"/>
  <c r="E48" i="1"/>
  <c r="E81" i="1"/>
  <c r="E82" i="1"/>
  <c r="E57" i="1"/>
  <c r="E14" i="1"/>
  <c r="E77" i="1"/>
  <c r="E88" i="1"/>
  <c r="E85" i="1"/>
  <c r="E54" i="1"/>
  <c r="E59" i="1"/>
  <c r="E104" i="1"/>
  <c r="E40" i="1"/>
  <c r="E46" i="1"/>
  <c r="BT65" i="2" l="1"/>
  <c r="BT66" i="2" s="1"/>
  <c r="BT67" i="2" s="1"/>
  <c r="BT68" i="2" s="1"/>
  <c r="BT69" i="2" s="1"/>
  <c r="BT70" i="2" s="1"/>
  <c r="BT71" i="2" s="1"/>
  <c r="BT72" i="2" s="1"/>
  <c r="BT73" i="2" s="1"/>
  <c r="BT74" i="2" s="1"/>
  <c r="BT75" i="2" s="1"/>
  <c r="BT76" i="2" s="1"/>
  <c r="BT77" i="2" s="1"/>
  <c r="BT78" i="2" s="1"/>
  <c r="BT79" i="2" s="1"/>
  <c r="BT80" i="2" s="1"/>
  <c r="BT81" i="2" s="1"/>
  <c r="BT82" i="2" s="1"/>
  <c r="BT83" i="2" s="1"/>
  <c r="BT84" i="2" s="1"/>
  <c r="BT85" i="2" s="1"/>
  <c r="BT86" i="2" s="1"/>
  <c r="BT87" i="2" s="1"/>
  <c r="BT88" i="2" s="1"/>
  <c r="BT89" i="2" s="1"/>
  <c r="BT90" i="2" s="1"/>
  <c r="BT91" i="2" s="1"/>
  <c r="BT92" i="2" s="1"/>
  <c r="BT93" i="2" s="1"/>
  <c r="BT94" i="2" s="1"/>
  <c r="BT95" i="2" s="1"/>
  <c r="BT96" i="2" s="1"/>
  <c r="BT97" i="2" s="1"/>
  <c r="BT98" i="2" s="1"/>
  <c r="BT99" i="2" s="1"/>
  <c r="BT100" i="2" s="1"/>
  <c r="BT101" i="2" s="1"/>
  <c r="BT102" i="2" s="1"/>
  <c r="BT103" i="2" s="1"/>
  <c r="BT104" i="2" s="1"/>
  <c r="BT105" i="2" s="1"/>
  <c r="BT106" i="2" s="1"/>
  <c r="BT107" i="2" s="1"/>
  <c r="BT108" i="2" s="1"/>
  <c r="BT109" i="2" s="1"/>
  <c r="BT110" i="2" s="1"/>
  <c r="BT111" i="2" s="1"/>
  <c r="BT112" i="2" s="1"/>
  <c r="BT113" i="2" s="1"/>
  <c r="BT114" i="2" s="1"/>
  <c r="BT115" i="2" s="1"/>
  <c r="BT116" i="2" s="1"/>
  <c r="BT117" i="2" s="1"/>
  <c r="BT118" i="2" s="1"/>
  <c r="BT119" i="2" s="1"/>
  <c r="BT120" i="2" s="1"/>
  <c r="BT121" i="2" s="1"/>
  <c r="BT122" i="2" s="1"/>
  <c r="BT123" i="2" s="1"/>
  <c r="BT124" i="2" s="1"/>
  <c r="BT125" i="2" s="1"/>
  <c r="BT126" i="2" s="1"/>
  <c r="BT127" i="2" s="1"/>
  <c r="BT128" i="2" s="1"/>
  <c r="BT129" i="2" s="1"/>
  <c r="BT130" i="2" s="1"/>
  <c r="BT131" i="2" s="1"/>
  <c r="BT132" i="2" s="1"/>
  <c r="BT133" i="2" s="1"/>
  <c r="BT134" i="2" s="1"/>
  <c r="BT135" i="2" s="1"/>
  <c r="BT136" i="2" s="1"/>
  <c r="BT137" i="2" s="1"/>
  <c r="BT138" i="2" s="1"/>
  <c r="BT139" i="2" s="1"/>
  <c r="BT140" i="2" s="1"/>
  <c r="BT141" i="2" s="1"/>
  <c r="BT142" i="2" s="1"/>
  <c r="BT143" i="2" s="1"/>
  <c r="BT144" i="2" s="1"/>
  <c r="BT145" i="2" s="1"/>
  <c r="BT146" i="2" s="1"/>
  <c r="BT147" i="2" s="1"/>
  <c r="BT148" i="2" s="1"/>
  <c r="BT149" i="2" s="1"/>
  <c r="BT150" i="2" s="1"/>
  <c r="BT151" i="2" s="1"/>
  <c r="BT152" i="2" s="1"/>
  <c r="D75" i="7"/>
  <c r="E68" i="1"/>
  <c r="E99" i="1"/>
  <c r="G109" i="1"/>
  <c r="E143" i="1"/>
  <c r="E144" i="1"/>
  <c r="E93" i="1"/>
  <c r="E115" i="1"/>
  <c r="E135" i="1"/>
  <c r="E128" i="1"/>
  <c r="E138" i="1"/>
  <c r="G123" i="1"/>
  <c r="G129" i="1"/>
  <c r="G116" i="1"/>
  <c r="G117" i="1"/>
  <c r="E114" i="1"/>
  <c r="E80" i="1"/>
  <c r="E91" i="1"/>
  <c r="E70" i="1"/>
  <c r="E111" i="1"/>
  <c r="E125" i="1"/>
  <c r="E120" i="1"/>
  <c r="E133" i="1"/>
  <c r="E108" i="1"/>
  <c r="E121" i="1"/>
  <c r="E71" i="1"/>
  <c r="G126" i="1"/>
  <c r="E113" i="1"/>
  <c r="E127" i="1"/>
  <c r="E67" i="1"/>
  <c r="E119" i="1"/>
  <c r="E132" i="1"/>
  <c r="E112" i="1"/>
  <c r="G94" i="1"/>
  <c r="BJ133" i="2"/>
  <c r="G131" i="1" s="1"/>
  <c r="BJ135" i="2"/>
  <c r="G134" i="1" s="1"/>
  <c r="BJ137" i="2"/>
  <c r="G136" i="1" s="1"/>
  <c r="BJ140" i="2"/>
  <c r="E118" i="1"/>
  <c r="G110" i="1"/>
  <c r="G74" i="1"/>
  <c r="BJ144" i="2"/>
  <c r="G142" i="1" s="1"/>
  <c r="K58" i="31"/>
  <c r="J58" i="31"/>
  <c r="J61" i="31"/>
  <c r="J56" i="31"/>
  <c r="K56" i="31"/>
  <c r="H4" i="31"/>
  <c r="K4" i="31" s="1"/>
  <c r="J4" i="31"/>
  <c r="E12" i="1"/>
  <c r="J8" i="31"/>
  <c r="K8" i="31"/>
  <c r="BJ73" i="2"/>
  <c r="G60" i="1" s="1"/>
  <c r="E18" i="1"/>
  <c r="E21" i="1"/>
  <c r="BJ118" i="2"/>
  <c r="G114" i="1" s="1"/>
  <c r="E15" i="1"/>
  <c r="BJ44" i="2"/>
  <c r="G41" i="1" s="1"/>
  <c r="BJ76" i="2"/>
  <c r="G63" i="1" s="1"/>
  <c r="E23" i="1"/>
  <c r="BJ40" i="2"/>
  <c r="G37" i="1" s="1"/>
  <c r="BJ95" i="2"/>
  <c r="G93" i="1" s="1"/>
  <c r="E10" i="1"/>
  <c r="E28" i="1"/>
  <c r="J60" i="31"/>
  <c r="K57" i="31"/>
  <c r="J57" i="31"/>
  <c r="J53" i="31"/>
  <c r="K53" i="31"/>
  <c r="K31" i="31"/>
  <c r="J31" i="31"/>
  <c r="E33" i="1"/>
  <c r="BJ77" i="2"/>
  <c r="G64" i="1" s="1"/>
  <c r="E29" i="1"/>
  <c r="BJ78" i="2"/>
  <c r="G65" i="1" s="1"/>
  <c r="K54" i="31"/>
  <c r="J54" i="31"/>
  <c r="E11" i="1"/>
  <c r="E20" i="1"/>
  <c r="BJ56" i="2"/>
  <c r="G49" i="1" s="1"/>
  <c r="E34" i="1"/>
  <c r="BJ109" i="2"/>
  <c r="G87" i="1" s="1"/>
  <c r="E6" i="1"/>
  <c r="E17" i="1"/>
  <c r="E35" i="1"/>
  <c r="E27" i="1"/>
  <c r="BJ101" i="2"/>
  <c r="G79" i="1" s="1"/>
  <c r="BJ145" i="2"/>
  <c r="G144" i="1" s="1"/>
  <c r="E31" i="1"/>
  <c r="E24" i="1"/>
  <c r="BJ124" i="2"/>
  <c r="G96" i="1" s="1"/>
  <c r="E30" i="1"/>
  <c r="H13" i="6"/>
  <c r="H16" i="6"/>
  <c r="H14" i="6"/>
  <c r="H15" i="6"/>
  <c r="H12" i="6"/>
  <c r="E97" i="1"/>
  <c r="E87" i="1"/>
  <c r="E9" i="1"/>
  <c r="E7" i="1"/>
  <c r="E37" i="1"/>
  <c r="E49" i="1"/>
  <c r="E96" i="1"/>
  <c r="E65" i="1"/>
  <c r="E60" i="1"/>
  <c r="BJ38" i="2"/>
  <c r="BJ18" i="2"/>
  <c r="E64" i="1"/>
  <c r="BJ34" i="2"/>
  <c r="BJ14" i="2"/>
  <c r="BJ39" i="2"/>
  <c r="G34" i="1" s="1"/>
  <c r="BJ35" i="2"/>
  <c r="E72" i="1"/>
  <c r="BJ19" i="2"/>
  <c r="G24" i="1" s="1"/>
  <c r="BJ23" i="2"/>
  <c r="G18" i="1" s="1"/>
  <c r="BJ26" i="2"/>
  <c r="G21" i="1" s="1"/>
  <c r="BJ20" i="2"/>
  <c r="E92" i="1"/>
  <c r="E41" i="1"/>
  <c r="BJ25" i="2"/>
  <c r="G22" i="1" s="1"/>
  <c r="E63" i="1"/>
  <c r="BJ15" i="2"/>
  <c r="G11" i="1" s="1"/>
  <c r="BJ36" i="2"/>
  <c r="E106" i="1"/>
  <c r="BJ13" i="2"/>
  <c r="BJ22" i="2"/>
  <c r="G19" i="1" s="1"/>
  <c r="E79" i="1"/>
  <c r="BJ32" i="2"/>
  <c r="BJ11" i="2"/>
  <c r="E98" i="1"/>
  <c r="BJ8" i="2"/>
  <c r="G5" i="1" s="1"/>
  <c r="E5" i="1"/>
  <c r="E73" i="1"/>
  <c r="G58" i="1"/>
  <c r="G105" i="1"/>
  <c r="G83" i="1"/>
  <c r="BJ16" i="2"/>
  <c r="G13" i="1" s="1"/>
  <c r="BJ30" i="2"/>
  <c r="G35" i="1" s="1"/>
  <c r="G55" i="1"/>
  <c r="G89" i="1"/>
  <c r="G39" i="1"/>
  <c r="G53" i="1"/>
  <c r="BJ29" i="2"/>
  <c r="G26" i="1" s="1"/>
  <c r="G38" i="1"/>
  <c r="G47" i="1"/>
  <c r="BJ10" i="2"/>
  <c r="G45" i="1"/>
  <c r="G62" i="1"/>
  <c r="G103" i="1"/>
  <c r="G107" i="1"/>
  <c r="G52" i="1"/>
  <c r="G101" i="1"/>
  <c r="G95" i="1"/>
  <c r="G43" i="1"/>
  <c r="BJ9" i="2"/>
  <c r="G6" i="1" s="1"/>
  <c r="G75" i="1"/>
  <c r="G42" i="1"/>
  <c r="BJ28" i="2"/>
  <c r="G25" i="1" s="1"/>
  <c r="G50" i="1"/>
  <c r="G84" i="1"/>
  <c r="G61" i="1"/>
  <c r="BJ33" i="2"/>
  <c r="BJ12" i="2"/>
  <c r="G88" i="1"/>
  <c r="G57" i="1"/>
  <c r="BJ31" i="2"/>
  <c r="G77" i="1"/>
  <c r="G44" i="1"/>
  <c r="G67" i="1"/>
  <c r="G40" i="1"/>
  <c r="G66" i="1"/>
  <c r="G82" i="1"/>
  <c r="G76" i="1"/>
  <c r="G86" i="1"/>
  <c r="G59" i="1"/>
  <c r="G54" i="1"/>
  <c r="G100" i="1"/>
  <c r="G46" i="1"/>
  <c r="G104" i="1"/>
  <c r="G85" i="1"/>
  <c r="BJ17" i="2"/>
  <c r="G14" i="1" s="1"/>
  <c r="G48" i="1"/>
  <c r="G99" i="1" l="1"/>
  <c r="G68" i="1"/>
  <c r="G72" i="1"/>
  <c r="G81" i="1"/>
  <c r="G138" i="1"/>
  <c r="G139" i="1"/>
  <c r="G73" i="1"/>
  <c r="G133" i="1"/>
  <c r="G143" i="1"/>
  <c r="G92" i="1"/>
  <c r="G115" i="1"/>
  <c r="G135" i="1"/>
  <c r="G91" i="1"/>
  <c r="G80" i="1"/>
  <c r="G112" i="1"/>
  <c r="G118" i="1"/>
  <c r="G128" i="1"/>
  <c r="G113" i="1"/>
  <c r="G127" i="1"/>
  <c r="G97" i="1"/>
  <c r="G121" i="1"/>
  <c r="G119" i="1"/>
  <c r="G132" i="1"/>
  <c r="G111" i="1"/>
  <c r="G125" i="1"/>
  <c r="G31" i="1"/>
  <c r="G23" i="1"/>
  <c r="G12" i="1"/>
  <c r="G29" i="1"/>
  <c r="G51" i="1"/>
  <c r="G108" i="1"/>
  <c r="G69" i="1"/>
  <c r="G78" i="1"/>
  <c r="G36" i="1"/>
  <c r="G28" i="1"/>
  <c r="G71" i="1"/>
  <c r="G15" i="1"/>
  <c r="G16" i="1"/>
  <c r="G70" i="1"/>
  <c r="G90" i="1"/>
  <c r="G27" i="1"/>
  <c r="G20" i="1"/>
  <c r="G30" i="1"/>
  <c r="G106" i="1"/>
  <c r="G120" i="1"/>
  <c r="G98" i="1"/>
  <c r="G8" i="1"/>
  <c r="G102" i="1"/>
  <c r="G17" i="1"/>
  <c r="G10" i="1"/>
  <c r="G33" i="1"/>
  <c r="B273" i="33"/>
  <c r="B193" i="33"/>
  <c r="B33" i="33"/>
  <c r="D31" i="7"/>
  <c r="J31" i="7" s="1"/>
  <c r="B33" i="7"/>
  <c r="B353" i="33"/>
  <c r="B113" i="33"/>
  <c r="D351" i="33"/>
  <c r="D271" i="33"/>
  <c r="D191" i="33"/>
  <c r="D111" i="33"/>
  <c r="D31" i="33"/>
  <c r="G32" i="1"/>
  <c r="J64" i="31"/>
  <c r="J63" i="31"/>
  <c r="J27" i="31"/>
  <c r="K27" i="31"/>
  <c r="J29" i="31"/>
  <c r="K29" i="31"/>
  <c r="K30" i="31"/>
  <c r="J30" i="31"/>
  <c r="K34" i="31"/>
  <c r="J34" i="31"/>
  <c r="K33" i="31"/>
  <c r="J33" i="31"/>
  <c r="K28" i="31"/>
  <c r="J28" i="31"/>
  <c r="K32" i="31"/>
  <c r="J32" i="31"/>
  <c r="J9" i="31"/>
  <c r="K9" i="31"/>
  <c r="J62" i="31"/>
  <c r="J59" i="31"/>
  <c r="K11" i="31"/>
  <c r="J11" i="31"/>
  <c r="K26" i="31"/>
  <c r="J26" i="31"/>
  <c r="J10" i="31"/>
  <c r="K10" i="31"/>
  <c r="J5" i="31"/>
  <c r="K5" i="31"/>
  <c r="G9" i="1"/>
  <c r="G7" i="1"/>
  <c r="E43" i="6"/>
  <c r="E44" i="6"/>
  <c r="B194" i="33" l="1"/>
  <c r="B274" i="33"/>
  <c r="B114" i="33"/>
  <c r="D32" i="7"/>
  <c r="J32" i="7" s="1"/>
  <c r="B354" i="33"/>
  <c r="B34" i="33"/>
  <c r="B34" i="7"/>
  <c r="D32" i="33"/>
  <c r="D192" i="33"/>
  <c r="D112" i="33"/>
  <c r="D352" i="33"/>
  <c r="D272" i="33"/>
  <c r="D17" i="7"/>
  <c r="B195" i="33" l="1"/>
  <c r="D33" i="7"/>
  <c r="J33" i="7" s="1"/>
  <c r="B35" i="33"/>
  <c r="B115" i="33"/>
  <c r="B355" i="33"/>
  <c r="B275" i="33"/>
  <c r="B35" i="7"/>
  <c r="D33" i="33"/>
  <c r="D353" i="33"/>
  <c r="D273" i="33"/>
  <c r="D113" i="33"/>
  <c r="D193" i="33"/>
  <c r="B196" i="33" l="1"/>
  <c r="B116" i="33"/>
  <c r="B356" i="33"/>
  <c r="B36" i="7"/>
  <c r="B276" i="33"/>
  <c r="B36" i="33"/>
  <c r="D34" i="7"/>
  <c r="J34" i="7" s="1"/>
  <c r="D194" i="33"/>
  <c r="D354" i="33"/>
  <c r="D274" i="33"/>
  <c r="D114" i="33"/>
  <c r="D34" i="33"/>
  <c r="G17" i="33"/>
  <c r="G17" i="7"/>
  <c r="B117" i="33" l="1"/>
  <c r="D35" i="7"/>
  <c r="J35" i="7" s="1"/>
  <c r="B37" i="33"/>
  <c r="B37" i="7"/>
  <c r="B197" i="33"/>
  <c r="B277" i="33"/>
  <c r="B357" i="33"/>
  <c r="D115" i="33"/>
  <c r="D195" i="33"/>
  <c r="D35" i="33"/>
  <c r="D355" i="33"/>
  <c r="D275" i="33"/>
  <c r="J16" i="33"/>
  <c r="B278" i="33" l="1"/>
  <c r="D356" i="33"/>
  <c r="D276" i="33"/>
  <c r="D36" i="7"/>
  <c r="J36" i="7" s="1"/>
  <c r="B358" i="33"/>
  <c r="B198" i="33"/>
  <c r="B38" i="33"/>
  <c r="D36" i="33"/>
  <c r="B118" i="33"/>
  <c r="D196" i="33"/>
  <c r="D116" i="33"/>
  <c r="B38" i="7"/>
  <c r="B199" i="33" l="1"/>
  <c r="D277" i="33"/>
  <c r="D37" i="7"/>
  <c r="J37" i="7" s="1"/>
  <c r="B279" i="33"/>
  <c r="D117" i="33"/>
  <c r="D197" i="33"/>
  <c r="B359" i="33"/>
  <c r="D37" i="33"/>
  <c r="B39" i="33"/>
  <c r="B119" i="33"/>
  <c r="B39" i="7"/>
  <c r="B120" i="33" l="1"/>
  <c r="D198" i="33"/>
  <c r="D38" i="7"/>
  <c r="J38" i="7" s="1"/>
  <c r="B280" i="33"/>
  <c r="B40" i="33"/>
  <c r="D118" i="33"/>
  <c r="B40" i="7"/>
  <c r="B200" i="33"/>
  <c r="D358" i="33"/>
  <c r="D278" i="33"/>
  <c r="B360" i="33"/>
  <c r="D38" i="33"/>
  <c r="D357" i="33" l="1"/>
  <c r="B281" i="33"/>
  <c r="B121" i="33"/>
  <c r="D279" i="33"/>
  <c r="B41" i="7"/>
  <c r="D359" i="33"/>
  <c r="B361" i="33"/>
  <c r="D199" i="33"/>
  <c r="B41" i="33"/>
  <c r="D119" i="33"/>
  <c r="D39" i="7"/>
  <c r="J39" i="7" s="1"/>
  <c r="B201" i="33"/>
  <c r="D39" i="33"/>
  <c r="B122" i="33" l="1"/>
  <c r="D200" i="33"/>
  <c r="D40" i="33"/>
  <c r="B282" i="33"/>
  <c r="D120" i="33"/>
  <c r="B42" i="33"/>
  <c r="D280" i="33"/>
  <c r="D40" i="7"/>
  <c r="J40" i="7" s="1"/>
  <c r="B362" i="33"/>
  <c r="B202" i="33"/>
  <c r="D360" i="33"/>
  <c r="B42" i="7"/>
  <c r="B123" i="33" l="1"/>
  <c r="D121" i="33"/>
  <c r="D41" i="33"/>
  <c r="B283" i="33"/>
  <c r="D281" i="33"/>
  <c r="B363" i="33"/>
  <c r="D201" i="33"/>
  <c r="D41" i="7"/>
  <c r="J41" i="7" s="1"/>
  <c r="B43" i="33"/>
  <c r="B203" i="33"/>
  <c r="D361" i="33"/>
  <c r="B43" i="7"/>
  <c r="B204" i="33" l="1"/>
  <c r="D202" i="33"/>
  <c r="D362" i="33"/>
  <c r="B44" i="7"/>
  <c r="B124" i="33"/>
  <c r="D42" i="33"/>
  <c r="B364" i="33"/>
  <c r="D122" i="33"/>
  <c r="B284" i="33"/>
  <c r="B44" i="33"/>
  <c r="D282" i="33"/>
  <c r="D42" i="7"/>
  <c r="J42" i="7" s="1"/>
  <c r="B205" i="33" l="1"/>
  <c r="D283" i="33"/>
  <c r="D123" i="33"/>
  <c r="D43" i="7"/>
  <c r="J43" i="7" s="1"/>
  <c r="B365" i="33"/>
  <c r="D43" i="33"/>
  <c r="B45" i="7"/>
  <c r="B125" i="33"/>
  <c r="D363" i="33"/>
  <c r="B285" i="33"/>
  <c r="B45" i="33"/>
  <c r="D203" i="33"/>
  <c r="B206" i="33" l="1"/>
  <c r="D364" i="33"/>
  <c r="D124" i="33"/>
  <c r="B46" i="33"/>
  <c r="D44" i="33"/>
  <c r="B286" i="33"/>
  <c r="D284" i="33"/>
  <c r="D44" i="7"/>
  <c r="J44" i="7" s="1"/>
  <c r="B366" i="33"/>
  <c r="B126" i="33"/>
  <c r="D204" i="33"/>
  <c r="B46" i="7"/>
  <c r="B127" i="33" l="1"/>
  <c r="D365" i="33"/>
  <c r="B367" i="33"/>
  <c r="D125" i="33"/>
  <c r="D45" i="7"/>
  <c r="J45" i="7" s="1"/>
  <c r="B47" i="33"/>
  <c r="B207" i="33"/>
  <c r="D45" i="33"/>
  <c r="B47" i="7"/>
  <c r="B287" i="33"/>
  <c r="D205" i="33"/>
  <c r="D285" i="33"/>
  <c r="B208" i="33" l="1"/>
  <c r="D286" i="33"/>
  <c r="D366" i="33"/>
  <c r="B128" i="33"/>
  <c r="D206" i="33"/>
  <c r="B48" i="33"/>
  <c r="D46" i="33"/>
  <c r="D46" i="7"/>
  <c r="J46" i="7" s="1"/>
  <c r="B288" i="33"/>
  <c r="B368" i="33"/>
  <c r="D126" i="33"/>
  <c r="B48" i="7"/>
  <c r="B289" i="33" l="1"/>
  <c r="B209" i="33"/>
  <c r="D127" i="33"/>
  <c r="B49" i="7"/>
  <c r="B369" i="33"/>
  <c r="D287" i="33"/>
  <c r="D207" i="33"/>
  <c r="B49" i="33"/>
  <c r="D47" i="33"/>
  <c r="B129" i="33"/>
  <c r="D367" i="33"/>
  <c r="D47" i="7"/>
  <c r="J47" i="7" s="1"/>
  <c r="B210" i="33" l="1"/>
  <c r="D48" i="33"/>
  <c r="D128" i="33"/>
  <c r="B290" i="33"/>
  <c r="D288" i="33"/>
  <c r="B130" i="33"/>
  <c r="D368" i="33"/>
  <c r="D48" i="7"/>
  <c r="J48" i="7" s="1"/>
  <c r="B370" i="33"/>
  <c r="B50" i="33"/>
  <c r="D208" i="33"/>
  <c r="B50" i="7"/>
  <c r="B371" i="33" l="1"/>
  <c r="D289" i="33"/>
  <c r="D129" i="33"/>
  <c r="B211" i="33"/>
  <c r="D49" i="33"/>
  <c r="B291" i="33"/>
  <c r="D209" i="33"/>
  <c r="D49" i="7"/>
  <c r="J49" i="7" s="1"/>
  <c r="B51" i="33"/>
  <c r="B131" i="33"/>
  <c r="D369" i="33"/>
  <c r="B51" i="7"/>
  <c r="B132" i="33" l="1"/>
  <c r="D290" i="33"/>
  <c r="B372" i="33"/>
  <c r="D50" i="33"/>
  <c r="D50" i="7"/>
  <c r="J50" i="7" s="1"/>
  <c r="B292" i="33"/>
  <c r="B52" i="33"/>
  <c r="D130" i="33"/>
  <c r="B52" i="7"/>
  <c r="B212" i="33"/>
  <c r="D370" i="33"/>
  <c r="D210" i="33"/>
  <c r="B53" i="33" l="1"/>
  <c r="D371" i="33"/>
  <c r="B213" i="33"/>
  <c r="D211" i="33"/>
  <c r="D51" i="7"/>
  <c r="J51" i="7" s="1"/>
  <c r="B293" i="33"/>
  <c r="B373" i="33"/>
  <c r="D291" i="33"/>
  <c r="B53" i="7"/>
  <c r="B133" i="33"/>
  <c r="D131" i="33"/>
  <c r="D51" i="33"/>
  <c r="B54" i="33" l="1"/>
  <c r="D292" i="33"/>
  <c r="D52" i="33"/>
  <c r="B134" i="33"/>
  <c r="D212" i="33"/>
  <c r="B294" i="33"/>
  <c r="D132" i="33"/>
  <c r="D52" i="7"/>
  <c r="J52" i="7" s="1"/>
  <c r="B374" i="33"/>
  <c r="B214" i="33"/>
  <c r="D372" i="33"/>
  <c r="B54" i="7"/>
  <c r="B295" i="33" l="1"/>
  <c r="D293" i="33"/>
  <c r="D373" i="33"/>
  <c r="B375" i="33"/>
  <c r="D53" i="33"/>
  <c r="B215" i="33"/>
  <c r="D213" i="33"/>
  <c r="D53" i="7"/>
  <c r="J53" i="7" s="1"/>
  <c r="B55" i="33"/>
  <c r="B135" i="33"/>
  <c r="D133" i="33"/>
  <c r="B55" i="7"/>
  <c r="B216" i="33" l="1"/>
  <c r="D374" i="33"/>
  <c r="D294" i="33"/>
  <c r="B136" i="33"/>
  <c r="D214" i="33"/>
  <c r="B376" i="33"/>
  <c r="D54" i="33"/>
  <c r="D54" i="7"/>
  <c r="J54" i="7" s="1"/>
  <c r="B296" i="33"/>
  <c r="B56" i="33"/>
  <c r="D134" i="33"/>
  <c r="B56" i="7"/>
  <c r="B217" i="33" l="1"/>
  <c r="D375" i="33"/>
  <c r="D295" i="33"/>
  <c r="B377" i="33"/>
  <c r="D215" i="33"/>
  <c r="B57" i="33"/>
  <c r="D55" i="33"/>
  <c r="D55" i="7"/>
  <c r="J55" i="7" s="1"/>
  <c r="B297" i="33"/>
  <c r="B137" i="33"/>
  <c r="D135" i="33"/>
  <c r="B57" i="7"/>
  <c r="B138" i="33" l="1"/>
  <c r="D216" i="33"/>
  <c r="D296" i="33"/>
  <c r="B298" i="33"/>
  <c r="D136" i="33"/>
  <c r="B58" i="33"/>
  <c r="D376" i="33"/>
  <c r="D56" i="7"/>
  <c r="J56" i="7" s="1"/>
  <c r="B378" i="33"/>
  <c r="B218" i="33"/>
  <c r="D56" i="33"/>
  <c r="B58" i="7"/>
  <c r="B59" i="33" l="1"/>
  <c r="B219" i="33"/>
  <c r="B59" i="7"/>
  <c r="B139" i="33"/>
  <c r="D137" i="33"/>
  <c r="D57" i="33"/>
  <c r="B299" i="33"/>
  <c r="D297" i="33"/>
  <c r="B379" i="33"/>
  <c r="D217" i="33"/>
  <c r="D57" i="7"/>
  <c r="J57" i="7" s="1"/>
  <c r="D377" i="33"/>
  <c r="B60" i="7" l="1"/>
  <c r="B220" i="33"/>
  <c r="D218" i="33"/>
  <c r="D378" i="33"/>
  <c r="B140" i="33"/>
  <c r="D298" i="33"/>
  <c r="B380" i="33"/>
  <c r="D58" i="33"/>
  <c r="D58" i="7"/>
  <c r="J58" i="7" s="1"/>
  <c r="B300" i="33"/>
  <c r="B60" i="33"/>
  <c r="D138" i="33"/>
  <c r="B141" i="33" l="1"/>
  <c r="D379" i="33"/>
  <c r="B301" i="33"/>
  <c r="B61" i="7"/>
  <c r="B221" i="33"/>
  <c r="D219" i="33"/>
  <c r="D139" i="33"/>
  <c r="B381" i="33"/>
  <c r="D299" i="33"/>
  <c r="D59" i="7"/>
  <c r="J59" i="7" s="1"/>
  <c r="B61" i="33"/>
  <c r="D59" i="33"/>
  <c r="D392" i="33" l="1"/>
  <c r="J72" i="7"/>
  <c r="D312" i="33"/>
  <c r="B74" i="33"/>
  <c r="D152" i="33"/>
  <c r="B314" i="33"/>
  <c r="D232" i="33"/>
  <c r="B154" i="33"/>
  <c r="D72" i="33"/>
  <c r="B234" i="33"/>
  <c r="B394" i="33"/>
  <c r="D151" i="33"/>
  <c r="J71" i="7"/>
  <c r="D71" i="33"/>
  <c r="B73" i="33"/>
  <c r="D231" i="33"/>
  <c r="B393" i="33"/>
  <c r="D391" i="33"/>
  <c r="B233" i="33"/>
  <c r="D311" i="33"/>
  <c r="B153" i="33"/>
  <c r="B313" i="33"/>
  <c r="D310" i="33"/>
  <c r="J70" i="7"/>
  <c r="D150" i="33"/>
  <c r="B392" i="33"/>
  <c r="D230" i="33"/>
  <c r="B152" i="33"/>
  <c r="D390" i="33"/>
  <c r="B232" i="33"/>
  <c r="B72" i="7"/>
  <c r="D70" i="33"/>
  <c r="B72" i="33"/>
  <c r="B312" i="33"/>
  <c r="D389" i="33"/>
  <c r="J69" i="7"/>
  <c r="D229" i="33"/>
  <c r="B231" i="33"/>
  <c r="D149" i="33"/>
  <c r="B391" i="33"/>
  <c r="D309" i="33"/>
  <c r="B311" i="33"/>
  <c r="B71" i="7"/>
  <c r="D69" i="33"/>
  <c r="B151" i="33"/>
  <c r="B71" i="33"/>
  <c r="D148" i="33"/>
  <c r="J68" i="7"/>
  <c r="D388" i="33"/>
  <c r="B310" i="33"/>
  <c r="D68" i="33"/>
  <c r="B150" i="33"/>
  <c r="D308" i="33"/>
  <c r="B70" i="33"/>
  <c r="D228" i="33"/>
  <c r="B230" i="33"/>
  <c r="B390" i="33"/>
  <c r="D67" i="33"/>
  <c r="D147" i="33"/>
  <c r="B149" i="33"/>
  <c r="J67" i="7"/>
  <c r="D387" i="33"/>
  <c r="B229" i="33"/>
  <c r="D307" i="33"/>
  <c r="B69" i="33"/>
  <c r="D227" i="33"/>
  <c r="B389" i="33"/>
  <c r="B309" i="33"/>
  <c r="D226" i="33"/>
  <c r="B68" i="33"/>
  <c r="B308" i="33"/>
  <c r="J66" i="7"/>
  <c r="D306" i="33"/>
  <c r="B148" i="33"/>
  <c r="D146" i="33"/>
  <c r="D66" i="33"/>
  <c r="B228" i="33"/>
  <c r="B68" i="7"/>
  <c r="D386" i="33"/>
  <c r="B388" i="33"/>
  <c r="D305" i="33"/>
  <c r="B147" i="33"/>
  <c r="B67" i="33"/>
  <c r="D385" i="33"/>
  <c r="B227" i="33"/>
  <c r="D145" i="33"/>
  <c r="D225" i="33"/>
  <c r="B387" i="33"/>
  <c r="B67" i="7"/>
  <c r="J65" i="7"/>
  <c r="D65" i="33"/>
  <c r="B307" i="33"/>
  <c r="D223" i="33"/>
  <c r="B65" i="7"/>
  <c r="B225" i="33"/>
  <c r="B305" i="33"/>
  <c r="D383" i="33"/>
  <c r="B65" i="33"/>
  <c r="D303" i="33"/>
  <c r="B385" i="33"/>
  <c r="D63" i="33"/>
  <c r="J63" i="7"/>
  <c r="D143" i="33"/>
  <c r="B145" i="33"/>
  <c r="D64" i="33"/>
  <c r="B66" i="33"/>
  <c r="B386" i="33"/>
  <c r="J64" i="7"/>
  <c r="D224" i="33"/>
  <c r="B306" i="33"/>
  <c r="D144" i="33"/>
  <c r="D384" i="33"/>
  <c r="B226" i="33"/>
  <c r="B66" i="7"/>
  <c r="D304" i="33"/>
  <c r="B146" i="33"/>
  <c r="B64" i="7"/>
  <c r="B384" i="33"/>
  <c r="D222" i="33"/>
  <c r="B144" i="33"/>
  <c r="D382" i="33"/>
  <c r="D302" i="33"/>
  <c r="B224" i="33"/>
  <c r="D62" i="33"/>
  <c r="B304" i="33"/>
  <c r="J62" i="7"/>
  <c r="D142" i="33"/>
  <c r="B64" i="33"/>
  <c r="D300" i="33"/>
  <c r="B142" i="33"/>
  <c r="B382" i="33"/>
  <c r="D60" i="7"/>
  <c r="J60" i="7" s="1"/>
  <c r="D140" i="33"/>
  <c r="B62" i="33"/>
  <c r="D60" i="33"/>
  <c r="D380" i="33"/>
  <c r="B222" i="33"/>
  <c r="B62" i="7"/>
  <c r="D220" i="33"/>
  <c r="B302" i="33"/>
  <c r="D141" i="33"/>
  <c r="B223" i="33"/>
  <c r="B63" i="33"/>
  <c r="J61" i="7"/>
  <c r="D381" i="33"/>
  <c r="B143" i="33"/>
  <c r="D301" i="33"/>
  <c r="D221" i="33"/>
  <c r="B303" i="33"/>
  <c r="B63" i="7"/>
  <c r="D61" i="33"/>
  <c r="B383" i="33"/>
  <c r="B155" i="33" l="1"/>
  <c r="D393" i="33"/>
  <c r="B315" i="33"/>
  <c r="D313" i="33"/>
  <c r="D153" i="33" l="1"/>
  <c r="J73" i="7"/>
  <c r="B235" i="33"/>
  <c r="B75" i="33"/>
  <c r="D395" i="33"/>
  <c r="B156" i="33"/>
  <c r="D233" i="33"/>
  <c r="D73" i="33"/>
  <c r="B395" i="33"/>
  <c r="B76" i="33"/>
  <c r="D394" i="33"/>
  <c r="D235" i="33"/>
  <c r="J75" i="7"/>
  <c r="D155" i="33"/>
  <c r="D154" i="33"/>
  <c r="B396" i="33"/>
  <c r="D314" i="33"/>
  <c r="B236" i="33"/>
  <c r="D74" i="33"/>
  <c r="J74" i="7"/>
  <c r="D234" i="33"/>
  <c r="B316" i="33"/>
  <c r="D75" i="33" l="1"/>
  <c r="D315" i="33"/>
  <c r="D76" i="33"/>
  <c r="D236" i="33"/>
  <c r="D396" i="33"/>
  <c r="D316" i="33" l="1"/>
  <c r="D156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Niels Hansen</author>
  </authors>
  <commentList>
    <comment ref="D16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Niels Hansen:</t>
        </r>
        <r>
          <rPr>
            <sz val="9"/>
            <color indexed="81"/>
            <rFont val="Tahoma"/>
            <family val="2"/>
          </rPr>
          <t xml:space="preserve">
Must be entered for salt blend calculations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Niels Hansen</author>
  </authors>
  <commentList>
    <comment ref="D1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Niels Hansen:</t>
        </r>
        <r>
          <rPr>
            <sz val="9"/>
            <color indexed="81"/>
            <rFont val="Tahoma"/>
            <family val="2"/>
          </rPr>
          <t xml:space="preserve">
Must be entered for salt blend calculations</t>
        </r>
      </text>
    </comment>
  </commentList>
</comments>
</file>

<file path=xl/sharedStrings.xml><?xml version="1.0" encoding="utf-8"?>
<sst xmlns="http://schemas.openxmlformats.org/spreadsheetml/2006/main" count="5119" uniqueCount="1933">
  <si>
    <t>Name</t>
  </si>
  <si>
    <t>Base</t>
  </si>
  <si>
    <t>Gel (%)</t>
  </si>
  <si>
    <t>Water</t>
  </si>
  <si>
    <t>Yield</t>
  </si>
  <si>
    <t>Density</t>
  </si>
  <si>
    <t>S.G.</t>
  </si>
  <si>
    <t>Thixotropic</t>
  </si>
  <si>
    <t>AER Code</t>
  </si>
  <si>
    <t>Price code</t>
  </si>
  <si>
    <t>Sack Weight (kg)</t>
  </si>
  <si>
    <t>No Cement</t>
  </si>
  <si>
    <t>0:1:0 'G'</t>
  </si>
  <si>
    <t>N</t>
  </si>
  <si>
    <t>04</t>
  </si>
  <si>
    <t>0:1:2 'G'</t>
  </si>
  <si>
    <t>0:1:4 'G'</t>
  </si>
  <si>
    <t>0:1:6 'G'</t>
  </si>
  <si>
    <t>Y</t>
  </si>
  <si>
    <t>0:1:8 'G'</t>
  </si>
  <si>
    <t>0:1:12 'G'</t>
  </si>
  <si>
    <t>1:1:0 'G'</t>
  </si>
  <si>
    <t>1:1:0 'G' (Sask)</t>
  </si>
  <si>
    <t>1:1:2 'G'</t>
  </si>
  <si>
    <t>06</t>
  </si>
  <si>
    <t>1:1:2 'G' (Sask)</t>
  </si>
  <si>
    <t>1:1:4 'G'</t>
  </si>
  <si>
    <t>07</t>
  </si>
  <si>
    <t>1:1:4 'G' (Sask)</t>
  </si>
  <si>
    <t>1:1:6 'G'</t>
  </si>
  <si>
    <t>1:1:6 'G' (Sask)</t>
  </si>
  <si>
    <t>1:1:8 'G'</t>
  </si>
  <si>
    <t>1:1:8 'G' (Sask)</t>
  </si>
  <si>
    <t>1:1:12 'G'</t>
  </si>
  <si>
    <t>1:1:12 'G' (Sask)</t>
  </si>
  <si>
    <t>2:1:0 'G'</t>
  </si>
  <si>
    <t>POR</t>
  </si>
  <si>
    <t>2:1:0 'G' (Sask)</t>
  </si>
  <si>
    <t>2:1:2 'G'</t>
  </si>
  <si>
    <t>2:1:2 'G' (Sask)</t>
  </si>
  <si>
    <t>2:1:4 'G'</t>
  </si>
  <si>
    <t>2:1:4 'G' (Sask)</t>
  </si>
  <si>
    <t>2:1:6 'G'</t>
  </si>
  <si>
    <t>2:1:6 'G' (Sask)</t>
  </si>
  <si>
    <t>2:1:8 'G'</t>
  </si>
  <si>
    <t>2:1:8 'G' (Sask)</t>
  </si>
  <si>
    <t>2:1:12 'G'</t>
  </si>
  <si>
    <t>2:1:12 'G' (Sask)</t>
  </si>
  <si>
    <t>ARC</t>
  </si>
  <si>
    <t>Ciment Fondu</t>
  </si>
  <si>
    <t>Expandomix</t>
  </si>
  <si>
    <t>Expandomix HT</t>
  </si>
  <si>
    <t>Expandomix HT (Sask)</t>
  </si>
  <si>
    <t>Expandomix LWL</t>
  </si>
  <si>
    <t>01</t>
  </si>
  <si>
    <t>iGain (Sask)</t>
  </si>
  <si>
    <t>iThix</t>
  </si>
  <si>
    <t>iZone</t>
  </si>
  <si>
    <t>LCS 1600</t>
  </si>
  <si>
    <t>LCS 1820</t>
  </si>
  <si>
    <t>Litefill 1400 HT</t>
  </si>
  <si>
    <t>Litefill 1400 LT</t>
  </si>
  <si>
    <t>Litefill 1400 MT</t>
  </si>
  <si>
    <t>Litefill 1450 HT</t>
  </si>
  <si>
    <t>Litefill 1450 LT</t>
  </si>
  <si>
    <t>Litefill 1450 MT</t>
  </si>
  <si>
    <t>Litefill 1500 HT</t>
  </si>
  <si>
    <t>Litefill 1500 LT</t>
  </si>
  <si>
    <t>Litefill 1500 MT</t>
  </si>
  <si>
    <t>Litefill 1550 HT</t>
  </si>
  <si>
    <t>Litefill 1550 LT</t>
  </si>
  <si>
    <t>Litefill 1550 MT</t>
  </si>
  <si>
    <t>LITEmix 1325 (AB)</t>
  </si>
  <si>
    <t>LITEmix 1400 (AB)</t>
  </si>
  <si>
    <t>Proteus LCS</t>
  </si>
  <si>
    <t>RAS II</t>
  </si>
  <si>
    <t>SanSeal</t>
  </si>
  <si>
    <t>SanSeal HT</t>
  </si>
  <si>
    <t>SSi</t>
  </si>
  <si>
    <t>Superlite 13</t>
  </si>
  <si>
    <t>Superlite 13 (CDM-5)</t>
  </si>
  <si>
    <t>SUPERLITEmix 1160</t>
  </si>
  <si>
    <t>SUPERLITEmix 1160 (CDM-5)</t>
  </si>
  <si>
    <t>SURFACEmix LW (AB)</t>
  </si>
  <si>
    <t>SURFACEmix SLW</t>
  </si>
  <si>
    <t>SURFACEmix PRO</t>
  </si>
  <si>
    <t>03</t>
  </si>
  <si>
    <t>Thermal 40</t>
  </si>
  <si>
    <t>Thermal 40 EXP</t>
  </si>
  <si>
    <t>Thermal 40 Lite</t>
  </si>
  <si>
    <t>THERMAmix EC</t>
  </si>
  <si>
    <t>ThixLite HT (AB)</t>
  </si>
  <si>
    <t>ThixLite HT (Sask)</t>
  </si>
  <si>
    <t>ASC (IV)</t>
  </si>
  <si>
    <t>CEMENT BLEND PROPERTIES</t>
  </si>
  <si>
    <t>Class A</t>
  </si>
  <si>
    <t>Class C</t>
  </si>
  <si>
    <t>Class G</t>
  </si>
  <si>
    <t>Class H</t>
  </si>
  <si>
    <t>Intercem</t>
  </si>
  <si>
    <t>Colloid SQ-A</t>
  </si>
  <si>
    <t>Flyash</t>
  </si>
  <si>
    <t>Flyash (Sask)</t>
  </si>
  <si>
    <t>Densified Fume</t>
  </si>
  <si>
    <t>Sanlite</t>
  </si>
  <si>
    <t>Silica Flour</t>
  </si>
  <si>
    <t>Gel</t>
  </si>
  <si>
    <t>SCA-1</t>
  </si>
  <si>
    <t>Hematite</t>
  </si>
  <si>
    <t>ONG 42</t>
  </si>
  <si>
    <t>CDM-6</t>
  </si>
  <si>
    <t>CDM-2</t>
  </si>
  <si>
    <t>CDM-5</t>
  </si>
  <si>
    <t>CDM-10</t>
  </si>
  <si>
    <t>CFR</t>
  </si>
  <si>
    <t>CFR-2</t>
  </si>
  <si>
    <t>CFR-5</t>
  </si>
  <si>
    <t>CFL-3</t>
  </si>
  <si>
    <t>CFL-4</t>
  </si>
  <si>
    <t>CFL-6</t>
  </si>
  <si>
    <t>CFL-7</t>
  </si>
  <si>
    <t>CaCl2</t>
  </si>
  <si>
    <t>SCA-6</t>
  </si>
  <si>
    <t>SCA-7</t>
  </si>
  <si>
    <t>SCA-5</t>
  </si>
  <si>
    <t>FWC-2</t>
  </si>
  <si>
    <t>Sodium Citrate</t>
  </si>
  <si>
    <t>NaCl</t>
  </si>
  <si>
    <t>KCl</t>
  </si>
  <si>
    <t>SEA-1</t>
  </si>
  <si>
    <t>SEA-3</t>
  </si>
  <si>
    <t>LCG-2</t>
  </si>
  <si>
    <t>Micromix</t>
  </si>
  <si>
    <t>LCG-1</t>
  </si>
  <si>
    <t>Gilsonite</t>
  </si>
  <si>
    <t>None</t>
  </si>
  <si>
    <t>Base Blend Components</t>
  </si>
  <si>
    <t>0:1:0 'A'</t>
  </si>
  <si>
    <t>0:1:0 'C'</t>
  </si>
  <si>
    <t>Proteus GLS @ 1400 (CDM-5)</t>
  </si>
  <si>
    <t>SG</t>
  </si>
  <si>
    <t>Properties</t>
  </si>
  <si>
    <t>% Gel</t>
  </si>
  <si>
    <t>Component</t>
  </si>
  <si>
    <t>Sp. Gravity</t>
  </si>
  <si>
    <t>ASM-3</t>
  </si>
  <si>
    <t>ASM-4</t>
  </si>
  <si>
    <t>ASM-5</t>
  </si>
  <si>
    <t>Barite</t>
  </si>
  <si>
    <t>CaCO3</t>
  </si>
  <si>
    <t>CDF-4P</t>
  </si>
  <si>
    <t>CFL-1</t>
  </si>
  <si>
    <t>CFL-2</t>
  </si>
  <si>
    <t>CFL-300D</t>
  </si>
  <si>
    <t>CFL-3L</t>
  </si>
  <si>
    <t>CR-2</t>
  </si>
  <si>
    <t>FWC-1</t>
  </si>
  <si>
    <t>GCA-1</t>
  </si>
  <si>
    <t>Graphite</t>
  </si>
  <si>
    <t>HTR</t>
  </si>
  <si>
    <t>HTR-2</t>
  </si>
  <si>
    <t>HTR-3</t>
  </si>
  <si>
    <t>HTR-3A</t>
  </si>
  <si>
    <t>ISA-1</t>
  </si>
  <si>
    <t>LCC-1</t>
  </si>
  <si>
    <t>LCG-5</t>
  </si>
  <si>
    <t>LTR</t>
  </si>
  <si>
    <t>MCR-5</t>
  </si>
  <si>
    <t>QSR-II</t>
  </si>
  <si>
    <t>SPC-II</t>
  </si>
  <si>
    <t xml:space="preserve">PRODUCT SPECIFIC GRAVITY DATA </t>
  </si>
  <si>
    <t>LAST UPDATE:</t>
  </si>
  <si>
    <t>BASE COMPONENT SPECIFIC GRAVITIES:</t>
  </si>
  <si>
    <t>Base Blend Name</t>
  </si>
  <si>
    <t>BASE COMPONENT ABSOLUTE VOLUMES:</t>
  </si>
  <si>
    <t>aX</t>
  </si>
  <si>
    <t>Solids Volume</t>
  </si>
  <si>
    <t>m³/t</t>
  </si>
  <si>
    <t>Ciment Fondue</t>
  </si>
  <si>
    <t>CDM-C</t>
  </si>
  <si>
    <t>Dryblended BWOC Additives</t>
  </si>
  <si>
    <t>Additive Drop Down</t>
  </si>
  <si>
    <t>% Loading (BWOB)</t>
  </si>
  <si>
    <t>Specific Gravity</t>
  </si>
  <si>
    <t>Absolute Volume (L)</t>
  </si>
  <si>
    <t>Mix Water (m³/t):</t>
  </si>
  <si>
    <t>Density (kg/m³):</t>
  </si>
  <si>
    <t>Total</t>
  </si>
  <si>
    <t>Salts</t>
  </si>
  <si>
    <t>% BWOW</t>
  </si>
  <si>
    <t>Absolute Volume</t>
  </si>
  <si>
    <t>Volume (L)</t>
  </si>
  <si>
    <t>Salt Drop Down</t>
  </si>
  <si>
    <t>ENTER BASE BLEND RECIPES HERE</t>
  </si>
  <si>
    <t>COPY AND PASTE TABLE FOR PROGRAMMING TEMPLATE</t>
  </si>
  <si>
    <t>Salt Drop Down List</t>
  </si>
  <si>
    <t>Date:</t>
  </si>
  <si>
    <t>MTS #:</t>
  </si>
  <si>
    <t/>
  </si>
  <si>
    <t>Material</t>
  </si>
  <si>
    <t>Lot #</t>
  </si>
  <si>
    <t>Additive Name</t>
  </si>
  <si>
    <t>BP Op #1:</t>
  </si>
  <si>
    <t>Disp:</t>
  </si>
  <si>
    <t>BP Op #2:</t>
  </si>
  <si>
    <t>Index Number</t>
  </si>
  <si>
    <t>Required (kg)</t>
  </si>
  <si>
    <t>Loaded                      (kg)</t>
  </si>
  <si>
    <t xml:space="preserve">Absolute Volumes of Salt by Loading (%BWOW) </t>
  </si>
  <si>
    <t>Bulk Density</t>
  </si>
  <si>
    <t>Total Blend Weight (t):</t>
  </si>
  <si>
    <t>Total Bulk Volume (m³):</t>
  </si>
  <si>
    <t>Edson</t>
  </si>
  <si>
    <t>Estevan</t>
  </si>
  <si>
    <t>Fort St. John</t>
  </si>
  <si>
    <t>Grande Prairie</t>
  </si>
  <si>
    <t>Lac La Biche</t>
  </si>
  <si>
    <t>Peace River</t>
  </si>
  <si>
    <t>Red Deer</t>
  </si>
  <si>
    <t>Swift Current</t>
  </si>
  <si>
    <t>Last Update:  Oct 21, 2015</t>
  </si>
  <si>
    <t>Blend Name</t>
  </si>
  <si>
    <t>Incompatible With</t>
  </si>
  <si>
    <t>Reason</t>
  </si>
  <si>
    <t>Blend contains CFL-3</t>
  </si>
  <si>
    <t>Any Portland Based Cement</t>
  </si>
  <si>
    <t>Will cause flash set if combined</t>
  </si>
  <si>
    <t>Glacial Mix</t>
  </si>
  <si>
    <t>ASM-5, CFL-3, CFL-3L, CFL-6</t>
  </si>
  <si>
    <t>Blend contains CFR</t>
  </si>
  <si>
    <r>
      <t>iBond-</t>
    </r>
    <r>
      <rPr>
        <sz val="12"/>
        <rFont val="Calibri"/>
        <family val="2"/>
      </rPr>
      <t>Ω</t>
    </r>
  </si>
  <si>
    <t>iGain(AB)</t>
  </si>
  <si>
    <r>
      <t>iPrime-</t>
    </r>
    <r>
      <rPr>
        <sz val="12"/>
        <color theme="1"/>
        <rFont val="Calibri"/>
        <family val="2"/>
      </rPr>
      <t>Ω</t>
    </r>
  </si>
  <si>
    <r>
      <t>iPrime (Sask)-</t>
    </r>
    <r>
      <rPr>
        <sz val="12"/>
        <color theme="1"/>
        <rFont val="Calibri"/>
        <family val="2"/>
      </rPr>
      <t>Ω</t>
    </r>
  </si>
  <si>
    <r>
      <t>Blend contains CaCl</t>
    </r>
    <r>
      <rPr>
        <sz val="8"/>
        <color rgb="FF000000"/>
        <rFont val="Arial"/>
        <family val="2"/>
      </rPr>
      <t>2</t>
    </r>
  </si>
  <si>
    <t>ProductionMix 1600</t>
  </si>
  <si>
    <t>ProductionMix 1600 (Sask)</t>
  </si>
  <si>
    <t>Cement Additive Incompatibilities</t>
  </si>
  <si>
    <r>
      <rPr>
        <b/>
        <sz val="9"/>
        <rFont val="Calibri"/>
        <family val="2"/>
      </rPr>
      <t xml:space="preserve">Product
</t>
    </r>
    <r>
      <rPr>
        <b/>
        <sz val="9"/>
        <rFont val="Calibri"/>
        <family val="2"/>
      </rPr>
      <t>Name</t>
    </r>
  </si>
  <si>
    <t>True Incompatibility</t>
  </si>
  <si>
    <t>Not Recommended For Use With:</t>
  </si>
  <si>
    <t>Comments</t>
  </si>
  <si>
    <r>
      <rPr>
        <b/>
        <sz val="9"/>
        <rFont val="Calibri"/>
        <family val="2"/>
      </rPr>
      <t>Accelerators</t>
    </r>
  </si>
  <si>
    <r>
      <t>CaCl</t>
    </r>
    <r>
      <rPr>
        <sz val="8"/>
        <rFont val="Arial"/>
        <family val="2"/>
      </rPr>
      <t>2</t>
    </r>
  </si>
  <si>
    <t>-</t>
  </si>
  <si>
    <r>
      <t>CFR interacts with CaCl</t>
    </r>
    <r>
      <rPr>
        <sz val="8"/>
        <color rgb="FF000000"/>
        <rFont val="Arial"/>
        <family val="2"/>
      </rPr>
      <t>2</t>
    </r>
    <r>
      <rPr>
        <sz val="10"/>
        <color rgb="FF000000"/>
        <rFont val="Arial"/>
        <family val="2"/>
      </rPr>
      <t xml:space="preserve"> to increase viscosity - mixing or placement issues may occur</t>
    </r>
  </si>
  <si>
    <r>
      <t>Elevated Loadings of CaCl</t>
    </r>
    <r>
      <rPr>
        <sz val="8"/>
        <rFont val="Arial"/>
        <family val="2"/>
      </rPr>
      <t>2</t>
    </r>
  </si>
  <si>
    <t>Activity of both additives is impaired when used together</t>
  </si>
  <si>
    <t>CFL-3, CFL-3L, &amp; CFL-6 when using &gt;5% salt (BWOW)</t>
  </si>
  <si>
    <t>CFL-3 cannot control fluid loss when dealing with &gt; 5% (BWOW) salt content</t>
  </si>
  <si>
    <r>
      <rPr>
        <b/>
        <sz val="9"/>
        <rFont val="Calibri"/>
        <family val="2"/>
      </rPr>
      <t>Fluid Loss</t>
    </r>
  </si>
  <si>
    <t>Salt &gt; 5%</t>
  </si>
  <si>
    <r>
      <t xml:space="preserve">Gross incompatibility resulting in placement or mixing issues </t>
    </r>
    <r>
      <rPr>
        <b/>
        <sz val="10"/>
        <color rgb="FF000000"/>
        <rFont val="Arial"/>
        <family val="2"/>
      </rPr>
      <t>will</t>
    </r>
    <r>
      <rPr>
        <sz val="10"/>
        <color rgb="FF000000"/>
        <rFont val="Arial"/>
        <family val="2"/>
      </rPr>
      <t xml:space="preserve"> occur with CFR &amp; CFL-3</t>
    </r>
  </si>
  <si>
    <r>
      <t xml:space="preserve">Gross incompatibility resulting in placement or mixing issues </t>
    </r>
    <r>
      <rPr>
        <b/>
        <sz val="10"/>
        <color rgb="FF000000"/>
        <rFont val="Arial"/>
        <family val="2"/>
      </rPr>
      <t>will</t>
    </r>
    <r>
      <rPr>
        <sz val="10"/>
        <color rgb="FF000000"/>
        <rFont val="Arial"/>
        <family val="2"/>
      </rPr>
      <t xml:space="preserve"> occur with CFR &amp; CFL-3L</t>
    </r>
  </si>
  <si>
    <r>
      <t xml:space="preserve">Gross incompatibility resulting in placement or mixing issues </t>
    </r>
    <r>
      <rPr>
        <b/>
        <sz val="10"/>
        <color rgb="FF000000"/>
        <rFont val="Arial"/>
        <family val="2"/>
      </rPr>
      <t>will</t>
    </r>
    <r>
      <rPr>
        <sz val="10"/>
        <color rgb="FF000000"/>
        <rFont val="Arial"/>
        <family val="2"/>
      </rPr>
      <t xml:space="preserve"> occur with CFR &amp; CFL-6</t>
    </r>
  </si>
  <si>
    <r>
      <rPr>
        <b/>
        <sz val="9"/>
        <rFont val="Calibri"/>
        <family val="2"/>
      </rPr>
      <t>Dispersants</t>
    </r>
  </si>
  <si>
    <r>
      <t>CFL-3, CFL-3L, CFL-6, ASM-5, CaCl</t>
    </r>
    <r>
      <rPr>
        <sz val="8"/>
        <rFont val="Arial"/>
        <family val="2"/>
      </rPr>
      <t>2</t>
    </r>
  </si>
  <si>
    <r>
      <t xml:space="preserve">Gross incompatibility resulting in placement or mixing issues </t>
    </r>
    <r>
      <rPr>
        <b/>
        <sz val="10"/>
        <color rgb="FF000000"/>
        <rFont val="Arial"/>
        <family val="2"/>
      </rPr>
      <t>will</t>
    </r>
    <r>
      <rPr>
        <sz val="10"/>
        <color rgb="FF000000"/>
        <rFont val="Arial"/>
        <family val="2"/>
      </rPr>
      <t xml:space="preserve"> occur</t>
    </r>
  </si>
  <si>
    <t>Free Water Control</t>
  </si>
  <si>
    <t>Incompatibility resulting in placement or mixing issues may occur</t>
  </si>
  <si>
    <t>FWC-1 or Bentonite Gel</t>
  </si>
  <si>
    <t>High Salt Loadings (can be used together but product performance is compromised)</t>
  </si>
  <si>
    <t>Retarders</t>
  </si>
  <si>
    <r>
      <t>Slurries intended for placement across zones less than 90</t>
    </r>
    <r>
      <rPr>
        <sz val="10"/>
        <color rgb="FF000000"/>
        <rFont val="Calibri"/>
        <family val="2"/>
      </rPr>
      <t>˚</t>
    </r>
    <r>
      <rPr>
        <sz val="10"/>
        <color rgb="FF000000"/>
        <rFont val="Arial"/>
        <family val="2"/>
      </rPr>
      <t>C (static temperature)</t>
    </r>
  </si>
  <si>
    <r>
      <t>Cements typically will not set for extended periods of time when cured at temperatures below 90</t>
    </r>
    <r>
      <rPr>
        <sz val="10"/>
        <color rgb="FF000000"/>
        <rFont val="Calibri"/>
        <family val="2"/>
      </rPr>
      <t>˚</t>
    </r>
    <r>
      <rPr>
        <sz val="10"/>
        <color rgb="FF000000"/>
        <rFont val="Arial"/>
        <family val="2"/>
      </rPr>
      <t>C</t>
    </r>
  </si>
  <si>
    <t>Any blend other than RAS II</t>
  </si>
  <si>
    <t>Blend Incompatiblities</t>
  </si>
  <si>
    <t>This table checks for incompatibility between base blends and additives</t>
  </si>
  <si>
    <t>BLEND</t>
  </si>
  <si>
    <t>Incompatibilities (Yes = 1 , No = 0)</t>
  </si>
  <si>
    <t>Incompatible Additives</t>
  </si>
  <si>
    <t>PROGRAMMED ADDITIVES (Salt not included)</t>
  </si>
  <si>
    <t>Pozmix Blend Gel Loading</t>
  </si>
  <si>
    <t>Cementing Additive Name Change Quick Reference Guide</t>
  </si>
  <si>
    <t>CATEGORY</t>
  </si>
  <si>
    <t>LEGACY NAME</t>
  </si>
  <si>
    <t>NEW NAME</t>
  </si>
  <si>
    <t>ACRONYM DEFINITION</t>
  </si>
  <si>
    <t>Accelerators</t>
  </si>
  <si>
    <t>OGC-60 (Gypsum)</t>
  </si>
  <si>
    <t>Sanjel Cement Accelerator</t>
  </si>
  <si>
    <t>PA-1</t>
  </si>
  <si>
    <t>SMS</t>
  </si>
  <si>
    <t>LWA</t>
  </si>
  <si>
    <t>Density Modifiers</t>
  </si>
  <si>
    <t>HGS 2000</t>
  </si>
  <si>
    <t>Cement Density Modifier</t>
  </si>
  <si>
    <t>HGS 5000</t>
  </si>
  <si>
    <t>HGS 10000</t>
  </si>
  <si>
    <t>Ceramic Spheres</t>
  </si>
  <si>
    <t>Expansion Additives</t>
  </si>
  <si>
    <t>Set Expansion Additive</t>
  </si>
  <si>
    <t>Fluid Loss</t>
  </si>
  <si>
    <t>LDP-C-0613</t>
  </si>
  <si>
    <t>CFL-10</t>
  </si>
  <si>
    <t>Cement Fluid Loss</t>
  </si>
  <si>
    <t>Foamers &amp; Defoamers</t>
  </si>
  <si>
    <t>DF-3</t>
  </si>
  <si>
    <t>CDF-3L</t>
  </si>
  <si>
    <t>Cement Defoamer ("L" - Liquid)</t>
  </si>
  <si>
    <t>LDP-C-2115</t>
  </si>
  <si>
    <t>CDF-6P</t>
  </si>
  <si>
    <t>Cement Defoamer ("P" - Powder)</t>
  </si>
  <si>
    <t>LDP-C-0414</t>
  </si>
  <si>
    <t>FA-3</t>
  </si>
  <si>
    <t>Foaming Agent</t>
  </si>
  <si>
    <t>LDP-C-1115</t>
  </si>
  <si>
    <t>FS-1</t>
  </si>
  <si>
    <t>Foam Stabilizer</t>
  </si>
  <si>
    <t>Free Water and Stability</t>
  </si>
  <si>
    <t>AS-3</t>
  </si>
  <si>
    <t>Anti-Settling Material</t>
  </si>
  <si>
    <t>FMC</t>
  </si>
  <si>
    <t>AS-1 (LDP-C-1212)</t>
  </si>
  <si>
    <t>ASM-6</t>
  </si>
  <si>
    <t>FWCA-H</t>
  </si>
  <si>
    <t>Gas Migration Control</t>
  </si>
  <si>
    <t>Lost Circulation Materials</t>
  </si>
  <si>
    <t>Cal Carb "O" - Dicorp</t>
  </si>
  <si>
    <t>Lost Circulation, Granular</t>
  </si>
  <si>
    <t>Cal Carb 325 - DiCorp or Calcarb 3HX - Univar</t>
  </si>
  <si>
    <t>Cal Carb Poultry Grit - Dicorp</t>
  </si>
  <si>
    <t>LCG-4</t>
  </si>
  <si>
    <t>Cal Carb - Supercal / GLSRK - Dicorp</t>
  </si>
  <si>
    <t>40/70 Silica Sand</t>
  </si>
  <si>
    <t>LCG-8</t>
  </si>
  <si>
    <t>100 Mesh Silica Sand</t>
  </si>
  <si>
    <t>LCG-12</t>
  </si>
  <si>
    <t>LCF-6</t>
  </si>
  <si>
    <t>LDP-C-0215 (3.0 mm fibers)</t>
  </si>
  <si>
    <t>LCF-7</t>
  </si>
  <si>
    <t>SAGD LCM</t>
  </si>
  <si>
    <t>LCC-9</t>
  </si>
  <si>
    <t>Lost Cirulation, Composite</t>
  </si>
  <si>
    <t>Polyflake</t>
  </si>
  <si>
    <t>LCL-7</t>
  </si>
  <si>
    <t>Lost Circulation, Lamellar</t>
  </si>
  <si>
    <t>PS Flake</t>
  </si>
  <si>
    <t>LCL-11</t>
  </si>
  <si>
    <t>Preflush and Spacer Additives</t>
  </si>
  <si>
    <t>WWS-1L</t>
  </si>
  <si>
    <t>Water Wetting Surfactant</t>
  </si>
  <si>
    <t>Oilsperse-G</t>
  </si>
  <si>
    <t>WWS-2L</t>
  </si>
  <si>
    <t>WS-30</t>
  </si>
  <si>
    <t>WWS-3L</t>
  </si>
  <si>
    <t>WG-1</t>
  </si>
  <si>
    <t>WG-4P</t>
  </si>
  <si>
    <t>Water Gellant ("P"-Powder)</t>
  </si>
  <si>
    <t>LDP-C-2713</t>
  </si>
  <si>
    <t>Yellow Dye</t>
  </si>
  <si>
    <t>Dye</t>
  </si>
  <si>
    <t>LDP-C-0513</t>
  </si>
  <si>
    <t>High Temperature Retarder</t>
  </si>
  <si>
    <t>LDP-C-0612</t>
  </si>
  <si>
    <t>LDP-C-0712</t>
  </si>
  <si>
    <t>Tensile Strength Enhancer</t>
  </si>
  <si>
    <t>LDP-C-0115 (1.8 mm fibers)</t>
  </si>
  <si>
    <t>WIE-1</t>
  </si>
  <si>
    <t>Well Integrity Enhancer</t>
  </si>
  <si>
    <t>LDP-C-0912 (ONG 52P)</t>
  </si>
  <si>
    <t>ONG-52B</t>
  </si>
  <si>
    <t>LDP-C-4615</t>
  </si>
  <si>
    <t>SURFACEmix LW (SK)</t>
  </si>
  <si>
    <t>SUPERLITEmix PRO (LDP-C-3215)</t>
  </si>
  <si>
    <t>Incompatibilities</t>
  </si>
  <si>
    <t>IIN023131</t>
  </si>
  <si>
    <t>IIN023234</t>
  </si>
  <si>
    <t>IIN023019</t>
  </si>
  <si>
    <t>IIN023054</t>
  </si>
  <si>
    <t>IIN023056</t>
  </si>
  <si>
    <t>IIN023058</t>
  </si>
  <si>
    <t>IIN023036</t>
  </si>
  <si>
    <t>IIN023037</t>
  </si>
  <si>
    <t>IIN023167</t>
  </si>
  <si>
    <t>IIN023059</t>
  </si>
  <si>
    <t>IIN023060</t>
  </si>
  <si>
    <t>IIN023061</t>
  </si>
  <si>
    <t>IIN023062</t>
  </si>
  <si>
    <t>IIN023063</t>
  </si>
  <si>
    <t>IIN023064</t>
  </si>
  <si>
    <t>IIN023067</t>
  </si>
  <si>
    <t>IIN023068</t>
  </si>
  <si>
    <t>IIN032465</t>
  </si>
  <si>
    <t>IIN023072</t>
  </si>
  <si>
    <t>IIN023073</t>
  </si>
  <si>
    <t>IIN023074</t>
  </si>
  <si>
    <t>IIN023192</t>
  </si>
  <si>
    <t>IIN023078</t>
  </si>
  <si>
    <t>Silica Fume - Semi-Densified</t>
  </si>
  <si>
    <t>IIN023098</t>
  </si>
  <si>
    <t>IIN023099</t>
  </si>
  <si>
    <t>IIN023088</t>
  </si>
  <si>
    <t>IIN023091</t>
  </si>
  <si>
    <t>IIN023022</t>
  </si>
  <si>
    <t>IIN023100</t>
  </si>
  <si>
    <t>IIN023101</t>
  </si>
  <si>
    <t>IIN023105</t>
  </si>
  <si>
    <t>CDM-8</t>
  </si>
  <si>
    <t>IIN023109</t>
  </si>
  <si>
    <t>IIN041176</t>
  </si>
  <si>
    <t>IIN023130</t>
  </si>
  <si>
    <t>IIN023129</t>
  </si>
  <si>
    <t>IIN023116</t>
  </si>
  <si>
    <t>IIN023071</t>
  </si>
  <si>
    <t>IIN023119</t>
  </si>
  <si>
    <t>IIN023122</t>
  </si>
  <si>
    <t>IIN023049</t>
  </si>
  <si>
    <t>IIN023050</t>
  </si>
  <si>
    <t>IIN023052</t>
  </si>
  <si>
    <t>IIN023146</t>
  </si>
  <si>
    <t>IIN023051</t>
  </si>
  <si>
    <t>IIN023110</t>
  </si>
  <si>
    <t>IIN023153</t>
  </si>
  <si>
    <t>IIN023188</t>
  </si>
  <si>
    <t>IIN053761</t>
  </si>
  <si>
    <t>IIN023190</t>
  </si>
  <si>
    <t>IIN023102</t>
  </si>
  <si>
    <t>IIN023171</t>
  </si>
  <si>
    <t>IIN023207</t>
  </si>
  <si>
    <t>IIN023147</t>
  </si>
  <si>
    <t>IIN023221</t>
  </si>
  <si>
    <t>IIN023222</t>
  </si>
  <si>
    <t>IIN023200</t>
  </si>
  <si>
    <t>IIN023206</t>
  </si>
  <si>
    <t>IIN023178</t>
  </si>
  <si>
    <t>Sand</t>
  </si>
  <si>
    <t>SG1500</t>
  </si>
  <si>
    <t>Expandomix HT (SK)</t>
  </si>
  <si>
    <t>iGain (SK)</t>
  </si>
  <si>
    <t>LITEmix 1325 (SK)</t>
  </si>
  <si>
    <t>LITEmix 1400 (SK)</t>
  </si>
  <si>
    <t>PRODUCTIONmix 1500 PRO (LDP-C-3515)</t>
  </si>
  <si>
    <t>PRODUCTIONmix 1600</t>
  </si>
  <si>
    <t>PRODUCTIONmix 1600 (SK)</t>
  </si>
  <si>
    <t>Prolite 13</t>
  </si>
  <si>
    <t>Prolite 14</t>
  </si>
  <si>
    <t>Proteus Core</t>
  </si>
  <si>
    <t>Proteus GLS @ 1300</t>
  </si>
  <si>
    <t>Proteus GLS @ 1350</t>
  </si>
  <si>
    <t>Proteus GLS @ 1400</t>
  </si>
  <si>
    <t>Proteus Pro</t>
  </si>
  <si>
    <t>SCC10 Thermal</t>
  </si>
  <si>
    <t>SurfLite</t>
  </si>
  <si>
    <t>SurfLite (SK)</t>
  </si>
  <si>
    <t>ThixLite HT (SK)</t>
  </si>
  <si>
    <t>Any CFR Added?</t>
  </si>
  <si>
    <t>Incomp. Adds?</t>
  </si>
  <si>
    <t>Additives Compatible?</t>
  </si>
  <si>
    <t>(Are there any known incompatiblities between external additives?)</t>
  </si>
  <si>
    <t>Blend Score</t>
  </si>
  <si>
    <t>Test for incomp. between base blends and additives:</t>
  </si>
  <si>
    <t>CFR Added?</t>
  </si>
  <si>
    <t>Blend Score:</t>
  </si>
  <si>
    <t>OVERALL COMPATIBILITY:</t>
  </si>
  <si>
    <t>kg/t</t>
  </si>
  <si>
    <t>%</t>
  </si>
  <si>
    <t>Units</t>
  </si>
  <si>
    <t>ADDITIVES</t>
  </si>
  <si>
    <t>BASE BLEND</t>
  </si>
  <si>
    <t>L/m³</t>
  </si>
  <si>
    <t>% (BWOW)</t>
  </si>
  <si>
    <t>FA-1</t>
  </si>
  <si>
    <t>Surfactant Drop Down List</t>
  </si>
  <si>
    <t>Total Water Requirement (m³):</t>
  </si>
  <si>
    <t>Sack Weight (kg/t):</t>
  </si>
  <si>
    <t>Bulk Density (t/m³):</t>
  </si>
  <si>
    <t>Enter Base Blend Tonnage (t):</t>
  </si>
  <si>
    <t>Base Blend (t):</t>
  </si>
  <si>
    <t>Total Weight (t):</t>
  </si>
  <si>
    <t>Bulk Volume (m³):</t>
  </si>
  <si>
    <t>ADDITIVE DROP DOWN LIST</t>
  </si>
  <si>
    <t>BULK PLANT</t>
  </si>
  <si>
    <t>BULK PLANT CALCULATOR</t>
  </si>
  <si>
    <t>Cement Source</t>
  </si>
  <si>
    <t>Lab</t>
  </si>
  <si>
    <t>Bulk Plant</t>
  </si>
  <si>
    <t>Bin</t>
  </si>
  <si>
    <t>Bulker</t>
  </si>
  <si>
    <t>Slurry</t>
  </si>
  <si>
    <t>Water Source</t>
  </si>
  <si>
    <t>Tap</t>
  </si>
  <si>
    <t>Field Fresh</t>
  </si>
  <si>
    <t>Field PH</t>
  </si>
  <si>
    <t>CONTENT MUST BE ENABLED FOR THE SPREADSHEET TO WORK!</t>
  </si>
  <si>
    <t>Enter Mix Water (m³/t):</t>
  </si>
  <si>
    <t>Enter Date:</t>
  </si>
  <si>
    <t>Enter MTS#:</t>
  </si>
  <si>
    <t>PROJECT</t>
  </si>
  <si>
    <t>District</t>
  </si>
  <si>
    <t>Item Number</t>
  </si>
  <si>
    <t>LAB / COSTING</t>
  </si>
  <si>
    <t>IIN038098</t>
  </si>
  <si>
    <t>IIN023212</t>
  </si>
  <si>
    <t>IIN051265</t>
  </si>
  <si>
    <t>IIN023087</t>
  </si>
  <si>
    <t>IIN049713</t>
  </si>
  <si>
    <t>IIN052225</t>
  </si>
  <si>
    <t>IIN023065</t>
  </si>
  <si>
    <t>IIN054152</t>
  </si>
  <si>
    <t>IIN023092</t>
  </si>
  <si>
    <t>IIN023209</t>
  </si>
  <si>
    <t>Client:</t>
  </si>
  <si>
    <t>Location:</t>
  </si>
  <si>
    <t>SALT CONCENTRATIONS ARE ADDED AS %(BWOW).</t>
  </si>
  <si>
    <t>FOR ALL SALT BLENDS.</t>
  </si>
  <si>
    <t>YOU MUST ENTER THE WATER REQUIREMENT IN CELL B9</t>
  </si>
  <si>
    <t>MUST ENTER WEIGHT FOR OUTPUT ON LOADING PAGE</t>
  </si>
  <si>
    <t>MUST ENTER MIX WATER FOR SALT BLENDS</t>
  </si>
  <si>
    <t>Loaded                        (kg)</t>
  </si>
  <si>
    <t>Version</t>
  </si>
  <si>
    <t>Date</t>
  </si>
  <si>
    <t>Author</t>
  </si>
  <si>
    <t>Change Notes</t>
  </si>
  <si>
    <t>Niels Hansen</t>
  </si>
  <si>
    <t>Increased row height on 'Bulk Plant Loading Page', Added LCG-8 and LCG-12 to additive list</t>
  </si>
  <si>
    <t>Template release</t>
  </si>
  <si>
    <t>Maximum Loading</t>
  </si>
  <si>
    <t>Min Density (kg/m³)</t>
  </si>
  <si>
    <t>Max Density (kg/m³)</t>
  </si>
  <si>
    <t>Std Density (kg/m³):</t>
  </si>
  <si>
    <t>Max Salt Blend Density (kg/m³)</t>
  </si>
  <si>
    <t>n/a</t>
  </si>
  <si>
    <t>Std Density (kg/m³)</t>
  </si>
  <si>
    <t>Maximum Density (kg/m³):</t>
  </si>
  <si>
    <t>Minimum Density (kg/m³):</t>
  </si>
  <si>
    <t>Maximum Density With Salt (kg/m³):</t>
  </si>
  <si>
    <t>Enter Programmed Density (kg/m³)</t>
  </si>
  <si>
    <t>Added blend density and additive boundary condition flagging</t>
  </si>
  <si>
    <t>Error message classification</t>
  </si>
  <si>
    <t>CFL-8</t>
  </si>
  <si>
    <t>PRODUCTIONmix 1500 PRO</t>
  </si>
  <si>
    <t>Last Update:  April 2016</t>
  </si>
  <si>
    <t>Elevated salt loadings compromise the ability of FWC-1 to take up free water and stabilize the slurry.  Additional stabililizing components (FWC-2, ASM-3, ASM-5, CFL-4, etc…) required</t>
  </si>
  <si>
    <t>THERMAmix LT</t>
  </si>
  <si>
    <t>Corrected costing spreadsheet sack weight calculation (affecting pozmix blends with gel added)</t>
  </si>
  <si>
    <t>Changed CNRL CHOPS TH name to THERMAmix LT / Revised PROLITE 14 recipe as recommended by lab</t>
  </si>
  <si>
    <t>CNRL CHOPS TH</t>
  </si>
  <si>
    <t>PRODUCTIONmix LW PRO</t>
  </si>
  <si>
    <t>T</t>
  </si>
  <si>
    <t>Jason Schneider</t>
  </si>
  <si>
    <t>Updated bulk densities, added PRODUCTIONmix LW PRO</t>
  </si>
  <si>
    <t>Weigh Silo Size (m3)</t>
  </si>
  <si>
    <t>Number of Required Batches</t>
  </si>
  <si>
    <t>Maximum Usable Volume (m3)</t>
  </si>
  <si>
    <t>Maximum Allowable Tonnage</t>
  </si>
  <si>
    <t>Required Blend Tonnage</t>
  </si>
  <si>
    <t>Tonnage Remaining to Blend</t>
  </si>
  <si>
    <t>Average Batch Size (Tonnes)</t>
  </si>
  <si>
    <t>Silo Size (m3):</t>
  </si>
  <si>
    <t>Section Used If "Per Batch" Loading Desired</t>
  </si>
  <si>
    <t xml:space="preserve">Edson </t>
  </si>
  <si>
    <t xml:space="preserve">Fort St John </t>
  </si>
  <si>
    <t xml:space="preserve">Grande Prairie </t>
  </si>
  <si>
    <t xml:space="preserve">Swift Current </t>
  </si>
  <si>
    <t xml:space="preserve">Red Deer </t>
  </si>
  <si>
    <t xml:space="preserve">LIoydminster </t>
  </si>
  <si>
    <t xml:space="preserve">Lac La Biche </t>
  </si>
  <si>
    <t>m3</t>
  </si>
  <si>
    <t xml:space="preserve"> </t>
  </si>
  <si>
    <t>Silo Size</t>
  </si>
  <si>
    <t>Added per batch capabilities - needing confirmation of blend bulk densities</t>
  </si>
  <si>
    <t>Unit No.</t>
  </si>
  <si>
    <t>Driver</t>
  </si>
  <si>
    <t>Station</t>
  </si>
  <si>
    <t>Serv. TKT #</t>
  </si>
  <si>
    <t>Customer / District</t>
  </si>
  <si>
    <t>Customer Representative</t>
  </si>
  <si>
    <t>Rig / Hauling Company</t>
  </si>
  <si>
    <t>Location No.</t>
  </si>
  <si>
    <t>Inter-Company Product Haul</t>
  </si>
  <si>
    <t>Tonne</t>
  </si>
  <si>
    <t>Blend</t>
  </si>
  <si>
    <t>Blend Type</t>
  </si>
  <si>
    <t>kg.</t>
  </si>
  <si>
    <t>Additives</t>
  </si>
  <si>
    <t>Temp (°C)</t>
  </si>
  <si>
    <t>Lead</t>
  </si>
  <si>
    <t>Tail</t>
  </si>
  <si>
    <t>Fill</t>
  </si>
  <si>
    <t>Blend Assembly</t>
  </si>
  <si>
    <t>FRONT</t>
  </si>
  <si>
    <t>MIDDLE</t>
  </si>
  <si>
    <t>BACK</t>
  </si>
  <si>
    <t>Product</t>
  </si>
  <si>
    <t>kgs</t>
  </si>
  <si>
    <t>Blended / Loaded By:</t>
  </si>
  <si>
    <t>Dispatched By:</t>
  </si>
  <si>
    <t>Blending Area:</t>
  </si>
  <si>
    <t>Totals:</t>
  </si>
  <si>
    <t>Load #1</t>
  </si>
  <si>
    <t>Load #2</t>
  </si>
  <si>
    <t>Load #3</t>
  </si>
  <si>
    <t>Required Number of Loads</t>
  </si>
  <si>
    <t>Load #4</t>
  </si>
  <si>
    <t>MTS #</t>
  </si>
  <si>
    <t>Customer Representative:</t>
  </si>
  <si>
    <t>PRODUCTIONmix 1725</t>
  </si>
  <si>
    <t>PRODUCTIONmix THX</t>
  </si>
  <si>
    <t>LDP-C-0516</t>
  </si>
  <si>
    <t>THERMAmix EC EXP</t>
  </si>
  <si>
    <t>Modification</t>
  </si>
  <si>
    <t>Addition of SURFACEmix LW PRO SL</t>
  </si>
  <si>
    <t>Addition of Update tracker</t>
  </si>
  <si>
    <t>Tweak of blends. Moving FWC-2 to densified fume litemix and expandomix blends</t>
  </si>
  <si>
    <t>Tweak of SUPERLITE blends from semi-densified fume to densified fume</t>
  </si>
  <si>
    <t>IIN054776</t>
  </si>
  <si>
    <t>IIN049712</t>
  </si>
  <si>
    <t>MCR-7</t>
  </si>
  <si>
    <t>Addition of MCR-7 to the additive sheet</t>
  </si>
  <si>
    <t>Worked on some performance enhancements</t>
  </si>
  <si>
    <t>Tweaked MCR-7 additive so that it works properly</t>
  </si>
  <si>
    <t>Added version number to "Bulk Plant Loading" sheet</t>
  </si>
  <si>
    <t>Unit #</t>
  </si>
  <si>
    <t>Journal Movement #</t>
  </si>
  <si>
    <t>Blend Temp</t>
  </si>
  <si>
    <t>ID</t>
  </si>
  <si>
    <t>NAME</t>
  </si>
  <si>
    <t>ADDRESS_STREET</t>
  </si>
  <si>
    <t>ADDRESS_STREET2</t>
  </si>
  <si>
    <t>ADDRESS_STREET3</t>
  </si>
  <si>
    <t>ADDRESS_STREET4</t>
  </si>
  <si>
    <t>ADDRESS_CITY</t>
  </si>
  <si>
    <t>ADDRESS_POSTAL_ZIP</t>
  </si>
  <si>
    <t>ADDRESS_PROV_STATE_ID</t>
  </si>
  <si>
    <t>BILLING_ADDRESS_STREET</t>
  </si>
  <si>
    <t>BILLING_ADDRESS_STREET2</t>
  </si>
  <si>
    <t>BILLING_ADDRESS_STREET3</t>
  </si>
  <si>
    <t>BILLING_ADDRESS_STREET4</t>
  </si>
  <si>
    <t>BILLING_ADDRESS_CITY</t>
  </si>
  <si>
    <t>BILLING_ADDRESS_POSTAL_ZIP</t>
  </si>
  <si>
    <t>BILLING_ADDRESS_PROV_STATE_ID</t>
  </si>
  <si>
    <t>RIG_PREFIX</t>
  </si>
  <si>
    <t>VERSION</t>
  </si>
  <si>
    <t>LAST_MODIFIED_USER_ID</t>
  </si>
  <si>
    <t>LAST_MODIFIED_USER_NAME</t>
  </si>
  <si>
    <t>LAST_MODIFIED_DATE_TIME</t>
  </si>
  <si>
    <t>LAST_OPERATION_TYPE</t>
  </si>
  <si>
    <t>EFFECTIVE_START_DATE_TIME</t>
  </si>
  <si>
    <t>EFFECTIVE_END_DATE_TIME</t>
  </si>
  <si>
    <t>IS_COD_CUSTOMER</t>
  </si>
  <si>
    <t>SANJEL_COMPANY_ID</t>
  </si>
  <si>
    <t>1316751 Alberta Ltd.</t>
  </si>
  <si>
    <t>#340 1414 - 8th Street S.W.</t>
  </si>
  <si>
    <t>Calgary</t>
  </si>
  <si>
    <t>T2R 1J6</t>
  </si>
  <si>
    <t>07-OCT-16 05.11.01.000000000 PM</t>
  </si>
  <si>
    <t>1764821 Alberta Ltd.</t>
  </si>
  <si>
    <t>Suite 3900, 350 - 7th Avenue SW</t>
  </si>
  <si>
    <t>T2P 3N9</t>
  </si>
  <si>
    <t>24-JUN-16 03.46.14.000000000 PM</t>
  </si>
  <si>
    <t>1894078 Alberta Ltd</t>
  </si>
  <si>
    <t>4500, 855 2nd Street SW,</t>
  </si>
  <si>
    <t>T2P 4K7</t>
  </si>
  <si>
    <t>Abandonrite Enviro Services</t>
  </si>
  <si>
    <t>2800, 500 - 4th Avenue SW</t>
  </si>
  <si>
    <t>T2P 2V6</t>
  </si>
  <si>
    <t>Advance Drilling Ltd.</t>
  </si>
  <si>
    <t>1001 505 - 3 Street SW</t>
  </si>
  <si>
    <t>T2P 3E6</t>
  </si>
  <si>
    <t>awang</t>
  </si>
  <si>
    <t>26-OCT-16 03.57.24.000000000 PM</t>
  </si>
  <si>
    <t>Advantage Oil &amp; Gas Ltd.</t>
  </si>
  <si>
    <t>300, 440 - 2 Ave SW</t>
  </si>
  <si>
    <t>T2P 5E9</t>
  </si>
  <si>
    <t>18-NOV-16 10.38.02.000000000 AM</t>
  </si>
  <si>
    <t>Akita Drilling Ltd.</t>
  </si>
  <si>
    <t>26-OCT-16 03.59.54.000000000 PM</t>
  </si>
  <si>
    <t>Alberta Oilsands Inc.</t>
  </si>
  <si>
    <t>800, 350 - 7th Avenue SW</t>
  </si>
  <si>
    <t>Alder Ridge Resources Ltd.</t>
  </si>
  <si>
    <t>Suite 650, 635 - 8 Ave SW</t>
  </si>
  <si>
    <t>T2P 3M3</t>
  </si>
  <si>
    <t>27-JUL-16 03.47.57.000000000 PM</t>
  </si>
  <si>
    <t>Aldon Oils Ltd.</t>
  </si>
  <si>
    <t>1150 Railway Avenue</t>
  </si>
  <si>
    <t>Weyburn</t>
  </si>
  <si>
    <t>S4H 0B3</t>
  </si>
  <si>
    <t>Alliance Drilling And Oilfield Service Ltd</t>
  </si>
  <si>
    <t>477 Devonian St</t>
  </si>
  <si>
    <t>S4A 2A5</t>
  </si>
  <si>
    <t>26-OCT-16 04.08.00.000000000 PM</t>
  </si>
  <si>
    <t>Altabras Energy Services Corp.</t>
  </si>
  <si>
    <t>PO box 6563, Station D</t>
  </si>
  <si>
    <t>T2P 2E4</t>
  </si>
  <si>
    <t>Altagas Extraction and Transmission LP</t>
  </si>
  <si>
    <t>RR2, Site 2. Box 24</t>
  </si>
  <si>
    <t>Lacombe</t>
  </si>
  <si>
    <t>T4L 2N2</t>
  </si>
  <si>
    <t>AltaGas Ltd.</t>
  </si>
  <si>
    <t>1700 355 - 4th Avenue SW</t>
  </si>
  <si>
    <t>T2P 0J1</t>
  </si>
  <si>
    <t>27-OCT-16 10.49.01.000000000 AM</t>
  </si>
  <si>
    <t>Altura Energy Inc.</t>
  </si>
  <si>
    <t>200, 640 5th Ave SW</t>
  </si>
  <si>
    <t>T2P 3G4</t>
  </si>
  <si>
    <t>30-SEP-16 06.32.52.000000000 PM</t>
  </si>
  <si>
    <t>Anderson Energy Inc.</t>
  </si>
  <si>
    <t>1000,555 4th Avenue S.W.</t>
  </si>
  <si>
    <t>T2P 3E7</t>
  </si>
  <si>
    <t>Andora Energy Corporation</t>
  </si>
  <si>
    <t>1505, 505-3rd st SW</t>
  </si>
  <si>
    <t>AOC Grande Prairie Partnership</t>
  </si>
  <si>
    <t>1200, 215 - 9 Ave SW</t>
  </si>
  <si>
    <t>T2P 1K3</t>
  </si>
  <si>
    <t>AOC Hangingstone Partnership</t>
  </si>
  <si>
    <t>Bow Valley Square 4
2000, 250 - 6th Avenue SW
Attenetion:  Cost Controller</t>
  </si>
  <si>
    <t>T2P 3H7</t>
  </si>
  <si>
    <t>AOC Kaybob Partnership</t>
  </si>
  <si>
    <t>1200, 215- 9th Avenue, S.W. Calgary</t>
  </si>
  <si>
    <t>AOC Simonette Partnership</t>
  </si>
  <si>
    <t>1200, 215 - 9th Ave SW</t>
  </si>
  <si>
    <t>Apache Canada Ltd.</t>
  </si>
  <si>
    <t>Suite 2800, 421 - 7 Avenue SW</t>
  </si>
  <si>
    <t>T2P 4K9</t>
  </si>
  <si>
    <t>Apache Canada Ltd. (Zama)</t>
  </si>
  <si>
    <t>Box 25</t>
  </si>
  <si>
    <t>Zama City</t>
  </si>
  <si>
    <t>T0H 4E0</t>
  </si>
  <si>
    <t>Aqua North Water Systems Ltd.</t>
  </si>
  <si>
    <t>8819 - 101 Street</t>
  </si>
  <si>
    <t>V1J 5K4</t>
  </si>
  <si>
    <t>Arc Resources Ltd.</t>
  </si>
  <si>
    <t>1200, 308 - 4 Avenue SW</t>
  </si>
  <si>
    <t>T2P 0H7</t>
  </si>
  <si>
    <t>Arsenal Energy Inc.</t>
  </si>
  <si>
    <t>1900, 639 - 5th Avenue SW</t>
  </si>
  <si>
    <t>T2P 0M9</t>
  </si>
  <si>
    <t>Artisan Consulting Services Ltd.</t>
  </si>
  <si>
    <t>505 7th Street E</t>
  </si>
  <si>
    <t>Carlyle</t>
  </si>
  <si>
    <t>S0C 0R0</t>
  </si>
  <si>
    <t>Artisan Energy Corporation</t>
  </si>
  <si>
    <t>1350 734 7 Ave SW</t>
  </si>
  <si>
    <t>T2P 3P8</t>
  </si>
  <si>
    <t>Aspenleaf Energy Limited</t>
  </si>
  <si>
    <t>Suite 2100, 240 – 4th Avenue SW</t>
  </si>
  <si>
    <t>T2P 4H4</t>
  </si>
  <si>
    <t>27-JUL-16 03.47.04.000000000 PM</t>
  </si>
  <si>
    <t>Atco Energy Solutions Ltd.</t>
  </si>
  <si>
    <t xml:space="preserve">Box 370
</t>
  </si>
  <si>
    <t>Carbon</t>
  </si>
  <si>
    <t>Athabasca Oil Corporation</t>
  </si>
  <si>
    <t>1200, 215- 9th Avenue, S.W.</t>
  </si>
  <si>
    <t>Athena Resources Ltd.</t>
  </si>
  <si>
    <t>1410, 396 - 11th Avenue SW</t>
  </si>
  <si>
    <t>T2R 0C5</t>
  </si>
  <si>
    <t>Audax Investments</t>
  </si>
  <si>
    <t>Box 1565</t>
  </si>
  <si>
    <t>S4A 2L7</t>
  </si>
  <si>
    <t xml:space="preserve">Box 1565 </t>
  </si>
  <si>
    <t>20-JUL-16 01.42.44.000000000 PM</t>
  </si>
  <si>
    <t>Avalon Oil and Gas Ltd</t>
  </si>
  <si>
    <t>1120, 833 - 4th Ave SW</t>
  </si>
  <si>
    <t>T2P 3T5</t>
  </si>
  <si>
    <t>07-OCT-16 11.51.17.000000000 AM</t>
  </si>
  <si>
    <t>Baccalieu Energy Inc.</t>
  </si>
  <si>
    <t>635 8 Ave Sw Suite 500</t>
  </si>
  <si>
    <t>Barnwell of Canada, Limited</t>
  </si>
  <si>
    <t>c/o The Barlon Engineering Group Ltd.
1110, 340 - 12th Avenue SW</t>
  </si>
  <si>
    <t>T2R 1L5</t>
  </si>
  <si>
    <t>Baytech Energy Investment Inc.</t>
  </si>
  <si>
    <t>Suite 1580, 727 – 7th Avenue SW</t>
  </si>
  <si>
    <t>T2P 0Z5</t>
  </si>
  <si>
    <t>Baytex Energy Ltd.</t>
  </si>
  <si>
    <t>2800, 520 - 3rd Avenue SW</t>
  </si>
  <si>
    <t>T2P 0R3</t>
  </si>
  <si>
    <t>BDJ Energy Inc.</t>
  </si>
  <si>
    <t>Suite 2000, 300-5th Avenue SW</t>
  </si>
  <si>
    <t>T2P 3C4</t>
  </si>
  <si>
    <t>Beaumont Energy Inc.</t>
  </si>
  <si>
    <t>100-1601 Westmount Road NW</t>
  </si>
  <si>
    <t>T2N 3M2</t>
  </si>
  <si>
    <t>Beaver Drilling Ltd.</t>
  </si>
  <si>
    <t>26-OCT-16 04.01.08.000000000 PM</t>
  </si>
  <si>
    <t>Benchmark Engineering Inc.</t>
  </si>
  <si>
    <t>810, 396 - 11th Avenue SW</t>
  </si>
  <si>
    <t>27-JUL-16 02.01.36.000000000 PM</t>
  </si>
  <si>
    <t>Bering Exploration Company</t>
  </si>
  <si>
    <t>140, 630 – 4th Avenue SW</t>
  </si>
  <si>
    <t>T2P 0J9</t>
  </si>
  <si>
    <t>Beringer Energy Inc.</t>
  </si>
  <si>
    <t>Suite 1900, 444-5th Avenue SW</t>
  </si>
  <si>
    <t>T2P 2T8</t>
  </si>
  <si>
    <t>Bernum Petroleum</t>
  </si>
  <si>
    <t>203, 2303 - 4th Street SW</t>
  </si>
  <si>
    <t>T2S 2S7</t>
  </si>
  <si>
    <t>27-OCT-16 11.27.31.000000000 AM</t>
  </si>
  <si>
    <t>Bertram Drilling Corp.</t>
  </si>
  <si>
    <t>PO Box 100</t>
  </si>
  <si>
    <t>T0M 0L0</t>
  </si>
  <si>
    <t>05-DEC-16 04.27.01.000000000 PM</t>
  </si>
  <si>
    <t>Betts Drilling Ltd.</t>
  </si>
  <si>
    <t>26-OCT-16 04.30.06.000000000 PM</t>
  </si>
  <si>
    <t>Birchcliff Energy Ltd.</t>
  </si>
  <si>
    <t>500, 630 - 4th Avenue SW</t>
  </si>
  <si>
    <t>Birchill Canada Limited Partnership</t>
  </si>
  <si>
    <t>820 815 8 Ave SW</t>
  </si>
  <si>
    <t>T2P 3P2</t>
  </si>
  <si>
    <t>11-OCT-16 04.34.31.000000000 PM</t>
  </si>
  <si>
    <t>Birchill Exploration Limited Partnership</t>
  </si>
  <si>
    <t>820, 815 – 8th Avenue SW</t>
  </si>
  <si>
    <t>Black Swan Energy Limited</t>
  </si>
  <si>
    <t>1200, 255-5th Avenue SW</t>
  </si>
  <si>
    <t>T2P 3G6</t>
  </si>
  <si>
    <t>Blackbird Energy Inc.</t>
  </si>
  <si>
    <t>400, 444 - 5th Ave SW</t>
  </si>
  <si>
    <t>24-OCT-16 04.43.01.000000000 PM</t>
  </si>
  <si>
    <t>BlackPearl Resources Inc.</t>
  </si>
  <si>
    <t>700, 444-7th Avenue S.W.</t>
  </si>
  <si>
    <t>T2P 0X8</t>
  </si>
  <si>
    <t>Blackspur Oil Corporation</t>
  </si>
  <si>
    <t>1200, 707-7th Avenue SW</t>
  </si>
  <si>
    <t>T2P 3H6</t>
  </si>
  <si>
    <t>Blaze Energy Ltd.</t>
  </si>
  <si>
    <t>Suite 1010, 900 - 6th Ave SW</t>
  </si>
  <si>
    <t>T2P 3K2</t>
  </si>
  <si>
    <t>BLZ Energy Ltd.</t>
  </si>
  <si>
    <t>2200, 605 - 5th Avenue SW</t>
  </si>
  <si>
    <t>T2P 3H5</t>
  </si>
  <si>
    <t>Bonanza Drilling Inc.</t>
  </si>
  <si>
    <t>Box 537</t>
  </si>
  <si>
    <t>29 Martin Way</t>
  </si>
  <si>
    <t>Brooks</t>
  </si>
  <si>
    <t>T1R 1B5</t>
  </si>
  <si>
    <t>26-OCT-16 03.54.01.000000000 PM</t>
  </si>
  <si>
    <t>Bonavista Energy Corporation</t>
  </si>
  <si>
    <t>1500, 525 - 8th Avenue SW</t>
  </si>
  <si>
    <t>T2P 1G1</t>
  </si>
  <si>
    <t>Bonterra Energy Corp.</t>
  </si>
  <si>
    <t>901, 1015 - 4th St. S.W.</t>
  </si>
  <si>
    <t>T2R 1J4</t>
  </si>
  <si>
    <t>Border Paving Ltd.</t>
  </si>
  <si>
    <t>PO Box 2270</t>
  </si>
  <si>
    <t>Stony Plain</t>
  </si>
  <si>
    <t>T7Z 1X7</t>
  </si>
  <si>
    <t>14-NOV-16 11.46.31.000000000 AM</t>
  </si>
  <si>
    <t>Boulder Energy Ltd</t>
  </si>
  <si>
    <t>540, 222 - 3rd Ave SW</t>
  </si>
  <si>
    <t>T2P0B4</t>
  </si>
  <si>
    <t>22-JUL-16 03.46.22.000000000 PM</t>
  </si>
  <si>
    <t>Bounty Developments Ltd.</t>
  </si>
  <si>
    <t>1250, 340 - 12th Avenue SW</t>
  </si>
  <si>
    <t>Brion Energy Corporation</t>
  </si>
  <si>
    <t>ATTN: Accounts Payable Department
Suite 1000, 150 - 9th Avenue SW</t>
  </si>
  <si>
    <t>T2P 3H9</t>
  </si>
  <si>
    <t>Broadview Energy Ltd.</t>
  </si>
  <si>
    <t>201, 1100 - 8th Avenue SW</t>
  </si>
  <si>
    <t>T2P 3T8</t>
  </si>
  <si>
    <t>Brownstone Resources Ltd.</t>
  </si>
  <si>
    <t>Bruin Oil and Gas</t>
  </si>
  <si>
    <t>Suite 600, 703 - 6th Avenue SW</t>
  </si>
  <si>
    <t>T2P 0T9</t>
  </si>
  <si>
    <t>CaiTerra International Energy Corp.</t>
  </si>
  <si>
    <t>200, 1414 – 8th Street SW</t>
  </si>
  <si>
    <t>Caltex Resources Ltd.</t>
  </si>
  <si>
    <t>Suite 1500, 17 - 7th Avenue SW</t>
  </si>
  <si>
    <t>T2P 0Z3</t>
  </si>
  <si>
    <t>Cameco Corporation</t>
  </si>
  <si>
    <t>2121 - 11th Street West</t>
  </si>
  <si>
    <t>Saskatoon</t>
  </si>
  <si>
    <t>S7M 1J3</t>
  </si>
  <si>
    <t>kbozkir</t>
  </si>
  <si>
    <t>Canada Capital Energy Corporation</t>
  </si>
  <si>
    <t>Sunlife Plaza
2600, 140 - 4th Avenue SW</t>
  </si>
  <si>
    <t>T2P 3N3</t>
  </si>
  <si>
    <t>Canadian Coastal Resources Ltd.</t>
  </si>
  <si>
    <t>900, 202 - 6th Avenue SW</t>
  </si>
  <si>
    <t>T2P 2R9</t>
  </si>
  <si>
    <t>Canadian Coyote Energy Ltd.</t>
  </si>
  <si>
    <t xml:space="preserve">430, 910 7th Avenue SW
</t>
  </si>
  <si>
    <t>T2P 3N8</t>
  </si>
  <si>
    <t>Canadian Natural Resources Ltd.</t>
  </si>
  <si>
    <t>2500, 855 - 2nd Street SW</t>
  </si>
  <si>
    <t>T2P 4J8</t>
  </si>
  <si>
    <t>Canadian Quantum Energy Corporation</t>
  </si>
  <si>
    <t>Suite 500, 1414 8th St. SW</t>
  </si>
  <si>
    <t>Canexus Corporation</t>
  </si>
  <si>
    <t>2100, 144 - 4th Ave SW</t>
  </si>
  <si>
    <t>T2P 3N4</t>
  </si>
  <si>
    <t>02-DEC-16 12.00.33.000000000 PM</t>
  </si>
  <si>
    <t>Cansearch Resources Ltd.</t>
  </si>
  <si>
    <t>900, 736 - 6th Avenue SW</t>
  </si>
  <si>
    <t>T2P 3T7</t>
  </si>
  <si>
    <t>Canyon Technical Services Ltd.</t>
  </si>
  <si>
    <t>2900, 255 - 5 Ave SW</t>
  </si>
  <si>
    <t>Caprice Resources Inc.</t>
  </si>
  <si>
    <t>P.O. Box 848</t>
  </si>
  <si>
    <t>S4H 2L1</t>
  </si>
  <si>
    <t>Caprock Resources Inc.</t>
  </si>
  <si>
    <t>2230 Queen Street</t>
  </si>
  <si>
    <t>Regina</t>
  </si>
  <si>
    <t>S4T 4C5</t>
  </si>
  <si>
    <t>Cardinal Energy Ltd.</t>
  </si>
  <si>
    <t>600, 400 - 3 Ave SW</t>
  </si>
  <si>
    <t>T2P 4H2</t>
  </si>
  <si>
    <t>Catapult Environmental Inc.</t>
  </si>
  <si>
    <t>600, 800 - 6 Ave SW</t>
  </si>
  <si>
    <t>T2P 3G3</t>
  </si>
  <si>
    <t>Cenovus Energy Inc.</t>
  </si>
  <si>
    <t>500 Centre Street SE
PO Box 766</t>
  </si>
  <si>
    <t>T2P 0M5</t>
  </si>
  <si>
    <t>Cenovus FCCL Ltd. as Operator for FCCL Partnership</t>
  </si>
  <si>
    <t>500 Centre Street SE  P.O. Box 766</t>
  </si>
  <si>
    <t>Centrica Canada Ltd.</t>
  </si>
  <si>
    <t>1000, 111 - 5th Avenue SW</t>
  </si>
  <si>
    <t>T2P 3Y6</t>
  </si>
  <si>
    <t>Cequence Energy Ltd.</t>
  </si>
  <si>
    <t>3100, 525 - 8 Ave SW</t>
  </si>
  <si>
    <t>Chinook Drilling</t>
  </si>
  <si>
    <t>26-OCT-16 03.53.29.000000000 PM</t>
  </si>
  <si>
    <t>Chinook Energy Inc.</t>
  </si>
  <si>
    <t>1000, 517 - 10 Ave SW</t>
  </si>
  <si>
    <t>T2R 0A8</t>
  </si>
  <si>
    <t>Citadel Drilling Ltd.</t>
  </si>
  <si>
    <t>26-OCT-16 04.31.37.000000000 PM</t>
  </si>
  <si>
    <t>City of Medicine Hat</t>
  </si>
  <si>
    <t>364 Kippling Street SE</t>
  </si>
  <si>
    <t>Attn: Glenn Baumback</t>
  </si>
  <si>
    <t>Medicine Hat</t>
  </si>
  <si>
    <t>T1A 1Y4</t>
  </si>
  <si>
    <t>03-NOV-16 03.05.01.000000000 PM</t>
  </si>
  <si>
    <t>Coastal Resources Ltd.</t>
  </si>
  <si>
    <t>1400, 520 - 5th Ave S.W.</t>
  </si>
  <si>
    <t>T2P 3R7</t>
  </si>
  <si>
    <t>Coda Petroleum Inc.</t>
  </si>
  <si>
    <t>ATT: Accounts Payable
SunLife Plaza, North Tower
Suite 1440, 140 - 4th Avenue SW</t>
  </si>
  <si>
    <t>Connaught Oil &amp; Gas Ltd.</t>
  </si>
  <si>
    <t>1300, 530 - 8th Avenue SW</t>
  </si>
  <si>
    <t>T2P 3S8</t>
  </si>
  <si>
    <t>ConocoPhillips Canada</t>
  </si>
  <si>
    <t>Attn: Accounts Payable
P.O. Box 2566, Stn M</t>
  </si>
  <si>
    <t>T2P 2H7</t>
  </si>
  <si>
    <t>Conserve Oil Corporation</t>
  </si>
  <si>
    <t>500, 340 - 12th Avenue SW</t>
  </si>
  <si>
    <t>Consumers Co-operative Refineries Ltd.</t>
  </si>
  <si>
    <t>P.O. Box 260</t>
  </si>
  <si>
    <t>S4P 3A1</t>
  </si>
  <si>
    <t>Cordy Environmental</t>
  </si>
  <si>
    <t>Box 479</t>
  </si>
  <si>
    <t>Stettler</t>
  </si>
  <si>
    <t>T0C 2L0</t>
  </si>
  <si>
    <t>Corex Resources Ltd.</t>
  </si>
  <si>
    <t>3200, 700 - 2 St SW</t>
  </si>
  <si>
    <t>T2P 2W2</t>
  </si>
  <si>
    <t>Corval Energy Ltd.</t>
  </si>
  <si>
    <t xml:space="preserve">Suite 2400, 500-4th Avenue SW
</t>
  </si>
  <si>
    <t>CQ Energy Resources Canada Partnership</t>
  </si>
  <si>
    <t>Suite 1200, 525 8th Avenue SW</t>
  </si>
  <si>
    <t>Craft Oil Ltd.</t>
  </si>
  <si>
    <t>Suite 1010, 639 - 5th Avenue SW</t>
  </si>
  <si>
    <t>07-OCT-16 01.21.42.000000000 PM</t>
  </si>
  <si>
    <t>Crescent Point Energy Corp.</t>
  </si>
  <si>
    <t>2000, 585 - 8 Ave SW</t>
  </si>
  <si>
    <t>28-NOV-16 03.04.01.000000000 PM</t>
  </si>
  <si>
    <t>Crew Energy Inc.</t>
  </si>
  <si>
    <t>800, 250 - 5th Street SW</t>
  </si>
  <si>
    <t>T2P 0R4</t>
  </si>
  <si>
    <t>Crocotta Energy Inc.</t>
  </si>
  <si>
    <t>700, 639-5th Avenue SW</t>
  </si>
  <si>
    <t>Cross Borders Consulting Ltd.</t>
  </si>
  <si>
    <t>Box 509</t>
  </si>
  <si>
    <t>Pilot Butte</t>
  </si>
  <si>
    <t>S0G 3Z0</t>
  </si>
  <si>
    <t>Croverro Energy Ltd.</t>
  </si>
  <si>
    <t>1600, 840 - 7th Avenue SW</t>
  </si>
  <si>
    <t>T2P 3G2</t>
  </si>
  <si>
    <t>Crusader Drilling</t>
  </si>
  <si>
    <t>Suite 5-76 Seventh Ave S</t>
  </si>
  <si>
    <t>Yorkton</t>
  </si>
  <si>
    <t>S3N3V2</t>
  </si>
  <si>
    <t>26-OCT-16 04.03.11.000000000 PM</t>
  </si>
  <si>
    <t>CWC Ironhand Drilling</t>
  </si>
  <si>
    <t>26-OCT-16 04.24.56.000000000 PM</t>
  </si>
  <si>
    <t>D2 Drilling Inc.</t>
  </si>
  <si>
    <t>26-OCT-16 04.31.17.000000000 PM</t>
  </si>
  <si>
    <t>Dark Warrior Resources Ltd.</t>
  </si>
  <si>
    <t>1100, 630 - 6 Ave SW</t>
  </si>
  <si>
    <t>T2P 0S8</t>
  </si>
  <si>
    <t>DC Drilling Inc.</t>
  </si>
  <si>
    <t>513 Tanner Dr SE</t>
  </si>
  <si>
    <t>Airdrie</t>
  </si>
  <si>
    <t>T4A2E7</t>
  </si>
  <si>
    <t>26-OCT-16 04.05.28.000000000 PM</t>
  </si>
  <si>
    <t>DCP Oil Corp.</t>
  </si>
  <si>
    <t>1900, 520 - 3rd Avenue SW</t>
  </si>
  <si>
    <t>30-SEP-16 06.38.40.000000000 PM</t>
  </si>
  <si>
    <t>Delphi Energy Corp.</t>
  </si>
  <si>
    <t>300, 500 - 4th Ave SW</t>
  </si>
  <si>
    <t>Deltastream Energy Corp.</t>
  </si>
  <si>
    <t>Suite 1950 – 633 6th Ave SW</t>
  </si>
  <si>
    <t>T2P 2Y5</t>
  </si>
  <si>
    <t>02-AUG-16 02.45.11.000000000 PM</t>
  </si>
  <si>
    <t>Devon Canada</t>
  </si>
  <si>
    <t>2000, 400 - 3rd Avenue SW</t>
  </si>
  <si>
    <t>Direct Energy Marketing Ltd.</t>
  </si>
  <si>
    <t>1200, 525 - 8th Avenue SW</t>
  </si>
  <si>
    <t>Direct Energy Resources</t>
  </si>
  <si>
    <t>Dragonfountain Ltd.</t>
  </si>
  <si>
    <t>Suite 710 - 2nd Street SW</t>
  </si>
  <si>
    <t>T2P 2Y3</t>
  </si>
  <si>
    <t>Dreco Energy Services ULC - Downhole Canada</t>
  </si>
  <si>
    <t>1507 - 4th St</t>
  </si>
  <si>
    <t>Nisku</t>
  </si>
  <si>
    <t>T9E 7M9</t>
  </si>
  <si>
    <t>Duracon Concrete Corp.</t>
  </si>
  <si>
    <t>Edge Resources Inc.</t>
  </si>
  <si>
    <t>1400, 717-7 Ave SW</t>
  </si>
  <si>
    <t>Edmonton Exchanger &amp; Manufacturing Ltd.</t>
  </si>
  <si>
    <t xml:space="preserve">5545 – 89 Street
</t>
  </si>
  <si>
    <t>Edmonton</t>
  </si>
  <si>
    <t>T6E 5W9</t>
  </si>
  <si>
    <t>27-JUL-16 03.48.20.000000000 PM</t>
  </si>
  <si>
    <t>Elcano Exploration</t>
  </si>
  <si>
    <t>Suite 420, 550 - 6th Ave SW</t>
  </si>
  <si>
    <t>T2P 0S2</t>
  </si>
  <si>
    <t>Ember Resources Inc.</t>
  </si>
  <si>
    <t>2400, 300 - 5th Avenue SW</t>
  </si>
  <si>
    <t>EnCana Corporation</t>
  </si>
  <si>
    <t>Encore Coring &amp; Drilling</t>
  </si>
  <si>
    <t>1345 Highfield Crescent S.E.</t>
  </si>
  <si>
    <t>T2G 5N2</t>
  </si>
  <si>
    <t>Endurance Energy Ltd.</t>
  </si>
  <si>
    <t>Suite 800, 215 - 9th Avenue SW</t>
  </si>
  <si>
    <t>Enerplus Partnership</t>
  </si>
  <si>
    <t>The Dome Tower
3000, 333 - 7th Avenue SW</t>
  </si>
  <si>
    <t>T2P 2Z1</t>
  </si>
  <si>
    <t>Enhance Energy Inc.</t>
  </si>
  <si>
    <t>Suite 900, 333 5 Ave SW</t>
  </si>
  <si>
    <t>T2P 3B6</t>
  </si>
  <si>
    <t>Ensign Drilling Inc.</t>
  </si>
  <si>
    <t>26-OCT-16 03.51.33.000000000 PM</t>
  </si>
  <si>
    <t>Envolve Energy Services Corp.</t>
  </si>
  <si>
    <t>PO Box 1270 Stn Main</t>
  </si>
  <si>
    <t>T8V 4Z1</t>
  </si>
  <si>
    <t>EOG Resources Canada Inc.</t>
  </si>
  <si>
    <t>1300, 700 - 9th Avenue SW</t>
  </si>
  <si>
    <t>T2P 3V4</t>
  </si>
  <si>
    <t>ERCO Worldwide</t>
  </si>
  <si>
    <t>440, 736 - 8th Ave SW</t>
  </si>
  <si>
    <t>T2P 1H4</t>
  </si>
  <si>
    <t>EverGro Energy Corporation</t>
  </si>
  <si>
    <t>2866 Sunninghill Cres.</t>
  </si>
  <si>
    <t>S4V 0N2</t>
  </si>
  <si>
    <t>Excalibur Drilling Ltd.</t>
  </si>
  <si>
    <t>26-OCT-16 03.52.27.000000000 PM</t>
  </si>
  <si>
    <t>ExxonMobil Canada Energy</t>
  </si>
  <si>
    <t>Attn: AP PO Box 2480 STN M</t>
  </si>
  <si>
    <t>T2P 3M9</t>
  </si>
  <si>
    <t>07-OCT-16 05.26.01.000000000 PM</t>
  </si>
  <si>
    <t>Fire Creek Resources Ltd.</t>
  </si>
  <si>
    <t>206 - 11th Avenue SE</t>
  </si>
  <si>
    <t>T2G 0X8</t>
  </si>
  <si>
    <t>27-JUL-16 02.04.56.000000000 PM</t>
  </si>
  <si>
    <t>Flushing Energy Corporation</t>
  </si>
  <si>
    <t>303 - 1933A 10th Ave SW</t>
  </si>
  <si>
    <t>T3C 0K3</t>
  </si>
  <si>
    <t>Forge Oil &amp; Gas Limited</t>
  </si>
  <si>
    <t>Suite 2000, 840 – 7th Avenue S.W.</t>
  </si>
  <si>
    <t>AB T2P 3G2</t>
  </si>
  <si>
    <t>Fort Calgary Resources Ltd.</t>
  </si>
  <si>
    <t>2820, 700-9th Ave SW</t>
  </si>
  <si>
    <t>30-SEP-16 06.39.01.000000000 PM</t>
  </si>
  <si>
    <t>Fortis Corporation</t>
  </si>
  <si>
    <t>802, 57th Street East</t>
  </si>
  <si>
    <t>S7K 5Z1</t>
  </si>
  <si>
    <t>Four Winds Midstream Solutions</t>
  </si>
  <si>
    <t>105, 10136-128 Avenue</t>
  </si>
  <si>
    <t>T8V 1E9</t>
  </si>
  <si>
    <t>Fox Drilling Inc</t>
  </si>
  <si>
    <t>2-3710 18 Ave N</t>
  </si>
  <si>
    <t>Lethbridge</t>
  </si>
  <si>
    <t>T1H 5S7</t>
  </si>
  <si>
    <t>26-OCT-16 04.07.03.000000000 PM</t>
  </si>
  <si>
    <t>Freehold Royalties Partnership</t>
  </si>
  <si>
    <t>400, 144 - 4th Ave SW</t>
  </si>
  <si>
    <t>Freemont Resources Ltd</t>
  </si>
  <si>
    <t>Suite 200 - 1518 - 7th Street SW</t>
  </si>
  <si>
    <t>T2R 1A7</t>
  </si>
  <si>
    <t>Frontier Project Management Ltd.</t>
  </si>
  <si>
    <t>300, 1601 Westmount Rd. NW</t>
  </si>
  <si>
    <t>Galaxy Energy Ltd.</t>
  </si>
  <si>
    <t>1202, 1100 8th Ave SW</t>
  </si>
  <si>
    <t xml:space="preserve">Calgary </t>
  </si>
  <si>
    <t>T2P 3T9</t>
  </si>
  <si>
    <t>Gambit Oil Corp</t>
  </si>
  <si>
    <t>PO Box 20082</t>
  </si>
  <si>
    <t>T2P 4J2</t>
  </si>
  <si>
    <t>07-NOV-16 01.25.02.000000000 PM</t>
  </si>
  <si>
    <t>Gear Energy Ltd.</t>
  </si>
  <si>
    <t>Suite 2600, 500 - 4th Avenue SW</t>
  </si>
  <si>
    <t>Gensource Potash Corporation</t>
  </si>
  <si>
    <t>1100, 201 - 1st Ave South</t>
  </si>
  <si>
    <t>S7K 1J5</t>
  </si>
  <si>
    <t>22-NOV-16 04.15.01.000000000 PM</t>
  </si>
  <si>
    <t>Gibson Energy Inc.</t>
  </si>
  <si>
    <t>1700, 440 – 2nd Avenue SW</t>
  </si>
  <si>
    <t>27-JUL-16 03.48.52.000000000 PM</t>
  </si>
  <si>
    <t>Glenogle Energy Inc.</t>
  </si>
  <si>
    <t>1400, 444 - 5 Ave SW</t>
  </si>
  <si>
    <t>08-NOV-16 10.33.31.000000000 AM</t>
  </si>
  <si>
    <t>Goldenkey Oil Inc.</t>
  </si>
  <si>
    <t>1580 - 727 7 Avenue SW</t>
  </si>
  <si>
    <t>07-JUL-16 05.18.03.000000000 PM</t>
  </si>
  <si>
    <t>GP Masonry Supply</t>
  </si>
  <si>
    <t>9728 132 Ave</t>
  </si>
  <si>
    <t>T8V 4J6</t>
  </si>
  <si>
    <t>07-JUL-16 04.26.42.000000000 PM</t>
  </si>
  <si>
    <t>Grandview Exploration Inc.</t>
  </si>
  <si>
    <t>Suite 300, 2509 Dieppe Ave SW</t>
  </si>
  <si>
    <t>T3E 7J9</t>
  </si>
  <si>
    <t>Granite Oil Corp.</t>
  </si>
  <si>
    <t>432, 222 - 3rd Ave SW</t>
  </si>
  <si>
    <t>T2P 0B4</t>
  </si>
  <si>
    <t>Grassy Hill Hutterian Brethren Ltd.</t>
  </si>
  <si>
    <t>P.O. Box 510</t>
  </si>
  <si>
    <t>Gull Lake</t>
  </si>
  <si>
    <t>S0N 1A0</t>
  </si>
  <si>
    <t>Grizzly Oil Sands ULC</t>
  </si>
  <si>
    <t>2700, 605 - 5th Avenue SW</t>
  </si>
  <si>
    <t>Grizzly Resources Ltd.</t>
  </si>
  <si>
    <t>1000, 324 - 8th Avenue SW</t>
  </si>
  <si>
    <t>T2P 2Z2</t>
  </si>
  <si>
    <t>GroundForce geoDrilling Solutions</t>
  </si>
  <si>
    <t>650, 910 - 7th Avenue SW</t>
  </si>
  <si>
    <t>Groundstar Resources Limited</t>
  </si>
  <si>
    <t>2300, 144 - 4th Ave SW</t>
  </si>
  <si>
    <t>Gryphon Petroleum Corp.</t>
  </si>
  <si>
    <t>Suite 1210,707 - 7th Avenue SW</t>
  </si>
  <si>
    <t>Halo Exploration Ltd.</t>
  </si>
  <si>
    <t>400, 1333 - 8th Street SW</t>
  </si>
  <si>
    <t>T2R 1M6</t>
  </si>
  <si>
    <t>Hanna Oil &amp; Gas Company - Canada ULC</t>
  </si>
  <si>
    <t>Suite 200, 615 - 3rd Avenue SW</t>
  </si>
  <si>
    <t>T2P 0G6</t>
  </si>
  <si>
    <t>Harvest Operations Corp.</t>
  </si>
  <si>
    <t>Suite 1500 700 – 2nd Street SW</t>
  </si>
  <si>
    <t>T2P 2W1</t>
  </si>
  <si>
    <t>11-OCT-16 04.52.31.000000000 PM</t>
  </si>
  <si>
    <t>Hawk Exploration Ltd.</t>
  </si>
  <si>
    <t>1320 - 396, 11 Ave SW</t>
  </si>
  <si>
    <t>28-JUL-16 10.08.54.000000000 AM</t>
  </si>
  <si>
    <t>Hemisphere Energy Corporation</t>
  </si>
  <si>
    <t>2000, 1055 West Hastings St.</t>
  </si>
  <si>
    <t>Vancouver</t>
  </si>
  <si>
    <t>V6E 2E9</t>
  </si>
  <si>
    <t>23-JUL-16 09.00.05.000000000 AM</t>
  </si>
  <si>
    <t>HESC Energy Limited Partnership</t>
  </si>
  <si>
    <t>800, 903 8th AVE SW</t>
  </si>
  <si>
    <t>T2P 0P7</t>
  </si>
  <si>
    <t>Highmark Exploration Inc.</t>
  </si>
  <si>
    <t>1560-2002 Victoria Avenue</t>
  </si>
  <si>
    <t>S4P 0R7</t>
  </si>
  <si>
    <t>Hitic Energy Ltd.</t>
  </si>
  <si>
    <t>218, 404 - 6th Avenue SW</t>
  </si>
  <si>
    <t>T2P 0R9</t>
  </si>
  <si>
    <t>Horizon Drilling Inc.</t>
  </si>
  <si>
    <t>26-OCT-16 03.55.57.000000000 PM</t>
  </si>
  <si>
    <t>Hummingbird Energy Inc.</t>
  </si>
  <si>
    <t>2063 Indian Fort Dr.</t>
  </si>
  <si>
    <t>Surrey</t>
  </si>
  <si>
    <t>V4A 3L7</t>
  </si>
  <si>
    <t>30-SEP-16 06.32.24.000000000 PM</t>
  </si>
  <si>
    <t>Husky Oil Operations Limited</t>
  </si>
  <si>
    <t>P.O. Box 4490 Station D</t>
  </si>
  <si>
    <t>T2P 3G7</t>
  </si>
  <si>
    <t>Hyak Energy ULC</t>
  </si>
  <si>
    <t>Suite 110-101 6th St SW
Calgary AB</t>
  </si>
  <si>
    <t>T2P 5K7</t>
  </si>
  <si>
    <t>Ikkuma Resources Corp.</t>
  </si>
  <si>
    <t>Suite 2700, 605 – 5th Avenue SW</t>
  </si>
  <si>
    <t>27-OCT-16 12.19.31.000000000 PM</t>
  </si>
  <si>
    <t>Imperial Oil Resources</t>
  </si>
  <si>
    <t>Drilling &amp; Completion Services
237 - 4th Avenue SW</t>
  </si>
  <si>
    <t>T2P 0H6</t>
  </si>
  <si>
    <t>Inception Exploration Ltd.</t>
  </si>
  <si>
    <t>Suite 300, 808 - 4th Avenue SW</t>
  </si>
  <si>
    <t>T2P 3E8</t>
  </si>
  <si>
    <t>02-DEC-16 08.28.31.000000000 AM</t>
  </si>
  <si>
    <t>Indepth Energy Inc.</t>
  </si>
  <si>
    <t>Suite 950, 717 7 Ave SW</t>
  </si>
  <si>
    <t>27-JUL-16 03.49.21.000000000 PM</t>
  </si>
  <si>
    <t>Inplay Oil Corp.</t>
  </si>
  <si>
    <t>900, 250-5 St SW</t>
  </si>
  <si>
    <t>15-NOV-16 03.06.01.000000000 PM</t>
  </si>
  <si>
    <t>Insignia Energy Ltd.</t>
  </si>
  <si>
    <t>2300, 500 - 4th Avenue SW</t>
  </si>
  <si>
    <t>Integrated Sustainability Consultants Ltd.</t>
  </si>
  <si>
    <t>600, 540 5th Ave SW</t>
  </si>
  <si>
    <t>T2P 0M2</t>
  </si>
  <si>
    <t>Inter Pipeline Ltd.</t>
  </si>
  <si>
    <t>2600, 237 - 4th Avenue SW</t>
  </si>
  <si>
    <t>T2P 4K3</t>
  </si>
  <si>
    <t>ISH Energy Ltd.</t>
  </si>
  <si>
    <t>900 McFarlane Tower
700 -4th Avenue SW</t>
  </si>
  <si>
    <t>T2P 3J4</t>
  </si>
  <si>
    <t>Japan Canada Oil Sands Ltd.</t>
  </si>
  <si>
    <t>2300, 639 - 5th Avenue SW</t>
  </si>
  <si>
    <t>Jarrod Oils Ltd.</t>
  </si>
  <si>
    <t>PO Box 58</t>
  </si>
  <si>
    <t>26-OCT-16 02.11.01.000000000 PM</t>
  </si>
  <si>
    <t>JDM Petroleums Inc.</t>
  </si>
  <si>
    <t>629-5th Street</t>
  </si>
  <si>
    <t>S4A OP8</t>
  </si>
  <si>
    <t>Jomax Drilling (1988) Ltd.</t>
  </si>
  <si>
    <t>26-OCT-16 04.02.02.000000000 PM</t>
  </si>
  <si>
    <t>Jupiter Resources Inc.</t>
  </si>
  <si>
    <t>Suite 1100, 585 - 8 Ave SW</t>
  </si>
  <si>
    <t>K+S Potash Canada GP</t>
  </si>
  <si>
    <t>220 Wall St</t>
  </si>
  <si>
    <t>S7K 3Y3</t>
  </si>
  <si>
    <t>24-NOV-16 10.47.31.000000000 AM</t>
  </si>
  <si>
    <t>Kaiser Exploration Ltd.</t>
  </si>
  <si>
    <t>1200, 700 - 4th Avenue SW</t>
  </si>
  <si>
    <t>T2P 2J4</t>
  </si>
  <si>
    <t>Kasten Energy Inc.</t>
  </si>
  <si>
    <t>200, 407 - 3rd St SW</t>
  </si>
  <si>
    <t>T2P 4Z2</t>
  </si>
  <si>
    <t>Kelt Exploration (LNG) Ltd</t>
  </si>
  <si>
    <t>Suite 300 311 6 Avenue S.W.</t>
  </si>
  <si>
    <t>T2P 3H2</t>
  </si>
  <si>
    <t>08-NOV-16 10.29.02.000000000 AM</t>
  </si>
  <si>
    <t>Kelt Exploration Ltd.</t>
  </si>
  <si>
    <t>08-NOV-16 10.30.31.000000000 AM</t>
  </si>
  <si>
    <t>Keyera Partnership</t>
  </si>
  <si>
    <t>Sun Life Plaza West Tower
Suite 600 144 - 4th Avenue SW
Attention:  Accounts Payable</t>
  </si>
  <si>
    <t>27-OCT-16 10.52.31.000000000 AM</t>
  </si>
  <si>
    <t>Keystone Royalty Corp.</t>
  </si>
  <si>
    <t>1200, 1881 Scarth Street</t>
  </si>
  <si>
    <t>S4P 4K9</t>
  </si>
  <si>
    <t>SaP 4K9</t>
  </si>
  <si>
    <t>FWare</t>
  </si>
  <si>
    <t>Kingsland Energy Corp.</t>
  </si>
  <si>
    <t>1881 Scarth Street Suite 1500</t>
  </si>
  <si>
    <t>Kinwest 2008 Energy Inc.</t>
  </si>
  <si>
    <t>300, 615 - 3rd Avenue Sw</t>
  </si>
  <si>
    <t>Knowledge Energy Inc.</t>
  </si>
  <si>
    <t xml:space="preserve">1620, 734 - 7 Ave SW
</t>
  </si>
  <si>
    <t>Koch Oil Sands GP</t>
  </si>
  <si>
    <t>1500, 111 - 5th Ave SW</t>
  </si>
  <si>
    <t>Komat Drilling</t>
  </si>
  <si>
    <t>328 South Railway St. East</t>
  </si>
  <si>
    <t>T1A 2V4</t>
  </si>
  <si>
    <t>26-OCT-16 04.00.49.000000000 PM</t>
  </si>
  <si>
    <t>Kripa Energy Inc.</t>
  </si>
  <si>
    <t>28 Du Boise</t>
  </si>
  <si>
    <t>Kirkland</t>
  </si>
  <si>
    <t>H9J 4B3</t>
  </si>
  <si>
    <t>Lakeview Energy Inc.</t>
  </si>
  <si>
    <t>Box 20027</t>
  </si>
  <si>
    <t>Lasso Drilling Corporation</t>
  </si>
  <si>
    <t>26-OCT-16 03.53.05.000000000 PM</t>
  </si>
  <si>
    <t>Ledcor Pipeline Limited</t>
  </si>
  <si>
    <t>9910 - 39 Ave NW</t>
  </si>
  <si>
    <t>T6E 5H8</t>
  </si>
  <si>
    <t>Legacy Oil &amp; Gas Inc.</t>
  </si>
  <si>
    <t>4400, 525 - 8 Ave SW</t>
  </si>
  <si>
    <t>Lehigh Inland Cement Ltd</t>
  </si>
  <si>
    <t>C/O Lockbox 310170 PO Box 578 STNM</t>
  </si>
  <si>
    <t xml:space="preserve"> T2P 2J3</t>
  </si>
  <si>
    <t>12-OCT-16 11.00.01.000000000 AM</t>
  </si>
  <si>
    <t>Leucrotta Exploration Ltd.</t>
  </si>
  <si>
    <t>27-OCT-16 12.25.00.000000000 PM</t>
  </si>
  <si>
    <t>Lightstream Resources Ltd.</t>
  </si>
  <si>
    <t>2800, 525 - 8th Avenue SW</t>
  </si>
  <si>
    <t>09-AUG-16 03.09.34.000000000 PM</t>
  </si>
  <si>
    <t>Long Run Exploration Ltd.</t>
  </si>
  <si>
    <t>400, 250 – 2nd Street SW</t>
  </si>
  <si>
    <t>T2P 0C1</t>
  </si>
  <si>
    <t>27-OCT-16 08.18.31.000000000 AM</t>
  </si>
  <si>
    <t>Longview Oil Corp.</t>
  </si>
  <si>
    <t>Canterra Tower
Suite 700, 400 - 3rd Avenue SW</t>
  </si>
  <si>
    <t>Losness Drilling</t>
  </si>
  <si>
    <t>PO Box 145</t>
  </si>
  <si>
    <t>Lougheed</t>
  </si>
  <si>
    <t>T0B 2V0</t>
  </si>
  <si>
    <t>MacBain Properties Ltd.</t>
  </si>
  <si>
    <t>200, 505 - 2nd Street SW</t>
  </si>
  <si>
    <t>T2P 1N8</t>
  </si>
  <si>
    <t>27-JUL-16 03.45.47.000000000 PM</t>
  </si>
  <si>
    <t>MacKay Operating Corp.</t>
  </si>
  <si>
    <t>Suite 1000, 150 - 9th Avenue SW</t>
  </si>
  <si>
    <t>Major Oil and Gas Ltd.</t>
  </si>
  <si>
    <t>1404 - 683, 10 st SW</t>
  </si>
  <si>
    <t>T2P 5G3</t>
  </si>
  <si>
    <t>Mancal Energy Inc.</t>
  </si>
  <si>
    <t>P.O. Box 2526, Station M</t>
  </si>
  <si>
    <t>T2P 5G2</t>
  </si>
  <si>
    <t>Manitok Energy Inc.</t>
  </si>
  <si>
    <t>Suite 2600, 585 8th Ave SW</t>
  </si>
  <si>
    <t>Mapan Energy Ltd.</t>
  </si>
  <si>
    <t>Suite 1910, 605 – 5th Avenue SW</t>
  </si>
  <si>
    <t>T29 3H5</t>
  </si>
  <si>
    <t>Marquee Energy Ltd.</t>
  </si>
  <si>
    <t>1700, 500 - 4th Avenue SW</t>
  </si>
  <si>
    <t>Martin Brower of Canada Co.</t>
  </si>
  <si>
    <t>6990 Creditview Road, Unit #5</t>
  </si>
  <si>
    <t>Mississauga</t>
  </si>
  <si>
    <t>L5N 8R9</t>
  </si>
  <si>
    <t>MEG Energy Corp.</t>
  </si>
  <si>
    <t>1100, 520 - 3rd Avenue SW</t>
  </si>
  <si>
    <t>31-OCT-16 03.57.31.000000000 PM</t>
  </si>
  <si>
    <t>Melita Resources Ltd.</t>
  </si>
  <si>
    <t>Box 457</t>
  </si>
  <si>
    <t>Melita</t>
  </si>
  <si>
    <t>R0M 1L0</t>
  </si>
  <si>
    <t>Midale Petroleums Ltd.</t>
  </si>
  <si>
    <t>P.O. Box 419</t>
  </si>
  <si>
    <t>Midale</t>
  </si>
  <si>
    <t>S0C 1S0</t>
  </si>
  <si>
    <t>Mobius Resources Corp</t>
  </si>
  <si>
    <t>Suite 1800
505 - 3rd Street SW</t>
  </si>
  <si>
    <t>Mosaic Energy Ltd.</t>
  </si>
  <si>
    <t>Suite 900, 606 – 4th Street SW</t>
  </si>
  <si>
    <t>T2P 1T1</t>
  </si>
  <si>
    <t>Mosaic Potash Colonsay</t>
  </si>
  <si>
    <t>Junction Highway 16 &amp; 2</t>
  </si>
  <si>
    <t>Colonsay</t>
  </si>
  <si>
    <t>S0K 0Z0</t>
  </si>
  <si>
    <t>22-NOV-16 04.15.31.000000000 PM</t>
  </si>
  <si>
    <t>Mosaic Potash Esterhazy</t>
  </si>
  <si>
    <t>SK- 637</t>
  </si>
  <si>
    <t>Esterhazy</t>
  </si>
  <si>
    <t>S0A 0X0</t>
  </si>
  <si>
    <t>Mountain Coil Tubing</t>
  </si>
  <si>
    <t>Suite 400, 707 – 7th Ave SW</t>
  </si>
  <si>
    <t>CGaine</t>
  </si>
  <si>
    <t>24-AUG-16 02.48.23.000000000 PM</t>
  </si>
  <si>
    <t>Murphy Oil Company Ltd.</t>
  </si>
  <si>
    <t>Attn: Accounts Payable
P.O. Box 2721, Stn M</t>
  </si>
  <si>
    <t>T2P 3Y3</t>
  </si>
  <si>
    <t>Mutiny Oil &amp; Gas Ltd.</t>
  </si>
  <si>
    <t>801 - 6 Ave SW</t>
  </si>
  <si>
    <t>T2P 3W2</t>
  </si>
  <si>
    <t>Nabors Drilling</t>
  </si>
  <si>
    <t>26-OCT-16 04.01.32.000000000 PM</t>
  </si>
  <si>
    <t>NAL Resources Limited</t>
  </si>
  <si>
    <t>600, 550-6th Ave SW</t>
  </si>
  <si>
    <t>30-NOV-16 11.44.30.000000000 AM</t>
  </si>
  <si>
    <t>NEP Canada ULC</t>
  </si>
  <si>
    <t>1700 250 6 Ave SW</t>
  </si>
  <si>
    <t>New Star Energy Ltd.</t>
  </si>
  <si>
    <t>1500, 444-5th Avenue SW</t>
  </si>
  <si>
    <t>27-JUL-16 02.05.36.000000000 PM</t>
  </si>
  <si>
    <t>Newalta Corp.</t>
  </si>
  <si>
    <t>211 11th Avenue Sw</t>
  </si>
  <si>
    <t>T2R 0C6</t>
  </si>
  <si>
    <t>Nexen Energy ULC</t>
  </si>
  <si>
    <t>2900, 801 - 7th Avenue SW</t>
  </si>
  <si>
    <t>T2P 3P7</t>
  </si>
  <si>
    <t>Nextraction Energy Corp.</t>
  </si>
  <si>
    <t xml:space="preserve">254 – 250 6th Avenue SW,
PO Box 20004 Bow Valley
</t>
  </si>
  <si>
    <t>T2P 4H3</t>
  </si>
  <si>
    <t>Nexxco Energy Ltd.</t>
  </si>
  <si>
    <t>Suite 910, 250-5th Street SW</t>
  </si>
  <si>
    <t>Nordegg Resources Inc.</t>
  </si>
  <si>
    <t>#1700, 444-5th Avenue S.W.</t>
  </si>
  <si>
    <t>North American Helium Inc.</t>
  </si>
  <si>
    <t>101, 750 11 ST SW</t>
  </si>
  <si>
    <t>T2P 3N7</t>
  </si>
  <si>
    <t>20-JUL-16 01.24.24.000000000 PM</t>
  </si>
  <si>
    <t>Northern Blizzard Resources Inc.</t>
  </si>
  <si>
    <t>1900, 421 - 7th Ave SW</t>
  </si>
  <si>
    <t>Northpoint Resources Ltd.</t>
  </si>
  <si>
    <t>700, 505 - 3 St SW</t>
  </si>
  <si>
    <t>28-JUL-16 10.09.58.000000000 AM</t>
  </si>
  <si>
    <t>NOVA Chemicals Corporation</t>
  </si>
  <si>
    <t>1000-7th Ave SW</t>
  </si>
  <si>
    <t>T2P 5C6</t>
  </si>
  <si>
    <t>01-NOV-16 03.46.01.000000000 PM</t>
  </si>
  <si>
    <t>Novus Energy Inc.</t>
  </si>
  <si>
    <t>1700, 700 - 4th Ave SW</t>
  </si>
  <si>
    <t>08-DEC-16 08.27.01.000000000 AM</t>
  </si>
  <si>
    <t>NuVista Energy Ltd.</t>
  </si>
  <si>
    <t>3500, 700 - 2nd Street SW</t>
  </si>
  <si>
    <t>NVP Exploration INC</t>
  </si>
  <si>
    <t>1110, 340 12th Avenue SW</t>
  </si>
  <si>
    <t>Nytis Exploration Co Inc.</t>
  </si>
  <si>
    <t>1520, 700-6th Ave SW</t>
  </si>
  <si>
    <t>T2P 0T8</t>
  </si>
  <si>
    <t>27-OCT-16 12.46.31.000000000 PM</t>
  </si>
  <si>
    <t>Oak Point C/o ProspEx Resource Mgt Ltd.</t>
  </si>
  <si>
    <t>1250, 396-11th Ave SW</t>
  </si>
  <si>
    <t>Octane Engineering</t>
  </si>
  <si>
    <t>Suite 1600, 144 – 4th Ave SW</t>
  </si>
  <si>
    <t>OMERS Energy Inc.</t>
  </si>
  <si>
    <t>Centennial Place - East Tower
30th Floor, 520 - 3rd Avenue SW</t>
  </si>
  <si>
    <t>ORLEN Upstream Canada Ltd.</t>
  </si>
  <si>
    <t>400-850 2nd Street SW</t>
  </si>
  <si>
    <t>T2P0R8</t>
  </si>
  <si>
    <t>OSUM Oil Sands Corp.</t>
  </si>
  <si>
    <t>Suite 1900, 255-5th Avenue SW</t>
  </si>
  <si>
    <t>31-OCT-16 03.24.38.000000000 PM</t>
  </si>
  <si>
    <t>Ouro Preto Resources Inc.</t>
  </si>
  <si>
    <t xml:space="preserve">1000, 640 – 8th Avenue SW
</t>
  </si>
  <si>
    <t>T2P 1G7</t>
  </si>
  <si>
    <t>Painted Pony Petroleum Ltd.</t>
  </si>
  <si>
    <t>1800 - 736 6th Avenue SW</t>
  </si>
  <si>
    <t>Palliser Oil and Gas Corporation</t>
  </si>
  <si>
    <t>600, 255-5th Avenue SW
Bow Valley Square III</t>
  </si>
  <si>
    <t>Panther Drilling Corp.</t>
  </si>
  <si>
    <t>26-OCT-16 04.10.42.000000000 PM</t>
  </si>
  <si>
    <t>Paradise Petroleums Ltd.</t>
  </si>
  <si>
    <t>10801 Bonaventure Drive SE</t>
  </si>
  <si>
    <t>T2J 6Z8</t>
  </si>
  <si>
    <t>Paramount Resources Ltd.</t>
  </si>
  <si>
    <t>4700, 888 - 3rd Street SW</t>
  </si>
  <si>
    <t>T2P 5C5</t>
  </si>
  <si>
    <t>Patterson-UTI Drilling</t>
  </si>
  <si>
    <t>26-OCT-16 04.04.05.000000000 PM</t>
  </si>
  <si>
    <t>Peaceland Farms Ltd.</t>
  </si>
  <si>
    <t>PO Box 6051</t>
  </si>
  <si>
    <t>V1J 4H6</t>
  </si>
  <si>
    <t>Peaceland Oilfield Services Ltd.</t>
  </si>
  <si>
    <t>P.O.BOX 6132</t>
  </si>
  <si>
    <t>14-SEP-16 01.52.42.000000000 PM</t>
  </si>
  <si>
    <t>Pembina Pipeline Corp.</t>
  </si>
  <si>
    <t>8111 – 110 Street</t>
  </si>
  <si>
    <t>T8W 6T2</t>
  </si>
  <si>
    <t>Pengrowth Corporation</t>
  </si>
  <si>
    <t>2100, 222 - 3rd Avenue SW</t>
  </si>
  <si>
    <t>T2P 0B6</t>
  </si>
  <si>
    <t>Penn West Petroleum Ltd.</t>
  </si>
  <si>
    <t>200, 207 - 9th Avenue SW</t>
  </si>
  <si>
    <t>Perpetual Energy Inc.</t>
  </si>
  <si>
    <t>3200, 605 - 5th Avenue SW</t>
  </si>
  <si>
    <t>Petrex Energy Ltd.</t>
  </si>
  <si>
    <t>#300, 1601 Westmount Road NW</t>
  </si>
  <si>
    <t>Petrus Resources Ltd.</t>
  </si>
  <si>
    <t>2400, 240 - 4th Avenue SW</t>
  </si>
  <si>
    <t>Peyto Exploration &amp; Development Corp.</t>
  </si>
  <si>
    <t>300, 600 - 3rd Ave SW</t>
  </si>
  <si>
    <t>T2P 0G5</t>
  </si>
  <si>
    <t>Pinecrest Energy Inc.</t>
  </si>
  <si>
    <t>500, 255 - 5th Avenue SW</t>
  </si>
  <si>
    <t>Plains Midstream Canada</t>
  </si>
  <si>
    <t>1400, 607 - 8th Avenue SW</t>
  </si>
  <si>
    <t>T2P 0A7</t>
  </si>
  <si>
    <t>Polar Star Canadian Oil and Gas, Inc.</t>
  </si>
  <si>
    <t>1900, 700 - 4th Ave SW</t>
  </si>
  <si>
    <t>24-AUG-16 02.50.38.000000000 PM</t>
  </si>
  <si>
    <t>Postell Energy Co. Ltd.</t>
  </si>
  <si>
    <t>Suite 720, 903 8th Ave SW</t>
  </si>
  <si>
    <t>Potash Corp</t>
  </si>
  <si>
    <t>Suite 500
122-1st Avenue South</t>
  </si>
  <si>
    <t>S7K 7G3</t>
  </si>
  <si>
    <t>Potts Petroleum Inc.</t>
  </si>
  <si>
    <t>500, 540 - 5th Avenue SW</t>
  </si>
  <si>
    <t>Prairie Provident Resources Canada Ltd.</t>
  </si>
  <si>
    <t>1100, 640 - 5th Avenue SW</t>
  </si>
  <si>
    <t>01-NOV-16 06.56.31.000000000 AM</t>
  </si>
  <si>
    <t>Praxair Services</t>
  </si>
  <si>
    <t>9020 - 24th Street</t>
  </si>
  <si>
    <t>T6P 1X8</t>
  </si>
  <si>
    <t>Precision Drilling</t>
  </si>
  <si>
    <t>800, 525 - 8th Avenue SW</t>
  </si>
  <si>
    <t>26-OCT-16 03.49.19.000000000 PM</t>
  </si>
  <si>
    <t>Predator Drilling Inc.</t>
  </si>
  <si>
    <t>211, 37428 RR273</t>
  </si>
  <si>
    <t>Clearview Industrial Park,</t>
  </si>
  <si>
    <t>T4E 0A1</t>
  </si>
  <si>
    <t>26-OCT-16 03.56.20.000000000 PM</t>
  </si>
  <si>
    <t>Progress Energy Canada Ltd.</t>
  </si>
  <si>
    <t>1200, 205 - 5th Avenue SW</t>
  </si>
  <si>
    <t>T2P 2V7</t>
  </si>
  <si>
    <t>Prosper Petroleum Ltd.</t>
  </si>
  <si>
    <t>Suite 1000,521 - 3rd Avenue SW</t>
  </si>
  <si>
    <t>T2P 3T3</t>
  </si>
  <si>
    <t>Questerre Energy Corporation</t>
  </si>
  <si>
    <t>1650, 801 - 6th Avenue SW</t>
  </si>
  <si>
    <t>Questfire Energy Corporation</t>
  </si>
  <si>
    <t>110, 350 - 7 Ave SW</t>
  </si>
  <si>
    <t>Quinn Drilling Inc.</t>
  </si>
  <si>
    <t>26-OCT-16 04.23.32.000000000 PM</t>
  </si>
  <si>
    <t>Quintera Drilling</t>
  </si>
  <si>
    <t>26-OCT-16 03.50.46.000000000 PM</t>
  </si>
  <si>
    <t>R Batke Oilfield Ltd. NLSD Trade Exposure Centre</t>
  </si>
  <si>
    <t>PO Box 6515</t>
  </si>
  <si>
    <t>Bonnyville</t>
  </si>
  <si>
    <t>T9N 1H1</t>
  </si>
  <si>
    <t>Raging River Exploration Inc.</t>
  </si>
  <si>
    <t>710, 400-5th Avenue SW</t>
  </si>
  <si>
    <t>T2P 0L6</t>
  </si>
  <si>
    <t>Rally Canada Resources Ltd.</t>
  </si>
  <si>
    <t>Suite 520, 815 - 8 Ave SW</t>
  </si>
  <si>
    <t>Rampart Oil Inc.</t>
  </si>
  <si>
    <t>1100, 736 - 8th Ave SW</t>
  </si>
  <si>
    <t>04-OCT-16 03.56.49.000000000 PM</t>
  </si>
  <si>
    <t>Ravens Cross Energy</t>
  </si>
  <si>
    <t>P.O. Box 2500</t>
  </si>
  <si>
    <t>Kindersley</t>
  </si>
  <si>
    <t>S0L 1S0</t>
  </si>
  <si>
    <t>Ravens Cross Energy Ltd.</t>
  </si>
  <si>
    <t>Recem Inc.</t>
  </si>
  <si>
    <t xml:space="preserve"> 10044 - 94 St NW</t>
  </si>
  <si>
    <t>T5H 1Z3</t>
  </si>
  <si>
    <t>Red Dog Drilling Inc.</t>
  </si>
  <si>
    <t>26-OCT-16 04.09.30.000000000 PM</t>
  </si>
  <si>
    <t>Red River Oil Inc.</t>
  </si>
  <si>
    <t>600, 521 - 3rd Avenue SW</t>
  </si>
  <si>
    <t>16-NOV-16 01.25.31.000000000 PM</t>
  </si>
  <si>
    <t>Regco Petroleums Ltd.</t>
  </si>
  <si>
    <t>Box 394 3-11 Bellrose Drive</t>
  </si>
  <si>
    <t>St. Albert</t>
  </si>
  <si>
    <t>T8N 5C9</t>
  </si>
  <si>
    <t>Relentless Resources Ltd.</t>
  </si>
  <si>
    <t>855, 700 - 4th Avenue SW</t>
  </si>
  <si>
    <t>06-DEC-16 01.20.01.000000000 PM</t>
  </si>
  <si>
    <t>Renegade Petroleum Ltd.</t>
  </si>
  <si>
    <t>500, 850 - 2nd Street SW</t>
  </si>
  <si>
    <t>T2P 0R8</t>
  </si>
  <si>
    <t>Repsol Oil &amp; Gas Canada Inc.</t>
  </si>
  <si>
    <t>3400, 888 - 3rd Street SW</t>
  </si>
  <si>
    <t>Resourceful Petroleum Canada Limited</t>
  </si>
  <si>
    <t>#1800, 510-5th Street SW</t>
  </si>
  <si>
    <t>T2P 3S2</t>
  </si>
  <si>
    <t>Response Energy Corporation</t>
  </si>
  <si>
    <t>1200, 521 3 Ave SW</t>
  </si>
  <si>
    <t>27-JUL-16 02.07.39.000000000 PM</t>
  </si>
  <si>
    <t>Ribbon Creek Resources Inc.</t>
  </si>
  <si>
    <t>1100, 521 - 3rd Ave SW</t>
  </si>
  <si>
    <t>27-JUL-16 03.44.04.000000000 PM</t>
  </si>
  <si>
    <t>Rife Resources Ltd.</t>
  </si>
  <si>
    <t>400, 144 - 4th Avenue SW</t>
  </si>
  <si>
    <t>27-JUL-16 03.50.10.000000000 PM</t>
  </si>
  <si>
    <t>Rifleman Exploration Ltd.</t>
  </si>
  <si>
    <t>1705 Montgomery Park SE</t>
  </si>
  <si>
    <t>High River</t>
  </si>
  <si>
    <t>T1V 0B8</t>
  </si>
  <si>
    <t>Rock Energy Inc.</t>
  </si>
  <si>
    <t>2000, 530 - 8 Ave SW</t>
  </si>
  <si>
    <t>RockEast Energy Corporation</t>
  </si>
  <si>
    <t>Suite 780, 815-8th Avenue SW</t>
  </si>
  <si>
    <t>Rocky River Petroleum Ltd.</t>
  </si>
  <si>
    <t>325, 333 - 24th Ave SW</t>
  </si>
  <si>
    <t>T2S 3E6</t>
  </si>
  <si>
    <t>27-JUL-16 03.43.07.000000000 PM</t>
  </si>
  <si>
    <t>Ron Resources Ltd.</t>
  </si>
  <si>
    <t>Box 2169</t>
  </si>
  <si>
    <t>Sundre</t>
  </si>
  <si>
    <t>T0M 1X0</t>
  </si>
  <si>
    <t>Sahara Energy Ltd.</t>
  </si>
  <si>
    <t>Suite 700, 700 4th Avenue S.W.</t>
  </si>
  <si>
    <t>27-JUL-16 02.06.30.000000000 PM</t>
  </si>
  <si>
    <t>Sanjel Corporation</t>
  </si>
  <si>
    <t>200, 505 - 2nd Street S.W.</t>
  </si>
  <si>
    <t>28-JUL-16 10.53.26.000000000 AM</t>
  </si>
  <si>
    <t>Savanna Drilling</t>
  </si>
  <si>
    <t>26-OCT-16 03.50.27.000000000 PM</t>
  </si>
  <si>
    <t>Savanna Well Servicing</t>
  </si>
  <si>
    <t>311 6 Ave SW #800</t>
  </si>
  <si>
    <t>T2P 4M9</t>
  </si>
  <si>
    <t>pdoeleman</t>
  </si>
  <si>
    <t>01-SEP-16 03.19.22.000000000 PM</t>
  </si>
  <si>
    <t>Scavenger Energy GP Inc.</t>
  </si>
  <si>
    <t>400, 900 – 6th Ave SW</t>
  </si>
  <si>
    <t>Second Wave Petroleum Inc.</t>
  </si>
  <si>
    <t>1400, 202 6 Ave SW</t>
  </si>
  <si>
    <t>Secure Energy Services Inc.</t>
  </si>
  <si>
    <t>Bow Valley Square 2
3600, 205 5th Ave SW</t>
  </si>
  <si>
    <t>Serafina Energy Ltd.</t>
  </si>
  <si>
    <t>700, 324 - 8th Avenue SW</t>
  </si>
  <si>
    <t>14-NOV-16 09.40.31.000000000 AM</t>
  </si>
  <si>
    <t>Seven Generations Energy Ltd.</t>
  </si>
  <si>
    <t>Suite 300, 140-8th Avenue SW</t>
  </si>
  <si>
    <t>T2P 1B3</t>
  </si>
  <si>
    <t>16-NOV-16 01.04.01.000000000 PM</t>
  </si>
  <si>
    <t>Shell Canada Energy</t>
  </si>
  <si>
    <t>PO BOX 2247
Station 100</t>
  </si>
  <si>
    <t>T2P 2M6</t>
  </si>
  <si>
    <t>27-OCT-16 10.54.31.000000000 AM</t>
  </si>
  <si>
    <t>Shield Energy Ltd.</t>
  </si>
  <si>
    <t>1260, 840 - 7 Ave SW</t>
  </si>
  <si>
    <t>Shiningstar Energy Ltd.</t>
  </si>
  <si>
    <t>820, 333-5th Avenue SW</t>
  </si>
  <si>
    <t>Sinopec Daylight Energy Ltd.</t>
  </si>
  <si>
    <t>2700, 112-4th Ave SW</t>
  </si>
  <si>
    <t>T2P 0H3</t>
  </si>
  <si>
    <t>27-OCT-16 10.55.30.000000000 AM</t>
  </si>
  <si>
    <t>Sirius Well Manufacturing Services Canada Ltd.</t>
  </si>
  <si>
    <t>355 4th Ave SW, Suite 840</t>
  </si>
  <si>
    <t>26-OCT-16 04.06.33.000000000 PM</t>
  </si>
  <si>
    <t>Sitka Exploration Ltd</t>
  </si>
  <si>
    <t>1500, 505 3St SW</t>
  </si>
  <si>
    <t>27-OCT-16 12.37.01.000000000 PM</t>
  </si>
  <si>
    <t>Southern Pacific Resource Corp.</t>
  </si>
  <si>
    <t>Bow Valley Square II
1700, 205 - 5th Avenue SW</t>
  </si>
  <si>
    <t>Spartan Energy Corp.</t>
  </si>
  <si>
    <t>Suite 500, 850 - 2nd Street SW</t>
  </si>
  <si>
    <t>Spectrum Wireline Services Ltd.</t>
  </si>
  <si>
    <t>420 - 333  5th ave sw</t>
  </si>
  <si>
    <t>Sphere Energy Corp</t>
  </si>
  <si>
    <t>750, 815 - 8th Avenue SW</t>
  </si>
  <si>
    <t>Spry2 Energy Inc.</t>
  </si>
  <si>
    <t>1900, 407 - 2nd Street SW</t>
  </si>
  <si>
    <t>Spur Energy Corporation</t>
  </si>
  <si>
    <t>521, 500 Allen Street</t>
  </si>
  <si>
    <t>T4B 1J6</t>
  </si>
  <si>
    <t>Spur Resources Ltd.</t>
  </si>
  <si>
    <t>1200, 332 - 6th Avenue SW</t>
  </si>
  <si>
    <t>T2P 0B2</t>
  </si>
  <si>
    <t>Spyglass Resources Corp.</t>
  </si>
  <si>
    <t>Livingston Place  |  West Tower
1700, 250 - 2nd Street SW</t>
  </si>
  <si>
    <t>Stampede Drilling Ltd</t>
  </si>
  <si>
    <t>304 Petterson Dr</t>
  </si>
  <si>
    <t>S4A 1N7</t>
  </si>
  <si>
    <t>26-OCT-16 04.09.00.000000000 PM</t>
  </si>
  <si>
    <t>Standard Exploration Ltd.</t>
  </si>
  <si>
    <t>200 816 7 Ave SW</t>
  </si>
  <si>
    <t>T2P1A1</t>
  </si>
  <si>
    <t>Star Valley Drilling Ltd.</t>
  </si>
  <si>
    <t>26-OCT-16 04.31.57.000000000 PM</t>
  </si>
  <si>
    <t>Steel Reef Infrastructure Corp.</t>
  </si>
  <si>
    <t>Suite 515 - 505, 8 Ave SW</t>
  </si>
  <si>
    <t>T2P 1G2</t>
  </si>
  <si>
    <t>STEP Energy Services Ltd.</t>
  </si>
  <si>
    <t>300, 505 - 3rd Street SW</t>
  </si>
  <si>
    <t>01-NOV-16 11.22.05.000000000 AM</t>
  </si>
  <si>
    <t>Steppe Petroleum Inc.</t>
  </si>
  <si>
    <t>450, 440-2nd Ave SW</t>
  </si>
  <si>
    <t>18-NOV-16 10.41.01.000000000 AM</t>
  </si>
  <si>
    <t>Stewart Steel</t>
  </si>
  <si>
    <t>PO Box 1087</t>
  </si>
  <si>
    <t>S4H 2L3</t>
  </si>
  <si>
    <t>05-DEC-16 04.44.01.000000000 PM</t>
  </si>
  <si>
    <t>Strategic Oil &amp; Gas Ltd.</t>
  </si>
  <si>
    <t>Suite 1100, 645 – 7th Avenue SW</t>
  </si>
  <si>
    <t>T2P 4G8</t>
  </si>
  <si>
    <t>Striker Exploration Corp.</t>
  </si>
  <si>
    <t>1250, 645 - 7 Ave SW</t>
  </si>
  <si>
    <t>Success Resources Ltd.</t>
  </si>
  <si>
    <t>Box 1042</t>
  </si>
  <si>
    <t>T1R 1B8</t>
  </si>
  <si>
    <t>Suncor Energy Inc.</t>
  </si>
  <si>
    <t>P.O. Box 38</t>
  </si>
  <si>
    <t>T2P 2V5</t>
  </si>
  <si>
    <t>Suncor Energy Oil Sands Limited Partnership</t>
  </si>
  <si>
    <t>Box 38
112 - 4th Avenue SW</t>
  </si>
  <si>
    <t>Surge Energy Inc.</t>
  </si>
  <si>
    <t>2100, 635 - 8th Avenue SW</t>
  </si>
  <si>
    <t>11-NOV-16 07.26.32.000000000 AM</t>
  </si>
  <si>
    <t>Sydco Energy Inc.</t>
  </si>
  <si>
    <t>400 620 12 Ave SW</t>
  </si>
  <si>
    <t>T2R 0H5</t>
  </si>
  <si>
    <t>Taku Gas Ltd.</t>
  </si>
  <si>
    <t>450, 707 - 7th Avenue SW</t>
  </si>
  <si>
    <t>Tamarack Valley Energy Ltd.</t>
  </si>
  <si>
    <t>3100, 250 - 6th Ave SW</t>
  </si>
  <si>
    <t>Tangle Creek Energy Ltd.</t>
  </si>
  <si>
    <t>1400, 715 - 5th Avenue SW</t>
  </si>
  <si>
    <t>T2P 2X6</t>
  </si>
  <si>
    <t>03-NOV-16 05.50.32.000000000 PM</t>
  </si>
  <si>
    <t>TAQA North Ltd.</t>
  </si>
  <si>
    <t>2100, 308 - 4th Ave SW</t>
  </si>
  <si>
    <t>Teine Energy Ltd.</t>
  </si>
  <si>
    <t>2300, 520 - 3rd Avenue SW</t>
  </si>
  <si>
    <t>Tempco Drilling Company Inc.</t>
  </si>
  <si>
    <t>26-OCT-16 03.57.55.000000000 PM</t>
  </si>
  <si>
    <t>Term Oil Inc.</t>
  </si>
  <si>
    <t>2027 Edgar St</t>
  </si>
  <si>
    <t>S4N 3K5</t>
  </si>
  <si>
    <t>27-JUL-16 03.50.28.000000000 PM</t>
  </si>
  <si>
    <t>Tetonka Resources Inc.</t>
  </si>
  <si>
    <t>2600, 144 - 4th Avenue SW</t>
  </si>
  <si>
    <t>The Crossing Company Incorporated</t>
  </si>
  <si>
    <t>1807 8 Street</t>
  </si>
  <si>
    <t>T9E 7S8</t>
  </si>
  <si>
    <t>Thru Tubing Solutions</t>
  </si>
  <si>
    <t>1210, 540 5th Ave SW</t>
  </si>
  <si>
    <t>Todd Energy Canada Ltd.</t>
  </si>
  <si>
    <t>3100, 500 – 4th Ave SW</t>
  </si>
  <si>
    <t>TORC Oil &amp; Gas Ltd.</t>
  </si>
  <si>
    <t>1800, 525 - 8th Avenue SW</t>
  </si>
  <si>
    <t>Toro Oil and Gas Ltd.</t>
  </si>
  <si>
    <t>2200, 250 5th St SW</t>
  </si>
  <si>
    <t>Tourmaline Oil Corp.</t>
  </si>
  <si>
    <t>3700, 250 - 6th Avenue SW</t>
  </si>
  <si>
    <t>06-DEC-16 02.23.31.000000000 PM</t>
  </si>
  <si>
    <t>Town of Elrose</t>
  </si>
  <si>
    <t>400-441 5 Avenue SW</t>
  </si>
  <si>
    <t>T2P 2V1</t>
  </si>
  <si>
    <t>Treo Drilling Company LP</t>
  </si>
  <si>
    <t>26-OCT-16 03.59.20.000000000 PM</t>
  </si>
  <si>
    <t>Triland Energy Inc.</t>
  </si>
  <si>
    <t>1210-396 11 Avenue SW</t>
  </si>
  <si>
    <t>Trilogy Energy LP</t>
  </si>
  <si>
    <t>1400, 332 - 6th Avenue SW</t>
  </si>
  <si>
    <t>Trinidad Drilling Ltd.</t>
  </si>
  <si>
    <t>1000, 585 8th Ave SW</t>
  </si>
  <si>
    <t>01-SEP-16 03.36.29.000000000 PM</t>
  </si>
  <si>
    <t>Tristar Resource Management Ltd.</t>
  </si>
  <si>
    <t>800, 815 - 8th Avenue SW</t>
  </si>
  <si>
    <t>Tundra Oil &amp; Gas Partnership</t>
  </si>
  <si>
    <t>1700 - one Lombard Place</t>
  </si>
  <si>
    <t>Winnipeg</t>
  </si>
  <si>
    <t>R3B 0X3</t>
  </si>
  <si>
    <t>Turnstone Energy Inc.</t>
  </si>
  <si>
    <t>03-NOV-16 02.48.31.000000000 PM</t>
  </si>
  <si>
    <t>Tuscany Energy Ltd.</t>
  </si>
  <si>
    <t>1800, 633 - 6th Avenue SW</t>
  </si>
  <si>
    <t>Twilight Drilling Ltd.</t>
  </si>
  <si>
    <t>26-OCT-16 04.31.46.000000000 PM</t>
  </si>
  <si>
    <t>Twin Butte Energy Ltd.</t>
  </si>
  <si>
    <t>410, 396 - 11th Avenue SW</t>
  </si>
  <si>
    <t>UGR Blair Creek Ltd.</t>
  </si>
  <si>
    <t>700, 736 - 8th Avenue SW</t>
  </si>
  <si>
    <t>16-NOV-16 03.54.01.000000000 PM</t>
  </si>
  <si>
    <t>Vale Potash Canada Ltd.</t>
  </si>
  <si>
    <t>1874 Scarth St</t>
  </si>
  <si>
    <t>S4P 4B3</t>
  </si>
  <si>
    <t>Velvet Energy Ltd.</t>
  </si>
  <si>
    <t>Suite 1500, 308 - 4th Ave SW</t>
  </si>
  <si>
    <t>Ventura Resources Inc</t>
  </si>
  <si>
    <t>3300, 308 - 4th Avenue SW</t>
  </si>
  <si>
    <t>30-SEP-16 06.39.26.000000000 PM</t>
  </si>
  <si>
    <t>Venturion Oil Limited</t>
  </si>
  <si>
    <t>#1600, 500-4th Ave SW</t>
  </si>
  <si>
    <t>Vermilion Energy Trust</t>
  </si>
  <si>
    <t>Centennial Place
3500, 520 - 3rd Avenue SW</t>
  </si>
  <si>
    <t>Villanova 4 Oil Corp.</t>
  </si>
  <si>
    <t>Box 35</t>
  </si>
  <si>
    <t>Griffin</t>
  </si>
  <si>
    <t xml:space="preserve"> S0C 1G0</t>
  </si>
  <si>
    <t>27-OCT-16 10.56.31.000000000 AM</t>
  </si>
  <si>
    <t>Virginia Hills Oil Corp.</t>
  </si>
  <si>
    <t>1500, 202 - 6th Ave SW</t>
  </si>
  <si>
    <t>Vital Energy Inc.</t>
  </si>
  <si>
    <t>Suite 500, 940 - 6th Avenue SW</t>
  </si>
  <si>
    <t>T2P 3T1</t>
  </si>
  <si>
    <t>Vortex Drilling Ltd.</t>
  </si>
  <si>
    <t>26-OCT-16 04.31.28.000000000 PM</t>
  </si>
  <si>
    <t>WAJAX Power Systems</t>
  </si>
  <si>
    <t xml:space="preserve">4343-114 Avenue SE
</t>
  </si>
  <si>
    <t>T2Z 3M5</t>
  </si>
  <si>
    <t>Westbrick Energy Ltd.</t>
  </si>
  <si>
    <t>2500, 255 - 5th Ave SW</t>
  </si>
  <si>
    <t>27-OCT-16 11.12.01.000000000 AM</t>
  </si>
  <si>
    <t>Western Star North</t>
  </si>
  <si>
    <t>15205 - 112 Avenue NW</t>
  </si>
  <si>
    <t>T5M 2V7</t>
  </si>
  <si>
    <t>Western Union Petro (Canada) Technology Co. Ltd.</t>
  </si>
  <si>
    <t>Suite 115, BP Centre 240 - 4 Avenue SW</t>
  </si>
  <si>
    <t>Whitecap Resources Inc.</t>
  </si>
  <si>
    <t>3800, 525 - 8 Ave SW</t>
  </si>
  <si>
    <t>Wolf Coulee Resources Inc.</t>
  </si>
  <si>
    <t>2410, 500 - 4th Avenue SW</t>
  </si>
  <si>
    <t>WSP Canada Inc.</t>
  </si>
  <si>
    <t>5940 Macleod Trail SW, Suite 900</t>
  </si>
  <si>
    <t>T2H 2G4</t>
  </si>
  <si>
    <t>Wyatt Oil &amp; Gas Inc.</t>
  </si>
  <si>
    <t>XTO Energy Canada</t>
  </si>
  <si>
    <t>Suite 600, 321 6th Avenue SW</t>
  </si>
  <si>
    <t>T2P 3H3</t>
  </si>
  <si>
    <t>Xtreme Coil Drilling Corp.</t>
  </si>
  <si>
    <t>26-OCT-16 04.05.12.000000000 PM</t>
  </si>
  <si>
    <t>Yangarra Resources Ltd.</t>
  </si>
  <si>
    <t>1530, 715 - 5th Avenue SW</t>
  </si>
  <si>
    <t>Yoho Resources Partnership</t>
  </si>
  <si>
    <t>500, 521 - 3rd Avenue SW</t>
  </si>
  <si>
    <t>31-OCT-16 02.55.34.000000000 PM</t>
  </si>
  <si>
    <t>Zargon Oil &amp; Gas Ltd.</t>
  </si>
  <si>
    <t>700, 333 - 5th Avenue SW</t>
  </si>
  <si>
    <t>Added Client list for a drop down on Bulk Plant input</t>
  </si>
  <si>
    <t>Modified formatting on Unit # on Bulk Plant input page</t>
  </si>
  <si>
    <t>LDP-C-1616</t>
  </si>
  <si>
    <t>Addition of LDP-C-1616</t>
  </si>
  <si>
    <t>LDP-C-0117</t>
  </si>
  <si>
    <t>TBD</t>
  </si>
  <si>
    <t>Addition of LDP-C-0117</t>
  </si>
  <si>
    <t>LTR-3</t>
  </si>
  <si>
    <t>IIN037276</t>
  </si>
  <si>
    <t>CDM-6B</t>
  </si>
  <si>
    <t>SUPERLITEmix PRO HT</t>
  </si>
  <si>
    <t>Addition of SUPERLITEmix PRO HT</t>
  </si>
  <si>
    <t>iPrime (AB)</t>
  </si>
  <si>
    <t>iPrime (SK)</t>
  </si>
  <si>
    <t>iBond</t>
  </si>
  <si>
    <t xml:space="preserve">Change iBond  - </t>
  </si>
  <si>
    <t>Call Sheet #</t>
  </si>
  <si>
    <t>CDM-4</t>
  </si>
  <si>
    <t>IIN054779</t>
  </si>
  <si>
    <t>Update CDM-4 as Additive</t>
  </si>
  <si>
    <t>EA-1</t>
  </si>
  <si>
    <t>EA-3</t>
  </si>
  <si>
    <t>EXPANDOmix PRO HT</t>
  </si>
  <si>
    <t>EXPANDOmix PRO LT</t>
  </si>
  <si>
    <t>HGS 4K28</t>
  </si>
  <si>
    <t>GSS-1</t>
  </si>
  <si>
    <t>WWS-4L</t>
  </si>
  <si>
    <t>Last Updated: April 4, 2017</t>
  </si>
  <si>
    <t>PRODUCTIONmix LW</t>
  </si>
  <si>
    <t>Bag Size</t>
  </si>
  <si>
    <t># of Bags</t>
  </si>
  <si>
    <t>Bag Sizes</t>
  </si>
  <si>
    <t>Select Bag Size and the number of bags should be calculated</t>
  </si>
  <si>
    <t>Bag Size (kg)</t>
  </si>
  <si>
    <t>Min</t>
  </si>
  <si>
    <t>Max</t>
  </si>
  <si>
    <t>PRODUCTIONmix EC</t>
  </si>
  <si>
    <t>?</t>
  </si>
  <si>
    <t>SUPERLITEmix PRO (CDM-2)</t>
  </si>
  <si>
    <t>Double Click on Dropdown menu to use "Autofill" for Blends and Additives</t>
  </si>
  <si>
    <t>LITEmix EC</t>
  </si>
  <si>
    <t>PRODUCTIONmix EC (SK)</t>
  </si>
  <si>
    <t>SUPERLITEmix PRO</t>
  </si>
  <si>
    <t>LDP-C-0517</t>
  </si>
  <si>
    <t>THERMAmix PRO</t>
  </si>
  <si>
    <t>LDP-C-0417</t>
  </si>
  <si>
    <t>MCR-4</t>
  </si>
  <si>
    <t>ECOmix</t>
  </si>
  <si>
    <t>NA</t>
  </si>
  <si>
    <t>Ecomix</t>
  </si>
  <si>
    <t>IIN023076</t>
  </si>
  <si>
    <t>THERMAmix SLW</t>
  </si>
  <si>
    <t>SURFACEmix THX</t>
  </si>
  <si>
    <t>THERMAmix THX</t>
  </si>
  <si>
    <t>PRODUCTIONmix LW (SK)</t>
  </si>
  <si>
    <t>SUPERLITEmix 1100X</t>
  </si>
  <si>
    <t>SUPERLITEmix 1160X</t>
  </si>
  <si>
    <t>SUPERLITEmix PROX</t>
  </si>
  <si>
    <t>SURFACEmix LW PRO RD</t>
  </si>
  <si>
    <t>SURFACEmix LW PRO GP</t>
  </si>
  <si>
    <t>SURFACEmix LW PRO ED</t>
  </si>
  <si>
    <t>SURFACEmix LW PRO LLD</t>
  </si>
  <si>
    <t>PRODUCTIONmix HZ</t>
  </si>
  <si>
    <t>SUPERLITEmix 1160 C</t>
  </si>
  <si>
    <t>CDM-4X</t>
  </si>
  <si>
    <t>LDP-C-0518</t>
  </si>
  <si>
    <t>GCA-2</t>
  </si>
  <si>
    <t>SURFACEmix LW PRO</t>
  </si>
  <si>
    <t>SURFACEmix LW PRO (SK)</t>
  </si>
  <si>
    <t>EXPANDOmix PRO HT (SK)</t>
  </si>
  <si>
    <t>EXPANDOmix PRO LT (SK)</t>
  </si>
  <si>
    <t>Job Type</t>
  </si>
  <si>
    <t>JobTypeDescription</t>
  </si>
  <si>
    <t>SBS_PrimaryServiceLineID</t>
  </si>
  <si>
    <t>SBS_PrimaryServiceLine</t>
  </si>
  <si>
    <t>SBS_SecondaryServiceLineID</t>
  </si>
  <si>
    <t>SBS_SecondaryServiceLine</t>
  </si>
  <si>
    <t>Abrasive Jet</t>
  </si>
  <si>
    <t>Remedial</t>
  </si>
  <si>
    <t>SS101</t>
  </si>
  <si>
    <t>Remedial Cementing</t>
  </si>
  <si>
    <t>Abrasive Jet - Nitrified</t>
  </si>
  <si>
    <t>Acid Squeeze</t>
  </si>
  <si>
    <t>SS102</t>
  </si>
  <si>
    <t>Stimulation</t>
  </si>
  <si>
    <t>Acid Stimulation</t>
  </si>
  <si>
    <t>Acid Tubing Pickle</t>
  </si>
  <si>
    <t>Acid Wash</t>
  </si>
  <si>
    <t>Acidizing through Third Party Coil</t>
  </si>
  <si>
    <t>Batch Frac</t>
  </si>
  <si>
    <t>Bradenhead Squeeze</t>
  </si>
  <si>
    <t>Bull Head Squeeze</t>
  </si>
  <si>
    <t>Cement Top-Off</t>
  </si>
  <si>
    <t>Cementing</t>
  </si>
  <si>
    <t>SS100</t>
  </si>
  <si>
    <t>Primary Cementing</t>
  </si>
  <si>
    <t>Cementing through Third Party Coil</t>
  </si>
  <si>
    <t>Circulation Squeeze</t>
  </si>
  <si>
    <t>CO2 Squeeze</t>
  </si>
  <si>
    <t>Conductor Barrel</t>
  </si>
  <si>
    <t>Day Rate - Cementing</t>
  </si>
  <si>
    <t>SS250</t>
  </si>
  <si>
    <t>General</t>
  </si>
  <si>
    <t>Day Rate - Remedial Cementing</t>
  </si>
  <si>
    <t>Foamed Cement</t>
  </si>
  <si>
    <t>Foamed Cement Squeeze</t>
  </si>
  <si>
    <t>Incomplete - Cementing</t>
  </si>
  <si>
    <t>Incomplete - Remedial</t>
  </si>
  <si>
    <t>Inflate Packer</t>
  </si>
  <si>
    <t>Injection Test</t>
  </si>
  <si>
    <t>Intermediate Casing</t>
  </si>
  <si>
    <t>Liner Casing</t>
  </si>
  <si>
    <t>Loss Circ. Plugs</t>
  </si>
  <si>
    <t>Misc. Pumping - Primary</t>
  </si>
  <si>
    <t>Misc. Pumping - Remedial</t>
  </si>
  <si>
    <t>Nitrified Acid</t>
  </si>
  <si>
    <t>Pancake Surface</t>
  </si>
  <si>
    <t>Plugback Production</t>
  </si>
  <si>
    <t>Plugback Whipstock</t>
  </si>
  <si>
    <t>Product Sale - Cementing</t>
  </si>
  <si>
    <t>Product Sale - Remedial</t>
  </si>
  <si>
    <t>Production Casing</t>
  </si>
  <si>
    <t>Retainer Squeeze</t>
  </si>
  <si>
    <t>Selective Acid</t>
  </si>
  <si>
    <t>Slow Rate Bradenhead Squeeze</t>
  </si>
  <si>
    <t>Slow Rate Retainer Squeeze</t>
  </si>
  <si>
    <t>Slow Rate Squeeze</t>
  </si>
  <si>
    <t>Solvent Squeeze</t>
  </si>
  <si>
    <t>Standby - Cementing</t>
  </si>
  <si>
    <t>Standby - Remedial</t>
  </si>
  <si>
    <t>Standby - Stimulation</t>
  </si>
  <si>
    <t>Surface Casing</t>
  </si>
  <si>
    <t>Two-Stage Intermed.</t>
  </si>
  <si>
    <t>Two-Stage Production</t>
  </si>
  <si>
    <t>Two-Stage Surface</t>
  </si>
  <si>
    <t>Well Kill</t>
  </si>
  <si>
    <t>Well Stability Plug</t>
  </si>
  <si>
    <t>Whipstock Plugs</t>
  </si>
  <si>
    <t>Primary Abandonment Plug</t>
  </si>
  <si>
    <t>Remedial Abandonment Plug</t>
  </si>
  <si>
    <t>Abandonment Squeeze</t>
  </si>
  <si>
    <t>Acid Diverted</t>
  </si>
  <si>
    <t>Balanced Plug</t>
  </si>
  <si>
    <t>Product Sale - Acid</t>
  </si>
  <si>
    <t>Incomplete - Acid</t>
  </si>
  <si>
    <t>Day Rate - Acidizing</t>
  </si>
  <si>
    <t>Non-Cementatious Squeeze</t>
  </si>
  <si>
    <t>Non-Cementatious Plug</t>
  </si>
  <si>
    <t>Casing-in-Casing Remedial Cement</t>
  </si>
  <si>
    <t>Primary Service Line</t>
  </si>
  <si>
    <t>Job Type:</t>
  </si>
  <si>
    <t>Enter Job Type</t>
  </si>
  <si>
    <t>Call Sheet Number</t>
  </si>
  <si>
    <t>LITEmix PRO</t>
  </si>
  <si>
    <t>Sanseal Thermal</t>
  </si>
  <si>
    <t>Microfine Sil Flour</t>
  </si>
  <si>
    <t>FWC-3</t>
  </si>
  <si>
    <t>CFL-11</t>
  </si>
  <si>
    <t>IIN054876</t>
  </si>
  <si>
    <t>IIN054895</t>
  </si>
  <si>
    <t>IIN023132</t>
  </si>
  <si>
    <t>IIN054834</t>
  </si>
  <si>
    <t>IIN023079</t>
  </si>
  <si>
    <t>SURFACEmix LW PRO FSJ</t>
  </si>
  <si>
    <t>LDP-C-0119</t>
  </si>
  <si>
    <t>Version 2.8.66</t>
  </si>
  <si>
    <t>Cement Additive</t>
  </si>
  <si>
    <t>Bulk Density (g/mL)</t>
  </si>
  <si>
    <r>
      <t>CaCl</t>
    </r>
    <r>
      <rPr>
        <vertAlign val="subscript"/>
        <sz val="11"/>
        <color theme="1"/>
        <rFont val="Calibri"/>
        <family val="2"/>
        <scheme val="minor"/>
      </rPr>
      <t>2</t>
    </r>
  </si>
  <si>
    <t>WG-6P</t>
  </si>
  <si>
    <t>Volume (m3)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</si>
</sst>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0.000"/>
    <numFmt numFmtId="166" formatCode="0.0000"/>
    <numFmt numFmtId="167" formatCode="0.0"/>
    <numFmt numFmtId="168" formatCode="0.00000"/>
    <numFmt numFmtId="169" formatCode="[$-409]mmmm\ d\,\ yyyy;@"/>
    <numFmt numFmtId="170" formatCode="_(* #,##0.0_);_(* \(#,##0.0\);_(* &quot;-&quot;??_);_(@_)"/>
    <numFmt numFmtId="171" formatCode="[$-409]d\-mmm\-yyyy;@"/>
    <numFmt numFmtId="172" formatCode="[$-409]d\-mmm;@"/>
    <numFmt numFmtId="173" formatCode="&quot;$&quot;#,##0.00"/>
  </numFmts>
  <fonts count="1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24"/>
      <color theme="9"/>
      <name val="Arial"/>
      <family val="2"/>
    </font>
    <font>
      <b/>
      <sz val="24"/>
      <color theme="9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2"/>
      <name val="Calibri"/>
      <family val="2"/>
    </font>
    <font>
      <b/>
      <u/>
      <sz val="12"/>
      <color rgb="FF000000"/>
      <name val="Arial"/>
      <family val="2"/>
    </font>
    <font>
      <b/>
      <u/>
      <sz val="12"/>
      <color rgb="FF000000"/>
      <name val="Times New Roman"/>
      <family val="1"/>
    </font>
    <font>
      <sz val="10"/>
      <color rgb="FF000000"/>
      <name val="Arial"/>
      <family val="2"/>
    </font>
    <font>
      <b/>
      <sz val="9"/>
      <name val="Calibri"/>
      <family val="2"/>
    </font>
    <font>
      <sz val="8"/>
      <name val="Arial"/>
      <family val="2"/>
    </font>
    <font>
      <sz val="8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Calibri"/>
      <family val="2"/>
    </font>
    <font>
      <b/>
      <sz val="14"/>
      <name val="Calibri"/>
      <family val="2"/>
    </font>
    <font>
      <sz val="12"/>
      <color theme="1"/>
      <name val="Calibri"/>
      <family val="2"/>
    </font>
    <font>
      <b/>
      <sz val="28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indexed="8"/>
      <name val="Arial"/>
      <family val="2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  <scheme val="minor"/>
    </font>
    <font>
      <b/>
      <sz val="11"/>
      <color theme="0"/>
      <name val="Arial"/>
      <family val="2"/>
    </font>
    <font>
      <b/>
      <sz val="18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24"/>
      <name val="Calibri"/>
      <family val="2"/>
      <scheme val="minor"/>
    </font>
    <font>
      <b/>
      <sz val="18"/>
      <color rgb="FFFFFF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2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1"/>
      <color indexed="9"/>
      <name val="Arial"/>
      <family val="2"/>
    </font>
    <font>
      <b/>
      <sz val="16"/>
      <color rgb="FFFF0000"/>
      <name val="Arial"/>
      <family val="2"/>
    </font>
    <font>
      <b/>
      <sz val="12"/>
      <color rgb="FFFFFF00"/>
      <name val="Arial"/>
      <family val="2"/>
    </font>
    <font>
      <b/>
      <sz val="10"/>
      <color theme="0"/>
      <name val="Arial"/>
      <family val="2"/>
    </font>
    <font>
      <sz val="20"/>
      <name val="Arial"/>
      <family val="2"/>
    </font>
    <font>
      <b/>
      <sz val="20"/>
      <color rgb="FFFF0000"/>
      <name val="Arial"/>
      <family val="2"/>
    </font>
    <font>
      <b/>
      <sz val="10"/>
      <color indexed="9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4"/>
      <color rgb="FFFF0000"/>
      <name val="Arial"/>
      <family val="2"/>
    </font>
    <font>
      <sz val="10"/>
      <color rgb="FF92D050"/>
      <name val="Arial"/>
      <family val="2"/>
    </font>
    <font>
      <b/>
      <sz val="10"/>
      <color indexed="48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rgb="FFFF000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sz val="12"/>
      <color rgb="FF92D050"/>
      <name val="Arial"/>
      <family val="2"/>
    </font>
    <font>
      <b/>
      <u/>
      <sz val="12"/>
      <color rgb="FF92D050"/>
      <name val="Arial"/>
      <family val="2"/>
    </font>
    <font>
      <b/>
      <sz val="12"/>
      <color indexed="48"/>
      <name val="Arial"/>
      <family val="2"/>
    </font>
    <font>
      <b/>
      <sz val="10"/>
      <color rgb="FFFF0000"/>
      <name val="Arial"/>
      <family val="2"/>
    </font>
    <font>
      <vertAlign val="subscript"/>
      <sz val="11"/>
      <color theme="1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1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/>
      <bottom style="dashed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803">
    <xf numFmtId="0" fontId="0" fillId="0" borderId="0"/>
    <xf numFmtId="0" fontId="3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4" fillId="0" borderId="0"/>
    <xf numFmtId="0" fontId="5" fillId="0" borderId="0"/>
    <xf numFmtId="0" fontId="5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7" fillId="0" borderId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  <xf numFmtId="0" fontId="36" fillId="0" borderId="0" applyNumberFormat="0" applyFill="0" applyBorder="0" applyAlignment="0" applyProtection="0"/>
    <xf numFmtId="0" fontId="37" fillId="0" borderId="71" applyNumberFormat="0" applyFill="0" applyAlignment="0" applyProtection="0"/>
    <xf numFmtId="0" fontId="38" fillId="0" borderId="72" applyNumberFormat="0" applyFill="0" applyAlignment="0" applyProtection="0"/>
    <xf numFmtId="0" fontId="39" fillId="0" borderId="73" applyNumberFormat="0" applyFill="0" applyAlignment="0" applyProtection="0"/>
    <xf numFmtId="0" fontId="39" fillId="0" borderId="0" applyNumberFormat="0" applyFill="0" applyBorder="0" applyAlignment="0" applyProtection="0"/>
    <xf numFmtId="0" fontId="40" fillId="9" borderId="0" applyNumberFormat="0" applyBorder="0" applyAlignment="0" applyProtection="0"/>
    <xf numFmtId="0" fontId="41" fillId="10" borderId="0" applyNumberFormat="0" applyBorder="0" applyAlignment="0" applyProtection="0"/>
    <xf numFmtId="0" fontId="42" fillId="11" borderId="0" applyNumberFormat="0" applyBorder="0" applyAlignment="0" applyProtection="0"/>
    <xf numFmtId="0" fontId="43" fillId="12" borderId="74" applyNumberFormat="0" applyAlignment="0" applyProtection="0"/>
    <xf numFmtId="0" fontId="44" fillId="13" borderId="75" applyNumberFormat="0" applyAlignment="0" applyProtection="0"/>
    <xf numFmtId="0" fontId="45" fillId="13" borderId="74" applyNumberFormat="0" applyAlignment="0" applyProtection="0"/>
    <xf numFmtId="0" fontId="46" fillId="0" borderId="76" applyNumberFormat="0" applyFill="0" applyAlignment="0" applyProtection="0"/>
    <xf numFmtId="0" fontId="9" fillId="14" borderId="77" applyNumberFormat="0" applyAlignment="0" applyProtection="0"/>
    <xf numFmtId="0" fontId="47" fillId="0" borderId="0" applyNumberFormat="0" applyFill="0" applyBorder="0" applyAlignment="0" applyProtection="0"/>
    <xf numFmtId="0" fontId="1" fillId="15" borderId="78" applyNumberFormat="0" applyFont="0" applyAlignment="0" applyProtection="0"/>
    <xf numFmtId="0" fontId="48" fillId="0" borderId="0" applyNumberFormat="0" applyFill="0" applyBorder="0" applyAlignment="0" applyProtection="0"/>
    <xf numFmtId="0" fontId="2" fillId="0" borderId="79" applyNumberFormat="0" applyFill="0" applyAlignment="0" applyProtection="0"/>
    <xf numFmtId="0" fontId="12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2" fillId="39" borderId="0" applyNumberFormat="0" applyBorder="0" applyAlignment="0" applyProtection="0"/>
    <xf numFmtId="0" fontId="4" fillId="0" borderId="0"/>
    <xf numFmtId="0" fontId="4" fillId="0" borderId="0"/>
    <xf numFmtId="44" fontId="49" fillId="0" borderId="0" applyFont="0" applyFill="0" applyBorder="0" applyAlignment="0" applyProtection="0">
      <alignment vertical="top"/>
    </xf>
    <xf numFmtId="44" fontId="49" fillId="0" borderId="0" applyFont="0" applyFill="0" applyBorder="0" applyAlignment="0" applyProtection="0">
      <alignment vertical="top"/>
    </xf>
    <xf numFmtId="44" fontId="49" fillId="0" borderId="0" applyFont="0" applyFill="0" applyBorder="0" applyAlignment="0" applyProtection="0">
      <alignment vertical="top"/>
    </xf>
    <xf numFmtId="44" fontId="49" fillId="0" borderId="0" applyFont="0" applyFill="0" applyBorder="0" applyAlignment="0" applyProtection="0">
      <alignment vertical="top"/>
    </xf>
    <xf numFmtId="0" fontId="50" fillId="0" borderId="0"/>
    <xf numFmtId="0" fontId="49" fillId="0" borderId="0">
      <alignment vertical="top"/>
    </xf>
    <xf numFmtId="0" fontId="49" fillId="0" borderId="0">
      <alignment vertical="top"/>
    </xf>
    <xf numFmtId="0" fontId="49" fillId="0" borderId="0">
      <alignment vertical="top"/>
    </xf>
    <xf numFmtId="0" fontId="49" fillId="0" borderId="0">
      <alignment vertical="top"/>
    </xf>
    <xf numFmtId="0" fontId="49" fillId="0" borderId="0">
      <alignment vertical="top"/>
    </xf>
    <xf numFmtId="0" fontId="4" fillId="0" borderId="0"/>
    <xf numFmtId="0" fontId="4" fillId="0" borderId="0"/>
    <xf numFmtId="0" fontId="4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4" fillId="0" borderId="0"/>
    <xf numFmtId="0" fontId="5" fillId="0" borderId="0"/>
    <xf numFmtId="0" fontId="51" fillId="40" borderId="0" applyNumberFormat="0" applyBorder="0" applyAlignment="0" applyProtection="0"/>
    <xf numFmtId="0" fontId="51" fillId="41" borderId="0" applyNumberFormat="0" applyBorder="0" applyAlignment="0" applyProtection="0"/>
    <xf numFmtId="0" fontId="51" fillId="42" borderId="0" applyNumberFormat="0" applyBorder="0" applyAlignment="0" applyProtection="0"/>
    <xf numFmtId="0" fontId="51" fillId="43" borderId="0" applyNumberFormat="0" applyBorder="0" applyAlignment="0" applyProtection="0"/>
    <xf numFmtId="0" fontId="51" fillId="44" borderId="0" applyNumberFormat="0" applyBorder="0" applyAlignment="0" applyProtection="0"/>
    <xf numFmtId="0" fontId="51" fillId="45" borderId="0" applyNumberFormat="0" applyBorder="0" applyAlignment="0" applyProtection="0"/>
    <xf numFmtId="0" fontId="51" fillId="46" borderId="0" applyNumberFormat="0" applyBorder="0" applyAlignment="0" applyProtection="0"/>
    <xf numFmtId="0" fontId="51" fillId="47" borderId="0" applyNumberFormat="0" applyBorder="0" applyAlignment="0" applyProtection="0"/>
    <xf numFmtId="0" fontId="51" fillId="48" borderId="0" applyNumberFormat="0" applyBorder="0" applyAlignment="0" applyProtection="0"/>
    <xf numFmtId="0" fontId="51" fillId="43" borderId="0" applyNumberFormat="0" applyBorder="0" applyAlignment="0" applyProtection="0"/>
    <xf numFmtId="0" fontId="51" fillId="46" borderId="0" applyNumberFormat="0" applyBorder="0" applyAlignment="0" applyProtection="0"/>
    <xf numFmtId="0" fontId="51" fillId="49" borderId="0" applyNumberFormat="0" applyBorder="0" applyAlignment="0" applyProtection="0"/>
    <xf numFmtId="0" fontId="52" fillId="50" borderId="0" applyNumberFormat="0" applyBorder="0" applyAlignment="0" applyProtection="0"/>
    <xf numFmtId="0" fontId="52" fillId="47" borderId="0" applyNumberFormat="0" applyBorder="0" applyAlignment="0" applyProtection="0"/>
    <xf numFmtId="0" fontId="52" fillId="48" borderId="0" applyNumberFormat="0" applyBorder="0" applyAlignment="0" applyProtection="0"/>
    <xf numFmtId="0" fontId="52" fillId="51" borderId="0" applyNumberFormat="0" applyBorder="0" applyAlignment="0" applyProtection="0"/>
    <xf numFmtId="0" fontId="52" fillId="52" borderId="0" applyNumberFormat="0" applyBorder="0" applyAlignment="0" applyProtection="0"/>
    <xf numFmtId="0" fontId="52" fillId="53" borderId="0" applyNumberFormat="0" applyBorder="0" applyAlignment="0" applyProtection="0"/>
    <xf numFmtId="0" fontId="52" fillId="54" borderId="0" applyNumberFormat="0" applyBorder="0" applyAlignment="0" applyProtection="0"/>
    <xf numFmtId="0" fontId="52" fillId="55" borderId="0" applyNumberFormat="0" applyBorder="0" applyAlignment="0" applyProtection="0"/>
    <xf numFmtId="0" fontId="52" fillId="56" borderId="0" applyNumberFormat="0" applyBorder="0" applyAlignment="0" applyProtection="0"/>
    <xf numFmtId="0" fontId="52" fillId="51" borderId="0" applyNumberFormat="0" applyBorder="0" applyAlignment="0" applyProtection="0"/>
    <xf numFmtId="0" fontId="52" fillId="52" borderId="0" applyNumberFormat="0" applyBorder="0" applyAlignment="0" applyProtection="0"/>
    <xf numFmtId="0" fontId="52" fillId="57" borderId="0" applyNumberFormat="0" applyBorder="0" applyAlignment="0" applyProtection="0"/>
    <xf numFmtId="0" fontId="53" fillId="41" borderId="0" applyNumberFormat="0" applyBorder="0" applyAlignment="0" applyProtection="0"/>
    <xf numFmtId="0" fontId="54" fillId="58" borderId="80" applyNumberFormat="0" applyAlignment="0" applyProtection="0"/>
    <xf numFmtId="0" fontId="54" fillId="58" borderId="80" applyNumberFormat="0" applyAlignment="0" applyProtection="0"/>
    <xf numFmtId="0" fontId="54" fillId="58" borderId="80" applyNumberFormat="0" applyAlignment="0" applyProtection="0"/>
    <xf numFmtId="0" fontId="54" fillId="58" borderId="80" applyNumberFormat="0" applyAlignment="0" applyProtection="0"/>
    <xf numFmtId="0" fontId="55" fillId="59" borderId="81" applyNumberFormat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9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9" fillId="0" borderId="0" applyFont="0" applyFill="0" applyBorder="0" applyAlignment="0" applyProtection="0">
      <alignment vertical="top"/>
    </xf>
    <xf numFmtId="44" fontId="49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9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7" fillId="42" borderId="0" applyNumberFormat="0" applyBorder="0" applyAlignment="0" applyProtection="0"/>
    <xf numFmtId="0" fontId="58" fillId="0" borderId="82" applyNumberFormat="0" applyFill="0" applyAlignment="0" applyProtection="0"/>
    <xf numFmtId="0" fontId="59" fillId="0" borderId="83" applyNumberFormat="0" applyFill="0" applyAlignment="0" applyProtection="0"/>
    <xf numFmtId="0" fontId="60" fillId="0" borderId="84" applyNumberFormat="0" applyFill="0" applyAlignment="0" applyProtection="0"/>
    <xf numFmtId="0" fontId="60" fillId="0" borderId="0" applyNumberFormat="0" applyFill="0" applyBorder="0" applyAlignment="0" applyProtection="0"/>
    <xf numFmtId="0" fontId="61" fillId="0" borderId="0" applyNumberFormat="0" applyFill="0" applyBorder="0" applyAlignment="0" applyProtection="0">
      <alignment vertical="top"/>
      <protection locked="0"/>
    </xf>
    <xf numFmtId="0" fontId="62" fillId="45" borderId="80" applyNumberFormat="0" applyAlignment="0" applyProtection="0"/>
    <xf numFmtId="0" fontId="62" fillId="45" borderId="80" applyNumberFormat="0" applyAlignment="0" applyProtection="0"/>
    <xf numFmtId="0" fontId="62" fillId="45" borderId="80" applyNumberFormat="0" applyAlignment="0" applyProtection="0"/>
    <xf numFmtId="0" fontId="62" fillId="45" borderId="80" applyNumberFormat="0" applyAlignment="0" applyProtection="0"/>
    <xf numFmtId="0" fontId="63" fillId="0" borderId="85" applyNumberFormat="0" applyFill="0" applyAlignment="0" applyProtection="0"/>
    <xf numFmtId="0" fontId="64" fillId="60" borderId="0" applyNumberFormat="0" applyBorder="0" applyAlignment="0" applyProtection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0" fontId="4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9" fillId="0" borderId="0">
      <alignment vertical="top"/>
    </xf>
    <xf numFmtId="0" fontId="49" fillId="0" borderId="0">
      <alignment vertical="top"/>
    </xf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4" fillId="61" borderId="86" applyNumberFormat="0" applyFont="0" applyAlignment="0" applyProtection="0"/>
    <xf numFmtId="0" fontId="65" fillId="58" borderId="87" applyNumberFormat="0" applyAlignment="0" applyProtection="0"/>
    <xf numFmtId="0" fontId="65" fillId="58" borderId="87" applyNumberFormat="0" applyAlignment="0" applyProtection="0"/>
    <xf numFmtId="0" fontId="65" fillId="58" borderId="87" applyNumberFormat="0" applyAlignment="0" applyProtection="0"/>
    <xf numFmtId="0" fontId="65" fillId="58" borderId="87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62" borderId="88">
      <alignment horizontal="center" wrapText="1"/>
    </xf>
    <xf numFmtId="173" fontId="2" fillId="63" borderId="89" applyFill="0" applyAlignment="0">
      <alignment horizontal="center" vertical="center"/>
    </xf>
    <xf numFmtId="0" fontId="66" fillId="0" borderId="0" applyNumberFormat="0" applyFill="0" applyBorder="0" applyAlignment="0" applyProtection="0"/>
    <xf numFmtId="0" fontId="67" fillId="0" borderId="90" applyNumberFormat="0" applyFill="0" applyAlignment="0" applyProtection="0"/>
    <xf numFmtId="0" fontId="67" fillId="0" borderId="90" applyNumberFormat="0" applyFill="0" applyAlignment="0" applyProtection="0"/>
    <xf numFmtId="0" fontId="67" fillId="0" borderId="90" applyNumberFormat="0" applyFill="0" applyAlignment="0" applyProtection="0"/>
    <xf numFmtId="0" fontId="67" fillId="0" borderId="90" applyNumberFormat="0" applyFill="0" applyAlignment="0" applyProtection="0"/>
    <xf numFmtId="0" fontId="68" fillId="0" borderId="0" applyNumberFormat="0" applyFill="0" applyBorder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4" fillId="61" borderId="91" applyNumberFormat="0" applyFont="0" applyAlignment="0" applyProtection="0"/>
    <xf numFmtId="0" fontId="65" fillId="58" borderId="92" applyNumberFormat="0" applyAlignment="0" applyProtection="0"/>
    <xf numFmtId="0" fontId="65" fillId="58" borderId="92" applyNumberFormat="0" applyAlignment="0" applyProtection="0"/>
    <xf numFmtId="0" fontId="65" fillId="58" borderId="92" applyNumberFormat="0" applyAlignment="0" applyProtection="0"/>
    <xf numFmtId="0" fontId="65" fillId="58" borderId="92" applyNumberFormat="0" applyAlignment="0" applyProtection="0"/>
    <xf numFmtId="0" fontId="67" fillId="0" borderId="93" applyNumberFormat="0" applyFill="0" applyAlignment="0" applyProtection="0"/>
    <xf numFmtId="0" fontId="67" fillId="0" borderId="93" applyNumberFormat="0" applyFill="0" applyAlignment="0" applyProtection="0"/>
    <xf numFmtId="0" fontId="67" fillId="0" borderId="93" applyNumberFormat="0" applyFill="0" applyAlignment="0" applyProtection="0"/>
    <xf numFmtId="0" fontId="67" fillId="0" borderId="93" applyNumberFormat="0" applyFill="0" applyAlignment="0" applyProtection="0"/>
    <xf numFmtId="0" fontId="67" fillId="0" borderId="97" applyNumberFormat="0" applyFill="0" applyAlignment="0" applyProtection="0"/>
    <xf numFmtId="0" fontId="67" fillId="0" borderId="97" applyNumberFormat="0" applyFill="0" applyAlignment="0" applyProtection="0"/>
    <xf numFmtId="0" fontId="67" fillId="0" borderId="97" applyNumberFormat="0" applyFill="0" applyAlignment="0" applyProtection="0"/>
    <xf numFmtId="0" fontId="67" fillId="0" borderId="97" applyNumberFormat="0" applyFill="0" applyAlignment="0" applyProtection="0"/>
    <xf numFmtId="0" fontId="54" fillId="58" borderId="98" applyNumberFormat="0" applyAlignment="0" applyProtection="0"/>
    <xf numFmtId="0" fontId="54" fillId="58" borderId="98" applyNumberFormat="0" applyAlignment="0" applyProtection="0"/>
    <xf numFmtId="0" fontId="54" fillId="58" borderId="98" applyNumberFormat="0" applyAlignment="0" applyProtection="0"/>
    <xf numFmtId="0" fontId="54" fillId="58" borderId="98" applyNumberFormat="0" applyAlignment="0" applyProtection="0"/>
    <xf numFmtId="0" fontId="65" fillId="58" borderId="103" applyNumberFormat="0" applyAlignment="0" applyProtection="0"/>
    <xf numFmtId="0" fontId="65" fillId="58" borderId="103" applyNumberFormat="0" applyAlignment="0" applyProtection="0"/>
    <xf numFmtId="0" fontId="65" fillId="58" borderId="103" applyNumberFormat="0" applyAlignment="0" applyProtection="0"/>
    <xf numFmtId="0" fontId="65" fillId="58" borderId="103" applyNumberFormat="0" applyAlignment="0" applyProtection="0"/>
    <xf numFmtId="0" fontId="65" fillId="58" borderId="96" applyNumberFormat="0" applyAlignment="0" applyProtection="0"/>
    <xf numFmtId="0" fontId="65" fillId="58" borderId="96" applyNumberFormat="0" applyAlignment="0" applyProtection="0"/>
    <xf numFmtId="0" fontId="65" fillId="58" borderId="96" applyNumberFormat="0" applyAlignment="0" applyProtection="0"/>
    <xf numFmtId="0" fontId="65" fillId="58" borderId="96" applyNumberForma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4" fillId="61" borderId="95" applyNumberFormat="0" applyFont="0" applyAlignment="0" applyProtection="0"/>
    <xf numFmtId="0" fontId="62" fillId="45" borderId="109" applyNumberFormat="0" applyAlignment="0" applyProtection="0"/>
    <xf numFmtId="0" fontId="62" fillId="45" borderId="109" applyNumberFormat="0" applyAlignment="0" applyProtection="0"/>
    <xf numFmtId="0" fontId="62" fillId="45" borderId="109" applyNumberFormat="0" applyAlignment="0" applyProtection="0"/>
    <xf numFmtId="0" fontId="62" fillId="45" borderId="109" applyNumberFormat="0" applyAlignment="0" applyProtection="0"/>
    <xf numFmtId="0" fontId="62" fillId="45" borderId="105" applyNumberFormat="0" applyAlignment="0" applyProtection="0"/>
    <xf numFmtId="0" fontId="62" fillId="45" borderId="105" applyNumberFormat="0" applyAlignment="0" applyProtection="0"/>
    <xf numFmtId="0" fontId="62" fillId="45" borderId="105" applyNumberFormat="0" applyAlignment="0" applyProtection="0"/>
    <xf numFmtId="0" fontId="62" fillId="45" borderId="105" applyNumberFormat="0" applyAlignment="0" applyProtection="0"/>
    <xf numFmtId="0" fontId="62" fillId="45" borderId="98" applyNumberFormat="0" applyAlignment="0" applyProtection="0"/>
    <xf numFmtId="0" fontId="62" fillId="45" borderId="98" applyNumberFormat="0" applyAlignment="0" applyProtection="0"/>
    <xf numFmtId="0" fontId="62" fillId="45" borderId="98" applyNumberFormat="0" applyAlignment="0" applyProtection="0"/>
    <xf numFmtId="0" fontId="62" fillId="45" borderId="98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02" applyNumberFormat="0" applyAlignment="0" applyProtection="0"/>
    <xf numFmtId="0" fontId="62" fillId="45" borderId="94" applyNumberFormat="0" applyAlignment="0" applyProtection="0"/>
    <xf numFmtId="0" fontId="62" fillId="45" borderId="94" applyNumberFormat="0" applyAlignment="0" applyProtection="0"/>
    <xf numFmtId="0" fontId="62" fillId="45" borderId="94" applyNumberFormat="0" applyAlignment="0" applyProtection="0"/>
    <xf numFmtId="0" fontId="62" fillId="45" borderId="94" applyNumberFormat="0" applyAlignment="0" applyProtection="0"/>
    <xf numFmtId="0" fontId="62" fillId="45" borderId="102" applyNumberFormat="0" applyAlignment="0" applyProtection="0"/>
    <xf numFmtId="0" fontId="62" fillId="45" borderId="102" applyNumberForma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4" fillId="61" borderId="99" applyNumberFormat="0" applyFont="0" applyAlignment="0" applyProtection="0"/>
    <xf numFmtId="0" fontId="65" fillId="58" borderId="100" applyNumberFormat="0" applyAlignment="0" applyProtection="0"/>
    <xf numFmtId="0" fontId="65" fillId="58" borderId="100" applyNumberFormat="0" applyAlignment="0" applyProtection="0"/>
    <xf numFmtId="0" fontId="65" fillId="58" borderId="100" applyNumberFormat="0" applyAlignment="0" applyProtection="0"/>
    <xf numFmtId="0" fontId="65" fillId="58" borderId="100" applyNumberFormat="0" applyAlignment="0" applyProtection="0"/>
    <xf numFmtId="0" fontId="65" fillId="58" borderId="107" applyNumberFormat="0" applyAlignment="0" applyProtection="0"/>
    <xf numFmtId="0" fontId="65" fillId="58" borderId="107" applyNumberFormat="0" applyAlignment="0" applyProtection="0"/>
    <xf numFmtId="0" fontId="65" fillId="58" borderId="107" applyNumberFormat="0" applyAlignment="0" applyProtection="0"/>
    <xf numFmtId="0" fontId="54" fillId="58" borderId="94" applyNumberFormat="0" applyAlignment="0" applyProtection="0"/>
    <xf numFmtId="0" fontId="54" fillId="58" borderId="94" applyNumberFormat="0" applyAlignment="0" applyProtection="0"/>
    <xf numFmtId="0" fontId="54" fillId="58" borderId="94" applyNumberFormat="0" applyAlignment="0" applyProtection="0"/>
    <xf numFmtId="0" fontId="54" fillId="58" borderId="94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62" fillId="45" borderId="102" applyNumberFormat="0" applyAlignment="0" applyProtection="0"/>
    <xf numFmtId="0" fontId="4" fillId="61" borderId="106" applyNumberFormat="0" applyFont="0" applyAlignment="0" applyProtection="0"/>
    <xf numFmtId="0" fontId="54" fillId="58" borderId="102" applyNumberFormat="0" applyAlignment="0" applyProtection="0"/>
    <xf numFmtId="0" fontId="54" fillId="58" borderId="102" applyNumberFormat="0" applyAlignment="0" applyProtection="0"/>
    <xf numFmtId="0" fontId="54" fillId="58" borderId="102" applyNumberFormat="0" applyAlignment="0" applyProtection="0"/>
    <xf numFmtId="0" fontId="54" fillId="58" borderId="102" applyNumberFormat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01" applyNumberFormat="0" applyFill="0" applyAlignment="0" applyProtection="0"/>
    <xf numFmtId="0" fontId="67" fillId="0" borderId="101" applyNumberFormat="0" applyFill="0" applyAlignment="0" applyProtection="0"/>
    <xf numFmtId="0" fontId="67" fillId="0" borderId="101" applyNumberFormat="0" applyFill="0" applyAlignment="0" applyProtection="0"/>
    <xf numFmtId="0" fontId="67" fillId="0" borderId="101" applyNumberFormat="0" applyFill="0" applyAlignment="0" applyProtection="0"/>
    <xf numFmtId="0" fontId="65" fillId="58" borderId="107" applyNumberFormat="0" applyAlignment="0" applyProtection="0"/>
    <xf numFmtId="0" fontId="54" fillId="58" borderId="105" applyNumberFormat="0" applyAlignment="0" applyProtection="0"/>
    <xf numFmtId="0" fontId="54" fillId="58" borderId="105" applyNumberFormat="0" applyAlignment="0" applyProtection="0"/>
    <xf numFmtId="0" fontId="54" fillId="58" borderId="105" applyNumberFormat="0" applyAlignment="0" applyProtection="0"/>
    <xf numFmtId="0" fontId="54" fillId="58" borderId="105" applyNumberFormat="0" applyAlignment="0" applyProtection="0"/>
    <xf numFmtId="0" fontId="67" fillId="0" borderId="104" applyNumberFormat="0" applyFill="0" applyAlignment="0" applyProtection="0"/>
    <xf numFmtId="0" fontId="67" fillId="0" borderId="104" applyNumberFormat="0" applyFill="0" applyAlignment="0" applyProtection="0"/>
    <xf numFmtId="0" fontId="67" fillId="0" borderId="104" applyNumberFormat="0" applyFill="0" applyAlignment="0" applyProtection="0"/>
    <xf numFmtId="0" fontId="67" fillId="0" borderId="104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08" applyNumberFormat="0" applyFill="0" applyAlignment="0" applyProtection="0"/>
    <xf numFmtId="0" fontId="67" fillId="0" borderId="108" applyNumberFormat="0" applyFill="0" applyAlignment="0" applyProtection="0"/>
    <xf numFmtId="0" fontId="67" fillId="0" borderId="108" applyNumberFormat="0" applyFill="0" applyAlignment="0" applyProtection="0"/>
    <xf numFmtId="0" fontId="67" fillId="0" borderId="108" applyNumberFormat="0" applyFill="0" applyAlignment="0" applyProtection="0"/>
    <xf numFmtId="0" fontId="54" fillId="58" borderId="109" applyNumberFormat="0" applyAlignment="0" applyProtection="0"/>
    <xf numFmtId="0" fontId="54" fillId="58" borderId="109" applyNumberFormat="0" applyAlignment="0" applyProtection="0"/>
    <xf numFmtId="0" fontId="54" fillId="58" borderId="109" applyNumberFormat="0" applyAlignment="0" applyProtection="0"/>
    <xf numFmtId="0" fontId="54" fillId="58" borderId="109" applyNumberForma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62" fillId="45" borderId="113" applyNumberForma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4" fillId="61" borderId="110" applyNumberFormat="0" applyFon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65" fillId="58" borderId="111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62" fillId="45" borderId="113" applyNumberFormat="0" applyAlignment="0" applyProtection="0"/>
    <xf numFmtId="0" fontId="4" fillId="61" borderId="110" applyNumberFormat="0" applyFon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5" fillId="58" borderId="111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67" fillId="0" borderId="112" applyNumberFormat="0" applyFill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  <xf numFmtId="0" fontId="54" fillId="58" borderId="113" applyNumberFormat="0" applyAlignment="0" applyProtection="0"/>
  </cellStyleXfs>
  <cellXfs count="529">
    <xf numFmtId="0" fontId="0" fillId="0" borderId="0" xfId="0"/>
    <xf numFmtId="0" fontId="0" fillId="0" borderId="0" xfId="0" applyAlignment="1">
      <alignment horizontal="center"/>
    </xf>
    <xf numFmtId="0" fontId="6" fillId="0" borderId="4" xfId="1" applyFont="1" applyBorder="1" applyAlignment="1">
      <alignment horizontal="center"/>
    </xf>
    <xf numFmtId="49" fontId="6" fillId="0" borderId="4" xfId="1" applyNumberFormat="1" applyFont="1" applyBorder="1" applyAlignment="1">
      <alignment horizontal="center"/>
    </xf>
    <xf numFmtId="49" fontId="6" fillId="0" borderId="4" xfId="1" applyNumberFormat="1" applyFont="1" applyBorder="1" applyAlignment="1">
      <alignment horizontal="center" wrapText="1"/>
    </xf>
    <xf numFmtId="0" fontId="4" fillId="0" borderId="4" xfId="1" applyFont="1" applyBorder="1" applyAlignment="1">
      <alignment horizontal="center"/>
    </xf>
    <xf numFmtId="1" fontId="3" fillId="0" borderId="4" xfId="1" applyNumberFormat="1" applyBorder="1" applyAlignment="1">
      <alignment horizontal="center"/>
    </xf>
    <xf numFmtId="165" fontId="3" fillId="0" borderId="4" xfId="1" applyNumberFormat="1" applyBorder="1" applyAlignment="1">
      <alignment horizontal="center"/>
    </xf>
    <xf numFmtId="0" fontId="3" fillId="0" borderId="4" xfId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4" xfId="0" applyBorder="1"/>
    <xf numFmtId="0" fontId="4" fillId="0" borderId="4" xfId="36" applyBorder="1" applyProtection="1">
      <protection locked="0"/>
    </xf>
    <xf numFmtId="0" fontId="2" fillId="0" borderId="4" xfId="0" applyFont="1" applyBorder="1" applyAlignment="1">
      <alignment horizontal="center"/>
    </xf>
    <xf numFmtId="0" fontId="2" fillId="0" borderId="0" xfId="0" applyFont="1"/>
    <xf numFmtId="0" fontId="5" fillId="0" borderId="0" xfId="34" applyAlignment="1">
      <alignment horizontal="left"/>
    </xf>
    <xf numFmtId="0" fontId="0" fillId="0" borderId="4" xfId="0" applyBorder="1" applyAlignment="1">
      <alignment horizontal="center"/>
    </xf>
    <xf numFmtId="15" fontId="2" fillId="0" borderId="0" xfId="0" applyNumberFormat="1" applyFont="1" applyAlignment="1">
      <alignment horizontal="center"/>
    </xf>
    <xf numFmtId="0" fontId="0" fillId="0" borderId="4" xfId="0" applyBorder="1" applyAlignment="1">
      <alignment horizontal="center" wrapText="1"/>
    </xf>
    <xf numFmtId="0" fontId="5" fillId="0" borderId="0" xfId="34"/>
    <xf numFmtId="0" fontId="4" fillId="4" borderId="4" xfId="36" applyFill="1" applyBorder="1" applyProtection="1">
      <protection locked="0"/>
    </xf>
    <xf numFmtId="0" fontId="2" fillId="0" borderId="3" xfId="0" quotePrefix="1" applyFont="1" applyBorder="1" applyAlignment="1">
      <alignment horizontal="center" wrapText="1"/>
    </xf>
    <xf numFmtId="0" fontId="0" fillId="0" borderId="4" xfId="0" quotePrefix="1" applyBorder="1" applyAlignment="1">
      <alignment horizontal="center"/>
    </xf>
    <xf numFmtId="0" fontId="2" fillId="0" borderId="4" xfId="0" applyFont="1" applyBorder="1" applyAlignment="1">
      <alignment horizontal="center" wrapText="1"/>
    </xf>
    <xf numFmtId="0" fontId="5" fillId="0" borderId="4" xfId="34" applyBorder="1"/>
    <xf numFmtId="0" fontId="4" fillId="0" borderId="0" xfId="34" applyFont="1"/>
    <xf numFmtId="2" fontId="4" fillId="0" borderId="0" xfId="34" applyNumberFormat="1" applyFont="1" applyAlignment="1">
      <alignment horizontal="center"/>
    </xf>
    <xf numFmtId="165" fontId="0" fillId="0" borderId="4" xfId="0" applyNumberFormat="1" applyBorder="1" applyAlignment="1">
      <alignment horizontal="center"/>
    </xf>
    <xf numFmtId="0" fontId="4" fillId="2" borderId="4" xfId="36" applyFill="1" applyBorder="1" applyProtection="1">
      <protection locked="0"/>
    </xf>
    <xf numFmtId="165" fontId="0" fillId="0" borderId="3" xfId="0" quotePrefix="1" applyNumberFormat="1" applyBorder="1" applyAlignment="1">
      <alignment horizontal="center" wrapText="1"/>
    </xf>
    <xf numFmtId="165" fontId="0" fillId="0" borderId="4" xfId="0" quotePrefix="1" applyNumberFormat="1" applyBorder="1" applyAlignment="1">
      <alignment horizontal="center" wrapText="1"/>
    </xf>
    <xf numFmtId="0" fontId="4" fillId="0" borderId="8" xfId="34" applyFont="1" applyBorder="1" applyAlignment="1">
      <alignment horizontal="center"/>
    </xf>
    <xf numFmtId="165" fontId="4" fillId="0" borderId="9" xfId="34" applyNumberFormat="1" applyFont="1" applyBorder="1" applyAlignment="1">
      <alignment horizontal="center"/>
    </xf>
    <xf numFmtId="0" fontId="0" fillId="5" borderId="9" xfId="0" applyFill="1" applyBorder="1"/>
    <xf numFmtId="0" fontId="4" fillId="0" borderId="10" xfId="34" applyFont="1" applyBorder="1" applyAlignment="1">
      <alignment horizontal="center"/>
    </xf>
    <xf numFmtId="0" fontId="0" fillId="5" borderId="11" xfId="0" applyFill="1" applyBorder="1"/>
    <xf numFmtId="0" fontId="4" fillId="0" borderId="3" xfId="34" applyFont="1" applyBorder="1" applyAlignment="1">
      <alignment horizontal="center"/>
    </xf>
    <xf numFmtId="0" fontId="0" fillId="5" borderId="3" xfId="0" applyFill="1" applyBorder="1"/>
    <xf numFmtId="0" fontId="0" fillId="5" borderId="12" xfId="0" applyFill="1" applyBorder="1"/>
    <xf numFmtId="0" fontId="4" fillId="0" borderId="15" xfId="34" applyFont="1" applyBorder="1" applyAlignment="1">
      <alignment horizontal="center"/>
    </xf>
    <xf numFmtId="165" fontId="4" fillId="0" borderId="16" xfId="34" applyNumberFormat="1" applyFont="1" applyBorder="1" applyAlignment="1">
      <alignment horizontal="center"/>
    </xf>
    <xf numFmtId="165" fontId="4" fillId="0" borderId="11" xfId="34" applyNumberFormat="1" applyFont="1" applyBorder="1" applyAlignment="1">
      <alignment horizontal="center"/>
    </xf>
    <xf numFmtId="0" fontId="4" fillId="0" borderId="17" xfId="34" applyFont="1" applyBorder="1" applyAlignment="1">
      <alignment horizontal="center"/>
    </xf>
    <xf numFmtId="165" fontId="4" fillId="0" borderId="18" xfId="34" applyNumberFormat="1" applyFont="1" applyBorder="1" applyAlignment="1">
      <alignment horizontal="center"/>
    </xf>
    <xf numFmtId="0" fontId="4" fillId="0" borderId="19" xfId="34" applyFont="1" applyBorder="1" applyAlignment="1">
      <alignment horizontal="center"/>
    </xf>
    <xf numFmtId="0" fontId="4" fillId="0" borderId="20" xfId="34" applyFont="1" applyBorder="1" applyAlignment="1">
      <alignment horizontal="center"/>
    </xf>
    <xf numFmtId="165" fontId="4" fillId="0" borderId="21" xfId="34" applyNumberFormat="1" applyFont="1" applyBorder="1" applyAlignment="1">
      <alignment horizontal="center"/>
    </xf>
    <xf numFmtId="0" fontId="4" fillId="0" borderId="12" xfId="34" applyFont="1" applyBorder="1" applyAlignment="1">
      <alignment horizontal="center"/>
    </xf>
    <xf numFmtId="0" fontId="4" fillId="0" borderId="22" xfId="34" applyFont="1" applyBorder="1" applyAlignment="1">
      <alignment horizontal="center"/>
    </xf>
    <xf numFmtId="0" fontId="0" fillId="5" borderId="0" xfId="0" applyFill="1"/>
    <xf numFmtId="0" fontId="0" fillId="0" borderId="0" xfId="0" applyAlignment="1">
      <alignment wrapText="1"/>
    </xf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right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 wrapText="1"/>
    </xf>
    <xf numFmtId="0" fontId="32" fillId="0" borderId="38" xfId="0" applyFont="1" applyBorder="1" applyAlignment="1">
      <alignment horizontal="center" vertical="center" wrapText="1"/>
    </xf>
    <xf numFmtId="0" fontId="32" fillId="0" borderId="28" xfId="0" applyFont="1" applyBorder="1" applyAlignment="1">
      <alignment horizontal="center" vertical="center" wrapText="1"/>
    </xf>
    <xf numFmtId="0" fontId="32" fillId="0" borderId="35" xfId="0" applyFont="1" applyBorder="1" applyAlignment="1">
      <alignment horizontal="center" vertical="center" wrapText="1"/>
    </xf>
    <xf numFmtId="0" fontId="26" fillId="0" borderId="47" xfId="0" applyFont="1" applyBorder="1" applyAlignment="1">
      <alignment horizontal="center" vertical="center" wrapText="1"/>
    </xf>
    <xf numFmtId="0" fontId="26" fillId="0" borderId="50" xfId="0" applyFont="1" applyBorder="1" applyAlignment="1">
      <alignment horizontal="center" vertical="center" wrapText="1"/>
    </xf>
    <xf numFmtId="0" fontId="5" fillId="0" borderId="56" xfId="34" applyBorder="1" applyAlignment="1">
      <alignment horizontal="center" vertical="center"/>
    </xf>
    <xf numFmtId="0" fontId="8" fillId="0" borderId="56" xfId="35" applyFont="1" applyBorder="1" applyAlignment="1">
      <alignment horizontal="center" vertical="center"/>
    </xf>
    <xf numFmtId="0" fontId="5" fillId="0" borderId="57" xfId="34" applyBorder="1" applyAlignment="1">
      <alignment horizontal="center" vertical="center"/>
    </xf>
    <xf numFmtId="0" fontId="0" fillId="0" borderId="41" xfId="0" applyBorder="1" applyAlignment="1">
      <alignment horizontal="center" vertical="top" wrapText="1"/>
    </xf>
    <xf numFmtId="0" fontId="0" fillId="0" borderId="34" xfId="0" applyBorder="1" applyAlignment="1">
      <alignment horizontal="center" vertical="center" wrapText="1"/>
    </xf>
    <xf numFmtId="0" fontId="27" fillId="0" borderId="28" xfId="0" applyFont="1" applyBorder="1" applyAlignment="1">
      <alignment horizontal="center" vertical="center" wrapText="1"/>
    </xf>
    <xf numFmtId="0" fontId="27" fillId="0" borderId="35" xfId="0" applyFont="1" applyBorder="1" applyAlignment="1">
      <alignment horizontal="center" vertical="center" wrapText="1"/>
    </xf>
    <xf numFmtId="0" fontId="4" fillId="0" borderId="43" xfId="0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 wrapText="1"/>
    </xf>
    <xf numFmtId="0" fontId="4" fillId="0" borderId="44" xfId="0" quotePrefix="1" applyFont="1" applyBorder="1" applyAlignment="1">
      <alignment horizontal="center" vertical="center" wrapText="1"/>
    </xf>
    <xf numFmtId="0" fontId="26" fillId="0" borderId="45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7" xfId="0" applyFont="1" applyBorder="1" applyAlignment="1">
      <alignment horizontal="left" vertical="center" wrapText="1"/>
    </xf>
    <xf numFmtId="0" fontId="26" fillId="0" borderId="47" xfId="0" applyFont="1" applyBorder="1" applyAlignment="1">
      <alignment horizontal="left" vertical="center" wrapText="1"/>
    </xf>
    <xf numFmtId="0" fontId="4" fillId="0" borderId="49" xfId="0" applyFont="1" applyBorder="1" applyAlignment="1">
      <alignment horizontal="center" vertical="center" wrapText="1"/>
    </xf>
    <xf numFmtId="0" fontId="26" fillId="0" borderId="50" xfId="0" applyFont="1" applyBorder="1" applyAlignment="1">
      <alignment horizontal="left" vertical="center" wrapText="1"/>
    </xf>
    <xf numFmtId="49" fontId="4" fillId="0" borderId="44" xfId="0" applyNumberFormat="1" applyFont="1" applyBorder="1" applyAlignment="1">
      <alignment horizontal="center" vertical="center" wrapText="1"/>
    </xf>
    <xf numFmtId="0" fontId="27" fillId="0" borderId="51" xfId="0" applyFont="1" applyBorder="1" applyAlignment="1">
      <alignment horizontal="center" vertical="center" textRotation="90" wrapText="1"/>
    </xf>
    <xf numFmtId="0" fontId="4" fillId="0" borderId="31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30" xfId="0" quotePrefix="1" applyFont="1" applyBorder="1" applyAlignment="1">
      <alignment horizontal="center" vertical="center" wrapText="1"/>
    </xf>
    <xf numFmtId="0" fontId="26" fillId="0" borderId="52" xfId="0" applyFont="1" applyBorder="1" applyAlignment="1">
      <alignment horizontal="left" vertical="center" wrapText="1"/>
    </xf>
    <xf numFmtId="0" fontId="26" fillId="0" borderId="44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 wrapText="1"/>
    </xf>
    <xf numFmtId="0" fontId="26" fillId="0" borderId="27" xfId="0" applyFont="1" applyBorder="1" applyAlignment="1">
      <alignment horizontal="left" vertical="center" wrapText="1"/>
    </xf>
    <xf numFmtId="0" fontId="26" fillId="0" borderId="54" xfId="0" applyFont="1" applyBorder="1" applyAlignment="1">
      <alignment horizontal="left" vertical="center" wrapText="1"/>
    </xf>
    <xf numFmtId="0" fontId="26" fillId="0" borderId="44" xfId="0" applyFont="1" applyBorder="1" applyAlignment="1">
      <alignment horizontal="left" vertical="center" wrapText="1"/>
    </xf>
    <xf numFmtId="0" fontId="4" fillId="0" borderId="39" xfId="0" quotePrefix="1" applyFont="1" applyBorder="1" applyAlignment="1">
      <alignment horizontal="center" vertical="center" wrapText="1"/>
    </xf>
    <xf numFmtId="0" fontId="26" fillId="0" borderId="50" xfId="0" quotePrefix="1" applyFont="1" applyBorder="1" applyAlignment="1">
      <alignment horizontal="center" vertical="center" wrapText="1"/>
    </xf>
    <xf numFmtId="0" fontId="5" fillId="0" borderId="36" xfId="34" applyBorder="1" applyAlignment="1">
      <alignment horizontal="center"/>
    </xf>
    <xf numFmtId="0" fontId="5" fillId="0" borderId="4" xfId="34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2" fillId="0" borderId="3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0" fillId="0" borderId="44" xfId="0" applyBorder="1" applyAlignment="1">
      <alignment horizontal="left" vertical="center" wrapText="1"/>
    </xf>
    <xf numFmtId="0" fontId="0" fillId="0" borderId="44" xfId="0" applyBorder="1" applyAlignment="1">
      <alignment horizontal="center" vertical="center"/>
    </xf>
    <xf numFmtId="0" fontId="0" fillId="0" borderId="4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0" fillId="0" borderId="39" xfId="0" applyBorder="1" applyAlignment="1">
      <alignment horizontal="left" vertical="center" wrapText="1"/>
    </xf>
    <xf numFmtId="0" fontId="0" fillId="0" borderId="39" xfId="0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  <xf numFmtId="0" fontId="0" fillId="0" borderId="28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left" vertical="center" wrapText="1"/>
    </xf>
    <xf numFmtId="0" fontId="0" fillId="0" borderId="36" xfId="0" applyBorder="1" applyAlignment="1">
      <alignment horizontal="center" vertical="center"/>
    </xf>
    <xf numFmtId="0" fontId="0" fillId="0" borderId="30" xfId="0" applyBorder="1" applyAlignment="1">
      <alignment horizontal="left" vertical="center" wrapText="1"/>
    </xf>
    <xf numFmtId="0" fontId="0" fillId="0" borderId="30" xfId="0" applyBorder="1" applyAlignment="1">
      <alignment horizontal="center" vertical="center"/>
    </xf>
    <xf numFmtId="0" fontId="0" fillId="0" borderId="65" xfId="0" applyBorder="1" applyAlignment="1">
      <alignment horizontal="left" vertical="center" wrapText="1"/>
    </xf>
    <xf numFmtId="0" fontId="0" fillId="0" borderId="65" xfId="0" applyBorder="1" applyAlignment="1">
      <alignment horizontal="center" vertical="center"/>
    </xf>
    <xf numFmtId="0" fontId="5" fillId="0" borderId="36" xfId="34" applyBorder="1" applyAlignment="1">
      <alignment horizontal="left" wrapText="1"/>
    </xf>
    <xf numFmtId="0" fontId="5" fillId="0" borderId="4" xfId="34" applyBorder="1" applyAlignment="1">
      <alignment horizontal="left"/>
    </xf>
    <xf numFmtId="0" fontId="2" fillId="4" borderId="67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left"/>
    </xf>
    <xf numFmtId="0" fontId="0" fillId="4" borderId="66" xfId="0" applyFill="1" applyBorder="1" applyAlignment="1">
      <alignment horizontal="center"/>
    </xf>
    <xf numFmtId="0" fontId="0" fillId="0" borderId="0" xfId="0" applyAlignment="1">
      <alignment horizontal="left"/>
    </xf>
    <xf numFmtId="167" fontId="0" fillId="0" borderId="4" xfId="0" applyNumberFormat="1" applyBorder="1" applyAlignment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center"/>
    </xf>
    <xf numFmtId="0" fontId="9" fillId="3" borderId="4" xfId="0" applyFont="1" applyFill="1" applyBorder="1" applyAlignment="1">
      <alignment horizontal="center"/>
    </xf>
    <xf numFmtId="165" fontId="69" fillId="0" borderId="4" xfId="34" applyNumberFormat="1" applyFont="1" applyBorder="1" applyAlignment="1">
      <alignment horizontal="center"/>
    </xf>
    <xf numFmtId="0" fontId="69" fillId="0" borderId="4" xfId="34" applyFont="1" applyBorder="1"/>
    <xf numFmtId="165" fontId="69" fillId="0" borderId="4" xfId="36" applyNumberFormat="1" applyFont="1" applyBorder="1" applyAlignment="1" applyProtection="1">
      <alignment horizontal="center"/>
      <protection locked="0"/>
    </xf>
    <xf numFmtId="0" fontId="9" fillId="3" borderId="4" xfId="36" applyFont="1" applyFill="1" applyBorder="1"/>
    <xf numFmtId="0" fontId="69" fillId="2" borderId="4" xfId="36" applyFont="1" applyFill="1" applyBorder="1" applyProtection="1">
      <protection locked="0"/>
    </xf>
    <xf numFmtId="0" fontId="69" fillId="0" borderId="4" xfId="36" applyFont="1" applyBorder="1" applyProtection="1">
      <protection locked="0"/>
    </xf>
    <xf numFmtId="0" fontId="69" fillId="0" borderId="4" xfId="34" applyFont="1" applyBorder="1" applyAlignment="1">
      <alignment horizontal="center"/>
    </xf>
    <xf numFmtId="0" fontId="9" fillId="3" borderId="0" xfId="36" applyFont="1" applyFill="1" applyAlignment="1">
      <alignment horizontal="center"/>
    </xf>
    <xf numFmtId="0" fontId="9" fillId="3" borderId="4" xfId="36" applyFont="1" applyFill="1" applyBorder="1" applyAlignment="1">
      <alignment horizontal="center"/>
    </xf>
    <xf numFmtId="0" fontId="69" fillId="7" borderId="4" xfId="36" applyFont="1" applyFill="1" applyBorder="1" applyProtection="1">
      <protection locked="0"/>
    </xf>
    <xf numFmtId="165" fontId="69" fillId="7" borderId="4" xfId="36" applyNumberFormat="1" applyFont="1" applyFill="1" applyBorder="1" applyAlignment="1" applyProtection="1">
      <alignment horizontal="center"/>
      <protection locked="0"/>
    </xf>
    <xf numFmtId="0" fontId="69" fillId="7" borderId="4" xfId="34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0" borderId="4" xfId="0" applyBorder="1" applyAlignment="1">
      <alignment horizontal="left"/>
    </xf>
    <xf numFmtId="169" fontId="0" fillId="0" borderId="4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9" fillId="3" borderId="37" xfId="36" applyFont="1" applyFill="1" applyBorder="1" applyAlignment="1">
      <alignment horizontal="center" wrapText="1"/>
    </xf>
    <xf numFmtId="0" fontId="9" fillId="0" borderId="0" xfId="36" applyFont="1" applyAlignment="1">
      <alignment horizontal="center" wrapText="1"/>
    </xf>
    <xf numFmtId="0" fontId="9" fillId="3" borderId="4" xfId="36" applyFont="1" applyFill="1" applyBorder="1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170" fontId="0" fillId="0" borderId="4" xfId="52" applyNumberFormat="1" applyFont="1" applyBorder="1" applyAlignment="1" applyProtection="1">
      <alignment horizontal="center"/>
      <protection hidden="1"/>
    </xf>
    <xf numFmtId="167" fontId="0" fillId="0" borderId="0" xfId="0" quotePrefix="1" applyNumberFormat="1" applyAlignment="1" applyProtection="1">
      <alignment horizontal="center"/>
      <protection hidden="1"/>
    </xf>
    <xf numFmtId="167" fontId="2" fillId="0" borderId="4" xfId="0" applyNumberFormat="1" applyFont="1" applyBorder="1" applyAlignment="1" applyProtection="1">
      <alignment horizontal="center" wrapText="1"/>
      <protection hidden="1"/>
    </xf>
    <xf numFmtId="170" fontId="0" fillId="0" borderId="0" xfId="52" quotePrefix="1" applyNumberFormat="1" applyFont="1" applyAlignment="1" applyProtection="1">
      <alignment horizontal="center"/>
      <protection hidden="1"/>
    </xf>
    <xf numFmtId="0" fontId="0" fillId="7" borderId="0" xfId="0" quotePrefix="1" applyFill="1" applyAlignment="1" applyProtection="1">
      <alignment horizontal="center"/>
      <protection hidden="1"/>
    </xf>
    <xf numFmtId="0" fontId="0" fillId="0" borderId="0" xfId="0" quotePrefix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170" fontId="0" fillId="0" borderId="0" xfId="52" applyNumberFormat="1" applyFont="1" applyAlignment="1" applyProtection="1">
      <alignment horizontal="center"/>
      <protection hidden="1"/>
    </xf>
    <xf numFmtId="170" fontId="0" fillId="0" borderId="4" xfId="52" applyNumberFormat="1" applyFont="1" applyBorder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right" wrapText="1"/>
      <protection hidden="1"/>
    </xf>
    <xf numFmtId="0" fontId="0" fillId="0" borderId="0" xfId="0" applyAlignment="1" applyProtection="1">
      <alignment horizontal="right"/>
      <protection hidden="1"/>
    </xf>
    <xf numFmtId="169" fontId="0" fillId="0" borderId="0" xfId="0" applyNumberFormat="1" applyAlignment="1" applyProtection="1">
      <alignment horizontal="center"/>
      <protection hidden="1"/>
    </xf>
    <xf numFmtId="1" fontId="0" fillId="0" borderId="0" xfId="0" applyNumberFormat="1" applyAlignment="1" applyProtection="1">
      <alignment horizontal="center"/>
      <protection hidden="1"/>
    </xf>
    <xf numFmtId="0" fontId="0" fillId="0" borderId="29" xfId="0" applyBorder="1" applyProtection="1">
      <protection hidden="1"/>
    </xf>
    <xf numFmtId="0" fontId="17" fillId="0" borderId="0" xfId="0" applyFont="1" applyProtection="1">
      <protection hidden="1"/>
    </xf>
    <xf numFmtId="0" fontId="17" fillId="0" borderId="0" xfId="0" applyFont="1" applyAlignment="1" applyProtection="1">
      <alignment horizontal="right"/>
      <protection hidden="1"/>
    </xf>
    <xf numFmtId="0" fontId="16" fillId="0" borderId="0" xfId="0" applyFont="1" applyProtection="1">
      <protection hidden="1"/>
    </xf>
    <xf numFmtId="0" fontId="20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5" fillId="0" borderId="0" xfId="0" applyFont="1" applyAlignment="1" applyProtection="1">
      <alignment horizontal="right"/>
      <protection hidden="1"/>
    </xf>
    <xf numFmtId="0" fontId="12" fillId="0" borderId="0" xfId="0" applyFont="1" applyProtection="1">
      <protection hidden="1"/>
    </xf>
    <xf numFmtId="0" fontId="0" fillId="0" borderId="0" xfId="0" applyAlignment="1" applyProtection="1">
      <alignment horizontal="center" vertical="center" wrapText="1"/>
      <protection hidden="1"/>
    </xf>
    <xf numFmtId="2" fontId="0" fillId="0" borderId="5" xfId="0" applyNumberForma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2" fontId="0" fillId="0" borderId="1" xfId="0" applyNumberFormat="1" applyBorder="1" applyAlignment="1" applyProtection="1">
      <alignment horizontal="center" vertical="center" wrapText="1"/>
      <protection hidden="1"/>
    </xf>
    <xf numFmtId="2" fontId="17" fillId="0" borderId="0" xfId="0" applyNumberFormat="1" applyFont="1" applyAlignment="1" applyProtection="1">
      <alignment horizontal="right"/>
      <protection hidden="1"/>
    </xf>
    <xf numFmtId="165" fontId="0" fillId="0" borderId="0" xfId="0" applyNumberFormat="1" applyAlignment="1" applyProtection="1">
      <alignment horizontal="center"/>
      <protection hidden="1"/>
    </xf>
    <xf numFmtId="1" fontId="0" fillId="0" borderId="0" xfId="0" applyNumberFormat="1" applyProtection="1">
      <protection hidden="1"/>
    </xf>
    <xf numFmtId="2" fontId="0" fillId="0" borderId="5" xfId="0" applyNumberFormat="1" applyBorder="1" applyAlignment="1" applyProtection="1">
      <alignment horizontal="center"/>
      <protection hidden="1"/>
    </xf>
    <xf numFmtId="167" fontId="0" fillId="0" borderId="1" xfId="0" applyNumberFormat="1" applyBorder="1" applyAlignment="1" applyProtection="1">
      <alignment horizontal="center"/>
      <protection hidden="1"/>
    </xf>
    <xf numFmtId="2" fontId="0" fillId="0" borderId="1" xfId="0" applyNumberFormat="1" applyBorder="1" applyAlignment="1" applyProtection="1">
      <alignment horizontal="center"/>
      <protection hidden="1"/>
    </xf>
    <xf numFmtId="0" fontId="15" fillId="0" borderId="0" xfId="0" applyFont="1" applyAlignment="1" applyProtection="1">
      <alignment horizontal="left"/>
      <protection hidden="1"/>
    </xf>
    <xf numFmtId="0" fontId="14" fillId="0" borderId="0" xfId="0" applyFont="1" applyAlignment="1" applyProtection="1">
      <alignment horizontal="left"/>
      <protection hidden="1"/>
    </xf>
    <xf numFmtId="0" fontId="22" fillId="0" borderId="0" xfId="0" quotePrefix="1" applyFont="1" applyProtection="1">
      <protection hidden="1"/>
    </xf>
    <xf numFmtId="0" fontId="22" fillId="0" borderId="0" xfId="0" applyFont="1" applyProtection="1">
      <protection hidden="1"/>
    </xf>
    <xf numFmtId="0" fontId="2" fillId="0" borderId="4" xfId="0" applyFont="1" applyBorder="1" applyAlignment="1" applyProtection="1">
      <alignment horizontal="center" wrapText="1"/>
      <protection hidden="1"/>
    </xf>
    <xf numFmtId="0" fontId="18" fillId="0" borderId="0" xfId="0" applyFont="1" applyProtection="1">
      <protection hidden="1"/>
    </xf>
    <xf numFmtId="167" fontId="19" fillId="0" borderId="0" xfId="0" applyNumberFormat="1" applyFont="1" applyAlignment="1" applyProtection="1">
      <alignment horizontal="center" vertical="center"/>
      <protection hidden="1"/>
    </xf>
    <xf numFmtId="167" fontId="13" fillId="0" borderId="0" xfId="0" applyNumberFormat="1" applyFont="1" applyAlignment="1" applyProtection="1">
      <alignment vertical="center"/>
      <protection hidden="1"/>
    </xf>
    <xf numFmtId="167" fontId="0" fillId="0" borderId="0" xfId="0" applyNumberFormat="1" applyAlignment="1" applyProtection="1">
      <alignment horizontal="center"/>
      <protection hidden="1"/>
    </xf>
    <xf numFmtId="0" fontId="0" fillId="0" borderId="5" xfId="0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0" fontId="15" fillId="0" borderId="5" xfId="0" quotePrefix="1" applyFont="1" applyBorder="1" applyProtection="1">
      <protection hidden="1"/>
    </xf>
    <xf numFmtId="0" fontId="0" fillId="7" borderId="0" xfId="0" applyFill="1" applyProtection="1"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167" fontId="12" fillId="0" borderId="0" xfId="0" quotePrefix="1" applyNumberFormat="1" applyFont="1" applyAlignment="1" applyProtection="1">
      <alignment horizontal="center"/>
      <protection hidden="1"/>
    </xf>
    <xf numFmtId="0" fontId="2" fillId="0" borderId="4" xfId="0" applyFont="1" applyBorder="1" applyAlignment="1">
      <alignment vertical="center" wrapText="1"/>
    </xf>
    <xf numFmtId="0" fontId="2" fillId="0" borderId="4" xfId="0" applyFont="1" applyBorder="1" applyAlignment="1">
      <alignment vertical="center"/>
    </xf>
    <xf numFmtId="167" fontId="2" fillId="0" borderId="4" xfId="0" applyNumberFormat="1" applyFont="1" applyBorder="1" applyAlignment="1">
      <alignment vertical="center" wrapText="1"/>
    </xf>
    <xf numFmtId="0" fontId="0" fillId="7" borderId="0" xfId="0" applyFill="1"/>
    <xf numFmtId="0" fontId="0" fillId="0" borderId="2" xfId="0" applyBorder="1" applyAlignment="1">
      <alignment horizontal="center" vertical="center"/>
    </xf>
    <xf numFmtId="0" fontId="3" fillId="0" borderId="4" xfId="36" applyFont="1" applyBorder="1" applyProtection="1">
      <protection locked="0"/>
    </xf>
    <xf numFmtId="0" fontId="0" fillId="0" borderId="0" xfId="0" applyAlignment="1">
      <alignment vertical="center"/>
    </xf>
    <xf numFmtId="0" fontId="0" fillId="0" borderId="4" xfId="0" applyBorder="1" applyAlignment="1">
      <alignment horizontal="center" vertical="center" textRotation="90"/>
    </xf>
    <xf numFmtId="0" fontId="0" fillId="0" borderId="4" xfId="0" applyBorder="1" applyAlignment="1">
      <alignment vertical="center"/>
    </xf>
    <xf numFmtId="0" fontId="0" fillId="0" borderId="29" xfId="0" applyBorder="1"/>
    <xf numFmtId="0" fontId="0" fillId="0" borderId="25" xfId="0" applyBorder="1"/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/>
    <xf numFmtId="0" fontId="2" fillId="0" borderId="4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5" fontId="0" fillId="0" borderId="0" xfId="0" applyNumberFormat="1" applyAlignment="1">
      <alignment horizontal="center"/>
    </xf>
    <xf numFmtId="0" fontId="0" fillId="0" borderId="0" xfId="0" applyAlignment="1" applyProtection="1">
      <alignment horizontal="left" vertical="center"/>
      <protection hidden="1"/>
    </xf>
    <xf numFmtId="0" fontId="0" fillId="0" borderId="29" xfId="0" applyBorder="1" applyAlignment="1" applyProtection="1">
      <alignment horizontal="right"/>
      <protection hidden="1"/>
    </xf>
    <xf numFmtId="15" fontId="0" fillId="0" borderId="0" xfId="0" applyNumberFormat="1"/>
    <xf numFmtId="0" fontId="3" fillId="4" borderId="4" xfId="36" applyFont="1" applyFill="1" applyBorder="1" applyProtection="1">
      <protection locked="0"/>
    </xf>
    <xf numFmtId="0" fontId="69" fillId="4" borderId="4" xfId="36" applyFont="1" applyFill="1" applyBorder="1" applyProtection="1">
      <protection locked="0"/>
    </xf>
    <xf numFmtId="165" fontId="69" fillId="4" borderId="4" xfId="36" applyNumberFormat="1" applyFont="1" applyFill="1" applyBorder="1" applyAlignment="1" applyProtection="1">
      <alignment horizontal="center"/>
      <protection locked="0"/>
    </xf>
    <xf numFmtId="0" fontId="69" fillId="4" borderId="4" xfId="34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59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58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2" fillId="0" borderId="2" xfId="0" applyFont="1" applyBorder="1" applyAlignment="1" applyProtection="1">
      <alignment horizontal="center" wrapText="1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167" fontId="13" fillId="0" borderId="4" xfId="0" applyNumberFormat="1" applyFont="1" applyBorder="1" applyAlignment="1" applyProtection="1">
      <alignment horizontal="center" vertical="center"/>
      <protection hidden="1"/>
    </xf>
    <xf numFmtId="167" fontId="13" fillId="0" borderId="4" xfId="0" applyNumberFormat="1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15" fillId="0" borderId="0" xfId="0" applyFont="1" applyAlignment="1" applyProtection="1">
      <alignment vertical="center"/>
      <protection hidden="1"/>
    </xf>
    <xf numFmtId="0" fontId="0" fillId="64" borderId="4" xfId="0" applyFill="1" applyBorder="1" applyAlignment="1">
      <alignment horizontal="center"/>
    </xf>
    <xf numFmtId="0" fontId="0" fillId="64" borderId="0" xfId="0" applyFill="1" applyAlignment="1">
      <alignment horizontal="center"/>
    </xf>
    <xf numFmtId="0" fontId="79" fillId="7" borderId="0" xfId="0" applyFont="1" applyFill="1" applyAlignment="1">
      <alignment wrapText="1"/>
    </xf>
    <xf numFmtId="0" fontId="80" fillId="5" borderId="0" xfId="0" applyFont="1" applyFill="1"/>
    <xf numFmtId="0" fontId="80" fillId="0" borderId="0" xfId="0" applyFont="1"/>
    <xf numFmtId="0" fontId="81" fillId="0" borderId="0" xfId="47" applyFont="1"/>
    <xf numFmtId="0" fontId="81" fillId="5" borderId="0" xfId="47" applyFont="1" applyFill="1"/>
    <xf numFmtId="0" fontId="83" fillId="6" borderId="2" xfId="47" applyFont="1" applyFill="1" applyBorder="1" applyAlignment="1">
      <alignment vertical="center" wrapText="1"/>
    </xf>
    <xf numFmtId="0" fontId="82" fillId="5" borderId="120" xfId="47" applyFont="1" applyFill="1" applyBorder="1" applyAlignment="1">
      <alignment vertical="center" wrapText="1"/>
    </xf>
    <xf numFmtId="0" fontId="82" fillId="5" borderId="29" xfId="47" applyFont="1" applyFill="1" applyBorder="1" applyAlignment="1">
      <alignment vertical="center" wrapText="1"/>
    </xf>
    <xf numFmtId="0" fontId="82" fillId="5" borderId="119" xfId="47" applyFont="1" applyFill="1" applyBorder="1" applyAlignment="1">
      <alignment vertical="center" wrapText="1"/>
    </xf>
    <xf numFmtId="0" fontId="83" fillId="6" borderId="0" xfId="47" applyFont="1" applyFill="1" applyAlignment="1">
      <alignment vertical="center" wrapText="1"/>
    </xf>
    <xf numFmtId="1" fontId="85" fillId="8" borderId="4" xfId="47" applyNumberFormat="1" applyFont="1" applyFill="1" applyBorder="1" applyAlignment="1" applyProtection="1">
      <alignment horizontal="center" vertical="center"/>
      <protection locked="0"/>
    </xf>
    <xf numFmtId="0" fontId="83" fillId="6" borderId="17" xfId="47" applyFont="1" applyFill="1" applyBorder="1" applyAlignment="1" applyProtection="1">
      <alignment vertical="center" wrapText="1"/>
      <protection hidden="1"/>
    </xf>
    <xf numFmtId="2" fontId="86" fillId="8" borderId="36" xfId="47" applyNumberFormat="1" applyFont="1" applyFill="1" applyBorder="1" applyAlignment="1" applyProtection="1">
      <alignment horizontal="center" vertical="center"/>
      <protection locked="0"/>
    </xf>
    <xf numFmtId="0" fontId="81" fillId="5" borderId="117" xfId="47" applyFont="1" applyFill="1" applyBorder="1"/>
    <xf numFmtId="0" fontId="87" fillId="6" borderId="4" xfId="47" applyFont="1" applyFill="1" applyBorder="1" applyAlignment="1">
      <alignment horizontal="left" vertical="center" wrapText="1"/>
    </xf>
    <xf numFmtId="171" fontId="85" fillId="8" borderId="4" xfId="47" applyNumberFormat="1" applyFont="1" applyFill="1" applyBorder="1" applyAlignment="1" applyProtection="1">
      <alignment horizontal="center"/>
      <protection locked="0"/>
    </xf>
    <xf numFmtId="0" fontId="84" fillId="0" borderId="0" xfId="47" applyFont="1"/>
    <xf numFmtId="0" fontId="80" fillId="7" borderId="0" xfId="0" applyFont="1" applyFill="1"/>
    <xf numFmtId="0" fontId="86" fillId="7" borderId="4" xfId="47" applyFont="1" applyFill="1" applyBorder="1" applyAlignment="1" applyProtection="1">
      <alignment horizontal="center" vertical="center"/>
      <protection hidden="1"/>
    </xf>
    <xf numFmtId="0" fontId="83" fillId="6" borderId="4" xfId="47" applyFont="1" applyFill="1" applyBorder="1" applyAlignment="1">
      <alignment vertical="center" wrapText="1"/>
    </xf>
    <xf numFmtId="0" fontId="83" fillId="6" borderId="8" xfId="47" applyFont="1" applyFill="1" applyBorder="1" applyAlignment="1" applyProtection="1">
      <alignment vertical="center" wrapText="1"/>
      <protection hidden="1"/>
    </xf>
    <xf numFmtId="165" fontId="85" fillId="8" borderId="4" xfId="47" applyNumberFormat="1" applyFont="1" applyFill="1" applyBorder="1" applyAlignment="1" applyProtection="1">
      <alignment horizontal="center"/>
      <protection locked="0"/>
    </xf>
    <xf numFmtId="0" fontId="84" fillId="7" borderId="0" xfId="47" applyFont="1" applyFill="1"/>
    <xf numFmtId="2" fontId="86" fillId="7" borderId="4" xfId="47" applyNumberFormat="1" applyFont="1" applyFill="1" applyBorder="1" applyAlignment="1" applyProtection="1">
      <alignment horizontal="center" vertical="center"/>
      <protection hidden="1"/>
    </xf>
    <xf numFmtId="0" fontId="83" fillId="6" borderId="4" xfId="47" applyFont="1" applyFill="1" applyBorder="1" applyAlignment="1">
      <alignment horizontal="left" vertical="center" wrapText="1"/>
    </xf>
    <xf numFmtId="1" fontId="85" fillId="8" borderId="4" xfId="47" applyNumberFormat="1" applyFont="1" applyFill="1" applyBorder="1" applyAlignment="1" applyProtection="1">
      <alignment horizontal="center"/>
      <protection locked="0"/>
    </xf>
    <xf numFmtId="0" fontId="88" fillId="7" borderId="0" xfId="47" applyFont="1" applyFill="1"/>
    <xf numFmtId="0" fontId="80" fillId="7" borderId="4" xfId="0" applyFont="1" applyFill="1" applyBorder="1" applyAlignment="1" applyProtection="1">
      <alignment horizontal="center"/>
      <protection hidden="1"/>
    </xf>
    <xf numFmtId="0" fontId="83" fillId="6" borderId="2" xfId="47" applyFont="1" applyFill="1" applyBorder="1" applyAlignment="1">
      <alignment horizontal="right" vertical="center" wrapText="1"/>
    </xf>
    <xf numFmtId="165" fontId="86" fillId="8" borderId="4" xfId="47" applyNumberFormat="1" applyFont="1" applyFill="1" applyBorder="1" applyAlignment="1" applyProtection="1">
      <alignment horizontal="center"/>
      <protection locked="0"/>
    </xf>
    <xf numFmtId="167" fontId="85" fillId="7" borderId="4" xfId="47" applyNumberFormat="1" applyFont="1" applyFill="1" applyBorder="1" applyAlignment="1" applyProtection="1">
      <alignment horizontal="center"/>
      <protection hidden="1"/>
    </xf>
    <xf numFmtId="165" fontId="85" fillId="7" borderId="4" xfId="47" applyNumberFormat="1" applyFont="1" applyFill="1" applyBorder="1" applyAlignment="1" applyProtection="1">
      <alignment horizontal="center"/>
      <protection hidden="1"/>
    </xf>
    <xf numFmtId="165" fontId="86" fillId="7" borderId="4" xfId="47" applyNumberFormat="1" applyFont="1" applyFill="1" applyBorder="1" applyAlignment="1" applyProtection="1">
      <alignment horizontal="center" vertical="center"/>
      <protection hidden="1"/>
    </xf>
    <xf numFmtId="0" fontId="90" fillId="6" borderId="0" xfId="47" applyFont="1" applyFill="1" applyAlignment="1">
      <alignment horizontal="left" wrapText="1"/>
    </xf>
    <xf numFmtId="0" fontId="83" fillId="6" borderId="10" xfId="47" applyFont="1" applyFill="1" applyBorder="1" applyAlignment="1" applyProtection="1">
      <alignment vertical="center" wrapText="1"/>
      <protection hidden="1"/>
    </xf>
    <xf numFmtId="165" fontId="86" fillId="8" borderId="118" xfId="47" applyNumberFormat="1" applyFont="1" applyFill="1" applyBorder="1" applyAlignment="1" applyProtection="1">
      <alignment horizontal="center" vertical="center"/>
      <protection hidden="1"/>
    </xf>
    <xf numFmtId="0" fontId="81" fillId="5" borderId="29" xfId="47" applyFont="1" applyFill="1" applyBorder="1"/>
    <xf numFmtId="0" fontId="81" fillId="5" borderId="119" xfId="47" applyFont="1" applyFill="1" applyBorder="1"/>
    <xf numFmtId="0" fontId="91" fillId="5" borderId="0" xfId="47" applyFont="1" applyFill="1"/>
    <xf numFmtId="0" fontId="94" fillId="7" borderId="0" xfId="47" applyFont="1" applyFill="1" applyAlignment="1">
      <alignment horizontal="right"/>
    </xf>
    <xf numFmtId="1" fontId="94" fillId="7" borderId="0" xfId="47" applyNumberFormat="1" applyFont="1" applyFill="1" applyAlignment="1">
      <alignment horizontal="center"/>
    </xf>
    <xf numFmtId="0" fontId="94" fillId="7" borderId="0" xfId="47" applyFont="1" applyFill="1"/>
    <xf numFmtId="0" fontId="81" fillId="7" borderId="0" xfId="47" applyFont="1" applyFill="1"/>
    <xf numFmtId="0" fontId="93" fillId="6" borderId="68" xfId="47" applyFont="1" applyFill="1" applyBorder="1" applyAlignment="1" applyProtection="1">
      <alignment horizontal="center" vertical="center" wrapText="1"/>
      <protection hidden="1"/>
    </xf>
    <xf numFmtId="0" fontId="93" fillId="6" borderId="2" xfId="47" applyFont="1" applyFill="1" applyBorder="1" applyAlignment="1" applyProtection="1">
      <alignment horizontal="center" vertical="center" wrapText="1"/>
      <protection hidden="1"/>
    </xf>
    <xf numFmtId="165" fontId="95" fillId="7" borderId="0" xfId="47" applyNumberFormat="1" applyFont="1" applyFill="1" applyAlignment="1">
      <alignment horizontal="center"/>
    </xf>
    <xf numFmtId="0" fontId="84" fillId="8" borderId="69" xfId="47" applyFont="1" applyFill="1" applyBorder="1" applyAlignment="1" applyProtection="1">
      <alignment horizontal="center"/>
      <protection locked="0"/>
    </xf>
    <xf numFmtId="165" fontId="84" fillId="8" borderId="4" xfId="47" applyNumberFormat="1" applyFont="1" applyFill="1" applyBorder="1" applyAlignment="1" applyProtection="1">
      <alignment horizontal="center"/>
      <protection locked="0"/>
    </xf>
    <xf numFmtId="165" fontId="96" fillId="7" borderId="4" xfId="47" applyNumberFormat="1" applyFont="1" applyFill="1" applyBorder="1" applyAlignment="1" applyProtection="1">
      <alignment horizontal="center"/>
      <protection hidden="1"/>
    </xf>
    <xf numFmtId="165" fontId="84" fillId="7" borderId="4" xfId="47" applyNumberFormat="1" applyFont="1" applyFill="1" applyBorder="1" applyAlignment="1" applyProtection="1">
      <alignment horizontal="center"/>
      <protection hidden="1"/>
    </xf>
    <xf numFmtId="0" fontId="98" fillId="5" borderId="0" xfId="47" applyFont="1" applyFill="1"/>
    <xf numFmtId="0" fontId="81" fillId="0" borderId="0" xfId="47" applyFont="1" applyProtection="1">
      <protection locked="0"/>
    </xf>
    <xf numFmtId="165" fontId="81" fillId="0" borderId="0" xfId="47" applyNumberFormat="1" applyFont="1" applyAlignment="1" applyProtection="1">
      <alignment horizontal="center"/>
      <protection locked="0"/>
    </xf>
    <xf numFmtId="166" fontId="81" fillId="0" borderId="0" xfId="47" applyNumberFormat="1" applyFont="1" applyAlignment="1" applyProtection="1">
      <alignment horizontal="center"/>
      <protection locked="0"/>
    </xf>
    <xf numFmtId="2" fontId="99" fillId="0" borderId="0" xfId="47" applyNumberFormat="1" applyFont="1" applyAlignment="1" applyProtection="1">
      <alignment horizontal="center"/>
      <protection locked="0"/>
    </xf>
    <xf numFmtId="2" fontId="81" fillId="0" borderId="0" xfId="47" applyNumberFormat="1" applyFont="1" applyAlignment="1">
      <alignment horizontal="center"/>
    </xf>
    <xf numFmtId="0" fontId="100" fillId="7" borderId="0" xfId="0" applyFont="1" applyFill="1"/>
    <xf numFmtId="0" fontId="100" fillId="7" borderId="0" xfId="0" applyFont="1" applyFill="1" applyAlignment="1">
      <alignment horizontal="left"/>
    </xf>
    <xf numFmtId="0" fontId="81" fillId="7" borderId="20" xfId="47" applyFont="1" applyFill="1" applyBorder="1" applyProtection="1">
      <protection locked="0"/>
    </xf>
    <xf numFmtId="165" fontId="81" fillId="7" borderId="26" xfId="47" applyNumberFormat="1" applyFont="1" applyFill="1" applyBorder="1" applyAlignment="1" applyProtection="1">
      <alignment horizontal="center"/>
      <protection locked="0"/>
    </xf>
    <xf numFmtId="166" fontId="81" fillId="7" borderId="26" xfId="47" applyNumberFormat="1" applyFont="1" applyFill="1" applyBorder="1" applyAlignment="1" applyProtection="1">
      <alignment horizontal="center"/>
      <protection locked="0"/>
    </xf>
    <xf numFmtId="2" fontId="99" fillId="7" borderId="21" xfId="47" applyNumberFormat="1" applyFont="1" applyFill="1" applyBorder="1" applyAlignment="1" applyProtection="1">
      <alignment horizontal="center"/>
      <protection locked="0"/>
    </xf>
    <xf numFmtId="0" fontId="101" fillId="7" borderId="0" xfId="4" applyFont="1" applyFill="1"/>
    <xf numFmtId="165" fontId="101" fillId="7" borderId="0" xfId="4" applyNumberFormat="1" applyFont="1" applyFill="1" applyAlignment="1">
      <alignment horizontal="center"/>
    </xf>
    <xf numFmtId="165" fontId="101" fillId="7" borderId="0" xfId="47" applyNumberFormat="1" applyFont="1" applyFill="1" applyAlignment="1">
      <alignment horizontal="left"/>
    </xf>
    <xf numFmtId="0" fontId="98" fillId="0" borderId="0" xfId="47" applyFont="1" applyAlignment="1">
      <alignment horizontal="center"/>
    </xf>
    <xf numFmtId="0" fontId="100" fillId="7" borderId="0" xfId="0" applyFont="1" applyFill="1" applyAlignment="1">
      <alignment horizontal="center" vertical="top" wrapText="1"/>
    </xf>
    <xf numFmtId="0" fontId="90" fillId="6" borderId="4" xfId="47" applyFont="1" applyFill="1" applyBorder="1" applyAlignment="1">
      <alignment horizontal="center" vertical="center" wrapText="1"/>
    </xf>
    <xf numFmtId="2" fontId="89" fillId="7" borderId="70" xfId="47" applyNumberFormat="1" applyFont="1" applyFill="1" applyBorder="1"/>
    <xf numFmtId="2" fontId="102" fillId="7" borderId="0" xfId="47" applyNumberFormat="1" applyFont="1" applyFill="1"/>
    <xf numFmtId="0" fontId="96" fillId="8" borderId="4" xfId="47" applyFont="1" applyFill="1" applyBorder="1" applyProtection="1">
      <protection locked="0"/>
    </xf>
    <xf numFmtId="2" fontId="96" fillId="8" borderId="4" xfId="47" applyNumberFormat="1" applyFont="1" applyFill="1" applyBorder="1" applyAlignment="1" applyProtection="1">
      <alignment horizontal="center"/>
      <protection locked="0"/>
    </xf>
    <xf numFmtId="165" fontId="81" fillId="7" borderId="0" xfId="47" applyNumberFormat="1" applyFont="1" applyFill="1" applyAlignment="1">
      <alignment horizontal="center"/>
    </xf>
    <xf numFmtId="1" fontId="81" fillId="7" borderId="0" xfId="47" applyNumberFormat="1" applyFont="1" applyFill="1" applyAlignment="1">
      <alignment horizontal="center"/>
    </xf>
    <xf numFmtId="0" fontId="101" fillId="7" borderId="0" xfId="47" applyFont="1" applyFill="1" applyAlignment="1">
      <alignment vertical="center"/>
    </xf>
    <xf numFmtId="165" fontId="103" fillId="7" borderId="0" xfId="47" applyNumberFormat="1" applyFont="1" applyFill="1" applyAlignment="1">
      <alignment horizontal="left"/>
    </xf>
    <xf numFmtId="165" fontId="81" fillId="0" borderId="0" xfId="47" applyNumberFormat="1" applyFont="1" applyAlignment="1">
      <alignment horizontal="center"/>
    </xf>
    <xf numFmtId="1" fontId="81" fillId="0" borderId="0" xfId="47" applyNumberFormat="1" applyFont="1" applyAlignment="1">
      <alignment horizontal="center"/>
    </xf>
    <xf numFmtId="0" fontId="101" fillId="0" borderId="0" xfId="47" applyFont="1" applyAlignment="1">
      <alignment vertical="center"/>
    </xf>
    <xf numFmtId="2" fontId="101" fillId="7" borderId="0" xfId="4" applyNumberFormat="1" applyFont="1" applyFill="1" applyAlignment="1">
      <alignment horizontal="center"/>
    </xf>
    <xf numFmtId="165" fontId="86" fillId="7" borderId="0" xfId="47" applyNumberFormat="1" applyFont="1" applyFill="1" applyAlignment="1">
      <alignment horizontal="right"/>
    </xf>
    <xf numFmtId="167" fontId="86" fillId="7" borderId="0" xfId="47" applyNumberFormat="1" applyFont="1" applyFill="1" applyAlignment="1">
      <alignment horizontal="center"/>
    </xf>
    <xf numFmtId="165" fontId="86" fillId="7" borderId="0" xfId="47" applyNumberFormat="1" applyFont="1" applyFill="1" applyAlignment="1">
      <alignment horizontal="center"/>
    </xf>
    <xf numFmtId="1" fontId="86" fillId="7" borderId="0" xfId="47" applyNumberFormat="1" applyFont="1" applyFill="1" applyAlignment="1">
      <alignment horizontal="center"/>
    </xf>
    <xf numFmtId="165" fontId="86" fillId="7" borderId="0" xfId="47" applyNumberFormat="1" applyFont="1" applyFill="1" applyAlignment="1">
      <alignment horizontal="left"/>
    </xf>
    <xf numFmtId="0" fontId="86" fillId="7" borderId="0" xfId="47" applyFont="1" applyFill="1" applyAlignment="1">
      <alignment horizontal="left" vertical="center"/>
    </xf>
    <xf numFmtId="167" fontId="86" fillId="7" borderId="0" xfId="47" applyNumberFormat="1" applyFont="1" applyFill="1" applyAlignment="1">
      <alignment horizontal="center" vertical="center"/>
    </xf>
    <xf numFmtId="165" fontId="86" fillId="7" borderId="0" xfId="47" applyNumberFormat="1" applyFont="1" applyFill="1" applyAlignment="1">
      <alignment horizontal="center" vertical="center"/>
    </xf>
    <xf numFmtId="165" fontId="105" fillId="7" borderId="0" xfId="47" applyNumberFormat="1" applyFont="1" applyFill="1" applyAlignment="1">
      <alignment horizontal="center" vertical="center"/>
    </xf>
    <xf numFmtId="0" fontId="105" fillId="7" borderId="0" xfId="47" applyFont="1" applyFill="1" applyAlignment="1">
      <alignment horizontal="center" vertical="center"/>
    </xf>
    <xf numFmtId="165" fontId="106" fillId="7" borderId="0" xfId="47" applyNumberFormat="1" applyFont="1" applyFill="1" applyAlignment="1">
      <alignment horizontal="center" vertical="center"/>
    </xf>
    <xf numFmtId="166" fontId="81" fillId="0" borderId="0" xfId="47" applyNumberFormat="1" applyFont="1" applyAlignment="1">
      <alignment horizontal="center"/>
    </xf>
    <xf numFmtId="0" fontId="86" fillId="7" borderId="0" xfId="47" applyFont="1" applyFill="1" applyAlignment="1">
      <alignment horizontal="right" vertical="center"/>
    </xf>
    <xf numFmtId="0" fontId="86" fillId="7" borderId="0" xfId="47" applyFont="1" applyFill="1" applyAlignment="1">
      <alignment vertical="center"/>
    </xf>
    <xf numFmtId="0" fontId="95" fillId="0" borderId="0" xfId="47" applyFont="1" applyAlignment="1">
      <alignment horizontal="center" vertical="center"/>
    </xf>
    <xf numFmtId="0" fontId="98" fillId="5" borderId="0" xfId="47" applyFont="1" applyFill="1" applyAlignment="1">
      <alignment vertical="center"/>
    </xf>
    <xf numFmtId="0" fontId="107" fillId="7" borderId="0" xfId="47" applyFont="1" applyFill="1" applyAlignment="1">
      <alignment horizontal="center"/>
    </xf>
    <xf numFmtId="0" fontId="108" fillId="7" borderId="0" xfId="47" applyFont="1" applyFill="1" applyAlignment="1">
      <alignment horizontal="center"/>
    </xf>
    <xf numFmtId="168" fontId="81" fillId="0" borderId="0" xfId="47" applyNumberFormat="1" applyFont="1" applyAlignment="1">
      <alignment horizontal="center"/>
    </xf>
    <xf numFmtId="0" fontId="86" fillId="7" borderId="0" xfId="47" applyFont="1" applyFill="1" applyAlignment="1">
      <alignment horizontal="center"/>
    </xf>
    <xf numFmtId="0" fontId="98" fillId="0" borderId="0" xfId="47" applyFont="1" applyAlignment="1">
      <alignment horizontal="center" vertical="center"/>
    </xf>
    <xf numFmtId="0" fontId="98" fillId="0" borderId="0" xfId="47" applyFont="1" applyAlignment="1">
      <alignment vertical="center"/>
    </xf>
    <xf numFmtId="166" fontId="86" fillId="7" borderId="0" xfId="47" applyNumberFormat="1" applyFont="1" applyFill="1" applyAlignment="1">
      <alignment horizontal="center"/>
    </xf>
    <xf numFmtId="2" fontId="109" fillId="7" borderId="0" xfId="47" applyNumberFormat="1" applyFont="1" applyFill="1" applyAlignment="1">
      <alignment horizontal="center"/>
    </xf>
    <xf numFmtId="2" fontId="99" fillId="0" borderId="0" xfId="47" applyNumberFormat="1" applyFont="1" applyAlignment="1">
      <alignment horizontal="center"/>
    </xf>
    <xf numFmtId="1" fontId="80" fillId="7" borderId="0" xfId="0" applyNumberFormat="1" applyFont="1" applyFill="1" applyAlignment="1">
      <alignment horizontal="center"/>
    </xf>
    <xf numFmtId="0" fontId="101" fillId="0" borderId="0" xfId="47" applyFont="1"/>
    <xf numFmtId="0" fontId="81" fillId="0" borderId="0" xfId="47" applyFont="1" applyAlignment="1">
      <alignment horizontal="center"/>
    </xf>
    <xf numFmtId="165" fontId="110" fillId="7" borderId="0" xfId="47" applyNumberFormat="1" applyFont="1" applyFill="1" applyAlignment="1">
      <alignment horizontal="center"/>
    </xf>
    <xf numFmtId="0" fontId="110" fillId="7" borderId="0" xfId="47" applyFont="1" applyFill="1"/>
    <xf numFmtId="0" fontId="101" fillId="0" borderId="0" xfId="47" applyFont="1" applyAlignment="1">
      <alignment horizontal="center" vertical="center"/>
    </xf>
    <xf numFmtId="165" fontId="81" fillId="7" borderId="0" xfId="47" applyNumberFormat="1" applyFont="1" applyFill="1" applyAlignment="1">
      <alignment horizontal="left"/>
    </xf>
    <xf numFmtId="0" fontId="81" fillId="7" borderId="0" xfId="4" applyFont="1" applyFill="1"/>
    <xf numFmtId="165" fontId="81" fillId="7" borderId="0" xfId="4" applyNumberFormat="1" applyFont="1" applyFill="1" applyAlignment="1">
      <alignment horizontal="center"/>
    </xf>
    <xf numFmtId="0" fontId="101" fillId="7" borderId="0" xfId="47" applyFont="1" applyFill="1" applyAlignment="1">
      <alignment horizontal="center"/>
    </xf>
    <xf numFmtId="0" fontId="101" fillId="0" borderId="0" xfId="47" applyFont="1" applyAlignment="1">
      <alignment horizontal="center"/>
    </xf>
    <xf numFmtId="0" fontId="81" fillId="7" borderId="0" xfId="47" applyFont="1" applyFill="1" applyAlignment="1">
      <alignment horizontal="center"/>
    </xf>
    <xf numFmtId="0" fontId="101" fillId="5" borderId="0" xfId="47" applyFont="1" applyFill="1" applyAlignment="1">
      <alignment horizontal="left" wrapText="1"/>
    </xf>
    <xf numFmtId="2" fontId="101" fillId="0" borderId="0" xfId="47" applyNumberFormat="1" applyFont="1" applyAlignment="1">
      <alignment horizontal="center"/>
    </xf>
    <xf numFmtId="0" fontId="101" fillId="5" borderId="0" xfId="47" applyFont="1" applyFill="1" applyAlignment="1">
      <alignment horizontal="center" wrapText="1"/>
    </xf>
    <xf numFmtId="165" fontId="101" fillId="0" borderId="0" xfId="47" applyNumberFormat="1" applyFont="1" applyAlignment="1">
      <alignment horizontal="center"/>
    </xf>
    <xf numFmtId="0" fontId="101" fillId="0" borderId="0" xfId="47" applyFont="1" applyAlignment="1">
      <alignment horizontal="left"/>
    </xf>
    <xf numFmtId="0" fontId="81" fillId="5" borderId="0" xfId="47" applyFont="1" applyFill="1" applyAlignment="1">
      <alignment horizontal="center"/>
    </xf>
    <xf numFmtId="0" fontId="3" fillId="7" borderId="0" xfId="47" applyFont="1" applyFill="1"/>
    <xf numFmtId="0" fontId="8" fillId="0" borderId="4" xfId="0" applyFont="1" applyBorder="1" applyAlignment="1">
      <alignment horizontal="left"/>
    </xf>
    <xf numFmtId="0" fontId="5" fillId="0" borderId="37" xfId="34" applyBorder="1" applyAlignment="1">
      <alignment horizontal="center" wrapText="1"/>
    </xf>
    <xf numFmtId="0" fontId="2" fillId="64" borderId="1" xfId="0" applyFont="1" applyFill="1" applyBorder="1" applyAlignment="1">
      <alignment horizontal="center"/>
    </xf>
    <xf numFmtId="165" fontId="0" fillId="64" borderId="4" xfId="0" quotePrefix="1" applyNumberFormat="1" applyFill="1" applyBorder="1" applyAlignment="1">
      <alignment horizontal="center" wrapText="1"/>
    </xf>
    <xf numFmtId="165" fontId="0" fillId="64" borderId="3" xfId="0" quotePrefix="1" applyNumberFormat="1" applyFill="1" applyBorder="1" applyAlignment="1">
      <alignment horizontal="center" wrapText="1"/>
    </xf>
    <xf numFmtId="0" fontId="2" fillId="64" borderId="4" xfId="0" applyFont="1" applyFill="1" applyBorder="1" applyAlignment="1">
      <alignment horizontal="center" wrapText="1"/>
    </xf>
    <xf numFmtId="0" fontId="0" fillId="4" borderId="0" xfId="0" applyFill="1" applyAlignment="1">
      <alignment horizontal="center"/>
    </xf>
    <xf numFmtId="0" fontId="5" fillId="64" borderId="4" xfId="34" applyFill="1" applyBorder="1" applyAlignment="1">
      <alignment horizontal="left"/>
    </xf>
    <xf numFmtId="165" fontId="0" fillId="64" borderId="4" xfId="0" applyNumberFormat="1" applyFill="1" applyBorder="1" applyAlignment="1">
      <alignment horizontal="center"/>
    </xf>
    <xf numFmtId="0" fontId="2" fillId="64" borderId="4" xfId="0" applyFont="1" applyFill="1" applyBorder="1" applyAlignment="1">
      <alignment horizontal="center"/>
    </xf>
    <xf numFmtId="0" fontId="0" fillId="0" borderId="29" xfId="0" applyBorder="1" applyAlignment="1" applyProtection="1">
      <alignment horizontal="center"/>
      <protection hidden="1"/>
    </xf>
    <xf numFmtId="169" fontId="0" fillId="0" borderId="0" xfId="0" applyNumberFormat="1" applyProtection="1">
      <protection hidden="1"/>
    </xf>
    <xf numFmtId="0" fontId="76" fillId="0" borderId="0" xfId="0" applyFont="1" applyProtection="1">
      <protection hidden="1"/>
    </xf>
    <xf numFmtId="1" fontId="0" fillId="0" borderId="5" xfId="0" applyNumberFormat="1" applyBorder="1" applyAlignment="1" applyProtection="1">
      <alignment wrapText="1"/>
      <protection hidden="1"/>
    </xf>
    <xf numFmtId="0" fontId="2" fillId="0" borderId="1" xfId="0" applyFont="1" applyBorder="1" applyAlignment="1" applyProtection="1">
      <alignment horizontal="left"/>
      <protection hidden="1"/>
    </xf>
    <xf numFmtId="1" fontId="0" fillId="0" borderId="29" xfId="0" applyNumberFormat="1" applyBorder="1" applyAlignment="1" applyProtection="1">
      <alignment horizontal="center"/>
      <protection hidden="1"/>
    </xf>
    <xf numFmtId="165" fontId="0" fillId="4" borderId="4" xfId="0" quotePrefix="1" applyNumberFormat="1" applyFill="1" applyBorder="1" applyAlignment="1">
      <alignment horizontal="center" wrapText="1"/>
    </xf>
    <xf numFmtId="165" fontId="0" fillId="4" borderId="3" xfId="0" quotePrefix="1" applyNumberFormat="1" applyFill="1" applyBorder="1" applyAlignment="1">
      <alignment horizontal="center" wrapText="1"/>
    </xf>
    <xf numFmtId="0" fontId="2" fillId="4" borderId="4" xfId="0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5" fillId="64" borderId="4" xfId="34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5" fillId="4" borderId="4" xfId="34" applyFill="1" applyBorder="1" applyAlignment="1">
      <alignment horizontal="left"/>
    </xf>
    <xf numFmtId="165" fontId="0" fillId="4" borderId="4" xfId="0" applyNumberForma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5" fillId="4" borderId="4" xfId="34" applyFill="1" applyBorder="1" applyAlignment="1">
      <alignment horizontal="center" wrapText="1"/>
    </xf>
    <xf numFmtId="0" fontId="97" fillId="7" borderId="0" xfId="47" applyFont="1" applyFill="1" applyAlignment="1" applyProtection="1">
      <alignment horizontal="left"/>
      <protection hidden="1"/>
    </xf>
    <xf numFmtId="0" fontId="0" fillId="0" borderId="4" xfId="0" applyBorder="1" applyAlignment="1">
      <alignment horizontal="center"/>
    </xf>
    <xf numFmtId="0" fontId="3" fillId="0" borderId="4" xfId="36" applyFont="1" applyFill="1" applyBorder="1" applyProtection="1">
      <protection locked="0"/>
    </xf>
    <xf numFmtId="0" fontId="97" fillId="7" borderId="0" xfId="47" applyFont="1" applyFill="1" applyAlignment="1" applyProtection="1">
      <protection hidden="1"/>
    </xf>
    <xf numFmtId="0" fontId="97" fillId="7" borderId="0" xfId="47" applyFont="1" applyFill="1" applyBorder="1" applyAlignment="1" applyProtection="1">
      <protection hidden="1"/>
    </xf>
    <xf numFmtId="165" fontId="0" fillId="0" borderId="4" xfId="0" applyNumberFormat="1" applyBorder="1"/>
    <xf numFmtId="2" fontId="96" fillId="7" borderId="2" xfId="47" applyNumberFormat="1" applyFont="1" applyFill="1" applyBorder="1" applyAlignment="1" applyProtection="1">
      <alignment horizontal="center"/>
      <protection hidden="1"/>
    </xf>
    <xf numFmtId="0" fontId="93" fillId="6" borderId="4" xfId="47" applyFont="1" applyFill="1" applyBorder="1" applyAlignment="1" applyProtection="1">
      <alignment horizontal="center" vertical="center" wrapText="1"/>
      <protection hidden="1"/>
    </xf>
    <xf numFmtId="2" fontId="96" fillId="7" borderId="4" xfId="47" applyNumberFormat="1" applyFont="1" applyFill="1" applyBorder="1" applyAlignment="1" applyProtection="1">
      <alignment horizontal="center"/>
      <protection hidden="1"/>
    </xf>
    <xf numFmtId="167" fontId="97" fillId="7" borderId="0" xfId="47" applyNumberFormat="1" applyFont="1" applyFill="1" applyBorder="1" applyAlignment="1" applyProtection="1">
      <alignment horizontal="left"/>
      <protection hidden="1"/>
    </xf>
    <xf numFmtId="2" fontId="76" fillId="0" borderId="1" xfId="0" applyNumberFormat="1" applyFont="1" applyFill="1" applyBorder="1" applyAlignment="1" applyProtection="1">
      <alignment horizontal="center"/>
      <protection hidden="1"/>
    </xf>
    <xf numFmtId="2" fontId="2" fillId="4" borderId="5" xfId="0" applyNumberFormat="1" applyFont="1" applyFill="1" applyBorder="1" applyAlignment="1" applyProtection="1">
      <alignment horizontal="center"/>
      <protection hidden="1"/>
    </xf>
    <xf numFmtId="0" fontId="93" fillId="6" borderId="4" xfId="47" applyFont="1" applyFill="1" applyBorder="1" applyAlignment="1" applyProtection="1">
      <alignment horizontal="center"/>
      <protection hidden="1"/>
    </xf>
    <xf numFmtId="0" fontId="78" fillId="7" borderId="0" xfId="0" applyFont="1" applyFill="1" applyAlignment="1">
      <alignment horizontal="center"/>
    </xf>
    <xf numFmtId="1" fontId="84" fillId="8" borderId="4" xfId="47" applyNumberFormat="1" applyFont="1" applyFill="1" applyBorder="1" applyAlignment="1" applyProtection="1">
      <alignment horizontal="center" vertical="center"/>
      <protection locked="0"/>
    </xf>
    <xf numFmtId="0" fontId="89" fillId="7" borderId="0" xfId="47" applyFont="1" applyFill="1" applyAlignment="1">
      <alignment horizontal="left" vertical="center" wrapText="1"/>
    </xf>
    <xf numFmtId="0" fontId="79" fillId="7" borderId="70" xfId="0" applyFont="1" applyFill="1" applyBorder="1" applyAlignment="1">
      <alignment horizontal="center" wrapText="1"/>
    </xf>
    <xf numFmtId="0" fontId="79" fillId="7" borderId="0" xfId="0" applyFont="1" applyFill="1" applyAlignment="1">
      <alignment horizontal="center" wrapText="1"/>
    </xf>
    <xf numFmtId="0" fontId="82" fillId="5" borderId="13" xfId="47" applyFont="1" applyFill="1" applyBorder="1" applyAlignment="1">
      <alignment horizontal="center" vertical="center" wrapText="1"/>
    </xf>
    <xf numFmtId="0" fontId="82" fillId="5" borderId="14" xfId="47" applyFont="1" applyFill="1" applyBorder="1" applyAlignment="1">
      <alignment horizontal="center" vertical="center" wrapText="1"/>
    </xf>
    <xf numFmtId="0" fontId="82" fillId="5" borderId="115" xfId="47" applyFont="1" applyFill="1" applyBorder="1" applyAlignment="1">
      <alignment horizontal="center" vertical="center" wrapText="1"/>
    </xf>
    <xf numFmtId="0" fontId="82" fillId="5" borderId="116" xfId="47" applyFont="1" applyFill="1" applyBorder="1" applyAlignment="1">
      <alignment horizontal="center" vertical="center" wrapText="1"/>
    </xf>
    <xf numFmtId="0" fontId="82" fillId="5" borderId="0" xfId="47" applyFont="1" applyFill="1" applyAlignment="1">
      <alignment horizontal="center" vertical="center" wrapText="1"/>
    </xf>
    <xf numFmtId="0" fontId="82" fillId="5" borderId="117" xfId="47" applyFont="1" applyFill="1" applyBorder="1" applyAlignment="1">
      <alignment horizontal="center" vertical="center" wrapText="1"/>
    </xf>
    <xf numFmtId="0" fontId="89" fillId="7" borderId="0" xfId="47" applyFont="1" applyFill="1" applyAlignment="1">
      <alignment horizontal="center" vertical="center" wrapText="1"/>
    </xf>
    <xf numFmtId="0" fontId="89" fillId="7" borderId="29" xfId="47" applyFont="1" applyFill="1" applyBorder="1" applyAlignment="1">
      <alignment horizontal="center" vertical="center" wrapText="1"/>
    </xf>
    <xf numFmtId="165" fontId="104" fillId="7" borderId="0" xfId="47" applyNumberFormat="1" applyFont="1" applyFill="1" applyAlignment="1">
      <alignment horizontal="center"/>
    </xf>
    <xf numFmtId="0" fontId="81" fillId="7" borderId="0" xfId="47" applyFont="1" applyFill="1" applyAlignment="1">
      <alignment horizontal="left" wrapText="1"/>
    </xf>
    <xf numFmtId="0" fontId="91" fillId="8" borderId="24" xfId="47" applyFont="1" applyFill="1" applyBorder="1" applyAlignment="1" applyProtection="1">
      <alignment horizontal="center" vertical="center"/>
      <protection locked="0"/>
    </xf>
    <xf numFmtId="0" fontId="91" fillId="8" borderId="25" xfId="47" applyFont="1" applyFill="1" applyBorder="1" applyAlignment="1" applyProtection="1">
      <alignment horizontal="center" vertical="center"/>
      <protection locked="0"/>
    </xf>
    <xf numFmtId="0" fontId="91" fillId="8" borderId="23" xfId="47" applyFont="1" applyFill="1" applyBorder="1" applyAlignment="1" applyProtection="1">
      <alignment horizontal="center" vertical="center"/>
      <protection locked="0"/>
    </xf>
    <xf numFmtId="0" fontId="92" fillId="7" borderId="14" xfId="47" applyFont="1" applyFill="1" applyBorder="1" applyAlignment="1" applyProtection="1">
      <alignment horizontal="center" vertical="center"/>
      <protection hidden="1"/>
    </xf>
    <xf numFmtId="0" fontId="90" fillId="6" borderId="4" xfId="47" applyFont="1" applyFill="1" applyBorder="1" applyAlignment="1" applyProtection="1">
      <alignment horizontal="center" wrapText="1"/>
      <protection locked="0"/>
    </xf>
    <xf numFmtId="0" fontId="86" fillId="7" borderId="0" xfId="47" applyFont="1" applyFill="1" applyAlignment="1">
      <alignment horizontal="center"/>
    </xf>
    <xf numFmtId="0" fontId="97" fillId="7" borderId="0" xfId="47" applyFont="1" applyFill="1" applyAlignment="1">
      <alignment horizontal="left"/>
    </xf>
    <xf numFmtId="0" fontId="0" fillId="0" borderId="4" xfId="0" applyBorder="1" applyAlignment="1">
      <alignment horizontal="center"/>
    </xf>
    <xf numFmtId="0" fontId="71" fillId="7" borderId="0" xfId="0" applyFont="1" applyFill="1" applyAlignment="1" applyProtection="1">
      <alignment horizontal="center" vertical="center" wrapText="1"/>
      <protection hidden="1"/>
    </xf>
    <xf numFmtId="0" fontId="0" fillId="0" borderId="2" xfId="0" quotePrefix="1" applyBorder="1" applyAlignment="1" applyProtection="1">
      <alignment horizontal="center" wrapText="1"/>
      <protection hidden="1"/>
    </xf>
    <xf numFmtId="0" fontId="0" fillId="0" borderId="3" xfId="0" quotePrefix="1" applyBorder="1" applyAlignment="1" applyProtection="1">
      <alignment horizontal="center" wrapTex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2" xfId="0" quotePrefix="1" applyFont="1" applyBorder="1" applyAlignment="1" applyProtection="1">
      <alignment horizontal="center" wrapText="1"/>
      <protection hidden="1"/>
    </xf>
    <xf numFmtId="0" fontId="2" fillId="0" borderId="3" xfId="0" quotePrefix="1" applyFont="1" applyBorder="1" applyAlignment="1" applyProtection="1">
      <alignment horizontal="center" wrapText="1"/>
      <protection hidden="1"/>
    </xf>
    <xf numFmtId="0" fontId="34" fillId="0" borderId="0" xfId="0" applyFont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 wrapText="1"/>
      <protection hidden="1"/>
    </xf>
    <xf numFmtId="0" fontId="2" fillId="0" borderId="3" xfId="0" applyFont="1" applyBorder="1" applyAlignment="1" applyProtection="1">
      <alignment horizontal="center" wrapText="1"/>
      <protection hidden="1"/>
    </xf>
    <xf numFmtId="0" fontId="0" fillId="0" borderId="4" xfId="0" applyBorder="1" applyAlignment="1" applyProtection="1">
      <alignment horizontal="center"/>
      <protection hidden="1"/>
    </xf>
    <xf numFmtId="0" fontId="15" fillId="0" borderId="0" xfId="0" applyFont="1" applyAlignment="1" applyProtection="1">
      <alignment horizontal="left"/>
      <protection hidden="1"/>
    </xf>
    <xf numFmtId="0" fontId="2" fillId="0" borderId="4" xfId="0" applyFont="1" applyBorder="1" applyAlignment="1" applyProtection="1">
      <alignment horizontal="center"/>
      <protection hidden="1"/>
    </xf>
    <xf numFmtId="169" fontId="0" fillId="0" borderId="5" xfId="0" applyNumberFormat="1" applyBorder="1" applyAlignment="1" applyProtection="1">
      <alignment horizontal="center"/>
      <protection hidden="1"/>
    </xf>
    <xf numFmtId="1" fontId="76" fillId="4" borderId="1" xfId="0" applyNumberFormat="1" applyFont="1" applyFill="1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center"/>
      <protection hidden="1"/>
    </xf>
    <xf numFmtId="1" fontId="0" fillId="0" borderId="5" xfId="0" applyNumberFormat="1" applyBorder="1" applyAlignment="1" applyProtection="1">
      <alignment horizontal="center"/>
      <protection hidden="1"/>
    </xf>
    <xf numFmtId="0" fontId="0" fillId="0" borderId="12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1" fontId="0" fillId="0" borderId="0" xfId="0" applyNumberFormat="1" applyAlignment="1" applyProtection="1">
      <alignment horizontal="left"/>
      <protection hidden="1"/>
    </xf>
    <xf numFmtId="0" fontId="77" fillId="4" borderId="0" xfId="0" applyFont="1" applyFill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0" fontId="0" fillId="0" borderId="114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 wrapText="1"/>
      <protection hidden="1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29" xfId="0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74" fillId="0" borderId="0" xfId="0" applyFont="1" applyAlignment="1">
      <alignment horizontal="center"/>
    </xf>
    <xf numFmtId="0" fontId="70" fillId="6" borderId="2" xfId="47" applyFont="1" applyFill="1" applyBorder="1" applyAlignment="1">
      <alignment horizontal="center" vertical="center" wrapText="1"/>
    </xf>
    <xf numFmtId="0" fontId="70" fillId="6" borderId="3" xfId="47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7" fillId="0" borderId="42" xfId="0" applyFont="1" applyBorder="1" applyAlignment="1">
      <alignment horizontal="center" vertical="center" textRotation="90" wrapText="1"/>
    </xf>
    <xf numFmtId="0" fontId="27" fillId="0" borderId="46" xfId="0" applyFont="1" applyBorder="1" applyAlignment="1">
      <alignment horizontal="center" vertical="center" textRotation="90" wrapText="1"/>
    </xf>
    <xf numFmtId="0" fontId="27" fillId="0" borderId="48" xfId="0" applyFont="1" applyBorder="1" applyAlignment="1">
      <alignment horizontal="center" vertical="center" textRotation="90" wrapText="1"/>
    </xf>
    <xf numFmtId="0" fontId="27" fillId="0" borderId="53" xfId="0" applyFont="1" applyBorder="1" applyAlignment="1">
      <alignment horizontal="center" vertical="center" textRotation="90" wrapText="1"/>
    </xf>
    <xf numFmtId="0" fontId="27" fillId="0" borderId="55" xfId="0" applyFont="1" applyBorder="1" applyAlignment="1">
      <alignment horizontal="center" vertical="center" textRotation="90" wrapText="1"/>
    </xf>
    <xf numFmtId="0" fontId="27" fillId="0" borderId="51" xfId="0" applyFont="1" applyBorder="1" applyAlignment="1">
      <alignment horizontal="center" vertical="center" textRotation="90" wrapText="1"/>
    </xf>
    <xf numFmtId="0" fontId="0" fillId="0" borderId="5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63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9" fillId="3" borderId="13" xfId="0" applyFont="1" applyFill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11" fillId="3" borderId="5" xfId="0" applyFont="1" applyFill="1" applyBorder="1" applyAlignment="1">
      <alignment horizontal="left"/>
    </xf>
    <xf numFmtId="0" fontId="10" fillId="3" borderId="5" xfId="0" applyFont="1" applyFill="1" applyBorder="1" applyAlignment="1">
      <alignment horizontal="left"/>
    </xf>
    <xf numFmtId="0" fontId="6" fillId="0" borderId="2" xfId="1" applyFont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6" fillId="0" borderId="4" xfId="1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3803">
    <cellStyle name="20% - Accent1" xfId="75" builtinId="30" customBuiltin="1"/>
    <cellStyle name="20% - Accent1 2" xfId="121" xr:uid="{00000000-0005-0000-0000-000001000000}"/>
    <cellStyle name="20% - Accent2" xfId="79" builtinId="34" customBuiltin="1"/>
    <cellStyle name="20% - Accent2 2" xfId="122" xr:uid="{00000000-0005-0000-0000-000003000000}"/>
    <cellStyle name="20% - Accent3" xfId="83" builtinId="38" customBuiltin="1"/>
    <cellStyle name="20% - Accent3 2" xfId="123" xr:uid="{00000000-0005-0000-0000-000005000000}"/>
    <cellStyle name="20% - Accent4" xfId="87" builtinId="42" customBuiltin="1"/>
    <cellStyle name="20% - Accent4 2" xfId="124" xr:uid="{00000000-0005-0000-0000-000007000000}"/>
    <cellStyle name="20% - Accent5" xfId="91" builtinId="46" customBuiltin="1"/>
    <cellStyle name="20% - Accent5 2" xfId="125" xr:uid="{00000000-0005-0000-0000-000009000000}"/>
    <cellStyle name="20% - Accent6" xfId="95" builtinId="50" customBuiltin="1"/>
    <cellStyle name="20% - Accent6 2" xfId="126" xr:uid="{00000000-0005-0000-0000-00000B000000}"/>
    <cellStyle name="40% - Accent1" xfId="76" builtinId="31" customBuiltin="1"/>
    <cellStyle name="40% - Accent1 2" xfId="127" xr:uid="{00000000-0005-0000-0000-00000D000000}"/>
    <cellStyle name="40% - Accent2" xfId="80" builtinId="35" customBuiltin="1"/>
    <cellStyle name="40% - Accent2 2" xfId="128" xr:uid="{00000000-0005-0000-0000-00000F000000}"/>
    <cellStyle name="40% - Accent3" xfId="84" builtinId="39" customBuiltin="1"/>
    <cellStyle name="40% - Accent3 2" xfId="129" xr:uid="{00000000-0005-0000-0000-000011000000}"/>
    <cellStyle name="40% - Accent4" xfId="88" builtinId="43" customBuiltin="1"/>
    <cellStyle name="40% - Accent4 2" xfId="130" xr:uid="{00000000-0005-0000-0000-000013000000}"/>
    <cellStyle name="40% - Accent5" xfId="92" builtinId="47" customBuiltin="1"/>
    <cellStyle name="40% - Accent5 2" xfId="131" xr:uid="{00000000-0005-0000-0000-000015000000}"/>
    <cellStyle name="40% - Accent6" xfId="96" builtinId="51" customBuiltin="1"/>
    <cellStyle name="40% - Accent6 2" xfId="132" xr:uid="{00000000-0005-0000-0000-000017000000}"/>
    <cellStyle name="60% - Accent1" xfId="77" builtinId="32" customBuiltin="1"/>
    <cellStyle name="60% - Accent1 2" xfId="133" xr:uid="{00000000-0005-0000-0000-000019000000}"/>
    <cellStyle name="60% - Accent2" xfId="81" builtinId="36" customBuiltin="1"/>
    <cellStyle name="60% - Accent2 2" xfId="134" xr:uid="{00000000-0005-0000-0000-00001B000000}"/>
    <cellStyle name="60% - Accent3" xfId="85" builtinId="40" customBuiltin="1"/>
    <cellStyle name="60% - Accent3 2" xfId="135" xr:uid="{00000000-0005-0000-0000-00001D000000}"/>
    <cellStyle name="60% - Accent4" xfId="89" builtinId="44" customBuiltin="1"/>
    <cellStyle name="60% - Accent4 2" xfId="136" xr:uid="{00000000-0005-0000-0000-00001F000000}"/>
    <cellStyle name="60% - Accent5" xfId="93" builtinId="48" customBuiltin="1"/>
    <cellStyle name="60% - Accent5 2" xfId="137" xr:uid="{00000000-0005-0000-0000-000021000000}"/>
    <cellStyle name="60% - Accent6" xfId="97" builtinId="52" customBuiltin="1"/>
    <cellStyle name="60% - Accent6 2" xfId="138" xr:uid="{00000000-0005-0000-0000-000023000000}"/>
    <cellStyle name="Accent1" xfId="74" builtinId="29" customBuiltin="1"/>
    <cellStyle name="Accent1 2" xfId="139" xr:uid="{00000000-0005-0000-0000-000025000000}"/>
    <cellStyle name="Accent2" xfId="78" builtinId="33" customBuiltin="1"/>
    <cellStyle name="Accent2 2" xfId="140" xr:uid="{00000000-0005-0000-0000-000027000000}"/>
    <cellStyle name="Accent3" xfId="82" builtinId="37" customBuiltin="1"/>
    <cellStyle name="Accent3 2" xfId="141" xr:uid="{00000000-0005-0000-0000-000029000000}"/>
    <cellStyle name="Accent4" xfId="86" builtinId="41" customBuiltin="1"/>
    <cellStyle name="Accent4 2" xfId="142" xr:uid="{00000000-0005-0000-0000-00002B000000}"/>
    <cellStyle name="Accent5" xfId="90" builtinId="45" customBuiltin="1"/>
    <cellStyle name="Accent5 2" xfId="143" xr:uid="{00000000-0005-0000-0000-00002D000000}"/>
    <cellStyle name="Accent6" xfId="94" builtinId="49" customBuiltin="1"/>
    <cellStyle name="Accent6 2" xfId="144" xr:uid="{00000000-0005-0000-0000-00002F000000}"/>
    <cellStyle name="Bad" xfId="63" builtinId="27" customBuiltin="1"/>
    <cellStyle name="Bad 2" xfId="145" xr:uid="{00000000-0005-0000-0000-000031000000}"/>
    <cellStyle name="Calculation" xfId="67" builtinId="22" customBuiltin="1"/>
    <cellStyle name="Calculation 2" xfId="146" xr:uid="{00000000-0005-0000-0000-000033000000}"/>
    <cellStyle name="Calculation 2 10" xfId="3595" xr:uid="{00000000-0005-0000-0000-000034000000}"/>
    <cellStyle name="Calculation 2 2" xfId="147" xr:uid="{00000000-0005-0000-0000-000035000000}"/>
    <cellStyle name="Calculation 2 2 2" xfId="3590" xr:uid="{00000000-0005-0000-0000-000036000000}"/>
    <cellStyle name="Calculation 2 2 2 2" xfId="3774" xr:uid="{00000000-0005-0000-0000-000037000000}"/>
    <cellStyle name="Calculation 2 2 3" xfId="3448" xr:uid="{00000000-0005-0000-0000-000038000000}"/>
    <cellStyle name="Calculation 2 2 3 2" xfId="3664" xr:uid="{00000000-0005-0000-0000-000039000000}"/>
    <cellStyle name="Calculation 2 2 4" xfId="3600" xr:uid="{00000000-0005-0000-0000-00003A000000}"/>
    <cellStyle name="Calculation 2 2 4 2" xfId="3780" xr:uid="{00000000-0005-0000-0000-00003B000000}"/>
    <cellStyle name="Calculation 2 2 5" xfId="3611" xr:uid="{00000000-0005-0000-0000-00003C000000}"/>
    <cellStyle name="Calculation 2 2 5 2" xfId="3789" xr:uid="{00000000-0005-0000-0000-00003D000000}"/>
    <cellStyle name="Calculation 2 2 6" xfId="3625" xr:uid="{00000000-0005-0000-0000-00003E000000}"/>
    <cellStyle name="Calculation 2 2 6 2" xfId="3801" xr:uid="{00000000-0005-0000-0000-00003F000000}"/>
    <cellStyle name="Calculation 2 2 7" xfId="3594" xr:uid="{00000000-0005-0000-0000-000040000000}"/>
    <cellStyle name="Calculation 2 3" xfId="148" xr:uid="{00000000-0005-0000-0000-000041000000}"/>
    <cellStyle name="Calculation 2 3 2" xfId="3589" xr:uid="{00000000-0005-0000-0000-000042000000}"/>
    <cellStyle name="Calculation 2 3 2 2" xfId="3773" xr:uid="{00000000-0005-0000-0000-000043000000}"/>
    <cellStyle name="Calculation 2 3 3" xfId="3449" xr:uid="{00000000-0005-0000-0000-000044000000}"/>
    <cellStyle name="Calculation 2 3 3 2" xfId="3665" xr:uid="{00000000-0005-0000-0000-000045000000}"/>
    <cellStyle name="Calculation 2 3 4" xfId="3599" xr:uid="{00000000-0005-0000-0000-000046000000}"/>
    <cellStyle name="Calculation 2 3 4 2" xfId="3779" xr:uid="{00000000-0005-0000-0000-000047000000}"/>
    <cellStyle name="Calculation 2 3 5" xfId="3610" xr:uid="{00000000-0005-0000-0000-000048000000}"/>
    <cellStyle name="Calculation 2 3 5 2" xfId="3788" xr:uid="{00000000-0005-0000-0000-000049000000}"/>
    <cellStyle name="Calculation 2 3 6" xfId="3624" xr:uid="{00000000-0005-0000-0000-00004A000000}"/>
    <cellStyle name="Calculation 2 3 6 2" xfId="3800" xr:uid="{00000000-0005-0000-0000-00004B000000}"/>
    <cellStyle name="Calculation 2 3 7" xfId="3593" xr:uid="{00000000-0005-0000-0000-00004C000000}"/>
    <cellStyle name="Calculation 2 4" xfId="149" xr:uid="{00000000-0005-0000-0000-00004D000000}"/>
    <cellStyle name="Calculation 2 4 2" xfId="3588" xr:uid="{00000000-0005-0000-0000-00004E000000}"/>
    <cellStyle name="Calculation 2 4 2 2" xfId="3772" xr:uid="{00000000-0005-0000-0000-00004F000000}"/>
    <cellStyle name="Calculation 2 4 3" xfId="3450" xr:uid="{00000000-0005-0000-0000-000050000000}"/>
    <cellStyle name="Calculation 2 4 3 2" xfId="3666" xr:uid="{00000000-0005-0000-0000-000051000000}"/>
    <cellStyle name="Calculation 2 4 4" xfId="3598" xr:uid="{00000000-0005-0000-0000-000052000000}"/>
    <cellStyle name="Calculation 2 4 4 2" xfId="3778" xr:uid="{00000000-0005-0000-0000-000053000000}"/>
    <cellStyle name="Calculation 2 4 5" xfId="3609" xr:uid="{00000000-0005-0000-0000-000054000000}"/>
    <cellStyle name="Calculation 2 4 5 2" xfId="3787" xr:uid="{00000000-0005-0000-0000-000055000000}"/>
    <cellStyle name="Calculation 2 4 6" xfId="3623" xr:uid="{00000000-0005-0000-0000-000056000000}"/>
    <cellStyle name="Calculation 2 4 6 2" xfId="3799" xr:uid="{00000000-0005-0000-0000-000057000000}"/>
    <cellStyle name="Calculation 2 4 7" xfId="3592" xr:uid="{00000000-0005-0000-0000-000058000000}"/>
    <cellStyle name="Calculation 2 5" xfId="3591" xr:uid="{00000000-0005-0000-0000-000059000000}"/>
    <cellStyle name="Calculation 2 5 2" xfId="3775" xr:uid="{00000000-0005-0000-0000-00005A000000}"/>
    <cellStyle name="Calculation 2 6" xfId="3447" xr:uid="{00000000-0005-0000-0000-00005B000000}"/>
    <cellStyle name="Calculation 2 6 2" xfId="3663" xr:uid="{00000000-0005-0000-0000-00005C000000}"/>
    <cellStyle name="Calculation 2 7" xfId="3601" xr:uid="{00000000-0005-0000-0000-00005D000000}"/>
    <cellStyle name="Calculation 2 7 2" xfId="3781" xr:uid="{00000000-0005-0000-0000-00005E000000}"/>
    <cellStyle name="Calculation 2 8" xfId="3612" xr:uid="{00000000-0005-0000-0000-00005F000000}"/>
    <cellStyle name="Calculation 2 8 2" xfId="3790" xr:uid="{00000000-0005-0000-0000-000060000000}"/>
    <cellStyle name="Calculation 2 9" xfId="3626" xr:uid="{00000000-0005-0000-0000-000061000000}"/>
    <cellStyle name="Calculation 2 9 2" xfId="3802" xr:uid="{00000000-0005-0000-0000-000062000000}"/>
    <cellStyle name="Check Cell" xfId="69" builtinId="23" customBuiltin="1"/>
    <cellStyle name="Check Cell 2" xfId="150" xr:uid="{00000000-0005-0000-0000-000064000000}"/>
    <cellStyle name="Comma" xfId="52" builtinId="3"/>
    <cellStyle name="Comma 10" xfId="151" xr:uid="{00000000-0005-0000-0000-000066000000}"/>
    <cellStyle name="Comma 2" xfId="39" xr:uid="{00000000-0005-0000-0000-000067000000}"/>
    <cellStyle name="Comma 2 10" xfId="153" xr:uid="{00000000-0005-0000-0000-000068000000}"/>
    <cellStyle name="Comma 2 10 2" xfId="154" xr:uid="{00000000-0005-0000-0000-000069000000}"/>
    <cellStyle name="Comma 2 11" xfId="155" xr:uid="{00000000-0005-0000-0000-00006A000000}"/>
    <cellStyle name="Comma 2 11 2" xfId="156" xr:uid="{00000000-0005-0000-0000-00006B000000}"/>
    <cellStyle name="Comma 2 12" xfId="157" xr:uid="{00000000-0005-0000-0000-00006C000000}"/>
    <cellStyle name="Comma 2 12 2" xfId="158" xr:uid="{00000000-0005-0000-0000-00006D000000}"/>
    <cellStyle name="Comma 2 13" xfId="159" xr:uid="{00000000-0005-0000-0000-00006E000000}"/>
    <cellStyle name="Comma 2 14" xfId="152" xr:uid="{00000000-0005-0000-0000-00006F000000}"/>
    <cellStyle name="Comma 2 2" xfId="160" xr:uid="{00000000-0005-0000-0000-000070000000}"/>
    <cellStyle name="Comma 2 2 10" xfId="161" xr:uid="{00000000-0005-0000-0000-000071000000}"/>
    <cellStyle name="Comma 2 2 10 2" xfId="162" xr:uid="{00000000-0005-0000-0000-000072000000}"/>
    <cellStyle name="Comma 2 2 11" xfId="163" xr:uid="{00000000-0005-0000-0000-000073000000}"/>
    <cellStyle name="Comma 2 2 2" xfId="164" xr:uid="{00000000-0005-0000-0000-000074000000}"/>
    <cellStyle name="Comma 2 2 2 2" xfId="165" xr:uid="{00000000-0005-0000-0000-000075000000}"/>
    <cellStyle name="Comma 2 2 2 2 2" xfId="166" xr:uid="{00000000-0005-0000-0000-000076000000}"/>
    <cellStyle name="Comma 2 2 2 2 2 2" xfId="167" xr:uid="{00000000-0005-0000-0000-000077000000}"/>
    <cellStyle name="Comma 2 2 2 2 3" xfId="168" xr:uid="{00000000-0005-0000-0000-000078000000}"/>
    <cellStyle name="Comma 2 2 2 3" xfId="169" xr:uid="{00000000-0005-0000-0000-000079000000}"/>
    <cellStyle name="Comma 2 2 2 3 2" xfId="170" xr:uid="{00000000-0005-0000-0000-00007A000000}"/>
    <cellStyle name="Comma 2 2 2 3 2 2" xfId="171" xr:uid="{00000000-0005-0000-0000-00007B000000}"/>
    <cellStyle name="Comma 2 2 2 3 3" xfId="172" xr:uid="{00000000-0005-0000-0000-00007C000000}"/>
    <cellStyle name="Comma 2 2 2 4" xfId="173" xr:uid="{00000000-0005-0000-0000-00007D000000}"/>
    <cellStyle name="Comma 2 2 2 4 2" xfId="174" xr:uid="{00000000-0005-0000-0000-00007E000000}"/>
    <cellStyle name="Comma 2 2 2 4 2 2" xfId="175" xr:uid="{00000000-0005-0000-0000-00007F000000}"/>
    <cellStyle name="Comma 2 2 2 4 3" xfId="176" xr:uid="{00000000-0005-0000-0000-000080000000}"/>
    <cellStyle name="Comma 2 2 2 5" xfId="177" xr:uid="{00000000-0005-0000-0000-000081000000}"/>
    <cellStyle name="Comma 2 2 2 5 2" xfId="178" xr:uid="{00000000-0005-0000-0000-000082000000}"/>
    <cellStyle name="Comma 2 2 2 5 2 2" xfId="179" xr:uid="{00000000-0005-0000-0000-000083000000}"/>
    <cellStyle name="Comma 2 2 2 5 3" xfId="180" xr:uid="{00000000-0005-0000-0000-000084000000}"/>
    <cellStyle name="Comma 2 2 2 6" xfId="181" xr:uid="{00000000-0005-0000-0000-000085000000}"/>
    <cellStyle name="Comma 2 2 2 6 2" xfId="182" xr:uid="{00000000-0005-0000-0000-000086000000}"/>
    <cellStyle name="Comma 2 2 2 7" xfId="183" xr:uid="{00000000-0005-0000-0000-000087000000}"/>
    <cellStyle name="Comma 2 2 2 7 2" xfId="184" xr:uid="{00000000-0005-0000-0000-000088000000}"/>
    <cellStyle name="Comma 2 2 2 8" xfId="185" xr:uid="{00000000-0005-0000-0000-000089000000}"/>
    <cellStyle name="Comma 2 2 2 8 2" xfId="186" xr:uid="{00000000-0005-0000-0000-00008A000000}"/>
    <cellStyle name="Comma 2 2 2 9" xfId="187" xr:uid="{00000000-0005-0000-0000-00008B000000}"/>
    <cellStyle name="Comma 2 2 3" xfId="188" xr:uid="{00000000-0005-0000-0000-00008C000000}"/>
    <cellStyle name="Comma 2 2 3 2" xfId="189" xr:uid="{00000000-0005-0000-0000-00008D000000}"/>
    <cellStyle name="Comma 2 2 3 2 2" xfId="190" xr:uid="{00000000-0005-0000-0000-00008E000000}"/>
    <cellStyle name="Comma 2 2 3 2 2 2" xfId="191" xr:uid="{00000000-0005-0000-0000-00008F000000}"/>
    <cellStyle name="Comma 2 2 3 2 3" xfId="192" xr:uid="{00000000-0005-0000-0000-000090000000}"/>
    <cellStyle name="Comma 2 2 3 3" xfId="193" xr:uid="{00000000-0005-0000-0000-000091000000}"/>
    <cellStyle name="Comma 2 2 3 3 2" xfId="194" xr:uid="{00000000-0005-0000-0000-000092000000}"/>
    <cellStyle name="Comma 2 2 3 3 2 2" xfId="195" xr:uid="{00000000-0005-0000-0000-000093000000}"/>
    <cellStyle name="Comma 2 2 3 3 3" xfId="196" xr:uid="{00000000-0005-0000-0000-000094000000}"/>
    <cellStyle name="Comma 2 2 3 4" xfId="197" xr:uid="{00000000-0005-0000-0000-000095000000}"/>
    <cellStyle name="Comma 2 2 3 4 2" xfId="198" xr:uid="{00000000-0005-0000-0000-000096000000}"/>
    <cellStyle name="Comma 2 2 3 4 2 2" xfId="199" xr:uid="{00000000-0005-0000-0000-000097000000}"/>
    <cellStyle name="Comma 2 2 3 4 3" xfId="200" xr:uid="{00000000-0005-0000-0000-000098000000}"/>
    <cellStyle name="Comma 2 2 3 5" xfId="201" xr:uid="{00000000-0005-0000-0000-000099000000}"/>
    <cellStyle name="Comma 2 2 3 5 2" xfId="202" xr:uid="{00000000-0005-0000-0000-00009A000000}"/>
    <cellStyle name="Comma 2 2 3 5 2 2" xfId="203" xr:uid="{00000000-0005-0000-0000-00009B000000}"/>
    <cellStyle name="Comma 2 2 3 5 3" xfId="204" xr:uid="{00000000-0005-0000-0000-00009C000000}"/>
    <cellStyle name="Comma 2 2 3 6" xfId="205" xr:uid="{00000000-0005-0000-0000-00009D000000}"/>
    <cellStyle name="Comma 2 2 3 6 2" xfId="206" xr:uid="{00000000-0005-0000-0000-00009E000000}"/>
    <cellStyle name="Comma 2 2 3 7" xfId="207" xr:uid="{00000000-0005-0000-0000-00009F000000}"/>
    <cellStyle name="Comma 2 2 3 7 2" xfId="208" xr:uid="{00000000-0005-0000-0000-0000A0000000}"/>
    <cellStyle name="Comma 2 2 3 8" xfId="209" xr:uid="{00000000-0005-0000-0000-0000A1000000}"/>
    <cellStyle name="Comma 2 2 3 8 2" xfId="210" xr:uid="{00000000-0005-0000-0000-0000A2000000}"/>
    <cellStyle name="Comma 2 2 3 9" xfId="211" xr:uid="{00000000-0005-0000-0000-0000A3000000}"/>
    <cellStyle name="Comma 2 2 4" xfId="212" xr:uid="{00000000-0005-0000-0000-0000A4000000}"/>
    <cellStyle name="Comma 2 2 4 2" xfId="213" xr:uid="{00000000-0005-0000-0000-0000A5000000}"/>
    <cellStyle name="Comma 2 2 4 2 2" xfId="214" xr:uid="{00000000-0005-0000-0000-0000A6000000}"/>
    <cellStyle name="Comma 2 2 4 3" xfId="215" xr:uid="{00000000-0005-0000-0000-0000A7000000}"/>
    <cellStyle name="Comma 2 2 5" xfId="216" xr:uid="{00000000-0005-0000-0000-0000A8000000}"/>
    <cellStyle name="Comma 2 2 5 2" xfId="217" xr:uid="{00000000-0005-0000-0000-0000A9000000}"/>
    <cellStyle name="Comma 2 2 5 2 2" xfId="218" xr:uid="{00000000-0005-0000-0000-0000AA000000}"/>
    <cellStyle name="Comma 2 2 5 3" xfId="219" xr:uid="{00000000-0005-0000-0000-0000AB000000}"/>
    <cellStyle name="Comma 2 2 6" xfId="220" xr:uid="{00000000-0005-0000-0000-0000AC000000}"/>
    <cellStyle name="Comma 2 2 6 2" xfId="221" xr:uid="{00000000-0005-0000-0000-0000AD000000}"/>
    <cellStyle name="Comma 2 2 6 2 2" xfId="222" xr:uid="{00000000-0005-0000-0000-0000AE000000}"/>
    <cellStyle name="Comma 2 2 6 3" xfId="223" xr:uid="{00000000-0005-0000-0000-0000AF000000}"/>
    <cellStyle name="Comma 2 2 7" xfId="224" xr:uid="{00000000-0005-0000-0000-0000B0000000}"/>
    <cellStyle name="Comma 2 2 7 2" xfId="225" xr:uid="{00000000-0005-0000-0000-0000B1000000}"/>
    <cellStyle name="Comma 2 2 7 2 2" xfId="226" xr:uid="{00000000-0005-0000-0000-0000B2000000}"/>
    <cellStyle name="Comma 2 2 7 3" xfId="227" xr:uid="{00000000-0005-0000-0000-0000B3000000}"/>
    <cellStyle name="Comma 2 2 8" xfId="228" xr:uid="{00000000-0005-0000-0000-0000B4000000}"/>
    <cellStyle name="Comma 2 2 8 2" xfId="229" xr:uid="{00000000-0005-0000-0000-0000B5000000}"/>
    <cellStyle name="Comma 2 2 9" xfId="230" xr:uid="{00000000-0005-0000-0000-0000B6000000}"/>
    <cellStyle name="Comma 2 2 9 2" xfId="231" xr:uid="{00000000-0005-0000-0000-0000B7000000}"/>
    <cellStyle name="Comma 2 3" xfId="232" xr:uid="{00000000-0005-0000-0000-0000B8000000}"/>
    <cellStyle name="Comma 2 3 2" xfId="233" xr:uid="{00000000-0005-0000-0000-0000B9000000}"/>
    <cellStyle name="Comma 2 3 2 2" xfId="234" xr:uid="{00000000-0005-0000-0000-0000BA000000}"/>
    <cellStyle name="Comma 2 3 2 2 2" xfId="235" xr:uid="{00000000-0005-0000-0000-0000BB000000}"/>
    <cellStyle name="Comma 2 3 2 3" xfId="236" xr:uid="{00000000-0005-0000-0000-0000BC000000}"/>
    <cellStyle name="Comma 2 3 3" xfId="237" xr:uid="{00000000-0005-0000-0000-0000BD000000}"/>
    <cellStyle name="Comma 2 3 3 2" xfId="238" xr:uid="{00000000-0005-0000-0000-0000BE000000}"/>
    <cellStyle name="Comma 2 3 3 2 2" xfId="239" xr:uid="{00000000-0005-0000-0000-0000BF000000}"/>
    <cellStyle name="Comma 2 3 3 3" xfId="240" xr:uid="{00000000-0005-0000-0000-0000C0000000}"/>
    <cellStyle name="Comma 2 3 4" xfId="241" xr:uid="{00000000-0005-0000-0000-0000C1000000}"/>
    <cellStyle name="Comma 2 3 4 2" xfId="242" xr:uid="{00000000-0005-0000-0000-0000C2000000}"/>
    <cellStyle name="Comma 2 3 4 2 2" xfId="243" xr:uid="{00000000-0005-0000-0000-0000C3000000}"/>
    <cellStyle name="Comma 2 3 4 3" xfId="244" xr:uid="{00000000-0005-0000-0000-0000C4000000}"/>
    <cellStyle name="Comma 2 3 5" xfId="245" xr:uid="{00000000-0005-0000-0000-0000C5000000}"/>
    <cellStyle name="Comma 2 3 5 2" xfId="246" xr:uid="{00000000-0005-0000-0000-0000C6000000}"/>
    <cellStyle name="Comma 2 3 5 2 2" xfId="247" xr:uid="{00000000-0005-0000-0000-0000C7000000}"/>
    <cellStyle name="Comma 2 3 5 3" xfId="248" xr:uid="{00000000-0005-0000-0000-0000C8000000}"/>
    <cellStyle name="Comma 2 3 6" xfId="249" xr:uid="{00000000-0005-0000-0000-0000C9000000}"/>
    <cellStyle name="Comma 2 3 6 2" xfId="250" xr:uid="{00000000-0005-0000-0000-0000CA000000}"/>
    <cellStyle name="Comma 2 3 7" xfId="251" xr:uid="{00000000-0005-0000-0000-0000CB000000}"/>
    <cellStyle name="Comma 2 3 7 2" xfId="252" xr:uid="{00000000-0005-0000-0000-0000CC000000}"/>
    <cellStyle name="Comma 2 3 8" xfId="253" xr:uid="{00000000-0005-0000-0000-0000CD000000}"/>
    <cellStyle name="Comma 2 3 8 2" xfId="254" xr:uid="{00000000-0005-0000-0000-0000CE000000}"/>
    <cellStyle name="Comma 2 3 9" xfId="255" xr:uid="{00000000-0005-0000-0000-0000CF000000}"/>
    <cellStyle name="Comma 2 4" xfId="256" xr:uid="{00000000-0005-0000-0000-0000D0000000}"/>
    <cellStyle name="Comma 2 4 2" xfId="257" xr:uid="{00000000-0005-0000-0000-0000D1000000}"/>
    <cellStyle name="Comma 2 4 2 2" xfId="258" xr:uid="{00000000-0005-0000-0000-0000D2000000}"/>
    <cellStyle name="Comma 2 4 2 2 2" xfId="259" xr:uid="{00000000-0005-0000-0000-0000D3000000}"/>
    <cellStyle name="Comma 2 4 2 3" xfId="260" xr:uid="{00000000-0005-0000-0000-0000D4000000}"/>
    <cellStyle name="Comma 2 4 3" xfId="261" xr:uid="{00000000-0005-0000-0000-0000D5000000}"/>
    <cellStyle name="Comma 2 4 3 2" xfId="262" xr:uid="{00000000-0005-0000-0000-0000D6000000}"/>
    <cellStyle name="Comma 2 4 3 2 2" xfId="263" xr:uid="{00000000-0005-0000-0000-0000D7000000}"/>
    <cellStyle name="Comma 2 4 3 3" xfId="264" xr:uid="{00000000-0005-0000-0000-0000D8000000}"/>
    <cellStyle name="Comma 2 4 4" xfId="265" xr:uid="{00000000-0005-0000-0000-0000D9000000}"/>
    <cellStyle name="Comma 2 4 4 2" xfId="266" xr:uid="{00000000-0005-0000-0000-0000DA000000}"/>
    <cellStyle name="Comma 2 4 4 2 2" xfId="267" xr:uid="{00000000-0005-0000-0000-0000DB000000}"/>
    <cellStyle name="Comma 2 4 4 3" xfId="268" xr:uid="{00000000-0005-0000-0000-0000DC000000}"/>
    <cellStyle name="Comma 2 4 5" xfId="269" xr:uid="{00000000-0005-0000-0000-0000DD000000}"/>
    <cellStyle name="Comma 2 4 5 2" xfId="270" xr:uid="{00000000-0005-0000-0000-0000DE000000}"/>
    <cellStyle name="Comma 2 4 5 2 2" xfId="271" xr:uid="{00000000-0005-0000-0000-0000DF000000}"/>
    <cellStyle name="Comma 2 4 5 3" xfId="272" xr:uid="{00000000-0005-0000-0000-0000E0000000}"/>
    <cellStyle name="Comma 2 4 6" xfId="273" xr:uid="{00000000-0005-0000-0000-0000E1000000}"/>
    <cellStyle name="Comma 2 4 6 2" xfId="274" xr:uid="{00000000-0005-0000-0000-0000E2000000}"/>
    <cellStyle name="Comma 2 4 7" xfId="275" xr:uid="{00000000-0005-0000-0000-0000E3000000}"/>
    <cellStyle name="Comma 2 4 7 2" xfId="276" xr:uid="{00000000-0005-0000-0000-0000E4000000}"/>
    <cellStyle name="Comma 2 4 8" xfId="277" xr:uid="{00000000-0005-0000-0000-0000E5000000}"/>
    <cellStyle name="Comma 2 4 8 2" xfId="278" xr:uid="{00000000-0005-0000-0000-0000E6000000}"/>
    <cellStyle name="Comma 2 4 9" xfId="279" xr:uid="{00000000-0005-0000-0000-0000E7000000}"/>
    <cellStyle name="Comma 2 5" xfId="280" xr:uid="{00000000-0005-0000-0000-0000E8000000}"/>
    <cellStyle name="Comma 2 5 2" xfId="281" xr:uid="{00000000-0005-0000-0000-0000E9000000}"/>
    <cellStyle name="Comma 2 5 2 2" xfId="282" xr:uid="{00000000-0005-0000-0000-0000EA000000}"/>
    <cellStyle name="Comma 2 5 2 2 2" xfId="283" xr:uid="{00000000-0005-0000-0000-0000EB000000}"/>
    <cellStyle name="Comma 2 5 2 3" xfId="284" xr:uid="{00000000-0005-0000-0000-0000EC000000}"/>
    <cellStyle name="Comma 2 5 3" xfId="285" xr:uid="{00000000-0005-0000-0000-0000ED000000}"/>
    <cellStyle name="Comma 2 5 3 2" xfId="286" xr:uid="{00000000-0005-0000-0000-0000EE000000}"/>
    <cellStyle name="Comma 2 5 3 2 2" xfId="287" xr:uid="{00000000-0005-0000-0000-0000EF000000}"/>
    <cellStyle name="Comma 2 5 3 3" xfId="288" xr:uid="{00000000-0005-0000-0000-0000F0000000}"/>
    <cellStyle name="Comma 2 5 4" xfId="289" xr:uid="{00000000-0005-0000-0000-0000F1000000}"/>
    <cellStyle name="Comma 2 5 4 2" xfId="290" xr:uid="{00000000-0005-0000-0000-0000F2000000}"/>
    <cellStyle name="Comma 2 5 4 2 2" xfId="291" xr:uid="{00000000-0005-0000-0000-0000F3000000}"/>
    <cellStyle name="Comma 2 5 4 3" xfId="292" xr:uid="{00000000-0005-0000-0000-0000F4000000}"/>
    <cellStyle name="Comma 2 5 5" xfId="293" xr:uid="{00000000-0005-0000-0000-0000F5000000}"/>
    <cellStyle name="Comma 2 5 5 2" xfId="294" xr:uid="{00000000-0005-0000-0000-0000F6000000}"/>
    <cellStyle name="Comma 2 5 5 2 2" xfId="295" xr:uid="{00000000-0005-0000-0000-0000F7000000}"/>
    <cellStyle name="Comma 2 5 5 3" xfId="296" xr:uid="{00000000-0005-0000-0000-0000F8000000}"/>
    <cellStyle name="Comma 2 5 6" xfId="297" xr:uid="{00000000-0005-0000-0000-0000F9000000}"/>
    <cellStyle name="Comma 2 5 6 2" xfId="298" xr:uid="{00000000-0005-0000-0000-0000FA000000}"/>
    <cellStyle name="Comma 2 5 7" xfId="299" xr:uid="{00000000-0005-0000-0000-0000FB000000}"/>
    <cellStyle name="Comma 2 5 7 2" xfId="300" xr:uid="{00000000-0005-0000-0000-0000FC000000}"/>
    <cellStyle name="Comma 2 5 8" xfId="301" xr:uid="{00000000-0005-0000-0000-0000FD000000}"/>
    <cellStyle name="Comma 2 5 8 2" xfId="302" xr:uid="{00000000-0005-0000-0000-0000FE000000}"/>
    <cellStyle name="Comma 2 5 9" xfId="303" xr:uid="{00000000-0005-0000-0000-0000FF000000}"/>
    <cellStyle name="Comma 2 6" xfId="304" xr:uid="{00000000-0005-0000-0000-000000010000}"/>
    <cellStyle name="Comma 2 6 2" xfId="305" xr:uid="{00000000-0005-0000-0000-000001010000}"/>
    <cellStyle name="Comma 2 6 2 2" xfId="306" xr:uid="{00000000-0005-0000-0000-000002010000}"/>
    <cellStyle name="Comma 2 6 3" xfId="307" xr:uid="{00000000-0005-0000-0000-000003010000}"/>
    <cellStyle name="Comma 2 7" xfId="308" xr:uid="{00000000-0005-0000-0000-000004010000}"/>
    <cellStyle name="Comma 2 7 2" xfId="309" xr:uid="{00000000-0005-0000-0000-000005010000}"/>
    <cellStyle name="Comma 2 7 2 2" xfId="310" xr:uid="{00000000-0005-0000-0000-000006010000}"/>
    <cellStyle name="Comma 2 7 3" xfId="311" xr:uid="{00000000-0005-0000-0000-000007010000}"/>
    <cellStyle name="Comma 2 8" xfId="312" xr:uid="{00000000-0005-0000-0000-000008010000}"/>
    <cellStyle name="Comma 2 8 2" xfId="313" xr:uid="{00000000-0005-0000-0000-000009010000}"/>
    <cellStyle name="Comma 2 8 2 2" xfId="314" xr:uid="{00000000-0005-0000-0000-00000A010000}"/>
    <cellStyle name="Comma 2 8 3" xfId="315" xr:uid="{00000000-0005-0000-0000-00000B010000}"/>
    <cellStyle name="Comma 2 9" xfId="316" xr:uid="{00000000-0005-0000-0000-00000C010000}"/>
    <cellStyle name="Comma 2 9 2" xfId="317" xr:uid="{00000000-0005-0000-0000-00000D010000}"/>
    <cellStyle name="Comma 2 9 2 2" xfId="318" xr:uid="{00000000-0005-0000-0000-00000E010000}"/>
    <cellStyle name="Comma 2 9 3" xfId="319" xr:uid="{00000000-0005-0000-0000-00000F010000}"/>
    <cellStyle name="Comma 3" xfId="2" xr:uid="{00000000-0005-0000-0000-000010010000}"/>
    <cellStyle name="Comma 3 10" xfId="321" xr:uid="{00000000-0005-0000-0000-000011010000}"/>
    <cellStyle name="Comma 3 10 2" xfId="322" xr:uid="{00000000-0005-0000-0000-000012010000}"/>
    <cellStyle name="Comma 3 11" xfId="323" xr:uid="{00000000-0005-0000-0000-000013010000}"/>
    <cellStyle name="Comma 3 11 2" xfId="324" xr:uid="{00000000-0005-0000-0000-000014010000}"/>
    <cellStyle name="Comma 3 12" xfId="325" xr:uid="{00000000-0005-0000-0000-000015010000}"/>
    <cellStyle name="Comma 3 12 2" xfId="326" xr:uid="{00000000-0005-0000-0000-000016010000}"/>
    <cellStyle name="Comma 3 13" xfId="327" xr:uid="{00000000-0005-0000-0000-000017010000}"/>
    <cellStyle name="Comma 3 14" xfId="320" xr:uid="{00000000-0005-0000-0000-000018010000}"/>
    <cellStyle name="Comma 3 2" xfId="328" xr:uid="{00000000-0005-0000-0000-000019010000}"/>
    <cellStyle name="Comma 3 2 10" xfId="329" xr:uid="{00000000-0005-0000-0000-00001A010000}"/>
    <cellStyle name="Comma 3 2 10 2" xfId="330" xr:uid="{00000000-0005-0000-0000-00001B010000}"/>
    <cellStyle name="Comma 3 2 11" xfId="331" xr:uid="{00000000-0005-0000-0000-00001C010000}"/>
    <cellStyle name="Comma 3 2 2" xfId="332" xr:uid="{00000000-0005-0000-0000-00001D010000}"/>
    <cellStyle name="Comma 3 2 2 2" xfId="333" xr:uid="{00000000-0005-0000-0000-00001E010000}"/>
    <cellStyle name="Comma 3 2 2 2 2" xfId="334" xr:uid="{00000000-0005-0000-0000-00001F010000}"/>
    <cellStyle name="Comma 3 2 2 2 2 2" xfId="335" xr:uid="{00000000-0005-0000-0000-000020010000}"/>
    <cellStyle name="Comma 3 2 2 2 3" xfId="336" xr:uid="{00000000-0005-0000-0000-000021010000}"/>
    <cellStyle name="Comma 3 2 2 3" xfId="337" xr:uid="{00000000-0005-0000-0000-000022010000}"/>
    <cellStyle name="Comma 3 2 2 3 2" xfId="338" xr:uid="{00000000-0005-0000-0000-000023010000}"/>
    <cellStyle name="Comma 3 2 2 3 2 2" xfId="339" xr:uid="{00000000-0005-0000-0000-000024010000}"/>
    <cellStyle name="Comma 3 2 2 3 3" xfId="340" xr:uid="{00000000-0005-0000-0000-000025010000}"/>
    <cellStyle name="Comma 3 2 2 4" xfId="341" xr:uid="{00000000-0005-0000-0000-000026010000}"/>
    <cellStyle name="Comma 3 2 2 4 2" xfId="342" xr:uid="{00000000-0005-0000-0000-000027010000}"/>
    <cellStyle name="Comma 3 2 2 4 2 2" xfId="343" xr:uid="{00000000-0005-0000-0000-000028010000}"/>
    <cellStyle name="Comma 3 2 2 4 3" xfId="344" xr:uid="{00000000-0005-0000-0000-000029010000}"/>
    <cellStyle name="Comma 3 2 2 5" xfId="345" xr:uid="{00000000-0005-0000-0000-00002A010000}"/>
    <cellStyle name="Comma 3 2 2 5 2" xfId="346" xr:uid="{00000000-0005-0000-0000-00002B010000}"/>
    <cellStyle name="Comma 3 2 2 5 2 2" xfId="347" xr:uid="{00000000-0005-0000-0000-00002C010000}"/>
    <cellStyle name="Comma 3 2 2 5 3" xfId="348" xr:uid="{00000000-0005-0000-0000-00002D010000}"/>
    <cellStyle name="Comma 3 2 2 6" xfId="349" xr:uid="{00000000-0005-0000-0000-00002E010000}"/>
    <cellStyle name="Comma 3 2 2 6 2" xfId="350" xr:uid="{00000000-0005-0000-0000-00002F010000}"/>
    <cellStyle name="Comma 3 2 2 7" xfId="351" xr:uid="{00000000-0005-0000-0000-000030010000}"/>
    <cellStyle name="Comma 3 2 2 7 2" xfId="352" xr:uid="{00000000-0005-0000-0000-000031010000}"/>
    <cellStyle name="Comma 3 2 2 8" xfId="353" xr:uid="{00000000-0005-0000-0000-000032010000}"/>
    <cellStyle name="Comma 3 2 2 8 2" xfId="354" xr:uid="{00000000-0005-0000-0000-000033010000}"/>
    <cellStyle name="Comma 3 2 2 9" xfId="355" xr:uid="{00000000-0005-0000-0000-000034010000}"/>
    <cellStyle name="Comma 3 2 3" xfId="356" xr:uid="{00000000-0005-0000-0000-000035010000}"/>
    <cellStyle name="Comma 3 2 3 2" xfId="357" xr:uid="{00000000-0005-0000-0000-000036010000}"/>
    <cellStyle name="Comma 3 2 3 2 2" xfId="358" xr:uid="{00000000-0005-0000-0000-000037010000}"/>
    <cellStyle name="Comma 3 2 3 2 2 2" xfId="359" xr:uid="{00000000-0005-0000-0000-000038010000}"/>
    <cellStyle name="Comma 3 2 3 2 3" xfId="360" xr:uid="{00000000-0005-0000-0000-000039010000}"/>
    <cellStyle name="Comma 3 2 3 3" xfId="361" xr:uid="{00000000-0005-0000-0000-00003A010000}"/>
    <cellStyle name="Comma 3 2 3 3 2" xfId="362" xr:uid="{00000000-0005-0000-0000-00003B010000}"/>
    <cellStyle name="Comma 3 2 3 3 2 2" xfId="363" xr:uid="{00000000-0005-0000-0000-00003C010000}"/>
    <cellStyle name="Comma 3 2 3 3 3" xfId="364" xr:uid="{00000000-0005-0000-0000-00003D010000}"/>
    <cellStyle name="Comma 3 2 3 4" xfId="365" xr:uid="{00000000-0005-0000-0000-00003E010000}"/>
    <cellStyle name="Comma 3 2 3 4 2" xfId="366" xr:uid="{00000000-0005-0000-0000-00003F010000}"/>
    <cellStyle name="Comma 3 2 3 4 2 2" xfId="367" xr:uid="{00000000-0005-0000-0000-000040010000}"/>
    <cellStyle name="Comma 3 2 3 4 3" xfId="368" xr:uid="{00000000-0005-0000-0000-000041010000}"/>
    <cellStyle name="Comma 3 2 3 5" xfId="369" xr:uid="{00000000-0005-0000-0000-000042010000}"/>
    <cellStyle name="Comma 3 2 3 5 2" xfId="370" xr:uid="{00000000-0005-0000-0000-000043010000}"/>
    <cellStyle name="Comma 3 2 3 5 2 2" xfId="371" xr:uid="{00000000-0005-0000-0000-000044010000}"/>
    <cellStyle name="Comma 3 2 3 5 3" xfId="372" xr:uid="{00000000-0005-0000-0000-000045010000}"/>
    <cellStyle name="Comma 3 2 3 6" xfId="373" xr:uid="{00000000-0005-0000-0000-000046010000}"/>
    <cellStyle name="Comma 3 2 3 6 2" xfId="374" xr:uid="{00000000-0005-0000-0000-000047010000}"/>
    <cellStyle name="Comma 3 2 3 7" xfId="375" xr:uid="{00000000-0005-0000-0000-000048010000}"/>
    <cellStyle name="Comma 3 2 3 7 2" xfId="376" xr:uid="{00000000-0005-0000-0000-000049010000}"/>
    <cellStyle name="Comma 3 2 3 8" xfId="377" xr:uid="{00000000-0005-0000-0000-00004A010000}"/>
    <cellStyle name="Comma 3 2 3 8 2" xfId="378" xr:uid="{00000000-0005-0000-0000-00004B010000}"/>
    <cellStyle name="Comma 3 2 3 9" xfId="379" xr:uid="{00000000-0005-0000-0000-00004C010000}"/>
    <cellStyle name="Comma 3 2 4" xfId="380" xr:uid="{00000000-0005-0000-0000-00004D010000}"/>
    <cellStyle name="Comma 3 2 4 2" xfId="381" xr:uid="{00000000-0005-0000-0000-00004E010000}"/>
    <cellStyle name="Comma 3 2 4 2 2" xfId="382" xr:uid="{00000000-0005-0000-0000-00004F010000}"/>
    <cellStyle name="Comma 3 2 4 3" xfId="383" xr:uid="{00000000-0005-0000-0000-000050010000}"/>
    <cellStyle name="Comma 3 2 5" xfId="384" xr:uid="{00000000-0005-0000-0000-000051010000}"/>
    <cellStyle name="Comma 3 2 5 2" xfId="385" xr:uid="{00000000-0005-0000-0000-000052010000}"/>
    <cellStyle name="Comma 3 2 5 2 2" xfId="386" xr:uid="{00000000-0005-0000-0000-000053010000}"/>
    <cellStyle name="Comma 3 2 5 3" xfId="387" xr:uid="{00000000-0005-0000-0000-000054010000}"/>
    <cellStyle name="Comma 3 2 6" xfId="388" xr:uid="{00000000-0005-0000-0000-000055010000}"/>
    <cellStyle name="Comma 3 2 6 2" xfId="389" xr:uid="{00000000-0005-0000-0000-000056010000}"/>
    <cellStyle name="Comma 3 2 6 2 2" xfId="390" xr:uid="{00000000-0005-0000-0000-000057010000}"/>
    <cellStyle name="Comma 3 2 6 3" xfId="391" xr:uid="{00000000-0005-0000-0000-000058010000}"/>
    <cellStyle name="Comma 3 2 7" xfId="392" xr:uid="{00000000-0005-0000-0000-000059010000}"/>
    <cellStyle name="Comma 3 2 7 2" xfId="393" xr:uid="{00000000-0005-0000-0000-00005A010000}"/>
    <cellStyle name="Comma 3 2 7 2 2" xfId="394" xr:uid="{00000000-0005-0000-0000-00005B010000}"/>
    <cellStyle name="Comma 3 2 7 3" xfId="395" xr:uid="{00000000-0005-0000-0000-00005C010000}"/>
    <cellStyle name="Comma 3 2 8" xfId="396" xr:uid="{00000000-0005-0000-0000-00005D010000}"/>
    <cellStyle name="Comma 3 2 8 2" xfId="397" xr:uid="{00000000-0005-0000-0000-00005E010000}"/>
    <cellStyle name="Comma 3 2 9" xfId="398" xr:uid="{00000000-0005-0000-0000-00005F010000}"/>
    <cellStyle name="Comma 3 2 9 2" xfId="399" xr:uid="{00000000-0005-0000-0000-000060010000}"/>
    <cellStyle name="Comma 3 3" xfId="400" xr:uid="{00000000-0005-0000-0000-000061010000}"/>
    <cellStyle name="Comma 3 3 2" xfId="401" xr:uid="{00000000-0005-0000-0000-000062010000}"/>
    <cellStyle name="Comma 3 3 2 2" xfId="402" xr:uid="{00000000-0005-0000-0000-000063010000}"/>
    <cellStyle name="Comma 3 3 2 2 2" xfId="403" xr:uid="{00000000-0005-0000-0000-000064010000}"/>
    <cellStyle name="Comma 3 3 2 3" xfId="404" xr:uid="{00000000-0005-0000-0000-000065010000}"/>
    <cellStyle name="Comma 3 3 3" xfId="405" xr:uid="{00000000-0005-0000-0000-000066010000}"/>
    <cellStyle name="Comma 3 3 3 2" xfId="406" xr:uid="{00000000-0005-0000-0000-000067010000}"/>
    <cellStyle name="Comma 3 3 3 2 2" xfId="407" xr:uid="{00000000-0005-0000-0000-000068010000}"/>
    <cellStyle name="Comma 3 3 3 3" xfId="408" xr:uid="{00000000-0005-0000-0000-000069010000}"/>
    <cellStyle name="Comma 3 3 4" xfId="409" xr:uid="{00000000-0005-0000-0000-00006A010000}"/>
    <cellStyle name="Comma 3 3 4 2" xfId="410" xr:uid="{00000000-0005-0000-0000-00006B010000}"/>
    <cellStyle name="Comma 3 3 4 2 2" xfId="411" xr:uid="{00000000-0005-0000-0000-00006C010000}"/>
    <cellStyle name="Comma 3 3 4 3" xfId="412" xr:uid="{00000000-0005-0000-0000-00006D010000}"/>
    <cellStyle name="Comma 3 3 5" xfId="413" xr:uid="{00000000-0005-0000-0000-00006E010000}"/>
    <cellStyle name="Comma 3 3 5 2" xfId="414" xr:uid="{00000000-0005-0000-0000-00006F010000}"/>
    <cellStyle name="Comma 3 3 5 2 2" xfId="415" xr:uid="{00000000-0005-0000-0000-000070010000}"/>
    <cellStyle name="Comma 3 3 5 3" xfId="416" xr:uid="{00000000-0005-0000-0000-000071010000}"/>
    <cellStyle name="Comma 3 3 6" xfId="417" xr:uid="{00000000-0005-0000-0000-000072010000}"/>
    <cellStyle name="Comma 3 3 6 2" xfId="418" xr:uid="{00000000-0005-0000-0000-000073010000}"/>
    <cellStyle name="Comma 3 3 7" xfId="419" xr:uid="{00000000-0005-0000-0000-000074010000}"/>
    <cellStyle name="Comma 3 3 7 2" xfId="420" xr:uid="{00000000-0005-0000-0000-000075010000}"/>
    <cellStyle name="Comma 3 3 8" xfId="421" xr:uid="{00000000-0005-0000-0000-000076010000}"/>
    <cellStyle name="Comma 3 3 8 2" xfId="422" xr:uid="{00000000-0005-0000-0000-000077010000}"/>
    <cellStyle name="Comma 3 3 9" xfId="423" xr:uid="{00000000-0005-0000-0000-000078010000}"/>
    <cellStyle name="Comma 3 4" xfId="424" xr:uid="{00000000-0005-0000-0000-000079010000}"/>
    <cellStyle name="Comma 3 4 2" xfId="425" xr:uid="{00000000-0005-0000-0000-00007A010000}"/>
    <cellStyle name="Comma 3 4 2 2" xfId="426" xr:uid="{00000000-0005-0000-0000-00007B010000}"/>
    <cellStyle name="Comma 3 4 2 2 2" xfId="427" xr:uid="{00000000-0005-0000-0000-00007C010000}"/>
    <cellStyle name="Comma 3 4 2 3" xfId="428" xr:uid="{00000000-0005-0000-0000-00007D010000}"/>
    <cellStyle name="Comma 3 4 3" xfId="429" xr:uid="{00000000-0005-0000-0000-00007E010000}"/>
    <cellStyle name="Comma 3 4 3 2" xfId="430" xr:uid="{00000000-0005-0000-0000-00007F010000}"/>
    <cellStyle name="Comma 3 4 3 2 2" xfId="431" xr:uid="{00000000-0005-0000-0000-000080010000}"/>
    <cellStyle name="Comma 3 4 3 3" xfId="432" xr:uid="{00000000-0005-0000-0000-000081010000}"/>
    <cellStyle name="Comma 3 4 4" xfId="433" xr:uid="{00000000-0005-0000-0000-000082010000}"/>
    <cellStyle name="Comma 3 4 4 2" xfId="434" xr:uid="{00000000-0005-0000-0000-000083010000}"/>
    <cellStyle name="Comma 3 4 4 2 2" xfId="435" xr:uid="{00000000-0005-0000-0000-000084010000}"/>
    <cellStyle name="Comma 3 4 4 3" xfId="436" xr:uid="{00000000-0005-0000-0000-000085010000}"/>
    <cellStyle name="Comma 3 4 5" xfId="437" xr:uid="{00000000-0005-0000-0000-000086010000}"/>
    <cellStyle name="Comma 3 4 5 2" xfId="438" xr:uid="{00000000-0005-0000-0000-000087010000}"/>
    <cellStyle name="Comma 3 4 5 2 2" xfId="439" xr:uid="{00000000-0005-0000-0000-000088010000}"/>
    <cellStyle name="Comma 3 4 5 3" xfId="440" xr:uid="{00000000-0005-0000-0000-000089010000}"/>
    <cellStyle name="Comma 3 4 6" xfId="441" xr:uid="{00000000-0005-0000-0000-00008A010000}"/>
    <cellStyle name="Comma 3 4 6 2" xfId="442" xr:uid="{00000000-0005-0000-0000-00008B010000}"/>
    <cellStyle name="Comma 3 4 7" xfId="443" xr:uid="{00000000-0005-0000-0000-00008C010000}"/>
    <cellStyle name="Comma 3 4 7 2" xfId="444" xr:uid="{00000000-0005-0000-0000-00008D010000}"/>
    <cellStyle name="Comma 3 4 8" xfId="445" xr:uid="{00000000-0005-0000-0000-00008E010000}"/>
    <cellStyle name="Comma 3 4 8 2" xfId="446" xr:uid="{00000000-0005-0000-0000-00008F010000}"/>
    <cellStyle name="Comma 3 4 9" xfId="447" xr:uid="{00000000-0005-0000-0000-000090010000}"/>
    <cellStyle name="Comma 3 5" xfId="448" xr:uid="{00000000-0005-0000-0000-000091010000}"/>
    <cellStyle name="Comma 3 5 2" xfId="449" xr:uid="{00000000-0005-0000-0000-000092010000}"/>
    <cellStyle name="Comma 3 5 2 2" xfId="450" xr:uid="{00000000-0005-0000-0000-000093010000}"/>
    <cellStyle name="Comma 3 5 2 2 2" xfId="451" xr:uid="{00000000-0005-0000-0000-000094010000}"/>
    <cellStyle name="Comma 3 5 2 3" xfId="452" xr:uid="{00000000-0005-0000-0000-000095010000}"/>
    <cellStyle name="Comma 3 5 3" xfId="453" xr:uid="{00000000-0005-0000-0000-000096010000}"/>
    <cellStyle name="Comma 3 5 3 2" xfId="454" xr:uid="{00000000-0005-0000-0000-000097010000}"/>
    <cellStyle name="Comma 3 5 3 2 2" xfId="455" xr:uid="{00000000-0005-0000-0000-000098010000}"/>
    <cellStyle name="Comma 3 5 3 3" xfId="456" xr:uid="{00000000-0005-0000-0000-000099010000}"/>
    <cellStyle name="Comma 3 5 4" xfId="457" xr:uid="{00000000-0005-0000-0000-00009A010000}"/>
    <cellStyle name="Comma 3 5 4 2" xfId="458" xr:uid="{00000000-0005-0000-0000-00009B010000}"/>
    <cellStyle name="Comma 3 5 4 2 2" xfId="459" xr:uid="{00000000-0005-0000-0000-00009C010000}"/>
    <cellStyle name="Comma 3 5 4 3" xfId="460" xr:uid="{00000000-0005-0000-0000-00009D010000}"/>
    <cellStyle name="Comma 3 5 5" xfId="461" xr:uid="{00000000-0005-0000-0000-00009E010000}"/>
    <cellStyle name="Comma 3 5 5 2" xfId="462" xr:uid="{00000000-0005-0000-0000-00009F010000}"/>
    <cellStyle name="Comma 3 5 5 2 2" xfId="463" xr:uid="{00000000-0005-0000-0000-0000A0010000}"/>
    <cellStyle name="Comma 3 5 5 3" xfId="464" xr:uid="{00000000-0005-0000-0000-0000A1010000}"/>
    <cellStyle name="Comma 3 5 6" xfId="465" xr:uid="{00000000-0005-0000-0000-0000A2010000}"/>
    <cellStyle name="Comma 3 5 6 2" xfId="466" xr:uid="{00000000-0005-0000-0000-0000A3010000}"/>
    <cellStyle name="Comma 3 5 7" xfId="467" xr:uid="{00000000-0005-0000-0000-0000A4010000}"/>
    <cellStyle name="Comma 3 5 7 2" xfId="468" xr:uid="{00000000-0005-0000-0000-0000A5010000}"/>
    <cellStyle name="Comma 3 5 8" xfId="469" xr:uid="{00000000-0005-0000-0000-0000A6010000}"/>
    <cellStyle name="Comma 3 5 8 2" xfId="470" xr:uid="{00000000-0005-0000-0000-0000A7010000}"/>
    <cellStyle name="Comma 3 5 9" xfId="471" xr:uid="{00000000-0005-0000-0000-0000A8010000}"/>
    <cellStyle name="Comma 3 6" xfId="472" xr:uid="{00000000-0005-0000-0000-0000A9010000}"/>
    <cellStyle name="Comma 3 6 2" xfId="473" xr:uid="{00000000-0005-0000-0000-0000AA010000}"/>
    <cellStyle name="Comma 3 6 2 2" xfId="474" xr:uid="{00000000-0005-0000-0000-0000AB010000}"/>
    <cellStyle name="Comma 3 6 3" xfId="475" xr:uid="{00000000-0005-0000-0000-0000AC010000}"/>
    <cellStyle name="Comma 3 7" xfId="476" xr:uid="{00000000-0005-0000-0000-0000AD010000}"/>
    <cellStyle name="Comma 3 7 2" xfId="477" xr:uid="{00000000-0005-0000-0000-0000AE010000}"/>
    <cellStyle name="Comma 3 7 2 2" xfId="478" xr:uid="{00000000-0005-0000-0000-0000AF010000}"/>
    <cellStyle name="Comma 3 7 3" xfId="479" xr:uid="{00000000-0005-0000-0000-0000B0010000}"/>
    <cellStyle name="Comma 3 8" xfId="480" xr:uid="{00000000-0005-0000-0000-0000B1010000}"/>
    <cellStyle name="Comma 3 8 2" xfId="481" xr:uid="{00000000-0005-0000-0000-0000B2010000}"/>
    <cellStyle name="Comma 3 8 2 2" xfId="482" xr:uid="{00000000-0005-0000-0000-0000B3010000}"/>
    <cellStyle name="Comma 3 8 3" xfId="483" xr:uid="{00000000-0005-0000-0000-0000B4010000}"/>
    <cellStyle name="Comma 3 9" xfId="484" xr:uid="{00000000-0005-0000-0000-0000B5010000}"/>
    <cellStyle name="Comma 3 9 2" xfId="485" xr:uid="{00000000-0005-0000-0000-0000B6010000}"/>
    <cellStyle name="Comma 3 9 2 2" xfId="486" xr:uid="{00000000-0005-0000-0000-0000B7010000}"/>
    <cellStyle name="Comma 3 9 3" xfId="487" xr:uid="{00000000-0005-0000-0000-0000B8010000}"/>
    <cellStyle name="Comma 4" xfId="488" xr:uid="{00000000-0005-0000-0000-0000B9010000}"/>
    <cellStyle name="Comma 4 10" xfId="489" xr:uid="{00000000-0005-0000-0000-0000BA010000}"/>
    <cellStyle name="Comma 4 10 2" xfId="490" xr:uid="{00000000-0005-0000-0000-0000BB010000}"/>
    <cellStyle name="Comma 4 11" xfId="491" xr:uid="{00000000-0005-0000-0000-0000BC010000}"/>
    <cellStyle name="Comma 4 2" xfId="492" xr:uid="{00000000-0005-0000-0000-0000BD010000}"/>
    <cellStyle name="Comma 4 2 2" xfId="493" xr:uid="{00000000-0005-0000-0000-0000BE010000}"/>
    <cellStyle name="Comma 4 2 2 2" xfId="494" xr:uid="{00000000-0005-0000-0000-0000BF010000}"/>
    <cellStyle name="Comma 4 2 2 2 2" xfId="495" xr:uid="{00000000-0005-0000-0000-0000C0010000}"/>
    <cellStyle name="Comma 4 2 2 3" xfId="496" xr:uid="{00000000-0005-0000-0000-0000C1010000}"/>
    <cellStyle name="Comma 4 2 3" xfId="497" xr:uid="{00000000-0005-0000-0000-0000C2010000}"/>
    <cellStyle name="Comma 4 2 3 2" xfId="498" xr:uid="{00000000-0005-0000-0000-0000C3010000}"/>
    <cellStyle name="Comma 4 2 3 2 2" xfId="499" xr:uid="{00000000-0005-0000-0000-0000C4010000}"/>
    <cellStyle name="Comma 4 2 3 3" xfId="500" xr:uid="{00000000-0005-0000-0000-0000C5010000}"/>
    <cellStyle name="Comma 4 2 4" xfId="501" xr:uid="{00000000-0005-0000-0000-0000C6010000}"/>
    <cellStyle name="Comma 4 2 4 2" xfId="502" xr:uid="{00000000-0005-0000-0000-0000C7010000}"/>
    <cellStyle name="Comma 4 2 4 2 2" xfId="503" xr:uid="{00000000-0005-0000-0000-0000C8010000}"/>
    <cellStyle name="Comma 4 2 4 3" xfId="504" xr:uid="{00000000-0005-0000-0000-0000C9010000}"/>
    <cellStyle name="Comma 4 2 5" xfId="505" xr:uid="{00000000-0005-0000-0000-0000CA010000}"/>
    <cellStyle name="Comma 4 2 5 2" xfId="506" xr:uid="{00000000-0005-0000-0000-0000CB010000}"/>
    <cellStyle name="Comma 4 2 5 2 2" xfId="507" xr:uid="{00000000-0005-0000-0000-0000CC010000}"/>
    <cellStyle name="Comma 4 2 5 3" xfId="508" xr:uid="{00000000-0005-0000-0000-0000CD010000}"/>
    <cellStyle name="Comma 4 2 6" xfId="509" xr:uid="{00000000-0005-0000-0000-0000CE010000}"/>
    <cellStyle name="Comma 4 2 6 2" xfId="510" xr:uid="{00000000-0005-0000-0000-0000CF010000}"/>
    <cellStyle name="Comma 4 2 7" xfId="511" xr:uid="{00000000-0005-0000-0000-0000D0010000}"/>
    <cellStyle name="Comma 4 2 7 2" xfId="512" xr:uid="{00000000-0005-0000-0000-0000D1010000}"/>
    <cellStyle name="Comma 4 2 8" xfId="513" xr:uid="{00000000-0005-0000-0000-0000D2010000}"/>
    <cellStyle name="Comma 4 2 8 2" xfId="514" xr:uid="{00000000-0005-0000-0000-0000D3010000}"/>
    <cellStyle name="Comma 4 2 9" xfId="515" xr:uid="{00000000-0005-0000-0000-0000D4010000}"/>
    <cellStyle name="Comma 4 3" xfId="516" xr:uid="{00000000-0005-0000-0000-0000D5010000}"/>
    <cellStyle name="Comma 4 3 2" xfId="517" xr:uid="{00000000-0005-0000-0000-0000D6010000}"/>
    <cellStyle name="Comma 4 3 2 2" xfId="518" xr:uid="{00000000-0005-0000-0000-0000D7010000}"/>
    <cellStyle name="Comma 4 3 2 2 2" xfId="519" xr:uid="{00000000-0005-0000-0000-0000D8010000}"/>
    <cellStyle name="Comma 4 3 2 3" xfId="520" xr:uid="{00000000-0005-0000-0000-0000D9010000}"/>
    <cellStyle name="Comma 4 3 3" xfId="521" xr:uid="{00000000-0005-0000-0000-0000DA010000}"/>
    <cellStyle name="Comma 4 3 3 2" xfId="522" xr:uid="{00000000-0005-0000-0000-0000DB010000}"/>
    <cellStyle name="Comma 4 3 3 2 2" xfId="523" xr:uid="{00000000-0005-0000-0000-0000DC010000}"/>
    <cellStyle name="Comma 4 3 3 3" xfId="524" xr:uid="{00000000-0005-0000-0000-0000DD010000}"/>
    <cellStyle name="Comma 4 3 4" xfId="525" xr:uid="{00000000-0005-0000-0000-0000DE010000}"/>
    <cellStyle name="Comma 4 3 4 2" xfId="526" xr:uid="{00000000-0005-0000-0000-0000DF010000}"/>
    <cellStyle name="Comma 4 3 4 2 2" xfId="527" xr:uid="{00000000-0005-0000-0000-0000E0010000}"/>
    <cellStyle name="Comma 4 3 4 3" xfId="528" xr:uid="{00000000-0005-0000-0000-0000E1010000}"/>
    <cellStyle name="Comma 4 3 5" xfId="529" xr:uid="{00000000-0005-0000-0000-0000E2010000}"/>
    <cellStyle name="Comma 4 3 5 2" xfId="530" xr:uid="{00000000-0005-0000-0000-0000E3010000}"/>
    <cellStyle name="Comma 4 3 5 2 2" xfId="531" xr:uid="{00000000-0005-0000-0000-0000E4010000}"/>
    <cellStyle name="Comma 4 3 5 3" xfId="532" xr:uid="{00000000-0005-0000-0000-0000E5010000}"/>
    <cellStyle name="Comma 4 3 6" xfId="533" xr:uid="{00000000-0005-0000-0000-0000E6010000}"/>
    <cellStyle name="Comma 4 3 6 2" xfId="534" xr:uid="{00000000-0005-0000-0000-0000E7010000}"/>
    <cellStyle name="Comma 4 3 7" xfId="535" xr:uid="{00000000-0005-0000-0000-0000E8010000}"/>
    <cellStyle name="Comma 4 3 7 2" xfId="536" xr:uid="{00000000-0005-0000-0000-0000E9010000}"/>
    <cellStyle name="Comma 4 3 8" xfId="537" xr:uid="{00000000-0005-0000-0000-0000EA010000}"/>
    <cellStyle name="Comma 4 3 8 2" xfId="538" xr:uid="{00000000-0005-0000-0000-0000EB010000}"/>
    <cellStyle name="Comma 4 3 9" xfId="539" xr:uid="{00000000-0005-0000-0000-0000EC010000}"/>
    <cellStyle name="Comma 4 4" xfId="540" xr:uid="{00000000-0005-0000-0000-0000ED010000}"/>
    <cellStyle name="Comma 4 4 2" xfId="541" xr:uid="{00000000-0005-0000-0000-0000EE010000}"/>
    <cellStyle name="Comma 4 4 2 2" xfId="542" xr:uid="{00000000-0005-0000-0000-0000EF010000}"/>
    <cellStyle name="Comma 4 4 3" xfId="543" xr:uid="{00000000-0005-0000-0000-0000F0010000}"/>
    <cellStyle name="Comma 4 5" xfId="544" xr:uid="{00000000-0005-0000-0000-0000F1010000}"/>
    <cellStyle name="Comma 4 5 2" xfId="545" xr:uid="{00000000-0005-0000-0000-0000F2010000}"/>
    <cellStyle name="Comma 4 5 2 2" xfId="546" xr:uid="{00000000-0005-0000-0000-0000F3010000}"/>
    <cellStyle name="Comma 4 5 3" xfId="547" xr:uid="{00000000-0005-0000-0000-0000F4010000}"/>
    <cellStyle name="Comma 4 6" xfId="548" xr:uid="{00000000-0005-0000-0000-0000F5010000}"/>
    <cellStyle name="Comma 4 6 2" xfId="549" xr:uid="{00000000-0005-0000-0000-0000F6010000}"/>
    <cellStyle name="Comma 4 6 2 2" xfId="550" xr:uid="{00000000-0005-0000-0000-0000F7010000}"/>
    <cellStyle name="Comma 4 6 3" xfId="551" xr:uid="{00000000-0005-0000-0000-0000F8010000}"/>
    <cellStyle name="Comma 4 7" xfId="552" xr:uid="{00000000-0005-0000-0000-0000F9010000}"/>
    <cellStyle name="Comma 4 7 2" xfId="553" xr:uid="{00000000-0005-0000-0000-0000FA010000}"/>
    <cellStyle name="Comma 4 7 2 2" xfId="554" xr:uid="{00000000-0005-0000-0000-0000FB010000}"/>
    <cellStyle name="Comma 4 7 3" xfId="555" xr:uid="{00000000-0005-0000-0000-0000FC010000}"/>
    <cellStyle name="Comma 4 8" xfId="556" xr:uid="{00000000-0005-0000-0000-0000FD010000}"/>
    <cellStyle name="Comma 4 8 2" xfId="557" xr:uid="{00000000-0005-0000-0000-0000FE010000}"/>
    <cellStyle name="Comma 4 9" xfId="558" xr:uid="{00000000-0005-0000-0000-0000FF010000}"/>
    <cellStyle name="Comma 4 9 2" xfId="559" xr:uid="{00000000-0005-0000-0000-000000020000}"/>
    <cellStyle name="Comma 5" xfId="560" xr:uid="{00000000-0005-0000-0000-000001020000}"/>
    <cellStyle name="Comma 6" xfId="561" xr:uid="{00000000-0005-0000-0000-000002020000}"/>
    <cellStyle name="Comma 6 2" xfId="562" xr:uid="{00000000-0005-0000-0000-000003020000}"/>
    <cellStyle name="Comma 6 2 2" xfId="563" xr:uid="{00000000-0005-0000-0000-000004020000}"/>
    <cellStyle name="Comma 6 2 2 2" xfId="564" xr:uid="{00000000-0005-0000-0000-000005020000}"/>
    <cellStyle name="Comma 6 2 3" xfId="565" xr:uid="{00000000-0005-0000-0000-000006020000}"/>
    <cellStyle name="Comma 6 3" xfId="566" xr:uid="{00000000-0005-0000-0000-000007020000}"/>
    <cellStyle name="Comma 6 3 2" xfId="567" xr:uid="{00000000-0005-0000-0000-000008020000}"/>
    <cellStyle name="Comma 6 3 2 2" xfId="568" xr:uid="{00000000-0005-0000-0000-000009020000}"/>
    <cellStyle name="Comma 6 3 3" xfId="569" xr:uid="{00000000-0005-0000-0000-00000A020000}"/>
    <cellStyle name="Comma 6 4" xfId="570" xr:uid="{00000000-0005-0000-0000-00000B020000}"/>
    <cellStyle name="Comma 6 4 2" xfId="571" xr:uid="{00000000-0005-0000-0000-00000C020000}"/>
    <cellStyle name="Comma 6 4 2 2" xfId="572" xr:uid="{00000000-0005-0000-0000-00000D020000}"/>
    <cellStyle name="Comma 6 4 3" xfId="573" xr:uid="{00000000-0005-0000-0000-00000E020000}"/>
    <cellStyle name="Comma 6 5" xfId="574" xr:uid="{00000000-0005-0000-0000-00000F020000}"/>
    <cellStyle name="Comma 6 5 2" xfId="575" xr:uid="{00000000-0005-0000-0000-000010020000}"/>
    <cellStyle name="Comma 6 5 2 2" xfId="576" xr:uid="{00000000-0005-0000-0000-000011020000}"/>
    <cellStyle name="Comma 6 5 3" xfId="577" xr:uid="{00000000-0005-0000-0000-000012020000}"/>
    <cellStyle name="Comma 6 6" xfId="578" xr:uid="{00000000-0005-0000-0000-000013020000}"/>
    <cellStyle name="Comma 6 6 2" xfId="579" xr:uid="{00000000-0005-0000-0000-000014020000}"/>
    <cellStyle name="Comma 6 7" xfId="580" xr:uid="{00000000-0005-0000-0000-000015020000}"/>
    <cellStyle name="Comma 6 7 2" xfId="581" xr:uid="{00000000-0005-0000-0000-000016020000}"/>
    <cellStyle name="Comma 6 8" xfId="582" xr:uid="{00000000-0005-0000-0000-000017020000}"/>
    <cellStyle name="Comma 6 8 2" xfId="583" xr:uid="{00000000-0005-0000-0000-000018020000}"/>
    <cellStyle name="Comma 6 9" xfId="584" xr:uid="{00000000-0005-0000-0000-000019020000}"/>
    <cellStyle name="Comma 7" xfId="585" xr:uid="{00000000-0005-0000-0000-00001A020000}"/>
    <cellStyle name="Comma 8" xfId="586" xr:uid="{00000000-0005-0000-0000-00001B020000}"/>
    <cellStyle name="Comma 9" xfId="587" xr:uid="{00000000-0005-0000-0000-00001C020000}"/>
    <cellStyle name="Comma 9 2" xfId="588" xr:uid="{00000000-0005-0000-0000-00001D020000}"/>
    <cellStyle name="Comma 9 2 2" xfId="589" xr:uid="{00000000-0005-0000-0000-00001E020000}"/>
    <cellStyle name="Currency 10" xfId="590" xr:uid="{00000000-0005-0000-0000-00001F020000}"/>
    <cellStyle name="Currency 10 2" xfId="591" xr:uid="{00000000-0005-0000-0000-000020020000}"/>
    <cellStyle name="Currency 10 2 2" xfId="592" xr:uid="{00000000-0005-0000-0000-000021020000}"/>
    <cellStyle name="Currency 11" xfId="593" xr:uid="{00000000-0005-0000-0000-000022020000}"/>
    <cellStyle name="Currency 12" xfId="594" xr:uid="{00000000-0005-0000-0000-000023020000}"/>
    <cellStyle name="Currency 2" xfId="40" xr:uid="{00000000-0005-0000-0000-000024020000}"/>
    <cellStyle name="Currency 2 10" xfId="596" xr:uid="{00000000-0005-0000-0000-000025020000}"/>
    <cellStyle name="Currency 2 10 2" xfId="597" xr:uid="{00000000-0005-0000-0000-000026020000}"/>
    <cellStyle name="Currency 2 10 2 2" xfId="598" xr:uid="{00000000-0005-0000-0000-000027020000}"/>
    <cellStyle name="Currency 2 10 3" xfId="599" xr:uid="{00000000-0005-0000-0000-000028020000}"/>
    <cellStyle name="Currency 2 11" xfId="600" xr:uid="{00000000-0005-0000-0000-000029020000}"/>
    <cellStyle name="Currency 2 11 2" xfId="601" xr:uid="{00000000-0005-0000-0000-00002A020000}"/>
    <cellStyle name="Currency 2 11 2 2" xfId="602" xr:uid="{00000000-0005-0000-0000-00002B020000}"/>
    <cellStyle name="Currency 2 11 3" xfId="603" xr:uid="{00000000-0005-0000-0000-00002C020000}"/>
    <cellStyle name="Currency 2 12" xfId="604" xr:uid="{00000000-0005-0000-0000-00002D020000}"/>
    <cellStyle name="Currency 2 12 2" xfId="605" xr:uid="{00000000-0005-0000-0000-00002E020000}"/>
    <cellStyle name="Currency 2 13" xfId="606" xr:uid="{00000000-0005-0000-0000-00002F020000}"/>
    <cellStyle name="Currency 2 13 2" xfId="607" xr:uid="{00000000-0005-0000-0000-000030020000}"/>
    <cellStyle name="Currency 2 14" xfId="608" xr:uid="{00000000-0005-0000-0000-000031020000}"/>
    <cellStyle name="Currency 2 14 2" xfId="609" xr:uid="{00000000-0005-0000-0000-000032020000}"/>
    <cellStyle name="Currency 2 15" xfId="610" xr:uid="{00000000-0005-0000-0000-000033020000}"/>
    <cellStyle name="Currency 2 16" xfId="611" xr:uid="{00000000-0005-0000-0000-000034020000}"/>
    <cellStyle name="Currency 2 17" xfId="595" xr:uid="{00000000-0005-0000-0000-000035020000}"/>
    <cellStyle name="Currency 2 2" xfId="101" xr:uid="{00000000-0005-0000-0000-000036020000}"/>
    <cellStyle name="Currency 2 2 10" xfId="613" xr:uid="{00000000-0005-0000-0000-000037020000}"/>
    <cellStyle name="Currency 2 2 10 2" xfId="614" xr:uid="{00000000-0005-0000-0000-000038020000}"/>
    <cellStyle name="Currency 2 2 11" xfId="615" xr:uid="{00000000-0005-0000-0000-000039020000}"/>
    <cellStyle name="Currency 2 2 11 2" xfId="616" xr:uid="{00000000-0005-0000-0000-00003A020000}"/>
    <cellStyle name="Currency 2 2 12" xfId="617" xr:uid="{00000000-0005-0000-0000-00003B020000}"/>
    <cellStyle name="Currency 2 2 12 2" xfId="618" xr:uid="{00000000-0005-0000-0000-00003C020000}"/>
    <cellStyle name="Currency 2 2 13" xfId="619" xr:uid="{00000000-0005-0000-0000-00003D020000}"/>
    <cellStyle name="Currency 2 2 14" xfId="612" xr:uid="{00000000-0005-0000-0000-00003E020000}"/>
    <cellStyle name="Currency 2 2 2" xfId="102" xr:uid="{00000000-0005-0000-0000-00003F020000}"/>
    <cellStyle name="Currency 2 2 2 10" xfId="621" xr:uid="{00000000-0005-0000-0000-000040020000}"/>
    <cellStyle name="Currency 2 2 2 10 2" xfId="622" xr:uid="{00000000-0005-0000-0000-000041020000}"/>
    <cellStyle name="Currency 2 2 2 11" xfId="623" xr:uid="{00000000-0005-0000-0000-000042020000}"/>
    <cellStyle name="Currency 2 2 2 12" xfId="620" xr:uid="{00000000-0005-0000-0000-000043020000}"/>
    <cellStyle name="Currency 2 2 2 2" xfId="624" xr:uid="{00000000-0005-0000-0000-000044020000}"/>
    <cellStyle name="Currency 2 2 2 2 2" xfId="625" xr:uid="{00000000-0005-0000-0000-000045020000}"/>
    <cellStyle name="Currency 2 2 2 2 2 2" xfId="626" xr:uid="{00000000-0005-0000-0000-000046020000}"/>
    <cellStyle name="Currency 2 2 2 2 2 2 2" xfId="627" xr:uid="{00000000-0005-0000-0000-000047020000}"/>
    <cellStyle name="Currency 2 2 2 2 2 3" xfId="628" xr:uid="{00000000-0005-0000-0000-000048020000}"/>
    <cellStyle name="Currency 2 2 2 2 3" xfId="629" xr:uid="{00000000-0005-0000-0000-000049020000}"/>
    <cellStyle name="Currency 2 2 2 2 3 2" xfId="630" xr:uid="{00000000-0005-0000-0000-00004A020000}"/>
    <cellStyle name="Currency 2 2 2 2 3 2 2" xfId="631" xr:uid="{00000000-0005-0000-0000-00004B020000}"/>
    <cellStyle name="Currency 2 2 2 2 3 3" xfId="632" xr:uid="{00000000-0005-0000-0000-00004C020000}"/>
    <cellStyle name="Currency 2 2 2 2 4" xfId="633" xr:uid="{00000000-0005-0000-0000-00004D020000}"/>
    <cellStyle name="Currency 2 2 2 2 4 2" xfId="634" xr:uid="{00000000-0005-0000-0000-00004E020000}"/>
    <cellStyle name="Currency 2 2 2 2 4 2 2" xfId="635" xr:uid="{00000000-0005-0000-0000-00004F020000}"/>
    <cellStyle name="Currency 2 2 2 2 4 3" xfId="636" xr:uid="{00000000-0005-0000-0000-000050020000}"/>
    <cellStyle name="Currency 2 2 2 2 5" xfId="637" xr:uid="{00000000-0005-0000-0000-000051020000}"/>
    <cellStyle name="Currency 2 2 2 2 5 2" xfId="638" xr:uid="{00000000-0005-0000-0000-000052020000}"/>
    <cellStyle name="Currency 2 2 2 2 5 2 2" xfId="639" xr:uid="{00000000-0005-0000-0000-000053020000}"/>
    <cellStyle name="Currency 2 2 2 2 5 3" xfId="640" xr:uid="{00000000-0005-0000-0000-000054020000}"/>
    <cellStyle name="Currency 2 2 2 2 6" xfId="641" xr:uid="{00000000-0005-0000-0000-000055020000}"/>
    <cellStyle name="Currency 2 2 2 2 6 2" xfId="642" xr:uid="{00000000-0005-0000-0000-000056020000}"/>
    <cellStyle name="Currency 2 2 2 2 7" xfId="643" xr:uid="{00000000-0005-0000-0000-000057020000}"/>
    <cellStyle name="Currency 2 2 2 2 7 2" xfId="644" xr:uid="{00000000-0005-0000-0000-000058020000}"/>
    <cellStyle name="Currency 2 2 2 2 8" xfId="645" xr:uid="{00000000-0005-0000-0000-000059020000}"/>
    <cellStyle name="Currency 2 2 2 2 8 2" xfId="646" xr:uid="{00000000-0005-0000-0000-00005A020000}"/>
    <cellStyle name="Currency 2 2 2 2 9" xfId="647" xr:uid="{00000000-0005-0000-0000-00005B020000}"/>
    <cellStyle name="Currency 2 2 2 3" xfId="648" xr:uid="{00000000-0005-0000-0000-00005C020000}"/>
    <cellStyle name="Currency 2 2 2 3 2" xfId="649" xr:uid="{00000000-0005-0000-0000-00005D020000}"/>
    <cellStyle name="Currency 2 2 2 3 2 2" xfId="650" xr:uid="{00000000-0005-0000-0000-00005E020000}"/>
    <cellStyle name="Currency 2 2 2 3 2 2 2" xfId="651" xr:uid="{00000000-0005-0000-0000-00005F020000}"/>
    <cellStyle name="Currency 2 2 2 3 2 3" xfId="652" xr:uid="{00000000-0005-0000-0000-000060020000}"/>
    <cellStyle name="Currency 2 2 2 3 3" xfId="653" xr:uid="{00000000-0005-0000-0000-000061020000}"/>
    <cellStyle name="Currency 2 2 2 3 3 2" xfId="654" xr:uid="{00000000-0005-0000-0000-000062020000}"/>
    <cellStyle name="Currency 2 2 2 3 3 2 2" xfId="655" xr:uid="{00000000-0005-0000-0000-000063020000}"/>
    <cellStyle name="Currency 2 2 2 3 3 3" xfId="656" xr:uid="{00000000-0005-0000-0000-000064020000}"/>
    <cellStyle name="Currency 2 2 2 3 4" xfId="657" xr:uid="{00000000-0005-0000-0000-000065020000}"/>
    <cellStyle name="Currency 2 2 2 3 4 2" xfId="658" xr:uid="{00000000-0005-0000-0000-000066020000}"/>
    <cellStyle name="Currency 2 2 2 3 4 2 2" xfId="659" xr:uid="{00000000-0005-0000-0000-000067020000}"/>
    <cellStyle name="Currency 2 2 2 3 4 3" xfId="660" xr:uid="{00000000-0005-0000-0000-000068020000}"/>
    <cellStyle name="Currency 2 2 2 3 5" xfId="661" xr:uid="{00000000-0005-0000-0000-000069020000}"/>
    <cellStyle name="Currency 2 2 2 3 5 2" xfId="662" xr:uid="{00000000-0005-0000-0000-00006A020000}"/>
    <cellStyle name="Currency 2 2 2 3 5 2 2" xfId="663" xr:uid="{00000000-0005-0000-0000-00006B020000}"/>
    <cellStyle name="Currency 2 2 2 3 5 3" xfId="664" xr:uid="{00000000-0005-0000-0000-00006C020000}"/>
    <cellStyle name="Currency 2 2 2 3 6" xfId="665" xr:uid="{00000000-0005-0000-0000-00006D020000}"/>
    <cellStyle name="Currency 2 2 2 3 6 2" xfId="666" xr:uid="{00000000-0005-0000-0000-00006E020000}"/>
    <cellStyle name="Currency 2 2 2 3 7" xfId="667" xr:uid="{00000000-0005-0000-0000-00006F020000}"/>
    <cellStyle name="Currency 2 2 2 3 7 2" xfId="668" xr:uid="{00000000-0005-0000-0000-000070020000}"/>
    <cellStyle name="Currency 2 2 2 3 8" xfId="669" xr:uid="{00000000-0005-0000-0000-000071020000}"/>
    <cellStyle name="Currency 2 2 2 3 8 2" xfId="670" xr:uid="{00000000-0005-0000-0000-000072020000}"/>
    <cellStyle name="Currency 2 2 2 3 9" xfId="671" xr:uid="{00000000-0005-0000-0000-000073020000}"/>
    <cellStyle name="Currency 2 2 2 4" xfId="672" xr:uid="{00000000-0005-0000-0000-000074020000}"/>
    <cellStyle name="Currency 2 2 2 4 2" xfId="673" xr:uid="{00000000-0005-0000-0000-000075020000}"/>
    <cellStyle name="Currency 2 2 2 4 2 2" xfId="674" xr:uid="{00000000-0005-0000-0000-000076020000}"/>
    <cellStyle name="Currency 2 2 2 4 3" xfId="675" xr:uid="{00000000-0005-0000-0000-000077020000}"/>
    <cellStyle name="Currency 2 2 2 5" xfId="676" xr:uid="{00000000-0005-0000-0000-000078020000}"/>
    <cellStyle name="Currency 2 2 2 5 2" xfId="677" xr:uid="{00000000-0005-0000-0000-000079020000}"/>
    <cellStyle name="Currency 2 2 2 5 2 2" xfId="678" xr:uid="{00000000-0005-0000-0000-00007A020000}"/>
    <cellStyle name="Currency 2 2 2 5 3" xfId="679" xr:uid="{00000000-0005-0000-0000-00007B020000}"/>
    <cellStyle name="Currency 2 2 2 6" xfId="680" xr:uid="{00000000-0005-0000-0000-00007C020000}"/>
    <cellStyle name="Currency 2 2 2 6 2" xfId="681" xr:uid="{00000000-0005-0000-0000-00007D020000}"/>
    <cellStyle name="Currency 2 2 2 6 2 2" xfId="682" xr:uid="{00000000-0005-0000-0000-00007E020000}"/>
    <cellStyle name="Currency 2 2 2 6 3" xfId="683" xr:uid="{00000000-0005-0000-0000-00007F020000}"/>
    <cellStyle name="Currency 2 2 2 7" xfId="684" xr:uid="{00000000-0005-0000-0000-000080020000}"/>
    <cellStyle name="Currency 2 2 2 7 2" xfId="685" xr:uid="{00000000-0005-0000-0000-000081020000}"/>
    <cellStyle name="Currency 2 2 2 7 2 2" xfId="686" xr:uid="{00000000-0005-0000-0000-000082020000}"/>
    <cellStyle name="Currency 2 2 2 7 3" xfId="687" xr:uid="{00000000-0005-0000-0000-000083020000}"/>
    <cellStyle name="Currency 2 2 2 8" xfId="688" xr:uid="{00000000-0005-0000-0000-000084020000}"/>
    <cellStyle name="Currency 2 2 2 8 2" xfId="689" xr:uid="{00000000-0005-0000-0000-000085020000}"/>
    <cellStyle name="Currency 2 2 2 9" xfId="690" xr:uid="{00000000-0005-0000-0000-000086020000}"/>
    <cellStyle name="Currency 2 2 2 9 2" xfId="691" xr:uid="{00000000-0005-0000-0000-000087020000}"/>
    <cellStyle name="Currency 2 2 3" xfId="103" xr:uid="{00000000-0005-0000-0000-000088020000}"/>
    <cellStyle name="Currency 2 2 3 10" xfId="692" xr:uid="{00000000-0005-0000-0000-000089020000}"/>
    <cellStyle name="Currency 2 2 3 2" xfId="693" xr:uid="{00000000-0005-0000-0000-00008A020000}"/>
    <cellStyle name="Currency 2 2 3 2 2" xfId="694" xr:uid="{00000000-0005-0000-0000-00008B020000}"/>
    <cellStyle name="Currency 2 2 3 2 2 2" xfId="695" xr:uid="{00000000-0005-0000-0000-00008C020000}"/>
    <cellStyle name="Currency 2 2 3 2 3" xfId="696" xr:uid="{00000000-0005-0000-0000-00008D020000}"/>
    <cellStyle name="Currency 2 2 3 3" xfId="697" xr:uid="{00000000-0005-0000-0000-00008E020000}"/>
    <cellStyle name="Currency 2 2 3 3 2" xfId="698" xr:uid="{00000000-0005-0000-0000-00008F020000}"/>
    <cellStyle name="Currency 2 2 3 3 2 2" xfId="699" xr:uid="{00000000-0005-0000-0000-000090020000}"/>
    <cellStyle name="Currency 2 2 3 3 3" xfId="700" xr:uid="{00000000-0005-0000-0000-000091020000}"/>
    <cellStyle name="Currency 2 2 3 4" xfId="701" xr:uid="{00000000-0005-0000-0000-000092020000}"/>
    <cellStyle name="Currency 2 2 3 4 2" xfId="702" xr:uid="{00000000-0005-0000-0000-000093020000}"/>
    <cellStyle name="Currency 2 2 3 4 2 2" xfId="703" xr:uid="{00000000-0005-0000-0000-000094020000}"/>
    <cellStyle name="Currency 2 2 3 4 3" xfId="704" xr:uid="{00000000-0005-0000-0000-000095020000}"/>
    <cellStyle name="Currency 2 2 3 5" xfId="705" xr:uid="{00000000-0005-0000-0000-000096020000}"/>
    <cellStyle name="Currency 2 2 3 5 2" xfId="706" xr:uid="{00000000-0005-0000-0000-000097020000}"/>
    <cellStyle name="Currency 2 2 3 5 2 2" xfId="707" xr:uid="{00000000-0005-0000-0000-000098020000}"/>
    <cellStyle name="Currency 2 2 3 5 3" xfId="708" xr:uid="{00000000-0005-0000-0000-000099020000}"/>
    <cellStyle name="Currency 2 2 3 6" xfId="709" xr:uid="{00000000-0005-0000-0000-00009A020000}"/>
    <cellStyle name="Currency 2 2 3 6 2" xfId="710" xr:uid="{00000000-0005-0000-0000-00009B020000}"/>
    <cellStyle name="Currency 2 2 3 7" xfId="711" xr:uid="{00000000-0005-0000-0000-00009C020000}"/>
    <cellStyle name="Currency 2 2 3 7 2" xfId="712" xr:uid="{00000000-0005-0000-0000-00009D020000}"/>
    <cellStyle name="Currency 2 2 3 8" xfId="713" xr:uid="{00000000-0005-0000-0000-00009E020000}"/>
    <cellStyle name="Currency 2 2 3 8 2" xfId="714" xr:uid="{00000000-0005-0000-0000-00009F020000}"/>
    <cellStyle name="Currency 2 2 3 9" xfId="715" xr:uid="{00000000-0005-0000-0000-0000A0020000}"/>
    <cellStyle name="Currency 2 2 4" xfId="716" xr:uid="{00000000-0005-0000-0000-0000A1020000}"/>
    <cellStyle name="Currency 2 2 4 2" xfId="717" xr:uid="{00000000-0005-0000-0000-0000A2020000}"/>
    <cellStyle name="Currency 2 2 4 2 2" xfId="718" xr:uid="{00000000-0005-0000-0000-0000A3020000}"/>
    <cellStyle name="Currency 2 2 4 2 2 2" xfId="719" xr:uid="{00000000-0005-0000-0000-0000A4020000}"/>
    <cellStyle name="Currency 2 2 4 2 3" xfId="720" xr:uid="{00000000-0005-0000-0000-0000A5020000}"/>
    <cellStyle name="Currency 2 2 4 3" xfId="721" xr:uid="{00000000-0005-0000-0000-0000A6020000}"/>
    <cellStyle name="Currency 2 2 4 3 2" xfId="722" xr:uid="{00000000-0005-0000-0000-0000A7020000}"/>
    <cellStyle name="Currency 2 2 4 3 2 2" xfId="723" xr:uid="{00000000-0005-0000-0000-0000A8020000}"/>
    <cellStyle name="Currency 2 2 4 3 3" xfId="724" xr:uid="{00000000-0005-0000-0000-0000A9020000}"/>
    <cellStyle name="Currency 2 2 4 4" xfId="725" xr:uid="{00000000-0005-0000-0000-0000AA020000}"/>
    <cellStyle name="Currency 2 2 4 4 2" xfId="726" xr:uid="{00000000-0005-0000-0000-0000AB020000}"/>
    <cellStyle name="Currency 2 2 4 4 2 2" xfId="727" xr:uid="{00000000-0005-0000-0000-0000AC020000}"/>
    <cellStyle name="Currency 2 2 4 4 3" xfId="728" xr:uid="{00000000-0005-0000-0000-0000AD020000}"/>
    <cellStyle name="Currency 2 2 4 5" xfId="729" xr:uid="{00000000-0005-0000-0000-0000AE020000}"/>
    <cellStyle name="Currency 2 2 4 5 2" xfId="730" xr:uid="{00000000-0005-0000-0000-0000AF020000}"/>
    <cellStyle name="Currency 2 2 4 5 2 2" xfId="731" xr:uid="{00000000-0005-0000-0000-0000B0020000}"/>
    <cellStyle name="Currency 2 2 4 5 3" xfId="732" xr:uid="{00000000-0005-0000-0000-0000B1020000}"/>
    <cellStyle name="Currency 2 2 4 6" xfId="733" xr:uid="{00000000-0005-0000-0000-0000B2020000}"/>
    <cellStyle name="Currency 2 2 4 6 2" xfId="734" xr:uid="{00000000-0005-0000-0000-0000B3020000}"/>
    <cellStyle name="Currency 2 2 4 7" xfId="735" xr:uid="{00000000-0005-0000-0000-0000B4020000}"/>
    <cellStyle name="Currency 2 2 4 7 2" xfId="736" xr:uid="{00000000-0005-0000-0000-0000B5020000}"/>
    <cellStyle name="Currency 2 2 4 8" xfId="737" xr:uid="{00000000-0005-0000-0000-0000B6020000}"/>
    <cellStyle name="Currency 2 2 4 8 2" xfId="738" xr:uid="{00000000-0005-0000-0000-0000B7020000}"/>
    <cellStyle name="Currency 2 2 4 9" xfId="739" xr:uid="{00000000-0005-0000-0000-0000B8020000}"/>
    <cellStyle name="Currency 2 2 5" xfId="740" xr:uid="{00000000-0005-0000-0000-0000B9020000}"/>
    <cellStyle name="Currency 2 2 5 2" xfId="741" xr:uid="{00000000-0005-0000-0000-0000BA020000}"/>
    <cellStyle name="Currency 2 2 5 2 2" xfId="742" xr:uid="{00000000-0005-0000-0000-0000BB020000}"/>
    <cellStyle name="Currency 2 2 5 2 2 2" xfId="743" xr:uid="{00000000-0005-0000-0000-0000BC020000}"/>
    <cellStyle name="Currency 2 2 5 2 3" xfId="744" xr:uid="{00000000-0005-0000-0000-0000BD020000}"/>
    <cellStyle name="Currency 2 2 5 3" xfId="745" xr:uid="{00000000-0005-0000-0000-0000BE020000}"/>
    <cellStyle name="Currency 2 2 5 3 2" xfId="746" xr:uid="{00000000-0005-0000-0000-0000BF020000}"/>
    <cellStyle name="Currency 2 2 5 3 2 2" xfId="747" xr:uid="{00000000-0005-0000-0000-0000C0020000}"/>
    <cellStyle name="Currency 2 2 5 3 3" xfId="748" xr:uid="{00000000-0005-0000-0000-0000C1020000}"/>
    <cellStyle name="Currency 2 2 5 4" xfId="749" xr:uid="{00000000-0005-0000-0000-0000C2020000}"/>
    <cellStyle name="Currency 2 2 5 4 2" xfId="750" xr:uid="{00000000-0005-0000-0000-0000C3020000}"/>
    <cellStyle name="Currency 2 2 5 4 2 2" xfId="751" xr:uid="{00000000-0005-0000-0000-0000C4020000}"/>
    <cellStyle name="Currency 2 2 5 4 3" xfId="752" xr:uid="{00000000-0005-0000-0000-0000C5020000}"/>
    <cellStyle name="Currency 2 2 5 5" xfId="753" xr:uid="{00000000-0005-0000-0000-0000C6020000}"/>
    <cellStyle name="Currency 2 2 5 5 2" xfId="754" xr:uid="{00000000-0005-0000-0000-0000C7020000}"/>
    <cellStyle name="Currency 2 2 5 5 2 2" xfId="755" xr:uid="{00000000-0005-0000-0000-0000C8020000}"/>
    <cellStyle name="Currency 2 2 5 5 3" xfId="756" xr:uid="{00000000-0005-0000-0000-0000C9020000}"/>
    <cellStyle name="Currency 2 2 5 6" xfId="757" xr:uid="{00000000-0005-0000-0000-0000CA020000}"/>
    <cellStyle name="Currency 2 2 5 6 2" xfId="758" xr:uid="{00000000-0005-0000-0000-0000CB020000}"/>
    <cellStyle name="Currency 2 2 5 7" xfId="759" xr:uid="{00000000-0005-0000-0000-0000CC020000}"/>
    <cellStyle name="Currency 2 2 5 7 2" xfId="760" xr:uid="{00000000-0005-0000-0000-0000CD020000}"/>
    <cellStyle name="Currency 2 2 5 8" xfId="761" xr:uid="{00000000-0005-0000-0000-0000CE020000}"/>
    <cellStyle name="Currency 2 2 5 8 2" xfId="762" xr:uid="{00000000-0005-0000-0000-0000CF020000}"/>
    <cellStyle name="Currency 2 2 5 9" xfId="763" xr:uid="{00000000-0005-0000-0000-0000D0020000}"/>
    <cellStyle name="Currency 2 2 6" xfId="764" xr:uid="{00000000-0005-0000-0000-0000D1020000}"/>
    <cellStyle name="Currency 2 2 6 2" xfId="765" xr:uid="{00000000-0005-0000-0000-0000D2020000}"/>
    <cellStyle name="Currency 2 2 6 2 2" xfId="766" xr:uid="{00000000-0005-0000-0000-0000D3020000}"/>
    <cellStyle name="Currency 2 2 6 3" xfId="767" xr:uid="{00000000-0005-0000-0000-0000D4020000}"/>
    <cellStyle name="Currency 2 2 7" xfId="768" xr:uid="{00000000-0005-0000-0000-0000D5020000}"/>
    <cellStyle name="Currency 2 2 7 2" xfId="769" xr:uid="{00000000-0005-0000-0000-0000D6020000}"/>
    <cellStyle name="Currency 2 2 7 2 2" xfId="770" xr:uid="{00000000-0005-0000-0000-0000D7020000}"/>
    <cellStyle name="Currency 2 2 7 3" xfId="771" xr:uid="{00000000-0005-0000-0000-0000D8020000}"/>
    <cellStyle name="Currency 2 2 8" xfId="772" xr:uid="{00000000-0005-0000-0000-0000D9020000}"/>
    <cellStyle name="Currency 2 2 8 2" xfId="773" xr:uid="{00000000-0005-0000-0000-0000DA020000}"/>
    <cellStyle name="Currency 2 2 8 2 2" xfId="774" xr:uid="{00000000-0005-0000-0000-0000DB020000}"/>
    <cellStyle name="Currency 2 2 8 3" xfId="775" xr:uid="{00000000-0005-0000-0000-0000DC020000}"/>
    <cellStyle name="Currency 2 2 9" xfId="776" xr:uid="{00000000-0005-0000-0000-0000DD020000}"/>
    <cellStyle name="Currency 2 2 9 2" xfId="777" xr:uid="{00000000-0005-0000-0000-0000DE020000}"/>
    <cellStyle name="Currency 2 2 9 2 2" xfId="778" xr:uid="{00000000-0005-0000-0000-0000DF020000}"/>
    <cellStyle name="Currency 2 2 9 3" xfId="779" xr:uid="{00000000-0005-0000-0000-0000E0020000}"/>
    <cellStyle name="Currency 2 3" xfId="100" xr:uid="{00000000-0005-0000-0000-0000E1020000}"/>
    <cellStyle name="Currency 2 3 10" xfId="781" xr:uid="{00000000-0005-0000-0000-0000E2020000}"/>
    <cellStyle name="Currency 2 3 10 2" xfId="782" xr:uid="{00000000-0005-0000-0000-0000E3020000}"/>
    <cellStyle name="Currency 2 3 11" xfId="783" xr:uid="{00000000-0005-0000-0000-0000E4020000}"/>
    <cellStyle name="Currency 2 3 11 2" xfId="784" xr:uid="{00000000-0005-0000-0000-0000E5020000}"/>
    <cellStyle name="Currency 2 3 12" xfId="785" xr:uid="{00000000-0005-0000-0000-0000E6020000}"/>
    <cellStyle name="Currency 2 3 12 2" xfId="786" xr:uid="{00000000-0005-0000-0000-0000E7020000}"/>
    <cellStyle name="Currency 2 3 13" xfId="787" xr:uid="{00000000-0005-0000-0000-0000E8020000}"/>
    <cellStyle name="Currency 2 3 14" xfId="780" xr:uid="{00000000-0005-0000-0000-0000E9020000}"/>
    <cellStyle name="Currency 2 3 2" xfId="788" xr:uid="{00000000-0005-0000-0000-0000EA020000}"/>
    <cellStyle name="Currency 2 3 2 10" xfId="789" xr:uid="{00000000-0005-0000-0000-0000EB020000}"/>
    <cellStyle name="Currency 2 3 2 10 2" xfId="790" xr:uid="{00000000-0005-0000-0000-0000EC020000}"/>
    <cellStyle name="Currency 2 3 2 11" xfId="791" xr:uid="{00000000-0005-0000-0000-0000ED020000}"/>
    <cellStyle name="Currency 2 3 2 11 2" xfId="792" xr:uid="{00000000-0005-0000-0000-0000EE020000}"/>
    <cellStyle name="Currency 2 3 2 12" xfId="793" xr:uid="{00000000-0005-0000-0000-0000EF020000}"/>
    <cellStyle name="Currency 2 3 2 2" xfId="794" xr:uid="{00000000-0005-0000-0000-0000F0020000}"/>
    <cellStyle name="Currency 2 3 2 2 2" xfId="795" xr:uid="{00000000-0005-0000-0000-0000F1020000}"/>
    <cellStyle name="Currency 2 3 2 2 2 2" xfId="796" xr:uid="{00000000-0005-0000-0000-0000F2020000}"/>
    <cellStyle name="Currency 2 3 2 2 2 2 2" xfId="797" xr:uid="{00000000-0005-0000-0000-0000F3020000}"/>
    <cellStyle name="Currency 2 3 2 2 2 3" xfId="798" xr:uid="{00000000-0005-0000-0000-0000F4020000}"/>
    <cellStyle name="Currency 2 3 2 2 3" xfId="799" xr:uid="{00000000-0005-0000-0000-0000F5020000}"/>
    <cellStyle name="Currency 2 3 2 2 3 2" xfId="800" xr:uid="{00000000-0005-0000-0000-0000F6020000}"/>
    <cellStyle name="Currency 2 3 2 2 3 2 2" xfId="801" xr:uid="{00000000-0005-0000-0000-0000F7020000}"/>
    <cellStyle name="Currency 2 3 2 2 3 3" xfId="802" xr:uid="{00000000-0005-0000-0000-0000F8020000}"/>
    <cellStyle name="Currency 2 3 2 2 4" xfId="803" xr:uid="{00000000-0005-0000-0000-0000F9020000}"/>
    <cellStyle name="Currency 2 3 2 2 4 2" xfId="804" xr:uid="{00000000-0005-0000-0000-0000FA020000}"/>
    <cellStyle name="Currency 2 3 2 2 4 2 2" xfId="805" xr:uid="{00000000-0005-0000-0000-0000FB020000}"/>
    <cellStyle name="Currency 2 3 2 2 4 3" xfId="806" xr:uid="{00000000-0005-0000-0000-0000FC020000}"/>
    <cellStyle name="Currency 2 3 2 2 5" xfId="807" xr:uid="{00000000-0005-0000-0000-0000FD020000}"/>
    <cellStyle name="Currency 2 3 2 2 5 2" xfId="808" xr:uid="{00000000-0005-0000-0000-0000FE020000}"/>
    <cellStyle name="Currency 2 3 2 2 5 2 2" xfId="809" xr:uid="{00000000-0005-0000-0000-0000FF020000}"/>
    <cellStyle name="Currency 2 3 2 2 5 3" xfId="810" xr:uid="{00000000-0005-0000-0000-000000030000}"/>
    <cellStyle name="Currency 2 3 2 2 6" xfId="811" xr:uid="{00000000-0005-0000-0000-000001030000}"/>
    <cellStyle name="Currency 2 3 2 2 6 2" xfId="812" xr:uid="{00000000-0005-0000-0000-000002030000}"/>
    <cellStyle name="Currency 2 3 2 2 7" xfId="813" xr:uid="{00000000-0005-0000-0000-000003030000}"/>
    <cellStyle name="Currency 2 3 2 2 7 2" xfId="814" xr:uid="{00000000-0005-0000-0000-000004030000}"/>
    <cellStyle name="Currency 2 3 2 2 8" xfId="815" xr:uid="{00000000-0005-0000-0000-000005030000}"/>
    <cellStyle name="Currency 2 3 2 2 8 2" xfId="816" xr:uid="{00000000-0005-0000-0000-000006030000}"/>
    <cellStyle name="Currency 2 3 2 2 9" xfId="817" xr:uid="{00000000-0005-0000-0000-000007030000}"/>
    <cellStyle name="Currency 2 3 2 3" xfId="818" xr:uid="{00000000-0005-0000-0000-000008030000}"/>
    <cellStyle name="Currency 2 3 2 3 2" xfId="819" xr:uid="{00000000-0005-0000-0000-000009030000}"/>
    <cellStyle name="Currency 2 3 2 3 2 2" xfId="820" xr:uid="{00000000-0005-0000-0000-00000A030000}"/>
    <cellStyle name="Currency 2 3 2 3 2 2 2" xfId="821" xr:uid="{00000000-0005-0000-0000-00000B030000}"/>
    <cellStyle name="Currency 2 3 2 3 2 3" xfId="822" xr:uid="{00000000-0005-0000-0000-00000C030000}"/>
    <cellStyle name="Currency 2 3 2 3 3" xfId="823" xr:uid="{00000000-0005-0000-0000-00000D030000}"/>
    <cellStyle name="Currency 2 3 2 3 3 2" xfId="824" xr:uid="{00000000-0005-0000-0000-00000E030000}"/>
    <cellStyle name="Currency 2 3 2 3 3 2 2" xfId="825" xr:uid="{00000000-0005-0000-0000-00000F030000}"/>
    <cellStyle name="Currency 2 3 2 3 3 3" xfId="826" xr:uid="{00000000-0005-0000-0000-000010030000}"/>
    <cellStyle name="Currency 2 3 2 3 4" xfId="827" xr:uid="{00000000-0005-0000-0000-000011030000}"/>
    <cellStyle name="Currency 2 3 2 3 4 2" xfId="828" xr:uid="{00000000-0005-0000-0000-000012030000}"/>
    <cellStyle name="Currency 2 3 2 3 4 2 2" xfId="829" xr:uid="{00000000-0005-0000-0000-000013030000}"/>
    <cellStyle name="Currency 2 3 2 3 4 3" xfId="830" xr:uid="{00000000-0005-0000-0000-000014030000}"/>
    <cellStyle name="Currency 2 3 2 3 5" xfId="831" xr:uid="{00000000-0005-0000-0000-000015030000}"/>
    <cellStyle name="Currency 2 3 2 3 5 2" xfId="832" xr:uid="{00000000-0005-0000-0000-000016030000}"/>
    <cellStyle name="Currency 2 3 2 3 5 2 2" xfId="833" xr:uid="{00000000-0005-0000-0000-000017030000}"/>
    <cellStyle name="Currency 2 3 2 3 5 3" xfId="834" xr:uid="{00000000-0005-0000-0000-000018030000}"/>
    <cellStyle name="Currency 2 3 2 3 6" xfId="835" xr:uid="{00000000-0005-0000-0000-000019030000}"/>
    <cellStyle name="Currency 2 3 2 3 6 2" xfId="836" xr:uid="{00000000-0005-0000-0000-00001A030000}"/>
    <cellStyle name="Currency 2 3 2 3 7" xfId="837" xr:uid="{00000000-0005-0000-0000-00001B030000}"/>
    <cellStyle name="Currency 2 3 2 3 7 2" xfId="838" xr:uid="{00000000-0005-0000-0000-00001C030000}"/>
    <cellStyle name="Currency 2 3 2 3 8" xfId="839" xr:uid="{00000000-0005-0000-0000-00001D030000}"/>
    <cellStyle name="Currency 2 3 2 3 8 2" xfId="840" xr:uid="{00000000-0005-0000-0000-00001E030000}"/>
    <cellStyle name="Currency 2 3 2 3 9" xfId="841" xr:uid="{00000000-0005-0000-0000-00001F030000}"/>
    <cellStyle name="Currency 2 3 2 4" xfId="842" xr:uid="{00000000-0005-0000-0000-000020030000}"/>
    <cellStyle name="Currency 2 3 2 4 2" xfId="843" xr:uid="{00000000-0005-0000-0000-000021030000}"/>
    <cellStyle name="Currency 2 3 2 4 2 2" xfId="844" xr:uid="{00000000-0005-0000-0000-000022030000}"/>
    <cellStyle name="Currency 2 3 2 4 2 2 2" xfId="845" xr:uid="{00000000-0005-0000-0000-000023030000}"/>
    <cellStyle name="Currency 2 3 2 4 2 3" xfId="846" xr:uid="{00000000-0005-0000-0000-000024030000}"/>
    <cellStyle name="Currency 2 3 2 4 3" xfId="847" xr:uid="{00000000-0005-0000-0000-000025030000}"/>
    <cellStyle name="Currency 2 3 2 4 3 2" xfId="848" xr:uid="{00000000-0005-0000-0000-000026030000}"/>
    <cellStyle name="Currency 2 3 2 4 3 2 2" xfId="849" xr:uid="{00000000-0005-0000-0000-000027030000}"/>
    <cellStyle name="Currency 2 3 2 4 3 3" xfId="850" xr:uid="{00000000-0005-0000-0000-000028030000}"/>
    <cellStyle name="Currency 2 3 2 4 4" xfId="851" xr:uid="{00000000-0005-0000-0000-000029030000}"/>
    <cellStyle name="Currency 2 3 2 4 4 2" xfId="852" xr:uid="{00000000-0005-0000-0000-00002A030000}"/>
    <cellStyle name="Currency 2 3 2 4 4 2 2" xfId="853" xr:uid="{00000000-0005-0000-0000-00002B030000}"/>
    <cellStyle name="Currency 2 3 2 4 4 3" xfId="854" xr:uid="{00000000-0005-0000-0000-00002C030000}"/>
    <cellStyle name="Currency 2 3 2 4 5" xfId="855" xr:uid="{00000000-0005-0000-0000-00002D030000}"/>
    <cellStyle name="Currency 2 3 2 4 5 2" xfId="856" xr:uid="{00000000-0005-0000-0000-00002E030000}"/>
    <cellStyle name="Currency 2 3 2 4 5 2 2" xfId="857" xr:uid="{00000000-0005-0000-0000-00002F030000}"/>
    <cellStyle name="Currency 2 3 2 4 5 3" xfId="858" xr:uid="{00000000-0005-0000-0000-000030030000}"/>
    <cellStyle name="Currency 2 3 2 4 6" xfId="859" xr:uid="{00000000-0005-0000-0000-000031030000}"/>
    <cellStyle name="Currency 2 3 2 4 6 2" xfId="860" xr:uid="{00000000-0005-0000-0000-000032030000}"/>
    <cellStyle name="Currency 2 3 2 4 7" xfId="861" xr:uid="{00000000-0005-0000-0000-000033030000}"/>
    <cellStyle name="Currency 2 3 2 4 7 2" xfId="862" xr:uid="{00000000-0005-0000-0000-000034030000}"/>
    <cellStyle name="Currency 2 3 2 4 8" xfId="863" xr:uid="{00000000-0005-0000-0000-000035030000}"/>
    <cellStyle name="Currency 2 3 2 4 8 2" xfId="864" xr:uid="{00000000-0005-0000-0000-000036030000}"/>
    <cellStyle name="Currency 2 3 2 4 9" xfId="865" xr:uid="{00000000-0005-0000-0000-000037030000}"/>
    <cellStyle name="Currency 2 3 2 5" xfId="866" xr:uid="{00000000-0005-0000-0000-000038030000}"/>
    <cellStyle name="Currency 2 3 2 5 2" xfId="867" xr:uid="{00000000-0005-0000-0000-000039030000}"/>
    <cellStyle name="Currency 2 3 2 5 2 2" xfId="868" xr:uid="{00000000-0005-0000-0000-00003A030000}"/>
    <cellStyle name="Currency 2 3 2 5 3" xfId="869" xr:uid="{00000000-0005-0000-0000-00003B030000}"/>
    <cellStyle name="Currency 2 3 2 6" xfId="870" xr:uid="{00000000-0005-0000-0000-00003C030000}"/>
    <cellStyle name="Currency 2 3 2 6 2" xfId="871" xr:uid="{00000000-0005-0000-0000-00003D030000}"/>
    <cellStyle name="Currency 2 3 2 6 2 2" xfId="872" xr:uid="{00000000-0005-0000-0000-00003E030000}"/>
    <cellStyle name="Currency 2 3 2 6 3" xfId="873" xr:uid="{00000000-0005-0000-0000-00003F030000}"/>
    <cellStyle name="Currency 2 3 2 7" xfId="874" xr:uid="{00000000-0005-0000-0000-000040030000}"/>
    <cellStyle name="Currency 2 3 2 7 2" xfId="875" xr:uid="{00000000-0005-0000-0000-000041030000}"/>
    <cellStyle name="Currency 2 3 2 7 2 2" xfId="876" xr:uid="{00000000-0005-0000-0000-000042030000}"/>
    <cellStyle name="Currency 2 3 2 7 3" xfId="877" xr:uid="{00000000-0005-0000-0000-000043030000}"/>
    <cellStyle name="Currency 2 3 2 8" xfId="878" xr:uid="{00000000-0005-0000-0000-000044030000}"/>
    <cellStyle name="Currency 2 3 2 8 2" xfId="879" xr:uid="{00000000-0005-0000-0000-000045030000}"/>
    <cellStyle name="Currency 2 3 2 8 2 2" xfId="880" xr:uid="{00000000-0005-0000-0000-000046030000}"/>
    <cellStyle name="Currency 2 3 2 8 3" xfId="881" xr:uid="{00000000-0005-0000-0000-000047030000}"/>
    <cellStyle name="Currency 2 3 2 9" xfId="882" xr:uid="{00000000-0005-0000-0000-000048030000}"/>
    <cellStyle name="Currency 2 3 2 9 2" xfId="883" xr:uid="{00000000-0005-0000-0000-000049030000}"/>
    <cellStyle name="Currency 2 3 3" xfId="884" xr:uid="{00000000-0005-0000-0000-00004A030000}"/>
    <cellStyle name="Currency 2 3 4" xfId="885" xr:uid="{00000000-0005-0000-0000-00004B030000}"/>
    <cellStyle name="Currency 2 3 4 2" xfId="886" xr:uid="{00000000-0005-0000-0000-00004C030000}"/>
    <cellStyle name="Currency 2 3 4 2 2" xfId="887" xr:uid="{00000000-0005-0000-0000-00004D030000}"/>
    <cellStyle name="Currency 2 3 4 2 2 2" xfId="888" xr:uid="{00000000-0005-0000-0000-00004E030000}"/>
    <cellStyle name="Currency 2 3 4 2 3" xfId="889" xr:uid="{00000000-0005-0000-0000-00004F030000}"/>
    <cellStyle name="Currency 2 3 4 3" xfId="890" xr:uid="{00000000-0005-0000-0000-000050030000}"/>
    <cellStyle name="Currency 2 3 4 3 2" xfId="891" xr:uid="{00000000-0005-0000-0000-000051030000}"/>
    <cellStyle name="Currency 2 3 4 3 2 2" xfId="892" xr:uid="{00000000-0005-0000-0000-000052030000}"/>
    <cellStyle name="Currency 2 3 4 3 3" xfId="893" xr:uid="{00000000-0005-0000-0000-000053030000}"/>
    <cellStyle name="Currency 2 3 4 4" xfId="894" xr:uid="{00000000-0005-0000-0000-000054030000}"/>
    <cellStyle name="Currency 2 3 4 4 2" xfId="895" xr:uid="{00000000-0005-0000-0000-000055030000}"/>
    <cellStyle name="Currency 2 3 4 4 2 2" xfId="896" xr:uid="{00000000-0005-0000-0000-000056030000}"/>
    <cellStyle name="Currency 2 3 4 4 3" xfId="897" xr:uid="{00000000-0005-0000-0000-000057030000}"/>
    <cellStyle name="Currency 2 3 4 5" xfId="898" xr:uid="{00000000-0005-0000-0000-000058030000}"/>
    <cellStyle name="Currency 2 3 4 5 2" xfId="899" xr:uid="{00000000-0005-0000-0000-000059030000}"/>
    <cellStyle name="Currency 2 3 4 5 2 2" xfId="900" xr:uid="{00000000-0005-0000-0000-00005A030000}"/>
    <cellStyle name="Currency 2 3 4 5 3" xfId="901" xr:uid="{00000000-0005-0000-0000-00005B030000}"/>
    <cellStyle name="Currency 2 3 4 6" xfId="902" xr:uid="{00000000-0005-0000-0000-00005C030000}"/>
    <cellStyle name="Currency 2 3 4 6 2" xfId="903" xr:uid="{00000000-0005-0000-0000-00005D030000}"/>
    <cellStyle name="Currency 2 3 4 7" xfId="904" xr:uid="{00000000-0005-0000-0000-00005E030000}"/>
    <cellStyle name="Currency 2 3 4 7 2" xfId="905" xr:uid="{00000000-0005-0000-0000-00005F030000}"/>
    <cellStyle name="Currency 2 3 4 8" xfId="906" xr:uid="{00000000-0005-0000-0000-000060030000}"/>
    <cellStyle name="Currency 2 3 4 8 2" xfId="907" xr:uid="{00000000-0005-0000-0000-000061030000}"/>
    <cellStyle name="Currency 2 3 4 9" xfId="908" xr:uid="{00000000-0005-0000-0000-000062030000}"/>
    <cellStyle name="Currency 2 3 5" xfId="909" xr:uid="{00000000-0005-0000-0000-000063030000}"/>
    <cellStyle name="Currency 2 3 5 2" xfId="910" xr:uid="{00000000-0005-0000-0000-000064030000}"/>
    <cellStyle name="Currency 2 3 5 2 2" xfId="911" xr:uid="{00000000-0005-0000-0000-000065030000}"/>
    <cellStyle name="Currency 2 3 5 2 2 2" xfId="912" xr:uid="{00000000-0005-0000-0000-000066030000}"/>
    <cellStyle name="Currency 2 3 5 2 3" xfId="913" xr:uid="{00000000-0005-0000-0000-000067030000}"/>
    <cellStyle name="Currency 2 3 5 3" xfId="914" xr:uid="{00000000-0005-0000-0000-000068030000}"/>
    <cellStyle name="Currency 2 3 5 3 2" xfId="915" xr:uid="{00000000-0005-0000-0000-000069030000}"/>
    <cellStyle name="Currency 2 3 5 3 2 2" xfId="916" xr:uid="{00000000-0005-0000-0000-00006A030000}"/>
    <cellStyle name="Currency 2 3 5 3 3" xfId="917" xr:uid="{00000000-0005-0000-0000-00006B030000}"/>
    <cellStyle name="Currency 2 3 5 4" xfId="918" xr:uid="{00000000-0005-0000-0000-00006C030000}"/>
    <cellStyle name="Currency 2 3 5 4 2" xfId="919" xr:uid="{00000000-0005-0000-0000-00006D030000}"/>
    <cellStyle name="Currency 2 3 5 4 2 2" xfId="920" xr:uid="{00000000-0005-0000-0000-00006E030000}"/>
    <cellStyle name="Currency 2 3 5 4 3" xfId="921" xr:uid="{00000000-0005-0000-0000-00006F030000}"/>
    <cellStyle name="Currency 2 3 5 5" xfId="922" xr:uid="{00000000-0005-0000-0000-000070030000}"/>
    <cellStyle name="Currency 2 3 5 5 2" xfId="923" xr:uid="{00000000-0005-0000-0000-000071030000}"/>
    <cellStyle name="Currency 2 3 5 5 2 2" xfId="924" xr:uid="{00000000-0005-0000-0000-000072030000}"/>
    <cellStyle name="Currency 2 3 5 5 3" xfId="925" xr:uid="{00000000-0005-0000-0000-000073030000}"/>
    <cellStyle name="Currency 2 3 5 6" xfId="926" xr:uid="{00000000-0005-0000-0000-000074030000}"/>
    <cellStyle name="Currency 2 3 5 6 2" xfId="927" xr:uid="{00000000-0005-0000-0000-000075030000}"/>
    <cellStyle name="Currency 2 3 5 7" xfId="928" xr:uid="{00000000-0005-0000-0000-000076030000}"/>
    <cellStyle name="Currency 2 3 5 7 2" xfId="929" xr:uid="{00000000-0005-0000-0000-000077030000}"/>
    <cellStyle name="Currency 2 3 5 8" xfId="930" xr:uid="{00000000-0005-0000-0000-000078030000}"/>
    <cellStyle name="Currency 2 3 5 8 2" xfId="931" xr:uid="{00000000-0005-0000-0000-000079030000}"/>
    <cellStyle name="Currency 2 3 5 9" xfId="932" xr:uid="{00000000-0005-0000-0000-00007A030000}"/>
    <cellStyle name="Currency 2 3 6" xfId="933" xr:uid="{00000000-0005-0000-0000-00007B030000}"/>
    <cellStyle name="Currency 2 3 6 2" xfId="934" xr:uid="{00000000-0005-0000-0000-00007C030000}"/>
    <cellStyle name="Currency 2 3 6 2 2" xfId="935" xr:uid="{00000000-0005-0000-0000-00007D030000}"/>
    <cellStyle name="Currency 2 3 6 3" xfId="936" xr:uid="{00000000-0005-0000-0000-00007E030000}"/>
    <cellStyle name="Currency 2 3 7" xfId="937" xr:uid="{00000000-0005-0000-0000-00007F030000}"/>
    <cellStyle name="Currency 2 3 7 2" xfId="938" xr:uid="{00000000-0005-0000-0000-000080030000}"/>
    <cellStyle name="Currency 2 3 7 2 2" xfId="939" xr:uid="{00000000-0005-0000-0000-000081030000}"/>
    <cellStyle name="Currency 2 3 7 3" xfId="940" xr:uid="{00000000-0005-0000-0000-000082030000}"/>
    <cellStyle name="Currency 2 3 8" xfId="941" xr:uid="{00000000-0005-0000-0000-000083030000}"/>
    <cellStyle name="Currency 2 3 8 2" xfId="942" xr:uid="{00000000-0005-0000-0000-000084030000}"/>
    <cellStyle name="Currency 2 3 8 2 2" xfId="943" xr:uid="{00000000-0005-0000-0000-000085030000}"/>
    <cellStyle name="Currency 2 3 8 3" xfId="944" xr:uid="{00000000-0005-0000-0000-000086030000}"/>
    <cellStyle name="Currency 2 3 9" xfId="945" xr:uid="{00000000-0005-0000-0000-000087030000}"/>
    <cellStyle name="Currency 2 3 9 2" xfId="946" xr:uid="{00000000-0005-0000-0000-000088030000}"/>
    <cellStyle name="Currency 2 3 9 2 2" xfId="947" xr:uid="{00000000-0005-0000-0000-000089030000}"/>
    <cellStyle name="Currency 2 3 9 3" xfId="948" xr:uid="{00000000-0005-0000-0000-00008A030000}"/>
    <cellStyle name="Currency 2 4" xfId="949" xr:uid="{00000000-0005-0000-0000-00008B030000}"/>
    <cellStyle name="Currency 2 4 2" xfId="950" xr:uid="{00000000-0005-0000-0000-00008C030000}"/>
    <cellStyle name="Currency 2 5" xfId="951" xr:uid="{00000000-0005-0000-0000-00008D030000}"/>
    <cellStyle name="Currency 2 5 10" xfId="952" xr:uid="{00000000-0005-0000-0000-00008E030000}"/>
    <cellStyle name="Currency 2 5 2" xfId="953" xr:uid="{00000000-0005-0000-0000-00008F030000}"/>
    <cellStyle name="Currency 2 5 2 2" xfId="954" xr:uid="{00000000-0005-0000-0000-000090030000}"/>
    <cellStyle name="Currency 2 5 2 2 2" xfId="955" xr:uid="{00000000-0005-0000-0000-000091030000}"/>
    <cellStyle name="Currency 2 5 2 2 2 2" xfId="956" xr:uid="{00000000-0005-0000-0000-000092030000}"/>
    <cellStyle name="Currency 2 5 2 2 3" xfId="957" xr:uid="{00000000-0005-0000-0000-000093030000}"/>
    <cellStyle name="Currency 2 5 2 3" xfId="958" xr:uid="{00000000-0005-0000-0000-000094030000}"/>
    <cellStyle name="Currency 2 5 2 3 2" xfId="959" xr:uid="{00000000-0005-0000-0000-000095030000}"/>
    <cellStyle name="Currency 2 5 2 3 2 2" xfId="960" xr:uid="{00000000-0005-0000-0000-000096030000}"/>
    <cellStyle name="Currency 2 5 2 3 3" xfId="961" xr:uid="{00000000-0005-0000-0000-000097030000}"/>
    <cellStyle name="Currency 2 5 2 4" xfId="962" xr:uid="{00000000-0005-0000-0000-000098030000}"/>
    <cellStyle name="Currency 2 5 2 4 2" xfId="963" xr:uid="{00000000-0005-0000-0000-000099030000}"/>
    <cellStyle name="Currency 2 5 2 4 2 2" xfId="964" xr:uid="{00000000-0005-0000-0000-00009A030000}"/>
    <cellStyle name="Currency 2 5 2 4 3" xfId="965" xr:uid="{00000000-0005-0000-0000-00009B030000}"/>
    <cellStyle name="Currency 2 5 2 5" xfId="966" xr:uid="{00000000-0005-0000-0000-00009C030000}"/>
    <cellStyle name="Currency 2 5 2 5 2" xfId="967" xr:uid="{00000000-0005-0000-0000-00009D030000}"/>
    <cellStyle name="Currency 2 5 2 5 2 2" xfId="968" xr:uid="{00000000-0005-0000-0000-00009E030000}"/>
    <cellStyle name="Currency 2 5 2 5 3" xfId="969" xr:uid="{00000000-0005-0000-0000-00009F030000}"/>
    <cellStyle name="Currency 2 5 2 6" xfId="970" xr:uid="{00000000-0005-0000-0000-0000A0030000}"/>
    <cellStyle name="Currency 2 5 2 6 2" xfId="971" xr:uid="{00000000-0005-0000-0000-0000A1030000}"/>
    <cellStyle name="Currency 2 5 2 7" xfId="972" xr:uid="{00000000-0005-0000-0000-0000A2030000}"/>
    <cellStyle name="Currency 2 5 2 7 2" xfId="973" xr:uid="{00000000-0005-0000-0000-0000A3030000}"/>
    <cellStyle name="Currency 2 5 2 8" xfId="974" xr:uid="{00000000-0005-0000-0000-0000A4030000}"/>
    <cellStyle name="Currency 2 5 2 8 2" xfId="975" xr:uid="{00000000-0005-0000-0000-0000A5030000}"/>
    <cellStyle name="Currency 2 5 2 9" xfId="976" xr:uid="{00000000-0005-0000-0000-0000A6030000}"/>
    <cellStyle name="Currency 2 5 3" xfId="977" xr:uid="{00000000-0005-0000-0000-0000A7030000}"/>
    <cellStyle name="Currency 2 5 3 2" xfId="978" xr:uid="{00000000-0005-0000-0000-0000A8030000}"/>
    <cellStyle name="Currency 2 5 3 2 2" xfId="979" xr:uid="{00000000-0005-0000-0000-0000A9030000}"/>
    <cellStyle name="Currency 2 5 3 3" xfId="980" xr:uid="{00000000-0005-0000-0000-0000AA030000}"/>
    <cellStyle name="Currency 2 5 4" xfId="981" xr:uid="{00000000-0005-0000-0000-0000AB030000}"/>
    <cellStyle name="Currency 2 5 4 2" xfId="982" xr:uid="{00000000-0005-0000-0000-0000AC030000}"/>
    <cellStyle name="Currency 2 5 4 2 2" xfId="983" xr:uid="{00000000-0005-0000-0000-0000AD030000}"/>
    <cellStyle name="Currency 2 5 4 3" xfId="984" xr:uid="{00000000-0005-0000-0000-0000AE030000}"/>
    <cellStyle name="Currency 2 5 5" xfId="985" xr:uid="{00000000-0005-0000-0000-0000AF030000}"/>
    <cellStyle name="Currency 2 5 5 2" xfId="986" xr:uid="{00000000-0005-0000-0000-0000B0030000}"/>
    <cellStyle name="Currency 2 5 5 2 2" xfId="987" xr:uid="{00000000-0005-0000-0000-0000B1030000}"/>
    <cellStyle name="Currency 2 5 5 3" xfId="988" xr:uid="{00000000-0005-0000-0000-0000B2030000}"/>
    <cellStyle name="Currency 2 5 6" xfId="989" xr:uid="{00000000-0005-0000-0000-0000B3030000}"/>
    <cellStyle name="Currency 2 5 6 2" xfId="990" xr:uid="{00000000-0005-0000-0000-0000B4030000}"/>
    <cellStyle name="Currency 2 5 6 2 2" xfId="991" xr:uid="{00000000-0005-0000-0000-0000B5030000}"/>
    <cellStyle name="Currency 2 5 6 3" xfId="992" xr:uid="{00000000-0005-0000-0000-0000B6030000}"/>
    <cellStyle name="Currency 2 5 7" xfId="993" xr:uid="{00000000-0005-0000-0000-0000B7030000}"/>
    <cellStyle name="Currency 2 5 7 2" xfId="994" xr:uid="{00000000-0005-0000-0000-0000B8030000}"/>
    <cellStyle name="Currency 2 5 8" xfId="995" xr:uid="{00000000-0005-0000-0000-0000B9030000}"/>
    <cellStyle name="Currency 2 5 8 2" xfId="996" xr:uid="{00000000-0005-0000-0000-0000BA030000}"/>
    <cellStyle name="Currency 2 5 9" xfId="997" xr:uid="{00000000-0005-0000-0000-0000BB030000}"/>
    <cellStyle name="Currency 2 5 9 2" xfId="998" xr:uid="{00000000-0005-0000-0000-0000BC030000}"/>
    <cellStyle name="Currency 2 6" xfId="999" xr:uid="{00000000-0005-0000-0000-0000BD030000}"/>
    <cellStyle name="Currency 2 6 2" xfId="1000" xr:uid="{00000000-0005-0000-0000-0000BE030000}"/>
    <cellStyle name="Currency 2 6 2 2" xfId="1001" xr:uid="{00000000-0005-0000-0000-0000BF030000}"/>
    <cellStyle name="Currency 2 6 2 2 2" xfId="1002" xr:uid="{00000000-0005-0000-0000-0000C0030000}"/>
    <cellStyle name="Currency 2 6 2 3" xfId="1003" xr:uid="{00000000-0005-0000-0000-0000C1030000}"/>
    <cellStyle name="Currency 2 6 3" xfId="1004" xr:uid="{00000000-0005-0000-0000-0000C2030000}"/>
    <cellStyle name="Currency 2 6 3 2" xfId="1005" xr:uid="{00000000-0005-0000-0000-0000C3030000}"/>
    <cellStyle name="Currency 2 6 3 2 2" xfId="1006" xr:uid="{00000000-0005-0000-0000-0000C4030000}"/>
    <cellStyle name="Currency 2 6 3 3" xfId="1007" xr:uid="{00000000-0005-0000-0000-0000C5030000}"/>
    <cellStyle name="Currency 2 6 4" xfId="1008" xr:uid="{00000000-0005-0000-0000-0000C6030000}"/>
    <cellStyle name="Currency 2 6 4 2" xfId="1009" xr:uid="{00000000-0005-0000-0000-0000C7030000}"/>
    <cellStyle name="Currency 2 6 4 2 2" xfId="1010" xr:uid="{00000000-0005-0000-0000-0000C8030000}"/>
    <cellStyle name="Currency 2 6 4 3" xfId="1011" xr:uid="{00000000-0005-0000-0000-0000C9030000}"/>
    <cellStyle name="Currency 2 6 5" xfId="1012" xr:uid="{00000000-0005-0000-0000-0000CA030000}"/>
    <cellStyle name="Currency 2 6 5 2" xfId="1013" xr:uid="{00000000-0005-0000-0000-0000CB030000}"/>
    <cellStyle name="Currency 2 6 5 2 2" xfId="1014" xr:uid="{00000000-0005-0000-0000-0000CC030000}"/>
    <cellStyle name="Currency 2 6 5 3" xfId="1015" xr:uid="{00000000-0005-0000-0000-0000CD030000}"/>
    <cellStyle name="Currency 2 6 6" xfId="1016" xr:uid="{00000000-0005-0000-0000-0000CE030000}"/>
    <cellStyle name="Currency 2 6 6 2" xfId="1017" xr:uid="{00000000-0005-0000-0000-0000CF030000}"/>
    <cellStyle name="Currency 2 6 7" xfId="1018" xr:uid="{00000000-0005-0000-0000-0000D0030000}"/>
    <cellStyle name="Currency 2 6 7 2" xfId="1019" xr:uid="{00000000-0005-0000-0000-0000D1030000}"/>
    <cellStyle name="Currency 2 6 8" xfId="1020" xr:uid="{00000000-0005-0000-0000-0000D2030000}"/>
    <cellStyle name="Currency 2 6 8 2" xfId="1021" xr:uid="{00000000-0005-0000-0000-0000D3030000}"/>
    <cellStyle name="Currency 2 6 9" xfId="1022" xr:uid="{00000000-0005-0000-0000-0000D4030000}"/>
    <cellStyle name="Currency 2 7" xfId="1023" xr:uid="{00000000-0005-0000-0000-0000D5030000}"/>
    <cellStyle name="Currency 2 7 2" xfId="1024" xr:uid="{00000000-0005-0000-0000-0000D6030000}"/>
    <cellStyle name="Currency 2 7 2 2" xfId="1025" xr:uid="{00000000-0005-0000-0000-0000D7030000}"/>
    <cellStyle name="Currency 2 7 2 2 2" xfId="1026" xr:uid="{00000000-0005-0000-0000-0000D8030000}"/>
    <cellStyle name="Currency 2 7 2 3" xfId="1027" xr:uid="{00000000-0005-0000-0000-0000D9030000}"/>
    <cellStyle name="Currency 2 7 3" xfId="1028" xr:uid="{00000000-0005-0000-0000-0000DA030000}"/>
    <cellStyle name="Currency 2 7 3 2" xfId="1029" xr:uid="{00000000-0005-0000-0000-0000DB030000}"/>
    <cellStyle name="Currency 2 7 3 2 2" xfId="1030" xr:uid="{00000000-0005-0000-0000-0000DC030000}"/>
    <cellStyle name="Currency 2 7 3 3" xfId="1031" xr:uid="{00000000-0005-0000-0000-0000DD030000}"/>
    <cellStyle name="Currency 2 7 4" xfId="1032" xr:uid="{00000000-0005-0000-0000-0000DE030000}"/>
    <cellStyle name="Currency 2 7 4 2" xfId="1033" xr:uid="{00000000-0005-0000-0000-0000DF030000}"/>
    <cellStyle name="Currency 2 7 4 2 2" xfId="1034" xr:uid="{00000000-0005-0000-0000-0000E0030000}"/>
    <cellStyle name="Currency 2 7 4 3" xfId="1035" xr:uid="{00000000-0005-0000-0000-0000E1030000}"/>
    <cellStyle name="Currency 2 7 5" xfId="1036" xr:uid="{00000000-0005-0000-0000-0000E2030000}"/>
    <cellStyle name="Currency 2 7 5 2" xfId="1037" xr:uid="{00000000-0005-0000-0000-0000E3030000}"/>
    <cellStyle name="Currency 2 7 5 2 2" xfId="1038" xr:uid="{00000000-0005-0000-0000-0000E4030000}"/>
    <cellStyle name="Currency 2 7 5 3" xfId="1039" xr:uid="{00000000-0005-0000-0000-0000E5030000}"/>
    <cellStyle name="Currency 2 7 6" xfId="1040" xr:uid="{00000000-0005-0000-0000-0000E6030000}"/>
    <cellStyle name="Currency 2 7 6 2" xfId="1041" xr:uid="{00000000-0005-0000-0000-0000E7030000}"/>
    <cellStyle name="Currency 2 7 7" xfId="1042" xr:uid="{00000000-0005-0000-0000-0000E8030000}"/>
    <cellStyle name="Currency 2 7 7 2" xfId="1043" xr:uid="{00000000-0005-0000-0000-0000E9030000}"/>
    <cellStyle name="Currency 2 7 8" xfId="1044" xr:uid="{00000000-0005-0000-0000-0000EA030000}"/>
    <cellStyle name="Currency 2 7 8 2" xfId="1045" xr:uid="{00000000-0005-0000-0000-0000EB030000}"/>
    <cellStyle name="Currency 2 7 9" xfId="1046" xr:uid="{00000000-0005-0000-0000-0000EC030000}"/>
    <cellStyle name="Currency 2 8" xfId="1047" xr:uid="{00000000-0005-0000-0000-0000ED030000}"/>
    <cellStyle name="Currency 2 8 2" xfId="1048" xr:uid="{00000000-0005-0000-0000-0000EE030000}"/>
    <cellStyle name="Currency 2 8 2 2" xfId="1049" xr:uid="{00000000-0005-0000-0000-0000EF030000}"/>
    <cellStyle name="Currency 2 8 3" xfId="1050" xr:uid="{00000000-0005-0000-0000-0000F0030000}"/>
    <cellStyle name="Currency 2 9" xfId="1051" xr:uid="{00000000-0005-0000-0000-0000F1030000}"/>
    <cellStyle name="Currency 2 9 2" xfId="1052" xr:uid="{00000000-0005-0000-0000-0000F2030000}"/>
    <cellStyle name="Currency 2 9 2 2" xfId="1053" xr:uid="{00000000-0005-0000-0000-0000F3030000}"/>
    <cellStyle name="Currency 2 9 3" xfId="1054" xr:uid="{00000000-0005-0000-0000-0000F4030000}"/>
    <cellStyle name="Currency 3" xfId="3" xr:uid="{00000000-0005-0000-0000-0000F5030000}"/>
    <cellStyle name="Currency 3 10" xfId="1056" xr:uid="{00000000-0005-0000-0000-0000F6030000}"/>
    <cellStyle name="Currency 3 10 2" xfId="1057" xr:uid="{00000000-0005-0000-0000-0000F7030000}"/>
    <cellStyle name="Currency 3 11" xfId="1058" xr:uid="{00000000-0005-0000-0000-0000F8030000}"/>
    <cellStyle name="Currency 3 11 2" xfId="1059" xr:uid="{00000000-0005-0000-0000-0000F9030000}"/>
    <cellStyle name="Currency 3 12" xfId="1060" xr:uid="{00000000-0005-0000-0000-0000FA030000}"/>
    <cellStyle name="Currency 3 12 2" xfId="1061" xr:uid="{00000000-0005-0000-0000-0000FB030000}"/>
    <cellStyle name="Currency 3 13" xfId="1062" xr:uid="{00000000-0005-0000-0000-0000FC030000}"/>
    <cellStyle name="Currency 3 14" xfId="1055" xr:uid="{00000000-0005-0000-0000-0000FD030000}"/>
    <cellStyle name="Currency 3 2" xfId="1063" xr:uid="{00000000-0005-0000-0000-0000FE030000}"/>
    <cellStyle name="Currency 3 2 10" xfId="1064" xr:uid="{00000000-0005-0000-0000-0000FF030000}"/>
    <cellStyle name="Currency 3 2 10 2" xfId="1065" xr:uid="{00000000-0005-0000-0000-000000040000}"/>
    <cellStyle name="Currency 3 2 11" xfId="1066" xr:uid="{00000000-0005-0000-0000-000001040000}"/>
    <cellStyle name="Currency 3 2 11 2" xfId="1067" xr:uid="{00000000-0005-0000-0000-000002040000}"/>
    <cellStyle name="Currency 3 2 12" xfId="1068" xr:uid="{00000000-0005-0000-0000-000003040000}"/>
    <cellStyle name="Currency 3 2 2" xfId="1069" xr:uid="{00000000-0005-0000-0000-000004040000}"/>
    <cellStyle name="Currency 3 2 2 2" xfId="1070" xr:uid="{00000000-0005-0000-0000-000005040000}"/>
    <cellStyle name="Currency 3 2 2 2 2" xfId="1071" xr:uid="{00000000-0005-0000-0000-000006040000}"/>
    <cellStyle name="Currency 3 2 2 2 2 2" xfId="1072" xr:uid="{00000000-0005-0000-0000-000007040000}"/>
    <cellStyle name="Currency 3 2 2 2 3" xfId="1073" xr:uid="{00000000-0005-0000-0000-000008040000}"/>
    <cellStyle name="Currency 3 2 2 3" xfId="1074" xr:uid="{00000000-0005-0000-0000-000009040000}"/>
    <cellStyle name="Currency 3 2 2 3 2" xfId="1075" xr:uid="{00000000-0005-0000-0000-00000A040000}"/>
    <cellStyle name="Currency 3 2 2 3 2 2" xfId="1076" xr:uid="{00000000-0005-0000-0000-00000B040000}"/>
    <cellStyle name="Currency 3 2 2 3 3" xfId="1077" xr:uid="{00000000-0005-0000-0000-00000C040000}"/>
    <cellStyle name="Currency 3 2 2 4" xfId="1078" xr:uid="{00000000-0005-0000-0000-00000D040000}"/>
    <cellStyle name="Currency 3 2 2 4 2" xfId="1079" xr:uid="{00000000-0005-0000-0000-00000E040000}"/>
    <cellStyle name="Currency 3 2 2 4 2 2" xfId="1080" xr:uid="{00000000-0005-0000-0000-00000F040000}"/>
    <cellStyle name="Currency 3 2 2 4 3" xfId="1081" xr:uid="{00000000-0005-0000-0000-000010040000}"/>
    <cellStyle name="Currency 3 2 2 5" xfId="1082" xr:uid="{00000000-0005-0000-0000-000011040000}"/>
    <cellStyle name="Currency 3 2 2 5 2" xfId="1083" xr:uid="{00000000-0005-0000-0000-000012040000}"/>
    <cellStyle name="Currency 3 2 2 5 2 2" xfId="1084" xr:uid="{00000000-0005-0000-0000-000013040000}"/>
    <cellStyle name="Currency 3 2 2 5 3" xfId="1085" xr:uid="{00000000-0005-0000-0000-000014040000}"/>
    <cellStyle name="Currency 3 2 2 6" xfId="1086" xr:uid="{00000000-0005-0000-0000-000015040000}"/>
    <cellStyle name="Currency 3 2 2 6 2" xfId="1087" xr:uid="{00000000-0005-0000-0000-000016040000}"/>
    <cellStyle name="Currency 3 2 2 7" xfId="1088" xr:uid="{00000000-0005-0000-0000-000017040000}"/>
    <cellStyle name="Currency 3 2 2 7 2" xfId="1089" xr:uid="{00000000-0005-0000-0000-000018040000}"/>
    <cellStyle name="Currency 3 2 2 8" xfId="1090" xr:uid="{00000000-0005-0000-0000-000019040000}"/>
    <cellStyle name="Currency 3 2 2 8 2" xfId="1091" xr:uid="{00000000-0005-0000-0000-00001A040000}"/>
    <cellStyle name="Currency 3 2 2 9" xfId="1092" xr:uid="{00000000-0005-0000-0000-00001B040000}"/>
    <cellStyle name="Currency 3 2 3" xfId="1093" xr:uid="{00000000-0005-0000-0000-00001C040000}"/>
    <cellStyle name="Currency 3 2 3 2" xfId="1094" xr:uid="{00000000-0005-0000-0000-00001D040000}"/>
    <cellStyle name="Currency 3 2 3 2 2" xfId="1095" xr:uid="{00000000-0005-0000-0000-00001E040000}"/>
    <cellStyle name="Currency 3 2 3 2 2 2" xfId="1096" xr:uid="{00000000-0005-0000-0000-00001F040000}"/>
    <cellStyle name="Currency 3 2 3 2 3" xfId="1097" xr:uid="{00000000-0005-0000-0000-000020040000}"/>
    <cellStyle name="Currency 3 2 3 3" xfId="1098" xr:uid="{00000000-0005-0000-0000-000021040000}"/>
    <cellStyle name="Currency 3 2 3 3 2" xfId="1099" xr:uid="{00000000-0005-0000-0000-000022040000}"/>
    <cellStyle name="Currency 3 2 3 3 2 2" xfId="1100" xr:uid="{00000000-0005-0000-0000-000023040000}"/>
    <cellStyle name="Currency 3 2 3 3 3" xfId="1101" xr:uid="{00000000-0005-0000-0000-000024040000}"/>
    <cellStyle name="Currency 3 2 3 4" xfId="1102" xr:uid="{00000000-0005-0000-0000-000025040000}"/>
    <cellStyle name="Currency 3 2 3 4 2" xfId="1103" xr:uid="{00000000-0005-0000-0000-000026040000}"/>
    <cellStyle name="Currency 3 2 3 4 2 2" xfId="1104" xr:uid="{00000000-0005-0000-0000-000027040000}"/>
    <cellStyle name="Currency 3 2 3 4 3" xfId="1105" xr:uid="{00000000-0005-0000-0000-000028040000}"/>
    <cellStyle name="Currency 3 2 3 5" xfId="1106" xr:uid="{00000000-0005-0000-0000-000029040000}"/>
    <cellStyle name="Currency 3 2 3 5 2" xfId="1107" xr:uid="{00000000-0005-0000-0000-00002A040000}"/>
    <cellStyle name="Currency 3 2 3 5 2 2" xfId="1108" xr:uid="{00000000-0005-0000-0000-00002B040000}"/>
    <cellStyle name="Currency 3 2 3 5 3" xfId="1109" xr:uid="{00000000-0005-0000-0000-00002C040000}"/>
    <cellStyle name="Currency 3 2 3 6" xfId="1110" xr:uid="{00000000-0005-0000-0000-00002D040000}"/>
    <cellStyle name="Currency 3 2 3 6 2" xfId="1111" xr:uid="{00000000-0005-0000-0000-00002E040000}"/>
    <cellStyle name="Currency 3 2 3 7" xfId="1112" xr:uid="{00000000-0005-0000-0000-00002F040000}"/>
    <cellStyle name="Currency 3 2 3 7 2" xfId="1113" xr:uid="{00000000-0005-0000-0000-000030040000}"/>
    <cellStyle name="Currency 3 2 3 8" xfId="1114" xr:uid="{00000000-0005-0000-0000-000031040000}"/>
    <cellStyle name="Currency 3 2 3 8 2" xfId="1115" xr:uid="{00000000-0005-0000-0000-000032040000}"/>
    <cellStyle name="Currency 3 2 3 9" xfId="1116" xr:uid="{00000000-0005-0000-0000-000033040000}"/>
    <cellStyle name="Currency 3 2 4" xfId="1117" xr:uid="{00000000-0005-0000-0000-000034040000}"/>
    <cellStyle name="Currency 3 2 4 2" xfId="1118" xr:uid="{00000000-0005-0000-0000-000035040000}"/>
    <cellStyle name="Currency 3 2 4 2 2" xfId="1119" xr:uid="{00000000-0005-0000-0000-000036040000}"/>
    <cellStyle name="Currency 3 2 4 2 2 2" xfId="1120" xr:uid="{00000000-0005-0000-0000-000037040000}"/>
    <cellStyle name="Currency 3 2 4 2 3" xfId="1121" xr:uid="{00000000-0005-0000-0000-000038040000}"/>
    <cellStyle name="Currency 3 2 4 3" xfId="1122" xr:uid="{00000000-0005-0000-0000-000039040000}"/>
    <cellStyle name="Currency 3 2 4 3 2" xfId="1123" xr:uid="{00000000-0005-0000-0000-00003A040000}"/>
    <cellStyle name="Currency 3 2 4 3 2 2" xfId="1124" xr:uid="{00000000-0005-0000-0000-00003B040000}"/>
    <cellStyle name="Currency 3 2 4 3 3" xfId="1125" xr:uid="{00000000-0005-0000-0000-00003C040000}"/>
    <cellStyle name="Currency 3 2 4 4" xfId="1126" xr:uid="{00000000-0005-0000-0000-00003D040000}"/>
    <cellStyle name="Currency 3 2 4 4 2" xfId="1127" xr:uid="{00000000-0005-0000-0000-00003E040000}"/>
    <cellStyle name="Currency 3 2 4 4 2 2" xfId="1128" xr:uid="{00000000-0005-0000-0000-00003F040000}"/>
    <cellStyle name="Currency 3 2 4 4 3" xfId="1129" xr:uid="{00000000-0005-0000-0000-000040040000}"/>
    <cellStyle name="Currency 3 2 4 5" xfId="1130" xr:uid="{00000000-0005-0000-0000-000041040000}"/>
    <cellStyle name="Currency 3 2 4 5 2" xfId="1131" xr:uid="{00000000-0005-0000-0000-000042040000}"/>
    <cellStyle name="Currency 3 2 4 5 2 2" xfId="1132" xr:uid="{00000000-0005-0000-0000-000043040000}"/>
    <cellStyle name="Currency 3 2 4 5 3" xfId="1133" xr:uid="{00000000-0005-0000-0000-000044040000}"/>
    <cellStyle name="Currency 3 2 4 6" xfId="1134" xr:uid="{00000000-0005-0000-0000-000045040000}"/>
    <cellStyle name="Currency 3 2 4 6 2" xfId="1135" xr:uid="{00000000-0005-0000-0000-000046040000}"/>
    <cellStyle name="Currency 3 2 4 7" xfId="1136" xr:uid="{00000000-0005-0000-0000-000047040000}"/>
    <cellStyle name="Currency 3 2 4 7 2" xfId="1137" xr:uid="{00000000-0005-0000-0000-000048040000}"/>
    <cellStyle name="Currency 3 2 4 8" xfId="1138" xr:uid="{00000000-0005-0000-0000-000049040000}"/>
    <cellStyle name="Currency 3 2 4 8 2" xfId="1139" xr:uid="{00000000-0005-0000-0000-00004A040000}"/>
    <cellStyle name="Currency 3 2 4 9" xfId="1140" xr:uid="{00000000-0005-0000-0000-00004B040000}"/>
    <cellStyle name="Currency 3 2 5" xfId="1141" xr:uid="{00000000-0005-0000-0000-00004C040000}"/>
    <cellStyle name="Currency 3 2 5 2" xfId="1142" xr:uid="{00000000-0005-0000-0000-00004D040000}"/>
    <cellStyle name="Currency 3 2 5 2 2" xfId="1143" xr:uid="{00000000-0005-0000-0000-00004E040000}"/>
    <cellStyle name="Currency 3 2 5 3" xfId="1144" xr:uid="{00000000-0005-0000-0000-00004F040000}"/>
    <cellStyle name="Currency 3 2 6" xfId="1145" xr:uid="{00000000-0005-0000-0000-000050040000}"/>
    <cellStyle name="Currency 3 2 6 2" xfId="1146" xr:uid="{00000000-0005-0000-0000-000051040000}"/>
    <cellStyle name="Currency 3 2 6 2 2" xfId="1147" xr:uid="{00000000-0005-0000-0000-000052040000}"/>
    <cellStyle name="Currency 3 2 6 3" xfId="1148" xr:uid="{00000000-0005-0000-0000-000053040000}"/>
    <cellStyle name="Currency 3 2 7" xfId="1149" xr:uid="{00000000-0005-0000-0000-000054040000}"/>
    <cellStyle name="Currency 3 2 7 2" xfId="1150" xr:uid="{00000000-0005-0000-0000-000055040000}"/>
    <cellStyle name="Currency 3 2 7 2 2" xfId="1151" xr:uid="{00000000-0005-0000-0000-000056040000}"/>
    <cellStyle name="Currency 3 2 7 3" xfId="1152" xr:uid="{00000000-0005-0000-0000-000057040000}"/>
    <cellStyle name="Currency 3 2 8" xfId="1153" xr:uid="{00000000-0005-0000-0000-000058040000}"/>
    <cellStyle name="Currency 3 2 8 2" xfId="1154" xr:uid="{00000000-0005-0000-0000-000059040000}"/>
    <cellStyle name="Currency 3 2 8 2 2" xfId="1155" xr:uid="{00000000-0005-0000-0000-00005A040000}"/>
    <cellStyle name="Currency 3 2 8 3" xfId="1156" xr:uid="{00000000-0005-0000-0000-00005B040000}"/>
    <cellStyle name="Currency 3 2 9" xfId="1157" xr:uid="{00000000-0005-0000-0000-00005C040000}"/>
    <cellStyle name="Currency 3 2 9 2" xfId="1158" xr:uid="{00000000-0005-0000-0000-00005D040000}"/>
    <cellStyle name="Currency 3 3" xfId="1159" xr:uid="{00000000-0005-0000-0000-00005E040000}"/>
    <cellStyle name="Currency 3 4" xfId="1160" xr:uid="{00000000-0005-0000-0000-00005F040000}"/>
    <cellStyle name="Currency 3 4 2" xfId="1161" xr:uid="{00000000-0005-0000-0000-000060040000}"/>
    <cellStyle name="Currency 3 4 2 2" xfId="1162" xr:uid="{00000000-0005-0000-0000-000061040000}"/>
    <cellStyle name="Currency 3 4 2 2 2" xfId="1163" xr:uid="{00000000-0005-0000-0000-000062040000}"/>
    <cellStyle name="Currency 3 4 2 3" xfId="1164" xr:uid="{00000000-0005-0000-0000-000063040000}"/>
    <cellStyle name="Currency 3 4 3" xfId="1165" xr:uid="{00000000-0005-0000-0000-000064040000}"/>
    <cellStyle name="Currency 3 4 3 2" xfId="1166" xr:uid="{00000000-0005-0000-0000-000065040000}"/>
    <cellStyle name="Currency 3 4 3 2 2" xfId="1167" xr:uid="{00000000-0005-0000-0000-000066040000}"/>
    <cellStyle name="Currency 3 4 3 3" xfId="1168" xr:uid="{00000000-0005-0000-0000-000067040000}"/>
    <cellStyle name="Currency 3 4 4" xfId="1169" xr:uid="{00000000-0005-0000-0000-000068040000}"/>
    <cellStyle name="Currency 3 4 4 2" xfId="1170" xr:uid="{00000000-0005-0000-0000-000069040000}"/>
    <cellStyle name="Currency 3 4 4 2 2" xfId="1171" xr:uid="{00000000-0005-0000-0000-00006A040000}"/>
    <cellStyle name="Currency 3 4 4 3" xfId="1172" xr:uid="{00000000-0005-0000-0000-00006B040000}"/>
    <cellStyle name="Currency 3 4 5" xfId="1173" xr:uid="{00000000-0005-0000-0000-00006C040000}"/>
    <cellStyle name="Currency 3 4 5 2" xfId="1174" xr:uid="{00000000-0005-0000-0000-00006D040000}"/>
    <cellStyle name="Currency 3 4 5 2 2" xfId="1175" xr:uid="{00000000-0005-0000-0000-00006E040000}"/>
    <cellStyle name="Currency 3 4 5 3" xfId="1176" xr:uid="{00000000-0005-0000-0000-00006F040000}"/>
    <cellStyle name="Currency 3 4 6" xfId="1177" xr:uid="{00000000-0005-0000-0000-000070040000}"/>
    <cellStyle name="Currency 3 4 6 2" xfId="1178" xr:uid="{00000000-0005-0000-0000-000071040000}"/>
    <cellStyle name="Currency 3 4 7" xfId="1179" xr:uid="{00000000-0005-0000-0000-000072040000}"/>
    <cellStyle name="Currency 3 4 7 2" xfId="1180" xr:uid="{00000000-0005-0000-0000-000073040000}"/>
    <cellStyle name="Currency 3 4 8" xfId="1181" xr:uid="{00000000-0005-0000-0000-000074040000}"/>
    <cellStyle name="Currency 3 4 8 2" xfId="1182" xr:uid="{00000000-0005-0000-0000-000075040000}"/>
    <cellStyle name="Currency 3 4 9" xfId="1183" xr:uid="{00000000-0005-0000-0000-000076040000}"/>
    <cellStyle name="Currency 3 5" xfId="1184" xr:uid="{00000000-0005-0000-0000-000077040000}"/>
    <cellStyle name="Currency 3 5 2" xfId="1185" xr:uid="{00000000-0005-0000-0000-000078040000}"/>
    <cellStyle name="Currency 3 5 2 2" xfId="1186" xr:uid="{00000000-0005-0000-0000-000079040000}"/>
    <cellStyle name="Currency 3 5 2 2 2" xfId="1187" xr:uid="{00000000-0005-0000-0000-00007A040000}"/>
    <cellStyle name="Currency 3 5 2 3" xfId="1188" xr:uid="{00000000-0005-0000-0000-00007B040000}"/>
    <cellStyle name="Currency 3 5 3" xfId="1189" xr:uid="{00000000-0005-0000-0000-00007C040000}"/>
    <cellStyle name="Currency 3 5 3 2" xfId="1190" xr:uid="{00000000-0005-0000-0000-00007D040000}"/>
    <cellStyle name="Currency 3 5 3 2 2" xfId="1191" xr:uid="{00000000-0005-0000-0000-00007E040000}"/>
    <cellStyle name="Currency 3 5 3 3" xfId="1192" xr:uid="{00000000-0005-0000-0000-00007F040000}"/>
    <cellStyle name="Currency 3 5 4" xfId="1193" xr:uid="{00000000-0005-0000-0000-000080040000}"/>
    <cellStyle name="Currency 3 5 4 2" xfId="1194" xr:uid="{00000000-0005-0000-0000-000081040000}"/>
    <cellStyle name="Currency 3 5 4 2 2" xfId="1195" xr:uid="{00000000-0005-0000-0000-000082040000}"/>
    <cellStyle name="Currency 3 5 4 3" xfId="1196" xr:uid="{00000000-0005-0000-0000-000083040000}"/>
    <cellStyle name="Currency 3 5 5" xfId="1197" xr:uid="{00000000-0005-0000-0000-000084040000}"/>
    <cellStyle name="Currency 3 5 5 2" xfId="1198" xr:uid="{00000000-0005-0000-0000-000085040000}"/>
    <cellStyle name="Currency 3 5 5 2 2" xfId="1199" xr:uid="{00000000-0005-0000-0000-000086040000}"/>
    <cellStyle name="Currency 3 5 5 3" xfId="1200" xr:uid="{00000000-0005-0000-0000-000087040000}"/>
    <cellStyle name="Currency 3 5 6" xfId="1201" xr:uid="{00000000-0005-0000-0000-000088040000}"/>
    <cellStyle name="Currency 3 5 6 2" xfId="1202" xr:uid="{00000000-0005-0000-0000-000089040000}"/>
    <cellStyle name="Currency 3 5 7" xfId="1203" xr:uid="{00000000-0005-0000-0000-00008A040000}"/>
    <cellStyle name="Currency 3 5 7 2" xfId="1204" xr:uid="{00000000-0005-0000-0000-00008B040000}"/>
    <cellStyle name="Currency 3 5 8" xfId="1205" xr:uid="{00000000-0005-0000-0000-00008C040000}"/>
    <cellStyle name="Currency 3 5 8 2" xfId="1206" xr:uid="{00000000-0005-0000-0000-00008D040000}"/>
    <cellStyle name="Currency 3 5 9" xfId="1207" xr:uid="{00000000-0005-0000-0000-00008E040000}"/>
    <cellStyle name="Currency 3 6" xfId="1208" xr:uid="{00000000-0005-0000-0000-00008F040000}"/>
    <cellStyle name="Currency 3 6 2" xfId="1209" xr:uid="{00000000-0005-0000-0000-000090040000}"/>
    <cellStyle name="Currency 3 6 2 2" xfId="1210" xr:uid="{00000000-0005-0000-0000-000091040000}"/>
    <cellStyle name="Currency 3 6 3" xfId="1211" xr:uid="{00000000-0005-0000-0000-000092040000}"/>
    <cellStyle name="Currency 3 7" xfId="1212" xr:uid="{00000000-0005-0000-0000-000093040000}"/>
    <cellStyle name="Currency 3 7 2" xfId="1213" xr:uid="{00000000-0005-0000-0000-000094040000}"/>
    <cellStyle name="Currency 3 7 2 2" xfId="1214" xr:uid="{00000000-0005-0000-0000-000095040000}"/>
    <cellStyle name="Currency 3 7 3" xfId="1215" xr:uid="{00000000-0005-0000-0000-000096040000}"/>
    <cellStyle name="Currency 3 8" xfId="1216" xr:uid="{00000000-0005-0000-0000-000097040000}"/>
    <cellStyle name="Currency 3 8 2" xfId="1217" xr:uid="{00000000-0005-0000-0000-000098040000}"/>
    <cellStyle name="Currency 3 8 2 2" xfId="1218" xr:uid="{00000000-0005-0000-0000-000099040000}"/>
    <cellStyle name="Currency 3 8 3" xfId="1219" xr:uid="{00000000-0005-0000-0000-00009A040000}"/>
    <cellStyle name="Currency 3 9" xfId="1220" xr:uid="{00000000-0005-0000-0000-00009B040000}"/>
    <cellStyle name="Currency 3 9 2" xfId="1221" xr:uid="{00000000-0005-0000-0000-00009C040000}"/>
    <cellStyle name="Currency 3 9 2 2" xfId="1222" xr:uid="{00000000-0005-0000-0000-00009D040000}"/>
    <cellStyle name="Currency 3 9 3" xfId="1223" xr:uid="{00000000-0005-0000-0000-00009E040000}"/>
    <cellStyle name="Currency 4" xfId="1224" xr:uid="{00000000-0005-0000-0000-00009F040000}"/>
    <cellStyle name="Currency 4 10" xfId="1225" xr:uid="{00000000-0005-0000-0000-0000A0040000}"/>
    <cellStyle name="Currency 4 10 2" xfId="1226" xr:uid="{00000000-0005-0000-0000-0000A1040000}"/>
    <cellStyle name="Currency 4 11" xfId="1227" xr:uid="{00000000-0005-0000-0000-0000A2040000}"/>
    <cellStyle name="Currency 4 11 2" xfId="1228" xr:uid="{00000000-0005-0000-0000-0000A3040000}"/>
    <cellStyle name="Currency 4 12" xfId="1229" xr:uid="{00000000-0005-0000-0000-0000A4040000}"/>
    <cellStyle name="Currency 4 12 2" xfId="1230" xr:uid="{00000000-0005-0000-0000-0000A5040000}"/>
    <cellStyle name="Currency 4 13" xfId="1231" xr:uid="{00000000-0005-0000-0000-0000A6040000}"/>
    <cellStyle name="Currency 4 2" xfId="1232" xr:uid="{00000000-0005-0000-0000-0000A7040000}"/>
    <cellStyle name="Currency 4 2 10" xfId="1233" xr:uid="{00000000-0005-0000-0000-0000A8040000}"/>
    <cellStyle name="Currency 4 2 10 2" xfId="1234" xr:uid="{00000000-0005-0000-0000-0000A9040000}"/>
    <cellStyle name="Currency 4 2 11" xfId="1235" xr:uid="{00000000-0005-0000-0000-0000AA040000}"/>
    <cellStyle name="Currency 4 2 11 2" xfId="1236" xr:uid="{00000000-0005-0000-0000-0000AB040000}"/>
    <cellStyle name="Currency 4 2 12" xfId="1237" xr:uid="{00000000-0005-0000-0000-0000AC040000}"/>
    <cellStyle name="Currency 4 2 2" xfId="1238" xr:uid="{00000000-0005-0000-0000-0000AD040000}"/>
    <cellStyle name="Currency 4 2 2 2" xfId="1239" xr:uid="{00000000-0005-0000-0000-0000AE040000}"/>
    <cellStyle name="Currency 4 2 2 2 2" xfId="1240" xr:uid="{00000000-0005-0000-0000-0000AF040000}"/>
    <cellStyle name="Currency 4 2 2 2 2 2" xfId="1241" xr:uid="{00000000-0005-0000-0000-0000B0040000}"/>
    <cellStyle name="Currency 4 2 2 2 3" xfId="1242" xr:uid="{00000000-0005-0000-0000-0000B1040000}"/>
    <cellStyle name="Currency 4 2 2 3" xfId="1243" xr:uid="{00000000-0005-0000-0000-0000B2040000}"/>
    <cellStyle name="Currency 4 2 2 3 2" xfId="1244" xr:uid="{00000000-0005-0000-0000-0000B3040000}"/>
    <cellStyle name="Currency 4 2 2 3 2 2" xfId="1245" xr:uid="{00000000-0005-0000-0000-0000B4040000}"/>
    <cellStyle name="Currency 4 2 2 3 3" xfId="1246" xr:uid="{00000000-0005-0000-0000-0000B5040000}"/>
    <cellStyle name="Currency 4 2 2 4" xfId="1247" xr:uid="{00000000-0005-0000-0000-0000B6040000}"/>
    <cellStyle name="Currency 4 2 2 4 2" xfId="1248" xr:uid="{00000000-0005-0000-0000-0000B7040000}"/>
    <cellStyle name="Currency 4 2 2 4 2 2" xfId="1249" xr:uid="{00000000-0005-0000-0000-0000B8040000}"/>
    <cellStyle name="Currency 4 2 2 4 3" xfId="1250" xr:uid="{00000000-0005-0000-0000-0000B9040000}"/>
    <cellStyle name="Currency 4 2 2 5" xfId="1251" xr:uid="{00000000-0005-0000-0000-0000BA040000}"/>
    <cellStyle name="Currency 4 2 2 5 2" xfId="1252" xr:uid="{00000000-0005-0000-0000-0000BB040000}"/>
    <cellStyle name="Currency 4 2 2 5 2 2" xfId="1253" xr:uid="{00000000-0005-0000-0000-0000BC040000}"/>
    <cellStyle name="Currency 4 2 2 5 3" xfId="1254" xr:uid="{00000000-0005-0000-0000-0000BD040000}"/>
    <cellStyle name="Currency 4 2 2 6" xfId="1255" xr:uid="{00000000-0005-0000-0000-0000BE040000}"/>
    <cellStyle name="Currency 4 2 2 6 2" xfId="1256" xr:uid="{00000000-0005-0000-0000-0000BF040000}"/>
    <cellStyle name="Currency 4 2 2 7" xfId="1257" xr:uid="{00000000-0005-0000-0000-0000C0040000}"/>
    <cellStyle name="Currency 4 2 2 7 2" xfId="1258" xr:uid="{00000000-0005-0000-0000-0000C1040000}"/>
    <cellStyle name="Currency 4 2 2 8" xfId="1259" xr:uid="{00000000-0005-0000-0000-0000C2040000}"/>
    <cellStyle name="Currency 4 2 2 8 2" xfId="1260" xr:uid="{00000000-0005-0000-0000-0000C3040000}"/>
    <cellStyle name="Currency 4 2 2 9" xfId="1261" xr:uid="{00000000-0005-0000-0000-0000C4040000}"/>
    <cellStyle name="Currency 4 2 3" xfId="1262" xr:uid="{00000000-0005-0000-0000-0000C5040000}"/>
    <cellStyle name="Currency 4 2 3 2" xfId="1263" xr:uid="{00000000-0005-0000-0000-0000C6040000}"/>
    <cellStyle name="Currency 4 2 3 2 2" xfId="1264" xr:uid="{00000000-0005-0000-0000-0000C7040000}"/>
    <cellStyle name="Currency 4 2 3 2 2 2" xfId="1265" xr:uid="{00000000-0005-0000-0000-0000C8040000}"/>
    <cellStyle name="Currency 4 2 3 2 3" xfId="1266" xr:uid="{00000000-0005-0000-0000-0000C9040000}"/>
    <cellStyle name="Currency 4 2 3 3" xfId="1267" xr:uid="{00000000-0005-0000-0000-0000CA040000}"/>
    <cellStyle name="Currency 4 2 3 3 2" xfId="1268" xr:uid="{00000000-0005-0000-0000-0000CB040000}"/>
    <cellStyle name="Currency 4 2 3 3 2 2" xfId="1269" xr:uid="{00000000-0005-0000-0000-0000CC040000}"/>
    <cellStyle name="Currency 4 2 3 3 3" xfId="1270" xr:uid="{00000000-0005-0000-0000-0000CD040000}"/>
    <cellStyle name="Currency 4 2 3 4" xfId="1271" xr:uid="{00000000-0005-0000-0000-0000CE040000}"/>
    <cellStyle name="Currency 4 2 3 4 2" xfId="1272" xr:uid="{00000000-0005-0000-0000-0000CF040000}"/>
    <cellStyle name="Currency 4 2 3 4 2 2" xfId="1273" xr:uid="{00000000-0005-0000-0000-0000D0040000}"/>
    <cellStyle name="Currency 4 2 3 4 3" xfId="1274" xr:uid="{00000000-0005-0000-0000-0000D1040000}"/>
    <cellStyle name="Currency 4 2 3 5" xfId="1275" xr:uid="{00000000-0005-0000-0000-0000D2040000}"/>
    <cellStyle name="Currency 4 2 3 5 2" xfId="1276" xr:uid="{00000000-0005-0000-0000-0000D3040000}"/>
    <cellStyle name="Currency 4 2 3 5 2 2" xfId="1277" xr:uid="{00000000-0005-0000-0000-0000D4040000}"/>
    <cellStyle name="Currency 4 2 3 5 3" xfId="1278" xr:uid="{00000000-0005-0000-0000-0000D5040000}"/>
    <cellStyle name="Currency 4 2 3 6" xfId="1279" xr:uid="{00000000-0005-0000-0000-0000D6040000}"/>
    <cellStyle name="Currency 4 2 3 6 2" xfId="1280" xr:uid="{00000000-0005-0000-0000-0000D7040000}"/>
    <cellStyle name="Currency 4 2 3 7" xfId="1281" xr:uid="{00000000-0005-0000-0000-0000D8040000}"/>
    <cellStyle name="Currency 4 2 3 7 2" xfId="1282" xr:uid="{00000000-0005-0000-0000-0000D9040000}"/>
    <cellStyle name="Currency 4 2 3 8" xfId="1283" xr:uid="{00000000-0005-0000-0000-0000DA040000}"/>
    <cellStyle name="Currency 4 2 3 8 2" xfId="1284" xr:uid="{00000000-0005-0000-0000-0000DB040000}"/>
    <cellStyle name="Currency 4 2 3 9" xfId="1285" xr:uid="{00000000-0005-0000-0000-0000DC040000}"/>
    <cellStyle name="Currency 4 2 4" xfId="1286" xr:uid="{00000000-0005-0000-0000-0000DD040000}"/>
    <cellStyle name="Currency 4 2 4 2" xfId="1287" xr:uid="{00000000-0005-0000-0000-0000DE040000}"/>
    <cellStyle name="Currency 4 2 4 2 2" xfId="1288" xr:uid="{00000000-0005-0000-0000-0000DF040000}"/>
    <cellStyle name="Currency 4 2 4 2 2 2" xfId="1289" xr:uid="{00000000-0005-0000-0000-0000E0040000}"/>
    <cellStyle name="Currency 4 2 4 2 3" xfId="1290" xr:uid="{00000000-0005-0000-0000-0000E1040000}"/>
    <cellStyle name="Currency 4 2 4 3" xfId="1291" xr:uid="{00000000-0005-0000-0000-0000E2040000}"/>
    <cellStyle name="Currency 4 2 4 3 2" xfId="1292" xr:uid="{00000000-0005-0000-0000-0000E3040000}"/>
    <cellStyle name="Currency 4 2 4 3 2 2" xfId="1293" xr:uid="{00000000-0005-0000-0000-0000E4040000}"/>
    <cellStyle name="Currency 4 2 4 3 3" xfId="1294" xr:uid="{00000000-0005-0000-0000-0000E5040000}"/>
    <cellStyle name="Currency 4 2 4 4" xfId="1295" xr:uid="{00000000-0005-0000-0000-0000E6040000}"/>
    <cellStyle name="Currency 4 2 4 4 2" xfId="1296" xr:uid="{00000000-0005-0000-0000-0000E7040000}"/>
    <cellStyle name="Currency 4 2 4 4 2 2" xfId="1297" xr:uid="{00000000-0005-0000-0000-0000E8040000}"/>
    <cellStyle name="Currency 4 2 4 4 3" xfId="1298" xr:uid="{00000000-0005-0000-0000-0000E9040000}"/>
    <cellStyle name="Currency 4 2 4 5" xfId="1299" xr:uid="{00000000-0005-0000-0000-0000EA040000}"/>
    <cellStyle name="Currency 4 2 4 5 2" xfId="1300" xr:uid="{00000000-0005-0000-0000-0000EB040000}"/>
    <cellStyle name="Currency 4 2 4 5 2 2" xfId="1301" xr:uid="{00000000-0005-0000-0000-0000EC040000}"/>
    <cellStyle name="Currency 4 2 4 5 3" xfId="1302" xr:uid="{00000000-0005-0000-0000-0000ED040000}"/>
    <cellStyle name="Currency 4 2 4 6" xfId="1303" xr:uid="{00000000-0005-0000-0000-0000EE040000}"/>
    <cellStyle name="Currency 4 2 4 6 2" xfId="1304" xr:uid="{00000000-0005-0000-0000-0000EF040000}"/>
    <cellStyle name="Currency 4 2 4 7" xfId="1305" xr:uid="{00000000-0005-0000-0000-0000F0040000}"/>
    <cellStyle name="Currency 4 2 4 7 2" xfId="1306" xr:uid="{00000000-0005-0000-0000-0000F1040000}"/>
    <cellStyle name="Currency 4 2 4 8" xfId="1307" xr:uid="{00000000-0005-0000-0000-0000F2040000}"/>
    <cellStyle name="Currency 4 2 4 8 2" xfId="1308" xr:uid="{00000000-0005-0000-0000-0000F3040000}"/>
    <cellStyle name="Currency 4 2 4 9" xfId="1309" xr:uid="{00000000-0005-0000-0000-0000F4040000}"/>
    <cellStyle name="Currency 4 2 5" xfId="1310" xr:uid="{00000000-0005-0000-0000-0000F5040000}"/>
    <cellStyle name="Currency 4 2 5 2" xfId="1311" xr:uid="{00000000-0005-0000-0000-0000F6040000}"/>
    <cellStyle name="Currency 4 2 5 2 2" xfId="1312" xr:uid="{00000000-0005-0000-0000-0000F7040000}"/>
    <cellStyle name="Currency 4 2 5 3" xfId="1313" xr:uid="{00000000-0005-0000-0000-0000F8040000}"/>
    <cellStyle name="Currency 4 2 6" xfId="1314" xr:uid="{00000000-0005-0000-0000-0000F9040000}"/>
    <cellStyle name="Currency 4 2 6 2" xfId="1315" xr:uid="{00000000-0005-0000-0000-0000FA040000}"/>
    <cellStyle name="Currency 4 2 6 2 2" xfId="1316" xr:uid="{00000000-0005-0000-0000-0000FB040000}"/>
    <cellStyle name="Currency 4 2 6 3" xfId="1317" xr:uid="{00000000-0005-0000-0000-0000FC040000}"/>
    <cellStyle name="Currency 4 2 7" xfId="1318" xr:uid="{00000000-0005-0000-0000-0000FD040000}"/>
    <cellStyle name="Currency 4 2 7 2" xfId="1319" xr:uid="{00000000-0005-0000-0000-0000FE040000}"/>
    <cellStyle name="Currency 4 2 7 2 2" xfId="1320" xr:uid="{00000000-0005-0000-0000-0000FF040000}"/>
    <cellStyle name="Currency 4 2 7 3" xfId="1321" xr:uid="{00000000-0005-0000-0000-000000050000}"/>
    <cellStyle name="Currency 4 2 8" xfId="1322" xr:uid="{00000000-0005-0000-0000-000001050000}"/>
    <cellStyle name="Currency 4 2 8 2" xfId="1323" xr:uid="{00000000-0005-0000-0000-000002050000}"/>
    <cellStyle name="Currency 4 2 8 2 2" xfId="1324" xr:uid="{00000000-0005-0000-0000-000003050000}"/>
    <cellStyle name="Currency 4 2 8 3" xfId="1325" xr:uid="{00000000-0005-0000-0000-000004050000}"/>
    <cellStyle name="Currency 4 2 9" xfId="1326" xr:uid="{00000000-0005-0000-0000-000005050000}"/>
    <cellStyle name="Currency 4 2 9 2" xfId="1327" xr:uid="{00000000-0005-0000-0000-000006050000}"/>
    <cellStyle name="Currency 4 3" xfId="1328" xr:uid="{00000000-0005-0000-0000-000007050000}"/>
    <cellStyle name="Currency 4 4" xfId="1329" xr:uid="{00000000-0005-0000-0000-000008050000}"/>
    <cellStyle name="Currency 4 4 2" xfId="1330" xr:uid="{00000000-0005-0000-0000-000009050000}"/>
    <cellStyle name="Currency 4 4 2 2" xfId="1331" xr:uid="{00000000-0005-0000-0000-00000A050000}"/>
    <cellStyle name="Currency 4 4 2 2 2" xfId="1332" xr:uid="{00000000-0005-0000-0000-00000B050000}"/>
    <cellStyle name="Currency 4 4 2 3" xfId="1333" xr:uid="{00000000-0005-0000-0000-00000C050000}"/>
    <cellStyle name="Currency 4 4 3" xfId="1334" xr:uid="{00000000-0005-0000-0000-00000D050000}"/>
    <cellStyle name="Currency 4 4 3 2" xfId="1335" xr:uid="{00000000-0005-0000-0000-00000E050000}"/>
    <cellStyle name="Currency 4 4 3 2 2" xfId="1336" xr:uid="{00000000-0005-0000-0000-00000F050000}"/>
    <cellStyle name="Currency 4 4 3 3" xfId="1337" xr:uid="{00000000-0005-0000-0000-000010050000}"/>
    <cellStyle name="Currency 4 4 4" xfId="1338" xr:uid="{00000000-0005-0000-0000-000011050000}"/>
    <cellStyle name="Currency 4 4 4 2" xfId="1339" xr:uid="{00000000-0005-0000-0000-000012050000}"/>
    <cellStyle name="Currency 4 4 4 2 2" xfId="1340" xr:uid="{00000000-0005-0000-0000-000013050000}"/>
    <cellStyle name="Currency 4 4 4 3" xfId="1341" xr:uid="{00000000-0005-0000-0000-000014050000}"/>
    <cellStyle name="Currency 4 4 5" xfId="1342" xr:uid="{00000000-0005-0000-0000-000015050000}"/>
    <cellStyle name="Currency 4 4 5 2" xfId="1343" xr:uid="{00000000-0005-0000-0000-000016050000}"/>
    <cellStyle name="Currency 4 4 5 2 2" xfId="1344" xr:uid="{00000000-0005-0000-0000-000017050000}"/>
    <cellStyle name="Currency 4 4 5 3" xfId="1345" xr:uid="{00000000-0005-0000-0000-000018050000}"/>
    <cellStyle name="Currency 4 4 6" xfId="1346" xr:uid="{00000000-0005-0000-0000-000019050000}"/>
    <cellStyle name="Currency 4 4 6 2" xfId="1347" xr:uid="{00000000-0005-0000-0000-00001A050000}"/>
    <cellStyle name="Currency 4 4 7" xfId="1348" xr:uid="{00000000-0005-0000-0000-00001B050000}"/>
    <cellStyle name="Currency 4 4 7 2" xfId="1349" xr:uid="{00000000-0005-0000-0000-00001C050000}"/>
    <cellStyle name="Currency 4 4 8" xfId="1350" xr:uid="{00000000-0005-0000-0000-00001D050000}"/>
    <cellStyle name="Currency 4 4 8 2" xfId="1351" xr:uid="{00000000-0005-0000-0000-00001E050000}"/>
    <cellStyle name="Currency 4 4 9" xfId="1352" xr:uid="{00000000-0005-0000-0000-00001F050000}"/>
    <cellStyle name="Currency 4 5" xfId="1353" xr:uid="{00000000-0005-0000-0000-000020050000}"/>
    <cellStyle name="Currency 4 5 2" xfId="1354" xr:uid="{00000000-0005-0000-0000-000021050000}"/>
    <cellStyle name="Currency 4 5 2 2" xfId="1355" xr:uid="{00000000-0005-0000-0000-000022050000}"/>
    <cellStyle name="Currency 4 5 2 2 2" xfId="1356" xr:uid="{00000000-0005-0000-0000-000023050000}"/>
    <cellStyle name="Currency 4 5 2 3" xfId="1357" xr:uid="{00000000-0005-0000-0000-000024050000}"/>
    <cellStyle name="Currency 4 5 3" xfId="1358" xr:uid="{00000000-0005-0000-0000-000025050000}"/>
    <cellStyle name="Currency 4 5 3 2" xfId="1359" xr:uid="{00000000-0005-0000-0000-000026050000}"/>
    <cellStyle name="Currency 4 5 3 2 2" xfId="1360" xr:uid="{00000000-0005-0000-0000-000027050000}"/>
    <cellStyle name="Currency 4 5 3 3" xfId="1361" xr:uid="{00000000-0005-0000-0000-000028050000}"/>
    <cellStyle name="Currency 4 5 4" xfId="1362" xr:uid="{00000000-0005-0000-0000-000029050000}"/>
    <cellStyle name="Currency 4 5 4 2" xfId="1363" xr:uid="{00000000-0005-0000-0000-00002A050000}"/>
    <cellStyle name="Currency 4 5 4 2 2" xfId="1364" xr:uid="{00000000-0005-0000-0000-00002B050000}"/>
    <cellStyle name="Currency 4 5 4 3" xfId="1365" xr:uid="{00000000-0005-0000-0000-00002C050000}"/>
    <cellStyle name="Currency 4 5 5" xfId="1366" xr:uid="{00000000-0005-0000-0000-00002D050000}"/>
    <cellStyle name="Currency 4 5 5 2" xfId="1367" xr:uid="{00000000-0005-0000-0000-00002E050000}"/>
    <cellStyle name="Currency 4 5 5 2 2" xfId="1368" xr:uid="{00000000-0005-0000-0000-00002F050000}"/>
    <cellStyle name="Currency 4 5 5 3" xfId="1369" xr:uid="{00000000-0005-0000-0000-000030050000}"/>
    <cellStyle name="Currency 4 5 6" xfId="1370" xr:uid="{00000000-0005-0000-0000-000031050000}"/>
    <cellStyle name="Currency 4 5 6 2" xfId="1371" xr:uid="{00000000-0005-0000-0000-000032050000}"/>
    <cellStyle name="Currency 4 5 7" xfId="1372" xr:uid="{00000000-0005-0000-0000-000033050000}"/>
    <cellStyle name="Currency 4 5 7 2" xfId="1373" xr:uid="{00000000-0005-0000-0000-000034050000}"/>
    <cellStyle name="Currency 4 5 8" xfId="1374" xr:uid="{00000000-0005-0000-0000-000035050000}"/>
    <cellStyle name="Currency 4 5 8 2" xfId="1375" xr:uid="{00000000-0005-0000-0000-000036050000}"/>
    <cellStyle name="Currency 4 5 9" xfId="1376" xr:uid="{00000000-0005-0000-0000-000037050000}"/>
    <cellStyle name="Currency 4 6" xfId="1377" xr:uid="{00000000-0005-0000-0000-000038050000}"/>
    <cellStyle name="Currency 4 6 2" xfId="1378" xr:uid="{00000000-0005-0000-0000-000039050000}"/>
    <cellStyle name="Currency 4 6 2 2" xfId="1379" xr:uid="{00000000-0005-0000-0000-00003A050000}"/>
    <cellStyle name="Currency 4 6 3" xfId="1380" xr:uid="{00000000-0005-0000-0000-00003B050000}"/>
    <cellStyle name="Currency 4 7" xfId="1381" xr:uid="{00000000-0005-0000-0000-00003C050000}"/>
    <cellStyle name="Currency 4 7 2" xfId="1382" xr:uid="{00000000-0005-0000-0000-00003D050000}"/>
    <cellStyle name="Currency 4 7 2 2" xfId="1383" xr:uid="{00000000-0005-0000-0000-00003E050000}"/>
    <cellStyle name="Currency 4 7 3" xfId="1384" xr:uid="{00000000-0005-0000-0000-00003F050000}"/>
    <cellStyle name="Currency 4 8" xfId="1385" xr:uid="{00000000-0005-0000-0000-000040050000}"/>
    <cellStyle name="Currency 4 8 2" xfId="1386" xr:uid="{00000000-0005-0000-0000-000041050000}"/>
    <cellStyle name="Currency 4 8 2 2" xfId="1387" xr:uid="{00000000-0005-0000-0000-000042050000}"/>
    <cellStyle name="Currency 4 8 3" xfId="1388" xr:uid="{00000000-0005-0000-0000-000043050000}"/>
    <cellStyle name="Currency 4 9" xfId="1389" xr:uid="{00000000-0005-0000-0000-000044050000}"/>
    <cellStyle name="Currency 4 9 2" xfId="1390" xr:uid="{00000000-0005-0000-0000-000045050000}"/>
    <cellStyle name="Currency 4 9 2 2" xfId="1391" xr:uid="{00000000-0005-0000-0000-000046050000}"/>
    <cellStyle name="Currency 4 9 3" xfId="1392" xr:uid="{00000000-0005-0000-0000-000047050000}"/>
    <cellStyle name="Currency 5" xfId="1393" xr:uid="{00000000-0005-0000-0000-000048050000}"/>
    <cellStyle name="Currency 5 10" xfId="1394" xr:uid="{00000000-0005-0000-0000-000049050000}"/>
    <cellStyle name="Currency 5 10 2" xfId="1395" xr:uid="{00000000-0005-0000-0000-00004A050000}"/>
    <cellStyle name="Currency 5 11" xfId="1396" xr:uid="{00000000-0005-0000-0000-00004B050000}"/>
    <cellStyle name="Currency 5 11 2" xfId="1397" xr:uid="{00000000-0005-0000-0000-00004C050000}"/>
    <cellStyle name="Currency 5 12" xfId="1398" xr:uid="{00000000-0005-0000-0000-00004D050000}"/>
    <cellStyle name="Currency 5 12 2" xfId="1399" xr:uid="{00000000-0005-0000-0000-00004E050000}"/>
    <cellStyle name="Currency 5 13" xfId="1400" xr:uid="{00000000-0005-0000-0000-00004F050000}"/>
    <cellStyle name="Currency 5 2" xfId="1401" xr:uid="{00000000-0005-0000-0000-000050050000}"/>
    <cellStyle name="Currency 5 2 10" xfId="1402" xr:uid="{00000000-0005-0000-0000-000051050000}"/>
    <cellStyle name="Currency 5 2 10 2" xfId="1403" xr:uid="{00000000-0005-0000-0000-000052050000}"/>
    <cellStyle name="Currency 5 2 11" xfId="1404" xr:uid="{00000000-0005-0000-0000-000053050000}"/>
    <cellStyle name="Currency 5 2 2" xfId="1405" xr:uid="{00000000-0005-0000-0000-000054050000}"/>
    <cellStyle name="Currency 5 2 2 2" xfId="1406" xr:uid="{00000000-0005-0000-0000-000055050000}"/>
    <cellStyle name="Currency 5 2 2 2 2" xfId="1407" xr:uid="{00000000-0005-0000-0000-000056050000}"/>
    <cellStyle name="Currency 5 2 2 2 2 2" xfId="1408" xr:uid="{00000000-0005-0000-0000-000057050000}"/>
    <cellStyle name="Currency 5 2 2 2 3" xfId="1409" xr:uid="{00000000-0005-0000-0000-000058050000}"/>
    <cellStyle name="Currency 5 2 2 3" xfId="1410" xr:uid="{00000000-0005-0000-0000-000059050000}"/>
    <cellStyle name="Currency 5 2 2 3 2" xfId="1411" xr:uid="{00000000-0005-0000-0000-00005A050000}"/>
    <cellStyle name="Currency 5 2 2 3 2 2" xfId="1412" xr:uid="{00000000-0005-0000-0000-00005B050000}"/>
    <cellStyle name="Currency 5 2 2 3 3" xfId="1413" xr:uid="{00000000-0005-0000-0000-00005C050000}"/>
    <cellStyle name="Currency 5 2 2 4" xfId="1414" xr:uid="{00000000-0005-0000-0000-00005D050000}"/>
    <cellStyle name="Currency 5 2 2 4 2" xfId="1415" xr:uid="{00000000-0005-0000-0000-00005E050000}"/>
    <cellStyle name="Currency 5 2 2 4 2 2" xfId="1416" xr:uid="{00000000-0005-0000-0000-00005F050000}"/>
    <cellStyle name="Currency 5 2 2 4 3" xfId="1417" xr:uid="{00000000-0005-0000-0000-000060050000}"/>
    <cellStyle name="Currency 5 2 2 5" xfId="1418" xr:uid="{00000000-0005-0000-0000-000061050000}"/>
    <cellStyle name="Currency 5 2 2 5 2" xfId="1419" xr:uid="{00000000-0005-0000-0000-000062050000}"/>
    <cellStyle name="Currency 5 2 2 5 2 2" xfId="1420" xr:uid="{00000000-0005-0000-0000-000063050000}"/>
    <cellStyle name="Currency 5 2 2 5 3" xfId="1421" xr:uid="{00000000-0005-0000-0000-000064050000}"/>
    <cellStyle name="Currency 5 2 2 6" xfId="1422" xr:uid="{00000000-0005-0000-0000-000065050000}"/>
    <cellStyle name="Currency 5 2 2 6 2" xfId="1423" xr:uid="{00000000-0005-0000-0000-000066050000}"/>
    <cellStyle name="Currency 5 2 2 7" xfId="1424" xr:uid="{00000000-0005-0000-0000-000067050000}"/>
    <cellStyle name="Currency 5 2 2 7 2" xfId="1425" xr:uid="{00000000-0005-0000-0000-000068050000}"/>
    <cellStyle name="Currency 5 2 2 8" xfId="1426" xr:uid="{00000000-0005-0000-0000-000069050000}"/>
    <cellStyle name="Currency 5 2 2 8 2" xfId="1427" xr:uid="{00000000-0005-0000-0000-00006A050000}"/>
    <cellStyle name="Currency 5 2 2 9" xfId="1428" xr:uid="{00000000-0005-0000-0000-00006B050000}"/>
    <cellStyle name="Currency 5 2 3" xfId="1429" xr:uid="{00000000-0005-0000-0000-00006C050000}"/>
    <cellStyle name="Currency 5 2 3 2" xfId="1430" xr:uid="{00000000-0005-0000-0000-00006D050000}"/>
    <cellStyle name="Currency 5 2 3 2 2" xfId="1431" xr:uid="{00000000-0005-0000-0000-00006E050000}"/>
    <cellStyle name="Currency 5 2 3 2 2 2" xfId="1432" xr:uid="{00000000-0005-0000-0000-00006F050000}"/>
    <cellStyle name="Currency 5 2 3 2 3" xfId="1433" xr:uid="{00000000-0005-0000-0000-000070050000}"/>
    <cellStyle name="Currency 5 2 3 3" xfId="1434" xr:uid="{00000000-0005-0000-0000-000071050000}"/>
    <cellStyle name="Currency 5 2 3 3 2" xfId="1435" xr:uid="{00000000-0005-0000-0000-000072050000}"/>
    <cellStyle name="Currency 5 2 3 3 2 2" xfId="1436" xr:uid="{00000000-0005-0000-0000-000073050000}"/>
    <cellStyle name="Currency 5 2 3 3 3" xfId="1437" xr:uid="{00000000-0005-0000-0000-000074050000}"/>
    <cellStyle name="Currency 5 2 3 4" xfId="1438" xr:uid="{00000000-0005-0000-0000-000075050000}"/>
    <cellStyle name="Currency 5 2 3 4 2" xfId="1439" xr:uid="{00000000-0005-0000-0000-000076050000}"/>
    <cellStyle name="Currency 5 2 3 4 2 2" xfId="1440" xr:uid="{00000000-0005-0000-0000-000077050000}"/>
    <cellStyle name="Currency 5 2 3 4 3" xfId="1441" xr:uid="{00000000-0005-0000-0000-000078050000}"/>
    <cellStyle name="Currency 5 2 3 5" xfId="1442" xr:uid="{00000000-0005-0000-0000-000079050000}"/>
    <cellStyle name="Currency 5 2 3 5 2" xfId="1443" xr:uid="{00000000-0005-0000-0000-00007A050000}"/>
    <cellStyle name="Currency 5 2 3 5 2 2" xfId="1444" xr:uid="{00000000-0005-0000-0000-00007B050000}"/>
    <cellStyle name="Currency 5 2 3 5 3" xfId="1445" xr:uid="{00000000-0005-0000-0000-00007C050000}"/>
    <cellStyle name="Currency 5 2 3 6" xfId="1446" xr:uid="{00000000-0005-0000-0000-00007D050000}"/>
    <cellStyle name="Currency 5 2 3 6 2" xfId="1447" xr:uid="{00000000-0005-0000-0000-00007E050000}"/>
    <cellStyle name="Currency 5 2 3 7" xfId="1448" xr:uid="{00000000-0005-0000-0000-00007F050000}"/>
    <cellStyle name="Currency 5 2 3 7 2" xfId="1449" xr:uid="{00000000-0005-0000-0000-000080050000}"/>
    <cellStyle name="Currency 5 2 3 8" xfId="1450" xr:uid="{00000000-0005-0000-0000-000081050000}"/>
    <cellStyle name="Currency 5 2 3 8 2" xfId="1451" xr:uid="{00000000-0005-0000-0000-000082050000}"/>
    <cellStyle name="Currency 5 2 3 9" xfId="1452" xr:uid="{00000000-0005-0000-0000-000083050000}"/>
    <cellStyle name="Currency 5 2 4" xfId="1453" xr:uid="{00000000-0005-0000-0000-000084050000}"/>
    <cellStyle name="Currency 5 2 4 2" xfId="1454" xr:uid="{00000000-0005-0000-0000-000085050000}"/>
    <cellStyle name="Currency 5 2 4 2 2" xfId="1455" xr:uid="{00000000-0005-0000-0000-000086050000}"/>
    <cellStyle name="Currency 5 2 4 3" xfId="1456" xr:uid="{00000000-0005-0000-0000-000087050000}"/>
    <cellStyle name="Currency 5 2 5" xfId="1457" xr:uid="{00000000-0005-0000-0000-000088050000}"/>
    <cellStyle name="Currency 5 2 5 2" xfId="1458" xr:uid="{00000000-0005-0000-0000-000089050000}"/>
    <cellStyle name="Currency 5 2 5 2 2" xfId="1459" xr:uid="{00000000-0005-0000-0000-00008A050000}"/>
    <cellStyle name="Currency 5 2 5 3" xfId="1460" xr:uid="{00000000-0005-0000-0000-00008B050000}"/>
    <cellStyle name="Currency 5 2 6" xfId="1461" xr:uid="{00000000-0005-0000-0000-00008C050000}"/>
    <cellStyle name="Currency 5 2 6 2" xfId="1462" xr:uid="{00000000-0005-0000-0000-00008D050000}"/>
    <cellStyle name="Currency 5 2 6 2 2" xfId="1463" xr:uid="{00000000-0005-0000-0000-00008E050000}"/>
    <cellStyle name="Currency 5 2 6 3" xfId="1464" xr:uid="{00000000-0005-0000-0000-00008F050000}"/>
    <cellStyle name="Currency 5 2 7" xfId="1465" xr:uid="{00000000-0005-0000-0000-000090050000}"/>
    <cellStyle name="Currency 5 2 7 2" xfId="1466" xr:uid="{00000000-0005-0000-0000-000091050000}"/>
    <cellStyle name="Currency 5 2 7 2 2" xfId="1467" xr:uid="{00000000-0005-0000-0000-000092050000}"/>
    <cellStyle name="Currency 5 2 7 3" xfId="1468" xr:uid="{00000000-0005-0000-0000-000093050000}"/>
    <cellStyle name="Currency 5 2 8" xfId="1469" xr:uid="{00000000-0005-0000-0000-000094050000}"/>
    <cellStyle name="Currency 5 2 8 2" xfId="1470" xr:uid="{00000000-0005-0000-0000-000095050000}"/>
    <cellStyle name="Currency 5 2 9" xfId="1471" xr:uid="{00000000-0005-0000-0000-000096050000}"/>
    <cellStyle name="Currency 5 2 9 2" xfId="1472" xr:uid="{00000000-0005-0000-0000-000097050000}"/>
    <cellStyle name="Currency 5 3" xfId="1473" xr:uid="{00000000-0005-0000-0000-000098050000}"/>
    <cellStyle name="Currency 5 3 2" xfId="1474" xr:uid="{00000000-0005-0000-0000-000099050000}"/>
    <cellStyle name="Currency 5 3 2 2" xfId="1475" xr:uid="{00000000-0005-0000-0000-00009A050000}"/>
    <cellStyle name="Currency 5 3 2 2 2" xfId="1476" xr:uid="{00000000-0005-0000-0000-00009B050000}"/>
    <cellStyle name="Currency 5 3 2 3" xfId="1477" xr:uid="{00000000-0005-0000-0000-00009C050000}"/>
    <cellStyle name="Currency 5 3 3" xfId="1478" xr:uid="{00000000-0005-0000-0000-00009D050000}"/>
    <cellStyle name="Currency 5 3 3 2" xfId="1479" xr:uid="{00000000-0005-0000-0000-00009E050000}"/>
    <cellStyle name="Currency 5 3 3 2 2" xfId="1480" xr:uid="{00000000-0005-0000-0000-00009F050000}"/>
    <cellStyle name="Currency 5 3 3 3" xfId="1481" xr:uid="{00000000-0005-0000-0000-0000A0050000}"/>
    <cellStyle name="Currency 5 3 4" xfId="1482" xr:uid="{00000000-0005-0000-0000-0000A1050000}"/>
    <cellStyle name="Currency 5 3 4 2" xfId="1483" xr:uid="{00000000-0005-0000-0000-0000A2050000}"/>
    <cellStyle name="Currency 5 3 4 2 2" xfId="1484" xr:uid="{00000000-0005-0000-0000-0000A3050000}"/>
    <cellStyle name="Currency 5 3 4 3" xfId="1485" xr:uid="{00000000-0005-0000-0000-0000A4050000}"/>
    <cellStyle name="Currency 5 3 5" xfId="1486" xr:uid="{00000000-0005-0000-0000-0000A5050000}"/>
    <cellStyle name="Currency 5 3 5 2" xfId="1487" xr:uid="{00000000-0005-0000-0000-0000A6050000}"/>
    <cellStyle name="Currency 5 3 5 2 2" xfId="1488" xr:uid="{00000000-0005-0000-0000-0000A7050000}"/>
    <cellStyle name="Currency 5 3 5 3" xfId="1489" xr:uid="{00000000-0005-0000-0000-0000A8050000}"/>
    <cellStyle name="Currency 5 3 6" xfId="1490" xr:uid="{00000000-0005-0000-0000-0000A9050000}"/>
    <cellStyle name="Currency 5 3 6 2" xfId="1491" xr:uid="{00000000-0005-0000-0000-0000AA050000}"/>
    <cellStyle name="Currency 5 3 7" xfId="1492" xr:uid="{00000000-0005-0000-0000-0000AB050000}"/>
    <cellStyle name="Currency 5 3 7 2" xfId="1493" xr:uid="{00000000-0005-0000-0000-0000AC050000}"/>
    <cellStyle name="Currency 5 3 8" xfId="1494" xr:uid="{00000000-0005-0000-0000-0000AD050000}"/>
    <cellStyle name="Currency 5 3 8 2" xfId="1495" xr:uid="{00000000-0005-0000-0000-0000AE050000}"/>
    <cellStyle name="Currency 5 3 9" xfId="1496" xr:uid="{00000000-0005-0000-0000-0000AF050000}"/>
    <cellStyle name="Currency 5 4" xfId="1497" xr:uid="{00000000-0005-0000-0000-0000B0050000}"/>
    <cellStyle name="Currency 5 4 2" xfId="1498" xr:uid="{00000000-0005-0000-0000-0000B1050000}"/>
    <cellStyle name="Currency 5 4 2 2" xfId="1499" xr:uid="{00000000-0005-0000-0000-0000B2050000}"/>
    <cellStyle name="Currency 5 4 2 2 2" xfId="1500" xr:uid="{00000000-0005-0000-0000-0000B3050000}"/>
    <cellStyle name="Currency 5 4 2 3" xfId="1501" xr:uid="{00000000-0005-0000-0000-0000B4050000}"/>
    <cellStyle name="Currency 5 4 3" xfId="1502" xr:uid="{00000000-0005-0000-0000-0000B5050000}"/>
    <cellStyle name="Currency 5 4 3 2" xfId="1503" xr:uid="{00000000-0005-0000-0000-0000B6050000}"/>
    <cellStyle name="Currency 5 4 3 2 2" xfId="1504" xr:uid="{00000000-0005-0000-0000-0000B7050000}"/>
    <cellStyle name="Currency 5 4 3 3" xfId="1505" xr:uid="{00000000-0005-0000-0000-0000B8050000}"/>
    <cellStyle name="Currency 5 4 4" xfId="1506" xr:uid="{00000000-0005-0000-0000-0000B9050000}"/>
    <cellStyle name="Currency 5 4 4 2" xfId="1507" xr:uid="{00000000-0005-0000-0000-0000BA050000}"/>
    <cellStyle name="Currency 5 4 4 2 2" xfId="1508" xr:uid="{00000000-0005-0000-0000-0000BB050000}"/>
    <cellStyle name="Currency 5 4 4 3" xfId="1509" xr:uid="{00000000-0005-0000-0000-0000BC050000}"/>
    <cellStyle name="Currency 5 4 5" xfId="1510" xr:uid="{00000000-0005-0000-0000-0000BD050000}"/>
    <cellStyle name="Currency 5 4 5 2" xfId="1511" xr:uid="{00000000-0005-0000-0000-0000BE050000}"/>
    <cellStyle name="Currency 5 4 5 2 2" xfId="1512" xr:uid="{00000000-0005-0000-0000-0000BF050000}"/>
    <cellStyle name="Currency 5 4 5 3" xfId="1513" xr:uid="{00000000-0005-0000-0000-0000C0050000}"/>
    <cellStyle name="Currency 5 4 6" xfId="1514" xr:uid="{00000000-0005-0000-0000-0000C1050000}"/>
    <cellStyle name="Currency 5 4 6 2" xfId="1515" xr:uid="{00000000-0005-0000-0000-0000C2050000}"/>
    <cellStyle name="Currency 5 4 7" xfId="1516" xr:uid="{00000000-0005-0000-0000-0000C3050000}"/>
    <cellStyle name="Currency 5 4 7 2" xfId="1517" xr:uid="{00000000-0005-0000-0000-0000C4050000}"/>
    <cellStyle name="Currency 5 4 8" xfId="1518" xr:uid="{00000000-0005-0000-0000-0000C5050000}"/>
    <cellStyle name="Currency 5 4 8 2" xfId="1519" xr:uid="{00000000-0005-0000-0000-0000C6050000}"/>
    <cellStyle name="Currency 5 4 9" xfId="1520" xr:uid="{00000000-0005-0000-0000-0000C7050000}"/>
    <cellStyle name="Currency 5 5" xfId="1521" xr:uid="{00000000-0005-0000-0000-0000C8050000}"/>
    <cellStyle name="Currency 5 5 2" xfId="1522" xr:uid="{00000000-0005-0000-0000-0000C9050000}"/>
    <cellStyle name="Currency 5 5 2 2" xfId="1523" xr:uid="{00000000-0005-0000-0000-0000CA050000}"/>
    <cellStyle name="Currency 5 5 2 2 2" xfId="1524" xr:uid="{00000000-0005-0000-0000-0000CB050000}"/>
    <cellStyle name="Currency 5 5 2 3" xfId="1525" xr:uid="{00000000-0005-0000-0000-0000CC050000}"/>
    <cellStyle name="Currency 5 5 3" xfId="1526" xr:uid="{00000000-0005-0000-0000-0000CD050000}"/>
    <cellStyle name="Currency 5 5 3 2" xfId="1527" xr:uid="{00000000-0005-0000-0000-0000CE050000}"/>
    <cellStyle name="Currency 5 5 3 2 2" xfId="1528" xr:uid="{00000000-0005-0000-0000-0000CF050000}"/>
    <cellStyle name="Currency 5 5 3 3" xfId="1529" xr:uid="{00000000-0005-0000-0000-0000D0050000}"/>
    <cellStyle name="Currency 5 5 4" xfId="1530" xr:uid="{00000000-0005-0000-0000-0000D1050000}"/>
    <cellStyle name="Currency 5 5 4 2" xfId="1531" xr:uid="{00000000-0005-0000-0000-0000D2050000}"/>
    <cellStyle name="Currency 5 5 4 2 2" xfId="1532" xr:uid="{00000000-0005-0000-0000-0000D3050000}"/>
    <cellStyle name="Currency 5 5 4 3" xfId="1533" xr:uid="{00000000-0005-0000-0000-0000D4050000}"/>
    <cellStyle name="Currency 5 5 5" xfId="1534" xr:uid="{00000000-0005-0000-0000-0000D5050000}"/>
    <cellStyle name="Currency 5 5 5 2" xfId="1535" xr:uid="{00000000-0005-0000-0000-0000D6050000}"/>
    <cellStyle name="Currency 5 5 5 2 2" xfId="1536" xr:uid="{00000000-0005-0000-0000-0000D7050000}"/>
    <cellStyle name="Currency 5 5 5 3" xfId="1537" xr:uid="{00000000-0005-0000-0000-0000D8050000}"/>
    <cellStyle name="Currency 5 5 6" xfId="1538" xr:uid="{00000000-0005-0000-0000-0000D9050000}"/>
    <cellStyle name="Currency 5 5 6 2" xfId="1539" xr:uid="{00000000-0005-0000-0000-0000DA050000}"/>
    <cellStyle name="Currency 5 5 7" xfId="1540" xr:uid="{00000000-0005-0000-0000-0000DB050000}"/>
    <cellStyle name="Currency 5 5 7 2" xfId="1541" xr:uid="{00000000-0005-0000-0000-0000DC050000}"/>
    <cellStyle name="Currency 5 5 8" xfId="1542" xr:uid="{00000000-0005-0000-0000-0000DD050000}"/>
    <cellStyle name="Currency 5 5 8 2" xfId="1543" xr:uid="{00000000-0005-0000-0000-0000DE050000}"/>
    <cellStyle name="Currency 5 5 9" xfId="1544" xr:uid="{00000000-0005-0000-0000-0000DF050000}"/>
    <cellStyle name="Currency 5 6" xfId="1545" xr:uid="{00000000-0005-0000-0000-0000E0050000}"/>
    <cellStyle name="Currency 5 6 2" xfId="1546" xr:uid="{00000000-0005-0000-0000-0000E1050000}"/>
    <cellStyle name="Currency 5 6 2 2" xfId="1547" xr:uid="{00000000-0005-0000-0000-0000E2050000}"/>
    <cellStyle name="Currency 5 6 3" xfId="1548" xr:uid="{00000000-0005-0000-0000-0000E3050000}"/>
    <cellStyle name="Currency 5 7" xfId="1549" xr:uid="{00000000-0005-0000-0000-0000E4050000}"/>
    <cellStyle name="Currency 5 7 2" xfId="1550" xr:uid="{00000000-0005-0000-0000-0000E5050000}"/>
    <cellStyle name="Currency 5 7 2 2" xfId="1551" xr:uid="{00000000-0005-0000-0000-0000E6050000}"/>
    <cellStyle name="Currency 5 7 3" xfId="1552" xr:uid="{00000000-0005-0000-0000-0000E7050000}"/>
    <cellStyle name="Currency 5 8" xfId="1553" xr:uid="{00000000-0005-0000-0000-0000E8050000}"/>
    <cellStyle name="Currency 5 8 2" xfId="1554" xr:uid="{00000000-0005-0000-0000-0000E9050000}"/>
    <cellStyle name="Currency 5 8 2 2" xfId="1555" xr:uid="{00000000-0005-0000-0000-0000EA050000}"/>
    <cellStyle name="Currency 5 8 3" xfId="1556" xr:uid="{00000000-0005-0000-0000-0000EB050000}"/>
    <cellStyle name="Currency 5 9" xfId="1557" xr:uid="{00000000-0005-0000-0000-0000EC050000}"/>
    <cellStyle name="Currency 5 9 2" xfId="1558" xr:uid="{00000000-0005-0000-0000-0000ED050000}"/>
    <cellStyle name="Currency 5 9 2 2" xfId="1559" xr:uid="{00000000-0005-0000-0000-0000EE050000}"/>
    <cellStyle name="Currency 5 9 3" xfId="1560" xr:uid="{00000000-0005-0000-0000-0000EF050000}"/>
    <cellStyle name="Currency 6" xfId="1561" xr:uid="{00000000-0005-0000-0000-0000F0050000}"/>
    <cellStyle name="Currency 6 10" xfId="1562" xr:uid="{00000000-0005-0000-0000-0000F1050000}"/>
    <cellStyle name="Currency 6 10 2" xfId="1563" xr:uid="{00000000-0005-0000-0000-0000F2050000}"/>
    <cellStyle name="Currency 6 11" xfId="1564" xr:uid="{00000000-0005-0000-0000-0000F3050000}"/>
    <cellStyle name="Currency 6 2" xfId="1565" xr:uid="{00000000-0005-0000-0000-0000F4050000}"/>
    <cellStyle name="Currency 6 2 2" xfId="1566" xr:uid="{00000000-0005-0000-0000-0000F5050000}"/>
    <cellStyle name="Currency 6 2 2 2" xfId="1567" xr:uid="{00000000-0005-0000-0000-0000F6050000}"/>
    <cellStyle name="Currency 6 2 2 2 2" xfId="1568" xr:uid="{00000000-0005-0000-0000-0000F7050000}"/>
    <cellStyle name="Currency 6 2 2 3" xfId="1569" xr:uid="{00000000-0005-0000-0000-0000F8050000}"/>
    <cellStyle name="Currency 6 2 3" xfId="1570" xr:uid="{00000000-0005-0000-0000-0000F9050000}"/>
    <cellStyle name="Currency 6 2 3 2" xfId="1571" xr:uid="{00000000-0005-0000-0000-0000FA050000}"/>
    <cellStyle name="Currency 6 2 3 2 2" xfId="1572" xr:uid="{00000000-0005-0000-0000-0000FB050000}"/>
    <cellStyle name="Currency 6 2 3 3" xfId="1573" xr:uid="{00000000-0005-0000-0000-0000FC050000}"/>
    <cellStyle name="Currency 6 2 4" xfId="1574" xr:uid="{00000000-0005-0000-0000-0000FD050000}"/>
    <cellStyle name="Currency 6 2 4 2" xfId="1575" xr:uid="{00000000-0005-0000-0000-0000FE050000}"/>
    <cellStyle name="Currency 6 2 4 2 2" xfId="1576" xr:uid="{00000000-0005-0000-0000-0000FF050000}"/>
    <cellStyle name="Currency 6 2 4 3" xfId="1577" xr:uid="{00000000-0005-0000-0000-000000060000}"/>
    <cellStyle name="Currency 6 2 5" xfId="1578" xr:uid="{00000000-0005-0000-0000-000001060000}"/>
    <cellStyle name="Currency 6 2 5 2" xfId="1579" xr:uid="{00000000-0005-0000-0000-000002060000}"/>
    <cellStyle name="Currency 6 2 5 2 2" xfId="1580" xr:uid="{00000000-0005-0000-0000-000003060000}"/>
    <cellStyle name="Currency 6 2 5 3" xfId="1581" xr:uid="{00000000-0005-0000-0000-000004060000}"/>
    <cellStyle name="Currency 6 2 6" xfId="1582" xr:uid="{00000000-0005-0000-0000-000005060000}"/>
    <cellStyle name="Currency 6 2 6 2" xfId="1583" xr:uid="{00000000-0005-0000-0000-000006060000}"/>
    <cellStyle name="Currency 6 2 7" xfId="1584" xr:uid="{00000000-0005-0000-0000-000007060000}"/>
    <cellStyle name="Currency 6 2 7 2" xfId="1585" xr:uid="{00000000-0005-0000-0000-000008060000}"/>
    <cellStyle name="Currency 6 2 8" xfId="1586" xr:uid="{00000000-0005-0000-0000-000009060000}"/>
    <cellStyle name="Currency 6 2 8 2" xfId="1587" xr:uid="{00000000-0005-0000-0000-00000A060000}"/>
    <cellStyle name="Currency 6 2 9" xfId="1588" xr:uid="{00000000-0005-0000-0000-00000B060000}"/>
    <cellStyle name="Currency 6 3" xfId="1589" xr:uid="{00000000-0005-0000-0000-00000C060000}"/>
    <cellStyle name="Currency 6 3 2" xfId="1590" xr:uid="{00000000-0005-0000-0000-00000D060000}"/>
    <cellStyle name="Currency 6 3 2 2" xfId="1591" xr:uid="{00000000-0005-0000-0000-00000E060000}"/>
    <cellStyle name="Currency 6 3 2 2 2" xfId="1592" xr:uid="{00000000-0005-0000-0000-00000F060000}"/>
    <cellStyle name="Currency 6 3 2 3" xfId="1593" xr:uid="{00000000-0005-0000-0000-000010060000}"/>
    <cellStyle name="Currency 6 3 3" xfId="1594" xr:uid="{00000000-0005-0000-0000-000011060000}"/>
    <cellStyle name="Currency 6 3 3 2" xfId="1595" xr:uid="{00000000-0005-0000-0000-000012060000}"/>
    <cellStyle name="Currency 6 3 3 2 2" xfId="1596" xr:uid="{00000000-0005-0000-0000-000013060000}"/>
    <cellStyle name="Currency 6 3 3 3" xfId="1597" xr:uid="{00000000-0005-0000-0000-000014060000}"/>
    <cellStyle name="Currency 6 3 4" xfId="1598" xr:uid="{00000000-0005-0000-0000-000015060000}"/>
    <cellStyle name="Currency 6 3 4 2" xfId="1599" xr:uid="{00000000-0005-0000-0000-000016060000}"/>
    <cellStyle name="Currency 6 3 4 2 2" xfId="1600" xr:uid="{00000000-0005-0000-0000-000017060000}"/>
    <cellStyle name="Currency 6 3 4 3" xfId="1601" xr:uid="{00000000-0005-0000-0000-000018060000}"/>
    <cellStyle name="Currency 6 3 5" xfId="1602" xr:uid="{00000000-0005-0000-0000-000019060000}"/>
    <cellStyle name="Currency 6 3 5 2" xfId="1603" xr:uid="{00000000-0005-0000-0000-00001A060000}"/>
    <cellStyle name="Currency 6 3 5 2 2" xfId="1604" xr:uid="{00000000-0005-0000-0000-00001B060000}"/>
    <cellStyle name="Currency 6 3 5 3" xfId="1605" xr:uid="{00000000-0005-0000-0000-00001C060000}"/>
    <cellStyle name="Currency 6 3 6" xfId="1606" xr:uid="{00000000-0005-0000-0000-00001D060000}"/>
    <cellStyle name="Currency 6 3 6 2" xfId="1607" xr:uid="{00000000-0005-0000-0000-00001E060000}"/>
    <cellStyle name="Currency 6 3 7" xfId="1608" xr:uid="{00000000-0005-0000-0000-00001F060000}"/>
    <cellStyle name="Currency 6 3 7 2" xfId="1609" xr:uid="{00000000-0005-0000-0000-000020060000}"/>
    <cellStyle name="Currency 6 3 8" xfId="1610" xr:uid="{00000000-0005-0000-0000-000021060000}"/>
    <cellStyle name="Currency 6 3 8 2" xfId="1611" xr:uid="{00000000-0005-0000-0000-000022060000}"/>
    <cellStyle name="Currency 6 3 9" xfId="1612" xr:uid="{00000000-0005-0000-0000-000023060000}"/>
    <cellStyle name="Currency 6 4" xfId="1613" xr:uid="{00000000-0005-0000-0000-000024060000}"/>
    <cellStyle name="Currency 6 4 2" xfId="1614" xr:uid="{00000000-0005-0000-0000-000025060000}"/>
    <cellStyle name="Currency 6 4 2 2" xfId="1615" xr:uid="{00000000-0005-0000-0000-000026060000}"/>
    <cellStyle name="Currency 6 4 3" xfId="1616" xr:uid="{00000000-0005-0000-0000-000027060000}"/>
    <cellStyle name="Currency 6 5" xfId="1617" xr:uid="{00000000-0005-0000-0000-000028060000}"/>
    <cellStyle name="Currency 6 5 2" xfId="1618" xr:uid="{00000000-0005-0000-0000-000029060000}"/>
    <cellStyle name="Currency 6 5 2 2" xfId="1619" xr:uid="{00000000-0005-0000-0000-00002A060000}"/>
    <cellStyle name="Currency 6 5 3" xfId="1620" xr:uid="{00000000-0005-0000-0000-00002B060000}"/>
    <cellStyle name="Currency 6 6" xfId="1621" xr:uid="{00000000-0005-0000-0000-00002C060000}"/>
    <cellStyle name="Currency 6 6 2" xfId="1622" xr:uid="{00000000-0005-0000-0000-00002D060000}"/>
    <cellStyle name="Currency 6 6 2 2" xfId="1623" xr:uid="{00000000-0005-0000-0000-00002E060000}"/>
    <cellStyle name="Currency 6 6 3" xfId="1624" xr:uid="{00000000-0005-0000-0000-00002F060000}"/>
    <cellStyle name="Currency 6 7" xfId="1625" xr:uid="{00000000-0005-0000-0000-000030060000}"/>
    <cellStyle name="Currency 6 7 2" xfId="1626" xr:uid="{00000000-0005-0000-0000-000031060000}"/>
    <cellStyle name="Currency 6 7 2 2" xfId="1627" xr:uid="{00000000-0005-0000-0000-000032060000}"/>
    <cellStyle name="Currency 6 7 3" xfId="1628" xr:uid="{00000000-0005-0000-0000-000033060000}"/>
    <cellStyle name="Currency 6 8" xfId="1629" xr:uid="{00000000-0005-0000-0000-000034060000}"/>
    <cellStyle name="Currency 6 8 2" xfId="1630" xr:uid="{00000000-0005-0000-0000-000035060000}"/>
    <cellStyle name="Currency 6 9" xfId="1631" xr:uid="{00000000-0005-0000-0000-000036060000}"/>
    <cellStyle name="Currency 6 9 2" xfId="1632" xr:uid="{00000000-0005-0000-0000-000037060000}"/>
    <cellStyle name="Currency 7" xfId="1633" xr:uid="{00000000-0005-0000-0000-000038060000}"/>
    <cellStyle name="Currency 8" xfId="1634" xr:uid="{00000000-0005-0000-0000-000039060000}"/>
    <cellStyle name="Currency 8 2" xfId="1635" xr:uid="{00000000-0005-0000-0000-00003A060000}"/>
    <cellStyle name="Currency 8 2 2" xfId="1636" xr:uid="{00000000-0005-0000-0000-00003B060000}"/>
    <cellStyle name="Currency 8 2 2 2" xfId="1637" xr:uid="{00000000-0005-0000-0000-00003C060000}"/>
    <cellStyle name="Currency 8 2 3" xfId="1638" xr:uid="{00000000-0005-0000-0000-00003D060000}"/>
    <cellStyle name="Currency 8 3" xfId="1639" xr:uid="{00000000-0005-0000-0000-00003E060000}"/>
    <cellStyle name="Currency 8 3 2" xfId="1640" xr:uid="{00000000-0005-0000-0000-00003F060000}"/>
    <cellStyle name="Currency 8 3 2 2" xfId="1641" xr:uid="{00000000-0005-0000-0000-000040060000}"/>
    <cellStyle name="Currency 8 3 3" xfId="1642" xr:uid="{00000000-0005-0000-0000-000041060000}"/>
    <cellStyle name="Currency 8 4" xfId="1643" xr:uid="{00000000-0005-0000-0000-000042060000}"/>
    <cellStyle name="Currency 8 4 2" xfId="1644" xr:uid="{00000000-0005-0000-0000-000043060000}"/>
    <cellStyle name="Currency 8 4 2 2" xfId="1645" xr:uid="{00000000-0005-0000-0000-000044060000}"/>
    <cellStyle name="Currency 8 4 3" xfId="1646" xr:uid="{00000000-0005-0000-0000-000045060000}"/>
    <cellStyle name="Currency 8 5" xfId="1647" xr:uid="{00000000-0005-0000-0000-000046060000}"/>
    <cellStyle name="Currency 8 5 2" xfId="1648" xr:uid="{00000000-0005-0000-0000-000047060000}"/>
    <cellStyle name="Currency 8 5 2 2" xfId="1649" xr:uid="{00000000-0005-0000-0000-000048060000}"/>
    <cellStyle name="Currency 8 5 3" xfId="1650" xr:uid="{00000000-0005-0000-0000-000049060000}"/>
    <cellStyle name="Currency 8 6" xfId="1651" xr:uid="{00000000-0005-0000-0000-00004A060000}"/>
    <cellStyle name="Currency 8 6 2" xfId="1652" xr:uid="{00000000-0005-0000-0000-00004B060000}"/>
    <cellStyle name="Currency 8 7" xfId="1653" xr:uid="{00000000-0005-0000-0000-00004C060000}"/>
    <cellStyle name="Currency 8 7 2" xfId="1654" xr:uid="{00000000-0005-0000-0000-00004D060000}"/>
    <cellStyle name="Currency 8 8" xfId="1655" xr:uid="{00000000-0005-0000-0000-00004E060000}"/>
    <cellStyle name="Currency 8 8 2" xfId="1656" xr:uid="{00000000-0005-0000-0000-00004F060000}"/>
    <cellStyle name="Currency 8 9" xfId="1657" xr:uid="{00000000-0005-0000-0000-000050060000}"/>
    <cellStyle name="Currency 9" xfId="1658" xr:uid="{00000000-0005-0000-0000-000051060000}"/>
    <cellStyle name="Explanatory Text" xfId="72" builtinId="53" customBuiltin="1"/>
    <cellStyle name="Explanatory Text 2" xfId="1659" xr:uid="{00000000-0005-0000-0000-000053060000}"/>
    <cellStyle name="Good" xfId="62" builtinId="26" customBuiltin="1"/>
    <cellStyle name="Good 2" xfId="1660" xr:uid="{00000000-0005-0000-0000-000055060000}"/>
    <cellStyle name="Heading 1" xfId="58" builtinId="16" customBuiltin="1"/>
    <cellStyle name="Heading 1 2" xfId="1661" xr:uid="{00000000-0005-0000-0000-000057060000}"/>
    <cellStyle name="Heading 2" xfId="59" builtinId="17" customBuiltin="1"/>
    <cellStyle name="Heading 2 2" xfId="1662" xr:uid="{00000000-0005-0000-0000-000059060000}"/>
    <cellStyle name="Heading 3" xfId="60" builtinId="18" customBuiltin="1"/>
    <cellStyle name="Heading 3 2" xfId="1663" xr:uid="{00000000-0005-0000-0000-00005B060000}"/>
    <cellStyle name="Heading 4" xfId="61" builtinId="19" customBuiltin="1"/>
    <cellStyle name="Heading 4 2" xfId="1664" xr:uid="{00000000-0005-0000-0000-00005D060000}"/>
    <cellStyle name="Hyperlink 2" xfId="1665" xr:uid="{00000000-0005-0000-0000-00005E060000}"/>
    <cellStyle name="Input" xfId="65" builtinId="20" customBuiltin="1"/>
    <cellStyle name="Input 2" xfId="1666" xr:uid="{00000000-0005-0000-0000-000060060000}"/>
    <cellStyle name="Input 2 10" xfId="3498" xr:uid="{00000000-0005-0000-0000-000061060000}"/>
    <cellStyle name="Input 2 2" xfId="1667" xr:uid="{00000000-0005-0000-0000-000062060000}"/>
    <cellStyle name="Input 2 2 2" xfId="3502" xr:uid="{00000000-0005-0000-0000-000063060000}"/>
    <cellStyle name="Input 2 2 2 2" xfId="3714" xr:uid="{00000000-0005-0000-0000-000064060000}"/>
    <cellStyle name="Input 2 2 3" xfId="3492" xr:uid="{00000000-0005-0000-0000-000065060000}"/>
    <cellStyle name="Input 2 2 3 2" xfId="3708" xr:uid="{00000000-0005-0000-0000-000066060000}"/>
    <cellStyle name="Input 2 2 4" xfId="3596" xr:uid="{00000000-0005-0000-0000-000067060000}"/>
    <cellStyle name="Input 2 2 4 2" xfId="3776" xr:uid="{00000000-0005-0000-0000-000068060000}"/>
    <cellStyle name="Input 2 2 5" xfId="3488" xr:uid="{00000000-0005-0000-0000-000069060000}"/>
    <cellStyle name="Input 2 2 5 2" xfId="3704" xr:uid="{00000000-0005-0000-0000-00006A060000}"/>
    <cellStyle name="Input 2 2 6" xfId="3484" xr:uid="{00000000-0005-0000-0000-00006B060000}"/>
    <cellStyle name="Input 2 2 6 2" xfId="3700" xr:uid="{00000000-0005-0000-0000-00006C060000}"/>
    <cellStyle name="Input 2 2 7" xfId="3497" xr:uid="{00000000-0005-0000-0000-00006D060000}"/>
    <cellStyle name="Input 2 3" xfId="1668" xr:uid="{00000000-0005-0000-0000-00006E060000}"/>
    <cellStyle name="Input 2 3 2" xfId="3501" xr:uid="{00000000-0005-0000-0000-00006F060000}"/>
    <cellStyle name="Input 2 3 2 2" xfId="3713" xr:uid="{00000000-0005-0000-0000-000070060000}"/>
    <cellStyle name="Input 2 3 3" xfId="3493" xr:uid="{00000000-0005-0000-0000-000071060000}"/>
    <cellStyle name="Input 2 3 3 2" xfId="3709" xr:uid="{00000000-0005-0000-0000-000072060000}"/>
    <cellStyle name="Input 2 3 4" xfId="3504" xr:uid="{00000000-0005-0000-0000-000073060000}"/>
    <cellStyle name="Input 2 3 4 2" xfId="3716" xr:uid="{00000000-0005-0000-0000-000074060000}"/>
    <cellStyle name="Input 2 3 5" xfId="3489" xr:uid="{00000000-0005-0000-0000-000075060000}"/>
    <cellStyle name="Input 2 3 5 2" xfId="3705" xr:uid="{00000000-0005-0000-0000-000076060000}"/>
    <cellStyle name="Input 2 3 6" xfId="3485" xr:uid="{00000000-0005-0000-0000-000077060000}"/>
    <cellStyle name="Input 2 3 6 2" xfId="3701" xr:uid="{00000000-0005-0000-0000-000078060000}"/>
    <cellStyle name="Input 2 3 7" xfId="3496" xr:uid="{00000000-0005-0000-0000-000079060000}"/>
    <cellStyle name="Input 2 4" xfId="1669" xr:uid="{00000000-0005-0000-0000-00007A060000}"/>
    <cellStyle name="Input 2 4 2" xfId="3500" xr:uid="{00000000-0005-0000-0000-00007B060000}"/>
    <cellStyle name="Input 2 4 2 2" xfId="3712" xr:uid="{00000000-0005-0000-0000-00007C060000}"/>
    <cellStyle name="Input 2 4 3" xfId="3494" xr:uid="{00000000-0005-0000-0000-00007D060000}"/>
    <cellStyle name="Input 2 4 3 2" xfId="3710" xr:uid="{00000000-0005-0000-0000-00007E060000}"/>
    <cellStyle name="Input 2 4 4" xfId="3499" xr:uid="{00000000-0005-0000-0000-00007F060000}"/>
    <cellStyle name="Input 2 4 4 2" xfId="3711" xr:uid="{00000000-0005-0000-0000-000080060000}"/>
    <cellStyle name="Input 2 4 5" xfId="3490" xr:uid="{00000000-0005-0000-0000-000081060000}"/>
    <cellStyle name="Input 2 4 5 2" xfId="3706" xr:uid="{00000000-0005-0000-0000-000082060000}"/>
    <cellStyle name="Input 2 4 6" xfId="3486" xr:uid="{00000000-0005-0000-0000-000083060000}"/>
    <cellStyle name="Input 2 4 6 2" xfId="3702" xr:uid="{00000000-0005-0000-0000-000084060000}"/>
    <cellStyle name="Input 2 4 7" xfId="3495" xr:uid="{00000000-0005-0000-0000-000085060000}"/>
    <cellStyle name="Input 2 5" xfId="3503" xr:uid="{00000000-0005-0000-0000-000086060000}"/>
    <cellStyle name="Input 2 5 2" xfId="3715" xr:uid="{00000000-0005-0000-0000-000087060000}"/>
    <cellStyle name="Input 2 6" xfId="3491" xr:uid="{00000000-0005-0000-0000-000088060000}"/>
    <cellStyle name="Input 2 6 2" xfId="3707" xr:uid="{00000000-0005-0000-0000-000089060000}"/>
    <cellStyle name="Input 2 7" xfId="3505" xr:uid="{00000000-0005-0000-0000-00008A060000}"/>
    <cellStyle name="Input 2 7 2" xfId="3717" xr:uid="{00000000-0005-0000-0000-00008B060000}"/>
    <cellStyle name="Input 2 8" xfId="3487" xr:uid="{00000000-0005-0000-0000-00008C060000}"/>
    <cellStyle name="Input 2 8 2" xfId="3703" xr:uid="{00000000-0005-0000-0000-00008D060000}"/>
    <cellStyle name="Input 2 9" xfId="3483" xr:uid="{00000000-0005-0000-0000-00008E060000}"/>
    <cellStyle name="Input 2 9 2" xfId="3699" xr:uid="{00000000-0005-0000-0000-00008F060000}"/>
    <cellStyle name="Linked Cell" xfId="68" builtinId="24" customBuiltin="1"/>
    <cellStyle name="Linked Cell 2" xfId="1670" xr:uid="{00000000-0005-0000-0000-000091060000}"/>
    <cellStyle name="Neutral" xfId="64" builtinId="28" customBuiltin="1"/>
    <cellStyle name="Neutral 2" xfId="1671" xr:uid="{00000000-0005-0000-0000-000093060000}"/>
    <cellStyle name="Normal" xfId="0" builtinId="0"/>
    <cellStyle name="Normal 10" xfId="1" xr:uid="{00000000-0005-0000-0000-000095060000}"/>
    <cellStyle name="Normal 10 10" xfId="1672" xr:uid="{00000000-0005-0000-0000-000096060000}"/>
    <cellStyle name="Normal 10 2" xfId="47" xr:uid="{00000000-0005-0000-0000-000097060000}"/>
    <cellStyle name="Normal 10 2 2" xfId="1674" xr:uid="{00000000-0005-0000-0000-000098060000}"/>
    <cellStyle name="Normal 10 2 2 2" xfId="1675" xr:uid="{00000000-0005-0000-0000-000099060000}"/>
    <cellStyle name="Normal 10 2 3" xfId="1676" xr:uid="{00000000-0005-0000-0000-00009A060000}"/>
    <cellStyle name="Normal 10 2 4" xfId="1673" xr:uid="{00000000-0005-0000-0000-00009B060000}"/>
    <cellStyle name="Normal 10 3" xfId="1677" xr:uid="{00000000-0005-0000-0000-00009C060000}"/>
    <cellStyle name="Normal 10 3 2" xfId="1678" xr:uid="{00000000-0005-0000-0000-00009D060000}"/>
    <cellStyle name="Normal 10 3 2 2" xfId="1679" xr:uid="{00000000-0005-0000-0000-00009E060000}"/>
    <cellStyle name="Normal 10 3 3" xfId="1680" xr:uid="{00000000-0005-0000-0000-00009F060000}"/>
    <cellStyle name="Normal 10 4" xfId="1681" xr:uid="{00000000-0005-0000-0000-0000A0060000}"/>
    <cellStyle name="Normal 10 4 2" xfId="1682" xr:uid="{00000000-0005-0000-0000-0000A1060000}"/>
    <cellStyle name="Normal 10 4 2 2" xfId="1683" xr:uid="{00000000-0005-0000-0000-0000A2060000}"/>
    <cellStyle name="Normal 10 4 3" xfId="1684" xr:uid="{00000000-0005-0000-0000-0000A3060000}"/>
    <cellStyle name="Normal 10 5" xfId="1685" xr:uid="{00000000-0005-0000-0000-0000A4060000}"/>
    <cellStyle name="Normal 10 5 2" xfId="1686" xr:uid="{00000000-0005-0000-0000-0000A5060000}"/>
    <cellStyle name="Normal 10 5 2 2" xfId="1687" xr:uid="{00000000-0005-0000-0000-0000A6060000}"/>
    <cellStyle name="Normal 10 5 3" xfId="1688" xr:uid="{00000000-0005-0000-0000-0000A7060000}"/>
    <cellStyle name="Normal 10 6" xfId="1689" xr:uid="{00000000-0005-0000-0000-0000A8060000}"/>
    <cellStyle name="Normal 10 6 2" xfId="1690" xr:uid="{00000000-0005-0000-0000-0000A9060000}"/>
    <cellStyle name="Normal 10 7" xfId="1691" xr:uid="{00000000-0005-0000-0000-0000AA060000}"/>
    <cellStyle name="Normal 10 7 2" xfId="1692" xr:uid="{00000000-0005-0000-0000-0000AB060000}"/>
    <cellStyle name="Normal 10 8" xfId="1693" xr:uid="{00000000-0005-0000-0000-0000AC060000}"/>
    <cellStyle name="Normal 10 8 2" xfId="1694" xr:uid="{00000000-0005-0000-0000-0000AD060000}"/>
    <cellStyle name="Normal 10 9" xfId="1695" xr:uid="{00000000-0005-0000-0000-0000AE060000}"/>
    <cellStyle name="Normal 11" xfId="48" xr:uid="{00000000-0005-0000-0000-0000AF060000}"/>
    <cellStyle name="Normal 11 10" xfId="1696" xr:uid="{00000000-0005-0000-0000-0000B0060000}"/>
    <cellStyle name="Normal 11 2" xfId="1697" xr:uid="{00000000-0005-0000-0000-0000B1060000}"/>
    <cellStyle name="Normal 11 2 2" xfId="1698" xr:uid="{00000000-0005-0000-0000-0000B2060000}"/>
    <cellStyle name="Normal 11 2 2 2" xfId="1699" xr:uid="{00000000-0005-0000-0000-0000B3060000}"/>
    <cellStyle name="Normal 11 2 3" xfId="1700" xr:uid="{00000000-0005-0000-0000-0000B4060000}"/>
    <cellStyle name="Normal 11 3" xfId="1701" xr:uid="{00000000-0005-0000-0000-0000B5060000}"/>
    <cellStyle name="Normal 11 3 2" xfId="1702" xr:uid="{00000000-0005-0000-0000-0000B6060000}"/>
    <cellStyle name="Normal 11 3 2 2" xfId="1703" xr:uid="{00000000-0005-0000-0000-0000B7060000}"/>
    <cellStyle name="Normal 11 3 3" xfId="1704" xr:uid="{00000000-0005-0000-0000-0000B8060000}"/>
    <cellStyle name="Normal 11 4" xfId="1705" xr:uid="{00000000-0005-0000-0000-0000B9060000}"/>
    <cellStyle name="Normal 11 4 2" xfId="1706" xr:uid="{00000000-0005-0000-0000-0000BA060000}"/>
    <cellStyle name="Normal 11 4 2 2" xfId="1707" xr:uid="{00000000-0005-0000-0000-0000BB060000}"/>
    <cellStyle name="Normal 11 4 3" xfId="1708" xr:uid="{00000000-0005-0000-0000-0000BC060000}"/>
    <cellStyle name="Normal 11 5" xfId="1709" xr:uid="{00000000-0005-0000-0000-0000BD060000}"/>
    <cellStyle name="Normal 11 5 2" xfId="1710" xr:uid="{00000000-0005-0000-0000-0000BE060000}"/>
    <cellStyle name="Normal 11 5 2 2" xfId="1711" xr:uid="{00000000-0005-0000-0000-0000BF060000}"/>
    <cellStyle name="Normal 11 5 3" xfId="1712" xr:uid="{00000000-0005-0000-0000-0000C0060000}"/>
    <cellStyle name="Normal 11 6" xfId="1713" xr:uid="{00000000-0005-0000-0000-0000C1060000}"/>
    <cellStyle name="Normal 11 6 2" xfId="1714" xr:uid="{00000000-0005-0000-0000-0000C2060000}"/>
    <cellStyle name="Normal 11 7" xfId="1715" xr:uid="{00000000-0005-0000-0000-0000C3060000}"/>
    <cellStyle name="Normal 11 7 2" xfId="1716" xr:uid="{00000000-0005-0000-0000-0000C4060000}"/>
    <cellStyle name="Normal 11 8" xfId="1717" xr:uid="{00000000-0005-0000-0000-0000C5060000}"/>
    <cellStyle name="Normal 11 8 2" xfId="1718" xr:uid="{00000000-0005-0000-0000-0000C6060000}"/>
    <cellStyle name="Normal 11 9" xfId="1719" xr:uid="{00000000-0005-0000-0000-0000C7060000}"/>
    <cellStyle name="Normal 12" xfId="1720" xr:uid="{00000000-0005-0000-0000-0000C8060000}"/>
    <cellStyle name="Normal 12 2" xfId="1721" xr:uid="{00000000-0005-0000-0000-0000C9060000}"/>
    <cellStyle name="Normal 12 2 2" xfId="1722" xr:uid="{00000000-0005-0000-0000-0000CA060000}"/>
    <cellStyle name="Normal 12 2 2 2" xfId="1723" xr:uid="{00000000-0005-0000-0000-0000CB060000}"/>
    <cellStyle name="Normal 12 2 3" xfId="1724" xr:uid="{00000000-0005-0000-0000-0000CC060000}"/>
    <cellStyle name="Normal 12 3" xfId="1725" xr:uid="{00000000-0005-0000-0000-0000CD060000}"/>
    <cellStyle name="Normal 12 3 2" xfId="1726" xr:uid="{00000000-0005-0000-0000-0000CE060000}"/>
    <cellStyle name="Normal 12 3 2 2" xfId="1727" xr:uid="{00000000-0005-0000-0000-0000CF060000}"/>
    <cellStyle name="Normal 12 3 3" xfId="1728" xr:uid="{00000000-0005-0000-0000-0000D0060000}"/>
    <cellStyle name="Normal 12 4" xfId="1729" xr:uid="{00000000-0005-0000-0000-0000D1060000}"/>
    <cellStyle name="Normal 12 4 2" xfId="1730" xr:uid="{00000000-0005-0000-0000-0000D2060000}"/>
    <cellStyle name="Normal 12 4 2 2" xfId="1731" xr:uid="{00000000-0005-0000-0000-0000D3060000}"/>
    <cellStyle name="Normal 12 4 3" xfId="1732" xr:uid="{00000000-0005-0000-0000-0000D4060000}"/>
    <cellStyle name="Normal 12 5" xfId="1733" xr:uid="{00000000-0005-0000-0000-0000D5060000}"/>
    <cellStyle name="Normal 12 5 2" xfId="1734" xr:uid="{00000000-0005-0000-0000-0000D6060000}"/>
    <cellStyle name="Normal 12 5 2 2" xfId="1735" xr:uid="{00000000-0005-0000-0000-0000D7060000}"/>
    <cellStyle name="Normal 12 5 3" xfId="1736" xr:uid="{00000000-0005-0000-0000-0000D8060000}"/>
    <cellStyle name="Normal 12 6" xfId="1737" xr:uid="{00000000-0005-0000-0000-0000D9060000}"/>
    <cellStyle name="Normal 12 6 2" xfId="1738" xr:uid="{00000000-0005-0000-0000-0000DA060000}"/>
    <cellStyle name="Normal 12 7" xfId="1739" xr:uid="{00000000-0005-0000-0000-0000DB060000}"/>
    <cellStyle name="Normal 12 7 2" xfId="1740" xr:uid="{00000000-0005-0000-0000-0000DC060000}"/>
    <cellStyle name="Normal 12 8" xfId="1741" xr:uid="{00000000-0005-0000-0000-0000DD060000}"/>
    <cellStyle name="Normal 12 8 2" xfId="1742" xr:uid="{00000000-0005-0000-0000-0000DE060000}"/>
    <cellStyle name="Normal 12 9" xfId="1743" xr:uid="{00000000-0005-0000-0000-0000DF060000}"/>
    <cellStyle name="Normal 13" xfId="9" xr:uid="{00000000-0005-0000-0000-0000E0060000}"/>
    <cellStyle name="Normal 13 10" xfId="1744" xr:uid="{00000000-0005-0000-0000-0000E1060000}"/>
    <cellStyle name="Normal 13 2" xfId="1745" xr:uid="{00000000-0005-0000-0000-0000E2060000}"/>
    <cellStyle name="Normal 13 2 2" xfId="1746" xr:uid="{00000000-0005-0000-0000-0000E3060000}"/>
    <cellStyle name="Normal 13 2 2 2" xfId="1747" xr:uid="{00000000-0005-0000-0000-0000E4060000}"/>
    <cellStyle name="Normal 13 2 3" xfId="1748" xr:uid="{00000000-0005-0000-0000-0000E5060000}"/>
    <cellStyle name="Normal 13 3" xfId="1749" xr:uid="{00000000-0005-0000-0000-0000E6060000}"/>
    <cellStyle name="Normal 13 3 2" xfId="1750" xr:uid="{00000000-0005-0000-0000-0000E7060000}"/>
    <cellStyle name="Normal 13 3 2 2" xfId="1751" xr:uid="{00000000-0005-0000-0000-0000E8060000}"/>
    <cellStyle name="Normal 13 3 3" xfId="1752" xr:uid="{00000000-0005-0000-0000-0000E9060000}"/>
    <cellStyle name="Normal 13 4" xfId="1753" xr:uid="{00000000-0005-0000-0000-0000EA060000}"/>
    <cellStyle name="Normal 13 4 2" xfId="1754" xr:uid="{00000000-0005-0000-0000-0000EB060000}"/>
    <cellStyle name="Normal 13 4 2 2" xfId="1755" xr:uid="{00000000-0005-0000-0000-0000EC060000}"/>
    <cellStyle name="Normal 13 4 3" xfId="1756" xr:uid="{00000000-0005-0000-0000-0000ED060000}"/>
    <cellStyle name="Normal 13 5" xfId="1757" xr:uid="{00000000-0005-0000-0000-0000EE060000}"/>
    <cellStyle name="Normal 13 5 2" xfId="1758" xr:uid="{00000000-0005-0000-0000-0000EF060000}"/>
    <cellStyle name="Normal 13 5 2 2" xfId="1759" xr:uid="{00000000-0005-0000-0000-0000F0060000}"/>
    <cellStyle name="Normal 13 5 3" xfId="1760" xr:uid="{00000000-0005-0000-0000-0000F1060000}"/>
    <cellStyle name="Normal 13 6" xfId="1761" xr:uid="{00000000-0005-0000-0000-0000F2060000}"/>
    <cellStyle name="Normal 13 6 2" xfId="1762" xr:uid="{00000000-0005-0000-0000-0000F3060000}"/>
    <cellStyle name="Normal 13 7" xfId="1763" xr:uid="{00000000-0005-0000-0000-0000F4060000}"/>
    <cellStyle name="Normal 13 7 2" xfId="1764" xr:uid="{00000000-0005-0000-0000-0000F5060000}"/>
    <cellStyle name="Normal 13 8" xfId="1765" xr:uid="{00000000-0005-0000-0000-0000F6060000}"/>
    <cellStyle name="Normal 13 8 2" xfId="1766" xr:uid="{00000000-0005-0000-0000-0000F7060000}"/>
    <cellStyle name="Normal 13 9" xfId="1767" xr:uid="{00000000-0005-0000-0000-0000F8060000}"/>
    <cellStyle name="Normal 14" xfId="10" xr:uid="{00000000-0005-0000-0000-0000F9060000}"/>
    <cellStyle name="Normal 14 10" xfId="1768" xr:uid="{00000000-0005-0000-0000-0000FA060000}"/>
    <cellStyle name="Normal 14 2" xfId="1769" xr:uid="{00000000-0005-0000-0000-0000FB060000}"/>
    <cellStyle name="Normal 14 2 2" xfId="1770" xr:uid="{00000000-0005-0000-0000-0000FC060000}"/>
    <cellStyle name="Normal 14 2 2 2" xfId="1771" xr:uid="{00000000-0005-0000-0000-0000FD060000}"/>
    <cellStyle name="Normal 14 2 3" xfId="1772" xr:uid="{00000000-0005-0000-0000-0000FE060000}"/>
    <cellStyle name="Normal 14 3" xfId="1773" xr:uid="{00000000-0005-0000-0000-0000FF060000}"/>
    <cellStyle name="Normal 14 3 2" xfId="1774" xr:uid="{00000000-0005-0000-0000-000000070000}"/>
    <cellStyle name="Normal 14 3 2 2" xfId="1775" xr:uid="{00000000-0005-0000-0000-000001070000}"/>
    <cellStyle name="Normal 14 3 3" xfId="1776" xr:uid="{00000000-0005-0000-0000-000002070000}"/>
    <cellStyle name="Normal 14 4" xfId="1777" xr:uid="{00000000-0005-0000-0000-000003070000}"/>
    <cellStyle name="Normal 14 4 2" xfId="1778" xr:uid="{00000000-0005-0000-0000-000004070000}"/>
    <cellStyle name="Normal 14 4 2 2" xfId="1779" xr:uid="{00000000-0005-0000-0000-000005070000}"/>
    <cellStyle name="Normal 14 4 3" xfId="1780" xr:uid="{00000000-0005-0000-0000-000006070000}"/>
    <cellStyle name="Normal 14 5" xfId="1781" xr:uid="{00000000-0005-0000-0000-000007070000}"/>
    <cellStyle name="Normal 14 5 2" xfId="1782" xr:uid="{00000000-0005-0000-0000-000008070000}"/>
    <cellStyle name="Normal 14 5 2 2" xfId="1783" xr:uid="{00000000-0005-0000-0000-000009070000}"/>
    <cellStyle name="Normal 14 5 3" xfId="1784" xr:uid="{00000000-0005-0000-0000-00000A070000}"/>
    <cellStyle name="Normal 14 6" xfId="1785" xr:uid="{00000000-0005-0000-0000-00000B070000}"/>
    <cellStyle name="Normal 14 6 2" xfId="1786" xr:uid="{00000000-0005-0000-0000-00000C070000}"/>
    <cellStyle name="Normal 14 7" xfId="1787" xr:uid="{00000000-0005-0000-0000-00000D070000}"/>
    <cellStyle name="Normal 14 7 2" xfId="1788" xr:uid="{00000000-0005-0000-0000-00000E070000}"/>
    <cellStyle name="Normal 14 8" xfId="1789" xr:uid="{00000000-0005-0000-0000-00000F070000}"/>
    <cellStyle name="Normal 14 8 2" xfId="1790" xr:uid="{00000000-0005-0000-0000-000010070000}"/>
    <cellStyle name="Normal 14 9" xfId="1791" xr:uid="{00000000-0005-0000-0000-000011070000}"/>
    <cellStyle name="Normal 15" xfId="11" xr:uid="{00000000-0005-0000-0000-000012070000}"/>
    <cellStyle name="Normal 15 10" xfId="1792" xr:uid="{00000000-0005-0000-0000-000013070000}"/>
    <cellStyle name="Normal 15 2" xfId="1793" xr:uid="{00000000-0005-0000-0000-000014070000}"/>
    <cellStyle name="Normal 15 2 2" xfId="1794" xr:uid="{00000000-0005-0000-0000-000015070000}"/>
    <cellStyle name="Normal 15 2 2 2" xfId="1795" xr:uid="{00000000-0005-0000-0000-000016070000}"/>
    <cellStyle name="Normal 15 2 3" xfId="1796" xr:uid="{00000000-0005-0000-0000-000017070000}"/>
    <cellStyle name="Normal 15 3" xfId="1797" xr:uid="{00000000-0005-0000-0000-000018070000}"/>
    <cellStyle name="Normal 15 3 2" xfId="1798" xr:uid="{00000000-0005-0000-0000-000019070000}"/>
    <cellStyle name="Normal 15 3 2 2" xfId="1799" xr:uid="{00000000-0005-0000-0000-00001A070000}"/>
    <cellStyle name="Normal 15 3 3" xfId="1800" xr:uid="{00000000-0005-0000-0000-00001B070000}"/>
    <cellStyle name="Normal 15 4" xfId="1801" xr:uid="{00000000-0005-0000-0000-00001C070000}"/>
    <cellStyle name="Normal 15 4 2" xfId="1802" xr:uid="{00000000-0005-0000-0000-00001D070000}"/>
    <cellStyle name="Normal 15 4 2 2" xfId="1803" xr:uid="{00000000-0005-0000-0000-00001E070000}"/>
    <cellStyle name="Normal 15 4 3" xfId="1804" xr:uid="{00000000-0005-0000-0000-00001F070000}"/>
    <cellStyle name="Normal 15 5" xfId="1805" xr:uid="{00000000-0005-0000-0000-000020070000}"/>
    <cellStyle name="Normal 15 5 2" xfId="1806" xr:uid="{00000000-0005-0000-0000-000021070000}"/>
    <cellStyle name="Normal 15 5 2 2" xfId="1807" xr:uid="{00000000-0005-0000-0000-000022070000}"/>
    <cellStyle name="Normal 15 5 3" xfId="1808" xr:uid="{00000000-0005-0000-0000-000023070000}"/>
    <cellStyle name="Normal 15 6" xfId="1809" xr:uid="{00000000-0005-0000-0000-000024070000}"/>
    <cellStyle name="Normal 15 6 2" xfId="1810" xr:uid="{00000000-0005-0000-0000-000025070000}"/>
    <cellStyle name="Normal 15 7" xfId="1811" xr:uid="{00000000-0005-0000-0000-000026070000}"/>
    <cellStyle name="Normal 15 7 2" xfId="1812" xr:uid="{00000000-0005-0000-0000-000027070000}"/>
    <cellStyle name="Normal 15 8" xfId="1813" xr:uid="{00000000-0005-0000-0000-000028070000}"/>
    <cellStyle name="Normal 15 8 2" xfId="1814" xr:uid="{00000000-0005-0000-0000-000029070000}"/>
    <cellStyle name="Normal 15 9" xfId="1815" xr:uid="{00000000-0005-0000-0000-00002A070000}"/>
    <cellStyle name="Normal 16" xfId="13" xr:uid="{00000000-0005-0000-0000-00002B070000}"/>
    <cellStyle name="Normal 16 10" xfId="1816" xr:uid="{00000000-0005-0000-0000-00002C070000}"/>
    <cellStyle name="Normal 16 2" xfId="1817" xr:uid="{00000000-0005-0000-0000-00002D070000}"/>
    <cellStyle name="Normal 16 2 2" xfId="1818" xr:uid="{00000000-0005-0000-0000-00002E070000}"/>
    <cellStyle name="Normal 16 2 2 2" xfId="1819" xr:uid="{00000000-0005-0000-0000-00002F070000}"/>
    <cellStyle name="Normal 16 2 3" xfId="1820" xr:uid="{00000000-0005-0000-0000-000030070000}"/>
    <cellStyle name="Normal 16 3" xfId="1821" xr:uid="{00000000-0005-0000-0000-000031070000}"/>
    <cellStyle name="Normal 16 3 2" xfId="1822" xr:uid="{00000000-0005-0000-0000-000032070000}"/>
    <cellStyle name="Normal 16 3 2 2" xfId="1823" xr:uid="{00000000-0005-0000-0000-000033070000}"/>
    <cellStyle name="Normal 16 3 3" xfId="1824" xr:uid="{00000000-0005-0000-0000-000034070000}"/>
    <cellStyle name="Normal 16 4" xfId="1825" xr:uid="{00000000-0005-0000-0000-000035070000}"/>
    <cellStyle name="Normal 16 4 2" xfId="1826" xr:uid="{00000000-0005-0000-0000-000036070000}"/>
    <cellStyle name="Normal 16 4 2 2" xfId="1827" xr:uid="{00000000-0005-0000-0000-000037070000}"/>
    <cellStyle name="Normal 16 4 3" xfId="1828" xr:uid="{00000000-0005-0000-0000-000038070000}"/>
    <cellStyle name="Normal 16 5" xfId="1829" xr:uid="{00000000-0005-0000-0000-000039070000}"/>
    <cellStyle name="Normal 16 5 2" xfId="1830" xr:uid="{00000000-0005-0000-0000-00003A070000}"/>
    <cellStyle name="Normal 16 5 2 2" xfId="1831" xr:uid="{00000000-0005-0000-0000-00003B070000}"/>
    <cellStyle name="Normal 16 5 3" xfId="1832" xr:uid="{00000000-0005-0000-0000-00003C070000}"/>
    <cellStyle name="Normal 16 6" xfId="1833" xr:uid="{00000000-0005-0000-0000-00003D070000}"/>
    <cellStyle name="Normal 16 6 2" xfId="1834" xr:uid="{00000000-0005-0000-0000-00003E070000}"/>
    <cellStyle name="Normal 16 7" xfId="1835" xr:uid="{00000000-0005-0000-0000-00003F070000}"/>
    <cellStyle name="Normal 16 7 2" xfId="1836" xr:uid="{00000000-0005-0000-0000-000040070000}"/>
    <cellStyle name="Normal 16 8" xfId="1837" xr:uid="{00000000-0005-0000-0000-000041070000}"/>
    <cellStyle name="Normal 16 8 2" xfId="1838" xr:uid="{00000000-0005-0000-0000-000042070000}"/>
    <cellStyle name="Normal 16 9" xfId="1839" xr:uid="{00000000-0005-0000-0000-000043070000}"/>
    <cellStyle name="Normal 17" xfId="14" xr:uid="{00000000-0005-0000-0000-000044070000}"/>
    <cellStyle name="Normal 17 10" xfId="1840" xr:uid="{00000000-0005-0000-0000-000045070000}"/>
    <cellStyle name="Normal 17 2" xfId="43" xr:uid="{00000000-0005-0000-0000-000046070000}"/>
    <cellStyle name="Normal 17 2 2" xfId="1842" xr:uid="{00000000-0005-0000-0000-000047070000}"/>
    <cellStyle name="Normal 17 2 2 2" xfId="1843" xr:uid="{00000000-0005-0000-0000-000048070000}"/>
    <cellStyle name="Normal 17 2 3" xfId="1844" xr:uid="{00000000-0005-0000-0000-000049070000}"/>
    <cellStyle name="Normal 17 2 4" xfId="1841" xr:uid="{00000000-0005-0000-0000-00004A070000}"/>
    <cellStyle name="Normal 17 3" xfId="1845" xr:uid="{00000000-0005-0000-0000-00004B070000}"/>
    <cellStyle name="Normal 17 3 2" xfId="1846" xr:uid="{00000000-0005-0000-0000-00004C070000}"/>
    <cellStyle name="Normal 17 3 2 2" xfId="1847" xr:uid="{00000000-0005-0000-0000-00004D070000}"/>
    <cellStyle name="Normal 17 3 3" xfId="1848" xr:uid="{00000000-0005-0000-0000-00004E070000}"/>
    <cellStyle name="Normal 17 4" xfId="1849" xr:uid="{00000000-0005-0000-0000-00004F070000}"/>
    <cellStyle name="Normal 17 4 2" xfId="1850" xr:uid="{00000000-0005-0000-0000-000050070000}"/>
    <cellStyle name="Normal 17 4 2 2" xfId="1851" xr:uid="{00000000-0005-0000-0000-000051070000}"/>
    <cellStyle name="Normal 17 4 3" xfId="1852" xr:uid="{00000000-0005-0000-0000-000052070000}"/>
    <cellStyle name="Normal 17 5" xfId="1853" xr:uid="{00000000-0005-0000-0000-000053070000}"/>
    <cellStyle name="Normal 17 5 2" xfId="1854" xr:uid="{00000000-0005-0000-0000-000054070000}"/>
    <cellStyle name="Normal 17 5 2 2" xfId="1855" xr:uid="{00000000-0005-0000-0000-000055070000}"/>
    <cellStyle name="Normal 17 5 3" xfId="1856" xr:uid="{00000000-0005-0000-0000-000056070000}"/>
    <cellStyle name="Normal 17 6" xfId="1857" xr:uid="{00000000-0005-0000-0000-000057070000}"/>
    <cellStyle name="Normal 17 6 2" xfId="1858" xr:uid="{00000000-0005-0000-0000-000058070000}"/>
    <cellStyle name="Normal 17 7" xfId="1859" xr:uid="{00000000-0005-0000-0000-000059070000}"/>
    <cellStyle name="Normal 17 7 2" xfId="1860" xr:uid="{00000000-0005-0000-0000-00005A070000}"/>
    <cellStyle name="Normal 17 8" xfId="1861" xr:uid="{00000000-0005-0000-0000-00005B070000}"/>
    <cellStyle name="Normal 17 8 2" xfId="1862" xr:uid="{00000000-0005-0000-0000-00005C070000}"/>
    <cellStyle name="Normal 17 9" xfId="1863" xr:uid="{00000000-0005-0000-0000-00005D070000}"/>
    <cellStyle name="Normal 18" xfId="15" xr:uid="{00000000-0005-0000-0000-00005E070000}"/>
    <cellStyle name="Normal 18 10" xfId="1864" xr:uid="{00000000-0005-0000-0000-00005F070000}"/>
    <cellStyle name="Normal 18 2" xfId="44" xr:uid="{00000000-0005-0000-0000-000060070000}"/>
    <cellStyle name="Normal 18 2 2" xfId="1866" xr:uid="{00000000-0005-0000-0000-000061070000}"/>
    <cellStyle name="Normal 18 2 2 2" xfId="1867" xr:uid="{00000000-0005-0000-0000-000062070000}"/>
    <cellStyle name="Normal 18 2 3" xfId="1868" xr:uid="{00000000-0005-0000-0000-000063070000}"/>
    <cellStyle name="Normal 18 2 4" xfId="1865" xr:uid="{00000000-0005-0000-0000-000064070000}"/>
    <cellStyle name="Normal 18 3" xfId="1869" xr:uid="{00000000-0005-0000-0000-000065070000}"/>
    <cellStyle name="Normal 18 3 2" xfId="1870" xr:uid="{00000000-0005-0000-0000-000066070000}"/>
    <cellStyle name="Normal 18 3 2 2" xfId="1871" xr:uid="{00000000-0005-0000-0000-000067070000}"/>
    <cellStyle name="Normal 18 3 3" xfId="1872" xr:uid="{00000000-0005-0000-0000-000068070000}"/>
    <cellStyle name="Normal 18 4" xfId="1873" xr:uid="{00000000-0005-0000-0000-000069070000}"/>
    <cellStyle name="Normal 18 4 2" xfId="1874" xr:uid="{00000000-0005-0000-0000-00006A070000}"/>
    <cellStyle name="Normal 18 4 2 2" xfId="1875" xr:uid="{00000000-0005-0000-0000-00006B070000}"/>
    <cellStyle name="Normal 18 4 3" xfId="1876" xr:uid="{00000000-0005-0000-0000-00006C070000}"/>
    <cellStyle name="Normal 18 5" xfId="1877" xr:uid="{00000000-0005-0000-0000-00006D070000}"/>
    <cellStyle name="Normal 18 5 2" xfId="1878" xr:uid="{00000000-0005-0000-0000-00006E070000}"/>
    <cellStyle name="Normal 18 5 2 2" xfId="1879" xr:uid="{00000000-0005-0000-0000-00006F070000}"/>
    <cellStyle name="Normal 18 5 3" xfId="1880" xr:uid="{00000000-0005-0000-0000-000070070000}"/>
    <cellStyle name="Normal 18 6" xfId="1881" xr:uid="{00000000-0005-0000-0000-000071070000}"/>
    <cellStyle name="Normal 18 6 2" xfId="1882" xr:uid="{00000000-0005-0000-0000-000072070000}"/>
    <cellStyle name="Normal 18 7" xfId="1883" xr:uid="{00000000-0005-0000-0000-000073070000}"/>
    <cellStyle name="Normal 18 7 2" xfId="1884" xr:uid="{00000000-0005-0000-0000-000074070000}"/>
    <cellStyle name="Normal 18 8" xfId="1885" xr:uid="{00000000-0005-0000-0000-000075070000}"/>
    <cellStyle name="Normal 18 8 2" xfId="1886" xr:uid="{00000000-0005-0000-0000-000076070000}"/>
    <cellStyle name="Normal 18 9" xfId="1887" xr:uid="{00000000-0005-0000-0000-000077070000}"/>
    <cellStyle name="Normal 19" xfId="16" xr:uid="{00000000-0005-0000-0000-000078070000}"/>
    <cellStyle name="Normal 19 2" xfId="45" xr:uid="{00000000-0005-0000-0000-000079070000}"/>
    <cellStyle name="Normal 19 3" xfId="1888" xr:uid="{00000000-0005-0000-0000-00007A070000}"/>
    <cellStyle name="Normal 2" xfId="30" xr:uid="{00000000-0005-0000-0000-00007B070000}"/>
    <cellStyle name="Normal 2 10" xfId="1890" xr:uid="{00000000-0005-0000-0000-00007C070000}"/>
    <cellStyle name="Normal 2 10 2" xfId="1891" xr:uid="{00000000-0005-0000-0000-00007D070000}"/>
    <cellStyle name="Normal 2 10 2 2" xfId="1892" xr:uid="{00000000-0005-0000-0000-00007E070000}"/>
    <cellStyle name="Normal 2 10 3" xfId="1893" xr:uid="{00000000-0005-0000-0000-00007F070000}"/>
    <cellStyle name="Normal 2 11" xfId="1894" xr:uid="{00000000-0005-0000-0000-000080070000}"/>
    <cellStyle name="Normal 2 11 2" xfId="1895" xr:uid="{00000000-0005-0000-0000-000081070000}"/>
    <cellStyle name="Normal 2 11 2 2" xfId="1896" xr:uid="{00000000-0005-0000-0000-000082070000}"/>
    <cellStyle name="Normal 2 11 3" xfId="1897" xr:uid="{00000000-0005-0000-0000-000083070000}"/>
    <cellStyle name="Normal 2 12" xfId="119" xr:uid="{00000000-0005-0000-0000-000084070000}"/>
    <cellStyle name="Normal 2 12 2" xfId="1898" xr:uid="{00000000-0005-0000-0000-000085070000}"/>
    <cellStyle name="Normal 2 13" xfId="1899" xr:uid="{00000000-0005-0000-0000-000086070000}"/>
    <cellStyle name="Normal 2 13 2" xfId="1900" xr:uid="{00000000-0005-0000-0000-000087070000}"/>
    <cellStyle name="Normal 2 14" xfId="1901" xr:uid="{00000000-0005-0000-0000-000088070000}"/>
    <cellStyle name="Normal 2 14 2" xfId="1902" xr:uid="{00000000-0005-0000-0000-000089070000}"/>
    <cellStyle name="Normal 2 15" xfId="1903" xr:uid="{00000000-0005-0000-0000-00008A070000}"/>
    <cellStyle name="Normal 2 15 2" xfId="1904" xr:uid="{00000000-0005-0000-0000-00008B070000}"/>
    <cellStyle name="Normal 2 16" xfId="1905" xr:uid="{00000000-0005-0000-0000-00008C070000}"/>
    <cellStyle name="Normal 2 17" xfId="1889" xr:uid="{00000000-0005-0000-0000-00008D070000}"/>
    <cellStyle name="Normal 2 2" xfId="31" xr:uid="{00000000-0005-0000-0000-00008E070000}"/>
    <cellStyle name="Normal 2 2 2" xfId="34" xr:uid="{00000000-0005-0000-0000-00008F070000}"/>
    <cellStyle name="Normal 2 2 2 2" xfId="117" xr:uid="{00000000-0005-0000-0000-000090070000}"/>
    <cellStyle name="Normal 2 2 2 3" xfId="98" xr:uid="{00000000-0005-0000-0000-000091070000}"/>
    <cellStyle name="Normal 2 2 3" xfId="56" xr:uid="{00000000-0005-0000-0000-000092070000}"/>
    <cellStyle name="Normal 2 2 3 2" xfId="115" xr:uid="{00000000-0005-0000-0000-000093070000}"/>
    <cellStyle name="Normal 2 2 3 3" xfId="1906" xr:uid="{00000000-0005-0000-0000-000094070000}"/>
    <cellStyle name="Normal 2 2_Summary" xfId="111" xr:uid="{00000000-0005-0000-0000-000095070000}"/>
    <cellStyle name="Normal 2 3" xfId="33" xr:uid="{00000000-0005-0000-0000-000096070000}"/>
    <cellStyle name="Normal 2 3 10" xfId="1908" xr:uid="{00000000-0005-0000-0000-000097070000}"/>
    <cellStyle name="Normal 2 3 10 2" xfId="1909" xr:uid="{00000000-0005-0000-0000-000098070000}"/>
    <cellStyle name="Normal 2 3 11" xfId="1910" xr:uid="{00000000-0005-0000-0000-000099070000}"/>
    <cellStyle name="Normal 2 3 11 2" xfId="1911" xr:uid="{00000000-0005-0000-0000-00009A070000}"/>
    <cellStyle name="Normal 2 3 12" xfId="1912" xr:uid="{00000000-0005-0000-0000-00009B070000}"/>
    <cellStyle name="Normal 2 3 13" xfId="1907" xr:uid="{00000000-0005-0000-0000-00009C070000}"/>
    <cellStyle name="Normal 2 3 2" xfId="116" xr:uid="{00000000-0005-0000-0000-00009D070000}"/>
    <cellStyle name="Normal 2 3 2 10" xfId="1913" xr:uid="{00000000-0005-0000-0000-00009E070000}"/>
    <cellStyle name="Normal 2 3 2 2" xfId="1914" xr:uid="{00000000-0005-0000-0000-00009F070000}"/>
    <cellStyle name="Normal 2 3 2 2 2" xfId="1915" xr:uid="{00000000-0005-0000-0000-0000A0070000}"/>
    <cellStyle name="Normal 2 3 2 2 2 2" xfId="1916" xr:uid="{00000000-0005-0000-0000-0000A1070000}"/>
    <cellStyle name="Normal 2 3 2 2 3" xfId="1917" xr:uid="{00000000-0005-0000-0000-0000A2070000}"/>
    <cellStyle name="Normal 2 3 2 3" xfId="1918" xr:uid="{00000000-0005-0000-0000-0000A3070000}"/>
    <cellStyle name="Normal 2 3 2 3 2" xfId="1919" xr:uid="{00000000-0005-0000-0000-0000A4070000}"/>
    <cellStyle name="Normal 2 3 2 3 2 2" xfId="1920" xr:uid="{00000000-0005-0000-0000-0000A5070000}"/>
    <cellStyle name="Normal 2 3 2 3 3" xfId="1921" xr:uid="{00000000-0005-0000-0000-0000A6070000}"/>
    <cellStyle name="Normal 2 3 2 4" xfId="1922" xr:uid="{00000000-0005-0000-0000-0000A7070000}"/>
    <cellStyle name="Normal 2 3 2 4 2" xfId="1923" xr:uid="{00000000-0005-0000-0000-0000A8070000}"/>
    <cellStyle name="Normal 2 3 2 4 2 2" xfId="1924" xr:uid="{00000000-0005-0000-0000-0000A9070000}"/>
    <cellStyle name="Normal 2 3 2 4 3" xfId="1925" xr:uid="{00000000-0005-0000-0000-0000AA070000}"/>
    <cellStyle name="Normal 2 3 2 5" xfId="1926" xr:uid="{00000000-0005-0000-0000-0000AB070000}"/>
    <cellStyle name="Normal 2 3 2 5 2" xfId="1927" xr:uid="{00000000-0005-0000-0000-0000AC070000}"/>
    <cellStyle name="Normal 2 3 2 5 2 2" xfId="1928" xr:uid="{00000000-0005-0000-0000-0000AD070000}"/>
    <cellStyle name="Normal 2 3 2 5 3" xfId="1929" xr:uid="{00000000-0005-0000-0000-0000AE070000}"/>
    <cellStyle name="Normal 2 3 2 6" xfId="1930" xr:uid="{00000000-0005-0000-0000-0000AF070000}"/>
    <cellStyle name="Normal 2 3 2 6 2" xfId="1931" xr:uid="{00000000-0005-0000-0000-0000B0070000}"/>
    <cellStyle name="Normal 2 3 2 7" xfId="1932" xr:uid="{00000000-0005-0000-0000-0000B1070000}"/>
    <cellStyle name="Normal 2 3 2 7 2" xfId="1933" xr:uid="{00000000-0005-0000-0000-0000B2070000}"/>
    <cellStyle name="Normal 2 3 2 8" xfId="1934" xr:uid="{00000000-0005-0000-0000-0000B3070000}"/>
    <cellStyle name="Normal 2 3 2 8 2" xfId="1935" xr:uid="{00000000-0005-0000-0000-0000B4070000}"/>
    <cellStyle name="Normal 2 3 2 9" xfId="1936" xr:uid="{00000000-0005-0000-0000-0000B5070000}"/>
    <cellStyle name="Normal 2 3 3" xfId="104" xr:uid="{00000000-0005-0000-0000-0000B6070000}"/>
    <cellStyle name="Normal 2 3 3 10" xfId="1937" xr:uid="{00000000-0005-0000-0000-0000B7070000}"/>
    <cellStyle name="Normal 2 3 3 2" xfId="1938" xr:uid="{00000000-0005-0000-0000-0000B8070000}"/>
    <cellStyle name="Normal 2 3 3 2 2" xfId="1939" xr:uid="{00000000-0005-0000-0000-0000B9070000}"/>
    <cellStyle name="Normal 2 3 3 2 2 2" xfId="1940" xr:uid="{00000000-0005-0000-0000-0000BA070000}"/>
    <cellStyle name="Normal 2 3 3 2 3" xfId="1941" xr:uid="{00000000-0005-0000-0000-0000BB070000}"/>
    <cellStyle name="Normal 2 3 3 3" xfId="1942" xr:uid="{00000000-0005-0000-0000-0000BC070000}"/>
    <cellStyle name="Normal 2 3 3 3 2" xfId="1943" xr:uid="{00000000-0005-0000-0000-0000BD070000}"/>
    <cellStyle name="Normal 2 3 3 3 2 2" xfId="1944" xr:uid="{00000000-0005-0000-0000-0000BE070000}"/>
    <cellStyle name="Normal 2 3 3 3 3" xfId="1945" xr:uid="{00000000-0005-0000-0000-0000BF070000}"/>
    <cellStyle name="Normal 2 3 3 4" xfId="1946" xr:uid="{00000000-0005-0000-0000-0000C0070000}"/>
    <cellStyle name="Normal 2 3 3 4 2" xfId="1947" xr:uid="{00000000-0005-0000-0000-0000C1070000}"/>
    <cellStyle name="Normal 2 3 3 4 2 2" xfId="1948" xr:uid="{00000000-0005-0000-0000-0000C2070000}"/>
    <cellStyle name="Normal 2 3 3 4 3" xfId="1949" xr:uid="{00000000-0005-0000-0000-0000C3070000}"/>
    <cellStyle name="Normal 2 3 3 5" xfId="1950" xr:uid="{00000000-0005-0000-0000-0000C4070000}"/>
    <cellStyle name="Normal 2 3 3 5 2" xfId="1951" xr:uid="{00000000-0005-0000-0000-0000C5070000}"/>
    <cellStyle name="Normal 2 3 3 5 2 2" xfId="1952" xr:uid="{00000000-0005-0000-0000-0000C6070000}"/>
    <cellStyle name="Normal 2 3 3 5 3" xfId="1953" xr:uid="{00000000-0005-0000-0000-0000C7070000}"/>
    <cellStyle name="Normal 2 3 3 6" xfId="1954" xr:uid="{00000000-0005-0000-0000-0000C8070000}"/>
    <cellStyle name="Normal 2 3 3 6 2" xfId="1955" xr:uid="{00000000-0005-0000-0000-0000C9070000}"/>
    <cellStyle name="Normal 2 3 3 7" xfId="1956" xr:uid="{00000000-0005-0000-0000-0000CA070000}"/>
    <cellStyle name="Normal 2 3 3 7 2" xfId="1957" xr:uid="{00000000-0005-0000-0000-0000CB070000}"/>
    <cellStyle name="Normal 2 3 3 8" xfId="1958" xr:uid="{00000000-0005-0000-0000-0000CC070000}"/>
    <cellStyle name="Normal 2 3 3 8 2" xfId="1959" xr:uid="{00000000-0005-0000-0000-0000CD070000}"/>
    <cellStyle name="Normal 2 3 3 9" xfId="1960" xr:uid="{00000000-0005-0000-0000-0000CE070000}"/>
    <cellStyle name="Normal 2 3 4" xfId="1961" xr:uid="{00000000-0005-0000-0000-0000CF070000}"/>
    <cellStyle name="Normal 2 3 4 2" xfId="1962" xr:uid="{00000000-0005-0000-0000-0000D0070000}"/>
    <cellStyle name="Normal 2 3 4 2 2" xfId="1963" xr:uid="{00000000-0005-0000-0000-0000D1070000}"/>
    <cellStyle name="Normal 2 3 4 2 2 2" xfId="1964" xr:uid="{00000000-0005-0000-0000-0000D2070000}"/>
    <cellStyle name="Normal 2 3 4 2 3" xfId="1965" xr:uid="{00000000-0005-0000-0000-0000D3070000}"/>
    <cellStyle name="Normal 2 3 4 3" xfId="1966" xr:uid="{00000000-0005-0000-0000-0000D4070000}"/>
    <cellStyle name="Normal 2 3 4 3 2" xfId="1967" xr:uid="{00000000-0005-0000-0000-0000D5070000}"/>
    <cellStyle name="Normal 2 3 4 3 2 2" xfId="1968" xr:uid="{00000000-0005-0000-0000-0000D6070000}"/>
    <cellStyle name="Normal 2 3 4 3 3" xfId="1969" xr:uid="{00000000-0005-0000-0000-0000D7070000}"/>
    <cellStyle name="Normal 2 3 4 4" xfId="1970" xr:uid="{00000000-0005-0000-0000-0000D8070000}"/>
    <cellStyle name="Normal 2 3 4 4 2" xfId="1971" xr:uid="{00000000-0005-0000-0000-0000D9070000}"/>
    <cellStyle name="Normal 2 3 4 4 2 2" xfId="1972" xr:uid="{00000000-0005-0000-0000-0000DA070000}"/>
    <cellStyle name="Normal 2 3 4 4 3" xfId="1973" xr:uid="{00000000-0005-0000-0000-0000DB070000}"/>
    <cellStyle name="Normal 2 3 4 5" xfId="1974" xr:uid="{00000000-0005-0000-0000-0000DC070000}"/>
    <cellStyle name="Normal 2 3 4 5 2" xfId="1975" xr:uid="{00000000-0005-0000-0000-0000DD070000}"/>
    <cellStyle name="Normal 2 3 4 5 2 2" xfId="1976" xr:uid="{00000000-0005-0000-0000-0000DE070000}"/>
    <cellStyle name="Normal 2 3 4 5 3" xfId="1977" xr:uid="{00000000-0005-0000-0000-0000DF070000}"/>
    <cellStyle name="Normal 2 3 4 6" xfId="1978" xr:uid="{00000000-0005-0000-0000-0000E0070000}"/>
    <cellStyle name="Normal 2 3 4 6 2" xfId="1979" xr:uid="{00000000-0005-0000-0000-0000E1070000}"/>
    <cellStyle name="Normal 2 3 4 7" xfId="1980" xr:uid="{00000000-0005-0000-0000-0000E2070000}"/>
    <cellStyle name="Normal 2 3 4 7 2" xfId="1981" xr:uid="{00000000-0005-0000-0000-0000E3070000}"/>
    <cellStyle name="Normal 2 3 4 8" xfId="1982" xr:uid="{00000000-0005-0000-0000-0000E4070000}"/>
    <cellStyle name="Normal 2 3 4 8 2" xfId="1983" xr:uid="{00000000-0005-0000-0000-0000E5070000}"/>
    <cellStyle name="Normal 2 3 4 9" xfId="1984" xr:uid="{00000000-0005-0000-0000-0000E6070000}"/>
    <cellStyle name="Normal 2 3 5" xfId="1985" xr:uid="{00000000-0005-0000-0000-0000E7070000}"/>
    <cellStyle name="Normal 2 3 5 2" xfId="1986" xr:uid="{00000000-0005-0000-0000-0000E8070000}"/>
    <cellStyle name="Normal 2 3 5 2 2" xfId="1987" xr:uid="{00000000-0005-0000-0000-0000E9070000}"/>
    <cellStyle name="Normal 2 3 5 3" xfId="1988" xr:uid="{00000000-0005-0000-0000-0000EA070000}"/>
    <cellStyle name="Normal 2 3 6" xfId="1989" xr:uid="{00000000-0005-0000-0000-0000EB070000}"/>
    <cellStyle name="Normal 2 3 6 2" xfId="1990" xr:uid="{00000000-0005-0000-0000-0000EC070000}"/>
    <cellStyle name="Normal 2 3 6 2 2" xfId="1991" xr:uid="{00000000-0005-0000-0000-0000ED070000}"/>
    <cellStyle name="Normal 2 3 6 3" xfId="1992" xr:uid="{00000000-0005-0000-0000-0000EE070000}"/>
    <cellStyle name="Normal 2 3 7" xfId="1993" xr:uid="{00000000-0005-0000-0000-0000EF070000}"/>
    <cellStyle name="Normal 2 3 7 2" xfId="1994" xr:uid="{00000000-0005-0000-0000-0000F0070000}"/>
    <cellStyle name="Normal 2 3 7 2 2" xfId="1995" xr:uid="{00000000-0005-0000-0000-0000F1070000}"/>
    <cellStyle name="Normal 2 3 7 3" xfId="1996" xr:uid="{00000000-0005-0000-0000-0000F2070000}"/>
    <cellStyle name="Normal 2 3 8" xfId="1997" xr:uid="{00000000-0005-0000-0000-0000F3070000}"/>
    <cellStyle name="Normal 2 3 8 2" xfId="1998" xr:uid="{00000000-0005-0000-0000-0000F4070000}"/>
    <cellStyle name="Normal 2 3 8 2 2" xfId="1999" xr:uid="{00000000-0005-0000-0000-0000F5070000}"/>
    <cellStyle name="Normal 2 3 8 3" xfId="2000" xr:uid="{00000000-0005-0000-0000-0000F6070000}"/>
    <cellStyle name="Normal 2 3 9" xfId="2001" xr:uid="{00000000-0005-0000-0000-0000F7070000}"/>
    <cellStyle name="Normal 2 3 9 2" xfId="2002" xr:uid="{00000000-0005-0000-0000-0000F8070000}"/>
    <cellStyle name="Normal 2 4" xfId="55" xr:uid="{00000000-0005-0000-0000-0000F9070000}"/>
    <cellStyle name="Normal 2 4 2" xfId="110" xr:uid="{00000000-0005-0000-0000-0000FA070000}"/>
    <cellStyle name="Normal 2 5" xfId="113" xr:uid="{00000000-0005-0000-0000-0000FB070000}"/>
    <cellStyle name="Normal 2 5 2" xfId="2003" xr:uid="{00000000-0005-0000-0000-0000FC070000}"/>
    <cellStyle name="Normal 2 6" xfId="2004" xr:uid="{00000000-0005-0000-0000-0000FD070000}"/>
    <cellStyle name="Normal 2 6 2" xfId="2005" xr:uid="{00000000-0005-0000-0000-0000FE070000}"/>
    <cellStyle name="Normal 2 6 2 2" xfId="2006" xr:uid="{00000000-0005-0000-0000-0000FF070000}"/>
    <cellStyle name="Normal 2 6 2 2 2" xfId="2007" xr:uid="{00000000-0005-0000-0000-000000080000}"/>
    <cellStyle name="Normal 2 6 2 3" xfId="2008" xr:uid="{00000000-0005-0000-0000-000001080000}"/>
    <cellStyle name="Normal 2 6 3" xfId="2009" xr:uid="{00000000-0005-0000-0000-000002080000}"/>
    <cellStyle name="Normal 2 6 3 2" xfId="2010" xr:uid="{00000000-0005-0000-0000-000003080000}"/>
    <cellStyle name="Normal 2 6 3 2 2" xfId="2011" xr:uid="{00000000-0005-0000-0000-000004080000}"/>
    <cellStyle name="Normal 2 6 3 3" xfId="2012" xr:uid="{00000000-0005-0000-0000-000005080000}"/>
    <cellStyle name="Normal 2 6 4" xfId="2013" xr:uid="{00000000-0005-0000-0000-000006080000}"/>
    <cellStyle name="Normal 2 6 4 2" xfId="2014" xr:uid="{00000000-0005-0000-0000-000007080000}"/>
    <cellStyle name="Normal 2 6 4 2 2" xfId="2015" xr:uid="{00000000-0005-0000-0000-000008080000}"/>
    <cellStyle name="Normal 2 6 4 3" xfId="2016" xr:uid="{00000000-0005-0000-0000-000009080000}"/>
    <cellStyle name="Normal 2 6 5" xfId="2017" xr:uid="{00000000-0005-0000-0000-00000A080000}"/>
    <cellStyle name="Normal 2 6 5 2" xfId="2018" xr:uid="{00000000-0005-0000-0000-00000B080000}"/>
    <cellStyle name="Normal 2 6 5 2 2" xfId="2019" xr:uid="{00000000-0005-0000-0000-00000C080000}"/>
    <cellStyle name="Normal 2 6 5 3" xfId="2020" xr:uid="{00000000-0005-0000-0000-00000D080000}"/>
    <cellStyle name="Normal 2 6 6" xfId="2021" xr:uid="{00000000-0005-0000-0000-00000E080000}"/>
    <cellStyle name="Normal 2 6 6 2" xfId="2022" xr:uid="{00000000-0005-0000-0000-00000F080000}"/>
    <cellStyle name="Normal 2 6 7" xfId="2023" xr:uid="{00000000-0005-0000-0000-000010080000}"/>
    <cellStyle name="Normal 2 6 7 2" xfId="2024" xr:uid="{00000000-0005-0000-0000-000011080000}"/>
    <cellStyle name="Normal 2 6 8" xfId="2025" xr:uid="{00000000-0005-0000-0000-000012080000}"/>
    <cellStyle name="Normal 2 6 8 2" xfId="2026" xr:uid="{00000000-0005-0000-0000-000013080000}"/>
    <cellStyle name="Normal 2 6 9" xfId="2027" xr:uid="{00000000-0005-0000-0000-000014080000}"/>
    <cellStyle name="Normal 2 7" xfId="2028" xr:uid="{00000000-0005-0000-0000-000015080000}"/>
    <cellStyle name="Normal 2 7 2" xfId="2029" xr:uid="{00000000-0005-0000-0000-000016080000}"/>
    <cellStyle name="Normal 2 7 2 2" xfId="2030" xr:uid="{00000000-0005-0000-0000-000017080000}"/>
    <cellStyle name="Normal 2 7 2 2 2" xfId="2031" xr:uid="{00000000-0005-0000-0000-000018080000}"/>
    <cellStyle name="Normal 2 7 2 3" xfId="2032" xr:uid="{00000000-0005-0000-0000-000019080000}"/>
    <cellStyle name="Normal 2 7 3" xfId="2033" xr:uid="{00000000-0005-0000-0000-00001A080000}"/>
    <cellStyle name="Normal 2 7 3 2" xfId="2034" xr:uid="{00000000-0005-0000-0000-00001B080000}"/>
    <cellStyle name="Normal 2 7 3 2 2" xfId="2035" xr:uid="{00000000-0005-0000-0000-00001C080000}"/>
    <cellStyle name="Normal 2 7 3 3" xfId="2036" xr:uid="{00000000-0005-0000-0000-00001D080000}"/>
    <cellStyle name="Normal 2 7 4" xfId="2037" xr:uid="{00000000-0005-0000-0000-00001E080000}"/>
    <cellStyle name="Normal 2 7 4 2" xfId="2038" xr:uid="{00000000-0005-0000-0000-00001F080000}"/>
    <cellStyle name="Normal 2 7 4 2 2" xfId="2039" xr:uid="{00000000-0005-0000-0000-000020080000}"/>
    <cellStyle name="Normal 2 7 4 3" xfId="2040" xr:uid="{00000000-0005-0000-0000-000021080000}"/>
    <cellStyle name="Normal 2 7 5" xfId="2041" xr:uid="{00000000-0005-0000-0000-000022080000}"/>
    <cellStyle name="Normal 2 7 5 2" xfId="2042" xr:uid="{00000000-0005-0000-0000-000023080000}"/>
    <cellStyle name="Normal 2 7 5 2 2" xfId="2043" xr:uid="{00000000-0005-0000-0000-000024080000}"/>
    <cellStyle name="Normal 2 7 5 3" xfId="2044" xr:uid="{00000000-0005-0000-0000-000025080000}"/>
    <cellStyle name="Normal 2 7 6" xfId="2045" xr:uid="{00000000-0005-0000-0000-000026080000}"/>
    <cellStyle name="Normal 2 7 6 2" xfId="2046" xr:uid="{00000000-0005-0000-0000-000027080000}"/>
    <cellStyle name="Normal 2 7 7" xfId="2047" xr:uid="{00000000-0005-0000-0000-000028080000}"/>
    <cellStyle name="Normal 2 7 7 2" xfId="2048" xr:uid="{00000000-0005-0000-0000-000029080000}"/>
    <cellStyle name="Normal 2 7 8" xfId="2049" xr:uid="{00000000-0005-0000-0000-00002A080000}"/>
    <cellStyle name="Normal 2 7 8 2" xfId="2050" xr:uid="{00000000-0005-0000-0000-00002B080000}"/>
    <cellStyle name="Normal 2 7 9" xfId="2051" xr:uid="{00000000-0005-0000-0000-00002C080000}"/>
    <cellStyle name="Normal 2 8" xfId="2052" xr:uid="{00000000-0005-0000-0000-00002D080000}"/>
    <cellStyle name="Normal 2 8 2" xfId="2053" xr:uid="{00000000-0005-0000-0000-00002E080000}"/>
    <cellStyle name="Normal 2 8 2 2" xfId="2054" xr:uid="{00000000-0005-0000-0000-00002F080000}"/>
    <cellStyle name="Normal 2 8 3" xfId="2055" xr:uid="{00000000-0005-0000-0000-000030080000}"/>
    <cellStyle name="Normal 2 9" xfId="2056" xr:uid="{00000000-0005-0000-0000-000031080000}"/>
    <cellStyle name="Normal 2 9 2" xfId="2057" xr:uid="{00000000-0005-0000-0000-000032080000}"/>
    <cellStyle name="Normal 2 9 2 2" xfId="2058" xr:uid="{00000000-0005-0000-0000-000033080000}"/>
    <cellStyle name="Normal 2 9 3" xfId="2059" xr:uid="{00000000-0005-0000-0000-000034080000}"/>
    <cellStyle name="Normal 20" xfId="2060" xr:uid="{00000000-0005-0000-0000-000035080000}"/>
    <cellStyle name="Normal 21" xfId="2061" xr:uid="{00000000-0005-0000-0000-000036080000}"/>
    <cellStyle name="Normal 21 2" xfId="2062" xr:uid="{00000000-0005-0000-0000-000037080000}"/>
    <cellStyle name="Normal 21 3" xfId="2063" xr:uid="{00000000-0005-0000-0000-000038080000}"/>
    <cellStyle name="Normal 21 4" xfId="2064" xr:uid="{00000000-0005-0000-0000-000039080000}"/>
    <cellStyle name="Normal 21 5" xfId="2065" xr:uid="{00000000-0005-0000-0000-00003A080000}"/>
    <cellStyle name="Normal 21 6" xfId="2066" xr:uid="{00000000-0005-0000-0000-00003B080000}"/>
    <cellStyle name="Normal 21 7" xfId="2067" xr:uid="{00000000-0005-0000-0000-00003C080000}"/>
    <cellStyle name="Normal 22" xfId="2068" xr:uid="{00000000-0005-0000-0000-00003D080000}"/>
    <cellStyle name="Normal 22 2" xfId="2069" xr:uid="{00000000-0005-0000-0000-00003E080000}"/>
    <cellStyle name="Normal 22 2 2" xfId="2070" xr:uid="{00000000-0005-0000-0000-00003F080000}"/>
    <cellStyle name="Normal 22 2 2 2" xfId="2071" xr:uid="{00000000-0005-0000-0000-000040080000}"/>
    <cellStyle name="Normal 22 2 3" xfId="2072" xr:uid="{00000000-0005-0000-0000-000041080000}"/>
    <cellStyle name="Normal 22 3" xfId="2073" xr:uid="{00000000-0005-0000-0000-000042080000}"/>
    <cellStyle name="Normal 22 3 2" xfId="2074" xr:uid="{00000000-0005-0000-0000-000043080000}"/>
    <cellStyle name="Normal 22 3 2 2" xfId="2075" xr:uid="{00000000-0005-0000-0000-000044080000}"/>
    <cellStyle name="Normal 22 3 3" xfId="2076" xr:uid="{00000000-0005-0000-0000-000045080000}"/>
    <cellStyle name="Normal 22 4" xfId="2077" xr:uid="{00000000-0005-0000-0000-000046080000}"/>
    <cellStyle name="Normal 22 4 2" xfId="2078" xr:uid="{00000000-0005-0000-0000-000047080000}"/>
    <cellStyle name="Normal 22 4 2 2" xfId="2079" xr:uid="{00000000-0005-0000-0000-000048080000}"/>
    <cellStyle name="Normal 22 4 3" xfId="2080" xr:uid="{00000000-0005-0000-0000-000049080000}"/>
    <cellStyle name="Normal 22 5" xfId="2081" xr:uid="{00000000-0005-0000-0000-00004A080000}"/>
    <cellStyle name="Normal 22 5 2" xfId="2082" xr:uid="{00000000-0005-0000-0000-00004B080000}"/>
    <cellStyle name="Normal 22 5 2 2" xfId="2083" xr:uid="{00000000-0005-0000-0000-00004C080000}"/>
    <cellStyle name="Normal 22 5 3" xfId="2084" xr:uid="{00000000-0005-0000-0000-00004D080000}"/>
    <cellStyle name="Normal 22 6" xfId="2085" xr:uid="{00000000-0005-0000-0000-00004E080000}"/>
    <cellStyle name="Normal 22 6 2" xfId="2086" xr:uid="{00000000-0005-0000-0000-00004F080000}"/>
    <cellStyle name="Normal 22 7" xfId="2087" xr:uid="{00000000-0005-0000-0000-000050080000}"/>
    <cellStyle name="Normal 22 7 2" xfId="2088" xr:uid="{00000000-0005-0000-0000-000051080000}"/>
    <cellStyle name="Normal 22 8" xfId="2089" xr:uid="{00000000-0005-0000-0000-000052080000}"/>
    <cellStyle name="Normal 22 8 2" xfId="2090" xr:uid="{00000000-0005-0000-0000-000053080000}"/>
    <cellStyle name="Normal 22 9" xfId="2091" xr:uid="{00000000-0005-0000-0000-000054080000}"/>
    <cellStyle name="Normal 23" xfId="2092" xr:uid="{00000000-0005-0000-0000-000055080000}"/>
    <cellStyle name="Normal 23 2" xfId="2093" xr:uid="{00000000-0005-0000-0000-000056080000}"/>
    <cellStyle name="Normal 23 2 2" xfId="2094" xr:uid="{00000000-0005-0000-0000-000057080000}"/>
    <cellStyle name="Normal 23 2 2 2" xfId="2095" xr:uid="{00000000-0005-0000-0000-000058080000}"/>
    <cellStyle name="Normal 23 2 3" xfId="2096" xr:uid="{00000000-0005-0000-0000-000059080000}"/>
    <cellStyle name="Normal 23 3" xfId="2097" xr:uid="{00000000-0005-0000-0000-00005A080000}"/>
    <cellStyle name="Normal 23 3 2" xfId="2098" xr:uid="{00000000-0005-0000-0000-00005B080000}"/>
    <cellStyle name="Normal 24" xfId="2099" xr:uid="{00000000-0005-0000-0000-00005C080000}"/>
    <cellStyle name="Normal 25" xfId="2100" xr:uid="{00000000-0005-0000-0000-00005D080000}"/>
    <cellStyle name="Normal 25 2" xfId="2101" xr:uid="{00000000-0005-0000-0000-00005E080000}"/>
    <cellStyle name="Normal 25 2 2" xfId="2102" xr:uid="{00000000-0005-0000-0000-00005F080000}"/>
    <cellStyle name="Normal 25 3" xfId="2103" xr:uid="{00000000-0005-0000-0000-000060080000}"/>
    <cellStyle name="Normal 26" xfId="2104" xr:uid="{00000000-0005-0000-0000-000061080000}"/>
    <cellStyle name="Normal 26 2" xfId="2105" xr:uid="{00000000-0005-0000-0000-000062080000}"/>
    <cellStyle name="Normal 26 2 2" xfId="2106" xr:uid="{00000000-0005-0000-0000-000063080000}"/>
    <cellStyle name="Normal 26 3" xfId="2107" xr:uid="{00000000-0005-0000-0000-000064080000}"/>
    <cellStyle name="Normal 26 4" xfId="2108" xr:uid="{00000000-0005-0000-0000-000065080000}"/>
    <cellStyle name="Normal 26 4 2" xfId="2109" xr:uid="{00000000-0005-0000-0000-000066080000}"/>
    <cellStyle name="Normal 26 5" xfId="2110" xr:uid="{00000000-0005-0000-0000-000067080000}"/>
    <cellStyle name="Normal 27" xfId="2111" xr:uid="{00000000-0005-0000-0000-000068080000}"/>
    <cellStyle name="Normal 27 2" xfId="2112" xr:uid="{00000000-0005-0000-0000-000069080000}"/>
    <cellStyle name="Normal 27 3" xfId="2113" xr:uid="{00000000-0005-0000-0000-00006A080000}"/>
    <cellStyle name="Normal 28" xfId="2114" xr:uid="{00000000-0005-0000-0000-00006B080000}"/>
    <cellStyle name="Normal 28 2" xfId="2115" xr:uid="{00000000-0005-0000-0000-00006C080000}"/>
    <cellStyle name="Normal 28 3" xfId="2116" xr:uid="{00000000-0005-0000-0000-00006D080000}"/>
    <cellStyle name="Normal 28 4" xfId="2117" xr:uid="{00000000-0005-0000-0000-00006E080000}"/>
    <cellStyle name="Normal 28 5" xfId="2118" xr:uid="{00000000-0005-0000-0000-00006F080000}"/>
    <cellStyle name="Normal 28 6" xfId="2119" xr:uid="{00000000-0005-0000-0000-000070080000}"/>
    <cellStyle name="Normal 28 6 2" xfId="2120" xr:uid="{00000000-0005-0000-0000-000071080000}"/>
    <cellStyle name="Normal 29" xfId="2121" xr:uid="{00000000-0005-0000-0000-000072080000}"/>
    <cellStyle name="Normal 29 2" xfId="2122" xr:uid="{00000000-0005-0000-0000-000073080000}"/>
    <cellStyle name="Normal 3" xfId="4" xr:uid="{00000000-0005-0000-0000-000074080000}"/>
    <cellStyle name="Normal 3 2" xfId="17" xr:uid="{00000000-0005-0000-0000-000075080000}"/>
    <cellStyle name="Normal 3 2 2" xfId="35" xr:uid="{00000000-0005-0000-0000-000076080000}"/>
    <cellStyle name="Normal 3 2 2 2" xfId="107" xr:uid="{00000000-0005-0000-0000-000077080000}"/>
    <cellStyle name="Normal 3 2 2 3" xfId="2123" xr:uid="{00000000-0005-0000-0000-000078080000}"/>
    <cellStyle name="Normal 3 2 3" xfId="46" xr:uid="{00000000-0005-0000-0000-000079080000}"/>
    <cellStyle name="Normal 3 2 3 2" xfId="108" xr:uid="{00000000-0005-0000-0000-00007A080000}"/>
    <cellStyle name="Normal 3 2 4" xfId="51" xr:uid="{00000000-0005-0000-0000-00007B080000}"/>
    <cellStyle name="Normal 3 2 4 2" xfId="106" xr:uid="{00000000-0005-0000-0000-00007C080000}"/>
    <cellStyle name="Normal 3 2 5" xfId="118" xr:uid="{00000000-0005-0000-0000-00007D080000}"/>
    <cellStyle name="Normal 3 2 6" xfId="99" xr:uid="{00000000-0005-0000-0000-00007E080000}"/>
    <cellStyle name="Normal 3 3" xfId="53" xr:uid="{00000000-0005-0000-0000-00007F080000}"/>
    <cellStyle name="Normal 3 3 2" xfId="105" xr:uid="{00000000-0005-0000-0000-000080080000}"/>
    <cellStyle name="Normal 3 4" xfId="114" xr:uid="{00000000-0005-0000-0000-000081080000}"/>
    <cellStyle name="Normal 3 4 2" xfId="2125" xr:uid="{00000000-0005-0000-0000-000082080000}"/>
    <cellStyle name="Normal 3 4 3" xfId="2124" xr:uid="{00000000-0005-0000-0000-000083080000}"/>
    <cellStyle name="Normal 30" xfId="2126" xr:uid="{00000000-0005-0000-0000-000084080000}"/>
    <cellStyle name="Normal 31" xfId="18" xr:uid="{00000000-0005-0000-0000-000085080000}"/>
    <cellStyle name="Normal 31 2" xfId="2128" xr:uid="{00000000-0005-0000-0000-000086080000}"/>
    <cellStyle name="Normal 31 3" xfId="2127" xr:uid="{00000000-0005-0000-0000-000087080000}"/>
    <cellStyle name="Normal 32" xfId="24" xr:uid="{00000000-0005-0000-0000-000088080000}"/>
    <cellStyle name="Normal 32 2" xfId="2130" xr:uid="{00000000-0005-0000-0000-000089080000}"/>
    <cellStyle name="Normal 32 3" xfId="2129" xr:uid="{00000000-0005-0000-0000-00008A080000}"/>
    <cellStyle name="Normal 33" xfId="2131" xr:uid="{00000000-0005-0000-0000-00008B080000}"/>
    <cellStyle name="Normal 33 2" xfId="2132" xr:uid="{00000000-0005-0000-0000-00008C080000}"/>
    <cellStyle name="Normal 34" xfId="23" xr:uid="{00000000-0005-0000-0000-00008D080000}"/>
    <cellStyle name="Normal 35" xfId="25" xr:uid="{00000000-0005-0000-0000-00008E080000}"/>
    <cellStyle name="Normal 35 2" xfId="2133" xr:uid="{00000000-0005-0000-0000-00008F080000}"/>
    <cellStyle name="Normal 36" xfId="19" xr:uid="{00000000-0005-0000-0000-000090080000}"/>
    <cellStyle name="Normal 36 2" xfId="2134" xr:uid="{00000000-0005-0000-0000-000091080000}"/>
    <cellStyle name="Normal 37" xfId="21" xr:uid="{00000000-0005-0000-0000-000092080000}"/>
    <cellStyle name="Normal 37 2" xfId="2135" xr:uid="{00000000-0005-0000-0000-000093080000}"/>
    <cellStyle name="Normal 38" xfId="27" xr:uid="{00000000-0005-0000-0000-000094080000}"/>
    <cellStyle name="Normal 39" xfId="22" xr:uid="{00000000-0005-0000-0000-000095080000}"/>
    <cellStyle name="Normal 4" xfId="36" xr:uid="{00000000-0005-0000-0000-000096080000}"/>
    <cellStyle name="Normal 4 10" xfId="2137" xr:uid="{00000000-0005-0000-0000-000097080000}"/>
    <cellStyle name="Normal 4 10 2" xfId="2138" xr:uid="{00000000-0005-0000-0000-000098080000}"/>
    <cellStyle name="Normal 4 11" xfId="2139" xr:uid="{00000000-0005-0000-0000-000099080000}"/>
    <cellStyle name="Normal 4 11 2" xfId="2140" xr:uid="{00000000-0005-0000-0000-00009A080000}"/>
    <cellStyle name="Normal 4 12" xfId="2141" xr:uid="{00000000-0005-0000-0000-00009B080000}"/>
    <cellStyle name="Normal 4 12 2" xfId="2142" xr:uid="{00000000-0005-0000-0000-00009C080000}"/>
    <cellStyle name="Normal 4 13" xfId="2143" xr:uid="{00000000-0005-0000-0000-00009D080000}"/>
    <cellStyle name="Normal 4 14" xfId="2136" xr:uid="{00000000-0005-0000-0000-00009E080000}"/>
    <cellStyle name="Normal 4 2" xfId="112" xr:uid="{00000000-0005-0000-0000-00009F080000}"/>
    <cellStyle name="Normal 4 2 10" xfId="2145" xr:uid="{00000000-0005-0000-0000-0000A0080000}"/>
    <cellStyle name="Normal 4 2 10 2" xfId="2146" xr:uid="{00000000-0005-0000-0000-0000A1080000}"/>
    <cellStyle name="Normal 4 2 11" xfId="2147" xr:uid="{00000000-0005-0000-0000-0000A2080000}"/>
    <cellStyle name="Normal 4 2 11 2" xfId="2148" xr:uid="{00000000-0005-0000-0000-0000A3080000}"/>
    <cellStyle name="Normal 4 2 12" xfId="2149" xr:uid="{00000000-0005-0000-0000-0000A4080000}"/>
    <cellStyle name="Normal 4 2 13" xfId="2144" xr:uid="{00000000-0005-0000-0000-0000A5080000}"/>
    <cellStyle name="Normal 4 2 2" xfId="2150" xr:uid="{00000000-0005-0000-0000-0000A6080000}"/>
    <cellStyle name="Normal 4 2 2 2" xfId="2151" xr:uid="{00000000-0005-0000-0000-0000A7080000}"/>
    <cellStyle name="Normal 4 2 2 2 2" xfId="2152" xr:uid="{00000000-0005-0000-0000-0000A8080000}"/>
    <cellStyle name="Normal 4 2 2 2 2 2" xfId="2153" xr:uid="{00000000-0005-0000-0000-0000A9080000}"/>
    <cellStyle name="Normal 4 2 2 2 3" xfId="2154" xr:uid="{00000000-0005-0000-0000-0000AA080000}"/>
    <cellStyle name="Normal 4 2 2 3" xfId="2155" xr:uid="{00000000-0005-0000-0000-0000AB080000}"/>
    <cellStyle name="Normal 4 2 2 3 2" xfId="2156" xr:uid="{00000000-0005-0000-0000-0000AC080000}"/>
    <cellStyle name="Normal 4 2 2 3 2 2" xfId="2157" xr:uid="{00000000-0005-0000-0000-0000AD080000}"/>
    <cellStyle name="Normal 4 2 2 3 3" xfId="2158" xr:uid="{00000000-0005-0000-0000-0000AE080000}"/>
    <cellStyle name="Normal 4 2 2 4" xfId="2159" xr:uid="{00000000-0005-0000-0000-0000AF080000}"/>
    <cellStyle name="Normal 4 2 2 4 2" xfId="2160" xr:uid="{00000000-0005-0000-0000-0000B0080000}"/>
    <cellStyle name="Normal 4 2 2 4 2 2" xfId="2161" xr:uid="{00000000-0005-0000-0000-0000B1080000}"/>
    <cellStyle name="Normal 4 2 2 4 3" xfId="2162" xr:uid="{00000000-0005-0000-0000-0000B2080000}"/>
    <cellStyle name="Normal 4 2 2 5" xfId="2163" xr:uid="{00000000-0005-0000-0000-0000B3080000}"/>
    <cellStyle name="Normal 4 2 2 5 2" xfId="2164" xr:uid="{00000000-0005-0000-0000-0000B4080000}"/>
    <cellStyle name="Normal 4 2 2 5 2 2" xfId="2165" xr:uid="{00000000-0005-0000-0000-0000B5080000}"/>
    <cellStyle name="Normal 4 2 2 5 3" xfId="2166" xr:uid="{00000000-0005-0000-0000-0000B6080000}"/>
    <cellStyle name="Normal 4 2 2 6" xfId="2167" xr:uid="{00000000-0005-0000-0000-0000B7080000}"/>
    <cellStyle name="Normal 4 2 2 6 2" xfId="2168" xr:uid="{00000000-0005-0000-0000-0000B8080000}"/>
    <cellStyle name="Normal 4 2 2 7" xfId="2169" xr:uid="{00000000-0005-0000-0000-0000B9080000}"/>
    <cellStyle name="Normal 4 2 2 7 2" xfId="2170" xr:uid="{00000000-0005-0000-0000-0000BA080000}"/>
    <cellStyle name="Normal 4 2 2 8" xfId="2171" xr:uid="{00000000-0005-0000-0000-0000BB080000}"/>
    <cellStyle name="Normal 4 2 2 8 2" xfId="2172" xr:uid="{00000000-0005-0000-0000-0000BC080000}"/>
    <cellStyle name="Normal 4 2 2 9" xfId="2173" xr:uid="{00000000-0005-0000-0000-0000BD080000}"/>
    <cellStyle name="Normal 4 2 3" xfId="2174" xr:uid="{00000000-0005-0000-0000-0000BE080000}"/>
    <cellStyle name="Normal 4 2 3 2" xfId="2175" xr:uid="{00000000-0005-0000-0000-0000BF080000}"/>
    <cellStyle name="Normal 4 2 3 2 2" xfId="2176" xr:uid="{00000000-0005-0000-0000-0000C0080000}"/>
    <cellStyle name="Normal 4 2 3 2 2 2" xfId="2177" xr:uid="{00000000-0005-0000-0000-0000C1080000}"/>
    <cellStyle name="Normal 4 2 3 2 3" xfId="2178" xr:uid="{00000000-0005-0000-0000-0000C2080000}"/>
    <cellStyle name="Normal 4 2 3 3" xfId="2179" xr:uid="{00000000-0005-0000-0000-0000C3080000}"/>
    <cellStyle name="Normal 4 2 3 3 2" xfId="2180" xr:uid="{00000000-0005-0000-0000-0000C4080000}"/>
    <cellStyle name="Normal 4 2 3 3 2 2" xfId="2181" xr:uid="{00000000-0005-0000-0000-0000C5080000}"/>
    <cellStyle name="Normal 4 2 3 3 3" xfId="2182" xr:uid="{00000000-0005-0000-0000-0000C6080000}"/>
    <cellStyle name="Normal 4 2 3 4" xfId="2183" xr:uid="{00000000-0005-0000-0000-0000C7080000}"/>
    <cellStyle name="Normal 4 2 3 4 2" xfId="2184" xr:uid="{00000000-0005-0000-0000-0000C8080000}"/>
    <cellStyle name="Normal 4 2 3 4 2 2" xfId="2185" xr:uid="{00000000-0005-0000-0000-0000C9080000}"/>
    <cellStyle name="Normal 4 2 3 4 3" xfId="2186" xr:uid="{00000000-0005-0000-0000-0000CA080000}"/>
    <cellStyle name="Normal 4 2 3 5" xfId="2187" xr:uid="{00000000-0005-0000-0000-0000CB080000}"/>
    <cellStyle name="Normal 4 2 3 5 2" xfId="2188" xr:uid="{00000000-0005-0000-0000-0000CC080000}"/>
    <cellStyle name="Normal 4 2 3 5 2 2" xfId="2189" xr:uid="{00000000-0005-0000-0000-0000CD080000}"/>
    <cellStyle name="Normal 4 2 3 5 3" xfId="2190" xr:uid="{00000000-0005-0000-0000-0000CE080000}"/>
    <cellStyle name="Normal 4 2 3 6" xfId="2191" xr:uid="{00000000-0005-0000-0000-0000CF080000}"/>
    <cellStyle name="Normal 4 2 3 6 2" xfId="2192" xr:uid="{00000000-0005-0000-0000-0000D0080000}"/>
    <cellStyle name="Normal 4 2 3 7" xfId="2193" xr:uid="{00000000-0005-0000-0000-0000D1080000}"/>
    <cellStyle name="Normal 4 2 3 7 2" xfId="2194" xr:uid="{00000000-0005-0000-0000-0000D2080000}"/>
    <cellStyle name="Normal 4 2 3 8" xfId="2195" xr:uid="{00000000-0005-0000-0000-0000D3080000}"/>
    <cellStyle name="Normal 4 2 3 8 2" xfId="2196" xr:uid="{00000000-0005-0000-0000-0000D4080000}"/>
    <cellStyle name="Normal 4 2 3 9" xfId="2197" xr:uid="{00000000-0005-0000-0000-0000D5080000}"/>
    <cellStyle name="Normal 4 2 4" xfId="2198" xr:uid="{00000000-0005-0000-0000-0000D6080000}"/>
    <cellStyle name="Normal 4 2 4 2" xfId="2199" xr:uid="{00000000-0005-0000-0000-0000D7080000}"/>
    <cellStyle name="Normal 4 2 4 2 2" xfId="2200" xr:uid="{00000000-0005-0000-0000-0000D8080000}"/>
    <cellStyle name="Normal 4 2 4 2 2 2" xfId="2201" xr:uid="{00000000-0005-0000-0000-0000D9080000}"/>
    <cellStyle name="Normal 4 2 4 2 3" xfId="2202" xr:uid="{00000000-0005-0000-0000-0000DA080000}"/>
    <cellStyle name="Normal 4 2 4 3" xfId="2203" xr:uid="{00000000-0005-0000-0000-0000DB080000}"/>
    <cellStyle name="Normal 4 2 4 3 2" xfId="2204" xr:uid="{00000000-0005-0000-0000-0000DC080000}"/>
    <cellStyle name="Normal 4 2 4 3 2 2" xfId="2205" xr:uid="{00000000-0005-0000-0000-0000DD080000}"/>
    <cellStyle name="Normal 4 2 4 3 3" xfId="2206" xr:uid="{00000000-0005-0000-0000-0000DE080000}"/>
    <cellStyle name="Normal 4 2 4 4" xfId="2207" xr:uid="{00000000-0005-0000-0000-0000DF080000}"/>
    <cellStyle name="Normal 4 2 4 4 2" xfId="2208" xr:uid="{00000000-0005-0000-0000-0000E0080000}"/>
    <cellStyle name="Normal 4 2 4 4 2 2" xfId="2209" xr:uid="{00000000-0005-0000-0000-0000E1080000}"/>
    <cellStyle name="Normal 4 2 4 4 3" xfId="2210" xr:uid="{00000000-0005-0000-0000-0000E2080000}"/>
    <cellStyle name="Normal 4 2 4 5" xfId="2211" xr:uid="{00000000-0005-0000-0000-0000E3080000}"/>
    <cellStyle name="Normal 4 2 4 5 2" xfId="2212" xr:uid="{00000000-0005-0000-0000-0000E4080000}"/>
    <cellStyle name="Normal 4 2 4 5 2 2" xfId="2213" xr:uid="{00000000-0005-0000-0000-0000E5080000}"/>
    <cellStyle name="Normal 4 2 4 5 3" xfId="2214" xr:uid="{00000000-0005-0000-0000-0000E6080000}"/>
    <cellStyle name="Normal 4 2 4 6" xfId="2215" xr:uid="{00000000-0005-0000-0000-0000E7080000}"/>
    <cellStyle name="Normal 4 2 4 6 2" xfId="2216" xr:uid="{00000000-0005-0000-0000-0000E8080000}"/>
    <cellStyle name="Normal 4 2 4 7" xfId="2217" xr:uid="{00000000-0005-0000-0000-0000E9080000}"/>
    <cellStyle name="Normal 4 2 4 7 2" xfId="2218" xr:uid="{00000000-0005-0000-0000-0000EA080000}"/>
    <cellStyle name="Normal 4 2 4 8" xfId="2219" xr:uid="{00000000-0005-0000-0000-0000EB080000}"/>
    <cellStyle name="Normal 4 2 4 8 2" xfId="2220" xr:uid="{00000000-0005-0000-0000-0000EC080000}"/>
    <cellStyle name="Normal 4 2 4 9" xfId="2221" xr:uid="{00000000-0005-0000-0000-0000ED080000}"/>
    <cellStyle name="Normal 4 2 5" xfId="2222" xr:uid="{00000000-0005-0000-0000-0000EE080000}"/>
    <cellStyle name="Normal 4 2 5 2" xfId="2223" xr:uid="{00000000-0005-0000-0000-0000EF080000}"/>
    <cellStyle name="Normal 4 2 5 2 2" xfId="2224" xr:uid="{00000000-0005-0000-0000-0000F0080000}"/>
    <cellStyle name="Normal 4 2 5 3" xfId="2225" xr:uid="{00000000-0005-0000-0000-0000F1080000}"/>
    <cellStyle name="Normal 4 2 6" xfId="2226" xr:uid="{00000000-0005-0000-0000-0000F2080000}"/>
    <cellStyle name="Normal 4 2 6 2" xfId="2227" xr:uid="{00000000-0005-0000-0000-0000F3080000}"/>
    <cellStyle name="Normal 4 2 6 2 2" xfId="2228" xr:uid="{00000000-0005-0000-0000-0000F4080000}"/>
    <cellStyle name="Normal 4 2 6 3" xfId="2229" xr:uid="{00000000-0005-0000-0000-0000F5080000}"/>
    <cellStyle name="Normal 4 2 7" xfId="2230" xr:uid="{00000000-0005-0000-0000-0000F6080000}"/>
    <cellStyle name="Normal 4 2 7 2" xfId="2231" xr:uid="{00000000-0005-0000-0000-0000F7080000}"/>
    <cellStyle name="Normal 4 2 7 2 2" xfId="2232" xr:uid="{00000000-0005-0000-0000-0000F8080000}"/>
    <cellStyle name="Normal 4 2 7 3" xfId="2233" xr:uid="{00000000-0005-0000-0000-0000F9080000}"/>
    <cellStyle name="Normal 4 2 8" xfId="2234" xr:uid="{00000000-0005-0000-0000-0000FA080000}"/>
    <cellStyle name="Normal 4 2 8 2" xfId="2235" xr:uid="{00000000-0005-0000-0000-0000FB080000}"/>
    <cellStyle name="Normal 4 2 8 2 2" xfId="2236" xr:uid="{00000000-0005-0000-0000-0000FC080000}"/>
    <cellStyle name="Normal 4 2 8 3" xfId="2237" xr:uid="{00000000-0005-0000-0000-0000FD080000}"/>
    <cellStyle name="Normal 4 2 9" xfId="2238" xr:uid="{00000000-0005-0000-0000-0000FE080000}"/>
    <cellStyle name="Normal 4 2 9 2" xfId="2239" xr:uid="{00000000-0005-0000-0000-0000FF080000}"/>
    <cellStyle name="Normal 4 3" xfId="109" xr:uid="{00000000-0005-0000-0000-000000090000}"/>
    <cellStyle name="Normal 4 4" xfId="2240" xr:uid="{00000000-0005-0000-0000-000001090000}"/>
    <cellStyle name="Normal 4 4 2" xfId="2241" xr:uid="{00000000-0005-0000-0000-000002090000}"/>
    <cellStyle name="Normal 4 4 2 2" xfId="2242" xr:uid="{00000000-0005-0000-0000-000003090000}"/>
    <cellStyle name="Normal 4 4 2 2 2" xfId="2243" xr:uid="{00000000-0005-0000-0000-000004090000}"/>
    <cellStyle name="Normal 4 4 2 3" xfId="2244" xr:uid="{00000000-0005-0000-0000-000005090000}"/>
    <cellStyle name="Normal 4 4 3" xfId="2245" xr:uid="{00000000-0005-0000-0000-000006090000}"/>
    <cellStyle name="Normal 4 4 3 2" xfId="2246" xr:uid="{00000000-0005-0000-0000-000007090000}"/>
    <cellStyle name="Normal 4 4 3 2 2" xfId="2247" xr:uid="{00000000-0005-0000-0000-000008090000}"/>
    <cellStyle name="Normal 4 4 3 3" xfId="2248" xr:uid="{00000000-0005-0000-0000-000009090000}"/>
    <cellStyle name="Normal 4 4 4" xfId="2249" xr:uid="{00000000-0005-0000-0000-00000A090000}"/>
    <cellStyle name="Normal 4 4 4 2" xfId="2250" xr:uid="{00000000-0005-0000-0000-00000B090000}"/>
    <cellStyle name="Normal 4 4 4 2 2" xfId="2251" xr:uid="{00000000-0005-0000-0000-00000C090000}"/>
    <cellStyle name="Normal 4 4 4 3" xfId="2252" xr:uid="{00000000-0005-0000-0000-00000D090000}"/>
    <cellStyle name="Normal 4 4 5" xfId="2253" xr:uid="{00000000-0005-0000-0000-00000E090000}"/>
    <cellStyle name="Normal 4 4 5 2" xfId="2254" xr:uid="{00000000-0005-0000-0000-00000F090000}"/>
    <cellStyle name="Normal 4 4 5 2 2" xfId="2255" xr:uid="{00000000-0005-0000-0000-000010090000}"/>
    <cellStyle name="Normal 4 4 5 3" xfId="2256" xr:uid="{00000000-0005-0000-0000-000011090000}"/>
    <cellStyle name="Normal 4 4 6" xfId="2257" xr:uid="{00000000-0005-0000-0000-000012090000}"/>
    <cellStyle name="Normal 4 4 6 2" xfId="2258" xr:uid="{00000000-0005-0000-0000-000013090000}"/>
    <cellStyle name="Normal 4 4 7" xfId="2259" xr:uid="{00000000-0005-0000-0000-000014090000}"/>
    <cellStyle name="Normal 4 4 7 2" xfId="2260" xr:uid="{00000000-0005-0000-0000-000015090000}"/>
    <cellStyle name="Normal 4 4 8" xfId="2261" xr:uid="{00000000-0005-0000-0000-000016090000}"/>
    <cellStyle name="Normal 4 4 8 2" xfId="2262" xr:uid="{00000000-0005-0000-0000-000017090000}"/>
    <cellStyle name="Normal 4 4 9" xfId="2263" xr:uid="{00000000-0005-0000-0000-000018090000}"/>
    <cellStyle name="Normal 4 5" xfId="2264" xr:uid="{00000000-0005-0000-0000-000019090000}"/>
    <cellStyle name="Normal 4 5 2" xfId="2265" xr:uid="{00000000-0005-0000-0000-00001A090000}"/>
    <cellStyle name="Normal 4 5 2 2" xfId="2266" xr:uid="{00000000-0005-0000-0000-00001B090000}"/>
    <cellStyle name="Normal 4 5 2 2 2" xfId="2267" xr:uid="{00000000-0005-0000-0000-00001C090000}"/>
    <cellStyle name="Normal 4 5 2 3" xfId="2268" xr:uid="{00000000-0005-0000-0000-00001D090000}"/>
    <cellStyle name="Normal 4 5 3" xfId="2269" xr:uid="{00000000-0005-0000-0000-00001E090000}"/>
    <cellStyle name="Normal 4 5 3 2" xfId="2270" xr:uid="{00000000-0005-0000-0000-00001F090000}"/>
    <cellStyle name="Normal 4 5 3 2 2" xfId="2271" xr:uid="{00000000-0005-0000-0000-000020090000}"/>
    <cellStyle name="Normal 4 5 3 3" xfId="2272" xr:uid="{00000000-0005-0000-0000-000021090000}"/>
    <cellStyle name="Normal 4 5 4" xfId="2273" xr:uid="{00000000-0005-0000-0000-000022090000}"/>
    <cellStyle name="Normal 4 5 4 2" xfId="2274" xr:uid="{00000000-0005-0000-0000-000023090000}"/>
    <cellStyle name="Normal 4 5 4 2 2" xfId="2275" xr:uid="{00000000-0005-0000-0000-000024090000}"/>
    <cellStyle name="Normal 4 5 4 3" xfId="2276" xr:uid="{00000000-0005-0000-0000-000025090000}"/>
    <cellStyle name="Normal 4 5 5" xfId="2277" xr:uid="{00000000-0005-0000-0000-000026090000}"/>
    <cellStyle name="Normal 4 5 5 2" xfId="2278" xr:uid="{00000000-0005-0000-0000-000027090000}"/>
    <cellStyle name="Normal 4 5 5 2 2" xfId="2279" xr:uid="{00000000-0005-0000-0000-000028090000}"/>
    <cellStyle name="Normal 4 5 5 3" xfId="2280" xr:uid="{00000000-0005-0000-0000-000029090000}"/>
    <cellStyle name="Normal 4 5 6" xfId="2281" xr:uid="{00000000-0005-0000-0000-00002A090000}"/>
    <cellStyle name="Normal 4 5 6 2" xfId="2282" xr:uid="{00000000-0005-0000-0000-00002B090000}"/>
    <cellStyle name="Normal 4 5 7" xfId="2283" xr:uid="{00000000-0005-0000-0000-00002C090000}"/>
    <cellStyle name="Normal 4 5 7 2" xfId="2284" xr:uid="{00000000-0005-0000-0000-00002D090000}"/>
    <cellStyle name="Normal 4 5 8" xfId="2285" xr:uid="{00000000-0005-0000-0000-00002E090000}"/>
    <cellStyle name="Normal 4 5 8 2" xfId="2286" xr:uid="{00000000-0005-0000-0000-00002F090000}"/>
    <cellStyle name="Normal 4 5 9" xfId="2287" xr:uid="{00000000-0005-0000-0000-000030090000}"/>
    <cellStyle name="Normal 4 6" xfId="2288" xr:uid="{00000000-0005-0000-0000-000031090000}"/>
    <cellStyle name="Normal 4 6 2" xfId="2289" xr:uid="{00000000-0005-0000-0000-000032090000}"/>
    <cellStyle name="Normal 4 6 2 2" xfId="2290" xr:uid="{00000000-0005-0000-0000-000033090000}"/>
    <cellStyle name="Normal 4 6 3" xfId="2291" xr:uid="{00000000-0005-0000-0000-000034090000}"/>
    <cellStyle name="Normal 4 7" xfId="2292" xr:uid="{00000000-0005-0000-0000-000035090000}"/>
    <cellStyle name="Normal 4 7 2" xfId="2293" xr:uid="{00000000-0005-0000-0000-000036090000}"/>
    <cellStyle name="Normal 4 7 2 2" xfId="2294" xr:uid="{00000000-0005-0000-0000-000037090000}"/>
    <cellStyle name="Normal 4 7 3" xfId="2295" xr:uid="{00000000-0005-0000-0000-000038090000}"/>
    <cellStyle name="Normal 4 8" xfId="2296" xr:uid="{00000000-0005-0000-0000-000039090000}"/>
    <cellStyle name="Normal 4 8 2" xfId="2297" xr:uid="{00000000-0005-0000-0000-00003A090000}"/>
    <cellStyle name="Normal 4 8 2 2" xfId="2298" xr:uid="{00000000-0005-0000-0000-00003B090000}"/>
    <cellStyle name="Normal 4 8 3" xfId="2299" xr:uid="{00000000-0005-0000-0000-00003C090000}"/>
    <cellStyle name="Normal 4 9" xfId="2300" xr:uid="{00000000-0005-0000-0000-00003D090000}"/>
    <cellStyle name="Normal 4 9 2" xfId="2301" xr:uid="{00000000-0005-0000-0000-00003E090000}"/>
    <cellStyle name="Normal 4 9 2 2" xfId="2302" xr:uid="{00000000-0005-0000-0000-00003F090000}"/>
    <cellStyle name="Normal 4 9 3" xfId="2303" xr:uid="{00000000-0005-0000-0000-000040090000}"/>
    <cellStyle name="Normal 40" xfId="26" xr:uid="{00000000-0005-0000-0000-000041090000}"/>
    <cellStyle name="Normal 41" xfId="28" xr:uid="{00000000-0005-0000-0000-000042090000}"/>
    <cellStyle name="Normal 42" xfId="20" xr:uid="{00000000-0005-0000-0000-000043090000}"/>
    <cellStyle name="Normal 43" xfId="29" xr:uid="{00000000-0005-0000-0000-000044090000}"/>
    <cellStyle name="Normal 5" xfId="5" xr:uid="{00000000-0005-0000-0000-000045090000}"/>
    <cellStyle name="Normal 5 10" xfId="2304" xr:uid="{00000000-0005-0000-0000-000046090000}"/>
    <cellStyle name="Normal 5 10 2" xfId="2305" xr:uid="{00000000-0005-0000-0000-000047090000}"/>
    <cellStyle name="Normal 5 11" xfId="2306" xr:uid="{00000000-0005-0000-0000-000048090000}"/>
    <cellStyle name="Normal 5 11 2" xfId="2307" xr:uid="{00000000-0005-0000-0000-000049090000}"/>
    <cellStyle name="Normal 5 12" xfId="2308" xr:uid="{00000000-0005-0000-0000-00004A090000}"/>
    <cellStyle name="Normal 5 12 2" xfId="2309" xr:uid="{00000000-0005-0000-0000-00004B090000}"/>
    <cellStyle name="Normal 5 13" xfId="2310" xr:uid="{00000000-0005-0000-0000-00004C090000}"/>
    <cellStyle name="Normal 5 2" xfId="38" xr:uid="{00000000-0005-0000-0000-00004D090000}"/>
    <cellStyle name="Normal 5 2 10" xfId="2312" xr:uid="{00000000-0005-0000-0000-00004E090000}"/>
    <cellStyle name="Normal 5 2 10 2" xfId="2313" xr:uid="{00000000-0005-0000-0000-00004F090000}"/>
    <cellStyle name="Normal 5 2 11" xfId="2314" xr:uid="{00000000-0005-0000-0000-000050090000}"/>
    <cellStyle name="Normal 5 2 11 2" xfId="2315" xr:uid="{00000000-0005-0000-0000-000051090000}"/>
    <cellStyle name="Normal 5 2 12" xfId="2316" xr:uid="{00000000-0005-0000-0000-000052090000}"/>
    <cellStyle name="Normal 5 2 13" xfId="2311" xr:uid="{00000000-0005-0000-0000-000053090000}"/>
    <cellStyle name="Normal 5 2 2" xfId="2317" xr:uid="{00000000-0005-0000-0000-000054090000}"/>
    <cellStyle name="Normal 5 2 2 2" xfId="2318" xr:uid="{00000000-0005-0000-0000-000055090000}"/>
    <cellStyle name="Normal 5 2 2 2 2" xfId="2319" xr:uid="{00000000-0005-0000-0000-000056090000}"/>
    <cellStyle name="Normal 5 2 2 2 2 2" xfId="2320" xr:uid="{00000000-0005-0000-0000-000057090000}"/>
    <cellStyle name="Normal 5 2 2 2 3" xfId="2321" xr:uid="{00000000-0005-0000-0000-000058090000}"/>
    <cellStyle name="Normal 5 2 2 3" xfId="2322" xr:uid="{00000000-0005-0000-0000-000059090000}"/>
    <cellStyle name="Normal 5 2 2 3 2" xfId="2323" xr:uid="{00000000-0005-0000-0000-00005A090000}"/>
    <cellStyle name="Normal 5 2 2 3 2 2" xfId="2324" xr:uid="{00000000-0005-0000-0000-00005B090000}"/>
    <cellStyle name="Normal 5 2 2 3 3" xfId="2325" xr:uid="{00000000-0005-0000-0000-00005C090000}"/>
    <cellStyle name="Normal 5 2 2 4" xfId="2326" xr:uid="{00000000-0005-0000-0000-00005D090000}"/>
    <cellStyle name="Normal 5 2 2 4 2" xfId="2327" xr:uid="{00000000-0005-0000-0000-00005E090000}"/>
    <cellStyle name="Normal 5 2 2 4 2 2" xfId="2328" xr:uid="{00000000-0005-0000-0000-00005F090000}"/>
    <cellStyle name="Normal 5 2 2 4 3" xfId="2329" xr:uid="{00000000-0005-0000-0000-000060090000}"/>
    <cellStyle name="Normal 5 2 2 5" xfId="2330" xr:uid="{00000000-0005-0000-0000-000061090000}"/>
    <cellStyle name="Normal 5 2 2 5 2" xfId="2331" xr:uid="{00000000-0005-0000-0000-000062090000}"/>
    <cellStyle name="Normal 5 2 2 5 2 2" xfId="2332" xr:uid="{00000000-0005-0000-0000-000063090000}"/>
    <cellStyle name="Normal 5 2 2 5 3" xfId="2333" xr:uid="{00000000-0005-0000-0000-000064090000}"/>
    <cellStyle name="Normal 5 2 2 6" xfId="2334" xr:uid="{00000000-0005-0000-0000-000065090000}"/>
    <cellStyle name="Normal 5 2 2 6 2" xfId="2335" xr:uid="{00000000-0005-0000-0000-000066090000}"/>
    <cellStyle name="Normal 5 2 2 7" xfId="2336" xr:uid="{00000000-0005-0000-0000-000067090000}"/>
    <cellStyle name="Normal 5 2 2 7 2" xfId="2337" xr:uid="{00000000-0005-0000-0000-000068090000}"/>
    <cellStyle name="Normal 5 2 2 8" xfId="2338" xr:uid="{00000000-0005-0000-0000-000069090000}"/>
    <cellStyle name="Normal 5 2 2 8 2" xfId="2339" xr:uid="{00000000-0005-0000-0000-00006A090000}"/>
    <cellStyle name="Normal 5 2 2 9" xfId="2340" xr:uid="{00000000-0005-0000-0000-00006B090000}"/>
    <cellStyle name="Normal 5 2 3" xfId="2341" xr:uid="{00000000-0005-0000-0000-00006C090000}"/>
    <cellStyle name="Normal 5 2 3 2" xfId="2342" xr:uid="{00000000-0005-0000-0000-00006D090000}"/>
    <cellStyle name="Normal 5 2 3 2 2" xfId="2343" xr:uid="{00000000-0005-0000-0000-00006E090000}"/>
    <cellStyle name="Normal 5 2 3 2 2 2" xfId="2344" xr:uid="{00000000-0005-0000-0000-00006F090000}"/>
    <cellStyle name="Normal 5 2 3 2 3" xfId="2345" xr:uid="{00000000-0005-0000-0000-000070090000}"/>
    <cellStyle name="Normal 5 2 3 3" xfId="2346" xr:uid="{00000000-0005-0000-0000-000071090000}"/>
    <cellStyle name="Normal 5 2 3 3 2" xfId="2347" xr:uid="{00000000-0005-0000-0000-000072090000}"/>
    <cellStyle name="Normal 5 2 3 3 2 2" xfId="2348" xr:uid="{00000000-0005-0000-0000-000073090000}"/>
    <cellStyle name="Normal 5 2 3 3 3" xfId="2349" xr:uid="{00000000-0005-0000-0000-000074090000}"/>
    <cellStyle name="Normal 5 2 3 4" xfId="2350" xr:uid="{00000000-0005-0000-0000-000075090000}"/>
    <cellStyle name="Normal 5 2 3 4 2" xfId="2351" xr:uid="{00000000-0005-0000-0000-000076090000}"/>
    <cellStyle name="Normal 5 2 3 4 2 2" xfId="2352" xr:uid="{00000000-0005-0000-0000-000077090000}"/>
    <cellStyle name="Normal 5 2 3 4 3" xfId="2353" xr:uid="{00000000-0005-0000-0000-000078090000}"/>
    <cellStyle name="Normal 5 2 3 5" xfId="2354" xr:uid="{00000000-0005-0000-0000-000079090000}"/>
    <cellStyle name="Normal 5 2 3 5 2" xfId="2355" xr:uid="{00000000-0005-0000-0000-00007A090000}"/>
    <cellStyle name="Normal 5 2 3 5 2 2" xfId="2356" xr:uid="{00000000-0005-0000-0000-00007B090000}"/>
    <cellStyle name="Normal 5 2 3 5 3" xfId="2357" xr:uid="{00000000-0005-0000-0000-00007C090000}"/>
    <cellStyle name="Normal 5 2 3 6" xfId="2358" xr:uid="{00000000-0005-0000-0000-00007D090000}"/>
    <cellStyle name="Normal 5 2 3 6 2" xfId="2359" xr:uid="{00000000-0005-0000-0000-00007E090000}"/>
    <cellStyle name="Normal 5 2 3 7" xfId="2360" xr:uid="{00000000-0005-0000-0000-00007F090000}"/>
    <cellStyle name="Normal 5 2 3 7 2" xfId="2361" xr:uid="{00000000-0005-0000-0000-000080090000}"/>
    <cellStyle name="Normal 5 2 3 8" xfId="2362" xr:uid="{00000000-0005-0000-0000-000081090000}"/>
    <cellStyle name="Normal 5 2 3 8 2" xfId="2363" xr:uid="{00000000-0005-0000-0000-000082090000}"/>
    <cellStyle name="Normal 5 2 3 9" xfId="2364" xr:uid="{00000000-0005-0000-0000-000083090000}"/>
    <cellStyle name="Normal 5 2 4" xfId="2365" xr:uid="{00000000-0005-0000-0000-000084090000}"/>
    <cellStyle name="Normal 5 2 4 2" xfId="2366" xr:uid="{00000000-0005-0000-0000-000085090000}"/>
    <cellStyle name="Normal 5 2 4 2 2" xfId="2367" xr:uid="{00000000-0005-0000-0000-000086090000}"/>
    <cellStyle name="Normal 5 2 4 2 2 2" xfId="2368" xr:uid="{00000000-0005-0000-0000-000087090000}"/>
    <cellStyle name="Normal 5 2 4 2 3" xfId="2369" xr:uid="{00000000-0005-0000-0000-000088090000}"/>
    <cellStyle name="Normal 5 2 4 3" xfId="2370" xr:uid="{00000000-0005-0000-0000-000089090000}"/>
    <cellStyle name="Normal 5 2 4 3 2" xfId="2371" xr:uid="{00000000-0005-0000-0000-00008A090000}"/>
    <cellStyle name="Normal 5 2 4 3 2 2" xfId="2372" xr:uid="{00000000-0005-0000-0000-00008B090000}"/>
    <cellStyle name="Normal 5 2 4 3 3" xfId="2373" xr:uid="{00000000-0005-0000-0000-00008C090000}"/>
    <cellStyle name="Normal 5 2 4 4" xfId="2374" xr:uid="{00000000-0005-0000-0000-00008D090000}"/>
    <cellStyle name="Normal 5 2 4 4 2" xfId="2375" xr:uid="{00000000-0005-0000-0000-00008E090000}"/>
    <cellStyle name="Normal 5 2 4 4 2 2" xfId="2376" xr:uid="{00000000-0005-0000-0000-00008F090000}"/>
    <cellStyle name="Normal 5 2 4 4 3" xfId="2377" xr:uid="{00000000-0005-0000-0000-000090090000}"/>
    <cellStyle name="Normal 5 2 4 5" xfId="2378" xr:uid="{00000000-0005-0000-0000-000091090000}"/>
    <cellStyle name="Normal 5 2 4 5 2" xfId="2379" xr:uid="{00000000-0005-0000-0000-000092090000}"/>
    <cellStyle name="Normal 5 2 4 5 2 2" xfId="2380" xr:uid="{00000000-0005-0000-0000-000093090000}"/>
    <cellStyle name="Normal 5 2 4 5 3" xfId="2381" xr:uid="{00000000-0005-0000-0000-000094090000}"/>
    <cellStyle name="Normal 5 2 4 6" xfId="2382" xr:uid="{00000000-0005-0000-0000-000095090000}"/>
    <cellStyle name="Normal 5 2 4 6 2" xfId="2383" xr:uid="{00000000-0005-0000-0000-000096090000}"/>
    <cellStyle name="Normal 5 2 4 7" xfId="2384" xr:uid="{00000000-0005-0000-0000-000097090000}"/>
    <cellStyle name="Normal 5 2 4 7 2" xfId="2385" xr:uid="{00000000-0005-0000-0000-000098090000}"/>
    <cellStyle name="Normal 5 2 4 8" xfId="2386" xr:uid="{00000000-0005-0000-0000-000099090000}"/>
    <cellStyle name="Normal 5 2 4 8 2" xfId="2387" xr:uid="{00000000-0005-0000-0000-00009A090000}"/>
    <cellStyle name="Normal 5 2 4 9" xfId="2388" xr:uid="{00000000-0005-0000-0000-00009B090000}"/>
    <cellStyle name="Normal 5 2 5" xfId="2389" xr:uid="{00000000-0005-0000-0000-00009C090000}"/>
    <cellStyle name="Normal 5 2 5 2" xfId="2390" xr:uid="{00000000-0005-0000-0000-00009D090000}"/>
    <cellStyle name="Normal 5 2 5 2 2" xfId="2391" xr:uid="{00000000-0005-0000-0000-00009E090000}"/>
    <cellStyle name="Normal 5 2 5 3" xfId="2392" xr:uid="{00000000-0005-0000-0000-00009F090000}"/>
    <cellStyle name="Normal 5 2 6" xfId="2393" xr:uid="{00000000-0005-0000-0000-0000A0090000}"/>
    <cellStyle name="Normal 5 2 6 2" xfId="2394" xr:uid="{00000000-0005-0000-0000-0000A1090000}"/>
    <cellStyle name="Normal 5 2 6 2 2" xfId="2395" xr:uid="{00000000-0005-0000-0000-0000A2090000}"/>
    <cellStyle name="Normal 5 2 6 3" xfId="2396" xr:uid="{00000000-0005-0000-0000-0000A3090000}"/>
    <cellStyle name="Normal 5 2 7" xfId="2397" xr:uid="{00000000-0005-0000-0000-0000A4090000}"/>
    <cellStyle name="Normal 5 2 7 2" xfId="2398" xr:uid="{00000000-0005-0000-0000-0000A5090000}"/>
    <cellStyle name="Normal 5 2 7 2 2" xfId="2399" xr:uid="{00000000-0005-0000-0000-0000A6090000}"/>
    <cellStyle name="Normal 5 2 7 3" xfId="2400" xr:uid="{00000000-0005-0000-0000-0000A7090000}"/>
    <cellStyle name="Normal 5 2 8" xfId="2401" xr:uid="{00000000-0005-0000-0000-0000A8090000}"/>
    <cellStyle name="Normal 5 2 8 2" xfId="2402" xr:uid="{00000000-0005-0000-0000-0000A9090000}"/>
    <cellStyle name="Normal 5 2 8 2 2" xfId="2403" xr:uid="{00000000-0005-0000-0000-0000AA090000}"/>
    <cellStyle name="Normal 5 2 8 3" xfId="2404" xr:uid="{00000000-0005-0000-0000-0000AB090000}"/>
    <cellStyle name="Normal 5 2 9" xfId="2405" xr:uid="{00000000-0005-0000-0000-0000AC090000}"/>
    <cellStyle name="Normal 5 2 9 2" xfId="2406" xr:uid="{00000000-0005-0000-0000-0000AD090000}"/>
    <cellStyle name="Normal 5 3" xfId="37" xr:uid="{00000000-0005-0000-0000-0000AE090000}"/>
    <cellStyle name="Normal 5 3 2" xfId="2407" xr:uid="{00000000-0005-0000-0000-0000AF090000}"/>
    <cellStyle name="Normal 5 4" xfId="41" xr:uid="{00000000-0005-0000-0000-0000B0090000}"/>
    <cellStyle name="Normal 5 4 2" xfId="2408" xr:uid="{00000000-0005-0000-0000-0000B1090000}"/>
    <cellStyle name="Normal 5 4 2 2" xfId="2409" xr:uid="{00000000-0005-0000-0000-0000B2090000}"/>
    <cellStyle name="Normal 5 4 2 2 2" xfId="2410" xr:uid="{00000000-0005-0000-0000-0000B3090000}"/>
    <cellStyle name="Normal 5 4 2 3" xfId="2411" xr:uid="{00000000-0005-0000-0000-0000B4090000}"/>
    <cellStyle name="Normal 5 4 3" xfId="2412" xr:uid="{00000000-0005-0000-0000-0000B5090000}"/>
    <cellStyle name="Normal 5 4 3 2" xfId="2413" xr:uid="{00000000-0005-0000-0000-0000B6090000}"/>
    <cellStyle name="Normal 5 4 3 2 2" xfId="2414" xr:uid="{00000000-0005-0000-0000-0000B7090000}"/>
    <cellStyle name="Normal 5 4 3 3" xfId="2415" xr:uid="{00000000-0005-0000-0000-0000B8090000}"/>
    <cellStyle name="Normal 5 4 4" xfId="2416" xr:uid="{00000000-0005-0000-0000-0000B9090000}"/>
    <cellStyle name="Normal 5 4 4 2" xfId="2417" xr:uid="{00000000-0005-0000-0000-0000BA090000}"/>
    <cellStyle name="Normal 5 4 4 2 2" xfId="2418" xr:uid="{00000000-0005-0000-0000-0000BB090000}"/>
    <cellStyle name="Normal 5 4 4 3" xfId="2419" xr:uid="{00000000-0005-0000-0000-0000BC090000}"/>
    <cellStyle name="Normal 5 4 5" xfId="2420" xr:uid="{00000000-0005-0000-0000-0000BD090000}"/>
    <cellStyle name="Normal 5 4 5 2" xfId="2421" xr:uid="{00000000-0005-0000-0000-0000BE090000}"/>
    <cellStyle name="Normal 5 4 5 2 2" xfId="2422" xr:uid="{00000000-0005-0000-0000-0000BF090000}"/>
    <cellStyle name="Normal 5 4 5 3" xfId="2423" xr:uid="{00000000-0005-0000-0000-0000C0090000}"/>
    <cellStyle name="Normal 5 4 6" xfId="2424" xr:uid="{00000000-0005-0000-0000-0000C1090000}"/>
    <cellStyle name="Normal 5 4 6 2" xfId="2425" xr:uid="{00000000-0005-0000-0000-0000C2090000}"/>
    <cellStyle name="Normal 5 4 7" xfId="2426" xr:uid="{00000000-0005-0000-0000-0000C3090000}"/>
    <cellStyle name="Normal 5 4 7 2" xfId="2427" xr:uid="{00000000-0005-0000-0000-0000C4090000}"/>
    <cellStyle name="Normal 5 4 8" xfId="2428" xr:uid="{00000000-0005-0000-0000-0000C5090000}"/>
    <cellStyle name="Normal 5 4 8 2" xfId="2429" xr:uid="{00000000-0005-0000-0000-0000C6090000}"/>
    <cellStyle name="Normal 5 4 9" xfId="2430" xr:uid="{00000000-0005-0000-0000-0000C7090000}"/>
    <cellStyle name="Normal 5 5" xfId="49" xr:uid="{00000000-0005-0000-0000-0000C8090000}"/>
    <cellStyle name="Normal 5 5 2" xfId="2431" xr:uid="{00000000-0005-0000-0000-0000C9090000}"/>
    <cellStyle name="Normal 5 5 2 2" xfId="2432" xr:uid="{00000000-0005-0000-0000-0000CA090000}"/>
    <cellStyle name="Normal 5 5 2 2 2" xfId="2433" xr:uid="{00000000-0005-0000-0000-0000CB090000}"/>
    <cellStyle name="Normal 5 5 2 3" xfId="2434" xr:uid="{00000000-0005-0000-0000-0000CC090000}"/>
    <cellStyle name="Normal 5 5 3" xfId="2435" xr:uid="{00000000-0005-0000-0000-0000CD090000}"/>
    <cellStyle name="Normal 5 5 3 2" xfId="2436" xr:uid="{00000000-0005-0000-0000-0000CE090000}"/>
    <cellStyle name="Normal 5 5 3 2 2" xfId="2437" xr:uid="{00000000-0005-0000-0000-0000CF090000}"/>
    <cellStyle name="Normal 5 5 3 3" xfId="2438" xr:uid="{00000000-0005-0000-0000-0000D0090000}"/>
    <cellStyle name="Normal 5 5 4" xfId="2439" xr:uid="{00000000-0005-0000-0000-0000D1090000}"/>
    <cellStyle name="Normal 5 5 4 2" xfId="2440" xr:uid="{00000000-0005-0000-0000-0000D2090000}"/>
    <cellStyle name="Normal 5 5 4 2 2" xfId="2441" xr:uid="{00000000-0005-0000-0000-0000D3090000}"/>
    <cellStyle name="Normal 5 5 4 3" xfId="2442" xr:uid="{00000000-0005-0000-0000-0000D4090000}"/>
    <cellStyle name="Normal 5 5 5" xfId="2443" xr:uid="{00000000-0005-0000-0000-0000D5090000}"/>
    <cellStyle name="Normal 5 5 5 2" xfId="2444" xr:uid="{00000000-0005-0000-0000-0000D6090000}"/>
    <cellStyle name="Normal 5 5 5 2 2" xfId="2445" xr:uid="{00000000-0005-0000-0000-0000D7090000}"/>
    <cellStyle name="Normal 5 5 5 3" xfId="2446" xr:uid="{00000000-0005-0000-0000-0000D8090000}"/>
    <cellStyle name="Normal 5 5 6" xfId="2447" xr:uid="{00000000-0005-0000-0000-0000D9090000}"/>
    <cellStyle name="Normal 5 5 6 2" xfId="2448" xr:uid="{00000000-0005-0000-0000-0000DA090000}"/>
    <cellStyle name="Normal 5 5 7" xfId="2449" xr:uid="{00000000-0005-0000-0000-0000DB090000}"/>
    <cellStyle name="Normal 5 5 7 2" xfId="2450" xr:uid="{00000000-0005-0000-0000-0000DC090000}"/>
    <cellStyle name="Normal 5 5 8" xfId="2451" xr:uid="{00000000-0005-0000-0000-0000DD090000}"/>
    <cellStyle name="Normal 5 5 8 2" xfId="2452" xr:uid="{00000000-0005-0000-0000-0000DE090000}"/>
    <cellStyle name="Normal 5 5 9" xfId="2453" xr:uid="{00000000-0005-0000-0000-0000DF090000}"/>
    <cellStyle name="Normal 5 6" xfId="54" xr:uid="{00000000-0005-0000-0000-0000E0090000}"/>
    <cellStyle name="Normal 5 6 2" xfId="2454" xr:uid="{00000000-0005-0000-0000-0000E1090000}"/>
    <cellStyle name="Normal 5 6 2 2" xfId="2455" xr:uid="{00000000-0005-0000-0000-0000E2090000}"/>
    <cellStyle name="Normal 5 6 3" xfId="2456" xr:uid="{00000000-0005-0000-0000-0000E3090000}"/>
    <cellStyle name="Normal 5 7" xfId="2457" xr:uid="{00000000-0005-0000-0000-0000E4090000}"/>
    <cellStyle name="Normal 5 7 2" xfId="2458" xr:uid="{00000000-0005-0000-0000-0000E5090000}"/>
    <cellStyle name="Normal 5 7 2 2" xfId="2459" xr:uid="{00000000-0005-0000-0000-0000E6090000}"/>
    <cellStyle name="Normal 5 7 3" xfId="2460" xr:uid="{00000000-0005-0000-0000-0000E7090000}"/>
    <cellStyle name="Normal 5 8" xfId="2461" xr:uid="{00000000-0005-0000-0000-0000E8090000}"/>
    <cellStyle name="Normal 5 8 2" xfId="2462" xr:uid="{00000000-0005-0000-0000-0000E9090000}"/>
    <cellStyle name="Normal 5 8 2 2" xfId="2463" xr:uid="{00000000-0005-0000-0000-0000EA090000}"/>
    <cellStyle name="Normal 5 8 3" xfId="2464" xr:uid="{00000000-0005-0000-0000-0000EB090000}"/>
    <cellStyle name="Normal 5 9" xfId="2465" xr:uid="{00000000-0005-0000-0000-0000EC090000}"/>
    <cellStyle name="Normal 5 9 2" xfId="2466" xr:uid="{00000000-0005-0000-0000-0000ED090000}"/>
    <cellStyle name="Normal 5 9 2 2" xfId="2467" xr:uid="{00000000-0005-0000-0000-0000EE090000}"/>
    <cellStyle name="Normal 5 9 3" xfId="2468" xr:uid="{00000000-0005-0000-0000-0000EF090000}"/>
    <cellStyle name="Normal 6" xfId="6" xr:uid="{00000000-0005-0000-0000-0000F0090000}"/>
    <cellStyle name="Normal 6 10" xfId="2469" xr:uid="{00000000-0005-0000-0000-0000F1090000}"/>
    <cellStyle name="Normal 6 10 2" xfId="2470" xr:uid="{00000000-0005-0000-0000-0000F2090000}"/>
    <cellStyle name="Normal 6 11" xfId="2471" xr:uid="{00000000-0005-0000-0000-0000F3090000}"/>
    <cellStyle name="Normal 6 11 2" xfId="2472" xr:uid="{00000000-0005-0000-0000-0000F4090000}"/>
    <cellStyle name="Normal 6 12" xfId="2473" xr:uid="{00000000-0005-0000-0000-0000F5090000}"/>
    <cellStyle name="Normal 6 12 2" xfId="2474" xr:uid="{00000000-0005-0000-0000-0000F6090000}"/>
    <cellStyle name="Normal 6 13" xfId="2475" xr:uid="{00000000-0005-0000-0000-0000F7090000}"/>
    <cellStyle name="Normal 6 14" xfId="120" xr:uid="{00000000-0005-0000-0000-0000F8090000}"/>
    <cellStyle name="Normal 6 2" xfId="32" xr:uid="{00000000-0005-0000-0000-0000F9090000}"/>
    <cellStyle name="Normal 6 2 10" xfId="2476" xr:uid="{00000000-0005-0000-0000-0000FA090000}"/>
    <cellStyle name="Normal 6 2 10 2" xfId="2477" xr:uid="{00000000-0005-0000-0000-0000FB090000}"/>
    <cellStyle name="Normal 6 2 11" xfId="2478" xr:uid="{00000000-0005-0000-0000-0000FC090000}"/>
    <cellStyle name="Normal 6 2 2" xfId="2479" xr:uid="{00000000-0005-0000-0000-0000FD090000}"/>
    <cellStyle name="Normal 6 2 2 2" xfId="2480" xr:uid="{00000000-0005-0000-0000-0000FE090000}"/>
    <cellStyle name="Normal 6 2 2 2 2" xfId="2481" xr:uid="{00000000-0005-0000-0000-0000FF090000}"/>
    <cellStyle name="Normal 6 2 2 2 2 2" xfId="2482" xr:uid="{00000000-0005-0000-0000-0000000A0000}"/>
    <cellStyle name="Normal 6 2 2 2 3" xfId="2483" xr:uid="{00000000-0005-0000-0000-0000010A0000}"/>
    <cellStyle name="Normal 6 2 2 3" xfId="2484" xr:uid="{00000000-0005-0000-0000-0000020A0000}"/>
    <cellStyle name="Normal 6 2 2 3 2" xfId="2485" xr:uid="{00000000-0005-0000-0000-0000030A0000}"/>
    <cellStyle name="Normal 6 2 2 3 2 2" xfId="2486" xr:uid="{00000000-0005-0000-0000-0000040A0000}"/>
    <cellStyle name="Normal 6 2 2 3 3" xfId="2487" xr:uid="{00000000-0005-0000-0000-0000050A0000}"/>
    <cellStyle name="Normal 6 2 2 4" xfId="2488" xr:uid="{00000000-0005-0000-0000-0000060A0000}"/>
    <cellStyle name="Normal 6 2 2 4 2" xfId="2489" xr:uid="{00000000-0005-0000-0000-0000070A0000}"/>
    <cellStyle name="Normal 6 2 2 4 2 2" xfId="2490" xr:uid="{00000000-0005-0000-0000-0000080A0000}"/>
    <cellStyle name="Normal 6 2 2 4 3" xfId="2491" xr:uid="{00000000-0005-0000-0000-0000090A0000}"/>
    <cellStyle name="Normal 6 2 2 5" xfId="2492" xr:uid="{00000000-0005-0000-0000-00000A0A0000}"/>
    <cellStyle name="Normal 6 2 2 5 2" xfId="2493" xr:uid="{00000000-0005-0000-0000-00000B0A0000}"/>
    <cellStyle name="Normal 6 2 2 5 2 2" xfId="2494" xr:uid="{00000000-0005-0000-0000-00000C0A0000}"/>
    <cellStyle name="Normal 6 2 2 5 3" xfId="2495" xr:uid="{00000000-0005-0000-0000-00000D0A0000}"/>
    <cellStyle name="Normal 6 2 2 6" xfId="2496" xr:uid="{00000000-0005-0000-0000-00000E0A0000}"/>
    <cellStyle name="Normal 6 2 2 6 2" xfId="2497" xr:uid="{00000000-0005-0000-0000-00000F0A0000}"/>
    <cellStyle name="Normal 6 2 2 7" xfId="2498" xr:uid="{00000000-0005-0000-0000-0000100A0000}"/>
    <cellStyle name="Normal 6 2 2 7 2" xfId="2499" xr:uid="{00000000-0005-0000-0000-0000110A0000}"/>
    <cellStyle name="Normal 6 2 2 8" xfId="2500" xr:uid="{00000000-0005-0000-0000-0000120A0000}"/>
    <cellStyle name="Normal 6 2 2 8 2" xfId="2501" xr:uid="{00000000-0005-0000-0000-0000130A0000}"/>
    <cellStyle name="Normal 6 2 2 9" xfId="2502" xr:uid="{00000000-0005-0000-0000-0000140A0000}"/>
    <cellStyle name="Normal 6 2 3" xfId="2503" xr:uid="{00000000-0005-0000-0000-0000150A0000}"/>
    <cellStyle name="Normal 6 2 3 2" xfId="2504" xr:uid="{00000000-0005-0000-0000-0000160A0000}"/>
    <cellStyle name="Normal 6 2 3 2 2" xfId="2505" xr:uid="{00000000-0005-0000-0000-0000170A0000}"/>
    <cellStyle name="Normal 6 2 3 2 2 2" xfId="2506" xr:uid="{00000000-0005-0000-0000-0000180A0000}"/>
    <cellStyle name="Normal 6 2 3 2 3" xfId="2507" xr:uid="{00000000-0005-0000-0000-0000190A0000}"/>
    <cellStyle name="Normal 6 2 3 3" xfId="2508" xr:uid="{00000000-0005-0000-0000-00001A0A0000}"/>
    <cellStyle name="Normal 6 2 3 3 2" xfId="2509" xr:uid="{00000000-0005-0000-0000-00001B0A0000}"/>
    <cellStyle name="Normal 6 2 3 3 2 2" xfId="2510" xr:uid="{00000000-0005-0000-0000-00001C0A0000}"/>
    <cellStyle name="Normal 6 2 3 3 3" xfId="2511" xr:uid="{00000000-0005-0000-0000-00001D0A0000}"/>
    <cellStyle name="Normal 6 2 3 4" xfId="2512" xr:uid="{00000000-0005-0000-0000-00001E0A0000}"/>
    <cellStyle name="Normal 6 2 3 4 2" xfId="2513" xr:uid="{00000000-0005-0000-0000-00001F0A0000}"/>
    <cellStyle name="Normal 6 2 3 4 2 2" xfId="2514" xr:uid="{00000000-0005-0000-0000-0000200A0000}"/>
    <cellStyle name="Normal 6 2 3 4 3" xfId="2515" xr:uid="{00000000-0005-0000-0000-0000210A0000}"/>
    <cellStyle name="Normal 6 2 3 5" xfId="2516" xr:uid="{00000000-0005-0000-0000-0000220A0000}"/>
    <cellStyle name="Normal 6 2 3 5 2" xfId="2517" xr:uid="{00000000-0005-0000-0000-0000230A0000}"/>
    <cellStyle name="Normal 6 2 3 5 2 2" xfId="2518" xr:uid="{00000000-0005-0000-0000-0000240A0000}"/>
    <cellStyle name="Normal 6 2 3 5 3" xfId="2519" xr:uid="{00000000-0005-0000-0000-0000250A0000}"/>
    <cellStyle name="Normal 6 2 3 6" xfId="2520" xr:uid="{00000000-0005-0000-0000-0000260A0000}"/>
    <cellStyle name="Normal 6 2 3 6 2" xfId="2521" xr:uid="{00000000-0005-0000-0000-0000270A0000}"/>
    <cellStyle name="Normal 6 2 3 7" xfId="2522" xr:uid="{00000000-0005-0000-0000-0000280A0000}"/>
    <cellStyle name="Normal 6 2 3 7 2" xfId="2523" xr:uid="{00000000-0005-0000-0000-0000290A0000}"/>
    <cellStyle name="Normal 6 2 3 8" xfId="2524" xr:uid="{00000000-0005-0000-0000-00002A0A0000}"/>
    <cellStyle name="Normal 6 2 3 8 2" xfId="2525" xr:uid="{00000000-0005-0000-0000-00002B0A0000}"/>
    <cellStyle name="Normal 6 2 3 9" xfId="2526" xr:uid="{00000000-0005-0000-0000-00002C0A0000}"/>
    <cellStyle name="Normal 6 2 4" xfId="2527" xr:uid="{00000000-0005-0000-0000-00002D0A0000}"/>
    <cellStyle name="Normal 6 2 4 2" xfId="2528" xr:uid="{00000000-0005-0000-0000-00002E0A0000}"/>
    <cellStyle name="Normal 6 2 4 2 2" xfId="2529" xr:uid="{00000000-0005-0000-0000-00002F0A0000}"/>
    <cellStyle name="Normal 6 2 4 3" xfId="2530" xr:uid="{00000000-0005-0000-0000-0000300A0000}"/>
    <cellStyle name="Normal 6 2 5" xfId="2531" xr:uid="{00000000-0005-0000-0000-0000310A0000}"/>
    <cellStyle name="Normal 6 2 5 2" xfId="2532" xr:uid="{00000000-0005-0000-0000-0000320A0000}"/>
    <cellStyle name="Normal 6 2 5 2 2" xfId="2533" xr:uid="{00000000-0005-0000-0000-0000330A0000}"/>
    <cellStyle name="Normal 6 2 5 3" xfId="2534" xr:uid="{00000000-0005-0000-0000-0000340A0000}"/>
    <cellStyle name="Normal 6 2 6" xfId="2535" xr:uid="{00000000-0005-0000-0000-0000350A0000}"/>
    <cellStyle name="Normal 6 2 6 2" xfId="2536" xr:uid="{00000000-0005-0000-0000-0000360A0000}"/>
    <cellStyle name="Normal 6 2 6 2 2" xfId="2537" xr:uid="{00000000-0005-0000-0000-0000370A0000}"/>
    <cellStyle name="Normal 6 2 6 3" xfId="2538" xr:uid="{00000000-0005-0000-0000-0000380A0000}"/>
    <cellStyle name="Normal 6 2 7" xfId="2539" xr:uid="{00000000-0005-0000-0000-0000390A0000}"/>
    <cellStyle name="Normal 6 2 7 2" xfId="2540" xr:uid="{00000000-0005-0000-0000-00003A0A0000}"/>
    <cellStyle name="Normal 6 2 7 2 2" xfId="2541" xr:uid="{00000000-0005-0000-0000-00003B0A0000}"/>
    <cellStyle name="Normal 6 2 7 3" xfId="2542" xr:uid="{00000000-0005-0000-0000-00003C0A0000}"/>
    <cellStyle name="Normal 6 2 8" xfId="2543" xr:uid="{00000000-0005-0000-0000-00003D0A0000}"/>
    <cellStyle name="Normal 6 2 8 2" xfId="2544" xr:uid="{00000000-0005-0000-0000-00003E0A0000}"/>
    <cellStyle name="Normal 6 2 9" xfId="2545" xr:uid="{00000000-0005-0000-0000-00003F0A0000}"/>
    <cellStyle name="Normal 6 2 9 2" xfId="2546" xr:uid="{00000000-0005-0000-0000-0000400A0000}"/>
    <cellStyle name="Normal 6 3" xfId="42" xr:uid="{00000000-0005-0000-0000-0000410A0000}"/>
    <cellStyle name="Normal 6 3 10" xfId="2547" xr:uid="{00000000-0005-0000-0000-0000420A0000}"/>
    <cellStyle name="Normal 6 3 2" xfId="2548" xr:uid="{00000000-0005-0000-0000-0000430A0000}"/>
    <cellStyle name="Normal 6 3 2 2" xfId="2549" xr:uid="{00000000-0005-0000-0000-0000440A0000}"/>
    <cellStyle name="Normal 6 3 2 2 2" xfId="2550" xr:uid="{00000000-0005-0000-0000-0000450A0000}"/>
    <cellStyle name="Normal 6 3 2 3" xfId="2551" xr:uid="{00000000-0005-0000-0000-0000460A0000}"/>
    <cellStyle name="Normal 6 3 3" xfId="2552" xr:uid="{00000000-0005-0000-0000-0000470A0000}"/>
    <cellStyle name="Normal 6 3 3 2" xfId="2553" xr:uid="{00000000-0005-0000-0000-0000480A0000}"/>
    <cellStyle name="Normal 6 3 3 2 2" xfId="2554" xr:uid="{00000000-0005-0000-0000-0000490A0000}"/>
    <cellStyle name="Normal 6 3 3 3" xfId="2555" xr:uid="{00000000-0005-0000-0000-00004A0A0000}"/>
    <cellStyle name="Normal 6 3 4" xfId="2556" xr:uid="{00000000-0005-0000-0000-00004B0A0000}"/>
    <cellStyle name="Normal 6 3 4 2" xfId="2557" xr:uid="{00000000-0005-0000-0000-00004C0A0000}"/>
    <cellStyle name="Normal 6 3 4 2 2" xfId="2558" xr:uid="{00000000-0005-0000-0000-00004D0A0000}"/>
    <cellStyle name="Normal 6 3 4 3" xfId="2559" xr:uid="{00000000-0005-0000-0000-00004E0A0000}"/>
    <cellStyle name="Normal 6 3 5" xfId="2560" xr:uid="{00000000-0005-0000-0000-00004F0A0000}"/>
    <cellStyle name="Normal 6 3 5 2" xfId="2561" xr:uid="{00000000-0005-0000-0000-0000500A0000}"/>
    <cellStyle name="Normal 6 3 5 2 2" xfId="2562" xr:uid="{00000000-0005-0000-0000-0000510A0000}"/>
    <cellStyle name="Normal 6 3 5 3" xfId="2563" xr:uid="{00000000-0005-0000-0000-0000520A0000}"/>
    <cellStyle name="Normal 6 3 6" xfId="2564" xr:uid="{00000000-0005-0000-0000-0000530A0000}"/>
    <cellStyle name="Normal 6 3 6 2" xfId="2565" xr:uid="{00000000-0005-0000-0000-0000540A0000}"/>
    <cellStyle name="Normal 6 3 7" xfId="2566" xr:uid="{00000000-0005-0000-0000-0000550A0000}"/>
    <cellStyle name="Normal 6 3 7 2" xfId="2567" xr:uid="{00000000-0005-0000-0000-0000560A0000}"/>
    <cellStyle name="Normal 6 3 8" xfId="2568" xr:uid="{00000000-0005-0000-0000-0000570A0000}"/>
    <cellStyle name="Normal 6 3 8 2" xfId="2569" xr:uid="{00000000-0005-0000-0000-0000580A0000}"/>
    <cellStyle name="Normal 6 3 9" xfId="2570" xr:uid="{00000000-0005-0000-0000-0000590A0000}"/>
    <cellStyle name="Normal 6 4" xfId="50" xr:uid="{00000000-0005-0000-0000-00005A0A0000}"/>
    <cellStyle name="Normal 6 4 10" xfId="2571" xr:uid="{00000000-0005-0000-0000-00005B0A0000}"/>
    <cellStyle name="Normal 6 4 2" xfId="2572" xr:uid="{00000000-0005-0000-0000-00005C0A0000}"/>
    <cellStyle name="Normal 6 4 2 2" xfId="2573" xr:uid="{00000000-0005-0000-0000-00005D0A0000}"/>
    <cellStyle name="Normal 6 4 2 2 2" xfId="2574" xr:uid="{00000000-0005-0000-0000-00005E0A0000}"/>
    <cellStyle name="Normal 6 4 2 3" xfId="2575" xr:uid="{00000000-0005-0000-0000-00005F0A0000}"/>
    <cellStyle name="Normal 6 4 3" xfId="2576" xr:uid="{00000000-0005-0000-0000-0000600A0000}"/>
    <cellStyle name="Normal 6 4 3 2" xfId="2577" xr:uid="{00000000-0005-0000-0000-0000610A0000}"/>
    <cellStyle name="Normal 6 4 3 2 2" xfId="2578" xr:uid="{00000000-0005-0000-0000-0000620A0000}"/>
    <cellStyle name="Normal 6 4 3 3" xfId="2579" xr:uid="{00000000-0005-0000-0000-0000630A0000}"/>
    <cellStyle name="Normal 6 4 4" xfId="2580" xr:uid="{00000000-0005-0000-0000-0000640A0000}"/>
    <cellStyle name="Normal 6 4 4 2" xfId="2581" xr:uid="{00000000-0005-0000-0000-0000650A0000}"/>
    <cellStyle name="Normal 6 4 4 2 2" xfId="2582" xr:uid="{00000000-0005-0000-0000-0000660A0000}"/>
    <cellStyle name="Normal 6 4 4 3" xfId="2583" xr:uid="{00000000-0005-0000-0000-0000670A0000}"/>
    <cellStyle name="Normal 6 4 5" xfId="2584" xr:uid="{00000000-0005-0000-0000-0000680A0000}"/>
    <cellStyle name="Normal 6 4 5 2" xfId="2585" xr:uid="{00000000-0005-0000-0000-0000690A0000}"/>
    <cellStyle name="Normal 6 4 5 2 2" xfId="2586" xr:uid="{00000000-0005-0000-0000-00006A0A0000}"/>
    <cellStyle name="Normal 6 4 5 3" xfId="2587" xr:uid="{00000000-0005-0000-0000-00006B0A0000}"/>
    <cellStyle name="Normal 6 4 6" xfId="2588" xr:uid="{00000000-0005-0000-0000-00006C0A0000}"/>
    <cellStyle name="Normal 6 4 6 2" xfId="2589" xr:uid="{00000000-0005-0000-0000-00006D0A0000}"/>
    <cellStyle name="Normal 6 4 7" xfId="2590" xr:uid="{00000000-0005-0000-0000-00006E0A0000}"/>
    <cellStyle name="Normal 6 4 7 2" xfId="2591" xr:uid="{00000000-0005-0000-0000-00006F0A0000}"/>
    <cellStyle name="Normal 6 4 8" xfId="2592" xr:uid="{00000000-0005-0000-0000-0000700A0000}"/>
    <cellStyle name="Normal 6 4 8 2" xfId="2593" xr:uid="{00000000-0005-0000-0000-0000710A0000}"/>
    <cellStyle name="Normal 6 4 9" xfId="2594" xr:uid="{00000000-0005-0000-0000-0000720A0000}"/>
    <cellStyle name="Normal 6 5" xfId="2595" xr:uid="{00000000-0005-0000-0000-0000730A0000}"/>
    <cellStyle name="Normal 6 5 2" xfId="2596" xr:uid="{00000000-0005-0000-0000-0000740A0000}"/>
    <cellStyle name="Normal 6 5 2 2" xfId="2597" xr:uid="{00000000-0005-0000-0000-0000750A0000}"/>
    <cellStyle name="Normal 6 5 2 2 2" xfId="2598" xr:uid="{00000000-0005-0000-0000-0000760A0000}"/>
    <cellStyle name="Normal 6 5 2 3" xfId="2599" xr:uid="{00000000-0005-0000-0000-0000770A0000}"/>
    <cellStyle name="Normal 6 5 3" xfId="2600" xr:uid="{00000000-0005-0000-0000-0000780A0000}"/>
    <cellStyle name="Normal 6 5 3 2" xfId="2601" xr:uid="{00000000-0005-0000-0000-0000790A0000}"/>
    <cellStyle name="Normal 6 5 3 2 2" xfId="2602" xr:uid="{00000000-0005-0000-0000-00007A0A0000}"/>
    <cellStyle name="Normal 6 5 3 3" xfId="2603" xr:uid="{00000000-0005-0000-0000-00007B0A0000}"/>
    <cellStyle name="Normal 6 5 4" xfId="2604" xr:uid="{00000000-0005-0000-0000-00007C0A0000}"/>
    <cellStyle name="Normal 6 5 4 2" xfId="2605" xr:uid="{00000000-0005-0000-0000-00007D0A0000}"/>
    <cellStyle name="Normal 6 5 4 2 2" xfId="2606" xr:uid="{00000000-0005-0000-0000-00007E0A0000}"/>
    <cellStyle name="Normal 6 5 4 3" xfId="2607" xr:uid="{00000000-0005-0000-0000-00007F0A0000}"/>
    <cellStyle name="Normal 6 5 5" xfId="2608" xr:uid="{00000000-0005-0000-0000-0000800A0000}"/>
    <cellStyle name="Normal 6 5 5 2" xfId="2609" xr:uid="{00000000-0005-0000-0000-0000810A0000}"/>
    <cellStyle name="Normal 6 5 5 2 2" xfId="2610" xr:uid="{00000000-0005-0000-0000-0000820A0000}"/>
    <cellStyle name="Normal 6 5 5 3" xfId="2611" xr:uid="{00000000-0005-0000-0000-0000830A0000}"/>
    <cellStyle name="Normal 6 5 6" xfId="2612" xr:uid="{00000000-0005-0000-0000-0000840A0000}"/>
    <cellStyle name="Normal 6 5 6 2" xfId="2613" xr:uid="{00000000-0005-0000-0000-0000850A0000}"/>
    <cellStyle name="Normal 6 5 7" xfId="2614" xr:uid="{00000000-0005-0000-0000-0000860A0000}"/>
    <cellStyle name="Normal 6 5 7 2" xfId="2615" xr:uid="{00000000-0005-0000-0000-0000870A0000}"/>
    <cellStyle name="Normal 6 5 8" xfId="2616" xr:uid="{00000000-0005-0000-0000-0000880A0000}"/>
    <cellStyle name="Normal 6 5 8 2" xfId="2617" xr:uid="{00000000-0005-0000-0000-0000890A0000}"/>
    <cellStyle name="Normal 6 5 9" xfId="2618" xr:uid="{00000000-0005-0000-0000-00008A0A0000}"/>
    <cellStyle name="Normal 6 6" xfId="2619" xr:uid="{00000000-0005-0000-0000-00008B0A0000}"/>
    <cellStyle name="Normal 6 6 2" xfId="2620" xr:uid="{00000000-0005-0000-0000-00008C0A0000}"/>
    <cellStyle name="Normal 6 6 2 2" xfId="2621" xr:uid="{00000000-0005-0000-0000-00008D0A0000}"/>
    <cellStyle name="Normal 6 6 3" xfId="2622" xr:uid="{00000000-0005-0000-0000-00008E0A0000}"/>
    <cellStyle name="Normal 6 6 3 2" xfId="2623" xr:uid="{00000000-0005-0000-0000-00008F0A0000}"/>
    <cellStyle name="Normal 6 6 4" xfId="2624" xr:uid="{00000000-0005-0000-0000-0000900A0000}"/>
    <cellStyle name="Normal 6 6 4 2" xfId="2625" xr:uid="{00000000-0005-0000-0000-0000910A0000}"/>
    <cellStyle name="Normal 6 6 5" xfId="2626" xr:uid="{00000000-0005-0000-0000-0000920A0000}"/>
    <cellStyle name="Normal 6 7" xfId="2627" xr:uid="{00000000-0005-0000-0000-0000930A0000}"/>
    <cellStyle name="Normal 6 7 2" xfId="2628" xr:uid="{00000000-0005-0000-0000-0000940A0000}"/>
    <cellStyle name="Normal 6 7 2 2" xfId="2629" xr:uid="{00000000-0005-0000-0000-0000950A0000}"/>
    <cellStyle name="Normal 6 7 3" xfId="2630" xr:uid="{00000000-0005-0000-0000-0000960A0000}"/>
    <cellStyle name="Normal 6 8" xfId="2631" xr:uid="{00000000-0005-0000-0000-0000970A0000}"/>
    <cellStyle name="Normal 6 8 2" xfId="2632" xr:uid="{00000000-0005-0000-0000-0000980A0000}"/>
    <cellStyle name="Normal 6 8 2 2" xfId="2633" xr:uid="{00000000-0005-0000-0000-0000990A0000}"/>
    <cellStyle name="Normal 6 8 3" xfId="2634" xr:uid="{00000000-0005-0000-0000-00009A0A0000}"/>
    <cellStyle name="Normal 6 9" xfId="2635" xr:uid="{00000000-0005-0000-0000-00009B0A0000}"/>
    <cellStyle name="Normal 6 9 2" xfId="2636" xr:uid="{00000000-0005-0000-0000-00009C0A0000}"/>
    <cellStyle name="Normal 6 9 2 2" xfId="2637" xr:uid="{00000000-0005-0000-0000-00009D0A0000}"/>
    <cellStyle name="Normal 6 9 3" xfId="2638" xr:uid="{00000000-0005-0000-0000-00009E0A0000}"/>
    <cellStyle name="Normal 7" xfId="8" xr:uid="{00000000-0005-0000-0000-00009F0A0000}"/>
    <cellStyle name="Normal 7 2" xfId="2639" xr:uid="{00000000-0005-0000-0000-0000A00A0000}"/>
    <cellStyle name="Normal 7 3" xfId="2640" xr:uid="{00000000-0005-0000-0000-0000A10A0000}"/>
    <cellStyle name="Normal 7 4" xfId="2641" xr:uid="{00000000-0005-0000-0000-0000A20A0000}"/>
    <cellStyle name="Normal 8" xfId="7" xr:uid="{00000000-0005-0000-0000-0000A30A0000}"/>
    <cellStyle name="Normal 8 10" xfId="2643" xr:uid="{00000000-0005-0000-0000-0000A40A0000}"/>
    <cellStyle name="Normal 8 10 2" xfId="2644" xr:uid="{00000000-0005-0000-0000-0000A50A0000}"/>
    <cellStyle name="Normal 8 11" xfId="2645" xr:uid="{00000000-0005-0000-0000-0000A60A0000}"/>
    <cellStyle name="Normal 8 12" xfId="2642" xr:uid="{00000000-0005-0000-0000-0000A70A0000}"/>
    <cellStyle name="Normal 8 2" xfId="2646" xr:uid="{00000000-0005-0000-0000-0000A80A0000}"/>
    <cellStyle name="Normal 8 2 2" xfId="2647" xr:uid="{00000000-0005-0000-0000-0000A90A0000}"/>
    <cellStyle name="Normal 8 2 2 2" xfId="2648" xr:uid="{00000000-0005-0000-0000-0000AA0A0000}"/>
    <cellStyle name="Normal 8 2 2 2 2" xfId="2649" xr:uid="{00000000-0005-0000-0000-0000AB0A0000}"/>
    <cellStyle name="Normal 8 2 2 3" xfId="2650" xr:uid="{00000000-0005-0000-0000-0000AC0A0000}"/>
    <cellStyle name="Normal 8 2 3" xfId="2651" xr:uid="{00000000-0005-0000-0000-0000AD0A0000}"/>
    <cellStyle name="Normal 8 2 3 2" xfId="2652" xr:uid="{00000000-0005-0000-0000-0000AE0A0000}"/>
    <cellStyle name="Normal 8 2 3 2 2" xfId="2653" xr:uid="{00000000-0005-0000-0000-0000AF0A0000}"/>
    <cellStyle name="Normal 8 2 3 3" xfId="2654" xr:uid="{00000000-0005-0000-0000-0000B00A0000}"/>
    <cellStyle name="Normal 8 2 4" xfId="2655" xr:uid="{00000000-0005-0000-0000-0000B10A0000}"/>
    <cellStyle name="Normal 8 2 4 2" xfId="2656" xr:uid="{00000000-0005-0000-0000-0000B20A0000}"/>
    <cellStyle name="Normal 8 2 4 2 2" xfId="2657" xr:uid="{00000000-0005-0000-0000-0000B30A0000}"/>
    <cellStyle name="Normal 8 2 4 3" xfId="2658" xr:uid="{00000000-0005-0000-0000-0000B40A0000}"/>
    <cellStyle name="Normal 8 2 5" xfId="2659" xr:uid="{00000000-0005-0000-0000-0000B50A0000}"/>
    <cellStyle name="Normal 8 2 5 2" xfId="2660" xr:uid="{00000000-0005-0000-0000-0000B60A0000}"/>
    <cellStyle name="Normal 8 2 5 2 2" xfId="2661" xr:uid="{00000000-0005-0000-0000-0000B70A0000}"/>
    <cellStyle name="Normal 8 2 5 3" xfId="2662" xr:uid="{00000000-0005-0000-0000-0000B80A0000}"/>
    <cellStyle name="Normal 8 2 6" xfId="2663" xr:uid="{00000000-0005-0000-0000-0000B90A0000}"/>
    <cellStyle name="Normal 8 2 6 2" xfId="2664" xr:uid="{00000000-0005-0000-0000-0000BA0A0000}"/>
    <cellStyle name="Normal 8 2 7" xfId="2665" xr:uid="{00000000-0005-0000-0000-0000BB0A0000}"/>
    <cellStyle name="Normal 8 2 7 2" xfId="2666" xr:uid="{00000000-0005-0000-0000-0000BC0A0000}"/>
    <cellStyle name="Normal 8 2 8" xfId="2667" xr:uid="{00000000-0005-0000-0000-0000BD0A0000}"/>
    <cellStyle name="Normal 8 2 8 2" xfId="2668" xr:uid="{00000000-0005-0000-0000-0000BE0A0000}"/>
    <cellStyle name="Normal 8 2 9" xfId="2669" xr:uid="{00000000-0005-0000-0000-0000BF0A0000}"/>
    <cellStyle name="Normal 8 3" xfId="2670" xr:uid="{00000000-0005-0000-0000-0000C00A0000}"/>
    <cellStyle name="Normal 8 3 2" xfId="2671" xr:uid="{00000000-0005-0000-0000-0000C10A0000}"/>
    <cellStyle name="Normal 8 3 2 2" xfId="2672" xr:uid="{00000000-0005-0000-0000-0000C20A0000}"/>
    <cellStyle name="Normal 8 3 2 2 2" xfId="2673" xr:uid="{00000000-0005-0000-0000-0000C30A0000}"/>
    <cellStyle name="Normal 8 3 2 3" xfId="2674" xr:uid="{00000000-0005-0000-0000-0000C40A0000}"/>
    <cellStyle name="Normal 8 3 3" xfId="2675" xr:uid="{00000000-0005-0000-0000-0000C50A0000}"/>
    <cellStyle name="Normal 8 3 3 2" xfId="2676" xr:uid="{00000000-0005-0000-0000-0000C60A0000}"/>
    <cellStyle name="Normal 8 3 3 2 2" xfId="2677" xr:uid="{00000000-0005-0000-0000-0000C70A0000}"/>
    <cellStyle name="Normal 8 3 3 3" xfId="2678" xr:uid="{00000000-0005-0000-0000-0000C80A0000}"/>
    <cellStyle name="Normal 8 3 4" xfId="2679" xr:uid="{00000000-0005-0000-0000-0000C90A0000}"/>
    <cellStyle name="Normal 8 3 4 2" xfId="2680" xr:uid="{00000000-0005-0000-0000-0000CA0A0000}"/>
    <cellStyle name="Normal 8 3 4 2 2" xfId="2681" xr:uid="{00000000-0005-0000-0000-0000CB0A0000}"/>
    <cellStyle name="Normal 8 3 4 3" xfId="2682" xr:uid="{00000000-0005-0000-0000-0000CC0A0000}"/>
    <cellStyle name="Normal 8 3 5" xfId="2683" xr:uid="{00000000-0005-0000-0000-0000CD0A0000}"/>
    <cellStyle name="Normal 8 3 5 2" xfId="2684" xr:uid="{00000000-0005-0000-0000-0000CE0A0000}"/>
    <cellStyle name="Normal 8 3 5 2 2" xfId="2685" xr:uid="{00000000-0005-0000-0000-0000CF0A0000}"/>
    <cellStyle name="Normal 8 3 5 3" xfId="2686" xr:uid="{00000000-0005-0000-0000-0000D00A0000}"/>
    <cellStyle name="Normal 8 3 6" xfId="2687" xr:uid="{00000000-0005-0000-0000-0000D10A0000}"/>
    <cellStyle name="Normal 8 3 6 2" xfId="2688" xr:uid="{00000000-0005-0000-0000-0000D20A0000}"/>
    <cellStyle name="Normal 8 3 7" xfId="2689" xr:uid="{00000000-0005-0000-0000-0000D30A0000}"/>
    <cellStyle name="Normal 8 3 7 2" xfId="2690" xr:uid="{00000000-0005-0000-0000-0000D40A0000}"/>
    <cellStyle name="Normal 8 3 8" xfId="2691" xr:uid="{00000000-0005-0000-0000-0000D50A0000}"/>
    <cellStyle name="Normal 8 3 8 2" xfId="2692" xr:uid="{00000000-0005-0000-0000-0000D60A0000}"/>
    <cellStyle name="Normal 8 3 9" xfId="2693" xr:uid="{00000000-0005-0000-0000-0000D70A0000}"/>
    <cellStyle name="Normal 8 4" xfId="2694" xr:uid="{00000000-0005-0000-0000-0000D80A0000}"/>
    <cellStyle name="Normal 8 4 2" xfId="2695" xr:uid="{00000000-0005-0000-0000-0000D90A0000}"/>
    <cellStyle name="Normal 8 4 2 2" xfId="2696" xr:uid="{00000000-0005-0000-0000-0000DA0A0000}"/>
    <cellStyle name="Normal 8 4 3" xfId="2697" xr:uid="{00000000-0005-0000-0000-0000DB0A0000}"/>
    <cellStyle name="Normal 8 5" xfId="2698" xr:uid="{00000000-0005-0000-0000-0000DC0A0000}"/>
    <cellStyle name="Normal 8 5 2" xfId="2699" xr:uid="{00000000-0005-0000-0000-0000DD0A0000}"/>
    <cellStyle name="Normal 8 5 2 2" xfId="2700" xr:uid="{00000000-0005-0000-0000-0000DE0A0000}"/>
    <cellStyle name="Normal 8 5 3" xfId="2701" xr:uid="{00000000-0005-0000-0000-0000DF0A0000}"/>
    <cellStyle name="Normal 8 6" xfId="2702" xr:uid="{00000000-0005-0000-0000-0000E00A0000}"/>
    <cellStyle name="Normal 8 6 2" xfId="2703" xr:uid="{00000000-0005-0000-0000-0000E10A0000}"/>
    <cellStyle name="Normal 8 6 2 2" xfId="2704" xr:uid="{00000000-0005-0000-0000-0000E20A0000}"/>
    <cellStyle name="Normal 8 6 3" xfId="2705" xr:uid="{00000000-0005-0000-0000-0000E30A0000}"/>
    <cellStyle name="Normal 8 7" xfId="2706" xr:uid="{00000000-0005-0000-0000-0000E40A0000}"/>
    <cellStyle name="Normal 8 7 2" xfId="2707" xr:uid="{00000000-0005-0000-0000-0000E50A0000}"/>
    <cellStyle name="Normal 8 7 2 2" xfId="2708" xr:uid="{00000000-0005-0000-0000-0000E60A0000}"/>
    <cellStyle name="Normal 8 7 3" xfId="2709" xr:uid="{00000000-0005-0000-0000-0000E70A0000}"/>
    <cellStyle name="Normal 8 8" xfId="2710" xr:uid="{00000000-0005-0000-0000-0000E80A0000}"/>
    <cellStyle name="Normal 8 8 2" xfId="2711" xr:uid="{00000000-0005-0000-0000-0000E90A0000}"/>
    <cellStyle name="Normal 8 9" xfId="2712" xr:uid="{00000000-0005-0000-0000-0000EA0A0000}"/>
    <cellStyle name="Normal 8 9 2" xfId="2713" xr:uid="{00000000-0005-0000-0000-0000EB0A0000}"/>
    <cellStyle name="Normal 9" xfId="12" xr:uid="{00000000-0005-0000-0000-0000EC0A0000}"/>
    <cellStyle name="Normal 9 10" xfId="2714" xr:uid="{00000000-0005-0000-0000-0000ED0A0000}"/>
    <cellStyle name="Normal 9 2" xfId="2715" xr:uid="{00000000-0005-0000-0000-0000EE0A0000}"/>
    <cellStyle name="Normal 9 2 2" xfId="2716" xr:uid="{00000000-0005-0000-0000-0000EF0A0000}"/>
    <cellStyle name="Normal 9 2 2 2" xfId="2717" xr:uid="{00000000-0005-0000-0000-0000F00A0000}"/>
    <cellStyle name="Normal 9 2 3" xfId="2718" xr:uid="{00000000-0005-0000-0000-0000F10A0000}"/>
    <cellStyle name="Normal 9 3" xfId="2719" xr:uid="{00000000-0005-0000-0000-0000F20A0000}"/>
    <cellStyle name="Normal 9 3 2" xfId="2720" xr:uid="{00000000-0005-0000-0000-0000F30A0000}"/>
    <cellStyle name="Normal 9 3 2 2" xfId="2721" xr:uid="{00000000-0005-0000-0000-0000F40A0000}"/>
    <cellStyle name="Normal 9 3 3" xfId="2722" xr:uid="{00000000-0005-0000-0000-0000F50A0000}"/>
    <cellStyle name="Normal 9 4" xfId="2723" xr:uid="{00000000-0005-0000-0000-0000F60A0000}"/>
    <cellStyle name="Normal 9 4 2" xfId="2724" xr:uid="{00000000-0005-0000-0000-0000F70A0000}"/>
    <cellStyle name="Normal 9 4 2 2" xfId="2725" xr:uid="{00000000-0005-0000-0000-0000F80A0000}"/>
    <cellStyle name="Normal 9 4 3" xfId="2726" xr:uid="{00000000-0005-0000-0000-0000F90A0000}"/>
    <cellStyle name="Normal 9 5" xfId="2727" xr:uid="{00000000-0005-0000-0000-0000FA0A0000}"/>
    <cellStyle name="Normal 9 5 2" xfId="2728" xr:uid="{00000000-0005-0000-0000-0000FB0A0000}"/>
    <cellStyle name="Normal 9 5 2 2" xfId="2729" xr:uid="{00000000-0005-0000-0000-0000FC0A0000}"/>
    <cellStyle name="Normal 9 5 3" xfId="2730" xr:uid="{00000000-0005-0000-0000-0000FD0A0000}"/>
    <cellStyle name="Normal 9 6" xfId="2731" xr:uid="{00000000-0005-0000-0000-0000FE0A0000}"/>
    <cellStyle name="Normal 9 6 2" xfId="2732" xr:uid="{00000000-0005-0000-0000-0000FF0A0000}"/>
    <cellStyle name="Normal 9 7" xfId="2733" xr:uid="{00000000-0005-0000-0000-0000000B0000}"/>
    <cellStyle name="Normal 9 7 2" xfId="2734" xr:uid="{00000000-0005-0000-0000-0000010B0000}"/>
    <cellStyle name="Normal 9 8" xfId="2735" xr:uid="{00000000-0005-0000-0000-0000020B0000}"/>
    <cellStyle name="Normal 9 8 2" xfId="2736" xr:uid="{00000000-0005-0000-0000-0000030B0000}"/>
    <cellStyle name="Normal 9 9" xfId="2737" xr:uid="{00000000-0005-0000-0000-0000040B0000}"/>
    <cellStyle name="Note" xfId="71" builtinId="10" customBuiltin="1"/>
    <cellStyle name="Note 2" xfId="2738" xr:uid="{00000000-0005-0000-0000-0000060B0000}"/>
    <cellStyle name="Note 2 10" xfId="3534" xr:uid="{00000000-0005-0000-0000-0000070B0000}"/>
    <cellStyle name="Note 2 10 2" xfId="3718" xr:uid="{00000000-0005-0000-0000-0000080B0000}"/>
    <cellStyle name="Note 2 11" xfId="3506" xr:uid="{00000000-0005-0000-0000-0000090B0000}"/>
    <cellStyle name="Note 2 2" xfId="2739" xr:uid="{00000000-0005-0000-0000-00000A0B0000}"/>
    <cellStyle name="Note 2 2 2" xfId="2740" xr:uid="{00000000-0005-0000-0000-00000B0B0000}"/>
    <cellStyle name="Note 2 2 2 2" xfId="3413" xr:uid="{00000000-0005-0000-0000-00000C0B0000}"/>
    <cellStyle name="Note 2 2 2 2 2" xfId="3629" xr:uid="{00000000-0005-0000-0000-00000D0B0000}"/>
    <cellStyle name="Note 2 2 2 3" xfId="3480" xr:uid="{00000000-0005-0000-0000-00000E0B0000}"/>
    <cellStyle name="Note 2 2 2 3 2" xfId="3696" xr:uid="{00000000-0005-0000-0000-00000F0B0000}"/>
    <cellStyle name="Note 2 2 2 4" xfId="3559" xr:uid="{00000000-0005-0000-0000-0000100B0000}"/>
    <cellStyle name="Note 2 2 2 4 2" xfId="3743" xr:uid="{00000000-0005-0000-0000-0000110B0000}"/>
    <cellStyle name="Note 2 2 2 5" xfId="3536" xr:uid="{00000000-0005-0000-0000-0000120B0000}"/>
    <cellStyle name="Note 2 2 2 5 2" xfId="3720" xr:uid="{00000000-0005-0000-0000-0000130B0000}"/>
    <cellStyle name="Note 2 2 2 6" xfId="3508" xr:uid="{00000000-0005-0000-0000-0000140B0000}"/>
    <cellStyle name="Note 2 2 3" xfId="2741" xr:uid="{00000000-0005-0000-0000-0000150B0000}"/>
    <cellStyle name="Note 2 2 3 2" xfId="3414" xr:uid="{00000000-0005-0000-0000-0000160B0000}"/>
    <cellStyle name="Note 2 2 3 2 2" xfId="3630" xr:uid="{00000000-0005-0000-0000-0000170B0000}"/>
    <cellStyle name="Note 2 2 3 3" xfId="3479" xr:uid="{00000000-0005-0000-0000-0000180B0000}"/>
    <cellStyle name="Note 2 2 3 3 2" xfId="3695" xr:uid="{00000000-0005-0000-0000-0000190B0000}"/>
    <cellStyle name="Note 2 2 3 4" xfId="3560" xr:uid="{00000000-0005-0000-0000-00001A0B0000}"/>
    <cellStyle name="Note 2 2 3 4 2" xfId="3744" xr:uid="{00000000-0005-0000-0000-00001B0B0000}"/>
    <cellStyle name="Note 2 2 3 5" xfId="3537" xr:uid="{00000000-0005-0000-0000-00001C0B0000}"/>
    <cellStyle name="Note 2 2 3 5 2" xfId="3721" xr:uid="{00000000-0005-0000-0000-00001D0B0000}"/>
    <cellStyle name="Note 2 2 3 6" xfId="3509" xr:uid="{00000000-0005-0000-0000-00001E0B0000}"/>
    <cellStyle name="Note 2 2 4" xfId="2742" xr:uid="{00000000-0005-0000-0000-00001F0B0000}"/>
    <cellStyle name="Note 2 2 4 2" xfId="3415" xr:uid="{00000000-0005-0000-0000-0000200B0000}"/>
    <cellStyle name="Note 2 2 4 2 2" xfId="3631" xr:uid="{00000000-0005-0000-0000-0000210B0000}"/>
    <cellStyle name="Note 2 2 4 3" xfId="3478" xr:uid="{00000000-0005-0000-0000-0000220B0000}"/>
    <cellStyle name="Note 2 2 4 3 2" xfId="3694" xr:uid="{00000000-0005-0000-0000-0000230B0000}"/>
    <cellStyle name="Note 2 2 4 4" xfId="3561" xr:uid="{00000000-0005-0000-0000-0000240B0000}"/>
    <cellStyle name="Note 2 2 4 4 2" xfId="3745" xr:uid="{00000000-0005-0000-0000-0000250B0000}"/>
    <cellStyle name="Note 2 2 4 5" xfId="3538" xr:uid="{00000000-0005-0000-0000-0000260B0000}"/>
    <cellStyle name="Note 2 2 4 5 2" xfId="3722" xr:uid="{00000000-0005-0000-0000-0000270B0000}"/>
    <cellStyle name="Note 2 2 4 6" xfId="3510" xr:uid="{00000000-0005-0000-0000-0000280B0000}"/>
    <cellStyle name="Note 2 2 5" xfId="3412" xr:uid="{00000000-0005-0000-0000-0000290B0000}"/>
    <cellStyle name="Note 2 2 5 2" xfId="3628" xr:uid="{00000000-0005-0000-0000-00002A0B0000}"/>
    <cellStyle name="Note 2 2 6" xfId="3481" xr:uid="{00000000-0005-0000-0000-00002B0B0000}"/>
    <cellStyle name="Note 2 2 6 2" xfId="3697" xr:uid="{00000000-0005-0000-0000-00002C0B0000}"/>
    <cellStyle name="Note 2 2 7" xfId="3558" xr:uid="{00000000-0005-0000-0000-00002D0B0000}"/>
    <cellStyle name="Note 2 2 7 2" xfId="3742" xr:uid="{00000000-0005-0000-0000-00002E0B0000}"/>
    <cellStyle name="Note 2 2 8" xfId="3535" xr:uid="{00000000-0005-0000-0000-00002F0B0000}"/>
    <cellStyle name="Note 2 2 8 2" xfId="3719" xr:uid="{00000000-0005-0000-0000-0000300B0000}"/>
    <cellStyle name="Note 2 2 9" xfId="3507" xr:uid="{00000000-0005-0000-0000-0000310B0000}"/>
    <cellStyle name="Note 2 3" xfId="2743" xr:uid="{00000000-0005-0000-0000-0000320B0000}"/>
    <cellStyle name="Note 2 3 2" xfId="2744" xr:uid="{00000000-0005-0000-0000-0000330B0000}"/>
    <cellStyle name="Note 2 3 2 2" xfId="3417" xr:uid="{00000000-0005-0000-0000-0000340B0000}"/>
    <cellStyle name="Note 2 3 2 2 2" xfId="3633" xr:uid="{00000000-0005-0000-0000-0000350B0000}"/>
    <cellStyle name="Note 2 3 2 3" xfId="3476" xr:uid="{00000000-0005-0000-0000-0000360B0000}"/>
    <cellStyle name="Note 2 3 2 3 2" xfId="3692" xr:uid="{00000000-0005-0000-0000-0000370B0000}"/>
    <cellStyle name="Note 2 3 2 4" xfId="3563" xr:uid="{00000000-0005-0000-0000-0000380B0000}"/>
    <cellStyle name="Note 2 3 2 4 2" xfId="3747" xr:uid="{00000000-0005-0000-0000-0000390B0000}"/>
    <cellStyle name="Note 2 3 2 5" xfId="3540" xr:uid="{00000000-0005-0000-0000-00003A0B0000}"/>
    <cellStyle name="Note 2 3 2 5 2" xfId="3724" xr:uid="{00000000-0005-0000-0000-00003B0B0000}"/>
    <cellStyle name="Note 2 3 2 6" xfId="3512" xr:uid="{00000000-0005-0000-0000-00003C0B0000}"/>
    <cellStyle name="Note 2 3 3" xfId="2745" xr:uid="{00000000-0005-0000-0000-00003D0B0000}"/>
    <cellStyle name="Note 2 3 3 2" xfId="3418" xr:uid="{00000000-0005-0000-0000-00003E0B0000}"/>
    <cellStyle name="Note 2 3 3 2 2" xfId="3634" xr:uid="{00000000-0005-0000-0000-00003F0B0000}"/>
    <cellStyle name="Note 2 3 3 3" xfId="3475" xr:uid="{00000000-0005-0000-0000-0000400B0000}"/>
    <cellStyle name="Note 2 3 3 3 2" xfId="3691" xr:uid="{00000000-0005-0000-0000-0000410B0000}"/>
    <cellStyle name="Note 2 3 3 4" xfId="3564" xr:uid="{00000000-0005-0000-0000-0000420B0000}"/>
    <cellStyle name="Note 2 3 3 4 2" xfId="3748" xr:uid="{00000000-0005-0000-0000-0000430B0000}"/>
    <cellStyle name="Note 2 3 3 5" xfId="3541" xr:uid="{00000000-0005-0000-0000-0000440B0000}"/>
    <cellStyle name="Note 2 3 3 5 2" xfId="3725" xr:uid="{00000000-0005-0000-0000-0000450B0000}"/>
    <cellStyle name="Note 2 3 3 6" xfId="3513" xr:uid="{00000000-0005-0000-0000-0000460B0000}"/>
    <cellStyle name="Note 2 3 4" xfId="2746" xr:uid="{00000000-0005-0000-0000-0000470B0000}"/>
    <cellStyle name="Note 2 3 4 2" xfId="3419" xr:uid="{00000000-0005-0000-0000-0000480B0000}"/>
    <cellStyle name="Note 2 3 4 2 2" xfId="3635" xr:uid="{00000000-0005-0000-0000-0000490B0000}"/>
    <cellStyle name="Note 2 3 4 3" xfId="3474" xr:uid="{00000000-0005-0000-0000-00004A0B0000}"/>
    <cellStyle name="Note 2 3 4 3 2" xfId="3690" xr:uid="{00000000-0005-0000-0000-00004B0B0000}"/>
    <cellStyle name="Note 2 3 4 4" xfId="3565" xr:uid="{00000000-0005-0000-0000-00004C0B0000}"/>
    <cellStyle name="Note 2 3 4 4 2" xfId="3749" xr:uid="{00000000-0005-0000-0000-00004D0B0000}"/>
    <cellStyle name="Note 2 3 4 5" xfId="3542" xr:uid="{00000000-0005-0000-0000-00004E0B0000}"/>
    <cellStyle name="Note 2 3 4 5 2" xfId="3726" xr:uid="{00000000-0005-0000-0000-00004F0B0000}"/>
    <cellStyle name="Note 2 3 4 6" xfId="3514" xr:uid="{00000000-0005-0000-0000-0000500B0000}"/>
    <cellStyle name="Note 2 3 5" xfId="3416" xr:uid="{00000000-0005-0000-0000-0000510B0000}"/>
    <cellStyle name="Note 2 3 5 2" xfId="3632" xr:uid="{00000000-0005-0000-0000-0000520B0000}"/>
    <cellStyle name="Note 2 3 6" xfId="3477" xr:uid="{00000000-0005-0000-0000-0000530B0000}"/>
    <cellStyle name="Note 2 3 6 2" xfId="3693" xr:uid="{00000000-0005-0000-0000-0000540B0000}"/>
    <cellStyle name="Note 2 3 7" xfId="3562" xr:uid="{00000000-0005-0000-0000-0000550B0000}"/>
    <cellStyle name="Note 2 3 7 2" xfId="3746" xr:uid="{00000000-0005-0000-0000-0000560B0000}"/>
    <cellStyle name="Note 2 3 8" xfId="3539" xr:uid="{00000000-0005-0000-0000-0000570B0000}"/>
    <cellStyle name="Note 2 3 8 2" xfId="3723" xr:uid="{00000000-0005-0000-0000-0000580B0000}"/>
    <cellStyle name="Note 2 3 9" xfId="3511" xr:uid="{00000000-0005-0000-0000-0000590B0000}"/>
    <cellStyle name="Note 2 4" xfId="2747" xr:uid="{00000000-0005-0000-0000-00005A0B0000}"/>
    <cellStyle name="Note 2 4 2" xfId="3420" xr:uid="{00000000-0005-0000-0000-00005B0B0000}"/>
    <cellStyle name="Note 2 4 2 2" xfId="3636" xr:uid="{00000000-0005-0000-0000-00005C0B0000}"/>
    <cellStyle name="Note 2 4 3" xfId="3473" xr:uid="{00000000-0005-0000-0000-00005D0B0000}"/>
    <cellStyle name="Note 2 4 3 2" xfId="3689" xr:uid="{00000000-0005-0000-0000-00005E0B0000}"/>
    <cellStyle name="Note 2 4 4" xfId="3566" xr:uid="{00000000-0005-0000-0000-00005F0B0000}"/>
    <cellStyle name="Note 2 4 4 2" xfId="3750" xr:uid="{00000000-0005-0000-0000-0000600B0000}"/>
    <cellStyle name="Note 2 4 5" xfId="3543" xr:uid="{00000000-0005-0000-0000-0000610B0000}"/>
    <cellStyle name="Note 2 4 5 2" xfId="3727" xr:uid="{00000000-0005-0000-0000-0000620B0000}"/>
    <cellStyle name="Note 2 4 6" xfId="3515" xr:uid="{00000000-0005-0000-0000-0000630B0000}"/>
    <cellStyle name="Note 2 5" xfId="2748" xr:uid="{00000000-0005-0000-0000-0000640B0000}"/>
    <cellStyle name="Note 2 5 2" xfId="3421" xr:uid="{00000000-0005-0000-0000-0000650B0000}"/>
    <cellStyle name="Note 2 5 2 2" xfId="3637" xr:uid="{00000000-0005-0000-0000-0000660B0000}"/>
    <cellStyle name="Note 2 5 3" xfId="3472" xr:uid="{00000000-0005-0000-0000-0000670B0000}"/>
    <cellStyle name="Note 2 5 3 2" xfId="3688" xr:uid="{00000000-0005-0000-0000-0000680B0000}"/>
    <cellStyle name="Note 2 5 4" xfId="3567" xr:uid="{00000000-0005-0000-0000-0000690B0000}"/>
    <cellStyle name="Note 2 5 4 2" xfId="3751" xr:uid="{00000000-0005-0000-0000-00006A0B0000}"/>
    <cellStyle name="Note 2 5 5" xfId="3544" xr:uid="{00000000-0005-0000-0000-00006B0B0000}"/>
    <cellStyle name="Note 2 5 5 2" xfId="3728" xr:uid="{00000000-0005-0000-0000-00006C0B0000}"/>
    <cellStyle name="Note 2 5 6" xfId="3516" xr:uid="{00000000-0005-0000-0000-00006D0B0000}"/>
    <cellStyle name="Note 2 6" xfId="2749" xr:uid="{00000000-0005-0000-0000-00006E0B0000}"/>
    <cellStyle name="Note 2 6 2" xfId="3422" xr:uid="{00000000-0005-0000-0000-00006F0B0000}"/>
    <cellStyle name="Note 2 6 2 2" xfId="3638" xr:uid="{00000000-0005-0000-0000-0000700B0000}"/>
    <cellStyle name="Note 2 6 3" xfId="3471" xr:uid="{00000000-0005-0000-0000-0000710B0000}"/>
    <cellStyle name="Note 2 6 3 2" xfId="3687" xr:uid="{00000000-0005-0000-0000-0000720B0000}"/>
    <cellStyle name="Note 2 6 4" xfId="3568" xr:uid="{00000000-0005-0000-0000-0000730B0000}"/>
    <cellStyle name="Note 2 6 4 2" xfId="3752" xr:uid="{00000000-0005-0000-0000-0000740B0000}"/>
    <cellStyle name="Note 2 6 5" xfId="3545" xr:uid="{00000000-0005-0000-0000-0000750B0000}"/>
    <cellStyle name="Note 2 6 5 2" xfId="3729" xr:uid="{00000000-0005-0000-0000-0000760B0000}"/>
    <cellStyle name="Note 2 6 6" xfId="3517" xr:uid="{00000000-0005-0000-0000-0000770B0000}"/>
    <cellStyle name="Note 2 7" xfId="3411" xr:uid="{00000000-0005-0000-0000-0000780B0000}"/>
    <cellStyle name="Note 2 7 2" xfId="3627" xr:uid="{00000000-0005-0000-0000-0000790B0000}"/>
    <cellStyle name="Note 2 8" xfId="3482" xr:uid="{00000000-0005-0000-0000-00007A0B0000}"/>
    <cellStyle name="Note 2 8 2" xfId="3698" xr:uid="{00000000-0005-0000-0000-00007B0B0000}"/>
    <cellStyle name="Note 2 9" xfId="3557" xr:uid="{00000000-0005-0000-0000-00007C0B0000}"/>
    <cellStyle name="Note 2 9 2" xfId="3741" xr:uid="{00000000-0005-0000-0000-00007D0B0000}"/>
    <cellStyle name="Note 3" xfId="2750" xr:uid="{00000000-0005-0000-0000-00007E0B0000}"/>
    <cellStyle name="Note 3 2" xfId="2751" xr:uid="{00000000-0005-0000-0000-00007F0B0000}"/>
    <cellStyle name="Note 3 2 2" xfId="3424" xr:uid="{00000000-0005-0000-0000-0000800B0000}"/>
    <cellStyle name="Note 3 2 2 2" xfId="3640" xr:uid="{00000000-0005-0000-0000-0000810B0000}"/>
    <cellStyle name="Note 3 2 3" xfId="3469" xr:uid="{00000000-0005-0000-0000-0000820B0000}"/>
    <cellStyle name="Note 3 2 3 2" xfId="3685" xr:uid="{00000000-0005-0000-0000-0000830B0000}"/>
    <cellStyle name="Note 3 2 4" xfId="3570" xr:uid="{00000000-0005-0000-0000-0000840B0000}"/>
    <cellStyle name="Note 3 2 4 2" xfId="3754" xr:uid="{00000000-0005-0000-0000-0000850B0000}"/>
    <cellStyle name="Note 3 2 5" xfId="3547" xr:uid="{00000000-0005-0000-0000-0000860B0000}"/>
    <cellStyle name="Note 3 2 5 2" xfId="3731" xr:uid="{00000000-0005-0000-0000-0000870B0000}"/>
    <cellStyle name="Note 3 2 6" xfId="3519" xr:uid="{00000000-0005-0000-0000-0000880B0000}"/>
    <cellStyle name="Note 3 3" xfId="2752" xr:uid="{00000000-0005-0000-0000-0000890B0000}"/>
    <cellStyle name="Note 3 3 2" xfId="3425" xr:uid="{00000000-0005-0000-0000-00008A0B0000}"/>
    <cellStyle name="Note 3 3 2 2" xfId="3641" xr:uid="{00000000-0005-0000-0000-00008B0B0000}"/>
    <cellStyle name="Note 3 3 3" xfId="3468" xr:uid="{00000000-0005-0000-0000-00008C0B0000}"/>
    <cellStyle name="Note 3 3 3 2" xfId="3684" xr:uid="{00000000-0005-0000-0000-00008D0B0000}"/>
    <cellStyle name="Note 3 3 4" xfId="3571" xr:uid="{00000000-0005-0000-0000-00008E0B0000}"/>
    <cellStyle name="Note 3 3 4 2" xfId="3755" xr:uid="{00000000-0005-0000-0000-00008F0B0000}"/>
    <cellStyle name="Note 3 3 5" xfId="3548" xr:uid="{00000000-0005-0000-0000-0000900B0000}"/>
    <cellStyle name="Note 3 3 5 2" xfId="3732" xr:uid="{00000000-0005-0000-0000-0000910B0000}"/>
    <cellStyle name="Note 3 3 6" xfId="3520" xr:uid="{00000000-0005-0000-0000-0000920B0000}"/>
    <cellStyle name="Note 3 4" xfId="2753" xr:uid="{00000000-0005-0000-0000-0000930B0000}"/>
    <cellStyle name="Note 3 4 2" xfId="3426" xr:uid="{00000000-0005-0000-0000-0000940B0000}"/>
    <cellStyle name="Note 3 4 2 2" xfId="3642" xr:uid="{00000000-0005-0000-0000-0000950B0000}"/>
    <cellStyle name="Note 3 4 3" xfId="3467" xr:uid="{00000000-0005-0000-0000-0000960B0000}"/>
    <cellStyle name="Note 3 4 3 2" xfId="3683" xr:uid="{00000000-0005-0000-0000-0000970B0000}"/>
    <cellStyle name="Note 3 4 4" xfId="3572" xr:uid="{00000000-0005-0000-0000-0000980B0000}"/>
    <cellStyle name="Note 3 4 4 2" xfId="3756" xr:uid="{00000000-0005-0000-0000-0000990B0000}"/>
    <cellStyle name="Note 3 4 5" xfId="3549" xr:uid="{00000000-0005-0000-0000-00009A0B0000}"/>
    <cellStyle name="Note 3 4 5 2" xfId="3733" xr:uid="{00000000-0005-0000-0000-00009B0B0000}"/>
    <cellStyle name="Note 3 4 6" xfId="3521" xr:uid="{00000000-0005-0000-0000-00009C0B0000}"/>
    <cellStyle name="Note 3 5" xfId="3423" xr:uid="{00000000-0005-0000-0000-00009D0B0000}"/>
    <cellStyle name="Note 3 5 2" xfId="3639" xr:uid="{00000000-0005-0000-0000-00009E0B0000}"/>
    <cellStyle name="Note 3 6" xfId="3470" xr:uid="{00000000-0005-0000-0000-00009F0B0000}"/>
    <cellStyle name="Note 3 6 2" xfId="3686" xr:uid="{00000000-0005-0000-0000-0000A00B0000}"/>
    <cellStyle name="Note 3 7" xfId="3569" xr:uid="{00000000-0005-0000-0000-0000A10B0000}"/>
    <cellStyle name="Note 3 7 2" xfId="3753" xr:uid="{00000000-0005-0000-0000-0000A20B0000}"/>
    <cellStyle name="Note 3 8" xfId="3546" xr:uid="{00000000-0005-0000-0000-0000A30B0000}"/>
    <cellStyle name="Note 3 8 2" xfId="3730" xr:uid="{00000000-0005-0000-0000-0000A40B0000}"/>
    <cellStyle name="Note 3 9" xfId="3518" xr:uid="{00000000-0005-0000-0000-0000A50B0000}"/>
    <cellStyle name="Note 4" xfId="2754" xr:uid="{00000000-0005-0000-0000-0000A60B0000}"/>
    <cellStyle name="Note 4 2" xfId="2755" xr:uid="{00000000-0005-0000-0000-0000A70B0000}"/>
    <cellStyle name="Note 4 2 2" xfId="3428" xr:uid="{00000000-0005-0000-0000-0000A80B0000}"/>
    <cellStyle name="Note 4 2 2 2" xfId="3644" xr:uid="{00000000-0005-0000-0000-0000A90B0000}"/>
    <cellStyle name="Note 4 2 3" xfId="3465" xr:uid="{00000000-0005-0000-0000-0000AA0B0000}"/>
    <cellStyle name="Note 4 2 3 2" xfId="3681" xr:uid="{00000000-0005-0000-0000-0000AB0B0000}"/>
    <cellStyle name="Note 4 2 4" xfId="3574" xr:uid="{00000000-0005-0000-0000-0000AC0B0000}"/>
    <cellStyle name="Note 4 2 4 2" xfId="3758" xr:uid="{00000000-0005-0000-0000-0000AD0B0000}"/>
    <cellStyle name="Note 4 2 5" xfId="3551" xr:uid="{00000000-0005-0000-0000-0000AE0B0000}"/>
    <cellStyle name="Note 4 2 5 2" xfId="3735" xr:uid="{00000000-0005-0000-0000-0000AF0B0000}"/>
    <cellStyle name="Note 4 2 6" xfId="3523" xr:uid="{00000000-0005-0000-0000-0000B00B0000}"/>
    <cellStyle name="Note 4 3" xfId="2756" xr:uid="{00000000-0005-0000-0000-0000B10B0000}"/>
    <cellStyle name="Note 4 3 2" xfId="3429" xr:uid="{00000000-0005-0000-0000-0000B20B0000}"/>
    <cellStyle name="Note 4 3 2 2" xfId="3645" xr:uid="{00000000-0005-0000-0000-0000B30B0000}"/>
    <cellStyle name="Note 4 3 3" xfId="3464" xr:uid="{00000000-0005-0000-0000-0000B40B0000}"/>
    <cellStyle name="Note 4 3 3 2" xfId="3680" xr:uid="{00000000-0005-0000-0000-0000B50B0000}"/>
    <cellStyle name="Note 4 3 4" xfId="3575" xr:uid="{00000000-0005-0000-0000-0000B60B0000}"/>
    <cellStyle name="Note 4 3 4 2" xfId="3759" xr:uid="{00000000-0005-0000-0000-0000B70B0000}"/>
    <cellStyle name="Note 4 3 5" xfId="3552" xr:uid="{00000000-0005-0000-0000-0000B80B0000}"/>
    <cellStyle name="Note 4 3 5 2" xfId="3736" xr:uid="{00000000-0005-0000-0000-0000B90B0000}"/>
    <cellStyle name="Note 4 3 6" xfId="3524" xr:uid="{00000000-0005-0000-0000-0000BA0B0000}"/>
    <cellStyle name="Note 4 4" xfId="2757" xr:uid="{00000000-0005-0000-0000-0000BB0B0000}"/>
    <cellStyle name="Note 4 4 2" xfId="3430" xr:uid="{00000000-0005-0000-0000-0000BC0B0000}"/>
    <cellStyle name="Note 4 4 2 2" xfId="3646" xr:uid="{00000000-0005-0000-0000-0000BD0B0000}"/>
    <cellStyle name="Note 4 4 3" xfId="3463" xr:uid="{00000000-0005-0000-0000-0000BE0B0000}"/>
    <cellStyle name="Note 4 4 3 2" xfId="3679" xr:uid="{00000000-0005-0000-0000-0000BF0B0000}"/>
    <cellStyle name="Note 4 4 4" xfId="3576" xr:uid="{00000000-0005-0000-0000-0000C00B0000}"/>
    <cellStyle name="Note 4 4 4 2" xfId="3760" xr:uid="{00000000-0005-0000-0000-0000C10B0000}"/>
    <cellStyle name="Note 4 4 5" xfId="3553" xr:uid="{00000000-0005-0000-0000-0000C20B0000}"/>
    <cellStyle name="Note 4 4 5 2" xfId="3737" xr:uid="{00000000-0005-0000-0000-0000C30B0000}"/>
    <cellStyle name="Note 4 4 6" xfId="3525" xr:uid="{00000000-0005-0000-0000-0000C40B0000}"/>
    <cellStyle name="Note 4 5" xfId="3427" xr:uid="{00000000-0005-0000-0000-0000C50B0000}"/>
    <cellStyle name="Note 4 5 2" xfId="3643" xr:uid="{00000000-0005-0000-0000-0000C60B0000}"/>
    <cellStyle name="Note 4 6" xfId="3466" xr:uid="{00000000-0005-0000-0000-0000C70B0000}"/>
    <cellStyle name="Note 4 6 2" xfId="3682" xr:uid="{00000000-0005-0000-0000-0000C80B0000}"/>
    <cellStyle name="Note 4 7" xfId="3573" xr:uid="{00000000-0005-0000-0000-0000C90B0000}"/>
    <cellStyle name="Note 4 7 2" xfId="3757" xr:uid="{00000000-0005-0000-0000-0000CA0B0000}"/>
    <cellStyle name="Note 4 8" xfId="3550" xr:uid="{00000000-0005-0000-0000-0000CB0B0000}"/>
    <cellStyle name="Note 4 8 2" xfId="3734" xr:uid="{00000000-0005-0000-0000-0000CC0B0000}"/>
    <cellStyle name="Note 4 9" xfId="3522" xr:uid="{00000000-0005-0000-0000-0000CD0B0000}"/>
    <cellStyle name="Note 5" xfId="2758" xr:uid="{00000000-0005-0000-0000-0000CE0B0000}"/>
    <cellStyle name="Note 5 2" xfId="2759" xr:uid="{00000000-0005-0000-0000-0000CF0B0000}"/>
    <cellStyle name="Note 5 2 2" xfId="3432" xr:uid="{00000000-0005-0000-0000-0000D00B0000}"/>
    <cellStyle name="Note 5 2 2 2" xfId="3648" xr:uid="{00000000-0005-0000-0000-0000D10B0000}"/>
    <cellStyle name="Note 5 2 3" xfId="3461" xr:uid="{00000000-0005-0000-0000-0000D20B0000}"/>
    <cellStyle name="Note 5 2 3 2" xfId="3677" xr:uid="{00000000-0005-0000-0000-0000D30B0000}"/>
    <cellStyle name="Note 5 2 4" xfId="3578" xr:uid="{00000000-0005-0000-0000-0000D40B0000}"/>
    <cellStyle name="Note 5 2 4 2" xfId="3762" xr:uid="{00000000-0005-0000-0000-0000D50B0000}"/>
    <cellStyle name="Note 5 2 5" xfId="3554" xr:uid="{00000000-0005-0000-0000-0000D60B0000}"/>
    <cellStyle name="Note 5 2 5 2" xfId="3738" xr:uid="{00000000-0005-0000-0000-0000D70B0000}"/>
    <cellStyle name="Note 5 2 6" xfId="3527" xr:uid="{00000000-0005-0000-0000-0000D80B0000}"/>
    <cellStyle name="Note 5 3" xfId="2760" xr:uid="{00000000-0005-0000-0000-0000D90B0000}"/>
    <cellStyle name="Note 5 3 2" xfId="3433" xr:uid="{00000000-0005-0000-0000-0000DA0B0000}"/>
    <cellStyle name="Note 5 3 2 2" xfId="3649" xr:uid="{00000000-0005-0000-0000-0000DB0B0000}"/>
    <cellStyle name="Note 5 3 3" xfId="3460" xr:uid="{00000000-0005-0000-0000-0000DC0B0000}"/>
    <cellStyle name="Note 5 3 3 2" xfId="3676" xr:uid="{00000000-0005-0000-0000-0000DD0B0000}"/>
    <cellStyle name="Note 5 3 4" xfId="3579" xr:uid="{00000000-0005-0000-0000-0000DE0B0000}"/>
    <cellStyle name="Note 5 3 4 2" xfId="3763" xr:uid="{00000000-0005-0000-0000-0000DF0B0000}"/>
    <cellStyle name="Note 5 3 5" xfId="3555" xr:uid="{00000000-0005-0000-0000-0000E00B0000}"/>
    <cellStyle name="Note 5 3 5 2" xfId="3739" xr:uid="{00000000-0005-0000-0000-0000E10B0000}"/>
    <cellStyle name="Note 5 3 6" xfId="3528" xr:uid="{00000000-0005-0000-0000-0000E20B0000}"/>
    <cellStyle name="Note 5 4" xfId="2761" xr:uid="{00000000-0005-0000-0000-0000E30B0000}"/>
    <cellStyle name="Note 5 4 2" xfId="3434" xr:uid="{00000000-0005-0000-0000-0000E40B0000}"/>
    <cellStyle name="Note 5 4 2 2" xfId="3650" xr:uid="{00000000-0005-0000-0000-0000E50B0000}"/>
    <cellStyle name="Note 5 4 3" xfId="3459" xr:uid="{00000000-0005-0000-0000-0000E60B0000}"/>
    <cellStyle name="Note 5 4 3 2" xfId="3675" xr:uid="{00000000-0005-0000-0000-0000E70B0000}"/>
    <cellStyle name="Note 5 4 4" xfId="3580" xr:uid="{00000000-0005-0000-0000-0000E80B0000}"/>
    <cellStyle name="Note 5 4 4 2" xfId="3764" xr:uid="{00000000-0005-0000-0000-0000E90B0000}"/>
    <cellStyle name="Note 5 4 5" xfId="3556" xr:uid="{00000000-0005-0000-0000-0000EA0B0000}"/>
    <cellStyle name="Note 5 4 5 2" xfId="3740" xr:uid="{00000000-0005-0000-0000-0000EB0B0000}"/>
    <cellStyle name="Note 5 4 6" xfId="3529" xr:uid="{00000000-0005-0000-0000-0000EC0B0000}"/>
    <cellStyle name="Note 5 5" xfId="3431" xr:uid="{00000000-0005-0000-0000-0000ED0B0000}"/>
    <cellStyle name="Note 5 5 2" xfId="3647" xr:uid="{00000000-0005-0000-0000-0000EE0B0000}"/>
    <cellStyle name="Note 5 6" xfId="3462" xr:uid="{00000000-0005-0000-0000-0000EF0B0000}"/>
    <cellStyle name="Note 5 6 2" xfId="3678" xr:uid="{00000000-0005-0000-0000-0000F00B0000}"/>
    <cellStyle name="Note 5 7" xfId="3577" xr:uid="{00000000-0005-0000-0000-0000F10B0000}"/>
    <cellStyle name="Note 5 7 2" xfId="3761" xr:uid="{00000000-0005-0000-0000-0000F20B0000}"/>
    <cellStyle name="Note 5 8" xfId="3597" xr:uid="{00000000-0005-0000-0000-0000F30B0000}"/>
    <cellStyle name="Note 5 8 2" xfId="3777" xr:uid="{00000000-0005-0000-0000-0000F40B0000}"/>
    <cellStyle name="Note 5 9" xfId="3526" xr:uid="{00000000-0005-0000-0000-0000F50B0000}"/>
    <cellStyle name="Output" xfId="66" builtinId="21" customBuiltin="1"/>
    <cellStyle name="Output 2" xfId="2762" xr:uid="{00000000-0005-0000-0000-0000F70B0000}"/>
    <cellStyle name="Output 2 10" xfId="3530" xr:uid="{00000000-0005-0000-0000-0000F80B0000}"/>
    <cellStyle name="Output 2 2" xfId="2763" xr:uid="{00000000-0005-0000-0000-0000F90B0000}"/>
    <cellStyle name="Output 2 2 2" xfId="3436" xr:uid="{00000000-0005-0000-0000-0000FA0B0000}"/>
    <cellStyle name="Output 2 2 2 2" xfId="3652" xr:uid="{00000000-0005-0000-0000-0000FB0B0000}"/>
    <cellStyle name="Output 2 2 3" xfId="3457" xr:uid="{00000000-0005-0000-0000-0000FC0B0000}"/>
    <cellStyle name="Output 2 2 3 2" xfId="3673" xr:uid="{00000000-0005-0000-0000-0000FD0B0000}"/>
    <cellStyle name="Output 2 2 4" xfId="3582" xr:uid="{00000000-0005-0000-0000-0000FE0B0000}"/>
    <cellStyle name="Output 2 2 4 2" xfId="3766" xr:uid="{00000000-0005-0000-0000-0000FF0B0000}"/>
    <cellStyle name="Output 2 2 5" xfId="3453" xr:uid="{00000000-0005-0000-0000-0000000C0000}"/>
    <cellStyle name="Output 2 2 5 2" xfId="3669" xr:uid="{00000000-0005-0000-0000-0000010C0000}"/>
    <cellStyle name="Output 2 2 6" xfId="3585" xr:uid="{00000000-0005-0000-0000-0000020C0000}"/>
    <cellStyle name="Output 2 2 6 2" xfId="3769" xr:uid="{00000000-0005-0000-0000-0000030C0000}"/>
    <cellStyle name="Output 2 2 7" xfId="3531" xr:uid="{00000000-0005-0000-0000-0000040C0000}"/>
    <cellStyle name="Output 2 3" xfId="2764" xr:uid="{00000000-0005-0000-0000-0000050C0000}"/>
    <cellStyle name="Output 2 3 2" xfId="3437" xr:uid="{00000000-0005-0000-0000-0000060C0000}"/>
    <cellStyle name="Output 2 3 2 2" xfId="3653" xr:uid="{00000000-0005-0000-0000-0000070C0000}"/>
    <cellStyle name="Output 2 3 3" xfId="3456" xr:uid="{00000000-0005-0000-0000-0000080C0000}"/>
    <cellStyle name="Output 2 3 3 2" xfId="3672" xr:uid="{00000000-0005-0000-0000-0000090C0000}"/>
    <cellStyle name="Output 2 3 4" xfId="3583" xr:uid="{00000000-0005-0000-0000-00000A0C0000}"/>
    <cellStyle name="Output 2 3 4 2" xfId="3767" xr:uid="{00000000-0005-0000-0000-00000B0C0000}"/>
    <cellStyle name="Output 2 3 5" xfId="3452" xr:uid="{00000000-0005-0000-0000-00000C0C0000}"/>
    <cellStyle name="Output 2 3 5 2" xfId="3668" xr:uid="{00000000-0005-0000-0000-00000D0C0000}"/>
    <cellStyle name="Output 2 3 6" xfId="3586" xr:uid="{00000000-0005-0000-0000-00000E0C0000}"/>
    <cellStyle name="Output 2 3 6 2" xfId="3770" xr:uid="{00000000-0005-0000-0000-00000F0C0000}"/>
    <cellStyle name="Output 2 3 7" xfId="3532" xr:uid="{00000000-0005-0000-0000-0000100C0000}"/>
    <cellStyle name="Output 2 4" xfId="2765" xr:uid="{00000000-0005-0000-0000-0000110C0000}"/>
    <cellStyle name="Output 2 4 2" xfId="3438" xr:uid="{00000000-0005-0000-0000-0000120C0000}"/>
    <cellStyle name="Output 2 4 2 2" xfId="3654" xr:uid="{00000000-0005-0000-0000-0000130C0000}"/>
    <cellStyle name="Output 2 4 3" xfId="3455" xr:uid="{00000000-0005-0000-0000-0000140C0000}"/>
    <cellStyle name="Output 2 4 3 2" xfId="3671" xr:uid="{00000000-0005-0000-0000-0000150C0000}"/>
    <cellStyle name="Output 2 4 4" xfId="3584" xr:uid="{00000000-0005-0000-0000-0000160C0000}"/>
    <cellStyle name="Output 2 4 4 2" xfId="3768" xr:uid="{00000000-0005-0000-0000-0000170C0000}"/>
    <cellStyle name="Output 2 4 5" xfId="3451" xr:uid="{00000000-0005-0000-0000-0000180C0000}"/>
    <cellStyle name="Output 2 4 5 2" xfId="3667" xr:uid="{00000000-0005-0000-0000-0000190C0000}"/>
    <cellStyle name="Output 2 4 6" xfId="3587" xr:uid="{00000000-0005-0000-0000-00001A0C0000}"/>
    <cellStyle name="Output 2 4 6 2" xfId="3771" xr:uid="{00000000-0005-0000-0000-00001B0C0000}"/>
    <cellStyle name="Output 2 4 7" xfId="3533" xr:uid="{00000000-0005-0000-0000-00001C0C0000}"/>
    <cellStyle name="Output 2 5" xfId="3435" xr:uid="{00000000-0005-0000-0000-00001D0C0000}"/>
    <cellStyle name="Output 2 5 2" xfId="3651" xr:uid="{00000000-0005-0000-0000-00001E0C0000}"/>
    <cellStyle name="Output 2 6" xfId="3458" xr:uid="{00000000-0005-0000-0000-00001F0C0000}"/>
    <cellStyle name="Output 2 6 2" xfId="3674" xr:uid="{00000000-0005-0000-0000-0000200C0000}"/>
    <cellStyle name="Output 2 7" xfId="3581" xr:uid="{00000000-0005-0000-0000-0000210C0000}"/>
    <cellStyle name="Output 2 7 2" xfId="3765" xr:uid="{00000000-0005-0000-0000-0000220C0000}"/>
    <cellStyle name="Output 2 8" xfId="3454" xr:uid="{00000000-0005-0000-0000-0000230C0000}"/>
    <cellStyle name="Output 2 8 2" xfId="3670" xr:uid="{00000000-0005-0000-0000-0000240C0000}"/>
    <cellStyle name="Output 2 9" xfId="3608" xr:uid="{00000000-0005-0000-0000-0000250C0000}"/>
    <cellStyle name="Output 2 9 2" xfId="3786" xr:uid="{00000000-0005-0000-0000-0000260C0000}"/>
    <cellStyle name="Percent 10" xfId="2766" xr:uid="{00000000-0005-0000-0000-0000270C0000}"/>
    <cellStyle name="Percent 10 2" xfId="2767" xr:uid="{00000000-0005-0000-0000-0000280C0000}"/>
    <cellStyle name="Percent 11" xfId="2768" xr:uid="{00000000-0005-0000-0000-0000290C0000}"/>
    <cellStyle name="Percent 12" xfId="2769" xr:uid="{00000000-0005-0000-0000-00002A0C0000}"/>
    <cellStyle name="Percent 12 2" xfId="2770" xr:uid="{00000000-0005-0000-0000-00002B0C0000}"/>
    <cellStyle name="Percent 13" xfId="2771" xr:uid="{00000000-0005-0000-0000-00002C0C0000}"/>
    <cellStyle name="Percent 14" xfId="2772" xr:uid="{00000000-0005-0000-0000-00002D0C0000}"/>
    <cellStyle name="Percent 2" xfId="2773" xr:uid="{00000000-0005-0000-0000-00002E0C0000}"/>
    <cellStyle name="Percent 2 2" xfId="2774" xr:uid="{00000000-0005-0000-0000-00002F0C0000}"/>
    <cellStyle name="Percent 2 3" xfId="2775" xr:uid="{00000000-0005-0000-0000-0000300C0000}"/>
    <cellStyle name="Percent 3" xfId="2776" xr:uid="{00000000-0005-0000-0000-0000310C0000}"/>
    <cellStyle name="Percent 3 10" xfId="2777" xr:uid="{00000000-0005-0000-0000-0000320C0000}"/>
    <cellStyle name="Percent 3 10 2" xfId="2778" xr:uid="{00000000-0005-0000-0000-0000330C0000}"/>
    <cellStyle name="Percent 3 11" xfId="2779" xr:uid="{00000000-0005-0000-0000-0000340C0000}"/>
    <cellStyle name="Percent 3 11 2" xfId="2780" xr:uid="{00000000-0005-0000-0000-0000350C0000}"/>
    <cellStyle name="Percent 3 12" xfId="2781" xr:uid="{00000000-0005-0000-0000-0000360C0000}"/>
    <cellStyle name="Percent 3 12 2" xfId="2782" xr:uid="{00000000-0005-0000-0000-0000370C0000}"/>
    <cellStyle name="Percent 3 13" xfId="2783" xr:uid="{00000000-0005-0000-0000-0000380C0000}"/>
    <cellStyle name="Percent 3 2" xfId="2784" xr:uid="{00000000-0005-0000-0000-0000390C0000}"/>
    <cellStyle name="Percent 3 2 10" xfId="2785" xr:uid="{00000000-0005-0000-0000-00003A0C0000}"/>
    <cellStyle name="Percent 3 2 10 2" xfId="2786" xr:uid="{00000000-0005-0000-0000-00003B0C0000}"/>
    <cellStyle name="Percent 3 2 11" xfId="2787" xr:uid="{00000000-0005-0000-0000-00003C0C0000}"/>
    <cellStyle name="Percent 3 2 11 2" xfId="2788" xr:uid="{00000000-0005-0000-0000-00003D0C0000}"/>
    <cellStyle name="Percent 3 2 12" xfId="2789" xr:uid="{00000000-0005-0000-0000-00003E0C0000}"/>
    <cellStyle name="Percent 3 2 2" xfId="2790" xr:uid="{00000000-0005-0000-0000-00003F0C0000}"/>
    <cellStyle name="Percent 3 2 2 2" xfId="2791" xr:uid="{00000000-0005-0000-0000-0000400C0000}"/>
    <cellStyle name="Percent 3 2 2 2 2" xfId="2792" xr:uid="{00000000-0005-0000-0000-0000410C0000}"/>
    <cellStyle name="Percent 3 2 2 2 2 2" xfId="2793" xr:uid="{00000000-0005-0000-0000-0000420C0000}"/>
    <cellStyle name="Percent 3 2 2 2 3" xfId="2794" xr:uid="{00000000-0005-0000-0000-0000430C0000}"/>
    <cellStyle name="Percent 3 2 2 3" xfId="2795" xr:uid="{00000000-0005-0000-0000-0000440C0000}"/>
    <cellStyle name="Percent 3 2 2 3 2" xfId="2796" xr:uid="{00000000-0005-0000-0000-0000450C0000}"/>
    <cellStyle name="Percent 3 2 2 3 2 2" xfId="2797" xr:uid="{00000000-0005-0000-0000-0000460C0000}"/>
    <cellStyle name="Percent 3 2 2 3 3" xfId="2798" xr:uid="{00000000-0005-0000-0000-0000470C0000}"/>
    <cellStyle name="Percent 3 2 2 4" xfId="2799" xr:uid="{00000000-0005-0000-0000-0000480C0000}"/>
    <cellStyle name="Percent 3 2 2 4 2" xfId="2800" xr:uid="{00000000-0005-0000-0000-0000490C0000}"/>
    <cellStyle name="Percent 3 2 2 4 2 2" xfId="2801" xr:uid="{00000000-0005-0000-0000-00004A0C0000}"/>
    <cellStyle name="Percent 3 2 2 4 3" xfId="2802" xr:uid="{00000000-0005-0000-0000-00004B0C0000}"/>
    <cellStyle name="Percent 3 2 2 5" xfId="2803" xr:uid="{00000000-0005-0000-0000-00004C0C0000}"/>
    <cellStyle name="Percent 3 2 2 5 2" xfId="2804" xr:uid="{00000000-0005-0000-0000-00004D0C0000}"/>
    <cellStyle name="Percent 3 2 2 5 2 2" xfId="2805" xr:uid="{00000000-0005-0000-0000-00004E0C0000}"/>
    <cellStyle name="Percent 3 2 2 5 3" xfId="2806" xr:uid="{00000000-0005-0000-0000-00004F0C0000}"/>
    <cellStyle name="Percent 3 2 2 6" xfId="2807" xr:uid="{00000000-0005-0000-0000-0000500C0000}"/>
    <cellStyle name="Percent 3 2 2 6 2" xfId="2808" xr:uid="{00000000-0005-0000-0000-0000510C0000}"/>
    <cellStyle name="Percent 3 2 2 7" xfId="2809" xr:uid="{00000000-0005-0000-0000-0000520C0000}"/>
    <cellStyle name="Percent 3 2 2 7 2" xfId="2810" xr:uid="{00000000-0005-0000-0000-0000530C0000}"/>
    <cellStyle name="Percent 3 2 2 8" xfId="2811" xr:uid="{00000000-0005-0000-0000-0000540C0000}"/>
    <cellStyle name="Percent 3 2 2 8 2" xfId="2812" xr:uid="{00000000-0005-0000-0000-0000550C0000}"/>
    <cellStyle name="Percent 3 2 2 9" xfId="2813" xr:uid="{00000000-0005-0000-0000-0000560C0000}"/>
    <cellStyle name="Percent 3 2 3" xfId="2814" xr:uid="{00000000-0005-0000-0000-0000570C0000}"/>
    <cellStyle name="Percent 3 2 3 2" xfId="2815" xr:uid="{00000000-0005-0000-0000-0000580C0000}"/>
    <cellStyle name="Percent 3 2 3 2 2" xfId="2816" xr:uid="{00000000-0005-0000-0000-0000590C0000}"/>
    <cellStyle name="Percent 3 2 3 2 2 2" xfId="2817" xr:uid="{00000000-0005-0000-0000-00005A0C0000}"/>
    <cellStyle name="Percent 3 2 3 2 3" xfId="2818" xr:uid="{00000000-0005-0000-0000-00005B0C0000}"/>
    <cellStyle name="Percent 3 2 3 3" xfId="2819" xr:uid="{00000000-0005-0000-0000-00005C0C0000}"/>
    <cellStyle name="Percent 3 2 3 3 2" xfId="2820" xr:uid="{00000000-0005-0000-0000-00005D0C0000}"/>
    <cellStyle name="Percent 3 2 3 3 2 2" xfId="2821" xr:uid="{00000000-0005-0000-0000-00005E0C0000}"/>
    <cellStyle name="Percent 3 2 3 3 3" xfId="2822" xr:uid="{00000000-0005-0000-0000-00005F0C0000}"/>
    <cellStyle name="Percent 3 2 3 4" xfId="2823" xr:uid="{00000000-0005-0000-0000-0000600C0000}"/>
    <cellStyle name="Percent 3 2 3 4 2" xfId="2824" xr:uid="{00000000-0005-0000-0000-0000610C0000}"/>
    <cellStyle name="Percent 3 2 3 4 2 2" xfId="2825" xr:uid="{00000000-0005-0000-0000-0000620C0000}"/>
    <cellStyle name="Percent 3 2 3 4 3" xfId="2826" xr:uid="{00000000-0005-0000-0000-0000630C0000}"/>
    <cellStyle name="Percent 3 2 3 5" xfId="2827" xr:uid="{00000000-0005-0000-0000-0000640C0000}"/>
    <cellStyle name="Percent 3 2 3 5 2" xfId="2828" xr:uid="{00000000-0005-0000-0000-0000650C0000}"/>
    <cellStyle name="Percent 3 2 3 5 2 2" xfId="2829" xr:uid="{00000000-0005-0000-0000-0000660C0000}"/>
    <cellStyle name="Percent 3 2 3 5 3" xfId="2830" xr:uid="{00000000-0005-0000-0000-0000670C0000}"/>
    <cellStyle name="Percent 3 2 3 6" xfId="2831" xr:uid="{00000000-0005-0000-0000-0000680C0000}"/>
    <cellStyle name="Percent 3 2 3 6 2" xfId="2832" xr:uid="{00000000-0005-0000-0000-0000690C0000}"/>
    <cellStyle name="Percent 3 2 3 7" xfId="2833" xr:uid="{00000000-0005-0000-0000-00006A0C0000}"/>
    <cellStyle name="Percent 3 2 3 7 2" xfId="2834" xr:uid="{00000000-0005-0000-0000-00006B0C0000}"/>
    <cellStyle name="Percent 3 2 3 8" xfId="2835" xr:uid="{00000000-0005-0000-0000-00006C0C0000}"/>
    <cellStyle name="Percent 3 2 3 8 2" xfId="2836" xr:uid="{00000000-0005-0000-0000-00006D0C0000}"/>
    <cellStyle name="Percent 3 2 3 9" xfId="2837" xr:uid="{00000000-0005-0000-0000-00006E0C0000}"/>
    <cellStyle name="Percent 3 2 4" xfId="2838" xr:uid="{00000000-0005-0000-0000-00006F0C0000}"/>
    <cellStyle name="Percent 3 2 4 2" xfId="2839" xr:uid="{00000000-0005-0000-0000-0000700C0000}"/>
    <cellStyle name="Percent 3 2 4 2 2" xfId="2840" xr:uid="{00000000-0005-0000-0000-0000710C0000}"/>
    <cellStyle name="Percent 3 2 4 2 2 2" xfId="2841" xr:uid="{00000000-0005-0000-0000-0000720C0000}"/>
    <cellStyle name="Percent 3 2 4 2 3" xfId="2842" xr:uid="{00000000-0005-0000-0000-0000730C0000}"/>
    <cellStyle name="Percent 3 2 4 3" xfId="2843" xr:uid="{00000000-0005-0000-0000-0000740C0000}"/>
    <cellStyle name="Percent 3 2 4 3 2" xfId="2844" xr:uid="{00000000-0005-0000-0000-0000750C0000}"/>
    <cellStyle name="Percent 3 2 4 3 2 2" xfId="2845" xr:uid="{00000000-0005-0000-0000-0000760C0000}"/>
    <cellStyle name="Percent 3 2 4 3 3" xfId="2846" xr:uid="{00000000-0005-0000-0000-0000770C0000}"/>
    <cellStyle name="Percent 3 2 4 4" xfId="2847" xr:uid="{00000000-0005-0000-0000-0000780C0000}"/>
    <cellStyle name="Percent 3 2 4 4 2" xfId="2848" xr:uid="{00000000-0005-0000-0000-0000790C0000}"/>
    <cellStyle name="Percent 3 2 4 4 2 2" xfId="2849" xr:uid="{00000000-0005-0000-0000-00007A0C0000}"/>
    <cellStyle name="Percent 3 2 4 4 3" xfId="2850" xr:uid="{00000000-0005-0000-0000-00007B0C0000}"/>
    <cellStyle name="Percent 3 2 4 5" xfId="2851" xr:uid="{00000000-0005-0000-0000-00007C0C0000}"/>
    <cellStyle name="Percent 3 2 4 5 2" xfId="2852" xr:uid="{00000000-0005-0000-0000-00007D0C0000}"/>
    <cellStyle name="Percent 3 2 4 5 2 2" xfId="2853" xr:uid="{00000000-0005-0000-0000-00007E0C0000}"/>
    <cellStyle name="Percent 3 2 4 5 3" xfId="2854" xr:uid="{00000000-0005-0000-0000-00007F0C0000}"/>
    <cellStyle name="Percent 3 2 4 6" xfId="2855" xr:uid="{00000000-0005-0000-0000-0000800C0000}"/>
    <cellStyle name="Percent 3 2 4 6 2" xfId="2856" xr:uid="{00000000-0005-0000-0000-0000810C0000}"/>
    <cellStyle name="Percent 3 2 4 7" xfId="2857" xr:uid="{00000000-0005-0000-0000-0000820C0000}"/>
    <cellStyle name="Percent 3 2 4 7 2" xfId="2858" xr:uid="{00000000-0005-0000-0000-0000830C0000}"/>
    <cellStyle name="Percent 3 2 4 8" xfId="2859" xr:uid="{00000000-0005-0000-0000-0000840C0000}"/>
    <cellStyle name="Percent 3 2 4 8 2" xfId="2860" xr:uid="{00000000-0005-0000-0000-0000850C0000}"/>
    <cellStyle name="Percent 3 2 4 9" xfId="2861" xr:uid="{00000000-0005-0000-0000-0000860C0000}"/>
    <cellStyle name="Percent 3 2 5" xfId="2862" xr:uid="{00000000-0005-0000-0000-0000870C0000}"/>
    <cellStyle name="Percent 3 2 5 2" xfId="2863" xr:uid="{00000000-0005-0000-0000-0000880C0000}"/>
    <cellStyle name="Percent 3 2 5 2 2" xfId="2864" xr:uid="{00000000-0005-0000-0000-0000890C0000}"/>
    <cellStyle name="Percent 3 2 5 3" xfId="2865" xr:uid="{00000000-0005-0000-0000-00008A0C0000}"/>
    <cellStyle name="Percent 3 2 6" xfId="2866" xr:uid="{00000000-0005-0000-0000-00008B0C0000}"/>
    <cellStyle name="Percent 3 2 6 2" xfId="2867" xr:uid="{00000000-0005-0000-0000-00008C0C0000}"/>
    <cellStyle name="Percent 3 2 6 2 2" xfId="2868" xr:uid="{00000000-0005-0000-0000-00008D0C0000}"/>
    <cellStyle name="Percent 3 2 6 3" xfId="2869" xr:uid="{00000000-0005-0000-0000-00008E0C0000}"/>
    <cellStyle name="Percent 3 2 7" xfId="2870" xr:uid="{00000000-0005-0000-0000-00008F0C0000}"/>
    <cellStyle name="Percent 3 2 7 2" xfId="2871" xr:uid="{00000000-0005-0000-0000-0000900C0000}"/>
    <cellStyle name="Percent 3 2 7 2 2" xfId="2872" xr:uid="{00000000-0005-0000-0000-0000910C0000}"/>
    <cellStyle name="Percent 3 2 7 3" xfId="2873" xr:uid="{00000000-0005-0000-0000-0000920C0000}"/>
    <cellStyle name="Percent 3 2 8" xfId="2874" xr:uid="{00000000-0005-0000-0000-0000930C0000}"/>
    <cellStyle name="Percent 3 2 8 2" xfId="2875" xr:uid="{00000000-0005-0000-0000-0000940C0000}"/>
    <cellStyle name="Percent 3 2 8 2 2" xfId="2876" xr:uid="{00000000-0005-0000-0000-0000950C0000}"/>
    <cellStyle name="Percent 3 2 8 3" xfId="2877" xr:uid="{00000000-0005-0000-0000-0000960C0000}"/>
    <cellStyle name="Percent 3 2 9" xfId="2878" xr:uid="{00000000-0005-0000-0000-0000970C0000}"/>
    <cellStyle name="Percent 3 2 9 2" xfId="2879" xr:uid="{00000000-0005-0000-0000-0000980C0000}"/>
    <cellStyle name="Percent 3 3" xfId="2880" xr:uid="{00000000-0005-0000-0000-0000990C0000}"/>
    <cellStyle name="Percent 3 3 2" xfId="2881" xr:uid="{00000000-0005-0000-0000-00009A0C0000}"/>
    <cellStyle name="Percent 3 3 2 2" xfId="2882" xr:uid="{00000000-0005-0000-0000-00009B0C0000}"/>
    <cellStyle name="Percent 3 3 2 2 2" xfId="2883" xr:uid="{00000000-0005-0000-0000-00009C0C0000}"/>
    <cellStyle name="Percent 3 3 2 3" xfId="2884" xr:uid="{00000000-0005-0000-0000-00009D0C0000}"/>
    <cellStyle name="Percent 3 3 3" xfId="2885" xr:uid="{00000000-0005-0000-0000-00009E0C0000}"/>
    <cellStyle name="Percent 3 3 3 2" xfId="2886" xr:uid="{00000000-0005-0000-0000-00009F0C0000}"/>
    <cellStyle name="Percent 3 3 3 2 2" xfId="2887" xr:uid="{00000000-0005-0000-0000-0000A00C0000}"/>
    <cellStyle name="Percent 3 3 3 3" xfId="2888" xr:uid="{00000000-0005-0000-0000-0000A10C0000}"/>
    <cellStyle name="Percent 3 3 4" xfId="2889" xr:uid="{00000000-0005-0000-0000-0000A20C0000}"/>
    <cellStyle name="Percent 3 3 4 2" xfId="2890" xr:uid="{00000000-0005-0000-0000-0000A30C0000}"/>
    <cellStyle name="Percent 3 3 4 2 2" xfId="2891" xr:uid="{00000000-0005-0000-0000-0000A40C0000}"/>
    <cellStyle name="Percent 3 3 4 3" xfId="2892" xr:uid="{00000000-0005-0000-0000-0000A50C0000}"/>
    <cellStyle name="Percent 3 3 5" xfId="2893" xr:uid="{00000000-0005-0000-0000-0000A60C0000}"/>
    <cellStyle name="Percent 3 3 5 2" xfId="2894" xr:uid="{00000000-0005-0000-0000-0000A70C0000}"/>
    <cellStyle name="Percent 3 3 5 2 2" xfId="2895" xr:uid="{00000000-0005-0000-0000-0000A80C0000}"/>
    <cellStyle name="Percent 3 3 5 3" xfId="2896" xr:uid="{00000000-0005-0000-0000-0000A90C0000}"/>
    <cellStyle name="Percent 3 3 6" xfId="2897" xr:uid="{00000000-0005-0000-0000-0000AA0C0000}"/>
    <cellStyle name="Percent 3 3 6 2" xfId="2898" xr:uid="{00000000-0005-0000-0000-0000AB0C0000}"/>
    <cellStyle name="Percent 3 3 7" xfId="2899" xr:uid="{00000000-0005-0000-0000-0000AC0C0000}"/>
    <cellStyle name="Percent 3 3 7 2" xfId="2900" xr:uid="{00000000-0005-0000-0000-0000AD0C0000}"/>
    <cellStyle name="Percent 3 3 8" xfId="2901" xr:uid="{00000000-0005-0000-0000-0000AE0C0000}"/>
    <cellStyle name="Percent 3 3 8 2" xfId="2902" xr:uid="{00000000-0005-0000-0000-0000AF0C0000}"/>
    <cellStyle name="Percent 3 3 9" xfId="2903" xr:uid="{00000000-0005-0000-0000-0000B00C0000}"/>
    <cellStyle name="Percent 3 4" xfId="2904" xr:uid="{00000000-0005-0000-0000-0000B10C0000}"/>
    <cellStyle name="Percent 3 4 2" xfId="2905" xr:uid="{00000000-0005-0000-0000-0000B20C0000}"/>
    <cellStyle name="Percent 3 4 2 2" xfId="2906" xr:uid="{00000000-0005-0000-0000-0000B30C0000}"/>
    <cellStyle name="Percent 3 4 2 2 2" xfId="2907" xr:uid="{00000000-0005-0000-0000-0000B40C0000}"/>
    <cellStyle name="Percent 3 4 2 3" xfId="2908" xr:uid="{00000000-0005-0000-0000-0000B50C0000}"/>
    <cellStyle name="Percent 3 4 3" xfId="2909" xr:uid="{00000000-0005-0000-0000-0000B60C0000}"/>
    <cellStyle name="Percent 3 4 3 2" xfId="2910" xr:uid="{00000000-0005-0000-0000-0000B70C0000}"/>
    <cellStyle name="Percent 3 4 3 2 2" xfId="2911" xr:uid="{00000000-0005-0000-0000-0000B80C0000}"/>
    <cellStyle name="Percent 3 4 3 3" xfId="2912" xr:uid="{00000000-0005-0000-0000-0000B90C0000}"/>
    <cellStyle name="Percent 3 4 4" xfId="2913" xr:uid="{00000000-0005-0000-0000-0000BA0C0000}"/>
    <cellStyle name="Percent 3 4 4 2" xfId="2914" xr:uid="{00000000-0005-0000-0000-0000BB0C0000}"/>
    <cellStyle name="Percent 3 4 4 2 2" xfId="2915" xr:uid="{00000000-0005-0000-0000-0000BC0C0000}"/>
    <cellStyle name="Percent 3 4 4 3" xfId="2916" xr:uid="{00000000-0005-0000-0000-0000BD0C0000}"/>
    <cellStyle name="Percent 3 4 5" xfId="2917" xr:uid="{00000000-0005-0000-0000-0000BE0C0000}"/>
    <cellStyle name="Percent 3 4 5 2" xfId="2918" xr:uid="{00000000-0005-0000-0000-0000BF0C0000}"/>
    <cellStyle name="Percent 3 4 5 2 2" xfId="2919" xr:uid="{00000000-0005-0000-0000-0000C00C0000}"/>
    <cellStyle name="Percent 3 4 5 3" xfId="2920" xr:uid="{00000000-0005-0000-0000-0000C10C0000}"/>
    <cellStyle name="Percent 3 4 6" xfId="2921" xr:uid="{00000000-0005-0000-0000-0000C20C0000}"/>
    <cellStyle name="Percent 3 4 6 2" xfId="2922" xr:uid="{00000000-0005-0000-0000-0000C30C0000}"/>
    <cellStyle name="Percent 3 4 7" xfId="2923" xr:uid="{00000000-0005-0000-0000-0000C40C0000}"/>
    <cellStyle name="Percent 3 4 7 2" xfId="2924" xr:uid="{00000000-0005-0000-0000-0000C50C0000}"/>
    <cellStyle name="Percent 3 4 8" xfId="2925" xr:uid="{00000000-0005-0000-0000-0000C60C0000}"/>
    <cellStyle name="Percent 3 4 8 2" xfId="2926" xr:uid="{00000000-0005-0000-0000-0000C70C0000}"/>
    <cellStyle name="Percent 3 4 9" xfId="2927" xr:uid="{00000000-0005-0000-0000-0000C80C0000}"/>
    <cellStyle name="Percent 3 5" xfId="2928" xr:uid="{00000000-0005-0000-0000-0000C90C0000}"/>
    <cellStyle name="Percent 3 5 2" xfId="2929" xr:uid="{00000000-0005-0000-0000-0000CA0C0000}"/>
    <cellStyle name="Percent 3 5 2 2" xfId="2930" xr:uid="{00000000-0005-0000-0000-0000CB0C0000}"/>
    <cellStyle name="Percent 3 5 2 2 2" xfId="2931" xr:uid="{00000000-0005-0000-0000-0000CC0C0000}"/>
    <cellStyle name="Percent 3 5 2 3" xfId="2932" xr:uid="{00000000-0005-0000-0000-0000CD0C0000}"/>
    <cellStyle name="Percent 3 5 3" xfId="2933" xr:uid="{00000000-0005-0000-0000-0000CE0C0000}"/>
    <cellStyle name="Percent 3 5 3 2" xfId="2934" xr:uid="{00000000-0005-0000-0000-0000CF0C0000}"/>
    <cellStyle name="Percent 3 5 3 2 2" xfId="2935" xr:uid="{00000000-0005-0000-0000-0000D00C0000}"/>
    <cellStyle name="Percent 3 5 3 3" xfId="2936" xr:uid="{00000000-0005-0000-0000-0000D10C0000}"/>
    <cellStyle name="Percent 3 5 4" xfId="2937" xr:uid="{00000000-0005-0000-0000-0000D20C0000}"/>
    <cellStyle name="Percent 3 5 4 2" xfId="2938" xr:uid="{00000000-0005-0000-0000-0000D30C0000}"/>
    <cellStyle name="Percent 3 5 4 2 2" xfId="2939" xr:uid="{00000000-0005-0000-0000-0000D40C0000}"/>
    <cellStyle name="Percent 3 5 4 3" xfId="2940" xr:uid="{00000000-0005-0000-0000-0000D50C0000}"/>
    <cellStyle name="Percent 3 5 5" xfId="2941" xr:uid="{00000000-0005-0000-0000-0000D60C0000}"/>
    <cellStyle name="Percent 3 5 5 2" xfId="2942" xr:uid="{00000000-0005-0000-0000-0000D70C0000}"/>
    <cellStyle name="Percent 3 5 5 2 2" xfId="2943" xr:uid="{00000000-0005-0000-0000-0000D80C0000}"/>
    <cellStyle name="Percent 3 5 5 3" xfId="2944" xr:uid="{00000000-0005-0000-0000-0000D90C0000}"/>
    <cellStyle name="Percent 3 5 6" xfId="2945" xr:uid="{00000000-0005-0000-0000-0000DA0C0000}"/>
    <cellStyle name="Percent 3 5 6 2" xfId="2946" xr:uid="{00000000-0005-0000-0000-0000DB0C0000}"/>
    <cellStyle name="Percent 3 5 7" xfId="2947" xr:uid="{00000000-0005-0000-0000-0000DC0C0000}"/>
    <cellStyle name="Percent 3 5 7 2" xfId="2948" xr:uid="{00000000-0005-0000-0000-0000DD0C0000}"/>
    <cellStyle name="Percent 3 5 8" xfId="2949" xr:uid="{00000000-0005-0000-0000-0000DE0C0000}"/>
    <cellStyle name="Percent 3 5 8 2" xfId="2950" xr:uid="{00000000-0005-0000-0000-0000DF0C0000}"/>
    <cellStyle name="Percent 3 5 9" xfId="2951" xr:uid="{00000000-0005-0000-0000-0000E00C0000}"/>
    <cellStyle name="Percent 3 6" xfId="2952" xr:uid="{00000000-0005-0000-0000-0000E10C0000}"/>
    <cellStyle name="Percent 3 6 2" xfId="2953" xr:uid="{00000000-0005-0000-0000-0000E20C0000}"/>
    <cellStyle name="Percent 3 6 2 2" xfId="2954" xr:uid="{00000000-0005-0000-0000-0000E30C0000}"/>
    <cellStyle name="Percent 3 6 3" xfId="2955" xr:uid="{00000000-0005-0000-0000-0000E40C0000}"/>
    <cellStyle name="Percent 3 7" xfId="2956" xr:uid="{00000000-0005-0000-0000-0000E50C0000}"/>
    <cellStyle name="Percent 3 7 2" xfId="2957" xr:uid="{00000000-0005-0000-0000-0000E60C0000}"/>
    <cellStyle name="Percent 3 7 2 2" xfId="2958" xr:uid="{00000000-0005-0000-0000-0000E70C0000}"/>
    <cellStyle name="Percent 3 7 3" xfId="2959" xr:uid="{00000000-0005-0000-0000-0000E80C0000}"/>
    <cellStyle name="Percent 3 8" xfId="2960" xr:uid="{00000000-0005-0000-0000-0000E90C0000}"/>
    <cellStyle name="Percent 3 8 2" xfId="2961" xr:uid="{00000000-0005-0000-0000-0000EA0C0000}"/>
    <cellStyle name="Percent 3 8 2 2" xfId="2962" xr:uid="{00000000-0005-0000-0000-0000EB0C0000}"/>
    <cellStyle name="Percent 3 8 3" xfId="2963" xr:uid="{00000000-0005-0000-0000-0000EC0C0000}"/>
    <cellStyle name="Percent 3 9" xfId="2964" xr:uid="{00000000-0005-0000-0000-0000ED0C0000}"/>
    <cellStyle name="Percent 3 9 2" xfId="2965" xr:uid="{00000000-0005-0000-0000-0000EE0C0000}"/>
    <cellStyle name="Percent 3 9 2 2" xfId="2966" xr:uid="{00000000-0005-0000-0000-0000EF0C0000}"/>
    <cellStyle name="Percent 3 9 3" xfId="2967" xr:uid="{00000000-0005-0000-0000-0000F00C0000}"/>
    <cellStyle name="Percent 4" xfId="2968" xr:uid="{00000000-0005-0000-0000-0000F10C0000}"/>
    <cellStyle name="Percent 4 10" xfId="2969" xr:uid="{00000000-0005-0000-0000-0000F20C0000}"/>
    <cellStyle name="Percent 4 10 2" xfId="2970" xr:uid="{00000000-0005-0000-0000-0000F30C0000}"/>
    <cellStyle name="Percent 4 11" xfId="2971" xr:uid="{00000000-0005-0000-0000-0000F40C0000}"/>
    <cellStyle name="Percent 4 11 2" xfId="2972" xr:uid="{00000000-0005-0000-0000-0000F50C0000}"/>
    <cellStyle name="Percent 4 12" xfId="2973" xr:uid="{00000000-0005-0000-0000-0000F60C0000}"/>
    <cellStyle name="Percent 4 12 2" xfId="2974" xr:uid="{00000000-0005-0000-0000-0000F70C0000}"/>
    <cellStyle name="Percent 4 13" xfId="2975" xr:uid="{00000000-0005-0000-0000-0000F80C0000}"/>
    <cellStyle name="Percent 4 2" xfId="2976" xr:uid="{00000000-0005-0000-0000-0000F90C0000}"/>
    <cellStyle name="Percent 4 2 10" xfId="2977" xr:uid="{00000000-0005-0000-0000-0000FA0C0000}"/>
    <cellStyle name="Percent 4 2 10 2" xfId="2978" xr:uid="{00000000-0005-0000-0000-0000FB0C0000}"/>
    <cellStyle name="Percent 4 2 11" xfId="2979" xr:uid="{00000000-0005-0000-0000-0000FC0C0000}"/>
    <cellStyle name="Percent 4 2 11 2" xfId="2980" xr:uid="{00000000-0005-0000-0000-0000FD0C0000}"/>
    <cellStyle name="Percent 4 2 12" xfId="2981" xr:uid="{00000000-0005-0000-0000-0000FE0C0000}"/>
    <cellStyle name="Percent 4 2 2" xfId="2982" xr:uid="{00000000-0005-0000-0000-0000FF0C0000}"/>
    <cellStyle name="Percent 4 2 2 2" xfId="2983" xr:uid="{00000000-0005-0000-0000-0000000D0000}"/>
    <cellStyle name="Percent 4 2 2 2 2" xfId="2984" xr:uid="{00000000-0005-0000-0000-0000010D0000}"/>
    <cellStyle name="Percent 4 2 2 2 2 2" xfId="2985" xr:uid="{00000000-0005-0000-0000-0000020D0000}"/>
    <cellStyle name="Percent 4 2 2 2 3" xfId="2986" xr:uid="{00000000-0005-0000-0000-0000030D0000}"/>
    <cellStyle name="Percent 4 2 2 3" xfId="2987" xr:uid="{00000000-0005-0000-0000-0000040D0000}"/>
    <cellStyle name="Percent 4 2 2 3 2" xfId="2988" xr:uid="{00000000-0005-0000-0000-0000050D0000}"/>
    <cellStyle name="Percent 4 2 2 3 2 2" xfId="2989" xr:uid="{00000000-0005-0000-0000-0000060D0000}"/>
    <cellStyle name="Percent 4 2 2 3 3" xfId="2990" xr:uid="{00000000-0005-0000-0000-0000070D0000}"/>
    <cellStyle name="Percent 4 2 2 4" xfId="2991" xr:uid="{00000000-0005-0000-0000-0000080D0000}"/>
    <cellStyle name="Percent 4 2 2 4 2" xfId="2992" xr:uid="{00000000-0005-0000-0000-0000090D0000}"/>
    <cellStyle name="Percent 4 2 2 4 2 2" xfId="2993" xr:uid="{00000000-0005-0000-0000-00000A0D0000}"/>
    <cellStyle name="Percent 4 2 2 4 3" xfId="2994" xr:uid="{00000000-0005-0000-0000-00000B0D0000}"/>
    <cellStyle name="Percent 4 2 2 5" xfId="2995" xr:uid="{00000000-0005-0000-0000-00000C0D0000}"/>
    <cellStyle name="Percent 4 2 2 5 2" xfId="2996" xr:uid="{00000000-0005-0000-0000-00000D0D0000}"/>
    <cellStyle name="Percent 4 2 2 5 2 2" xfId="2997" xr:uid="{00000000-0005-0000-0000-00000E0D0000}"/>
    <cellStyle name="Percent 4 2 2 5 3" xfId="2998" xr:uid="{00000000-0005-0000-0000-00000F0D0000}"/>
    <cellStyle name="Percent 4 2 2 6" xfId="2999" xr:uid="{00000000-0005-0000-0000-0000100D0000}"/>
    <cellStyle name="Percent 4 2 2 6 2" xfId="3000" xr:uid="{00000000-0005-0000-0000-0000110D0000}"/>
    <cellStyle name="Percent 4 2 2 7" xfId="3001" xr:uid="{00000000-0005-0000-0000-0000120D0000}"/>
    <cellStyle name="Percent 4 2 2 7 2" xfId="3002" xr:uid="{00000000-0005-0000-0000-0000130D0000}"/>
    <cellStyle name="Percent 4 2 2 8" xfId="3003" xr:uid="{00000000-0005-0000-0000-0000140D0000}"/>
    <cellStyle name="Percent 4 2 2 8 2" xfId="3004" xr:uid="{00000000-0005-0000-0000-0000150D0000}"/>
    <cellStyle name="Percent 4 2 2 9" xfId="3005" xr:uid="{00000000-0005-0000-0000-0000160D0000}"/>
    <cellStyle name="Percent 4 2 3" xfId="3006" xr:uid="{00000000-0005-0000-0000-0000170D0000}"/>
    <cellStyle name="Percent 4 2 3 2" xfId="3007" xr:uid="{00000000-0005-0000-0000-0000180D0000}"/>
    <cellStyle name="Percent 4 2 3 2 2" xfId="3008" xr:uid="{00000000-0005-0000-0000-0000190D0000}"/>
    <cellStyle name="Percent 4 2 3 2 2 2" xfId="3009" xr:uid="{00000000-0005-0000-0000-00001A0D0000}"/>
    <cellStyle name="Percent 4 2 3 2 3" xfId="3010" xr:uid="{00000000-0005-0000-0000-00001B0D0000}"/>
    <cellStyle name="Percent 4 2 3 3" xfId="3011" xr:uid="{00000000-0005-0000-0000-00001C0D0000}"/>
    <cellStyle name="Percent 4 2 3 3 2" xfId="3012" xr:uid="{00000000-0005-0000-0000-00001D0D0000}"/>
    <cellStyle name="Percent 4 2 3 3 2 2" xfId="3013" xr:uid="{00000000-0005-0000-0000-00001E0D0000}"/>
    <cellStyle name="Percent 4 2 3 3 3" xfId="3014" xr:uid="{00000000-0005-0000-0000-00001F0D0000}"/>
    <cellStyle name="Percent 4 2 3 4" xfId="3015" xr:uid="{00000000-0005-0000-0000-0000200D0000}"/>
    <cellStyle name="Percent 4 2 3 4 2" xfId="3016" xr:uid="{00000000-0005-0000-0000-0000210D0000}"/>
    <cellStyle name="Percent 4 2 3 4 2 2" xfId="3017" xr:uid="{00000000-0005-0000-0000-0000220D0000}"/>
    <cellStyle name="Percent 4 2 3 4 3" xfId="3018" xr:uid="{00000000-0005-0000-0000-0000230D0000}"/>
    <cellStyle name="Percent 4 2 3 5" xfId="3019" xr:uid="{00000000-0005-0000-0000-0000240D0000}"/>
    <cellStyle name="Percent 4 2 3 5 2" xfId="3020" xr:uid="{00000000-0005-0000-0000-0000250D0000}"/>
    <cellStyle name="Percent 4 2 3 5 2 2" xfId="3021" xr:uid="{00000000-0005-0000-0000-0000260D0000}"/>
    <cellStyle name="Percent 4 2 3 5 3" xfId="3022" xr:uid="{00000000-0005-0000-0000-0000270D0000}"/>
    <cellStyle name="Percent 4 2 3 6" xfId="3023" xr:uid="{00000000-0005-0000-0000-0000280D0000}"/>
    <cellStyle name="Percent 4 2 3 6 2" xfId="3024" xr:uid="{00000000-0005-0000-0000-0000290D0000}"/>
    <cellStyle name="Percent 4 2 3 7" xfId="3025" xr:uid="{00000000-0005-0000-0000-00002A0D0000}"/>
    <cellStyle name="Percent 4 2 3 7 2" xfId="3026" xr:uid="{00000000-0005-0000-0000-00002B0D0000}"/>
    <cellStyle name="Percent 4 2 3 8" xfId="3027" xr:uid="{00000000-0005-0000-0000-00002C0D0000}"/>
    <cellStyle name="Percent 4 2 3 8 2" xfId="3028" xr:uid="{00000000-0005-0000-0000-00002D0D0000}"/>
    <cellStyle name="Percent 4 2 3 9" xfId="3029" xr:uid="{00000000-0005-0000-0000-00002E0D0000}"/>
    <cellStyle name="Percent 4 2 4" xfId="3030" xr:uid="{00000000-0005-0000-0000-00002F0D0000}"/>
    <cellStyle name="Percent 4 2 4 2" xfId="3031" xr:uid="{00000000-0005-0000-0000-0000300D0000}"/>
    <cellStyle name="Percent 4 2 4 2 2" xfId="3032" xr:uid="{00000000-0005-0000-0000-0000310D0000}"/>
    <cellStyle name="Percent 4 2 4 2 2 2" xfId="3033" xr:uid="{00000000-0005-0000-0000-0000320D0000}"/>
    <cellStyle name="Percent 4 2 4 2 3" xfId="3034" xr:uid="{00000000-0005-0000-0000-0000330D0000}"/>
    <cellStyle name="Percent 4 2 4 3" xfId="3035" xr:uid="{00000000-0005-0000-0000-0000340D0000}"/>
    <cellStyle name="Percent 4 2 4 3 2" xfId="3036" xr:uid="{00000000-0005-0000-0000-0000350D0000}"/>
    <cellStyle name="Percent 4 2 4 3 2 2" xfId="3037" xr:uid="{00000000-0005-0000-0000-0000360D0000}"/>
    <cellStyle name="Percent 4 2 4 3 3" xfId="3038" xr:uid="{00000000-0005-0000-0000-0000370D0000}"/>
    <cellStyle name="Percent 4 2 4 4" xfId="3039" xr:uid="{00000000-0005-0000-0000-0000380D0000}"/>
    <cellStyle name="Percent 4 2 4 4 2" xfId="3040" xr:uid="{00000000-0005-0000-0000-0000390D0000}"/>
    <cellStyle name="Percent 4 2 4 4 2 2" xfId="3041" xr:uid="{00000000-0005-0000-0000-00003A0D0000}"/>
    <cellStyle name="Percent 4 2 4 4 3" xfId="3042" xr:uid="{00000000-0005-0000-0000-00003B0D0000}"/>
    <cellStyle name="Percent 4 2 4 5" xfId="3043" xr:uid="{00000000-0005-0000-0000-00003C0D0000}"/>
    <cellStyle name="Percent 4 2 4 5 2" xfId="3044" xr:uid="{00000000-0005-0000-0000-00003D0D0000}"/>
    <cellStyle name="Percent 4 2 4 5 2 2" xfId="3045" xr:uid="{00000000-0005-0000-0000-00003E0D0000}"/>
    <cellStyle name="Percent 4 2 4 5 3" xfId="3046" xr:uid="{00000000-0005-0000-0000-00003F0D0000}"/>
    <cellStyle name="Percent 4 2 4 6" xfId="3047" xr:uid="{00000000-0005-0000-0000-0000400D0000}"/>
    <cellStyle name="Percent 4 2 4 6 2" xfId="3048" xr:uid="{00000000-0005-0000-0000-0000410D0000}"/>
    <cellStyle name="Percent 4 2 4 7" xfId="3049" xr:uid="{00000000-0005-0000-0000-0000420D0000}"/>
    <cellStyle name="Percent 4 2 4 7 2" xfId="3050" xr:uid="{00000000-0005-0000-0000-0000430D0000}"/>
    <cellStyle name="Percent 4 2 4 8" xfId="3051" xr:uid="{00000000-0005-0000-0000-0000440D0000}"/>
    <cellStyle name="Percent 4 2 4 8 2" xfId="3052" xr:uid="{00000000-0005-0000-0000-0000450D0000}"/>
    <cellStyle name="Percent 4 2 4 9" xfId="3053" xr:uid="{00000000-0005-0000-0000-0000460D0000}"/>
    <cellStyle name="Percent 4 2 5" xfId="3054" xr:uid="{00000000-0005-0000-0000-0000470D0000}"/>
    <cellStyle name="Percent 4 2 5 2" xfId="3055" xr:uid="{00000000-0005-0000-0000-0000480D0000}"/>
    <cellStyle name="Percent 4 2 5 2 2" xfId="3056" xr:uid="{00000000-0005-0000-0000-0000490D0000}"/>
    <cellStyle name="Percent 4 2 5 3" xfId="3057" xr:uid="{00000000-0005-0000-0000-00004A0D0000}"/>
    <cellStyle name="Percent 4 2 6" xfId="3058" xr:uid="{00000000-0005-0000-0000-00004B0D0000}"/>
    <cellStyle name="Percent 4 2 6 2" xfId="3059" xr:uid="{00000000-0005-0000-0000-00004C0D0000}"/>
    <cellStyle name="Percent 4 2 6 2 2" xfId="3060" xr:uid="{00000000-0005-0000-0000-00004D0D0000}"/>
    <cellStyle name="Percent 4 2 6 3" xfId="3061" xr:uid="{00000000-0005-0000-0000-00004E0D0000}"/>
    <cellStyle name="Percent 4 2 7" xfId="3062" xr:uid="{00000000-0005-0000-0000-00004F0D0000}"/>
    <cellStyle name="Percent 4 2 7 2" xfId="3063" xr:uid="{00000000-0005-0000-0000-0000500D0000}"/>
    <cellStyle name="Percent 4 2 7 2 2" xfId="3064" xr:uid="{00000000-0005-0000-0000-0000510D0000}"/>
    <cellStyle name="Percent 4 2 7 3" xfId="3065" xr:uid="{00000000-0005-0000-0000-0000520D0000}"/>
    <cellStyle name="Percent 4 2 8" xfId="3066" xr:uid="{00000000-0005-0000-0000-0000530D0000}"/>
    <cellStyle name="Percent 4 2 8 2" xfId="3067" xr:uid="{00000000-0005-0000-0000-0000540D0000}"/>
    <cellStyle name="Percent 4 2 8 2 2" xfId="3068" xr:uid="{00000000-0005-0000-0000-0000550D0000}"/>
    <cellStyle name="Percent 4 2 8 3" xfId="3069" xr:uid="{00000000-0005-0000-0000-0000560D0000}"/>
    <cellStyle name="Percent 4 2 9" xfId="3070" xr:uid="{00000000-0005-0000-0000-0000570D0000}"/>
    <cellStyle name="Percent 4 2 9 2" xfId="3071" xr:uid="{00000000-0005-0000-0000-0000580D0000}"/>
    <cellStyle name="Percent 4 3" xfId="3072" xr:uid="{00000000-0005-0000-0000-0000590D0000}"/>
    <cellStyle name="Percent 4 4" xfId="3073" xr:uid="{00000000-0005-0000-0000-00005A0D0000}"/>
    <cellStyle name="Percent 4 4 2" xfId="3074" xr:uid="{00000000-0005-0000-0000-00005B0D0000}"/>
    <cellStyle name="Percent 4 4 2 2" xfId="3075" xr:uid="{00000000-0005-0000-0000-00005C0D0000}"/>
    <cellStyle name="Percent 4 4 2 2 2" xfId="3076" xr:uid="{00000000-0005-0000-0000-00005D0D0000}"/>
    <cellStyle name="Percent 4 4 2 3" xfId="3077" xr:uid="{00000000-0005-0000-0000-00005E0D0000}"/>
    <cellStyle name="Percent 4 4 3" xfId="3078" xr:uid="{00000000-0005-0000-0000-00005F0D0000}"/>
    <cellStyle name="Percent 4 4 3 2" xfId="3079" xr:uid="{00000000-0005-0000-0000-0000600D0000}"/>
    <cellStyle name="Percent 4 4 3 2 2" xfId="3080" xr:uid="{00000000-0005-0000-0000-0000610D0000}"/>
    <cellStyle name="Percent 4 4 3 3" xfId="3081" xr:uid="{00000000-0005-0000-0000-0000620D0000}"/>
    <cellStyle name="Percent 4 4 4" xfId="3082" xr:uid="{00000000-0005-0000-0000-0000630D0000}"/>
    <cellStyle name="Percent 4 4 4 2" xfId="3083" xr:uid="{00000000-0005-0000-0000-0000640D0000}"/>
    <cellStyle name="Percent 4 4 4 2 2" xfId="3084" xr:uid="{00000000-0005-0000-0000-0000650D0000}"/>
    <cellStyle name="Percent 4 4 4 3" xfId="3085" xr:uid="{00000000-0005-0000-0000-0000660D0000}"/>
    <cellStyle name="Percent 4 4 5" xfId="3086" xr:uid="{00000000-0005-0000-0000-0000670D0000}"/>
    <cellStyle name="Percent 4 4 5 2" xfId="3087" xr:uid="{00000000-0005-0000-0000-0000680D0000}"/>
    <cellStyle name="Percent 4 4 5 2 2" xfId="3088" xr:uid="{00000000-0005-0000-0000-0000690D0000}"/>
    <cellStyle name="Percent 4 4 5 3" xfId="3089" xr:uid="{00000000-0005-0000-0000-00006A0D0000}"/>
    <cellStyle name="Percent 4 4 6" xfId="3090" xr:uid="{00000000-0005-0000-0000-00006B0D0000}"/>
    <cellStyle name="Percent 4 4 6 2" xfId="3091" xr:uid="{00000000-0005-0000-0000-00006C0D0000}"/>
    <cellStyle name="Percent 4 4 7" xfId="3092" xr:uid="{00000000-0005-0000-0000-00006D0D0000}"/>
    <cellStyle name="Percent 4 4 7 2" xfId="3093" xr:uid="{00000000-0005-0000-0000-00006E0D0000}"/>
    <cellStyle name="Percent 4 4 8" xfId="3094" xr:uid="{00000000-0005-0000-0000-00006F0D0000}"/>
    <cellStyle name="Percent 4 4 8 2" xfId="3095" xr:uid="{00000000-0005-0000-0000-0000700D0000}"/>
    <cellStyle name="Percent 4 4 9" xfId="3096" xr:uid="{00000000-0005-0000-0000-0000710D0000}"/>
    <cellStyle name="Percent 4 5" xfId="3097" xr:uid="{00000000-0005-0000-0000-0000720D0000}"/>
    <cellStyle name="Percent 4 5 2" xfId="3098" xr:uid="{00000000-0005-0000-0000-0000730D0000}"/>
    <cellStyle name="Percent 4 5 2 2" xfId="3099" xr:uid="{00000000-0005-0000-0000-0000740D0000}"/>
    <cellStyle name="Percent 4 5 2 2 2" xfId="3100" xr:uid="{00000000-0005-0000-0000-0000750D0000}"/>
    <cellStyle name="Percent 4 5 2 3" xfId="3101" xr:uid="{00000000-0005-0000-0000-0000760D0000}"/>
    <cellStyle name="Percent 4 5 3" xfId="3102" xr:uid="{00000000-0005-0000-0000-0000770D0000}"/>
    <cellStyle name="Percent 4 5 3 2" xfId="3103" xr:uid="{00000000-0005-0000-0000-0000780D0000}"/>
    <cellStyle name="Percent 4 5 3 2 2" xfId="3104" xr:uid="{00000000-0005-0000-0000-0000790D0000}"/>
    <cellStyle name="Percent 4 5 3 3" xfId="3105" xr:uid="{00000000-0005-0000-0000-00007A0D0000}"/>
    <cellStyle name="Percent 4 5 4" xfId="3106" xr:uid="{00000000-0005-0000-0000-00007B0D0000}"/>
    <cellStyle name="Percent 4 5 4 2" xfId="3107" xr:uid="{00000000-0005-0000-0000-00007C0D0000}"/>
    <cellStyle name="Percent 4 5 4 2 2" xfId="3108" xr:uid="{00000000-0005-0000-0000-00007D0D0000}"/>
    <cellStyle name="Percent 4 5 4 3" xfId="3109" xr:uid="{00000000-0005-0000-0000-00007E0D0000}"/>
    <cellStyle name="Percent 4 5 5" xfId="3110" xr:uid="{00000000-0005-0000-0000-00007F0D0000}"/>
    <cellStyle name="Percent 4 5 5 2" xfId="3111" xr:uid="{00000000-0005-0000-0000-0000800D0000}"/>
    <cellStyle name="Percent 4 5 5 2 2" xfId="3112" xr:uid="{00000000-0005-0000-0000-0000810D0000}"/>
    <cellStyle name="Percent 4 5 5 3" xfId="3113" xr:uid="{00000000-0005-0000-0000-0000820D0000}"/>
    <cellStyle name="Percent 4 5 6" xfId="3114" xr:uid="{00000000-0005-0000-0000-0000830D0000}"/>
    <cellStyle name="Percent 4 5 6 2" xfId="3115" xr:uid="{00000000-0005-0000-0000-0000840D0000}"/>
    <cellStyle name="Percent 4 5 7" xfId="3116" xr:uid="{00000000-0005-0000-0000-0000850D0000}"/>
    <cellStyle name="Percent 4 5 7 2" xfId="3117" xr:uid="{00000000-0005-0000-0000-0000860D0000}"/>
    <cellStyle name="Percent 4 5 8" xfId="3118" xr:uid="{00000000-0005-0000-0000-0000870D0000}"/>
    <cellStyle name="Percent 4 5 8 2" xfId="3119" xr:uid="{00000000-0005-0000-0000-0000880D0000}"/>
    <cellStyle name="Percent 4 5 9" xfId="3120" xr:uid="{00000000-0005-0000-0000-0000890D0000}"/>
    <cellStyle name="Percent 4 6" xfId="3121" xr:uid="{00000000-0005-0000-0000-00008A0D0000}"/>
    <cellStyle name="Percent 4 6 2" xfId="3122" xr:uid="{00000000-0005-0000-0000-00008B0D0000}"/>
    <cellStyle name="Percent 4 6 2 2" xfId="3123" xr:uid="{00000000-0005-0000-0000-00008C0D0000}"/>
    <cellStyle name="Percent 4 6 3" xfId="3124" xr:uid="{00000000-0005-0000-0000-00008D0D0000}"/>
    <cellStyle name="Percent 4 7" xfId="3125" xr:uid="{00000000-0005-0000-0000-00008E0D0000}"/>
    <cellStyle name="Percent 4 7 2" xfId="3126" xr:uid="{00000000-0005-0000-0000-00008F0D0000}"/>
    <cellStyle name="Percent 4 7 2 2" xfId="3127" xr:uid="{00000000-0005-0000-0000-0000900D0000}"/>
    <cellStyle name="Percent 4 7 3" xfId="3128" xr:uid="{00000000-0005-0000-0000-0000910D0000}"/>
    <cellStyle name="Percent 4 8" xfId="3129" xr:uid="{00000000-0005-0000-0000-0000920D0000}"/>
    <cellStyle name="Percent 4 8 2" xfId="3130" xr:uid="{00000000-0005-0000-0000-0000930D0000}"/>
    <cellStyle name="Percent 4 8 2 2" xfId="3131" xr:uid="{00000000-0005-0000-0000-0000940D0000}"/>
    <cellStyle name="Percent 4 8 3" xfId="3132" xr:uid="{00000000-0005-0000-0000-0000950D0000}"/>
    <cellStyle name="Percent 4 9" xfId="3133" xr:uid="{00000000-0005-0000-0000-0000960D0000}"/>
    <cellStyle name="Percent 4 9 2" xfId="3134" xr:uid="{00000000-0005-0000-0000-0000970D0000}"/>
    <cellStyle name="Percent 4 9 2 2" xfId="3135" xr:uid="{00000000-0005-0000-0000-0000980D0000}"/>
    <cellStyle name="Percent 4 9 3" xfId="3136" xr:uid="{00000000-0005-0000-0000-0000990D0000}"/>
    <cellStyle name="Percent 5" xfId="3137" xr:uid="{00000000-0005-0000-0000-00009A0D0000}"/>
    <cellStyle name="Percent 5 10" xfId="3138" xr:uid="{00000000-0005-0000-0000-00009B0D0000}"/>
    <cellStyle name="Percent 5 10 2" xfId="3139" xr:uid="{00000000-0005-0000-0000-00009C0D0000}"/>
    <cellStyle name="Percent 5 11" xfId="3140" xr:uid="{00000000-0005-0000-0000-00009D0D0000}"/>
    <cellStyle name="Percent 5 11 2" xfId="3141" xr:uid="{00000000-0005-0000-0000-00009E0D0000}"/>
    <cellStyle name="Percent 5 12" xfId="3142" xr:uid="{00000000-0005-0000-0000-00009F0D0000}"/>
    <cellStyle name="Percent 5 12 2" xfId="3143" xr:uid="{00000000-0005-0000-0000-0000A00D0000}"/>
    <cellStyle name="Percent 5 13" xfId="3144" xr:uid="{00000000-0005-0000-0000-0000A10D0000}"/>
    <cellStyle name="Percent 5 2" xfId="3145" xr:uid="{00000000-0005-0000-0000-0000A20D0000}"/>
    <cellStyle name="Percent 5 2 10" xfId="3146" xr:uid="{00000000-0005-0000-0000-0000A30D0000}"/>
    <cellStyle name="Percent 5 2 10 2" xfId="3147" xr:uid="{00000000-0005-0000-0000-0000A40D0000}"/>
    <cellStyle name="Percent 5 2 11" xfId="3148" xr:uid="{00000000-0005-0000-0000-0000A50D0000}"/>
    <cellStyle name="Percent 5 2 2" xfId="3149" xr:uid="{00000000-0005-0000-0000-0000A60D0000}"/>
    <cellStyle name="Percent 5 2 2 2" xfId="3150" xr:uid="{00000000-0005-0000-0000-0000A70D0000}"/>
    <cellStyle name="Percent 5 2 2 2 2" xfId="3151" xr:uid="{00000000-0005-0000-0000-0000A80D0000}"/>
    <cellStyle name="Percent 5 2 2 2 2 2" xfId="3152" xr:uid="{00000000-0005-0000-0000-0000A90D0000}"/>
    <cellStyle name="Percent 5 2 2 2 3" xfId="3153" xr:uid="{00000000-0005-0000-0000-0000AA0D0000}"/>
    <cellStyle name="Percent 5 2 2 3" xfId="3154" xr:uid="{00000000-0005-0000-0000-0000AB0D0000}"/>
    <cellStyle name="Percent 5 2 2 3 2" xfId="3155" xr:uid="{00000000-0005-0000-0000-0000AC0D0000}"/>
    <cellStyle name="Percent 5 2 2 3 2 2" xfId="3156" xr:uid="{00000000-0005-0000-0000-0000AD0D0000}"/>
    <cellStyle name="Percent 5 2 2 3 3" xfId="3157" xr:uid="{00000000-0005-0000-0000-0000AE0D0000}"/>
    <cellStyle name="Percent 5 2 2 4" xfId="3158" xr:uid="{00000000-0005-0000-0000-0000AF0D0000}"/>
    <cellStyle name="Percent 5 2 2 4 2" xfId="3159" xr:uid="{00000000-0005-0000-0000-0000B00D0000}"/>
    <cellStyle name="Percent 5 2 2 4 2 2" xfId="3160" xr:uid="{00000000-0005-0000-0000-0000B10D0000}"/>
    <cellStyle name="Percent 5 2 2 4 3" xfId="3161" xr:uid="{00000000-0005-0000-0000-0000B20D0000}"/>
    <cellStyle name="Percent 5 2 2 5" xfId="3162" xr:uid="{00000000-0005-0000-0000-0000B30D0000}"/>
    <cellStyle name="Percent 5 2 2 5 2" xfId="3163" xr:uid="{00000000-0005-0000-0000-0000B40D0000}"/>
    <cellStyle name="Percent 5 2 2 5 2 2" xfId="3164" xr:uid="{00000000-0005-0000-0000-0000B50D0000}"/>
    <cellStyle name="Percent 5 2 2 5 3" xfId="3165" xr:uid="{00000000-0005-0000-0000-0000B60D0000}"/>
    <cellStyle name="Percent 5 2 2 6" xfId="3166" xr:uid="{00000000-0005-0000-0000-0000B70D0000}"/>
    <cellStyle name="Percent 5 2 2 6 2" xfId="3167" xr:uid="{00000000-0005-0000-0000-0000B80D0000}"/>
    <cellStyle name="Percent 5 2 2 7" xfId="3168" xr:uid="{00000000-0005-0000-0000-0000B90D0000}"/>
    <cellStyle name="Percent 5 2 2 7 2" xfId="3169" xr:uid="{00000000-0005-0000-0000-0000BA0D0000}"/>
    <cellStyle name="Percent 5 2 2 8" xfId="3170" xr:uid="{00000000-0005-0000-0000-0000BB0D0000}"/>
    <cellStyle name="Percent 5 2 2 8 2" xfId="3171" xr:uid="{00000000-0005-0000-0000-0000BC0D0000}"/>
    <cellStyle name="Percent 5 2 2 9" xfId="3172" xr:uid="{00000000-0005-0000-0000-0000BD0D0000}"/>
    <cellStyle name="Percent 5 2 3" xfId="3173" xr:uid="{00000000-0005-0000-0000-0000BE0D0000}"/>
    <cellStyle name="Percent 5 2 3 2" xfId="3174" xr:uid="{00000000-0005-0000-0000-0000BF0D0000}"/>
    <cellStyle name="Percent 5 2 3 2 2" xfId="3175" xr:uid="{00000000-0005-0000-0000-0000C00D0000}"/>
    <cellStyle name="Percent 5 2 3 2 2 2" xfId="3176" xr:uid="{00000000-0005-0000-0000-0000C10D0000}"/>
    <cellStyle name="Percent 5 2 3 2 3" xfId="3177" xr:uid="{00000000-0005-0000-0000-0000C20D0000}"/>
    <cellStyle name="Percent 5 2 3 3" xfId="3178" xr:uid="{00000000-0005-0000-0000-0000C30D0000}"/>
    <cellStyle name="Percent 5 2 3 3 2" xfId="3179" xr:uid="{00000000-0005-0000-0000-0000C40D0000}"/>
    <cellStyle name="Percent 5 2 3 3 2 2" xfId="3180" xr:uid="{00000000-0005-0000-0000-0000C50D0000}"/>
    <cellStyle name="Percent 5 2 3 3 3" xfId="3181" xr:uid="{00000000-0005-0000-0000-0000C60D0000}"/>
    <cellStyle name="Percent 5 2 3 4" xfId="3182" xr:uid="{00000000-0005-0000-0000-0000C70D0000}"/>
    <cellStyle name="Percent 5 2 3 4 2" xfId="3183" xr:uid="{00000000-0005-0000-0000-0000C80D0000}"/>
    <cellStyle name="Percent 5 2 3 4 2 2" xfId="3184" xr:uid="{00000000-0005-0000-0000-0000C90D0000}"/>
    <cellStyle name="Percent 5 2 3 4 3" xfId="3185" xr:uid="{00000000-0005-0000-0000-0000CA0D0000}"/>
    <cellStyle name="Percent 5 2 3 5" xfId="3186" xr:uid="{00000000-0005-0000-0000-0000CB0D0000}"/>
    <cellStyle name="Percent 5 2 3 5 2" xfId="3187" xr:uid="{00000000-0005-0000-0000-0000CC0D0000}"/>
    <cellStyle name="Percent 5 2 3 5 2 2" xfId="3188" xr:uid="{00000000-0005-0000-0000-0000CD0D0000}"/>
    <cellStyle name="Percent 5 2 3 5 3" xfId="3189" xr:uid="{00000000-0005-0000-0000-0000CE0D0000}"/>
    <cellStyle name="Percent 5 2 3 6" xfId="3190" xr:uid="{00000000-0005-0000-0000-0000CF0D0000}"/>
    <cellStyle name="Percent 5 2 3 6 2" xfId="3191" xr:uid="{00000000-0005-0000-0000-0000D00D0000}"/>
    <cellStyle name="Percent 5 2 3 7" xfId="3192" xr:uid="{00000000-0005-0000-0000-0000D10D0000}"/>
    <cellStyle name="Percent 5 2 3 7 2" xfId="3193" xr:uid="{00000000-0005-0000-0000-0000D20D0000}"/>
    <cellStyle name="Percent 5 2 3 8" xfId="3194" xr:uid="{00000000-0005-0000-0000-0000D30D0000}"/>
    <cellStyle name="Percent 5 2 3 8 2" xfId="3195" xr:uid="{00000000-0005-0000-0000-0000D40D0000}"/>
    <cellStyle name="Percent 5 2 3 9" xfId="3196" xr:uid="{00000000-0005-0000-0000-0000D50D0000}"/>
    <cellStyle name="Percent 5 2 4" xfId="3197" xr:uid="{00000000-0005-0000-0000-0000D60D0000}"/>
    <cellStyle name="Percent 5 2 4 2" xfId="3198" xr:uid="{00000000-0005-0000-0000-0000D70D0000}"/>
    <cellStyle name="Percent 5 2 4 2 2" xfId="3199" xr:uid="{00000000-0005-0000-0000-0000D80D0000}"/>
    <cellStyle name="Percent 5 2 4 3" xfId="3200" xr:uid="{00000000-0005-0000-0000-0000D90D0000}"/>
    <cellStyle name="Percent 5 2 5" xfId="3201" xr:uid="{00000000-0005-0000-0000-0000DA0D0000}"/>
    <cellStyle name="Percent 5 2 5 2" xfId="3202" xr:uid="{00000000-0005-0000-0000-0000DB0D0000}"/>
    <cellStyle name="Percent 5 2 5 2 2" xfId="3203" xr:uid="{00000000-0005-0000-0000-0000DC0D0000}"/>
    <cellStyle name="Percent 5 2 5 3" xfId="3204" xr:uid="{00000000-0005-0000-0000-0000DD0D0000}"/>
    <cellStyle name="Percent 5 2 6" xfId="3205" xr:uid="{00000000-0005-0000-0000-0000DE0D0000}"/>
    <cellStyle name="Percent 5 2 6 2" xfId="3206" xr:uid="{00000000-0005-0000-0000-0000DF0D0000}"/>
    <cellStyle name="Percent 5 2 6 2 2" xfId="3207" xr:uid="{00000000-0005-0000-0000-0000E00D0000}"/>
    <cellStyle name="Percent 5 2 6 3" xfId="3208" xr:uid="{00000000-0005-0000-0000-0000E10D0000}"/>
    <cellStyle name="Percent 5 2 7" xfId="3209" xr:uid="{00000000-0005-0000-0000-0000E20D0000}"/>
    <cellStyle name="Percent 5 2 7 2" xfId="3210" xr:uid="{00000000-0005-0000-0000-0000E30D0000}"/>
    <cellStyle name="Percent 5 2 7 2 2" xfId="3211" xr:uid="{00000000-0005-0000-0000-0000E40D0000}"/>
    <cellStyle name="Percent 5 2 7 3" xfId="3212" xr:uid="{00000000-0005-0000-0000-0000E50D0000}"/>
    <cellStyle name="Percent 5 2 8" xfId="3213" xr:uid="{00000000-0005-0000-0000-0000E60D0000}"/>
    <cellStyle name="Percent 5 2 8 2" xfId="3214" xr:uid="{00000000-0005-0000-0000-0000E70D0000}"/>
    <cellStyle name="Percent 5 2 9" xfId="3215" xr:uid="{00000000-0005-0000-0000-0000E80D0000}"/>
    <cellStyle name="Percent 5 2 9 2" xfId="3216" xr:uid="{00000000-0005-0000-0000-0000E90D0000}"/>
    <cellStyle name="Percent 5 3" xfId="3217" xr:uid="{00000000-0005-0000-0000-0000EA0D0000}"/>
    <cellStyle name="Percent 5 3 2" xfId="3218" xr:uid="{00000000-0005-0000-0000-0000EB0D0000}"/>
    <cellStyle name="Percent 5 3 2 2" xfId="3219" xr:uid="{00000000-0005-0000-0000-0000EC0D0000}"/>
    <cellStyle name="Percent 5 3 2 2 2" xfId="3220" xr:uid="{00000000-0005-0000-0000-0000ED0D0000}"/>
    <cellStyle name="Percent 5 3 2 3" xfId="3221" xr:uid="{00000000-0005-0000-0000-0000EE0D0000}"/>
    <cellStyle name="Percent 5 3 3" xfId="3222" xr:uid="{00000000-0005-0000-0000-0000EF0D0000}"/>
    <cellStyle name="Percent 5 3 3 2" xfId="3223" xr:uid="{00000000-0005-0000-0000-0000F00D0000}"/>
    <cellStyle name="Percent 5 3 3 2 2" xfId="3224" xr:uid="{00000000-0005-0000-0000-0000F10D0000}"/>
    <cellStyle name="Percent 5 3 3 3" xfId="3225" xr:uid="{00000000-0005-0000-0000-0000F20D0000}"/>
    <cellStyle name="Percent 5 3 4" xfId="3226" xr:uid="{00000000-0005-0000-0000-0000F30D0000}"/>
    <cellStyle name="Percent 5 3 4 2" xfId="3227" xr:uid="{00000000-0005-0000-0000-0000F40D0000}"/>
    <cellStyle name="Percent 5 3 4 2 2" xfId="3228" xr:uid="{00000000-0005-0000-0000-0000F50D0000}"/>
    <cellStyle name="Percent 5 3 4 3" xfId="3229" xr:uid="{00000000-0005-0000-0000-0000F60D0000}"/>
    <cellStyle name="Percent 5 3 5" xfId="3230" xr:uid="{00000000-0005-0000-0000-0000F70D0000}"/>
    <cellStyle name="Percent 5 3 5 2" xfId="3231" xr:uid="{00000000-0005-0000-0000-0000F80D0000}"/>
    <cellStyle name="Percent 5 3 5 2 2" xfId="3232" xr:uid="{00000000-0005-0000-0000-0000F90D0000}"/>
    <cellStyle name="Percent 5 3 5 3" xfId="3233" xr:uid="{00000000-0005-0000-0000-0000FA0D0000}"/>
    <cellStyle name="Percent 5 3 6" xfId="3234" xr:uid="{00000000-0005-0000-0000-0000FB0D0000}"/>
    <cellStyle name="Percent 5 3 6 2" xfId="3235" xr:uid="{00000000-0005-0000-0000-0000FC0D0000}"/>
    <cellStyle name="Percent 5 3 7" xfId="3236" xr:uid="{00000000-0005-0000-0000-0000FD0D0000}"/>
    <cellStyle name="Percent 5 3 7 2" xfId="3237" xr:uid="{00000000-0005-0000-0000-0000FE0D0000}"/>
    <cellStyle name="Percent 5 3 8" xfId="3238" xr:uid="{00000000-0005-0000-0000-0000FF0D0000}"/>
    <cellStyle name="Percent 5 3 8 2" xfId="3239" xr:uid="{00000000-0005-0000-0000-0000000E0000}"/>
    <cellStyle name="Percent 5 3 9" xfId="3240" xr:uid="{00000000-0005-0000-0000-0000010E0000}"/>
    <cellStyle name="Percent 5 4" xfId="3241" xr:uid="{00000000-0005-0000-0000-0000020E0000}"/>
    <cellStyle name="Percent 5 4 2" xfId="3242" xr:uid="{00000000-0005-0000-0000-0000030E0000}"/>
    <cellStyle name="Percent 5 4 2 2" xfId="3243" xr:uid="{00000000-0005-0000-0000-0000040E0000}"/>
    <cellStyle name="Percent 5 4 2 2 2" xfId="3244" xr:uid="{00000000-0005-0000-0000-0000050E0000}"/>
    <cellStyle name="Percent 5 4 2 3" xfId="3245" xr:uid="{00000000-0005-0000-0000-0000060E0000}"/>
    <cellStyle name="Percent 5 4 3" xfId="3246" xr:uid="{00000000-0005-0000-0000-0000070E0000}"/>
    <cellStyle name="Percent 5 4 3 2" xfId="3247" xr:uid="{00000000-0005-0000-0000-0000080E0000}"/>
    <cellStyle name="Percent 5 4 3 2 2" xfId="3248" xr:uid="{00000000-0005-0000-0000-0000090E0000}"/>
    <cellStyle name="Percent 5 4 3 3" xfId="3249" xr:uid="{00000000-0005-0000-0000-00000A0E0000}"/>
    <cellStyle name="Percent 5 4 4" xfId="3250" xr:uid="{00000000-0005-0000-0000-00000B0E0000}"/>
    <cellStyle name="Percent 5 4 4 2" xfId="3251" xr:uid="{00000000-0005-0000-0000-00000C0E0000}"/>
    <cellStyle name="Percent 5 4 4 2 2" xfId="3252" xr:uid="{00000000-0005-0000-0000-00000D0E0000}"/>
    <cellStyle name="Percent 5 4 4 3" xfId="3253" xr:uid="{00000000-0005-0000-0000-00000E0E0000}"/>
    <cellStyle name="Percent 5 4 5" xfId="3254" xr:uid="{00000000-0005-0000-0000-00000F0E0000}"/>
    <cellStyle name="Percent 5 4 5 2" xfId="3255" xr:uid="{00000000-0005-0000-0000-0000100E0000}"/>
    <cellStyle name="Percent 5 4 5 2 2" xfId="3256" xr:uid="{00000000-0005-0000-0000-0000110E0000}"/>
    <cellStyle name="Percent 5 4 5 3" xfId="3257" xr:uid="{00000000-0005-0000-0000-0000120E0000}"/>
    <cellStyle name="Percent 5 4 6" xfId="3258" xr:uid="{00000000-0005-0000-0000-0000130E0000}"/>
    <cellStyle name="Percent 5 4 6 2" xfId="3259" xr:uid="{00000000-0005-0000-0000-0000140E0000}"/>
    <cellStyle name="Percent 5 4 7" xfId="3260" xr:uid="{00000000-0005-0000-0000-0000150E0000}"/>
    <cellStyle name="Percent 5 4 7 2" xfId="3261" xr:uid="{00000000-0005-0000-0000-0000160E0000}"/>
    <cellStyle name="Percent 5 4 8" xfId="3262" xr:uid="{00000000-0005-0000-0000-0000170E0000}"/>
    <cellStyle name="Percent 5 4 8 2" xfId="3263" xr:uid="{00000000-0005-0000-0000-0000180E0000}"/>
    <cellStyle name="Percent 5 4 9" xfId="3264" xr:uid="{00000000-0005-0000-0000-0000190E0000}"/>
    <cellStyle name="Percent 5 5" xfId="3265" xr:uid="{00000000-0005-0000-0000-00001A0E0000}"/>
    <cellStyle name="Percent 5 5 2" xfId="3266" xr:uid="{00000000-0005-0000-0000-00001B0E0000}"/>
    <cellStyle name="Percent 5 5 2 2" xfId="3267" xr:uid="{00000000-0005-0000-0000-00001C0E0000}"/>
    <cellStyle name="Percent 5 5 2 2 2" xfId="3268" xr:uid="{00000000-0005-0000-0000-00001D0E0000}"/>
    <cellStyle name="Percent 5 5 2 3" xfId="3269" xr:uid="{00000000-0005-0000-0000-00001E0E0000}"/>
    <cellStyle name="Percent 5 5 3" xfId="3270" xr:uid="{00000000-0005-0000-0000-00001F0E0000}"/>
    <cellStyle name="Percent 5 5 3 2" xfId="3271" xr:uid="{00000000-0005-0000-0000-0000200E0000}"/>
    <cellStyle name="Percent 5 5 3 2 2" xfId="3272" xr:uid="{00000000-0005-0000-0000-0000210E0000}"/>
    <cellStyle name="Percent 5 5 3 3" xfId="3273" xr:uid="{00000000-0005-0000-0000-0000220E0000}"/>
    <cellStyle name="Percent 5 5 4" xfId="3274" xr:uid="{00000000-0005-0000-0000-0000230E0000}"/>
    <cellStyle name="Percent 5 5 4 2" xfId="3275" xr:uid="{00000000-0005-0000-0000-0000240E0000}"/>
    <cellStyle name="Percent 5 5 4 2 2" xfId="3276" xr:uid="{00000000-0005-0000-0000-0000250E0000}"/>
    <cellStyle name="Percent 5 5 4 3" xfId="3277" xr:uid="{00000000-0005-0000-0000-0000260E0000}"/>
    <cellStyle name="Percent 5 5 5" xfId="3278" xr:uid="{00000000-0005-0000-0000-0000270E0000}"/>
    <cellStyle name="Percent 5 5 5 2" xfId="3279" xr:uid="{00000000-0005-0000-0000-0000280E0000}"/>
    <cellStyle name="Percent 5 5 5 2 2" xfId="3280" xr:uid="{00000000-0005-0000-0000-0000290E0000}"/>
    <cellStyle name="Percent 5 5 5 3" xfId="3281" xr:uid="{00000000-0005-0000-0000-00002A0E0000}"/>
    <cellStyle name="Percent 5 5 6" xfId="3282" xr:uid="{00000000-0005-0000-0000-00002B0E0000}"/>
    <cellStyle name="Percent 5 5 6 2" xfId="3283" xr:uid="{00000000-0005-0000-0000-00002C0E0000}"/>
    <cellStyle name="Percent 5 5 7" xfId="3284" xr:uid="{00000000-0005-0000-0000-00002D0E0000}"/>
    <cellStyle name="Percent 5 5 7 2" xfId="3285" xr:uid="{00000000-0005-0000-0000-00002E0E0000}"/>
    <cellStyle name="Percent 5 5 8" xfId="3286" xr:uid="{00000000-0005-0000-0000-00002F0E0000}"/>
    <cellStyle name="Percent 5 5 8 2" xfId="3287" xr:uid="{00000000-0005-0000-0000-0000300E0000}"/>
    <cellStyle name="Percent 5 5 9" xfId="3288" xr:uid="{00000000-0005-0000-0000-0000310E0000}"/>
    <cellStyle name="Percent 5 6" xfId="3289" xr:uid="{00000000-0005-0000-0000-0000320E0000}"/>
    <cellStyle name="Percent 5 6 2" xfId="3290" xr:uid="{00000000-0005-0000-0000-0000330E0000}"/>
    <cellStyle name="Percent 5 6 2 2" xfId="3291" xr:uid="{00000000-0005-0000-0000-0000340E0000}"/>
    <cellStyle name="Percent 5 6 3" xfId="3292" xr:uid="{00000000-0005-0000-0000-0000350E0000}"/>
    <cellStyle name="Percent 5 7" xfId="3293" xr:uid="{00000000-0005-0000-0000-0000360E0000}"/>
    <cellStyle name="Percent 5 7 2" xfId="3294" xr:uid="{00000000-0005-0000-0000-0000370E0000}"/>
    <cellStyle name="Percent 5 7 2 2" xfId="3295" xr:uid="{00000000-0005-0000-0000-0000380E0000}"/>
    <cellStyle name="Percent 5 7 3" xfId="3296" xr:uid="{00000000-0005-0000-0000-0000390E0000}"/>
    <cellStyle name="Percent 5 8" xfId="3297" xr:uid="{00000000-0005-0000-0000-00003A0E0000}"/>
    <cellStyle name="Percent 5 8 2" xfId="3298" xr:uid="{00000000-0005-0000-0000-00003B0E0000}"/>
    <cellStyle name="Percent 5 8 2 2" xfId="3299" xr:uid="{00000000-0005-0000-0000-00003C0E0000}"/>
    <cellStyle name="Percent 5 8 3" xfId="3300" xr:uid="{00000000-0005-0000-0000-00003D0E0000}"/>
    <cellStyle name="Percent 5 9" xfId="3301" xr:uid="{00000000-0005-0000-0000-00003E0E0000}"/>
    <cellStyle name="Percent 5 9 2" xfId="3302" xr:uid="{00000000-0005-0000-0000-00003F0E0000}"/>
    <cellStyle name="Percent 5 9 2 2" xfId="3303" xr:uid="{00000000-0005-0000-0000-0000400E0000}"/>
    <cellStyle name="Percent 5 9 3" xfId="3304" xr:uid="{00000000-0005-0000-0000-0000410E0000}"/>
    <cellStyle name="Percent 6" xfId="3305" xr:uid="{00000000-0005-0000-0000-0000420E0000}"/>
    <cellStyle name="Percent 6 10" xfId="3306" xr:uid="{00000000-0005-0000-0000-0000430E0000}"/>
    <cellStyle name="Percent 6 10 2" xfId="3307" xr:uid="{00000000-0005-0000-0000-0000440E0000}"/>
    <cellStyle name="Percent 6 11" xfId="3308" xr:uid="{00000000-0005-0000-0000-0000450E0000}"/>
    <cellStyle name="Percent 6 2" xfId="3309" xr:uid="{00000000-0005-0000-0000-0000460E0000}"/>
    <cellStyle name="Percent 6 2 2" xfId="3310" xr:uid="{00000000-0005-0000-0000-0000470E0000}"/>
    <cellStyle name="Percent 6 2 2 2" xfId="3311" xr:uid="{00000000-0005-0000-0000-0000480E0000}"/>
    <cellStyle name="Percent 6 2 2 2 2" xfId="3312" xr:uid="{00000000-0005-0000-0000-0000490E0000}"/>
    <cellStyle name="Percent 6 2 2 3" xfId="3313" xr:uid="{00000000-0005-0000-0000-00004A0E0000}"/>
    <cellStyle name="Percent 6 2 3" xfId="3314" xr:uid="{00000000-0005-0000-0000-00004B0E0000}"/>
    <cellStyle name="Percent 6 2 3 2" xfId="3315" xr:uid="{00000000-0005-0000-0000-00004C0E0000}"/>
    <cellStyle name="Percent 6 2 3 2 2" xfId="3316" xr:uid="{00000000-0005-0000-0000-00004D0E0000}"/>
    <cellStyle name="Percent 6 2 3 3" xfId="3317" xr:uid="{00000000-0005-0000-0000-00004E0E0000}"/>
    <cellStyle name="Percent 6 2 4" xfId="3318" xr:uid="{00000000-0005-0000-0000-00004F0E0000}"/>
    <cellStyle name="Percent 6 2 4 2" xfId="3319" xr:uid="{00000000-0005-0000-0000-0000500E0000}"/>
    <cellStyle name="Percent 6 2 4 2 2" xfId="3320" xr:uid="{00000000-0005-0000-0000-0000510E0000}"/>
    <cellStyle name="Percent 6 2 4 3" xfId="3321" xr:uid="{00000000-0005-0000-0000-0000520E0000}"/>
    <cellStyle name="Percent 6 2 5" xfId="3322" xr:uid="{00000000-0005-0000-0000-0000530E0000}"/>
    <cellStyle name="Percent 6 2 5 2" xfId="3323" xr:uid="{00000000-0005-0000-0000-0000540E0000}"/>
    <cellStyle name="Percent 6 2 5 2 2" xfId="3324" xr:uid="{00000000-0005-0000-0000-0000550E0000}"/>
    <cellStyle name="Percent 6 2 5 3" xfId="3325" xr:uid="{00000000-0005-0000-0000-0000560E0000}"/>
    <cellStyle name="Percent 6 2 6" xfId="3326" xr:uid="{00000000-0005-0000-0000-0000570E0000}"/>
    <cellStyle name="Percent 6 2 6 2" xfId="3327" xr:uid="{00000000-0005-0000-0000-0000580E0000}"/>
    <cellStyle name="Percent 6 2 7" xfId="3328" xr:uid="{00000000-0005-0000-0000-0000590E0000}"/>
    <cellStyle name="Percent 6 2 7 2" xfId="3329" xr:uid="{00000000-0005-0000-0000-00005A0E0000}"/>
    <cellStyle name="Percent 6 2 8" xfId="3330" xr:uid="{00000000-0005-0000-0000-00005B0E0000}"/>
    <cellStyle name="Percent 6 2 8 2" xfId="3331" xr:uid="{00000000-0005-0000-0000-00005C0E0000}"/>
    <cellStyle name="Percent 6 2 9" xfId="3332" xr:uid="{00000000-0005-0000-0000-00005D0E0000}"/>
    <cellStyle name="Percent 6 3" xfId="3333" xr:uid="{00000000-0005-0000-0000-00005E0E0000}"/>
    <cellStyle name="Percent 6 3 2" xfId="3334" xr:uid="{00000000-0005-0000-0000-00005F0E0000}"/>
    <cellStyle name="Percent 6 3 2 2" xfId="3335" xr:uid="{00000000-0005-0000-0000-0000600E0000}"/>
    <cellStyle name="Percent 6 3 2 2 2" xfId="3336" xr:uid="{00000000-0005-0000-0000-0000610E0000}"/>
    <cellStyle name="Percent 6 3 2 3" xfId="3337" xr:uid="{00000000-0005-0000-0000-0000620E0000}"/>
    <cellStyle name="Percent 6 3 3" xfId="3338" xr:uid="{00000000-0005-0000-0000-0000630E0000}"/>
    <cellStyle name="Percent 6 3 3 2" xfId="3339" xr:uid="{00000000-0005-0000-0000-0000640E0000}"/>
    <cellStyle name="Percent 6 3 3 2 2" xfId="3340" xr:uid="{00000000-0005-0000-0000-0000650E0000}"/>
    <cellStyle name="Percent 6 3 3 3" xfId="3341" xr:uid="{00000000-0005-0000-0000-0000660E0000}"/>
    <cellStyle name="Percent 6 3 4" xfId="3342" xr:uid="{00000000-0005-0000-0000-0000670E0000}"/>
    <cellStyle name="Percent 6 3 4 2" xfId="3343" xr:uid="{00000000-0005-0000-0000-0000680E0000}"/>
    <cellStyle name="Percent 6 3 4 2 2" xfId="3344" xr:uid="{00000000-0005-0000-0000-0000690E0000}"/>
    <cellStyle name="Percent 6 3 4 3" xfId="3345" xr:uid="{00000000-0005-0000-0000-00006A0E0000}"/>
    <cellStyle name="Percent 6 3 5" xfId="3346" xr:uid="{00000000-0005-0000-0000-00006B0E0000}"/>
    <cellStyle name="Percent 6 3 5 2" xfId="3347" xr:uid="{00000000-0005-0000-0000-00006C0E0000}"/>
    <cellStyle name="Percent 6 3 5 2 2" xfId="3348" xr:uid="{00000000-0005-0000-0000-00006D0E0000}"/>
    <cellStyle name="Percent 6 3 5 3" xfId="3349" xr:uid="{00000000-0005-0000-0000-00006E0E0000}"/>
    <cellStyle name="Percent 6 3 6" xfId="3350" xr:uid="{00000000-0005-0000-0000-00006F0E0000}"/>
    <cellStyle name="Percent 6 3 6 2" xfId="3351" xr:uid="{00000000-0005-0000-0000-0000700E0000}"/>
    <cellStyle name="Percent 6 3 7" xfId="3352" xr:uid="{00000000-0005-0000-0000-0000710E0000}"/>
    <cellStyle name="Percent 6 3 7 2" xfId="3353" xr:uid="{00000000-0005-0000-0000-0000720E0000}"/>
    <cellStyle name="Percent 6 3 8" xfId="3354" xr:uid="{00000000-0005-0000-0000-0000730E0000}"/>
    <cellStyle name="Percent 6 3 8 2" xfId="3355" xr:uid="{00000000-0005-0000-0000-0000740E0000}"/>
    <cellStyle name="Percent 6 3 9" xfId="3356" xr:uid="{00000000-0005-0000-0000-0000750E0000}"/>
    <cellStyle name="Percent 6 4" xfId="3357" xr:uid="{00000000-0005-0000-0000-0000760E0000}"/>
    <cellStyle name="Percent 6 4 2" xfId="3358" xr:uid="{00000000-0005-0000-0000-0000770E0000}"/>
    <cellStyle name="Percent 6 4 2 2" xfId="3359" xr:uid="{00000000-0005-0000-0000-0000780E0000}"/>
    <cellStyle name="Percent 6 4 3" xfId="3360" xr:uid="{00000000-0005-0000-0000-0000790E0000}"/>
    <cellStyle name="Percent 6 5" xfId="3361" xr:uid="{00000000-0005-0000-0000-00007A0E0000}"/>
    <cellStyle name="Percent 6 5 2" xfId="3362" xr:uid="{00000000-0005-0000-0000-00007B0E0000}"/>
    <cellStyle name="Percent 6 5 2 2" xfId="3363" xr:uid="{00000000-0005-0000-0000-00007C0E0000}"/>
    <cellStyle name="Percent 6 5 3" xfId="3364" xr:uid="{00000000-0005-0000-0000-00007D0E0000}"/>
    <cellStyle name="Percent 6 6" xfId="3365" xr:uid="{00000000-0005-0000-0000-00007E0E0000}"/>
    <cellStyle name="Percent 6 6 2" xfId="3366" xr:uid="{00000000-0005-0000-0000-00007F0E0000}"/>
    <cellStyle name="Percent 6 6 2 2" xfId="3367" xr:uid="{00000000-0005-0000-0000-0000800E0000}"/>
    <cellStyle name="Percent 6 6 3" xfId="3368" xr:uid="{00000000-0005-0000-0000-0000810E0000}"/>
    <cellStyle name="Percent 6 7" xfId="3369" xr:uid="{00000000-0005-0000-0000-0000820E0000}"/>
    <cellStyle name="Percent 6 7 2" xfId="3370" xr:uid="{00000000-0005-0000-0000-0000830E0000}"/>
    <cellStyle name="Percent 6 7 2 2" xfId="3371" xr:uid="{00000000-0005-0000-0000-0000840E0000}"/>
    <cellStyle name="Percent 6 7 3" xfId="3372" xr:uid="{00000000-0005-0000-0000-0000850E0000}"/>
    <cellStyle name="Percent 6 8" xfId="3373" xr:uid="{00000000-0005-0000-0000-0000860E0000}"/>
    <cellStyle name="Percent 6 8 2" xfId="3374" xr:uid="{00000000-0005-0000-0000-0000870E0000}"/>
    <cellStyle name="Percent 6 9" xfId="3375" xr:uid="{00000000-0005-0000-0000-0000880E0000}"/>
    <cellStyle name="Percent 6 9 2" xfId="3376" xr:uid="{00000000-0005-0000-0000-0000890E0000}"/>
    <cellStyle name="Percent 7" xfId="3377" xr:uid="{00000000-0005-0000-0000-00008A0E0000}"/>
    <cellStyle name="Percent 8" xfId="3378" xr:uid="{00000000-0005-0000-0000-00008B0E0000}"/>
    <cellStyle name="Percent 8 2" xfId="3379" xr:uid="{00000000-0005-0000-0000-00008C0E0000}"/>
    <cellStyle name="Percent 8 2 2" xfId="3380" xr:uid="{00000000-0005-0000-0000-00008D0E0000}"/>
    <cellStyle name="Percent 8 2 2 2" xfId="3381" xr:uid="{00000000-0005-0000-0000-00008E0E0000}"/>
    <cellStyle name="Percent 8 2 3" xfId="3382" xr:uid="{00000000-0005-0000-0000-00008F0E0000}"/>
    <cellStyle name="Percent 8 3" xfId="3383" xr:uid="{00000000-0005-0000-0000-0000900E0000}"/>
    <cellStyle name="Percent 8 3 2" xfId="3384" xr:uid="{00000000-0005-0000-0000-0000910E0000}"/>
    <cellStyle name="Percent 8 3 2 2" xfId="3385" xr:uid="{00000000-0005-0000-0000-0000920E0000}"/>
    <cellStyle name="Percent 8 3 3" xfId="3386" xr:uid="{00000000-0005-0000-0000-0000930E0000}"/>
    <cellStyle name="Percent 8 4" xfId="3387" xr:uid="{00000000-0005-0000-0000-0000940E0000}"/>
    <cellStyle name="Percent 8 4 2" xfId="3388" xr:uid="{00000000-0005-0000-0000-0000950E0000}"/>
    <cellStyle name="Percent 8 4 2 2" xfId="3389" xr:uid="{00000000-0005-0000-0000-0000960E0000}"/>
    <cellStyle name="Percent 8 4 3" xfId="3390" xr:uid="{00000000-0005-0000-0000-0000970E0000}"/>
    <cellStyle name="Percent 8 5" xfId="3391" xr:uid="{00000000-0005-0000-0000-0000980E0000}"/>
    <cellStyle name="Percent 8 5 2" xfId="3392" xr:uid="{00000000-0005-0000-0000-0000990E0000}"/>
    <cellStyle name="Percent 8 5 2 2" xfId="3393" xr:uid="{00000000-0005-0000-0000-00009A0E0000}"/>
    <cellStyle name="Percent 8 5 3" xfId="3394" xr:uid="{00000000-0005-0000-0000-00009B0E0000}"/>
    <cellStyle name="Percent 8 6" xfId="3395" xr:uid="{00000000-0005-0000-0000-00009C0E0000}"/>
    <cellStyle name="Percent 8 6 2" xfId="3396" xr:uid="{00000000-0005-0000-0000-00009D0E0000}"/>
    <cellStyle name="Percent 8 7" xfId="3397" xr:uid="{00000000-0005-0000-0000-00009E0E0000}"/>
    <cellStyle name="Percent 8 7 2" xfId="3398" xr:uid="{00000000-0005-0000-0000-00009F0E0000}"/>
    <cellStyle name="Percent 8 8" xfId="3399" xr:uid="{00000000-0005-0000-0000-0000A00E0000}"/>
    <cellStyle name="Percent 8 8 2" xfId="3400" xr:uid="{00000000-0005-0000-0000-0000A10E0000}"/>
    <cellStyle name="Percent 8 9" xfId="3401" xr:uid="{00000000-0005-0000-0000-0000A20E0000}"/>
    <cellStyle name="Percent 9" xfId="3402" xr:uid="{00000000-0005-0000-0000-0000A30E0000}"/>
    <cellStyle name="Style 1" xfId="3403" xr:uid="{00000000-0005-0000-0000-0000A40E0000}"/>
    <cellStyle name="Style 2" xfId="3404" xr:uid="{00000000-0005-0000-0000-0000A50E0000}"/>
    <cellStyle name="Title" xfId="57" builtinId="15" customBuiltin="1"/>
    <cellStyle name="Title 2" xfId="3405" xr:uid="{00000000-0005-0000-0000-0000A70E0000}"/>
    <cellStyle name="Total" xfId="73" builtinId="25" customBuiltin="1"/>
    <cellStyle name="Total 2" xfId="3406" xr:uid="{00000000-0005-0000-0000-0000A90E0000}"/>
    <cellStyle name="Total 2 10" xfId="3602" xr:uid="{00000000-0005-0000-0000-0000AA0E0000}"/>
    <cellStyle name="Total 2 2" xfId="3407" xr:uid="{00000000-0005-0000-0000-0000AB0E0000}"/>
    <cellStyle name="Total 2 2 2" xfId="3440" xr:uid="{00000000-0005-0000-0000-0000AC0E0000}"/>
    <cellStyle name="Total 2 2 2 2" xfId="3656" xr:uid="{00000000-0005-0000-0000-0000AD0E0000}"/>
    <cellStyle name="Total 2 2 3" xfId="3445" xr:uid="{00000000-0005-0000-0000-0000AE0E0000}"/>
    <cellStyle name="Total 2 2 3 2" xfId="3661" xr:uid="{00000000-0005-0000-0000-0000AF0E0000}"/>
    <cellStyle name="Total 2 2 4" xfId="3605" xr:uid="{00000000-0005-0000-0000-0000B00E0000}"/>
    <cellStyle name="Total 2 2 4 2" xfId="3783" xr:uid="{00000000-0005-0000-0000-0000B10E0000}"/>
    <cellStyle name="Total 2 2 5" xfId="3614" xr:uid="{00000000-0005-0000-0000-0000B20E0000}"/>
    <cellStyle name="Total 2 2 5 2" xfId="3792" xr:uid="{00000000-0005-0000-0000-0000B30E0000}"/>
    <cellStyle name="Total 2 2 6" xfId="3620" xr:uid="{00000000-0005-0000-0000-0000B40E0000}"/>
    <cellStyle name="Total 2 2 6 2" xfId="3796" xr:uid="{00000000-0005-0000-0000-0000B50E0000}"/>
    <cellStyle name="Total 2 2 7" xfId="3603" xr:uid="{00000000-0005-0000-0000-0000B60E0000}"/>
    <cellStyle name="Total 2 3" xfId="3408" xr:uid="{00000000-0005-0000-0000-0000B70E0000}"/>
    <cellStyle name="Total 2 3 2" xfId="3441" xr:uid="{00000000-0005-0000-0000-0000B80E0000}"/>
    <cellStyle name="Total 2 3 2 2" xfId="3657" xr:uid="{00000000-0005-0000-0000-0000B90E0000}"/>
    <cellStyle name="Total 2 3 3" xfId="3444" xr:uid="{00000000-0005-0000-0000-0000BA0E0000}"/>
    <cellStyle name="Total 2 3 3 2" xfId="3660" xr:uid="{00000000-0005-0000-0000-0000BB0E0000}"/>
    <cellStyle name="Total 2 3 4" xfId="3606" xr:uid="{00000000-0005-0000-0000-0000BC0E0000}"/>
    <cellStyle name="Total 2 3 4 2" xfId="3784" xr:uid="{00000000-0005-0000-0000-0000BD0E0000}"/>
    <cellStyle name="Total 2 3 5" xfId="3615" xr:uid="{00000000-0005-0000-0000-0000BE0E0000}"/>
    <cellStyle name="Total 2 3 5 2" xfId="3793" xr:uid="{00000000-0005-0000-0000-0000BF0E0000}"/>
    <cellStyle name="Total 2 3 6" xfId="3621" xr:uid="{00000000-0005-0000-0000-0000C00E0000}"/>
    <cellStyle name="Total 2 3 6 2" xfId="3797" xr:uid="{00000000-0005-0000-0000-0000C10E0000}"/>
    <cellStyle name="Total 2 3 7" xfId="3617" xr:uid="{00000000-0005-0000-0000-0000C20E0000}"/>
    <cellStyle name="Total 2 4" xfId="3409" xr:uid="{00000000-0005-0000-0000-0000C30E0000}"/>
    <cellStyle name="Total 2 4 2" xfId="3442" xr:uid="{00000000-0005-0000-0000-0000C40E0000}"/>
    <cellStyle name="Total 2 4 2 2" xfId="3658" xr:uid="{00000000-0005-0000-0000-0000C50E0000}"/>
    <cellStyle name="Total 2 4 3" xfId="3443" xr:uid="{00000000-0005-0000-0000-0000C60E0000}"/>
    <cellStyle name="Total 2 4 3 2" xfId="3659" xr:uid="{00000000-0005-0000-0000-0000C70E0000}"/>
    <cellStyle name="Total 2 4 4" xfId="3607" xr:uid="{00000000-0005-0000-0000-0000C80E0000}"/>
    <cellStyle name="Total 2 4 4 2" xfId="3785" xr:uid="{00000000-0005-0000-0000-0000C90E0000}"/>
    <cellStyle name="Total 2 4 5" xfId="3616" xr:uid="{00000000-0005-0000-0000-0000CA0E0000}"/>
    <cellStyle name="Total 2 4 5 2" xfId="3794" xr:uid="{00000000-0005-0000-0000-0000CB0E0000}"/>
    <cellStyle name="Total 2 4 6" xfId="3622" xr:uid="{00000000-0005-0000-0000-0000CC0E0000}"/>
    <cellStyle name="Total 2 4 6 2" xfId="3798" xr:uid="{00000000-0005-0000-0000-0000CD0E0000}"/>
    <cellStyle name="Total 2 4 7" xfId="3618" xr:uid="{00000000-0005-0000-0000-0000CE0E0000}"/>
    <cellStyle name="Total 2 5" xfId="3439" xr:uid="{00000000-0005-0000-0000-0000CF0E0000}"/>
    <cellStyle name="Total 2 5 2" xfId="3655" xr:uid="{00000000-0005-0000-0000-0000D00E0000}"/>
    <cellStyle name="Total 2 6" xfId="3446" xr:uid="{00000000-0005-0000-0000-0000D10E0000}"/>
    <cellStyle name="Total 2 6 2" xfId="3662" xr:uid="{00000000-0005-0000-0000-0000D20E0000}"/>
    <cellStyle name="Total 2 7" xfId="3604" xr:uid="{00000000-0005-0000-0000-0000D30E0000}"/>
    <cellStyle name="Total 2 7 2" xfId="3782" xr:uid="{00000000-0005-0000-0000-0000D40E0000}"/>
    <cellStyle name="Total 2 8" xfId="3613" xr:uid="{00000000-0005-0000-0000-0000D50E0000}"/>
    <cellStyle name="Total 2 8 2" xfId="3791" xr:uid="{00000000-0005-0000-0000-0000D60E0000}"/>
    <cellStyle name="Total 2 9" xfId="3619" xr:uid="{00000000-0005-0000-0000-0000D70E0000}"/>
    <cellStyle name="Total 2 9 2" xfId="3795" xr:uid="{00000000-0005-0000-0000-0000D80E0000}"/>
    <cellStyle name="Warning Text" xfId="70" builtinId="11" customBuiltin="1"/>
    <cellStyle name="Warning Text 2" xfId="3410" xr:uid="{00000000-0005-0000-0000-0000DA0E0000}"/>
  </cellStyles>
  <dxfs count="257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if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323850</xdr:colOff>
      <xdr:row>3</xdr:row>
      <xdr:rowOff>64615</xdr:rowOff>
    </xdr:from>
    <xdr:to>
      <xdr:col>33</xdr:col>
      <xdr:colOff>421658</xdr:colOff>
      <xdr:row>15</xdr:row>
      <xdr:rowOff>238125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07600" y="912340"/>
          <a:ext cx="1926608" cy="31834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2</xdr:row>
          <xdr:rowOff>161925</xdr:rowOff>
        </xdr:to>
        <xdr:sp macro="" textlink="">
          <xdr:nvSpPr>
            <xdr:cNvPr id="1026" name="TempComb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19050</xdr:rowOff>
        </xdr:from>
        <xdr:to>
          <xdr:col>2</xdr:col>
          <xdr:colOff>581025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 Blend Property Calcs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1</xdr:row>
          <xdr:rowOff>9525</xdr:rowOff>
        </xdr:from>
        <xdr:to>
          <xdr:col>5</xdr:col>
          <xdr:colOff>152400</xdr:colOff>
          <xdr:row>5</xdr:row>
          <xdr:rowOff>9525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Blend Prop (For Template)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1</xdr:row>
          <xdr:rowOff>9525</xdr:rowOff>
        </xdr:from>
        <xdr:to>
          <xdr:col>7</xdr:col>
          <xdr:colOff>390525</xdr:colOff>
          <xdr:row>5</xdr:row>
          <xdr:rowOff>19050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Specific Gravities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</xdr:row>
          <xdr:rowOff>19050</xdr:rowOff>
        </xdr:from>
        <xdr:to>
          <xdr:col>9</xdr:col>
          <xdr:colOff>533400</xdr:colOff>
          <xdr:row>5</xdr:row>
          <xdr:rowOff>9525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 Blend Compatibility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</xdr:row>
          <xdr:rowOff>0</xdr:rowOff>
        </xdr:from>
        <xdr:to>
          <xdr:col>12</xdr:col>
          <xdr:colOff>104775</xdr:colOff>
          <xdr:row>5</xdr:row>
          <xdr:rowOff>28575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Silo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1</xdr:row>
          <xdr:rowOff>9525</xdr:rowOff>
        </xdr:from>
        <xdr:to>
          <xdr:col>14</xdr:col>
          <xdr:colOff>342900</xdr:colOff>
          <xdr:row>5</xdr:row>
          <xdr:rowOff>38100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and Min Densities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1</xdr:row>
          <xdr:rowOff>9525</xdr:rowOff>
        </xdr:from>
        <xdr:to>
          <xdr:col>17</xdr:col>
          <xdr:colOff>76200</xdr:colOff>
          <xdr:row>5</xdr:row>
          <xdr:rowOff>28575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Blend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323850</xdr:colOff>
          <xdr:row>1</xdr:row>
          <xdr:rowOff>9525</xdr:rowOff>
        </xdr:from>
        <xdr:to>
          <xdr:col>19</xdr:col>
          <xdr:colOff>342900</xdr:colOff>
          <xdr:row>5</xdr:row>
          <xdr:rowOff>38100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Blends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609600</xdr:colOff>
      <xdr:row>0</xdr:row>
      <xdr:rowOff>161925</xdr:rowOff>
    </xdr:from>
    <xdr:to>
      <xdr:col>2</xdr:col>
      <xdr:colOff>2011802</xdr:colOff>
      <xdr:row>0</xdr:row>
      <xdr:rowOff>734999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5350" y="161925"/>
          <a:ext cx="1402202" cy="573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828675</xdr:colOff>
      <xdr:row>0</xdr:row>
      <xdr:rowOff>114300</xdr:rowOff>
    </xdr:from>
    <xdr:to>
      <xdr:col>4</xdr:col>
      <xdr:colOff>1871181</xdr:colOff>
      <xdr:row>1</xdr:row>
      <xdr:rowOff>76240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5375" y="114300"/>
          <a:ext cx="1042506" cy="4572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47625</xdr:rowOff>
    </xdr:from>
    <xdr:to>
      <xdr:col>0</xdr:col>
      <xdr:colOff>1243330</xdr:colOff>
      <xdr:row>2</xdr:row>
      <xdr:rowOff>6350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47625"/>
          <a:ext cx="1138555" cy="4349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138"/>
  <sheetViews>
    <sheetView tabSelected="1" zoomScaleNormal="100" workbookViewId="0">
      <selection activeCell="B14" sqref="B14"/>
    </sheetView>
  </sheetViews>
  <sheetFormatPr defaultRowHeight="15" x14ac:dyDescent="0.25"/>
  <cols>
    <col min="1" max="1" width="36.140625" style="256" customWidth="1"/>
    <col min="2" max="2" width="25.7109375" style="256" customWidth="1"/>
    <col min="3" max="3" width="22.140625" style="256" customWidth="1"/>
    <col min="4" max="4" width="19.5703125" style="256" customWidth="1"/>
    <col min="5" max="5" width="15.7109375" style="256" customWidth="1"/>
    <col min="6" max="6" width="22.42578125" style="256" customWidth="1"/>
    <col min="7" max="7" width="55.85546875" style="256" customWidth="1"/>
    <col min="8" max="8" width="32.5703125" style="256" customWidth="1"/>
    <col min="9" max="9" width="30.5703125" style="256" customWidth="1"/>
    <col min="10" max="11" width="9.140625" style="255" customWidth="1"/>
    <col min="12" max="12" width="18.140625" style="255" customWidth="1"/>
    <col min="13" max="13" width="13.7109375" style="255" customWidth="1"/>
    <col min="14" max="14" width="18.5703125" style="255" customWidth="1"/>
    <col min="15" max="26" width="9.140625" style="255"/>
    <col min="27" max="16384" width="9.140625" style="256"/>
  </cols>
  <sheetData>
    <row r="1" spans="1:26" ht="30.75" customHeight="1" thickBot="1" x14ac:dyDescent="0.55000000000000004">
      <c r="A1" s="420" t="s">
        <v>473</v>
      </c>
      <c r="B1" s="420"/>
      <c r="C1" s="420"/>
      <c r="D1" s="420"/>
      <c r="E1" s="420"/>
      <c r="F1" s="254"/>
      <c r="G1" s="254"/>
      <c r="H1" s="254"/>
      <c r="I1" s="254"/>
      <c r="J1" s="254"/>
      <c r="K1" s="254"/>
    </row>
    <row r="2" spans="1:26" ht="15" customHeight="1" x14ac:dyDescent="0.35">
      <c r="A2" s="377" t="s">
        <v>1927</v>
      </c>
      <c r="B2" s="257"/>
      <c r="C2" s="257"/>
      <c r="D2" s="257"/>
      <c r="E2" s="257"/>
      <c r="F2" s="254"/>
      <c r="G2" s="254"/>
      <c r="H2" s="425" t="s">
        <v>550</v>
      </c>
      <c r="I2" s="426"/>
      <c r="J2" s="426"/>
      <c r="K2" s="426"/>
      <c r="L2" s="426"/>
      <c r="M2" s="427"/>
      <c r="N2" s="258"/>
      <c r="O2" s="258"/>
      <c r="P2" s="258"/>
      <c r="Q2" s="258"/>
      <c r="R2" s="258"/>
      <c r="S2" s="258"/>
    </row>
    <row r="3" spans="1:26" ht="21.6" customHeight="1" x14ac:dyDescent="0.25">
      <c r="A3" s="259" t="s">
        <v>502</v>
      </c>
      <c r="B3" s="421"/>
      <c r="C3" s="421"/>
      <c r="D3" s="421"/>
      <c r="E3" s="423" t="s">
        <v>484</v>
      </c>
      <c r="F3" s="424"/>
      <c r="G3" s="424"/>
      <c r="H3" s="428"/>
      <c r="I3" s="429"/>
      <c r="J3" s="429"/>
      <c r="K3" s="429"/>
      <c r="L3" s="429"/>
      <c r="M3" s="430"/>
      <c r="N3" s="258"/>
      <c r="O3" s="258"/>
      <c r="P3" s="258"/>
      <c r="Q3" s="258"/>
      <c r="R3" s="258"/>
      <c r="S3" s="258"/>
    </row>
    <row r="4" spans="1:26" ht="21.6" customHeight="1" thickBot="1" x14ac:dyDescent="0.3">
      <c r="A4" s="259" t="s">
        <v>503</v>
      </c>
      <c r="B4" s="421"/>
      <c r="C4" s="421"/>
      <c r="D4" s="421"/>
      <c r="E4" s="423"/>
      <c r="F4" s="424"/>
      <c r="G4" s="424"/>
      <c r="H4" s="260"/>
      <c r="I4" s="261"/>
      <c r="J4" s="261"/>
      <c r="K4" s="261"/>
      <c r="L4" s="261"/>
      <c r="M4" s="262"/>
      <c r="N4" s="258"/>
      <c r="O4" s="258"/>
      <c r="W4" s="256"/>
      <c r="X4" s="256"/>
      <c r="Y4" s="256"/>
      <c r="Z4" s="256"/>
    </row>
    <row r="5" spans="1:26" ht="21" customHeight="1" x14ac:dyDescent="0.35">
      <c r="A5" s="263" t="s">
        <v>596</v>
      </c>
      <c r="B5" s="264"/>
      <c r="C5" s="263"/>
      <c r="D5" s="263"/>
      <c r="E5" s="263"/>
      <c r="F5" s="254"/>
      <c r="G5" s="254"/>
      <c r="H5" s="265" t="s">
        <v>489</v>
      </c>
      <c r="I5" s="266"/>
      <c r="J5" s="258"/>
      <c r="K5" s="258"/>
      <c r="L5" s="258"/>
      <c r="M5" s="267"/>
      <c r="N5" s="258"/>
      <c r="O5" s="258"/>
      <c r="W5" s="256"/>
      <c r="X5" s="256"/>
      <c r="Y5" s="256"/>
      <c r="Z5" s="256"/>
    </row>
    <row r="6" spans="1:26" ht="20.100000000000001" customHeight="1" x14ac:dyDescent="0.25">
      <c r="A6" s="268" t="s">
        <v>486</v>
      </c>
      <c r="B6" s="269">
        <f ca="1">TODAY()</f>
        <v>43929</v>
      </c>
      <c r="C6" s="270"/>
      <c r="D6" s="270"/>
      <c r="E6" s="270"/>
      <c r="F6" s="271"/>
      <c r="G6" s="271"/>
      <c r="H6" s="265" t="s">
        <v>542</v>
      </c>
      <c r="I6" s="272" t="str">
        <f>IF(I1="","Functionality Coming", IF(I5="","Enter District",VLOOKUP(I5,SiloSize,2,FALSE)))</f>
        <v>Functionality Coming</v>
      </c>
      <c r="J6" s="258"/>
      <c r="K6" s="258"/>
      <c r="L6" s="258"/>
      <c r="M6" s="267"/>
      <c r="N6" s="258"/>
      <c r="O6" s="258"/>
      <c r="W6" s="256"/>
      <c r="X6" s="256"/>
      <c r="Y6" s="256"/>
      <c r="Z6" s="256"/>
    </row>
    <row r="7" spans="1:26" ht="20.100000000000001" customHeight="1" x14ac:dyDescent="0.25">
      <c r="A7" s="273" t="s">
        <v>487</v>
      </c>
      <c r="B7" s="264"/>
      <c r="C7" s="270"/>
      <c r="D7" s="270"/>
      <c r="E7" s="270"/>
      <c r="F7" s="271"/>
      <c r="G7" s="271"/>
      <c r="H7" s="274" t="s">
        <v>544</v>
      </c>
      <c r="I7" s="272" t="str">
        <f>IF(I1="","Functionality Coming",IF(I6="Enter District","Enter District",I6*0.7))</f>
        <v>Functionality Coming</v>
      </c>
      <c r="J7" s="258"/>
      <c r="K7" s="258"/>
      <c r="L7" s="258"/>
      <c r="M7" s="267"/>
      <c r="N7" s="258"/>
      <c r="O7" s="258"/>
      <c r="W7" s="256"/>
      <c r="X7" s="256"/>
      <c r="Y7" s="256"/>
      <c r="Z7" s="256"/>
    </row>
    <row r="8" spans="1:26" ht="20.100000000000001" customHeight="1" x14ac:dyDescent="0.25">
      <c r="A8" s="273" t="s">
        <v>467</v>
      </c>
      <c r="B8" s="275">
        <v>26</v>
      </c>
      <c r="C8" s="276" t="s">
        <v>507</v>
      </c>
      <c r="D8" s="270"/>
      <c r="E8" s="270"/>
      <c r="F8" s="271"/>
      <c r="G8" s="271"/>
      <c r="H8" s="274" t="s">
        <v>545</v>
      </c>
      <c r="I8" s="277" t="str">
        <f>IF(I1="","Functionality Coming",IF(I7="Enter District","Enter District",I7*B14))</f>
        <v>Functionality Coming</v>
      </c>
      <c r="J8" s="258"/>
      <c r="K8" s="258"/>
      <c r="L8" s="258"/>
      <c r="M8" s="267"/>
      <c r="N8" s="258"/>
      <c r="O8" s="258"/>
      <c r="W8" s="256"/>
      <c r="X8" s="256"/>
      <c r="Y8" s="256"/>
      <c r="Z8" s="256"/>
    </row>
    <row r="9" spans="1:26" ht="20.100000000000001" customHeight="1" x14ac:dyDescent="0.25">
      <c r="A9" s="278" t="s">
        <v>485</v>
      </c>
      <c r="B9" s="275">
        <v>1</v>
      </c>
      <c r="C9" s="276" t="s">
        <v>508</v>
      </c>
      <c r="D9" s="270"/>
      <c r="E9" s="270"/>
      <c r="F9" s="270"/>
      <c r="G9" s="270"/>
      <c r="H9" s="274" t="s">
        <v>593</v>
      </c>
      <c r="I9" s="266"/>
      <c r="J9" s="258"/>
      <c r="K9" s="258"/>
      <c r="L9" s="258"/>
      <c r="M9" s="267"/>
      <c r="N9" s="258"/>
      <c r="O9" s="258"/>
      <c r="W9" s="256"/>
      <c r="X9" s="256"/>
      <c r="Y9" s="256"/>
      <c r="Z9" s="256"/>
    </row>
    <row r="10" spans="1:26" ht="19.5" customHeight="1" x14ac:dyDescent="0.3">
      <c r="A10" s="278" t="s">
        <v>527</v>
      </c>
      <c r="B10" s="279">
        <v>1885</v>
      </c>
      <c r="C10" s="280" t="str">
        <f>IF(B10="","ENTER PROGRAMMED BLEND DENSITY HERE",IF(B10&lt;'Max Add &amp; Blend Densities'!N3, "BLEND DENSITY OUTSIDE OPTIMAL RANGE - CONFIRM BLEND PRIOR TO LOADING", IF((B43+B44)&gt;0,IF((B10-'Max Add &amp; Blend Densities'!N5)&gt;10,"BLEND DENSITY OUTSIDE OPTIMAL RANGE - CONFIRM DESIGN PRIOR TO LOADING",""),IF(B10-'Max Add &amp; Blend Densities'!N4&gt;10,"BLEND DENSITY OUTSIDE OPTIMAL RANGE - CONFIRM DESIGN PRIOR TO LOADING",IF(B10&lt;'Max Add &amp; Blend Densities'!N3,"BLEND DENSITY IS OUTSIDE OPTIMAL RANGE - CONFIRM DESIGN PRIOR TO LOADING","")))))</f>
        <v>BLEND DENSITY OUTSIDE OPTIMAL RANGE - CONFIRM BLEND PRIOR TO LOADING</v>
      </c>
      <c r="D10" s="270"/>
      <c r="E10" s="270"/>
      <c r="F10" s="270"/>
      <c r="G10" s="270"/>
      <c r="H10" s="274" t="s">
        <v>543</v>
      </c>
      <c r="I10" s="272" t="str">
        <f>IF(I7="Functionality Coming","Functionality Coming",IF(I7="Enter District","Enter District",IF(B17=0,"Enter Base Blend Tonnage",ROUNDUP(B17/I7,0))))</f>
        <v>Functionality Coming</v>
      </c>
      <c r="J10" s="258"/>
      <c r="K10" s="258"/>
      <c r="L10" s="258"/>
      <c r="M10" s="267"/>
      <c r="N10" s="258"/>
      <c r="O10" s="258"/>
      <c r="W10" s="256"/>
      <c r="X10" s="256"/>
      <c r="Y10" s="256"/>
      <c r="Z10" s="256"/>
    </row>
    <row r="11" spans="1:26" ht="19.5" customHeight="1" x14ac:dyDescent="0.25">
      <c r="A11" s="278" t="s">
        <v>1833</v>
      </c>
      <c r="B11" s="279"/>
      <c r="C11" s="270"/>
      <c r="D11" s="270"/>
      <c r="E11" s="270"/>
      <c r="F11" s="270"/>
      <c r="G11" s="270"/>
      <c r="H11" s="274" t="s">
        <v>548</v>
      </c>
      <c r="I11" s="272" t="str">
        <f>IF(I10="Functionality Coming","Functionality Coming",IF(B17=0,"Enter Base Blend Tonnage",IF(I10="Enter District","Enter District",B17/I10*B14)))</f>
        <v>Functionality Coming</v>
      </c>
      <c r="J11" s="258"/>
      <c r="K11" s="258"/>
      <c r="L11" s="258"/>
      <c r="M11" s="267"/>
      <c r="N11" s="258"/>
      <c r="O11" s="258"/>
      <c r="W11" s="256"/>
      <c r="X11" s="256"/>
      <c r="Y11" s="256"/>
      <c r="Z11" s="256"/>
    </row>
    <row r="12" spans="1:26" ht="19.5" customHeight="1" x14ac:dyDescent="0.25">
      <c r="A12" s="259" t="s">
        <v>520</v>
      </c>
      <c r="B12" s="281">
        <f>VLOOKUP($A$19,'Max Add &amp; Blend Densities'!$E$3:$H$150,3,FALSE)</f>
        <v>1901</v>
      </c>
      <c r="C12" s="282" t="s">
        <v>613</v>
      </c>
      <c r="D12" s="279"/>
      <c r="E12" s="270"/>
      <c r="F12" s="270"/>
      <c r="G12" s="270"/>
      <c r="H12" s="274" t="str">
        <f>IF(I10="Enter Base Blend Tonnage","","Desired Batch 1 Size (Tonnes)")</f>
        <v>Desired Batch 1 Size (Tonnes)</v>
      </c>
      <c r="I12" s="283"/>
      <c r="J12" s="258"/>
      <c r="K12" s="258"/>
      <c r="L12" s="258"/>
      <c r="M12" s="267"/>
      <c r="N12" s="258"/>
      <c r="O12" s="258"/>
      <c r="W12" s="256"/>
      <c r="X12" s="256"/>
      <c r="Y12" s="256"/>
      <c r="Z12" s="256"/>
    </row>
    <row r="13" spans="1:26" ht="19.5" customHeight="1" x14ac:dyDescent="0.25">
      <c r="A13" s="259" t="s">
        <v>465</v>
      </c>
      <c r="B13" s="284">
        <f>IF(A19="","Enter Blend",VLOOKUP(A19,'Base Blend Property Calculation'!A7:BP152,67,FALSE)+C39+C43+C44)</f>
        <v>1030.5</v>
      </c>
      <c r="C13" s="282" t="s">
        <v>614</v>
      </c>
      <c r="D13" s="275"/>
      <c r="E13" s="270"/>
      <c r="F13" s="270"/>
      <c r="G13" s="271"/>
      <c r="H13" s="274" t="str">
        <f>IF(I10="Enter Base Blend Tonnage","", IF(I10&gt;1,"Desired Batch 2 Size (Tonnes)",""))</f>
        <v>Desired Batch 2 Size (Tonnes)</v>
      </c>
      <c r="I13" s="283"/>
      <c r="J13" s="258"/>
      <c r="K13" s="258"/>
      <c r="L13" s="258"/>
      <c r="M13" s="267"/>
      <c r="N13" s="258"/>
      <c r="O13" s="258"/>
      <c r="W13" s="256"/>
      <c r="X13" s="256"/>
      <c r="Y13" s="256"/>
      <c r="Z13" s="256"/>
    </row>
    <row r="14" spans="1:26" ht="19.5" customHeight="1" x14ac:dyDescent="0.25">
      <c r="A14" s="259" t="s">
        <v>466</v>
      </c>
      <c r="B14" s="285">
        <f>IF(A19="","Enter Blend",VLOOKUP(A19,'Base Blend Property Calculation'!A6:BP152,68,FALSE))</f>
        <v>1.44</v>
      </c>
      <c r="C14" s="282" t="s">
        <v>1778</v>
      </c>
      <c r="D14" s="279"/>
      <c r="E14" s="270"/>
      <c r="F14" s="270"/>
      <c r="G14" s="271"/>
      <c r="H14" s="274" t="str">
        <f>IF(I10="Enter Base Blend Tonnage","", IF(I10&gt;2,"Desired Batch 3 Size (Tonnes)",""))</f>
        <v>Desired Batch 3 Size (Tonnes)</v>
      </c>
      <c r="I14" s="283"/>
      <c r="J14" s="258"/>
      <c r="K14" s="258"/>
      <c r="L14" s="258"/>
      <c r="M14" s="267"/>
      <c r="N14" s="258"/>
      <c r="O14" s="258"/>
      <c r="W14" s="256"/>
      <c r="X14" s="256"/>
      <c r="Y14" s="256"/>
      <c r="Z14" s="256"/>
    </row>
    <row r="15" spans="1:26" ht="19.5" customHeight="1" x14ac:dyDescent="0.25">
      <c r="A15" s="259" t="s">
        <v>210</v>
      </c>
      <c r="B15" s="285">
        <f>IF(B8="","Enter Base Blend Tonnage",IF(A19="","Enter Blend",B8*B13/1000))</f>
        <v>26.792999999999999</v>
      </c>
      <c r="C15" s="271"/>
      <c r="D15" s="276"/>
      <c r="E15" s="270"/>
      <c r="F15" s="270"/>
      <c r="G15" s="271"/>
      <c r="H15" s="274" t="str">
        <f>IF(I10="Enter Base Blend Tonnage","", IF(I10&gt;3,"Desired Batch 4 Size (Tonnes)",""))</f>
        <v>Desired Batch 4 Size (Tonnes)</v>
      </c>
      <c r="I15" s="283"/>
      <c r="J15" s="258"/>
      <c r="K15" s="258"/>
      <c r="L15" s="258"/>
      <c r="M15" s="267"/>
      <c r="N15" s="258"/>
      <c r="O15" s="258"/>
      <c r="W15" s="256"/>
      <c r="X15" s="256"/>
      <c r="Y15" s="256"/>
      <c r="Z15" s="256"/>
    </row>
    <row r="16" spans="1:26" ht="19.5" customHeight="1" x14ac:dyDescent="0.25">
      <c r="A16" s="259" t="s">
        <v>464</v>
      </c>
      <c r="B16" s="285">
        <f>IF(B8="","Enter Base Blend Tonnage",IF(B9="","Enter Mix Water",B9*B8))</f>
        <v>26</v>
      </c>
      <c r="C16" s="431" t="s">
        <v>1801</v>
      </c>
      <c r="D16" s="431"/>
      <c r="E16" s="431"/>
      <c r="F16" s="270"/>
      <c r="G16" s="270"/>
      <c r="H16" s="274" t="str">
        <f>IF(I10="Enter Base Blend Tonnage","", IF(I10&gt;4,"Desired Batch 5 Size (Tonnes)",""))</f>
        <v>Desired Batch 5 Size (Tonnes)</v>
      </c>
      <c r="I16" s="283"/>
      <c r="J16" s="258"/>
      <c r="K16" s="258"/>
      <c r="L16" s="258"/>
      <c r="M16" s="267"/>
      <c r="N16" s="258"/>
      <c r="O16" s="258"/>
      <c r="W16" s="256"/>
      <c r="X16" s="256"/>
      <c r="Y16" s="256"/>
      <c r="Z16" s="256"/>
    </row>
    <row r="17" spans="1:26" ht="19.5" customHeight="1" x14ac:dyDescent="0.25">
      <c r="A17" s="259" t="s">
        <v>211</v>
      </c>
      <c r="B17" s="285">
        <f>IF(B14="","Enter Blend",IF(B9="","Enter Blend",IFERROR(B15/B14,"")))</f>
        <v>18.606249999999999</v>
      </c>
      <c r="C17" s="431"/>
      <c r="D17" s="431"/>
      <c r="E17" s="431"/>
      <c r="F17" s="270"/>
      <c r="G17" s="270"/>
      <c r="H17" s="274" t="s">
        <v>546</v>
      </c>
      <c r="I17" s="286">
        <f>IF(B15=0,"",B15)</f>
        <v>26.792999999999999</v>
      </c>
      <c r="J17" s="258"/>
      <c r="K17" s="258"/>
      <c r="L17" s="258"/>
      <c r="M17" s="267"/>
      <c r="N17" s="258"/>
      <c r="O17" s="258"/>
      <c r="W17" s="256"/>
      <c r="X17" s="256"/>
      <c r="Y17" s="256"/>
      <c r="Z17" s="256"/>
    </row>
    <row r="18" spans="1:26" ht="19.5" customHeight="1" thickBot="1" x14ac:dyDescent="0.3">
      <c r="A18" s="287"/>
      <c r="B18" s="287"/>
      <c r="C18" s="432"/>
      <c r="D18" s="432"/>
      <c r="E18" s="432"/>
      <c r="F18" s="257"/>
      <c r="G18" s="257"/>
      <c r="H18" s="288" t="s">
        <v>547</v>
      </c>
      <c r="I18" s="289">
        <f>IF(I17="Enter Base Blend Tonnage","",IF(I17="Enter Blend","",IF(I17="","",I17-SUM(I12:I16))))</f>
        <v>26.792999999999999</v>
      </c>
      <c r="J18" s="290"/>
      <c r="K18" s="290"/>
      <c r="L18" s="290"/>
      <c r="M18" s="291"/>
      <c r="N18" s="258"/>
      <c r="O18" s="258"/>
      <c r="W18" s="256"/>
      <c r="X18" s="256"/>
      <c r="Y18" s="256"/>
      <c r="Z18" s="256"/>
    </row>
    <row r="19" spans="1:26" ht="43.5" customHeight="1" thickBot="1" x14ac:dyDescent="0.4">
      <c r="A19" s="435" t="s">
        <v>12</v>
      </c>
      <c r="B19" s="436"/>
      <c r="C19" s="436"/>
      <c r="D19" s="436"/>
      <c r="E19" s="437"/>
      <c r="F19" s="422" t="str">
        <f>IF(B48="","",IF(B48=0,"","POZMIX BASE BLEND GEL LOADINGS ARE NOW AUTOMATICALLY ACCOUNTED FOR - ONLY EXTERNAL ADDITIVES MUST BE ADDED ON TOP OF THE BLEND"))</f>
        <v>POZMIX BASE BLEND GEL LOADINGS ARE NOW AUTOMATICALLY ACCOUNTED FOR - ONLY EXTERNAL ADDITIVES MUST BE ADDED ON TOP OF THE BLEND</v>
      </c>
      <c r="G19" s="422"/>
      <c r="H19" s="422"/>
      <c r="I19" s="422"/>
      <c r="J19" s="422"/>
      <c r="K19" s="422"/>
      <c r="L19" s="258"/>
      <c r="M19" s="258"/>
      <c r="N19" s="292"/>
      <c r="O19" s="292"/>
      <c r="P19" s="292"/>
      <c r="Q19" s="292"/>
      <c r="R19" s="292"/>
      <c r="S19" s="292"/>
    </row>
    <row r="20" spans="1:26" ht="26.25" x14ac:dyDescent="0.25">
      <c r="A20" s="438" t="str">
        <f>IF('Base Blend Compatibility Test'!X15&gt;0, "INCOMPATIBLE BLEND DESIGN", "")</f>
        <v/>
      </c>
      <c r="B20" s="438"/>
      <c r="C20" s="438"/>
      <c r="D20" s="438"/>
      <c r="E20" s="438"/>
      <c r="F20" s="422"/>
      <c r="G20" s="422"/>
      <c r="H20" s="422"/>
      <c r="I20" s="422"/>
      <c r="J20" s="422"/>
      <c r="K20" s="422"/>
      <c r="L20" s="258"/>
      <c r="M20" s="258"/>
      <c r="N20" s="258"/>
      <c r="O20" s="258"/>
      <c r="P20" s="258"/>
      <c r="Q20" s="258"/>
      <c r="R20" s="258"/>
      <c r="S20" s="258"/>
    </row>
    <row r="21" spans="1:26" x14ac:dyDescent="0.25">
      <c r="A21" s="419" t="s">
        <v>180</v>
      </c>
      <c r="B21" s="419"/>
      <c r="C21" s="419"/>
      <c r="D21" s="419"/>
      <c r="E21" s="419"/>
      <c r="F21" s="419"/>
      <c r="G21" s="293"/>
      <c r="H21" s="294"/>
      <c r="I21" s="295"/>
      <c r="J21" s="296"/>
      <c r="K21" s="258"/>
      <c r="L21" s="258"/>
      <c r="M21" s="258"/>
      <c r="N21" s="258"/>
      <c r="O21" s="258"/>
      <c r="P21" s="258"/>
      <c r="Q21" s="258"/>
      <c r="R21" s="258"/>
      <c r="S21" s="258"/>
    </row>
    <row r="22" spans="1:26" ht="25.5" x14ac:dyDescent="0.25">
      <c r="A22" s="297" t="s">
        <v>181</v>
      </c>
      <c r="B22" s="298" t="s">
        <v>182</v>
      </c>
      <c r="C22" s="298" t="s">
        <v>455</v>
      </c>
      <c r="D22" s="298" t="s">
        <v>183</v>
      </c>
      <c r="E22" s="414" t="s">
        <v>184</v>
      </c>
      <c r="F22" s="414" t="s">
        <v>1932</v>
      </c>
      <c r="G22" s="293"/>
      <c r="H22" s="299"/>
      <c r="I22" s="295"/>
      <c r="J22" s="258"/>
      <c r="K22" s="258"/>
      <c r="L22" s="258"/>
      <c r="M22" s="258"/>
      <c r="N22" s="258"/>
      <c r="O22" s="258"/>
      <c r="P22" s="258"/>
      <c r="Q22" s="258"/>
      <c r="R22" s="258"/>
      <c r="S22" s="258"/>
    </row>
    <row r="23" spans="1:26" ht="24.95" customHeight="1" x14ac:dyDescent="0.25">
      <c r="A23" s="300" t="s">
        <v>116</v>
      </c>
      <c r="B23" s="301">
        <v>0.15</v>
      </c>
      <c r="C23" s="302">
        <f>IF(A23="","",B23/100*1000)</f>
        <v>1.5</v>
      </c>
      <c r="D23" s="303">
        <f>IF(A23="","", VLOOKUP(A23,'SPECIFIC GRAVITIES'!$A$4:$B$138, 2, FALSE))</f>
        <v>1.0149999999999999</v>
      </c>
      <c r="E23" s="413">
        <f>IF(A23="","",C23/D23)</f>
        <v>1.4778325123152711</v>
      </c>
      <c r="F23" s="303">
        <f>IFERROR(C23*$B$8/VLOOKUP(A23,Sheet1!$B$2:$C$49,2,FALSE)/1000,"")</f>
        <v>9.11214953271028E-2</v>
      </c>
      <c r="G23" s="416">
        <f>B8/B14</f>
        <v>18.055555555555557</v>
      </c>
      <c r="H23" s="407"/>
      <c r="I23" s="407"/>
      <c r="J23" s="407"/>
      <c r="K23" s="407"/>
      <c r="L23" s="407"/>
      <c r="M23" s="407"/>
      <c r="N23" s="407"/>
      <c r="O23" s="407"/>
      <c r="P23" s="407"/>
    </row>
    <row r="24" spans="1:26" ht="24.95" customHeight="1" x14ac:dyDescent="0.25">
      <c r="A24" s="300" t="s">
        <v>118</v>
      </c>
      <c r="B24" s="301">
        <v>0.6</v>
      </c>
      <c r="C24" s="302">
        <f t="shared" ref="C24:C37" si="0">IF(A24="","",B24/100*1000)</f>
        <v>6</v>
      </c>
      <c r="D24" s="303">
        <f>IF(A24="","", VLOOKUP(A24,'SPECIFIC GRAVITIES'!$A$4:$B$138, 2, FALSE))</f>
        <v>1.4</v>
      </c>
      <c r="E24" s="413">
        <f t="shared" ref="E24:E37" si="1">IF(A24="","",C24/D24)</f>
        <v>4.2857142857142856</v>
      </c>
      <c r="F24" s="303">
        <f>IFERROR(C24*$B$8/VLOOKUP(A24,Sheet1!$B$2:$C$49,2,FALSE)/1000,"")</f>
        <v>0.46706586826347302</v>
      </c>
      <c r="G24" s="411" t="str">
        <f>IF(A24="","",IF(B24&gt;VLOOKUP('Bulk Plant Input'!A24,'Max Add &amp; Blend Densities'!$B$3:$C$150,2,FALSE),"Abnormal "&amp;A24&amp;" loading - Confirm blend with client solutions",""))</f>
        <v/>
      </c>
      <c r="H24" s="410"/>
      <c r="I24" s="410"/>
      <c r="J24" s="410"/>
      <c r="K24" s="410"/>
      <c r="L24" s="410"/>
      <c r="M24" s="410"/>
      <c r="N24" s="410"/>
      <c r="O24" s="410"/>
      <c r="P24" s="258"/>
      <c r="Q24" s="258"/>
      <c r="R24" s="258"/>
      <c r="S24" s="258"/>
    </row>
    <row r="25" spans="1:26" ht="24.95" customHeight="1" x14ac:dyDescent="0.25">
      <c r="A25" s="300" t="s">
        <v>125</v>
      </c>
      <c r="B25" s="301">
        <v>2</v>
      </c>
      <c r="C25" s="302">
        <f t="shared" si="0"/>
        <v>20</v>
      </c>
      <c r="D25" s="303">
        <f>IF(A25="","", VLOOKUP(A25,'SPECIFIC GRAVITIES'!$A$4:$B$138, 2, FALSE))</f>
        <v>2.3530000000000002</v>
      </c>
      <c r="E25" s="413">
        <f t="shared" si="1"/>
        <v>8.4997875053123657</v>
      </c>
      <c r="F25" s="303">
        <f>IFERROR(C25*$B$8/VLOOKUP(A25,Sheet1!$B$2:$C$49,2,FALSE)/1000,"")</f>
        <v>1.6184251478369127</v>
      </c>
      <c r="G25" s="411" t="str">
        <f>IF(A25="","",IF(B25&gt;VLOOKUP('Bulk Plant Input'!A25,'Max Add &amp; Blend Densities'!$B$3:$C$150,2,FALSE),"Abnormal "&amp;A25&amp;" loading - Confirm blend with client solutions",""))</f>
        <v/>
      </c>
      <c r="H25" s="410"/>
      <c r="I25" s="410"/>
      <c r="J25" s="410"/>
      <c r="K25" s="410"/>
      <c r="L25" s="410"/>
      <c r="M25" s="410"/>
      <c r="N25" s="410"/>
      <c r="O25" s="410"/>
      <c r="P25" s="258"/>
      <c r="Q25" s="258"/>
      <c r="R25" s="258"/>
      <c r="S25" s="258"/>
    </row>
    <row r="26" spans="1:26" ht="24.95" customHeight="1" x14ac:dyDescent="0.25">
      <c r="A26" s="300" t="s">
        <v>166</v>
      </c>
      <c r="B26" s="301">
        <v>0.15</v>
      </c>
      <c r="C26" s="302">
        <f t="shared" si="0"/>
        <v>1.5</v>
      </c>
      <c r="D26" s="303">
        <f>IF(A26="","", VLOOKUP(A26,'SPECIFIC GRAVITIES'!$A$4:$B$138, 2, FALSE))</f>
        <v>1.2729999999999999</v>
      </c>
      <c r="E26" s="413">
        <f t="shared" si="1"/>
        <v>1.178318931657502</v>
      </c>
      <c r="F26" s="303">
        <f>IFERROR(C26*$B$8/VLOOKUP(A26,Sheet1!$B$2:$C$49,2,FALSE)/1000,"")</f>
        <v>7.7953228063162114E-2</v>
      </c>
      <c r="G26" s="411" t="str">
        <f>IF(A26="","",IF(B26&gt;VLOOKUP('Bulk Plant Input'!A26,'Max Add &amp; Blend Densities'!$B$3:$C$150,2,FALSE),"Abnormal "&amp;A26&amp;" loading - Confirm blend with client solutions",""))</f>
        <v/>
      </c>
      <c r="H26" s="410"/>
      <c r="I26" s="410"/>
      <c r="J26" s="410"/>
      <c r="K26" s="410"/>
      <c r="L26" s="410"/>
      <c r="M26" s="410"/>
      <c r="N26" s="410"/>
      <c r="O26" s="410"/>
      <c r="P26" s="258"/>
      <c r="Q26" s="258"/>
      <c r="R26" s="258"/>
      <c r="S26" s="258"/>
    </row>
    <row r="27" spans="1:26" ht="24.95" customHeight="1" x14ac:dyDescent="0.25">
      <c r="A27" s="300" t="s">
        <v>301</v>
      </c>
      <c r="B27" s="301">
        <v>0.15</v>
      </c>
      <c r="C27" s="302">
        <f t="shared" si="0"/>
        <v>1.5</v>
      </c>
      <c r="D27" s="303">
        <f>IF(A27="","", VLOOKUP(A27,'SPECIFIC GRAVITIES'!$A$4:$B$138, 2, FALSE))</f>
        <v>1.6951000000000001</v>
      </c>
      <c r="E27" s="413">
        <f t="shared" si="1"/>
        <v>0.884903545513539</v>
      </c>
      <c r="F27" s="303">
        <f>IFERROR(C27*$B$8/VLOOKUP(A27,Sheet1!$B$2:$C$49,2,FALSE)/1000,"")</f>
        <v>8.0695220360024827E-2</v>
      </c>
      <c r="G27" s="411" t="str">
        <f>IF(A27="","",IF(B27&gt;VLOOKUP('Bulk Plant Input'!A27,'Max Add &amp; Blend Densities'!$B$3:$C$150,2,FALSE),"Abnormal "&amp;A27&amp;" loading - Confirm blend with client solutions",""))</f>
        <v/>
      </c>
      <c r="H27" s="410"/>
      <c r="I27" s="410"/>
      <c r="J27" s="410"/>
      <c r="K27" s="410"/>
      <c r="L27" s="410"/>
      <c r="M27" s="410"/>
      <c r="N27" s="410"/>
      <c r="O27" s="410"/>
      <c r="P27" s="258"/>
      <c r="Q27" s="258"/>
      <c r="R27" s="258"/>
      <c r="S27" s="258"/>
    </row>
    <row r="28" spans="1:26" ht="24.95" customHeight="1" x14ac:dyDescent="0.25">
      <c r="A28" s="300" t="s">
        <v>145</v>
      </c>
      <c r="B28" s="301">
        <v>0</v>
      </c>
      <c r="C28" s="302">
        <f t="shared" si="0"/>
        <v>0</v>
      </c>
      <c r="D28" s="303">
        <f>IF(A28="","", VLOOKUP(A28,'SPECIFIC GRAVITIES'!$A$4:$B$138, 2, FALSE))</f>
        <v>2.5190000000000001</v>
      </c>
      <c r="E28" s="413">
        <f t="shared" si="1"/>
        <v>0</v>
      </c>
      <c r="F28" s="303">
        <f>IFERROR(C28*$B$8/VLOOKUP(A28,Sheet1!$B$2:$C$49,2,FALSE)/1000,"")</f>
        <v>0</v>
      </c>
      <c r="G28" s="416"/>
      <c r="H28" s="410"/>
      <c r="I28" s="410"/>
      <c r="J28" s="410"/>
      <c r="K28" s="410"/>
      <c r="L28" s="410"/>
      <c r="M28" s="410"/>
      <c r="N28" s="410"/>
      <c r="O28" s="410"/>
      <c r="P28" s="258"/>
      <c r="Q28" s="258"/>
      <c r="R28" s="258"/>
      <c r="S28" s="258"/>
    </row>
    <row r="29" spans="1:26" ht="24.95" customHeight="1" x14ac:dyDescent="0.25">
      <c r="A29" s="300"/>
      <c r="B29" s="301"/>
      <c r="C29" s="302" t="str">
        <f t="shared" si="0"/>
        <v/>
      </c>
      <c r="D29" s="303" t="str">
        <f>IF(A29="","", VLOOKUP(A29,'SPECIFIC GRAVITIES'!$A$4:$B$138, 2, FALSE))</f>
        <v/>
      </c>
      <c r="E29" s="413" t="str">
        <f t="shared" si="1"/>
        <v/>
      </c>
      <c r="F29" s="303" t="str">
        <f>IFERROR(C29*$B$8/VLOOKUP(A29,Sheet1!$B$2:$C$49,2,FALSE)/1000,"")</f>
        <v/>
      </c>
      <c r="G29" s="411" t="str">
        <f>IF(A29="","",IF(B29&gt;VLOOKUP('Bulk Plant Input'!A29,'Max Add &amp; Blend Densities'!$B$3:$C$150,2,FALSE),"Abnormal "&amp;A29&amp;" loading - Confirm blend with client solutions",""))</f>
        <v/>
      </c>
      <c r="H29" s="410"/>
      <c r="I29" s="410"/>
      <c r="J29" s="410"/>
      <c r="K29" s="410"/>
      <c r="L29" s="410"/>
      <c r="M29" s="410"/>
      <c r="N29" s="410"/>
      <c r="O29" s="410"/>
      <c r="P29" s="304"/>
      <c r="Q29" s="304"/>
      <c r="R29" s="304"/>
      <c r="S29" s="304"/>
    </row>
    <row r="30" spans="1:26" ht="24.95" customHeight="1" x14ac:dyDescent="0.25">
      <c r="A30" s="300"/>
      <c r="B30" s="301"/>
      <c r="C30" s="302" t="str">
        <f t="shared" si="0"/>
        <v/>
      </c>
      <c r="D30" s="303" t="str">
        <f>IF(A30="","", VLOOKUP(A30,'SPECIFIC GRAVITIES'!$A$4:$B$138, 2, FALSE))</f>
        <v/>
      </c>
      <c r="E30" s="413" t="str">
        <f t="shared" si="1"/>
        <v/>
      </c>
      <c r="F30" s="303" t="str">
        <f>IFERROR(C30*$B$8/VLOOKUP(A30,Sheet1!$B$2:$C$49,2,FALSE)/1000,"")</f>
        <v/>
      </c>
      <c r="G30" s="411" t="str">
        <f>IF(A30="","",IF(B30&gt;VLOOKUP('Bulk Plant Input'!A30,'Max Add &amp; Blend Densities'!$B$3:$C$150,2,FALSE),"Abnormal "&amp;A30&amp;" loading - Confirm blend with client solutions",""))</f>
        <v/>
      </c>
      <c r="H30" s="410"/>
      <c r="I30" s="410"/>
      <c r="J30" s="410"/>
      <c r="K30" s="410"/>
      <c r="L30" s="410"/>
      <c r="M30" s="410"/>
      <c r="N30" s="410"/>
      <c r="O30" s="410"/>
    </row>
    <row r="31" spans="1:26" ht="24.95" customHeight="1" x14ac:dyDescent="0.25">
      <c r="A31" s="300"/>
      <c r="B31" s="301"/>
      <c r="C31" s="302" t="str">
        <f t="shared" si="0"/>
        <v/>
      </c>
      <c r="D31" s="303" t="str">
        <f>IF(A31="","", VLOOKUP(A31,'SPECIFIC GRAVITIES'!$A$4:$B$138, 2, FALSE))</f>
        <v/>
      </c>
      <c r="E31" s="413" t="str">
        <f t="shared" si="1"/>
        <v/>
      </c>
      <c r="F31" s="303" t="str">
        <f>IFERROR(C31*$B$8/VLOOKUP(A31,Sheet1!$B$2:$C$49,2,FALSE)/1000,"")</f>
        <v/>
      </c>
      <c r="G31" s="411" t="str">
        <f>IF(A31="","",IF(B31&gt;VLOOKUP('Bulk Plant Input'!A31,'Max Add &amp; Blend Densities'!$B$3:$C$150,2,FALSE),"Abnormal "&amp;A31&amp;" loading - Confirm blend with client solutions",""))</f>
        <v/>
      </c>
      <c r="H31" s="410"/>
      <c r="I31" s="410"/>
      <c r="J31" s="410"/>
      <c r="K31" s="410"/>
      <c r="L31" s="410"/>
      <c r="M31" s="410"/>
      <c r="N31" s="410"/>
      <c r="O31" s="410"/>
    </row>
    <row r="32" spans="1:26" ht="24.95" customHeight="1" x14ac:dyDescent="0.25">
      <c r="A32" s="300"/>
      <c r="B32" s="301"/>
      <c r="C32" s="302" t="str">
        <f t="shared" si="0"/>
        <v/>
      </c>
      <c r="D32" s="303" t="str">
        <f>IF(A32="","", VLOOKUP(A32,'SPECIFIC GRAVITIES'!$A$4:$B$138, 2, FALSE))</f>
        <v/>
      </c>
      <c r="E32" s="413" t="str">
        <f t="shared" si="1"/>
        <v/>
      </c>
      <c r="F32" s="303" t="str">
        <f>IFERROR(C32*$B$8/VLOOKUP(A32,Sheet1!$B$2:$C$49,2,FALSE)/1000,"")</f>
        <v/>
      </c>
      <c r="G32" s="411" t="str">
        <f>IF(A32="","",IF(B32&gt;VLOOKUP('Bulk Plant Input'!A32,'Max Add &amp; Blend Densities'!$B$3:$C$150,2,FALSE),"Abnormal "&amp;A32&amp;" loading - Confirm blend with client solutions",""))</f>
        <v/>
      </c>
      <c r="H32" s="410"/>
      <c r="I32" s="410"/>
      <c r="J32" s="410"/>
      <c r="K32" s="410"/>
      <c r="L32" s="410"/>
      <c r="M32" s="410"/>
      <c r="N32" s="410"/>
      <c r="O32" s="410"/>
    </row>
    <row r="33" spans="1:19" ht="24.95" customHeight="1" x14ac:dyDescent="0.25">
      <c r="A33" s="300"/>
      <c r="B33" s="301"/>
      <c r="C33" s="302" t="str">
        <f t="shared" si="0"/>
        <v/>
      </c>
      <c r="D33" s="303" t="str">
        <f>IF(A33="","", VLOOKUP(A33,'SPECIFIC GRAVITIES'!$A$4:$B$138, 2, FALSE))</f>
        <v/>
      </c>
      <c r="E33" s="413" t="str">
        <f t="shared" si="1"/>
        <v/>
      </c>
      <c r="F33" s="303" t="str">
        <f>IFERROR(C33*$B$8/VLOOKUP(A33,Sheet1!$B$2:$C$49,2,FALSE)/1000,"")</f>
        <v/>
      </c>
      <c r="G33" s="411" t="str">
        <f>IF(A33="","",IF(B33&gt;VLOOKUP('Bulk Plant Input'!A33,'Max Add &amp; Blend Densities'!$B$3:$C$150,2,FALSE),"Abnormal "&amp;A33&amp;" loading - Confirm blend with client solutions",""))</f>
        <v/>
      </c>
      <c r="H33" s="410"/>
      <c r="I33" s="410"/>
      <c r="J33" s="410"/>
      <c r="K33" s="410"/>
      <c r="L33" s="410"/>
      <c r="M33" s="410"/>
      <c r="N33" s="410"/>
      <c r="O33" s="410"/>
    </row>
    <row r="34" spans="1:19" ht="24.95" customHeight="1" x14ac:dyDescent="0.25">
      <c r="A34" s="300"/>
      <c r="B34" s="301"/>
      <c r="C34" s="302" t="str">
        <f t="shared" si="0"/>
        <v/>
      </c>
      <c r="D34" s="303" t="str">
        <f>IF(A34="","", VLOOKUP(A34,'SPECIFIC GRAVITIES'!$A$4:$B$138, 2, FALSE))</f>
        <v/>
      </c>
      <c r="E34" s="413" t="str">
        <f t="shared" si="1"/>
        <v/>
      </c>
      <c r="F34" s="303" t="str">
        <f>IFERROR(C34*$B$8/VLOOKUP(A34,Sheet1!$B$2:$C$49,2,FALSE)/1000,"")</f>
        <v/>
      </c>
      <c r="G34" s="411" t="str">
        <f>IF(A34="","",IF(B34&gt;VLOOKUP('Bulk Plant Input'!A34,'Max Add &amp; Blend Densities'!$B$3:$C$150,2,FALSE),"Abnormal "&amp;A34&amp;" loading - Confirm blend with client solutions",""))</f>
        <v/>
      </c>
      <c r="H34" s="410"/>
      <c r="I34" s="410"/>
      <c r="J34" s="410"/>
      <c r="K34" s="410"/>
      <c r="L34" s="410"/>
      <c r="M34" s="410"/>
      <c r="N34" s="410"/>
      <c r="O34" s="410"/>
    </row>
    <row r="35" spans="1:19" ht="24.95" customHeight="1" x14ac:dyDescent="0.25">
      <c r="A35" s="300"/>
      <c r="B35" s="301"/>
      <c r="C35" s="302" t="str">
        <f t="shared" si="0"/>
        <v/>
      </c>
      <c r="D35" s="303" t="str">
        <f>IF(A35="","", VLOOKUP(A35,'SPECIFIC GRAVITIES'!$A$4:$B$138, 2, FALSE))</f>
        <v/>
      </c>
      <c r="E35" s="413" t="str">
        <f t="shared" si="1"/>
        <v/>
      </c>
      <c r="F35" s="303" t="str">
        <f>IFERROR(C35*$B$8/VLOOKUP(A35,Sheet1!$B$2:$C$49,2,FALSE)/1000,"")</f>
        <v/>
      </c>
      <c r="G35" s="411" t="str">
        <f>IF(A35="","",IF(B35&gt;VLOOKUP('Bulk Plant Input'!A35,'Max Add &amp; Blend Densities'!$B$3:$C$150,2,FALSE),"Abnormal "&amp;A35&amp;" loading - Confirm blend with client solutions",""))</f>
        <v/>
      </c>
      <c r="H35" s="410"/>
      <c r="I35" s="410"/>
      <c r="J35" s="410"/>
      <c r="K35" s="410"/>
      <c r="L35" s="410"/>
      <c r="M35" s="410"/>
      <c r="N35" s="410"/>
      <c r="O35" s="410"/>
    </row>
    <row r="36" spans="1:19" ht="24.95" customHeight="1" x14ac:dyDescent="0.25">
      <c r="A36" s="300"/>
      <c r="B36" s="301"/>
      <c r="C36" s="302" t="str">
        <f t="shared" si="0"/>
        <v/>
      </c>
      <c r="D36" s="303" t="str">
        <f>IF(A36="","", VLOOKUP(A36,'SPECIFIC GRAVITIES'!$A$4:$B$138, 2, FALSE))</f>
        <v/>
      </c>
      <c r="E36" s="415" t="str">
        <f t="shared" si="1"/>
        <v/>
      </c>
      <c r="F36" s="303" t="str">
        <f>IFERROR(C36*$B$8/VLOOKUP(A36,Sheet1!$B$2:$C$49,2,FALSE)/1000,"")</f>
        <v/>
      </c>
      <c r="G36" s="411" t="str">
        <f>IF(A36="","",IF(B36&gt;VLOOKUP('Bulk Plant Input'!A36,'Max Add &amp; Blend Densities'!$B$3:$C$150,2,FALSE),"Abnormal "&amp;A36&amp;" loading - Confirm blend with client solutions",""))</f>
        <v/>
      </c>
      <c r="H36" s="410"/>
      <c r="I36" s="410"/>
      <c r="J36" s="410"/>
      <c r="K36" s="410"/>
      <c r="L36" s="410"/>
      <c r="M36" s="410"/>
      <c r="N36" s="410"/>
      <c r="O36" s="410"/>
    </row>
    <row r="37" spans="1:19" ht="24.95" customHeight="1" x14ac:dyDescent="0.25">
      <c r="A37" s="300"/>
      <c r="B37" s="301"/>
      <c r="C37" s="302" t="str">
        <f t="shared" si="0"/>
        <v/>
      </c>
      <c r="D37" s="303" t="str">
        <f>IF(A37="","", VLOOKUP(A37,'SPECIFIC GRAVITIES'!$A$4:$B$138, 2, FALSE))</f>
        <v/>
      </c>
      <c r="E37" s="415" t="str">
        <f t="shared" si="1"/>
        <v/>
      </c>
      <c r="F37" s="303" t="str">
        <f>IFERROR(C37*$B$8/VLOOKUP(A37,Sheet1!$B$2:$C$49,2,FALSE)/1000,"")</f>
        <v/>
      </c>
      <c r="G37" s="416">
        <f>G23+SUM(F23:F36)</f>
        <v>20.390816515406232</v>
      </c>
      <c r="H37" s="410"/>
      <c r="I37" s="410"/>
      <c r="J37" s="410"/>
      <c r="K37" s="410"/>
      <c r="L37" s="410"/>
      <c r="M37" s="410"/>
      <c r="N37" s="410"/>
      <c r="O37" s="410"/>
    </row>
    <row r="38" spans="1:19" ht="15.75" hidden="1" thickTop="1" x14ac:dyDescent="0.25">
      <c r="A38" s="305"/>
      <c r="B38" s="306"/>
      <c r="C38" s="306"/>
      <c r="D38" s="307"/>
      <c r="E38" s="308"/>
      <c r="G38" s="310"/>
      <c r="H38" s="271"/>
      <c r="I38" s="311"/>
      <c r="J38" s="271"/>
      <c r="K38" s="271"/>
      <c r="L38" s="271"/>
    </row>
    <row r="39" spans="1:19" ht="15" hidden="1" customHeight="1" thickBot="1" x14ac:dyDescent="0.3">
      <c r="A39" s="312" t="s">
        <v>187</v>
      </c>
      <c r="B39" s="313" t="str">
        <f>SUM(B23:B37)&amp;" %"</f>
        <v>3.05 %</v>
      </c>
      <c r="C39" s="313">
        <f>SUM(C23:C37)</f>
        <v>30.5</v>
      </c>
      <c r="D39" s="314"/>
      <c r="E39" s="315">
        <f>SUM(E23:E37)</f>
        <v>16.326556780512963</v>
      </c>
      <c r="G39" s="316"/>
      <c r="H39" s="317"/>
      <c r="I39" s="318"/>
      <c r="J39" s="271"/>
      <c r="K39" s="271"/>
      <c r="L39" s="271"/>
    </row>
    <row r="40" spans="1:19" hidden="1" x14ac:dyDescent="0.25">
      <c r="A40" s="305"/>
      <c r="B40" s="306"/>
      <c r="C40" s="306"/>
      <c r="D40" s="307"/>
      <c r="E40" s="308"/>
      <c r="G40" s="316"/>
      <c r="H40" s="317"/>
      <c r="I40" s="318"/>
      <c r="J40" s="320"/>
      <c r="K40" s="320"/>
      <c r="L40" s="320"/>
      <c r="M40" s="320"/>
    </row>
    <row r="41" spans="1:19" ht="15.75" hidden="1" thickTop="1" x14ac:dyDescent="0.25">
      <c r="A41" s="439" t="s">
        <v>188</v>
      </c>
      <c r="B41" s="439"/>
      <c r="C41" s="439"/>
      <c r="D41" s="439"/>
      <c r="E41" s="439"/>
      <c r="G41" s="271"/>
      <c r="H41" s="271"/>
      <c r="I41" s="271"/>
      <c r="J41" s="271"/>
      <c r="K41" s="271"/>
      <c r="L41" s="271"/>
    </row>
    <row r="42" spans="1:19" ht="25.5" customHeight="1" x14ac:dyDescent="0.25">
      <c r="A42" s="321" t="s">
        <v>192</v>
      </c>
      <c r="B42" s="321" t="s">
        <v>189</v>
      </c>
      <c r="C42" s="321" t="s">
        <v>455</v>
      </c>
      <c r="D42" s="321" t="s">
        <v>190</v>
      </c>
      <c r="E42" s="321" t="s">
        <v>191</v>
      </c>
      <c r="F42" s="322" t="s">
        <v>504</v>
      </c>
      <c r="G42" s="323"/>
      <c r="H42" s="323"/>
      <c r="I42" s="323"/>
      <c r="J42" s="323"/>
      <c r="K42" s="323"/>
      <c r="L42" s="271"/>
    </row>
    <row r="43" spans="1:19" ht="24.95" customHeight="1" x14ac:dyDescent="0.25">
      <c r="A43" s="324"/>
      <c r="B43" s="325"/>
      <c r="C43" s="302">
        <f>IF(A43="",0,B43/100*$B$9)*1000</f>
        <v>0</v>
      </c>
      <c r="D43" s="303" t="str">
        <f>IF(A43="","", IF(A43="KCl", VLOOKUP(B43, 'SPECIFIC GRAVITIES'!H5:I20, 2, FALSE), VLOOKUP(B43,'SPECIFIC GRAVITIES'!F5:G42,2, FALSE)))</f>
        <v/>
      </c>
      <c r="E43" s="303">
        <f>IF(D43="", 0, D43*C43)</f>
        <v>0</v>
      </c>
      <c r="F43" s="322" t="s">
        <v>506</v>
      </c>
      <c r="G43" s="326"/>
      <c r="H43" s="327"/>
      <c r="I43" s="328"/>
      <c r="J43" s="296"/>
      <c r="K43" s="271"/>
      <c r="L43" s="271"/>
    </row>
    <row r="44" spans="1:19" ht="24.95" customHeight="1" x14ac:dyDescent="0.25">
      <c r="A44" s="324"/>
      <c r="B44" s="325"/>
      <c r="C44" s="302">
        <f>IF(A44="",0,B44/100*$B$9)*1000</f>
        <v>0</v>
      </c>
      <c r="D44" s="303" t="str">
        <f>IF(A44="","", IF(A44="KCl", VLOOKUP(B44, 'SPECIFIC GRAVITIES'!H5:I20, 2, FALSE), VLOOKUP(B44,'SPECIFIC GRAVITIES'!F5:G42,2, FALSE)))</f>
        <v/>
      </c>
      <c r="E44" s="303">
        <f>IF(D44="", 0, C44*D44)</f>
        <v>0</v>
      </c>
      <c r="F44" s="322" t="s">
        <v>505</v>
      </c>
      <c r="G44" s="326"/>
      <c r="H44" s="327"/>
      <c r="I44" s="328"/>
      <c r="J44" s="296"/>
      <c r="K44" s="271"/>
      <c r="L44" s="271"/>
    </row>
    <row r="45" spans="1:19" x14ac:dyDescent="0.25">
      <c r="A45" s="329"/>
      <c r="B45" s="326"/>
      <c r="C45" s="326"/>
      <c r="D45" s="326"/>
      <c r="E45" s="326"/>
      <c r="F45" s="330"/>
      <c r="G45" s="330"/>
      <c r="H45" s="331"/>
      <c r="I45" s="332"/>
      <c r="J45" s="258"/>
    </row>
    <row r="46" spans="1:19" x14ac:dyDescent="0.25">
      <c r="A46" s="329"/>
      <c r="B46" s="326"/>
      <c r="C46" s="326"/>
      <c r="D46" s="326"/>
      <c r="E46" s="326"/>
      <c r="F46" s="330"/>
      <c r="G46" s="330"/>
      <c r="H46" s="331"/>
      <c r="I46" s="332"/>
      <c r="J46" s="258"/>
    </row>
    <row r="47" spans="1:19" ht="18" x14ac:dyDescent="0.25">
      <c r="A47" s="433"/>
      <c r="B47" s="433"/>
      <c r="C47" s="433"/>
      <c r="D47" s="433"/>
      <c r="E47" s="433"/>
      <c r="F47" s="330"/>
      <c r="G47" s="330"/>
      <c r="H47" s="331"/>
      <c r="I47" s="332"/>
      <c r="J47" s="258"/>
      <c r="L47" s="258"/>
      <c r="M47" s="258"/>
      <c r="N47" s="258"/>
      <c r="O47" s="258"/>
      <c r="P47" s="258"/>
      <c r="Q47" s="258"/>
      <c r="R47" s="258"/>
      <c r="S47" s="258"/>
    </row>
    <row r="48" spans="1:19" ht="12" hidden="1" customHeight="1" x14ac:dyDescent="0.25">
      <c r="A48" s="316" t="s">
        <v>272</v>
      </c>
      <c r="B48" s="333">
        <f>IF(A19="","",VLOOKUP(A19, 'Base Blend Property Calculation'!$A$7:$BP$152,65,FALSE))</f>
        <v>3000</v>
      </c>
      <c r="C48" s="330"/>
      <c r="D48" s="330"/>
      <c r="E48" s="330"/>
      <c r="F48" s="330"/>
      <c r="G48" s="330"/>
      <c r="H48" s="331"/>
      <c r="I48" s="332"/>
      <c r="J48" s="258"/>
      <c r="K48" s="258"/>
      <c r="L48" s="258"/>
      <c r="M48" s="258"/>
      <c r="N48" s="258"/>
      <c r="O48" s="258"/>
      <c r="P48" s="258"/>
      <c r="Q48" s="258"/>
      <c r="R48" s="258"/>
      <c r="S48" s="258"/>
    </row>
    <row r="49" spans="1:19" ht="15.75" x14ac:dyDescent="0.25">
      <c r="A49" s="334"/>
      <c r="B49" s="335"/>
      <c r="C49" s="336"/>
      <c r="D49" s="334"/>
      <c r="E49" s="337"/>
      <c r="F49" s="330"/>
      <c r="G49" s="330"/>
      <c r="H49" s="331"/>
      <c r="I49" s="332"/>
      <c r="J49" s="258"/>
      <c r="K49" s="258"/>
      <c r="L49" s="258"/>
      <c r="M49" s="258"/>
      <c r="N49" s="258"/>
      <c r="O49" s="258"/>
      <c r="P49" s="258"/>
      <c r="Q49" s="258"/>
      <c r="R49" s="258"/>
      <c r="S49" s="258"/>
    </row>
    <row r="50" spans="1:19" ht="18" x14ac:dyDescent="0.25">
      <c r="A50" s="338"/>
      <c r="B50" s="336"/>
      <c r="C50" s="441" t="str">
        <f>IF(A43="","",IF(B43&gt;VLOOKUP('Bulk Plant Input'!A43,'Max Add &amp; Blend Densities'!$B$3:$C$150,2,FALSE),"Abnormal "&amp;A43&amp;" loading - Confirm blend with client solutions",""))</f>
        <v/>
      </c>
      <c r="D50" s="441"/>
      <c r="E50" s="441"/>
      <c r="F50" s="441"/>
      <c r="G50" s="441"/>
      <c r="H50" s="441"/>
      <c r="I50" s="441"/>
      <c r="J50" s="441"/>
      <c r="K50" s="441"/>
      <c r="L50" s="441"/>
      <c r="M50" s="258"/>
      <c r="N50" s="258"/>
      <c r="O50" s="258"/>
      <c r="P50" s="258"/>
      <c r="Q50" s="258"/>
      <c r="R50" s="258"/>
      <c r="S50" s="258"/>
    </row>
    <row r="51" spans="1:19" ht="18" x14ac:dyDescent="0.25">
      <c r="A51" s="339"/>
      <c r="B51" s="340"/>
      <c r="C51" s="441" t="str">
        <f>IF(A44="","",IF(B44&gt;VLOOKUP('Bulk Plant Input'!A44,'Max Add &amp; Blend Densities'!$B$3:$C$150,2,FALSE),"Abnormal "&amp;A44&amp;" loading - Confirm blend with client solutions",""))</f>
        <v/>
      </c>
      <c r="D51" s="441"/>
      <c r="E51" s="441"/>
      <c r="F51" s="441"/>
      <c r="G51" s="441"/>
      <c r="H51" s="441"/>
      <c r="I51" s="441"/>
      <c r="J51" s="441"/>
      <c r="K51" s="441"/>
      <c r="L51" s="441"/>
      <c r="M51" s="258"/>
      <c r="N51" s="258"/>
      <c r="O51" s="258"/>
      <c r="P51" s="258"/>
      <c r="Q51" s="258"/>
      <c r="R51" s="258"/>
      <c r="S51" s="258"/>
    </row>
    <row r="52" spans="1:19" ht="15.75" x14ac:dyDescent="0.25">
      <c r="A52" s="339"/>
      <c r="B52" s="341"/>
      <c r="C52" s="342"/>
      <c r="D52" s="343"/>
      <c r="E52" s="344"/>
      <c r="F52" s="330"/>
      <c r="G52" s="330"/>
      <c r="H52" s="345"/>
      <c r="I52" s="332"/>
      <c r="J52" s="258"/>
      <c r="K52" s="258"/>
      <c r="L52" s="258"/>
      <c r="M52" s="258"/>
      <c r="N52" s="258"/>
      <c r="O52" s="258"/>
      <c r="P52" s="258"/>
      <c r="Q52" s="258"/>
      <c r="R52" s="258"/>
      <c r="S52" s="258"/>
    </row>
    <row r="53" spans="1:19" ht="15.75" x14ac:dyDescent="0.25">
      <c r="A53" s="346"/>
      <c r="B53" s="341"/>
      <c r="C53" s="342"/>
      <c r="D53" s="343"/>
      <c r="E53" s="344"/>
      <c r="F53" s="330"/>
      <c r="G53" s="330"/>
      <c r="H53" s="331"/>
      <c r="I53" s="332"/>
      <c r="J53" s="258"/>
      <c r="K53" s="258"/>
      <c r="L53" s="258"/>
      <c r="M53" s="258"/>
      <c r="N53" s="258"/>
      <c r="O53" s="258"/>
      <c r="P53" s="258"/>
      <c r="Q53" s="258"/>
      <c r="R53" s="258"/>
      <c r="S53" s="258"/>
    </row>
    <row r="54" spans="1:19" ht="15.75" x14ac:dyDescent="0.25">
      <c r="A54" s="347"/>
      <c r="B54" s="341"/>
      <c r="C54" s="342"/>
      <c r="D54" s="343"/>
      <c r="E54" s="344"/>
      <c r="F54" s="348"/>
      <c r="G54" s="330"/>
      <c r="H54" s="331"/>
      <c r="I54" s="332"/>
      <c r="J54" s="258"/>
      <c r="K54" s="258"/>
      <c r="L54" s="349"/>
      <c r="M54" s="349"/>
      <c r="N54" s="349"/>
      <c r="O54" s="349"/>
      <c r="P54" s="349"/>
      <c r="Q54" s="349"/>
      <c r="R54" s="349"/>
      <c r="S54" s="349"/>
    </row>
    <row r="55" spans="1:19" ht="15.75" x14ac:dyDescent="0.25">
      <c r="A55" s="440"/>
      <c r="B55" s="440"/>
      <c r="C55" s="350"/>
      <c r="D55" s="350"/>
      <c r="E55" s="351"/>
      <c r="F55" s="348"/>
      <c r="G55" s="330"/>
      <c r="H55" s="352"/>
      <c r="I55" s="332"/>
      <c r="J55" s="349"/>
      <c r="K55" s="349"/>
      <c r="L55" s="349"/>
      <c r="M55" s="349"/>
      <c r="N55" s="349"/>
      <c r="O55" s="349"/>
      <c r="P55" s="349"/>
      <c r="Q55" s="349"/>
      <c r="R55" s="349"/>
      <c r="S55" s="349"/>
    </row>
    <row r="56" spans="1:19" ht="15.75" x14ac:dyDescent="0.25">
      <c r="A56" s="353"/>
      <c r="B56" s="336"/>
      <c r="C56" s="350"/>
      <c r="D56" s="350"/>
      <c r="E56" s="351"/>
      <c r="F56" s="348"/>
      <c r="G56" s="354"/>
      <c r="H56" s="354"/>
      <c r="I56" s="355"/>
      <c r="J56" s="349"/>
      <c r="K56" s="349"/>
      <c r="L56" s="349"/>
      <c r="M56" s="349"/>
      <c r="N56" s="349"/>
      <c r="O56" s="349"/>
      <c r="P56" s="349"/>
      <c r="Q56" s="349"/>
      <c r="R56" s="349"/>
      <c r="S56" s="349"/>
    </row>
    <row r="57" spans="1:19" ht="15.75" x14ac:dyDescent="0.25">
      <c r="A57" s="336"/>
      <c r="B57" s="336"/>
      <c r="C57" s="336"/>
      <c r="D57" s="356"/>
      <c r="E57" s="357"/>
      <c r="F57" s="348"/>
      <c r="G57" s="354"/>
      <c r="H57" s="354"/>
      <c r="I57" s="355"/>
      <c r="J57" s="349"/>
      <c r="K57" s="349"/>
      <c r="L57" s="349"/>
      <c r="M57" s="349"/>
      <c r="N57" s="349"/>
      <c r="O57" s="349"/>
      <c r="P57" s="349"/>
      <c r="Q57" s="349"/>
      <c r="R57" s="349"/>
      <c r="S57" s="349"/>
    </row>
    <row r="58" spans="1:19" x14ac:dyDescent="0.25">
      <c r="A58" s="296"/>
      <c r="B58" s="326"/>
      <c r="C58" s="330"/>
      <c r="D58" s="345"/>
      <c r="E58" s="358"/>
      <c r="F58" s="319"/>
      <c r="G58" s="354"/>
      <c r="H58" s="354"/>
      <c r="I58" s="355"/>
      <c r="J58" s="349"/>
      <c r="K58" s="349"/>
      <c r="L58" s="304"/>
      <c r="M58" s="304"/>
      <c r="N58" s="304"/>
      <c r="O58" s="304"/>
      <c r="P58" s="304"/>
      <c r="Q58" s="304"/>
      <c r="R58" s="304"/>
      <c r="S58" s="304"/>
    </row>
    <row r="59" spans="1:19" x14ac:dyDescent="0.25">
      <c r="A59" s="296"/>
      <c r="B59" s="326"/>
      <c r="C59" s="330"/>
      <c r="D59" s="345"/>
      <c r="E59" s="358"/>
      <c r="F59" s="319"/>
      <c r="J59" s="304"/>
      <c r="K59" s="304"/>
      <c r="L59" s="304"/>
      <c r="M59" s="304"/>
      <c r="N59" s="304"/>
      <c r="O59" s="304"/>
      <c r="P59" s="304"/>
      <c r="Q59" s="304"/>
      <c r="R59" s="304"/>
      <c r="S59" s="304"/>
    </row>
    <row r="60" spans="1:19" x14ac:dyDescent="0.25">
      <c r="A60" s="271"/>
      <c r="B60" s="359"/>
      <c r="C60" s="360"/>
      <c r="E60" s="360"/>
      <c r="F60" s="309"/>
      <c r="J60" s="304"/>
      <c r="K60" s="304"/>
      <c r="L60" s="258"/>
      <c r="M60" s="258"/>
      <c r="N60" s="258"/>
      <c r="O60" s="258"/>
      <c r="P60" s="258"/>
      <c r="Q60" s="258"/>
      <c r="R60" s="258"/>
      <c r="S60" s="258"/>
    </row>
    <row r="61" spans="1:19" x14ac:dyDescent="0.25">
      <c r="A61" s="271"/>
      <c r="B61" s="359"/>
      <c r="D61" s="361"/>
      <c r="E61" s="361"/>
      <c r="F61" s="309"/>
      <c r="J61" s="258"/>
      <c r="K61" s="258"/>
      <c r="L61" s="258"/>
      <c r="M61" s="258"/>
      <c r="N61" s="258"/>
      <c r="O61" s="258"/>
      <c r="P61" s="258"/>
      <c r="Q61" s="258"/>
      <c r="R61" s="258"/>
      <c r="S61" s="258"/>
    </row>
    <row r="62" spans="1:19" x14ac:dyDescent="0.25">
      <c r="A62" s="271"/>
      <c r="B62" s="359"/>
      <c r="E62" s="358"/>
      <c r="F62" s="309"/>
      <c r="J62" s="258"/>
      <c r="K62" s="258"/>
      <c r="L62" s="258"/>
      <c r="M62" s="258"/>
      <c r="N62" s="258"/>
      <c r="O62" s="258"/>
      <c r="P62" s="258"/>
      <c r="Q62" s="258"/>
      <c r="R62" s="258"/>
      <c r="S62" s="258"/>
    </row>
    <row r="63" spans="1:19" ht="15" customHeight="1" x14ac:dyDescent="0.25">
      <c r="A63" s="362"/>
      <c r="B63" s="363"/>
      <c r="E63" s="358"/>
      <c r="F63" s="360"/>
      <c r="G63" s="330"/>
      <c r="H63" s="331"/>
      <c r="I63" s="364"/>
      <c r="J63" s="258"/>
      <c r="K63" s="258"/>
      <c r="L63" s="258"/>
      <c r="M63" s="258"/>
      <c r="N63" s="258"/>
    </row>
    <row r="64" spans="1:19" x14ac:dyDescent="0.25">
      <c r="A64" s="434"/>
      <c r="B64" s="434"/>
      <c r="D64" s="345"/>
      <c r="E64" s="358"/>
      <c r="F64" s="360"/>
      <c r="G64" s="330"/>
      <c r="H64" s="331"/>
      <c r="I64" s="364"/>
      <c r="J64" s="258"/>
      <c r="K64" s="258"/>
      <c r="L64" s="258"/>
      <c r="M64" s="258"/>
      <c r="N64" s="258"/>
    </row>
    <row r="65" spans="1:14" x14ac:dyDescent="0.25">
      <c r="A65" s="365"/>
      <c r="B65" s="326"/>
      <c r="D65" s="345"/>
      <c r="E65" s="358"/>
      <c r="G65" s="330"/>
      <c r="H65" s="331"/>
      <c r="I65" s="364"/>
      <c r="J65" s="258"/>
      <c r="K65" s="258"/>
      <c r="L65" s="258"/>
      <c r="M65" s="258"/>
      <c r="N65" s="258"/>
    </row>
    <row r="66" spans="1:14" x14ac:dyDescent="0.25">
      <c r="A66" s="365"/>
      <c r="B66" s="326"/>
      <c r="D66" s="345"/>
      <c r="E66" s="358"/>
      <c r="I66" s="257"/>
      <c r="J66" s="258"/>
      <c r="K66" s="258"/>
      <c r="L66" s="258"/>
      <c r="M66" s="258"/>
      <c r="N66" s="258"/>
    </row>
    <row r="67" spans="1:14" x14ac:dyDescent="0.25">
      <c r="A67" s="365"/>
      <c r="B67" s="327"/>
      <c r="D67" s="345"/>
      <c r="E67" s="358"/>
      <c r="F67" s="309"/>
      <c r="I67" s="257"/>
      <c r="J67" s="258"/>
      <c r="K67" s="258"/>
      <c r="L67" s="258"/>
      <c r="M67" s="258"/>
      <c r="N67" s="258"/>
    </row>
    <row r="68" spans="1:14" x14ac:dyDescent="0.25">
      <c r="A68" s="365"/>
      <c r="B68" s="326"/>
      <c r="C68" s="330"/>
      <c r="D68" s="345"/>
      <c r="E68" s="358"/>
      <c r="F68" s="309"/>
      <c r="G68" s="330"/>
      <c r="H68" s="331"/>
      <c r="I68" s="257"/>
      <c r="J68" s="258"/>
      <c r="K68" s="258"/>
      <c r="L68" s="258"/>
      <c r="M68" s="258"/>
      <c r="N68" s="258"/>
    </row>
    <row r="69" spans="1:14" x14ac:dyDescent="0.25">
      <c r="A69" s="366"/>
      <c r="B69" s="367"/>
      <c r="C69" s="330"/>
      <c r="D69" s="345"/>
      <c r="E69" s="358"/>
      <c r="F69" s="309"/>
      <c r="G69" s="330"/>
      <c r="H69" s="331"/>
      <c r="I69" s="257"/>
      <c r="J69" s="258"/>
      <c r="K69" s="258"/>
      <c r="L69" s="258"/>
      <c r="M69" s="258"/>
      <c r="N69" s="258"/>
    </row>
    <row r="70" spans="1:14" x14ac:dyDescent="0.25">
      <c r="A70" s="366"/>
      <c r="B70" s="367"/>
      <c r="C70" s="330"/>
      <c r="D70" s="345"/>
      <c r="E70" s="358"/>
      <c r="F70" s="309"/>
      <c r="G70" s="330"/>
      <c r="H70" s="331"/>
      <c r="I70" s="257"/>
      <c r="J70" s="258"/>
      <c r="K70" s="258"/>
      <c r="L70" s="258"/>
      <c r="M70" s="258"/>
      <c r="N70" s="258"/>
    </row>
    <row r="71" spans="1:14" x14ac:dyDescent="0.25">
      <c r="A71" s="366"/>
      <c r="B71" s="367"/>
      <c r="C71" s="330"/>
      <c r="D71" s="345"/>
      <c r="E71" s="358"/>
      <c r="F71" s="309"/>
      <c r="G71" s="330"/>
      <c r="H71" s="331"/>
      <c r="I71" s="257"/>
      <c r="J71" s="258"/>
      <c r="K71" s="258"/>
      <c r="L71" s="258"/>
      <c r="M71" s="258"/>
      <c r="N71" s="258"/>
    </row>
    <row r="72" spans="1:14" x14ac:dyDescent="0.25">
      <c r="A72" s="296"/>
      <c r="B72" s="367"/>
      <c r="C72" s="330"/>
      <c r="D72" s="345"/>
      <c r="E72" s="358"/>
      <c r="F72" s="309"/>
      <c r="G72" s="330"/>
      <c r="H72" s="331"/>
      <c r="I72" s="257"/>
      <c r="J72" s="258"/>
      <c r="K72" s="258"/>
      <c r="L72" s="258"/>
      <c r="M72" s="258"/>
      <c r="N72" s="258"/>
    </row>
    <row r="73" spans="1:14" x14ac:dyDescent="0.25">
      <c r="A73" s="296"/>
      <c r="B73" s="367"/>
      <c r="C73" s="330"/>
      <c r="D73" s="345"/>
      <c r="E73" s="358"/>
      <c r="F73" s="309"/>
      <c r="G73" s="330"/>
      <c r="H73" s="331"/>
      <c r="I73" s="257"/>
      <c r="J73" s="258"/>
      <c r="K73" s="258"/>
      <c r="L73" s="258"/>
      <c r="M73" s="258"/>
      <c r="N73" s="258"/>
    </row>
    <row r="74" spans="1:14" x14ac:dyDescent="0.25">
      <c r="A74" s="366"/>
      <c r="B74" s="367"/>
      <c r="C74" s="330"/>
      <c r="D74" s="345"/>
      <c r="E74" s="358"/>
      <c r="F74" s="309"/>
      <c r="G74" s="330"/>
      <c r="H74" s="331"/>
      <c r="I74" s="257"/>
      <c r="J74" s="258"/>
      <c r="K74" s="258"/>
      <c r="L74" s="258"/>
      <c r="M74" s="258"/>
      <c r="N74" s="258"/>
    </row>
    <row r="75" spans="1:14" x14ac:dyDescent="0.25">
      <c r="A75" s="296"/>
      <c r="B75" s="367"/>
      <c r="C75" s="330"/>
      <c r="D75" s="345"/>
      <c r="E75" s="358"/>
      <c r="F75" s="309"/>
      <c r="G75" s="330"/>
      <c r="H75" s="331"/>
      <c r="I75" s="257"/>
      <c r="J75" s="258"/>
      <c r="K75" s="258"/>
      <c r="L75" s="258"/>
      <c r="M75" s="258"/>
      <c r="N75" s="258"/>
    </row>
    <row r="76" spans="1:14" x14ac:dyDescent="0.25">
      <c r="A76" s="366"/>
      <c r="B76" s="367"/>
      <c r="C76" s="330"/>
      <c r="D76" s="345"/>
      <c r="E76" s="358"/>
      <c r="F76" s="309"/>
      <c r="G76" s="330"/>
      <c r="H76" s="331"/>
      <c r="I76" s="257"/>
      <c r="J76" s="258"/>
      <c r="K76" s="258"/>
      <c r="L76" s="258"/>
      <c r="M76" s="258"/>
      <c r="N76" s="258"/>
    </row>
    <row r="77" spans="1:14" x14ac:dyDescent="0.25">
      <c r="A77" s="366"/>
      <c r="B77" s="367"/>
      <c r="C77" s="330"/>
      <c r="D77" s="345"/>
      <c r="E77" s="358"/>
      <c r="F77" s="309"/>
      <c r="G77" s="330"/>
      <c r="H77" s="331"/>
      <c r="I77" s="257"/>
      <c r="J77" s="258"/>
      <c r="K77" s="258"/>
      <c r="L77" s="258"/>
      <c r="M77" s="258"/>
      <c r="N77" s="258"/>
    </row>
    <row r="78" spans="1:14" x14ac:dyDescent="0.25">
      <c r="A78" s="366"/>
      <c r="B78" s="367"/>
      <c r="C78" s="330"/>
      <c r="D78" s="345"/>
      <c r="E78" s="358"/>
      <c r="F78" s="309"/>
      <c r="G78" s="330"/>
      <c r="H78" s="331"/>
      <c r="I78" s="257"/>
      <c r="J78" s="258"/>
      <c r="K78" s="258"/>
      <c r="L78" s="258"/>
      <c r="M78" s="258"/>
      <c r="N78" s="258"/>
    </row>
    <row r="79" spans="1:14" x14ac:dyDescent="0.25">
      <c r="A79" s="366"/>
      <c r="B79" s="367"/>
      <c r="C79" s="330"/>
      <c r="D79" s="345"/>
      <c r="E79" s="358"/>
      <c r="F79" s="309"/>
      <c r="G79" s="330"/>
      <c r="H79" s="331"/>
      <c r="I79" s="257"/>
      <c r="J79" s="258"/>
      <c r="K79" s="258"/>
      <c r="L79" s="258"/>
      <c r="M79" s="258"/>
      <c r="N79" s="258"/>
    </row>
    <row r="80" spans="1:14" x14ac:dyDescent="0.25">
      <c r="A80" s="366"/>
      <c r="B80" s="367"/>
      <c r="C80" s="330"/>
      <c r="D80" s="345"/>
      <c r="E80" s="358"/>
      <c r="F80" s="309"/>
      <c r="G80" s="330"/>
      <c r="H80" s="331"/>
      <c r="I80" s="257"/>
      <c r="J80" s="258"/>
      <c r="K80" s="258"/>
      <c r="L80" s="258"/>
      <c r="M80" s="258"/>
      <c r="N80" s="258"/>
    </row>
    <row r="81" spans="1:14" x14ac:dyDescent="0.25">
      <c r="A81" s="296"/>
      <c r="B81" s="367"/>
      <c r="C81" s="330"/>
      <c r="D81" s="345"/>
      <c r="E81" s="358"/>
      <c r="F81" s="309"/>
      <c r="G81" s="330"/>
      <c r="H81" s="331"/>
      <c r="I81" s="257"/>
      <c r="J81" s="258"/>
      <c r="K81" s="258"/>
      <c r="L81" s="258"/>
      <c r="M81" s="258"/>
      <c r="N81" s="258"/>
    </row>
    <row r="82" spans="1:14" x14ac:dyDescent="0.25">
      <c r="A82" s="296"/>
      <c r="B82" s="367"/>
      <c r="C82" s="330"/>
      <c r="D82" s="345"/>
      <c r="E82" s="358"/>
      <c r="F82" s="309"/>
      <c r="G82" s="330"/>
      <c r="H82" s="331"/>
      <c r="I82" s="257"/>
      <c r="J82" s="258"/>
      <c r="K82" s="258"/>
      <c r="L82" s="258"/>
      <c r="M82" s="258"/>
      <c r="N82" s="258"/>
    </row>
    <row r="83" spans="1:14" x14ac:dyDescent="0.25">
      <c r="A83" s="296"/>
      <c r="B83" s="367"/>
      <c r="C83" s="330"/>
      <c r="D83" s="345"/>
      <c r="E83" s="358"/>
      <c r="F83" s="309"/>
      <c r="G83" s="330"/>
      <c r="H83" s="331"/>
      <c r="I83" s="257"/>
      <c r="J83" s="258"/>
      <c r="K83" s="258"/>
      <c r="L83" s="258"/>
      <c r="M83" s="258"/>
      <c r="N83" s="258"/>
    </row>
    <row r="84" spans="1:14" x14ac:dyDescent="0.25">
      <c r="A84" s="316"/>
      <c r="B84" s="333"/>
      <c r="C84" s="330"/>
      <c r="D84" s="345"/>
      <c r="E84" s="358"/>
      <c r="F84" s="309"/>
      <c r="G84" s="330"/>
      <c r="H84" s="331"/>
      <c r="I84" s="257"/>
      <c r="J84" s="258"/>
      <c r="K84" s="258"/>
      <c r="L84" s="258"/>
      <c r="M84" s="258"/>
      <c r="N84" s="258"/>
    </row>
    <row r="85" spans="1:14" x14ac:dyDescent="0.25">
      <c r="A85" s="368"/>
      <c r="B85" s="368"/>
      <c r="C85" s="369"/>
      <c r="D85" s="369"/>
      <c r="E85" s="369"/>
      <c r="F85" s="309"/>
      <c r="G85" s="330"/>
      <c r="H85" s="331"/>
      <c r="I85" s="257"/>
      <c r="J85" s="258"/>
      <c r="K85" s="258"/>
      <c r="L85" s="258"/>
      <c r="M85" s="258"/>
      <c r="N85" s="258"/>
    </row>
    <row r="86" spans="1:14" x14ac:dyDescent="0.25">
      <c r="A86" s="296"/>
      <c r="B86" s="370"/>
      <c r="C86" s="361"/>
      <c r="D86" s="361"/>
      <c r="E86" s="361"/>
      <c r="F86" s="309"/>
      <c r="G86" s="330"/>
      <c r="H86" s="331"/>
      <c r="I86" s="257"/>
      <c r="J86" s="258"/>
      <c r="K86" s="258"/>
      <c r="L86" s="258"/>
      <c r="M86" s="258"/>
      <c r="N86" s="258"/>
    </row>
    <row r="87" spans="1:14" x14ac:dyDescent="0.25">
      <c r="A87" s="296"/>
      <c r="B87" s="326"/>
      <c r="C87" s="345"/>
      <c r="D87" s="345"/>
      <c r="E87" s="358"/>
      <c r="F87" s="309"/>
      <c r="G87" s="330"/>
      <c r="H87" s="331"/>
      <c r="I87" s="257"/>
      <c r="J87" s="258"/>
      <c r="K87" s="258"/>
      <c r="L87" s="258"/>
      <c r="M87" s="258"/>
      <c r="N87" s="258"/>
    </row>
    <row r="88" spans="1:14" x14ac:dyDescent="0.25">
      <c r="A88" s="296"/>
      <c r="B88" s="326"/>
      <c r="C88" s="345"/>
      <c r="D88" s="345"/>
      <c r="E88" s="358"/>
      <c r="F88" s="369"/>
      <c r="G88" s="330"/>
      <c r="H88" s="331"/>
      <c r="I88" s="257"/>
      <c r="J88" s="258"/>
      <c r="K88" s="258"/>
      <c r="L88" s="258"/>
      <c r="M88" s="258"/>
      <c r="N88" s="258"/>
    </row>
    <row r="89" spans="1:14" x14ac:dyDescent="0.25">
      <c r="A89" s="368"/>
      <c r="B89" s="368"/>
      <c r="C89" s="369"/>
      <c r="D89" s="369"/>
      <c r="E89" s="369"/>
      <c r="F89" s="361"/>
      <c r="G89" s="330"/>
      <c r="H89" s="331"/>
      <c r="I89" s="257"/>
      <c r="J89" s="258"/>
      <c r="K89" s="258"/>
      <c r="L89" s="258"/>
      <c r="M89" s="258"/>
      <c r="N89" s="258"/>
    </row>
    <row r="90" spans="1:14" x14ac:dyDescent="0.25">
      <c r="A90" s="296"/>
      <c r="B90" s="370"/>
      <c r="C90" s="361"/>
      <c r="D90" s="361"/>
      <c r="E90" s="361"/>
      <c r="F90" s="309"/>
      <c r="G90" s="369"/>
      <c r="H90" s="369"/>
      <c r="I90" s="257"/>
      <c r="J90" s="258"/>
      <c r="K90" s="258"/>
      <c r="L90" s="371"/>
      <c r="M90" s="371"/>
      <c r="N90" s="371"/>
    </row>
    <row r="91" spans="1:14" x14ac:dyDescent="0.25">
      <c r="A91" s="296"/>
      <c r="B91" s="326"/>
      <c r="C91" s="345"/>
      <c r="D91" s="345"/>
      <c r="E91" s="358"/>
      <c r="F91" s="309"/>
      <c r="G91" s="361"/>
      <c r="H91" s="361"/>
      <c r="I91" s="257"/>
      <c r="J91" s="371"/>
      <c r="K91" s="371"/>
      <c r="L91" s="371"/>
      <c r="M91" s="371"/>
      <c r="N91" s="371"/>
    </row>
    <row r="92" spans="1:14" x14ac:dyDescent="0.25">
      <c r="A92" s="296"/>
      <c r="B92" s="326"/>
      <c r="C92" s="345"/>
      <c r="D92" s="345"/>
      <c r="E92" s="358"/>
      <c r="F92" s="369"/>
      <c r="G92" s="330"/>
      <c r="H92" s="331"/>
      <c r="I92" s="257"/>
      <c r="J92" s="371"/>
      <c r="K92" s="371"/>
      <c r="L92" s="258"/>
      <c r="M92" s="258"/>
      <c r="N92" s="258"/>
    </row>
    <row r="93" spans="1:14" x14ac:dyDescent="0.25">
      <c r="A93" s="368"/>
      <c r="B93" s="368"/>
      <c r="C93" s="369"/>
      <c r="D93" s="369"/>
      <c r="E93" s="369"/>
      <c r="F93" s="361"/>
      <c r="G93" s="330"/>
      <c r="H93" s="331"/>
      <c r="I93" s="257"/>
      <c r="J93" s="258"/>
      <c r="K93" s="258"/>
      <c r="L93" s="258"/>
      <c r="M93" s="258"/>
      <c r="N93" s="258"/>
    </row>
    <row r="94" spans="1:14" x14ac:dyDescent="0.25">
      <c r="A94" s="296"/>
      <c r="B94" s="370"/>
      <c r="C94" s="361"/>
      <c r="D94" s="361"/>
      <c r="E94" s="361"/>
      <c r="F94" s="309"/>
      <c r="G94" s="369"/>
      <c r="H94" s="369"/>
      <c r="I94" s="257"/>
      <c r="J94" s="258"/>
      <c r="K94" s="258"/>
      <c r="L94" s="258"/>
      <c r="M94" s="258"/>
      <c r="N94" s="258"/>
    </row>
    <row r="95" spans="1:14" x14ac:dyDescent="0.25">
      <c r="A95" s="296"/>
      <c r="B95" s="327"/>
      <c r="C95" s="345"/>
      <c r="D95" s="345"/>
      <c r="E95" s="358"/>
      <c r="F95" s="309"/>
      <c r="G95" s="361"/>
      <c r="H95" s="361"/>
      <c r="I95" s="257"/>
      <c r="J95" s="258"/>
      <c r="K95" s="258"/>
      <c r="L95" s="258"/>
      <c r="M95" s="258"/>
      <c r="N95" s="258"/>
    </row>
    <row r="96" spans="1:14" x14ac:dyDescent="0.25">
      <c r="A96" s="296"/>
      <c r="B96" s="327"/>
      <c r="C96" s="345"/>
      <c r="D96" s="345"/>
      <c r="E96" s="358"/>
      <c r="F96" s="369"/>
      <c r="G96" s="330"/>
      <c r="H96" s="331"/>
      <c r="I96" s="257"/>
      <c r="J96" s="258"/>
      <c r="K96" s="258"/>
      <c r="L96" s="258"/>
      <c r="M96" s="258"/>
      <c r="N96" s="258"/>
    </row>
    <row r="97" spans="1:14" x14ac:dyDescent="0.25">
      <c r="A97" s="296"/>
      <c r="B97" s="327"/>
      <c r="C97" s="345"/>
      <c r="D97" s="345"/>
      <c r="E97" s="358"/>
      <c r="F97" s="361"/>
      <c r="G97" s="330"/>
      <c r="H97" s="331"/>
      <c r="I97" s="257"/>
      <c r="J97" s="258"/>
      <c r="K97" s="258"/>
      <c r="L97" s="258"/>
      <c r="M97" s="258"/>
      <c r="N97" s="258"/>
    </row>
    <row r="98" spans="1:14" x14ac:dyDescent="0.25">
      <c r="A98" s="296"/>
      <c r="B98" s="327"/>
      <c r="C98" s="345"/>
      <c r="D98" s="345"/>
      <c r="E98" s="358"/>
      <c r="F98" s="309"/>
      <c r="G98" s="369"/>
      <c r="H98" s="369"/>
      <c r="I98" s="257"/>
      <c r="J98" s="258"/>
      <c r="K98" s="258"/>
      <c r="L98" s="258"/>
      <c r="M98" s="258"/>
      <c r="N98" s="258"/>
    </row>
    <row r="99" spans="1:14" x14ac:dyDescent="0.25">
      <c r="A99" s="368"/>
      <c r="B99" s="296"/>
      <c r="C99" s="257"/>
      <c r="D99" s="257"/>
      <c r="E99" s="257"/>
      <c r="F99" s="372"/>
      <c r="G99" s="361"/>
      <c r="H99" s="361"/>
      <c r="I99" s="257"/>
      <c r="J99" s="258"/>
      <c r="K99" s="258"/>
      <c r="L99" s="258"/>
      <c r="M99" s="258"/>
      <c r="N99" s="258"/>
    </row>
    <row r="100" spans="1:14" x14ac:dyDescent="0.25">
      <c r="A100" s="257"/>
      <c r="B100" s="257"/>
      <c r="C100" s="257"/>
      <c r="D100" s="257"/>
      <c r="E100" s="257"/>
      <c r="F100" s="372"/>
      <c r="G100" s="330"/>
      <c r="H100" s="331"/>
      <c r="I100" s="257"/>
      <c r="J100" s="258"/>
      <c r="K100" s="258"/>
      <c r="L100" s="258"/>
      <c r="M100" s="258"/>
      <c r="N100" s="258"/>
    </row>
    <row r="101" spans="1:14" x14ac:dyDescent="0.25">
      <c r="A101" s="369"/>
      <c r="B101" s="369"/>
      <c r="C101" s="257"/>
      <c r="D101" s="257"/>
      <c r="E101" s="257"/>
      <c r="F101" s="372"/>
      <c r="G101" s="309"/>
      <c r="H101" s="309"/>
      <c r="I101" s="257"/>
      <c r="J101" s="258"/>
      <c r="K101" s="258"/>
      <c r="L101" s="258"/>
      <c r="M101" s="258"/>
      <c r="N101" s="258"/>
    </row>
    <row r="102" spans="1:14" x14ac:dyDescent="0.25">
      <c r="A102" s="361"/>
      <c r="B102" s="361"/>
      <c r="C102" s="257"/>
      <c r="D102" s="257"/>
      <c r="E102" s="257"/>
      <c r="F102" s="372"/>
      <c r="G102" s="309"/>
      <c r="H102" s="309"/>
      <c r="I102" s="257"/>
      <c r="J102" s="258"/>
      <c r="K102" s="258"/>
      <c r="L102" s="373"/>
      <c r="M102" s="373"/>
      <c r="N102" s="258"/>
    </row>
    <row r="103" spans="1:14" x14ac:dyDescent="0.25">
      <c r="A103" s="361"/>
      <c r="B103" s="361"/>
      <c r="C103" s="257"/>
      <c r="D103" s="257"/>
      <c r="E103" s="257"/>
      <c r="F103" s="257"/>
      <c r="G103" s="309"/>
      <c r="H103" s="309"/>
      <c r="I103" s="257"/>
      <c r="J103" s="373"/>
      <c r="K103" s="373"/>
      <c r="L103" s="373"/>
      <c r="M103" s="373"/>
      <c r="N103" s="258"/>
    </row>
    <row r="104" spans="1:14" x14ac:dyDescent="0.25">
      <c r="A104" s="361"/>
      <c r="B104" s="361"/>
      <c r="C104" s="257"/>
      <c r="D104" s="257"/>
      <c r="E104" s="257"/>
      <c r="F104" s="257"/>
      <c r="G104" s="374"/>
      <c r="H104" s="257"/>
      <c r="I104" s="257"/>
      <c r="J104" s="373"/>
      <c r="K104" s="373"/>
      <c r="L104" s="258"/>
      <c r="M104" s="258"/>
      <c r="N104" s="258"/>
    </row>
    <row r="105" spans="1:14" x14ac:dyDescent="0.25">
      <c r="A105" s="361"/>
      <c r="B105" s="361"/>
      <c r="C105" s="257"/>
      <c r="D105" s="257"/>
      <c r="E105" s="257"/>
      <c r="F105" s="257"/>
      <c r="G105" s="257"/>
      <c r="H105" s="257"/>
      <c r="I105" s="257"/>
      <c r="J105" s="258"/>
      <c r="K105" s="258"/>
      <c r="L105" s="258"/>
      <c r="M105" s="258"/>
      <c r="N105" s="258"/>
    </row>
    <row r="106" spans="1:14" x14ac:dyDescent="0.25">
      <c r="A106" s="361"/>
      <c r="B106" s="361"/>
      <c r="C106" s="257"/>
      <c r="D106" s="257"/>
      <c r="E106" s="257"/>
      <c r="F106" s="257"/>
      <c r="G106" s="331"/>
      <c r="H106" s="257"/>
      <c r="I106" s="257"/>
      <c r="J106" s="258"/>
      <c r="K106" s="258"/>
      <c r="L106" s="258"/>
      <c r="M106" s="258"/>
      <c r="N106" s="258"/>
    </row>
    <row r="107" spans="1:14" x14ac:dyDescent="0.25">
      <c r="A107" s="361"/>
      <c r="B107" s="361"/>
      <c r="C107" s="257"/>
      <c r="D107" s="257"/>
      <c r="E107" s="257"/>
      <c r="F107" s="257"/>
      <c r="G107" s="257"/>
      <c r="H107" s="257"/>
      <c r="I107" s="257"/>
      <c r="J107" s="258"/>
      <c r="K107" s="258"/>
      <c r="L107" s="258"/>
      <c r="M107" s="258"/>
      <c r="N107" s="258"/>
    </row>
    <row r="108" spans="1:14" x14ac:dyDescent="0.25">
      <c r="A108" s="361"/>
      <c r="B108" s="361"/>
      <c r="C108" s="257"/>
      <c r="D108" s="257"/>
      <c r="E108" s="257"/>
      <c r="F108" s="257"/>
      <c r="G108" s="257"/>
      <c r="H108" s="257"/>
      <c r="I108" s="257"/>
      <c r="J108" s="258"/>
      <c r="K108" s="258"/>
      <c r="L108" s="258"/>
      <c r="M108" s="258"/>
      <c r="N108" s="258"/>
    </row>
    <row r="109" spans="1:14" x14ac:dyDescent="0.25">
      <c r="A109" s="361"/>
      <c r="B109" s="361"/>
      <c r="C109" s="257"/>
      <c r="D109" s="257"/>
      <c r="E109" s="257"/>
      <c r="F109" s="257"/>
      <c r="G109" s="374"/>
      <c r="H109" s="375"/>
      <c r="I109" s="257"/>
      <c r="J109" s="258"/>
      <c r="K109" s="258"/>
      <c r="L109" s="258"/>
      <c r="M109" s="258"/>
      <c r="N109" s="258"/>
    </row>
    <row r="110" spans="1:14" x14ac:dyDescent="0.25">
      <c r="A110" s="361"/>
      <c r="B110" s="361"/>
      <c r="C110" s="257"/>
      <c r="D110" s="257"/>
      <c r="E110" s="257"/>
      <c r="F110" s="257"/>
      <c r="G110" s="374"/>
      <c r="H110" s="360"/>
      <c r="I110" s="257"/>
      <c r="J110" s="258"/>
      <c r="K110" s="258"/>
      <c r="L110" s="258"/>
      <c r="M110" s="258"/>
      <c r="N110" s="258"/>
    </row>
    <row r="111" spans="1:14" x14ac:dyDescent="0.25">
      <c r="A111" s="361"/>
      <c r="B111" s="361"/>
      <c r="C111" s="257"/>
      <c r="D111" s="257"/>
      <c r="E111" s="257"/>
      <c r="F111" s="257"/>
      <c r="G111" s="257"/>
      <c r="H111" s="257"/>
      <c r="I111" s="257"/>
      <c r="J111" s="258"/>
      <c r="K111" s="258"/>
      <c r="L111" s="258"/>
      <c r="M111" s="258"/>
      <c r="N111" s="258"/>
    </row>
    <row r="112" spans="1:14" x14ac:dyDescent="0.25">
      <c r="A112" s="361"/>
      <c r="B112" s="361"/>
      <c r="C112" s="257"/>
      <c r="D112" s="257"/>
      <c r="E112" s="257"/>
      <c r="F112" s="257"/>
      <c r="G112" s="257"/>
      <c r="H112" s="257"/>
      <c r="I112" s="257"/>
      <c r="J112" s="258"/>
      <c r="K112" s="258"/>
      <c r="L112" s="258"/>
      <c r="M112" s="258"/>
      <c r="N112" s="258"/>
    </row>
    <row r="113" spans="1:14" x14ac:dyDescent="0.25">
      <c r="A113" s="361"/>
      <c r="B113" s="361"/>
      <c r="C113" s="257"/>
      <c r="D113" s="257"/>
      <c r="E113" s="257"/>
      <c r="F113" s="257"/>
      <c r="G113" s="257"/>
      <c r="H113" s="257"/>
      <c r="I113" s="257"/>
      <c r="J113" s="258"/>
      <c r="K113" s="258"/>
      <c r="L113" s="258"/>
      <c r="M113" s="258"/>
      <c r="N113" s="258"/>
    </row>
    <row r="114" spans="1:14" x14ac:dyDescent="0.25">
      <c r="A114" s="361"/>
      <c r="B114" s="361"/>
      <c r="C114" s="257"/>
      <c r="D114" s="257"/>
      <c r="E114" s="257"/>
      <c r="F114" s="257"/>
      <c r="G114" s="257"/>
      <c r="H114" s="257"/>
      <c r="I114" s="257"/>
      <c r="J114" s="258"/>
      <c r="K114" s="258"/>
      <c r="L114" s="258"/>
      <c r="M114" s="258"/>
      <c r="N114" s="376"/>
    </row>
    <row r="115" spans="1:14" x14ac:dyDescent="0.25">
      <c r="A115" s="361"/>
      <c r="B115" s="361"/>
      <c r="C115" s="257"/>
      <c r="D115" s="257"/>
      <c r="E115" s="257"/>
      <c r="F115" s="257"/>
      <c r="G115" s="257"/>
      <c r="H115" s="257"/>
      <c r="I115" s="257"/>
      <c r="J115" s="258"/>
      <c r="K115" s="258"/>
      <c r="L115" s="258"/>
      <c r="M115" s="376"/>
      <c r="N115" s="376"/>
    </row>
    <row r="116" spans="1:14" x14ac:dyDescent="0.25">
      <c r="A116" s="361"/>
      <c r="B116" s="361"/>
      <c r="C116" s="257"/>
      <c r="D116" s="257"/>
      <c r="E116" s="257"/>
      <c r="F116" s="257"/>
      <c r="G116" s="257"/>
      <c r="H116" s="257"/>
      <c r="I116" s="257"/>
      <c r="J116" s="258"/>
      <c r="K116" s="258"/>
      <c r="L116" s="258"/>
      <c r="M116" s="376"/>
      <c r="N116" s="376"/>
    </row>
    <row r="117" spans="1:14" x14ac:dyDescent="0.25">
      <c r="A117" s="361"/>
      <c r="B117" s="361"/>
      <c r="C117" s="257"/>
      <c r="D117" s="257"/>
      <c r="E117" s="257"/>
      <c r="F117" s="257"/>
      <c r="G117" s="257"/>
      <c r="H117" s="257"/>
      <c r="I117" s="257"/>
      <c r="J117" s="258"/>
      <c r="K117" s="258"/>
      <c r="L117" s="258"/>
      <c r="M117" s="258"/>
      <c r="N117" s="258"/>
    </row>
    <row r="118" spans="1:14" x14ac:dyDescent="0.25">
      <c r="A118" s="361"/>
      <c r="B118" s="361"/>
      <c r="C118" s="257"/>
      <c r="D118" s="257"/>
      <c r="E118" s="257"/>
      <c r="F118" s="257"/>
      <c r="G118" s="257"/>
      <c r="H118" s="257"/>
      <c r="I118" s="257"/>
      <c r="J118" s="258"/>
      <c r="K118" s="258"/>
      <c r="L118" s="258"/>
      <c r="M118" s="258"/>
      <c r="N118" s="258"/>
    </row>
    <row r="119" spans="1:14" x14ac:dyDescent="0.25">
      <c r="A119" s="361"/>
      <c r="B119" s="361"/>
      <c r="C119" s="257"/>
      <c r="D119" s="257"/>
      <c r="E119" s="257"/>
      <c r="F119" s="257"/>
      <c r="G119" s="257"/>
      <c r="H119" s="257"/>
      <c r="I119" s="257"/>
      <c r="J119" s="258"/>
      <c r="K119" s="258"/>
      <c r="L119" s="258"/>
      <c r="M119" s="258"/>
      <c r="N119" s="258"/>
    </row>
    <row r="120" spans="1:14" x14ac:dyDescent="0.25">
      <c r="A120" s="257"/>
      <c r="B120" s="257"/>
      <c r="C120" s="257"/>
      <c r="D120" s="257"/>
      <c r="E120" s="257"/>
      <c r="F120" s="257"/>
      <c r="G120" s="257"/>
      <c r="H120" s="257"/>
      <c r="I120" s="257"/>
      <c r="J120" s="258"/>
      <c r="K120" s="258"/>
      <c r="L120" s="258"/>
      <c r="M120" s="258"/>
      <c r="N120" s="258"/>
    </row>
    <row r="121" spans="1:14" x14ac:dyDescent="0.25">
      <c r="A121" s="257"/>
      <c r="B121" s="257"/>
      <c r="C121" s="257"/>
      <c r="D121" s="257"/>
      <c r="E121" s="257"/>
      <c r="F121" s="257"/>
      <c r="G121" s="257"/>
      <c r="H121" s="257"/>
      <c r="I121" s="257"/>
      <c r="J121" s="258"/>
      <c r="K121" s="258"/>
      <c r="L121" s="258"/>
      <c r="M121" s="258"/>
      <c r="N121" s="258"/>
    </row>
    <row r="122" spans="1:14" x14ac:dyDescent="0.25">
      <c r="A122" s="257"/>
      <c r="B122" s="257"/>
      <c r="C122" s="257"/>
      <c r="D122" s="257"/>
      <c r="E122" s="257"/>
      <c r="F122" s="257"/>
      <c r="G122" s="257"/>
      <c r="H122" s="257"/>
      <c r="I122" s="257"/>
      <c r="J122" s="258"/>
      <c r="K122" s="258"/>
      <c r="L122" s="258"/>
      <c r="M122" s="258"/>
      <c r="N122" s="258"/>
    </row>
    <row r="123" spans="1:14" x14ac:dyDescent="0.25">
      <c r="A123" s="257"/>
      <c r="B123" s="257"/>
      <c r="C123" s="257"/>
      <c r="D123" s="257"/>
      <c r="E123" s="257"/>
      <c r="F123" s="257"/>
      <c r="G123" s="257"/>
      <c r="H123" s="257"/>
      <c r="I123" s="257"/>
      <c r="J123" s="258"/>
      <c r="K123" s="258"/>
      <c r="L123" s="258"/>
      <c r="M123" s="258"/>
      <c r="N123" s="258"/>
    </row>
    <row r="124" spans="1:14" x14ac:dyDescent="0.25">
      <c r="A124" s="257"/>
      <c r="B124" s="257"/>
      <c r="C124" s="257"/>
      <c r="D124" s="257"/>
      <c r="E124" s="257"/>
      <c r="F124" s="257"/>
      <c r="G124" s="257"/>
      <c r="H124" s="257"/>
      <c r="I124" s="257"/>
      <c r="J124" s="258"/>
      <c r="K124" s="258"/>
      <c r="L124" s="258"/>
      <c r="M124" s="258"/>
      <c r="N124" s="258"/>
    </row>
    <row r="125" spans="1:14" x14ac:dyDescent="0.25">
      <c r="A125" s="257"/>
      <c r="B125" s="361"/>
      <c r="C125" s="257"/>
      <c r="D125" s="257"/>
      <c r="E125" s="257"/>
      <c r="F125" s="257"/>
      <c r="G125" s="257"/>
      <c r="H125" s="257"/>
      <c r="I125" s="257"/>
      <c r="J125" s="258"/>
      <c r="K125" s="258"/>
      <c r="L125" s="258"/>
      <c r="M125" s="258"/>
      <c r="N125" s="258"/>
    </row>
    <row r="126" spans="1:14" x14ac:dyDescent="0.25">
      <c r="A126" s="257"/>
      <c r="B126" s="257"/>
      <c r="C126" s="257"/>
      <c r="D126" s="257"/>
      <c r="E126" s="257"/>
      <c r="F126" s="257"/>
      <c r="G126" s="257"/>
      <c r="H126" s="257"/>
      <c r="I126" s="257"/>
      <c r="J126" s="258"/>
      <c r="K126" s="258"/>
      <c r="L126" s="258"/>
      <c r="M126" s="258"/>
      <c r="N126" s="258"/>
    </row>
    <row r="127" spans="1:14" x14ac:dyDescent="0.25">
      <c r="A127" s="257"/>
      <c r="B127" s="257"/>
      <c r="C127" s="257"/>
      <c r="D127" s="257"/>
      <c r="E127" s="257"/>
      <c r="F127" s="257"/>
      <c r="G127" s="257"/>
      <c r="H127" s="257"/>
      <c r="I127" s="257"/>
      <c r="J127" s="258"/>
      <c r="K127" s="258"/>
      <c r="L127" s="258"/>
      <c r="M127" s="258"/>
      <c r="N127" s="258"/>
    </row>
    <row r="128" spans="1:14" x14ac:dyDescent="0.25">
      <c r="A128" s="257"/>
      <c r="B128" s="257"/>
      <c r="C128" s="257"/>
      <c r="D128" s="257"/>
      <c r="E128" s="257"/>
      <c r="F128" s="257"/>
      <c r="G128" s="257"/>
      <c r="H128" s="257"/>
      <c r="I128" s="257"/>
      <c r="J128" s="258"/>
      <c r="K128" s="258"/>
      <c r="L128" s="258"/>
      <c r="M128" s="258"/>
      <c r="N128" s="258"/>
    </row>
    <row r="129" spans="1:14" x14ac:dyDescent="0.25">
      <c r="A129" s="257"/>
      <c r="B129" s="257"/>
      <c r="C129" s="257"/>
      <c r="D129" s="257"/>
      <c r="E129" s="257"/>
      <c r="F129" s="257"/>
      <c r="G129" s="257"/>
      <c r="H129" s="257"/>
      <c r="I129" s="257"/>
      <c r="J129" s="258"/>
      <c r="K129" s="258"/>
      <c r="L129" s="258"/>
      <c r="M129" s="258"/>
      <c r="N129" s="258"/>
    </row>
    <row r="130" spans="1:14" x14ac:dyDescent="0.25">
      <c r="A130" s="257"/>
      <c r="B130" s="257"/>
      <c r="C130" s="257"/>
      <c r="D130" s="257"/>
      <c r="E130" s="257"/>
      <c r="F130" s="257"/>
      <c r="G130" s="257"/>
      <c r="H130" s="257"/>
      <c r="I130" s="257"/>
      <c r="J130" s="258"/>
      <c r="K130" s="258"/>
      <c r="L130" s="258"/>
      <c r="M130" s="258"/>
      <c r="N130" s="258"/>
    </row>
    <row r="131" spans="1:14" x14ac:dyDescent="0.25">
      <c r="A131" s="257"/>
      <c r="B131" s="257"/>
      <c r="C131" s="257"/>
      <c r="D131" s="257"/>
      <c r="E131" s="257"/>
      <c r="F131" s="257"/>
      <c r="G131" s="257"/>
      <c r="H131" s="257"/>
      <c r="I131" s="257"/>
      <c r="J131" s="258"/>
      <c r="K131" s="258"/>
      <c r="L131" s="258"/>
      <c r="M131" s="258"/>
      <c r="N131" s="258"/>
    </row>
    <row r="132" spans="1:14" x14ac:dyDescent="0.25">
      <c r="A132" s="257"/>
      <c r="B132" s="257"/>
      <c r="C132" s="257"/>
      <c r="D132" s="257"/>
      <c r="E132" s="257"/>
      <c r="F132" s="257"/>
      <c r="G132" s="257"/>
      <c r="H132" s="257"/>
      <c r="I132" s="257"/>
      <c r="J132" s="258"/>
      <c r="K132" s="258"/>
      <c r="L132" s="258"/>
      <c r="M132" s="258"/>
      <c r="N132" s="258"/>
    </row>
    <row r="133" spans="1:14" x14ac:dyDescent="0.25">
      <c r="A133" s="257"/>
      <c r="B133" s="257"/>
      <c r="C133" s="257"/>
      <c r="D133" s="257"/>
      <c r="E133" s="257"/>
      <c r="F133" s="257"/>
      <c r="G133" s="257"/>
      <c r="H133" s="257"/>
      <c r="I133" s="257"/>
      <c r="J133" s="258"/>
      <c r="K133" s="258"/>
      <c r="L133" s="258"/>
      <c r="M133" s="258"/>
      <c r="N133" s="258"/>
    </row>
    <row r="134" spans="1:14" x14ac:dyDescent="0.25">
      <c r="F134" s="257"/>
      <c r="G134" s="257"/>
      <c r="H134" s="257"/>
      <c r="I134" s="257"/>
      <c r="J134" s="258"/>
      <c r="K134" s="258"/>
      <c r="L134" s="258"/>
      <c r="M134" s="258"/>
      <c r="N134" s="258"/>
    </row>
    <row r="135" spans="1:14" x14ac:dyDescent="0.25">
      <c r="F135" s="257"/>
      <c r="G135" s="257"/>
      <c r="H135" s="257"/>
      <c r="I135" s="257"/>
      <c r="J135" s="258"/>
      <c r="K135" s="258"/>
      <c r="L135" s="258"/>
      <c r="M135" s="258"/>
      <c r="N135" s="258"/>
    </row>
    <row r="136" spans="1:14" x14ac:dyDescent="0.25">
      <c r="F136" s="257"/>
      <c r="G136" s="257"/>
      <c r="H136" s="257"/>
      <c r="I136" s="257"/>
      <c r="J136" s="258"/>
      <c r="K136" s="258"/>
      <c r="L136" s="258"/>
      <c r="M136" s="258"/>
      <c r="N136" s="258"/>
    </row>
    <row r="137" spans="1:14" x14ac:dyDescent="0.25">
      <c r="G137" s="257"/>
      <c r="H137" s="257"/>
      <c r="I137" s="257"/>
      <c r="J137" s="258"/>
      <c r="K137" s="258"/>
    </row>
    <row r="138" spans="1:14" x14ac:dyDescent="0.25">
      <c r="G138" s="257"/>
      <c r="H138" s="257"/>
      <c r="I138" s="257"/>
    </row>
  </sheetData>
  <mergeCells count="16">
    <mergeCell ref="A47:E47"/>
    <mergeCell ref="A64:B64"/>
    <mergeCell ref="A19:E19"/>
    <mergeCell ref="A20:E20"/>
    <mergeCell ref="A41:E41"/>
    <mergeCell ref="A55:B55"/>
    <mergeCell ref="C50:L50"/>
    <mergeCell ref="C51:L51"/>
    <mergeCell ref="A21:F21"/>
    <mergeCell ref="A1:E1"/>
    <mergeCell ref="B3:D3"/>
    <mergeCell ref="B4:D4"/>
    <mergeCell ref="F19:K20"/>
    <mergeCell ref="E3:G4"/>
    <mergeCell ref="H2:M3"/>
    <mergeCell ref="C16:E18"/>
  </mergeCells>
  <conditionalFormatting sqref="A60:B62">
    <cfRule type="cellIs" dxfId="256" priority="168" operator="equal">
      <formula>0</formula>
    </cfRule>
  </conditionalFormatting>
  <conditionalFormatting sqref="A2:E2 A21 G40:J40 M41:XFD41 N38:XFD40 G39:L39 I38:L38 F19 A20:E20 A38:E40 A46:E47 A1 A49:E49 C48:E48 L1:XFD1 L42:XFD42 F45:XFD49 G43:XFD44 A22:H22 A9 M38:M39 A52:XFD1048576 A50:B51 M50:XFD51 A12:A13 A18:B18 C6:E10 C11:G11 I7 I10:I11 G21:L21 L19:L20 M19:M21 H2 N19:XFD22 J22:M22 J8:XFD18 N2:XFD7 J5:M7 E12:G12 A3:A7 C23:E37 F16:G18 P24:XFD37 Z23:XFD23 G23:P23 F23:F43 G24:G38">
    <cfRule type="cellIs" dxfId="255" priority="165" operator="equal">
      <formula>0</formula>
    </cfRule>
    <cfRule type="cellIs" dxfId="254" priority="166" operator="equal">
      <formula>0</formula>
    </cfRule>
  </conditionalFormatting>
  <conditionalFormatting sqref="A42:E42 A41">
    <cfRule type="cellIs" dxfId="253" priority="155" operator="equal">
      <formula>0</formula>
    </cfRule>
    <cfRule type="cellIs" dxfId="252" priority="156" operator="equal">
      <formula>0</formula>
    </cfRule>
  </conditionalFormatting>
  <conditionalFormatting sqref="I22">
    <cfRule type="cellIs" dxfId="251" priority="121" operator="equal">
      <formula>0</formula>
    </cfRule>
    <cfRule type="cellIs" dxfId="250" priority="122" operator="equal">
      <formula>0</formula>
    </cfRule>
  </conditionalFormatting>
  <conditionalFormatting sqref="F9:G10">
    <cfRule type="cellIs" dxfId="249" priority="117" operator="equal">
      <formula>0</formula>
    </cfRule>
    <cfRule type="cellIs" dxfId="248" priority="118" operator="equal">
      <formula>0</formula>
    </cfRule>
  </conditionalFormatting>
  <conditionalFormatting sqref="A45:E45">
    <cfRule type="cellIs" dxfId="247" priority="105" operator="equal">
      <formula>0</formula>
    </cfRule>
    <cfRule type="cellIs" dxfId="246" priority="106" operator="equal">
      <formula>0</formula>
    </cfRule>
  </conditionalFormatting>
  <conditionalFormatting sqref="A8">
    <cfRule type="cellIs" dxfId="245" priority="103" operator="equal">
      <formula>0</formula>
    </cfRule>
    <cfRule type="cellIs" dxfId="244" priority="104" operator="equal">
      <formula>0</formula>
    </cfRule>
  </conditionalFormatting>
  <conditionalFormatting sqref="A48:B48">
    <cfRule type="cellIs" dxfId="243" priority="99" operator="equal">
      <formula>0</formula>
    </cfRule>
    <cfRule type="cellIs" dxfId="242" priority="100" operator="equal">
      <formula>0</formula>
    </cfRule>
  </conditionalFormatting>
  <conditionalFormatting sqref="E3">
    <cfRule type="cellIs" dxfId="241" priority="97" operator="equal">
      <formula>0</formula>
    </cfRule>
    <cfRule type="cellIs" dxfId="240" priority="98" operator="equal">
      <formula>0</formula>
    </cfRule>
  </conditionalFormatting>
  <conditionalFormatting sqref="C5:E5">
    <cfRule type="cellIs" dxfId="239" priority="89" operator="equal">
      <formula>0</formula>
    </cfRule>
    <cfRule type="cellIs" dxfId="238" priority="90" operator="equal">
      <formula>0</formula>
    </cfRule>
  </conditionalFormatting>
  <conditionalFormatting sqref="A14:A17">
    <cfRule type="cellIs" dxfId="237" priority="85" operator="equal">
      <formula>0</formula>
    </cfRule>
    <cfRule type="cellIs" dxfId="236" priority="86" operator="equal">
      <formula>0</formula>
    </cfRule>
  </conditionalFormatting>
  <conditionalFormatting sqref="F44">
    <cfRule type="cellIs" dxfId="235" priority="81" operator="equal">
      <formula>0</formula>
    </cfRule>
    <cfRule type="cellIs" dxfId="234" priority="82" operator="equal">
      <formula>0</formula>
    </cfRule>
  </conditionalFormatting>
  <conditionalFormatting sqref="C50:C51">
    <cfRule type="cellIs" dxfId="233" priority="71" operator="equal">
      <formula>0</formula>
    </cfRule>
    <cfRule type="cellIs" dxfId="232" priority="72" operator="equal">
      <formula>0</formula>
    </cfRule>
  </conditionalFormatting>
  <conditionalFormatting sqref="A10">
    <cfRule type="cellIs" dxfId="231" priority="67" operator="equal">
      <formula>0</formula>
    </cfRule>
    <cfRule type="cellIs" dxfId="230" priority="68" operator="equal">
      <formula>0</formula>
    </cfRule>
  </conditionalFormatting>
  <conditionalFormatting sqref="D15:F15 E13:F14">
    <cfRule type="cellIs" dxfId="229" priority="63" operator="equal">
      <formula>0</formula>
    </cfRule>
    <cfRule type="cellIs" dxfId="228" priority="64" operator="equal">
      <formula>0</formula>
    </cfRule>
  </conditionalFormatting>
  <conditionalFormatting sqref="H6">
    <cfRule type="cellIs" dxfId="227" priority="61" operator="equal">
      <formula>0</formula>
    </cfRule>
    <cfRule type="cellIs" dxfId="226" priority="62" operator="equal">
      <formula>0</formula>
    </cfRule>
  </conditionalFormatting>
  <conditionalFormatting sqref="H7">
    <cfRule type="cellIs" dxfId="225" priority="59" operator="equal">
      <formula>0</formula>
    </cfRule>
    <cfRule type="cellIs" dxfId="224" priority="60" operator="equal">
      <formula>0</formula>
    </cfRule>
  </conditionalFormatting>
  <conditionalFormatting sqref="H10">
    <cfRule type="cellIs" dxfId="223" priority="57" operator="equal">
      <formula>0</formula>
    </cfRule>
    <cfRule type="cellIs" dxfId="222" priority="58" operator="equal">
      <formula>0</formula>
    </cfRule>
  </conditionalFormatting>
  <conditionalFormatting sqref="H11">
    <cfRule type="cellIs" dxfId="221" priority="55" operator="equal">
      <formula>0</formula>
    </cfRule>
    <cfRule type="cellIs" dxfId="220" priority="56" operator="equal">
      <formula>0</formula>
    </cfRule>
  </conditionalFormatting>
  <conditionalFormatting sqref="H12">
    <cfRule type="cellIs" dxfId="219" priority="53" operator="equal">
      <formula>0</formula>
    </cfRule>
    <cfRule type="cellIs" dxfId="218" priority="54" operator="equal">
      <formula>0</formula>
    </cfRule>
  </conditionalFormatting>
  <conditionalFormatting sqref="H13:H16">
    <cfRule type="cellIs" dxfId="217" priority="51" operator="equal">
      <formula>0</formula>
    </cfRule>
    <cfRule type="cellIs" dxfId="216" priority="52" operator="equal">
      <formula>0</formula>
    </cfRule>
  </conditionalFormatting>
  <conditionalFormatting sqref="H8">
    <cfRule type="cellIs" dxfId="215" priority="49" operator="equal">
      <formula>0</formula>
    </cfRule>
    <cfRule type="cellIs" dxfId="214" priority="50" operator="equal">
      <formula>0</formula>
    </cfRule>
  </conditionalFormatting>
  <conditionalFormatting sqref="H18">
    <cfRule type="cellIs" dxfId="213" priority="41" operator="equal">
      <formula>0</formula>
    </cfRule>
    <cfRule type="cellIs" dxfId="212" priority="42" operator="equal">
      <formula>0</formula>
    </cfRule>
  </conditionalFormatting>
  <conditionalFormatting sqref="I8">
    <cfRule type="cellIs" dxfId="211" priority="45" operator="equal">
      <formula>0</formula>
    </cfRule>
    <cfRule type="cellIs" dxfId="210" priority="46" operator="equal">
      <formula>0</formula>
    </cfRule>
  </conditionalFormatting>
  <conditionalFormatting sqref="H17">
    <cfRule type="cellIs" dxfId="209" priority="43" operator="equal">
      <formula>0</formula>
    </cfRule>
    <cfRule type="cellIs" dxfId="208" priority="44" operator="equal">
      <formula>0</formula>
    </cfRule>
  </conditionalFormatting>
  <conditionalFormatting sqref="I18">
    <cfRule type="cellIs" dxfId="207" priority="37" operator="lessThan">
      <formula>0</formula>
    </cfRule>
    <cfRule type="cellIs" dxfId="206" priority="38" operator="greaterThan">
      <formula>0</formula>
    </cfRule>
  </conditionalFormatting>
  <conditionalFormatting sqref="I17">
    <cfRule type="cellIs" dxfId="205" priority="35" operator="equal">
      <formula>0</formula>
    </cfRule>
    <cfRule type="cellIs" dxfId="204" priority="36" operator="equal">
      <formula>0</formula>
    </cfRule>
  </conditionalFormatting>
  <conditionalFormatting sqref="H5">
    <cfRule type="cellIs" dxfId="203" priority="28" operator="equal">
      <formula>0</formula>
    </cfRule>
    <cfRule type="cellIs" dxfId="202" priority="29" operator="equal">
      <formula>0</formula>
    </cfRule>
  </conditionalFormatting>
  <conditionalFormatting sqref="I6">
    <cfRule type="cellIs" dxfId="201" priority="26" operator="equal">
      <formula>0</formula>
    </cfRule>
    <cfRule type="cellIs" dxfId="200" priority="27" operator="equal">
      <formula>0</formula>
    </cfRule>
  </conditionalFormatting>
  <conditionalFormatting sqref="I14">
    <cfRule type="expression" dxfId="199" priority="169">
      <formula>$H$14=""</formula>
    </cfRule>
    <cfRule type="cellIs" dxfId="198" priority="170" operator="greaterThan">
      <formula>$I$8</formula>
    </cfRule>
  </conditionalFormatting>
  <conditionalFormatting sqref="I15">
    <cfRule type="expression" dxfId="197" priority="171">
      <formula>$H$15=""</formula>
    </cfRule>
    <cfRule type="cellIs" dxfId="196" priority="172" operator="greaterThan">
      <formula>$I$8</formula>
    </cfRule>
  </conditionalFormatting>
  <conditionalFormatting sqref="I16">
    <cfRule type="expression" dxfId="195" priority="173">
      <formula>$H$16=""</formula>
    </cfRule>
    <cfRule type="cellIs" dxfId="194" priority="174" operator="greaterThan">
      <formula>$I$8</formula>
    </cfRule>
  </conditionalFormatting>
  <conditionalFormatting sqref="I13">
    <cfRule type="expression" dxfId="193" priority="175">
      <formula>$H$13=""</formula>
    </cfRule>
    <cfRule type="cellIs" dxfId="192" priority="176" operator="greaterThan">
      <formula>$I$8</formula>
    </cfRule>
  </conditionalFormatting>
  <conditionalFormatting sqref="I12">
    <cfRule type="expression" dxfId="191" priority="177">
      <formula>$H$12=""</formula>
    </cfRule>
    <cfRule type="cellIs" dxfId="190" priority="178" operator="greaterThan">
      <formula>$I$8</formula>
    </cfRule>
  </conditionalFormatting>
  <conditionalFormatting sqref="H9">
    <cfRule type="cellIs" dxfId="189" priority="13" operator="equal">
      <formula>0</formula>
    </cfRule>
    <cfRule type="cellIs" dxfId="188" priority="14" operator="equal">
      <formula>0</formula>
    </cfRule>
  </conditionalFormatting>
  <conditionalFormatting sqref="I9">
    <cfRule type="containsBlanks" dxfId="187" priority="10">
      <formula>LEN(TRIM(I9))=0</formula>
    </cfRule>
  </conditionalFormatting>
  <conditionalFormatting sqref="I5">
    <cfRule type="containsBlanks" dxfId="186" priority="9">
      <formula>LEN(TRIM(I5))=0</formula>
    </cfRule>
  </conditionalFormatting>
  <conditionalFormatting sqref="C12:C13">
    <cfRule type="cellIs" dxfId="185" priority="7" operator="equal">
      <formula>0</formula>
    </cfRule>
    <cfRule type="cellIs" dxfId="184" priority="8" operator="equal">
      <formula>0</formula>
    </cfRule>
  </conditionalFormatting>
  <conditionalFormatting sqref="C14">
    <cfRule type="cellIs" dxfId="183" priority="5" operator="equal">
      <formula>0</formula>
    </cfRule>
    <cfRule type="cellIs" dxfId="182" priority="6" operator="equal">
      <formula>0</formula>
    </cfRule>
  </conditionalFormatting>
  <conditionalFormatting sqref="C16">
    <cfRule type="cellIs" dxfId="181" priority="3" operator="equal">
      <formula>0</formula>
    </cfRule>
    <cfRule type="cellIs" dxfId="180" priority="4" operator="equal">
      <formula>0</formula>
    </cfRule>
  </conditionalFormatting>
  <conditionalFormatting sqref="A11">
    <cfRule type="cellIs" dxfId="179" priority="1" operator="equal">
      <formula>0</formula>
    </cfRule>
    <cfRule type="cellIs" dxfId="178" priority="2" operator="equal">
      <formula>0</formula>
    </cfRule>
  </conditionalFormatting>
  <dataValidations count="2">
    <dataValidation errorStyle="warning" allowBlank="1" showInputMessage="1" showErrorMessage="1" error="Have you confirmed the actual Silo Size?_x000a_" sqref="I6" xr:uid="{00000000-0002-0000-0000-000000000000}"/>
    <dataValidation type="list" allowBlank="1" showInputMessage="1" sqref="B3:D3" xr:uid="{00000000-0002-0000-0000-000001000000}">
      <formula1>Client_List</formula1>
    </dataValidation>
  </dataValidations>
  <pageMargins left="0.7" right="0.7" top="0.75" bottom="0.75" header="0.3" footer="0.3"/>
  <pageSetup orientation="portrait" r:id="rId1"/>
  <headerFooter>
    <oddFooter>&amp;L&amp;F Sheet Printed: &amp;T &amp;D PRIVATE AND CONFIDENTIAL</oddFooter>
  </headerFooter>
  <drawing r:id="rId2"/>
  <legacyDrawing r:id="rId3"/>
  <controls>
    <mc:AlternateContent xmlns:mc="http://schemas.openxmlformats.org/markup-compatibility/2006">
      <mc:Choice Requires="x14">
        <control shapeId="1026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2</xdr:row>
                <xdr:rowOff>161925</xdr:rowOff>
              </to>
            </anchor>
          </controlPr>
        </control>
      </mc:Choice>
      <mc:Fallback>
        <control shapeId="1026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2000000}">
          <x14:formula1>
            <xm:f>'SPECIFIC GRAVITIES'!$O$4:$O$5</xm:f>
          </x14:formula1>
          <xm:sqref>A43:A44</xm:sqref>
        </x14:dataValidation>
        <x14:dataValidation type="list" allowBlank="1" showInputMessage="1" showErrorMessage="1" xr:uid="{00000000-0002-0000-0000-000003000000}">
          <x14:formula1>
            <xm:f>Blends!$A$1:$A$150</xm:f>
          </x14:formula1>
          <xm:sqref>A19:E19</xm:sqref>
        </x14:dataValidation>
        <x14:dataValidation type="list" allowBlank="1" showInputMessage="1" showErrorMessage="1" xr:uid="{00000000-0002-0000-0000-000004000000}">
          <x14:formula1>
            <xm:f>'SPECIFIC GRAVITIES'!$L$5:$L$138</xm:f>
          </x14:formula1>
          <xm:sqref>A23:A37</xm:sqref>
        </x14:dataValidation>
        <x14:dataValidation type="list" allowBlank="1" showInputMessage="1" showErrorMessage="1" xr:uid="{00000000-0002-0000-0000-000005000000}">
          <x14:formula1>
            <xm:f>'Silo Sizes'!$E$2:$E$9</xm:f>
          </x14:formula1>
          <xm:sqref>I5</xm:sqref>
        </x14:dataValidation>
        <x14:dataValidation type="list" allowBlank="1" showInputMessage="1" showErrorMessage="1" xr:uid="{9CF18DCB-D8E8-4B0E-BFD2-348B2B1C881B}">
          <x14:formula1>
            <xm:f>'Job Type Mapping'!$A$2:$A$64</xm:f>
          </x14:formula1>
          <xm:sqref>B11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A1:A141"/>
  <sheetViews>
    <sheetView topLeftCell="A121" workbookViewId="0">
      <selection activeCell="A142" sqref="A142"/>
    </sheetView>
  </sheetViews>
  <sheetFormatPr defaultRowHeight="15" x14ac:dyDescent="0.25"/>
  <cols>
    <col min="1" max="1" width="37.28515625" bestFit="1" customWidth="1"/>
  </cols>
  <sheetData>
    <row r="1" spans="1:1" x14ac:dyDescent="0.25">
      <c r="A1" t="str">
        <f>'Base Blend Property Calculation'!A7</f>
        <v>No Cement</v>
      </c>
    </row>
    <row r="2" spans="1:1" x14ac:dyDescent="0.25">
      <c r="A2" t="str">
        <f>'Base Blend Property Calculation'!A8</f>
        <v>0:1:0 'A'</v>
      </c>
    </row>
    <row r="3" spans="1:1" x14ac:dyDescent="0.25">
      <c r="A3" t="str">
        <f>'Base Blend Property Calculation'!A9</f>
        <v>0:1:0 'C'</v>
      </c>
    </row>
    <row r="4" spans="1:1" x14ac:dyDescent="0.25">
      <c r="A4" t="str">
        <f>'Base Blend Property Calculation'!A10</f>
        <v>0:1:0 'G'</v>
      </c>
    </row>
    <row r="5" spans="1:1" x14ac:dyDescent="0.25">
      <c r="A5" t="str">
        <f>'Base Blend Property Calculation'!A11</f>
        <v>0:1:12 'G'</v>
      </c>
    </row>
    <row r="6" spans="1:1" x14ac:dyDescent="0.25">
      <c r="A6" t="str">
        <f>'Base Blend Property Calculation'!A12</f>
        <v>0:1:2 'G'</v>
      </c>
    </row>
    <row r="7" spans="1:1" x14ac:dyDescent="0.25">
      <c r="A7" t="str">
        <f>'Base Blend Property Calculation'!A13</f>
        <v>0:1:4 'G'</v>
      </c>
    </row>
    <row r="8" spans="1:1" x14ac:dyDescent="0.25">
      <c r="A8" t="str">
        <f>'Base Blend Property Calculation'!A14</f>
        <v>0:1:6 'G'</v>
      </c>
    </row>
    <row r="9" spans="1:1" x14ac:dyDescent="0.25">
      <c r="A9" t="str">
        <f>'Base Blend Property Calculation'!A15</f>
        <v>0:1:8 'G'</v>
      </c>
    </row>
    <row r="10" spans="1:1" x14ac:dyDescent="0.25">
      <c r="A10" t="str">
        <f>'Base Blend Property Calculation'!A16</f>
        <v>1:1:0 'G'</v>
      </c>
    </row>
    <row r="11" spans="1:1" x14ac:dyDescent="0.25">
      <c r="A11" t="str">
        <f>'Base Blend Property Calculation'!A17</f>
        <v>1:1:0 'G' (Sask)</v>
      </c>
    </row>
    <row r="12" spans="1:1" x14ac:dyDescent="0.25">
      <c r="A12" t="str">
        <f>'Base Blend Property Calculation'!A18</f>
        <v>1:1:12 'G'</v>
      </c>
    </row>
    <row r="13" spans="1:1" x14ac:dyDescent="0.25">
      <c r="A13" t="str">
        <f>'Base Blend Property Calculation'!A19</f>
        <v>1:1:12 'G' (Sask)</v>
      </c>
    </row>
    <row r="14" spans="1:1" x14ac:dyDescent="0.25">
      <c r="A14" t="str">
        <f>'Base Blend Property Calculation'!A20</f>
        <v>1:1:2 'G'</v>
      </c>
    </row>
    <row r="15" spans="1:1" x14ac:dyDescent="0.25">
      <c r="A15" t="str">
        <f>'Base Blend Property Calculation'!A21</f>
        <v>1:1:2 'G' (Sask)</v>
      </c>
    </row>
    <row r="16" spans="1:1" x14ac:dyDescent="0.25">
      <c r="A16" t="str">
        <f>'Base Blend Property Calculation'!A22</f>
        <v>1:1:4 'G'</v>
      </c>
    </row>
    <row r="17" spans="1:1" x14ac:dyDescent="0.25">
      <c r="A17" t="str">
        <f>'Base Blend Property Calculation'!A23</f>
        <v>1:1:4 'G' (Sask)</v>
      </c>
    </row>
    <row r="18" spans="1:1" x14ac:dyDescent="0.25">
      <c r="A18" t="str">
        <f>'Base Blend Property Calculation'!A24</f>
        <v>1:1:6 'G'</v>
      </c>
    </row>
    <row r="19" spans="1:1" x14ac:dyDescent="0.25">
      <c r="A19" t="str">
        <f>'Base Blend Property Calculation'!A25</f>
        <v>1:1:6 'G' (Sask)</v>
      </c>
    </row>
    <row r="20" spans="1:1" x14ac:dyDescent="0.25">
      <c r="A20" t="str">
        <f>'Base Blend Property Calculation'!A26</f>
        <v>1:1:8 'G'</v>
      </c>
    </row>
    <row r="21" spans="1:1" x14ac:dyDescent="0.25">
      <c r="A21" t="str">
        <f>'Base Blend Property Calculation'!A27</f>
        <v>1:1:8 'G' (Sask)</v>
      </c>
    </row>
    <row r="22" spans="1:1" x14ac:dyDescent="0.25">
      <c r="A22" t="str">
        <f>'Base Blend Property Calculation'!A28</f>
        <v>2:1:0 'G'</v>
      </c>
    </row>
    <row r="23" spans="1:1" x14ac:dyDescent="0.25">
      <c r="A23" t="str">
        <f>'Base Blend Property Calculation'!A29</f>
        <v>2:1:0 'G' (Sask)</v>
      </c>
    </row>
    <row r="24" spans="1:1" x14ac:dyDescent="0.25">
      <c r="A24" t="str">
        <f>'Base Blend Property Calculation'!A30</f>
        <v>2:1:12 'G'</v>
      </c>
    </row>
    <row r="25" spans="1:1" x14ac:dyDescent="0.25">
      <c r="A25" t="str">
        <f>'Base Blend Property Calculation'!A31</f>
        <v>2:1:12 'G' (Sask)</v>
      </c>
    </row>
    <row r="26" spans="1:1" x14ac:dyDescent="0.25">
      <c r="A26" t="str">
        <f>'Base Blend Property Calculation'!A32</f>
        <v>2:1:2 'G'</v>
      </c>
    </row>
    <row r="27" spans="1:1" x14ac:dyDescent="0.25">
      <c r="A27" t="str">
        <f>'Base Blend Property Calculation'!A33</f>
        <v>2:1:2 'G' (Sask)</v>
      </c>
    </row>
    <row r="28" spans="1:1" x14ac:dyDescent="0.25">
      <c r="A28" t="str">
        <f>'Base Blend Property Calculation'!A34</f>
        <v>2:1:4 'G'</v>
      </c>
    </row>
    <row r="29" spans="1:1" x14ac:dyDescent="0.25">
      <c r="A29" t="str">
        <f>'Base Blend Property Calculation'!A35</f>
        <v>2:1:4 'G' (Sask)</v>
      </c>
    </row>
    <row r="30" spans="1:1" x14ac:dyDescent="0.25">
      <c r="A30" t="str">
        <f>'Base Blend Property Calculation'!A36</f>
        <v>2:1:6 'G'</v>
      </c>
    </row>
    <row r="31" spans="1:1" x14ac:dyDescent="0.25">
      <c r="A31" t="str">
        <f>'Base Blend Property Calculation'!A37</f>
        <v>2:1:6 'G' (Sask)</v>
      </c>
    </row>
    <row r="32" spans="1:1" x14ac:dyDescent="0.25">
      <c r="A32" t="str">
        <f>'Base Blend Property Calculation'!A38</f>
        <v>2:1:8 'G'</v>
      </c>
    </row>
    <row r="33" spans="1:1" x14ac:dyDescent="0.25">
      <c r="A33" t="str">
        <f>'Base Blend Property Calculation'!A39</f>
        <v>2:1:8 'G' (Sask)</v>
      </c>
    </row>
    <row r="34" spans="1:1" x14ac:dyDescent="0.25">
      <c r="A34" t="str">
        <f>'Base Blend Property Calculation'!A40</f>
        <v>ARC</v>
      </c>
    </row>
    <row r="35" spans="1:1" x14ac:dyDescent="0.25">
      <c r="A35" t="str">
        <f>'Base Blend Property Calculation'!A41</f>
        <v>ASC (IV)</v>
      </c>
    </row>
    <row r="36" spans="1:1" x14ac:dyDescent="0.25">
      <c r="A36" t="str">
        <f>'Base Blend Property Calculation'!A42</f>
        <v>CNRL CHOPS TH</v>
      </c>
    </row>
    <row r="37" spans="1:1" x14ac:dyDescent="0.25">
      <c r="A37" t="str">
        <f>'Base Blend Property Calculation'!A43</f>
        <v>Expandomix</v>
      </c>
    </row>
    <row r="38" spans="1:1" x14ac:dyDescent="0.25">
      <c r="A38" t="str">
        <f>'Base Blend Property Calculation'!A44</f>
        <v>Expandomix HT</v>
      </c>
    </row>
    <row r="39" spans="1:1" x14ac:dyDescent="0.25">
      <c r="A39" t="str">
        <f>'Base Blend Property Calculation'!A45</f>
        <v>Expandomix HT (SK)</v>
      </c>
    </row>
    <row r="40" spans="1:1" x14ac:dyDescent="0.25">
      <c r="A40" t="str">
        <f>'Base Blend Property Calculation'!A46</f>
        <v>Expandomix LWL</v>
      </c>
    </row>
    <row r="41" spans="1:1" x14ac:dyDescent="0.25">
      <c r="A41" t="str">
        <f>'Base Blend Property Calculation'!A47</f>
        <v>EXPANDOmix PRO HT</v>
      </c>
    </row>
    <row r="42" spans="1:1" x14ac:dyDescent="0.25">
      <c r="A42" t="str">
        <f>'Base Blend Property Calculation'!A48</f>
        <v>EXPANDOmix PRO LT</v>
      </c>
    </row>
    <row r="43" spans="1:1" x14ac:dyDescent="0.25">
      <c r="A43" t="str">
        <f>'Base Blend Property Calculation'!A49</f>
        <v>EXPANDOmix PRO HT (SK)</v>
      </c>
    </row>
    <row r="44" spans="1:1" x14ac:dyDescent="0.25">
      <c r="A44" t="str">
        <f>'Base Blend Property Calculation'!A50</f>
        <v>EXPANDOmix PRO LT (SK)</v>
      </c>
    </row>
    <row r="45" spans="1:1" x14ac:dyDescent="0.25">
      <c r="A45" t="str">
        <f>'Base Blend Property Calculation'!A51</f>
        <v>Glacial Mix</v>
      </c>
    </row>
    <row r="46" spans="1:1" x14ac:dyDescent="0.25">
      <c r="A46" t="str">
        <f>'Base Blend Property Calculation'!A52</f>
        <v>iBond</v>
      </c>
    </row>
    <row r="47" spans="1:1" x14ac:dyDescent="0.25">
      <c r="A47" t="str">
        <f>'Base Blend Property Calculation'!A53</f>
        <v>iGain (SK)</v>
      </c>
    </row>
    <row r="48" spans="1:1" x14ac:dyDescent="0.25">
      <c r="A48" t="str">
        <f>'Base Blend Property Calculation'!A54</f>
        <v>iGain(AB)</v>
      </c>
    </row>
    <row r="49" spans="1:1" x14ac:dyDescent="0.25">
      <c r="A49" t="str">
        <f>'Base Blend Property Calculation'!A55</f>
        <v>iPrime (AB)</v>
      </c>
    </row>
    <row r="50" spans="1:1" x14ac:dyDescent="0.25">
      <c r="A50" t="str">
        <f>'Base Blend Property Calculation'!A56</f>
        <v>iPrime (SK)</v>
      </c>
    </row>
    <row r="51" spans="1:1" x14ac:dyDescent="0.25">
      <c r="A51" t="str">
        <f>'Base Blend Property Calculation'!A57</f>
        <v>iThix</v>
      </c>
    </row>
    <row r="52" spans="1:1" x14ac:dyDescent="0.25">
      <c r="A52" t="str">
        <f>'Base Blend Property Calculation'!A58</f>
        <v>iZone</v>
      </c>
    </row>
    <row r="53" spans="1:1" x14ac:dyDescent="0.25">
      <c r="A53" t="str">
        <f>'Base Blend Property Calculation'!A59</f>
        <v>LCS 1600</v>
      </c>
    </row>
    <row r="54" spans="1:1" x14ac:dyDescent="0.25">
      <c r="A54" t="str">
        <f>'Base Blend Property Calculation'!A60</f>
        <v>LCS 1820</v>
      </c>
    </row>
    <row r="55" spans="1:1" x14ac:dyDescent="0.25">
      <c r="A55" t="str">
        <f>'Base Blend Property Calculation'!A61</f>
        <v>LDP-C-0117</v>
      </c>
    </row>
    <row r="56" spans="1:1" x14ac:dyDescent="0.25">
      <c r="A56" t="str">
        <f>'Base Blend Property Calculation'!A62</f>
        <v>LDP-C-0417</v>
      </c>
    </row>
    <row r="57" spans="1:1" x14ac:dyDescent="0.25">
      <c r="A57" t="str">
        <f>'Base Blend Property Calculation'!A63</f>
        <v>LDP-C-0516</v>
      </c>
    </row>
    <row r="58" spans="1:1" x14ac:dyDescent="0.25">
      <c r="A58" t="str">
        <f>'Base Blend Property Calculation'!A64</f>
        <v>LDP-C-0517</v>
      </c>
    </row>
    <row r="59" spans="1:1" x14ac:dyDescent="0.25">
      <c r="A59" t="str">
        <f>'Base Blend Property Calculation'!A65</f>
        <v>LITEmix PRO</v>
      </c>
    </row>
    <row r="60" spans="1:1" x14ac:dyDescent="0.25">
      <c r="A60" t="str">
        <f>'Base Blend Property Calculation'!A66</f>
        <v>LDP-C-1616</v>
      </c>
    </row>
    <row r="61" spans="1:1" x14ac:dyDescent="0.25">
      <c r="A61" t="str">
        <f>'Base Blend Property Calculation'!A67</f>
        <v>Litefill 1400 HT</v>
      </c>
    </row>
    <row r="62" spans="1:1" x14ac:dyDescent="0.25">
      <c r="A62" t="str">
        <f>'Base Blend Property Calculation'!A68</f>
        <v>Litefill 1400 LT</v>
      </c>
    </row>
    <row r="63" spans="1:1" x14ac:dyDescent="0.25">
      <c r="A63" t="str">
        <f>'Base Blend Property Calculation'!A69</f>
        <v>Litefill 1400 MT</v>
      </c>
    </row>
    <row r="64" spans="1:1" x14ac:dyDescent="0.25">
      <c r="A64" t="str">
        <f>'Base Blend Property Calculation'!A70</f>
        <v>Litefill 1450 HT</v>
      </c>
    </row>
    <row r="65" spans="1:1" x14ac:dyDescent="0.25">
      <c r="A65" t="str">
        <f>'Base Blend Property Calculation'!A71</f>
        <v>Litefill 1450 LT</v>
      </c>
    </row>
    <row r="66" spans="1:1" x14ac:dyDescent="0.25">
      <c r="A66" t="str">
        <f>'Base Blend Property Calculation'!A72</f>
        <v>Litefill 1450 MT</v>
      </c>
    </row>
    <row r="67" spans="1:1" x14ac:dyDescent="0.25">
      <c r="A67" t="str">
        <f>'Base Blend Property Calculation'!A73</f>
        <v>Litefill 1500 HT</v>
      </c>
    </row>
    <row r="68" spans="1:1" x14ac:dyDescent="0.25">
      <c r="A68" t="str">
        <f>'Base Blend Property Calculation'!A74</f>
        <v>Litefill 1500 LT</v>
      </c>
    </row>
    <row r="69" spans="1:1" x14ac:dyDescent="0.25">
      <c r="A69" t="str">
        <f>'Base Blend Property Calculation'!A75</f>
        <v>Litefill 1500 MT</v>
      </c>
    </row>
    <row r="70" spans="1:1" x14ac:dyDescent="0.25">
      <c r="A70" t="str">
        <f>'Base Blend Property Calculation'!A76</f>
        <v>Litefill 1550 HT</v>
      </c>
    </row>
    <row r="71" spans="1:1" x14ac:dyDescent="0.25">
      <c r="A71" t="str">
        <f>'Base Blend Property Calculation'!A77</f>
        <v>Litefill 1550 LT</v>
      </c>
    </row>
    <row r="72" spans="1:1" x14ac:dyDescent="0.25">
      <c r="A72" t="str">
        <f>'Base Blend Property Calculation'!A78</f>
        <v>Litefill 1550 MT</v>
      </c>
    </row>
    <row r="73" spans="1:1" x14ac:dyDescent="0.25">
      <c r="A73" t="str">
        <f>'Base Blend Property Calculation'!A79</f>
        <v>LITEmix 1325 (AB)</v>
      </c>
    </row>
    <row r="74" spans="1:1" x14ac:dyDescent="0.25">
      <c r="A74" t="str">
        <f>'Base Blend Property Calculation'!A80</f>
        <v>LITEmix 1325 (SK)</v>
      </c>
    </row>
    <row r="75" spans="1:1" x14ac:dyDescent="0.25">
      <c r="A75" t="str">
        <f>'Base Blend Property Calculation'!A81</f>
        <v>LITEmix 1400 (AB)</v>
      </c>
    </row>
    <row r="76" spans="1:1" x14ac:dyDescent="0.25">
      <c r="A76" t="str">
        <f>'Base Blend Property Calculation'!A82</f>
        <v>LITEmix 1400 (SK)</v>
      </c>
    </row>
    <row r="77" spans="1:1" x14ac:dyDescent="0.25">
      <c r="A77" t="str">
        <f>'Base Blend Property Calculation'!A83</f>
        <v>LITEmix EC</v>
      </c>
    </row>
    <row r="78" spans="1:1" x14ac:dyDescent="0.25">
      <c r="A78" t="str">
        <f>'Base Blend Property Calculation'!A84</f>
        <v>PRODUCTIONmix 1500 PRO (LDP-C-3515)</v>
      </c>
    </row>
    <row r="79" spans="1:1" x14ac:dyDescent="0.25">
      <c r="A79" t="str">
        <f>'Base Blend Property Calculation'!A85</f>
        <v>PRODUCTIONmix 1600</v>
      </c>
    </row>
    <row r="80" spans="1:1" x14ac:dyDescent="0.25">
      <c r="A80" t="str">
        <f>'Base Blend Property Calculation'!A86</f>
        <v>PRODUCTIONmix 1600 (SK)</v>
      </c>
    </row>
    <row r="81" spans="1:1" x14ac:dyDescent="0.25">
      <c r="A81" t="str">
        <f>'Base Blend Property Calculation'!A87</f>
        <v>PRODUCTIONmix 1725</v>
      </c>
    </row>
    <row r="82" spans="1:1" x14ac:dyDescent="0.25">
      <c r="A82" t="str">
        <f>'Base Blend Property Calculation'!A88</f>
        <v>PRODUCTIONmix EC</v>
      </c>
    </row>
    <row r="83" spans="1:1" x14ac:dyDescent="0.25">
      <c r="A83" t="str">
        <f>'Base Blend Property Calculation'!A89</f>
        <v>PRODUCTIONmix EC (SK)</v>
      </c>
    </row>
    <row r="84" spans="1:1" x14ac:dyDescent="0.25">
      <c r="A84" t="str">
        <f>'Base Blend Property Calculation'!A90</f>
        <v>PRODUCTIONmix HZ</v>
      </c>
    </row>
    <row r="85" spans="1:1" x14ac:dyDescent="0.25">
      <c r="A85" t="str">
        <f>'Base Blend Property Calculation'!A91</f>
        <v>PRODUCTIONmix LW</v>
      </c>
    </row>
    <row r="86" spans="1:1" x14ac:dyDescent="0.25">
      <c r="A86" t="str">
        <f>'Base Blend Property Calculation'!A92</f>
        <v>PRODUCTIONmix LW (SK)</v>
      </c>
    </row>
    <row r="87" spans="1:1" x14ac:dyDescent="0.25">
      <c r="A87" t="str">
        <f>'Base Blend Property Calculation'!A93</f>
        <v>PRODUCTIONmix LW PRO</v>
      </c>
    </row>
    <row r="88" spans="1:1" x14ac:dyDescent="0.25">
      <c r="A88" t="str">
        <f>'Base Blend Property Calculation'!A94</f>
        <v>PRODUCTIONmix THX</v>
      </c>
    </row>
    <row r="89" spans="1:1" x14ac:dyDescent="0.25">
      <c r="A89" t="str">
        <f>'Base Blend Property Calculation'!A95</f>
        <v>Prolite 13</v>
      </c>
    </row>
    <row r="90" spans="1:1" x14ac:dyDescent="0.25">
      <c r="A90" t="str">
        <f>'Base Blend Property Calculation'!A96</f>
        <v>Prolite 14</v>
      </c>
    </row>
    <row r="91" spans="1:1" x14ac:dyDescent="0.25">
      <c r="A91" t="str">
        <f>'Base Blend Property Calculation'!A97</f>
        <v>Proteus Core</v>
      </c>
    </row>
    <row r="92" spans="1:1" x14ac:dyDescent="0.25">
      <c r="A92" t="str">
        <f>'Base Blend Property Calculation'!A98</f>
        <v>Proteus GLS @ 1300</v>
      </c>
    </row>
    <row r="93" spans="1:1" x14ac:dyDescent="0.25">
      <c r="A93" t="str">
        <f>'Base Blend Property Calculation'!A99</f>
        <v>Proteus GLS @ 1350</v>
      </c>
    </row>
    <row r="94" spans="1:1" x14ac:dyDescent="0.25">
      <c r="A94" t="str">
        <f>'Base Blend Property Calculation'!A100</f>
        <v>Proteus GLS @ 1400</v>
      </c>
    </row>
    <row r="95" spans="1:1" x14ac:dyDescent="0.25">
      <c r="A95" t="str">
        <f>'Base Blend Property Calculation'!A101</f>
        <v>Proteus GLS @ 1400 (CDM-5)</v>
      </c>
    </row>
    <row r="96" spans="1:1" x14ac:dyDescent="0.25">
      <c r="A96" t="str">
        <f>'Base Blend Property Calculation'!A102</f>
        <v>Proteus LCS</v>
      </c>
    </row>
    <row r="97" spans="1:1" x14ac:dyDescent="0.25">
      <c r="A97" t="str">
        <f>'Base Blend Property Calculation'!A103</f>
        <v>Proteus Pro</v>
      </c>
    </row>
    <row r="98" spans="1:1" x14ac:dyDescent="0.25">
      <c r="A98" t="str">
        <f>'Base Blend Property Calculation'!A104</f>
        <v>RAS II</v>
      </c>
    </row>
    <row r="99" spans="1:1" x14ac:dyDescent="0.25">
      <c r="A99" t="str">
        <f>'Base Blend Property Calculation'!A105</f>
        <v>SanSeal</v>
      </c>
    </row>
    <row r="100" spans="1:1" x14ac:dyDescent="0.25">
      <c r="A100" t="str">
        <f>'Base Blend Property Calculation'!A106</f>
        <v>SanSeal HT</v>
      </c>
    </row>
    <row r="101" spans="1:1" x14ac:dyDescent="0.25">
      <c r="A101" t="str">
        <f>'Base Blend Property Calculation'!A107</f>
        <v>SCC10 Thermal</v>
      </c>
    </row>
    <row r="102" spans="1:1" x14ac:dyDescent="0.25">
      <c r="A102" t="str">
        <f>'Base Blend Property Calculation'!A108</f>
        <v>SSi</v>
      </c>
    </row>
    <row r="103" spans="1:1" x14ac:dyDescent="0.25">
      <c r="A103" t="str">
        <f>'Base Blend Property Calculation'!A109</f>
        <v>Superlite 13</v>
      </c>
    </row>
    <row r="104" spans="1:1" x14ac:dyDescent="0.25">
      <c r="A104" t="str">
        <f>'Base Blend Property Calculation'!A110</f>
        <v>Superlite 13 (CDM-5)</v>
      </c>
    </row>
    <row r="105" spans="1:1" x14ac:dyDescent="0.25">
      <c r="A105" t="str">
        <f>'Base Blend Property Calculation'!A111</f>
        <v>SUPERLITEmix 1100X</v>
      </c>
    </row>
    <row r="106" spans="1:1" x14ac:dyDescent="0.25">
      <c r="A106" t="str">
        <f>'Base Blend Property Calculation'!A112</f>
        <v>SUPERLITEmix 1160</v>
      </c>
    </row>
    <row r="107" spans="1:1" x14ac:dyDescent="0.25">
      <c r="A107" t="str">
        <f>'Base Blend Property Calculation'!A113</f>
        <v>SUPERLITEmix 1160 (CDM-5)</v>
      </c>
    </row>
    <row r="108" spans="1:1" x14ac:dyDescent="0.25">
      <c r="A108" t="str">
        <f>'Base Blend Property Calculation'!A114</f>
        <v>SUPERLITEmix 1160 C</v>
      </c>
    </row>
    <row r="109" spans="1:1" x14ac:dyDescent="0.25">
      <c r="A109" t="str">
        <f>'Base Blend Property Calculation'!A115</f>
        <v>SUPERLITEmix 1160X</v>
      </c>
    </row>
    <row r="110" spans="1:1" x14ac:dyDescent="0.25">
      <c r="A110" t="str">
        <f>'Base Blend Property Calculation'!A116</f>
        <v>SUPERLITEmix PRO</v>
      </c>
    </row>
    <row r="111" spans="1:1" x14ac:dyDescent="0.25">
      <c r="A111" t="str">
        <f>'Base Blend Property Calculation'!A117</f>
        <v>SUPERLITEmix PRO (CDM-2)</v>
      </c>
    </row>
    <row r="112" spans="1:1" x14ac:dyDescent="0.25">
      <c r="A112" t="str">
        <f>'Base Blend Property Calculation'!A118</f>
        <v>SUPERLITEmix PRO (LDP-C-3215)</v>
      </c>
    </row>
    <row r="113" spans="1:1" x14ac:dyDescent="0.25">
      <c r="A113" t="str">
        <f>'Base Blend Property Calculation'!A119</f>
        <v>SUPERLITEmix PRO HT</v>
      </c>
    </row>
    <row r="114" spans="1:1" x14ac:dyDescent="0.25">
      <c r="A114" t="str">
        <f>'Base Blend Property Calculation'!A120</f>
        <v>SUPERLITEmix PROX</v>
      </c>
    </row>
    <row r="115" spans="1:1" x14ac:dyDescent="0.25">
      <c r="A115" t="str">
        <f>'Base Blend Property Calculation'!A121</f>
        <v>SURFACEmix LW (AB)</v>
      </c>
    </row>
    <row r="116" spans="1:1" x14ac:dyDescent="0.25">
      <c r="A116" t="str">
        <f>'Base Blend Property Calculation'!A122</f>
        <v>SURFACEmix LW (SK)</v>
      </c>
    </row>
    <row r="117" spans="1:1" x14ac:dyDescent="0.25">
      <c r="A117" t="str">
        <f>'Base Blend Property Calculation'!A123</f>
        <v>SURFACEmix LW PRO</v>
      </c>
    </row>
    <row r="118" spans="1:1" x14ac:dyDescent="0.25">
      <c r="A118" t="str">
        <f>'Base Blend Property Calculation'!A124</f>
        <v>SURFACEmix LW PRO (SK)</v>
      </c>
    </row>
    <row r="119" spans="1:1" x14ac:dyDescent="0.25">
      <c r="A119" t="str">
        <f>'Base Blend Property Calculation'!A125</f>
        <v>SURFACEmix LW PRO ED</v>
      </c>
    </row>
    <row r="120" spans="1:1" x14ac:dyDescent="0.25">
      <c r="A120" t="str">
        <f>'Base Blend Property Calculation'!A126</f>
        <v>SURFACEmix LW PRO FSJ</v>
      </c>
    </row>
    <row r="121" spans="1:1" x14ac:dyDescent="0.25">
      <c r="A121" t="str">
        <f>'Base Blend Property Calculation'!A127</f>
        <v>SURFACEmix LW PRO GP</v>
      </c>
    </row>
    <row r="122" spans="1:1" x14ac:dyDescent="0.25">
      <c r="A122" t="str">
        <f>'Base Blend Property Calculation'!A128</f>
        <v>SURFACEmix LW PRO LLD</v>
      </c>
    </row>
    <row r="123" spans="1:1" x14ac:dyDescent="0.25">
      <c r="A123" t="str">
        <f>'Base Blend Property Calculation'!A129</f>
        <v>SURFACEmix LW PRO RD</v>
      </c>
    </row>
    <row r="124" spans="1:1" x14ac:dyDescent="0.25">
      <c r="A124" t="str">
        <f>'Base Blend Property Calculation'!A130</f>
        <v>SURFACEmix PRO</v>
      </c>
    </row>
    <row r="125" spans="1:1" x14ac:dyDescent="0.25">
      <c r="A125" t="str">
        <f>'Base Blend Property Calculation'!A131</f>
        <v>SURFACEmix SLW</v>
      </c>
    </row>
    <row r="126" spans="1:1" x14ac:dyDescent="0.25">
      <c r="A126" t="str">
        <f>'Base Blend Property Calculation'!A132</f>
        <v>SURFACEmix THX</v>
      </c>
    </row>
    <row r="127" spans="1:1" x14ac:dyDescent="0.25">
      <c r="A127" t="str">
        <f>'Base Blend Property Calculation'!A133</f>
        <v>SurfLite</v>
      </c>
    </row>
    <row r="128" spans="1:1" x14ac:dyDescent="0.25">
      <c r="A128" t="str">
        <f>'Base Blend Property Calculation'!A134</f>
        <v>SurfLite (SK)</v>
      </c>
    </row>
    <row r="129" spans="1:1" x14ac:dyDescent="0.25">
      <c r="A129" t="str">
        <f>'Base Blend Property Calculation'!A135</f>
        <v>Thermal 40</v>
      </c>
    </row>
    <row r="130" spans="1:1" x14ac:dyDescent="0.25">
      <c r="A130" t="str">
        <f>'Base Blend Property Calculation'!A136</f>
        <v>Thermal 40 EXP</v>
      </c>
    </row>
    <row r="131" spans="1:1" x14ac:dyDescent="0.25">
      <c r="A131" t="str">
        <f>'Base Blend Property Calculation'!A137</f>
        <v>Thermal 40 Lite</v>
      </c>
    </row>
    <row r="132" spans="1:1" x14ac:dyDescent="0.25">
      <c r="A132" t="str">
        <f>'Base Blend Property Calculation'!A138</f>
        <v>THERMAmix EC</v>
      </c>
    </row>
    <row r="133" spans="1:1" x14ac:dyDescent="0.25">
      <c r="A133" t="str">
        <f>'Base Blend Property Calculation'!A139</f>
        <v>THERMAmix EC EXP</v>
      </c>
    </row>
    <row r="134" spans="1:1" x14ac:dyDescent="0.25">
      <c r="A134" t="str">
        <f>'Base Blend Property Calculation'!A140</f>
        <v>THERMAmix LT</v>
      </c>
    </row>
    <row r="135" spans="1:1" x14ac:dyDescent="0.25">
      <c r="A135" t="str">
        <f>'Base Blend Property Calculation'!A141</f>
        <v>THERMAmix PRO</v>
      </c>
    </row>
    <row r="136" spans="1:1" x14ac:dyDescent="0.25">
      <c r="A136" t="str">
        <f>'Base Blend Property Calculation'!A142</f>
        <v>THERMAmix SLW</v>
      </c>
    </row>
    <row r="137" spans="1:1" x14ac:dyDescent="0.25">
      <c r="A137" t="str">
        <f>'Base Blend Property Calculation'!A143</f>
        <v>THERMAmix THX</v>
      </c>
    </row>
    <row r="138" spans="1:1" x14ac:dyDescent="0.25">
      <c r="A138" t="str">
        <f>'Base Blend Property Calculation'!A144</f>
        <v>ThixLite HT (AB)</v>
      </c>
    </row>
    <row r="139" spans="1:1" x14ac:dyDescent="0.25">
      <c r="A139" t="str">
        <f>'Base Blend Property Calculation'!A145</f>
        <v>ThixLite HT (SK)</v>
      </c>
    </row>
    <row r="140" spans="1:1" x14ac:dyDescent="0.25">
      <c r="A140" t="str">
        <f>'Base Blend Property Calculation'!A146</f>
        <v>Sanseal Thermal</v>
      </c>
    </row>
    <row r="141" spans="1:1" x14ac:dyDescent="0.25">
      <c r="A141" t="str">
        <f>'Base Blend Property Calculation'!A147</f>
        <v>LDP-C-0119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B2:E21"/>
  <sheetViews>
    <sheetView workbookViewId="0">
      <selection activeCell="E19" sqref="E19"/>
    </sheetView>
  </sheetViews>
  <sheetFormatPr defaultRowHeight="15" x14ac:dyDescent="0.25"/>
  <cols>
    <col min="3" max="3" width="12.28515625" bestFit="1" customWidth="1"/>
    <col min="5" max="5" width="54.140625" bestFit="1" customWidth="1"/>
  </cols>
  <sheetData>
    <row r="2" spans="2:5" x14ac:dyDescent="0.25">
      <c r="B2" t="s">
        <v>580</v>
      </c>
    </row>
    <row r="4" spans="2:5" x14ac:dyDescent="0.25">
      <c r="C4" s="10" t="str">
        <f>IF('Bulk Plant Input'!A23="","",'Bulk Plant Input'!B23 &amp; "% " &amp; 'Bulk Plant Input'!A23)</f>
        <v>0.15% CFR-5</v>
      </c>
      <c r="D4" s="10"/>
      <c r="E4" s="10" t="str">
        <f>IF(C4="","",C4)</f>
        <v>0.15% CFR-5</v>
      </c>
    </row>
    <row r="5" spans="2:5" x14ac:dyDescent="0.25">
      <c r="C5" s="10" t="str">
        <f>IF('Bulk Plant Input'!A24="",""," + " &amp; 'Bulk Plant Input'!B24 &amp; "% " &amp; 'Bulk Plant Input'!A24)</f>
        <v xml:space="preserve"> + 0.6% CFL-4</v>
      </c>
      <c r="D5" s="10"/>
      <c r="E5" s="10" t="str">
        <f>IF(C5="","",C4 &amp;  C5)</f>
        <v>0.15% CFR-5 + 0.6% CFL-4</v>
      </c>
    </row>
    <row r="6" spans="2:5" x14ac:dyDescent="0.25">
      <c r="C6" s="10" t="str">
        <f>IF('Bulk Plant Input'!A25="",""," + " &amp; 'Bulk Plant Input'!B26 &amp; "% " &amp; 'Bulk Plant Input'!A25)</f>
        <v xml:space="preserve"> + 0.15% FWC-2</v>
      </c>
      <c r="D6" s="10"/>
      <c r="E6" s="10" t="str">
        <f>IF(C6="","",C4 &amp; C5 &amp;  C6)</f>
        <v>0.15% CFR-5 + 0.6% CFL-4 + 0.15% FWC-2</v>
      </c>
    </row>
    <row r="7" spans="2:5" x14ac:dyDescent="0.25">
      <c r="C7" s="10" t="e">
        <f>IF('Bulk Plant Input'!A26="",""," + " &amp; 'Bulk Plant Input'!#REF! &amp; "% " &amp; 'Bulk Plant Input'!A26)</f>
        <v>#REF!</v>
      </c>
      <c r="D7" s="10"/>
      <c r="E7" s="10" t="e">
        <f>IF(C7="","",$C$4 &amp; $C$5 &amp;  $C$6 &amp;  $C$7)</f>
        <v>#REF!</v>
      </c>
    </row>
    <row r="8" spans="2:5" x14ac:dyDescent="0.25">
      <c r="C8" s="10" t="str">
        <f>IF('Bulk Plant Input'!A27="",""," + " &amp; 'Bulk Plant Input'!B27 &amp; "% " &amp; 'Bulk Plant Input'!A27)</f>
        <v xml:space="preserve"> + 0.15% CDF-6P</v>
      </c>
      <c r="D8" s="10"/>
      <c r="E8" s="10" t="e">
        <f>IF(C8="","",$C$4 &amp;  $C$5  &amp; $C$6 &amp;  $C$7 &amp;  $C$8)</f>
        <v>#REF!</v>
      </c>
    </row>
    <row r="9" spans="2:5" x14ac:dyDescent="0.25">
      <c r="C9" s="10" t="str">
        <f>IF('Bulk Plant Input'!A28="",""," + " &amp; 'Bulk Plant Input'!B28 &amp; "% " &amp; 'Bulk Plant Input'!A28)</f>
        <v xml:space="preserve"> + 0% ASM-3</v>
      </c>
      <c r="D9" s="10"/>
      <c r="E9" s="10" t="e">
        <f>IF(C9="","",$C$4 &amp;  $C$5 &amp;  $C$6 &amp;  $C$7 &amp;  $C$8&amp; $C$9)</f>
        <v>#REF!</v>
      </c>
    </row>
    <row r="10" spans="2:5" x14ac:dyDescent="0.25">
      <c r="C10" s="10" t="str">
        <f>IF('Bulk Plant Input'!A29="",""," + " &amp; 'Bulk Plant Input'!B29 &amp; "% " &amp; 'Bulk Plant Input'!A29)</f>
        <v/>
      </c>
      <c r="D10" s="10"/>
      <c r="E10" s="10" t="str">
        <f>IF(C10="","",$C$4 &amp; $C$5&amp;$C$6&amp;$C$7&amp;$C$8&amp;$C$9&amp;$C$10)</f>
        <v/>
      </c>
    </row>
    <row r="11" spans="2:5" x14ac:dyDescent="0.25">
      <c r="C11" s="10" t="str">
        <f>IF('Bulk Plant Input'!A30="",""," + " &amp; 'Bulk Plant Input'!B30 &amp; "% " &amp; 'Bulk Plant Input'!A30)</f>
        <v/>
      </c>
      <c r="D11" s="10"/>
      <c r="E11" s="10" t="str">
        <f>IF(C11="","",$C$4 &amp; $C$5&amp;$C$6&amp;$C$7&amp;$C$8&amp;$C$9&amp;$C$10&amp;C11)</f>
        <v/>
      </c>
    </row>
    <row r="12" spans="2:5" x14ac:dyDescent="0.25">
      <c r="C12" s="10" t="str">
        <f>IF('Bulk Plant Input'!A31="",""," + " &amp; 'Bulk Plant Input'!B31 &amp; "% " &amp; 'Bulk Plant Input'!A31)</f>
        <v/>
      </c>
      <c r="D12" s="10"/>
      <c r="E12" s="10" t="str">
        <f>IF(C12="","",$C$4 &amp; $C$5&amp;$C$6&amp;$C$7&amp;$C$8&amp;$C$9&amp;$C$10&amp;$C$11&amp;$C$12)</f>
        <v/>
      </c>
    </row>
    <row r="13" spans="2:5" x14ac:dyDescent="0.25">
      <c r="C13" s="10" t="str">
        <f>IF('Bulk Plant Input'!A32="",""," + " &amp; 'Bulk Plant Input'!B32 &amp; "% " &amp; 'Bulk Plant Input'!A32)</f>
        <v/>
      </c>
      <c r="D13" s="10"/>
      <c r="E13" s="10" t="str">
        <f>IF(C13="","",$C$4 &amp; $C$5&amp;$C$6&amp;$C$7&amp;$C$8&amp;$C$9&amp;$C$10&amp;$C$11&amp;$C$12&amp;$C$13)</f>
        <v/>
      </c>
    </row>
    <row r="14" spans="2:5" x14ac:dyDescent="0.25">
      <c r="C14" s="10" t="str">
        <f>IF('Bulk Plant Input'!A33="",""," + " &amp; 'Bulk Plant Input'!B33 &amp; "% " &amp; 'Bulk Plant Input'!A33)</f>
        <v/>
      </c>
      <c r="D14" s="10"/>
      <c r="E14" s="10" t="str">
        <f>IF(C14="","",$C$4 &amp; $C$5&amp;$C$6&amp;$C$7&amp;$C$8&amp;$C$9&amp;$C$10&amp;$C$11&amp;$C$12&amp;$C$13&amp;$C$14)</f>
        <v/>
      </c>
    </row>
    <row r="15" spans="2:5" x14ac:dyDescent="0.25">
      <c r="C15" s="10" t="str">
        <f>IF('Bulk Plant Input'!A34="",""," + " &amp; 'Bulk Plant Input'!B34 &amp; "% " &amp; 'Bulk Plant Input'!A34)</f>
        <v/>
      </c>
      <c r="D15" s="10"/>
      <c r="E15" s="10" t="str">
        <f>IF(C15="","",$C$4 &amp; $C$5&amp;$C$6&amp;$C$7&amp;$C$8&amp;$C$9&amp;$C$10&amp;$C$11&amp;$C$12&amp;$C$13&amp;$C$14&amp;$C$15)</f>
        <v/>
      </c>
    </row>
    <row r="16" spans="2:5" x14ac:dyDescent="0.25">
      <c r="C16" s="10" t="str">
        <f>IF('Bulk Plant Input'!A35="",""," + " &amp; 'Bulk Plant Input'!B35 &amp; "% " &amp; 'Bulk Plant Input'!A35)</f>
        <v/>
      </c>
      <c r="D16" s="10"/>
      <c r="E16" s="10" t="str">
        <f>IF(C16="","",$C$4 &amp; $C$5&amp;$C$6&amp;$C$7&amp;$C$8&amp;$C$9&amp;$C$10&amp;$C$11&amp;$C$12&amp;$C$13&amp;$C$14&amp;$C$15&amp;$C$16)</f>
        <v/>
      </c>
    </row>
    <row r="17" spans="3:5" x14ac:dyDescent="0.25">
      <c r="C17" s="10" t="str">
        <f>IF('Bulk Plant Input'!A36="",""," + " &amp; 'Bulk Plant Input'!B36 &amp; "% " &amp; 'Bulk Plant Input'!A36)</f>
        <v/>
      </c>
      <c r="D17" s="10"/>
      <c r="E17" s="10" t="str">
        <f>IF(C17="","",$C$4 &amp; $C$5&amp;$C$6&amp;$C$7&amp;$C$8&amp;$C$9&amp;$C$10&amp;$C$11&amp;$C$12&amp;$C$13&amp;$C$14&amp;$C$15&amp;$C$16&amp;$C$17)</f>
        <v/>
      </c>
    </row>
    <row r="18" spans="3:5" x14ac:dyDescent="0.25">
      <c r="C18" s="10" t="str">
        <f>IF('Bulk Plant Input'!A37="",""," + " &amp; 'Bulk Plant Input'!B37 &amp; "% " &amp; 'Bulk Plant Input'!A37)</f>
        <v/>
      </c>
      <c r="D18" s="10"/>
      <c r="E18" s="10" t="str">
        <f>IF(C18="","",$C$4 &amp; $C$5&amp;$C$6&amp;$C$7&amp;$C$8&amp;$C$9&amp;$C$10&amp;$C$11&amp;$C$12&amp;$C$13&amp;$C$14&amp;$C$15&amp;$C$16&amp;$C$17&amp;$C$18)</f>
        <v/>
      </c>
    </row>
    <row r="21" spans="3:5" x14ac:dyDescent="0.25">
      <c r="E21" t="e">
        <f>IF(E18&lt;&gt;"",E18,IF(E17&lt;&gt;"",E17,IF(E16&lt;&gt;"",E16,IF(E15&lt;&gt;"",E15,IF(E14&lt;&gt;"",E14,IF(E13&lt;&gt;"",E13,IF(E12&lt;&gt;"",E12,IF(E11&lt;&gt;"",E11,IF(E10&lt;&gt;"",E10,IF(E9&lt;&gt;"",E9,IF(E8&lt;&gt;"",E8,IF(E7&lt;&gt;"",E7,IF(E6&lt;&gt;"",E6,"")))))))))))))</f>
        <v>#REF!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J16"/>
  <sheetViews>
    <sheetView workbookViewId="0">
      <selection activeCell="E19" sqref="E19"/>
    </sheetView>
  </sheetViews>
  <sheetFormatPr defaultRowHeight="15" x14ac:dyDescent="0.25"/>
  <cols>
    <col min="5" max="5" width="23.28515625" customWidth="1"/>
  </cols>
  <sheetData>
    <row r="1" spans="3:10" x14ac:dyDescent="0.25">
      <c r="C1" t="s">
        <v>1793</v>
      </c>
      <c r="E1" s="442" t="s">
        <v>560</v>
      </c>
      <c r="F1" s="442"/>
      <c r="G1" s="442"/>
    </row>
    <row r="2" spans="3:10" ht="15.75" customHeight="1" x14ac:dyDescent="0.25">
      <c r="C2">
        <v>4.54</v>
      </c>
      <c r="E2" s="209" t="s">
        <v>551</v>
      </c>
      <c r="F2" s="15">
        <v>15.9</v>
      </c>
      <c r="G2" s="10" t="s">
        <v>558</v>
      </c>
      <c r="J2" t="s">
        <v>577</v>
      </c>
    </row>
    <row r="3" spans="3:10" x14ac:dyDescent="0.25">
      <c r="C3">
        <v>18.14</v>
      </c>
      <c r="E3" s="209" t="s">
        <v>213</v>
      </c>
      <c r="F3" s="15">
        <v>15.9</v>
      </c>
      <c r="G3" s="10" t="s">
        <v>558</v>
      </c>
      <c r="J3" t="s">
        <v>579</v>
      </c>
    </row>
    <row r="4" spans="3:10" ht="15.75" customHeight="1" x14ac:dyDescent="0.25">
      <c r="C4">
        <v>20</v>
      </c>
      <c r="E4" s="209" t="s">
        <v>552</v>
      </c>
      <c r="F4" s="15">
        <v>15.9</v>
      </c>
      <c r="G4" s="10" t="s">
        <v>558</v>
      </c>
      <c r="J4" t="s">
        <v>578</v>
      </c>
    </row>
    <row r="5" spans="3:10" x14ac:dyDescent="0.25">
      <c r="C5">
        <v>22.68</v>
      </c>
      <c r="E5" s="209" t="s">
        <v>553</v>
      </c>
      <c r="F5" s="15">
        <v>15.9</v>
      </c>
      <c r="G5" s="10" t="s">
        <v>558</v>
      </c>
    </row>
    <row r="6" spans="3:10" ht="15.75" customHeight="1" x14ac:dyDescent="0.25">
      <c r="C6">
        <v>22.7</v>
      </c>
      <c r="E6" s="209" t="s">
        <v>554</v>
      </c>
      <c r="F6" s="15">
        <v>15.9</v>
      </c>
      <c r="G6" s="10" t="s">
        <v>558</v>
      </c>
    </row>
    <row r="7" spans="3:10" x14ac:dyDescent="0.25">
      <c r="C7">
        <v>25</v>
      </c>
      <c r="E7" s="210" t="s">
        <v>555</v>
      </c>
      <c r="F7" s="15">
        <v>30</v>
      </c>
      <c r="G7" s="10" t="s">
        <v>558</v>
      </c>
    </row>
    <row r="8" spans="3:10" ht="15.75" customHeight="1" x14ac:dyDescent="0.25">
      <c r="E8" s="211" t="s">
        <v>556</v>
      </c>
      <c r="F8" s="15">
        <v>30</v>
      </c>
      <c r="G8" s="10" t="s">
        <v>558</v>
      </c>
    </row>
    <row r="9" spans="3:10" x14ac:dyDescent="0.25">
      <c r="E9" s="211" t="s">
        <v>557</v>
      </c>
      <c r="F9" s="15">
        <v>28.8</v>
      </c>
      <c r="G9" s="10" t="s">
        <v>558</v>
      </c>
    </row>
    <row r="10" spans="3:10" ht="15.75" customHeight="1" x14ac:dyDescent="0.25">
      <c r="G10" t="s">
        <v>559</v>
      </c>
    </row>
    <row r="14" spans="3:10" ht="15.75" customHeight="1" x14ac:dyDescent="0.25"/>
    <row r="16" spans="3:10" ht="15.75" customHeight="1" x14ac:dyDescent="0.25"/>
  </sheetData>
  <mergeCells count="1">
    <mergeCell ref="E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 tint="0.59999389629810485"/>
    <pageSetUpPr fitToPage="1"/>
  </sheetPr>
  <dimension ref="A1:Q101"/>
  <sheetViews>
    <sheetView view="pageBreakPreview" zoomScale="60" zoomScaleNormal="100" workbookViewId="0">
      <selection activeCell="J16" sqref="J16"/>
    </sheetView>
  </sheetViews>
  <sheetFormatPr defaultRowHeight="15" x14ac:dyDescent="0.25"/>
  <cols>
    <col min="1" max="1" width="11.28515625" style="165" customWidth="1"/>
    <col min="2" max="3" width="9.7109375" style="165" customWidth="1"/>
    <col min="4" max="4" width="12.42578125" style="165" customWidth="1"/>
    <col min="5" max="5" width="12.28515625" style="165" customWidth="1"/>
    <col min="6" max="6" width="12.5703125" style="165" customWidth="1"/>
    <col min="7" max="7" width="11.140625" style="165" customWidth="1"/>
    <col min="8" max="8" width="10.85546875" style="165" customWidth="1"/>
    <col min="9" max="9" width="12" style="165" customWidth="1"/>
    <col min="10" max="10" width="12.7109375" style="165" customWidth="1"/>
    <col min="11" max="11" width="21.5703125" style="165" customWidth="1"/>
    <col min="12" max="13" width="9.140625" style="165"/>
    <col min="14" max="14" width="25.140625" style="165" customWidth="1"/>
    <col min="15" max="16384" width="9.140625" style="165"/>
  </cols>
  <sheetData>
    <row r="1" spans="1:17" x14ac:dyDescent="0.25">
      <c r="A1" s="230" t="str">
        <f>'Bulk Plant Input'!A2</f>
        <v>Version 2.8.66</v>
      </c>
      <c r="F1" s="166"/>
      <c r="G1" s="166"/>
      <c r="H1" s="161"/>
      <c r="I1" s="161"/>
      <c r="J1" s="161"/>
    </row>
    <row r="2" spans="1:17" ht="39.75" customHeight="1" x14ac:dyDescent="0.25">
      <c r="A2" s="167" t="s">
        <v>196</v>
      </c>
      <c r="B2" s="458">
        <f ca="1">IF('Bulk Plant Input'!B6="","",'Bulk Plant Input'!B6)</f>
        <v>43929</v>
      </c>
      <c r="C2" s="458"/>
      <c r="D2" s="458"/>
      <c r="E2" s="389"/>
      <c r="F2" s="167" t="s">
        <v>197</v>
      </c>
      <c r="G2" s="461" t="str">
        <f>IF('Bulk Plant Input'!B7="","",'Bulk Plant Input'!B7)</f>
        <v/>
      </c>
      <c r="H2" s="461"/>
      <c r="I2" s="161"/>
      <c r="J2" s="249" t="s">
        <v>1912</v>
      </c>
      <c r="K2" s="391" t="str">
        <f>IF('Bulk Plant Input'!B11="","",'Bulk Plant Input'!B11)</f>
        <v/>
      </c>
    </row>
    <row r="3" spans="1:17" ht="20.100000000000001" customHeight="1" x14ac:dyDescent="0.25">
      <c r="A3" s="167" t="s">
        <v>502</v>
      </c>
      <c r="B3" s="459" t="str">
        <f>IF('Bulk Plant Input'!B3="","",'Bulk Plant Input'!B3)</f>
        <v/>
      </c>
      <c r="C3" s="459"/>
      <c r="D3" s="459"/>
      <c r="E3" s="390"/>
      <c r="F3" s="167" t="s">
        <v>613</v>
      </c>
      <c r="G3" s="460" t="str">
        <f>IF('Bulk Plant Input'!D12="","",'Bulk Plant Input'!D12)</f>
        <v/>
      </c>
      <c r="H3" s="460"/>
      <c r="I3" s="161"/>
      <c r="J3" s="167" t="s">
        <v>1911</v>
      </c>
      <c r="K3" s="392" t="str">
        <f>IF('Bulk Plant Input'!B11="","Enter Job Type",IF('Bulk Plant Input'!B11="Enter Job Type","Enter Job Type",VLOOKUP(K2,'Job Type Mapping'!$A$1:$F$63,4,FALSE)))</f>
        <v>Enter Job Type</v>
      </c>
    </row>
    <row r="4" spans="1:17" ht="20.100000000000001" customHeight="1" x14ac:dyDescent="0.25">
      <c r="A4" s="167" t="s">
        <v>503</v>
      </c>
      <c r="B4" s="460" t="str">
        <f>IF('Bulk Plant Input'!B4="","",'Bulk Plant Input'!B4)</f>
        <v/>
      </c>
      <c r="C4" s="460"/>
      <c r="D4" s="460"/>
      <c r="F4" s="167" t="s">
        <v>614</v>
      </c>
      <c r="G4" s="460" t="str">
        <f>IF('Bulk Plant Input'!D13="","",'Bulk Plant Input'!D13)</f>
        <v/>
      </c>
      <c r="H4" s="460"/>
      <c r="I4" s="161"/>
      <c r="J4" s="161"/>
      <c r="K4" s="392" t="str">
        <f>IF('Bulk Plant Input'!B11="","Enter Job Type",IF('Bulk Plant Input'!B11="Enter Job Type","Enter Job Type",VLOOKUP(K2,'Job Type Mapping'!$A$1:$F$63,2,FALSE)))</f>
        <v>Enter Job Type</v>
      </c>
    </row>
    <row r="5" spans="1:17" ht="20.100000000000001" customHeight="1" thickBot="1" x14ac:dyDescent="0.3">
      <c r="A5" s="170"/>
      <c r="B5" s="170"/>
      <c r="C5" s="170"/>
      <c r="D5" s="170"/>
      <c r="E5" s="170"/>
      <c r="F5" s="231" t="s">
        <v>615</v>
      </c>
      <c r="G5" s="462"/>
      <c r="H5" s="462"/>
      <c r="I5" s="388"/>
      <c r="J5" s="231" t="s">
        <v>1914</v>
      </c>
      <c r="K5" s="393" t="str">
        <f>IF('Bulk Plant Input'!D14="","Enter Call Sheet #",'Bulk Plant Input'!D14)</f>
        <v>Enter Call Sheet #</v>
      </c>
      <c r="N5" s="171"/>
    </row>
    <row r="6" spans="1:17" ht="7.5" customHeight="1" x14ac:dyDescent="0.25">
      <c r="N6" s="171"/>
      <c r="O6" s="172"/>
      <c r="P6" s="171"/>
      <c r="Q6" s="171"/>
    </row>
    <row r="7" spans="1:17" ht="15.75" x14ac:dyDescent="0.25">
      <c r="A7" s="465" t="str">
        <f>IF('Bulk Plant Input'!$A$19="","",'Bulk Plant Input'!$A$19)</f>
        <v>0:1:0 'G'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  <c r="L7" s="173"/>
      <c r="M7" s="173"/>
      <c r="N7" s="174"/>
      <c r="O7" s="175"/>
      <c r="Q7" s="171"/>
    </row>
    <row r="8" spans="1:17" ht="7.5" customHeight="1" x14ac:dyDescent="0.25">
      <c r="A8" s="176"/>
      <c r="B8" s="161"/>
      <c r="C8" s="161"/>
      <c r="D8" s="161"/>
      <c r="E8" s="161"/>
      <c r="F8" s="177"/>
      <c r="L8" s="173"/>
      <c r="M8" s="173"/>
      <c r="Q8" s="171"/>
    </row>
    <row r="9" spans="1:17" ht="15.75" customHeight="1" x14ac:dyDescent="0.25">
      <c r="A9" s="176"/>
      <c r="B9" s="178" t="str">
        <f>IF('Bulk Plant Input'!A23="","",'Bulk Plant Input'!$A23)</f>
        <v>CFR-5</v>
      </c>
      <c r="C9" s="179">
        <f>IF('Bulk Plant Input'!A23="","",'Bulk Plant Input'!$B23)</f>
        <v>0.15</v>
      </c>
      <c r="D9" s="180" t="str">
        <f>IF(B9="","", VLOOKUP(B9,'SPECIFIC GRAVITIES'!$A$4:$C$138,3,FALSE))</f>
        <v>%</v>
      </c>
      <c r="E9" s="178" t="str">
        <f>IF('Bulk Plant Input'!A29="","",'Bulk Plant Input'!$A29)</f>
        <v/>
      </c>
      <c r="F9" s="179" t="str">
        <f>IF('Bulk Plant Input'!A29="","",'Bulk Plant Input'!$B29)</f>
        <v/>
      </c>
      <c r="G9" s="180" t="str">
        <f>IF(E9="","", VLOOKUP(E9,'SPECIFIC GRAVITIES'!$A$4:$C$138,3,FALSE))</f>
        <v/>
      </c>
      <c r="H9" s="178" t="str">
        <f>IF('Bulk Plant Input'!D35="","",'Bulk Plant Input'!$A35)</f>
        <v/>
      </c>
      <c r="I9" s="179" t="str">
        <f>IF('Bulk Plant Input'!D35="","",'Bulk Plant Input'!$B35)</f>
        <v/>
      </c>
      <c r="J9" s="180" t="str">
        <f>IF(H9="","", VLOOKUP(H9,'SPECIFIC GRAVITIES'!$A$4:$C$138,3,FALSE))</f>
        <v/>
      </c>
      <c r="L9" s="173"/>
      <c r="M9" s="173"/>
      <c r="Q9" s="171"/>
    </row>
    <row r="10" spans="1:17" x14ac:dyDescent="0.25">
      <c r="A10" s="173"/>
      <c r="B10" s="178" t="str">
        <f>IF('Bulk Plant Input'!A24="","",'Bulk Plant Input'!$A24)</f>
        <v>CFL-4</v>
      </c>
      <c r="C10" s="179">
        <f>IF('Bulk Plant Input'!A24="","",'Bulk Plant Input'!$B24)</f>
        <v>0.6</v>
      </c>
      <c r="D10" s="180" t="str">
        <f>IF(B10="","", VLOOKUP(B10,'SPECIFIC GRAVITIES'!$A$4:$C$138,3,FALSE))</f>
        <v>%</v>
      </c>
      <c r="E10" s="178" t="str">
        <f>IF('Bulk Plant Input'!A30="","",'Bulk Plant Input'!$A30)</f>
        <v/>
      </c>
      <c r="F10" s="179" t="str">
        <f>IF('Bulk Plant Input'!A30="","",'Bulk Plant Input'!$B30)</f>
        <v/>
      </c>
      <c r="G10" s="180" t="str">
        <f>IF(E10="","", VLOOKUP(E10,'SPECIFIC GRAVITIES'!$A$4:$C$138,3,FALSE))</f>
        <v/>
      </c>
      <c r="H10" s="178" t="str">
        <f>IF('Bulk Plant Input'!D36="","",'Bulk Plant Input'!$A36)</f>
        <v/>
      </c>
      <c r="I10" s="181" t="str">
        <f>IF('Bulk Plant Input'!D36="","",'Bulk Plant Input'!$B36)</f>
        <v/>
      </c>
      <c r="J10" s="180" t="str">
        <f>IF(H10="","", VLOOKUP(H10,'SPECIFIC GRAVITIES'!$A$4:$C$138,3,FALSE))</f>
        <v/>
      </c>
      <c r="L10" s="173"/>
      <c r="M10" s="173"/>
      <c r="Q10" s="171"/>
    </row>
    <row r="11" spans="1:17" x14ac:dyDescent="0.25">
      <c r="A11" s="173"/>
      <c r="B11" s="178" t="str">
        <f>IF('Bulk Plant Input'!A25="","",'Bulk Plant Input'!$A25)</f>
        <v>FWC-2</v>
      </c>
      <c r="C11" s="179">
        <f>IF('Bulk Plant Input'!A25="","",'Bulk Plant Input'!$B25)</f>
        <v>2</v>
      </c>
      <c r="D11" s="180" t="str">
        <f>IF(B11="","", VLOOKUP(B11,'SPECIFIC GRAVITIES'!$A$4:$C$138,3,FALSE))</f>
        <v>%</v>
      </c>
      <c r="E11" s="178" t="str">
        <f>IF('Bulk Plant Input'!A31="","",'Bulk Plant Input'!$A31)</f>
        <v/>
      </c>
      <c r="F11" s="179" t="str">
        <f>IF('Bulk Plant Input'!A31="","",'Bulk Plant Input'!$B31)</f>
        <v/>
      </c>
      <c r="G11" s="180" t="str">
        <f>IF(E11="","", VLOOKUP(E11,'SPECIFIC GRAVITIES'!$A$4:$C$138,3,FALSE))</f>
        <v/>
      </c>
      <c r="H11" s="178" t="str">
        <f>IF('Bulk Plant Input'!D37="","",'Bulk Plant Input'!$A37)</f>
        <v/>
      </c>
      <c r="I11" s="181" t="str">
        <f>IF('Bulk Plant Input'!D37="","",'Bulk Plant Input'!$B37)</f>
        <v/>
      </c>
      <c r="J11" s="180" t="str">
        <f>IF(H11="","", VLOOKUP(H11,'SPECIFIC GRAVITIES'!$A$4:$C$138,3,FALSE))</f>
        <v/>
      </c>
      <c r="L11" s="173"/>
      <c r="M11" s="173"/>
      <c r="Q11" s="171"/>
    </row>
    <row r="12" spans="1:17" ht="15" customHeight="1" x14ac:dyDescent="0.25">
      <c r="A12" s="173"/>
      <c r="B12" s="178" t="str">
        <f>IF('Bulk Plant Input'!A26="","",'Bulk Plant Input'!$A26)</f>
        <v>LTR</v>
      </c>
      <c r="C12" s="179">
        <f>IF('Bulk Plant Input'!A26="","",'Bulk Plant Input'!$B26)</f>
        <v>0.15</v>
      </c>
      <c r="D12" s="180" t="str">
        <f>IF(B12="","", VLOOKUP(B12,'SPECIFIC GRAVITIES'!$A$4:$C$138,3,FALSE))</f>
        <v>%</v>
      </c>
      <c r="E12" s="178" t="str">
        <f>IF('Bulk Plant Input'!A32="","",'Bulk Plant Input'!$A32)</f>
        <v/>
      </c>
      <c r="F12" s="179" t="str">
        <f>IF('Bulk Plant Input'!A32="","",'Bulk Plant Input'!$B32)</f>
        <v/>
      </c>
      <c r="G12" s="180" t="str">
        <f>IF(E12="","", VLOOKUP(E12,'SPECIFIC GRAVITIES'!$A$4:$C$138,3,FALSE))</f>
        <v/>
      </c>
      <c r="H12" s="178" t="str">
        <f>IF('Bulk Plant Input'!A43="", "",'Bulk Plant Input'!A43)</f>
        <v/>
      </c>
      <c r="I12" s="181" t="str">
        <f>IF('Bulk Plant Input'!A43="","",'Bulk Plant Input'!B43)</f>
        <v/>
      </c>
      <c r="J12" s="178" t="str">
        <f>IF(H12="","", VLOOKUP(H12,'SPECIFIC GRAVITIES'!$A$4:$C$138,3,FALSE))</f>
        <v/>
      </c>
      <c r="L12" s="173"/>
      <c r="M12" s="173"/>
      <c r="Q12" s="171"/>
    </row>
    <row r="13" spans="1:17" x14ac:dyDescent="0.25">
      <c r="A13" s="173"/>
      <c r="B13" s="178" t="str">
        <f>IF('Bulk Plant Input'!A27="","",'Bulk Plant Input'!$A27)</f>
        <v>CDF-6P</v>
      </c>
      <c r="C13" s="179">
        <f>IF('Bulk Plant Input'!A27="","",'Bulk Plant Input'!$B27)</f>
        <v>0.15</v>
      </c>
      <c r="D13" s="180" t="str">
        <f>IF(B13="","", VLOOKUP(B13,'SPECIFIC GRAVITIES'!$A$4:$C$138,3,FALSE))</f>
        <v>%</v>
      </c>
      <c r="E13" s="178" t="str">
        <f>IF('Bulk Plant Input'!D33="","",'Bulk Plant Input'!$A33)</f>
        <v/>
      </c>
      <c r="F13" s="179" t="str">
        <f>IF('Bulk Plant Input'!D33="","",'Bulk Plant Input'!$B33)</f>
        <v/>
      </c>
      <c r="G13" s="180" t="str">
        <f>IF(E13="","", VLOOKUP(E13,'SPECIFIC GRAVITIES'!$A$4:$C$138,3,FALSE))</f>
        <v/>
      </c>
      <c r="H13" s="178" t="str">
        <f>IF('Bulk Plant Input'!A44="", "",'Bulk Plant Input'!A44)</f>
        <v/>
      </c>
      <c r="I13" s="179" t="str">
        <f>IF('Bulk Plant Input'!A44="","",'Bulk Plant Input'!B44)</f>
        <v/>
      </c>
      <c r="J13" s="178" t="str">
        <f>IF(H13="","", VLOOKUP(H13,'SPECIFIC GRAVITIES'!$A$4:$C$138,3,FALSE))</f>
        <v/>
      </c>
      <c r="L13" s="173"/>
      <c r="M13" s="173"/>
      <c r="Q13" s="171"/>
    </row>
    <row r="14" spans="1:17" x14ac:dyDescent="0.25">
      <c r="A14" s="173"/>
      <c r="B14" s="178" t="str">
        <f>IF('Bulk Plant Input'!A28="","",'Bulk Plant Input'!$A28)</f>
        <v>ASM-3</v>
      </c>
      <c r="C14" s="179">
        <f>IF('Bulk Plant Input'!A28="","",'Bulk Plant Input'!$B28)</f>
        <v>0</v>
      </c>
      <c r="D14" s="180" t="str">
        <f>IF(B14="","", VLOOKUP(B14,'SPECIFIC GRAVITIES'!$A$4:$C$138,3,FALSE))</f>
        <v>%</v>
      </c>
      <c r="E14" s="178" t="str">
        <f>IF('Bulk Plant Input'!D34="","",'Bulk Plant Input'!$A34)</f>
        <v/>
      </c>
      <c r="F14" s="179" t="str">
        <f>IF('Bulk Plant Input'!D34="","",'Bulk Plant Input'!$B34)</f>
        <v/>
      </c>
      <c r="G14" s="180" t="str">
        <f>IF(E14="","", VLOOKUP(E14,'SPECIFIC GRAVITIES'!$A$4:$C$138,3,FALSE))</f>
        <v/>
      </c>
      <c r="J14" s="178" t="str">
        <f>IF(I14="","", VLOOKUP(I14,'SPECIFIC GRAVITIES'!$A$4:$C$138,3,FALSE))</f>
        <v/>
      </c>
      <c r="L14" s="173"/>
      <c r="M14" s="173"/>
      <c r="Q14" s="171"/>
    </row>
    <row r="15" spans="1:17" x14ac:dyDescent="0.25">
      <c r="A15" s="173"/>
      <c r="D15" s="178"/>
      <c r="K15" s="173"/>
      <c r="L15" s="173"/>
      <c r="M15" s="173"/>
      <c r="P15" s="182"/>
      <c r="Q15" s="171"/>
    </row>
    <row r="16" spans="1:17" ht="15" customHeight="1" x14ac:dyDescent="0.25">
      <c r="A16" s="173"/>
      <c r="C16" s="167" t="s">
        <v>185</v>
      </c>
      <c r="D16" s="183">
        <f>IF('Bulk Plant Input'!B9="","",'Bulk Plant Input'!B9)</f>
        <v>1</v>
      </c>
      <c r="E16" s="184"/>
      <c r="F16" s="167" t="s">
        <v>468</v>
      </c>
      <c r="G16" s="185">
        <f>'Bulk Plant Input'!B8</f>
        <v>26</v>
      </c>
      <c r="I16" s="167" t="s">
        <v>470</v>
      </c>
      <c r="J16" s="418">
        <f>('Bulk Plant Input'!B8/'Bulk Plant Input'!B14)+SUM('Bulk Plant Input'!F23:F37)</f>
        <v>20.390816515406232</v>
      </c>
      <c r="K16" s="173"/>
      <c r="L16" s="443" t="str">
        <f>IF('Bulk Plant Input'!C10 = "ENTER PROGRAMMED BLEND DENSITY HERE", "PROGRAMMED DENSITY WAS NOT ENTERED", 'Bulk Plant Input'!C10)</f>
        <v>BLEND DENSITY OUTSIDE OPTIMAL RANGE - CONFIRM BLEND PRIOR TO LOADING</v>
      </c>
      <c r="M16" s="443"/>
      <c r="N16" s="443"/>
      <c r="O16" s="443"/>
      <c r="P16" s="443"/>
      <c r="Q16" s="443"/>
    </row>
    <row r="17" spans="1:17" ht="15" customHeight="1" x14ac:dyDescent="0.25">
      <c r="A17" s="173"/>
      <c r="C17" s="167" t="s">
        <v>465</v>
      </c>
      <c r="D17" s="186">
        <f>'Bulk Plant Input'!B13</f>
        <v>1030.5</v>
      </c>
      <c r="E17" s="178"/>
      <c r="F17" s="167" t="s">
        <v>469</v>
      </c>
      <c r="G17" s="417">
        <f>'Bulk Plant Input'!B15</f>
        <v>26.792999999999999</v>
      </c>
      <c r="H17" s="463" t="s">
        <v>186</v>
      </c>
      <c r="I17" s="463"/>
      <c r="J17" s="464" t="str">
        <f>IF('Bulk Plant Input'!B10="","NOT ENTERED", "       "&amp;'Bulk Plant Input'!B10)</f>
        <v xml:space="preserve">       1885</v>
      </c>
      <c r="K17" s="464"/>
      <c r="L17" s="443"/>
      <c r="M17" s="443"/>
      <c r="N17" s="443"/>
      <c r="O17" s="443"/>
      <c r="P17" s="443"/>
      <c r="Q17" s="443"/>
    </row>
    <row r="18" spans="1:17" ht="15" customHeight="1" x14ac:dyDescent="0.25">
      <c r="A18" s="173"/>
      <c r="D18" s="178"/>
      <c r="K18" s="173"/>
      <c r="L18" s="443"/>
      <c r="M18" s="443"/>
      <c r="N18" s="443"/>
      <c r="O18" s="443"/>
      <c r="P18" s="443"/>
      <c r="Q18" s="443"/>
    </row>
    <row r="19" spans="1:17" ht="33.75" customHeight="1" x14ac:dyDescent="0.55000000000000004">
      <c r="A19" s="452" t="str">
        <f>'Bulk Plant Input'!A20</f>
        <v/>
      </c>
      <c r="B19" s="452"/>
      <c r="C19" s="452"/>
      <c r="D19" s="452"/>
      <c r="E19" s="452"/>
      <c r="F19" s="452"/>
      <c r="G19" s="452"/>
      <c r="H19" s="452"/>
      <c r="I19" s="452"/>
      <c r="J19" s="452"/>
      <c r="K19" s="452"/>
      <c r="L19" s="443"/>
      <c r="M19" s="443"/>
      <c r="N19" s="443"/>
      <c r="O19" s="443"/>
      <c r="P19" s="443"/>
      <c r="Q19" s="443"/>
    </row>
    <row r="20" spans="1:17" ht="21" x14ac:dyDescent="0.35">
      <c r="B20" s="188" t="s">
        <v>459</v>
      </c>
      <c r="C20" s="189"/>
      <c r="D20" s="190" t="s">
        <v>198</v>
      </c>
      <c r="E20" s="191"/>
      <c r="F20" s="191"/>
      <c r="G20" s="191"/>
      <c r="H20" s="191"/>
      <c r="I20" s="191"/>
      <c r="J20" s="191"/>
      <c r="L20" s="443" t="str">
        <f>IF('Max Add &amp; Blend Densities'!L30=0,"", "ABNORMAL ADDITIVE LOADING - CONFIRM WITH CLIENT SOLUTIONS PRIOR TO BLENDING")</f>
        <v>ABNORMAL ADDITIVE LOADING - CONFIRM WITH CLIENT SOLUTIONS PRIOR TO BLENDING</v>
      </c>
      <c r="M20" s="443"/>
      <c r="N20" s="443"/>
      <c r="O20" s="443"/>
      <c r="P20" s="443"/>
      <c r="Q20" s="443"/>
    </row>
    <row r="21" spans="1:17" ht="34.5" customHeight="1" x14ac:dyDescent="0.25">
      <c r="B21" s="450" t="s">
        <v>199</v>
      </c>
      <c r="C21" s="451"/>
      <c r="D21" s="192" t="s">
        <v>206</v>
      </c>
      <c r="E21" s="453" t="s">
        <v>207</v>
      </c>
      <c r="F21" s="454"/>
      <c r="G21" s="448" t="s">
        <v>200</v>
      </c>
      <c r="H21" s="449"/>
      <c r="I21" s="245" t="s">
        <v>1795</v>
      </c>
      <c r="J21" s="192" t="s">
        <v>1792</v>
      </c>
      <c r="L21" s="443"/>
      <c r="M21" s="443"/>
      <c r="N21" s="443"/>
      <c r="O21" s="443"/>
      <c r="P21" s="443"/>
      <c r="Q21" s="443"/>
    </row>
    <row r="22" spans="1:17" ht="34.5" hidden="1" customHeight="1" x14ac:dyDescent="0.3">
      <c r="B22" s="444" t="str">
        <f>INDEX('Base Blend Property Calculation'!$C$6:$BF$6,1,'Base Blend Property Calculation'!BT7)</f>
        <v>Class A</v>
      </c>
      <c r="C22" s="445"/>
      <c r="D22" s="153">
        <f>VLOOKUP('Bulk Plant Input'!$A$19, 'Base Blend Property Calculation'!$A$6:$BF$152,'Base Blend Property Calculation'!BT9,FALSE)*'Bulk Plant Input'!$B$8</f>
        <v>0</v>
      </c>
      <c r="E22" s="446"/>
      <c r="F22" s="447"/>
      <c r="G22" s="446"/>
      <c r="H22" s="447"/>
      <c r="I22" s="160"/>
      <c r="J22" s="248" t="str">
        <f>IF(D22="","",IF(I22="","",D22/I22))</f>
        <v/>
      </c>
    </row>
    <row r="23" spans="1:17" ht="34.5" hidden="1" customHeight="1" x14ac:dyDescent="0.3">
      <c r="B23" s="444" t="str">
        <f>INDEX('Base Blend Property Calculation'!$C$6:$BF$6,1,'Base Blend Property Calculation'!BT8)</f>
        <v>Class C</v>
      </c>
      <c r="C23" s="445"/>
      <c r="D23" s="153">
        <f>VLOOKUP('Bulk Plant Input'!$A$19, 'Base Blend Property Calculation'!$A$6:$BF$152,'Base Blend Property Calculation'!BT10,FALSE)*'Bulk Plant Input'!$B$8</f>
        <v>0</v>
      </c>
      <c r="E23" s="446"/>
      <c r="F23" s="447"/>
      <c r="G23" s="446"/>
      <c r="H23" s="447"/>
      <c r="I23" s="160"/>
      <c r="J23" s="248" t="str">
        <f t="shared" ref="J23:J75" si="0">IF(D23="","",IF(I23="","",D23/I23))</f>
        <v/>
      </c>
    </row>
    <row r="24" spans="1:17" ht="34.5" customHeight="1" x14ac:dyDescent="0.3">
      <c r="B24" s="444" t="str">
        <f>INDEX('Base Blend Property Calculation'!$C$6:$BF$6,1,'Base Blend Property Calculation'!BT9)</f>
        <v>Class G</v>
      </c>
      <c r="C24" s="445"/>
      <c r="D24" s="153">
        <f>VLOOKUP('Bulk Plant Input'!$A$19, 'Base Blend Property Calculation'!$A$6:$BF$152,'Base Blend Property Calculation'!BT11,FALSE)*'Bulk Plant Input'!$B$8</f>
        <v>26000</v>
      </c>
      <c r="E24" s="446"/>
      <c r="F24" s="447"/>
      <c r="G24" s="446"/>
      <c r="H24" s="447"/>
      <c r="I24" s="160"/>
      <c r="J24" s="248" t="str">
        <f t="shared" si="0"/>
        <v/>
      </c>
      <c r="M24" s="251" t="s">
        <v>1794</v>
      </c>
    </row>
    <row r="25" spans="1:17" ht="34.5" hidden="1" customHeight="1" x14ac:dyDescent="0.3">
      <c r="B25" s="444" t="str">
        <f>INDEX('Base Blend Property Calculation'!$C$6:$BF$6,1,'Base Blend Property Calculation'!BT10)</f>
        <v>Class H</v>
      </c>
      <c r="C25" s="445"/>
      <c r="D25" s="153">
        <f>VLOOKUP('Bulk Plant Input'!$A$19, 'Base Blend Property Calculation'!$A$6:$BF$152,'Base Blend Property Calculation'!BT12,FALSE)*'Bulk Plant Input'!$B$8</f>
        <v>0</v>
      </c>
      <c r="E25" s="446"/>
      <c r="F25" s="447"/>
      <c r="G25" s="446"/>
      <c r="H25" s="447"/>
      <c r="I25" s="160"/>
      <c r="J25" s="248" t="str">
        <f t="shared" si="0"/>
        <v/>
      </c>
    </row>
    <row r="26" spans="1:17" ht="34.5" hidden="1" customHeight="1" x14ac:dyDescent="0.3">
      <c r="B26" s="444" t="str">
        <f>INDEX('Base Blend Property Calculation'!$C$6:$BF$6,1,'Base Blend Property Calculation'!BT11)</f>
        <v>Intercem</v>
      </c>
      <c r="C26" s="445"/>
      <c r="D26" s="153">
        <f>VLOOKUP('Bulk Plant Input'!$A$19, 'Base Blend Property Calculation'!$A$6:$BF$152,'Base Blend Property Calculation'!BT13,FALSE)*'Bulk Plant Input'!$B$8</f>
        <v>0</v>
      </c>
      <c r="E26" s="446"/>
      <c r="F26" s="447"/>
      <c r="G26" s="446"/>
      <c r="H26" s="447"/>
      <c r="I26" s="160"/>
      <c r="J26" s="248" t="str">
        <f t="shared" si="0"/>
        <v/>
      </c>
    </row>
    <row r="27" spans="1:17" ht="34.5" hidden="1" customHeight="1" x14ac:dyDescent="0.3">
      <c r="B27" s="444" t="str">
        <f>INDEX('Base Blend Property Calculation'!$C$6:$BF$6,1,'Base Blend Property Calculation'!BT12)</f>
        <v>Colloid SQ-A</v>
      </c>
      <c r="C27" s="445"/>
      <c r="D27" s="153">
        <f>VLOOKUP('Bulk Plant Input'!$A$19, 'Base Blend Property Calculation'!$A$6:$BF$152,'Base Blend Property Calculation'!BT14,FALSE)*'Bulk Plant Input'!$B$8</f>
        <v>0</v>
      </c>
      <c r="E27" s="446"/>
      <c r="F27" s="447"/>
      <c r="G27" s="446"/>
      <c r="H27" s="447"/>
      <c r="I27" s="160"/>
      <c r="J27" s="248" t="str">
        <f t="shared" si="0"/>
        <v/>
      </c>
    </row>
    <row r="28" spans="1:17" ht="34.5" hidden="1" customHeight="1" x14ac:dyDescent="0.3">
      <c r="B28" s="444" t="str">
        <f>INDEX('Base Blend Property Calculation'!$C$6:$BF$6,1,'Base Blend Property Calculation'!BT13)</f>
        <v>Flyash</v>
      </c>
      <c r="C28" s="445"/>
      <c r="D28" s="153">
        <f>VLOOKUP('Bulk Plant Input'!$A$19, 'Base Blend Property Calculation'!$A$6:$BF$152,'Base Blend Property Calculation'!BT15,FALSE)*'Bulk Plant Input'!$B$8</f>
        <v>0</v>
      </c>
      <c r="E28" s="446"/>
      <c r="F28" s="447"/>
      <c r="G28" s="446"/>
      <c r="H28" s="447"/>
      <c r="I28" s="160"/>
      <c r="J28" s="248" t="str">
        <f t="shared" si="0"/>
        <v/>
      </c>
    </row>
    <row r="29" spans="1:17" ht="34.5" hidden="1" customHeight="1" x14ac:dyDescent="0.3">
      <c r="B29" s="444" t="str">
        <f>INDEX('Base Blend Property Calculation'!$C$6:$BF$6,1,'Base Blend Property Calculation'!BT14)</f>
        <v>Flyash (Sask)</v>
      </c>
      <c r="C29" s="445"/>
      <c r="D29" s="153">
        <f>VLOOKUP('Bulk Plant Input'!$A$19, 'Base Blend Property Calculation'!$A$6:$BF$152,'Base Blend Property Calculation'!BT16,FALSE)*'Bulk Plant Input'!$B$8</f>
        <v>0</v>
      </c>
      <c r="E29" s="446"/>
      <c r="F29" s="447"/>
      <c r="G29" s="446"/>
      <c r="H29" s="447"/>
      <c r="I29" s="160"/>
      <c r="J29" s="248" t="str">
        <f t="shared" si="0"/>
        <v/>
      </c>
    </row>
    <row r="30" spans="1:17" ht="34.5" hidden="1" customHeight="1" x14ac:dyDescent="0.3">
      <c r="B30" s="444" t="str">
        <f>INDEX('Base Blend Property Calculation'!$C$6:$BF$6,1,'Base Blend Property Calculation'!BT15)</f>
        <v>Densified Fume</v>
      </c>
      <c r="C30" s="445"/>
      <c r="D30" s="153">
        <f>VLOOKUP('Bulk Plant Input'!$A$19, 'Base Blend Property Calculation'!$A$6:$BF$152,'Base Blend Property Calculation'!BT17,FALSE)*'Bulk Plant Input'!$B$8</f>
        <v>0</v>
      </c>
      <c r="E30" s="446"/>
      <c r="F30" s="447"/>
      <c r="G30" s="446"/>
      <c r="H30" s="447"/>
      <c r="I30" s="160"/>
      <c r="J30" s="248" t="str">
        <f t="shared" si="0"/>
        <v/>
      </c>
    </row>
    <row r="31" spans="1:17" ht="34.5" hidden="1" customHeight="1" x14ac:dyDescent="0.3">
      <c r="B31" s="444" t="str">
        <f>INDEX('Base Blend Property Calculation'!$C$6:$BF$6,1,'Base Blend Property Calculation'!BT16)</f>
        <v>Silica Fume - Semi-Densified</v>
      </c>
      <c r="C31" s="445"/>
      <c r="D31" s="153">
        <f>VLOOKUP('Bulk Plant Input'!$A$19, 'Base Blend Property Calculation'!$A$6:$BF$152,'Base Blend Property Calculation'!BT18,FALSE)*'Bulk Plant Input'!$B$8</f>
        <v>0</v>
      </c>
      <c r="E31" s="446"/>
      <c r="F31" s="447"/>
      <c r="G31" s="446"/>
      <c r="H31" s="447"/>
      <c r="I31" s="160"/>
      <c r="J31" s="248" t="str">
        <f t="shared" si="0"/>
        <v/>
      </c>
    </row>
    <row r="32" spans="1:17" ht="34.5" hidden="1" customHeight="1" x14ac:dyDescent="0.3">
      <c r="B32" s="444" t="str">
        <f>INDEX('Base Blend Property Calculation'!$C$6:$BF$6,1,'Base Blend Property Calculation'!BT17)</f>
        <v>Sanlite</v>
      </c>
      <c r="C32" s="445"/>
      <c r="D32" s="153">
        <f>VLOOKUP('Bulk Plant Input'!$A$19, 'Base Blend Property Calculation'!$A$6:$BF$152,'Base Blend Property Calculation'!BT19,FALSE)*'Bulk Plant Input'!$B$8</f>
        <v>0</v>
      </c>
      <c r="E32" s="446"/>
      <c r="F32" s="447"/>
      <c r="G32" s="446"/>
      <c r="H32" s="447"/>
      <c r="I32" s="160"/>
      <c r="J32" s="248" t="str">
        <f t="shared" si="0"/>
        <v/>
      </c>
    </row>
    <row r="33" spans="2:10" ht="34.5" customHeight="1" x14ac:dyDescent="0.3">
      <c r="B33" s="444" t="str">
        <f>INDEX('Base Blend Property Calculation'!$C$6:$BF$6,1,'Base Blend Property Calculation'!BT18)</f>
        <v>Silica Flour</v>
      </c>
      <c r="C33" s="445"/>
      <c r="D33" s="153">
        <f>VLOOKUP('Bulk Plant Input'!$A$19, 'Base Blend Property Calculation'!$A$6:$BF$152,'Base Blend Property Calculation'!BT20,FALSE)*'Bulk Plant Input'!$B$8</f>
        <v>0</v>
      </c>
      <c r="E33" s="446"/>
      <c r="F33" s="447"/>
      <c r="G33" s="446"/>
      <c r="H33" s="447"/>
      <c r="I33" s="160"/>
      <c r="J33" s="248" t="str">
        <f t="shared" si="0"/>
        <v/>
      </c>
    </row>
    <row r="34" spans="2:10" ht="34.5" hidden="1" customHeight="1" x14ac:dyDescent="0.3">
      <c r="B34" s="444" t="str">
        <f>INDEX('Base Blend Property Calculation'!$C$6:$BF$6,1,'Base Blend Property Calculation'!BT19)</f>
        <v>Gel</v>
      </c>
      <c r="C34" s="445"/>
      <c r="D34" s="153">
        <f>VLOOKUP('Bulk Plant Input'!$A$19, 'Base Blend Property Calculation'!$A$6:$BF$152,'Base Blend Property Calculation'!BT21,FALSE)*'Bulk Plant Input'!$B$8</f>
        <v>0</v>
      </c>
      <c r="E34" s="446"/>
      <c r="F34" s="447"/>
      <c r="G34" s="446"/>
      <c r="H34" s="447"/>
      <c r="I34" s="160"/>
      <c r="J34" s="248" t="str">
        <f t="shared" si="0"/>
        <v/>
      </c>
    </row>
    <row r="35" spans="2:10" ht="34.5" hidden="1" customHeight="1" x14ac:dyDescent="0.3">
      <c r="B35" s="444" t="str">
        <f>INDEX('Base Blend Property Calculation'!$C$6:$BF$6,1,'Base Blend Property Calculation'!BT20)</f>
        <v>SCA-1</v>
      </c>
      <c r="C35" s="445"/>
      <c r="D35" s="153">
        <f>VLOOKUP('Bulk Plant Input'!$A$19, 'Base Blend Property Calculation'!$A$6:$BF$152,'Base Blend Property Calculation'!BT22,FALSE)*'Bulk Plant Input'!$B$8</f>
        <v>0</v>
      </c>
      <c r="E35" s="446"/>
      <c r="F35" s="447"/>
      <c r="G35" s="446"/>
      <c r="H35" s="447"/>
      <c r="I35" s="160"/>
      <c r="J35" s="248" t="str">
        <f t="shared" si="0"/>
        <v/>
      </c>
    </row>
    <row r="36" spans="2:10" ht="34.5" hidden="1" customHeight="1" x14ac:dyDescent="0.3">
      <c r="B36" s="444" t="str">
        <f>INDEX('Base Blend Property Calculation'!$C$6:$BF$6,1,'Base Blend Property Calculation'!BT21)</f>
        <v>Hematite</v>
      </c>
      <c r="C36" s="445"/>
      <c r="D36" s="153">
        <f>VLOOKUP('Bulk Plant Input'!$A$19, 'Base Blend Property Calculation'!$A$6:$BF$152,'Base Blend Property Calculation'!BT23,FALSE)*'Bulk Plant Input'!$B$8</f>
        <v>0</v>
      </c>
      <c r="E36" s="446"/>
      <c r="F36" s="447"/>
      <c r="G36" s="446"/>
      <c r="H36" s="447"/>
      <c r="I36" s="160"/>
      <c r="J36" s="248" t="str">
        <f t="shared" si="0"/>
        <v/>
      </c>
    </row>
    <row r="37" spans="2:10" ht="34.5" hidden="1" customHeight="1" x14ac:dyDescent="0.3">
      <c r="B37" s="444" t="str">
        <f>INDEX('Base Blend Property Calculation'!$C$6:$BF$6,1,'Base Blend Property Calculation'!BT22)</f>
        <v>CDM-6B</v>
      </c>
      <c r="C37" s="445"/>
      <c r="D37" s="153">
        <f>VLOOKUP('Bulk Plant Input'!$A$19, 'Base Blend Property Calculation'!$A$6:$BF$152,'Base Blend Property Calculation'!BT24,FALSE)*'Bulk Plant Input'!$B$8</f>
        <v>0</v>
      </c>
      <c r="E37" s="446"/>
      <c r="F37" s="447"/>
      <c r="G37" s="446"/>
      <c r="H37" s="447"/>
      <c r="I37" s="160"/>
      <c r="J37" s="248" t="str">
        <f t="shared" si="0"/>
        <v/>
      </c>
    </row>
    <row r="38" spans="2:10" ht="34.5" hidden="1" customHeight="1" x14ac:dyDescent="0.3">
      <c r="B38" s="444" t="str">
        <f>INDEX('Base Blend Property Calculation'!$C$6:$BF$6,1,'Base Blend Property Calculation'!BT23)</f>
        <v>CDM-6</v>
      </c>
      <c r="C38" s="445"/>
      <c r="D38" s="153">
        <f>VLOOKUP('Bulk Plant Input'!$A$19, 'Base Blend Property Calculation'!$A$6:$BF$152,'Base Blend Property Calculation'!BT25,FALSE)*'Bulk Plant Input'!$B$8</f>
        <v>0</v>
      </c>
      <c r="E38" s="446"/>
      <c r="F38" s="447"/>
      <c r="G38" s="446"/>
      <c r="H38" s="447"/>
      <c r="I38" s="160"/>
      <c r="J38" s="248" t="str">
        <f t="shared" si="0"/>
        <v/>
      </c>
    </row>
    <row r="39" spans="2:10" ht="34.5" hidden="1" customHeight="1" x14ac:dyDescent="0.3">
      <c r="B39" s="444" t="str">
        <f>INDEX('Base Blend Property Calculation'!$C$6:$BF$6,1,'Base Blend Property Calculation'!BT24)</f>
        <v>CDM-2</v>
      </c>
      <c r="C39" s="445"/>
      <c r="D39" s="153">
        <f>VLOOKUP('Bulk Plant Input'!$A$19, 'Base Blend Property Calculation'!$A$6:$BF$152,'Base Blend Property Calculation'!BT26,FALSE)*'Bulk Plant Input'!$B$8</f>
        <v>0</v>
      </c>
      <c r="E39" s="446"/>
      <c r="F39" s="447"/>
      <c r="G39" s="446"/>
      <c r="H39" s="447"/>
      <c r="I39" s="160"/>
      <c r="J39" s="248" t="str">
        <f t="shared" si="0"/>
        <v/>
      </c>
    </row>
    <row r="40" spans="2:10" ht="34.5" hidden="1" customHeight="1" x14ac:dyDescent="0.3">
      <c r="B40" s="444" t="str">
        <f>INDEX('Base Blend Property Calculation'!$C$6:$BF$6,1,'Base Blend Property Calculation'!BT25)</f>
        <v>CDM-5</v>
      </c>
      <c r="C40" s="445"/>
      <c r="D40" s="153">
        <f>VLOOKUP('Bulk Plant Input'!$A$19, 'Base Blend Property Calculation'!$A$6:$BF$152,'Base Blend Property Calculation'!BT27,FALSE)*'Bulk Plant Input'!$B$8</f>
        <v>0</v>
      </c>
      <c r="E40" s="446"/>
      <c r="F40" s="447"/>
      <c r="G40" s="446"/>
      <c r="H40" s="447"/>
      <c r="I40" s="160"/>
      <c r="J40" s="248" t="str">
        <f t="shared" si="0"/>
        <v/>
      </c>
    </row>
    <row r="41" spans="2:10" ht="34.5" hidden="1" customHeight="1" x14ac:dyDescent="0.3">
      <c r="B41" s="444" t="str">
        <f>INDEX('Base Blend Property Calculation'!$C$6:$BF$6,1,'Base Blend Property Calculation'!BT26)</f>
        <v>CDM-C</v>
      </c>
      <c r="C41" s="445"/>
      <c r="D41" s="153">
        <f>VLOOKUP('Bulk Plant Input'!$A$19, 'Base Blend Property Calculation'!$A$6:$BF$152,'Base Blend Property Calculation'!BT28,FALSE)*'Bulk Plant Input'!$B$8</f>
        <v>0</v>
      </c>
      <c r="E41" s="446"/>
      <c r="F41" s="447"/>
      <c r="G41" s="446"/>
      <c r="H41" s="447"/>
      <c r="I41" s="160"/>
      <c r="J41" s="248" t="str">
        <f t="shared" si="0"/>
        <v/>
      </c>
    </row>
    <row r="42" spans="2:10" ht="34.5" hidden="1" customHeight="1" x14ac:dyDescent="0.3">
      <c r="B42" s="444" t="str">
        <f>INDEX('Base Blend Property Calculation'!$C$6:$BF$6,1,'Base Blend Property Calculation'!BT27)</f>
        <v>CDM-10</v>
      </c>
      <c r="C42" s="445"/>
      <c r="D42" s="153">
        <f>VLOOKUP('Bulk Plant Input'!$A$19, 'Base Blend Property Calculation'!$A$6:$BF$152,'Base Blend Property Calculation'!BT29,FALSE)*'Bulk Plant Input'!$B$8</f>
        <v>0</v>
      </c>
      <c r="E42" s="446"/>
      <c r="F42" s="447"/>
      <c r="G42" s="446"/>
      <c r="H42" s="447"/>
      <c r="I42" s="160"/>
      <c r="J42" s="248" t="str">
        <f t="shared" si="0"/>
        <v/>
      </c>
    </row>
    <row r="43" spans="2:10" ht="34.5" hidden="1" customHeight="1" x14ac:dyDescent="0.3">
      <c r="B43" s="444" t="str">
        <f>INDEX('Base Blend Property Calculation'!$C$6:$BF$6,1,'Base Blend Property Calculation'!BT28)</f>
        <v>CFR</v>
      </c>
      <c r="C43" s="445"/>
      <c r="D43" s="153">
        <f>VLOOKUP('Bulk Plant Input'!$A$19, 'Base Blend Property Calculation'!$A$6:$BF$152,'Base Blend Property Calculation'!BT30,FALSE)*'Bulk Plant Input'!$B$8</f>
        <v>0</v>
      </c>
      <c r="E43" s="446"/>
      <c r="F43" s="447"/>
      <c r="G43" s="446"/>
      <c r="H43" s="447"/>
      <c r="I43" s="160"/>
      <c r="J43" s="248" t="str">
        <f t="shared" si="0"/>
        <v/>
      </c>
    </row>
    <row r="44" spans="2:10" ht="34.5" hidden="1" customHeight="1" x14ac:dyDescent="0.3">
      <c r="B44" s="444" t="str">
        <f>INDEX('Base Blend Property Calculation'!$C$6:$BF$6,1,'Base Blend Property Calculation'!BT29)</f>
        <v>CFR-2</v>
      </c>
      <c r="C44" s="445"/>
      <c r="D44" s="153">
        <f>VLOOKUP('Bulk Plant Input'!$A$19, 'Base Blend Property Calculation'!$A$6:$BF$152,'Base Blend Property Calculation'!BT31,FALSE)*'Bulk Plant Input'!$B$8</f>
        <v>0</v>
      </c>
      <c r="E44" s="446"/>
      <c r="F44" s="447"/>
      <c r="G44" s="446"/>
      <c r="H44" s="447"/>
      <c r="I44" s="160"/>
      <c r="J44" s="248" t="str">
        <f t="shared" si="0"/>
        <v/>
      </c>
    </row>
    <row r="45" spans="2:10" ht="34.5" hidden="1" customHeight="1" x14ac:dyDescent="0.3">
      <c r="B45" s="444" t="str">
        <f>INDEX('Base Blend Property Calculation'!$C$6:$BF$6,1,'Base Blend Property Calculation'!BT30)</f>
        <v>CFR-5</v>
      </c>
      <c r="C45" s="445"/>
      <c r="D45" s="153">
        <f>VLOOKUP('Bulk Plant Input'!$A$19, 'Base Blend Property Calculation'!$A$6:$BF$152,'Base Blend Property Calculation'!BT32,FALSE)*'Bulk Plant Input'!$B$8</f>
        <v>0</v>
      </c>
      <c r="E45" s="446"/>
      <c r="F45" s="447"/>
      <c r="G45" s="446"/>
      <c r="H45" s="447"/>
      <c r="I45" s="160"/>
      <c r="J45" s="248" t="str">
        <f t="shared" si="0"/>
        <v/>
      </c>
    </row>
    <row r="46" spans="2:10" ht="34.5" hidden="1" customHeight="1" x14ac:dyDescent="0.3">
      <c r="B46" s="444" t="str">
        <f>INDEX('Base Blend Property Calculation'!$C$6:$BF$6,1,'Base Blend Property Calculation'!BT31)</f>
        <v>CFL-3</v>
      </c>
      <c r="C46" s="445"/>
      <c r="D46" s="153">
        <f>VLOOKUP('Bulk Plant Input'!$A$19, 'Base Blend Property Calculation'!$A$6:$BF$152,'Base Blend Property Calculation'!BT33,FALSE)*'Bulk Plant Input'!$B$8</f>
        <v>0</v>
      </c>
      <c r="E46" s="446"/>
      <c r="F46" s="447"/>
      <c r="G46" s="446"/>
      <c r="H46" s="447"/>
      <c r="I46" s="160"/>
      <c r="J46" s="248" t="str">
        <f t="shared" si="0"/>
        <v/>
      </c>
    </row>
    <row r="47" spans="2:10" ht="34.5" hidden="1" customHeight="1" x14ac:dyDescent="0.3">
      <c r="B47" s="444" t="str">
        <f>INDEX('Base Blend Property Calculation'!$C$6:$BF$6,1,'Base Blend Property Calculation'!BT32)</f>
        <v>CFL-4</v>
      </c>
      <c r="C47" s="445"/>
      <c r="D47" s="153">
        <f>VLOOKUP('Bulk Plant Input'!$A$19, 'Base Blend Property Calculation'!$A$6:$BF$152,'Base Blend Property Calculation'!BT34,FALSE)*'Bulk Plant Input'!$B$8</f>
        <v>0</v>
      </c>
      <c r="E47" s="446"/>
      <c r="F47" s="447"/>
      <c r="G47" s="446"/>
      <c r="H47" s="447"/>
      <c r="I47" s="160"/>
      <c r="J47" s="248" t="str">
        <f t="shared" si="0"/>
        <v/>
      </c>
    </row>
    <row r="48" spans="2:10" ht="34.5" hidden="1" customHeight="1" x14ac:dyDescent="0.3">
      <c r="B48" s="444" t="str">
        <f>INDEX('Base Blend Property Calculation'!$C$6:$BF$6,1,'Base Blend Property Calculation'!BT33)</f>
        <v>CFL-6</v>
      </c>
      <c r="C48" s="445"/>
      <c r="D48" s="153">
        <f>VLOOKUP('Bulk Plant Input'!$A$19, 'Base Blend Property Calculation'!$A$6:$BF$152,'Base Blend Property Calculation'!BT35,FALSE)*'Bulk Plant Input'!$B$8</f>
        <v>0</v>
      </c>
      <c r="E48" s="446"/>
      <c r="F48" s="447"/>
      <c r="G48" s="446"/>
      <c r="H48" s="447"/>
      <c r="I48" s="160"/>
      <c r="J48" s="248" t="str">
        <f t="shared" si="0"/>
        <v/>
      </c>
    </row>
    <row r="49" spans="2:10" ht="34.5" hidden="1" customHeight="1" x14ac:dyDescent="0.3">
      <c r="B49" s="444" t="str">
        <f>INDEX('Base Blend Property Calculation'!$C$6:$BF$6,1,'Base Blend Property Calculation'!BT34)</f>
        <v>CFL-7</v>
      </c>
      <c r="C49" s="445"/>
      <c r="D49" s="153">
        <f>VLOOKUP('Bulk Plant Input'!$A$19, 'Base Blend Property Calculation'!$A$6:$BF$152,'Base Blend Property Calculation'!BT36,FALSE)*'Bulk Plant Input'!$B$8</f>
        <v>0</v>
      </c>
      <c r="E49" s="446"/>
      <c r="F49" s="447"/>
      <c r="G49" s="446"/>
      <c r="H49" s="447"/>
      <c r="I49" s="160"/>
      <c r="J49" s="248" t="str">
        <f t="shared" si="0"/>
        <v/>
      </c>
    </row>
    <row r="50" spans="2:10" ht="34.5" hidden="1" customHeight="1" x14ac:dyDescent="0.3">
      <c r="B50" s="444" t="str">
        <f>INDEX('Base Blend Property Calculation'!$C$6:$BF$6,1,'Base Blend Property Calculation'!BT35)</f>
        <v>CaCl2</v>
      </c>
      <c r="C50" s="445"/>
      <c r="D50" s="153">
        <f>VLOOKUP('Bulk Plant Input'!$A$19, 'Base Blend Property Calculation'!$A$6:$BF$152,'Base Blend Property Calculation'!BT37,FALSE)*'Bulk Plant Input'!$B$8</f>
        <v>0</v>
      </c>
      <c r="E50" s="446"/>
      <c r="F50" s="447"/>
      <c r="G50" s="446"/>
      <c r="H50" s="447"/>
      <c r="I50" s="160"/>
      <c r="J50" s="248" t="str">
        <f t="shared" si="0"/>
        <v/>
      </c>
    </row>
    <row r="51" spans="2:10" ht="34.5" hidden="1" customHeight="1" x14ac:dyDescent="0.3">
      <c r="B51" s="444" t="str">
        <f>INDEX('Base Blend Property Calculation'!$C$6:$BF$6,1,'Base Blend Property Calculation'!BT36)</f>
        <v>SCA-6</v>
      </c>
      <c r="C51" s="445"/>
      <c r="D51" s="153">
        <f>VLOOKUP('Bulk Plant Input'!$A$19, 'Base Blend Property Calculation'!$A$6:$BF$152,'Base Blend Property Calculation'!BT38,FALSE)*'Bulk Plant Input'!$B$8</f>
        <v>0</v>
      </c>
      <c r="E51" s="446"/>
      <c r="F51" s="447"/>
      <c r="G51" s="446"/>
      <c r="H51" s="447"/>
      <c r="I51" s="160"/>
      <c r="J51" s="248" t="str">
        <f t="shared" si="0"/>
        <v/>
      </c>
    </row>
    <row r="52" spans="2:10" ht="34.5" hidden="1" customHeight="1" x14ac:dyDescent="0.3">
      <c r="B52" s="444" t="str">
        <f>INDEX('Base Blend Property Calculation'!$C$6:$BF$6,1,'Base Blend Property Calculation'!BT37)</f>
        <v>SCA-7</v>
      </c>
      <c r="C52" s="445"/>
      <c r="D52" s="153">
        <f>VLOOKUP('Bulk Plant Input'!$A$19, 'Base Blend Property Calculation'!$A$6:$BF$152,'Base Blend Property Calculation'!BT39,FALSE)*'Bulk Plant Input'!$B$8</f>
        <v>0</v>
      </c>
      <c r="E52" s="446"/>
      <c r="F52" s="447"/>
      <c r="G52" s="446"/>
      <c r="H52" s="447"/>
      <c r="I52" s="160"/>
      <c r="J52" s="248" t="str">
        <f t="shared" si="0"/>
        <v/>
      </c>
    </row>
    <row r="53" spans="2:10" ht="34.5" hidden="1" customHeight="1" x14ac:dyDescent="0.3">
      <c r="B53" s="444" t="str">
        <f>INDEX('Base Blend Property Calculation'!$C$6:$BF$6,1,'Base Blend Property Calculation'!BT38)</f>
        <v>SCA-5</v>
      </c>
      <c r="C53" s="445"/>
      <c r="D53" s="153">
        <f>VLOOKUP('Bulk Plant Input'!$A$19, 'Base Blend Property Calculation'!$A$6:$BF$152,'Base Blend Property Calculation'!BT40,FALSE)*'Bulk Plant Input'!$B$8</f>
        <v>0</v>
      </c>
      <c r="E53" s="446"/>
      <c r="F53" s="447"/>
      <c r="G53" s="446"/>
      <c r="H53" s="447"/>
      <c r="I53" s="160"/>
      <c r="J53" s="248" t="str">
        <f t="shared" si="0"/>
        <v/>
      </c>
    </row>
    <row r="54" spans="2:10" ht="34.5" hidden="1" customHeight="1" x14ac:dyDescent="0.3">
      <c r="B54" s="444" t="str">
        <f>INDEX('Base Blend Property Calculation'!$C$6:$BF$6,1,'Base Blend Property Calculation'!BT39)</f>
        <v>FWC-2</v>
      </c>
      <c r="C54" s="445"/>
      <c r="D54" s="153">
        <f>VLOOKUP('Bulk Plant Input'!$A$19, 'Base Blend Property Calculation'!$A$6:$BF$152,'Base Blend Property Calculation'!BT41,FALSE)*'Bulk Plant Input'!$B$8</f>
        <v>0</v>
      </c>
      <c r="E54" s="446"/>
      <c r="F54" s="447"/>
      <c r="G54" s="446"/>
      <c r="H54" s="447"/>
      <c r="I54" s="160"/>
      <c r="J54" s="248" t="str">
        <f t="shared" si="0"/>
        <v/>
      </c>
    </row>
    <row r="55" spans="2:10" ht="34.5" hidden="1" customHeight="1" x14ac:dyDescent="0.3">
      <c r="B55" s="444" t="str">
        <f>INDEX('Base Blend Property Calculation'!$C$6:$BF$6,1,'Base Blend Property Calculation'!BT40)</f>
        <v>LTR-3</v>
      </c>
      <c r="C55" s="445"/>
      <c r="D55" s="153">
        <f>VLOOKUP('Bulk Plant Input'!$A$19, 'Base Blend Property Calculation'!$A$6:$BF$152,'Base Blend Property Calculation'!BT42,FALSE)*'Bulk Plant Input'!$B$8</f>
        <v>0</v>
      </c>
      <c r="E55" s="446"/>
      <c r="F55" s="447"/>
      <c r="G55" s="446"/>
      <c r="H55" s="447"/>
      <c r="I55" s="160"/>
      <c r="J55" s="248" t="str">
        <f t="shared" si="0"/>
        <v/>
      </c>
    </row>
    <row r="56" spans="2:10" ht="34.5" hidden="1" customHeight="1" x14ac:dyDescent="0.3">
      <c r="B56" s="444" t="str">
        <f>INDEX('Base Blend Property Calculation'!$C$6:$BF$6,1,'Base Blend Property Calculation'!BT41)</f>
        <v>NaCl</v>
      </c>
      <c r="C56" s="445"/>
      <c r="D56" s="153">
        <f>VLOOKUP('Bulk Plant Input'!$A$19, 'Base Blend Property Calculation'!$A$6:$BF$152,'Base Blend Property Calculation'!BT43,FALSE)*'Bulk Plant Input'!$B$8</f>
        <v>0</v>
      </c>
      <c r="E56" s="446"/>
      <c r="F56" s="447"/>
      <c r="G56" s="446"/>
      <c r="H56" s="447"/>
      <c r="I56" s="160"/>
      <c r="J56" s="248" t="str">
        <f t="shared" si="0"/>
        <v/>
      </c>
    </row>
    <row r="57" spans="2:10" ht="34.5" hidden="1" customHeight="1" x14ac:dyDescent="0.3">
      <c r="B57" s="444" t="str">
        <f>INDEX('Base Blend Property Calculation'!$C$6:$BF$6,1,'Base Blend Property Calculation'!BT42)</f>
        <v>KCl</v>
      </c>
      <c r="C57" s="445"/>
      <c r="D57" s="153">
        <f>VLOOKUP('Bulk Plant Input'!$A$19, 'Base Blend Property Calculation'!$A$6:$BF$152,'Base Blend Property Calculation'!BT44,FALSE)*'Bulk Plant Input'!$B$8</f>
        <v>0</v>
      </c>
      <c r="E57" s="446"/>
      <c r="F57" s="447"/>
      <c r="G57" s="446"/>
      <c r="H57" s="447"/>
      <c r="I57" s="160"/>
      <c r="J57" s="248" t="str">
        <f t="shared" si="0"/>
        <v/>
      </c>
    </row>
    <row r="58" spans="2:10" ht="34.5" hidden="1" customHeight="1" x14ac:dyDescent="0.3">
      <c r="B58" s="444" t="str">
        <f>INDEX('Base Blend Property Calculation'!$C$6:$BF$6,1,'Base Blend Property Calculation'!BT43)</f>
        <v>EA-1</v>
      </c>
      <c r="C58" s="445"/>
      <c r="D58" s="153">
        <f>VLOOKUP('Bulk Plant Input'!$A$19, 'Base Blend Property Calculation'!$A$6:$BF$152,'Base Blend Property Calculation'!BT45,FALSE)*'Bulk Plant Input'!$B$8</f>
        <v>0</v>
      </c>
      <c r="E58" s="446"/>
      <c r="F58" s="447"/>
      <c r="G58" s="446"/>
      <c r="H58" s="447"/>
      <c r="I58" s="160"/>
      <c r="J58" s="248" t="str">
        <f t="shared" si="0"/>
        <v/>
      </c>
    </row>
    <row r="59" spans="2:10" ht="34.5" hidden="1" customHeight="1" x14ac:dyDescent="0.3">
      <c r="B59" s="444" t="str">
        <f>INDEX('Base Blend Property Calculation'!$C$6:$BF$6,1,'Base Blend Property Calculation'!BT44)</f>
        <v>EA-3</v>
      </c>
      <c r="C59" s="445"/>
      <c r="D59" s="153">
        <f>VLOOKUP('Bulk Plant Input'!$A$19, 'Base Blend Property Calculation'!$A$6:$BF$152,'Base Blend Property Calculation'!BT46,FALSE)*'Bulk Plant Input'!$B$8</f>
        <v>0</v>
      </c>
      <c r="E59" s="446"/>
      <c r="F59" s="447"/>
      <c r="G59" s="446"/>
      <c r="H59" s="447"/>
      <c r="I59" s="160"/>
      <c r="J59" s="248" t="str">
        <f t="shared" si="0"/>
        <v/>
      </c>
    </row>
    <row r="60" spans="2:10" ht="34.5" hidden="1" customHeight="1" x14ac:dyDescent="0.3">
      <c r="B60" s="444" t="str">
        <f>INDEX('Base Blend Property Calculation'!$C$6:$BF$6,1,'Base Blend Property Calculation'!BT45)</f>
        <v>LCG-2</v>
      </c>
      <c r="C60" s="445"/>
      <c r="D60" s="153">
        <f>VLOOKUP('Bulk Plant Input'!$A$19, 'Base Blend Property Calculation'!$A$6:$BF$152,'Base Blend Property Calculation'!BT47,FALSE)*'Bulk Plant Input'!$B$8</f>
        <v>0</v>
      </c>
      <c r="E60" s="446"/>
      <c r="F60" s="447"/>
      <c r="G60" s="446"/>
      <c r="H60" s="447"/>
      <c r="I60" s="160"/>
      <c r="J60" s="248" t="str">
        <f t="shared" si="0"/>
        <v/>
      </c>
    </row>
    <row r="61" spans="2:10" ht="34.5" hidden="1" customHeight="1" x14ac:dyDescent="0.3">
      <c r="B61" s="444" t="str">
        <f>INDEX('Base Blend Property Calculation'!$C$6:$BF$6,1,'Base Blend Property Calculation'!BT46)</f>
        <v>Micromix</v>
      </c>
      <c r="C61" s="445"/>
      <c r="D61" s="153">
        <f>VLOOKUP('Bulk Plant Input'!$A$19, 'Base Blend Property Calculation'!$A$6:$BF$152,'Base Blend Property Calculation'!BT48,FALSE)*'Bulk Plant Input'!$B$8</f>
        <v>0</v>
      </c>
      <c r="E61" s="446"/>
      <c r="F61" s="447"/>
      <c r="G61" s="446"/>
      <c r="H61" s="447"/>
      <c r="I61" s="160"/>
      <c r="J61" s="248" t="str">
        <f t="shared" si="0"/>
        <v/>
      </c>
    </row>
    <row r="62" spans="2:10" ht="34.5" hidden="1" customHeight="1" x14ac:dyDescent="0.3">
      <c r="B62" s="444" t="str">
        <f>INDEX('Base Blend Property Calculation'!$C$6:$BF$6,1,'Base Blend Property Calculation'!BT47)</f>
        <v>LCG-1</v>
      </c>
      <c r="C62" s="445"/>
      <c r="D62" s="153">
        <f>VLOOKUP('Bulk Plant Input'!$A$19, 'Base Blend Property Calculation'!$A$6:$BF$152,'Base Blend Property Calculation'!BT49,FALSE)*'Bulk Plant Input'!$B$8</f>
        <v>0</v>
      </c>
      <c r="E62" s="446"/>
      <c r="F62" s="447"/>
      <c r="G62" s="446"/>
      <c r="H62" s="447"/>
      <c r="I62" s="160"/>
      <c r="J62" s="248" t="str">
        <f t="shared" si="0"/>
        <v/>
      </c>
    </row>
    <row r="63" spans="2:10" ht="34.5" hidden="1" customHeight="1" x14ac:dyDescent="0.3">
      <c r="B63" s="444" t="str">
        <f>INDEX('Base Blend Property Calculation'!$C$6:$BF$6,1,'Base Blend Property Calculation'!BT48)</f>
        <v>Gilsonite</v>
      </c>
      <c r="C63" s="445"/>
      <c r="D63" s="153">
        <f>VLOOKUP('Bulk Plant Input'!$A$19, 'Base Blend Property Calculation'!$A$6:$BF$152,'Base Blend Property Calculation'!BT50,FALSE)*'Bulk Plant Input'!$B$8</f>
        <v>0</v>
      </c>
      <c r="E63" s="446"/>
      <c r="F63" s="447"/>
      <c r="G63" s="446"/>
      <c r="H63" s="447"/>
      <c r="I63" s="160"/>
      <c r="J63" s="248" t="str">
        <f t="shared" si="0"/>
        <v/>
      </c>
    </row>
    <row r="64" spans="2:10" ht="34.5" hidden="1" customHeight="1" x14ac:dyDescent="0.3">
      <c r="B64" s="444" t="str">
        <f>INDEX('Base Blend Property Calculation'!$C$6:$BF$6,1,'Base Blend Property Calculation'!BT51)</f>
        <v>Ciment Fondu</v>
      </c>
      <c r="C64" s="445"/>
      <c r="D64" s="153">
        <f>VLOOKUP('Bulk Plant Input'!$A$19, 'Base Blend Property Calculation'!$A$6:$BF$152,'Base Blend Property Calculation'!BT53,FALSE)*'Bulk Plant Input'!$B$8</f>
        <v>0</v>
      </c>
      <c r="E64" s="446"/>
      <c r="F64" s="447"/>
      <c r="G64" s="446"/>
      <c r="H64" s="447"/>
      <c r="I64" s="160"/>
      <c r="J64" s="248" t="str">
        <f t="shared" si="0"/>
        <v/>
      </c>
    </row>
    <row r="65" spans="2:10" ht="34.5" hidden="1" customHeight="1" x14ac:dyDescent="0.3">
      <c r="B65" s="444" t="str">
        <f>INDEX('Base Blend Property Calculation'!$C$6:$BF$6,1,'Base Blend Property Calculation'!BT52)</f>
        <v>CFL-10</v>
      </c>
      <c r="C65" s="445"/>
      <c r="D65" s="153">
        <f>VLOOKUP('Bulk Plant Input'!$A$19, 'Base Blend Property Calculation'!$A$6:$BF$152,'Base Blend Property Calculation'!BT54,FALSE)*'Bulk Plant Input'!$B$8</f>
        <v>0</v>
      </c>
      <c r="E65" s="446"/>
      <c r="F65" s="447"/>
      <c r="G65" s="446"/>
      <c r="H65" s="447"/>
      <c r="I65" s="160"/>
      <c r="J65" s="248" t="str">
        <f t="shared" si="0"/>
        <v/>
      </c>
    </row>
    <row r="66" spans="2:10" ht="34.5" hidden="1" customHeight="1" x14ac:dyDescent="0.3">
      <c r="B66" s="444" t="str">
        <f>INDEX('Base Blend Property Calculation'!$C$6:$BF$6,1,'Base Blend Property Calculation'!BT53)</f>
        <v>CDM-4</v>
      </c>
      <c r="C66" s="445"/>
      <c r="D66" s="153">
        <f>VLOOKUP('Bulk Plant Input'!$A$19, 'Base Blend Property Calculation'!$A$6:$BF$152,'Base Blend Property Calculation'!BT55,FALSE)*'Bulk Plant Input'!$B$8</f>
        <v>0</v>
      </c>
      <c r="E66" s="446"/>
      <c r="F66" s="447"/>
      <c r="G66" s="446"/>
      <c r="H66" s="447"/>
      <c r="I66" s="160"/>
      <c r="J66" s="248" t="str">
        <f t="shared" si="0"/>
        <v/>
      </c>
    </row>
    <row r="67" spans="2:10" ht="34.5" hidden="1" customHeight="1" x14ac:dyDescent="0.3">
      <c r="B67" s="444" t="str">
        <f>INDEX('Base Blend Property Calculation'!$C$6:$BF$6,1,'Base Blend Property Calculation'!BT54)</f>
        <v>ECOmix</v>
      </c>
      <c r="C67" s="445"/>
      <c r="D67" s="153">
        <f>VLOOKUP('Bulk Plant Input'!$A$19, 'Base Blend Property Calculation'!$A$6:$BF$152,'Base Blend Property Calculation'!BT56,FALSE)*'Bulk Plant Input'!$B$8</f>
        <v>0</v>
      </c>
      <c r="E67" s="446"/>
      <c r="F67" s="447"/>
      <c r="G67" s="446"/>
      <c r="H67" s="447"/>
      <c r="I67" s="160"/>
      <c r="J67" s="248" t="str">
        <f t="shared" si="0"/>
        <v/>
      </c>
    </row>
    <row r="68" spans="2:10" ht="34.5" hidden="1" customHeight="1" x14ac:dyDescent="0.3">
      <c r="B68" s="444" t="str">
        <f>INDEX('Base Blend Property Calculation'!$C$6:$BF$6,1,'Base Blend Property Calculation'!BT55)</f>
        <v>CDM-4X</v>
      </c>
      <c r="C68" s="445"/>
      <c r="D68" s="153">
        <f>VLOOKUP('Bulk Plant Input'!$A$19, 'Base Blend Property Calculation'!$A$6:$BF$152,'Base Blend Property Calculation'!BT57,FALSE)*'Bulk Plant Input'!$B$8</f>
        <v>0</v>
      </c>
      <c r="E68" s="446"/>
      <c r="F68" s="447"/>
      <c r="G68" s="446"/>
      <c r="H68" s="447"/>
      <c r="I68" s="160"/>
      <c r="J68" s="248" t="str">
        <f t="shared" si="0"/>
        <v/>
      </c>
    </row>
    <row r="69" spans="2:10" ht="34.5" hidden="1" customHeight="1" x14ac:dyDescent="0.3">
      <c r="B69" s="444" t="str">
        <f>INDEX('Base Blend Property Calculation'!$C$6:$BF$6,1,'Base Blend Property Calculation'!BT56)</f>
        <v>Microfine Sil Flour</v>
      </c>
      <c r="C69" s="445"/>
      <c r="D69" s="153">
        <f>VLOOKUP('Bulk Plant Input'!$A$19, 'Base Blend Property Calculation'!$A$6:$BF$152,'Base Blend Property Calculation'!BT58,FALSE)*'Bulk Plant Input'!$B$8</f>
        <v>0</v>
      </c>
      <c r="E69" s="446"/>
      <c r="F69" s="447"/>
      <c r="G69" s="446"/>
      <c r="H69" s="447"/>
      <c r="I69" s="160"/>
      <c r="J69" s="248" t="str">
        <f t="shared" si="0"/>
        <v/>
      </c>
    </row>
    <row r="70" spans="2:10" ht="34.5" hidden="1" customHeight="1" x14ac:dyDescent="0.3">
      <c r="B70" s="444" t="str">
        <f>INDEX('Base Blend Property Calculation'!$C$6:$BF$6,1,'Base Blend Property Calculation'!BT57)</f>
        <v>None</v>
      </c>
      <c r="C70" s="445"/>
      <c r="D70" s="153">
        <f>VLOOKUP('Bulk Plant Input'!$A$19, 'Base Blend Property Calculation'!$A$6:$BF$152,'Base Blend Property Calculation'!BT59,FALSE)*'Bulk Plant Input'!$B$8</f>
        <v>0</v>
      </c>
      <c r="E70" s="446"/>
      <c r="F70" s="447"/>
      <c r="G70" s="446"/>
      <c r="H70" s="447"/>
      <c r="I70" s="160"/>
      <c r="J70" s="248" t="str">
        <f t="shared" si="0"/>
        <v/>
      </c>
    </row>
    <row r="71" spans="2:10" ht="34.5" hidden="1" customHeight="1" x14ac:dyDescent="0.3">
      <c r="B71" s="444" t="str">
        <f>INDEX('Base Blend Property Calculation'!$C$6:$BF$6,1,'Base Blend Property Calculation'!BT58)</f>
        <v>None</v>
      </c>
      <c r="C71" s="445"/>
      <c r="D71" s="153">
        <f>VLOOKUP('Bulk Plant Input'!$A$19, 'Base Blend Property Calculation'!$A$6:$BF$152,'Base Blend Property Calculation'!BT60,FALSE)*'Bulk Plant Input'!$B$8</f>
        <v>0</v>
      </c>
      <c r="E71" s="446"/>
      <c r="F71" s="447"/>
      <c r="G71" s="446"/>
      <c r="H71" s="447"/>
      <c r="I71" s="160"/>
      <c r="J71" s="248" t="str">
        <f t="shared" si="0"/>
        <v/>
      </c>
    </row>
    <row r="72" spans="2:10" ht="34.5" hidden="1" customHeight="1" x14ac:dyDescent="0.3">
      <c r="B72" s="444" t="str">
        <f>INDEX('Base Blend Property Calculation'!$C$6:$BF$6,1,'Base Blend Property Calculation'!BT59)</f>
        <v>None</v>
      </c>
      <c r="C72" s="445"/>
      <c r="D72" s="153">
        <f>VLOOKUP('Bulk Plant Input'!$A$19, 'Base Blend Property Calculation'!$A$6:$BF$152,'Base Blend Property Calculation'!BT61,FALSE)*'Bulk Plant Input'!$B$8</f>
        <v>0</v>
      </c>
      <c r="E72" s="446"/>
      <c r="F72" s="447"/>
      <c r="G72" s="446"/>
      <c r="H72" s="447"/>
      <c r="I72" s="160"/>
      <c r="J72" s="248" t="str">
        <f t="shared" si="0"/>
        <v/>
      </c>
    </row>
    <row r="73" spans="2:10" ht="34.5" hidden="1" customHeight="1" x14ac:dyDescent="0.3">
      <c r="B73" s="444" t="str">
        <f>INDEX('Base Blend Property Calculation'!$C$6:$BF$6,1,'Base Blend Property Calculation'!BT60)</f>
        <v>None</v>
      </c>
      <c r="C73" s="445"/>
      <c r="D73" s="153">
        <f>VLOOKUP('Bulk Plant Input'!$A$19, 'Base Blend Property Calculation'!$A$6:$BF$152,'Base Blend Property Calculation'!BT62,FALSE)*'Bulk Plant Input'!$B$8</f>
        <v>0</v>
      </c>
      <c r="E73" s="446"/>
      <c r="F73" s="447"/>
      <c r="G73" s="446"/>
      <c r="H73" s="447"/>
      <c r="I73" s="160"/>
      <c r="J73" s="248" t="str">
        <f t="shared" si="0"/>
        <v/>
      </c>
    </row>
    <row r="74" spans="2:10" ht="34.5" hidden="1" customHeight="1" x14ac:dyDescent="0.3">
      <c r="B74" s="444" t="str">
        <f>INDEX('Base Blend Property Calculation'!$C$6:$BF$6,1,'Base Blend Property Calculation'!BT61)</f>
        <v>None</v>
      </c>
      <c r="C74" s="445"/>
      <c r="D74" s="153">
        <f>VLOOKUP('Bulk Plant Input'!$A$19, 'Base Blend Property Calculation'!$A$6:$BF$152,'Base Blend Property Calculation'!BT63,FALSE)*'Bulk Plant Input'!$B$8</f>
        <v>0</v>
      </c>
      <c r="E74" s="446"/>
      <c r="F74" s="447"/>
      <c r="G74" s="446"/>
      <c r="H74" s="447"/>
      <c r="I74" s="160"/>
      <c r="J74" s="248" t="str">
        <f t="shared" si="0"/>
        <v/>
      </c>
    </row>
    <row r="75" spans="2:10" ht="34.5" hidden="1" customHeight="1" x14ac:dyDescent="0.3">
      <c r="B75" s="444" t="str">
        <f>INDEX('Base Blend Property Calculation'!$C$6:$BF$6,1,'Base Blend Property Calculation'!BT62)</f>
        <v>None</v>
      </c>
      <c r="C75" s="445"/>
      <c r="D75" s="153">
        <f>VLOOKUP('Bulk Plant Input'!$A$19, 'Base Blend Property Calculation'!$A$6:$BF$152,'Base Blend Property Calculation'!BT64,FALSE)*'Bulk Plant Input'!$B$8</f>
        <v>0</v>
      </c>
      <c r="E75" s="446"/>
      <c r="F75" s="447"/>
      <c r="G75" s="446"/>
      <c r="H75" s="447"/>
      <c r="I75" s="160"/>
      <c r="J75" s="248" t="str">
        <f t="shared" si="0"/>
        <v/>
      </c>
    </row>
    <row r="76" spans="2:10" ht="34.5" hidden="1" customHeight="1" x14ac:dyDescent="0.3">
      <c r="B76" s="444"/>
      <c r="C76" s="445"/>
      <c r="D76" s="153"/>
      <c r="E76" s="446"/>
      <c r="F76" s="447"/>
      <c r="G76" s="446"/>
      <c r="H76" s="447"/>
      <c r="I76" s="160"/>
      <c r="J76" s="248"/>
    </row>
    <row r="77" spans="2:10" ht="34.5" hidden="1" customHeight="1" x14ac:dyDescent="0.25">
      <c r="D77" s="196"/>
      <c r="I77" s="249"/>
      <c r="J77" s="249"/>
    </row>
    <row r="78" spans="2:10" ht="34.5" customHeight="1" x14ac:dyDescent="0.25">
      <c r="B78" s="456" t="s">
        <v>458</v>
      </c>
      <c r="C78" s="456"/>
      <c r="D78" s="154" t="s">
        <v>198</v>
      </c>
      <c r="I78" s="249"/>
      <c r="J78" s="249"/>
    </row>
    <row r="79" spans="2:10" ht="34.5" customHeight="1" x14ac:dyDescent="0.25">
      <c r="B79" s="448" t="s">
        <v>201</v>
      </c>
      <c r="C79" s="449"/>
      <c r="D79" s="155" t="s">
        <v>206</v>
      </c>
      <c r="E79" s="453" t="s">
        <v>509</v>
      </c>
      <c r="F79" s="454"/>
      <c r="G79" s="457" t="s">
        <v>200</v>
      </c>
      <c r="H79" s="457"/>
      <c r="I79" s="250" t="s">
        <v>1791</v>
      </c>
      <c r="J79" s="159" t="s">
        <v>1792</v>
      </c>
    </row>
    <row r="80" spans="2:10" ht="34.5" customHeight="1" x14ac:dyDescent="0.25">
      <c r="B80" s="446" t="str">
        <f>'Bulk Plant Input'!A23</f>
        <v>CFR-5</v>
      </c>
      <c r="C80" s="447"/>
      <c r="D80" s="153">
        <f>IF(B80=0,0,'Bulk Plant Input'!C23*'Bulk Plant Input'!$B$8)</f>
        <v>39</v>
      </c>
      <c r="E80" s="455"/>
      <c r="F80" s="455"/>
      <c r="G80" s="455"/>
      <c r="H80" s="455"/>
      <c r="I80" s="246"/>
      <c r="J80" s="247" t="str">
        <f>IF(D80="","",IF(I80="","",D80/I80))</f>
        <v/>
      </c>
    </row>
    <row r="81" spans="2:10" ht="34.5" customHeight="1" x14ac:dyDescent="0.25">
      <c r="B81" s="446" t="str">
        <f>'Bulk Plant Input'!A24</f>
        <v>CFL-4</v>
      </c>
      <c r="C81" s="447"/>
      <c r="D81" s="153">
        <f>IF(B81=0,0,'Bulk Plant Input'!C24*'Bulk Plant Input'!$B$8)</f>
        <v>156</v>
      </c>
      <c r="E81" s="455"/>
      <c r="F81" s="455"/>
      <c r="G81" s="455"/>
      <c r="H81" s="455"/>
      <c r="I81" s="246"/>
      <c r="J81" s="247" t="str">
        <f t="shared" ref="J81:J96" si="1">IF(D81="","",IF(I81="","",D81/I81))</f>
        <v/>
      </c>
    </row>
    <row r="82" spans="2:10" ht="34.5" customHeight="1" x14ac:dyDescent="0.25">
      <c r="B82" s="446" t="str">
        <f>'Bulk Plant Input'!A25</f>
        <v>FWC-2</v>
      </c>
      <c r="C82" s="447"/>
      <c r="D82" s="153">
        <f>IF(B82=0,0,'Bulk Plant Input'!C25*'Bulk Plant Input'!$B$8)</f>
        <v>520</v>
      </c>
      <c r="E82" s="455"/>
      <c r="F82" s="455"/>
      <c r="G82" s="455"/>
      <c r="H82" s="455"/>
      <c r="I82" s="246"/>
      <c r="J82" s="247" t="str">
        <f t="shared" si="1"/>
        <v/>
      </c>
    </row>
    <row r="83" spans="2:10" ht="34.5" customHeight="1" x14ac:dyDescent="0.25">
      <c r="B83" s="446" t="str">
        <f>'Bulk Plant Input'!A26</f>
        <v>LTR</v>
      </c>
      <c r="C83" s="447"/>
      <c r="D83" s="153">
        <f>IF(B83=0,0,'Bulk Plant Input'!C26*'Bulk Plant Input'!$B$8)</f>
        <v>39</v>
      </c>
      <c r="E83" s="455"/>
      <c r="F83" s="455"/>
      <c r="G83" s="455"/>
      <c r="H83" s="455"/>
      <c r="I83" s="246"/>
      <c r="J83" s="247" t="str">
        <f t="shared" si="1"/>
        <v/>
      </c>
    </row>
    <row r="84" spans="2:10" ht="34.5" customHeight="1" x14ac:dyDescent="0.25">
      <c r="B84" s="446" t="str">
        <f>'Bulk Plant Input'!A27</f>
        <v>CDF-6P</v>
      </c>
      <c r="C84" s="447"/>
      <c r="D84" s="153">
        <f>IF(B84=0,0,'Bulk Plant Input'!C27*'Bulk Plant Input'!$B$8)</f>
        <v>39</v>
      </c>
      <c r="E84" s="455"/>
      <c r="F84" s="455"/>
      <c r="G84" s="455"/>
      <c r="H84" s="455"/>
      <c r="I84" s="246"/>
      <c r="J84" s="247" t="str">
        <f t="shared" si="1"/>
        <v/>
      </c>
    </row>
    <row r="85" spans="2:10" ht="34.5" hidden="1" customHeight="1" x14ac:dyDescent="0.25">
      <c r="B85" s="446" t="str">
        <f>'Bulk Plant Input'!A28</f>
        <v>ASM-3</v>
      </c>
      <c r="C85" s="447"/>
      <c r="D85" s="153">
        <f>IF(B85=0,0,'Bulk Plant Input'!C28*'Bulk Plant Input'!$B$8)</f>
        <v>0</v>
      </c>
      <c r="E85" s="455"/>
      <c r="F85" s="455"/>
      <c r="G85" s="455"/>
      <c r="H85" s="455"/>
      <c r="I85" s="246"/>
      <c r="J85" s="247" t="str">
        <f t="shared" si="1"/>
        <v/>
      </c>
    </row>
    <row r="86" spans="2:10" ht="34.5" hidden="1" customHeight="1" x14ac:dyDescent="0.25">
      <c r="B86" s="446">
        <f>'Bulk Plant Input'!A29</f>
        <v>0</v>
      </c>
      <c r="C86" s="447"/>
      <c r="D86" s="153">
        <f>IF(B86=0,0,'Bulk Plant Input'!C29*'Bulk Plant Input'!$B$8)</f>
        <v>0</v>
      </c>
      <c r="E86" s="455"/>
      <c r="F86" s="455"/>
      <c r="G86" s="455"/>
      <c r="H86" s="455"/>
      <c r="I86" s="246"/>
      <c r="J86" s="247" t="str">
        <f t="shared" si="1"/>
        <v/>
      </c>
    </row>
    <row r="87" spans="2:10" ht="34.5" hidden="1" customHeight="1" x14ac:dyDescent="0.25">
      <c r="B87" s="446">
        <f>'Bulk Plant Input'!A30</f>
        <v>0</v>
      </c>
      <c r="C87" s="447"/>
      <c r="D87" s="153">
        <f>IF(B87=0,0,'Bulk Plant Input'!C30*'Bulk Plant Input'!$B$8)</f>
        <v>0</v>
      </c>
      <c r="E87" s="455"/>
      <c r="F87" s="455"/>
      <c r="G87" s="455"/>
      <c r="H87" s="455"/>
      <c r="I87" s="246"/>
      <c r="J87" s="247" t="str">
        <f t="shared" si="1"/>
        <v/>
      </c>
    </row>
    <row r="88" spans="2:10" ht="34.5" hidden="1" customHeight="1" x14ac:dyDescent="0.25">
      <c r="B88" s="446">
        <f>'Bulk Plant Input'!A31</f>
        <v>0</v>
      </c>
      <c r="C88" s="447"/>
      <c r="D88" s="153">
        <f>IF(B88=0,0,'Bulk Plant Input'!C31*'Bulk Plant Input'!$B$8)</f>
        <v>0</v>
      </c>
      <c r="E88" s="455"/>
      <c r="F88" s="455"/>
      <c r="G88" s="455"/>
      <c r="H88" s="455"/>
      <c r="I88" s="246"/>
      <c r="J88" s="247" t="str">
        <f t="shared" si="1"/>
        <v/>
      </c>
    </row>
    <row r="89" spans="2:10" ht="34.5" hidden="1" customHeight="1" x14ac:dyDescent="0.25">
      <c r="B89" s="446">
        <f>'Bulk Plant Input'!A32</f>
        <v>0</v>
      </c>
      <c r="C89" s="447"/>
      <c r="D89" s="153">
        <f>IF(B89=0,0,'Bulk Plant Input'!C32*'Bulk Plant Input'!$B$8)</f>
        <v>0</v>
      </c>
      <c r="E89" s="455"/>
      <c r="F89" s="455"/>
      <c r="G89" s="455"/>
      <c r="H89" s="455"/>
      <c r="I89" s="246"/>
      <c r="J89" s="247" t="str">
        <f t="shared" si="1"/>
        <v/>
      </c>
    </row>
    <row r="90" spans="2:10" ht="34.5" hidden="1" customHeight="1" x14ac:dyDescent="0.25">
      <c r="B90" s="446">
        <f>'Bulk Plant Input'!A33</f>
        <v>0</v>
      </c>
      <c r="C90" s="447"/>
      <c r="D90" s="153">
        <f>IF(B90=0,0,'Bulk Plant Input'!C33*'Bulk Plant Input'!$B$8)</f>
        <v>0</v>
      </c>
      <c r="E90" s="455"/>
      <c r="F90" s="455"/>
      <c r="G90" s="455"/>
      <c r="H90" s="455"/>
      <c r="I90" s="246"/>
      <c r="J90" s="247" t="str">
        <f t="shared" si="1"/>
        <v/>
      </c>
    </row>
    <row r="91" spans="2:10" ht="34.5" hidden="1" customHeight="1" x14ac:dyDescent="0.25">
      <c r="B91" s="446">
        <f>'Bulk Plant Input'!A34</f>
        <v>0</v>
      </c>
      <c r="C91" s="447"/>
      <c r="D91" s="153">
        <f>IF(B91=0,0,'Bulk Plant Input'!C34*'Bulk Plant Input'!$B$8)</f>
        <v>0</v>
      </c>
      <c r="E91" s="455"/>
      <c r="F91" s="455"/>
      <c r="G91" s="455"/>
      <c r="H91" s="455"/>
      <c r="I91" s="246"/>
      <c r="J91" s="247" t="str">
        <f t="shared" si="1"/>
        <v/>
      </c>
    </row>
    <row r="92" spans="2:10" ht="34.5" hidden="1" customHeight="1" x14ac:dyDescent="0.25">
      <c r="B92" s="446">
        <f>'Bulk Plant Input'!A35</f>
        <v>0</v>
      </c>
      <c r="C92" s="447"/>
      <c r="D92" s="153">
        <f>IF(B92=0,0,'Bulk Plant Input'!C35*'Bulk Plant Input'!$B$8)</f>
        <v>0</v>
      </c>
      <c r="E92" s="455"/>
      <c r="F92" s="455"/>
      <c r="G92" s="455"/>
      <c r="H92" s="455"/>
      <c r="I92" s="246"/>
      <c r="J92" s="247" t="str">
        <f t="shared" si="1"/>
        <v/>
      </c>
    </row>
    <row r="93" spans="2:10" ht="34.5" hidden="1" customHeight="1" x14ac:dyDescent="0.25">
      <c r="B93" s="446">
        <f>'Bulk Plant Input'!A36</f>
        <v>0</v>
      </c>
      <c r="C93" s="447"/>
      <c r="D93" s="153">
        <f>IF(B93=0,0,'Bulk Plant Input'!C36*'Bulk Plant Input'!$B$8)</f>
        <v>0</v>
      </c>
      <c r="E93" s="455"/>
      <c r="F93" s="455"/>
      <c r="G93" s="455"/>
      <c r="H93" s="455"/>
      <c r="I93" s="246"/>
      <c r="J93" s="247" t="str">
        <f t="shared" si="1"/>
        <v/>
      </c>
    </row>
    <row r="94" spans="2:10" ht="34.5" hidden="1" customHeight="1" x14ac:dyDescent="0.25">
      <c r="B94" s="455">
        <f>'Bulk Plant Input'!A37</f>
        <v>0</v>
      </c>
      <c r="C94" s="455"/>
      <c r="D94" s="153">
        <f>IF(B94=0,0,'Bulk Plant Input'!C37*'Bulk Plant Input'!$B$8)</f>
        <v>0</v>
      </c>
      <c r="E94" s="455"/>
      <c r="F94" s="455"/>
      <c r="G94" s="455"/>
      <c r="H94" s="455"/>
      <c r="I94" s="246"/>
      <c r="J94" s="247" t="str">
        <f t="shared" si="1"/>
        <v/>
      </c>
    </row>
    <row r="95" spans="2:10" ht="34.5" hidden="1" customHeight="1" x14ac:dyDescent="0.25">
      <c r="B95" s="455">
        <f>'Bulk Plant Input'!A43</f>
        <v>0</v>
      </c>
      <c r="C95" s="455"/>
      <c r="D95" s="153">
        <f>IF(B95=0,0,'Bulk Plant Input'!C43*'Bulk Plant Input'!$B$8)</f>
        <v>0</v>
      </c>
      <c r="E95" s="455"/>
      <c r="F95" s="455"/>
      <c r="G95" s="455"/>
      <c r="H95" s="455"/>
      <c r="I95" s="246"/>
      <c r="J95" s="247" t="str">
        <f t="shared" si="1"/>
        <v/>
      </c>
    </row>
    <row r="96" spans="2:10" ht="34.5" hidden="1" customHeight="1" x14ac:dyDescent="0.25">
      <c r="B96" s="455">
        <f>'Bulk Plant Input'!A44</f>
        <v>0</v>
      </c>
      <c r="C96" s="455"/>
      <c r="D96" s="153">
        <f>IF(B96=0,0,'Bulk Plant Input'!C44*'Bulk Plant Input'!$B$8)</f>
        <v>0</v>
      </c>
      <c r="E96" s="455"/>
      <c r="F96" s="455"/>
      <c r="G96" s="455"/>
      <c r="H96" s="455"/>
      <c r="I96" s="246"/>
      <c r="J96" s="247" t="str">
        <f t="shared" si="1"/>
        <v/>
      </c>
    </row>
    <row r="97" spans="1:10" ht="34.5" customHeight="1" x14ac:dyDescent="0.25">
      <c r="D97" s="161"/>
      <c r="I97" s="249"/>
      <c r="J97" s="249"/>
    </row>
    <row r="98" spans="1:10" x14ac:dyDescent="0.25">
      <c r="D98" s="161"/>
    </row>
    <row r="99" spans="1:10" x14ac:dyDescent="0.25">
      <c r="A99" s="165" t="s">
        <v>202</v>
      </c>
      <c r="B99" s="197"/>
      <c r="C99" s="198"/>
      <c r="D99" s="197"/>
      <c r="E99" s="197"/>
      <c r="F99" s="167" t="s">
        <v>203</v>
      </c>
      <c r="G99" s="197"/>
      <c r="H99" s="197"/>
      <c r="I99" s="197"/>
      <c r="J99" s="197"/>
    </row>
    <row r="100" spans="1:10" x14ac:dyDescent="0.25">
      <c r="C100" s="161"/>
    </row>
    <row r="101" spans="1:10" x14ac:dyDescent="0.25">
      <c r="A101" s="165" t="s">
        <v>204</v>
      </c>
      <c r="B101" s="197"/>
      <c r="C101" s="198"/>
      <c r="D101" s="197"/>
      <c r="E101" s="197"/>
    </row>
  </sheetData>
  <mergeCells count="236">
    <mergeCell ref="B2:D2"/>
    <mergeCell ref="B3:D3"/>
    <mergeCell ref="B4:D4"/>
    <mergeCell ref="G2:H2"/>
    <mergeCell ref="G3:H3"/>
    <mergeCell ref="G4:H4"/>
    <mergeCell ref="G5:H5"/>
    <mergeCell ref="H17:I17"/>
    <mergeCell ref="J17:K17"/>
    <mergeCell ref="A7:K7"/>
    <mergeCell ref="G96:H96"/>
    <mergeCell ref="E95:F95"/>
    <mergeCell ref="E96:F96"/>
    <mergeCell ref="E92:F92"/>
    <mergeCell ref="E93:F93"/>
    <mergeCell ref="E94:F94"/>
    <mergeCell ref="G95:H95"/>
    <mergeCell ref="G92:H92"/>
    <mergeCell ref="G93:H93"/>
    <mergeCell ref="G94:H94"/>
    <mergeCell ref="E89:F89"/>
    <mergeCell ref="E90:F90"/>
    <mergeCell ref="E91:F91"/>
    <mergeCell ref="G87:H87"/>
    <mergeCell ref="G88:H88"/>
    <mergeCell ref="G89:H89"/>
    <mergeCell ref="G90:H90"/>
    <mergeCell ref="G91:H91"/>
    <mergeCell ref="E79:F79"/>
    <mergeCell ref="E80:F80"/>
    <mergeCell ref="E81:F81"/>
    <mergeCell ref="E82:F82"/>
    <mergeCell ref="G79:H79"/>
    <mergeCell ref="G80:H80"/>
    <mergeCell ref="G81:H81"/>
    <mergeCell ref="E88:F88"/>
    <mergeCell ref="E87:F87"/>
    <mergeCell ref="E83:F83"/>
    <mergeCell ref="E84:F84"/>
    <mergeCell ref="E85:F85"/>
    <mergeCell ref="E86:F86"/>
    <mergeCell ref="G82:H82"/>
    <mergeCell ref="G83:H83"/>
    <mergeCell ref="G84:H84"/>
    <mergeCell ref="G85:H85"/>
    <mergeCell ref="G86:H86"/>
    <mergeCell ref="G65:H65"/>
    <mergeCell ref="G66:H66"/>
    <mergeCell ref="G67:H67"/>
    <mergeCell ref="G73:H73"/>
    <mergeCell ref="E76:F76"/>
    <mergeCell ref="E65:F65"/>
    <mergeCell ref="E71:F71"/>
    <mergeCell ref="E72:F72"/>
    <mergeCell ref="E73:F73"/>
    <mergeCell ref="E74:F74"/>
    <mergeCell ref="E75:F75"/>
    <mergeCell ref="E66:F66"/>
    <mergeCell ref="E67:F67"/>
    <mergeCell ref="E68:F68"/>
    <mergeCell ref="E69:F69"/>
    <mergeCell ref="G76:H76"/>
    <mergeCell ref="G75:H75"/>
    <mergeCell ref="G74:H74"/>
    <mergeCell ref="E70:F70"/>
    <mergeCell ref="G68:H68"/>
    <mergeCell ref="G69:H69"/>
    <mergeCell ref="G70:H70"/>
    <mergeCell ref="G71:H71"/>
    <mergeCell ref="G72:H72"/>
    <mergeCell ref="G61:H61"/>
    <mergeCell ref="G62:H62"/>
    <mergeCell ref="G63:H63"/>
    <mergeCell ref="G64:H64"/>
    <mergeCell ref="G51:H51"/>
    <mergeCell ref="G52:H52"/>
    <mergeCell ref="G53:H53"/>
    <mergeCell ref="G54:H54"/>
    <mergeCell ref="G55:H55"/>
    <mergeCell ref="G56:H56"/>
    <mergeCell ref="G57:H57"/>
    <mergeCell ref="G59:H59"/>
    <mergeCell ref="G60:H60"/>
    <mergeCell ref="B79:C79"/>
    <mergeCell ref="B80:C80"/>
    <mergeCell ref="B81:C81"/>
    <mergeCell ref="B82:C82"/>
    <mergeCell ref="B83:C83"/>
    <mergeCell ref="E36:F36"/>
    <mergeCell ref="G30:H30"/>
    <mergeCell ref="G31:H31"/>
    <mergeCell ref="G32:H32"/>
    <mergeCell ref="G45:H45"/>
    <mergeCell ref="G33:H33"/>
    <mergeCell ref="G34:H34"/>
    <mergeCell ref="G35:H35"/>
    <mergeCell ref="G36:H36"/>
    <mergeCell ref="G37:H37"/>
    <mergeCell ref="E41:F41"/>
    <mergeCell ref="E42:F42"/>
    <mergeCell ref="E43:F43"/>
    <mergeCell ref="E44:F44"/>
    <mergeCell ref="G38:H38"/>
    <mergeCell ref="G39:H39"/>
    <mergeCell ref="G40:H40"/>
    <mergeCell ref="G41:H41"/>
    <mergeCell ref="G42:H42"/>
    <mergeCell ref="B89:C89"/>
    <mergeCell ref="B90:C90"/>
    <mergeCell ref="B91:C91"/>
    <mergeCell ref="B92:C92"/>
    <mergeCell ref="B93:C93"/>
    <mergeCell ref="B84:C84"/>
    <mergeCell ref="B85:C85"/>
    <mergeCell ref="B86:C86"/>
    <mergeCell ref="B87:C87"/>
    <mergeCell ref="B88:C88"/>
    <mergeCell ref="E22:F22"/>
    <mergeCell ref="E21:F21"/>
    <mergeCell ref="B96:C96"/>
    <mergeCell ref="B95:C95"/>
    <mergeCell ref="B78:C78"/>
    <mergeCell ref="B94:C94"/>
    <mergeCell ref="B61:C61"/>
    <mergeCell ref="B62:C62"/>
    <mergeCell ref="B63:C63"/>
    <mergeCell ref="B64:C64"/>
    <mergeCell ref="B65:C65"/>
    <mergeCell ref="B66:C66"/>
    <mergeCell ref="B41:C41"/>
    <mergeCell ref="B54:C54"/>
    <mergeCell ref="B42:C42"/>
    <mergeCell ref="B43:C43"/>
    <mergeCell ref="B44:C44"/>
    <mergeCell ref="B35:C35"/>
    <mergeCell ref="B36:C36"/>
    <mergeCell ref="B37:C37"/>
    <mergeCell ref="B38:C38"/>
    <mergeCell ref="B39:C39"/>
    <mergeCell ref="E57:F57"/>
    <mergeCell ref="E58:F58"/>
    <mergeCell ref="A19:K19"/>
    <mergeCell ref="B47:C47"/>
    <mergeCell ref="E23:F23"/>
    <mergeCell ref="E24:F24"/>
    <mergeCell ref="E25:F25"/>
    <mergeCell ref="G43:H43"/>
    <mergeCell ref="G44:H44"/>
    <mergeCell ref="E38:F38"/>
    <mergeCell ref="E39:F39"/>
    <mergeCell ref="E40:F40"/>
    <mergeCell ref="G46:H46"/>
    <mergeCell ref="G47:H47"/>
    <mergeCell ref="E45:F45"/>
    <mergeCell ref="E37:F37"/>
    <mergeCell ref="E35:F35"/>
    <mergeCell ref="E34:F34"/>
    <mergeCell ref="E33:F33"/>
    <mergeCell ref="B33:C33"/>
    <mergeCell ref="B32:C32"/>
    <mergeCell ref="B31:C31"/>
    <mergeCell ref="B30:C30"/>
    <mergeCell ref="B22:C22"/>
    <mergeCell ref="G29:H29"/>
    <mergeCell ref="G28:H28"/>
    <mergeCell ref="G27:H27"/>
    <mergeCell ref="G26:H26"/>
    <mergeCell ref="G25:H25"/>
    <mergeCell ref="G24:H24"/>
    <mergeCell ref="G49:H49"/>
    <mergeCell ref="G50:H50"/>
    <mergeCell ref="G58:H58"/>
    <mergeCell ref="B76:C76"/>
    <mergeCell ref="B23:C23"/>
    <mergeCell ref="G48:H48"/>
    <mergeCell ref="B75:C75"/>
    <mergeCell ref="B74:C74"/>
    <mergeCell ref="B49:C49"/>
    <mergeCell ref="B53:C53"/>
    <mergeCell ref="B52:C52"/>
    <mergeCell ref="B51:C51"/>
    <mergeCell ref="B50:C50"/>
    <mergeCell ref="B40:C40"/>
    <mergeCell ref="E32:F32"/>
    <mergeCell ref="E61:F61"/>
    <mergeCell ref="E62:F62"/>
    <mergeCell ref="E63:F63"/>
    <mergeCell ref="E64:F64"/>
    <mergeCell ref="E56:F56"/>
    <mergeCell ref="E28:F28"/>
    <mergeCell ref="E59:F59"/>
    <mergeCell ref="B68:C68"/>
    <mergeCell ref="B67:C67"/>
    <mergeCell ref="B60:C60"/>
    <mergeCell ref="B59:C59"/>
    <mergeCell ref="B58:C58"/>
    <mergeCell ref="B57:C57"/>
    <mergeCell ref="B56:C56"/>
    <mergeCell ref="E60:F60"/>
    <mergeCell ref="E53:F53"/>
    <mergeCell ref="E54:F54"/>
    <mergeCell ref="E55:F55"/>
    <mergeCell ref="E46:F46"/>
    <mergeCell ref="E47:F47"/>
    <mergeCell ref="B29:C29"/>
    <mergeCell ref="B34:C34"/>
    <mergeCell ref="B48:C48"/>
    <mergeCell ref="E31:F31"/>
    <mergeCell ref="B45:C45"/>
    <mergeCell ref="B46:C46"/>
    <mergeCell ref="E30:F30"/>
    <mergeCell ref="E29:F29"/>
    <mergeCell ref="L16:Q19"/>
    <mergeCell ref="L20:Q21"/>
    <mergeCell ref="B73:C73"/>
    <mergeCell ref="B72:C72"/>
    <mergeCell ref="B71:C71"/>
    <mergeCell ref="B70:C70"/>
    <mergeCell ref="B69:C69"/>
    <mergeCell ref="E48:F48"/>
    <mergeCell ref="E49:F49"/>
    <mergeCell ref="E50:F50"/>
    <mergeCell ref="E51:F51"/>
    <mergeCell ref="G23:H23"/>
    <mergeCell ref="G22:H22"/>
    <mergeCell ref="G21:H21"/>
    <mergeCell ref="B55:C55"/>
    <mergeCell ref="B28:C28"/>
    <mergeCell ref="B27:C27"/>
    <mergeCell ref="B26:C26"/>
    <mergeCell ref="B25:C25"/>
    <mergeCell ref="B21:C21"/>
    <mergeCell ref="B24:C24"/>
    <mergeCell ref="E27:F27"/>
    <mergeCell ref="E26:F26"/>
    <mergeCell ref="E52:F52"/>
  </mergeCells>
  <conditionalFormatting sqref="L1:XFD9 L15:XFD15 L10:M14 Q10:XFD14 L22:XFD1048576 L16 R16:XFD21">
    <cfRule type="cellIs" dxfId="177" priority="8" operator="equal">
      <formula>0</formula>
    </cfRule>
  </conditionalFormatting>
  <conditionalFormatting sqref="A125:K1048576">
    <cfRule type="cellIs" dxfId="176" priority="7" operator="equal">
      <formula>0</formula>
    </cfRule>
  </conditionalFormatting>
  <conditionalFormatting sqref="N10:P14">
    <cfRule type="cellIs" dxfId="175" priority="6" operator="equal">
      <formula>0</formula>
    </cfRule>
  </conditionalFormatting>
  <conditionalFormatting sqref="L20">
    <cfRule type="cellIs" dxfId="174" priority="4" operator="equal">
      <formula>0</formula>
    </cfRule>
  </conditionalFormatting>
  <conditionalFormatting sqref="J17:K17">
    <cfRule type="cellIs" dxfId="173" priority="3" operator="equal">
      <formula>"NOT ENTERED"</formula>
    </cfRule>
  </conditionalFormatting>
  <conditionalFormatting sqref="D16:E16">
    <cfRule type="cellIs" dxfId="172" priority="2" operator="equal">
      <formula>"NOT ENTERED"</formula>
    </cfRule>
  </conditionalFormatting>
  <conditionalFormatting sqref="D16">
    <cfRule type="cellIs" dxfId="171" priority="1" operator="equal">
      <formula>""</formula>
    </cfRule>
  </conditionalFormatting>
  <dataValidations disablePrompts="1" count="1">
    <dataValidation type="list" allowBlank="1" showInputMessage="1" showErrorMessage="1" sqref="I22:I76 I80:I96" xr:uid="{00000000-0002-0000-0400-000000000000}">
      <formula1>BagSize</formula1>
    </dataValidation>
  </dataValidations>
  <pageMargins left="0.7" right="0.7" top="0.75" bottom="0.75" header="0.3" footer="0.3"/>
  <pageSetup scale="66" orientation="portrait" r:id="rId1"/>
  <headerFooter>
    <oddFooter>&amp;L&amp;F
Sheet Printed: &amp;T &amp;D
PRIVATE AND CONFIDENTIAL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theme="7" tint="0.59999389629810485"/>
  </sheetPr>
  <dimension ref="A1:Q549"/>
  <sheetViews>
    <sheetView view="pageBreakPreview" zoomScaleNormal="100" zoomScaleSheetLayoutView="100" workbookViewId="0">
      <selection activeCell="G433" sqref="G433"/>
    </sheetView>
  </sheetViews>
  <sheetFormatPr defaultRowHeight="15" x14ac:dyDescent="0.25"/>
  <cols>
    <col min="1" max="1" width="9.140625" style="165"/>
    <col min="2" max="2" width="14.140625" style="165" customWidth="1"/>
    <col min="3" max="3" width="12.7109375" style="165" customWidth="1"/>
    <col min="4" max="4" width="11" style="165" customWidth="1"/>
    <col min="5" max="9" width="9.7109375" style="165" customWidth="1"/>
    <col min="10" max="10" width="10.42578125" style="165" customWidth="1"/>
    <col min="11" max="13" width="9.140625" style="165"/>
    <col min="14" max="14" width="25.140625" style="165" customWidth="1"/>
    <col min="15" max="16384" width="9.140625" style="165"/>
  </cols>
  <sheetData>
    <row r="1" spans="1:17" x14ac:dyDescent="0.25">
      <c r="F1" s="166"/>
      <c r="G1" s="166"/>
      <c r="H1" s="161"/>
      <c r="I1" s="161"/>
      <c r="J1" s="161"/>
    </row>
    <row r="2" spans="1:17" x14ac:dyDescent="0.25">
      <c r="A2" s="167" t="s">
        <v>196</v>
      </c>
      <c r="B2" s="458">
        <f ca="1">'Bulk Plant Input'!B6</f>
        <v>43929</v>
      </c>
      <c r="C2" s="458"/>
      <c r="D2" s="458"/>
      <c r="E2" s="458"/>
      <c r="G2" s="167" t="s">
        <v>197</v>
      </c>
      <c r="H2" s="461">
        <f>'Bulk Plant Input'!B7</f>
        <v>0</v>
      </c>
      <c r="I2" s="466"/>
      <c r="J2" s="466"/>
      <c r="K2" s="466"/>
    </row>
    <row r="3" spans="1:17" ht="6.75" customHeight="1" x14ac:dyDescent="0.25">
      <c r="A3" s="167"/>
      <c r="B3" s="168"/>
      <c r="C3" s="168"/>
      <c r="D3" s="168"/>
      <c r="E3" s="168"/>
      <c r="G3" s="167"/>
      <c r="H3" s="169"/>
      <c r="I3" s="161"/>
      <c r="J3" s="161"/>
      <c r="K3" s="161"/>
    </row>
    <row r="4" spans="1:17" x14ac:dyDescent="0.25">
      <c r="A4" s="167" t="s">
        <v>502</v>
      </c>
      <c r="B4" s="461">
        <f>'Bulk Plant Input'!B3</f>
        <v>0</v>
      </c>
      <c r="C4" s="466"/>
      <c r="D4" s="466"/>
      <c r="E4" s="466"/>
      <c r="G4" s="167" t="s">
        <v>503</v>
      </c>
      <c r="H4" s="461">
        <f>'Bulk Plant Input'!B4</f>
        <v>0</v>
      </c>
      <c r="I4" s="466"/>
      <c r="J4" s="466"/>
      <c r="K4" s="466"/>
    </row>
    <row r="5" spans="1:17" ht="7.5" customHeight="1" thickBot="1" x14ac:dyDescent="0.3">
      <c r="A5" s="170"/>
      <c r="B5" s="170"/>
      <c r="C5" s="170"/>
      <c r="D5" s="170"/>
      <c r="E5" s="170"/>
      <c r="F5" s="170"/>
      <c r="G5" s="170"/>
      <c r="H5" s="170"/>
      <c r="I5" s="170"/>
      <c r="J5" s="170"/>
      <c r="K5" s="170"/>
      <c r="N5" s="171"/>
    </row>
    <row r="6" spans="1:17" ht="7.5" customHeight="1" x14ac:dyDescent="0.25">
      <c r="N6" s="171"/>
      <c r="O6" s="172"/>
      <c r="P6" s="171"/>
      <c r="Q6" s="171"/>
    </row>
    <row r="7" spans="1:17" ht="15.75" x14ac:dyDescent="0.25">
      <c r="A7" s="467" t="str">
        <f>'Bulk Plant Input'!$A$19</f>
        <v>0:1:0 'G'</v>
      </c>
      <c r="B7" s="467"/>
      <c r="C7" s="467"/>
      <c r="D7" s="467"/>
      <c r="E7" s="467"/>
      <c r="F7" s="467"/>
      <c r="G7" s="467"/>
      <c r="H7" s="467"/>
      <c r="I7" s="467"/>
      <c r="J7" s="467"/>
      <c r="K7" s="467"/>
      <c r="L7" s="173"/>
      <c r="M7" s="173"/>
      <c r="N7" s="174"/>
      <c r="O7" s="175"/>
      <c r="Q7" s="171"/>
    </row>
    <row r="8" spans="1:17" ht="7.5" customHeight="1" x14ac:dyDescent="0.25">
      <c r="A8" s="176"/>
      <c r="B8" s="161"/>
      <c r="C8" s="161"/>
      <c r="D8" s="161"/>
      <c r="E8" s="161"/>
      <c r="F8" s="177"/>
      <c r="L8" s="173"/>
      <c r="M8" s="173"/>
      <c r="Q8" s="171"/>
    </row>
    <row r="9" spans="1:17" ht="15.75" customHeight="1" x14ac:dyDescent="0.25">
      <c r="A9" s="176"/>
      <c r="B9" s="178" t="str">
        <f>IF('Bulk Plant Input'!A23="","",'Bulk Plant Input'!$A23)</f>
        <v>CFR-5</v>
      </c>
      <c r="C9" s="179">
        <f>IF('Bulk Plant Input'!A23="","",'Bulk Plant Input'!$B23)</f>
        <v>0.15</v>
      </c>
      <c r="D9" s="180" t="str">
        <f>IF(B9="","", VLOOKUP(B9,'SPECIFIC GRAVITIES'!$A$4:$C$138,3,FALSE))</f>
        <v>%</v>
      </c>
      <c r="E9" s="178" t="str">
        <f>IF('Bulk Plant Input'!A29="","",'Bulk Plant Input'!$A29)</f>
        <v/>
      </c>
      <c r="F9" s="179" t="str">
        <f>IF('Bulk Plant Input'!A29="","",'Bulk Plant Input'!$B29)</f>
        <v/>
      </c>
      <c r="G9" s="180" t="str">
        <f>IF(E9="","", VLOOKUP(E9,'SPECIFIC GRAVITIES'!$A$4:$C$138,3,FALSE))</f>
        <v/>
      </c>
      <c r="H9" s="178" t="str">
        <f>IF('Bulk Plant Input'!D35="","",'Bulk Plant Input'!$A35)</f>
        <v/>
      </c>
      <c r="I9" s="179" t="str">
        <f>IF('Bulk Plant Input'!D35="","",'Bulk Plant Input'!$B35)</f>
        <v/>
      </c>
      <c r="J9" s="180" t="str">
        <f>IF(H9="","", VLOOKUP(H9,'SPECIFIC GRAVITIES'!$A$4:$C$138,3,FALSE))</f>
        <v/>
      </c>
      <c r="L9" s="173"/>
      <c r="M9" s="173"/>
      <c r="Q9" s="171"/>
    </row>
    <row r="10" spans="1:17" x14ac:dyDescent="0.25">
      <c r="A10" s="173"/>
      <c r="B10" s="178" t="str">
        <f>IF('Bulk Plant Input'!A24="","",'Bulk Plant Input'!$A24)</f>
        <v>CFL-4</v>
      </c>
      <c r="C10" s="179">
        <f>IF('Bulk Plant Input'!A24="","",'Bulk Plant Input'!$B24)</f>
        <v>0.6</v>
      </c>
      <c r="D10" s="180" t="str">
        <f>IF(B10="","", VLOOKUP(B10,'SPECIFIC GRAVITIES'!$A$4:$C$138,3,FALSE))</f>
        <v>%</v>
      </c>
      <c r="E10" s="178" t="str">
        <f>IF('Bulk Plant Input'!A30="","",'Bulk Plant Input'!$A30)</f>
        <v/>
      </c>
      <c r="F10" s="179" t="str">
        <f>IF('Bulk Plant Input'!A30="","",'Bulk Plant Input'!$B30)</f>
        <v/>
      </c>
      <c r="G10" s="180" t="str">
        <f>IF(E10="","", VLOOKUP(E10,'SPECIFIC GRAVITIES'!$A$4:$C$138,3,FALSE))</f>
        <v/>
      </c>
      <c r="H10" s="178" t="str">
        <f>IF('Bulk Plant Input'!D36="","",'Bulk Plant Input'!$A36)</f>
        <v/>
      </c>
      <c r="I10" s="181" t="str">
        <f>IF('Bulk Plant Input'!D36="","",'Bulk Plant Input'!$B36)</f>
        <v/>
      </c>
      <c r="J10" s="180" t="str">
        <f>IF(H10="","", VLOOKUP(H10,'SPECIFIC GRAVITIES'!$A$4:$C$138,3,FALSE))</f>
        <v/>
      </c>
      <c r="L10" s="173"/>
      <c r="M10" s="173"/>
      <c r="Q10" s="171"/>
    </row>
    <row r="11" spans="1:17" x14ac:dyDescent="0.25">
      <c r="A11" s="173"/>
      <c r="B11" s="178" t="str">
        <f>IF('Bulk Plant Input'!A25="","",'Bulk Plant Input'!$A25)</f>
        <v>FWC-2</v>
      </c>
      <c r="C11" s="179">
        <f>IF('Bulk Plant Input'!A25="","",'Bulk Plant Input'!$B26)</f>
        <v>0.15</v>
      </c>
      <c r="D11" s="180" t="str">
        <f>IF(B11="","", VLOOKUP(B11,'SPECIFIC GRAVITIES'!$A$4:$C$138,3,FALSE))</f>
        <v>%</v>
      </c>
      <c r="E11" s="178" t="str">
        <f>IF('Bulk Plant Input'!A31="","",'Bulk Plant Input'!$A31)</f>
        <v/>
      </c>
      <c r="F11" s="179" t="str">
        <f>IF('Bulk Plant Input'!A31="","",'Bulk Plant Input'!$B31)</f>
        <v/>
      </c>
      <c r="G11" s="180" t="str">
        <f>IF(E11="","", VLOOKUP(E11,'SPECIFIC GRAVITIES'!$A$4:$C$138,3,FALSE))</f>
        <v/>
      </c>
      <c r="H11" s="178" t="str">
        <f>IF('Bulk Plant Input'!D37="","",'Bulk Plant Input'!$A37)</f>
        <v/>
      </c>
      <c r="I11" s="181" t="str">
        <f>IF('Bulk Plant Input'!D37="","",'Bulk Plant Input'!$B37)</f>
        <v/>
      </c>
      <c r="J11" s="180" t="str">
        <f>IF(H11="","", VLOOKUP(H11,'SPECIFIC GRAVITIES'!$A$4:$C$138,3,FALSE))</f>
        <v/>
      </c>
      <c r="L11" s="173"/>
      <c r="M11" s="173"/>
      <c r="Q11" s="171"/>
    </row>
    <row r="12" spans="1:17" ht="15" customHeight="1" x14ac:dyDescent="0.25">
      <c r="A12" s="173"/>
      <c r="B12" s="178" t="str">
        <f>IF('Bulk Plant Input'!A26="","",'Bulk Plant Input'!$A26)</f>
        <v>LTR</v>
      </c>
      <c r="C12" s="179" t="e">
        <f>IF('Bulk Plant Input'!A26="","",'Bulk Plant Input'!#REF!)</f>
        <v>#REF!</v>
      </c>
      <c r="D12" s="180" t="str">
        <f>IF(B12="","", VLOOKUP(B12,'SPECIFIC GRAVITIES'!$A$4:$C$138,3,FALSE))</f>
        <v>%</v>
      </c>
      <c r="E12" s="178" t="str">
        <f>IF('Bulk Plant Input'!A32="","",'Bulk Plant Input'!$A32)</f>
        <v/>
      </c>
      <c r="F12" s="179" t="str">
        <f>IF('Bulk Plant Input'!A32="","",'Bulk Plant Input'!$B32)</f>
        <v/>
      </c>
      <c r="G12" s="180" t="str">
        <f>IF(E12="","", VLOOKUP(E12,'SPECIFIC GRAVITIES'!$A$4:$C$138,3,FALSE))</f>
        <v/>
      </c>
      <c r="H12" s="178" t="str">
        <f>IF('Bulk Plant Input'!A43="", "",'Bulk Plant Input'!A43)</f>
        <v/>
      </c>
      <c r="I12" s="181" t="str">
        <f>IF('Bulk Plant Input'!A43="","",'Bulk Plant Input'!B43)</f>
        <v/>
      </c>
      <c r="J12" s="178" t="str">
        <f>IF(H12="","", VLOOKUP(H12,'SPECIFIC GRAVITIES'!$A$4:$C$138,3,FALSE))</f>
        <v/>
      </c>
      <c r="L12" s="173"/>
      <c r="M12" s="173"/>
      <c r="Q12" s="171"/>
    </row>
    <row r="13" spans="1:17" x14ac:dyDescent="0.25">
      <c r="A13" s="173"/>
      <c r="B13" s="178" t="str">
        <f>IF('Bulk Plant Input'!A27="","",'Bulk Plant Input'!$A27)</f>
        <v>CDF-6P</v>
      </c>
      <c r="C13" s="179">
        <f>IF('Bulk Plant Input'!A27="","",'Bulk Plant Input'!$B27)</f>
        <v>0.15</v>
      </c>
      <c r="D13" s="180" t="str">
        <f>IF(B13="","", VLOOKUP(B13,'SPECIFIC GRAVITIES'!$A$4:$C$138,3,FALSE))</f>
        <v>%</v>
      </c>
      <c r="E13" s="178" t="str">
        <f>IF('Bulk Plant Input'!D33="","",'Bulk Plant Input'!$A33)</f>
        <v/>
      </c>
      <c r="F13" s="179" t="str">
        <f>IF('Bulk Plant Input'!D33="","",'Bulk Plant Input'!$B33)</f>
        <v/>
      </c>
      <c r="G13" s="180" t="str">
        <f>IF(E13="","", VLOOKUP(E13,'SPECIFIC GRAVITIES'!$A$4:$C$138,3,FALSE))</f>
        <v/>
      </c>
      <c r="H13" s="178" t="str">
        <f>IF('Bulk Plant Input'!A44="", "",'Bulk Plant Input'!A44)</f>
        <v/>
      </c>
      <c r="I13" s="179" t="str">
        <f>IF('Bulk Plant Input'!A44="","",'Bulk Plant Input'!B44)</f>
        <v/>
      </c>
      <c r="J13" s="178" t="str">
        <f>IF(H13="","", VLOOKUP(H13,'SPECIFIC GRAVITIES'!$A$4:$C$138,3,FALSE))</f>
        <v/>
      </c>
      <c r="L13" s="173"/>
      <c r="M13" s="173"/>
      <c r="Q13" s="171"/>
    </row>
    <row r="14" spans="1:17" x14ac:dyDescent="0.25">
      <c r="A14" s="173"/>
      <c r="B14" s="178" t="str">
        <f>IF('Bulk Plant Input'!A28="","",'Bulk Plant Input'!$A28)</f>
        <v>ASM-3</v>
      </c>
      <c r="C14" s="179">
        <f>IF('Bulk Plant Input'!A28="","",'Bulk Plant Input'!$B28)</f>
        <v>0</v>
      </c>
      <c r="D14" s="180" t="str">
        <f>IF(B14="","", VLOOKUP(B14,'SPECIFIC GRAVITIES'!$A$4:$C$138,3,FALSE))</f>
        <v>%</v>
      </c>
      <c r="E14" s="178" t="str">
        <f>IF('Bulk Plant Input'!D34="","",'Bulk Plant Input'!$A34)</f>
        <v/>
      </c>
      <c r="F14" s="179" t="str">
        <f>IF('Bulk Plant Input'!D34="","",'Bulk Plant Input'!$B34)</f>
        <v/>
      </c>
      <c r="G14" s="180" t="str">
        <f>IF(E14="","", VLOOKUP(E14,'SPECIFIC GRAVITIES'!$A$4:$C$138,3,FALSE))</f>
        <v/>
      </c>
      <c r="J14" s="178" t="str">
        <f>IF(I14="","", VLOOKUP(I14,'SPECIFIC GRAVITIES'!$A$4:$C$138,3,FALSE))</f>
        <v/>
      </c>
      <c r="L14" s="173"/>
      <c r="M14" s="173"/>
      <c r="Q14" s="171"/>
    </row>
    <row r="15" spans="1:17" x14ac:dyDescent="0.25">
      <c r="A15" s="173"/>
      <c r="D15" s="178"/>
      <c r="K15" s="173"/>
      <c r="L15" s="173"/>
      <c r="M15" s="173"/>
      <c r="P15" s="182"/>
      <c r="Q15" s="171"/>
    </row>
    <row r="16" spans="1:17" ht="15" customHeight="1" x14ac:dyDescent="0.25">
      <c r="A16" s="173"/>
      <c r="C16" s="167" t="s">
        <v>185</v>
      </c>
      <c r="D16" s="183">
        <f>IF('Bulk Plant Input'!B9="","",'Bulk Plant Input'!B9)</f>
        <v>1</v>
      </c>
      <c r="E16" s="184"/>
      <c r="F16" s="167" t="s">
        <v>468</v>
      </c>
      <c r="G16" s="185">
        <f>'Bulk Plant Input'!B8</f>
        <v>26</v>
      </c>
      <c r="I16" s="167" t="s">
        <v>470</v>
      </c>
      <c r="J16" s="185">
        <f>'Bulk Plant Input'!B17</f>
        <v>18.606249999999999</v>
      </c>
      <c r="K16" s="173"/>
      <c r="L16" s="443" t="str">
        <f>IF('Bulk Plant Input'!C10 = "ENTER PROGRAMMED BLEND DENSITY HERE", "PROGRAMMED DENSITY WAS NOT ENTERED", 'Bulk Plant Input'!C10)</f>
        <v>BLEND DENSITY OUTSIDE OPTIMAL RANGE - CONFIRM BLEND PRIOR TO LOADING</v>
      </c>
      <c r="M16" s="443"/>
      <c r="N16" s="443"/>
      <c r="O16" s="443"/>
      <c r="P16" s="443"/>
      <c r="Q16" s="443"/>
    </row>
    <row r="17" spans="1:17" ht="15" customHeight="1" x14ac:dyDescent="0.25">
      <c r="A17" s="173"/>
      <c r="C17" s="167" t="s">
        <v>465</v>
      </c>
      <c r="D17" s="186">
        <f>'Bulk Plant Input'!B13</f>
        <v>1030.5</v>
      </c>
      <c r="E17" s="178"/>
      <c r="F17" s="167" t="s">
        <v>469</v>
      </c>
      <c r="G17" s="187">
        <f>'Bulk Plant Input'!B15</f>
        <v>26.792999999999999</v>
      </c>
      <c r="H17" s="463" t="s">
        <v>186</v>
      </c>
      <c r="I17" s="463"/>
      <c r="J17" s="464" t="str">
        <f>IF('Bulk Plant Input'!B10="","NOT ENTERED", "       "&amp;'Bulk Plant Input'!B10)</f>
        <v xml:space="preserve">       1885</v>
      </c>
      <c r="K17" s="464"/>
      <c r="L17" s="443"/>
      <c r="M17" s="443"/>
      <c r="N17" s="443"/>
      <c r="O17" s="443"/>
      <c r="P17" s="443"/>
      <c r="Q17" s="443"/>
    </row>
    <row r="18" spans="1:17" ht="15" customHeight="1" x14ac:dyDescent="0.25">
      <c r="A18" s="173"/>
      <c r="C18" s="167" t="s">
        <v>549</v>
      </c>
      <c r="D18" s="186" t="str">
        <f>IF('Bulk Plant Input'!I6="","",'Bulk Plant Input'!I6)</f>
        <v>Functionality Coming</v>
      </c>
      <c r="K18" s="173"/>
      <c r="L18" s="443"/>
      <c r="M18" s="443"/>
      <c r="N18" s="443"/>
      <c r="O18" s="443"/>
      <c r="P18" s="443"/>
      <c r="Q18" s="443"/>
    </row>
    <row r="19" spans="1:17" ht="33.75" customHeight="1" x14ac:dyDescent="0.55000000000000004">
      <c r="A19" s="452" t="str">
        <f>'Bulk Plant Input'!A20</f>
        <v/>
      </c>
      <c r="B19" s="452"/>
      <c r="C19" s="452"/>
      <c r="D19" s="452"/>
      <c r="E19" s="452"/>
      <c r="F19" s="452"/>
      <c r="G19" s="452"/>
      <c r="H19" s="452"/>
      <c r="I19" s="452"/>
      <c r="J19" s="452"/>
      <c r="K19" s="452"/>
      <c r="L19" s="443"/>
      <c r="M19" s="443"/>
      <c r="N19" s="443"/>
      <c r="O19" s="443"/>
      <c r="P19" s="443"/>
      <c r="Q19" s="443"/>
    </row>
    <row r="20" spans="1:17" ht="21" hidden="1" x14ac:dyDescent="0.35">
      <c r="B20" s="456" t="str">
        <f>IF('Bulk Plant Input'!$I$12="","1st Batch Not Entered","BASE BLEND - Batch 1")</f>
        <v>1st Batch Not Entered</v>
      </c>
      <c r="C20" s="456"/>
      <c r="D20" s="199" t="s">
        <v>198</v>
      </c>
      <c r="E20" s="191"/>
      <c r="F20" s="191"/>
      <c r="G20" s="191"/>
      <c r="H20" s="191"/>
      <c r="I20" s="191"/>
      <c r="J20" s="191"/>
      <c r="L20" s="443" t="str">
        <f>IF('Max Add &amp; Blend Densities'!L30=0,"", "ABNORMAL ADDITIVE LOADING - CONFIRM WITH CLIENT SOLUTIONS PRIOR TO BLENDING")</f>
        <v>ABNORMAL ADDITIVE LOADING - CONFIRM WITH CLIENT SOLUTIONS PRIOR TO BLENDING</v>
      </c>
      <c r="M20" s="443"/>
      <c r="N20" s="443"/>
      <c r="O20" s="443"/>
      <c r="P20" s="443"/>
      <c r="Q20" s="443"/>
    </row>
    <row r="21" spans="1:17" ht="42.75" hidden="1" customHeight="1" x14ac:dyDescent="0.25">
      <c r="B21" s="450" t="str">
        <f>IF('Bulk Plant Input'!$I$12="","","Material")</f>
        <v/>
      </c>
      <c r="C21" s="451"/>
      <c r="D21" s="192" t="str">
        <f>IF('Bulk Plant Input'!$I$12="","","Required (kg)")</f>
        <v/>
      </c>
      <c r="E21" s="453" t="str">
        <f>IF('Bulk Plant Input'!$I$12="","","Loaded (kg)")</f>
        <v/>
      </c>
      <c r="F21" s="454"/>
      <c r="G21" s="448" t="str">
        <f>IF('Bulk Plant Input'!$I$12="","","Lot #")</f>
        <v/>
      </c>
      <c r="H21" s="449"/>
      <c r="I21" s="193"/>
      <c r="J21" s="194"/>
      <c r="L21" s="443"/>
      <c r="M21" s="443"/>
      <c r="N21" s="443"/>
      <c r="O21" s="443"/>
      <c r="P21" s="443"/>
      <c r="Q21" s="443"/>
    </row>
    <row r="22" spans="1:17" ht="20.100000000000001" hidden="1" customHeight="1" x14ac:dyDescent="0.25">
      <c r="B22" s="444" t="str">
        <f>INDEX('Base Blend Property Calculation'!$C$6:$BF$6,1,'Base Blend Property Calculation'!BT7)</f>
        <v>Class A</v>
      </c>
      <c r="C22" s="445"/>
      <c r="D22" s="153">
        <f>VLOOKUP('Bulk Plant Input'!$A$19, 'Base Blend Property Calculation'!$A$6:$BF$152,'Base Blend Property Calculation'!BT9,FALSE)*('Bulk Plant Input'!$I$12/('Bulk Plant Input'!$B$13/1000))</f>
        <v>0</v>
      </c>
      <c r="E22" s="446"/>
      <c r="F22" s="447"/>
      <c r="G22" s="446"/>
      <c r="H22" s="447"/>
      <c r="J22" s="195"/>
    </row>
    <row r="23" spans="1:17" ht="20.100000000000001" hidden="1" customHeight="1" x14ac:dyDescent="0.25">
      <c r="B23" s="444" t="str">
        <f>INDEX('Base Blend Property Calculation'!$C$6:$BF$6,1,'Base Blend Property Calculation'!BT8)</f>
        <v>Class C</v>
      </c>
      <c r="C23" s="445"/>
      <c r="D23" s="153">
        <f>VLOOKUP('Bulk Plant Input'!$A$19, 'Base Blend Property Calculation'!$A$6:$BF$152,'Base Blend Property Calculation'!BT10,FALSE)*('Bulk Plant Input'!$I$12/('Bulk Plant Input'!$B$13/1000))</f>
        <v>0</v>
      </c>
      <c r="E23" s="446"/>
      <c r="F23" s="447"/>
      <c r="G23" s="446"/>
      <c r="H23" s="447"/>
    </row>
    <row r="24" spans="1:17" hidden="1" x14ac:dyDescent="0.25">
      <c r="B24" s="444" t="str">
        <f>INDEX('Base Blend Property Calculation'!$C$6:$BF$6,1,'Base Blend Property Calculation'!BT9)</f>
        <v>Class G</v>
      </c>
      <c r="C24" s="445"/>
      <c r="D24" s="153">
        <f>VLOOKUP('Bulk Plant Input'!$A$19, 'Base Blend Property Calculation'!$A$6:$BF$152,'Base Blend Property Calculation'!BT11,FALSE)*('Bulk Plant Input'!$I$12/('Bulk Plant Input'!$B$13/1000))</f>
        <v>0</v>
      </c>
      <c r="E24" s="446"/>
      <c r="F24" s="447"/>
      <c r="G24" s="446"/>
      <c r="H24" s="447"/>
    </row>
    <row r="25" spans="1:17" ht="20.100000000000001" hidden="1" customHeight="1" x14ac:dyDescent="0.25">
      <c r="B25" s="444" t="str">
        <f>INDEX('Base Blend Property Calculation'!$C$6:$BF$6,1,'Base Blend Property Calculation'!BT10)</f>
        <v>Class H</v>
      </c>
      <c r="C25" s="445"/>
      <c r="D25" s="153">
        <f>VLOOKUP('Bulk Plant Input'!$A$19, 'Base Blend Property Calculation'!$A$6:$BF$152,'Base Blend Property Calculation'!BT12,FALSE)*('Bulk Plant Input'!$I$12/('Bulk Plant Input'!$B$13/1000))</f>
        <v>0</v>
      </c>
      <c r="E25" s="446"/>
      <c r="F25" s="447"/>
      <c r="G25" s="446"/>
      <c r="H25" s="447"/>
    </row>
    <row r="26" spans="1:17" ht="20.100000000000001" hidden="1" customHeight="1" x14ac:dyDescent="0.25">
      <c r="B26" s="444" t="str">
        <f>INDEX('Base Blend Property Calculation'!$C$6:$BF$6,1,'Base Blend Property Calculation'!BT11)</f>
        <v>Intercem</v>
      </c>
      <c r="C26" s="445"/>
      <c r="D26" s="153">
        <f>VLOOKUP('Bulk Plant Input'!$A$19, 'Base Blend Property Calculation'!$A$6:$BF$152,'Base Blend Property Calculation'!BT13,FALSE)*('Bulk Plant Input'!$I$12/('Bulk Plant Input'!$B$13/1000))</f>
        <v>0</v>
      </c>
      <c r="E26" s="446"/>
      <c r="F26" s="447"/>
      <c r="G26" s="446"/>
      <c r="H26" s="447"/>
    </row>
    <row r="27" spans="1:17" ht="20.100000000000001" hidden="1" customHeight="1" x14ac:dyDescent="0.25">
      <c r="B27" s="444" t="str">
        <f>INDEX('Base Blend Property Calculation'!$C$6:$BF$6,1,'Base Blend Property Calculation'!BT12)</f>
        <v>Colloid SQ-A</v>
      </c>
      <c r="C27" s="445"/>
      <c r="D27" s="153">
        <f>VLOOKUP('Bulk Plant Input'!$A$19, 'Base Blend Property Calculation'!$A$6:$BF$152,'Base Blend Property Calculation'!BT14,FALSE)*('Bulk Plant Input'!$I$12/('Bulk Plant Input'!$B$13/1000))</f>
        <v>0</v>
      </c>
      <c r="E27" s="446"/>
      <c r="F27" s="447"/>
      <c r="G27" s="446"/>
      <c r="H27" s="447"/>
    </row>
    <row r="28" spans="1:17" ht="20.100000000000001" hidden="1" customHeight="1" x14ac:dyDescent="0.25">
      <c r="B28" s="444" t="str">
        <f>INDEX('Base Blend Property Calculation'!$C$6:$BF$6,1,'Base Blend Property Calculation'!BT13)</f>
        <v>Flyash</v>
      </c>
      <c r="C28" s="445"/>
      <c r="D28" s="153">
        <f>VLOOKUP('Bulk Plant Input'!$A$19, 'Base Blend Property Calculation'!$A$6:$BF$152,'Base Blend Property Calculation'!BT15,FALSE)*('Bulk Plant Input'!$I$12/('Bulk Plant Input'!$B$13/1000))</f>
        <v>0</v>
      </c>
      <c r="E28" s="446"/>
      <c r="F28" s="447"/>
      <c r="G28" s="446"/>
      <c r="H28" s="447"/>
    </row>
    <row r="29" spans="1:17" ht="20.100000000000001" hidden="1" customHeight="1" x14ac:dyDescent="0.25">
      <c r="B29" s="444" t="str">
        <f>INDEX('Base Blend Property Calculation'!$C$6:$BF$6,1,'Base Blend Property Calculation'!BT14)</f>
        <v>Flyash (Sask)</v>
      </c>
      <c r="C29" s="445"/>
      <c r="D29" s="153">
        <f>VLOOKUP('Bulk Plant Input'!$A$19, 'Base Blend Property Calculation'!$A$6:$BF$152,'Base Blend Property Calculation'!BT16,FALSE)*('Bulk Plant Input'!$I$12/('Bulk Plant Input'!$B$13/1000))</f>
        <v>0</v>
      </c>
      <c r="E29" s="446"/>
      <c r="F29" s="447"/>
      <c r="G29" s="446"/>
      <c r="H29" s="447"/>
    </row>
    <row r="30" spans="1:17" ht="30" hidden="1" customHeight="1" x14ac:dyDescent="0.25">
      <c r="B30" s="444" t="str">
        <f>INDEX('Base Blend Property Calculation'!$C$6:$BF$6,1,'Base Blend Property Calculation'!BT15)</f>
        <v>Densified Fume</v>
      </c>
      <c r="C30" s="445"/>
      <c r="D30" s="153">
        <f>VLOOKUP('Bulk Plant Input'!$A$19, 'Base Blend Property Calculation'!$A$6:$BF$152,'Base Blend Property Calculation'!BT17,FALSE)*('Bulk Plant Input'!$I$12/('Bulk Plant Input'!$B$13/1000))</f>
        <v>0</v>
      </c>
      <c r="E30" s="446"/>
      <c r="F30" s="447"/>
      <c r="G30" s="446"/>
      <c r="H30" s="447"/>
    </row>
    <row r="31" spans="1:17" ht="20.100000000000001" hidden="1" customHeight="1" x14ac:dyDescent="0.25">
      <c r="B31" s="444" t="str">
        <f>INDEX('Base Blend Property Calculation'!$C$6:$BF$6,1,'Base Blend Property Calculation'!BT16)</f>
        <v>Silica Fume - Semi-Densified</v>
      </c>
      <c r="C31" s="445"/>
      <c r="D31" s="153">
        <f>VLOOKUP('Bulk Plant Input'!$A$19, 'Base Blend Property Calculation'!$A$6:$BF$152,'Base Blend Property Calculation'!BT18,FALSE)*('Bulk Plant Input'!$I$12/('Bulk Plant Input'!$B$13/1000))</f>
        <v>0</v>
      </c>
      <c r="E31" s="446"/>
      <c r="F31" s="447"/>
      <c r="G31" s="446"/>
      <c r="H31" s="447"/>
    </row>
    <row r="32" spans="1:17" ht="20.100000000000001" hidden="1" customHeight="1" x14ac:dyDescent="0.25">
      <c r="B32" s="444" t="str">
        <f>INDEX('Base Blend Property Calculation'!$C$6:$BF$6,1,'Base Blend Property Calculation'!BT17)</f>
        <v>Sanlite</v>
      </c>
      <c r="C32" s="445"/>
      <c r="D32" s="153">
        <f>VLOOKUP('Bulk Plant Input'!$A$19, 'Base Blend Property Calculation'!$A$6:$BF$152,'Base Blend Property Calculation'!BT19,FALSE)*('Bulk Plant Input'!$I$12/('Bulk Plant Input'!$B$13/1000))</f>
        <v>0</v>
      </c>
      <c r="E32" s="446"/>
      <c r="F32" s="447"/>
      <c r="G32" s="446"/>
      <c r="H32" s="447"/>
    </row>
    <row r="33" spans="2:8" hidden="1" x14ac:dyDescent="0.25">
      <c r="B33" s="444" t="str">
        <f>INDEX('Base Blend Property Calculation'!$C$6:$BF$6,1,'Base Blend Property Calculation'!BT18)</f>
        <v>Silica Flour</v>
      </c>
      <c r="C33" s="445"/>
      <c r="D33" s="153">
        <f>VLOOKUP('Bulk Plant Input'!$A$19, 'Base Blend Property Calculation'!$A$6:$BF$152,'Base Blend Property Calculation'!BT20,FALSE)*('Bulk Plant Input'!$I$12/('Bulk Plant Input'!$B$13/1000))</f>
        <v>0</v>
      </c>
      <c r="E33" s="446"/>
      <c r="F33" s="447"/>
      <c r="G33" s="446"/>
      <c r="H33" s="447"/>
    </row>
    <row r="34" spans="2:8" hidden="1" x14ac:dyDescent="0.25">
      <c r="B34" s="444" t="str">
        <f>INDEX('Base Blend Property Calculation'!$C$6:$BF$6,1,'Base Blend Property Calculation'!BT19)</f>
        <v>Gel</v>
      </c>
      <c r="C34" s="445"/>
      <c r="D34" s="153">
        <f>VLOOKUP('Bulk Plant Input'!$A$19, 'Base Blend Property Calculation'!$A$6:$BF$152,'Base Blend Property Calculation'!BT21,FALSE)*('Bulk Plant Input'!$I$12/('Bulk Plant Input'!$B$13/1000))</f>
        <v>0</v>
      </c>
      <c r="E34" s="446"/>
      <c r="F34" s="447"/>
      <c r="G34" s="446"/>
      <c r="H34" s="447"/>
    </row>
    <row r="35" spans="2:8" ht="20.100000000000001" hidden="1" customHeight="1" x14ac:dyDescent="0.25">
      <c r="B35" s="444" t="str">
        <f>INDEX('Base Blend Property Calculation'!$C$6:$BF$6,1,'Base Blend Property Calculation'!BT20)</f>
        <v>SCA-1</v>
      </c>
      <c r="C35" s="445"/>
      <c r="D35" s="153">
        <f>VLOOKUP('Bulk Plant Input'!$A$19, 'Base Blend Property Calculation'!$A$6:$BF$152,'Base Blend Property Calculation'!BT22,FALSE)*('Bulk Plant Input'!$I$12/('Bulk Plant Input'!$B$13/1000))</f>
        <v>0</v>
      </c>
      <c r="E35" s="446"/>
      <c r="F35" s="447"/>
      <c r="G35" s="446"/>
      <c r="H35" s="447"/>
    </row>
    <row r="36" spans="2:8" ht="20.100000000000001" hidden="1" customHeight="1" x14ac:dyDescent="0.25">
      <c r="B36" s="444" t="str">
        <f>INDEX('Base Blend Property Calculation'!$C$6:$BF$6,1,'Base Blend Property Calculation'!BT21)</f>
        <v>Hematite</v>
      </c>
      <c r="C36" s="445"/>
      <c r="D36" s="153">
        <f>VLOOKUP('Bulk Plant Input'!$A$19, 'Base Blend Property Calculation'!$A$6:$BF$152,'Base Blend Property Calculation'!BT23,FALSE)*('Bulk Plant Input'!$I$12/('Bulk Plant Input'!$B$13/1000))</f>
        <v>0</v>
      </c>
      <c r="E36" s="446"/>
      <c r="F36" s="447"/>
      <c r="G36" s="446"/>
      <c r="H36" s="447"/>
    </row>
    <row r="37" spans="2:8" ht="20.100000000000001" hidden="1" customHeight="1" x14ac:dyDescent="0.25">
      <c r="B37" s="444" t="str">
        <f>INDEX('Base Blend Property Calculation'!$C$6:$BF$6,1,'Base Blend Property Calculation'!BT22)</f>
        <v>CDM-6B</v>
      </c>
      <c r="C37" s="445"/>
      <c r="D37" s="153">
        <f>VLOOKUP('Bulk Plant Input'!$A$19, 'Base Blend Property Calculation'!$A$6:$BF$152,'Base Blend Property Calculation'!BT24,FALSE)*('Bulk Plant Input'!$I$12/('Bulk Plant Input'!$B$13/1000))</f>
        <v>0</v>
      </c>
      <c r="E37" s="446"/>
      <c r="F37" s="447"/>
      <c r="G37" s="446"/>
      <c r="H37" s="447"/>
    </row>
    <row r="38" spans="2:8" ht="20.100000000000001" hidden="1" customHeight="1" x14ac:dyDescent="0.25">
      <c r="B38" s="444" t="str">
        <f>INDEX('Base Blend Property Calculation'!$C$6:$BF$6,1,'Base Blend Property Calculation'!BT23)</f>
        <v>CDM-6</v>
      </c>
      <c r="C38" s="445"/>
      <c r="D38" s="153">
        <f>VLOOKUP('Bulk Plant Input'!$A$19, 'Base Blend Property Calculation'!$A$6:$BF$152,'Base Blend Property Calculation'!BT25,FALSE)*('Bulk Plant Input'!$I$12/('Bulk Plant Input'!$B$13/1000))</f>
        <v>0</v>
      </c>
      <c r="E38" s="446"/>
      <c r="F38" s="447"/>
      <c r="G38" s="446"/>
      <c r="H38" s="447"/>
    </row>
    <row r="39" spans="2:8" ht="20.100000000000001" hidden="1" customHeight="1" x14ac:dyDescent="0.25">
      <c r="B39" s="444" t="str">
        <f>INDEX('Base Blend Property Calculation'!$C$6:$BF$6,1,'Base Blend Property Calculation'!BT24)</f>
        <v>CDM-2</v>
      </c>
      <c r="C39" s="445"/>
      <c r="D39" s="153">
        <f>VLOOKUP('Bulk Plant Input'!$A$19, 'Base Blend Property Calculation'!$A$6:$BF$152,'Base Blend Property Calculation'!BT26,FALSE)*('Bulk Plant Input'!$I$12/('Bulk Plant Input'!$B$13/1000))</f>
        <v>0</v>
      </c>
      <c r="E39" s="446"/>
      <c r="F39" s="447"/>
      <c r="G39" s="446"/>
      <c r="H39" s="447"/>
    </row>
    <row r="40" spans="2:8" ht="20.100000000000001" hidden="1" customHeight="1" x14ac:dyDescent="0.25">
      <c r="B40" s="444" t="str">
        <f>INDEX('Base Blend Property Calculation'!$C$6:$BF$6,1,'Base Blend Property Calculation'!BT25)</f>
        <v>CDM-5</v>
      </c>
      <c r="C40" s="445"/>
      <c r="D40" s="153">
        <f>VLOOKUP('Bulk Plant Input'!$A$19, 'Base Blend Property Calculation'!$A$6:$BF$152,'Base Blend Property Calculation'!BT27,FALSE)*('Bulk Plant Input'!$I$12/('Bulk Plant Input'!$B$13/1000))</f>
        <v>0</v>
      </c>
      <c r="E40" s="446"/>
      <c r="F40" s="447"/>
      <c r="G40" s="446"/>
      <c r="H40" s="447"/>
    </row>
    <row r="41" spans="2:8" ht="20.100000000000001" hidden="1" customHeight="1" x14ac:dyDescent="0.25">
      <c r="B41" s="444" t="str">
        <f>INDEX('Base Blend Property Calculation'!$C$6:$BF$6,1,'Base Blend Property Calculation'!BT26)</f>
        <v>CDM-C</v>
      </c>
      <c r="C41" s="445"/>
      <c r="D41" s="153">
        <f>VLOOKUP('Bulk Plant Input'!$A$19, 'Base Blend Property Calculation'!$A$6:$BF$152,'Base Blend Property Calculation'!BT28,FALSE)*('Bulk Plant Input'!$I$12/('Bulk Plant Input'!$B$13/1000))</f>
        <v>0</v>
      </c>
      <c r="E41" s="446"/>
      <c r="F41" s="447"/>
      <c r="G41" s="446"/>
      <c r="H41" s="447"/>
    </row>
    <row r="42" spans="2:8" ht="20.100000000000001" hidden="1" customHeight="1" x14ac:dyDescent="0.25">
      <c r="B42" s="444" t="str">
        <f>INDEX('Base Blend Property Calculation'!$C$6:$BF$6,1,'Base Blend Property Calculation'!BT27)</f>
        <v>CDM-10</v>
      </c>
      <c r="C42" s="445"/>
      <c r="D42" s="153">
        <f>VLOOKUP('Bulk Plant Input'!$A$19, 'Base Blend Property Calculation'!$A$6:$BF$152,'Base Blend Property Calculation'!BT29,FALSE)*('Bulk Plant Input'!$I$12/('Bulk Plant Input'!$B$13/1000))</f>
        <v>0</v>
      </c>
      <c r="E42" s="446"/>
      <c r="F42" s="447"/>
      <c r="G42" s="446"/>
      <c r="H42" s="447"/>
    </row>
    <row r="43" spans="2:8" ht="20.100000000000001" hidden="1" customHeight="1" x14ac:dyDescent="0.25">
      <c r="B43" s="444" t="str">
        <f>INDEX('Base Blend Property Calculation'!$C$6:$BF$6,1,'Base Blend Property Calculation'!BT28)</f>
        <v>CFR</v>
      </c>
      <c r="C43" s="445"/>
      <c r="D43" s="153">
        <f>VLOOKUP('Bulk Plant Input'!$A$19, 'Base Blend Property Calculation'!$A$6:$BF$152,'Base Blend Property Calculation'!BT30,FALSE)*('Bulk Plant Input'!$I$12/('Bulk Plant Input'!$B$13/1000))</f>
        <v>0</v>
      </c>
      <c r="E43" s="446"/>
      <c r="F43" s="447"/>
      <c r="G43" s="446"/>
      <c r="H43" s="447"/>
    </row>
    <row r="44" spans="2:8" ht="20.100000000000001" hidden="1" customHeight="1" x14ac:dyDescent="0.25">
      <c r="B44" s="444" t="str">
        <f>INDEX('Base Blend Property Calculation'!$C$6:$BF$6,1,'Base Blend Property Calculation'!BT29)</f>
        <v>CFR-2</v>
      </c>
      <c r="C44" s="445"/>
      <c r="D44" s="153">
        <f>VLOOKUP('Bulk Plant Input'!$A$19, 'Base Blend Property Calculation'!$A$6:$BF$152,'Base Blend Property Calculation'!BT31,FALSE)*('Bulk Plant Input'!$I$12/('Bulk Plant Input'!$B$13/1000))</f>
        <v>0</v>
      </c>
      <c r="E44" s="446"/>
      <c r="F44" s="447"/>
      <c r="G44" s="446"/>
      <c r="H44" s="447"/>
    </row>
    <row r="45" spans="2:8" hidden="1" x14ac:dyDescent="0.25">
      <c r="B45" s="444" t="str">
        <f>INDEX('Base Blend Property Calculation'!$C$6:$BF$6,1,'Base Blend Property Calculation'!BT30)</f>
        <v>CFR-5</v>
      </c>
      <c r="C45" s="445"/>
      <c r="D45" s="153">
        <f>VLOOKUP('Bulk Plant Input'!$A$19, 'Base Blend Property Calculation'!$A$6:$BF$152,'Base Blend Property Calculation'!BT32,FALSE)*('Bulk Plant Input'!$I$12/('Bulk Plant Input'!$B$13/1000))</f>
        <v>0</v>
      </c>
      <c r="E45" s="446"/>
      <c r="F45" s="447"/>
      <c r="G45" s="446"/>
      <c r="H45" s="447"/>
    </row>
    <row r="46" spans="2:8" ht="20.100000000000001" hidden="1" customHeight="1" x14ac:dyDescent="0.25">
      <c r="B46" s="444" t="str">
        <f>INDEX('Base Blend Property Calculation'!$C$6:$BF$6,1,'Base Blend Property Calculation'!BT31)</f>
        <v>CFL-3</v>
      </c>
      <c r="C46" s="445"/>
      <c r="D46" s="153">
        <f>VLOOKUP('Bulk Plant Input'!$A$19, 'Base Blend Property Calculation'!$A$6:$BF$152,'Base Blend Property Calculation'!BT33,FALSE)*('Bulk Plant Input'!$I$12/('Bulk Plant Input'!$B$13/1000))</f>
        <v>0</v>
      </c>
      <c r="E46" s="446"/>
      <c r="F46" s="447"/>
      <c r="G46" s="446"/>
      <c r="H46" s="447"/>
    </row>
    <row r="47" spans="2:8" ht="20.100000000000001" hidden="1" customHeight="1" x14ac:dyDescent="0.25">
      <c r="B47" s="444" t="str">
        <f>INDEX('Base Blend Property Calculation'!$C$6:$BF$6,1,'Base Blend Property Calculation'!BT32)</f>
        <v>CFL-4</v>
      </c>
      <c r="C47" s="445"/>
      <c r="D47" s="153">
        <f>VLOOKUP('Bulk Plant Input'!$A$19, 'Base Blend Property Calculation'!$A$6:$BF$152,'Base Blend Property Calculation'!BT34,FALSE)*('Bulk Plant Input'!$I$12/('Bulk Plant Input'!$B$13/1000))</f>
        <v>0</v>
      </c>
      <c r="E47" s="446"/>
      <c r="F47" s="447"/>
      <c r="G47" s="446"/>
      <c r="H47" s="447"/>
    </row>
    <row r="48" spans="2:8" ht="20.100000000000001" hidden="1" customHeight="1" x14ac:dyDescent="0.25">
      <c r="B48" s="444" t="str">
        <f>INDEX('Base Blend Property Calculation'!$C$6:$BF$6,1,'Base Blend Property Calculation'!BT33)</f>
        <v>CFL-6</v>
      </c>
      <c r="C48" s="445"/>
      <c r="D48" s="153">
        <f>VLOOKUP('Bulk Plant Input'!$A$19, 'Base Blend Property Calculation'!$A$6:$BF$152,'Base Blend Property Calculation'!BT35,FALSE)*('Bulk Plant Input'!$I$12/('Bulk Plant Input'!$B$13/1000))</f>
        <v>0</v>
      </c>
      <c r="E48" s="446"/>
      <c r="F48" s="447"/>
      <c r="G48" s="446"/>
      <c r="H48" s="447"/>
    </row>
    <row r="49" spans="2:8" ht="20.100000000000001" hidden="1" customHeight="1" x14ac:dyDescent="0.25">
      <c r="B49" s="444" t="str">
        <f>INDEX('Base Blend Property Calculation'!$C$6:$BF$6,1,'Base Blend Property Calculation'!BT34)</f>
        <v>CFL-7</v>
      </c>
      <c r="C49" s="445"/>
      <c r="D49" s="153">
        <f>VLOOKUP('Bulk Plant Input'!$A$19, 'Base Blend Property Calculation'!$A$6:$BF$152,'Base Blend Property Calculation'!BT36,FALSE)*('Bulk Plant Input'!$I$12/('Bulk Plant Input'!$B$13/1000))</f>
        <v>0</v>
      </c>
      <c r="E49" s="446"/>
      <c r="F49" s="447"/>
      <c r="G49" s="446"/>
      <c r="H49" s="447"/>
    </row>
    <row r="50" spans="2:8" ht="20.100000000000001" hidden="1" customHeight="1" x14ac:dyDescent="0.25">
      <c r="B50" s="444" t="str">
        <f>INDEX('Base Blend Property Calculation'!$C$6:$BF$6,1,'Base Blend Property Calculation'!BT35)</f>
        <v>CaCl2</v>
      </c>
      <c r="C50" s="445"/>
      <c r="D50" s="153">
        <f>VLOOKUP('Bulk Plant Input'!$A$19, 'Base Blend Property Calculation'!$A$6:$BF$152,'Base Blend Property Calculation'!BT37,FALSE)*('Bulk Plant Input'!$I$12/('Bulk Plant Input'!$B$13/1000))</f>
        <v>0</v>
      </c>
      <c r="E50" s="446"/>
      <c r="F50" s="447"/>
      <c r="G50" s="446"/>
      <c r="H50" s="447"/>
    </row>
    <row r="51" spans="2:8" ht="20.100000000000001" hidden="1" customHeight="1" x14ac:dyDescent="0.25">
      <c r="B51" s="444" t="str">
        <f>INDEX('Base Blend Property Calculation'!$C$6:$BF$6,1,'Base Blend Property Calculation'!BT36)</f>
        <v>SCA-6</v>
      </c>
      <c r="C51" s="445"/>
      <c r="D51" s="153">
        <f>VLOOKUP('Bulk Plant Input'!$A$19, 'Base Blend Property Calculation'!$A$6:$BF$152,'Base Blend Property Calculation'!BT38,FALSE)*('Bulk Plant Input'!$I$12/('Bulk Plant Input'!$B$13/1000))</f>
        <v>0</v>
      </c>
      <c r="E51" s="446"/>
      <c r="F51" s="447"/>
      <c r="G51" s="446"/>
      <c r="H51" s="447"/>
    </row>
    <row r="52" spans="2:8" ht="20.100000000000001" hidden="1" customHeight="1" x14ac:dyDescent="0.25">
      <c r="B52" s="444" t="str">
        <f>INDEX('Base Blend Property Calculation'!$C$6:$BF$6,1,'Base Blend Property Calculation'!BT37)</f>
        <v>SCA-7</v>
      </c>
      <c r="C52" s="445"/>
      <c r="D52" s="153">
        <f>VLOOKUP('Bulk Plant Input'!$A$19, 'Base Blend Property Calculation'!$A$6:$BF$152,'Base Blend Property Calculation'!BT39,FALSE)*('Bulk Plant Input'!$I$12/('Bulk Plant Input'!$B$13/1000))</f>
        <v>0</v>
      </c>
      <c r="E52" s="446"/>
      <c r="F52" s="447"/>
      <c r="G52" s="446"/>
      <c r="H52" s="447"/>
    </row>
    <row r="53" spans="2:8" ht="20.100000000000001" hidden="1" customHeight="1" x14ac:dyDescent="0.25">
      <c r="B53" s="444" t="str">
        <f>INDEX('Base Blend Property Calculation'!$C$6:$BF$6,1,'Base Blend Property Calculation'!BT38)</f>
        <v>SCA-5</v>
      </c>
      <c r="C53" s="445"/>
      <c r="D53" s="153">
        <f>VLOOKUP('Bulk Plant Input'!$A$19, 'Base Blend Property Calculation'!$A$6:$BF$152,'Base Blend Property Calculation'!BT40,FALSE)*('Bulk Plant Input'!$I$12/('Bulk Plant Input'!$B$13/1000))</f>
        <v>0</v>
      </c>
      <c r="E53" s="446"/>
      <c r="F53" s="447"/>
      <c r="G53" s="446"/>
      <c r="H53" s="447"/>
    </row>
    <row r="54" spans="2:8" ht="20.100000000000001" hidden="1" customHeight="1" x14ac:dyDescent="0.25">
      <c r="B54" s="444" t="str">
        <f>INDEX('Base Blend Property Calculation'!$C$6:$BF$6,1,'Base Blend Property Calculation'!BT39)</f>
        <v>FWC-2</v>
      </c>
      <c r="C54" s="445"/>
      <c r="D54" s="153">
        <f>VLOOKUP('Bulk Plant Input'!$A$19, 'Base Blend Property Calculation'!$A$6:$BF$152,'Base Blend Property Calculation'!BT41,FALSE)*('Bulk Plant Input'!$I$12/('Bulk Plant Input'!$B$13/1000))</f>
        <v>0</v>
      </c>
      <c r="E54" s="446"/>
      <c r="F54" s="447"/>
      <c r="G54" s="446"/>
      <c r="H54" s="447"/>
    </row>
    <row r="55" spans="2:8" ht="20.100000000000001" hidden="1" customHeight="1" x14ac:dyDescent="0.25">
      <c r="B55" s="444" t="str">
        <f>INDEX('Base Blend Property Calculation'!$C$6:$BF$6,1,'Base Blend Property Calculation'!BT40)</f>
        <v>LTR-3</v>
      </c>
      <c r="C55" s="445"/>
      <c r="D55" s="153">
        <f>VLOOKUP('Bulk Plant Input'!$A$19, 'Base Blend Property Calculation'!$A$6:$BF$152,'Base Blend Property Calculation'!BT42,FALSE)*('Bulk Plant Input'!$I$12/('Bulk Plant Input'!$B$13/1000))</f>
        <v>0</v>
      </c>
      <c r="E55" s="446"/>
      <c r="F55" s="447"/>
      <c r="G55" s="446"/>
      <c r="H55" s="447"/>
    </row>
    <row r="56" spans="2:8" ht="20.100000000000001" hidden="1" customHeight="1" x14ac:dyDescent="0.25">
      <c r="B56" s="444" t="str">
        <f>INDEX('Base Blend Property Calculation'!$C$6:$BF$6,1,'Base Blend Property Calculation'!BT41)</f>
        <v>NaCl</v>
      </c>
      <c r="C56" s="445"/>
      <c r="D56" s="153">
        <f>VLOOKUP('Bulk Plant Input'!$A$19, 'Base Blend Property Calculation'!$A$6:$BF$152,'Base Blend Property Calculation'!BT43,FALSE)*('Bulk Plant Input'!$I$12/('Bulk Plant Input'!$B$13/1000))</f>
        <v>0</v>
      </c>
      <c r="E56" s="446"/>
      <c r="F56" s="447"/>
      <c r="G56" s="446"/>
      <c r="H56" s="447"/>
    </row>
    <row r="57" spans="2:8" ht="20.100000000000001" hidden="1" customHeight="1" x14ac:dyDescent="0.25">
      <c r="B57" s="444" t="str">
        <f>INDEX('Base Blend Property Calculation'!$C$6:$BF$6,1,'Base Blend Property Calculation'!BT42)</f>
        <v>KCl</v>
      </c>
      <c r="C57" s="445"/>
      <c r="D57" s="153">
        <f>VLOOKUP('Bulk Plant Input'!$A$19, 'Base Blend Property Calculation'!$A$6:$BF$152,'Base Blend Property Calculation'!BT44,FALSE)*('Bulk Plant Input'!$I$12/('Bulk Plant Input'!$B$13/1000))</f>
        <v>0</v>
      </c>
      <c r="E57" s="446"/>
      <c r="F57" s="447"/>
      <c r="G57" s="446"/>
      <c r="H57" s="447"/>
    </row>
    <row r="58" spans="2:8" hidden="1" x14ac:dyDescent="0.25">
      <c r="B58" s="444" t="str">
        <f>INDEX('Base Blend Property Calculation'!$C$6:$BF$6,1,'Base Blend Property Calculation'!BT43)</f>
        <v>EA-1</v>
      </c>
      <c r="C58" s="445"/>
      <c r="D58" s="153">
        <f>VLOOKUP('Bulk Plant Input'!$A$19, 'Base Blend Property Calculation'!$A$6:$BF$152,'Base Blend Property Calculation'!BT45,FALSE)*('Bulk Plant Input'!$I$12/('Bulk Plant Input'!$B$13/1000))</f>
        <v>0</v>
      </c>
      <c r="E58" s="446"/>
      <c r="F58" s="447"/>
      <c r="G58" s="446"/>
      <c r="H58" s="447"/>
    </row>
    <row r="59" spans="2:8" ht="20.100000000000001" hidden="1" customHeight="1" x14ac:dyDescent="0.25">
      <c r="B59" s="444" t="str">
        <f>INDEX('Base Blend Property Calculation'!$C$6:$BF$6,1,'Base Blend Property Calculation'!BT44)</f>
        <v>EA-3</v>
      </c>
      <c r="C59" s="445"/>
      <c r="D59" s="153">
        <f>VLOOKUP('Bulk Plant Input'!$A$19, 'Base Blend Property Calculation'!$A$6:$BF$152,'Base Blend Property Calculation'!BT46,FALSE)*('Bulk Plant Input'!$I$12/('Bulk Plant Input'!$B$13/1000))</f>
        <v>0</v>
      </c>
      <c r="E59" s="446"/>
      <c r="F59" s="447"/>
      <c r="G59" s="446"/>
      <c r="H59" s="447"/>
    </row>
    <row r="60" spans="2:8" ht="20.100000000000001" hidden="1" customHeight="1" x14ac:dyDescent="0.25">
      <c r="B60" s="444" t="str">
        <f>INDEX('Base Blend Property Calculation'!$C$6:$BF$6,1,'Base Blend Property Calculation'!BT45)</f>
        <v>LCG-2</v>
      </c>
      <c r="C60" s="445"/>
      <c r="D60" s="153">
        <f>VLOOKUP('Bulk Plant Input'!$A$19, 'Base Blend Property Calculation'!$A$6:$BF$152,'Base Blend Property Calculation'!BT47,FALSE)*('Bulk Plant Input'!$I$12/('Bulk Plant Input'!$B$13/1000))</f>
        <v>0</v>
      </c>
      <c r="E60" s="446"/>
      <c r="F60" s="447"/>
      <c r="G60" s="446"/>
      <c r="H60" s="447"/>
    </row>
    <row r="61" spans="2:8" ht="20.100000000000001" hidden="1" customHeight="1" x14ac:dyDescent="0.25">
      <c r="B61" s="444" t="str">
        <f>INDEX('Base Blend Property Calculation'!$C$6:$BF$6,1,'Base Blend Property Calculation'!BT46)</f>
        <v>Micromix</v>
      </c>
      <c r="C61" s="445"/>
      <c r="D61" s="153">
        <f>VLOOKUP('Bulk Plant Input'!$A$19, 'Base Blend Property Calculation'!$A$6:$BF$152,'Base Blend Property Calculation'!BT48,FALSE)*('Bulk Plant Input'!$I$12/('Bulk Plant Input'!$B$13/1000))</f>
        <v>0</v>
      </c>
      <c r="E61" s="446"/>
      <c r="F61" s="447"/>
      <c r="G61" s="446"/>
      <c r="H61" s="447"/>
    </row>
    <row r="62" spans="2:8" ht="20.100000000000001" hidden="1" customHeight="1" x14ac:dyDescent="0.25">
      <c r="B62" s="444" t="str">
        <f>INDEX('Base Blend Property Calculation'!$C$6:$BF$6,1,'Base Blend Property Calculation'!BT47)</f>
        <v>LCG-1</v>
      </c>
      <c r="C62" s="445"/>
      <c r="D62" s="153">
        <f>VLOOKUP('Bulk Plant Input'!$A$19, 'Base Blend Property Calculation'!$A$6:$BF$152,'Base Blend Property Calculation'!BT51,FALSE)*('Bulk Plant Input'!$I$12/('Bulk Plant Input'!$B$13/1000))</f>
        <v>0</v>
      </c>
      <c r="E62" s="446"/>
      <c r="F62" s="447"/>
      <c r="G62" s="446"/>
      <c r="H62" s="447"/>
    </row>
    <row r="63" spans="2:8" ht="20.100000000000001" hidden="1" customHeight="1" x14ac:dyDescent="0.25">
      <c r="B63" s="444" t="str">
        <f>INDEX('Base Blend Property Calculation'!$C$6:$BF$6,1,'Base Blend Property Calculation'!BT48)</f>
        <v>Gilsonite</v>
      </c>
      <c r="C63" s="445"/>
      <c r="D63" s="153">
        <f>VLOOKUP('Bulk Plant Input'!$A$19, 'Base Blend Property Calculation'!$A$6:$BF$152,'Base Blend Property Calculation'!BT52,FALSE)*('Bulk Plant Input'!$I$12/('Bulk Plant Input'!$B$13/1000))</f>
        <v>0</v>
      </c>
      <c r="E63" s="446"/>
      <c r="F63" s="447"/>
      <c r="G63" s="446"/>
      <c r="H63" s="447"/>
    </row>
    <row r="64" spans="2:8" ht="20.100000000000001" hidden="1" customHeight="1" x14ac:dyDescent="0.25">
      <c r="B64" s="444" t="str">
        <f>INDEX('Base Blend Property Calculation'!$C$6:$BF$6,1,'Base Blend Property Calculation'!BT51)</f>
        <v>Ciment Fondu</v>
      </c>
      <c r="C64" s="445"/>
      <c r="D64" s="153">
        <f>VLOOKUP('Bulk Plant Input'!$A$19, 'Base Blend Property Calculation'!$A$6:$BF$152,'Base Blend Property Calculation'!BT53,FALSE)*('Bulk Plant Input'!$I$12/('Bulk Plant Input'!$B$13/1000))</f>
        <v>0</v>
      </c>
      <c r="E64" s="446"/>
      <c r="F64" s="447"/>
      <c r="G64" s="446"/>
      <c r="H64" s="447"/>
    </row>
    <row r="65" spans="2:8" ht="20.100000000000001" hidden="1" customHeight="1" x14ac:dyDescent="0.25">
      <c r="B65" s="444" t="str">
        <f>INDEX('Base Blend Property Calculation'!$C$6:$BF$6,1,'Base Blend Property Calculation'!BT52)</f>
        <v>CFL-10</v>
      </c>
      <c r="C65" s="445"/>
      <c r="D65" s="153">
        <f>VLOOKUP('Bulk Plant Input'!$A$19, 'Base Blend Property Calculation'!$A$6:$BF$152,'Base Blend Property Calculation'!BT54,FALSE)*('Bulk Plant Input'!$I$12/('Bulk Plant Input'!$B$13/1000))</f>
        <v>0</v>
      </c>
      <c r="E65" s="446"/>
      <c r="F65" s="447"/>
      <c r="G65" s="446"/>
      <c r="H65" s="447"/>
    </row>
    <row r="66" spans="2:8" ht="20.100000000000001" hidden="1" customHeight="1" x14ac:dyDescent="0.25">
      <c r="B66" s="444" t="str">
        <f>INDEX('Base Blend Property Calculation'!$C$6:$BF$6,1,'Base Blend Property Calculation'!BT53)</f>
        <v>CDM-4</v>
      </c>
      <c r="C66" s="445"/>
      <c r="D66" s="153">
        <f>VLOOKUP('Bulk Plant Input'!$A$19, 'Base Blend Property Calculation'!$A$6:$BF$152,'Base Blend Property Calculation'!BT55,FALSE)*('Bulk Plant Input'!$I$12/('Bulk Plant Input'!$B$13/1000))</f>
        <v>0</v>
      </c>
      <c r="E66" s="446"/>
      <c r="F66" s="447"/>
      <c r="G66" s="446"/>
      <c r="H66" s="447"/>
    </row>
    <row r="67" spans="2:8" ht="20.100000000000001" hidden="1" customHeight="1" x14ac:dyDescent="0.25">
      <c r="B67" s="444" t="str">
        <f>INDEX('Base Blend Property Calculation'!$C$6:$BF$6,1,'Base Blend Property Calculation'!BT54)</f>
        <v>ECOmix</v>
      </c>
      <c r="C67" s="445"/>
      <c r="D67" s="153">
        <f>VLOOKUP('Bulk Plant Input'!$A$19, 'Base Blend Property Calculation'!$A$6:$BF$152,'Base Blend Property Calculation'!BT56,FALSE)*('Bulk Plant Input'!$I$12/('Bulk Plant Input'!$B$13/1000))</f>
        <v>0</v>
      </c>
      <c r="E67" s="446"/>
      <c r="F67" s="447"/>
      <c r="G67" s="446"/>
      <c r="H67" s="447"/>
    </row>
    <row r="68" spans="2:8" ht="20.100000000000001" hidden="1" customHeight="1" x14ac:dyDescent="0.25">
      <c r="B68" s="444" t="str">
        <f>INDEX('Base Blend Property Calculation'!$C$6:$BF$6,1,'Base Blend Property Calculation'!BT55)</f>
        <v>CDM-4X</v>
      </c>
      <c r="C68" s="445"/>
      <c r="D68" s="153">
        <f>VLOOKUP('Bulk Plant Input'!$A$19, 'Base Blend Property Calculation'!$A$6:$BF$152,'Base Blend Property Calculation'!BT57,FALSE)*('Bulk Plant Input'!$I$12/('Bulk Plant Input'!$B$13/1000))</f>
        <v>0</v>
      </c>
      <c r="E68" s="446"/>
      <c r="F68" s="447"/>
      <c r="G68" s="446"/>
      <c r="H68" s="447"/>
    </row>
    <row r="69" spans="2:8" ht="20.100000000000001" hidden="1" customHeight="1" x14ac:dyDescent="0.25">
      <c r="B69" s="444" t="str">
        <f>INDEX('Base Blend Property Calculation'!$C$6:$BF$6,1,'Base Blend Property Calculation'!BT56)</f>
        <v>Microfine Sil Flour</v>
      </c>
      <c r="C69" s="445"/>
      <c r="D69" s="153">
        <f>VLOOKUP('Bulk Plant Input'!$A$19, 'Base Blend Property Calculation'!$A$6:$BF$152,'Base Blend Property Calculation'!BT58,FALSE)*('Bulk Plant Input'!$I$12/('Bulk Plant Input'!$B$13/1000))</f>
        <v>0</v>
      </c>
      <c r="E69" s="446"/>
      <c r="F69" s="447"/>
      <c r="G69" s="446"/>
      <c r="H69" s="447"/>
    </row>
    <row r="70" spans="2:8" ht="20.100000000000001" hidden="1" customHeight="1" x14ac:dyDescent="0.25">
      <c r="B70" s="444" t="str">
        <f>INDEX('Base Blend Property Calculation'!$C$6:$BF$6,1,'Base Blend Property Calculation'!BT57)</f>
        <v>None</v>
      </c>
      <c r="C70" s="445"/>
      <c r="D70" s="153">
        <f>VLOOKUP('Bulk Plant Input'!$A$19, 'Base Blend Property Calculation'!$A$6:$BF$152,'Base Blend Property Calculation'!BT59,FALSE)*('Bulk Plant Input'!$I$12/('Bulk Plant Input'!$B$13/1000))</f>
        <v>0</v>
      </c>
      <c r="E70" s="446"/>
      <c r="F70" s="447"/>
      <c r="G70" s="446"/>
      <c r="H70" s="447"/>
    </row>
    <row r="71" spans="2:8" ht="20.100000000000001" hidden="1" customHeight="1" x14ac:dyDescent="0.25">
      <c r="B71" s="444" t="str">
        <f>INDEX('Base Blend Property Calculation'!$C$6:$BF$6,1,'Base Blend Property Calculation'!BT58)</f>
        <v>None</v>
      </c>
      <c r="C71" s="445"/>
      <c r="D71" s="153">
        <f>VLOOKUP('Bulk Plant Input'!$A$19, 'Base Blend Property Calculation'!$A$6:$BF$152,'Base Blend Property Calculation'!BT60,FALSE)*('Bulk Plant Input'!$I$12/('Bulk Plant Input'!$B$13/1000))</f>
        <v>0</v>
      </c>
      <c r="E71" s="446"/>
      <c r="F71" s="447"/>
      <c r="G71" s="446"/>
      <c r="H71" s="447"/>
    </row>
    <row r="72" spans="2:8" ht="20.100000000000001" hidden="1" customHeight="1" x14ac:dyDescent="0.25">
      <c r="B72" s="444" t="str">
        <f>INDEX('Base Blend Property Calculation'!$C$6:$BF$6,1,'Base Blend Property Calculation'!BT59)</f>
        <v>None</v>
      </c>
      <c r="C72" s="445"/>
      <c r="D72" s="153">
        <f>VLOOKUP('Bulk Plant Input'!$A$19, 'Base Blend Property Calculation'!$A$6:$BF$152,'Base Blend Property Calculation'!BT61,FALSE)*('Bulk Plant Input'!$I$12/('Bulk Plant Input'!$B$13/1000))</f>
        <v>0</v>
      </c>
      <c r="E72" s="446"/>
      <c r="F72" s="447"/>
      <c r="G72" s="446"/>
      <c r="H72" s="447"/>
    </row>
    <row r="73" spans="2:8" ht="20.100000000000001" hidden="1" customHeight="1" x14ac:dyDescent="0.25">
      <c r="B73" s="444" t="str">
        <f>INDEX('Base Blend Property Calculation'!$C$6:$BF$6,1,'Base Blend Property Calculation'!BT60)</f>
        <v>None</v>
      </c>
      <c r="C73" s="445"/>
      <c r="D73" s="153">
        <f>VLOOKUP('Bulk Plant Input'!$A$19, 'Base Blend Property Calculation'!$A$6:$BF$152,'Base Blend Property Calculation'!BT62,FALSE)*('Bulk Plant Input'!$I$12/('Bulk Plant Input'!$B$13/1000))</f>
        <v>0</v>
      </c>
      <c r="E73" s="446"/>
      <c r="F73" s="447"/>
      <c r="G73" s="446"/>
      <c r="H73" s="447"/>
    </row>
    <row r="74" spans="2:8" ht="20.100000000000001" hidden="1" customHeight="1" x14ac:dyDescent="0.25">
      <c r="B74" s="444" t="str">
        <f>INDEX('Base Blend Property Calculation'!$C$6:$BF$6,1,'Base Blend Property Calculation'!BT61)</f>
        <v>None</v>
      </c>
      <c r="C74" s="445"/>
      <c r="D74" s="153">
        <f>VLOOKUP('Bulk Plant Input'!$A$19, 'Base Blend Property Calculation'!$A$6:$BF$152,'Base Blend Property Calculation'!BT63,FALSE)*('Bulk Plant Input'!$I$12/('Bulk Plant Input'!$B$13/1000))</f>
        <v>0</v>
      </c>
      <c r="E74" s="446"/>
      <c r="F74" s="447"/>
      <c r="G74" s="446"/>
      <c r="H74" s="447"/>
    </row>
    <row r="75" spans="2:8" ht="20.100000000000001" hidden="1" customHeight="1" x14ac:dyDescent="0.25">
      <c r="B75" s="444" t="str">
        <f>INDEX('Base Blend Property Calculation'!$C$6:$BF$6,1,'Base Blend Property Calculation'!BT62)</f>
        <v>None</v>
      </c>
      <c r="C75" s="445"/>
      <c r="D75" s="153">
        <f>VLOOKUP('Bulk Plant Input'!$A$19, 'Base Blend Property Calculation'!$A$6:$BF$152,'Base Blend Property Calculation'!BT64,FALSE)*('Bulk Plant Input'!$I$12/('Bulk Plant Input'!$B$13/1000))</f>
        <v>0</v>
      </c>
      <c r="E75" s="446"/>
      <c r="F75" s="447"/>
      <c r="G75" s="446"/>
      <c r="H75" s="447"/>
    </row>
    <row r="76" spans="2:8" ht="20.100000000000001" hidden="1" customHeight="1" x14ac:dyDescent="0.25">
      <c r="B76" s="444" t="e">
        <f>INDEX('Base Blend Property Calculation'!$C$6:$BF$6,1,'Base Blend Property Calculation'!BT63)</f>
        <v>#REF!</v>
      </c>
      <c r="C76" s="445"/>
      <c r="D76" s="153" t="e">
        <f>VLOOKUP('Bulk Plant Input'!$A$19, 'Base Blend Property Calculation'!$A$6:$BF$152,'Base Blend Property Calculation'!BT65,FALSE)*('Bulk Plant Input'!$I$12/('Bulk Plant Input'!$B$13/1000))</f>
        <v>#REF!</v>
      </c>
      <c r="E76" s="446"/>
      <c r="F76" s="447"/>
      <c r="G76" s="446"/>
      <c r="H76" s="447"/>
    </row>
    <row r="77" spans="2:8" ht="20.100000000000001" hidden="1" customHeight="1" x14ac:dyDescent="0.25">
      <c r="D77" s="154" t="s">
        <v>198</v>
      </c>
    </row>
    <row r="78" spans="2:8" ht="20.100000000000001" hidden="1" customHeight="1" x14ac:dyDescent="0.25">
      <c r="B78" s="456" t="str">
        <f>IF('Bulk Plant Input'!$I$12="","1st Batch Not Entered","ADDITIVES - Batch 1")</f>
        <v>1st Batch Not Entered</v>
      </c>
      <c r="C78" s="456"/>
      <c r="D78" s="208" t="s">
        <v>198</v>
      </c>
    </row>
    <row r="79" spans="2:8" ht="30" hidden="1" customHeight="1" x14ac:dyDescent="0.25">
      <c r="B79" s="448" t="str">
        <f>IF('Bulk Plant Input'!$I$12="","","Additive Name")</f>
        <v/>
      </c>
      <c r="C79" s="449"/>
      <c r="D79" s="155" t="str">
        <f>IF('Bulk Plant Input'!$I$12="","","Required (kg)")</f>
        <v/>
      </c>
      <c r="E79" s="453" t="str">
        <f>IF('Bulk Plant Input'!$I$12="","","Loaded
 (kg)")</f>
        <v/>
      </c>
      <c r="F79" s="454"/>
      <c r="G79" s="457" t="str">
        <f>IF('Bulk Plant Input'!$I$12="","","Lot #")</f>
        <v/>
      </c>
      <c r="H79" s="457"/>
    </row>
    <row r="80" spans="2:8" hidden="1" x14ac:dyDescent="0.25">
      <c r="B80" s="446" t="str">
        <f>'Bulk Plant Input'!A23</f>
        <v>CFR-5</v>
      </c>
      <c r="C80" s="447"/>
      <c r="D80" s="153">
        <f>IF(B80=0,0,'Bulk Plant Input'!C23*('Bulk Plant Input'!$I$12/('Bulk Plant Input'!$B$13/1000)))</f>
        <v>0</v>
      </c>
      <c r="E80" s="455"/>
      <c r="F80" s="455"/>
      <c r="G80" s="455"/>
      <c r="H80" s="455"/>
    </row>
    <row r="81" spans="2:8" hidden="1" x14ac:dyDescent="0.25">
      <c r="B81" s="446" t="str">
        <f>'Bulk Plant Input'!A24</f>
        <v>CFL-4</v>
      </c>
      <c r="C81" s="447"/>
      <c r="D81" s="153">
        <f>IF(B81=0,0,'Bulk Plant Input'!C24*('Bulk Plant Input'!$I$12/('Bulk Plant Input'!$B$13/1000)))</f>
        <v>0</v>
      </c>
      <c r="E81" s="455"/>
      <c r="F81" s="455"/>
      <c r="G81" s="455"/>
      <c r="H81" s="455"/>
    </row>
    <row r="82" spans="2:8" ht="20.100000000000001" hidden="1" customHeight="1" x14ac:dyDescent="0.25">
      <c r="B82" s="446" t="str">
        <f>'Bulk Plant Input'!A25</f>
        <v>FWC-2</v>
      </c>
      <c r="C82" s="447"/>
      <c r="D82" s="153">
        <f>IF(B82=0,0,'Bulk Plant Input'!C25*('Bulk Plant Input'!$I$12/('Bulk Plant Input'!$B$13/1000)))</f>
        <v>0</v>
      </c>
      <c r="E82" s="455"/>
      <c r="F82" s="455"/>
      <c r="G82" s="455"/>
      <c r="H82" s="455"/>
    </row>
    <row r="83" spans="2:8" ht="20.100000000000001" hidden="1" customHeight="1" x14ac:dyDescent="0.25">
      <c r="B83" s="446" t="str">
        <f>'Bulk Plant Input'!A26</f>
        <v>LTR</v>
      </c>
      <c r="C83" s="447"/>
      <c r="D83" s="153">
        <f>IF(B83=0,0,'Bulk Plant Input'!C26*('Bulk Plant Input'!$I$12/('Bulk Plant Input'!$B$13/1000)))</f>
        <v>0</v>
      </c>
      <c r="E83" s="455"/>
      <c r="F83" s="455"/>
      <c r="G83" s="455"/>
      <c r="H83" s="455"/>
    </row>
    <row r="84" spans="2:8" ht="20.100000000000001" hidden="1" customHeight="1" x14ac:dyDescent="0.25">
      <c r="B84" s="446" t="str">
        <f>'Bulk Plant Input'!A27</f>
        <v>CDF-6P</v>
      </c>
      <c r="C84" s="447"/>
      <c r="D84" s="153">
        <f>IF(B84=0,0,'Bulk Plant Input'!C27*('Bulk Plant Input'!$I$12/('Bulk Plant Input'!$B$13/1000)))</f>
        <v>0</v>
      </c>
      <c r="E84" s="455"/>
      <c r="F84" s="455"/>
      <c r="G84" s="455"/>
      <c r="H84" s="455"/>
    </row>
    <row r="85" spans="2:8" ht="20.100000000000001" hidden="1" customHeight="1" x14ac:dyDescent="0.25">
      <c r="B85" s="446" t="str">
        <f>'Bulk Plant Input'!A28</f>
        <v>ASM-3</v>
      </c>
      <c r="C85" s="447"/>
      <c r="D85" s="153">
        <f>IF(B85=0,0,'Bulk Plant Input'!C28*('Bulk Plant Input'!$I$12/('Bulk Plant Input'!$B$13/1000)))</f>
        <v>0</v>
      </c>
      <c r="E85" s="455"/>
      <c r="F85" s="455"/>
      <c r="G85" s="455"/>
      <c r="H85" s="455"/>
    </row>
    <row r="86" spans="2:8" ht="20.100000000000001" hidden="1" customHeight="1" x14ac:dyDescent="0.25">
      <c r="B86" s="446">
        <f>'Bulk Plant Input'!A29</f>
        <v>0</v>
      </c>
      <c r="C86" s="447"/>
      <c r="D86" s="153">
        <f>IF(B86=0,0,'Bulk Plant Input'!C29*('Bulk Plant Input'!$I$12/('Bulk Plant Input'!$B$13/1000)))</f>
        <v>0</v>
      </c>
      <c r="E86" s="455"/>
      <c r="F86" s="455"/>
      <c r="G86" s="455"/>
      <c r="H86" s="455"/>
    </row>
    <row r="87" spans="2:8" ht="20.100000000000001" hidden="1" customHeight="1" x14ac:dyDescent="0.25">
      <c r="B87" s="446">
        <f>'Bulk Plant Input'!A30</f>
        <v>0</v>
      </c>
      <c r="C87" s="447"/>
      <c r="D87" s="153">
        <f>IF(B87=0,0,'Bulk Plant Input'!C30*('Bulk Plant Input'!$I$12/('Bulk Plant Input'!$B$13/1000)))</f>
        <v>0</v>
      </c>
      <c r="E87" s="455"/>
      <c r="F87" s="455"/>
      <c r="G87" s="455"/>
      <c r="H87" s="455"/>
    </row>
    <row r="88" spans="2:8" ht="20.100000000000001" hidden="1" customHeight="1" x14ac:dyDescent="0.25">
      <c r="B88" s="446">
        <f>'Bulk Plant Input'!A31</f>
        <v>0</v>
      </c>
      <c r="C88" s="447"/>
      <c r="D88" s="153">
        <f>IF(B88=0,0,'Bulk Plant Input'!C31*('Bulk Plant Input'!$I$12/('Bulk Plant Input'!$B$13/1000)))</f>
        <v>0</v>
      </c>
      <c r="E88" s="455"/>
      <c r="F88" s="455"/>
      <c r="G88" s="455"/>
      <c r="H88" s="455"/>
    </row>
    <row r="89" spans="2:8" ht="20.100000000000001" hidden="1" customHeight="1" x14ac:dyDescent="0.25">
      <c r="B89" s="446">
        <f>'Bulk Plant Input'!A32</f>
        <v>0</v>
      </c>
      <c r="C89" s="447"/>
      <c r="D89" s="153">
        <f>IF(B89=0,0,'Bulk Plant Input'!C32*('Bulk Plant Input'!$I$12/('Bulk Plant Input'!$B$13/1000)))</f>
        <v>0</v>
      </c>
      <c r="E89" s="455"/>
      <c r="F89" s="455"/>
      <c r="G89" s="455"/>
      <c r="H89" s="455"/>
    </row>
    <row r="90" spans="2:8" ht="20.100000000000001" hidden="1" customHeight="1" x14ac:dyDescent="0.25">
      <c r="B90" s="446">
        <f>'Bulk Plant Input'!A33</f>
        <v>0</v>
      </c>
      <c r="C90" s="447"/>
      <c r="D90" s="153">
        <f>IF(B90=0,0,'Bulk Plant Input'!C33*('Bulk Plant Input'!$I$12/('Bulk Plant Input'!$B$13/1000)))</f>
        <v>0</v>
      </c>
      <c r="E90" s="455"/>
      <c r="F90" s="455"/>
      <c r="G90" s="455"/>
      <c r="H90" s="455"/>
    </row>
    <row r="91" spans="2:8" ht="20.100000000000001" hidden="1" customHeight="1" x14ac:dyDescent="0.25">
      <c r="B91" s="446">
        <f>'Bulk Plant Input'!A34</f>
        <v>0</v>
      </c>
      <c r="C91" s="447"/>
      <c r="D91" s="153">
        <f>IF(B91=0,0,'Bulk Plant Input'!C34*('Bulk Plant Input'!$I$12/('Bulk Plant Input'!$B$13/1000)))</f>
        <v>0</v>
      </c>
      <c r="E91" s="455"/>
      <c r="F91" s="455"/>
      <c r="G91" s="455"/>
      <c r="H91" s="455"/>
    </row>
    <row r="92" spans="2:8" ht="20.100000000000001" hidden="1" customHeight="1" x14ac:dyDescent="0.25">
      <c r="B92" s="446">
        <f>'Bulk Plant Input'!A35</f>
        <v>0</v>
      </c>
      <c r="C92" s="447"/>
      <c r="D92" s="153">
        <f>IF(B92=0,0,'Bulk Plant Input'!C35*('Bulk Plant Input'!$I$12/('Bulk Plant Input'!$B$13/1000)))</f>
        <v>0</v>
      </c>
      <c r="E92" s="455"/>
      <c r="F92" s="455"/>
      <c r="G92" s="455"/>
      <c r="H92" s="455"/>
    </row>
    <row r="93" spans="2:8" ht="20.100000000000001" hidden="1" customHeight="1" x14ac:dyDescent="0.25">
      <c r="B93" s="446">
        <f>'Bulk Plant Input'!A36</f>
        <v>0</v>
      </c>
      <c r="C93" s="447"/>
      <c r="D93" s="153">
        <f>IF(B93=0,0,'Bulk Plant Input'!C36*('Bulk Plant Input'!$I$12/('Bulk Plant Input'!$B$13/1000)))</f>
        <v>0</v>
      </c>
      <c r="E93" s="455"/>
      <c r="F93" s="455"/>
      <c r="G93" s="455"/>
      <c r="H93" s="455"/>
    </row>
    <row r="94" spans="2:8" ht="20.100000000000001" hidden="1" customHeight="1" x14ac:dyDescent="0.25">
      <c r="B94" s="455">
        <f>'Bulk Plant Input'!A37</f>
        <v>0</v>
      </c>
      <c r="C94" s="455"/>
      <c r="D94" s="153">
        <f>IF(B94=0,0,'Bulk Plant Input'!C37*('Bulk Plant Input'!$I$12/('Bulk Plant Input'!$B$13/1000)))</f>
        <v>0</v>
      </c>
      <c r="E94" s="455"/>
      <c r="F94" s="455"/>
      <c r="G94" s="455"/>
      <c r="H94" s="455"/>
    </row>
    <row r="95" spans="2:8" ht="20.100000000000001" hidden="1" customHeight="1" x14ac:dyDescent="0.25">
      <c r="B95" s="455">
        <f>'Bulk Plant Input'!A43</f>
        <v>0</v>
      </c>
      <c r="C95" s="455"/>
      <c r="D95" s="153">
        <f>IF(B95=0,0,'Bulk Plant Input'!C38*('Bulk Plant Input'!$I$12/('Bulk Plant Input'!$B$13/1000)))</f>
        <v>0</v>
      </c>
      <c r="E95" s="455"/>
      <c r="F95" s="455"/>
      <c r="G95" s="455"/>
      <c r="H95" s="455"/>
    </row>
    <row r="96" spans="2:8" ht="20.100000000000001" hidden="1" customHeight="1" x14ac:dyDescent="0.25">
      <c r="B96" s="455">
        <f>'Bulk Plant Input'!A44</f>
        <v>0</v>
      </c>
      <c r="C96" s="455"/>
      <c r="D96" s="153">
        <f>IF(B96=0,0,'Bulk Plant Input'!C39*('Bulk Plant Input'!$I$12/('Bulk Plant Input'!$B$13/1000)))</f>
        <v>0</v>
      </c>
      <c r="E96" s="455"/>
      <c r="F96" s="455"/>
      <c r="G96" s="455"/>
      <c r="H96" s="455"/>
    </row>
    <row r="97" spans="1:11" ht="15" customHeight="1" x14ac:dyDescent="0.25">
      <c r="B97" s="161"/>
      <c r="C97" s="161"/>
      <c r="D97" s="156" t="s">
        <v>198</v>
      </c>
      <c r="E97" s="161"/>
      <c r="F97" s="161"/>
      <c r="G97" s="161"/>
      <c r="H97" s="161"/>
    </row>
    <row r="98" spans="1:11" x14ac:dyDescent="0.25">
      <c r="A98" s="200"/>
      <c r="B98" s="200"/>
      <c r="C98" s="200"/>
      <c r="D98" s="157" t="s">
        <v>198</v>
      </c>
      <c r="E98" s="200"/>
      <c r="F98" s="200"/>
      <c r="G98" s="200"/>
      <c r="H98" s="200"/>
      <c r="I98" s="200"/>
      <c r="J98" s="200"/>
      <c r="K98" s="200"/>
    </row>
    <row r="99" spans="1:11" hidden="1" x14ac:dyDescent="0.25">
      <c r="D99" s="158" t="s">
        <v>198</v>
      </c>
    </row>
    <row r="100" spans="1:11" ht="15.75" hidden="1" x14ac:dyDescent="0.25">
      <c r="B100" s="456" t="str">
        <f>IF('Bulk Plant Input'!$I$13="","2nd Batch Not Entered","BASE BLEND - Batch 2")</f>
        <v>2nd Batch Not Entered</v>
      </c>
      <c r="C100" s="456"/>
      <c r="D100" s="158" t="s">
        <v>198</v>
      </c>
    </row>
    <row r="101" spans="1:11" ht="30" hidden="1" customHeight="1" x14ac:dyDescent="0.25">
      <c r="B101" s="468" t="str">
        <f>IF('Bulk Plant Input'!$I$13="","","Material")</f>
        <v/>
      </c>
      <c r="C101" s="468"/>
      <c r="D101" s="159" t="str">
        <f>IF('Bulk Plant Input'!$I$13="","","Required (kg)")</f>
        <v/>
      </c>
      <c r="E101" s="468" t="str">
        <f>IF('Bulk Plant Input'!$I$13="","","Loaded
 (kg)")</f>
        <v/>
      </c>
      <c r="F101" s="468"/>
      <c r="G101" s="468" t="str">
        <f>IF('Bulk Plant Input'!$I$13="","","Lot #")</f>
        <v/>
      </c>
      <c r="H101" s="468"/>
    </row>
    <row r="102" spans="1:11" hidden="1" x14ac:dyDescent="0.25">
      <c r="B102" s="446" t="str">
        <f>INDEX('Base Blend Property Calculation'!$C$6:$BF$6,1,'Base Blend Property Calculation'!BT7)</f>
        <v>Class A</v>
      </c>
      <c r="C102" s="447"/>
      <c r="D102" s="160">
        <f>VLOOKUP('Bulk Plant Input'!$A$19, 'Base Blend Property Calculation'!$A$6:$BF$152,'Base Blend Property Calculation'!BT9,FALSE)*('Bulk Plant Input'!$I$13/('Bulk Plant Input'!$B$13/1000))</f>
        <v>0</v>
      </c>
      <c r="E102" s="455"/>
      <c r="F102" s="455"/>
      <c r="G102" s="455"/>
      <c r="H102" s="455"/>
    </row>
    <row r="103" spans="1:11" hidden="1" x14ac:dyDescent="0.25">
      <c r="B103" s="446" t="str">
        <f>INDEX('Base Blend Property Calculation'!$C$6:$BF$6,1,'Base Blend Property Calculation'!BT8)</f>
        <v>Class C</v>
      </c>
      <c r="C103" s="447"/>
      <c r="D103" s="160">
        <f>VLOOKUP('Bulk Plant Input'!$A$19, 'Base Blend Property Calculation'!$A$6:$BF$152,'Base Blend Property Calculation'!BT10,FALSE)*('Bulk Plant Input'!$I$13/('Bulk Plant Input'!$B$13/1000))</f>
        <v>0</v>
      </c>
      <c r="E103" s="455"/>
      <c r="F103" s="455"/>
      <c r="G103" s="455"/>
      <c r="H103" s="455"/>
    </row>
    <row r="104" spans="1:11" hidden="1" x14ac:dyDescent="0.25">
      <c r="B104" s="446" t="str">
        <f>INDEX('Base Blend Property Calculation'!$C$6:$BF$6,1,'Base Blend Property Calculation'!BT9)</f>
        <v>Class G</v>
      </c>
      <c r="C104" s="447"/>
      <c r="D104" s="153">
        <f>VLOOKUP('Bulk Plant Input'!$A$19, 'Base Blend Property Calculation'!$A$6:$BF$152,'Base Blend Property Calculation'!BT11,FALSE)*('Bulk Plant Input'!$I$13/('Bulk Plant Input'!$B$13/1000))</f>
        <v>0</v>
      </c>
      <c r="E104" s="455"/>
      <c r="F104" s="455"/>
      <c r="G104" s="455"/>
      <c r="H104" s="455"/>
    </row>
    <row r="105" spans="1:11" ht="15" hidden="1" customHeight="1" x14ac:dyDescent="0.25">
      <c r="B105" s="446" t="str">
        <f>INDEX('Base Blend Property Calculation'!$C$6:$BF$6,1,'Base Blend Property Calculation'!BT10)</f>
        <v>Class H</v>
      </c>
      <c r="C105" s="447"/>
      <c r="D105" s="153">
        <f>VLOOKUP('Bulk Plant Input'!$A$19, 'Base Blend Property Calculation'!$A$6:$BF$152,'Base Blend Property Calculation'!BT12,FALSE)*('Bulk Plant Input'!$I$13/('Bulk Plant Input'!$B$13/1000))</f>
        <v>0</v>
      </c>
      <c r="E105" s="455"/>
      <c r="F105" s="455"/>
      <c r="G105" s="455"/>
      <c r="H105" s="455"/>
    </row>
    <row r="106" spans="1:11" ht="15" hidden="1" customHeight="1" x14ac:dyDescent="0.25">
      <c r="B106" s="446" t="str">
        <f>INDEX('Base Blend Property Calculation'!$C$6:$BF$6,1,'Base Blend Property Calculation'!BT11)</f>
        <v>Intercem</v>
      </c>
      <c r="C106" s="447"/>
      <c r="D106" s="153">
        <f>VLOOKUP('Bulk Plant Input'!$A$19, 'Base Blend Property Calculation'!$A$6:$BF$152,'Base Blend Property Calculation'!BT13,FALSE)*('Bulk Plant Input'!$I$13/('Bulk Plant Input'!$B$13/1000))</f>
        <v>0</v>
      </c>
      <c r="E106" s="455"/>
      <c r="F106" s="455"/>
      <c r="G106" s="455"/>
      <c r="H106" s="455"/>
    </row>
    <row r="107" spans="1:11" ht="15" hidden="1" customHeight="1" x14ac:dyDescent="0.25">
      <c r="B107" s="446" t="str">
        <f>INDEX('Base Blend Property Calculation'!$C$6:$BF$6,1,'Base Blend Property Calculation'!BT12)</f>
        <v>Colloid SQ-A</v>
      </c>
      <c r="C107" s="447"/>
      <c r="D107" s="153">
        <f>VLOOKUP('Bulk Plant Input'!$A$19, 'Base Blend Property Calculation'!$A$6:$BF$152,'Base Blend Property Calculation'!BT14,FALSE)*('Bulk Plant Input'!$I$13/('Bulk Plant Input'!$B$13/1000))</f>
        <v>0</v>
      </c>
      <c r="E107" s="455"/>
      <c r="F107" s="455"/>
      <c r="G107" s="455"/>
      <c r="H107" s="455"/>
    </row>
    <row r="108" spans="1:11" ht="15" hidden="1" customHeight="1" x14ac:dyDescent="0.25">
      <c r="B108" s="446" t="str">
        <f>INDEX('Base Blend Property Calculation'!$C$6:$BF$6,1,'Base Blend Property Calculation'!BT13)</f>
        <v>Flyash</v>
      </c>
      <c r="C108" s="447"/>
      <c r="D108" s="153">
        <f>VLOOKUP('Bulk Plant Input'!$A$19, 'Base Blend Property Calculation'!$A$6:$BF$152,'Base Blend Property Calculation'!BT15,FALSE)*('Bulk Plant Input'!$I$13/('Bulk Plant Input'!$B$13/1000))</f>
        <v>0</v>
      </c>
      <c r="E108" s="455"/>
      <c r="F108" s="455"/>
      <c r="G108" s="455"/>
      <c r="H108" s="455"/>
    </row>
    <row r="109" spans="1:11" ht="15" hidden="1" customHeight="1" x14ac:dyDescent="0.25">
      <c r="B109" s="446" t="str">
        <f>INDEX('Base Blend Property Calculation'!$C$6:$BF$6,1,'Base Blend Property Calculation'!BT14)</f>
        <v>Flyash (Sask)</v>
      </c>
      <c r="C109" s="447"/>
      <c r="D109" s="153">
        <f>VLOOKUP('Bulk Plant Input'!$A$19, 'Base Blend Property Calculation'!$A$6:$BF$152,'Base Blend Property Calculation'!BT16,FALSE)*('Bulk Plant Input'!$I$13/('Bulk Plant Input'!$B$13/1000))</f>
        <v>0</v>
      </c>
      <c r="E109" s="455"/>
      <c r="F109" s="455"/>
      <c r="G109" s="455"/>
      <c r="H109" s="455"/>
    </row>
    <row r="110" spans="1:11" ht="30" hidden="1" customHeight="1" x14ac:dyDescent="0.25">
      <c r="B110" s="446" t="str">
        <f>INDEX('Base Blend Property Calculation'!$C$6:$BF$6,1,'Base Blend Property Calculation'!BT15)</f>
        <v>Densified Fume</v>
      </c>
      <c r="C110" s="447"/>
      <c r="D110" s="153">
        <f>VLOOKUP('Bulk Plant Input'!$A$19, 'Base Blend Property Calculation'!$A$6:$BF$152,'Base Blend Property Calculation'!BT17,FALSE)*('Bulk Plant Input'!$I$13/('Bulk Plant Input'!$B$13/1000))</f>
        <v>0</v>
      </c>
      <c r="E110" s="455"/>
      <c r="F110" s="455"/>
      <c r="G110" s="455"/>
      <c r="H110" s="455"/>
    </row>
    <row r="111" spans="1:11" ht="15" hidden="1" customHeight="1" x14ac:dyDescent="0.25">
      <c r="B111" s="446" t="str">
        <f>INDEX('Base Blend Property Calculation'!$C$6:$BF$6,1,'Base Blend Property Calculation'!BT16)</f>
        <v>Silica Fume - Semi-Densified</v>
      </c>
      <c r="C111" s="447"/>
      <c r="D111" s="153">
        <f>VLOOKUP('Bulk Plant Input'!$A$19, 'Base Blend Property Calculation'!$A$6:$BF$152,'Base Blend Property Calculation'!BT18,FALSE)*('Bulk Plant Input'!$I$13/('Bulk Plant Input'!$B$13/1000))</f>
        <v>0</v>
      </c>
      <c r="E111" s="455"/>
      <c r="F111" s="455"/>
      <c r="G111" s="455"/>
      <c r="H111" s="455"/>
    </row>
    <row r="112" spans="1:11" ht="15" hidden="1" customHeight="1" x14ac:dyDescent="0.25">
      <c r="B112" s="446" t="str">
        <f>INDEX('Base Blend Property Calculation'!$C$6:$BF$6,1,'Base Blend Property Calculation'!BT17)</f>
        <v>Sanlite</v>
      </c>
      <c r="C112" s="447"/>
      <c r="D112" s="153">
        <f>VLOOKUP('Bulk Plant Input'!$A$19, 'Base Blend Property Calculation'!$A$6:$BF$152,'Base Blend Property Calculation'!BT19,FALSE)*('Bulk Plant Input'!$I$13/('Bulk Plant Input'!$B$13/1000))</f>
        <v>0</v>
      </c>
      <c r="E112" s="455"/>
      <c r="F112" s="455"/>
      <c r="G112" s="455"/>
      <c r="H112" s="455"/>
    </row>
    <row r="113" spans="2:8" ht="15" hidden="1" customHeight="1" x14ac:dyDescent="0.25">
      <c r="B113" s="446" t="str">
        <f>INDEX('Base Blend Property Calculation'!$C$6:$BF$6,1,'Base Blend Property Calculation'!BT18)</f>
        <v>Silica Flour</v>
      </c>
      <c r="C113" s="447"/>
      <c r="D113" s="153">
        <f>VLOOKUP('Bulk Plant Input'!$A$19, 'Base Blend Property Calculation'!$A$6:$BF$152,'Base Blend Property Calculation'!BT20,FALSE)*('Bulk Plant Input'!$I$13/('Bulk Plant Input'!$B$13/1000))</f>
        <v>0</v>
      </c>
      <c r="E113" s="455"/>
      <c r="F113" s="455"/>
      <c r="G113" s="455"/>
      <c r="H113" s="455"/>
    </row>
    <row r="114" spans="2:8" hidden="1" x14ac:dyDescent="0.25">
      <c r="B114" s="446" t="str">
        <f>INDEX('Base Blend Property Calculation'!$C$6:$BF$6,1,'Base Blend Property Calculation'!BT19)</f>
        <v>Gel</v>
      </c>
      <c r="C114" s="447"/>
      <c r="D114" s="153">
        <f>VLOOKUP('Bulk Plant Input'!$A$19, 'Base Blend Property Calculation'!$A$6:$BF$152,'Base Blend Property Calculation'!BT21,FALSE)*('Bulk Plant Input'!$I$13/('Bulk Plant Input'!$B$13/1000))</f>
        <v>0</v>
      </c>
      <c r="E114" s="455"/>
      <c r="F114" s="455"/>
      <c r="G114" s="455"/>
      <c r="H114" s="455"/>
    </row>
    <row r="115" spans="2:8" ht="15" hidden="1" customHeight="1" x14ac:dyDescent="0.25">
      <c r="B115" s="446" t="str">
        <f>INDEX('Base Blend Property Calculation'!$C$6:$BF$6,1,'Base Blend Property Calculation'!BT20)</f>
        <v>SCA-1</v>
      </c>
      <c r="C115" s="447"/>
      <c r="D115" s="153">
        <f>VLOOKUP('Bulk Plant Input'!$A$19, 'Base Blend Property Calculation'!$A$6:$BF$152,'Base Blend Property Calculation'!BT22,FALSE)*('Bulk Plant Input'!$I$13/('Bulk Plant Input'!$B$13/1000))</f>
        <v>0</v>
      </c>
      <c r="E115" s="455"/>
      <c r="F115" s="455"/>
      <c r="G115" s="455"/>
      <c r="H115" s="455"/>
    </row>
    <row r="116" spans="2:8" ht="15" hidden="1" customHeight="1" x14ac:dyDescent="0.25">
      <c r="B116" s="446" t="str">
        <f>INDEX('Base Blend Property Calculation'!$C$6:$BF$6,1,'Base Blend Property Calculation'!BT21)</f>
        <v>Hematite</v>
      </c>
      <c r="C116" s="447"/>
      <c r="D116" s="153">
        <f>VLOOKUP('Bulk Plant Input'!$A$19, 'Base Blend Property Calculation'!$A$6:$BF$152,'Base Blend Property Calculation'!BT23,FALSE)*('Bulk Plant Input'!$I$13/('Bulk Plant Input'!$B$13/1000))</f>
        <v>0</v>
      </c>
      <c r="E116" s="455"/>
      <c r="F116" s="455"/>
      <c r="G116" s="455"/>
      <c r="H116" s="455"/>
    </row>
    <row r="117" spans="2:8" ht="15" hidden="1" customHeight="1" x14ac:dyDescent="0.25">
      <c r="B117" s="446" t="str">
        <f>INDEX('Base Blend Property Calculation'!$C$6:$BF$6,1,'Base Blend Property Calculation'!BT22)</f>
        <v>CDM-6B</v>
      </c>
      <c r="C117" s="447"/>
      <c r="D117" s="153">
        <f>VLOOKUP('Bulk Plant Input'!$A$19, 'Base Blend Property Calculation'!$A$6:$BF$152,'Base Blend Property Calculation'!BT24,FALSE)*('Bulk Plant Input'!$I$13/('Bulk Plant Input'!$B$13/1000))</f>
        <v>0</v>
      </c>
      <c r="E117" s="455"/>
      <c r="F117" s="455"/>
      <c r="G117" s="455"/>
      <c r="H117" s="455"/>
    </row>
    <row r="118" spans="2:8" ht="15" hidden="1" customHeight="1" x14ac:dyDescent="0.25">
      <c r="B118" s="446" t="str">
        <f>INDEX('Base Blend Property Calculation'!$C$6:$BF$6,1,'Base Blend Property Calculation'!BT23)</f>
        <v>CDM-6</v>
      </c>
      <c r="C118" s="447"/>
      <c r="D118" s="153">
        <f>VLOOKUP('Bulk Plant Input'!$A$19, 'Base Blend Property Calculation'!$A$6:$BF$152,'Base Blend Property Calculation'!BT25,FALSE)*('Bulk Plant Input'!$I$13/('Bulk Plant Input'!$B$13/1000))</f>
        <v>0</v>
      </c>
      <c r="E118" s="455"/>
      <c r="F118" s="455"/>
      <c r="G118" s="455"/>
      <c r="H118" s="455"/>
    </row>
    <row r="119" spans="2:8" ht="15" hidden="1" customHeight="1" x14ac:dyDescent="0.25">
      <c r="B119" s="446" t="str">
        <f>INDEX('Base Blend Property Calculation'!$C$6:$BF$6,1,'Base Blend Property Calculation'!BT24)</f>
        <v>CDM-2</v>
      </c>
      <c r="C119" s="447"/>
      <c r="D119" s="153">
        <f>VLOOKUP('Bulk Plant Input'!$A$19, 'Base Blend Property Calculation'!$A$6:$BF$152,'Base Blend Property Calculation'!BT26,FALSE)*('Bulk Plant Input'!$I$13/('Bulk Plant Input'!$B$13/1000))</f>
        <v>0</v>
      </c>
      <c r="E119" s="455"/>
      <c r="F119" s="455"/>
      <c r="G119" s="455"/>
      <c r="H119" s="455"/>
    </row>
    <row r="120" spans="2:8" ht="15" hidden="1" customHeight="1" x14ac:dyDescent="0.25">
      <c r="B120" s="446" t="str">
        <f>INDEX('Base Blend Property Calculation'!$C$6:$BF$6,1,'Base Blend Property Calculation'!BT25)</f>
        <v>CDM-5</v>
      </c>
      <c r="C120" s="447"/>
      <c r="D120" s="153">
        <f>VLOOKUP('Bulk Plant Input'!$A$19, 'Base Blend Property Calculation'!$A$6:$BF$152,'Base Blend Property Calculation'!BT27,FALSE)*('Bulk Plant Input'!$I$13/('Bulk Plant Input'!$B$13/1000))</f>
        <v>0</v>
      </c>
      <c r="E120" s="455"/>
      <c r="F120" s="455"/>
      <c r="G120" s="455"/>
      <c r="H120" s="455"/>
    </row>
    <row r="121" spans="2:8" ht="15" hidden="1" customHeight="1" x14ac:dyDescent="0.25">
      <c r="B121" s="446" t="str">
        <f>INDEX('Base Blend Property Calculation'!$C$6:$BF$6,1,'Base Blend Property Calculation'!BT26)</f>
        <v>CDM-C</v>
      </c>
      <c r="C121" s="447"/>
      <c r="D121" s="153">
        <f>VLOOKUP('Bulk Plant Input'!$A$19, 'Base Blend Property Calculation'!$A$6:$BF$152,'Base Blend Property Calculation'!BT28,FALSE)*('Bulk Plant Input'!$I$13/('Bulk Plant Input'!$B$13/1000))</f>
        <v>0</v>
      </c>
      <c r="E121" s="455"/>
      <c r="F121" s="455"/>
      <c r="G121" s="455"/>
      <c r="H121" s="455"/>
    </row>
    <row r="122" spans="2:8" hidden="1" x14ac:dyDescent="0.25">
      <c r="B122" s="446" t="str">
        <f>INDEX('Base Blend Property Calculation'!$C$6:$BF$6,1,'Base Blend Property Calculation'!BT27)</f>
        <v>CDM-10</v>
      </c>
      <c r="C122" s="447"/>
      <c r="D122" s="153">
        <f>VLOOKUP('Bulk Plant Input'!$A$19, 'Base Blend Property Calculation'!$A$6:$BF$152,'Base Blend Property Calculation'!BT29,FALSE)*('Bulk Plant Input'!$I$13/('Bulk Plant Input'!$B$13/1000))</f>
        <v>0</v>
      </c>
      <c r="E122" s="455"/>
      <c r="F122" s="455"/>
      <c r="G122" s="455"/>
      <c r="H122" s="455"/>
    </row>
    <row r="123" spans="2:8" ht="15" hidden="1" customHeight="1" x14ac:dyDescent="0.25">
      <c r="B123" s="446" t="str">
        <f>INDEX('Base Blend Property Calculation'!$C$6:$BF$6,1,'Base Blend Property Calculation'!BT28)</f>
        <v>CFR</v>
      </c>
      <c r="C123" s="447"/>
      <c r="D123" s="153">
        <f>VLOOKUP('Bulk Plant Input'!$A$19, 'Base Blend Property Calculation'!$A$6:$BF$152,'Base Blend Property Calculation'!BT30,FALSE)*('Bulk Plant Input'!$I$13/('Bulk Plant Input'!$B$13/1000))</f>
        <v>0</v>
      </c>
      <c r="E123" s="455"/>
      <c r="F123" s="455"/>
      <c r="G123" s="455"/>
      <c r="H123" s="455"/>
    </row>
    <row r="124" spans="2:8" ht="15" hidden="1" customHeight="1" x14ac:dyDescent="0.25">
      <c r="B124" s="446" t="str">
        <f>INDEX('Base Blend Property Calculation'!$C$6:$BF$6,1,'Base Blend Property Calculation'!BT29)</f>
        <v>CFR-2</v>
      </c>
      <c r="C124" s="447"/>
      <c r="D124" s="153">
        <f>VLOOKUP('Bulk Plant Input'!$A$19, 'Base Blend Property Calculation'!$A$6:$BF$152,'Base Blend Property Calculation'!BT31,FALSE)*('Bulk Plant Input'!$I$13/('Bulk Plant Input'!$B$13/1000))</f>
        <v>0</v>
      </c>
      <c r="E124" s="455"/>
      <c r="F124" s="455"/>
      <c r="G124" s="455"/>
      <c r="H124" s="455"/>
    </row>
    <row r="125" spans="2:8" ht="15" hidden="1" customHeight="1" x14ac:dyDescent="0.25">
      <c r="B125" s="446" t="str">
        <f>INDEX('Base Blend Property Calculation'!$C$6:$BF$6,1,'Base Blend Property Calculation'!BT30)</f>
        <v>CFR-5</v>
      </c>
      <c r="C125" s="447"/>
      <c r="D125" s="153">
        <f>VLOOKUP('Bulk Plant Input'!$A$19, 'Base Blend Property Calculation'!$A$6:$BF$152,'Base Blend Property Calculation'!BT32,FALSE)*('Bulk Plant Input'!$I$13/('Bulk Plant Input'!$B$13/1000))</f>
        <v>0</v>
      </c>
      <c r="E125" s="455"/>
      <c r="F125" s="455"/>
      <c r="G125" s="455"/>
      <c r="H125" s="455"/>
    </row>
    <row r="126" spans="2:8" ht="15" hidden="1" customHeight="1" x14ac:dyDescent="0.25">
      <c r="B126" s="446" t="str">
        <f>INDEX('Base Blend Property Calculation'!$C$6:$BF$6,1,'Base Blend Property Calculation'!BT31)</f>
        <v>CFL-3</v>
      </c>
      <c r="C126" s="447"/>
      <c r="D126" s="153">
        <f>VLOOKUP('Bulk Plant Input'!$A$19, 'Base Blend Property Calculation'!$A$6:$BF$152,'Base Blend Property Calculation'!BT33,FALSE)*('Bulk Plant Input'!$I$13/('Bulk Plant Input'!$B$13/1000))</f>
        <v>0</v>
      </c>
      <c r="E126" s="455"/>
      <c r="F126" s="455"/>
      <c r="G126" s="455"/>
      <c r="H126" s="455"/>
    </row>
    <row r="127" spans="2:8" ht="15" hidden="1" customHeight="1" x14ac:dyDescent="0.25">
      <c r="B127" s="446" t="str">
        <f>INDEX('Base Blend Property Calculation'!$C$6:$BF$6,1,'Base Blend Property Calculation'!BT32)</f>
        <v>CFL-4</v>
      </c>
      <c r="C127" s="447"/>
      <c r="D127" s="153">
        <f>VLOOKUP('Bulk Plant Input'!$A$19, 'Base Blend Property Calculation'!$A$6:$BF$152,'Base Blend Property Calculation'!BT34,FALSE)*('Bulk Plant Input'!$I$13/('Bulk Plant Input'!$B$13/1000))</f>
        <v>0</v>
      </c>
      <c r="E127" s="455"/>
      <c r="F127" s="455"/>
      <c r="G127" s="455"/>
      <c r="H127" s="455"/>
    </row>
    <row r="128" spans="2:8" ht="15" hidden="1" customHeight="1" x14ac:dyDescent="0.25">
      <c r="B128" s="446" t="str">
        <f>INDEX('Base Blend Property Calculation'!$C$6:$BF$6,1,'Base Blend Property Calculation'!BT33)</f>
        <v>CFL-6</v>
      </c>
      <c r="C128" s="447"/>
      <c r="D128" s="153">
        <f>VLOOKUP('Bulk Plant Input'!$A$19, 'Base Blend Property Calculation'!$A$6:$BF$152,'Base Blend Property Calculation'!BT35,FALSE)*('Bulk Plant Input'!$I$13/('Bulk Plant Input'!$B$13/1000))</f>
        <v>0</v>
      </c>
      <c r="E128" s="455"/>
      <c r="F128" s="455"/>
      <c r="G128" s="455"/>
      <c r="H128" s="455"/>
    </row>
    <row r="129" spans="2:8" ht="15" hidden="1" customHeight="1" x14ac:dyDescent="0.25">
      <c r="B129" s="446" t="str">
        <f>INDEX('Base Blend Property Calculation'!$C$6:$BF$6,1,'Base Blend Property Calculation'!BT34)</f>
        <v>CFL-7</v>
      </c>
      <c r="C129" s="447"/>
      <c r="D129" s="153">
        <f>VLOOKUP('Bulk Plant Input'!$A$19, 'Base Blend Property Calculation'!$A$6:$BF$152,'Base Blend Property Calculation'!BT36,FALSE)*('Bulk Plant Input'!$I$13/('Bulk Plant Input'!$B$13/1000))</f>
        <v>0</v>
      </c>
      <c r="E129" s="455"/>
      <c r="F129" s="455"/>
      <c r="G129" s="455"/>
      <c r="H129" s="455"/>
    </row>
    <row r="130" spans="2:8" ht="15" hidden="1" customHeight="1" x14ac:dyDescent="0.25">
      <c r="B130" s="446" t="str">
        <f>INDEX('Base Blend Property Calculation'!$C$6:$BF$6,1,'Base Blend Property Calculation'!BT35)</f>
        <v>CaCl2</v>
      </c>
      <c r="C130" s="447"/>
      <c r="D130" s="153">
        <f>VLOOKUP('Bulk Plant Input'!$A$19, 'Base Blend Property Calculation'!$A$6:$BF$152,'Base Blend Property Calculation'!BT37,FALSE)*('Bulk Plant Input'!$I$13/('Bulk Plant Input'!$B$13/1000))</f>
        <v>0</v>
      </c>
      <c r="E130" s="455"/>
      <c r="F130" s="455"/>
      <c r="G130" s="455"/>
      <c r="H130" s="455"/>
    </row>
    <row r="131" spans="2:8" ht="15" hidden="1" customHeight="1" x14ac:dyDescent="0.25">
      <c r="B131" s="446" t="str">
        <f>INDEX('Base Blend Property Calculation'!$C$6:$BF$6,1,'Base Blend Property Calculation'!BT36)</f>
        <v>SCA-6</v>
      </c>
      <c r="C131" s="447"/>
      <c r="D131" s="153">
        <f>VLOOKUP('Bulk Plant Input'!$A$19, 'Base Blend Property Calculation'!$A$6:$BF$152,'Base Blend Property Calculation'!BT38,FALSE)*('Bulk Plant Input'!$I$13/('Bulk Plant Input'!$B$13/1000))</f>
        <v>0</v>
      </c>
      <c r="E131" s="455"/>
      <c r="F131" s="455"/>
      <c r="G131" s="455"/>
      <c r="H131" s="455"/>
    </row>
    <row r="132" spans="2:8" ht="15" hidden="1" customHeight="1" x14ac:dyDescent="0.25">
      <c r="B132" s="446" t="str">
        <f>INDEX('Base Blend Property Calculation'!$C$6:$BF$6,1,'Base Blend Property Calculation'!BT37)</f>
        <v>SCA-7</v>
      </c>
      <c r="C132" s="447"/>
      <c r="D132" s="153">
        <f>VLOOKUP('Bulk Plant Input'!$A$19, 'Base Blend Property Calculation'!$A$6:$BF$152,'Base Blend Property Calculation'!BT39,FALSE)*('Bulk Plant Input'!$I$13/('Bulk Plant Input'!$B$13/1000))</f>
        <v>0</v>
      </c>
      <c r="E132" s="455"/>
      <c r="F132" s="455"/>
      <c r="G132" s="455"/>
      <c r="H132" s="455"/>
    </row>
    <row r="133" spans="2:8" ht="15" hidden="1" customHeight="1" x14ac:dyDescent="0.25">
      <c r="B133" s="446" t="str">
        <f>INDEX('Base Blend Property Calculation'!$C$6:$BF$6,1,'Base Blend Property Calculation'!BT38)</f>
        <v>SCA-5</v>
      </c>
      <c r="C133" s="447"/>
      <c r="D133" s="153">
        <f>VLOOKUP('Bulk Plant Input'!$A$19, 'Base Blend Property Calculation'!$A$6:$BF$152,'Base Blend Property Calculation'!BT40,FALSE)*('Bulk Plant Input'!$I$13/('Bulk Plant Input'!$B$13/1000))</f>
        <v>0</v>
      </c>
      <c r="E133" s="455"/>
      <c r="F133" s="455"/>
      <c r="G133" s="455"/>
      <c r="H133" s="455"/>
    </row>
    <row r="134" spans="2:8" ht="15" hidden="1" customHeight="1" x14ac:dyDescent="0.25">
      <c r="B134" s="446" t="str">
        <f>INDEX('Base Blend Property Calculation'!$C$6:$BF$6,1,'Base Blend Property Calculation'!BT39)</f>
        <v>FWC-2</v>
      </c>
      <c r="C134" s="447"/>
      <c r="D134" s="153">
        <f>VLOOKUP('Bulk Plant Input'!$A$19, 'Base Blend Property Calculation'!$A$6:$BF$152,'Base Blend Property Calculation'!BT41,FALSE)*('Bulk Plant Input'!$I$13/('Bulk Plant Input'!$B$13/1000))</f>
        <v>0</v>
      </c>
      <c r="E134" s="455"/>
      <c r="F134" s="455"/>
      <c r="G134" s="455"/>
      <c r="H134" s="455"/>
    </row>
    <row r="135" spans="2:8" hidden="1" x14ac:dyDescent="0.25">
      <c r="B135" s="446" t="str">
        <f>INDEX('Base Blend Property Calculation'!$C$6:$BF$6,1,'Base Blend Property Calculation'!BT40)</f>
        <v>LTR-3</v>
      </c>
      <c r="C135" s="447"/>
      <c r="D135" s="153">
        <f>VLOOKUP('Bulk Plant Input'!$A$19, 'Base Blend Property Calculation'!$A$6:$BF$152,'Base Blend Property Calculation'!BT42,FALSE)*('Bulk Plant Input'!$I$13/('Bulk Plant Input'!$B$13/1000))</f>
        <v>0</v>
      </c>
      <c r="E135" s="455"/>
      <c r="F135" s="455"/>
      <c r="G135" s="455"/>
      <c r="H135" s="455"/>
    </row>
    <row r="136" spans="2:8" hidden="1" x14ac:dyDescent="0.25">
      <c r="B136" s="446" t="str">
        <f>INDEX('Base Blend Property Calculation'!$C$6:$BF$6,1,'Base Blend Property Calculation'!BT41)</f>
        <v>NaCl</v>
      </c>
      <c r="C136" s="447"/>
      <c r="D136" s="153">
        <f>VLOOKUP('Bulk Plant Input'!$A$19, 'Base Blend Property Calculation'!$A$6:$BF$152,'Base Blend Property Calculation'!BT43,FALSE)*('Bulk Plant Input'!$I$13/('Bulk Plant Input'!$B$13/1000))</f>
        <v>0</v>
      </c>
      <c r="E136" s="455"/>
      <c r="F136" s="455"/>
      <c r="G136" s="455"/>
      <c r="H136" s="455"/>
    </row>
    <row r="137" spans="2:8" hidden="1" x14ac:dyDescent="0.25">
      <c r="B137" s="446" t="str">
        <f>INDEX('Base Blend Property Calculation'!$C$6:$BF$6,1,'Base Blend Property Calculation'!BT42)</f>
        <v>KCl</v>
      </c>
      <c r="C137" s="447"/>
      <c r="D137" s="153">
        <f>VLOOKUP('Bulk Plant Input'!$A$19, 'Base Blend Property Calculation'!$A$6:$BF$152,'Base Blend Property Calculation'!BT44,FALSE)*('Bulk Plant Input'!$I$13/('Bulk Plant Input'!$B$13/1000))</f>
        <v>0</v>
      </c>
      <c r="E137" s="455"/>
      <c r="F137" s="455"/>
      <c r="G137" s="455"/>
      <c r="H137" s="455"/>
    </row>
    <row r="138" spans="2:8" ht="15.75" hidden="1" customHeight="1" x14ac:dyDescent="0.25">
      <c r="B138" s="446" t="str">
        <f>INDEX('Base Blend Property Calculation'!$C$6:$BF$6,1,'Base Blend Property Calculation'!BT43)</f>
        <v>EA-1</v>
      </c>
      <c r="C138" s="447"/>
      <c r="D138" s="153">
        <f>VLOOKUP('Bulk Plant Input'!$A$19, 'Base Blend Property Calculation'!$A$6:$BF$152,'Base Blend Property Calculation'!BT45,FALSE)*('Bulk Plant Input'!$I$13/('Bulk Plant Input'!$B$13/1000))</f>
        <v>0</v>
      </c>
      <c r="E138" s="455"/>
      <c r="F138" s="455"/>
      <c r="G138" s="455"/>
      <c r="H138" s="455"/>
    </row>
    <row r="139" spans="2:8" hidden="1" x14ac:dyDescent="0.25">
      <c r="B139" s="446" t="str">
        <f>INDEX('Base Blend Property Calculation'!$C$6:$BF$6,1,'Base Blend Property Calculation'!BT44)</f>
        <v>EA-3</v>
      </c>
      <c r="C139" s="447"/>
      <c r="D139" s="153">
        <f>VLOOKUP('Bulk Plant Input'!$A$19, 'Base Blend Property Calculation'!$A$6:$BF$152,'Base Blend Property Calculation'!BT46,FALSE)*('Bulk Plant Input'!$I$13/('Bulk Plant Input'!$B$13/1000))</f>
        <v>0</v>
      </c>
      <c r="E139" s="455"/>
      <c r="F139" s="455"/>
      <c r="G139" s="455"/>
      <c r="H139" s="455"/>
    </row>
    <row r="140" spans="2:8" hidden="1" x14ac:dyDescent="0.25">
      <c r="B140" s="446" t="str">
        <f>INDEX('Base Blend Property Calculation'!$C$6:$BF$6,1,'Base Blend Property Calculation'!BT45)</f>
        <v>LCG-2</v>
      </c>
      <c r="C140" s="447"/>
      <c r="D140" s="153">
        <f>VLOOKUP('Bulk Plant Input'!$A$19, 'Base Blend Property Calculation'!$A$6:$BF$152,'Base Blend Property Calculation'!BT47,FALSE)*('Bulk Plant Input'!$I$13/('Bulk Plant Input'!$B$13/1000))</f>
        <v>0</v>
      </c>
      <c r="E140" s="455"/>
      <c r="F140" s="455"/>
      <c r="G140" s="455"/>
      <c r="H140" s="455"/>
    </row>
    <row r="141" spans="2:8" hidden="1" x14ac:dyDescent="0.25">
      <c r="B141" s="446" t="str">
        <f>INDEX('Base Blend Property Calculation'!$C$6:$BF$6,1,'Base Blend Property Calculation'!BT46)</f>
        <v>Micromix</v>
      </c>
      <c r="C141" s="447"/>
      <c r="D141" s="153">
        <f>VLOOKUP('Bulk Plant Input'!$A$19, 'Base Blend Property Calculation'!$A$6:$BF$152,'Base Blend Property Calculation'!BT48,FALSE)*('Bulk Plant Input'!$I$13/('Bulk Plant Input'!$B$13/1000))</f>
        <v>0</v>
      </c>
      <c r="E141" s="455"/>
      <c r="F141" s="455"/>
      <c r="G141" s="455"/>
      <c r="H141" s="455"/>
    </row>
    <row r="142" spans="2:8" hidden="1" x14ac:dyDescent="0.25">
      <c r="B142" s="446" t="str">
        <f>INDEX('Base Blend Property Calculation'!$C$6:$BF$6,1,'Base Blend Property Calculation'!BT47)</f>
        <v>LCG-1</v>
      </c>
      <c r="C142" s="447"/>
      <c r="D142" s="153">
        <f>VLOOKUP('Bulk Plant Input'!$A$19, 'Base Blend Property Calculation'!$A$6:$BF$152,'Base Blend Property Calculation'!BT51,FALSE)*('Bulk Plant Input'!$I$13/('Bulk Plant Input'!$B$13/1000))</f>
        <v>0</v>
      </c>
      <c r="E142" s="455"/>
      <c r="F142" s="455"/>
      <c r="G142" s="455"/>
      <c r="H142" s="455"/>
    </row>
    <row r="143" spans="2:8" hidden="1" x14ac:dyDescent="0.25">
      <c r="B143" s="446" t="str">
        <f>INDEX('Base Blend Property Calculation'!$C$6:$BF$6,1,'Base Blend Property Calculation'!BT48)</f>
        <v>Gilsonite</v>
      </c>
      <c r="C143" s="447"/>
      <c r="D143" s="153">
        <f>VLOOKUP('Bulk Plant Input'!$A$19, 'Base Blend Property Calculation'!$A$6:$BF$152,'Base Blend Property Calculation'!BT52,FALSE)*('Bulk Plant Input'!$I$13/('Bulk Plant Input'!$B$13/1000))</f>
        <v>0</v>
      </c>
      <c r="E143" s="455"/>
      <c r="F143" s="455"/>
      <c r="G143" s="455"/>
      <c r="H143" s="455"/>
    </row>
    <row r="144" spans="2:8" hidden="1" x14ac:dyDescent="0.25">
      <c r="B144" s="446" t="str">
        <f>INDEX('Base Blend Property Calculation'!$C$6:$BF$6,1,'Base Blend Property Calculation'!BT51)</f>
        <v>Ciment Fondu</v>
      </c>
      <c r="C144" s="447"/>
      <c r="D144" s="153">
        <f>VLOOKUP('Bulk Plant Input'!$A$19, 'Base Blend Property Calculation'!$A$6:$BF$152,'Base Blend Property Calculation'!BT53,FALSE)*('Bulk Plant Input'!$I$13/('Bulk Plant Input'!$B$13/1000))</f>
        <v>0</v>
      </c>
      <c r="E144" s="455"/>
      <c r="F144" s="455"/>
      <c r="G144" s="455"/>
      <c r="H144" s="455"/>
    </row>
    <row r="145" spans="2:8" hidden="1" x14ac:dyDescent="0.25">
      <c r="B145" s="446" t="str">
        <f>INDEX('Base Blend Property Calculation'!$C$6:$BF$6,1,'Base Blend Property Calculation'!BT52)</f>
        <v>CFL-10</v>
      </c>
      <c r="C145" s="447"/>
      <c r="D145" s="153">
        <f>VLOOKUP('Bulk Plant Input'!$A$19, 'Base Blend Property Calculation'!$A$6:$BF$152,'Base Blend Property Calculation'!BT54,FALSE)*('Bulk Plant Input'!$I$13/('Bulk Plant Input'!$B$13/1000))</f>
        <v>0</v>
      </c>
      <c r="E145" s="455"/>
      <c r="F145" s="455"/>
      <c r="G145" s="455"/>
      <c r="H145" s="455"/>
    </row>
    <row r="146" spans="2:8" hidden="1" x14ac:dyDescent="0.25">
      <c r="B146" s="446" t="str">
        <f>INDEX('Base Blend Property Calculation'!$C$6:$BF$6,1,'Base Blend Property Calculation'!BT53)</f>
        <v>CDM-4</v>
      </c>
      <c r="C146" s="447"/>
      <c r="D146" s="153">
        <f>VLOOKUP('Bulk Plant Input'!$A$19, 'Base Blend Property Calculation'!$A$6:$BF$152,'Base Blend Property Calculation'!BT55,FALSE)*('Bulk Plant Input'!$I$13/('Bulk Plant Input'!$B$13/1000))</f>
        <v>0</v>
      </c>
      <c r="E146" s="455"/>
      <c r="F146" s="455"/>
      <c r="G146" s="455"/>
      <c r="H146" s="455"/>
    </row>
    <row r="147" spans="2:8" hidden="1" x14ac:dyDescent="0.25">
      <c r="B147" s="446" t="str">
        <f>INDEX('Base Blend Property Calculation'!$C$6:$BF$6,1,'Base Blend Property Calculation'!BT54)</f>
        <v>ECOmix</v>
      </c>
      <c r="C147" s="447"/>
      <c r="D147" s="153">
        <f>VLOOKUP('Bulk Plant Input'!$A$19, 'Base Blend Property Calculation'!$A$6:$BF$152,'Base Blend Property Calculation'!BT56,FALSE)*('Bulk Plant Input'!$I$13/('Bulk Plant Input'!$B$13/1000))</f>
        <v>0</v>
      </c>
      <c r="E147" s="455"/>
      <c r="F147" s="455"/>
      <c r="G147" s="455"/>
      <c r="H147" s="455"/>
    </row>
    <row r="148" spans="2:8" hidden="1" x14ac:dyDescent="0.25">
      <c r="B148" s="446" t="str">
        <f>INDEX('Base Blend Property Calculation'!$C$6:$BF$6,1,'Base Blend Property Calculation'!BT55)</f>
        <v>CDM-4X</v>
      </c>
      <c r="C148" s="447"/>
      <c r="D148" s="153">
        <f>VLOOKUP('Bulk Plant Input'!$A$19, 'Base Blend Property Calculation'!$A$6:$BF$152,'Base Blend Property Calculation'!BT57,FALSE)*('Bulk Plant Input'!$I$13/('Bulk Plant Input'!$B$13/1000))</f>
        <v>0</v>
      </c>
      <c r="E148" s="455"/>
      <c r="F148" s="455"/>
      <c r="G148" s="455"/>
      <c r="H148" s="455"/>
    </row>
    <row r="149" spans="2:8" hidden="1" x14ac:dyDescent="0.25">
      <c r="B149" s="446" t="str">
        <f>INDEX('Base Blend Property Calculation'!$C$6:$BF$6,1,'Base Blend Property Calculation'!BT56)</f>
        <v>Microfine Sil Flour</v>
      </c>
      <c r="C149" s="447"/>
      <c r="D149" s="153">
        <f>VLOOKUP('Bulk Plant Input'!$A$19, 'Base Blend Property Calculation'!$A$6:$BF$152,'Base Blend Property Calculation'!BT58,FALSE)*('Bulk Plant Input'!$I$13/('Bulk Plant Input'!$B$13/1000))</f>
        <v>0</v>
      </c>
      <c r="E149" s="455"/>
      <c r="F149" s="455"/>
      <c r="G149" s="455"/>
      <c r="H149" s="455"/>
    </row>
    <row r="150" spans="2:8" hidden="1" x14ac:dyDescent="0.25">
      <c r="B150" s="446" t="str">
        <f>INDEX('Base Blend Property Calculation'!$C$6:$BF$6,1,'Base Blend Property Calculation'!BT57)</f>
        <v>None</v>
      </c>
      <c r="C150" s="447"/>
      <c r="D150" s="153">
        <f>VLOOKUP('Bulk Plant Input'!$A$19, 'Base Blend Property Calculation'!$A$6:$BF$152,'Base Blend Property Calculation'!BT59,FALSE)*('Bulk Plant Input'!$I$13/('Bulk Plant Input'!$B$13/1000))</f>
        <v>0</v>
      </c>
      <c r="E150" s="455"/>
      <c r="F150" s="455"/>
      <c r="G150" s="455"/>
      <c r="H150" s="455"/>
    </row>
    <row r="151" spans="2:8" hidden="1" x14ac:dyDescent="0.25">
      <c r="B151" s="446" t="str">
        <f>INDEX('Base Blend Property Calculation'!$C$6:$BF$6,1,'Base Blend Property Calculation'!BT58)</f>
        <v>None</v>
      </c>
      <c r="C151" s="447"/>
      <c r="D151" s="153">
        <f>VLOOKUP('Bulk Plant Input'!$A$19, 'Base Blend Property Calculation'!$A$6:$BF$152,'Base Blend Property Calculation'!BT60,FALSE)*('Bulk Plant Input'!$I$13/('Bulk Plant Input'!$B$13/1000))</f>
        <v>0</v>
      </c>
      <c r="E151" s="455"/>
      <c r="F151" s="455"/>
      <c r="G151" s="455"/>
      <c r="H151" s="455"/>
    </row>
    <row r="152" spans="2:8" hidden="1" x14ac:dyDescent="0.25">
      <c r="B152" s="446" t="str">
        <f>INDEX('Base Blend Property Calculation'!$C$6:$BF$6,1,'Base Blend Property Calculation'!BT59)</f>
        <v>None</v>
      </c>
      <c r="C152" s="447"/>
      <c r="D152" s="153">
        <f>VLOOKUP('Bulk Plant Input'!$A$19, 'Base Blend Property Calculation'!$A$6:$BF$152,'Base Blend Property Calculation'!BT61,FALSE)*('Bulk Plant Input'!$I$13/('Bulk Plant Input'!$B$13/1000))</f>
        <v>0</v>
      </c>
      <c r="E152" s="455"/>
      <c r="F152" s="455"/>
      <c r="G152" s="455"/>
      <c r="H152" s="455"/>
    </row>
    <row r="153" spans="2:8" hidden="1" x14ac:dyDescent="0.25">
      <c r="B153" s="446" t="str">
        <f>INDEX('Base Blend Property Calculation'!$C$6:$BF$6,1,'Base Blend Property Calculation'!BT60)</f>
        <v>None</v>
      </c>
      <c r="C153" s="447"/>
      <c r="D153" s="153">
        <f>VLOOKUP('Bulk Plant Input'!$A$19, 'Base Blend Property Calculation'!$A$6:$BF$152,'Base Blend Property Calculation'!BT62,FALSE)*('Bulk Plant Input'!$I$13/('Bulk Plant Input'!$B$13/1000))</f>
        <v>0</v>
      </c>
      <c r="E153" s="455"/>
      <c r="F153" s="455"/>
      <c r="G153" s="455"/>
      <c r="H153" s="455"/>
    </row>
    <row r="154" spans="2:8" hidden="1" x14ac:dyDescent="0.25">
      <c r="B154" s="446" t="str">
        <f>INDEX('Base Blend Property Calculation'!$C$6:$BF$6,1,'Base Blend Property Calculation'!BT61)</f>
        <v>None</v>
      </c>
      <c r="C154" s="447"/>
      <c r="D154" s="153">
        <f>VLOOKUP('Bulk Plant Input'!$A$19, 'Base Blend Property Calculation'!$A$6:$BF$152,'Base Blend Property Calculation'!BT63,FALSE)*('Bulk Plant Input'!$I$13/('Bulk Plant Input'!$B$13/1000))</f>
        <v>0</v>
      </c>
      <c r="E154" s="455"/>
      <c r="F154" s="455"/>
      <c r="G154" s="455"/>
      <c r="H154" s="455"/>
    </row>
    <row r="155" spans="2:8" hidden="1" x14ac:dyDescent="0.25">
      <c r="B155" s="446" t="str">
        <f>INDEX('Base Blend Property Calculation'!$C$6:$BF$6,1,'Base Blend Property Calculation'!BT62)</f>
        <v>None</v>
      </c>
      <c r="C155" s="447"/>
      <c r="D155" s="153">
        <f>VLOOKUP('Bulk Plant Input'!$A$19, 'Base Blend Property Calculation'!$A$6:$BF$152,'Base Blend Property Calculation'!BT64,FALSE)*('Bulk Plant Input'!$I$13/('Bulk Plant Input'!$B$13/1000))</f>
        <v>0</v>
      </c>
      <c r="E155" s="455"/>
      <c r="F155" s="455"/>
      <c r="G155" s="455"/>
      <c r="H155" s="455"/>
    </row>
    <row r="156" spans="2:8" hidden="1" x14ac:dyDescent="0.25">
      <c r="B156" s="446" t="e">
        <f>INDEX('Base Blend Property Calculation'!$C$6:$BF$6,1,'Base Blend Property Calculation'!BT63)</f>
        <v>#REF!</v>
      </c>
      <c r="C156" s="447"/>
      <c r="D156" s="153" t="e">
        <f>VLOOKUP('Bulk Plant Input'!$A$19, 'Base Blend Property Calculation'!$A$6:$BF$152,'Base Blend Property Calculation'!BT65,FALSE)*('Bulk Plant Input'!$I$13/('Bulk Plant Input'!$B$13/1000))</f>
        <v>#REF!</v>
      </c>
      <c r="E156" s="455"/>
      <c r="F156" s="455"/>
      <c r="G156" s="455"/>
      <c r="H156" s="455"/>
    </row>
    <row r="157" spans="2:8" hidden="1" x14ac:dyDescent="0.25">
      <c r="D157" s="158" t="s">
        <v>198</v>
      </c>
    </row>
    <row r="158" spans="2:8" ht="15.75" hidden="1" x14ac:dyDescent="0.25">
      <c r="B158" s="456" t="str">
        <f>IF('Bulk Plant Input'!$I$13="","2nd Batch Not Entered","ADDITIVES - Batch 2")</f>
        <v>2nd Batch Not Entered</v>
      </c>
      <c r="C158" s="456"/>
      <c r="D158" s="154" t="s">
        <v>198</v>
      </c>
    </row>
    <row r="159" spans="2:8" hidden="1" x14ac:dyDescent="0.25">
      <c r="B159" s="448" t="s">
        <v>201</v>
      </c>
      <c r="C159" s="449"/>
      <c r="D159" s="159">
        <f>IF('Bulk Plant Input'!$I$13="",0,"Required (kg)")</f>
        <v>0</v>
      </c>
      <c r="E159" s="453" t="s">
        <v>509</v>
      </c>
      <c r="F159" s="454"/>
      <c r="G159" s="457" t="s">
        <v>200</v>
      </c>
      <c r="H159" s="457"/>
    </row>
    <row r="160" spans="2:8" hidden="1" x14ac:dyDescent="0.25">
      <c r="B160" s="446" t="str">
        <f>'Bulk Plant Input'!A23</f>
        <v>CFR-5</v>
      </c>
      <c r="C160" s="447"/>
      <c r="D160" s="153">
        <f>IF(B160=0,0,'Bulk Plant Input'!C23*('Bulk Plant Input'!$I$13/('Bulk Plant Input'!$B$13/1000)))</f>
        <v>0</v>
      </c>
      <c r="E160" s="455"/>
      <c r="F160" s="455"/>
      <c r="G160" s="455"/>
      <c r="H160" s="455"/>
    </row>
    <row r="161" spans="2:8" hidden="1" x14ac:dyDescent="0.25">
      <c r="B161" s="446" t="str">
        <f>'Bulk Plant Input'!A24</f>
        <v>CFL-4</v>
      </c>
      <c r="C161" s="447"/>
      <c r="D161" s="153">
        <f>IF(B161=0,0,'Bulk Plant Input'!C24*('Bulk Plant Input'!$I$13/('Bulk Plant Input'!$B$13/1000)))</f>
        <v>0</v>
      </c>
      <c r="E161" s="455"/>
      <c r="F161" s="455"/>
      <c r="G161" s="455"/>
      <c r="H161" s="455"/>
    </row>
    <row r="162" spans="2:8" hidden="1" x14ac:dyDescent="0.25">
      <c r="B162" s="446" t="str">
        <f>'Bulk Plant Input'!A25</f>
        <v>FWC-2</v>
      </c>
      <c r="C162" s="447"/>
      <c r="D162" s="153">
        <f>IF(B162=0,0,'Bulk Plant Input'!C25*('Bulk Plant Input'!$I$13/('Bulk Plant Input'!$B$13/1000)))</f>
        <v>0</v>
      </c>
      <c r="E162" s="455"/>
      <c r="F162" s="455"/>
      <c r="G162" s="455"/>
      <c r="H162" s="455"/>
    </row>
    <row r="163" spans="2:8" hidden="1" x14ac:dyDescent="0.25">
      <c r="B163" s="446" t="str">
        <f>'Bulk Plant Input'!A26</f>
        <v>LTR</v>
      </c>
      <c r="C163" s="447"/>
      <c r="D163" s="153">
        <f>IF(B163=0,0,'Bulk Plant Input'!C26*('Bulk Plant Input'!$I$13/('Bulk Plant Input'!$B$13/1000)))</f>
        <v>0</v>
      </c>
      <c r="E163" s="455"/>
      <c r="F163" s="455"/>
      <c r="G163" s="455"/>
      <c r="H163" s="455"/>
    </row>
    <row r="164" spans="2:8" hidden="1" x14ac:dyDescent="0.25">
      <c r="B164" s="446" t="str">
        <f>'Bulk Plant Input'!A27</f>
        <v>CDF-6P</v>
      </c>
      <c r="C164" s="447"/>
      <c r="D164" s="153">
        <f>IF(B164=0,0,'Bulk Plant Input'!C27*('Bulk Plant Input'!$I$13/('Bulk Plant Input'!$B$13/1000)))</f>
        <v>0</v>
      </c>
      <c r="E164" s="455"/>
      <c r="F164" s="455"/>
      <c r="G164" s="455"/>
      <c r="H164" s="455"/>
    </row>
    <row r="165" spans="2:8" hidden="1" x14ac:dyDescent="0.25">
      <c r="B165" s="446" t="str">
        <f>'Bulk Plant Input'!A28</f>
        <v>ASM-3</v>
      </c>
      <c r="C165" s="447"/>
      <c r="D165" s="153">
        <f>IF(B165=0,0,'Bulk Plant Input'!C28*('Bulk Plant Input'!$I$13/('Bulk Plant Input'!$B$13/1000)))</f>
        <v>0</v>
      </c>
      <c r="E165" s="455"/>
      <c r="F165" s="455"/>
      <c r="G165" s="455"/>
      <c r="H165" s="455"/>
    </row>
    <row r="166" spans="2:8" hidden="1" x14ac:dyDescent="0.25">
      <c r="B166" s="446">
        <f>'Bulk Plant Input'!A29</f>
        <v>0</v>
      </c>
      <c r="C166" s="447"/>
      <c r="D166" s="153">
        <f>IF(B166=0,0,'Bulk Plant Input'!C29*('Bulk Plant Input'!$I$13/('Bulk Plant Input'!$B$13/1000)))</f>
        <v>0</v>
      </c>
      <c r="E166" s="455"/>
      <c r="F166" s="455"/>
      <c r="G166" s="455"/>
      <c r="H166" s="455"/>
    </row>
    <row r="167" spans="2:8" hidden="1" x14ac:dyDescent="0.25">
      <c r="B167" s="446">
        <f>'Bulk Plant Input'!A30</f>
        <v>0</v>
      </c>
      <c r="C167" s="447"/>
      <c r="D167" s="153">
        <f>IF(B167=0,0,'Bulk Plant Input'!C30*('Bulk Plant Input'!$I$13/('Bulk Plant Input'!$B$13/1000)))</f>
        <v>0</v>
      </c>
      <c r="E167" s="455"/>
      <c r="F167" s="455"/>
      <c r="G167" s="455"/>
      <c r="H167" s="455"/>
    </row>
    <row r="168" spans="2:8" hidden="1" x14ac:dyDescent="0.25">
      <c r="B168" s="446">
        <f>'Bulk Plant Input'!A31</f>
        <v>0</v>
      </c>
      <c r="C168" s="447"/>
      <c r="D168" s="153">
        <f>IF(B168=0,0,'Bulk Plant Input'!C31*('Bulk Plant Input'!$I$13/('Bulk Plant Input'!$B$13/1000)))</f>
        <v>0</v>
      </c>
      <c r="E168" s="455"/>
      <c r="F168" s="455"/>
      <c r="G168" s="455"/>
      <c r="H168" s="455"/>
    </row>
    <row r="169" spans="2:8" hidden="1" x14ac:dyDescent="0.25">
      <c r="B169" s="446">
        <f>'Bulk Plant Input'!A32</f>
        <v>0</v>
      </c>
      <c r="C169" s="447"/>
      <c r="D169" s="153">
        <f>IF(B169=0,0,'Bulk Plant Input'!C32*('Bulk Plant Input'!$I$13/('Bulk Plant Input'!$B$13/1000)))</f>
        <v>0</v>
      </c>
      <c r="E169" s="455"/>
      <c r="F169" s="455"/>
      <c r="G169" s="455"/>
      <c r="H169" s="455"/>
    </row>
    <row r="170" spans="2:8" hidden="1" x14ac:dyDescent="0.25">
      <c r="B170" s="446">
        <f>'Bulk Plant Input'!A33</f>
        <v>0</v>
      </c>
      <c r="C170" s="447"/>
      <c r="D170" s="153">
        <f>IF(B170=0,0,'Bulk Plant Input'!C33*('Bulk Plant Input'!$I$13/('Bulk Plant Input'!$B$13/1000)))</f>
        <v>0</v>
      </c>
      <c r="E170" s="455"/>
      <c r="F170" s="455"/>
      <c r="G170" s="455"/>
      <c r="H170" s="455"/>
    </row>
    <row r="171" spans="2:8" hidden="1" x14ac:dyDescent="0.25">
      <c r="B171" s="446">
        <f>'Bulk Plant Input'!A34</f>
        <v>0</v>
      </c>
      <c r="C171" s="447"/>
      <c r="D171" s="153">
        <f>IF(B171=0,0,'Bulk Plant Input'!C34*('Bulk Plant Input'!$I$13/('Bulk Plant Input'!$B$13/1000)))</f>
        <v>0</v>
      </c>
      <c r="E171" s="455"/>
      <c r="F171" s="455"/>
      <c r="G171" s="455"/>
      <c r="H171" s="455"/>
    </row>
    <row r="172" spans="2:8" hidden="1" x14ac:dyDescent="0.25">
      <c r="B172" s="446">
        <f>'Bulk Plant Input'!A35</f>
        <v>0</v>
      </c>
      <c r="C172" s="447"/>
      <c r="D172" s="153">
        <f>IF(B172=0,0,'Bulk Plant Input'!C35*('Bulk Plant Input'!$I$13/('Bulk Plant Input'!$B$13/1000)))</f>
        <v>0</v>
      </c>
      <c r="E172" s="455"/>
      <c r="F172" s="455"/>
      <c r="G172" s="455"/>
      <c r="H172" s="455"/>
    </row>
    <row r="173" spans="2:8" hidden="1" x14ac:dyDescent="0.25">
      <c r="B173" s="446">
        <f>'Bulk Plant Input'!A36</f>
        <v>0</v>
      </c>
      <c r="C173" s="447"/>
      <c r="D173" s="153">
        <f>IF(B173=0,0,'Bulk Plant Input'!C36*('Bulk Plant Input'!$I$13/('Bulk Plant Input'!$B$13/1000)))</f>
        <v>0</v>
      </c>
      <c r="E173" s="455"/>
      <c r="F173" s="455"/>
      <c r="G173" s="455"/>
      <c r="H173" s="455"/>
    </row>
    <row r="174" spans="2:8" hidden="1" x14ac:dyDescent="0.25">
      <c r="B174" s="446">
        <f>'Bulk Plant Input'!A37</f>
        <v>0</v>
      </c>
      <c r="C174" s="447"/>
      <c r="D174" s="153">
        <f>IF(B174=0,0,'Bulk Plant Input'!C37*('Bulk Plant Input'!$I$13/('Bulk Plant Input'!$B$13/1000)))</f>
        <v>0</v>
      </c>
      <c r="E174" s="455"/>
      <c r="F174" s="455"/>
      <c r="G174" s="455"/>
      <c r="H174" s="455"/>
    </row>
    <row r="175" spans="2:8" hidden="1" x14ac:dyDescent="0.25">
      <c r="B175" s="446">
        <f>'Bulk Plant Input'!A43</f>
        <v>0</v>
      </c>
      <c r="C175" s="447"/>
      <c r="D175" s="153">
        <f>IF(B175=0,0,'Bulk Plant Input'!C38*('Bulk Plant Input'!$I$13/('Bulk Plant Input'!$B$13/1000)))</f>
        <v>0</v>
      </c>
      <c r="E175" s="455"/>
      <c r="F175" s="455"/>
      <c r="G175" s="455"/>
      <c r="H175" s="455"/>
    </row>
    <row r="176" spans="2:8" hidden="1" x14ac:dyDescent="0.25">
      <c r="B176" s="446">
        <f>'Bulk Plant Input'!A44</f>
        <v>0</v>
      </c>
      <c r="C176" s="447"/>
      <c r="D176" s="153">
        <f>IF(B176=0,0,'Bulk Plant Input'!C39*('Bulk Plant Input'!$I$13/('Bulk Plant Input'!$B$13/1000)))</f>
        <v>0</v>
      </c>
      <c r="E176" s="455"/>
      <c r="F176" s="455"/>
      <c r="G176" s="455"/>
      <c r="H176" s="455"/>
    </row>
    <row r="177" spans="1:11" x14ac:dyDescent="0.25">
      <c r="B177" s="161"/>
      <c r="C177" s="161"/>
      <c r="D177" s="156"/>
      <c r="E177" s="161"/>
      <c r="F177" s="161"/>
      <c r="G177" s="161"/>
      <c r="H177" s="161"/>
    </row>
    <row r="178" spans="1:11" x14ac:dyDescent="0.25">
      <c r="A178" s="200"/>
      <c r="B178" s="200"/>
      <c r="C178" s="200"/>
      <c r="D178" s="157"/>
      <c r="E178" s="200"/>
      <c r="F178" s="200"/>
      <c r="G178" s="200"/>
      <c r="H178" s="200"/>
      <c r="I178" s="200"/>
      <c r="J178" s="200"/>
      <c r="K178" s="200"/>
    </row>
    <row r="179" spans="1:11" x14ac:dyDescent="0.25">
      <c r="D179" s="158"/>
    </row>
    <row r="180" spans="1:11" ht="15.75" hidden="1" x14ac:dyDescent="0.25">
      <c r="B180" s="456" t="str">
        <f>IF('Bulk Plant Input'!$I$14="","3rd Batch Not Entered","BASE BLEND - Batch 3")</f>
        <v>3rd Batch Not Entered</v>
      </c>
      <c r="C180" s="456"/>
      <c r="D180" s="161" t="s">
        <v>198</v>
      </c>
    </row>
    <row r="181" spans="1:11" ht="30" hidden="1" x14ac:dyDescent="0.25">
      <c r="B181" s="469" t="s">
        <v>199</v>
      </c>
      <c r="C181" s="469"/>
      <c r="D181" s="162" t="s">
        <v>206</v>
      </c>
      <c r="E181" s="470" t="s">
        <v>207</v>
      </c>
      <c r="F181" s="470"/>
      <c r="G181" s="470" t="s">
        <v>200</v>
      </c>
      <c r="H181" s="470"/>
    </row>
    <row r="182" spans="1:11" hidden="1" x14ac:dyDescent="0.25">
      <c r="B182" s="469" t="str">
        <f>INDEX('Base Blend Property Calculation'!$C$6:$BF$6,1,'Base Blend Property Calculation'!BT7)</f>
        <v>Class A</v>
      </c>
      <c r="C182" s="469"/>
      <c r="D182" s="153">
        <f>VLOOKUP('Bulk Plant Input'!$A$19, 'Base Blend Property Calculation'!$A$6:$BF$152,'Base Blend Property Calculation'!BT9,FALSE)*('Bulk Plant Input'!$I$14/('Bulk Plant Input'!$B$13/1000))</f>
        <v>0</v>
      </c>
      <c r="E182" s="201"/>
      <c r="F182" s="202"/>
      <c r="G182" s="446"/>
      <c r="H182" s="447"/>
    </row>
    <row r="183" spans="1:11" hidden="1" x14ac:dyDescent="0.25">
      <c r="B183" s="469" t="str">
        <f>INDEX('Base Blend Property Calculation'!$C$6:$BF$6,1,'Base Blend Property Calculation'!BT8)</f>
        <v>Class C</v>
      </c>
      <c r="C183" s="469"/>
      <c r="D183" s="153">
        <f>VLOOKUP('Bulk Plant Input'!$A$19, 'Base Blend Property Calculation'!$A$6:$BF$152,'Base Blend Property Calculation'!BT10,FALSE)*('Bulk Plant Input'!$I$14/('Bulk Plant Input'!$B$13/1000))</f>
        <v>0</v>
      </c>
      <c r="E183" s="201"/>
      <c r="F183" s="202"/>
      <c r="G183" s="446"/>
      <c r="H183" s="447"/>
    </row>
    <row r="184" spans="1:11" hidden="1" x14ac:dyDescent="0.25">
      <c r="B184" s="469" t="str">
        <f>INDEX('Base Blend Property Calculation'!$C$6:$BF$6,1,'Base Blend Property Calculation'!BT9)</f>
        <v>Class G</v>
      </c>
      <c r="C184" s="469"/>
      <c r="D184" s="153">
        <f>VLOOKUP('Bulk Plant Input'!$A$19, 'Base Blend Property Calculation'!$A$6:$BF$152,'Base Blend Property Calculation'!BT11,FALSE)*('Bulk Plant Input'!$I$14/('Bulk Plant Input'!$B$13/1000))</f>
        <v>0</v>
      </c>
      <c r="E184" s="201"/>
      <c r="F184" s="202"/>
      <c r="G184" s="446"/>
      <c r="H184" s="447"/>
    </row>
    <row r="185" spans="1:11" hidden="1" x14ac:dyDescent="0.25">
      <c r="B185" s="469" t="str">
        <f>INDEX('Base Blend Property Calculation'!$C$6:$BF$6,1,'Base Blend Property Calculation'!BT10)</f>
        <v>Class H</v>
      </c>
      <c r="C185" s="469"/>
      <c r="D185" s="153">
        <f>VLOOKUP('Bulk Plant Input'!$A$19, 'Base Blend Property Calculation'!$A$6:$BF$152,'Base Blend Property Calculation'!BT12,FALSE)*('Bulk Plant Input'!$I$14/('Bulk Plant Input'!$B$13/1000))</f>
        <v>0</v>
      </c>
      <c r="E185" s="201"/>
      <c r="F185" s="202"/>
      <c r="G185" s="446"/>
      <c r="H185" s="447"/>
    </row>
    <row r="186" spans="1:11" hidden="1" x14ac:dyDescent="0.25">
      <c r="B186" s="469" t="str">
        <f>INDEX('Base Blend Property Calculation'!$C$6:$BF$6,1,'Base Blend Property Calculation'!BT11)</f>
        <v>Intercem</v>
      </c>
      <c r="C186" s="469"/>
      <c r="D186" s="153">
        <f>VLOOKUP('Bulk Plant Input'!$A$19, 'Base Blend Property Calculation'!$A$6:$BF$152,'Base Blend Property Calculation'!BT13,FALSE)*('Bulk Plant Input'!$I$14/('Bulk Plant Input'!$B$13/1000))</f>
        <v>0</v>
      </c>
      <c r="E186" s="201"/>
      <c r="F186" s="202"/>
      <c r="G186" s="446"/>
      <c r="H186" s="447"/>
    </row>
    <row r="187" spans="1:11" hidden="1" x14ac:dyDescent="0.25">
      <c r="B187" s="469" t="str">
        <f>INDEX('Base Blend Property Calculation'!$C$6:$BF$6,1,'Base Blend Property Calculation'!BT12)</f>
        <v>Colloid SQ-A</v>
      </c>
      <c r="C187" s="469"/>
      <c r="D187" s="153">
        <f>VLOOKUP('Bulk Plant Input'!$A$19, 'Base Blend Property Calculation'!$A$6:$BF$152,'Base Blend Property Calculation'!BT14,FALSE)*('Bulk Plant Input'!$I$14/('Bulk Plant Input'!$B$13/1000))</f>
        <v>0</v>
      </c>
      <c r="E187" s="201"/>
      <c r="F187" s="202"/>
      <c r="G187" s="446"/>
      <c r="H187" s="447"/>
    </row>
    <row r="188" spans="1:11" hidden="1" x14ac:dyDescent="0.25">
      <c r="B188" s="469" t="str">
        <f>INDEX('Base Blend Property Calculation'!$C$6:$BF$6,1,'Base Blend Property Calculation'!BT13)</f>
        <v>Flyash</v>
      </c>
      <c r="C188" s="469"/>
      <c r="D188" s="153">
        <f>VLOOKUP('Bulk Plant Input'!$A$19, 'Base Blend Property Calculation'!$A$6:$BF$152,'Base Blend Property Calculation'!BT15,FALSE)*('Bulk Plant Input'!$I$14/('Bulk Plant Input'!$B$13/1000))</f>
        <v>0</v>
      </c>
      <c r="E188" s="201"/>
      <c r="F188" s="202"/>
      <c r="G188" s="446"/>
      <c r="H188" s="447"/>
    </row>
    <row r="189" spans="1:11" ht="15" hidden="1" customHeight="1" x14ac:dyDescent="0.25">
      <c r="B189" s="469" t="str">
        <f>INDEX('Base Blend Property Calculation'!$C$6:$BF$6,1,'Base Blend Property Calculation'!BT14)</f>
        <v>Flyash (Sask)</v>
      </c>
      <c r="C189" s="469"/>
      <c r="D189" s="153">
        <f>VLOOKUP('Bulk Plant Input'!$A$19, 'Base Blend Property Calculation'!$A$6:$BF$152,'Base Blend Property Calculation'!BT16,FALSE)*('Bulk Plant Input'!$I$14/('Bulk Plant Input'!$B$13/1000))</f>
        <v>0</v>
      </c>
      <c r="E189" s="201"/>
      <c r="F189" s="202"/>
      <c r="G189" s="446"/>
      <c r="H189" s="447"/>
    </row>
    <row r="190" spans="1:11" ht="27" hidden="1" customHeight="1" x14ac:dyDescent="0.25">
      <c r="B190" s="469" t="str">
        <f>INDEX('Base Blend Property Calculation'!$C$6:$BF$6,1,'Base Blend Property Calculation'!BT15)</f>
        <v>Densified Fume</v>
      </c>
      <c r="C190" s="469"/>
      <c r="D190" s="153">
        <f>VLOOKUP('Bulk Plant Input'!$A$19, 'Base Blend Property Calculation'!$A$6:$BF$152,'Base Blend Property Calculation'!BT17,FALSE)*('Bulk Plant Input'!$I$14/('Bulk Plant Input'!$B$13/1000))</f>
        <v>0</v>
      </c>
      <c r="E190" s="201"/>
      <c r="F190" s="202"/>
      <c r="G190" s="446"/>
      <c r="H190" s="447"/>
    </row>
    <row r="191" spans="1:11" hidden="1" x14ac:dyDescent="0.25">
      <c r="B191" s="469" t="str">
        <f>INDEX('Base Blend Property Calculation'!$C$6:$BF$6,1,'Base Blend Property Calculation'!BT16)</f>
        <v>Silica Fume - Semi-Densified</v>
      </c>
      <c r="C191" s="469"/>
      <c r="D191" s="153">
        <f>VLOOKUP('Bulk Plant Input'!$A$19, 'Base Blend Property Calculation'!$A$6:$BF$152,'Base Blend Property Calculation'!BT18,FALSE)*('Bulk Plant Input'!$I$14/('Bulk Plant Input'!$B$13/1000))</f>
        <v>0</v>
      </c>
      <c r="E191" s="201"/>
      <c r="F191" s="202"/>
      <c r="G191" s="446"/>
      <c r="H191" s="447"/>
    </row>
    <row r="192" spans="1:11" hidden="1" x14ac:dyDescent="0.25">
      <c r="B192" s="469" t="str">
        <f>INDEX('Base Blend Property Calculation'!$C$6:$BF$6,1,'Base Blend Property Calculation'!BT17)</f>
        <v>Sanlite</v>
      </c>
      <c r="C192" s="469"/>
      <c r="D192" s="153">
        <f>VLOOKUP('Bulk Plant Input'!$A$19, 'Base Blend Property Calculation'!$A$6:$BF$152,'Base Blend Property Calculation'!BT19,FALSE)*('Bulk Plant Input'!$I$14/('Bulk Plant Input'!$B$13/1000))</f>
        <v>0</v>
      </c>
      <c r="E192" s="201"/>
      <c r="F192" s="202"/>
      <c r="G192" s="446"/>
      <c r="H192" s="447"/>
    </row>
    <row r="193" spans="2:8" hidden="1" x14ac:dyDescent="0.25">
      <c r="B193" s="469" t="str">
        <f>INDEX('Base Blend Property Calculation'!$C$6:$BF$6,1,'Base Blend Property Calculation'!BT18)</f>
        <v>Silica Flour</v>
      </c>
      <c r="C193" s="469"/>
      <c r="D193" s="153">
        <f>VLOOKUP('Bulk Plant Input'!$A$19, 'Base Blend Property Calculation'!$A$6:$BF$152,'Base Blend Property Calculation'!BT20,FALSE)*('Bulk Plant Input'!$I$14/('Bulk Plant Input'!$B$13/1000))</f>
        <v>0</v>
      </c>
      <c r="E193" s="201"/>
      <c r="F193" s="202"/>
      <c r="G193" s="446"/>
      <c r="H193" s="447"/>
    </row>
    <row r="194" spans="2:8" hidden="1" x14ac:dyDescent="0.25">
      <c r="B194" s="469" t="str">
        <f>INDEX('Base Blend Property Calculation'!$C$6:$BF$6,1,'Base Blend Property Calculation'!BT19)</f>
        <v>Gel</v>
      </c>
      <c r="C194" s="469"/>
      <c r="D194" s="153">
        <f>VLOOKUP('Bulk Plant Input'!$A$19, 'Base Blend Property Calculation'!$A$6:$BF$152,'Base Blend Property Calculation'!BT21,FALSE)*('Bulk Plant Input'!$I$14/('Bulk Plant Input'!$B$13/1000))</f>
        <v>0</v>
      </c>
      <c r="E194" s="201"/>
      <c r="F194" s="202"/>
      <c r="G194" s="446"/>
      <c r="H194" s="447"/>
    </row>
    <row r="195" spans="2:8" hidden="1" x14ac:dyDescent="0.25">
      <c r="B195" s="469" t="str">
        <f>INDEX('Base Blend Property Calculation'!$C$6:$BF$6,1,'Base Blend Property Calculation'!BT20)</f>
        <v>SCA-1</v>
      </c>
      <c r="C195" s="469"/>
      <c r="D195" s="153">
        <f>VLOOKUP('Bulk Plant Input'!$A$19, 'Base Blend Property Calculation'!$A$6:$BF$152,'Base Blend Property Calculation'!BT22,FALSE)*('Bulk Plant Input'!$I$14/('Bulk Plant Input'!$B$13/1000))</f>
        <v>0</v>
      </c>
      <c r="E195" s="201"/>
      <c r="F195" s="202"/>
      <c r="G195" s="446"/>
      <c r="H195" s="447"/>
    </row>
    <row r="196" spans="2:8" hidden="1" x14ac:dyDescent="0.25">
      <c r="B196" s="469" t="str">
        <f>INDEX('Base Blend Property Calculation'!$C$6:$BF$6,1,'Base Blend Property Calculation'!BT21)</f>
        <v>Hematite</v>
      </c>
      <c r="C196" s="469"/>
      <c r="D196" s="153">
        <f>VLOOKUP('Bulk Plant Input'!$A$19, 'Base Blend Property Calculation'!$A$6:$BF$152,'Base Blend Property Calculation'!BT23,FALSE)*('Bulk Plant Input'!$I$14/('Bulk Plant Input'!$B$13/1000))</f>
        <v>0</v>
      </c>
      <c r="E196" s="201"/>
      <c r="F196" s="202"/>
      <c r="G196" s="446"/>
      <c r="H196" s="447"/>
    </row>
    <row r="197" spans="2:8" hidden="1" x14ac:dyDescent="0.25">
      <c r="B197" s="469" t="str">
        <f>INDEX('Base Blend Property Calculation'!$C$6:$BF$6,1,'Base Blend Property Calculation'!BT22)</f>
        <v>CDM-6B</v>
      </c>
      <c r="C197" s="469"/>
      <c r="D197" s="153">
        <f>VLOOKUP('Bulk Plant Input'!$A$19, 'Base Blend Property Calculation'!$A$6:$BF$152,'Base Blend Property Calculation'!BT24,FALSE)*('Bulk Plant Input'!$I$14/('Bulk Plant Input'!$B$13/1000))</f>
        <v>0</v>
      </c>
      <c r="E197" s="201"/>
      <c r="F197" s="202"/>
      <c r="G197" s="446"/>
      <c r="H197" s="447"/>
    </row>
    <row r="198" spans="2:8" hidden="1" x14ac:dyDescent="0.25">
      <c r="B198" s="469" t="str">
        <f>INDEX('Base Blend Property Calculation'!$C$6:$BF$6,1,'Base Blend Property Calculation'!BT23)</f>
        <v>CDM-6</v>
      </c>
      <c r="C198" s="469"/>
      <c r="D198" s="153">
        <f>VLOOKUP('Bulk Plant Input'!$A$19, 'Base Blend Property Calculation'!$A$6:$BF$152,'Base Blend Property Calculation'!BT25,FALSE)*('Bulk Plant Input'!$I$14/('Bulk Plant Input'!$B$13/1000))</f>
        <v>0</v>
      </c>
      <c r="E198" s="201"/>
      <c r="F198" s="202"/>
      <c r="G198" s="446"/>
      <c r="H198" s="447"/>
    </row>
    <row r="199" spans="2:8" hidden="1" x14ac:dyDescent="0.25">
      <c r="B199" s="469" t="str">
        <f>INDEX('Base Blend Property Calculation'!$C$6:$BF$6,1,'Base Blend Property Calculation'!BT24)</f>
        <v>CDM-2</v>
      </c>
      <c r="C199" s="469"/>
      <c r="D199" s="153">
        <f>VLOOKUP('Bulk Plant Input'!$A$19, 'Base Blend Property Calculation'!$A$6:$BF$152,'Base Blend Property Calculation'!BT26,FALSE)*('Bulk Plant Input'!$I$14/('Bulk Plant Input'!$B$13/1000))</f>
        <v>0</v>
      </c>
      <c r="E199" s="201"/>
      <c r="F199" s="202"/>
      <c r="G199" s="446"/>
      <c r="H199" s="447"/>
    </row>
    <row r="200" spans="2:8" hidden="1" x14ac:dyDescent="0.25">
      <c r="B200" s="469" t="str">
        <f>INDEX('Base Blend Property Calculation'!$C$6:$BF$6,1,'Base Blend Property Calculation'!BT25)</f>
        <v>CDM-5</v>
      </c>
      <c r="C200" s="469"/>
      <c r="D200" s="153">
        <f>VLOOKUP('Bulk Plant Input'!$A$19, 'Base Blend Property Calculation'!$A$6:$BF$152,'Base Blend Property Calculation'!BT27,FALSE)*('Bulk Plant Input'!$I$14/('Bulk Plant Input'!$B$13/1000))</f>
        <v>0</v>
      </c>
      <c r="E200" s="201"/>
      <c r="F200" s="202"/>
      <c r="G200" s="446"/>
      <c r="H200" s="447"/>
    </row>
    <row r="201" spans="2:8" hidden="1" x14ac:dyDescent="0.25">
      <c r="B201" s="469" t="str">
        <f>INDEX('Base Blend Property Calculation'!$C$6:$BF$6,1,'Base Blend Property Calculation'!BT26)</f>
        <v>CDM-C</v>
      </c>
      <c r="C201" s="469"/>
      <c r="D201" s="153">
        <f>VLOOKUP('Bulk Plant Input'!$A$19, 'Base Blend Property Calculation'!$A$6:$BF$152,'Base Blend Property Calculation'!BT28,FALSE)*('Bulk Plant Input'!$I$14/('Bulk Plant Input'!$B$13/1000))</f>
        <v>0</v>
      </c>
      <c r="E201" s="201"/>
      <c r="F201" s="202"/>
      <c r="G201" s="446"/>
      <c r="H201" s="447"/>
    </row>
    <row r="202" spans="2:8" hidden="1" x14ac:dyDescent="0.25">
      <c r="B202" s="469" t="str">
        <f>INDEX('Base Blend Property Calculation'!$C$6:$BF$6,1,'Base Blend Property Calculation'!BT27)</f>
        <v>CDM-10</v>
      </c>
      <c r="C202" s="469"/>
      <c r="D202" s="153">
        <f>VLOOKUP('Bulk Plant Input'!$A$19, 'Base Blend Property Calculation'!$A$6:$BF$152,'Base Blend Property Calculation'!BT29,FALSE)*('Bulk Plant Input'!$I$14/('Bulk Plant Input'!$B$13/1000))</f>
        <v>0</v>
      </c>
      <c r="E202" s="201"/>
      <c r="F202" s="202"/>
      <c r="G202" s="446"/>
      <c r="H202" s="447"/>
    </row>
    <row r="203" spans="2:8" hidden="1" x14ac:dyDescent="0.25">
      <c r="B203" s="469" t="str">
        <f>INDEX('Base Blend Property Calculation'!$C$6:$BF$6,1,'Base Blend Property Calculation'!BT28)</f>
        <v>CFR</v>
      </c>
      <c r="C203" s="469"/>
      <c r="D203" s="153">
        <f>VLOOKUP('Bulk Plant Input'!$A$19, 'Base Blend Property Calculation'!$A$6:$BF$152,'Base Blend Property Calculation'!BT30,FALSE)*('Bulk Plant Input'!$I$14/('Bulk Plant Input'!$B$13/1000))</f>
        <v>0</v>
      </c>
      <c r="E203" s="201"/>
      <c r="F203" s="202"/>
      <c r="G203" s="446"/>
      <c r="H203" s="447"/>
    </row>
    <row r="204" spans="2:8" hidden="1" x14ac:dyDescent="0.25">
      <c r="B204" s="469" t="str">
        <f>INDEX('Base Blend Property Calculation'!$C$6:$BF$6,1,'Base Blend Property Calculation'!BT29)</f>
        <v>CFR-2</v>
      </c>
      <c r="C204" s="469"/>
      <c r="D204" s="153">
        <f>VLOOKUP('Bulk Plant Input'!$A$19, 'Base Blend Property Calculation'!$A$6:$BF$152,'Base Blend Property Calculation'!BT31,FALSE)*('Bulk Plant Input'!$I$14/('Bulk Plant Input'!$B$13/1000))</f>
        <v>0</v>
      </c>
      <c r="E204" s="201"/>
      <c r="F204" s="202"/>
      <c r="G204" s="446"/>
      <c r="H204" s="447"/>
    </row>
    <row r="205" spans="2:8" hidden="1" x14ac:dyDescent="0.25">
      <c r="B205" s="469" t="str">
        <f>INDEX('Base Blend Property Calculation'!$C$6:$BF$6,1,'Base Blend Property Calculation'!BT30)</f>
        <v>CFR-5</v>
      </c>
      <c r="C205" s="469"/>
      <c r="D205" s="153">
        <f>VLOOKUP('Bulk Plant Input'!$A$19, 'Base Blend Property Calculation'!$A$6:$BF$152,'Base Blend Property Calculation'!BT32,FALSE)*('Bulk Plant Input'!$I$14/('Bulk Plant Input'!$B$13/1000))</f>
        <v>0</v>
      </c>
      <c r="E205" s="201"/>
      <c r="F205" s="202"/>
      <c r="G205" s="446"/>
      <c r="H205" s="447"/>
    </row>
    <row r="206" spans="2:8" hidden="1" x14ac:dyDescent="0.25">
      <c r="B206" s="469" t="str">
        <f>INDEX('Base Blend Property Calculation'!$C$6:$BF$6,1,'Base Blend Property Calculation'!BT31)</f>
        <v>CFL-3</v>
      </c>
      <c r="C206" s="469"/>
      <c r="D206" s="153">
        <f>VLOOKUP('Bulk Plant Input'!$A$19, 'Base Blend Property Calculation'!$A$6:$BF$152,'Base Blend Property Calculation'!BT33,FALSE)*('Bulk Plant Input'!$I$14/('Bulk Plant Input'!$B$13/1000))</f>
        <v>0</v>
      </c>
      <c r="E206" s="201"/>
      <c r="F206" s="202"/>
      <c r="G206" s="446"/>
      <c r="H206" s="447"/>
    </row>
    <row r="207" spans="2:8" hidden="1" x14ac:dyDescent="0.25">
      <c r="B207" s="469" t="str">
        <f>INDEX('Base Blend Property Calculation'!$C$6:$BF$6,1,'Base Blend Property Calculation'!BT32)</f>
        <v>CFL-4</v>
      </c>
      <c r="C207" s="469"/>
      <c r="D207" s="153">
        <f>VLOOKUP('Bulk Plant Input'!$A$19, 'Base Blend Property Calculation'!$A$6:$BF$152,'Base Blend Property Calculation'!BT34,FALSE)*('Bulk Plant Input'!$I$14/('Bulk Plant Input'!$B$13/1000))</f>
        <v>0</v>
      </c>
      <c r="E207" s="201"/>
      <c r="F207" s="202"/>
      <c r="G207" s="446"/>
      <c r="H207" s="447"/>
    </row>
    <row r="208" spans="2:8" hidden="1" x14ac:dyDescent="0.25">
      <c r="B208" s="469" t="str">
        <f>INDEX('Base Blend Property Calculation'!$C$6:$BF$6,1,'Base Blend Property Calculation'!BT33)</f>
        <v>CFL-6</v>
      </c>
      <c r="C208" s="469"/>
      <c r="D208" s="153">
        <f>VLOOKUP('Bulk Plant Input'!$A$19, 'Base Blend Property Calculation'!$A$6:$BF$152,'Base Blend Property Calculation'!BT35,FALSE)*('Bulk Plant Input'!$I$14/('Bulk Plant Input'!$B$13/1000))</f>
        <v>0</v>
      </c>
      <c r="E208" s="201"/>
      <c r="F208" s="202"/>
      <c r="G208" s="446"/>
      <c r="H208" s="447"/>
    </row>
    <row r="209" spans="2:8" hidden="1" x14ac:dyDescent="0.25">
      <c r="B209" s="469" t="str">
        <f>INDEX('Base Blend Property Calculation'!$C$6:$BF$6,1,'Base Blend Property Calculation'!BT34)</f>
        <v>CFL-7</v>
      </c>
      <c r="C209" s="469"/>
      <c r="D209" s="153">
        <f>VLOOKUP('Bulk Plant Input'!$A$19, 'Base Blend Property Calculation'!$A$6:$BF$152,'Base Blend Property Calculation'!BT36,FALSE)*('Bulk Plant Input'!$I$14/('Bulk Plant Input'!$B$13/1000))</f>
        <v>0</v>
      </c>
      <c r="E209" s="201"/>
      <c r="F209" s="202"/>
      <c r="G209" s="446"/>
      <c r="H209" s="447"/>
    </row>
    <row r="210" spans="2:8" hidden="1" x14ac:dyDescent="0.25">
      <c r="B210" s="469" t="str">
        <f>INDEX('Base Blend Property Calculation'!$C$6:$BF$6,1,'Base Blend Property Calculation'!BT35)</f>
        <v>CaCl2</v>
      </c>
      <c r="C210" s="469"/>
      <c r="D210" s="153">
        <f>VLOOKUP('Bulk Plant Input'!$A$19, 'Base Blend Property Calculation'!$A$6:$BF$152,'Base Blend Property Calculation'!BT37,FALSE)*('Bulk Plant Input'!$I$14/('Bulk Plant Input'!$B$13/1000))</f>
        <v>0</v>
      </c>
      <c r="E210" s="201"/>
      <c r="F210" s="202"/>
      <c r="G210" s="446"/>
      <c r="H210" s="447"/>
    </row>
    <row r="211" spans="2:8" hidden="1" x14ac:dyDescent="0.25">
      <c r="B211" s="469" t="str">
        <f>INDEX('Base Blend Property Calculation'!$C$6:$BF$6,1,'Base Blend Property Calculation'!BT36)</f>
        <v>SCA-6</v>
      </c>
      <c r="C211" s="469"/>
      <c r="D211" s="153">
        <f>VLOOKUP('Bulk Plant Input'!$A$19, 'Base Blend Property Calculation'!$A$6:$BF$152,'Base Blend Property Calculation'!BT38,FALSE)*('Bulk Plant Input'!$I$14/('Bulk Plant Input'!$B$13/1000))</f>
        <v>0</v>
      </c>
      <c r="E211" s="201"/>
      <c r="F211" s="202"/>
      <c r="G211" s="446"/>
      <c r="H211" s="447"/>
    </row>
    <row r="212" spans="2:8" hidden="1" x14ac:dyDescent="0.25">
      <c r="B212" s="469" t="str">
        <f>INDEX('Base Blend Property Calculation'!$C$6:$BF$6,1,'Base Blend Property Calculation'!BT37)</f>
        <v>SCA-7</v>
      </c>
      <c r="C212" s="469"/>
      <c r="D212" s="153">
        <f>VLOOKUP('Bulk Plant Input'!$A$19, 'Base Blend Property Calculation'!$A$6:$BF$152,'Base Blend Property Calculation'!BT39,FALSE)*('Bulk Plant Input'!$I$14/('Bulk Plant Input'!$B$13/1000))</f>
        <v>0</v>
      </c>
      <c r="E212" s="201"/>
      <c r="F212" s="202"/>
      <c r="G212" s="446"/>
      <c r="H212" s="447"/>
    </row>
    <row r="213" spans="2:8" hidden="1" x14ac:dyDescent="0.25">
      <c r="B213" s="469" t="str">
        <f>INDEX('Base Blend Property Calculation'!$C$6:$BF$6,1,'Base Blend Property Calculation'!BT38)</f>
        <v>SCA-5</v>
      </c>
      <c r="C213" s="469"/>
      <c r="D213" s="153">
        <f>VLOOKUP('Bulk Plant Input'!$A$19, 'Base Blend Property Calculation'!$A$6:$BF$152,'Base Blend Property Calculation'!BT40,FALSE)*('Bulk Plant Input'!$I$14/('Bulk Plant Input'!$B$13/1000))</f>
        <v>0</v>
      </c>
      <c r="E213" s="201"/>
      <c r="F213" s="202"/>
      <c r="G213" s="446"/>
      <c r="H213" s="447"/>
    </row>
    <row r="214" spans="2:8" ht="15" hidden="1" customHeight="1" x14ac:dyDescent="0.25">
      <c r="B214" s="469" t="str">
        <f>INDEX('Base Blend Property Calculation'!$C$6:$BF$6,1,'Base Blend Property Calculation'!BT39)</f>
        <v>FWC-2</v>
      </c>
      <c r="C214" s="469"/>
      <c r="D214" s="153">
        <f>VLOOKUP('Bulk Plant Input'!$A$19, 'Base Blend Property Calculation'!$A$6:$BF$152,'Base Blend Property Calculation'!BT41,FALSE)*('Bulk Plant Input'!$I$14/('Bulk Plant Input'!$B$13/1000))</f>
        <v>0</v>
      </c>
      <c r="E214" s="201"/>
      <c r="F214" s="202"/>
      <c r="G214" s="446"/>
      <c r="H214" s="447"/>
    </row>
    <row r="215" spans="2:8" hidden="1" x14ac:dyDescent="0.25">
      <c r="B215" s="469" t="str">
        <f>INDEX('Base Blend Property Calculation'!$C$6:$BF$6,1,'Base Blend Property Calculation'!BT40)</f>
        <v>LTR-3</v>
      </c>
      <c r="C215" s="469"/>
      <c r="D215" s="153">
        <f>VLOOKUP('Bulk Plant Input'!$A$19, 'Base Blend Property Calculation'!$A$6:$BF$152,'Base Blend Property Calculation'!BT42,FALSE)*('Bulk Plant Input'!$I$14/('Bulk Plant Input'!$B$13/1000))</f>
        <v>0</v>
      </c>
      <c r="E215" s="201"/>
      <c r="F215" s="202"/>
      <c r="G215" s="446"/>
      <c r="H215" s="447"/>
    </row>
    <row r="216" spans="2:8" hidden="1" x14ac:dyDescent="0.25">
      <c r="B216" s="469" t="str">
        <f>INDEX('Base Blend Property Calculation'!$C$6:$BF$6,1,'Base Blend Property Calculation'!BT41)</f>
        <v>NaCl</v>
      </c>
      <c r="C216" s="469"/>
      <c r="D216" s="153">
        <f>VLOOKUP('Bulk Plant Input'!$A$19, 'Base Blend Property Calculation'!$A$6:$BF$152,'Base Blend Property Calculation'!BT43,FALSE)*('Bulk Plant Input'!$I$14/('Bulk Plant Input'!$B$13/1000))</f>
        <v>0</v>
      </c>
      <c r="E216" s="201"/>
      <c r="F216" s="202"/>
      <c r="G216" s="446"/>
      <c r="H216" s="447"/>
    </row>
    <row r="217" spans="2:8" hidden="1" x14ac:dyDescent="0.25">
      <c r="B217" s="469" t="str">
        <f>INDEX('Base Blend Property Calculation'!$C$6:$BF$6,1,'Base Blend Property Calculation'!BT42)</f>
        <v>KCl</v>
      </c>
      <c r="C217" s="469"/>
      <c r="D217" s="153">
        <f>VLOOKUP('Bulk Plant Input'!$A$19, 'Base Blend Property Calculation'!$A$6:$BF$152,'Base Blend Property Calculation'!BT44,FALSE)*('Bulk Plant Input'!$I$14/('Bulk Plant Input'!$B$13/1000))</f>
        <v>0</v>
      </c>
      <c r="E217" s="201"/>
      <c r="F217" s="202"/>
      <c r="G217" s="446"/>
      <c r="H217" s="447"/>
    </row>
    <row r="218" spans="2:8" hidden="1" x14ac:dyDescent="0.25">
      <c r="B218" s="469" t="str">
        <f>INDEX('Base Blend Property Calculation'!$C$6:$BF$6,1,'Base Blend Property Calculation'!BT43)</f>
        <v>EA-1</v>
      </c>
      <c r="C218" s="469"/>
      <c r="D218" s="153">
        <f>VLOOKUP('Bulk Plant Input'!$A$19, 'Base Blend Property Calculation'!$A$6:$BF$152,'Base Blend Property Calculation'!BT45,FALSE)*('Bulk Plant Input'!$I$14/('Bulk Plant Input'!$B$13/1000))</f>
        <v>0</v>
      </c>
      <c r="E218" s="201"/>
      <c r="F218" s="202"/>
      <c r="G218" s="446"/>
      <c r="H218" s="447"/>
    </row>
    <row r="219" spans="2:8" hidden="1" x14ac:dyDescent="0.25">
      <c r="B219" s="469" t="str">
        <f>INDEX('Base Blend Property Calculation'!$C$6:$BF$6,1,'Base Blend Property Calculation'!BT44)</f>
        <v>EA-3</v>
      </c>
      <c r="C219" s="469"/>
      <c r="D219" s="153">
        <f>VLOOKUP('Bulk Plant Input'!$A$19, 'Base Blend Property Calculation'!$A$6:$BF$152,'Base Blend Property Calculation'!BT46,FALSE)*('Bulk Plant Input'!$I$14/('Bulk Plant Input'!$B$13/1000))</f>
        <v>0</v>
      </c>
      <c r="E219" s="201"/>
      <c r="F219" s="202"/>
      <c r="G219" s="446"/>
      <c r="H219" s="447"/>
    </row>
    <row r="220" spans="2:8" hidden="1" x14ac:dyDescent="0.25">
      <c r="B220" s="469" t="str">
        <f>INDEX('Base Blend Property Calculation'!$C$6:$BF$6,1,'Base Blend Property Calculation'!BT45)</f>
        <v>LCG-2</v>
      </c>
      <c r="C220" s="469"/>
      <c r="D220" s="153">
        <f>VLOOKUP('Bulk Plant Input'!$A$19, 'Base Blend Property Calculation'!$A$6:$BF$152,'Base Blend Property Calculation'!BT47,FALSE)*('Bulk Plant Input'!$I$14/('Bulk Plant Input'!$B$13/1000))</f>
        <v>0</v>
      </c>
      <c r="E220" s="201"/>
      <c r="F220" s="202"/>
      <c r="G220" s="446"/>
      <c r="H220" s="447"/>
    </row>
    <row r="221" spans="2:8" hidden="1" x14ac:dyDescent="0.25">
      <c r="B221" s="469" t="str">
        <f>INDEX('Base Blend Property Calculation'!$C$6:$BF$6,1,'Base Blend Property Calculation'!BT46)</f>
        <v>Micromix</v>
      </c>
      <c r="C221" s="469"/>
      <c r="D221" s="153">
        <f>VLOOKUP('Bulk Plant Input'!$A$19, 'Base Blend Property Calculation'!$A$6:$BF$152,'Base Blend Property Calculation'!BT48,FALSE)*('Bulk Plant Input'!$I$14/('Bulk Plant Input'!$B$13/1000))</f>
        <v>0</v>
      </c>
      <c r="E221" s="201"/>
      <c r="F221" s="202"/>
      <c r="G221" s="446"/>
      <c r="H221" s="447"/>
    </row>
    <row r="222" spans="2:8" hidden="1" x14ac:dyDescent="0.25">
      <c r="B222" s="469" t="str">
        <f>INDEX('Base Blend Property Calculation'!$C$6:$BF$6,1,'Base Blend Property Calculation'!BT47)</f>
        <v>LCG-1</v>
      </c>
      <c r="C222" s="469"/>
      <c r="D222" s="153">
        <f>VLOOKUP('Bulk Plant Input'!$A$19, 'Base Blend Property Calculation'!$A$6:$BF$152,'Base Blend Property Calculation'!BT51,FALSE)*('Bulk Plant Input'!$I$14/('Bulk Plant Input'!$B$13/1000))</f>
        <v>0</v>
      </c>
      <c r="E222" s="201"/>
      <c r="F222" s="202"/>
      <c r="G222" s="446"/>
      <c r="H222" s="447"/>
    </row>
    <row r="223" spans="2:8" hidden="1" x14ac:dyDescent="0.25">
      <c r="B223" s="469" t="str">
        <f>INDEX('Base Blend Property Calculation'!$C$6:$BF$6,1,'Base Blend Property Calculation'!BT48)</f>
        <v>Gilsonite</v>
      </c>
      <c r="C223" s="469"/>
      <c r="D223" s="153">
        <f>VLOOKUP('Bulk Plant Input'!$A$19, 'Base Blend Property Calculation'!$A$6:$BF$152,'Base Blend Property Calculation'!BT52,FALSE)*('Bulk Plant Input'!$I$14/('Bulk Plant Input'!$B$13/1000))</f>
        <v>0</v>
      </c>
      <c r="E223" s="201"/>
      <c r="F223" s="202"/>
      <c r="G223" s="446"/>
      <c r="H223" s="447"/>
    </row>
    <row r="224" spans="2:8" hidden="1" x14ac:dyDescent="0.25">
      <c r="B224" s="469" t="str">
        <f>INDEX('Base Blend Property Calculation'!$C$6:$BF$6,1,'Base Blend Property Calculation'!BT51)</f>
        <v>Ciment Fondu</v>
      </c>
      <c r="C224" s="469"/>
      <c r="D224" s="153">
        <f>VLOOKUP('Bulk Plant Input'!$A$19, 'Base Blend Property Calculation'!$A$6:$BF$152,'Base Blend Property Calculation'!BT53,FALSE)*('Bulk Plant Input'!$I$14/('Bulk Plant Input'!$B$13/1000))</f>
        <v>0</v>
      </c>
      <c r="E224" s="201"/>
      <c r="F224" s="202"/>
      <c r="G224" s="446"/>
      <c r="H224" s="447"/>
    </row>
    <row r="225" spans="2:8" hidden="1" x14ac:dyDescent="0.25">
      <c r="B225" s="469" t="str">
        <f>INDEX('Base Blend Property Calculation'!$C$6:$BF$6,1,'Base Blend Property Calculation'!BT52)</f>
        <v>CFL-10</v>
      </c>
      <c r="C225" s="469"/>
      <c r="D225" s="153">
        <f>VLOOKUP('Bulk Plant Input'!$A$19, 'Base Blend Property Calculation'!$A$6:$BF$152,'Base Blend Property Calculation'!BT54,FALSE)*('Bulk Plant Input'!$I$14/('Bulk Plant Input'!$B$13/1000))</f>
        <v>0</v>
      </c>
      <c r="E225" s="201"/>
      <c r="F225" s="202"/>
      <c r="G225" s="446"/>
      <c r="H225" s="447"/>
    </row>
    <row r="226" spans="2:8" hidden="1" x14ac:dyDescent="0.25">
      <c r="B226" s="469" t="str">
        <f>INDEX('Base Blend Property Calculation'!$C$6:$BF$6,1,'Base Blend Property Calculation'!BT53)</f>
        <v>CDM-4</v>
      </c>
      <c r="C226" s="469"/>
      <c r="D226" s="153">
        <f>VLOOKUP('Bulk Plant Input'!$A$19, 'Base Blend Property Calculation'!$A$6:$BF$152,'Base Blend Property Calculation'!BT55,FALSE)*('Bulk Plant Input'!$I$14/('Bulk Plant Input'!$B$13/1000))</f>
        <v>0</v>
      </c>
      <c r="E226" s="201"/>
      <c r="F226" s="202"/>
      <c r="G226" s="446"/>
      <c r="H226" s="447"/>
    </row>
    <row r="227" spans="2:8" hidden="1" x14ac:dyDescent="0.25">
      <c r="B227" s="469" t="str">
        <f>INDEX('Base Blend Property Calculation'!$C$6:$BF$6,1,'Base Blend Property Calculation'!BT54)</f>
        <v>ECOmix</v>
      </c>
      <c r="C227" s="469"/>
      <c r="D227" s="153">
        <f>VLOOKUP('Bulk Plant Input'!$A$19, 'Base Blend Property Calculation'!$A$6:$BF$152,'Base Blend Property Calculation'!BT56,FALSE)*('Bulk Plant Input'!$I$14/('Bulk Plant Input'!$B$13/1000))</f>
        <v>0</v>
      </c>
      <c r="E227" s="201"/>
      <c r="F227" s="202"/>
      <c r="G227" s="446"/>
      <c r="H227" s="447"/>
    </row>
    <row r="228" spans="2:8" hidden="1" x14ac:dyDescent="0.25">
      <c r="B228" s="469" t="str">
        <f>INDEX('Base Blend Property Calculation'!$C$6:$BF$6,1,'Base Blend Property Calculation'!BT55)</f>
        <v>CDM-4X</v>
      </c>
      <c r="C228" s="469"/>
      <c r="D228" s="153">
        <f>VLOOKUP('Bulk Plant Input'!$A$19, 'Base Blend Property Calculation'!$A$6:$BF$152,'Base Blend Property Calculation'!BT57,FALSE)*('Bulk Plant Input'!$I$14/('Bulk Plant Input'!$B$13/1000))</f>
        <v>0</v>
      </c>
      <c r="E228" s="201"/>
      <c r="F228" s="202"/>
      <c r="G228" s="446"/>
      <c r="H228" s="447"/>
    </row>
    <row r="229" spans="2:8" hidden="1" x14ac:dyDescent="0.25">
      <c r="B229" s="469" t="str">
        <f>INDEX('Base Blend Property Calculation'!$C$6:$BF$6,1,'Base Blend Property Calculation'!BT56)</f>
        <v>Microfine Sil Flour</v>
      </c>
      <c r="C229" s="469"/>
      <c r="D229" s="153">
        <f>VLOOKUP('Bulk Plant Input'!$A$19, 'Base Blend Property Calculation'!$A$6:$BF$152,'Base Blend Property Calculation'!BT58,FALSE)*('Bulk Plant Input'!$I$14/('Bulk Plant Input'!$B$13/1000))</f>
        <v>0</v>
      </c>
      <c r="E229" s="201"/>
      <c r="F229" s="202"/>
      <c r="G229" s="446"/>
      <c r="H229" s="447"/>
    </row>
    <row r="230" spans="2:8" hidden="1" x14ac:dyDescent="0.25">
      <c r="B230" s="469" t="str">
        <f>INDEX('Base Blend Property Calculation'!$C$6:$BF$6,1,'Base Blend Property Calculation'!BT57)</f>
        <v>None</v>
      </c>
      <c r="C230" s="469"/>
      <c r="D230" s="153">
        <f>VLOOKUP('Bulk Plant Input'!$A$19, 'Base Blend Property Calculation'!$A$6:$BF$152,'Base Blend Property Calculation'!BT59,FALSE)*('Bulk Plant Input'!$I$14/('Bulk Plant Input'!$B$13/1000))</f>
        <v>0</v>
      </c>
      <c r="E230" s="201"/>
      <c r="F230" s="202"/>
      <c r="G230" s="446"/>
      <c r="H230" s="447"/>
    </row>
    <row r="231" spans="2:8" hidden="1" x14ac:dyDescent="0.25">
      <c r="B231" s="469" t="str">
        <f>INDEX('Base Blend Property Calculation'!$C$6:$BF$6,1,'Base Blend Property Calculation'!BT58)</f>
        <v>None</v>
      </c>
      <c r="C231" s="469"/>
      <c r="D231" s="153">
        <f>VLOOKUP('Bulk Plant Input'!$A$19, 'Base Blend Property Calculation'!$A$6:$BF$152,'Base Blend Property Calculation'!BT60,FALSE)*('Bulk Plant Input'!$I$14/('Bulk Plant Input'!$B$13/1000))</f>
        <v>0</v>
      </c>
      <c r="E231" s="201"/>
      <c r="F231" s="202"/>
      <c r="G231" s="446"/>
      <c r="H231" s="447"/>
    </row>
    <row r="232" spans="2:8" hidden="1" x14ac:dyDescent="0.25">
      <c r="B232" s="469" t="str">
        <f>INDEX('Base Blend Property Calculation'!$C$6:$BF$6,1,'Base Blend Property Calculation'!BT59)</f>
        <v>None</v>
      </c>
      <c r="C232" s="469"/>
      <c r="D232" s="153">
        <f>VLOOKUP('Bulk Plant Input'!$A$19, 'Base Blend Property Calculation'!$A$6:$BF$152,'Base Blend Property Calculation'!BT61,FALSE)*('Bulk Plant Input'!$I$14/('Bulk Plant Input'!$B$13/1000))</f>
        <v>0</v>
      </c>
      <c r="E232" s="201"/>
      <c r="F232" s="202"/>
      <c r="G232" s="446"/>
      <c r="H232" s="447"/>
    </row>
    <row r="233" spans="2:8" hidden="1" x14ac:dyDescent="0.25">
      <c r="B233" s="469" t="str">
        <f>INDEX('Base Blend Property Calculation'!$C$6:$BF$6,1,'Base Blend Property Calculation'!BT60)</f>
        <v>None</v>
      </c>
      <c r="C233" s="469"/>
      <c r="D233" s="153">
        <f>VLOOKUP('Bulk Plant Input'!$A$19, 'Base Blend Property Calculation'!$A$6:$BF$152,'Base Blend Property Calculation'!BT62,FALSE)*('Bulk Plant Input'!$I$14/('Bulk Plant Input'!$B$13/1000))</f>
        <v>0</v>
      </c>
      <c r="E233" s="201"/>
      <c r="F233" s="202"/>
      <c r="G233" s="446"/>
      <c r="H233" s="447"/>
    </row>
    <row r="234" spans="2:8" hidden="1" x14ac:dyDescent="0.25">
      <c r="B234" s="469" t="str">
        <f>INDEX('Base Blend Property Calculation'!$C$6:$BF$6,1,'Base Blend Property Calculation'!BT61)</f>
        <v>None</v>
      </c>
      <c r="C234" s="469"/>
      <c r="D234" s="153">
        <f>VLOOKUP('Bulk Plant Input'!$A$19, 'Base Blend Property Calculation'!$A$6:$BF$152,'Base Blend Property Calculation'!BT63,FALSE)*('Bulk Plant Input'!$I$14/('Bulk Plant Input'!$B$13/1000))</f>
        <v>0</v>
      </c>
      <c r="E234" s="201"/>
      <c r="F234" s="202"/>
      <c r="G234" s="446"/>
      <c r="H234" s="447"/>
    </row>
    <row r="235" spans="2:8" hidden="1" x14ac:dyDescent="0.25">
      <c r="B235" s="469" t="str">
        <f>INDEX('Base Blend Property Calculation'!$C$6:$BF$6,1,'Base Blend Property Calculation'!BT62)</f>
        <v>None</v>
      </c>
      <c r="C235" s="469"/>
      <c r="D235" s="153">
        <f>VLOOKUP('Bulk Plant Input'!$A$19, 'Base Blend Property Calculation'!$A$6:$BF$152,'Base Blend Property Calculation'!BT64,FALSE)*('Bulk Plant Input'!$I$14/('Bulk Plant Input'!$B$13/1000))</f>
        <v>0</v>
      </c>
      <c r="E235" s="201"/>
      <c r="F235" s="202"/>
      <c r="G235" s="446"/>
      <c r="H235" s="447"/>
    </row>
    <row r="236" spans="2:8" hidden="1" x14ac:dyDescent="0.25">
      <c r="B236" s="469" t="e">
        <f>INDEX('Base Blend Property Calculation'!$C$6:$BF$6,1,'Base Blend Property Calculation'!BT63)</f>
        <v>#REF!</v>
      </c>
      <c r="C236" s="469"/>
      <c r="D236" s="153" t="e">
        <f>VLOOKUP('Bulk Plant Input'!$A$19, 'Base Blend Property Calculation'!$A$6:$BF$152,'Base Blend Property Calculation'!BT65,FALSE)*('Bulk Plant Input'!$I$14/('Bulk Plant Input'!$B$13/1000))</f>
        <v>#REF!</v>
      </c>
      <c r="E236" s="201"/>
      <c r="F236" s="202"/>
      <c r="G236" s="446"/>
      <c r="H236" s="447"/>
    </row>
    <row r="237" spans="2:8" hidden="1" x14ac:dyDescent="0.25">
      <c r="D237" s="158" t="s">
        <v>198</v>
      </c>
    </row>
    <row r="238" spans="2:8" ht="15.75" hidden="1" x14ac:dyDescent="0.25">
      <c r="B238" s="456" t="str">
        <f>IF('Bulk Plant Input'!$I$14="","3rd Batch Not Entered","ADDITIVES - Batch 3")</f>
        <v>3rd Batch Not Entered</v>
      </c>
      <c r="C238" s="456"/>
      <c r="D238" s="161" t="s">
        <v>198</v>
      </c>
    </row>
    <row r="239" spans="2:8" ht="30" hidden="1" x14ac:dyDescent="0.25">
      <c r="B239" s="470" t="s">
        <v>201</v>
      </c>
      <c r="C239" s="470"/>
      <c r="D239" s="162" t="s">
        <v>206</v>
      </c>
      <c r="E239" s="470" t="s">
        <v>509</v>
      </c>
      <c r="F239" s="470"/>
      <c r="G239" s="470" t="s">
        <v>200</v>
      </c>
      <c r="H239" s="470"/>
    </row>
    <row r="240" spans="2:8" hidden="1" x14ac:dyDescent="0.25">
      <c r="B240" s="471" t="str">
        <f>'Bulk Plant Input'!A23</f>
        <v>CFR-5</v>
      </c>
      <c r="C240" s="472"/>
      <c r="D240" s="153">
        <f>IF(B160=0,0,'Bulk Plant Input'!C23*('Bulk Plant Input'!$I$14/('Bulk Plant Input'!$B$13/1000)))</f>
        <v>0</v>
      </c>
      <c r="E240" s="471"/>
      <c r="F240" s="472"/>
      <c r="G240" s="471"/>
      <c r="H240" s="472"/>
    </row>
    <row r="241" spans="2:8" hidden="1" x14ac:dyDescent="0.25">
      <c r="B241" s="471" t="str">
        <f>'Bulk Plant Input'!A24</f>
        <v>CFL-4</v>
      </c>
      <c r="C241" s="472"/>
      <c r="D241" s="153">
        <f>IF(B161=0,0,'Bulk Plant Input'!C24*('Bulk Plant Input'!$I$14/('Bulk Plant Input'!$B$13/1000)))</f>
        <v>0</v>
      </c>
      <c r="E241" s="471"/>
      <c r="F241" s="472"/>
      <c r="G241" s="471"/>
      <c r="H241" s="472"/>
    </row>
    <row r="242" spans="2:8" hidden="1" x14ac:dyDescent="0.25">
      <c r="B242" s="471" t="str">
        <f>'Bulk Plant Input'!A25</f>
        <v>FWC-2</v>
      </c>
      <c r="C242" s="472"/>
      <c r="D242" s="153">
        <f>IF(B162=0,0,'Bulk Plant Input'!C25*('Bulk Plant Input'!$I$14/('Bulk Plant Input'!$B$13/1000)))</f>
        <v>0</v>
      </c>
      <c r="E242" s="471"/>
      <c r="F242" s="472"/>
      <c r="G242" s="471"/>
      <c r="H242" s="472"/>
    </row>
    <row r="243" spans="2:8" hidden="1" x14ac:dyDescent="0.25">
      <c r="B243" s="471" t="str">
        <f>'Bulk Plant Input'!A26</f>
        <v>LTR</v>
      </c>
      <c r="C243" s="472"/>
      <c r="D243" s="153">
        <f>IF(B163=0,0,'Bulk Plant Input'!C26*('Bulk Plant Input'!$I$14/('Bulk Plant Input'!$B$13/1000)))</f>
        <v>0</v>
      </c>
      <c r="E243" s="471"/>
      <c r="F243" s="472"/>
      <c r="G243" s="471"/>
      <c r="H243" s="472"/>
    </row>
    <row r="244" spans="2:8" hidden="1" x14ac:dyDescent="0.25">
      <c r="B244" s="471" t="str">
        <f>'Bulk Plant Input'!A27</f>
        <v>CDF-6P</v>
      </c>
      <c r="C244" s="472"/>
      <c r="D244" s="153">
        <f>IF(B164=0,0,'Bulk Plant Input'!C27*('Bulk Plant Input'!$I$14/('Bulk Plant Input'!$B$13/1000)))</f>
        <v>0</v>
      </c>
      <c r="E244" s="471"/>
      <c r="F244" s="472"/>
      <c r="G244" s="471"/>
      <c r="H244" s="472"/>
    </row>
    <row r="245" spans="2:8" hidden="1" x14ac:dyDescent="0.25">
      <c r="B245" s="471" t="str">
        <f>'Bulk Plant Input'!A28</f>
        <v>ASM-3</v>
      </c>
      <c r="C245" s="472"/>
      <c r="D245" s="153">
        <f>IF(B165=0,0,'Bulk Plant Input'!C28*('Bulk Plant Input'!$I$14/('Bulk Plant Input'!$B$13/1000)))</f>
        <v>0</v>
      </c>
      <c r="E245" s="471"/>
      <c r="F245" s="472"/>
      <c r="G245" s="471"/>
      <c r="H245" s="472"/>
    </row>
    <row r="246" spans="2:8" hidden="1" x14ac:dyDescent="0.25">
      <c r="B246" s="471">
        <f>'Bulk Plant Input'!A29</f>
        <v>0</v>
      </c>
      <c r="C246" s="472"/>
      <c r="D246" s="153">
        <f>IF(B166=0,0,'Bulk Plant Input'!C29*('Bulk Plant Input'!$I$14/('Bulk Plant Input'!$B$13/1000)))</f>
        <v>0</v>
      </c>
      <c r="E246" s="471"/>
      <c r="F246" s="472"/>
      <c r="G246" s="471"/>
      <c r="H246" s="472"/>
    </row>
    <row r="247" spans="2:8" hidden="1" x14ac:dyDescent="0.25">
      <c r="B247" s="471">
        <f>'Bulk Plant Input'!A30</f>
        <v>0</v>
      </c>
      <c r="C247" s="472"/>
      <c r="D247" s="153">
        <f>IF(B167=0,0,'Bulk Plant Input'!C30*('Bulk Plant Input'!$I$14/('Bulk Plant Input'!$B$13/1000)))</f>
        <v>0</v>
      </c>
      <c r="E247" s="471"/>
      <c r="F247" s="472"/>
      <c r="G247" s="471"/>
      <c r="H247" s="472"/>
    </row>
    <row r="248" spans="2:8" hidden="1" x14ac:dyDescent="0.25">
      <c r="B248" s="471">
        <f>'Bulk Plant Input'!A31</f>
        <v>0</v>
      </c>
      <c r="C248" s="472"/>
      <c r="D248" s="153">
        <f>IF(B168=0,0,'Bulk Plant Input'!C31*('Bulk Plant Input'!$I$14/('Bulk Plant Input'!$B$13/1000)))</f>
        <v>0</v>
      </c>
      <c r="E248" s="471"/>
      <c r="F248" s="472"/>
      <c r="G248" s="471"/>
      <c r="H248" s="472"/>
    </row>
    <row r="249" spans="2:8" hidden="1" x14ac:dyDescent="0.25">
      <c r="B249" s="471">
        <f>'Bulk Plant Input'!A32</f>
        <v>0</v>
      </c>
      <c r="C249" s="472"/>
      <c r="D249" s="153">
        <f>IF(B169=0,0,'Bulk Plant Input'!C32*('Bulk Plant Input'!$I$14/('Bulk Plant Input'!$B$13/1000)))</f>
        <v>0</v>
      </c>
      <c r="E249" s="471"/>
      <c r="F249" s="472"/>
      <c r="G249" s="471"/>
      <c r="H249" s="472"/>
    </row>
    <row r="250" spans="2:8" hidden="1" x14ac:dyDescent="0.25">
      <c r="B250" s="471">
        <f>'Bulk Plant Input'!A33</f>
        <v>0</v>
      </c>
      <c r="C250" s="472"/>
      <c r="D250" s="153">
        <f>IF(B170=0,0,'Bulk Plant Input'!C33*('Bulk Plant Input'!$I$14/('Bulk Plant Input'!$B$13/1000)))</f>
        <v>0</v>
      </c>
      <c r="E250" s="471"/>
      <c r="F250" s="472"/>
      <c r="G250" s="471"/>
      <c r="H250" s="472"/>
    </row>
    <row r="251" spans="2:8" hidden="1" x14ac:dyDescent="0.25">
      <c r="B251" s="471">
        <f>'Bulk Plant Input'!A34</f>
        <v>0</v>
      </c>
      <c r="C251" s="472"/>
      <c r="D251" s="153">
        <f>IF(B171=0,0,'Bulk Plant Input'!C34*('Bulk Plant Input'!$I$14/('Bulk Plant Input'!$B$13/1000)))</f>
        <v>0</v>
      </c>
      <c r="E251" s="471"/>
      <c r="F251" s="472"/>
      <c r="G251" s="471"/>
      <c r="H251" s="472"/>
    </row>
    <row r="252" spans="2:8" hidden="1" x14ac:dyDescent="0.25">
      <c r="B252" s="471">
        <f>'Bulk Plant Input'!A35</f>
        <v>0</v>
      </c>
      <c r="C252" s="472"/>
      <c r="D252" s="153">
        <f>IF(B172=0,0,'Bulk Plant Input'!C35*('Bulk Plant Input'!$I$14/('Bulk Plant Input'!$B$13/1000)))</f>
        <v>0</v>
      </c>
      <c r="E252" s="471"/>
      <c r="F252" s="472"/>
      <c r="G252" s="471"/>
      <c r="H252" s="472"/>
    </row>
    <row r="253" spans="2:8" hidden="1" x14ac:dyDescent="0.25">
      <c r="B253" s="471">
        <f>'Bulk Plant Input'!A36</f>
        <v>0</v>
      </c>
      <c r="C253" s="472"/>
      <c r="D253" s="153">
        <f>IF(B173=0,0,'Bulk Plant Input'!C36*('Bulk Plant Input'!$I$14/('Bulk Plant Input'!$B$13/1000)))</f>
        <v>0</v>
      </c>
      <c r="E253" s="471"/>
      <c r="F253" s="472"/>
      <c r="G253" s="471"/>
      <c r="H253" s="472"/>
    </row>
    <row r="254" spans="2:8" hidden="1" x14ac:dyDescent="0.25">
      <c r="B254" s="471">
        <f>'Bulk Plant Input'!A37</f>
        <v>0</v>
      </c>
      <c r="C254" s="472"/>
      <c r="D254" s="153">
        <f>IF(B174=0,0,'Bulk Plant Input'!C37*('Bulk Plant Input'!$I$14/('Bulk Plant Input'!$B$13/1000)))</f>
        <v>0</v>
      </c>
      <c r="E254" s="471"/>
      <c r="F254" s="472"/>
      <c r="G254" s="471"/>
      <c r="H254" s="472"/>
    </row>
    <row r="255" spans="2:8" hidden="1" x14ac:dyDescent="0.25">
      <c r="B255" s="471">
        <f>'Bulk Plant Input'!A43</f>
        <v>0</v>
      </c>
      <c r="C255" s="472"/>
      <c r="D255" s="153">
        <f>IF(B175=0,0,'Bulk Plant Input'!C38*('Bulk Plant Input'!$I$14/('Bulk Plant Input'!$B$13/1000)))</f>
        <v>0</v>
      </c>
      <c r="E255" s="471"/>
      <c r="F255" s="472"/>
      <c r="G255" s="471"/>
      <c r="H255" s="472"/>
    </row>
    <row r="256" spans="2:8" hidden="1" x14ac:dyDescent="0.25">
      <c r="B256" s="471">
        <f>'Bulk Plant Input'!A44</f>
        <v>0</v>
      </c>
      <c r="C256" s="472"/>
      <c r="D256" s="153">
        <f>IF(B176=0,0,'Bulk Plant Input'!C39*('Bulk Plant Input'!$I$14/('Bulk Plant Input'!$B$13/1000)))</f>
        <v>0</v>
      </c>
      <c r="E256" s="471"/>
      <c r="F256" s="472"/>
      <c r="G256" s="471"/>
      <c r="H256" s="472"/>
    </row>
    <row r="257" spans="1:11" hidden="1" x14ac:dyDescent="0.25">
      <c r="B257" s="161"/>
      <c r="C257" s="161"/>
      <c r="D257" s="156" t="s">
        <v>198</v>
      </c>
      <c r="E257" s="161"/>
      <c r="F257" s="161"/>
      <c r="G257" s="161"/>
      <c r="H257" s="161"/>
    </row>
    <row r="258" spans="1:11" hidden="1" x14ac:dyDescent="0.25">
      <c r="A258" s="200"/>
      <c r="B258" s="200"/>
      <c r="C258" s="200"/>
      <c r="D258" s="157" t="s">
        <v>198</v>
      </c>
      <c r="E258" s="200"/>
      <c r="F258" s="200"/>
      <c r="G258" s="200"/>
      <c r="H258" s="200"/>
      <c r="I258" s="200"/>
      <c r="J258" s="200"/>
      <c r="K258" s="200"/>
    </row>
    <row r="259" spans="1:11" hidden="1" x14ac:dyDescent="0.25">
      <c r="D259" s="158" t="s">
        <v>198</v>
      </c>
    </row>
    <row r="260" spans="1:11" ht="15.75" hidden="1" x14ac:dyDescent="0.25">
      <c r="B260" s="456" t="str">
        <f>IF('Bulk Plant Input'!$I$15="","4th Batch Not Entered","BASE BLEND - Batch 4")</f>
        <v>4th Batch Not Entered</v>
      </c>
      <c r="C260" s="456"/>
      <c r="D260" s="161" t="s">
        <v>198</v>
      </c>
    </row>
    <row r="261" spans="1:11" ht="30" hidden="1" x14ac:dyDescent="0.25">
      <c r="B261" s="470" t="s">
        <v>199</v>
      </c>
      <c r="C261" s="470"/>
      <c r="D261" s="162" t="s">
        <v>206</v>
      </c>
      <c r="E261" s="470" t="s">
        <v>207</v>
      </c>
      <c r="F261" s="470"/>
      <c r="G261" s="470" t="s">
        <v>200</v>
      </c>
      <c r="H261" s="470"/>
    </row>
    <row r="262" spans="1:11" hidden="1" x14ac:dyDescent="0.25">
      <c r="B262" s="471" t="str">
        <f>INDEX('Base Blend Property Calculation'!$C$6:$BF$6,1,'Base Blend Property Calculation'!BT7)</f>
        <v>Class A</v>
      </c>
      <c r="C262" s="472"/>
      <c r="D262" s="153">
        <f>VLOOKUP('Bulk Plant Input'!$A$19, 'Base Blend Property Calculation'!$A$6:$BF$152,'Base Blend Property Calculation'!BT9,FALSE)*('Bulk Plant Input'!$I$15/('Bulk Plant Input'!$B$13/1000))</f>
        <v>0</v>
      </c>
      <c r="E262" s="471"/>
      <c r="F262" s="472"/>
      <c r="G262" s="471"/>
      <c r="H262" s="472"/>
    </row>
    <row r="263" spans="1:11" hidden="1" x14ac:dyDescent="0.25">
      <c r="B263" s="471" t="str">
        <f>INDEX('Base Blend Property Calculation'!$C$6:$BF$6,1,'Base Blend Property Calculation'!BT8)</f>
        <v>Class C</v>
      </c>
      <c r="C263" s="472"/>
      <c r="D263" s="153">
        <f>VLOOKUP('Bulk Plant Input'!$A$19, 'Base Blend Property Calculation'!$A$6:$BF$152,'Base Blend Property Calculation'!BT10,FALSE)*('Bulk Plant Input'!$I$15/('Bulk Plant Input'!$B$13/1000))</f>
        <v>0</v>
      </c>
      <c r="E263" s="471"/>
      <c r="F263" s="472"/>
      <c r="G263" s="471"/>
      <c r="H263" s="472"/>
    </row>
    <row r="264" spans="1:11" hidden="1" x14ac:dyDescent="0.25">
      <c r="B264" s="471" t="str">
        <f>INDEX('Base Blend Property Calculation'!$C$6:$BF$6,1,'Base Blend Property Calculation'!BT9)</f>
        <v>Class G</v>
      </c>
      <c r="C264" s="472"/>
      <c r="D264" s="153">
        <f>VLOOKUP('Bulk Plant Input'!$A$19, 'Base Blend Property Calculation'!$A$6:$BF$152,'Base Blend Property Calculation'!BT11,FALSE)*('Bulk Plant Input'!$I$15/('Bulk Plant Input'!$B$13/1000))</f>
        <v>0</v>
      </c>
      <c r="E264" s="471"/>
      <c r="F264" s="472"/>
      <c r="G264" s="471"/>
      <c r="H264" s="472"/>
    </row>
    <row r="265" spans="1:11" hidden="1" x14ac:dyDescent="0.25">
      <c r="B265" s="471" t="str">
        <f>INDEX('Base Blend Property Calculation'!$C$6:$BF$6,1,'Base Blend Property Calculation'!BT10)</f>
        <v>Class H</v>
      </c>
      <c r="C265" s="472"/>
      <c r="D265" s="153">
        <f>VLOOKUP('Bulk Plant Input'!$A$19, 'Base Blend Property Calculation'!$A$6:$BF$152,'Base Blend Property Calculation'!BT12,FALSE)*('Bulk Plant Input'!$I$15/('Bulk Plant Input'!$B$13/1000))</f>
        <v>0</v>
      </c>
      <c r="E265" s="471"/>
      <c r="F265" s="472"/>
      <c r="G265" s="471"/>
      <c r="H265" s="472"/>
    </row>
    <row r="266" spans="1:11" hidden="1" x14ac:dyDescent="0.25">
      <c r="B266" s="471" t="str">
        <f>INDEX('Base Blend Property Calculation'!$C$6:$BF$6,1,'Base Blend Property Calculation'!BT11)</f>
        <v>Intercem</v>
      </c>
      <c r="C266" s="472"/>
      <c r="D266" s="153">
        <f>VLOOKUP('Bulk Plant Input'!$A$19, 'Base Blend Property Calculation'!$A$6:$BF$152,'Base Blend Property Calculation'!BT13,FALSE)*('Bulk Plant Input'!$I$15/('Bulk Plant Input'!$B$13/1000))</f>
        <v>0</v>
      </c>
      <c r="E266" s="471"/>
      <c r="F266" s="472"/>
      <c r="G266" s="471"/>
      <c r="H266" s="472"/>
    </row>
    <row r="267" spans="1:11" hidden="1" x14ac:dyDescent="0.25">
      <c r="B267" s="471" t="str">
        <f>INDEX('Base Blend Property Calculation'!$C$6:$BF$6,1,'Base Blend Property Calculation'!BT12)</f>
        <v>Colloid SQ-A</v>
      </c>
      <c r="C267" s="472"/>
      <c r="D267" s="153">
        <f>VLOOKUP('Bulk Plant Input'!$A$19, 'Base Blend Property Calculation'!$A$6:$BF$152,'Base Blend Property Calculation'!BT14,FALSE)*('Bulk Plant Input'!$I$15/('Bulk Plant Input'!$B$13/1000))</f>
        <v>0</v>
      </c>
      <c r="E267" s="471"/>
      <c r="F267" s="472"/>
      <c r="G267" s="471"/>
      <c r="H267" s="472"/>
    </row>
    <row r="268" spans="1:11" hidden="1" x14ac:dyDescent="0.25">
      <c r="B268" s="471" t="str">
        <f>INDEX('Base Blend Property Calculation'!$C$6:$BF$6,1,'Base Blend Property Calculation'!BT13)</f>
        <v>Flyash</v>
      </c>
      <c r="C268" s="472"/>
      <c r="D268" s="153">
        <f>VLOOKUP('Bulk Plant Input'!$A$19, 'Base Blend Property Calculation'!$A$6:$BF$152,'Base Blend Property Calculation'!BT15,FALSE)*('Bulk Plant Input'!$I$15/('Bulk Plant Input'!$B$13/1000))</f>
        <v>0</v>
      </c>
      <c r="E268" s="471"/>
      <c r="F268" s="472"/>
      <c r="G268" s="471"/>
      <c r="H268" s="472"/>
    </row>
    <row r="269" spans="1:11" hidden="1" x14ac:dyDescent="0.25">
      <c r="B269" s="471" t="str">
        <f>INDEX('Base Blend Property Calculation'!$C$6:$BF$6,1,'Base Blend Property Calculation'!BT14)</f>
        <v>Flyash (Sask)</v>
      </c>
      <c r="C269" s="472"/>
      <c r="D269" s="153">
        <f>VLOOKUP('Bulk Plant Input'!$A$19, 'Base Blend Property Calculation'!$A$6:$BF$152,'Base Blend Property Calculation'!BT16,FALSE)*('Bulk Plant Input'!$I$15/('Bulk Plant Input'!$B$13/1000))</f>
        <v>0</v>
      </c>
      <c r="E269" s="471"/>
      <c r="F269" s="472"/>
      <c r="G269" s="471"/>
      <c r="H269" s="472"/>
    </row>
    <row r="270" spans="1:11" hidden="1" x14ac:dyDescent="0.25">
      <c r="B270" s="471" t="str">
        <f>INDEX('Base Blend Property Calculation'!$C$6:$BF$6,1,'Base Blend Property Calculation'!BT15)</f>
        <v>Densified Fume</v>
      </c>
      <c r="C270" s="472"/>
      <c r="D270" s="153">
        <f>VLOOKUP('Bulk Plant Input'!$A$19, 'Base Blend Property Calculation'!$A$6:$BF$152,'Base Blend Property Calculation'!BT17,FALSE)*('Bulk Plant Input'!$I$15/('Bulk Plant Input'!$B$13/1000))</f>
        <v>0</v>
      </c>
      <c r="E270" s="471"/>
      <c r="F270" s="472"/>
      <c r="G270" s="471"/>
      <c r="H270" s="472"/>
    </row>
    <row r="271" spans="1:11" hidden="1" x14ac:dyDescent="0.25">
      <c r="B271" s="471" t="str">
        <f>INDEX('Base Blend Property Calculation'!$C$6:$BF$6,1,'Base Blend Property Calculation'!BT16)</f>
        <v>Silica Fume - Semi-Densified</v>
      </c>
      <c r="C271" s="472"/>
      <c r="D271" s="153">
        <f>VLOOKUP('Bulk Plant Input'!$A$19, 'Base Blend Property Calculation'!$A$6:$BF$152,'Base Blend Property Calculation'!BT18,FALSE)*('Bulk Plant Input'!$I$15/('Bulk Plant Input'!$B$13/1000))</f>
        <v>0</v>
      </c>
      <c r="E271" s="471"/>
      <c r="F271" s="472"/>
      <c r="G271" s="471"/>
      <c r="H271" s="472"/>
    </row>
    <row r="272" spans="1:11" hidden="1" x14ac:dyDescent="0.25">
      <c r="B272" s="471" t="str">
        <f>INDEX('Base Blend Property Calculation'!$C$6:$BF$6,1,'Base Blend Property Calculation'!BT17)</f>
        <v>Sanlite</v>
      </c>
      <c r="C272" s="472"/>
      <c r="D272" s="153">
        <f>VLOOKUP('Bulk Plant Input'!$A$19, 'Base Blend Property Calculation'!$A$6:$BF$152,'Base Blend Property Calculation'!BT19,FALSE)*('Bulk Plant Input'!$I$15/('Bulk Plant Input'!$B$13/1000))</f>
        <v>0</v>
      </c>
      <c r="E272" s="471"/>
      <c r="F272" s="472"/>
      <c r="G272" s="471"/>
      <c r="H272" s="472"/>
    </row>
    <row r="273" spans="2:8" hidden="1" x14ac:dyDescent="0.25">
      <c r="B273" s="471" t="str">
        <f>INDEX('Base Blend Property Calculation'!$C$6:$BF$6,1,'Base Blend Property Calculation'!BT18)</f>
        <v>Silica Flour</v>
      </c>
      <c r="C273" s="472"/>
      <c r="D273" s="153">
        <f>VLOOKUP('Bulk Plant Input'!$A$19, 'Base Blend Property Calculation'!$A$6:$BF$152,'Base Blend Property Calculation'!BT20,FALSE)*('Bulk Plant Input'!$I$15/('Bulk Plant Input'!$B$13/1000))</f>
        <v>0</v>
      </c>
      <c r="E273" s="471"/>
      <c r="F273" s="472"/>
      <c r="G273" s="471"/>
      <c r="H273" s="472"/>
    </row>
    <row r="274" spans="2:8" hidden="1" x14ac:dyDescent="0.25">
      <c r="B274" s="471" t="str">
        <f>INDEX('Base Blend Property Calculation'!$C$6:$BF$6,1,'Base Blend Property Calculation'!BT19)</f>
        <v>Gel</v>
      </c>
      <c r="C274" s="472"/>
      <c r="D274" s="153">
        <f>VLOOKUP('Bulk Plant Input'!$A$19, 'Base Blend Property Calculation'!$A$6:$BF$152,'Base Blend Property Calculation'!BT21,FALSE)*('Bulk Plant Input'!$I$15/('Bulk Plant Input'!$B$13/1000))</f>
        <v>0</v>
      </c>
      <c r="E274" s="471"/>
      <c r="F274" s="472"/>
      <c r="G274" s="471"/>
      <c r="H274" s="472"/>
    </row>
    <row r="275" spans="2:8" hidden="1" x14ac:dyDescent="0.25">
      <c r="B275" s="471" t="str">
        <f>INDEX('Base Blend Property Calculation'!$C$6:$BF$6,1,'Base Blend Property Calculation'!BT20)</f>
        <v>SCA-1</v>
      </c>
      <c r="C275" s="472"/>
      <c r="D275" s="153">
        <f>VLOOKUP('Bulk Plant Input'!$A$19, 'Base Blend Property Calculation'!$A$6:$BF$152,'Base Blend Property Calculation'!BT22,FALSE)*('Bulk Plant Input'!$I$15/('Bulk Plant Input'!$B$13/1000))</f>
        <v>0</v>
      </c>
      <c r="E275" s="471"/>
      <c r="F275" s="472"/>
      <c r="G275" s="471"/>
      <c r="H275" s="472"/>
    </row>
    <row r="276" spans="2:8" hidden="1" x14ac:dyDescent="0.25">
      <c r="B276" s="471" t="str">
        <f>INDEX('Base Blend Property Calculation'!$C$6:$BF$6,1,'Base Blend Property Calculation'!BT21)</f>
        <v>Hematite</v>
      </c>
      <c r="C276" s="472"/>
      <c r="D276" s="153">
        <f>VLOOKUP('Bulk Plant Input'!$A$19, 'Base Blend Property Calculation'!$A$6:$BF$152,'Base Blend Property Calculation'!BT23,FALSE)*('Bulk Plant Input'!$I$15/('Bulk Plant Input'!$B$13/1000))</f>
        <v>0</v>
      </c>
      <c r="E276" s="471"/>
      <c r="F276" s="472"/>
      <c r="G276" s="471"/>
      <c r="H276" s="472"/>
    </row>
    <row r="277" spans="2:8" hidden="1" x14ac:dyDescent="0.25">
      <c r="B277" s="471" t="str">
        <f>INDEX('Base Blend Property Calculation'!$C$6:$BF$6,1,'Base Blend Property Calculation'!BT22)</f>
        <v>CDM-6B</v>
      </c>
      <c r="C277" s="472"/>
      <c r="D277" s="153">
        <f>VLOOKUP('Bulk Plant Input'!$A$19, 'Base Blend Property Calculation'!$A$6:$BF$152,'Base Blend Property Calculation'!BT24,FALSE)*('Bulk Plant Input'!$I$15/('Bulk Plant Input'!$B$13/1000))</f>
        <v>0</v>
      </c>
      <c r="E277" s="471"/>
      <c r="F277" s="472"/>
      <c r="G277" s="471"/>
      <c r="H277" s="472"/>
    </row>
    <row r="278" spans="2:8" hidden="1" x14ac:dyDescent="0.25">
      <c r="B278" s="471" t="str">
        <f>INDEX('Base Blend Property Calculation'!$C$6:$BF$6,1,'Base Blend Property Calculation'!BT23)</f>
        <v>CDM-6</v>
      </c>
      <c r="C278" s="472"/>
      <c r="D278" s="153">
        <f>VLOOKUP('Bulk Plant Input'!$A$19, 'Base Blend Property Calculation'!$A$6:$BF$152,'Base Blend Property Calculation'!BT25,FALSE)*('Bulk Plant Input'!$I$15/('Bulk Plant Input'!$B$13/1000))</f>
        <v>0</v>
      </c>
      <c r="E278" s="471"/>
      <c r="F278" s="472"/>
      <c r="G278" s="471"/>
      <c r="H278" s="472"/>
    </row>
    <row r="279" spans="2:8" hidden="1" x14ac:dyDescent="0.25">
      <c r="B279" s="471" t="str">
        <f>INDEX('Base Blend Property Calculation'!$C$6:$BF$6,1,'Base Blend Property Calculation'!BT24)</f>
        <v>CDM-2</v>
      </c>
      <c r="C279" s="472"/>
      <c r="D279" s="153">
        <f>VLOOKUP('Bulk Plant Input'!$A$19, 'Base Blend Property Calculation'!$A$6:$BF$152,'Base Blend Property Calculation'!BT26,FALSE)*('Bulk Plant Input'!$I$15/('Bulk Plant Input'!$B$13/1000))</f>
        <v>0</v>
      </c>
      <c r="E279" s="471"/>
      <c r="F279" s="472"/>
      <c r="G279" s="471"/>
      <c r="H279" s="472"/>
    </row>
    <row r="280" spans="2:8" hidden="1" x14ac:dyDescent="0.25">
      <c r="B280" s="471" t="str">
        <f>INDEX('Base Blend Property Calculation'!$C$6:$BF$6,1,'Base Blend Property Calculation'!BT25)</f>
        <v>CDM-5</v>
      </c>
      <c r="C280" s="472"/>
      <c r="D280" s="153">
        <f>VLOOKUP('Bulk Plant Input'!$A$19, 'Base Blend Property Calculation'!$A$6:$BF$152,'Base Blend Property Calculation'!BT27,FALSE)*('Bulk Plant Input'!$I$15/('Bulk Plant Input'!$B$13/1000))</f>
        <v>0</v>
      </c>
      <c r="E280" s="471"/>
      <c r="F280" s="472"/>
      <c r="G280" s="471"/>
      <c r="H280" s="472"/>
    </row>
    <row r="281" spans="2:8" hidden="1" x14ac:dyDescent="0.25">
      <c r="B281" s="471" t="str">
        <f>INDEX('Base Blend Property Calculation'!$C$6:$BF$6,1,'Base Blend Property Calculation'!BT26)</f>
        <v>CDM-C</v>
      </c>
      <c r="C281" s="472"/>
      <c r="D281" s="153">
        <f>VLOOKUP('Bulk Plant Input'!$A$19, 'Base Blend Property Calculation'!$A$6:$BF$152,'Base Blend Property Calculation'!BT28,FALSE)*('Bulk Plant Input'!$I$15/('Bulk Plant Input'!$B$13/1000))</f>
        <v>0</v>
      </c>
      <c r="E281" s="471"/>
      <c r="F281" s="472"/>
      <c r="G281" s="471"/>
      <c r="H281" s="472"/>
    </row>
    <row r="282" spans="2:8" hidden="1" x14ac:dyDescent="0.25">
      <c r="B282" s="471" t="str">
        <f>INDEX('Base Blend Property Calculation'!$C$6:$BF$6,1,'Base Blend Property Calculation'!BT27)</f>
        <v>CDM-10</v>
      </c>
      <c r="C282" s="472"/>
      <c r="D282" s="153">
        <f>VLOOKUP('Bulk Plant Input'!$A$19, 'Base Blend Property Calculation'!$A$6:$BF$152,'Base Blend Property Calculation'!BT29,FALSE)*('Bulk Plant Input'!$I$15/('Bulk Plant Input'!$B$13/1000))</f>
        <v>0</v>
      </c>
      <c r="E282" s="471"/>
      <c r="F282" s="472"/>
      <c r="G282" s="455"/>
      <c r="H282" s="455"/>
    </row>
    <row r="283" spans="2:8" hidden="1" x14ac:dyDescent="0.25">
      <c r="B283" s="471" t="str">
        <f>INDEX('Base Blend Property Calculation'!$C$6:$BF$6,1,'Base Blend Property Calculation'!BT28)</f>
        <v>CFR</v>
      </c>
      <c r="C283" s="472"/>
      <c r="D283" s="153">
        <f>VLOOKUP('Bulk Plant Input'!$A$19, 'Base Blend Property Calculation'!$A$6:$BF$152,'Base Blend Property Calculation'!BT30,FALSE)*('Bulk Plant Input'!$I$15/('Bulk Plant Input'!$B$13/1000))</f>
        <v>0</v>
      </c>
      <c r="E283" s="471"/>
      <c r="F283" s="472"/>
      <c r="G283" s="471"/>
      <c r="H283" s="472"/>
    </row>
    <row r="284" spans="2:8" hidden="1" x14ac:dyDescent="0.25">
      <c r="B284" s="471" t="str">
        <f>INDEX('Base Blend Property Calculation'!$C$6:$BF$6,1,'Base Blend Property Calculation'!BT29)</f>
        <v>CFR-2</v>
      </c>
      <c r="C284" s="472"/>
      <c r="D284" s="153">
        <f>VLOOKUP('Bulk Plant Input'!$A$19, 'Base Blend Property Calculation'!$A$6:$BF$152,'Base Blend Property Calculation'!BT31,FALSE)*('Bulk Plant Input'!$I$15/('Bulk Plant Input'!$B$13/1000))</f>
        <v>0</v>
      </c>
      <c r="E284" s="471"/>
      <c r="F284" s="472"/>
      <c r="G284" s="471"/>
      <c r="H284" s="472"/>
    </row>
    <row r="285" spans="2:8" hidden="1" x14ac:dyDescent="0.25">
      <c r="B285" s="471" t="str">
        <f>INDEX('Base Blend Property Calculation'!$C$6:$BF$6,1,'Base Blend Property Calculation'!BT30)</f>
        <v>CFR-5</v>
      </c>
      <c r="C285" s="472"/>
      <c r="D285" s="153">
        <f>VLOOKUP('Bulk Plant Input'!$A$19, 'Base Blend Property Calculation'!$A$6:$BF$152,'Base Blend Property Calculation'!BT32,FALSE)*('Bulk Plant Input'!$I$15/('Bulk Plant Input'!$B$13/1000))</f>
        <v>0</v>
      </c>
      <c r="E285" s="471"/>
      <c r="F285" s="472"/>
      <c r="G285" s="471"/>
      <c r="H285" s="472"/>
    </row>
    <row r="286" spans="2:8" hidden="1" x14ac:dyDescent="0.25">
      <c r="B286" s="471" t="str">
        <f>INDEX('Base Blend Property Calculation'!$C$6:$BF$6,1,'Base Blend Property Calculation'!BT31)</f>
        <v>CFL-3</v>
      </c>
      <c r="C286" s="472"/>
      <c r="D286" s="153">
        <f>VLOOKUP('Bulk Plant Input'!$A$19, 'Base Blend Property Calculation'!$A$6:$BF$152,'Base Blend Property Calculation'!BT33,FALSE)*('Bulk Plant Input'!$I$15/('Bulk Plant Input'!$B$13/1000))</f>
        <v>0</v>
      </c>
      <c r="E286" s="471"/>
      <c r="F286" s="472"/>
      <c r="G286" s="471"/>
      <c r="H286" s="472"/>
    </row>
    <row r="287" spans="2:8" hidden="1" x14ac:dyDescent="0.25">
      <c r="B287" s="471" t="str">
        <f>INDEX('Base Blend Property Calculation'!$C$6:$BF$6,1,'Base Blend Property Calculation'!BT32)</f>
        <v>CFL-4</v>
      </c>
      <c r="C287" s="472"/>
      <c r="D287" s="153">
        <f>VLOOKUP('Bulk Plant Input'!$A$19, 'Base Blend Property Calculation'!$A$6:$BF$152,'Base Blend Property Calculation'!BT34,FALSE)*('Bulk Plant Input'!$I$15/('Bulk Plant Input'!$B$13/1000))</f>
        <v>0</v>
      </c>
      <c r="E287" s="471"/>
      <c r="F287" s="472"/>
      <c r="G287" s="471"/>
      <c r="H287" s="472"/>
    </row>
    <row r="288" spans="2:8" hidden="1" x14ac:dyDescent="0.25">
      <c r="B288" s="471" t="str">
        <f>INDEX('Base Blend Property Calculation'!$C$6:$BF$6,1,'Base Blend Property Calculation'!BT33)</f>
        <v>CFL-6</v>
      </c>
      <c r="C288" s="472"/>
      <c r="D288" s="153">
        <f>VLOOKUP('Bulk Plant Input'!$A$19, 'Base Blend Property Calculation'!$A$6:$BF$152,'Base Blend Property Calculation'!BT35,FALSE)*('Bulk Plant Input'!$I$15/('Bulk Plant Input'!$B$13/1000))</f>
        <v>0</v>
      </c>
      <c r="E288" s="471"/>
      <c r="F288" s="472"/>
      <c r="G288" s="471"/>
      <c r="H288" s="472"/>
    </row>
    <row r="289" spans="2:8" hidden="1" x14ac:dyDescent="0.25">
      <c r="B289" s="471" t="str">
        <f>INDEX('Base Blend Property Calculation'!$C$6:$BF$6,1,'Base Blend Property Calculation'!BT34)</f>
        <v>CFL-7</v>
      </c>
      <c r="C289" s="472"/>
      <c r="D289" s="153">
        <f>VLOOKUP('Bulk Plant Input'!$A$19, 'Base Blend Property Calculation'!$A$6:$BF$152,'Base Blend Property Calculation'!BT36,FALSE)*('Bulk Plant Input'!$I$15/('Bulk Plant Input'!$B$13/1000))</f>
        <v>0</v>
      </c>
      <c r="E289" s="471"/>
      <c r="F289" s="472"/>
      <c r="G289" s="471"/>
      <c r="H289" s="472"/>
    </row>
    <row r="290" spans="2:8" hidden="1" x14ac:dyDescent="0.25">
      <c r="B290" s="471" t="str">
        <f>INDEX('Base Blend Property Calculation'!$C$6:$BF$6,1,'Base Blend Property Calculation'!BT35)</f>
        <v>CaCl2</v>
      </c>
      <c r="C290" s="472"/>
      <c r="D290" s="153">
        <f>VLOOKUP('Bulk Plant Input'!$A$19, 'Base Blend Property Calculation'!$A$6:$BF$152,'Base Blend Property Calculation'!BT37,FALSE)*('Bulk Plant Input'!$I$15/('Bulk Plant Input'!$B$13/1000))</f>
        <v>0</v>
      </c>
      <c r="E290" s="471"/>
      <c r="F290" s="472"/>
      <c r="G290" s="471"/>
      <c r="H290" s="472"/>
    </row>
    <row r="291" spans="2:8" hidden="1" x14ac:dyDescent="0.25">
      <c r="B291" s="471" t="str">
        <f>INDEX('Base Blend Property Calculation'!$C$6:$BF$6,1,'Base Blend Property Calculation'!BT36)</f>
        <v>SCA-6</v>
      </c>
      <c r="C291" s="472"/>
      <c r="D291" s="153">
        <f>VLOOKUP('Bulk Plant Input'!$A$19, 'Base Blend Property Calculation'!$A$6:$BF$152,'Base Blend Property Calculation'!BT38,FALSE)*('Bulk Plant Input'!$I$15/('Bulk Plant Input'!$B$13/1000))</f>
        <v>0</v>
      </c>
      <c r="E291" s="471"/>
      <c r="F291" s="472"/>
      <c r="G291" s="471"/>
      <c r="H291" s="472"/>
    </row>
    <row r="292" spans="2:8" hidden="1" x14ac:dyDescent="0.25">
      <c r="B292" s="471" t="str">
        <f>INDEX('Base Blend Property Calculation'!$C$6:$BF$6,1,'Base Blend Property Calculation'!BT37)</f>
        <v>SCA-7</v>
      </c>
      <c r="C292" s="472"/>
      <c r="D292" s="153">
        <f>VLOOKUP('Bulk Plant Input'!$A$19, 'Base Blend Property Calculation'!$A$6:$BF$152,'Base Blend Property Calculation'!BT39,FALSE)*('Bulk Plant Input'!$I$15/('Bulk Plant Input'!$B$13/1000))</f>
        <v>0</v>
      </c>
      <c r="E292" s="471"/>
      <c r="F292" s="472"/>
      <c r="G292" s="471"/>
      <c r="H292" s="472"/>
    </row>
    <row r="293" spans="2:8" hidden="1" x14ac:dyDescent="0.25">
      <c r="B293" s="471" t="str">
        <f>INDEX('Base Blend Property Calculation'!$C$6:$BF$6,1,'Base Blend Property Calculation'!BT38)</f>
        <v>SCA-5</v>
      </c>
      <c r="C293" s="472"/>
      <c r="D293" s="153">
        <f>VLOOKUP('Bulk Plant Input'!$A$19, 'Base Blend Property Calculation'!$A$6:$BF$152,'Base Blend Property Calculation'!BT40,FALSE)*('Bulk Plant Input'!$I$15/('Bulk Plant Input'!$B$13/1000))</f>
        <v>0</v>
      </c>
      <c r="E293" s="471"/>
      <c r="F293" s="472"/>
      <c r="G293" s="471"/>
      <c r="H293" s="472"/>
    </row>
    <row r="294" spans="2:8" hidden="1" x14ac:dyDescent="0.25">
      <c r="B294" s="471" t="str">
        <f>INDEX('Base Blend Property Calculation'!$C$6:$BF$6,1,'Base Blend Property Calculation'!BT39)</f>
        <v>FWC-2</v>
      </c>
      <c r="C294" s="472"/>
      <c r="D294" s="153">
        <f>VLOOKUP('Bulk Plant Input'!$A$19, 'Base Blend Property Calculation'!$A$6:$BF$152,'Base Blend Property Calculation'!BT41,FALSE)*('Bulk Plant Input'!$I$15/('Bulk Plant Input'!$B$13/1000))</f>
        <v>0</v>
      </c>
      <c r="E294" s="471"/>
      <c r="F294" s="472"/>
      <c r="G294" s="471"/>
      <c r="H294" s="472"/>
    </row>
    <row r="295" spans="2:8" hidden="1" x14ac:dyDescent="0.25">
      <c r="B295" s="471" t="str">
        <f>INDEX('Base Blend Property Calculation'!$C$6:$BF$6,1,'Base Blend Property Calculation'!BT40)</f>
        <v>LTR-3</v>
      </c>
      <c r="C295" s="472"/>
      <c r="D295" s="153">
        <f>VLOOKUP('Bulk Plant Input'!$A$19, 'Base Blend Property Calculation'!$A$6:$BF$152,'Base Blend Property Calculation'!BT42,FALSE)*('Bulk Plant Input'!$I$15/('Bulk Plant Input'!$B$13/1000))</f>
        <v>0</v>
      </c>
      <c r="E295" s="471"/>
      <c r="F295" s="472"/>
      <c r="G295" s="471"/>
      <c r="H295" s="472"/>
    </row>
    <row r="296" spans="2:8" hidden="1" x14ac:dyDescent="0.25">
      <c r="B296" s="471" t="str">
        <f>INDEX('Base Blend Property Calculation'!$C$6:$BF$6,1,'Base Blend Property Calculation'!BT41)</f>
        <v>NaCl</v>
      </c>
      <c r="C296" s="472"/>
      <c r="D296" s="153">
        <f>VLOOKUP('Bulk Plant Input'!$A$19, 'Base Blend Property Calculation'!$A$6:$BF$152,'Base Blend Property Calculation'!BT43,FALSE)*('Bulk Plant Input'!$I$15/('Bulk Plant Input'!$B$13/1000))</f>
        <v>0</v>
      </c>
      <c r="E296" s="471"/>
      <c r="F296" s="472"/>
      <c r="G296" s="471"/>
      <c r="H296" s="472"/>
    </row>
    <row r="297" spans="2:8" hidden="1" x14ac:dyDescent="0.25">
      <c r="B297" s="471" t="str">
        <f>INDEX('Base Blend Property Calculation'!$C$6:$BF$6,1,'Base Blend Property Calculation'!BT42)</f>
        <v>KCl</v>
      </c>
      <c r="C297" s="472"/>
      <c r="D297" s="153">
        <f>VLOOKUP('Bulk Plant Input'!$A$19, 'Base Blend Property Calculation'!$A$6:$BF$152,'Base Blend Property Calculation'!BT44,FALSE)*('Bulk Plant Input'!$I$15/('Bulk Plant Input'!$B$13/1000))</f>
        <v>0</v>
      </c>
      <c r="E297" s="471"/>
      <c r="F297" s="472"/>
      <c r="G297" s="471"/>
      <c r="H297" s="472"/>
    </row>
    <row r="298" spans="2:8" hidden="1" x14ac:dyDescent="0.25">
      <c r="B298" s="471" t="str">
        <f>INDEX('Base Blend Property Calculation'!$C$6:$BF$6,1,'Base Blend Property Calculation'!BT43)</f>
        <v>EA-1</v>
      </c>
      <c r="C298" s="472"/>
      <c r="D298" s="153">
        <f>VLOOKUP('Bulk Plant Input'!$A$19, 'Base Blend Property Calculation'!$A$6:$BF$152,'Base Blend Property Calculation'!BT45,FALSE)*('Bulk Plant Input'!$I$15/('Bulk Plant Input'!$B$13/1000))</f>
        <v>0</v>
      </c>
      <c r="E298" s="471"/>
      <c r="F298" s="472"/>
      <c r="G298" s="471"/>
      <c r="H298" s="472"/>
    </row>
    <row r="299" spans="2:8" hidden="1" x14ac:dyDescent="0.25">
      <c r="B299" s="471" t="str">
        <f>INDEX('Base Blend Property Calculation'!$C$6:$BF$6,1,'Base Blend Property Calculation'!BT44)</f>
        <v>EA-3</v>
      </c>
      <c r="C299" s="472"/>
      <c r="D299" s="153">
        <f>VLOOKUP('Bulk Plant Input'!$A$19, 'Base Blend Property Calculation'!$A$6:$BF$152,'Base Blend Property Calculation'!BT46,FALSE)*('Bulk Plant Input'!$I$15/('Bulk Plant Input'!$B$13/1000))</f>
        <v>0</v>
      </c>
      <c r="E299" s="471"/>
      <c r="F299" s="472"/>
      <c r="G299" s="471"/>
      <c r="H299" s="472"/>
    </row>
    <row r="300" spans="2:8" hidden="1" x14ac:dyDescent="0.25">
      <c r="B300" s="471" t="str">
        <f>INDEX('Base Blend Property Calculation'!$C$6:$BF$6,1,'Base Blend Property Calculation'!BT45)</f>
        <v>LCG-2</v>
      </c>
      <c r="C300" s="472"/>
      <c r="D300" s="153">
        <f>VLOOKUP('Bulk Plant Input'!$A$19, 'Base Blend Property Calculation'!$A$6:$BF$152,'Base Blend Property Calculation'!BT47,FALSE)*('Bulk Plant Input'!$I$15/('Bulk Plant Input'!$B$13/1000))</f>
        <v>0</v>
      </c>
      <c r="E300" s="471"/>
      <c r="F300" s="472"/>
      <c r="G300" s="471"/>
      <c r="H300" s="472"/>
    </row>
    <row r="301" spans="2:8" hidden="1" x14ac:dyDescent="0.25">
      <c r="B301" s="471" t="str">
        <f>INDEX('Base Blend Property Calculation'!$C$6:$BF$6,1,'Base Blend Property Calculation'!BT46)</f>
        <v>Micromix</v>
      </c>
      <c r="C301" s="472"/>
      <c r="D301" s="153">
        <f>VLOOKUP('Bulk Plant Input'!$A$19, 'Base Blend Property Calculation'!$A$6:$BF$152,'Base Blend Property Calculation'!BT48,FALSE)*('Bulk Plant Input'!$I$15/('Bulk Plant Input'!$B$13/1000))</f>
        <v>0</v>
      </c>
      <c r="E301" s="471"/>
      <c r="F301" s="472"/>
      <c r="G301" s="471"/>
      <c r="H301" s="472"/>
    </row>
    <row r="302" spans="2:8" hidden="1" x14ac:dyDescent="0.25">
      <c r="B302" s="471" t="str">
        <f>INDEX('Base Blend Property Calculation'!$C$6:$BF$6,1,'Base Blend Property Calculation'!BT47)</f>
        <v>LCG-1</v>
      </c>
      <c r="C302" s="472"/>
      <c r="D302" s="153">
        <f>VLOOKUP('Bulk Plant Input'!$A$19, 'Base Blend Property Calculation'!$A$6:$BF$152,'Base Blend Property Calculation'!BT51,FALSE)*('Bulk Plant Input'!$I$15/('Bulk Plant Input'!$B$13/1000))</f>
        <v>0</v>
      </c>
      <c r="E302" s="471"/>
      <c r="F302" s="472"/>
      <c r="G302" s="471"/>
      <c r="H302" s="472"/>
    </row>
    <row r="303" spans="2:8" hidden="1" x14ac:dyDescent="0.25">
      <c r="B303" s="471" t="str">
        <f>INDEX('Base Blend Property Calculation'!$C$6:$BF$6,1,'Base Blend Property Calculation'!BT48)</f>
        <v>Gilsonite</v>
      </c>
      <c r="C303" s="472"/>
      <c r="D303" s="153">
        <f>VLOOKUP('Bulk Plant Input'!$A$19, 'Base Blend Property Calculation'!$A$6:$BF$152,'Base Blend Property Calculation'!BT52,FALSE)*('Bulk Plant Input'!$I$15/('Bulk Plant Input'!$B$13/1000))</f>
        <v>0</v>
      </c>
      <c r="E303" s="471"/>
      <c r="F303" s="472"/>
      <c r="G303" s="471"/>
      <c r="H303" s="472"/>
    </row>
    <row r="304" spans="2:8" hidden="1" x14ac:dyDescent="0.25">
      <c r="B304" s="471" t="str">
        <f>INDEX('Base Blend Property Calculation'!$C$6:$BF$6,1,'Base Blend Property Calculation'!BT51)</f>
        <v>Ciment Fondu</v>
      </c>
      <c r="C304" s="472"/>
      <c r="D304" s="153">
        <f>VLOOKUP('Bulk Plant Input'!$A$19, 'Base Blend Property Calculation'!$A$6:$BF$152,'Base Blend Property Calculation'!BT53,FALSE)*('Bulk Plant Input'!$I$15/('Bulk Plant Input'!$B$13/1000))</f>
        <v>0</v>
      </c>
      <c r="E304" s="471"/>
      <c r="F304" s="472"/>
      <c r="G304" s="471"/>
      <c r="H304" s="472"/>
    </row>
    <row r="305" spans="2:8" hidden="1" x14ac:dyDescent="0.25">
      <c r="B305" s="471" t="str">
        <f>INDEX('Base Blend Property Calculation'!$C$6:$BF$6,1,'Base Blend Property Calculation'!BT52)</f>
        <v>CFL-10</v>
      </c>
      <c r="C305" s="472"/>
      <c r="D305" s="153">
        <f>VLOOKUP('Bulk Plant Input'!$A$19, 'Base Blend Property Calculation'!$A$6:$BF$152,'Base Blend Property Calculation'!BT54,FALSE)*('Bulk Plant Input'!$I$15/('Bulk Plant Input'!$B$13/1000))</f>
        <v>0</v>
      </c>
      <c r="E305" s="471"/>
      <c r="F305" s="472"/>
      <c r="G305" s="471"/>
      <c r="H305" s="472"/>
    </row>
    <row r="306" spans="2:8" hidden="1" x14ac:dyDescent="0.25">
      <c r="B306" s="471" t="str">
        <f>INDEX('Base Blend Property Calculation'!$C$6:$BF$6,1,'Base Blend Property Calculation'!BT53)</f>
        <v>CDM-4</v>
      </c>
      <c r="C306" s="472"/>
      <c r="D306" s="153">
        <f>VLOOKUP('Bulk Plant Input'!$A$19, 'Base Blend Property Calculation'!$A$6:$BF$152,'Base Blend Property Calculation'!BT55,FALSE)*('Bulk Plant Input'!$I$15/('Bulk Plant Input'!$B$13/1000))</f>
        <v>0</v>
      </c>
      <c r="E306" s="471"/>
      <c r="F306" s="472"/>
      <c r="G306" s="471"/>
      <c r="H306" s="472"/>
    </row>
    <row r="307" spans="2:8" hidden="1" x14ac:dyDescent="0.25">
      <c r="B307" s="471" t="str">
        <f>INDEX('Base Blend Property Calculation'!$C$6:$BF$6,1,'Base Blend Property Calculation'!BT54)</f>
        <v>ECOmix</v>
      </c>
      <c r="C307" s="472"/>
      <c r="D307" s="153">
        <f>VLOOKUP('Bulk Plant Input'!$A$19, 'Base Blend Property Calculation'!$A$6:$BF$152,'Base Blend Property Calculation'!BT56,FALSE)*('Bulk Plant Input'!$I$15/('Bulk Plant Input'!$B$13/1000))</f>
        <v>0</v>
      </c>
      <c r="E307" s="471"/>
      <c r="F307" s="472"/>
      <c r="G307" s="471"/>
      <c r="H307" s="472"/>
    </row>
    <row r="308" spans="2:8" hidden="1" x14ac:dyDescent="0.25">
      <c r="B308" s="471" t="str">
        <f>INDEX('Base Blend Property Calculation'!$C$6:$BF$6,1,'Base Blend Property Calculation'!BT55)</f>
        <v>CDM-4X</v>
      </c>
      <c r="C308" s="472"/>
      <c r="D308" s="153">
        <f>VLOOKUP('Bulk Plant Input'!$A$19, 'Base Blend Property Calculation'!$A$6:$BF$152,'Base Blend Property Calculation'!BT57,FALSE)*('Bulk Plant Input'!$I$15/('Bulk Plant Input'!$B$13/1000))</f>
        <v>0</v>
      </c>
      <c r="E308" s="471"/>
      <c r="F308" s="472"/>
      <c r="G308" s="471"/>
      <c r="H308" s="472"/>
    </row>
    <row r="309" spans="2:8" hidden="1" x14ac:dyDescent="0.25">
      <c r="B309" s="471" t="str">
        <f>INDEX('Base Blend Property Calculation'!$C$6:$BF$6,1,'Base Blend Property Calculation'!BT56)</f>
        <v>Microfine Sil Flour</v>
      </c>
      <c r="C309" s="472"/>
      <c r="D309" s="153">
        <f>VLOOKUP('Bulk Plant Input'!$A$19, 'Base Blend Property Calculation'!$A$6:$BF$152,'Base Blend Property Calculation'!BT58,FALSE)*('Bulk Plant Input'!$I$15/('Bulk Plant Input'!$B$13/1000))</f>
        <v>0</v>
      </c>
      <c r="E309" s="471"/>
      <c r="F309" s="472"/>
      <c r="G309" s="471"/>
      <c r="H309" s="472"/>
    </row>
    <row r="310" spans="2:8" hidden="1" x14ac:dyDescent="0.25">
      <c r="B310" s="471" t="str">
        <f>INDEX('Base Blend Property Calculation'!$C$6:$BF$6,1,'Base Blend Property Calculation'!BT57)</f>
        <v>None</v>
      </c>
      <c r="C310" s="472"/>
      <c r="D310" s="153">
        <f>VLOOKUP('Bulk Plant Input'!$A$19, 'Base Blend Property Calculation'!$A$6:$BF$152,'Base Blend Property Calculation'!BT59,FALSE)*('Bulk Plant Input'!$I$15/('Bulk Plant Input'!$B$13/1000))</f>
        <v>0</v>
      </c>
      <c r="E310" s="471"/>
      <c r="F310" s="472"/>
      <c r="G310" s="471"/>
      <c r="H310" s="472"/>
    </row>
    <row r="311" spans="2:8" hidden="1" x14ac:dyDescent="0.25">
      <c r="B311" s="471" t="str">
        <f>INDEX('Base Blend Property Calculation'!$C$6:$BF$6,1,'Base Blend Property Calculation'!BT58)</f>
        <v>None</v>
      </c>
      <c r="C311" s="472"/>
      <c r="D311" s="153">
        <f>VLOOKUP('Bulk Plant Input'!$A$19, 'Base Blend Property Calculation'!$A$6:$BF$152,'Base Blend Property Calculation'!BT60,FALSE)*('Bulk Plant Input'!$I$15/('Bulk Plant Input'!$B$13/1000))</f>
        <v>0</v>
      </c>
      <c r="E311" s="471"/>
      <c r="F311" s="472"/>
      <c r="G311" s="471"/>
      <c r="H311" s="472"/>
    </row>
    <row r="312" spans="2:8" hidden="1" x14ac:dyDescent="0.25">
      <c r="B312" s="471" t="str">
        <f>INDEX('Base Blend Property Calculation'!$C$6:$BF$6,1,'Base Blend Property Calculation'!BT59)</f>
        <v>None</v>
      </c>
      <c r="C312" s="472"/>
      <c r="D312" s="153">
        <f>VLOOKUP('Bulk Plant Input'!$A$19, 'Base Blend Property Calculation'!$A$6:$BF$152,'Base Blend Property Calculation'!BT61,FALSE)*('Bulk Plant Input'!$I$15/('Bulk Plant Input'!$B$13/1000))</f>
        <v>0</v>
      </c>
      <c r="E312" s="471"/>
      <c r="F312" s="472"/>
      <c r="G312" s="471"/>
      <c r="H312" s="472"/>
    </row>
    <row r="313" spans="2:8" hidden="1" x14ac:dyDescent="0.25">
      <c r="B313" s="471" t="str">
        <f>INDEX('Base Blend Property Calculation'!$C$6:$BF$6,1,'Base Blend Property Calculation'!BT60)</f>
        <v>None</v>
      </c>
      <c r="C313" s="472"/>
      <c r="D313" s="153">
        <f>VLOOKUP('Bulk Plant Input'!$A$19, 'Base Blend Property Calculation'!$A$6:$BF$152,'Base Blend Property Calculation'!BT62,FALSE)*('Bulk Plant Input'!$I$15/('Bulk Plant Input'!$B$13/1000))</f>
        <v>0</v>
      </c>
      <c r="E313" s="471"/>
      <c r="F313" s="472"/>
      <c r="G313" s="471"/>
      <c r="H313" s="472"/>
    </row>
    <row r="314" spans="2:8" hidden="1" x14ac:dyDescent="0.25">
      <c r="B314" s="471" t="str">
        <f>INDEX('Base Blend Property Calculation'!$C$6:$BF$6,1,'Base Blend Property Calculation'!BT61)</f>
        <v>None</v>
      </c>
      <c r="C314" s="472"/>
      <c r="D314" s="153">
        <f>VLOOKUP('Bulk Plant Input'!$A$19, 'Base Blend Property Calculation'!$A$6:$BF$152,'Base Blend Property Calculation'!BT63,FALSE)*('Bulk Plant Input'!$I$15/('Bulk Plant Input'!$B$13/1000))</f>
        <v>0</v>
      </c>
      <c r="E314" s="471"/>
      <c r="F314" s="472"/>
      <c r="G314" s="471"/>
      <c r="H314" s="472"/>
    </row>
    <row r="315" spans="2:8" hidden="1" x14ac:dyDescent="0.25">
      <c r="B315" s="471" t="str">
        <f>INDEX('Base Blend Property Calculation'!$C$6:$BF$6,1,'Base Blend Property Calculation'!BT62)</f>
        <v>None</v>
      </c>
      <c r="C315" s="472"/>
      <c r="D315" s="153">
        <f>VLOOKUP('Bulk Plant Input'!$A$19, 'Base Blend Property Calculation'!$A$6:$BF$152,'Base Blend Property Calculation'!BT64,FALSE)*('Bulk Plant Input'!$I$15/('Bulk Plant Input'!$B$13/1000))</f>
        <v>0</v>
      </c>
      <c r="E315" s="471"/>
      <c r="F315" s="472"/>
      <c r="G315" s="471"/>
      <c r="H315" s="472"/>
    </row>
    <row r="316" spans="2:8" hidden="1" x14ac:dyDescent="0.25">
      <c r="B316" s="471" t="e">
        <f>INDEX('Base Blend Property Calculation'!$C$6:$BF$6,1,'Base Blend Property Calculation'!BT63)</f>
        <v>#REF!</v>
      </c>
      <c r="C316" s="472"/>
      <c r="D316" s="153" t="e">
        <f>VLOOKUP('Bulk Plant Input'!$A$19, 'Base Blend Property Calculation'!$A$6:$BF$152,'Base Blend Property Calculation'!BT65,FALSE)*('Bulk Plant Input'!$I$15/('Bulk Plant Input'!$B$13/1000))</f>
        <v>#REF!</v>
      </c>
      <c r="E316" s="471"/>
      <c r="F316" s="472"/>
      <c r="G316" s="471"/>
      <c r="H316" s="472"/>
    </row>
    <row r="317" spans="2:8" hidden="1" x14ac:dyDescent="0.25">
      <c r="B317" s="161"/>
      <c r="C317" s="161"/>
      <c r="D317" s="156" t="s">
        <v>198</v>
      </c>
      <c r="E317" s="161"/>
      <c r="F317" s="161"/>
      <c r="G317" s="161"/>
      <c r="H317" s="161"/>
    </row>
    <row r="318" spans="2:8" ht="15.75" hidden="1" x14ac:dyDescent="0.25">
      <c r="B318" s="456" t="str">
        <f>IF('Bulk Plant Input'!$I$15="","4th Batch Not Entered","ADDITIVES - Batch 4")</f>
        <v>4th Batch Not Entered</v>
      </c>
      <c r="C318" s="456"/>
      <c r="D318" s="163" t="s">
        <v>198</v>
      </c>
      <c r="E318" s="161"/>
      <c r="F318" s="161"/>
      <c r="G318" s="161"/>
      <c r="H318" s="161"/>
    </row>
    <row r="319" spans="2:8" ht="30" hidden="1" x14ac:dyDescent="0.25">
      <c r="B319" s="470" t="s">
        <v>201</v>
      </c>
      <c r="C319" s="470"/>
      <c r="D319" s="164" t="s">
        <v>206</v>
      </c>
      <c r="E319" s="470" t="s">
        <v>509</v>
      </c>
      <c r="F319" s="470"/>
      <c r="G319" s="470" t="s">
        <v>200</v>
      </c>
      <c r="H319" s="470"/>
    </row>
    <row r="320" spans="2:8" hidden="1" x14ac:dyDescent="0.25">
      <c r="B320" s="446" t="str">
        <f>'Bulk Plant Input'!A23</f>
        <v>CFR-5</v>
      </c>
      <c r="C320" s="447"/>
      <c r="D320" s="153">
        <f>IF(B160=0,0,'Bulk Plant Input'!C23*('Bulk Plant Input'!$I$15/('Bulk Plant Input'!$B$13/1000)))</f>
        <v>0</v>
      </c>
      <c r="E320" s="446"/>
      <c r="F320" s="447"/>
      <c r="G320" s="446"/>
      <c r="H320" s="447"/>
    </row>
    <row r="321" spans="2:8" hidden="1" x14ac:dyDescent="0.25">
      <c r="B321" s="446" t="str">
        <f>'Bulk Plant Input'!A24</f>
        <v>CFL-4</v>
      </c>
      <c r="C321" s="447"/>
      <c r="D321" s="153">
        <f>IF(B161=0,0,'Bulk Plant Input'!C24*('Bulk Plant Input'!$I$15/('Bulk Plant Input'!$B$13/1000)))</f>
        <v>0</v>
      </c>
      <c r="E321" s="446"/>
      <c r="F321" s="447"/>
      <c r="G321" s="446"/>
      <c r="H321" s="447"/>
    </row>
    <row r="322" spans="2:8" hidden="1" x14ac:dyDescent="0.25">
      <c r="B322" s="446" t="str">
        <f>'Bulk Plant Input'!A25</f>
        <v>FWC-2</v>
      </c>
      <c r="C322" s="447"/>
      <c r="D322" s="153">
        <f>IF(B162=0,0,'Bulk Plant Input'!C25*('Bulk Plant Input'!$I$15/('Bulk Plant Input'!$B$13/1000)))</f>
        <v>0</v>
      </c>
      <c r="E322" s="446"/>
      <c r="F322" s="447"/>
      <c r="G322" s="446"/>
      <c r="H322" s="447"/>
    </row>
    <row r="323" spans="2:8" hidden="1" x14ac:dyDescent="0.25">
      <c r="B323" s="446" t="str">
        <f>'Bulk Plant Input'!A26</f>
        <v>LTR</v>
      </c>
      <c r="C323" s="447"/>
      <c r="D323" s="153">
        <f>IF(B163=0,0,'Bulk Plant Input'!C26*('Bulk Plant Input'!$I$15/('Bulk Plant Input'!$B$13/1000)))</f>
        <v>0</v>
      </c>
      <c r="E323" s="446"/>
      <c r="F323" s="447"/>
      <c r="G323" s="446"/>
      <c r="H323" s="447"/>
    </row>
    <row r="324" spans="2:8" hidden="1" x14ac:dyDescent="0.25">
      <c r="B324" s="446" t="str">
        <f>'Bulk Plant Input'!A27</f>
        <v>CDF-6P</v>
      </c>
      <c r="C324" s="447"/>
      <c r="D324" s="153">
        <f>IF(B164=0,0,'Bulk Plant Input'!C27*('Bulk Plant Input'!$I$15/('Bulk Plant Input'!$B$13/1000)))</f>
        <v>0</v>
      </c>
      <c r="E324" s="446"/>
      <c r="F324" s="447"/>
      <c r="G324" s="446"/>
      <c r="H324" s="447"/>
    </row>
    <row r="325" spans="2:8" hidden="1" x14ac:dyDescent="0.25">
      <c r="B325" s="446" t="str">
        <f>'Bulk Plant Input'!A28</f>
        <v>ASM-3</v>
      </c>
      <c r="C325" s="447"/>
      <c r="D325" s="153">
        <f>IF(B165=0,0,'Bulk Plant Input'!C28*('Bulk Plant Input'!$I$15/('Bulk Plant Input'!$B$13/1000)))</f>
        <v>0</v>
      </c>
      <c r="E325" s="446"/>
      <c r="F325" s="447"/>
      <c r="G325" s="446"/>
      <c r="H325" s="447"/>
    </row>
    <row r="326" spans="2:8" hidden="1" x14ac:dyDescent="0.25">
      <c r="B326" s="446">
        <f>'Bulk Plant Input'!A29</f>
        <v>0</v>
      </c>
      <c r="C326" s="447"/>
      <c r="D326" s="153">
        <f>IF(B166=0,0,'Bulk Plant Input'!C29*('Bulk Plant Input'!$I$15/('Bulk Plant Input'!$B$13/1000)))</f>
        <v>0</v>
      </c>
      <c r="E326" s="446"/>
      <c r="F326" s="447"/>
      <c r="G326" s="446"/>
      <c r="H326" s="447"/>
    </row>
    <row r="327" spans="2:8" hidden="1" x14ac:dyDescent="0.25">
      <c r="B327" s="446">
        <f>'Bulk Plant Input'!A30</f>
        <v>0</v>
      </c>
      <c r="C327" s="447"/>
      <c r="D327" s="153">
        <f>IF(B167=0,0,'Bulk Plant Input'!C30*('Bulk Plant Input'!$I$15/('Bulk Plant Input'!$B$13/1000)))</f>
        <v>0</v>
      </c>
      <c r="E327" s="446"/>
      <c r="F327" s="447"/>
      <c r="G327" s="446"/>
      <c r="H327" s="447"/>
    </row>
    <row r="328" spans="2:8" hidden="1" x14ac:dyDescent="0.25">
      <c r="B328" s="446">
        <f>'Bulk Plant Input'!A31</f>
        <v>0</v>
      </c>
      <c r="C328" s="447"/>
      <c r="D328" s="153">
        <f>IF(B168=0,0,'Bulk Plant Input'!C31*('Bulk Plant Input'!$I$15/('Bulk Plant Input'!$B$13/1000)))</f>
        <v>0</v>
      </c>
      <c r="E328" s="446"/>
      <c r="F328" s="447"/>
      <c r="G328" s="446"/>
      <c r="H328" s="447"/>
    </row>
    <row r="329" spans="2:8" hidden="1" x14ac:dyDescent="0.25">
      <c r="B329" s="446">
        <f>'Bulk Plant Input'!A32</f>
        <v>0</v>
      </c>
      <c r="C329" s="447"/>
      <c r="D329" s="153">
        <f>IF(B169=0,0,'Bulk Plant Input'!C32*('Bulk Plant Input'!$I$15/('Bulk Plant Input'!$B$13/1000)))</f>
        <v>0</v>
      </c>
      <c r="E329" s="446"/>
      <c r="F329" s="447"/>
      <c r="G329" s="446"/>
      <c r="H329" s="447"/>
    </row>
    <row r="330" spans="2:8" hidden="1" x14ac:dyDescent="0.25">
      <c r="B330" s="446">
        <f>'Bulk Plant Input'!A33</f>
        <v>0</v>
      </c>
      <c r="C330" s="447"/>
      <c r="D330" s="153">
        <f>IF(B170=0,0,'Bulk Plant Input'!C33*('Bulk Plant Input'!$I$15/('Bulk Plant Input'!$B$13/1000)))</f>
        <v>0</v>
      </c>
      <c r="E330" s="446"/>
      <c r="F330" s="447"/>
      <c r="G330" s="446"/>
      <c r="H330" s="447"/>
    </row>
    <row r="331" spans="2:8" hidden="1" x14ac:dyDescent="0.25">
      <c r="B331" s="446">
        <f>'Bulk Plant Input'!A34</f>
        <v>0</v>
      </c>
      <c r="C331" s="447"/>
      <c r="D331" s="153">
        <f>IF(B171=0,0,'Bulk Plant Input'!C34*('Bulk Plant Input'!$I$15/('Bulk Plant Input'!$B$13/1000)))</f>
        <v>0</v>
      </c>
      <c r="E331" s="446"/>
      <c r="F331" s="447"/>
      <c r="G331" s="446"/>
      <c r="H331" s="447"/>
    </row>
    <row r="332" spans="2:8" hidden="1" x14ac:dyDescent="0.25">
      <c r="B332" s="446">
        <f>'Bulk Plant Input'!A35</f>
        <v>0</v>
      </c>
      <c r="C332" s="447"/>
      <c r="D332" s="153">
        <f>IF(B172=0,0,'Bulk Plant Input'!C35*('Bulk Plant Input'!$I$15/('Bulk Plant Input'!$B$13/1000)))</f>
        <v>0</v>
      </c>
      <c r="E332" s="446"/>
      <c r="F332" s="447"/>
      <c r="G332" s="446"/>
      <c r="H332" s="447"/>
    </row>
    <row r="333" spans="2:8" hidden="1" x14ac:dyDescent="0.25">
      <c r="B333" s="446">
        <f>'Bulk Plant Input'!A36</f>
        <v>0</v>
      </c>
      <c r="C333" s="447"/>
      <c r="D333" s="153">
        <f>IF(B173=0,0,'Bulk Plant Input'!C36*('Bulk Plant Input'!$I$15/('Bulk Plant Input'!$B$13/1000)))</f>
        <v>0</v>
      </c>
      <c r="E333" s="446"/>
      <c r="F333" s="447"/>
      <c r="G333" s="446"/>
      <c r="H333" s="447"/>
    </row>
    <row r="334" spans="2:8" hidden="1" x14ac:dyDescent="0.25">
      <c r="B334" s="446">
        <f>'Bulk Plant Input'!A37</f>
        <v>0</v>
      </c>
      <c r="C334" s="447"/>
      <c r="D334" s="153">
        <f>IF(B174=0,0,'Bulk Plant Input'!C37*('Bulk Plant Input'!$I$15/('Bulk Plant Input'!$B$13/1000)))</f>
        <v>0</v>
      </c>
      <c r="E334" s="446"/>
      <c r="F334" s="447"/>
      <c r="G334" s="446"/>
      <c r="H334" s="447"/>
    </row>
    <row r="335" spans="2:8" hidden="1" x14ac:dyDescent="0.25">
      <c r="B335" s="446">
        <f>'Bulk Plant Input'!A43</f>
        <v>0</v>
      </c>
      <c r="C335" s="447"/>
      <c r="D335" s="153">
        <f>IF(B175=0,0,'Bulk Plant Input'!C38*('Bulk Plant Input'!$I$15/('Bulk Plant Input'!$B$13/1000)))</f>
        <v>0</v>
      </c>
      <c r="E335" s="446"/>
      <c r="F335" s="447"/>
      <c r="G335" s="446"/>
      <c r="H335" s="447"/>
    </row>
    <row r="336" spans="2:8" hidden="1" x14ac:dyDescent="0.25">
      <c r="B336" s="446">
        <f>'Bulk Plant Input'!A44</f>
        <v>0</v>
      </c>
      <c r="C336" s="447"/>
      <c r="D336" s="153">
        <f>IF(B176=0,0,'Bulk Plant Input'!C39*('Bulk Plant Input'!$I$15/('Bulk Plant Input'!$B$13/1000)))</f>
        <v>0</v>
      </c>
      <c r="E336" s="446"/>
      <c r="F336" s="447"/>
      <c r="G336" s="446"/>
      <c r="H336" s="447"/>
    </row>
    <row r="337" spans="1:11" hidden="1" x14ac:dyDescent="0.25">
      <c r="B337" s="161"/>
      <c r="C337" s="161"/>
      <c r="D337" s="156" t="s">
        <v>198</v>
      </c>
      <c r="E337" s="161"/>
      <c r="F337" s="161"/>
      <c r="G337" s="161"/>
      <c r="H337" s="161"/>
    </row>
    <row r="338" spans="1:11" x14ac:dyDescent="0.25">
      <c r="A338" s="200"/>
      <c r="B338" s="200"/>
      <c r="C338" s="200"/>
      <c r="D338" s="157" t="s">
        <v>198</v>
      </c>
      <c r="E338" s="200"/>
      <c r="F338" s="200"/>
      <c r="G338" s="200"/>
      <c r="H338" s="200"/>
      <c r="I338" s="200"/>
      <c r="J338" s="200"/>
      <c r="K338" s="200"/>
    </row>
    <row r="339" spans="1:11" hidden="1" x14ac:dyDescent="0.25">
      <c r="B339" s="161"/>
      <c r="C339" s="161"/>
      <c r="D339" s="156" t="s">
        <v>198</v>
      </c>
      <c r="E339" s="161"/>
      <c r="F339" s="161"/>
      <c r="G339" s="161"/>
      <c r="H339" s="161"/>
    </row>
    <row r="340" spans="1:11" ht="15.75" hidden="1" x14ac:dyDescent="0.25">
      <c r="B340" s="456" t="str">
        <f>IF('Bulk Plant Input'!$I$16="","5th Batch Not Entered","BASE BLEND - Batch 5")</f>
        <v>5th Batch Not Entered</v>
      </c>
      <c r="C340" s="456"/>
      <c r="D340" s="163" t="s">
        <v>198</v>
      </c>
      <c r="E340" s="161"/>
      <c r="F340" s="161"/>
      <c r="G340" s="161"/>
      <c r="H340" s="161"/>
    </row>
    <row r="341" spans="1:11" ht="30" hidden="1" x14ac:dyDescent="0.25">
      <c r="B341" s="470" t="s">
        <v>199</v>
      </c>
      <c r="C341" s="470"/>
      <c r="D341" s="164" t="s">
        <v>206</v>
      </c>
      <c r="E341" s="470" t="s">
        <v>207</v>
      </c>
      <c r="F341" s="470"/>
      <c r="G341" s="470" t="s">
        <v>200</v>
      </c>
      <c r="H341" s="470"/>
    </row>
    <row r="342" spans="1:11" hidden="1" x14ac:dyDescent="0.25">
      <c r="B342" s="473" t="str">
        <f>INDEX('Base Blend Property Calculation'!$C$6:$BF$6,1,'Base Blend Property Calculation'!BT7)</f>
        <v>Class A</v>
      </c>
      <c r="C342" s="473"/>
      <c r="D342" s="153">
        <f>VLOOKUP('Bulk Plant Input'!$A$19, 'Base Blend Property Calculation'!$A$6:$BF$152,'Base Blend Property Calculation'!BT9,FALSE)*('Bulk Plant Input'!$I$16/('Bulk Plant Input'!$B$13/1000))</f>
        <v>0</v>
      </c>
      <c r="E342" s="455"/>
      <c r="F342" s="455"/>
      <c r="G342" s="455"/>
      <c r="H342" s="455"/>
    </row>
    <row r="343" spans="1:11" hidden="1" x14ac:dyDescent="0.25">
      <c r="B343" s="473" t="str">
        <f>INDEX('Base Blend Property Calculation'!$C$6:$BF$6,1,'Base Blend Property Calculation'!BT8)</f>
        <v>Class C</v>
      </c>
      <c r="C343" s="473"/>
      <c r="D343" s="153">
        <f>VLOOKUP('Bulk Plant Input'!$A$19, 'Base Blend Property Calculation'!$A$6:$BF$152,'Base Blend Property Calculation'!BT10,FALSE)*('Bulk Plant Input'!$I$16/('Bulk Plant Input'!$B$13/1000))</f>
        <v>0</v>
      </c>
      <c r="E343" s="455"/>
      <c r="F343" s="455"/>
      <c r="G343" s="455"/>
      <c r="H343" s="455"/>
    </row>
    <row r="344" spans="1:11" hidden="1" x14ac:dyDescent="0.25">
      <c r="B344" s="473" t="str">
        <f>INDEX('Base Blend Property Calculation'!$C$6:$BF$6,1,'Base Blend Property Calculation'!BT9)</f>
        <v>Class G</v>
      </c>
      <c r="C344" s="473"/>
      <c r="D344" s="153">
        <f>VLOOKUP('Bulk Plant Input'!$A$19, 'Base Blend Property Calculation'!$A$6:$BF$152,'Base Blend Property Calculation'!BT11,FALSE)*('Bulk Plant Input'!$I$16/('Bulk Plant Input'!$B$13/1000))</f>
        <v>0</v>
      </c>
      <c r="E344" s="455"/>
      <c r="F344" s="455"/>
      <c r="G344" s="455"/>
      <c r="H344" s="455"/>
    </row>
    <row r="345" spans="1:11" hidden="1" x14ac:dyDescent="0.25">
      <c r="B345" s="473" t="str">
        <f>INDEX('Base Blend Property Calculation'!$C$6:$BF$6,1,'Base Blend Property Calculation'!BT10)</f>
        <v>Class H</v>
      </c>
      <c r="C345" s="473"/>
      <c r="D345" s="153">
        <f>VLOOKUP('Bulk Plant Input'!$A$19, 'Base Blend Property Calculation'!$A$6:$BF$152,'Base Blend Property Calculation'!BT12,FALSE)*('Bulk Plant Input'!$I$16/('Bulk Plant Input'!$B$13/1000))</f>
        <v>0</v>
      </c>
      <c r="E345" s="455"/>
      <c r="F345" s="455"/>
      <c r="G345" s="455"/>
      <c r="H345" s="455"/>
    </row>
    <row r="346" spans="1:11" hidden="1" x14ac:dyDescent="0.25">
      <c r="B346" s="473" t="str">
        <f>INDEX('Base Blend Property Calculation'!$C$6:$BF$6,1,'Base Blend Property Calculation'!BT11)</f>
        <v>Intercem</v>
      </c>
      <c r="C346" s="473"/>
      <c r="D346" s="153">
        <f>VLOOKUP('Bulk Plant Input'!$A$19, 'Base Blend Property Calculation'!$A$6:$BF$152,'Base Blend Property Calculation'!BT13,FALSE)*('Bulk Plant Input'!$I$16/('Bulk Plant Input'!$B$13/1000))</f>
        <v>0</v>
      </c>
      <c r="E346" s="455"/>
      <c r="F346" s="455"/>
      <c r="G346" s="455"/>
      <c r="H346" s="455"/>
    </row>
    <row r="347" spans="1:11" hidden="1" x14ac:dyDescent="0.25">
      <c r="B347" s="473" t="str">
        <f>INDEX('Base Blend Property Calculation'!$C$6:$BF$6,1,'Base Blend Property Calculation'!BT12)</f>
        <v>Colloid SQ-A</v>
      </c>
      <c r="C347" s="473"/>
      <c r="D347" s="153">
        <f>VLOOKUP('Bulk Plant Input'!$A$19, 'Base Blend Property Calculation'!$A$6:$BF$152,'Base Blend Property Calculation'!BT14,FALSE)*('Bulk Plant Input'!$I$16/('Bulk Plant Input'!$B$13/1000))</f>
        <v>0</v>
      </c>
      <c r="E347" s="455"/>
      <c r="F347" s="455"/>
      <c r="G347" s="455"/>
      <c r="H347" s="455"/>
    </row>
    <row r="348" spans="1:11" hidden="1" x14ac:dyDescent="0.25">
      <c r="B348" s="473" t="str">
        <f>INDEX('Base Blend Property Calculation'!$C$6:$BF$6,1,'Base Blend Property Calculation'!BT13)</f>
        <v>Flyash</v>
      </c>
      <c r="C348" s="473"/>
      <c r="D348" s="153">
        <f>VLOOKUP('Bulk Plant Input'!$A$19, 'Base Blend Property Calculation'!$A$6:$BF$152,'Base Blend Property Calculation'!BT15,FALSE)*('Bulk Plant Input'!$I$16/('Bulk Plant Input'!$B$13/1000))</f>
        <v>0</v>
      </c>
      <c r="E348" s="455"/>
      <c r="F348" s="455"/>
      <c r="G348" s="455"/>
      <c r="H348" s="455"/>
    </row>
    <row r="349" spans="1:11" hidden="1" x14ac:dyDescent="0.25">
      <c r="B349" s="473" t="str">
        <f>INDEX('Base Blend Property Calculation'!$C$6:$BF$6,1,'Base Blend Property Calculation'!BT14)</f>
        <v>Flyash (Sask)</v>
      </c>
      <c r="C349" s="473"/>
      <c r="D349" s="153">
        <f>VLOOKUP('Bulk Plant Input'!$A$19, 'Base Blend Property Calculation'!$A$6:$BF$152,'Base Blend Property Calculation'!BT16,FALSE)*('Bulk Plant Input'!$I$16/('Bulk Plant Input'!$B$13/1000))</f>
        <v>0</v>
      </c>
      <c r="E349" s="455"/>
      <c r="F349" s="455"/>
      <c r="G349" s="455"/>
      <c r="H349" s="455"/>
    </row>
    <row r="350" spans="1:11" ht="30" hidden="1" customHeight="1" x14ac:dyDescent="0.25">
      <c r="B350" s="473" t="str">
        <f>INDEX('Base Blend Property Calculation'!$C$6:$BF$6,1,'Base Blend Property Calculation'!BT15)</f>
        <v>Densified Fume</v>
      </c>
      <c r="C350" s="473"/>
      <c r="D350" s="153">
        <f>VLOOKUP('Bulk Plant Input'!$A$19, 'Base Blend Property Calculation'!$A$6:$BF$152,'Base Blend Property Calculation'!BT17,FALSE)*('Bulk Plant Input'!$I$16/('Bulk Plant Input'!$B$13/1000))</f>
        <v>0</v>
      </c>
      <c r="E350" s="455"/>
      <c r="F350" s="455"/>
      <c r="G350" s="455"/>
      <c r="H350" s="455"/>
    </row>
    <row r="351" spans="1:11" hidden="1" x14ac:dyDescent="0.25">
      <c r="B351" s="473" t="str">
        <f>INDEX('Base Blend Property Calculation'!$C$6:$BF$6,1,'Base Blend Property Calculation'!BT16)</f>
        <v>Silica Fume - Semi-Densified</v>
      </c>
      <c r="C351" s="473"/>
      <c r="D351" s="153">
        <f>VLOOKUP('Bulk Plant Input'!$A$19, 'Base Blend Property Calculation'!$A$6:$BF$152,'Base Blend Property Calculation'!BT18,FALSE)*('Bulk Plant Input'!$I$16/('Bulk Plant Input'!$B$13/1000))</f>
        <v>0</v>
      </c>
      <c r="E351" s="455"/>
      <c r="F351" s="455"/>
      <c r="G351" s="455"/>
      <c r="H351" s="455"/>
    </row>
    <row r="352" spans="1:11" hidden="1" x14ac:dyDescent="0.25">
      <c r="B352" s="473" t="str">
        <f>INDEX('Base Blend Property Calculation'!$C$6:$BF$6,1,'Base Blend Property Calculation'!BT17)</f>
        <v>Sanlite</v>
      </c>
      <c r="C352" s="473"/>
      <c r="D352" s="153">
        <f>VLOOKUP('Bulk Plant Input'!$A$19, 'Base Blend Property Calculation'!$A$6:$BF$152,'Base Blend Property Calculation'!BT19,FALSE)*('Bulk Plant Input'!$I$16/('Bulk Plant Input'!$B$13/1000))</f>
        <v>0</v>
      </c>
      <c r="E352" s="455"/>
      <c r="F352" s="455"/>
      <c r="G352" s="455"/>
      <c r="H352" s="455"/>
    </row>
    <row r="353" spans="2:8" hidden="1" x14ac:dyDescent="0.25">
      <c r="B353" s="473" t="str">
        <f>INDEX('Base Blend Property Calculation'!$C$6:$BF$6,1,'Base Blend Property Calculation'!BT18)</f>
        <v>Silica Flour</v>
      </c>
      <c r="C353" s="473"/>
      <c r="D353" s="153">
        <f>VLOOKUP('Bulk Plant Input'!$A$19, 'Base Blend Property Calculation'!$A$6:$BF$152,'Base Blend Property Calculation'!BT20,FALSE)*('Bulk Plant Input'!$I$16/('Bulk Plant Input'!$B$13/1000))</f>
        <v>0</v>
      </c>
      <c r="E353" s="455"/>
      <c r="F353" s="455"/>
      <c r="G353" s="455"/>
      <c r="H353" s="455"/>
    </row>
    <row r="354" spans="2:8" hidden="1" x14ac:dyDescent="0.25">
      <c r="B354" s="473" t="str">
        <f>INDEX('Base Blend Property Calculation'!$C$6:$BF$6,1,'Base Blend Property Calculation'!BT19)</f>
        <v>Gel</v>
      </c>
      <c r="C354" s="473"/>
      <c r="D354" s="153">
        <f>VLOOKUP('Bulk Plant Input'!$A$19, 'Base Blend Property Calculation'!$A$6:$BF$152,'Base Blend Property Calculation'!BT21,FALSE)*('Bulk Plant Input'!$I$16/('Bulk Plant Input'!$B$13/1000))</f>
        <v>0</v>
      </c>
      <c r="E354" s="455"/>
      <c r="F354" s="455"/>
      <c r="G354" s="455"/>
      <c r="H354" s="455"/>
    </row>
    <row r="355" spans="2:8" hidden="1" x14ac:dyDescent="0.25">
      <c r="B355" s="473" t="str">
        <f>INDEX('Base Blend Property Calculation'!$C$6:$BF$6,1,'Base Blend Property Calculation'!BT20)</f>
        <v>SCA-1</v>
      </c>
      <c r="C355" s="473"/>
      <c r="D355" s="153">
        <f>VLOOKUP('Bulk Plant Input'!$A$19, 'Base Blend Property Calculation'!$A$6:$BF$152,'Base Blend Property Calculation'!BT22,FALSE)*('Bulk Plant Input'!$I$16/('Bulk Plant Input'!$B$13/1000))</f>
        <v>0</v>
      </c>
      <c r="E355" s="455"/>
      <c r="F355" s="455"/>
      <c r="G355" s="455"/>
      <c r="H355" s="455"/>
    </row>
    <row r="356" spans="2:8" hidden="1" x14ac:dyDescent="0.25">
      <c r="B356" s="473" t="str">
        <f>INDEX('Base Blend Property Calculation'!$C$6:$BF$6,1,'Base Blend Property Calculation'!BT21)</f>
        <v>Hematite</v>
      </c>
      <c r="C356" s="473"/>
      <c r="D356" s="153">
        <f>VLOOKUP('Bulk Plant Input'!$A$19, 'Base Blend Property Calculation'!$A$6:$BF$152,'Base Blend Property Calculation'!BT23,FALSE)*('Bulk Plant Input'!$I$16/('Bulk Plant Input'!$B$13/1000))</f>
        <v>0</v>
      </c>
      <c r="E356" s="455"/>
      <c r="F356" s="455"/>
      <c r="G356" s="455"/>
      <c r="H356" s="455"/>
    </row>
    <row r="357" spans="2:8" hidden="1" x14ac:dyDescent="0.25">
      <c r="B357" s="473" t="str">
        <f>INDEX('Base Blend Property Calculation'!$C$6:$BF$6,1,'Base Blend Property Calculation'!BT22)</f>
        <v>CDM-6B</v>
      </c>
      <c r="C357" s="473"/>
      <c r="D357" s="153">
        <f>VLOOKUP('Bulk Plant Input'!$A$19, 'Base Blend Property Calculation'!$A$6:$BF$152,'Base Blend Property Calculation'!BT24,FALSE)*('Bulk Plant Input'!$I$16/('Bulk Plant Input'!$B$13/1000))</f>
        <v>0</v>
      </c>
      <c r="E357" s="455"/>
      <c r="F357" s="455"/>
      <c r="G357" s="455"/>
      <c r="H357" s="455"/>
    </row>
    <row r="358" spans="2:8" hidden="1" x14ac:dyDescent="0.25">
      <c r="B358" s="473" t="str">
        <f>INDEX('Base Blend Property Calculation'!$C$6:$BF$6,1,'Base Blend Property Calculation'!BT23)</f>
        <v>CDM-6</v>
      </c>
      <c r="C358" s="473"/>
      <c r="D358" s="153">
        <f>VLOOKUP('Bulk Plant Input'!$A$19, 'Base Blend Property Calculation'!$A$6:$BF$152,'Base Blend Property Calculation'!BT25,FALSE)*('Bulk Plant Input'!$I$16/('Bulk Plant Input'!$B$13/1000))</f>
        <v>0</v>
      </c>
      <c r="E358" s="455"/>
      <c r="F358" s="455"/>
      <c r="G358" s="455"/>
      <c r="H358" s="455"/>
    </row>
    <row r="359" spans="2:8" hidden="1" x14ac:dyDescent="0.25">
      <c r="B359" s="473" t="str">
        <f>INDEX('Base Blend Property Calculation'!$C$6:$BF$6,1,'Base Blend Property Calculation'!BT24)</f>
        <v>CDM-2</v>
      </c>
      <c r="C359" s="473"/>
      <c r="D359" s="153">
        <f>VLOOKUP('Bulk Plant Input'!$A$19, 'Base Blend Property Calculation'!$A$6:$BF$152,'Base Blend Property Calculation'!BT26,FALSE)*('Bulk Plant Input'!$I$16/('Bulk Plant Input'!$B$13/1000))</f>
        <v>0</v>
      </c>
      <c r="E359" s="455"/>
      <c r="F359" s="455"/>
      <c r="G359" s="455"/>
      <c r="H359" s="455"/>
    </row>
    <row r="360" spans="2:8" hidden="1" x14ac:dyDescent="0.25">
      <c r="B360" s="473" t="str">
        <f>INDEX('Base Blend Property Calculation'!$C$6:$BF$6,1,'Base Blend Property Calculation'!BT25)</f>
        <v>CDM-5</v>
      </c>
      <c r="C360" s="473"/>
      <c r="D360" s="153">
        <f>VLOOKUP('Bulk Plant Input'!$A$19, 'Base Blend Property Calculation'!$A$6:$BF$152,'Base Blend Property Calculation'!BT27,FALSE)*('Bulk Plant Input'!$I$16/('Bulk Plant Input'!$B$13/1000))</f>
        <v>0</v>
      </c>
      <c r="E360" s="455"/>
      <c r="F360" s="455"/>
      <c r="G360" s="455"/>
      <c r="H360" s="455"/>
    </row>
    <row r="361" spans="2:8" hidden="1" x14ac:dyDescent="0.25">
      <c r="B361" s="473" t="str">
        <f>INDEX('Base Blend Property Calculation'!$C$6:$BF$6,1,'Base Blend Property Calculation'!BT26)</f>
        <v>CDM-C</v>
      </c>
      <c r="C361" s="473"/>
      <c r="D361" s="153">
        <f>VLOOKUP('Bulk Plant Input'!$A$19, 'Base Blend Property Calculation'!$A$6:$BF$152,'Base Blend Property Calculation'!BT28,FALSE)*('Bulk Plant Input'!$I$16/('Bulk Plant Input'!$B$13/1000))</f>
        <v>0</v>
      </c>
      <c r="E361" s="455"/>
      <c r="F361" s="455"/>
      <c r="G361" s="455"/>
      <c r="H361" s="455"/>
    </row>
    <row r="362" spans="2:8" hidden="1" x14ac:dyDescent="0.25">
      <c r="B362" s="473" t="str">
        <f>INDEX('Base Blend Property Calculation'!$C$6:$BF$6,1,'Base Blend Property Calculation'!BT27)</f>
        <v>CDM-10</v>
      </c>
      <c r="C362" s="473"/>
      <c r="D362" s="153">
        <f>VLOOKUP('Bulk Plant Input'!$A$19, 'Base Blend Property Calculation'!$A$6:$BF$152,'Base Blend Property Calculation'!BT29,FALSE)*('Bulk Plant Input'!$I$16/('Bulk Plant Input'!$B$13/1000))</f>
        <v>0</v>
      </c>
      <c r="E362" s="455"/>
      <c r="F362" s="455"/>
      <c r="G362" s="455"/>
      <c r="H362" s="455"/>
    </row>
    <row r="363" spans="2:8" hidden="1" x14ac:dyDescent="0.25">
      <c r="B363" s="473" t="str">
        <f>INDEX('Base Blend Property Calculation'!$C$6:$BF$6,1,'Base Blend Property Calculation'!BT28)</f>
        <v>CFR</v>
      </c>
      <c r="C363" s="473"/>
      <c r="D363" s="153">
        <f>VLOOKUP('Bulk Plant Input'!$A$19, 'Base Blend Property Calculation'!$A$6:$BF$152,'Base Blend Property Calculation'!BT30,FALSE)*('Bulk Plant Input'!$I$16/('Bulk Plant Input'!$B$13/1000))</f>
        <v>0</v>
      </c>
      <c r="E363" s="455"/>
      <c r="F363" s="455"/>
      <c r="G363" s="455"/>
      <c r="H363" s="455"/>
    </row>
    <row r="364" spans="2:8" hidden="1" x14ac:dyDescent="0.25">
      <c r="B364" s="473" t="str">
        <f>INDEX('Base Blend Property Calculation'!$C$6:$BF$6,1,'Base Blend Property Calculation'!BT29)</f>
        <v>CFR-2</v>
      </c>
      <c r="C364" s="473"/>
      <c r="D364" s="153">
        <f>VLOOKUP('Bulk Plant Input'!$A$19, 'Base Blend Property Calculation'!$A$6:$BF$152,'Base Blend Property Calculation'!BT31,FALSE)*('Bulk Plant Input'!$I$16/('Bulk Plant Input'!$B$13/1000))</f>
        <v>0</v>
      </c>
      <c r="E364" s="455"/>
      <c r="F364" s="455"/>
      <c r="G364" s="455"/>
      <c r="H364" s="455"/>
    </row>
    <row r="365" spans="2:8" hidden="1" x14ac:dyDescent="0.25">
      <c r="B365" s="473" t="str">
        <f>INDEX('Base Blend Property Calculation'!$C$6:$BF$6,1,'Base Blend Property Calculation'!BT30)</f>
        <v>CFR-5</v>
      </c>
      <c r="C365" s="473"/>
      <c r="D365" s="153">
        <f>VLOOKUP('Bulk Plant Input'!$A$19, 'Base Blend Property Calculation'!$A$6:$BF$152,'Base Blend Property Calculation'!BT32,FALSE)*('Bulk Plant Input'!$I$16/('Bulk Plant Input'!$B$13/1000))</f>
        <v>0</v>
      </c>
      <c r="E365" s="455"/>
      <c r="F365" s="455"/>
      <c r="G365" s="455"/>
      <c r="H365" s="455"/>
    </row>
    <row r="366" spans="2:8" hidden="1" x14ac:dyDescent="0.25">
      <c r="B366" s="473" t="str">
        <f>INDEX('Base Blend Property Calculation'!$C$6:$BF$6,1,'Base Blend Property Calculation'!BT31)</f>
        <v>CFL-3</v>
      </c>
      <c r="C366" s="473"/>
      <c r="D366" s="153">
        <f>VLOOKUP('Bulk Plant Input'!$A$19, 'Base Blend Property Calculation'!$A$6:$BF$152,'Base Blend Property Calculation'!BT33,FALSE)*('Bulk Plant Input'!$I$16/('Bulk Plant Input'!$B$13/1000))</f>
        <v>0</v>
      </c>
      <c r="E366" s="455"/>
      <c r="F366" s="455"/>
      <c r="G366" s="455"/>
      <c r="H366" s="455"/>
    </row>
    <row r="367" spans="2:8" hidden="1" x14ac:dyDescent="0.25">
      <c r="B367" s="473" t="str">
        <f>INDEX('Base Blend Property Calculation'!$C$6:$BF$6,1,'Base Blend Property Calculation'!BT32)</f>
        <v>CFL-4</v>
      </c>
      <c r="C367" s="473"/>
      <c r="D367" s="153">
        <f>VLOOKUP('Bulk Plant Input'!$A$19, 'Base Blend Property Calculation'!$A$6:$BF$152,'Base Blend Property Calculation'!BT34,FALSE)*('Bulk Plant Input'!$I$16/('Bulk Plant Input'!$B$13/1000))</f>
        <v>0</v>
      </c>
      <c r="E367" s="455"/>
      <c r="F367" s="455"/>
      <c r="G367" s="455"/>
      <c r="H367" s="455"/>
    </row>
    <row r="368" spans="2:8" hidden="1" x14ac:dyDescent="0.25">
      <c r="B368" s="473" t="str">
        <f>INDEX('Base Blend Property Calculation'!$C$6:$BF$6,1,'Base Blend Property Calculation'!BT33)</f>
        <v>CFL-6</v>
      </c>
      <c r="C368" s="473"/>
      <c r="D368" s="153">
        <f>VLOOKUP('Bulk Plant Input'!$A$19, 'Base Blend Property Calculation'!$A$6:$BF$152,'Base Blend Property Calculation'!BT35,FALSE)*('Bulk Plant Input'!$I$16/('Bulk Plant Input'!$B$13/1000))</f>
        <v>0</v>
      </c>
      <c r="E368" s="455"/>
      <c r="F368" s="455"/>
      <c r="G368" s="455"/>
      <c r="H368" s="455"/>
    </row>
    <row r="369" spans="2:8" hidden="1" x14ac:dyDescent="0.25">
      <c r="B369" s="473" t="str">
        <f>INDEX('Base Blend Property Calculation'!$C$6:$BF$6,1,'Base Blend Property Calculation'!BT34)</f>
        <v>CFL-7</v>
      </c>
      <c r="C369" s="473"/>
      <c r="D369" s="153">
        <f>VLOOKUP('Bulk Plant Input'!$A$19, 'Base Blend Property Calculation'!$A$6:$BF$152,'Base Blend Property Calculation'!BT36,FALSE)*('Bulk Plant Input'!$I$16/('Bulk Plant Input'!$B$13/1000))</f>
        <v>0</v>
      </c>
      <c r="E369" s="455"/>
      <c r="F369" s="455"/>
      <c r="G369" s="455"/>
      <c r="H369" s="455"/>
    </row>
    <row r="370" spans="2:8" hidden="1" x14ac:dyDescent="0.25">
      <c r="B370" s="473" t="str">
        <f>INDEX('Base Blend Property Calculation'!$C$6:$BF$6,1,'Base Blend Property Calculation'!BT35)</f>
        <v>CaCl2</v>
      </c>
      <c r="C370" s="473"/>
      <c r="D370" s="153">
        <f>VLOOKUP('Bulk Plant Input'!$A$19, 'Base Blend Property Calculation'!$A$6:$BF$152,'Base Blend Property Calculation'!BT37,FALSE)*('Bulk Plant Input'!$I$16/('Bulk Plant Input'!$B$13/1000))</f>
        <v>0</v>
      </c>
      <c r="E370" s="455"/>
      <c r="F370" s="455"/>
      <c r="G370" s="455"/>
      <c r="H370" s="455"/>
    </row>
    <row r="371" spans="2:8" hidden="1" x14ac:dyDescent="0.25">
      <c r="B371" s="473" t="str">
        <f>INDEX('Base Blend Property Calculation'!$C$6:$BF$6,1,'Base Blend Property Calculation'!BT36)</f>
        <v>SCA-6</v>
      </c>
      <c r="C371" s="473"/>
      <c r="D371" s="153">
        <f>VLOOKUP('Bulk Plant Input'!$A$19, 'Base Blend Property Calculation'!$A$6:$BF$152,'Base Blend Property Calculation'!BT38,FALSE)*('Bulk Plant Input'!$I$16/('Bulk Plant Input'!$B$13/1000))</f>
        <v>0</v>
      </c>
      <c r="E371" s="455"/>
      <c r="F371" s="455"/>
      <c r="G371" s="455"/>
      <c r="H371" s="455"/>
    </row>
    <row r="372" spans="2:8" hidden="1" x14ac:dyDescent="0.25">
      <c r="B372" s="473" t="str">
        <f>INDEX('Base Blend Property Calculation'!$C$6:$BF$6,1,'Base Blend Property Calculation'!BT37)</f>
        <v>SCA-7</v>
      </c>
      <c r="C372" s="473"/>
      <c r="D372" s="153">
        <f>VLOOKUP('Bulk Plant Input'!$A$19, 'Base Blend Property Calculation'!$A$6:$BF$152,'Base Blend Property Calculation'!BT39,FALSE)*('Bulk Plant Input'!$I$16/('Bulk Plant Input'!$B$13/1000))</f>
        <v>0</v>
      </c>
      <c r="E372" s="455"/>
      <c r="F372" s="455"/>
      <c r="G372" s="455"/>
      <c r="H372" s="455"/>
    </row>
    <row r="373" spans="2:8" hidden="1" x14ac:dyDescent="0.25">
      <c r="B373" s="473" t="str">
        <f>INDEX('Base Blend Property Calculation'!$C$6:$BF$6,1,'Base Blend Property Calculation'!BT38)</f>
        <v>SCA-5</v>
      </c>
      <c r="C373" s="473"/>
      <c r="D373" s="153">
        <f>VLOOKUP('Bulk Plant Input'!$A$19, 'Base Blend Property Calculation'!$A$6:$BF$152,'Base Blend Property Calculation'!BT40,FALSE)*('Bulk Plant Input'!$I$16/('Bulk Plant Input'!$B$13/1000))</f>
        <v>0</v>
      </c>
      <c r="E373" s="455"/>
      <c r="F373" s="455"/>
      <c r="G373" s="455"/>
      <c r="H373" s="455"/>
    </row>
    <row r="374" spans="2:8" hidden="1" x14ac:dyDescent="0.25">
      <c r="B374" s="473" t="str">
        <f>INDEX('Base Blend Property Calculation'!$C$6:$BF$6,1,'Base Blend Property Calculation'!BT39)</f>
        <v>FWC-2</v>
      </c>
      <c r="C374" s="473"/>
      <c r="D374" s="153">
        <f>VLOOKUP('Bulk Plant Input'!$A$19, 'Base Blend Property Calculation'!$A$6:$BF$152,'Base Blend Property Calculation'!BT41,FALSE)*('Bulk Plant Input'!$I$16/('Bulk Plant Input'!$B$13/1000))</f>
        <v>0</v>
      </c>
      <c r="E374" s="455"/>
      <c r="F374" s="455"/>
      <c r="G374" s="455"/>
      <c r="H374" s="455"/>
    </row>
    <row r="375" spans="2:8" hidden="1" x14ac:dyDescent="0.25">
      <c r="B375" s="473" t="str">
        <f>INDEX('Base Blend Property Calculation'!$C$6:$BF$6,1,'Base Blend Property Calculation'!BT40)</f>
        <v>LTR-3</v>
      </c>
      <c r="C375" s="473"/>
      <c r="D375" s="153">
        <f>VLOOKUP('Bulk Plant Input'!$A$19, 'Base Blend Property Calculation'!$A$6:$BF$152,'Base Blend Property Calculation'!BT42,FALSE)*('Bulk Plant Input'!$I$16/('Bulk Plant Input'!$B$13/1000))</f>
        <v>0</v>
      </c>
      <c r="E375" s="455"/>
      <c r="F375" s="455"/>
      <c r="G375" s="455"/>
      <c r="H375" s="455"/>
    </row>
    <row r="376" spans="2:8" hidden="1" x14ac:dyDescent="0.25">
      <c r="B376" s="473" t="str">
        <f>INDEX('Base Blend Property Calculation'!$C$6:$BF$6,1,'Base Blend Property Calculation'!BT41)</f>
        <v>NaCl</v>
      </c>
      <c r="C376" s="473"/>
      <c r="D376" s="153">
        <f>VLOOKUP('Bulk Plant Input'!$A$19, 'Base Blend Property Calculation'!$A$6:$BF$152,'Base Blend Property Calculation'!BT43,FALSE)*('Bulk Plant Input'!$I$16/('Bulk Plant Input'!$B$13/1000))</f>
        <v>0</v>
      </c>
      <c r="E376" s="455"/>
      <c r="F376" s="455"/>
      <c r="G376" s="455"/>
      <c r="H376" s="455"/>
    </row>
    <row r="377" spans="2:8" hidden="1" x14ac:dyDescent="0.25">
      <c r="B377" s="473" t="str">
        <f>INDEX('Base Blend Property Calculation'!$C$6:$BF$6,1,'Base Blend Property Calculation'!BT42)</f>
        <v>KCl</v>
      </c>
      <c r="C377" s="473"/>
      <c r="D377" s="153">
        <f>VLOOKUP('Bulk Plant Input'!$A$19, 'Base Blend Property Calculation'!$A$6:$BF$152,'Base Blend Property Calculation'!BT44,FALSE)*('Bulk Plant Input'!$I$16/('Bulk Plant Input'!$B$13/1000))</f>
        <v>0</v>
      </c>
      <c r="E377" s="455"/>
      <c r="F377" s="455"/>
      <c r="G377" s="455"/>
      <c r="H377" s="455"/>
    </row>
    <row r="378" spans="2:8" hidden="1" x14ac:dyDescent="0.25">
      <c r="B378" s="473" t="str">
        <f>INDEX('Base Blend Property Calculation'!$C$6:$BF$6,1,'Base Blend Property Calculation'!BT43)</f>
        <v>EA-1</v>
      </c>
      <c r="C378" s="473"/>
      <c r="D378" s="153">
        <f>VLOOKUP('Bulk Plant Input'!$A$19, 'Base Blend Property Calculation'!$A$6:$BF$152,'Base Blend Property Calculation'!BT45,FALSE)*('Bulk Plant Input'!$I$16/('Bulk Plant Input'!$B$13/1000))</f>
        <v>0</v>
      </c>
      <c r="E378" s="455"/>
      <c r="F378" s="455"/>
      <c r="G378" s="455"/>
      <c r="H378" s="455"/>
    </row>
    <row r="379" spans="2:8" hidden="1" x14ac:dyDescent="0.25">
      <c r="B379" s="473" t="str">
        <f>INDEX('Base Blend Property Calculation'!$C$6:$BF$6,1,'Base Blend Property Calculation'!BT44)</f>
        <v>EA-3</v>
      </c>
      <c r="C379" s="473"/>
      <c r="D379" s="153">
        <f>VLOOKUP('Bulk Plant Input'!$A$19, 'Base Blend Property Calculation'!$A$6:$BF$152,'Base Blend Property Calculation'!BT46,FALSE)*('Bulk Plant Input'!$I$16/('Bulk Plant Input'!$B$13/1000))</f>
        <v>0</v>
      </c>
      <c r="E379" s="455"/>
      <c r="F379" s="455"/>
      <c r="G379" s="455"/>
      <c r="H379" s="455"/>
    </row>
    <row r="380" spans="2:8" hidden="1" x14ac:dyDescent="0.25">
      <c r="B380" s="473" t="str">
        <f>INDEX('Base Blend Property Calculation'!$C$6:$BF$6,1,'Base Blend Property Calculation'!BT45)</f>
        <v>LCG-2</v>
      </c>
      <c r="C380" s="473"/>
      <c r="D380" s="153">
        <f>VLOOKUP('Bulk Plant Input'!$A$19, 'Base Blend Property Calculation'!$A$6:$BF$152,'Base Blend Property Calculation'!BT47,FALSE)*('Bulk Plant Input'!$I$16/('Bulk Plant Input'!$B$13/1000))</f>
        <v>0</v>
      </c>
      <c r="E380" s="455"/>
      <c r="F380" s="455"/>
      <c r="G380" s="455"/>
      <c r="H380" s="455"/>
    </row>
    <row r="381" spans="2:8" hidden="1" x14ac:dyDescent="0.25">
      <c r="B381" s="473" t="str">
        <f>INDEX('Base Blend Property Calculation'!$C$6:$BF$6,1,'Base Blend Property Calculation'!BT46)</f>
        <v>Micromix</v>
      </c>
      <c r="C381" s="473"/>
      <c r="D381" s="153">
        <f>VLOOKUP('Bulk Plant Input'!$A$19, 'Base Blend Property Calculation'!$A$6:$BF$152,'Base Blend Property Calculation'!BT48,FALSE)*('Bulk Plant Input'!$I$16/('Bulk Plant Input'!$B$13/1000))</f>
        <v>0</v>
      </c>
      <c r="E381" s="455"/>
      <c r="F381" s="455"/>
      <c r="G381" s="455"/>
      <c r="H381" s="455"/>
    </row>
    <row r="382" spans="2:8" hidden="1" x14ac:dyDescent="0.25">
      <c r="B382" s="473" t="str">
        <f>INDEX('Base Blend Property Calculation'!$C$6:$BF$6,1,'Base Blend Property Calculation'!BT47)</f>
        <v>LCG-1</v>
      </c>
      <c r="C382" s="473"/>
      <c r="D382" s="153">
        <f>VLOOKUP('Bulk Plant Input'!$A$19, 'Base Blend Property Calculation'!$A$6:$BF$152,'Base Blend Property Calculation'!BT51,FALSE)*('Bulk Plant Input'!$I$16/('Bulk Plant Input'!$B$13/1000))</f>
        <v>0</v>
      </c>
      <c r="E382" s="455"/>
      <c r="F382" s="455"/>
      <c r="G382" s="455"/>
      <c r="H382" s="455"/>
    </row>
    <row r="383" spans="2:8" hidden="1" x14ac:dyDescent="0.25">
      <c r="B383" s="473" t="str">
        <f>INDEX('Base Blend Property Calculation'!$C$6:$BF$6,1,'Base Blend Property Calculation'!BT48)</f>
        <v>Gilsonite</v>
      </c>
      <c r="C383" s="473"/>
      <c r="D383" s="153">
        <f>VLOOKUP('Bulk Plant Input'!$A$19, 'Base Blend Property Calculation'!$A$6:$BF$152,'Base Blend Property Calculation'!BT52,FALSE)*('Bulk Plant Input'!$I$16/('Bulk Plant Input'!$B$13/1000))</f>
        <v>0</v>
      </c>
      <c r="E383" s="455"/>
      <c r="F383" s="455"/>
      <c r="G383" s="455"/>
      <c r="H383" s="455"/>
    </row>
    <row r="384" spans="2:8" hidden="1" x14ac:dyDescent="0.25">
      <c r="B384" s="473" t="str">
        <f>INDEX('Base Blend Property Calculation'!$C$6:$BF$6,1,'Base Blend Property Calculation'!BT51)</f>
        <v>Ciment Fondu</v>
      </c>
      <c r="C384" s="473"/>
      <c r="D384" s="153">
        <f>VLOOKUP('Bulk Plant Input'!$A$19, 'Base Blend Property Calculation'!$A$6:$BF$152,'Base Blend Property Calculation'!BT53,FALSE)*('Bulk Plant Input'!$I$16/('Bulk Plant Input'!$B$13/1000))</f>
        <v>0</v>
      </c>
      <c r="E384" s="455"/>
      <c r="F384" s="455"/>
      <c r="G384" s="455"/>
      <c r="H384" s="455"/>
    </row>
    <row r="385" spans="2:8" hidden="1" x14ac:dyDescent="0.25">
      <c r="B385" s="473" t="str">
        <f>INDEX('Base Blend Property Calculation'!$C$6:$BF$6,1,'Base Blend Property Calculation'!BT52)</f>
        <v>CFL-10</v>
      </c>
      <c r="C385" s="473"/>
      <c r="D385" s="153">
        <f>VLOOKUP('Bulk Plant Input'!$A$19, 'Base Blend Property Calculation'!$A$6:$BF$152,'Base Blend Property Calculation'!BT54,FALSE)*('Bulk Plant Input'!$I$16/('Bulk Plant Input'!$B$13/1000))</f>
        <v>0</v>
      </c>
      <c r="E385" s="455"/>
      <c r="F385" s="455"/>
      <c r="G385" s="455"/>
      <c r="H385" s="455"/>
    </row>
    <row r="386" spans="2:8" hidden="1" x14ac:dyDescent="0.25">
      <c r="B386" s="473" t="str">
        <f>INDEX('Base Blend Property Calculation'!$C$6:$BF$6,1,'Base Blend Property Calculation'!BT53)</f>
        <v>CDM-4</v>
      </c>
      <c r="C386" s="473"/>
      <c r="D386" s="153">
        <f>VLOOKUP('Bulk Plant Input'!$A$19, 'Base Blend Property Calculation'!$A$6:$BF$152,'Base Blend Property Calculation'!BT55,FALSE)*('Bulk Plant Input'!$I$16/('Bulk Plant Input'!$B$13/1000))</f>
        <v>0</v>
      </c>
      <c r="E386" s="455"/>
      <c r="F386" s="455"/>
      <c r="G386" s="455"/>
      <c r="H386" s="455"/>
    </row>
    <row r="387" spans="2:8" hidden="1" x14ac:dyDescent="0.25">
      <c r="B387" s="473" t="str">
        <f>INDEX('Base Blend Property Calculation'!$C$6:$BF$6,1,'Base Blend Property Calculation'!BT54)</f>
        <v>ECOmix</v>
      </c>
      <c r="C387" s="473"/>
      <c r="D387" s="153">
        <f>VLOOKUP('Bulk Plant Input'!$A$19, 'Base Blend Property Calculation'!$A$6:$BF$152,'Base Blend Property Calculation'!BT56,FALSE)*('Bulk Plant Input'!$I$16/('Bulk Plant Input'!$B$13/1000))</f>
        <v>0</v>
      </c>
      <c r="E387" s="455"/>
      <c r="F387" s="455"/>
      <c r="G387" s="455"/>
      <c r="H387" s="455"/>
    </row>
    <row r="388" spans="2:8" hidden="1" x14ac:dyDescent="0.25">
      <c r="B388" s="473" t="str">
        <f>INDEX('Base Blend Property Calculation'!$C$6:$BF$6,1,'Base Blend Property Calculation'!BT55)</f>
        <v>CDM-4X</v>
      </c>
      <c r="C388" s="473"/>
      <c r="D388" s="153">
        <f>VLOOKUP('Bulk Plant Input'!$A$19, 'Base Blend Property Calculation'!$A$6:$BF$152,'Base Blend Property Calculation'!BT57,FALSE)*('Bulk Plant Input'!$I$16/('Bulk Plant Input'!$B$13/1000))</f>
        <v>0</v>
      </c>
      <c r="E388" s="455"/>
      <c r="F388" s="455"/>
      <c r="G388" s="455"/>
      <c r="H388" s="455"/>
    </row>
    <row r="389" spans="2:8" hidden="1" x14ac:dyDescent="0.25">
      <c r="B389" s="473" t="str">
        <f>INDEX('Base Blend Property Calculation'!$C$6:$BF$6,1,'Base Blend Property Calculation'!BT56)</f>
        <v>Microfine Sil Flour</v>
      </c>
      <c r="C389" s="473"/>
      <c r="D389" s="153">
        <f>VLOOKUP('Bulk Plant Input'!$A$19, 'Base Blend Property Calculation'!$A$6:$BF$152,'Base Blend Property Calculation'!BT58,FALSE)*('Bulk Plant Input'!$I$16/('Bulk Plant Input'!$B$13/1000))</f>
        <v>0</v>
      </c>
      <c r="E389" s="455"/>
      <c r="F389" s="455"/>
      <c r="G389" s="455"/>
      <c r="H389" s="455"/>
    </row>
    <row r="390" spans="2:8" hidden="1" x14ac:dyDescent="0.25">
      <c r="B390" s="473" t="str">
        <f>INDEX('Base Blend Property Calculation'!$C$6:$BF$6,1,'Base Blend Property Calculation'!BT57)</f>
        <v>None</v>
      </c>
      <c r="C390" s="473"/>
      <c r="D390" s="153">
        <f>VLOOKUP('Bulk Plant Input'!$A$19, 'Base Blend Property Calculation'!$A$6:$BF$152,'Base Blend Property Calculation'!BT59,FALSE)*('Bulk Plant Input'!$I$16/('Bulk Plant Input'!$B$13/1000))</f>
        <v>0</v>
      </c>
      <c r="E390" s="455"/>
      <c r="F390" s="455"/>
      <c r="G390" s="455"/>
      <c r="H390" s="455"/>
    </row>
    <row r="391" spans="2:8" hidden="1" x14ac:dyDescent="0.25">
      <c r="B391" s="473" t="str">
        <f>INDEX('Base Blend Property Calculation'!$C$6:$BF$6,1,'Base Blend Property Calculation'!BT58)</f>
        <v>None</v>
      </c>
      <c r="C391" s="473"/>
      <c r="D391" s="153">
        <f>VLOOKUP('Bulk Plant Input'!$A$19, 'Base Blend Property Calculation'!$A$6:$BF$152,'Base Blend Property Calculation'!BT60,FALSE)*('Bulk Plant Input'!$I$16/('Bulk Plant Input'!$B$13/1000))</f>
        <v>0</v>
      </c>
      <c r="E391" s="455"/>
      <c r="F391" s="455"/>
      <c r="G391" s="455"/>
      <c r="H391" s="455"/>
    </row>
    <row r="392" spans="2:8" hidden="1" x14ac:dyDescent="0.25">
      <c r="B392" s="473" t="str">
        <f>INDEX('Base Blend Property Calculation'!$C$6:$BF$6,1,'Base Blend Property Calculation'!BT59)</f>
        <v>None</v>
      </c>
      <c r="C392" s="473"/>
      <c r="D392" s="153">
        <f>VLOOKUP('Bulk Plant Input'!$A$19, 'Base Blend Property Calculation'!$A$6:$BF$152,'Base Blend Property Calculation'!BT61,FALSE)*('Bulk Plant Input'!$I$16/('Bulk Plant Input'!$B$13/1000))</f>
        <v>0</v>
      </c>
      <c r="E392" s="455"/>
      <c r="F392" s="455"/>
      <c r="G392" s="455"/>
      <c r="H392" s="455"/>
    </row>
    <row r="393" spans="2:8" hidden="1" x14ac:dyDescent="0.25">
      <c r="B393" s="473" t="str">
        <f>INDEX('Base Blend Property Calculation'!$C$6:$BF$6,1,'Base Blend Property Calculation'!BT60)</f>
        <v>None</v>
      </c>
      <c r="C393" s="473"/>
      <c r="D393" s="153">
        <f>VLOOKUP('Bulk Plant Input'!$A$19, 'Base Blend Property Calculation'!$A$6:$BF$152,'Base Blend Property Calculation'!BT62,FALSE)*('Bulk Plant Input'!$I$16/('Bulk Plant Input'!$B$13/1000))</f>
        <v>0</v>
      </c>
      <c r="E393" s="455"/>
      <c r="F393" s="455"/>
      <c r="G393" s="455"/>
      <c r="H393" s="455"/>
    </row>
    <row r="394" spans="2:8" hidden="1" x14ac:dyDescent="0.25">
      <c r="B394" s="473" t="str">
        <f>INDEX('Base Blend Property Calculation'!$C$6:$BF$6,1,'Base Blend Property Calculation'!BT61)</f>
        <v>None</v>
      </c>
      <c r="C394" s="473"/>
      <c r="D394" s="153">
        <f>VLOOKUP('Bulk Plant Input'!$A$19, 'Base Blend Property Calculation'!$A$6:$BF$152,'Base Blend Property Calculation'!BT63,FALSE)*('Bulk Plant Input'!$I$16/('Bulk Plant Input'!$B$13/1000))</f>
        <v>0</v>
      </c>
      <c r="E394" s="455"/>
      <c r="F394" s="455"/>
      <c r="G394" s="455"/>
      <c r="H394" s="455"/>
    </row>
    <row r="395" spans="2:8" hidden="1" x14ac:dyDescent="0.25">
      <c r="B395" s="473" t="str">
        <f>INDEX('Base Blend Property Calculation'!$C$6:$BF$6,1,'Base Blend Property Calculation'!BT62)</f>
        <v>None</v>
      </c>
      <c r="C395" s="473"/>
      <c r="D395" s="153">
        <f>VLOOKUP('Bulk Plant Input'!$A$19, 'Base Blend Property Calculation'!$A$6:$BF$152,'Base Blend Property Calculation'!BT64,FALSE)*('Bulk Plant Input'!$I$16/('Bulk Plant Input'!$B$13/1000))</f>
        <v>0</v>
      </c>
      <c r="E395" s="455"/>
      <c r="F395" s="455"/>
      <c r="G395" s="455"/>
      <c r="H395" s="455"/>
    </row>
    <row r="396" spans="2:8" hidden="1" x14ac:dyDescent="0.25">
      <c r="B396" s="473" t="e">
        <f>INDEX('Base Blend Property Calculation'!$C$6:$BF$6,1,'Base Blend Property Calculation'!BT63)</f>
        <v>#REF!</v>
      </c>
      <c r="C396" s="473"/>
      <c r="D396" s="153" t="e">
        <f>VLOOKUP('Bulk Plant Input'!$A$19, 'Base Blend Property Calculation'!$A$6:$BF$152,'Base Blend Property Calculation'!BT65,FALSE)*('Bulk Plant Input'!$I$16/('Bulk Plant Input'!$B$13/1000))</f>
        <v>#REF!</v>
      </c>
      <c r="E396" s="455"/>
      <c r="F396" s="455"/>
      <c r="G396" s="455"/>
      <c r="H396" s="455"/>
    </row>
    <row r="397" spans="2:8" hidden="1" x14ac:dyDescent="0.25">
      <c r="B397" s="161"/>
      <c r="C397" s="161"/>
      <c r="D397" s="158" t="s">
        <v>198</v>
      </c>
      <c r="E397" s="161"/>
      <c r="F397" s="161"/>
      <c r="G397" s="161"/>
      <c r="H397" s="161"/>
    </row>
    <row r="398" spans="2:8" ht="15.75" hidden="1" x14ac:dyDescent="0.25">
      <c r="B398" s="456" t="str">
        <f>IF('Bulk Plant Input'!$I$16="","5th Batch Not Entered","ADDITIVES - Batch 5")</f>
        <v>5th Batch Not Entered</v>
      </c>
      <c r="C398" s="456"/>
      <c r="D398" s="163" t="s">
        <v>198</v>
      </c>
      <c r="E398" s="161"/>
      <c r="F398" s="161"/>
      <c r="G398" s="161"/>
      <c r="H398" s="161"/>
    </row>
    <row r="399" spans="2:8" ht="30" hidden="1" x14ac:dyDescent="0.25">
      <c r="B399" s="470" t="s">
        <v>201</v>
      </c>
      <c r="C399" s="470"/>
      <c r="D399" s="164" t="s">
        <v>206</v>
      </c>
      <c r="E399" s="470" t="s">
        <v>509</v>
      </c>
      <c r="F399" s="470"/>
      <c r="G399" s="470" t="s">
        <v>200</v>
      </c>
      <c r="H399" s="470"/>
    </row>
    <row r="400" spans="2:8" hidden="1" x14ac:dyDescent="0.25">
      <c r="B400" s="446" t="str">
        <f>'Bulk Plant Input'!A23</f>
        <v>CFR-5</v>
      </c>
      <c r="C400" s="447"/>
      <c r="D400" s="153">
        <f>IF(B160=0,0,'Bulk Plant Input'!C23*('Bulk Plant Input'!$I$16/('Bulk Plant Input'!$B$13/1000)))</f>
        <v>0</v>
      </c>
      <c r="E400" s="446"/>
      <c r="F400" s="447"/>
      <c r="G400" s="446"/>
      <c r="H400" s="447"/>
    </row>
    <row r="401" spans="2:8" hidden="1" x14ac:dyDescent="0.25">
      <c r="B401" s="446" t="str">
        <f>'Bulk Plant Input'!A24</f>
        <v>CFL-4</v>
      </c>
      <c r="C401" s="447"/>
      <c r="D401" s="153">
        <f>IF(B161=0,0,'Bulk Plant Input'!C24*('Bulk Plant Input'!$I$16/('Bulk Plant Input'!$B$13/1000)))</f>
        <v>0</v>
      </c>
      <c r="E401" s="446"/>
      <c r="F401" s="447"/>
      <c r="G401" s="446"/>
      <c r="H401" s="447"/>
    </row>
    <row r="402" spans="2:8" hidden="1" x14ac:dyDescent="0.25">
      <c r="B402" s="446" t="str">
        <f>'Bulk Plant Input'!A25</f>
        <v>FWC-2</v>
      </c>
      <c r="C402" s="447"/>
      <c r="D402" s="153">
        <f>IF(B162=0,0,'Bulk Plant Input'!C25*('Bulk Plant Input'!$I$16/('Bulk Plant Input'!$B$13/1000)))</f>
        <v>0</v>
      </c>
      <c r="E402" s="446"/>
      <c r="F402" s="447"/>
      <c r="G402" s="446"/>
      <c r="H402" s="447"/>
    </row>
    <row r="403" spans="2:8" hidden="1" x14ac:dyDescent="0.25">
      <c r="B403" s="446" t="str">
        <f>'Bulk Plant Input'!A26</f>
        <v>LTR</v>
      </c>
      <c r="C403" s="447"/>
      <c r="D403" s="153">
        <f>IF(B163=0,0,'Bulk Plant Input'!C26*('Bulk Plant Input'!$I$16/('Bulk Plant Input'!$B$13/1000)))</f>
        <v>0</v>
      </c>
      <c r="E403" s="446"/>
      <c r="F403" s="447"/>
      <c r="G403" s="446"/>
      <c r="H403" s="447"/>
    </row>
    <row r="404" spans="2:8" hidden="1" x14ac:dyDescent="0.25">
      <c r="B404" s="446" t="str">
        <f>'Bulk Plant Input'!A27</f>
        <v>CDF-6P</v>
      </c>
      <c r="C404" s="447"/>
      <c r="D404" s="153">
        <f>IF(B164=0,0,'Bulk Plant Input'!C27*('Bulk Plant Input'!$I$16/('Bulk Plant Input'!$B$13/1000)))</f>
        <v>0</v>
      </c>
      <c r="E404" s="446"/>
      <c r="F404" s="447"/>
      <c r="G404" s="446"/>
      <c r="H404" s="447"/>
    </row>
    <row r="405" spans="2:8" hidden="1" x14ac:dyDescent="0.25">
      <c r="B405" s="446" t="str">
        <f>'Bulk Plant Input'!A28</f>
        <v>ASM-3</v>
      </c>
      <c r="C405" s="447"/>
      <c r="D405" s="153">
        <f>IF(B165=0,0,'Bulk Plant Input'!C28*('Bulk Plant Input'!$I$16/('Bulk Plant Input'!$B$13/1000)))</f>
        <v>0</v>
      </c>
      <c r="E405" s="446"/>
      <c r="F405" s="447"/>
      <c r="G405" s="446"/>
      <c r="H405" s="447"/>
    </row>
    <row r="406" spans="2:8" hidden="1" x14ac:dyDescent="0.25">
      <c r="B406" s="446">
        <f>'Bulk Plant Input'!A29</f>
        <v>0</v>
      </c>
      <c r="C406" s="447"/>
      <c r="D406" s="153">
        <f>IF(B166=0,0,'Bulk Plant Input'!C29*('Bulk Plant Input'!$I$16/('Bulk Plant Input'!$B$13/1000)))</f>
        <v>0</v>
      </c>
      <c r="E406" s="446"/>
      <c r="F406" s="447"/>
      <c r="G406" s="446"/>
      <c r="H406" s="447"/>
    </row>
    <row r="407" spans="2:8" hidden="1" x14ac:dyDescent="0.25">
      <c r="B407" s="446">
        <f>'Bulk Plant Input'!A30</f>
        <v>0</v>
      </c>
      <c r="C407" s="447"/>
      <c r="D407" s="153">
        <f>IF(B167=0,0,'Bulk Plant Input'!C30*('Bulk Plant Input'!$I$16/('Bulk Plant Input'!$B$13/1000)))</f>
        <v>0</v>
      </c>
      <c r="E407" s="446"/>
      <c r="F407" s="447"/>
      <c r="G407" s="446"/>
      <c r="H407" s="447"/>
    </row>
    <row r="408" spans="2:8" hidden="1" x14ac:dyDescent="0.25">
      <c r="B408" s="446">
        <f>'Bulk Plant Input'!A31</f>
        <v>0</v>
      </c>
      <c r="C408" s="447"/>
      <c r="D408" s="153">
        <f>IF(B168=0,0,'Bulk Plant Input'!C31*('Bulk Plant Input'!$I$16/('Bulk Plant Input'!$B$13/1000)))</f>
        <v>0</v>
      </c>
      <c r="E408" s="446"/>
      <c r="F408" s="447"/>
      <c r="G408" s="446"/>
      <c r="H408" s="447"/>
    </row>
    <row r="409" spans="2:8" hidden="1" x14ac:dyDescent="0.25">
      <c r="B409" s="446">
        <f>'Bulk Plant Input'!A32</f>
        <v>0</v>
      </c>
      <c r="C409" s="447"/>
      <c r="D409" s="153">
        <f>IF(B169=0,0,'Bulk Plant Input'!C32*('Bulk Plant Input'!$I$16/('Bulk Plant Input'!$B$13/1000)))</f>
        <v>0</v>
      </c>
      <c r="E409" s="446"/>
      <c r="F409" s="447"/>
      <c r="G409" s="446"/>
      <c r="H409" s="447"/>
    </row>
    <row r="410" spans="2:8" hidden="1" x14ac:dyDescent="0.25">
      <c r="B410" s="446">
        <f>'Bulk Plant Input'!A33</f>
        <v>0</v>
      </c>
      <c r="C410" s="447"/>
      <c r="D410" s="153">
        <f>IF(B170=0,0,'Bulk Plant Input'!C33*('Bulk Plant Input'!$I$16/('Bulk Plant Input'!$B$13/1000)))</f>
        <v>0</v>
      </c>
      <c r="E410" s="446"/>
      <c r="F410" s="447"/>
      <c r="G410" s="446"/>
      <c r="H410" s="447"/>
    </row>
    <row r="411" spans="2:8" hidden="1" x14ac:dyDescent="0.25">
      <c r="B411" s="446">
        <f>'Bulk Plant Input'!A34</f>
        <v>0</v>
      </c>
      <c r="C411" s="447"/>
      <c r="D411" s="153">
        <f>IF(B171=0,0,'Bulk Plant Input'!C34*('Bulk Plant Input'!$I$16/('Bulk Plant Input'!$B$13/1000)))</f>
        <v>0</v>
      </c>
      <c r="E411" s="446"/>
      <c r="F411" s="447"/>
      <c r="G411" s="446"/>
      <c r="H411" s="447"/>
    </row>
    <row r="412" spans="2:8" hidden="1" x14ac:dyDescent="0.25">
      <c r="B412" s="446">
        <f>'Bulk Plant Input'!A35</f>
        <v>0</v>
      </c>
      <c r="C412" s="447"/>
      <c r="D412" s="153">
        <f>IF(B172=0,0,'Bulk Plant Input'!C35*('Bulk Plant Input'!$I$16/('Bulk Plant Input'!$B$13/1000)))</f>
        <v>0</v>
      </c>
      <c r="E412" s="446"/>
      <c r="F412" s="447"/>
      <c r="G412" s="446"/>
      <c r="H412" s="447"/>
    </row>
    <row r="413" spans="2:8" hidden="1" x14ac:dyDescent="0.25">
      <c r="B413" s="446">
        <f>'Bulk Plant Input'!A36</f>
        <v>0</v>
      </c>
      <c r="C413" s="447"/>
      <c r="D413" s="153">
        <f>IF(B173=0,0,'Bulk Plant Input'!C36*('Bulk Plant Input'!$I$16/('Bulk Plant Input'!$B$13/1000)))</f>
        <v>0</v>
      </c>
      <c r="E413" s="446"/>
      <c r="F413" s="447"/>
      <c r="G413" s="446"/>
      <c r="H413" s="447"/>
    </row>
    <row r="414" spans="2:8" hidden="1" x14ac:dyDescent="0.25">
      <c r="B414" s="446">
        <f>'Bulk Plant Input'!A37</f>
        <v>0</v>
      </c>
      <c r="C414" s="447"/>
      <c r="D414" s="153">
        <f>IF(B174=0,0,'Bulk Plant Input'!C37*('Bulk Plant Input'!$I$16/('Bulk Plant Input'!$B$13/1000)))</f>
        <v>0</v>
      </c>
      <c r="E414" s="446"/>
      <c r="F414" s="447"/>
      <c r="G414" s="446"/>
      <c r="H414" s="447"/>
    </row>
    <row r="415" spans="2:8" hidden="1" x14ac:dyDescent="0.25">
      <c r="B415" s="446">
        <f>'Bulk Plant Input'!A43</f>
        <v>0</v>
      </c>
      <c r="C415" s="447"/>
      <c r="D415" s="153">
        <f>IF(B175=0,0,'Bulk Plant Input'!C38*('Bulk Plant Input'!$I$16/('Bulk Plant Input'!$B$13/1000)))</f>
        <v>0</v>
      </c>
      <c r="E415" s="446"/>
      <c r="F415" s="447"/>
      <c r="G415" s="446"/>
      <c r="H415" s="447"/>
    </row>
    <row r="416" spans="2:8" hidden="1" x14ac:dyDescent="0.25">
      <c r="B416" s="446">
        <f>'Bulk Plant Input'!A44</f>
        <v>0</v>
      </c>
      <c r="C416" s="447"/>
      <c r="D416" s="153">
        <f>IF(B176=0,0,'Bulk Plant Input'!C39*('Bulk Plant Input'!$I$16/('Bulk Plant Input'!$B$13/1000)))</f>
        <v>0</v>
      </c>
      <c r="E416" s="446"/>
      <c r="F416" s="447"/>
      <c r="G416" s="446"/>
      <c r="H416" s="447"/>
    </row>
    <row r="417" spans="1:11" hidden="1" x14ac:dyDescent="0.25">
      <c r="B417" s="161"/>
      <c r="C417" s="161"/>
      <c r="D417" s="161"/>
      <c r="E417" s="161"/>
      <c r="F417" s="161"/>
      <c r="G417" s="161"/>
      <c r="H417" s="161"/>
    </row>
    <row r="418" spans="1:11" x14ac:dyDescent="0.25">
      <c r="A418" s="203"/>
      <c r="B418" s="204"/>
      <c r="C418" s="204"/>
      <c r="D418" s="204"/>
      <c r="E418" s="204"/>
      <c r="F418" s="204"/>
      <c r="G418" s="204"/>
      <c r="H418" s="204"/>
      <c r="I418" s="203"/>
      <c r="J418" s="203"/>
      <c r="K418" s="203"/>
    </row>
    <row r="419" spans="1:11" x14ac:dyDescent="0.25">
      <c r="A419" s="203" t="s">
        <v>202</v>
      </c>
      <c r="B419" s="205"/>
      <c r="C419" s="206"/>
      <c r="D419" s="205"/>
      <c r="E419" s="205"/>
      <c r="F419" s="207" t="s">
        <v>203</v>
      </c>
      <c r="G419" s="205"/>
      <c r="H419" s="205"/>
      <c r="I419" s="205"/>
      <c r="J419" s="205"/>
      <c r="K419" s="203"/>
    </row>
    <row r="420" spans="1:11" x14ac:dyDescent="0.25">
      <c r="A420" s="203"/>
      <c r="B420" s="203"/>
      <c r="C420" s="204"/>
      <c r="D420" s="203"/>
      <c r="E420" s="203"/>
      <c r="F420" s="203"/>
      <c r="G420" s="203"/>
      <c r="H420" s="203"/>
      <c r="I420" s="203"/>
      <c r="J420" s="203"/>
      <c r="K420" s="203"/>
    </row>
    <row r="421" spans="1:11" x14ac:dyDescent="0.25">
      <c r="A421" s="203" t="s">
        <v>204</v>
      </c>
      <c r="B421" s="205"/>
      <c r="C421" s="206"/>
      <c r="D421" s="205"/>
      <c r="E421" s="205"/>
      <c r="F421" s="203"/>
      <c r="G421" s="203"/>
      <c r="H421" s="203"/>
      <c r="I421" s="203"/>
      <c r="J421" s="203"/>
      <c r="K421" s="203"/>
    </row>
    <row r="422" spans="1:11" x14ac:dyDescent="0.25">
      <c r="A422" s="203"/>
      <c r="B422" s="203"/>
      <c r="C422" s="203"/>
      <c r="D422" s="203"/>
      <c r="E422" s="203"/>
      <c r="F422" s="203"/>
      <c r="G422" s="203"/>
      <c r="H422" s="203"/>
      <c r="I422" s="203"/>
      <c r="J422" s="203"/>
      <c r="K422" s="203"/>
    </row>
    <row r="423" spans="1:11" x14ac:dyDescent="0.25">
      <c r="A423" s="203"/>
      <c r="B423" s="204"/>
      <c r="C423" s="204"/>
      <c r="D423" s="204"/>
      <c r="E423" s="204"/>
      <c r="F423" s="204"/>
      <c r="G423" s="204"/>
      <c r="H423" s="204"/>
      <c r="I423" s="203"/>
      <c r="J423" s="203"/>
      <c r="K423" s="203"/>
    </row>
    <row r="424" spans="1:11" x14ac:dyDescent="0.25">
      <c r="B424" s="161"/>
      <c r="C424" s="161"/>
      <c r="D424" s="161"/>
      <c r="E424" s="161"/>
      <c r="F424" s="161"/>
      <c r="G424" s="161"/>
      <c r="H424" s="161"/>
    </row>
    <row r="425" spans="1:11" x14ac:dyDescent="0.25">
      <c r="B425" s="161"/>
      <c r="C425" s="161"/>
      <c r="D425" s="161"/>
      <c r="E425" s="161"/>
      <c r="F425" s="161"/>
      <c r="G425" s="161"/>
      <c r="H425" s="161"/>
    </row>
    <row r="426" spans="1:11" x14ac:dyDescent="0.25">
      <c r="B426" s="161"/>
      <c r="C426" s="161"/>
      <c r="D426" s="161"/>
      <c r="E426" s="161"/>
      <c r="F426" s="161"/>
      <c r="G426" s="161"/>
      <c r="H426" s="161"/>
    </row>
    <row r="427" spans="1:11" x14ac:dyDescent="0.25">
      <c r="B427" s="161"/>
      <c r="C427" s="161"/>
      <c r="D427" s="161"/>
      <c r="E427" s="161"/>
      <c r="F427" s="161"/>
      <c r="G427" s="161"/>
      <c r="H427" s="161"/>
    </row>
    <row r="428" spans="1:11" x14ac:dyDescent="0.25">
      <c r="B428" s="161"/>
      <c r="C428" s="161"/>
      <c r="D428" s="161"/>
      <c r="E428" s="161"/>
      <c r="F428" s="161"/>
      <c r="G428" s="161"/>
      <c r="H428" s="161"/>
    </row>
    <row r="429" spans="1:11" x14ac:dyDescent="0.25">
      <c r="B429" s="161"/>
      <c r="C429" s="161"/>
      <c r="D429" s="161"/>
      <c r="E429" s="161"/>
      <c r="F429" s="161"/>
      <c r="G429" s="161"/>
      <c r="H429" s="161"/>
    </row>
    <row r="430" spans="1:11" x14ac:dyDescent="0.25">
      <c r="B430" s="161"/>
      <c r="C430" s="161"/>
      <c r="D430" s="161"/>
      <c r="E430" s="161"/>
      <c r="F430" s="161"/>
      <c r="G430" s="161"/>
      <c r="H430" s="161"/>
    </row>
    <row r="431" spans="1:11" x14ac:dyDescent="0.25">
      <c r="B431" s="161"/>
      <c r="C431" s="161"/>
      <c r="D431" s="161"/>
      <c r="E431" s="161"/>
      <c r="F431" s="161"/>
      <c r="G431" s="161"/>
      <c r="H431" s="161"/>
    </row>
    <row r="432" spans="1:11" x14ac:dyDescent="0.25">
      <c r="B432" s="161"/>
      <c r="C432" s="161"/>
      <c r="D432" s="161"/>
      <c r="E432" s="161"/>
      <c r="F432" s="161"/>
      <c r="G432" s="161"/>
      <c r="H432" s="161"/>
    </row>
    <row r="433" spans="2:8" x14ac:dyDescent="0.25">
      <c r="B433" s="161"/>
      <c r="C433" s="161"/>
      <c r="D433" s="161"/>
      <c r="E433" s="161"/>
      <c r="F433" s="161"/>
      <c r="G433" s="161"/>
      <c r="H433" s="161"/>
    </row>
    <row r="434" spans="2:8" x14ac:dyDescent="0.25">
      <c r="B434" s="161"/>
      <c r="C434" s="161"/>
      <c r="D434" s="161"/>
      <c r="E434" s="161"/>
      <c r="F434" s="161"/>
      <c r="G434" s="161"/>
      <c r="H434" s="161"/>
    </row>
    <row r="435" spans="2:8" x14ac:dyDescent="0.25">
      <c r="B435" s="161"/>
      <c r="C435" s="161"/>
      <c r="D435" s="161"/>
      <c r="E435" s="161"/>
      <c r="F435" s="161"/>
      <c r="G435" s="161"/>
      <c r="H435" s="161"/>
    </row>
    <row r="436" spans="2:8" x14ac:dyDescent="0.25">
      <c r="B436" s="161"/>
      <c r="C436" s="161"/>
      <c r="D436" s="161"/>
      <c r="E436" s="161"/>
      <c r="F436" s="161"/>
      <c r="G436" s="161"/>
      <c r="H436" s="161"/>
    </row>
    <row r="437" spans="2:8" x14ac:dyDescent="0.25">
      <c r="B437" s="161"/>
      <c r="C437" s="161"/>
      <c r="D437" s="161"/>
      <c r="E437" s="161"/>
      <c r="F437" s="161"/>
      <c r="G437" s="161"/>
      <c r="H437" s="161"/>
    </row>
    <row r="438" spans="2:8" x14ac:dyDescent="0.25">
      <c r="B438" s="161"/>
      <c r="C438" s="161"/>
      <c r="D438" s="161"/>
      <c r="E438" s="161"/>
      <c r="F438" s="161"/>
      <c r="G438" s="161"/>
      <c r="H438" s="161"/>
    </row>
    <row r="439" spans="2:8" x14ac:dyDescent="0.25">
      <c r="B439" s="161"/>
      <c r="C439" s="161"/>
      <c r="D439" s="161"/>
      <c r="E439" s="161"/>
      <c r="F439" s="161"/>
      <c r="G439" s="161"/>
      <c r="H439" s="161"/>
    </row>
    <row r="440" spans="2:8" x14ac:dyDescent="0.25">
      <c r="B440" s="161"/>
      <c r="C440" s="161"/>
      <c r="D440" s="161"/>
      <c r="E440" s="161"/>
      <c r="F440" s="161"/>
      <c r="G440" s="161"/>
      <c r="H440" s="161"/>
    </row>
    <row r="441" spans="2:8" x14ac:dyDescent="0.25">
      <c r="B441" s="161"/>
      <c r="C441" s="161"/>
      <c r="D441" s="161"/>
      <c r="E441" s="161"/>
      <c r="F441" s="161"/>
      <c r="G441" s="161"/>
      <c r="H441" s="161"/>
    </row>
    <row r="442" spans="2:8" x14ac:dyDescent="0.25">
      <c r="B442" s="161"/>
      <c r="C442" s="161"/>
      <c r="D442" s="161"/>
      <c r="E442" s="161"/>
      <c r="F442" s="161"/>
      <c r="G442" s="161"/>
      <c r="H442" s="161"/>
    </row>
    <row r="443" spans="2:8" x14ac:dyDescent="0.25">
      <c r="B443" s="161"/>
      <c r="C443" s="161"/>
      <c r="D443" s="161"/>
      <c r="E443" s="161"/>
      <c r="F443" s="161"/>
      <c r="G443" s="161"/>
      <c r="H443" s="161"/>
    </row>
    <row r="444" spans="2:8" x14ac:dyDescent="0.25">
      <c r="B444" s="161"/>
      <c r="C444" s="161"/>
      <c r="D444" s="161"/>
      <c r="E444" s="161"/>
      <c r="F444" s="161"/>
      <c r="G444" s="161"/>
      <c r="H444" s="161"/>
    </row>
    <row r="445" spans="2:8" x14ac:dyDescent="0.25">
      <c r="B445" s="161"/>
      <c r="C445" s="161"/>
      <c r="D445" s="161"/>
      <c r="E445" s="161"/>
      <c r="F445" s="161"/>
      <c r="G445" s="161"/>
      <c r="H445" s="161"/>
    </row>
    <row r="446" spans="2:8" x14ac:dyDescent="0.25">
      <c r="B446" s="161"/>
      <c r="C446" s="161"/>
      <c r="D446" s="161"/>
      <c r="E446" s="161"/>
      <c r="F446" s="161"/>
      <c r="G446" s="161"/>
      <c r="H446" s="161"/>
    </row>
    <row r="447" spans="2:8" x14ac:dyDescent="0.25">
      <c r="B447" s="161"/>
      <c r="C447" s="161"/>
      <c r="D447" s="161"/>
      <c r="E447" s="161"/>
      <c r="F447" s="161"/>
      <c r="G447" s="161"/>
      <c r="H447" s="161"/>
    </row>
    <row r="448" spans="2:8" x14ac:dyDescent="0.25">
      <c r="B448" s="161"/>
      <c r="C448" s="161"/>
      <c r="D448" s="161"/>
      <c r="E448" s="161"/>
      <c r="F448" s="161"/>
      <c r="G448" s="161"/>
      <c r="H448" s="161"/>
    </row>
    <row r="449" spans="2:8" x14ac:dyDescent="0.25">
      <c r="B449" s="161"/>
      <c r="C449" s="161"/>
      <c r="D449" s="161"/>
      <c r="E449" s="161"/>
      <c r="F449" s="161"/>
      <c r="G449" s="161"/>
      <c r="H449" s="161"/>
    </row>
    <row r="450" spans="2:8" x14ac:dyDescent="0.25">
      <c r="B450" s="161"/>
      <c r="C450" s="161"/>
      <c r="D450" s="161"/>
      <c r="E450" s="161"/>
      <c r="F450" s="161"/>
      <c r="G450" s="161"/>
      <c r="H450" s="161"/>
    </row>
    <row r="451" spans="2:8" x14ac:dyDescent="0.25">
      <c r="B451" s="161"/>
      <c r="C451" s="161"/>
      <c r="D451" s="161"/>
      <c r="E451" s="161"/>
      <c r="F451" s="161"/>
      <c r="G451" s="161"/>
      <c r="H451" s="161"/>
    </row>
    <row r="452" spans="2:8" x14ac:dyDescent="0.25">
      <c r="B452" s="161"/>
      <c r="C452" s="161"/>
      <c r="D452" s="161"/>
      <c r="E452" s="161"/>
      <c r="F452" s="161"/>
      <c r="G452" s="161"/>
      <c r="H452" s="161"/>
    </row>
    <row r="453" spans="2:8" x14ac:dyDescent="0.25">
      <c r="B453" s="161"/>
      <c r="C453" s="161"/>
      <c r="D453" s="161"/>
      <c r="E453" s="161"/>
      <c r="F453" s="161"/>
      <c r="G453" s="161"/>
      <c r="H453" s="161"/>
    </row>
    <row r="454" spans="2:8" x14ac:dyDescent="0.25">
      <c r="B454" s="161"/>
      <c r="C454" s="161"/>
      <c r="D454" s="161"/>
      <c r="E454" s="161"/>
      <c r="F454" s="161"/>
      <c r="G454" s="161"/>
      <c r="H454" s="161"/>
    </row>
    <row r="455" spans="2:8" x14ac:dyDescent="0.25">
      <c r="B455" s="161"/>
      <c r="C455" s="161"/>
      <c r="D455" s="161"/>
      <c r="E455" s="161"/>
      <c r="F455" s="161"/>
      <c r="G455" s="161"/>
      <c r="H455" s="161"/>
    </row>
    <row r="456" spans="2:8" x14ac:dyDescent="0.25">
      <c r="B456" s="161"/>
      <c r="C456" s="161"/>
      <c r="D456" s="161"/>
      <c r="E456" s="161"/>
      <c r="F456" s="161"/>
      <c r="G456" s="161"/>
      <c r="H456" s="161"/>
    </row>
    <row r="457" spans="2:8" x14ac:dyDescent="0.25">
      <c r="B457" s="161"/>
      <c r="C457" s="161"/>
      <c r="D457" s="161"/>
      <c r="E457" s="161"/>
      <c r="F457" s="161"/>
      <c r="G457" s="161"/>
      <c r="H457" s="161"/>
    </row>
    <row r="458" spans="2:8" x14ac:dyDescent="0.25">
      <c r="B458" s="161"/>
      <c r="C458" s="161"/>
      <c r="D458" s="161"/>
      <c r="E458" s="161"/>
      <c r="F458" s="161"/>
      <c r="G458" s="161"/>
      <c r="H458" s="161"/>
    </row>
    <row r="459" spans="2:8" x14ac:dyDescent="0.25">
      <c r="B459" s="161"/>
      <c r="C459" s="161"/>
      <c r="D459" s="161"/>
      <c r="E459" s="161"/>
      <c r="F459" s="161"/>
      <c r="G459" s="161"/>
      <c r="H459" s="161"/>
    </row>
    <row r="460" spans="2:8" x14ac:dyDescent="0.25">
      <c r="B460" s="161"/>
      <c r="C460" s="161"/>
      <c r="D460" s="161"/>
      <c r="E460" s="161"/>
      <c r="F460" s="161"/>
      <c r="G460" s="161"/>
      <c r="H460" s="161"/>
    </row>
    <row r="461" spans="2:8" x14ac:dyDescent="0.25">
      <c r="B461" s="161"/>
      <c r="C461" s="161"/>
      <c r="D461" s="161"/>
      <c r="E461" s="161"/>
      <c r="F461" s="161"/>
      <c r="G461" s="161"/>
      <c r="H461" s="161"/>
    </row>
    <row r="462" spans="2:8" x14ac:dyDescent="0.25">
      <c r="B462" s="161"/>
      <c r="C462" s="161"/>
      <c r="D462" s="161"/>
      <c r="E462" s="161"/>
      <c r="F462" s="161"/>
      <c r="G462" s="161"/>
      <c r="H462" s="161"/>
    </row>
    <row r="463" spans="2:8" x14ac:dyDescent="0.25">
      <c r="B463" s="161"/>
      <c r="C463" s="161"/>
      <c r="D463" s="161"/>
      <c r="E463" s="161"/>
      <c r="F463" s="161"/>
      <c r="G463" s="161"/>
      <c r="H463" s="161"/>
    </row>
    <row r="464" spans="2:8" x14ac:dyDescent="0.25">
      <c r="B464" s="161"/>
      <c r="C464" s="161"/>
      <c r="D464" s="161"/>
      <c r="E464" s="161"/>
      <c r="F464" s="161"/>
      <c r="G464" s="161"/>
      <c r="H464" s="161"/>
    </row>
    <row r="465" spans="2:8" x14ac:dyDescent="0.25">
      <c r="B465" s="161"/>
      <c r="C465" s="161"/>
      <c r="D465" s="161"/>
      <c r="E465" s="161"/>
      <c r="F465" s="161"/>
      <c r="G465" s="161"/>
      <c r="H465" s="161"/>
    </row>
    <row r="466" spans="2:8" x14ac:dyDescent="0.25">
      <c r="B466" s="161"/>
      <c r="C466" s="161"/>
      <c r="D466" s="161"/>
      <c r="E466" s="161"/>
      <c r="F466" s="161"/>
      <c r="G466" s="161"/>
      <c r="H466" s="161"/>
    </row>
    <row r="467" spans="2:8" x14ac:dyDescent="0.25">
      <c r="B467" s="161"/>
      <c r="C467" s="161"/>
      <c r="D467" s="161"/>
      <c r="E467" s="161"/>
      <c r="F467" s="161"/>
      <c r="G467" s="161"/>
      <c r="H467" s="161"/>
    </row>
    <row r="468" spans="2:8" x14ac:dyDescent="0.25">
      <c r="B468" s="161"/>
      <c r="C468" s="161"/>
      <c r="D468" s="161"/>
      <c r="E468" s="161"/>
      <c r="F468" s="161"/>
      <c r="G468" s="161"/>
      <c r="H468" s="161"/>
    </row>
    <row r="469" spans="2:8" x14ac:dyDescent="0.25">
      <c r="B469" s="161"/>
      <c r="C469" s="161"/>
      <c r="D469" s="161"/>
      <c r="E469" s="161"/>
      <c r="F469" s="161"/>
      <c r="G469" s="161"/>
      <c r="H469" s="161"/>
    </row>
    <row r="470" spans="2:8" x14ac:dyDescent="0.25">
      <c r="B470" s="161"/>
      <c r="C470" s="161"/>
      <c r="D470" s="161"/>
      <c r="E470" s="161"/>
      <c r="F470" s="161"/>
      <c r="G470" s="161"/>
      <c r="H470" s="161"/>
    </row>
    <row r="471" spans="2:8" x14ac:dyDescent="0.25">
      <c r="B471" s="161"/>
      <c r="C471" s="161"/>
      <c r="D471" s="161"/>
      <c r="E471" s="161"/>
      <c r="F471" s="161"/>
      <c r="G471" s="161"/>
      <c r="H471" s="161"/>
    </row>
    <row r="472" spans="2:8" x14ac:dyDescent="0.25">
      <c r="B472" s="161"/>
      <c r="C472" s="161"/>
      <c r="D472" s="161"/>
      <c r="E472" s="161"/>
      <c r="F472" s="161"/>
      <c r="G472" s="161"/>
      <c r="H472" s="161"/>
    </row>
    <row r="473" spans="2:8" x14ac:dyDescent="0.25">
      <c r="B473" s="161"/>
      <c r="C473" s="161"/>
      <c r="D473" s="161"/>
      <c r="E473" s="161"/>
      <c r="F473" s="161"/>
      <c r="G473" s="161"/>
      <c r="H473" s="161"/>
    </row>
    <row r="474" spans="2:8" x14ac:dyDescent="0.25">
      <c r="B474" s="161"/>
      <c r="C474" s="161"/>
      <c r="D474" s="161"/>
      <c r="E474" s="161"/>
      <c r="F474" s="161"/>
      <c r="G474" s="161"/>
      <c r="H474" s="161"/>
    </row>
    <row r="475" spans="2:8" x14ac:dyDescent="0.25">
      <c r="B475" s="161"/>
      <c r="C475" s="161"/>
      <c r="D475" s="161"/>
      <c r="E475" s="161"/>
      <c r="F475" s="161"/>
      <c r="G475" s="161"/>
      <c r="H475" s="161"/>
    </row>
    <row r="476" spans="2:8" x14ac:dyDescent="0.25">
      <c r="B476" s="161"/>
      <c r="C476" s="161"/>
      <c r="D476" s="161"/>
      <c r="E476" s="161"/>
      <c r="F476" s="161"/>
      <c r="G476" s="161"/>
      <c r="H476" s="161"/>
    </row>
    <row r="477" spans="2:8" x14ac:dyDescent="0.25">
      <c r="B477" s="161"/>
      <c r="C477" s="161"/>
      <c r="D477" s="161"/>
      <c r="E477" s="161"/>
      <c r="F477" s="161"/>
      <c r="G477" s="161"/>
      <c r="H477" s="161"/>
    </row>
    <row r="478" spans="2:8" x14ac:dyDescent="0.25">
      <c r="B478" s="161"/>
      <c r="C478" s="161"/>
      <c r="D478" s="161"/>
      <c r="E478" s="161"/>
      <c r="F478" s="161"/>
      <c r="G478" s="161"/>
      <c r="H478" s="161"/>
    </row>
    <row r="479" spans="2:8" x14ac:dyDescent="0.25">
      <c r="B479" s="161"/>
      <c r="C479" s="161"/>
      <c r="D479" s="161"/>
      <c r="E479" s="161"/>
      <c r="F479" s="161"/>
      <c r="G479" s="161"/>
      <c r="H479" s="161"/>
    </row>
    <row r="480" spans="2:8" x14ac:dyDescent="0.25">
      <c r="B480" s="161"/>
      <c r="C480" s="161"/>
      <c r="D480" s="161"/>
      <c r="E480" s="161"/>
      <c r="F480" s="161"/>
      <c r="G480" s="161"/>
      <c r="H480" s="161"/>
    </row>
    <row r="481" spans="2:8" x14ac:dyDescent="0.25">
      <c r="B481" s="161"/>
      <c r="C481" s="161"/>
      <c r="D481" s="161"/>
      <c r="E481" s="161"/>
      <c r="F481" s="161"/>
      <c r="G481" s="161"/>
      <c r="H481" s="161"/>
    </row>
    <row r="482" spans="2:8" x14ac:dyDescent="0.25">
      <c r="B482" s="161"/>
      <c r="C482" s="161"/>
      <c r="D482" s="161"/>
      <c r="E482" s="161"/>
      <c r="F482" s="161"/>
      <c r="G482" s="161"/>
      <c r="H482" s="161"/>
    </row>
    <row r="483" spans="2:8" x14ac:dyDescent="0.25">
      <c r="B483" s="161"/>
      <c r="C483" s="161"/>
      <c r="D483" s="161"/>
      <c r="E483" s="161"/>
      <c r="F483" s="161"/>
      <c r="G483" s="161"/>
      <c r="H483" s="161"/>
    </row>
    <row r="484" spans="2:8" x14ac:dyDescent="0.25">
      <c r="B484" s="161"/>
      <c r="C484" s="161"/>
      <c r="D484" s="161"/>
      <c r="E484" s="161"/>
      <c r="F484" s="161"/>
      <c r="G484" s="161"/>
      <c r="H484" s="161"/>
    </row>
    <row r="485" spans="2:8" x14ac:dyDescent="0.25">
      <c r="B485" s="161"/>
      <c r="C485" s="161"/>
      <c r="D485" s="161"/>
      <c r="E485" s="161"/>
      <c r="F485" s="161"/>
      <c r="G485" s="161"/>
      <c r="H485" s="161"/>
    </row>
    <row r="486" spans="2:8" x14ac:dyDescent="0.25">
      <c r="B486" s="161"/>
      <c r="C486" s="161"/>
      <c r="D486" s="161"/>
      <c r="E486" s="161"/>
      <c r="F486" s="161"/>
      <c r="G486" s="161"/>
      <c r="H486" s="161"/>
    </row>
    <row r="487" spans="2:8" x14ac:dyDescent="0.25">
      <c r="B487" s="161"/>
      <c r="C487" s="161"/>
      <c r="D487" s="161"/>
      <c r="E487" s="161"/>
      <c r="F487" s="161"/>
      <c r="G487" s="161"/>
      <c r="H487" s="161"/>
    </row>
    <row r="488" spans="2:8" x14ac:dyDescent="0.25">
      <c r="B488" s="161"/>
      <c r="C488" s="161"/>
      <c r="D488" s="161"/>
      <c r="E488" s="161"/>
      <c r="F488" s="161"/>
      <c r="G488" s="161"/>
      <c r="H488" s="161"/>
    </row>
    <row r="489" spans="2:8" x14ac:dyDescent="0.25">
      <c r="B489" s="161"/>
      <c r="C489" s="161"/>
      <c r="D489" s="161"/>
      <c r="E489" s="161"/>
      <c r="F489" s="161"/>
      <c r="G489" s="161"/>
      <c r="H489" s="161"/>
    </row>
    <row r="490" spans="2:8" x14ac:dyDescent="0.25">
      <c r="B490" s="161"/>
      <c r="C490" s="161"/>
      <c r="D490" s="161"/>
      <c r="E490" s="161"/>
      <c r="F490" s="161"/>
      <c r="G490" s="161"/>
      <c r="H490" s="161"/>
    </row>
    <row r="491" spans="2:8" x14ac:dyDescent="0.25">
      <c r="B491" s="161"/>
      <c r="C491" s="161"/>
      <c r="D491" s="161"/>
      <c r="E491" s="161"/>
      <c r="F491" s="161"/>
      <c r="G491" s="161"/>
      <c r="H491" s="161"/>
    </row>
    <row r="492" spans="2:8" x14ac:dyDescent="0.25">
      <c r="B492" s="161"/>
      <c r="C492" s="161"/>
      <c r="D492" s="161"/>
      <c r="E492" s="161"/>
      <c r="F492" s="161"/>
      <c r="G492" s="161"/>
      <c r="H492" s="161"/>
    </row>
    <row r="493" spans="2:8" x14ac:dyDescent="0.25">
      <c r="B493" s="161"/>
      <c r="C493" s="161"/>
      <c r="D493" s="161"/>
      <c r="E493" s="161"/>
      <c r="F493" s="161"/>
      <c r="G493" s="161"/>
      <c r="H493" s="161"/>
    </row>
    <row r="494" spans="2:8" x14ac:dyDescent="0.25">
      <c r="B494" s="161"/>
      <c r="C494" s="161"/>
      <c r="D494" s="161"/>
      <c r="E494" s="161"/>
      <c r="F494" s="161"/>
      <c r="G494" s="161"/>
      <c r="H494" s="161"/>
    </row>
    <row r="495" spans="2:8" x14ac:dyDescent="0.25">
      <c r="B495" s="161"/>
      <c r="C495" s="161"/>
      <c r="D495" s="161"/>
      <c r="E495" s="161"/>
      <c r="F495" s="161"/>
      <c r="G495" s="161"/>
      <c r="H495" s="161"/>
    </row>
    <row r="496" spans="2:8" x14ac:dyDescent="0.25">
      <c r="B496" s="161"/>
      <c r="C496" s="161"/>
      <c r="D496" s="161"/>
      <c r="E496" s="161"/>
      <c r="F496" s="161"/>
      <c r="G496" s="161"/>
      <c r="H496" s="161"/>
    </row>
    <row r="497" spans="2:8" x14ac:dyDescent="0.25">
      <c r="B497" s="161"/>
      <c r="C497" s="161"/>
      <c r="D497" s="161"/>
      <c r="E497" s="161"/>
      <c r="F497" s="161"/>
      <c r="G497" s="161"/>
      <c r="H497" s="161"/>
    </row>
    <row r="498" spans="2:8" x14ac:dyDescent="0.25">
      <c r="B498" s="161"/>
      <c r="C498" s="161"/>
      <c r="D498" s="161"/>
      <c r="E498" s="161"/>
      <c r="F498" s="161"/>
      <c r="G498" s="161"/>
      <c r="H498" s="161"/>
    </row>
    <row r="499" spans="2:8" x14ac:dyDescent="0.25">
      <c r="B499" s="161"/>
      <c r="C499" s="161"/>
      <c r="D499" s="161"/>
      <c r="E499" s="161"/>
      <c r="F499" s="161"/>
      <c r="G499" s="161"/>
      <c r="H499" s="161"/>
    </row>
    <row r="500" spans="2:8" x14ac:dyDescent="0.25">
      <c r="B500" s="161"/>
      <c r="C500" s="161"/>
      <c r="D500" s="161"/>
      <c r="E500" s="161"/>
      <c r="F500" s="161"/>
      <c r="G500" s="161"/>
      <c r="H500" s="161"/>
    </row>
    <row r="501" spans="2:8" x14ac:dyDescent="0.25">
      <c r="B501" s="161"/>
      <c r="C501" s="161"/>
      <c r="D501" s="161"/>
      <c r="E501" s="161"/>
      <c r="F501" s="161"/>
      <c r="G501" s="161"/>
      <c r="H501" s="161"/>
    </row>
    <row r="502" spans="2:8" x14ac:dyDescent="0.25">
      <c r="B502" s="161"/>
      <c r="C502" s="161"/>
      <c r="D502" s="161"/>
      <c r="E502" s="161"/>
      <c r="F502" s="161"/>
      <c r="G502" s="161"/>
      <c r="H502" s="161"/>
    </row>
    <row r="503" spans="2:8" x14ac:dyDescent="0.25">
      <c r="B503" s="161"/>
      <c r="C503" s="161"/>
      <c r="D503" s="161"/>
      <c r="E503" s="161"/>
      <c r="F503" s="161"/>
      <c r="G503" s="161"/>
      <c r="H503" s="161"/>
    </row>
    <row r="504" spans="2:8" x14ac:dyDescent="0.25">
      <c r="B504" s="161"/>
      <c r="C504" s="161"/>
      <c r="D504" s="161"/>
      <c r="E504" s="161"/>
      <c r="F504" s="161"/>
      <c r="G504" s="161"/>
      <c r="H504" s="161"/>
    </row>
    <row r="505" spans="2:8" x14ac:dyDescent="0.25">
      <c r="B505" s="161"/>
      <c r="C505" s="161"/>
      <c r="D505" s="161"/>
      <c r="E505" s="161"/>
      <c r="F505" s="161"/>
      <c r="G505" s="161"/>
      <c r="H505" s="161"/>
    </row>
    <row r="506" spans="2:8" x14ac:dyDescent="0.25">
      <c r="B506" s="161"/>
      <c r="C506" s="161"/>
      <c r="D506" s="161"/>
      <c r="E506" s="161"/>
      <c r="F506" s="161"/>
      <c r="G506" s="161"/>
      <c r="H506" s="161"/>
    </row>
    <row r="507" spans="2:8" x14ac:dyDescent="0.25">
      <c r="B507" s="161"/>
      <c r="C507" s="161"/>
      <c r="D507" s="161"/>
      <c r="E507" s="161"/>
      <c r="F507" s="161"/>
      <c r="G507" s="161"/>
      <c r="H507" s="161"/>
    </row>
    <row r="508" spans="2:8" x14ac:dyDescent="0.25">
      <c r="B508" s="161"/>
      <c r="C508" s="161"/>
      <c r="D508" s="161"/>
      <c r="E508" s="161"/>
      <c r="F508" s="161"/>
      <c r="G508" s="161"/>
      <c r="H508" s="161"/>
    </row>
    <row r="509" spans="2:8" x14ac:dyDescent="0.25">
      <c r="B509" s="161"/>
      <c r="C509" s="161"/>
      <c r="D509" s="161"/>
      <c r="E509" s="161"/>
      <c r="F509" s="161"/>
      <c r="G509" s="161"/>
      <c r="H509" s="161"/>
    </row>
    <row r="510" spans="2:8" x14ac:dyDescent="0.25">
      <c r="B510" s="161"/>
      <c r="C510" s="161"/>
      <c r="D510" s="161"/>
      <c r="E510" s="161"/>
      <c r="F510" s="161"/>
      <c r="G510" s="161"/>
      <c r="H510" s="161"/>
    </row>
    <row r="511" spans="2:8" x14ac:dyDescent="0.25">
      <c r="B511" s="161"/>
      <c r="C511" s="161"/>
      <c r="D511" s="161"/>
      <c r="E511" s="161"/>
      <c r="F511" s="161"/>
      <c r="G511" s="161"/>
      <c r="H511" s="161"/>
    </row>
    <row r="512" spans="2:8" x14ac:dyDescent="0.25">
      <c r="B512" s="161"/>
      <c r="C512" s="161"/>
      <c r="D512" s="161"/>
      <c r="E512" s="161"/>
      <c r="F512" s="161"/>
      <c r="G512" s="161"/>
      <c r="H512" s="161"/>
    </row>
    <row r="513" spans="2:8" x14ac:dyDescent="0.25">
      <c r="B513" s="161"/>
      <c r="C513" s="161"/>
      <c r="D513" s="161"/>
      <c r="E513" s="161"/>
      <c r="F513" s="161"/>
      <c r="G513" s="161"/>
      <c r="H513" s="161"/>
    </row>
    <row r="514" spans="2:8" x14ac:dyDescent="0.25">
      <c r="B514" s="161"/>
      <c r="C514" s="161"/>
      <c r="D514" s="161"/>
      <c r="E514" s="161"/>
      <c r="F514" s="161"/>
      <c r="G514" s="161"/>
      <c r="H514" s="161"/>
    </row>
    <row r="515" spans="2:8" x14ac:dyDescent="0.25">
      <c r="B515" s="161"/>
      <c r="C515" s="161"/>
      <c r="D515" s="161"/>
      <c r="E515" s="161"/>
      <c r="F515" s="161"/>
      <c r="G515" s="161"/>
      <c r="H515" s="161"/>
    </row>
    <row r="516" spans="2:8" x14ac:dyDescent="0.25">
      <c r="B516" s="161"/>
      <c r="C516" s="161"/>
      <c r="D516" s="161"/>
      <c r="E516" s="161"/>
      <c r="F516" s="161"/>
      <c r="G516" s="161"/>
      <c r="H516" s="161"/>
    </row>
    <row r="517" spans="2:8" x14ac:dyDescent="0.25">
      <c r="B517" s="161"/>
      <c r="C517" s="161"/>
      <c r="D517" s="161"/>
      <c r="E517" s="161"/>
      <c r="F517" s="161"/>
      <c r="G517" s="161"/>
      <c r="H517" s="161"/>
    </row>
    <row r="518" spans="2:8" x14ac:dyDescent="0.25">
      <c r="B518" s="161"/>
      <c r="C518" s="161"/>
      <c r="D518" s="161"/>
      <c r="E518" s="161"/>
      <c r="F518" s="161"/>
      <c r="G518" s="161"/>
      <c r="H518" s="161"/>
    </row>
    <row r="519" spans="2:8" x14ac:dyDescent="0.25">
      <c r="B519" s="161"/>
      <c r="C519" s="161"/>
      <c r="D519" s="161"/>
      <c r="E519" s="161"/>
      <c r="F519" s="161"/>
      <c r="G519" s="161"/>
      <c r="H519" s="161"/>
    </row>
    <row r="520" spans="2:8" x14ac:dyDescent="0.25">
      <c r="B520" s="161"/>
      <c r="C520" s="161"/>
      <c r="D520" s="161"/>
      <c r="E520" s="161"/>
      <c r="F520" s="161"/>
      <c r="G520" s="161"/>
      <c r="H520" s="161"/>
    </row>
    <row r="521" spans="2:8" x14ac:dyDescent="0.25">
      <c r="B521" s="161"/>
      <c r="C521" s="161"/>
      <c r="D521" s="161"/>
      <c r="E521" s="161"/>
      <c r="F521" s="161"/>
      <c r="G521" s="161"/>
      <c r="H521" s="161"/>
    </row>
    <row r="522" spans="2:8" x14ac:dyDescent="0.25">
      <c r="B522" s="161"/>
      <c r="C522" s="161"/>
      <c r="D522" s="161"/>
      <c r="E522" s="161"/>
      <c r="F522" s="161"/>
      <c r="G522" s="161"/>
      <c r="H522" s="161"/>
    </row>
    <row r="523" spans="2:8" x14ac:dyDescent="0.25">
      <c r="B523" s="161"/>
      <c r="C523" s="161"/>
      <c r="D523" s="161"/>
      <c r="E523" s="161"/>
      <c r="F523" s="161"/>
      <c r="G523" s="161"/>
      <c r="H523" s="161"/>
    </row>
    <row r="524" spans="2:8" x14ac:dyDescent="0.25">
      <c r="B524" s="161"/>
      <c r="C524" s="161"/>
      <c r="D524" s="161"/>
      <c r="E524" s="161"/>
      <c r="F524" s="161"/>
      <c r="G524" s="161"/>
      <c r="H524" s="161"/>
    </row>
    <row r="525" spans="2:8" x14ac:dyDescent="0.25">
      <c r="B525" s="161"/>
      <c r="C525" s="161"/>
      <c r="D525" s="161"/>
      <c r="E525" s="161"/>
      <c r="F525" s="161"/>
      <c r="G525" s="161"/>
      <c r="H525" s="161"/>
    </row>
    <row r="526" spans="2:8" x14ac:dyDescent="0.25">
      <c r="B526" s="161"/>
      <c r="C526" s="161"/>
      <c r="D526" s="161"/>
      <c r="E526" s="161"/>
      <c r="F526" s="161"/>
      <c r="G526" s="161"/>
      <c r="H526" s="161"/>
    </row>
    <row r="527" spans="2:8" x14ac:dyDescent="0.25">
      <c r="B527" s="161"/>
      <c r="C527" s="161"/>
      <c r="D527" s="161"/>
      <c r="E527" s="161"/>
      <c r="F527" s="161"/>
      <c r="G527" s="161"/>
      <c r="H527" s="161"/>
    </row>
    <row r="528" spans="2:8" x14ac:dyDescent="0.25">
      <c r="B528" s="161"/>
      <c r="C528" s="161"/>
      <c r="D528" s="161"/>
      <c r="E528" s="161"/>
      <c r="F528" s="161"/>
      <c r="G528" s="161"/>
      <c r="H528" s="161"/>
    </row>
    <row r="529" spans="2:8" x14ac:dyDescent="0.25">
      <c r="B529" s="161"/>
      <c r="C529" s="161"/>
      <c r="D529" s="161"/>
      <c r="E529" s="161"/>
      <c r="F529" s="161"/>
      <c r="G529" s="161"/>
      <c r="H529" s="161"/>
    </row>
    <row r="530" spans="2:8" x14ac:dyDescent="0.25">
      <c r="B530" s="161"/>
      <c r="C530" s="161"/>
      <c r="D530" s="161"/>
      <c r="E530" s="161"/>
      <c r="F530" s="161"/>
      <c r="G530" s="161"/>
      <c r="H530" s="161"/>
    </row>
    <row r="531" spans="2:8" x14ac:dyDescent="0.25">
      <c r="B531" s="161"/>
      <c r="C531" s="161"/>
      <c r="D531" s="161"/>
      <c r="E531" s="161"/>
      <c r="F531" s="161"/>
      <c r="G531" s="161"/>
      <c r="H531" s="161"/>
    </row>
    <row r="532" spans="2:8" x14ac:dyDescent="0.25">
      <c r="B532" s="161"/>
      <c r="C532" s="161"/>
      <c r="D532" s="161"/>
      <c r="E532" s="161"/>
      <c r="F532" s="161"/>
      <c r="G532" s="161"/>
      <c r="H532" s="161"/>
    </row>
    <row r="533" spans="2:8" x14ac:dyDescent="0.25">
      <c r="B533" s="161"/>
      <c r="C533" s="161"/>
      <c r="D533" s="161"/>
      <c r="E533" s="161"/>
      <c r="F533" s="161"/>
      <c r="G533" s="161"/>
      <c r="H533" s="161"/>
    </row>
    <row r="534" spans="2:8" x14ac:dyDescent="0.25">
      <c r="B534" s="161"/>
      <c r="C534" s="161"/>
      <c r="D534" s="161"/>
      <c r="E534" s="161"/>
      <c r="F534" s="161"/>
      <c r="G534" s="161"/>
      <c r="H534" s="161"/>
    </row>
    <row r="535" spans="2:8" x14ac:dyDescent="0.25">
      <c r="B535" s="161"/>
      <c r="C535" s="161"/>
      <c r="D535" s="161"/>
      <c r="E535" s="161"/>
      <c r="F535" s="161"/>
      <c r="G535" s="161"/>
      <c r="H535" s="161"/>
    </row>
    <row r="536" spans="2:8" x14ac:dyDescent="0.25">
      <c r="B536" s="161"/>
      <c r="C536" s="161"/>
      <c r="D536" s="161"/>
      <c r="E536" s="161"/>
      <c r="F536" s="161"/>
      <c r="G536" s="161"/>
      <c r="H536" s="161"/>
    </row>
    <row r="537" spans="2:8" x14ac:dyDescent="0.25">
      <c r="B537" s="161"/>
      <c r="C537" s="161"/>
      <c r="D537" s="161"/>
      <c r="E537" s="161"/>
      <c r="F537" s="161"/>
      <c r="G537" s="161"/>
      <c r="H537" s="161"/>
    </row>
    <row r="538" spans="2:8" x14ac:dyDescent="0.25">
      <c r="B538" s="161"/>
      <c r="C538" s="161"/>
      <c r="D538" s="161"/>
      <c r="E538" s="161"/>
      <c r="F538" s="161"/>
      <c r="G538" s="161"/>
      <c r="H538" s="161"/>
    </row>
    <row r="539" spans="2:8" x14ac:dyDescent="0.25">
      <c r="B539" s="161"/>
      <c r="C539" s="161"/>
      <c r="D539" s="161"/>
      <c r="E539" s="161"/>
      <c r="F539" s="161"/>
      <c r="G539" s="161"/>
      <c r="H539" s="161"/>
    </row>
    <row r="540" spans="2:8" x14ac:dyDescent="0.25">
      <c r="B540" s="161"/>
      <c r="C540" s="161"/>
      <c r="D540" s="161"/>
      <c r="E540" s="161"/>
      <c r="F540" s="161"/>
      <c r="G540" s="161"/>
      <c r="H540" s="161"/>
    </row>
    <row r="541" spans="2:8" x14ac:dyDescent="0.25">
      <c r="B541" s="161"/>
      <c r="C541" s="161"/>
      <c r="D541" s="161"/>
      <c r="E541" s="161"/>
      <c r="F541" s="161"/>
      <c r="G541" s="161"/>
      <c r="H541" s="161"/>
    </row>
    <row r="542" spans="2:8" x14ac:dyDescent="0.25">
      <c r="B542" s="161"/>
      <c r="C542" s="161"/>
      <c r="D542" s="161"/>
      <c r="E542" s="161"/>
      <c r="F542" s="161"/>
      <c r="G542" s="161"/>
      <c r="H542" s="161"/>
    </row>
    <row r="543" spans="2:8" x14ac:dyDescent="0.25">
      <c r="B543" s="161"/>
      <c r="C543" s="161"/>
      <c r="D543" s="161"/>
      <c r="E543" s="161"/>
      <c r="F543" s="161"/>
      <c r="G543" s="161"/>
      <c r="H543" s="161"/>
    </row>
    <row r="544" spans="2:8" x14ac:dyDescent="0.25">
      <c r="B544" s="161"/>
      <c r="C544" s="161"/>
      <c r="D544" s="161"/>
      <c r="E544" s="161"/>
      <c r="F544" s="161"/>
      <c r="G544" s="161"/>
      <c r="H544" s="161"/>
    </row>
    <row r="545" spans="2:8" x14ac:dyDescent="0.25">
      <c r="B545" s="161"/>
      <c r="C545" s="161"/>
      <c r="D545" s="161"/>
      <c r="E545" s="161"/>
      <c r="F545" s="161"/>
      <c r="G545" s="161"/>
      <c r="H545" s="161"/>
    </row>
    <row r="546" spans="2:8" x14ac:dyDescent="0.25">
      <c r="B546" s="161"/>
      <c r="C546" s="161"/>
      <c r="D546" s="161"/>
      <c r="E546" s="161"/>
      <c r="F546" s="161"/>
      <c r="G546" s="161"/>
      <c r="H546" s="161"/>
    </row>
    <row r="547" spans="2:8" x14ac:dyDescent="0.25">
      <c r="B547" s="161"/>
      <c r="C547" s="161"/>
      <c r="D547" s="161"/>
      <c r="E547" s="161"/>
      <c r="F547" s="161"/>
      <c r="G547" s="161"/>
      <c r="H547" s="161"/>
    </row>
    <row r="548" spans="2:8" x14ac:dyDescent="0.25">
      <c r="B548" s="161"/>
      <c r="C548" s="161"/>
      <c r="D548" s="161"/>
      <c r="E548" s="161"/>
      <c r="F548" s="161"/>
      <c r="G548" s="161"/>
      <c r="H548" s="161"/>
    </row>
    <row r="549" spans="2:8" x14ac:dyDescent="0.25">
      <c r="B549" s="161"/>
      <c r="C549" s="161"/>
      <c r="D549" s="161"/>
      <c r="E549" s="161"/>
      <c r="F549" s="161"/>
      <c r="G549" s="161"/>
      <c r="H549" s="161"/>
    </row>
  </sheetData>
  <mergeCells count="1075">
    <mergeCell ref="B415:C415"/>
    <mergeCell ref="E415:F415"/>
    <mergeCell ref="G415:H415"/>
    <mergeCell ref="B416:C416"/>
    <mergeCell ref="E416:F416"/>
    <mergeCell ref="G416:H416"/>
    <mergeCell ref="B413:C413"/>
    <mergeCell ref="E413:F413"/>
    <mergeCell ref="G413:H413"/>
    <mergeCell ref="B414:C414"/>
    <mergeCell ref="E414:F414"/>
    <mergeCell ref="G414:H414"/>
    <mergeCell ref="B411:C411"/>
    <mergeCell ref="E411:F411"/>
    <mergeCell ref="G411:H411"/>
    <mergeCell ref="B412:C412"/>
    <mergeCell ref="E412:F412"/>
    <mergeCell ref="G412:H412"/>
    <mergeCell ref="B409:C409"/>
    <mergeCell ref="E409:F409"/>
    <mergeCell ref="G409:H409"/>
    <mergeCell ref="B410:C410"/>
    <mergeCell ref="E410:F410"/>
    <mergeCell ref="G410:H410"/>
    <mergeCell ref="B407:C407"/>
    <mergeCell ref="E407:F407"/>
    <mergeCell ref="G407:H407"/>
    <mergeCell ref="B408:C408"/>
    <mergeCell ref="E408:F408"/>
    <mergeCell ref="G408:H408"/>
    <mergeCell ref="B405:C405"/>
    <mergeCell ref="E405:F405"/>
    <mergeCell ref="G405:H405"/>
    <mergeCell ref="B406:C406"/>
    <mergeCell ref="E406:F406"/>
    <mergeCell ref="G406:H406"/>
    <mergeCell ref="B403:C403"/>
    <mergeCell ref="E403:F403"/>
    <mergeCell ref="G403:H403"/>
    <mergeCell ref="B404:C404"/>
    <mergeCell ref="E404:F404"/>
    <mergeCell ref="G404:H404"/>
    <mergeCell ref="B401:C401"/>
    <mergeCell ref="E401:F401"/>
    <mergeCell ref="G401:H401"/>
    <mergeCell ref="B402:C402"/>
    <mergeCell ref="E402:F402"/>
    <mergeCell ref="G402:H402"/>
    <mergeCell ref="B399:C399"/>
    <mergeCell ref="E399:F399"/>
    <mergeCell ref="G399:H399"/>
    <mergeCell ref="B400:C400"/>
    <mergeCell ref="E400:F400"/>
    <mergeCell ref="G400:H400"/>
    <mergeCell ref="B398:C398"/>
    <mergeCell ref="G387:H387"/>
    <mergeCell ref="G388:H388"/>
    <mergeCell ref="G389:H389"/>
    <mergeCell ref="G390:H390"/>
    <mergeCell ref="G391:H391"/>
    <mergeCell ref="G392:H392"/>
    <mergeCell ref="G381:H381"/>
    <mergeCell ref="G382:H382"/>
    <mergeCell ref="G383:H383"/>
    <mergeCell ref="G384:H384"/>
    <mergeCell ref="G385:H385"/>
    <mergeCell ref="G386:H386"/>
    <mergeCell ref="G375:H375"/>
    <mergeCell ref="G376:H376"/>
    <mergeCell ref="G377:H377"/>
    <mergeCell ref="G378:H378"/>
    <mergeCell ref="G379:H379"/>
    <mergeCell ref="G380:H380"/>
    <mergeCell ref="E396:F396"/>
    <mergeCell ref="E377:F377"/>
    <mergeCell ref="G396:H396"/>
    <mergeCell ref="E375:F375"/>
    <mergeCell ref="E376:F376"/>
    <mergeCell ref="E392:F392"/>
    <mergeCell ref="E393:F393"/>
    <mergeCell ref="E394:F394"/>
    <mergeCell ref="E395:F395"/>
    <mergeCell ref="B379:C379"/>
    <mergeCell ref="B380:C380"/>
    <mergeCell ref="B393:C393"/>
    <mergeCell ref="B394:C394"/>
    <mergeCell ref="E354:F354"/>
    <mergeCell ref="E355:F355"/>
    <mergeCell ref="G393:H393"/>
    <mergeCell ref="G394:H394"/>
    <mergeCell ref="G395:H395"/>
    <mergeCell ref="E356:F356"/>
    <mergeCell ref="E357:F357"/>
    <mergeCell ref="E358:F358"/>
    <mergeCell ref="G369:H369"/>
    <mergeCell ref="G370:H370"/>
    <mergeCell ref="G371:H371"/>
    <mergeCell ref="G372:H372"/>
    <mergeCell ref="G373:H373"/>
    <mergeCell ref="G374:H374"/>
    <mergeCell ref="G363:H363"/>
    <mergeCell ref="G364:H364"/>
    <mergeCell ref="G368:H368"/>
    <mergeCell ref="E372:F372"/>
    <mergeCell ref="E373:F373"/>
    <mergeCell ref="E374:F374"/>
    <mergeCell ref="G365:H365"/>
    <mergeCell ref="G366:H366"/>
    <mergeCell ref="G367:H367"/>
    <mergeCell ref="G359:H359"/>
    <mergeCell ref="G360:H360"/>
    <mergeCell ref="G361:H361"/>
    <mergeCell ref="G362:H362"/>
    <mergeCell ref="G351:H351"/>
    <mergeCell ref="G352:H352"/>
    <mergeCell ref="G353:H353"/>
    <mergeCell ref="G354:H354"/>
    <mergeCell ref="G355:H355"/>
    <mergeCell ref="G356:H356"/>
    <mergeCell ref="G357:H357"/>
    <mergeCell ref="G358:H358"/>
    <mergeCell ref="E390:F390"/>
    <mergeCell ref="E391:F391"/>
    <mergeCell ref="E384:F384"/>
    <mergeCell ref="E385:F385"/>
    <mergeCell ref="E386:F386"/>
    <mergeCell ref="E387:F387"/>
    <mergeCell ref="E388:F388"/>
    <mergeCell ref="E389:F389"/>
    <mergeCell ref="E378:F378"/>
    <mergeCell ref="E379:F379"/>
    <mergeCell ref="E380:F380"/>
    <mergeCell ref="E381:F381"/>
    <mergeCell ref="E382:F382"/>
    <mergeCell ref="E383:F383"/>
    <mergeCell ref="E359:F359"/>
    <mergeCell ref="E366:F366"/>
    <mergeCell ref="E367:F367"/>
    <mergeCell ref="E351:F351"/>
    <mergeCell ref="E352:F352"/>
    <mergeCell ref="E353:F353"/>
    <mergeCell ref="E362:F362"/>
    <mergeCell ref="E363:F363"/>
    <mergeCell ref="E364:F364"/>
    <mergeCell ref="E365:F365"/>
    <mergeCell ref="B395:C395"/>
    <mergeCell ref="B396:C396"/>
    <mergeCell ref="E342:F342"/>
    <mergeCell ref="E343:F343"/>
    <mergeCell ref="E344:F344"/>
    <mergeCell ref="E345:F345"/>
    <mergeCell ref="E346:F346"/>
    <mergeCell ref="E347:F347"/>
    <mergeCell ref="B387:C387"/>
    <mergeCell ref="B388:C388"/>
    <mergeCell ref="B389:C389"/>
    <mergeCell ref="B390:C390"/>
    <mergeCell ref="B391:C391"/>
    <mergeCell ref="B392:C392"/>
    <mergeCell ref="B381:C381"/>
    <mergeCell ref="B382:C382"/>
    <mergeCell ref="B383:C383"/>
    <mergeCell ref="B384:C384"/>
    <mergeCell ref="B385:C385"/>
    <mergeCell ref="B386:C386"/>
    <mergeCell ref="B375:C375"/>
    <mergeCell ref="B376:C376"/>
    <mergeCell ref="B377:C377"/>
    <mergeCell ref="B378:C378"/>
    <mergeCell ref="E368:F368"/>
    <mergeCell ref="E369:F369"/>
    <mergeCell ref="E370:F370"/>
    <mergeCell ref="E371:F371"/>
    <mergeCell ref="E360:F360"/>
    <mergeCell ref="E361:F361"/>
    <mergeCell ref="B369:C369"/>
    <mergeCell ref="B370:C370"/>
    <mergeCell ref="B371:C371"/>
    <mergeCell ref="B372:C372"/>
    <mergeCell ref="B373:C373"/>
    <mergeCell ref="B374:C374"/>
    <mergeCell ref="B363:C363"/>
    <mergeCell ref="B364:C364"/>
    <mergeCell ref="B365:C365"/>
    <mergeCell ref="B366:C366"/>
    <mergeCell ref="B367:C367"/>
    <mergeCell ref="B368:C368"/>
    <mergeCell ref="B357:C357"/>
    <mergeCell ref="B358:C358"/>
    <mergeCell ref="B359:C359"/>
    <mergeCell ref="B360:C360"/>
    <mergeCell ref="B361:C361"/>
    <mergeCell ref="B362:C362"/>
    <mergeCell ref="B351:C351"/>
    <mergeCell ref="B352:C352"/>
    <mergeCell ref="B353:C353"/>
    <mergeCell ref="B354:C354"/>
    <mergeCell ref="B355:C355"/>
    <mergeCell ref="B356:C356"/>
    <mergeCell ref="B345:C345"/>
    <mergeCell ref="B346:C346"/>
    <mergeCell ref="B347:C347"/>
    <mergeCell ref="B348:C348"/>
    <mergeCell ref="B349:C349"/>
    <mergeCell ref="B350:C350"/>
    <mergeCell ref="B341:C341"/>
    <mergeCell ref="E341:F341"/>
    <mergeCell ref="G341:H341"/>
    <mergeCell ref="B342:C342"/>
    <mergeCell ref="B343:C343"/>
    <mergeCell ref="B344:C344"/>
    <mergeCell ref="G345:H345"/>
    <mergeCell ref="G346:H346"/>
    <mergeCell ref="G347:H347"/>
    <mergeCell ref="G348:H348"/>
    <mergeCell ref="G349:H349"/>
    <mergeCell ref="G350:H350"/>
    <mergeCell ref="E348:F348"/>
    <mergeCell ref="E349:F349"/>
    <mergeCell ref="E350:F350"/>
    <mergeCell ref="B335:C335"/>
    <mergeCell ref="E335:F335"/>
    <mergeCell ref="G335:H335"/>
    <mergeCell ref="B336:C336"/>
    <mergeCell ref="E336:F336"/>
    <mergeCell ref="G336:H336"/>
    <mergeCell ref="B333:C333"/>
    <mergeCell ref="E333:F333"/>
    <mergeCell ref="G333:H333"/>
    <mergeCell ref="B334:C334"/>
    <mergeCell ref="E334:F334"/>
    <mergeCell ref="G334:H334"/>
    <mergeCell ref="G342:H342"/>
    <mergeCell ref="G343:H343"/>
    <mergeCell ref="G344:H344"/>
    <mergeCell ref="B331:C331"/>
    <mergeCell ref="E331:F331"/>
    <mergeCell ref="G331:H331"/>
    <mergeCell ref="B332:C332"/>
    <mergeCell ref="E332:F332"/>
    <mergeCell ref="G332:H332"/>
    <mergeCell ref="B340:C340"/>
    <mergeCell ref="B329:C329"/>
    <mergeCell ref="E329:F329"/>
    <mergeCell ref="G329:H329"/>
    <mergeCell ref="B330:C330"/>
    <mergeCell ref="E330:F330"/>
    <mergeCell ref="G330:H330"/>
    <mergeCell ref="B327:C327"/>
    <mergeCell ref="E327:F327"/>
    <mergeCell ref="G327:H327"/>
    <mergeCell ref="B328:C328"/>
    <mergeCell ref="E328:F328"/>
    <mergeCell ref="G328:H328"/>
    <mergeCell ref="B325:C325"/>
    <mergeCell ref="E325:F325"/>
    <mergeCell ref="G325:H325"/>
    <mergeCell ref="B326:C326"/>
    <mergeCell ref="E326:F326"/>
    <mergeCell ref="G326:H326"/>
    <mergeCell ref="B323:C323"/>
    <mergeCell ref="E323:F323"/>
    <mergeCell ref="G323:H323"/>
    <mergeCell ref="B324:C324"/>
    <mergeCell ref="E324:F324"/>
    <mergeCell ref="G324:H324"/>
    <mergeCell ref="B321:C321"/>
    <mergeCell ref="E321:F321"/>
    <mergeCell ref="G321:H321"/>
    <mergeCell ref="B322:C322"/>
    <mergeCell ref="E322:F322"/>
    <mergeCell ref="G322:H322"/>
    <mergeCell ref="G316:H316"/>
    <mergeCell ref="B318:C318"/>
    <mergeCell ref="B319:C319"/>
    <mergeCell ref="E319:F319"/>
    <mergeCell ref="G319:H319"/>
    <mergeCell ref="B320:C320"/>
    <mergeCell ref="E320:F320"/>
    <mergeCell ref="G320:H320"/>
    <mergeCell ref="G310:H310"/>
    <mergeCell ref="G311:H311"/>
    <mergeCell ref="G312:H312"/>
    <mergeCell ref="G313:H313"/>
    <mergeCell ref="G314:H314"/>
    <mergeCell ref="G315:H315"/>
    <mergeCell ref="G304:H304"/>
    <mergeCell ref="G305:H305"/>
    <mergeCell ref="G306:H306"/>
    <mergeCell ref="G307:H307"/>
    <mergeCell ref="G308:H308"/>
    <mergeCell ref="G309:H309"/>
    <mergeCell ref="E313:F313"/>
    <mergeCell ref="E314:F314"/>
    <mergeCell ref="E315:F315"/>
    <mergeCell ref="E316:F316"/>
    <mergeCell ref="G298:H298"/>
    <mergeCell ref="G299:H299"/>
    <mergeCell ref="G300:H300"/>
    <mergeCell ref="G301:H301"/>
    <mergeCell ref="G302:H302"/>
    <mergeCell ref="G303:H303"/>
    <mergeCell ref="E307:F307"/>
    <mergeCell ref="E308:F308"/>
    <mergeCell ref="E309:F309"/>
    <mergeCell ref="E310:F310"/>
    <mergeCell ref="E311:F311"/>
    <mergeCell ref="E312:F312"/>
    <mergeCell ref="E301:F301"/>
    <mergeCell ref="E302:F302"/>
    <mergeCell ref="E303:F303"/>
    <mergeCell ref="E304:F304"/>
    <mergeCell ref="G292:H292"/>
    <mergeCell ref="G293:H293"/>
    <mergeCell ref="G294:H294"/>
    <mergeCell ref="G295:H295"/>
    <mergeCell ref="G296:H296"/>
    <mergeCell ref="G297:H297"/>
    <mergeCell ref="G286:H286"/>
    <mergeCell ref="G287:H287"/>
    <mergeCell ref="G288:H288"/>
    <mergeCell ref="G289:H289"/>
    <mergeCell ref="G290:H290"/>
    <mergeCell ref="G291:H291"/>
    <mergeCell ref="G280:H280"/>
    <mergeCell ref="G281:H281"/>
    <mergeCell ref="G282:H282"/>
    <mergeCell ref="G283:H283"/>
    <mergeCell ref="G284:H284"/>
    <mergeCell ref="G285:H285"/>
    <mergeCell ref="G274:H274"/>
    <mergeCell ref="G275:H275"/>
    <mergeCell ref="G276:H276"/>
    <mergeCell ref="G277:H277"/>
    <mergeCell ref="G278:H278"/>
    <mergeCell ref="G279:H279"/>
    <mergeCell ref="G268:H268"/>
    <mergeCell ref="G269:H269"/>
    <mergeCell ref="G270:H270"/>
    <mergeCell ref="G271:H271"/>
    <mergeCell ref="G272:H272"/>
    <mergeCell ref="G273:H273"/>
    <mergeCell ref="G262:H262"/>
    <mergeCell ref="G263:H263"/>
    <mergeCell ref="G264:H264"/>
    <mergeCell ref="G265:H265"/>
    <mergeCell ref="G266:H266"/>
    <mergeCell ref="G267:H267"/>
    <mergeCell ref="E305:F305"/>
    <mergeCell ref="E306:F306"/>
    <mergeCell ref="E295:F295"/>
    <mergeCell ref="E296:F296"/>
    <mergeCell ref="E297:F297"/>
    <mergeCell ref="E298:F298"/>
    <mergeCell ref="E299:F299"/>
    <mergeCell ref="E300:F300"/>
    <mergeCell ref="E289:F289"/>
    <mergeCell ref="E290:F290"/>
    <mergeCell ref="E291:F291"/>
    <mergeCell ref="E292:F292"/>
    <mergeCell ref="E293:F293"/>
    <mergeCell ref="E294:F294"/>
    <mergeCell ref="E283:F283"/>
    <mergeCell ref="E284:F284"/>
    <mergeCell ref="E285:F285"/>
    <mergeCell ref="E286:F286"/>
    <mergeCell ref="E287:F287"/>
    <mergeCell ref="E288:F288"/>
    <mergeCell ref="E277:F277"/>
    <mergeCell ref="E278:F278"/>
    <mergeCell ref="E279:F279"/>
    <mergeCell ref="E280:F280"/>
    <mergeCell ref="E281:F281"/>
    <mergeCell ref="E282:F282"/>
    <mergeCell ref="E271:F271"/>
    <mergeCell ref="E272:F272"/>
    <mergeCell ref="E273:F273"/>
    <mergeCell ref="E274:F274"/>
    <mergeCell ref="E275:F275"/>
    <mergeCell ref="E276:F276"/>
    <mergeCell ref="B316:C316"/>
    <mergeCell ref="B297:C297"/>
    <mergeCell ref="B286:C286"/>
    <mergeCell ref="B287:C287"/>
    <mergeCell ref="B288:C288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E262:F262"/>
    <mergeCell ref="E263:F263"/>
    <mergeCell ref="E264:F264"/>
    <mergeCell ref="E265:F265"/>
    <mergeCell ref="E266:F266"/>
    <mergeCell ref="E267:F267"/>
    <mergeCell ref="E268:F268"/>
    <mergeCell ref="E269:F269"/>
    <mergeCell ref="E270:F270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68:C268"/>
    <mergeCell ref="B269:C269"/>
    <mergeCell ref="B270:C270"/>
    <mergeCell ref="B271:C271"/>
    <mergeCell ref="B272:C272"/>
    <mergeCell ref="B273:C273"/>
    <mergeCell ref="B262:C262"/>
    <mergeCell ref="B263:C263"/>
    <mergeCell ref="B264:C264"/>
    <mergeCell ref="B265:C265"/>
    <mergeCell ref="B266:C266"/>
    <mergeCell ref="B267:C267"/>
    <mergeCell ref="B256:C256"/>
    <mergeCell ref="E256:F256"/>
    <mergeCell ref="G256:H256"/>
    <mergeCell ref="B238:C238"/>
    <mergeCell ref="B261:C261"/>
    <mergeCell ref="E261:F261"/>
    <mergeCell ref="G261:H261"/>
    <mergeCell ref="B260:C260"/>
    <mergeCell ref="B254:C254"/>
    <mergeCell ref="E254:F254"/>
    <mergeCell ref="G254:H254"/>
    <mergeCell ref="B255:C255"/>
    <mergeCell ref="E255:F255"/>
    <mergeCell ref="G255:H255"/>
    <mergeCell ref="B252:C252"/>
    <mergeCell ref="E252:F252"/>
    <mergeCell ref="G252:H252"/>
    <mergeCell ref="B253:C253"/>
    <mergeCell ref="E253:F253"/>
    <mergeCell ref="G253:H253"/>
    <mergeCell ref="B250:C250"/>
    <mergeCell ref="E250:F250"/>
    <mergeCell ref="G250:H250"/>
    <mergeCell ref="B251:C251"/>
    <mergeCell ref="E251:F251"/>
    <mergeCell ref="G251:H251"/>
    <mergeCell ref="B248:C248"/>
    <mergeCell ref="E248:F248"/>
    <mergeCell ref="G248:H248"/>
    <mergeCell ref="B249:C249"/>
    <mergeCell ref="E249:F249"/>
    <mergeCell ref="G249:H249"/>
    <mergeCell ref="B246:C246"/>
    <mergeCell ref="E246:F246"/>
    <mergeCell ref="G246:H246"/>
    <mergeCell ref="B247:C247"/>
    <mergeCell ref="E247:F247"/>
    <mergeCell ref="G247:H247"/>
    <mergeCell ref="B244:C244"/>
    <mergeCell ref="E244:F244"/>
    <mergeCell ref="G244:H244"/>
    <mergeCell ref="B245:C245"/>
    <mergeCell ref="E245:F245"/>
    <mergeCell ref="G245:H245"/>
    <mergeCell ref="B242:C242"/>
    <mergeCell ref="E242:F242"/>
    <mergeCell ref="G242:H242"/>
    <mergeCell ref="B243:C243"/>
    <mergeCell ref="E243:F243"/>
    <mergeCell ref="G243:H243"/>
    <mergeCell ref="B240:C240"/>
    <mergeCell ref="E240:F240"/>
    <mergeCell ref="G240:H240"/>
    <mergeCell ref="B241:C241"/>
    <mergeCell ref="E241:F241"/>
    <mergeCell ref="G241:H241"/>
    <mergeCell ref="B236:C236"/>
    <mergeCell ref="G236:H236"/>
    <mergeCell ref="B239:C239"/>
    <mergeCell ref="E239:F239"/>
    <mergeCell ref="G239:H239"/>
    <mergeCell ref="B234:C234"/>
    <mergeCell ref="G234:H234"/>
    <mergeCell ref="B235:C235"/>
    <mergeCell ref="G235:H235"/>
    <mergeCell ref="B232:C232"/>
    <mergeCell ref="G232:H232"/>
    <mergeCell ref="B233:C233"/>
    <mergeCell ref="G233:H233"/>
    <mergeCell ref="B230:C230"/>
    <mergeCell ref="G230:H230"/>
    <mergeCell ref="B231:C231"/>
    <mergeCell ref="G231:H231"/>
    <mergeCell ref="B228:C228"/>
    <mergeCell ref="G228:H228"/>
    <mergeCell ref="B229:C229"/>
    <mergeCell ref="G229:H229"/>
    <mergeCell ref="B226:C226"/>
    <mergeCell ref="G226:H226"/>
    <mergeCell ref="B227:C227"/>
    <mergeCell ref="G227:H227"/>
    <mergeCell ref="B224:C224"/>
    <mergeCell ref="G224:H224"/>
    <mergeCell ref="B225:C225"/>
    <mergeCell ref="G225:H225"/>
    <mergeCell ref="B222:C222"/>
    <mergeCell ref="G222:H222"/>
    <mergeCell ref="B223:C223"/>
    <mergeCell ref="G223:H223"/>
    <mergeCell ref="B220:C220"/>
    <mergeCell ref="G220:H220"/>
    <mergeCell ref="B221:C221"/>
    <mergeCell ref="G221:H221"/>
    <mergeCell ref="B218:C218"/>
    <mergeCell ref="G218:H218"/>
    <mergeCell ref="B219:C219"/>
    <mergeCell ref="G219:H219"/>
    <mergeCell ref="B216:C216"/>
    <mergeCell ref="G216:H216"/>
    <mergeCell ref="B217:C217"/>
    <mergeCell ref="G217:H217"/>
    <mergeCell ref="B214:C214"/>
    <mergeCell ref="G214:H214"/>
    <mergeCell ref="B215:C215"/>
    <mergeCell ref="G215:H215"/>
    <mergeCell ref="B212:C212"/>
    <mergeCell ref="G212:H212"/>
    <mergeCell ref="B213:C213"/>
    <mergeCell ref="G213:H213"/>
    <mergeCell ref="B210:C210"/>
    <mergeCell ref="G210:H210"/>
    <mergeCell ref="B211:C211"/>
    <mergeCell ref="G211:H211"/>
    <mergeCell ref="B208:C208"/>
    <mergeCell ref="G208:H208"/>
    <mergeCell ref="B209:C209"/>
    <mergeCell ref="G209:H209"/>
    <mergeCell ref="B206:C206"/>
    <mergeCell ref="G206:H206"/>
    <mergeCell ref="B207:C207"/>
    <mergeCell ref="G207:H207"/>
    <mergeCell ref="B204:C204"/>
    <mergeCell ref="G204:H204"/>
    <mergeCell ref="B205:C205"/>
    <mergeCell ref="G205:H205"/>
    <mergeCell ref="B202:C202"/>
    <mergeCell ref="G202:H202"/>
    <mergeCell ref="B203:C203"/>
    <mergeCell ref="G203:H203"/>
    <mergeCell ref="B200:C200"/>
    <mergeCell ref="G200:H200"/>
    <mergeCell ref="B201:C201"/>
    <mergeCell ref="G201:H201"/>
    <mergeCell ref="B168:C168"/>
    <mergeCell ref="E168:F168"/>
    <mergeCell ref="G168:H168"/>
    <mergeCell ref="B198:C198"/>
    <mergeCell ref="G198:H198"/>
    <mergeCell ref="B199:C199"/>
    <mergeCell ref="G199:H199"/>
    <mergeCell ref="B196:C196"/>
    <mergeCell ref="G196:H196"/>
    <mergeCell ref="B197:C197"/>
    <mergeCell ref="G197:H197"/>
    <mergeCell ref="B194:C194"/>
    <mergeCell ref="G194:H194"/>
    <mergeCell ref="B195:C195"/>
    <mergeCell ref="G195:H195"/>
    <mergeCell ref="B192:C192"/>
    <mergeCell ref="G192:H192"/>
    <mergeCell ref="B193:C193"/>
    <mergeCell ref="G193:H193"/>
    <mergeCell ref="B190:C190"/>
    <mergeCell ref="G190:H190"/>
    <mergeCell ref="B191:C191"/>
    <mergeCell ref="G191:H191"/>
    <mergeCell ref="E144:F144"/>
    <mergeCell ref="E145:F145"/>
    <mergeCell ref="E146:F146"/>
    <mergeCell ref="B188:C188"/>
    <mergeCell ref="G188:H188"/>
    <mergeCell ref="B189:C189"/>
    <mergeCell ref="G189:H189"/>
    <mergeCell ref="B186:C186"/>
    <mergeCell ref="G186:H186"/>
    <mergeCell ref="B187:C187"/>
    <mergeCell ref="G187:H187"/>
    <mergeCell ref="B184:C184"/>
    <mergeCell ref="G184:H184"/>
    <mergeCell ref="B185:C185"/>
    <mergeCell ref="G185:H185"/>
    <mergeCell ref="B182:C182"/>
    <mergeCell ref="G182:H182"/>
    <mergeCell ref="B183:C183"/>
    <mergeCell ref="G183:H183"/>
    <mergeCell ref="G154:H154"/>
    <mergeCell ref="G155:H155"/>
    <mergeCell ref="G156:H156"/>
    <mergeCell ref="G172:H172"/>
    <mergeCell ref="B169:C169"/>
    <mergeCell ref="E169:F169"/>
    <mergeCell ref="G169:H169"/>
    <mergeCell ref="B170:C170"/>
    <mergeCell ref="E170:F170"/>
    <mergeCell ref="G170:H170"/>
    <mergeCell ref="B167:C167"/>
    <mergeCell ref="E167:F167"/>
    <mergeCell ref="G167:H167"/>
    <mergeCell ref="G118:H118"/>
    <mergeCell ref="G119:H119"/>
    <mergeCell ref="G120:H120"/>
    <mergeCell ref="G121:H121"/>
    <mergeCell ref="G122:H122"/>
    <mergeCell ref="G123:H123"/>
    <mergeCell ref="G112:H112"/>
    <mergeCell ref="G113:H113"/>
    <mergeCell ref="G103:H103"/>
    <mergeCell ref="B180:C180"/>
    <mergeCell ref="B181:C181"/>
    <mergeCell ref="E181:F181"/>
    <mergeCell ref="G181:H181"/>
    <mergeCell ref="G148:H148"/>
    <mergeCell ref="G149:H149"/>
    <mergeCell ref="G150:H150"/>
    <mergeCell ref="G151:H151"/>
    <mergeCell ref="G152:H152"/>
    <mergeCell ref="G153:H153"/>
    <mergeCell ref="G142:H142"/>
    <mergeCell ref="G143:H143"/>
    <mergeCell ref="G144:H144"/>
    <mergeCell ref="G145:H145"/>
    <mergeCell ref="G146:H146"/>
    <mergeCell ref="G147:H147"/>
    <mergeCell ref="G136:H136"/>
    <mergeCell ref="G137:H137"/>
    <mergeCell ref="G138:H138"/>
    <mergeCell ref="G139:H139"/>
    <mergeCell ref="G140:H140"/>
    <mergeCell ref="G141:H141"/>
    <mergeCell ref="E150:F150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G130:H130"/>
    <mergeCell ref="G131:H131"/>
    <mergeCell ref="G132:H132"/>
    <mergeCell ref="G133:H133"/>
    <mergeCell ref="G134:H134"/>
    <mergeCell ref="G135:H135"/>
    <mergeCell ref="G124:H124"/>
    <mergeCell ref="G125:H125"/>
    <mergeCell ref="G126:H126"/>
    <mergeCell ref="G127:H127"/>
    <mergeCell ref="G128:H128"/>
    <mergeCell ref="G129:H129"/>
    <mergeCell ref="G114:H114"/>
    <mergeCell ref="G115:H115"/>
    <mergeCell ref="G116:H116"/>
    <mergeCell ref="G117:H117"/>
    <mergeCell ref="E134:F134"/>
    <mergeCell ref="E135:F135"/>
    <mergeCell ref="G104:H104"/>
    <mergeCell ref="G105:H105"/>
    <mergeCell ref="G106:H106"/>
    <mergeCell ref="G107:H107"/>
    <mergeCell ref="G108:H108"/>
    <mergeCell ref="G109:H109"/>
    <mergeCell ref="G110:H110"/>
    <mergeCell ref="G111:H111"/>
    <mergeCell ref="E128:F128"/>
    <mergeCell ref="E129:F129"/>
    <mergeCell ref="E130:F130"/>
    <mergeCell ref="E131:F131"/>
    <mergeCell ref="E132:F132"/>
    <mergeCell ref="E133:F133"/>
    <mergeCell ref="E122:F122"/>
    <mergeCell ref="E123:F123"/>
    <mergeCell ref="E124:F124"/>
    <mergeCell ref="E125:F125"/>
    <mergeCell ref="E126:F126"/>
    <mergeCell ref="E127:F127"/>
    <mergeCell ref="E116:F116"/>
    <mergeCell ref="E117:F117"/>
    <mergeCell ref="E118:F118"/>
    <mergeCell ref="E119:F119"/>
    <mergeCell ref="E120:F120"/>
    <mergeCell ref="E121:F121"/>
    <mergeCell ref="E110:F110"/>
    <mergeCell ref="E111:F111"/>
    <mergeCell ref="E112:F112"/>
    <mergeCell ref="E113:F113"/>
    <mergeCell ref="E114:F114"/>
    <mergeCell ref="E115:F115"/>
    <mergeCell ref="B176:C176"/>
    <mergeCell ref="E176:F176"/>
    <mergeCell ref="G176:H176"/>
    <mergeCell ref="B20:C20"/>
    <mergeCell ref="E104:F104"/>
    <mergeCell ref="E105:F105"/>
    <mergeCell ref="E106:F106"/>
    <mergeCell ref="E107:F107"/>
    <mergeCell ref="E108:F108"/>
    <mergeCell ref="E109:F109"/>
    <mergeCell ref="B155:C155"/>
    <mergeCell ref="B175:C175"/>
    <mergeCell ref="E175:F175"/>
    <mergeCell ref="G175:H175"/>
    <mergeCell ref="E156:F156"/>
    <mergeCell ref="B173:C173"/>
    <mergeCell ref="E173:F173"/>
    <mergeCell ref="G173:H173"/>
    <mergeCell ref="B174:C174"/>
    <mergeCell ref="E174:F174"/>
    <mergeCell ref="G174:H174"/>
    <mergeCell ref="B171:C171"/>
    <mergeCell ref="E171:F171"/>
    <mergeCell ref="G171:H171"/>
    <mergeCell ref="B172:C172"/>
    <mergeCell ref="E172:F172"/>
    <mergeCell ref="B165:C165"/>
    <mergeCell ref="E165:F165"/>
    <mergeCell ref="G165:H165"/>
    <mergeCell ref="B166:C166"/>
    <mergeCell ref="E166:F166"/>
    <mergeCell ref="G166:H166"/>
    <mergeCell ref="B163:C163"/>
    <mergeCell ref="E163:F163"/>
    <mergeCell ref="G163:H163"/>
    <mergeCell ref="B164:C164"/>
    <mergeCell ref="E164:F164"/>
    <mergeCell ref="G164:H164"/>
    <mergeCell ref="B161:C161"/>
    <mergeCell ref="E161:F161"/>
    <mergeCell ref="G161:H161"/>
    <mergeCell ref="B162:C162"/>
    <mergeCell ref="E162:F162"/>
    <mergeCell ref="G162:H162"/>
    <mergeCell ref="B159:C159"/>
    <mergeCell ref="E159:F159"/>
    <mergeCell ref="G159:H159"/>
    <mergeCell ref="B160:C160"/>
    <mergeCell ref="E160:F160"/>
    <mergeCell ref="G160:H160"/>
    <mergeCell ref="B156:C156"/>
    <mergeCell ref="B158:C158"/>
    <mergeCell ref="B153:C153"/>
    <mergeCell ref="B154:C154"/>
    <mergeCell ref="B151:C151"/>
    <mergeCell ref="B152:C152"/>
    <mergeCell ref="B149:C149"/>
    <mergeCell ref="B150:C150"/>
    <mergeCell ref="B147:C147"/>
    <mergeCell ref="B148:C148"/>
    <mergeCell ref="B145:C145"/>
    <mergeCell ref="B146:C146"/>
    <mergeCell ref="E147:F147"/>
    <mergeCell ref="E148:F148"/>
    <mergeCell ref="E149:F149"/>
    <mergeCell ref="E151:F151"/>
    <mergeCell ref="E152:F152"/>
    <mergeCell ref="E153:F153"/>
    <mergeCell ref="E154:F154"/>
    <mergeCell ref="E155:F155"/>
    <mergeCell ref="B143:C143"/>
    <mergeCell ref="B144:C144"/>
    <mergeCell ref="B141:C141"/>
    <mergeCell ref="B142:C142"/>
    <mergeCell ref="B139:C139"/>
    <mergeCell ref="B140:C140"/>
    <mergeCell ref="B137:C137"/>
    <mergeCell ref="B138:C138"/>
    <mergeCell ref="B135:C135"/>
    <mergeCell ref="B136:C136"/>
    <mergeCell ref="B133:C133"/>
    <mergeCell ref="B134:C134"/>
    <mergeCell ref="B131:C131"/>
    <mergeCell ref="B132:C132"/>
    <mergeCell ref="B129:C129"/>
    <mergeCell ref="B130:C130"/>
    <mergeCell ref="B127:C127"/>
    <mergeCell ref="B128:C128"/>
    <mergeCell ref="B125:C125"/>
    <mergeCell ref="B126:C126"/>
    <mergeCell ref="B123:C123"/>
    <mergeCell ref="B124:C124"/>
    <mergeCell ref="B121:C121"/>
    <mergeCell ref="B122:C122"/>
    <mergeCell ref="B119:C119"/>
    <mergeCell ref="B120:C120"/>
    <mergeCell ref="B117:C117"/>
    <mergeCell ref="B118:C118"/>
    <mergeCell ref="B115:C115"/>
    <mergeCell ref="B116:C116"/>
    <mergeCell ref="B113:C113"/>
    <mergeCell ref="B114:C114"/>
    <mergeCell ref="B111:C111"/>
    <mergeCell ref="B112:C112"/>
    <mergeCell ref="B109:C109"/>
    <mergeCell ref="B110:C110"/>
    <mergeCell ref="B107:C107"/>
    <mergeCell ref="B108:C108"/>
    <mergeCell ref="B105:C105"/>
    <mergeCell ref="B106:C106"/>
    <mergeCell ref="B103:C103"/>
    <mergeCell ref="B104:C104"/>
    <mergeCell ref="B101:C101"/>
    <mergeCell ref="E101:F101"/>
    <mergeCell ref="G101:H101"/>
    <mergeCell ref="B102:C102"/>
    <mergeCell ref="B100:C100"/>
    <mergeCell ref="E102:F102"/>
    <mergeCell ref="G102:H102"/>
    <mergeCell ref="B95:C95"/>
    <mergeCell ref="E95:F95"/>
    <mergeCell ref="G95:H95"/>
    <mergeCell ref="B96:C96"/>
    <mergeCell ref="E96:F96"/>
    <mergeCell ref="G96:H96"/>
    <mergeCell ref="E103:F103"/>
    <mergeCell ref="B93:C93"/>
    <mergeCell ref="E93:F93"/>
    <mergeCell ref="G93:H93"/>
    <mergeCell ref="B94:C94"/>
    <mergeCell ref="E94:F94"/>
    <mergeCell ref="G94:H94"/>
    <mergeCell ref="B91:C91"/>
    <mergeCell ref="E91:F91"/>
    <mergeCell ref="G91:H91"/>
    <mergeCell ref="B92:C92"/>
    <mergeCell ref="E92:F92"/>
    <mergeCell ref="G92:H92"/>
    <mergeCell ref="B89:C89"/>
    <mergeCell ref="E89:F89"/>
    <mergeCell ref="G89:H89"/>
    <mergeCell ref="B90:C90"/>
    <mergeCell ref="E90:F90"/>
    <mergeCell ref="G90:H90"/>
    <mergeCell ref="B87:C87"/>
    <mergeCell ref="E87:F87"/>
    <mergeCell ref="G87:H87"/>
    <mergeCell ref="B88:C88"/>
    <mergeCell ref="E88:F88"/>
    <mergeCell ref="G88:H88"/>
    <mergeCell ref="B85:C85"/>
    <mergeCell ref="E85:F85"/>
    <mergeCell ref="G85:H85"/>
    <mergeCell ref="B86:C86"/>
    <mergeCell ref="E86:F86"/>
    <mergeCell ref="G86:H86"/>
    <mergeCell ref="B83:C83"/>
    <mergeCell ref="E83:F83"/>
    <mergeCell ref="G83:H83"/>
    <mergeCell ref="B84:C84"/>
    <mergeCell ref="E84:F84"/>
    <mergeCell ref="G84:H84"/>
    <mergeCell ref="B81:C81"/>
    <mergeCell ref="E81:F81"/>
    <mergeCell ref="G81:H81"/>
    <mergeCell ref="B82:C82"/>
    <mergeCell ref="E82:F82"/>
    <mergeCell ref="G82:H82"/>
    <mergeCell ref="B78:C78"/>
    <mergeCell ref="B79:C79"/>
    <mergeCell ref="E79:F79"/>
    <mergeCell ref="G79:H79"/>
    <mergeCell ref="B80:C80"/>
    <mergeCell ref="E80:F80"/>
    <mergeCell ref="G80:H80"/>
    <mergeCell ref="B75:C75"/>
    <mergeCell ref="E75:F75"/>
    <mergeCell ref="G75:H75"/>
    <mergeCell ref="B76:C76"/>
    <mergeCell ref="E76:F76"/>
    <mergeCell ref="G76:H76"/>
    <mergeCell ref="B73:C73"/>
    <mergeCell ref="E73:F73"/>
    <mergeCell ref="G73:H73"/>
    <mergeCell ref="B74:C74"/>
    <mergeCell ref="E74:F74"/>
    <mergeCell ref="G74:H74"/>
    <mergeCell ref="B71:C71"/>
    <mergeCell ref="E71:F71"/>
    <mergeCell ref="G71:H71"/>
    <mergeCell ref="B72:C72"/>
    <mergeCell ref="E72:F72"/>
    <mergeCell ref="G72:H72"/>
    <mergeCell ref="B69:C69"/>
    <mergeCell ref="E69:F69"/>
    <mergeCell ref="G69:H69"/>
    <mergeCell ref="B70:C70"/>
    <mergeCell ref="E70:F70"/>
    <mergeCell ref="G70:H70"/>
    <mergeCell ref="B67:C67"/>
    <mergeCell ref="E67:F67"/>
    <mergeCell ref="G67:H67"/>
    <mergeCell ref="B68:C68"/>
    <mergeCell ref="E68:F68"/>
    <mergeCell ref="G68:H68"/>
    <mergeCell ref="B65:C65"/>
    <mergeCell ref="E65:F65"/>
    <mergeCell ref="G65:H65"/>
    <mergeCell ref="B66:C66"/>
    <mergeCell ref="E66:F66"/>
    <mergeCell ref="G66:H66"/>
    <mergeCell ref="B63:C63"/>
    <mergeCell ref="E63:F63"/>
    <mergeCell ref="G63:H63"/>
    <mergeCell ref="B64:C64"/>
    <mergeCell ref="E64:F64"/>
    <mergeCell ref="G64:H64"/>
    <mergeCell ref="B61:C61"/>
    <mergeCell ref="E61:F61"/>
    <mergeCell ref="G61:H61"/>
    <mergeCell ref="B62:C62"/>
    <mergeCell ref="E62:F62"/>
    <mergeCell ref="G62:H62"/>
    <mergeCell ref="B59:C59"/>
    <mergeCell ref="E59:F59"/>
    <mergeCell ref="G59:H59"/>
    <mergeCell ref="B60:C60"/>
    <mergeCell ref="E60:F60"/>
    <mergeCell ref="G60:H60"/>
    <mergeCell ref="B57:C57"/>
    <mergeCell ref="E57:F57"/>
    <mergeCell ref="G57:H57"/>
    <mergeCell ref="B58:C58"/>
    <mergeCell ref="E58:F58"/>
    <mergeCell ref="G58:H58"/>
    <mergeCell ref="B55:C55"/>
    <mergeCell ref="E55:F55"/>
    <mergeCell ref="G55:H55"/>
    <mergeCell ref="B56:C56"/>
    <mergeCell ref="E56:F56"/>
    <mergeCell ref="G56:H56"/>
    <mergeCell ref="B53:C53"/>
    <mergeCell ref="E53:F53"/>
    <mergeCell ref="G53:H53"/>
    <mergeCell ref="B54:C54"/>
    <mergeCell ref="E54:F54"/>
    <mergeCell ref="G54:H54"/>
    <mergeCell ref="B51:C51"/>
    <mergeCell ref="E51:F51"/>
    <mergeCell ref="G51:H51"/>
    <mergeCell ref="B52:C52"/>
    <mergeCell ref="E52:F52"/>
    <mergeCell ref="G52:H52"/>
    <mergeCell ref="B49:C49"/>
    <mergeCell ref="E49:F49"/>
    <mergeCell ref="G49:H49"/>
    <mergeCell ref="B50:C50"/>
    <mergeCell ref="E50:F50"/>
    <mergeCell ref="G50:H50"/>
    <mergeCell ref="B47:C47"/>
    <mergeCell ref="E47:F47"/>
    <mergeCell ref="G47:H47"/>
    <mergeCell ref="B48:C48"/>
    <mergeCell ref="E48:F48"/>
    <mergeCell ref="G48:H48"/>
    <mergeCell ref="B45:C45"/>
    <mergeCell ref="E45:F45"/>
    <mergeCell ref="G45:H45"/>
    <mergeCell ref="B46:C46"/>
    <mergeCell ref="E46:F46"/>
    <mergeCell ref="G46:H46"/>
    <mergeCell ref="B43:C43"/>
    <mergeCell ref="E43:F43"/>
    <mergeCell ref="G43:H43"/>
    <mergeCell ref="B44:C44"/>
    <mergeCell ref="E44:F44"/>
    <mergeCell ref="G44:H44"/>
    <mergeCell ref="B41:C41"/>
    <mergeCell ref="E41:F41"/>
    <mergeCell ref="G41:H41"/>
    <mergeCell ref="B42:C42"/>
    <mergeCell ref="E42:F42"/>
    <mergeCell ref="G42:H42"/>
    <mergeCell ref="B39:C39"/>
    <mergeCell ref="E39:F39"/>
    <mergeCell ref="G39:H39"/>
    <mergeCell ref="B40:C40"/>
    <mergeCell ref="E40:F40"/>
    <mergeCell ref="G40:H40"/>
    <mergeCell ref="B37:C37"/>
    <mergeCell ref="E37:F37"/>
    <mergeCell ref="G37:H37"/>
    <mergeCell ref="B38:C38"/>
    <mergeCell ref="E38:F38"/>
    <mergeCell ref="G38:H38"/>
    <mergeCell ref="B35:C35"/>
    <mergeCell ref="E35:F35"/>
    <mergeCell ref="G35:H35"/>
    <mergeCell ref="B36:C36"/>
    <mergeCell ref="E36:F36"/>
    <mergeCell ref="G36:H36"/>
    <mergeCell ref="B33:C33"/>
    <mergeCell ref="E33:F33"/>
    <mergeCell ref="G33:H33"/>
    <mergeCell ref="B34:C34"/>
    <mergeCell ref="E34:F34"/>
    <mergeCell ref="G34:H34"/>
    <mergeCell ref="B31:C31"/>
    <mergeCell ref="E31:F31"/>
    <mergeCell ref="G31:H31"/>
    <mergeCell ref="B32:C32"/>
    <mergeCell ref="E32:F32"/>
    <mergeCell ref="G32:H32"/>
    <mergeCell ref="B29:C29"/>
    <mergeCell ref="E29:F29"/>
    <mergeCell ref="G29:H29"/>
    <mergeCell ref="B30:C30"/>
    <mergeCell ref="E30:F30"/>
    <mergeCell ref="G30:H30"/>
    <mergeCell ref="B27:C27"/>
    <mergeCell ref="E27:F27"/>
    <mergeCell ref="G27:H27"/>
    <mergeCell ref="B28:C28"/>
    <mergeCell ref="E28:F28"/>
    <mergeCell ref="G28:H28"/>
    <mergeCell ref="B2:E2"/>
    <mergeCell ref="H2:K2"/>
    <mergeCell ref="B4:E4"/>
    <mergeCell ref="H4:K4"/>
    <mergeCell ref="A7:K7"/>
    <mergeCell ref="L16:Q19"/>
    <mergeCell ref="H17:I17"/>
    <mergeCell ref="J17:K17"/>
    <mergeCell ref="A19:K19"/>
    <mergeCell ref="B25:C25"/>
    <mergeCell ref="E25:F25"/>
    <mergeCell ref="G25:H25"/>
    <mergeCell ref="B26:C26"/>
    <mergeCell ref="E26:F26"/>
    <mergeCell ref="G26:H26"/>
    <mergeCell ref="B23:C23"/>
    <mergeCell ref="E23:F23"/>
    <mergeCell ref="G23:H23"/>
    <mergeCell ref="B24:C24"/>
    <mergeCell ref="E24:F24"/>
    <mergeCell ref="G24:H24"/>
    <mergeCell ref="L20:Q21"/>
    <mergeCell ref="B21:C21"/>
    <mergeCell ref="E21:F21"/>
    <mergeCell ref="G21:H21"/>
    <mergeCell ref="B22:C22"/>
    <mergeCell ref="E22:F22"/>
    <mergeCell ref="G22:H22"/>
  </mergeCells>
  <conditionalFormatting sqref="L1:XFD9 L15:XFD15 L10:M14 Q10:XFD14 L16 R16:XFD21 L22:XFD1048576">
    <cfRule type="cellIs" dxfId="170" priority="7" operator="equal">
      <formula>0</formula>
    </cfRule>
  </conditionalFormatting>
  <conditionalFormatting sqref="A550:K1048576">
    <cfRule type="cellIs" dxfId="169" priority="6" operator="equal">
      <formula>0</formula>
    </cfRule>
  </conditionalFormatting>
  <conditionalFormatting sqref="N10:P14">
    <cfRule type="cellIs" dxfId="168" priority="5" operator="equal">
      <formula>0</formula>
    </cfRule>
  </conditionalFormatting>
  <conditionalFormatting sqref="L20">
    <cfRule type="cellIs" dxfId="167" priority="4" operator="equal">
      <formula>0</formula>
    </cfRule>
  </conditionalFormatting>
  <conditionalFormatting sqref="J17:K17">
    <cfRule type="cellIs" dxfId="166" priority="3" operator="equal">
      <formula>"NOT ENTERED"</formula>
    </cfRule>
  </conditionalFormatting>
  <conditionalFormatting sqref="D16:E16">
    <cfRule type="cellIs" dxfId="165" priority="2" operator="equal">
      <formula>"NOT ENTERED"</formula>
    </cfRule>
  </conditionalFormatting>
  <conditionalFormatting sqref="D16">
    <cfRule type="cellIs" dxfId="164" priority="1" operator="equal">
      <formula>""</formula>
    </cfRule>
  </conditionalFormatting>
  <pageMargins left="0.7" right="0.7" top="0.75" bottom="0.75" header="0.3" footer="0.3"/>
  <pageSetup scale="78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theme="3" tint="0.59999389629810485"/>
  </sheetPr>
  <dimension ref="A1:H501"/>
  <sheetViews>
    <sheetView view="pageLayout" zoomScale="130" zoomScaleNormal="100" zoomScaleSheetLayoutView="100" zoomScalePageLayoutView="130" workbookViewId="0"/>
  </sheetViews>
  <sheetFormatPr defaultRowHeight="15" x14ac:dyDescent="0.25"/>
  <cols>
    <col min="1" max="1" width="3.7109375" bestFit="1" customWidth="1"/>
    <col min="3" max="3" width="19.28515625" customWidth="1"/>
    <col min="4" max="4" width="26.5703125" bestFit="1" customWidth="1"/>
    <col min="5" max="5" width="10.28515625" customWidth="1"/>
    <col min="6" max="7" width="15.7109375" customWidth="1"/>
    <col min="8" max="8" width="10.42578125" customWidth="1"/>
  </cols>
  <sheetData>
    <row r="1" spans="1:8" ht="18" customHeight="1" x14ac:dyDescent="0.25">
      <c r="E1" s="221" t="s">
        <v>595</v>
      </c>
      <c r="F1" s="482" t="str">
        <f>IF('Bulk Plant Input'!$B$7="","",'Bulk Plant Input'!$B$7)</f>
        <v/>
      </c>
      <c r="G1" s="474"/>
    </row>
    <row r="2" spans="1:8" ht="18" customHeight="1" x14ac:dyDescent="0.25">
      <c r="E2" s="221" t="s">
        <v>511</v>
      </c>
      <c r="F2" s="474">
        <f ca="1">IF('Bulk Plant Input'!$B$6="","",'Bulk Plant Input'!$B$6)</f>
        <v>43929</v>
      </c>
      <c r="G2" s="474"/>
    </row>
    <row r="3" spans="1:8" ht="18" customHeight="1" x14ac:dyDescent="0.25">
      <c r="E3" s="221" t="s">
        <v>562</v>
      </c>
      <c r="F3" s="474"/>
      <c r="G3" s="474"/>
    </row>
    <row r="4" spans="1:8" ht="18" customHeight="1" x14ac:dyDescent="0.25">
      <c r="E4" s="221" t="s">
        <v>563</v>
      </c>
      <c r="F4" s="474"/>
      <c r="G4" s="474"/>
    </row>
    <row r="5" spans="1:8" ht="18" customHeight="1" x14ac:dyDescent="0.25">
      <c r="E5" s="221" t="s">
        <v>564</v>
      </c>
      <c r="F5" s="475" t="str">
        <f>IF('Bulk Plant Input'!$I$5="","",'Bulk Plant Input'!$I$5)</f>
        <v/>
      </c>
      <c r="G5" s="474"/>
    </row>
    <row r="6" spans="1:8" ht="18" customHeight="1" x14ac:dyDescent="0.25">
      <c r="E6" s="221" t="s">
        <v>565</v>
      </c>
      <c r="F6" s="474"/>
      <c r="G6" s="474"/>
    </row>
    <row r="7" spans="1:8" ht="18" customHeight="1" x14ac:dyDescent="0.25">
      <c r="C7" s="221" t="s">
        <v>566</v>
      </c>
      <c r="D7" s="228" t="str">
        <f>IF('Bulk Plant Input'!$B$3="","",'Bulk Plant Input'!$B$3)</f>
        <v/>
      </c>
    </row>
    <row r="8" spans="1:8" ht="18" customHeight="1" x14ac:dyDescent="0.25">
      <c r="C8" s="221" t="s">
        <v>567</v>
      </c>
      <c r="D8" s="228" t="str">
        <f>IF('Bulk Plant Input'!$B$5="","",'Bulk Plant Input'!$B$5)</f>
        <v/>
      </c>
    </row>
    <row r="9" spans="1:8" ht="18" customHeight="1" x14ac:dyDescent="0.25">
      <c r="C9" s="221" t="s">
        <v>568</v>
      </c>
      <c r="D9" s="57"/>
    </row>
    <row r="10" spans="1:8" ht="18" customHeight="1" x14ac:dyDescent="0.25">
      <c r="C10" s="221" t="s">
        <v>569</v>
      </c>
      <c r="D10" s="228" t="str">
        <f>IF('Bulk Plant Input'!$B$4="","",'Bulk Plant Input'!$B$4)</f>
        <v/>
      </c>
    </row>
    <row r="11" spans="1:8" ht="18" customHeight="1" x14ac:dyDescent="0.25">
      <c r="C11" s="221" t="s">
        <v>570</v>
      </c>
      <c r="D11" s="57"/>
    </row>
    <row r="12" spans="1:8" ht="18" customHeight="1" x14ac:dyDescent="0.25"/>
    <row r="13" spans="1:8" ht="18" customHeight="1" x14ac:dyDescent="0.25">
      <c r="B13" s="13" t="s">
        <v>590</v>
      </c>
    </row>
    <row r="14" spans="1:8" s="215" customFormat="1" x14ac:dyDescent="0.25">
      <c r="A14" s="217"/>
      <c r="B14" s="227" t="s">
        <v>571</v>
      </c>
      <c r="C14" s="227" t="s">
        <v>572</v>
      </c>
      <c r="D14" s="227" t="s">
        <v>573</v>
      </c>
      <c r="E14" s="227" t="s">
        <v>574</v>
      </c>
      <c r="F14" s="477" t="s">
        <v>575</v>
      </c>
      <c r="G14" s="478"/>
      <c r="H14" s="227" t="s">
        <v>576</v>
      </c>
    </row>
    <row r="15" spans="1:8" s="215" customFormat="1" ht="50.1" customHeight="1" x14ac:dyDescent="0.25">
      <c r="A15" s="216" t="s">
        <v>581</v>
      </c>
      <c r="B15" s="107">
        <v>5.7</v>
      </c>
      <c r="C15" s="107" t="str">
        <f>IF(B15="","",'Bulk Plant Input'!$A$19)</f>
        <v>0:1:0 'G'</v>
      </c>
      <c r="D15" s="107" t="s">
        <v>577</v>
      </c>
      <c r="E15" s="217"/>
      <c r="F15" s="479" t="e">
        <f>IF(B15="","",'Blend Assembly'!$E$21)</f>
        <v>#REF!</v>
      </c>
      <c r="G15" s="480"/>
      <c r="H15" s="107">
        <v>25</v>
      </c>
    </row>
    <row r="16" spans="1:8" ht="50.1" customHeight="1" x14ac:dyDescent="0.25">
      <c r="A16" s="216" t="s">
        <v>582</v>
      </c>
      <c r="B16" s="107"/>
      <c r="C16" s="107" t="str">
        <f>IF(B16="","",'Bulk Plant Input'!$A$19)</f>
        <v/>
      </c>
      <c r="D16" s="107"/>
      <c r="E16" s="10"/>
      <c r="F16" s="479" t="str">
        <f>IF(B16="","",'Blend Assembly'!$E$21)</f>
        <v/>
      </c>
      <c r="G16" s="480"/>
      <c r="H16" s="107"/>
    </row>
    <row r="17" spans="1:8" ht="50.1" customHeight="1" x14ac:dyDescent="0.25">
      <c r="A17" s="216" t="s">
        <v>583</v>
      </c>
      <c r="B17" s="107">
        <v>5.7</v>
      </c>
      <c r="C17" s="107" t="str">
        <f>IF(B17="","",'Bulk Plant Input'!$A$19)</f>
        <v>0:1:0 'G'</v>
      </c>
      <c r="D17" s="107" t="s">
        <v>577</v>
      </c>
      <c r="E17" s="10"/>
      <c r="F17" s="479" t="e">
        <f>IF(B17="","",'Blend Assembly'!$E$21)</f>
        <v>#REF!</v>
      </c>
      <c r="G17" s="480"/>
      <c r="H17" s="107">
        <v>25</v>
      </c>
    </row>
    <row r="18" spans="1:8" ht="18" customHeight="1" x14ac:dyDescent="0.25"/>
    <row r="19" spans="1:8" ht="18" customHeight="1" x14ac:dyDescent="0.25"/>
    <row r="20" spans="1:8" ht="18" customHeight="1" x14ac:dyDescent="0.25">
      <c r="C20" s="15" t="s">
        <v>571</v>
      </c>
      <c r="D20" s="220" t="s">
        <v>584</v>
      </c>
      <c r="E20" s="15" t="s">
        <v>574</v>
      </c>
      <c r="F20" s="442" t="s">
        <v>575</v>
      </c>
      <c r="G20" s="442"/>
    </row>
    <row r="21" spans="1:8" ht="18" customHeight="1" x14ac:dyDescent="0.25">
      <c r="C21" s="15">
        <f>IF(SUM(B15:B17)=0,"",SUM(B15:B17))</f>
        <v>11.4</v>
      </c>
      <c r="D21" s="213" t="str">
        <f>'Bulk Plant Input'!A19</f>
        <v>0:1:0 'G'</v>
      </c>
      <c r="E21" s="15">
        <f>IF($C$21="","",IF(F21="","",'Bulk Plant Input'!C23*$C$21))</f>
        <v>17.100000000000001</v>
      </c>
      <c r="F21" s="442" t="str">
        <f>IF('Bulk Plant Input'!A23="","",'Bulk Plant Input'!A23)</f>
        <v>CFR-5</v>
      </c>
      <c r="G21" s="442"/>
    </row>
    <row r="22" spans="1:8" ht="18" customHeight="1" x14ac:dyDescent="0.25">
      <c r="C22" s="10"/>
      <c r="D22" s="213"/>
      <c r="E22" s="15">
        <f>IF($C$21="","",IF(F22="","",'Bulk Plant Input'!C24*$C$21))</f>
        <v>68.400000000000006</v>
      </c>
      <c r="F22" s="442" t="str">
        <f>IF('Bulk Plant Input'!A24="","",'Bulk Plant Input'!A24)</f>
        <v>CFL-4</v>
      </c>
      <c r="G22" s="442"/>
    </row>
    <row r="23" spans="1:8" ht="18" customHeight="1" x14ac:dyDescent="0.25">
      <c r="C23" s="10"/>
      <c r="D23" s="213"/>
      <c r="E23" s="15">
        <f>IF($C$21="","",IF(F23="","",'Bulk Plant Input'!C25*$C$21))</f>
        <v>228</v>
      </c>
      <c r="F23" s="442" t="str">
        <f>IF('Bulk Plant Input'!A25="","",'Bulk Plant Input'!A25)</f>
        <v>FWC-2</v>
      </c>
      <c r="G23" s="442"/>
    </row>
    <row r="24" spans="1:8" ht="18" customHeight="1" x14ac:dyDescent="0.25">
      <c r="C24" s="10"/>
      <c r="D24" s="213"/>
      <c r="E24" s="15">
        <f>IF($C$21="","",IF(F24="","",'Bulk Plant Input'!C26*$C$21))</f>
        <v>17.100000000000001</v>
      </c>
      <c r="F24" s="442" t="str">
        <f>IF('Bulk Plant Input'!A26="","",'Bulk Plant Input'!A26)</f>
        <v>LTR</v>
      </c>
      <c r="G24" s="442"/>
    </row>
    <row r="25" spans="1:8" ht="18" customHeight="1" x14ac:dyDescent="0.25">
      <c r="C25" s="10"/>
      <c r="D25" s="213"/>
      <c r="E25" s="15">
        <f>IF($C$21="","",IF(F25="","",'Bulk Plant Input'!C27*$C$21))</f>
        <v>17.100000000000001</v>
      </c>
      <c r="F25" s="442" t="str">
        <f>IF('Bulk Plant Input'!A27="","",'Bulk Plant Input'!A27)</f>
        <v>CDF-6P</v>
      </c>
      <c r="G25" s="442"/>
    </row>
    <row r="26" spans="1:8" ht="18" customHeight="1" x14ac:dyDescent="0.25">
      <c r="C26" s="10"/>
      <c r="D26" s="213"/>
      <c r="E26" s="15">
        <f>IF($C$21="","",IF(F26="","",'Bulk Plant Input'!C28*$C$21))</f>
        <v>0</v>
      </c>
      <c r="F26" s="442" t="str">
        <f>IF('Bulk Plant Input'!A28="","",'Bulk Plant Input'!A28)</f>
        <v>ASM-3</v>
      </c>
      <c r="G26" s="442"/>
    </row>
    <row r="27" spans="1:8" ht="18" customHeight="1" x14ac:dyDescent="0.25">
      <c r="C27" s="10"/>
      <c r="D27" s="213"/>
      <c r="E27" s="15" t="str">
        <f>IF($C$21="","",IF(F27="","",'Bulk Plant Input'!C29*$C$21))</f>
        <v/>
      </c>
      <c r="F27" s="442" t="str">
        <f>IF('Bulk Plant Input'!A29="","",'Bulk Plant Input'!A29)</f>
        <v/>
      </c>
      <c r="G27" s="442"/>
    </row>
    <row r="28" spans="1:8" ht="18" customHeight="1" x14ac:dyDescent="0.25">
      <c r="C28" s="10"/>
      <c r="D28" s="213"/>
      <c r="E28" s="15" t="str">
        <f>IF($C$21="","",IF(F28="","",'Bulk Plant Input'!C30*$C$21))</f>
        <v/>
      </c>
      <c r="F28" s="442" t="str">
        <f>IF('Bulk Plant Input'!A30="","",'Bulk Plant Input'!A30)</f>
        <v/>
      </c>
      <c r="G28" s="442"/>
    </row>
    <row r="29" spans="1:8" ht="18" customHeight="1" x14ac:dyDescent="0.25">
      <c r="C29" s="10"/>
      <c r="D29" s="213"/>
      <c r="E29" s="15" t="str">
        <f>IF($C$21="","",IF(F29="","",'Bulk Plant Input'!C31*$C$21))</f>
        <v/>
      </c>
      <c r="F29" s="442" t="str">
        <f>IF('Bulk Plant Input'!A31="","",'Bulk Plant Input'!A31)</f>
        <v/>
      </c>
      <c r="G29" s="442"/>
    </row>
    <row r="30" spans="1:8" ht="18" customHeight="1" x14ac:dyDescent="0.25">
      <c r="C30" s="10"/>
      <c r="D30" s="213"/>
      <c r="E30" s="15" t="str">
        <f>IF($C$21="","",IF(F30="","",'Bulk Plant Input'!C32*$C$21))</f>
        <v/>
      </c>
      <c r="F30" s="442" t="str">
        <f>IF('Bulk Plant Input'!A32="","",'Bulk Plant Input'!A32)</f>
        <v/>
      </c>
      <c r="G30" s="442"/>
    </row>
    <row r="31" spans="1:8" ht="18" customHeight="1" x14ac:dyDescent="0.25">
      <c r="C31" s="10"/>
      <c r="D31" s="213"/>
      <c r="E31" s="15" t="str">
        <f>IF($C$21="","",IF(F31="","",'Bulk Plant Input'!C33*$C$21))</f>
        <v/>
      </c>
      <c r="F31" s="442" t="str">
        <f>IF('Bulk Plant Input'!A33="","",'Bulk Plant Input'!A33)</f>
        <v/>
      </c>
      <c r="G31" s="442"/>
    </row>
    <row r="32" spans="1:8" ht="18" customHeight="1" x14ac:dyDescent="0.25">
      <c r="C32" s="10"/>
      <c r="D32" s="213"/>
      <c r="E32" s="15" t="str">
        <f>IF($C$21="","",IF(F32="","",'Bulk Plant Input'!C34*$C$21))</f>
        <v/>
      </c>
      <c r="F32" s="442" t="str">
        <f>IF('Bulk Plant Input'!A34="","",'Bulk Plant Input'!A34)</f>
        <v/>
      </c>
      <c r="G32" s="442"/>
    </row>
    <row r="33" spans="3:8" ht="18" customHeight="1" x14ac:dyDescent="0.25">
      <c r="C33" s="10"/>
      <c r="D33" s="213"/>
      <c r="E33" s="15" t="str">
        <f>IF($C$21="","",IF(F33="","",'Bulk Plant Input'!C35*$C$21))</f>
        <v/>
      </c>
      <c r="F33" s="442" t="str">
        <f>IF('Bulk Plant Input'!A35="","",'Bulk Plant Input'!A35)</f>
        <v/>
      </c>
      <c r="G33" s="442"/>
    </row>
    <row r="34" spans="3:8" ht="18" customHeight="1" x14ac:dyDescent="0.25">
      <c r="C34" s="10"/>
      <c r="D34" s="213"/>
      <c r="E34" s="15" t="str">
        <f>IF($C$21="","",IF(F34="","",'Bulk Plant Input'!C36*$C$21))</f>
        <v/>
      </c>
      <c r="F34" s="442" t="str">
        <f>IF('Bulk Plant Input'!A36="","",'Bulk Plant Input'!A36)</f>
        <v/>
      </c>
      <c r="G34" s="442"/>
    </row>
    <row r="35" spans="3:8" ht="18" customHeight="1" x14ac:dyDescent="0.25">
      <c r="C35" s="10"/>
      <c r="D35" s="213"/>
      <c r="E35" s="15" t="str">
        <f>IF($C$21="","",IF(F35="","",'Bulk Plant Input'!C37*$C$21))</f>
        <v/>
      </c>
      <c r="F35" s="442" t="str">
        <f>IF('Bulk Plant Input'!A37="","",'Bulk Plant Input'!A37)</f>
        <v/>
      </c>
      <c r="G35" s="442"/>
    </row>
    <row r="36" spans="3:8" ht="18" customHeight="1" x14ac:dyDescent="0.25">
      <c r="C36" s="10"/>
      <c r="D36" s="213"/>
      <c r="E36" s="15" t="str">
        <f>IF($C$21="","",IF(F36="","",'Bulk Plant Input'!C38*$C$21))</f>
        <v/>
      </c>
      <c r="F36" s="442" t="str">
        <f>IF('Bulk Plant Input'!A43="","",'Bulk Plant Input'!A43)</f>
        <v/>
      </c>
      <c r="G36" s="442"/>
    </row>
    <row r="37" spans="3:8" ht="18" customHeight="1" x14ac:dyDescent="0.25">
      <c r="C37" s="10"/>
      <c r="D37" s="213"/>
      <c r="E37" s="15" t="str">
        <f>IF($C$21="","",IF(F37="","",'Bulk Plant Input'!C39*$C$21))</f>
        <v/>
      </c>
      <c r="F37" s="442" t="str">
        <f>IF('Bulk Plant Input'!A44="","",'Bulk Plant Input'!A44)</f>
        <v/>
      </c>
      <c r="G37" s="442"/>
    </row>
    <row r="38" spans="3:8" x14ac:dyDescent="0.25">
      <c r="C38" s="224" t="s">
        <v>589</v>
      </c>
      <c r="E38" s="222">
        <f>IF(C21="","Enter Pod Tonnage",SUM(E21:E37)+(C21*1000))</f>
        <v>11747.7</v>
      </c>
      <c r="F38" s="223" t="s">
        <v>585</v>
      </c>
    </row>
    <row r="39" spans="3:8" ht="18" customHeight="1" x14ac:dyDescent="0.25">
      <c r="C39" s="221" t="s">
        <v>588</v>
      </c>
    </row>
    <row r="40" spans="3:8" ht="18" customHeight="1" thickBot="1" x14ac:dyDescent="0.3">
      <c r="C40" s="221" t="s">
        <v>586</v>
      </c>
      <c r="D40" s="218"/>
      <c r="F40" s="221" t="s">
        <v>587</v>
      </c>
      <c r="G40" s="476"/>
      <c r="H40" s="476"/>
    </row>
    <row r="41" spans="3:8" ht="18" customHeight="1" thickBot="1" x14ac:dyDescent="0.3">
      <c r="D41" s="219"/>
      <c r="G41" s="476"/>
      <c r="H41" s="476"/>
    </row>
    <row r="42" spans="3:8" ht="18" customHeight="1" thickBot="1" x14ac:dyDescent="0.3">
      <c r="D42" s="219"/>
      <c r="G42" s="476"/>
      <c r="H42" s="476"/>
    </row>
    <row r="43" spans="3:8" ht="18" customHeight="1" x14ac:dyDescent="0.25"/>
    <row r="44" spans="3:8" ht="18" customHeight="1" x14ac:dyDescent="0.25"/>
    <row r="45" spans="3:8" ht="18" customHeight="1" x14ac:dyDescent="0.25"/>
    <row r="46" spans="3:8" ht="18" customHeight="1" x14ac:dyDescent="0.25"/>
    <row r="47" spans="3:8" ht="18" customHeight="1" x14ac:dyDescent="0.25"/>
    <row r="48" spans="3:8" ht="18" customHeight="1" x14ac:dyDescent="0.25"/>
    <row r="49" spans="1:8" ht="18" customHeight="1" x14ac:dyDescent="0.35">
      <c r="D49" s="483"/>
      <c r="E49" s="483"/>
      <c r="F49" s="483"/>
      <c r="G49" s="483"/>
      <c r="H49" s="483"/>
    </row>
    <row r="50" spans="1:8" ht="18" customHeight="1" x14ac:dyDescent="0.25"/>
    <row r="51" spans="1:8" ht="18" customHeight="1" x14ac:dyDescent="0.25">
      <c r="E51" s="221" t="s">
        <v>595</v>
      </c>
      <c r="F51" s="482" t="str">
        <f>IF('Bulk Plant Input'!$B$7="","",'Bulk Plant Input'!$B$7)</f>
        <v/>
      </c>
      <c r="G51" s="474"/>
    </row>
    <row r="52" spans="1:8" ht="18" customHeight="1" x14ac:dyDescent="0.25">
      <c r="E52" s="221" t="s">
        <v>511</v>
      </c>
      <c r="F52" s="474">
        <f ca="1">IF('Bulk Plant Input'!$B$6="","",'Bulk Plant Input'!$B$6)</f>
        <v>43929</v>
      </c>
      <c r="G52" s="474"/>
    </row>
    <row r="53" spans="1:8" ht="18" customHeight="1" x14ac:dyDescent="0.25">
      <c r="E53" s="221" t="s">
        <v>562</v>
      </c>
      <c r="F53" s="474"/>
      <c r="G53" s="474"/>
    </row>
    <row r="54" spans="1:8" ht="18" customHeight="1" x14ac:dyDescent="0.25">
      <c r="E54" s="221" t="s">
        <v>563</v>
      </c>
      <c r="F54" s="474"/>
      <c r="G54" s="474"/>
    </row>
    <row r="55" spans="1:8" ht="18" customHeight="1" x14ac:dyDescent="0.25">
      <c r="E55" s="221" t="s">
        <v>564</v>
      </c>
      <c r="F55" s="475" t="str">
        <f>IF('Bulk Plant Input'!$I$5="","",'Bulk Plant Input'!$I$5)</f>
        <v/>
      </c>
      <c r="G55" s="474"/>
    </row>
    <row r="56" spans="1:8" ht="18" customHeight="1" x14ac:dyDescent="0.25">
      <c r="E56" s="221" t="s">
        <v>565</v>
      </c>
      <c r="F56" s="474"/>
      <c r="G56" s="474"/>
    </row>
    <row r="57" spans="1:8" ht="18" customHeight="1" x14ac:dyDescent="0.25">
      <c r="C57" s="221" t="s">
        <v>566</v>
      </c>
      <c r="D57" s="228" t="str">
        <f>IF('Bulk Plant Input'!$B$3="","",'Bulk Plant Input'!$B$3)</f>
        <v/>
      </c>
    </row>
    <row r="58" spans="1:8" ht="18" customHeight="1" x14ac:dyDescent="0.25">
      <c r="C58" s="221" t="s">
        <v>567</v>
      </c>
      <c r="D58" s="228" t="str">
        <f>IF('Bulk Plant Input'!$B$5="","",'Bulk Plant Input'!$B$5)</f>
        <v/>
      </c>
    </row>
    <row r="59" spans="1:8" ht="18" customHeight="1" x14ac:dyDescent="0.25">
      <c r="C59" s="221" t="s">
        <v>568</v>
      </c>
      <c r="D59" s="57"/>
    </row>
    <row r="60" spans="1:8" ht="18" customHeight="1" x14ac:dyDescent="0.25">
      <c r="C60" s="221" t="s">
        <v>569</v>
      </c>
      <c r="D60" s="228" t="str">
        <f>IF('Bulk Plant Input'!$B$4="","",'Bulk Plant Input'!$B$4)</f>
        <v/>
      </c>
    </row>
    <row r="61" spans="1:8" ht="18" customHeight="1" x14ac:dyDescent="0.25">
      <c r="C61" s="221" t="s">
        <v>570</v>
      </c>
      <c r="D61" s="57"/>
    </row>
    <row r="62" spans="1:8" ht="18" customHeight="1" x14ac:dyDescent="0.25"/>
    <row r="63" spans="1:8" ht="18" customHeight="1" x14ac:dyDescent="0.25">
      <c r="B63" s="13" t="s">
        <v>591</v>
      </c>
    </row>
    <row r="64" spans="1:8" ht="18" customHeight="1" x14ac:dyDescent="0.25">
      <c r="A64" s="217"/>
      <c r="B64" s="227" t="s">
        <v>571</v>
      </c>
      <c r="C64" s="227" t="s">
        <v>572</v>
      </c>
      <c r="D64" s="227" t="s">
        <v>573</v>
      </c>
      <c r="E64" s="227" t="s">
        <v>574</v>
      </c>
      <c r="F64" s="477" t="s">
        <v>575</v>
      </c>
      <c r="G64" s="478"/>
      <c r="H64" s="227" t="s">
        <v>576</v>
      </c>
    </row>
    <row r="65" spans="1:8" ht="45" customHeight="1" x14ac:dyDescent="0.25">
      <c r="A65" s="216" t="s">
        <v>581</v>
      </c>
      <c r="B65" s="107">
        <v>4.91</v>
      </c>
      <c r="C65" s="107" t="str">
        <f>IF(B65="","",'Bulk Plant Input'!$A$19)</f>
        <v>0:1:0 'G'</v>
      </c>
      <c r="D65" s="107" t="s">
        <v>577</v>
      </c>
      <c r="E65" s="217"/>
      <c r="F65" s="479" t="e">
        <f>IF(B65="","",'Blend Assembly'!$E$21)</f>
        <v>#REF!</v>
      </c>
      <c r="G65" s="480"/>
      <c r="H65" s="217"/>
    </row>
    <row r="66" spans="1:8" ht="45" customHeight="1" x14ac:dyDescent="0.25">
      <c r="A66" s="216" t="s">
        <v>582</v>
      </c>
      <c r="B66" s="107">
        <v>4.91</v>
      </c>
      <c r="C66" s="107" t="str">
        <f>IF(B66="","",'Bulk Plant Input'!$A$19)</f>
        <v>0:1:0 'G'</v>
      </c>
      <c r="D66" s="107" t="s">
        <v>577</v>
      </c>
      <c r="E66" s="10"/>
      <c r="F66" s="479" t="e">
        <f>IF(B66="","",'Blend Assembly'!$E$21)</f>
        <v>#REF!</v>
      </c>
      <c r="G66" s="480"/>
      <c r="H66" s="10"/>
    </row>
    <row r="67" spans="1:8" ht="45" customHeight="1" x14ac:dyDescent="0.25">
      <c r="A67" s="216" t="s">
        <v>583</v>
      </c>
      <c r="B67" s="107">
        <v>4.91</v>
      </c>
      <c r="C67" s="107" t="str">
        <f>IF(B67="","",'Bulk Plant Input'!$A$19)</f>
        <v>0:1:0 'G'</v>
      </c>
      <c r="D67" s="107" t="s">
        <v>577</v>
      </c>
      <c r="E67" s="10"/>
      <c r="F67" s="479" t="e">
        <f>IF(B67="","",'Blend Assembly'!$E$21)</f>
        <v>#REF!</v>
      </c>
      <c r="G67" s="480"/>
      <c r="H67" s="10"/>
    </row>
    <row r="68" spans="1:8" ht="18" customHeight="1" x14ac:dyDescent="0.25"/>
    <row r="69" spans="1:8" ht="18" customHeight="1" x14ac:dyDescent="0.25"/>
    <row r="70" spans="1:8" ht="18" customHeight="1" x14ac:dyDescent="0.25">
      <c r="C70" s="12" t="s">
        <v>571</v>
      </c>
      <c r="D70" s="50" t="s">
        <v>584</v>
      </c>
      <c r="E70" s="12" t="s">
        <v>574</v>
      </c>
      <c r="F70" s="481" t="s">
        <v>575</v>
      </c>
      <c r="G70" s="481"/>
    </row>
    <row r="71" spans="1:8" ht="18" customHeight="1" x14ac:dyDescent="0.25">
      <c r="C71" s="12">
        <f>IF(SUM(B65:B67)=0,"",SUM(B65:B67))</f>
        <v>14.73</v>
      </c>
      <c r="D71" s="225" t="str">
        <f>'Bulk Plant Input'!$A$19</f>
        <v>0:1:0 'G'</v>
      </c>
      <c r="E71" s="12">
        <f>IF($C$71="","",IF(F71="","",'Bulk Plant Input'!C23*$C$71))</f>
        <v>22.094999999999999</v>
      </c>
      <c r="F71" s="481" t="str">
        <f>IF('Bulk Plant Input'!$A$23="","",'Bulk Plant Input'!$A$23)</f>
        <v>CFR-5</v>
      </c>
      <c r="G71" s="481"/>
    </row>
    <row r="72" spans="1:8" ht="18" customHeight="1" x14ac:dyDescent="0.25">
      <c r="C72" s="226"/>
      <c r="D72" s="225"/>
      <c r="E72" s="12">
        <f>IF($C$71="","",IF(F72="","",'Bulk Plant Input'!C24*$C$71))</f>
        <v>88.38</v>
      </c>
      <c r="F72" s="481" t="str">
        <f>IF('Bulk Plant Input'!A24="","",'Bulk Plant Input'!A24)</f>
        <v>CFL-4</v>
      </c>
      <c r="G72" s="481"/>
    </row>
    <row r="73" spans="1:8" ht="18" customHeight="1" x14ac:dyDescent="0.25">
      <c r="C73" s="226"/>
      <c r="D73" s="225"/>
      <c r="E73" s="12">
        <f>IF($C$71="","",IF(F73="","",'Bulk Plant Input'!C25*$C$71))</f>
        <v>294.60000000000002</v>
      </c>
      <c r="F73" s="481" t="str">
        <f>IF('Bulk Plant Input'!A25="","",'Bulk Plant Input'!A25)</f>
        <v>FWC-2</v>
      </c>
      <c r="G73" s="481"/>
    </row>
    <row r="74" spans="1:8" ht="18" customHeight="1" x14ac:dyDescent="0.25">
      <c r="C74" s="226"/>
      <c r="D74" s="225"/>
      <c r="E74" s="12">
        <f>IF($C$71="","",IF(F74="","",'Bulk Plant Input'!C26*$C$71))</f>
        <v>22.094999999999999</v>
      </c>
      <c r="F74" s="481" t="str">
        <f>IF('Bulk Plant Input'!A26="","",'Bulk Plant Input'!A26)</f>
        <v>LTR</v>
      </c>
      <c r="G74" s="481"/>
    </row>
    <row r="75" spans="1:8" ht="18" customHeight="1" x14ac:dyDescent="0.25">
      <c r="C75" s="226"/>
      <c r="D75" s="225"/>
      <c r="E75" s="12">
        <f>IF($C$71="","",IF(F75="","",'Bulk Plant Input'!C27*$C$71))</f>
        <v>22.094999999999999</v>
      </c>
      <c r="F75" s="481" t="str">
        <f>IF('Bulk Plant Input'!A27="","",'Bulk Plant Input'!A27)</f>
        <v>CDF-6P</v>
      </c>
      <c r="G75" s="481"/>
    </row>
    <row r="76" spans="1:8" ht="18" customHeight="1" x14ac:dyDescent="0.25">
      <c r="C76" s="226"/>
      <c r="D76" s="225"/>
      <c r="E76" s="12">
        <f>IF($C$71="","",IF(F76="","",'Bulk Plant Input'!C28*$C$71))</f>
        <v>0</v>
      </c>
      <c r="F76" s="481" t="str">
        <f>IF('Bulk Plant Input'!A28="","",'Bulk Plant Input'!A28)</f>
        <v>ASM-3</v>
      </c>
      <c r="G76" s="481"/>
    </row>
    <row r="77" spans="1:8" ht="18" customHeight="1" x14ac:dyDescent="0.25">
      <c r="C77" s="226"/>
      <c r="D77" s="225"/>
      <c r="E77" s="12" t="str">
        <f>IF($C$71="","",IF(F77="","",'Bulk Plant Input'!C29*$C$71))</f>
        <v/>
      </c>
      <c r="F77" s="481" t="str">
        <f>IF('Bulk Plant Input'!A29="","",'Bulk Plant Input'!A29)</f>
        <v/>
      </c>
      <c r="G77" s="481"/>
    </row>
    <row r="78" spans="1:8" ht="18" customHeight="1" x14ac:dyDescent="0.25">
      <c r="C78" s="226"/>
      <c r="D78" s="225"/>
      <c r="E78" s="12" t="str">
        <f>IF($C$71="","",IF(F78="","",'Bulk Plant Input'!C30*$C$71))</f>
        <v/>
      </c>
      <c r="F78" s="481" t="str">
        <f>IF('Bulk Plant Input'!A30="","",'Bulk Plant Input'!A30)</f>
        <v/>
      </c>
      <c r="G78" s="481"/>
    </row>
    <row r="79" spans="1:8" ht="18" customHeight="1" x14ac:dyDescent="0.25">
      <c r="C79" s="226"/>
      <c r="D79" s="225"/>
      <c r="E79" s="12" t="str">
        <f>IF($C$71="","",IF(F79="","",'Bulk Plant Input'!C31*$C$71))</f>
        <v/>
      </c>
      <c r="F79" s="481" t="str">
        <f>IF('Bulk Plant Input'!A31="","",'Bulk Plant Input'!A31)</f>
        <v/>
      </c>
      <c r="G79" s="481"/>
    </row>
    <row r="80" spans="1:8" ht="18" customHeight="1" x14ac:dyDescent="0.25">
      <c r="C80" s="226"/>
      <c r="D80" s="225"/>
      <c r="E80" s="12" t="str">
        <f>IF($C$71="","",IF(F80="","",'Bulk Plant Input'!C32*$C$71))</f>
        <v/>
      </c>
      <c r="F80" s="481" t="str">
        <f>IF('Bulk Plant Input'!A32="","",'Bulk Plant Input'!A32)</f>
        <v/>
      </c>
      <c r="G80" s="481"/>
    </row>
    <row r="81" spans="3:8" ht="18" customHeight="1" x14ac:dyDescent="0.25">
      <c r="C81" s="226"/>
      <c r="D81" s="225"/>
      <c r="E81" s="12" t="str">
        <f>IF($C$71="","",IF(F81="","",'Bulk Plant Input'!C33*$C$71))</f>
        <v/>
      </c>
      <c r="F81" s="481" t="str">
        <f>IF('Bulk Plant Input'!A33="","",'Bulk Plant Input'!A33)</f>
        <v/>
      </c>
      <c r="G81" s="481"/>
    </row>
    <row r="82" spans="3:8" ht="18" customHeight="1" x14ac:dyDescent="0.25">
      <c r="C82" s="226"/>
      <c r="D82" s="225"/>
      <c r="E82" s="12" t="str">
        <f>IF($C$71="","",IF(F82="","",'Bulk Plant Input'!C34*$C$71))</f>
        <v/>
      </c>
      <c r="F82" s="481" t="str">
        <f>IF('Bulk Plant Input'!A34="","",'Bulk Plant Input'!A34)</f>
        <v/>
      </c>
      <c r="G82" s="481"/>
    </row>
    <row r="83" spans="3:8" ht="18" customHeight="1" x14ac:dyDescent="0.25">
      <c r="C83" s="226"/>
      <c r="D83" s="225"/>
      <c r="E83" s="12" t="str">
        <f>IF($C$71="","",IF(F83="","",'Bulk Plant Input'!C35*$C$71))</f>
        <v/>
      </c>
      <c r="F83" s="481" t="str">
        <f>IF('Bulk Plant Input'!A35="","",'Bulk Plant Input'!A35)</f>
        <v/>
      </c>
      <c r="G83" s="481"/>
    </row>
    <row r="84" spans="3:8" ht="18" customHeight="1" x14ac:dyDescent="0.25">
      <c r="C84" s="226"/>
      <c r="D84" s="225"/>
      <c r="E84" s="12" t="str">
        <f>IF($C$71="","",IF(F84="","",'Bulk Plant Input'!C36*$C$71))</f>
        <v/>
      </c>
      <c r="F84" s="481" t="str">
        <f>IF('Bulk Plant Input'!A36="","",'Bulk Plant Input'!A36)</f>
        <v/>
      </c>
      <c r="G84" s="481"/>
    </row>
    <row r="85" spans="3:8" ht="18" customHeight="1" x14ac:dyDescent="0.25">
      <c r="C85" s="226"/>
      <c r="D85" s="225"/>
      <c r="E85" s="12" t="str">
        <f>IF($C$71="","",IF(F85="","",'Bulk Plant Input'!C37*$C$71))</f>
        <v/>
      </c>
      <c r="F85" s="481" t="str">
        <f>IF('Bulk Plant Input'!A37="","",'Bulk Plant Input'!A37)</f>
        <v/>
      </c>
      <c r="G85" s="481"/>
    </row>
    <row r="86" spans="3:8" ht="18" customHeight="1" x14ac:dyDescent="0.25">
      <c r="C86" s="226"/>
      <c r="D86" s="225"/>
      <c r="E86" s="12" t="str">
        <f>IF($C$71="","",IF(F86="","",'Bulk Plant Input'!C38*$C$71))</f>
        <v/>
      </c>
      <c r="F86" s="481" t="str">
        <f>IF('Bulk Plant Input'!A43="","",'Bulk Plant Input'!A43)</f>
        <v/>
      </c>
      <c r="G86" s="481"/>
    </row>
    <row r="87" spans="3:8" ht="18" customHeight="1" x14ac:dyDescent="0.25">
      <c r="C87" s="226"/>
      <c r="D87" s="225"/>
      <c r="E87" s="12" t="str">
        <f>IF($C$71="","",IF(F87="","",'Bulk Plant Input'!C39*$C$71))</f>
        <v/>
      </c>
      <c r="F87" s="481" t="str">
        <f>IF('Bulk Plant Input'!A44="","",'Bulk Plant Input'!A44)</f>
        <v/>
      </c>
      <c r="G87" s="481"/>
    </row>
    <row r="88" spans="3:8" x14ac:dyDescent="0.25">
      <c r="C88" s="224" t="s">
        <v>589</v>
      </c>
      <c r="E88" s="222">
        <f>IF(C71="","Enter Pod Tonnage",SUM(E71:E87)+(C71*1000))</f>
        <v>15179.264999999999</v>
      </c>
      <c r="F88" s="223" t="s">
        <v>585</v>
      </c>
    </row>
    <row r="89" spans="3:8" ht="18" customHeight="1" x14ac:dyDescent="0.25">
      <c r="C89" s="221" t="s">
        <v>588</v>
      </c>
    </row>
    <row r="90" spans="3:8" ht="18" customHeight="1" thickBot="1" x14ac:dyDescent="0.3">
      <c r="C90" s="221" t="s">
        <v>586</v>
      </c>
      <c r="D90" s="218"/>
      <c r="F90" s="221" t="s">
        <v>587</v>
      </c>
      <c r="G90" s="476"/>
      <c r="H90" s="476"/>
    </row>
    <row r="91" spans="3:8" ht="18" customHeight="1" thickBot="1" x14ac:dyDescent="0.3">
      <c r="D91" s="219"/>
      <c r="G91" s="476"/>
      <c r="H91" s="476"/>
    </row>
    <row r="92" spans="3:8" ht="18" customHeight="1" thickBot="1" x14ac:dyDescent="0.3">
      <c r="D92" s="219"/>
      <c r="G92" s="476"/>
      <c r="H92" s="476"/>
    </row>
    <row r="93" spans="3:8" ht="18" customHeight="1" x14ac:dyDescent="0.25"/>
    <row r="94" spans="3:8" ht="18" customHeight="1" x14ac:dyDescent="0.25"/>
    <row r="95" spans="3:8" ht="18" customHeight="1" x14ac:dyDescent="0.25"/>
    <row r="96" spans="3:8" ht="18" customHeight="1" x14ac:dyDescent="0.25"/>
    <row r="97" spans="3:7" ht="18" customHeight="1" x14ac:dyDescent="0.25"/>
    <row r="98" spans="3:7" ht="18" customHeight="1" x14ac:dyDescent="0.25"/>
    <row r="99" spans="3:7" ht="18" customHeight="1" x14ac:dyDescent="0.25"/>
    <row r="100" spans="3:7" ht="18" customHeight="1" x14ac:dyDescent="0.25"/>
    <row r="101" spans="3:7" ht="18" customHeight="1" x14ac:dyDescent="0.25"/>
    <row r="102" spans="3:7" ht="18" customHeight="1" x14ac:dyDescent="0.25">
      <c r="E102" s="221" t="s">
        <v>595</v>
      </c>
      <c r="F102" s="482" t="str">
        <f>IF('Bulk Plant Input'!$B$7="","",'Bulk Plant Input'!$B$7)</f>
        <v/>
      </c>
      <c r="G102" s="474"/>
    </row>
    <row r="103" spans="3:7" ht="18" customHeight="1" x14ac:dyDescent="0.25">
      <c r="E103" s="221" t="s">
        <v>511</v>
      </c>
      <c r="F103" s="474">
        <f ca="1">IF('Bulk Plant Input'!$B$6="","",'Bulk Plant Input'!$B$6)</f>
        <v>43929</v>
      </c>
      <c r="G103" s="474"/>
    </row>
    <row r="104" spans="3:7" ht="18" customHeight="1" x14ac:dyDescent="0.25">
      <c r="E104" s="221" t="s">
        <v>562</v>
      </c>
      <c r="F104" s="474"/>
      <c r="G104" s="474"/>
    </row>
    <row r="105" spans="3:7" ht="18" customHeight="1" x14ac:dyDescent="0.25">
      <c r="E105" s="221" t="s">
        <v>563</v>
      </c>
      <c r="F105" s="474"/>
      <c r="G105" s="474"/>
    </row>
    <row r="106" spans="3:7" ht="18" customHeight="1" x14ac:dyDescent="0.25">
      <c r="E106" s="221" t="s">
        <v>564</v>
      </c>
      <c r="F106" s="475" t="str">
        <f>IF('Bulk Plant Input'!$I$5="","",'Bulk Plant Input'!$I$5)</f>
        <v/>
      </c>
      <c r="G106" s="474"/>
    </row>
    <row r="107" spans="3:7" ht="18" customHeight="1" x14ac:dyDescent="0.25">
      <c r="E107" s="221" t="s">
        <v>565</v>
      </c>
      <c r="F107" s="474"/>
      <c r="G107" s="474"/>
    </row>
    <row r="108" spans="3:7" ht="18" customHeight="1" x14ac:dyDescent="0.25">
      <c r="C108" s="221" t="s">
        <v>566</v>
      </c>
      <c r="D108" s="228" t="str">
        <f>IF('Bulk Plant Input'!$B$3="","",'Bulk Plant Input'!$B$3)</f>
        <v/>
      </c>
    </row>
    <row r="109" spans="3:7" ht="18" customHeight="1" x14ac:dyDescent="0.25">
      <c r="C109" s="221" t="s">
        <v>567</v>
      </c>
      <c r="D109" s="228" t="str">
        <f>IF('Bulk Plant Input'!$B$5="","",'Bulk Plant Input'!$B$5)</f>
        <v/>
      </c>
    </row>
    <row r="110" spans="3:7" ht="18" customHeight="1" x14ac:dyDescent="0.25">
      <c r="C110" s="221" t="s">
        <v>568</v>
      </c>
      <c r="D110" s="57"/>
    </row>
    <row r="111" spans="3:7" ht="18" customHeight="1" x14ac:dyDescent="0.25">
      <c r="C111" s="221" t="s">
        <v>569</v>
      </c>
      <c r="D111" s="228" t="str">
        <f>IF('Bulk Plant Input'!$B$4="","",'Bulk Plant Input'!$B$4)</f>
        <v/>
      </c>
    </row>
    <row r="112" spans="3:7" ht="18" customHeight="1" x14ac:dyDescent="0.25">
      <c r="C112" s="221" t="s">
        <v>570</v>
      </c>
      <c r="D112" s="57"/>
    </row>
    <row r="113" spans="1:8" ht="18" customHeight="1" x14ac:dyDescent="0.25"/>
    <row r="114" spans="1:8" ht="18" customHeight="1" x14ac:dyDescent="0.25">
      <c r="B114" s="13" t="s">
        <v>592</v>
      </c>
    </row>
    <row r="115" spans="1:8" ht="18" customHeight="1" x14ac:dyDescent="0.25">
      <c r="A115" s="217"/>
      <c r="B115" s="227" t="s">
        <v>571</v>
      </c>
      <c r="C115" s="227" t="s">
        <v>572</v>
      </c>
      <c r="D115" s="227" t="s">
        <v>573</v>
      </c>
      <c r="E115" s="227" t="s">
        <v>574</v>
      </c>
      <c r="F115" s="477" t="s">
        <v>575</v>
      </c>
      <c r="G115" s="478"/>
      <c r="H115" s="227" t="s">
        <v>576</v>
      </c>
    </row>
    <row r="116" spans="1:8" ht="45" customHeight="1" x14ac:dyDescent="0.25">
      <c r="A116" s="216" t="s">
        <v>581</v>
      </c>
      <c r="B116" s="107"/>
      <c r="C116" s="107" t="str">
        <f>IF(B116="","",'Bulk Plant Input'!$A$19)</f>
        <v/>
      </c>
      <c r="D116" s="107"/>
      <c r="E116" s="217"/>
      <c r="F116" s="479" t="str">
        <f>IF(B116="","",'Blend Assembly'!$E$21)</f>
        <v/>
      </c>
      <c r="G116" s="480"/>
      <c r="H116" s="217"/>
    </row>
    <row r="117" spans="1:8" ht="45" customHeight="1" x14ac:dyDescent="0.25">
      <c r="A117" s="216" t="s">
        <v>582</v>
      </c>
      <c r="B117" s="107"/>
      <c r="C117" s="107" t="str">
        <f>IF(B117="","",'Bulk Plant Input'!$A$19)</f>
        <v/>
      </c>
      <c r="D117" s="107"/>
      <c r="E117" s="10"/>
      <c r="F117" s="479" t="str">
        <f>IF(B117="","",'Blend Assembly'!$E$21)</f>
        <v/>
      </c>
      <c r="G117" s="480"/>
      <c r="H117" s="10"/>
    </row>
    <row r="118" spans="1:8" ht="45" customHeight="1" x14ac:dyDescent="0.25">
      <c r="A118" s="216" t="s">
        <v>583</v>
      </c>
      <c r="B118" s="107"/>
      <c r="C118" s="107" t="str">
        <f>IF(B118="","",'Bulk Plant Input'!$A$19)</f>
        <v/>
      </c>
      <c r="D118" s="107"/>
      <c r="E118" s="10"/>
      <c r="F118" s="479" t="str">
        <f>IF(B118="","",'Blend Assembly'!$E$21)</f>
        <v/>
      </c>
      <c r="G118" s="480"/>
      <c r="H118" s="10"/>
    </row>
    <row r="119" spans="1:8" ht="18" customHeight="1" x14ac:dyDescent="0.25"/>
    <row r="120" spans="1:8" ht="18" customHeight="1" x14ac:dyDescent="0.25"/>
    <row r="121" spans="1:8" ht="18" customHeight="1" x14ac:dyDescent="0.25">
      <c r="C121" s="12" t="s">
        <v>571</v>
      </c>
      <c r="D121" s="50" t="s">
        <v>584</v>
      </c>
      <c r="E121" s="12" t="s">
        <v>574</v>
      </c>
      <c r="F121" s="481" t="s">
        <v>575</v>
      </c>
      <c r="G121" s="481"/>
    </row>
    <row r="122" spans="1:8" ht="18" customHeight="1" x14ac:dyDescent="0.25">
      <c r="C122" s="12" t="str">
        <f>IF(SUM(B116:B118)=0,"",SUM(B116:B118))</f>
        <v/>
      </c>
      <c r="D122" s="225" t="str">
        <f>'Bulk Plant Input'!$A$19</f>
        <v>0:1:0 'G'</v>
      </c>
      <c r="E122" s="12" t="str">
        <f>IF($C$122="","",IF(F122="","",'Bulk Plant Input'!C23*$C$122))</f>
        <v/>
      </c>
      <c r="F122" s="481" t="str">
        <f>IF('Bulk Plant Input'!$A23="","",'Bulk Plant Input'!$A23)</f>
        <v>CFR-5</v>
      </c>
      <c r="G122" s="481"/>
    </row>
    <row r="123" spans="1:8" ht="18" customHeight="1" x14ac:dyDescent="0.25">
      <c r="C123" s="226"/>
      <c r="D123" s="225"/>
      <c r="E123" s="12" t="str">
        <f>IF($C$122="","",IF(F123="","",'Bulk Plant Input'!C24*$C$122))</f>
        <v/>
      </c>
      <c r="F123" s="481" t="str">
        <f>IF('Bulk Plant Input'!$A24="","",'Bulk Plant Input'!$A24)</f>
        <v>CFL-4</v>
      </c>
      <c r="G123" s="481"/>
    </row>
    <row r="124" spans="1:8" ht="18" customHeight="1" x14ac:dyDescent="0.25">
      <c r="C124" s="226"/>
      <c r="D124" s="225"/>
      <c r="E124" s="12" t="str">
        <f>IF($C$122="","",IF(F124="","",'Bulk Plant Input'!C25*$C$122))</f>
        <v/>
      </c>
      <c r="F124" s="481" t="str">
        <f>IF('Bulk Plant Input'!$A25="","",'Bulk Plant Input'!$A25)</f>
        <v>FWC-2</v>
      </c>
      <c r="G124" s="481"/>
    </row>
    <row r="125" spans="1:8" ht="18" customHeight="1" x14ac:dyDescent="0.25">
      <c r="C125" s="226"/>
      <c r="D125" s="225"/>
      <c r="E125" s="12" t="str">
        <f>IF($C$122="","",IF(F125="","",'Bulk Plant Input'!C26*$C$122))</f>
        <v/>
      </c>
      <c r="F125" s="481" t="str">
        <f>IF('Bulk Plant Input'!$A26="","",'Bulk Plant Input'!$A26)</f>
        <v>LTR</v>
      </c>
      <c r="G125" s="481"/>
    </row>
    <row r="126" spans="1:8" ht="18" customHeight="1" x14ac:dyDescent="0.25">
      <c r="C126" s="226"/>
      <c r="D126" s="225"/>
      <c r="E126" s="12" t="str">
        <f>IF($C$122="","",IF(F126="","",'Bulk Plant Input'!C27*$C$122))</f>
        <v/>
      </c>
      <c r="F126" s="481" t="str">
        <f>IF('Bulk Plant Input'!$A27="","",'Bulk Plant Input'!$A27)</f>
        <v>CDF-6P</v>
      </c>
      <c r="G126" s="481"/>
    </row>
    <row r="127" spans="1:8" ht="18" customHeight="1" x14ac:dyDescent="0.25">
      <c r="C127" s="226"/>
      <c r="D127" s="225"/>
      <c r="E127" s="12" t="str">
        <f>IF($C$122="","",IF(F127="","",'Bulk Plant Input'!C28*$C$122))</f>
        <v/>
      </c>
      <c r="F127" s="481" t="str">
        <f>IF('Bulk Plant Input'!$A28="","",'Bulk Plant Input'!$A28)</f>
        <v>ASM-3</v>
      </c>
      <c r="G127" s="481"/>
    </row>
    <row r="128" spans="1:8" ht="18" customHeight="1" x14ac:dyDescent="0.25">
      <c r="C128" s="226"/>
      <c r="D128" s="225"/>
      <c r="E128" s="12" t="str">
        <f>IF($C$122="","",IF(F128="","",'Bulk Plant Input'!C29*$C$122))</f>
        <v/>
      </c>
      <c r="F128" s="481" t="str">
        <f>IF('Bulk Plant Input'!$A29="","",'Bulk Plant Input'!$A29)</f>
        <v/>
      </c>
      <c r="G128" s="481"/>
    </row>
    <row r="129" spans="3:8" ht="18" customHeight="1" x14ac:dyDescent="0.25">
      <c r="C129" s="226"/>
      <c r="D129" s="225"/>
      <c r="E129" s="12" t="str">
        <f>IF($C$122="","",IF(F129="","",'Bulk Plant Input'!C30*$C$122))</f>
        <v/>
      </c>
      <c r="F129" s="481" t="str">
        <f>IF('Bulk Plant Input'!$A30="","",'Bulk Plant Input'!$A30)</f>
        <v/>
      </c>
      <c r="G129" s="481"/>
    </row>
    <row r="130" spans="3:8" ht="18" customHeight="1" x14ac:dyDescent="0.25">
      <c r="C130" s="226"/>
      <c r="D130" s="225"/>
      <c r="E130" s="12" t="str">
        <f>IF($C$122="","",IF(F130="","",'Bulk Plant Input'!C31*$C$122))</f>
        <v/>
      </c>
      <c r="F130" s="481" t="str">
        <f>IF('Bulk Plant Input'!$A31="","",'Bulk Plant Input'!$A31)</f>
        <v/>
      </c>
      <c r="G130" s="481"/>
    </row>
    <row r="131" spans="3:8" ht="18" customHeight="1" x14ac:dyDescent="0.25">
      <c r="C131" s="226"/>
      <c r="D131" s="225"/>
      <c r="E131" s="12" t="str">
        <f>IF($C$122="","",IF(F131="","",'Bulk Plant Input'!C32*$C$122))</f>
        <v/>
      </c>
      <c r="F131" s="481" t="str">
        <f>IF('Bulk Plant Input'!$A32="","",'Bulk Plant Input'!$A32)</f>
        <v/>
      </c>
      <c r="G131" s="481"/>
    </row>
    <row r="132" spans="3:8" ht="18" customHeight="1" x14ac:dyDescent="0.25">
      <c r="C132" s="226"/>
      <c r="D132" s="225"/>
      <c r="E132" s="12" t="str">
        <f>IF($C$122="","",IF(F132="","",'Bulk Plant Input'!C33*$C$122))</f>
        <v/>
      </c>
      <c r="F132" s="481" t="str">
        <f>IF('Bulk Plant Input'!$A33="","",'Bulk Plant Input'!$A33)</f>
        <v/>
      </c>
      <c r="G132" s="481"/>
    </row>
    <row r="133" spans="3:8" ht="18" customHeight="1" x14ac:dyDescent="0.25">
      <c r="C133" s="226"/>
      <c r="D133" s="225"/>
      <c r="E133" s="12" t="str">
        <f>IF($C$122="","",IF(F133="","",'Bulk Plant Input'!C34*$C$122))</f>
        <v/>
      </c>
      <c r="F133" s="481" t="str">
        <f>IF('Bulk Plant Input'!$A34="","",'Bulk Plant Input'!$A34)</f>
        <v/>
      </c>
      <c r="G133" s="481"/>
    </row>
    <row r="134" spans="3:8" ht="18" customHeight="1" x14ac:dyDescent="0.25">
      <c r="C134" s="226"/>
      <c r="D134" s="225"/>
      <c r="E134" s="12" t="str">
        <f>IF($C$122="","",IF(F134="","",'Bulk Plant Input'!C35*$C$122))</f>
        <v/>
      </c>
      <c r="F134" s="481" t="str">
        <f>IF('Bulk Plant Input'!$A35="","",'Bulk Plant Input'!$A35)</f>
        <v/>
      </c>
      <c r="G134" s="481"/>
    </row>
    <row r="135" spans="3:8" ht="18" customHeight="1" x14ac:dyDescent="0.25">
      <c r="C135" s="226"/>
      <c r="D135" s="225"/>
      <c r="E135" s="12" t="str">
        <f>IF($C$122="","",IF(F135="","",'Bulk Plant Input'!C36*$C$122))</f>
        <v/>
      </c>
      <c r="F135" s="481" t="str">
        <f>IF('Bulk Plant Input'!$A36="","",'Bulk Plant Input'!$A36)</f>
        <v/>
      </c>
      <c r="G135" s="481"/>
    </row>
    <row r="136" spans="3:8" ht="18" customHeight="1" x14ac:dyDescent="0.25">
      <c r="C136" s="226"/>
      <c r="D136" s="225"/>
      <c r="E136" s="12" t="str">
        <f>IF($C$122="","",IF(F136="","",'Bulk Plant Input'!C37*$C$122))</f>
        <v/>
      </c>
      <c r="F136" s="481" t="str">
        <f>IF('Bulk Plant Input'!$A37="","",'Bulk Plant Input'!$A37)</f>
        <v/>
      </c>
      <c r="G136" s="481"/>
    </row>
    <row r="137" spans="3:8" ht="18" customHeight="1" x14ac:dyDescent="0.25">
      <c r="C137" s="226"/>
      <c r="D137" s="225"/>
      <c r="E137" s="12" t="str">
        <f>IF($C$122="","",IF(F137="","",'Bulk Plant Input'!C38*$C$122))</f>
        <v/>
      </c>
      <c r="F137" s="481" t="str">
        <f>IF('Bulk Plant Input'!A43="","",'Bulk Plant Input'!A43)</f>
        <v/>
      </c>
      <c r="G137" s="481"/>
    </row>
    <row r="138" spans="3:8" ht="18" customHeight="1" x14ac:dyDescent="0.25">
      <c r="C138" s="226"/>
      <c r="D138" s="225"/>
      <c r="E138" s="12" t="str">
        <f>IF($C$122="","",IF(F138="","",'Bulk Plant Input'!C39*$C$122))</f>
        <v/>
      </c>
      <c r="F138" s="481" t="str">
        <f>IF('Bulk Plant Input'!A44="","",'Bulk Plant Input'!A44)</f>
        <v/>
      </c>
      <c r="G138" s="481"/>
    </row>
    <row r="139" spans="3:8" ht="30" x14ac:dyDescent="0.25">
      <c r="C139" s="224" t="s">
        <v>589</v>
      </c>
      <c r="E139" s="222" t="str">
        <f>IF(C122="","Enter Pod Tonnage",SUM(E122:E138)+(C122*1000))</f>
        <v>Enter Pod Tonnage</v>
      </c>
      <c r="F139" s="223" t="s">
        <v>585</v>
      </c>
    </row>
    <row r="140" spans="3:8" ht="18" customHeight="1" x14ac:dyDescent="0.25">
      <c r="C140" s="221" t="s">
        <v>588</v>
      </c>
    </row>
    <row r="141" spans="3:8" ht="18" customHeight="1" thickBot="1" x14ac:dyDescent="0.3">
      <c r="C141" s="221" t="s">
        <v>586</v>
      </c>
      <c r="D141" s="218"/>
      <c r="F141" s="221" t="s">
        <v>587</v>
      </c>
      <c r="G141" s="476"/>
      <c r="H141" s="476"/>
    </row>
    <row r="142" spans="3:8" ht="18" customHeight="1" thickBot="1" x14ac:dyDescent="0.3">
      <c r="D142" s="219"/>
      <c r="G142" s="476"/>
      <c r="H142" s="476"/>
    </row>
    <row r="143" spans="3:8" ht="18" customHeight="1" thickBot="1" x14ac:dyDescent="0.3">
      <c r="D143" s="219"/>
      <c r="G143" s="476"/>
      <c r="H143" s="476"/>
    </row>
    <row r="144" spans="3:8" ht="18" customHeight="1" x14ac:dyDescent="0.25"/>
    <row r="145" spans="3:7" ht="18" customHeight="1" x14ac:dyDescent="0.25"/>
    <row r="146" spans="3:7" ht="18" customHeight="1" x14ac:dyDescent="0.25"/>
    <row r="147" spans="3:7" ht="18" customHeight="1" x14ac:dyDescent="0.25"/>
    <row r="148" spans="3:7" ht="18" customHeight="1" x14ac:dyDescent="0.25"/>
    <row r="149" spans="3:7" ht="18" customHeight="1" x14ac:dyDescent="0.25"/>
    <row r="150" spans="3:7" ht="18" customHeight="1" x14ac:dyDescent="0.25"/>
    <row r="151" spans="3:7" ht="18" customHeight="1" x14ac:dyDescent="0.25"/>
    <row r="152" spans="3:7" ht="18" customHeight="1" x14ac:dyDescent="0.25">
      <c r="E152" s="221" t="s">
        <v>595</v>
      </c>
      <c r="F152" s="482" t="str">
        <f>IF('Bulk Plant Input'!$B$7="","",'Bulk Plant Input'!$B$7)</f>
        <v/>
      </c>
      <c r="G152" s="474"/>
    </row>
    <row r="153" spans="3:7" ht="18" customHeight="1" x14ac:dyDescent="0.25">
      <c r="E153" s="221" t="s">
        <v>511</v>
      </c>
      <c r="F153" s="474">
        <f ca="1">IF('Bulk Plant Input'!$B$6="","",'Bulk Plant Input'!$B$6)</f>
        <v>43929</v>
      </c>
      <c r="G153" s="474"/>
    </row>
    <row r="154" spans="3:7" ht="18" customHeight="1" x14ac:dyDescent="0.25">
      <c r="E154" s="221" t="s">
        <v>562</v>
      </c>
      <c r="F154" s="474"/>
      <c r="G154" s="474"/>
    </row>
    <row r="155" spans="3:7" ht="18" customHeight="1" x14ac:dyDescent="0.25">
      <c r="E155" s="221" t="s">
        <v>563</v>
      </c>
      <c r="F155" s="474"/>
      <c r="G155" s="474"/>
    </row>
    <row r="156" spans="3:7" ht="18" customHeight="1" x14ac:dyDescent="0.25">
      <c r="E156" s="221" t="s">
        <v>564</v>
      </c>
      <c r="F156" s="475" t="str">
        <f>IF('Bulk Plant Input'!$I$5="","",'Bulk Plant Input'!$I$5)</f>
        <v/>
      </c>
      <c r="G156" s="474"/>
    </row>
    <row r="157" spans="3:7" ht="18" customHeight="1" x14ac:dyDescent="0.25">
      <c r="E157" s="221" t="s">
        <v>565</v>
      </c>
      <c r="F157" s="474"/>
      <c r="G157" s="474"/>
    </row>
    <row r="158" spans="3:7" ht="18" customHeight="1" x14ac:dyDescent="0.25"/>
    <row r="159" spans="3:7" ht="18" customHeight="1" x14ac:dyDescent="0.25">
      <c r="C159" s="221" t="s">
        <v>566</v>
      </c>
      <c r="D159" s="228" t="str">
        <f>IF('Bulk Plant Input'!$B$3="","",'Bulk Plant Input'!$B$3)</f>
        <v/>
      </c>
    </row>
    <row r="160" spans="3:7" ht="18" customHeight="1" x14ac:dyDescent="0.25">
      <c r="C160" s="221" t="s">
        <v>567</v>
      </c>
      <c r="D160" s="228" t="str">
        <f>IF('Bulk Plant Input'!$B$5="","",'Bulk Plant Input'!$B$5)</f>
        <v/>
      </c>
    </row>
    <row r="161" spans="1:8" ht="18" customHeight="1" x14ac:dyDescent="0.25">
      <c r="C161" s="221" t="s">
        <v>568</v>
      </c>
      <c r="D161" s="57"/>
    </row>
    <row r="162" spans="1:8" ht="18" customHeight="1" x14ac:dyDescent="0.25">
      <c r="C162" s="221" t="s">
        <v>569</v>
      </c>
      <c r="D162" s="228" t="str">
        <f>IF('Bulk Plant Input'!$B$4="","",'Bulk Plant Input'!$B$4)</f>
        <v/>
      </c>
    </row>
    <row r="163" spans="1:8" ht="18" customHeight="1" x14ac:dyDescent="0.25">
      <c r="C163" s="221" t="s">
        <v>570</v>
      </c>
      <c r="D163" s="57"/>
    </row>
    <row r="164" spans="1:8" ht="18" customHeight="1" x14ac:dyDescent="0.25"/>
    <row r="165" spans="1:8" ht="18" customHeight="1" x14ac:dyDescent="0.25">
      <c r="B165" s="13" t="s">
        <v>594</v>
      </c>
    </row>
    <row r="166" spans="1:8" x14ac:dyDescent="0.25">
      <c r="A166" s="217"/>
      <c r="B166" s="227" t="s">
        <v>571</v>
      </c>
      <c r="C166" s="227" t="s">
        <v>572</v>
      </c>
      <c r="D166" s="227" t="s">
        <v>573</v>
      </c>
      <c r="E166" s="227" t="s">
        <v>574</v>
      </c>
      <c r="F166" s="477" t="s">
        <v>575</v>
      </c>
      <c r="G166" s="478"/>
      <c r="H166" s="227" t="s">
        <v>576</v>
      </c>
    </row>
    <row r="167" spans="1:8" ht="45" customHeight="1" x14ac:dyDescent="0.25">
      <c r="A167" s="216" t="s">
        <v>581</v>
      </c>
      <c r="B167" s="107"/>
      <c r="C167" s="107" t="str">
        <f>IF(B167="","",'Bulk Plant Input'!$A$19)</f>
        <v/>
      </c>
      <c r="D167" s="107"/>
      <c r="E167" s="217"/>
      <c r="F167" s="479" t="str">
        <f>IF(B167="","",'Blend Assembly'!$E$21)</f>
        <v/>
      </c>
      <c r="G167" s="480"/>
      <c r="H167" s="217"/>
    </row>
    <row r="168" spans="1:8" ht="45" customHeight="1" x14ac:dyDescent="0.25">
      <c r="A168" s="216" t="s">
        <v>582</v>
      </c>
      <c r="B168" s="107"/>
      <c r="C168" s="107" t="str">
        <f>IF(B168="","",'Bulk Plant Input'!$A$19)</f>
        <v/>
      </c>
      <c r="D168" s="107"/>
      <c r="E168" s="10"/>
      <c r="F168" s="479" t="str">
        <f>IF(B168="","",'Blend Assembly'!$E$21)</f>
        <v/>
      </c>
      <c r="G168" s="480"/>
      <c r="H168" s="10"/>
    </row>
    <row r="169" spans="1:8" ht="45" customHeight="1" x14ac:dyDescent="0.25">
      <c r="A169" s="216" t="s">
        <v>583</v>
      </c>
      <c r="B169" s="107"/>
      <c r="C169" s="107" t="str">
        <f>IF(B169="","",'Bulk Plant Input'!$A$19)</f>
        <v/>
      </c>
      <c r="D169" s="107"/>
      <c r="E169" s="10"/>
      <c r="F169" s="479" t="str">
        <f>IF(B169="","",'Blend Assembly'!$E$21)</f>
        <v/>
      </c>
      <c r="G169" s="480"/>
      <c r="H169" s="10"/>
    </row>
    <row r="170" spans="1:8" ht="18" customHeight="1" x14ac:dyDescent="0.25"/>
    <row r="171" spans="1:8" ht="18" customHeight="1" x14ac:dyDescent="0.25"/>
    <row r="172" spans="1:8" ht="18" customHeight="1" x14ac:dyDescent="0.25">
      <c r="C172" s="12" t="s">
        <v>571</v>
      </c>
      <c r="D172" s="50" t="s">
        <v>584</v>
      </c>
      <c r="E172" s="12" t="s">
        <v>574</v>
      </c>
      <c r="F172" s="481" t="s">
        <v>575</v>
      </c>
      <c r="G172" s="481"/>
    </row>
    <row r="173" spans="1:8" ht="18" customHeight="1" x14ac:dyDescent="0.25">
      <c r="C173" s="12" t="str">
        <f>IF(SUM(B167:B169)=0,"",SUM(B167:B169))</f>
        <v/>
      </c>
      <c r="D173" s="225" t="str">
        <f>'Bulk Plant Input'!$A$19</f>
        <v>0:1:0 'G'</v>
      </c>
      <c r="E173" s="12" t="str">
        <f>IF($C$122="","",IF(F173="","",'Bulk Plant Input'!C69*$C$122))</f>
        <v/>
      </c>
      <c r="F173" s="481" t="str">
        <f>IF('Bulk Plant Input'!$A23="","",'Bulk Plant Input'!$A23)</f>
        <v>CFR-5</v>
      </c>
      <c r="G173" s="481"/>
    </row>
    <row r="174" spans="1:8" ht="18" customHeight="1" x14ac:dyDescent="0.25">
      <c r="C174" s="226"/>
      <c r="D174" s="225"/>
      <c r="E174" s="12" t="str">
        <f>IF($C$122="","",IF(F174="","",'Bulk Plant Input'!C70*$C$122))</f>
        <v/>
      </c>
      <c r="F174" s="481" t="str">
        <f>IF('Bulk Plant Input'!$A24="","",'Bulk Plant Input'!$A24)</f>
        <v>CFL-4</v>
      </c>
      <c r="G174" s="481"/>
    </row>
    <row r="175" spans="1:8" ht="18" customHeight="1" x14ac:dyDescent="0.25">
      <c r="C175" s="226"/>
      <c r="D175" s="225"/>
      <c r="E175" s="12" t="str">
        <f>IF($C$122="","",IF(F175="","",'Bulk Plant Input'!C71*$C$122))</f>
        <v/>
      </c>
      <c r="F175" s="481" t="str">
        <f>IF('Bulk Plant Input'!$A25="","",'Bulk Plant Input'!$A25)</f>
        <v>FWC-2</v>
      </c>
      <c r="G175" s="481"/>
    </row>
    <row r="176" spans="1:8" ht="18" customHeight="1" x14ac:dyDescent="0.25">
      <c r="C176" s="226"/>
      <c r="D176" s="225"/>
      <c r="E176" s="12" t="str">
        <f>IF($C$122="","",IF(F176="","",'Bulk Plant Input'!C72*$C$122))</f>
        <v/>
      </c>
      <c r="F176" s="481" t="str">
        <f>IF('Bulk Plant Input'!$A26="","",'Bulk Plant Input'!$A26)</f>
        <v>LTR</v>
      </c>
      <c r="G176" s="481"/>
    </row>
    <row r="177" spans="3:8" ht="18" customHeight="1" x14ac:dyDescent="0.25">
      <c r="C177" s="226"/>
      <c r="D177" s="225"/>
      <c r="E177" s="12" t="str">
        <f>IF($C$122="","",IF(F177="","",'Bulk Plant Input'!C73*$C$122))</f>
        <v/>
      </c>
      <c r="F177" s="481" t="str">
        <f>IF('Bulk Plant Input'!$A27="","",'Bulk Plant Input'!$A27)</f>
        <v>CDF-6P</v>
      </c>
      <c r="G177" s="481"/>
    </row>
    <row r="178" spans="3:8" ht="18" customHeight="1" x14ac:dyDescent="0.25">
      <c r="C178" s="226"/>
      <c r="D178" s="225"/>
      <c r="E178" s="12" t="str">
        <f>IF($C$122="","",IF(F178="","",'Bulk Plant Input'!C74*$C$122))</f>
        <v/>
      </c>
      <c r="F178" s="481" t="str">
        <f>IF('Bulk Plant Input'!$A28="","",'Bulk Plant Input'!$A28)</f>
        <v>ASM-3</v>
      </c>
      <c r="G178" s="481"/>
    </row>
    <row r="179" spans="3:8" ht="18" customHeight="1" x14ac:dyDescent="0.25">
      <c r="C179" s="226"/>
      <c r="D179" s="225"/>
      <c r="E179" s="12" t="str">
        <f>IF($C$122="","",IF(F179="","",'Bulk Plant Input'!C75*$C$122))</f>
        <v/>
      </c>
      <c r="F179" s="481" t="str">
        <f>IF('Bulk Plant Input'!$A29="","",'Bulk Plant Input'!$A29)</f>
        <v/>
      </c>
      <c r="G179" s="481"/>
    </row>
    <row r="180" spans="3:8" ht="18" customHeight="1" x14ac:dyDescent="0.25">
      <c r="C180" s="226"/>
      <c r="D180" s="225"/>
      <c r="E180" s="12" t="str">
        <f>IF($C$122="","",IF(F180="","",'Bulk Plant Input'!C76*$C$122))</f>
        <v/>
      </c>
      <c r="F180" s="481" t="str">
        <f>IF('Bulk Plant Input'!$A30="","",'Bulk Plant Input'!$A30)</f>
        <v/>
      </c>
      <c r="G180" s="481"/>
    </row>
    <row r="181" spans="3:8" ht="18" customHeight="1" x14ac:dyDescent="0.25">
      <c r="C181" s="226"/>
      <c r="D181" s="225"/>
      <c r="E181" s="12" t="str">
        <f>IF($C$122="","",IF(F181="","",'Bulk Plant Input'!C77*$C$122))</f>
        <v/>
      </c>
      <c r="F181" s="481" t="str">
        <f>IF('Bulk Plant Input'!$A31="","",'Bulk Plant Input'!$A31)</f>
        <v/>
      </c>
      <c r="G181" s="481"/>
    </row>
    <row r="182" spans="3:8" ht="18" customHeight="1" x14ac:dyDescent="0.25">
      <c r="C182" s="226"/>
      <c r="D182" s="225"/>
      <c r="E182" s="12" t="str">
        <f>IF($C$122="","",IF(F182="","",'Bulk Plant Input'!C78*$C$122))</f>
        <v/>
      </c>
      <c r="F182" s="481" t="str">
        <f>IF('Bulk Plant Input'!$A32="","",'Bulk Plant Input'!$A32)</f>
        <v/>
      </c>
      <c r="G182" s="481"/>
    </row>
    <row r="183" spans="3:8" ht="18" customHeight="1" x14ac:dyDescent="0.25">
      <c r="C183" s="226"/>
      <c r="D183" s="225"/>
      <c r="E183" s="12" t="str">
        <f>IF($C$122="","",IF(F183="","",'Bulk Plant Input'!C79*$C$122))</f>
        <v/>
      </c>
      <c r="F183" s="481" t="str">
        <f>IF('Bulk Plant Input'!$A33="","",'Bulk Plant Input'!$A33)</f>
        <v/>
      </c>
      <c r="G183" s="481"/>
    </row>
    <row r="184" spans="3:8" ht="18" customHeight="1" x14ac:dyDescent="0.25">
      <c r="C184" s="226"/>
      <c r="D184" s="225"/>
      <c r="E184" s="12" t="str">
        <f>IF($C$122="","",IF(F184="","",'Bulk Plant Input'!C80*$C$122))</f>
        <v/>
      </c>
      <c r="F184" s="481" t="str">
        <f>IF('Bulk Plant Input'!$A34="","",'Bulk Plant Input'!$A34)</f>
        <v/>
      </c>
      <c r="G184" s="481"/>
    </row>
    <row r="185" spans="3:8" ht="18" customHeight="1" x14ac:dyDescent="0.25">
      <c r="C185" s="226"/>
      <c r="D185" s="225"/>
      <c r="E185" s="12" t="str">
        <f>IF($C$122="","",IF(F185="","",'Bulk Plant Input'!C81*$C$122))</f>
        <v/>
      </c>
      <c r="F185" s="481" t="str">
        <f>IF('Bulk Plant Input'!$A35="","",'Bulk Plant Input'!$A35)</f>
        <v/>
      </c>
      <c r="G185" s="481"/>
    </row>
    <row r="186" spans="3:8" ht="18" customHeight="1" x14ac:dyDescent="0.25">
      <c r="C186" s="226"/>
      <c r="D186" s="225"/>
      <c r="E186" s="12" t="str">
        <f>IF($C$122="","",IF(F186="","",'Bulk Plant Input'!C82*$C$122))</f>
        <v/>
      </c>
      <c r="F186" s="481" t="str">
        <f>IF('Bulk Plant Input'!$A36="","",'Bulk Plant Input'!$A36)</f>
        <v/>
      </c>
      <c r="G186" s="481"/>
    </row>
    <row r="187" spans="3:8" ht="18" customHeight="1" x14ac:dyDescent="0.25">
      <c r="C187" s="226"/>
      <c r="D187" s="225"/>
      <c r="E187" s="12" t="str">
        <f>IF($C$122="","",IF(F187="","",'Bulk Plant Input'!C83*$C$122))</f>
        <v/>
      </c>
      <c r="F187" s="481" t="str">
        <f>IF('Bulk Plant Input'!$A37="","",'Bulk Plant Input'!$A37)</f>
        <v/>
      </c>
      <c r="G187" s="481"/>
    </row>
    <row r="188" spans="3:8" ht="18" customHeight="1" x14ac:dyDescent="0.25">
      <c r="C188" s="226"/>
      <c r="D188" s="225"/>
      <c r="E188" s="12" t="str">
        <f>IF($C$122="","",IF(F188="","",'Bulk Plant Input'!C84*$C$122))</f>
        <v/>
      </c>
      <c r="F188" s="481" t="str">
        <f>IF('Bulk Plant Input'!$A43="","",'Bulk Plant Input'!$A43)</f>
        <v/>
      </c>
      <c r="G188" s="481"/>
    </row>
    <row r="189" spans="3:8" ht="18" customHeight="1" x14ac:dyDescent="0.25">
      <c r="C189" s="226"/>
      <c r="D189" s="225"/>
      <c r="E189" s="12" t="str">
        <f>IF($C$122="","",IF(F189="","",'Bulk Plant Input'!C85*$C$122))</f>
        <v/>
      </c>
      <c r="F189" s="481" t="str">
        <f>IF('Bulk Plant Input'!$A44="","",'Bulk Plant Input'!$A44)</f>
        <v/>
      </c>
      <c r="G189" s="481"/>
    </row>
    <row r="190" spans="3:8" ht="30" x14ac:dyDescent="0.25">
      <c r="C190" s="224" t="s">
        <v>589</v>
      </c>
      <c r="E190" s="222" t="str">
        <f>IF(C173="","Enter Pod Tonnage",SUM(E173:E189)+(C173*1000))</f>
        <v>Enter Pod Tonnage</v>
      </c>
      <c r="F190" s="223" t="s">
        <v>585</v>
      </c>
    </row>
    <row r="191" spans="3:8" ht="18" customHeight="1" x14ac:dyDescent="0.25">
      <c r="C191" s="221" t="s">
        <v>588</v>
      </c>
    </row>
    <row r="192" spans="3:8" ht="18" customHeight="1" thickBot="1" x14ac:dyDescent="0.3">
      <c r="C192" s="221" t="s">
        <v>586</v>
      </c>
      <c r="D192" s="218"/>
      <c r="F192" s="221" t="s">
        <v>587</v>
      </c>
      <c r="G192" s="476"/>
      <c r="H192" s="476"/>
    </row>
    <row r="193" spans="4:8" ht="18" customHeight="1" thickBot="1" x14ac:dyDescent="0.3">
      <c r="D193" s="219"/>
      <c r="G193" s="476"/>
      <c r="H193" s="476"/>
    </row>
    <row r="194" spans="4:8" ht="18" customHeight="1" thickBot="1" x14ac:dyDescent="0.3">
      <c r="D194" s="219"/>
      <c r="G194" s="476"/>
      <c r="H194" s="476"/>
    </row>
    <row r="195" spans="4:8" ht="18" customHeight="1" x14ac:dyDescent="0.25"/>
    <row r="196" spans="4:8" ht="18" customHeight="1" x14ac:dyDescent="0.25"/>
    <row r="197" spans="4:8" ht="18" customHeight="1" x14ac:dyDescent="0.25"/>
    <row r="198" spans="4:8" ht="18" customHeight="1" x14ac:dyDescent="0.25"/>
    <row r="199" spans="4:8" ht="18" customHeight="1" x14ac:dyDescent="0.25"/>
    <row r="200" spans="4:8" ht="18" customHeight="1" x14ac:dyDescent="0.25"/>
    <row r="201" spans="4:8" ht="18" customHeight="1" x14ac:dyDescent="0.25"/>
    <row r="202" spans="4:8" ht="18" hidden="1" customHeight="1" x14ac:dyDescent="0.25"/>
    <row r="203" spans="4:8" ht="18" hidden="1" customHeight="1" x14ac:dyDescent="0.25"/>
    <row r="204" spans="4:8" ht="18" hidden="1" customHeight="1" x14ac:dyDescent="0.25"/>
    <row r="205" spans="4:8" ht="18" hidden="1" customHeight="1" x14ac:dyDescent="0.25"/>
    <row r="206" spans="4:8" ht="18" hidden="1" customHeight="1" x14ac:dyDescent="0.25"/>
    <row r="207" spans="4:8" ht="18" hidden="1" customHeight="1" x14ac:dyDescent="0.25"/>
    <row r="208" spans="4:8" ht="18" hidden="1" customHeight="1" x14ac:dyDescent="0.25"/>
    <row r="209" ht="18" hidden="1" customHeight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</sheetData>
  <mergeCells count="125">
    <mergeCell ref="F1:G1"/>
    <mergeCell ref="F51:G51"/>
    <mergeCell ref="F102:G102"/>
    <mergeCell ref="F152:G152"/>
    <mergeCell ref="G194:H194"/>
    <mergeCell ref="F6:G6"/>
    <mergeCell ref="F53:G53"/>
    <mergeCell ref="F54:G54"/>
    <mergeCell ref="F56:G56"/>
    <mergeCell ref="D49:H49"/>
    <mergeCell ref="F104:G104"/>
    <mergeCell ref="F105:G105"/>
    <mergeCell ref="F107:G107"/>
    <mergeCell ref="F187:G187"/>
    <mergeCell ref="F188:G188"/>
    <mergeCell ref="F189:G189"/>
    <mergeCell ref="G192:H192"/>
    <mergeCell ref="G193:H193"/>
    <mergeCell ref="F182:G182"/>
    <mergeCell ref="F183:G183"/>
    <mergeCell ref="F184:G184"/>
    <mergeCell ref="F185:G185"/>
    <mergeCell ref="F186:G186"/>
    <mergeCell ref="F177:G177"/>
    <mergeCell ref="F178:G178"/>
    <mergeCell ref="F179:G179"/>
    <mergeCell ref="F180:G180"/>
    <mergeCell ref="F181:G181"/>
    <mergeCell ref="F172:G172"/>
    <mergeCell ref="F173:G173"/>
    <mergeCell ref="F174:G174"/>
    <mergeCell ref="F175:G175"/>
    <mergeCell ref="F176:G176"/>
    <mergeCell ref="F157:G157"/>
    <mergeCell ref="F166:G166"/>
    <mergeCell ref="F167:G167"/>
    <mergeCell ref="F168:G168"/>
    <mergeCell ref="F169:G169"/>
    <mergeCell ref="G143:H143"/>
    <mergeCell ref="F153:G153"/>
    <mergeCell ref="F154:G154"/>
    <mergeCell ref="F155:G155"/>
    <mergeCell ref="F156:G156"/>
    <mergeCell ref="F136:G136"/>
    <mergeCell ref="F137:G137"/>
    <mergeCell ref="F138:G138"/>
    <mergeCell ref="G141:H141"/>
    <mergeCell ref="G142:H142"/>
    <mergeCell ref="F131:G131"/>
    <mergeCell ref="F132:G132"/>
    <mergeCell ref="F133:G133"/>
    <mergeCell ref="F134:G134"/>
    <mergeCell ref="F135:G135"/>
    <mergeCell ref="F126:G126"/>
    <mergeCell ref="F127:G127"/>
    <mergeCell ref="F128:G128"/>
    <mergeCell ref="F129:G129"/>
    <mergeCell ref="F130:G130"/>
    <mergeCell ref="F121:G121"/>
    <mergeCell ref="F122:G122"/>
    <mergeCell ref="F123:G123"/>
    <mergeCell ref="F124:G124"/>
    <mergeCell ref="F125:G125"/>
    <mergeCell ref="F106:G106"/>
    <mergeCell ref="F115:G115"/>
    <mergeCell ref="F116:G116"/>
    <mergeCell ref="F117:G117"/>
    <mergeCell ref="F118:G118"/>
    <mergeCell ref="G92:H92"/>
    <mergeCell ref="F103:G103"/>
    <mergeCell ref="F85:G85"/>
    <mergeCell ref="F86:G86"/>
    <mergeCell ref="F87:G87"/>
    <mergeCell ref="G90:H90"/>
    <mergeCell ref="G91:H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70:G70"/>
    <mergeCell ref="F71:G71"/>
    <mergeCell ref="F72:G72"/>
    <mergeCell ref="F73:G73"/>
    <mergeCell ref="F74:G74"/>
    <mergeCell ref="F55:G55"/>
    <mergeCell ref="F64:G64"/>
    <mergeCell ref="F65:G65"/>
    <mergeCell ref="F66:G66"/>
    <mergeCell ref="F67:G67"/>
    <mergeCell ref="F52:G52"/>
    <mergeCell ref="F14:G14"/>
    <mergeCell ref="F15:G15"/>
    <mergeCell ref="F16:G16"/>
    <mergeCell ref="F17:G17"/>
    <mergeCell ref="F20:G20"/>
    <mergeCell ref="F32:G32"/>
    <mergeCell ref="F33:G33"/>
    <mergeCell ref="F22:G22"/>
    <mergeCell ref="F23:G23"/>
    <mergeCell ref="F24:G24"/>
    <mergeCell ref="F25:G25"/>
    <mergeCell ref="F26:G26"/>
    <mergeCell ref="F27:G27"/>
    <mergeCell ref="G42:H42"/>
    <mergeCell ref="G41:H41"/>
    <mergeCell ref="F2:G2"/>
    <mergeCell ref="F3:G3"/>
    <mergeCell ref="F4:G4"/>
    <mergeCell ref="F5:G5"/>
    <mergeCell ref="F34:G34"/>
    <mergeCell ref="F35:G35"/>
    <mergeCell ref="F36:G36"/>
    <mergeCell ref="F37:G37"/>
    <mergeCell ref="G40:H40"/>
    <mergeCell ref="F28:G28"/>
    <mergeCell ref="F29:G29"/>
    <mergeCell ref="F30:G30"/>
    <mergeCell ref="F31:G31"/>
    <mergeCell ref="F21:G21"/>
  </mergeCells>
  <conditionalFormatting sqref="B15">
    <cfRule type="containsBlanks" dxfId="163" priority="93">
      <formula>LEN(TRIM(B15))=0</formula>
    </cfRule>
  </conditionalFormatting>
  <conditionalFormatting sqref="B16">
    <cfRule type="containsBlanks" dxfId="162" priority="92">
      <formula>LEN(TRIM(B16))=0</formula>
    </cfRule>
  </conditionalFormatting>
  <conditionalFormatting sqref="B17">
    <cfRule type="containsBlanks" dxfId="161" priority="91">
      <formula>LEN(TRIM(B17))=0</formula>
    </cfRule>
  </conditionalFormatting>
  <conditionalFormatting sqref="D11">
    <cfRule type="containsBlanks" dxfId="160" priority="86">
      <formula>LEN(TRIM(D11))=0</formula>
    </cfRule>
  </conditionalFormatting>
  <conditionalFormatting sqref="D15:D17">
    <cfRule type="containsBlanks" dxfId="159" priority="79">
      <formula>LEN(TRIM(D15))=0</formula>
    </cfRule>
  </conditionalFormatting>
  <conditionalFormatting sqref="B118">
    <cfRule type="containsBlanks" dxfId="158" priority="65">
      <formula>LEN(TRIM(B118))=0</formula>
    </cfRule>
  </conditionalFormatting>
  <conditionalFormatting sqref="B65">
    <cfRule type="containsBlanks" dxfId="157" priority="78">
      <formula>LEN(TRIM(B65))=0</formula>
    </cfRule>
  </conditionalFormatting>
  <conditionalFormatting sqref="B66">
    <cfRule type="containsBlanks" dxfId="156" priority="77">
      <formula>LEN(TRIM(B66))=0</formula>
    </cfRule>
  </conditionalFormatting>
  <conditionalFormatting sqref="B67">
    <cfRule type="containsBlanks" dxfId="155" priority="76">
      <formula>LEN(TRIM(B67))=0</formula>
    </cfRule>
  </conditionalFormatting>
  <conditionalFormatting sqref="D61">
    <cfRule type="containsBlanks" dxfId="154" priority="71">
      <formula>LEN(TRIM(D61))=0</formula>
    </cfRule>
  </conditionalFormatting>
  <conditionalFormatting sqref="B116">
    <cfRule type="containsBlanks" dxfId="153" priority="67">
      <formula>LEN(TRIM(B116))=0</formula>
    </cfRule>
  </conditionalFormatting>
  <conditionalFormatting sqref="D65:D67">
    <cfRule type="containsBlanks" dxfId="152" priority="68">
      <formula>LEN(TRIM(D65))=0</formula>
    </cfRule>
  </conditionalFormatting>
  <conditionalFormatting sqref="D162">
    <cfRule type="containsBlanks" dxfId="151" priority="50">
      <formula>LEN(TRIM(D162))=0</formula>
    </cfRule>
  </conditionalFormatting>
  <conditionalFormatting sqref="D159">
    <cfRule type="containsBlanks" dxfId="150" priority="53">
      <formula>LEN(TRIM(D159))=0</formula>
    </cfRule>
  </conditionalFormatting>
  <conditionalFormatting sqref="B117">
    <cfRule type="containsBlanks" dxfId="149" priority="66">
      <formula>LEN(TRIM(B117))=0</formula>
    </cfRule>
  </conditionalFormatting>
  <conditionalFormatting sqref="D112">
    <cfRule type="containsBlanks" dxfId="148" priority="60">
      <formula>LEN(TRIM(D112))=0</formula>
    </cfRule>
  </conditionalFormatting>
  <conditionalFormatting sqref="D163">
    <cfRule type="containsBlanks" dxfId="147" priority="49">
      <formula>LEN(TRIM(D163))=0</formula>
    </cfRule>
  </conditionalFormatting>
  <conditionalFormatting sqref="F157">
    <cfRule type="containsBlanks" dxfId="146" priority="47">
      <formula>LEN(TRIM(F157))=0</formula>
    </cfRule>
  </conditionalFormatting>
  <conditionalFormatting sqref="D167:D169">
    <cfRule type="containsBlanks" dxfId="145" priority="46">
      <formula>LEN(TRIM(D167))=0</formula>
    </cfRule>
  </conditionalFormatting>
  <conditionalFormatting sqref="D116:D118">
    <cfRule type="containsBlanks" dxfId="144" priority="57">
      <formula>LEN(TRIM(D116))=0</formula>
    </cfRule>
  </conditionalFormatting>
  <conditionalFormatting sqref="B167">
    <cfRule type="containsBlanks" dxfId="143" priority="56">
      <formula>LEN(TRIM(B167))=0</formula>
    </cfRule>
  </conditionalFormatting>
  <conditionalFormatting sqref="B168">
    <cfRule type="containsBlanks" dxfId="142" priority="55">
      <formula>LEN(TRIM(B168))=0</formula>
    </cfRule>
  </conditionalFormatting>
  <conditionalFormatting sqref="B169">
    <cfRule type="containsBlanks" dxfId="141" priority="54">
      <formula>LEN(TRIM(B169))=0</formula>
    </cfRule>
  </conditionalFormatting>
  <conditionalFormatting sqref="D160">
    <cfRule type="containsBlanks" dxfId="140" priority="52">
      <formula>LEN(TRIM(D160))=0</formula>
    </cfRule>
  </conditionalFormatting>
  <conditionalFormatting sqref="D161">
    <cfRule type="containsBlanks" dxfId="139" priority="51">
      <formula>LEN(TRIM(D161))=0</formula>
    </cfRule>
  </conditionalFormatting>
  <conditionalFormatting sqref="F6">
    <cfRule type="containsBlanks" dxfId="138" priority="42">
      <formula>LEN(TRIM(F6))=0</formula>
    </cfRule>
  </conditionalFormatting>
  <conditionalFormatting sqref="F56">
    <cfRule type="containsBlanks" dxfId="137" priority="38">
      <formula>LEN(TRIM(F56))=0</formula>
    </cfRule>
  </conditionalFormatting>
  <conditionalFormatting sqref="F107">
    <cfRule type="containsBlanks" dxfId="136" priority="34">
      <formula>LEN(TRIM(F107))=0</formula>
    </cfRule>
  </conditionalFormatting>
  <conditionalFormatting sqref="F102">
    <cfRule type="containsBlanks" dxfId="135" priority="31">
      <formula>LEN(TRIM(F102))=0</formula>
    </cfRule>
  </conditionalFormatting>
  <conditionalFormatting sqref="D108">
    <cfRule type="containsBlanks" dxfId="134" priority="29">
      <formula>LEN(TRIM(D108))=0</formula>
    </cfRule>
  </conditionalFormatting>
  <conditionalFormatting sqref="D109">
    <cfRule type="containsBlanks" dxfId="133" priority="28">
      <formula>LEN(TRIM(D109))=0</formula>
    </cfRule>
  </conditionalFormatting>
  <conditionalFormatting sqref="D110">
    <cfRule type="containsBlanks" dxfId="132" priority="27">
      <formula>LEN(TRIM(D110))=0</formula>
    </cfRule>
  </conditionalFormatting>
  <conditionalFormatting sqref="D111">
    <cfRule type="containsBlanks" dxfId="131" priority="26">
      <formula>LEN(TRIM(D111))=0</formula>
    </cfRule>
  </conditionalFormatting>
  <conditionalFormatting sqref="D57">
    <cfRule type="containsBlanks" dxfId="130" priority="25">
      <formula>LEN(TRIM(D57))=0</formula>
    </cfRule>
  </conditionalFormatting>
  <conditionalFormatting sqref="D58">
    <cfRule type="containsBlanks" dxfId="129" priority="24">
      <formula>LEN(TRIM(D58))=0</formula>
    </cfRule>
  </conditionalFormatting>
  <conditionalFormatting sqref="D59">
    <cfRule type="containsBlanks" dxfId="128" priority="23">
      <formula>LEN(TRIM(D59))=0</formula>
    </cfRule>
  </conditionalFormatting>
  <conditionalFormatting sqref="D60">
    <cfRule type="containsBlanks" dxfId="127" priority="22">
      <formula>LEN(TRIM(D60))=0</formula>
    </cfRule>
  </conditionalFormatting>
  <conditionalFormatting sqref="D7">
    <cfRule type="containsBlanks" dxfId="126" priority="21">
      <formula>LEN(TRIM(D7))=0</formula>
    </cfRule>
  </conditionalFormatting>
  <conditionalFormatting sqref="D8">
    <cfRule type="containsBlanks" dxfId="125" priority="20">
      <formula>LEN(TRIM(D8))=0</formula>
    </cfRule>
  </conditionalFormatting>
  <conditionalFormatting sqref="D9">
    <cfRule type="containsBlanks" dxfId="124" priority="19">
      <formula>LEN(TRIM(D9))=0</formula>
    </cfRule>
  </conditionalFormatting>
  <conditionalFormatting sqref="D10">
    <cfRule type="containsBlanks" dxfId="123" priority="18">
      <formula>LEN(TRIM(D10))=0</formula>
    </cfRule>
  </conditionalFormatting>
  <conditionalFormatting sqref="F103">
    <cfRule type="containsBlanks" dxfId="122" priority="17">
      <formula>LEN(TRIM(F103))=0</formula>
    </cfRule>
  </conditionalFormatting>
  <conditionalFormatting sqref="F104:F106">
    <cfRule type="containsBlanks" dxfId="121" priority="16">
      <formula>LEN(TRIM(F104))=0</formula>
    </cfRule>
  </conditionalFormatting>
  <conditionalFormatting sqref="F152">
    <cfRule type="containsBlanks" dxfId="120" priority="9">
      <formula>LEN(TRIM(F152))=0</formula>
    </cfRule>
  </conditionalFormatting>
  <conditionalFormatting sqref="F153">
    <cfRule type="containsBlanks" dxfId="119" priority="8">
      <formula>LEN(TRIM(F153))=0</formula>
    </cfRule>
  </conditionalFormatting>
  <conditionalFormatting sqref="F154:F156">
    <cfRule type="containsBlanks" dxfId="118" priority="7">
      <formula>LEN(TRIM(F154))=0</formula>
    </cfRule>
  </conditionalFormatting>
  <conditionalFormatting sqref="F51">
    <cfRule type="containsBlanks" dxfId="117" priority="6">
      <formula>LEN(TRIM(F51))=0</formula>
    </cfRule>
  </conditionalFormatting>
  <conditionalFormatting sqref="F52">
    <cfRule type="containsBlanks" dxfId="116" priority="5">
      <formula>LEN(TRIM(F52))=0</formula>
    </cfRule>
  </conditionalFormatting>
  <conditionalFormatting sqref="F53:F55">
    <cfRule type="containsBlanks" dxfId="115" priority="4">
      <formula>LEN(TRIM(F53))=0</formula>
    </cfRule>
  </conditionalFormatting>
  <conditionalFormatting sqref="F1">
    <cfRule type="containsBlanks" dxfId="114" priority="3">
      <formula>LEN(TRIM(F1))=0</formula>
    </cfRule>
  </conditionalFormatting>
  <conditionalFormatting sqref="F2">
    <cfRule type="containsBlanks" dxfId="113" priority="2">
      <formula>LEN(TRIM(F2))=0</formula>
    </cfRule>
  </conditionalFormatting>
  <conditionalFormatting sqref="F3:F5">
    <cfRule type="containsBlanks" dxfId="112" priority="1">
      <formula>LEN(TRIM(F3))=0</formula>
    </cfRule>
  </conditionalFormatting>
  <dataValidations count="1">
    <dataValidation type="list" allowBlank="1" showInputMessage="1" showErrorMessage="1" sqref="D11 D61 D112 D163" xr:uid="{00000000-0002-0000-0600-000000000000}">
      <formula1>"Yes,No"</formula1>
    </dataValidation>
  </dataValidations>
  <pageMargins left="0.7" right="0.7" top="0.75" bottom="0.75" header="0.3" footer="0.3"/>
  <pageSetup scale="70" orientation="portrait" r:id="rId1"/>
  <headerFooter>
    <oddHeader>&amp;L&amp;G&amp;R&amp;"-,Bold"&amp;20Material Transfer Sheet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'Silo Sizes'!$J$2:$J$4</xm:f>
          </x14:formula1>
          <xm:sqref>D15:D17 D65:D67 D116:D118 D167:D169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"/>
  <sheetViews>
    <sheetView workbookViewId="0">
      <selection activeCell="E19" sqref="E19"/>
    </sheetView>
  </sheetViews>
  <sheetFormatPr defaultRowHeight="15" x14ac:dyDescent="0.25"/>
  <cols>
    <col min="1" max="16384" width="9.140625" style="212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OpenBaseBlendPropCalc">
                <anchor moveWithCells="1" sizeWithCells="1">
                  <from>
                    <xdr:col>0</xdr:col>
                    <xdr:colOff>590550</xdr:colOff>
                    <xdr:row>1</xdr:row>
                    <xdr:rowOff>19050</xdr:rowOff>
                  </from>
                  <to>
                    <xdr:col>2</xdr:col>
                    <xdr:colOff>581025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OpenBaseProp">
                <anchor moveWithCells="1" sizeWithCells="1">
                  <from>
                    <xdr:col>3</xdr:col>
                    <xdr:colOff>200025</xdr:colOff>
                    <xdr:row>1</xdr:row>
                    <xdr:rowOff>9525</xdr:rowOff>
                  </from>
                  <to>
                    <xdr:col>5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OpenSGs">
                <anchor moveWithCells="1" sizeWithCells="1">
                  <from>
                    <xdr:col>5</xdr:col>
                    <xdr:colOff>438150</xdr:colOff>
                    <xdr:row>1</xdr:row>
                    <xdr:rowOff>9525</xdr:rowOff>
                  </from>
                  <to>
                    <xdr:col>7</xdr:col>
                    <xdr:colOff>390525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7" name="Button 6">
              <controlPr defaultSize="0" print="0" autoFill="0" autoPict="0" macro="[0]!OpenBaseBlendCompatibility">
                <anchor moveWithCells="1" sizeWithCells="1">
                  <from>
                    <xdr:col>7</xdr:col>
                    <xdr:colOff>590550</xdr:colOff>
                    <xdr:row>1</xdr:row>
                    <xdr:rowOff>19050</xdr:rowOff>
                  </from>
                  <to>
                    <xdr:col>9</xdr:col>
                    <xdr:colOff>533400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8" name="Button 8">
              <controlPr defaultSize="0" print="0" autoFill="0" autoPict="0" macro="[0]!OpenSilo">
                <anchor moveWithCells="1" sizeWithCells="1">
                  <from>
                    <xdr:col>10</xdr:col>
                    <xdr:colOff>171450</xdr:colOff>
                    <xdr:row>1</xdr:row>
                    <xdr:rowOff>0</xdr:rowOff>
                  </from>
                  <to>
                    <xdr:col>12</xdr:col>
                    <xdr:colOff>104775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9" name="Button 9">
              <controlPr defaultSize="0" print="0" autoFill="0" autoPict="0" macro="[0]!OpenMAXandMIN">
                <anchor moveWithCells="1" sizeWithCells="1">
                  <from>
                    <xdr:col>12</xdr:col>
                    <xdr:colOff>400050</xdr:colOff>
                    <xdr:row>1</xdr:row>
                    <xdr:rowOff>9525</xdr:rowOff>
                  </from>
                  <to>
                    <xdr:col>14</xdr:col>
                    <xdr:colOff>342900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0" name="Button 10">
              <controlPr defaultSize="0" print="0" autoFill="0" autoPict="0" macro="[0]!OpenBlendAssembly">
                <anchor moveWithCells="1" sizeWithCells="1">
                  <from>
                    <xdr:col>15</xdr:col>
                    <xdr:colOff>57150</xdr:colOff>
                    <xdr:row>1</xdr:row>
                    <xdr:rowOff>9525</xdr:rowOff>
                  </from>
                  <to>
                    <xdr:col>17</xdr:col>
                    <xdr:colOff>76200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1" name="Button 11">
              <controlPr defaultSize="0" print="0" autoFill="0" autoPict="0" macro="[0]!Blends">
                <anchor moveWithCells="1" sizeWithCells="1">
                  <from>
                    <xdr:col>17</xdr:col>
                    <xdr:colOff>323850</xdr:colOff>
                    <xdr:row>1</xdr:row>
                    <xdr:rowOff>9525</xdr:rowOff>
                  </from>
                  <to>
                    <xdr:col>19</xdr:col>
                    <xdr:colOff>342900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5"/>
  <dimension ref="B2:N150"/>
  <sheetViews>
    <sheetView zoomScale="85" zoomScaleNormal="85" workbookViewId="0">
      <pane ySplit="2" topLeftCell="A48" activePane="bottomLeft" state="frozen"/>
      <selection activeCell="E19" sqref="E19"/>
      <selection pane="bottomLeft" activeCell="C69" sqref="C69"/>
    </sheetView>
  </sheetViews>
  <sheetFormatPr defaultRowHeight="15" x14ac:dyDescent="0.25"/>
  <cols>
    <col min="2" max="2" width="17.28515625" customWidth="1"/>
    <col min="3" max="4" width="12.7109375" customWidth="1"/>
    <col min="5" max="5" width="39.7109375" customWidth="1"/>
    <col min="6" max="9" width="12.7109375" style="1" customWidth="1"/>
    <col min="12" max="12" width="14.85546875" customWidth="1"/>
    <col min="13" max="13" width="21.42578125" customWidth="1"/>
  </cols>
  <sheetData>
    <row r="2" spans="2:14" ht="60" x14ac:dyDescent="0.25">
      <c r="B2" s="138" t="s">
        <v>143</v>
      </c>
      <c r="C2" s="149" t="s">
        <v>517</v>
      </c>
      <c r="D2" s="148"/>
      <c r="E2" s="149" t="s">
        <v>221</v>
      </c>
      <c r="F2" s="149" t="s">
        <v>518</v>
      </c>
      <c r="G2" s="149" t="s">
        <v>523</v>
      </c>
      <c r="H2" s="149" t="s">
        <v>519</v>
      </c>
      <c r="I2" s="147" t="s">
        <v>521</v>
      </c>
      <c r="J2" s="147" t="s">
        <v>1796</v>
      </c>
      <c r="K2" s="147" t="s">
        <v>1797</v>
      </c>
    </row>
    <row r="3" spans="2:14" x14ac:dyDescent="0.25">
      <c r="B3" s="11" t="s">
        <v>145</v>
      </c>
      <c r="C3" s="151">
        <v>0.3</v>
      </c>
      <c r="D3" s="150"/>
      <c r="E3" s="151" t="str">
        <f>'Base Blend Property Calculation'!A7</f>
        <v>No Cement</v>
      </c>
      <c r="F3" s="15">
        <v>0</v>
      </c>
      <c r="G3" s="15">
        <f>VLOOKUP(E3,'Base Blend Property Calculation'!$A$7:$BT$151,60,FALSE)</f>
        <v>0</v>
      </c>
      <c r="H3" s="15">
        <v>0</v>
      </c>
      <c r="I3" s="15">
        <v>0</v>
      </c>
      <c r="J3" t="str">
        <f>IF(F3&gt;G3,"Fix Here","")</f>
        <v/>
      </c>
      <c r="K3" t="str">
        <f>IF(H3&lt;G3,"Fix This","")</f>
        <v/>
      </c>
      <c r="L3" s="484" t="s">
        <v>525</v>
      </c>
      <c r="M3" s="485"/>
      <c r="N3" s="146">
        <f>VLOOKUP('Bulk Plant Input'!$A$19,'Max Add &amp; Blend Densities'!$E$3:$H$150,2,FALSE)</f>
        <v>1901</v>
      </c>
    </row>
    <row r="4" spans="2:14" x14ac:dyDescent="0.25">
      <c r="B4" s="11" t="s">
        <v>146</v>
      </c>
      <c r="C4" s="151">
        <v>0.5</v>
      </c>
      <c r="D4" s="150"/>
      <c r="E4" s="151" t="str">
        <f>'Base Blend Property Calculation'!A8</f>
        <v>0:1:0 'A'</v>
      </c>
      <c r="F4" s="15">
        <f>G4</f>
        <v>1880</v>
      </c>
      <c r="G4" s="399">
        <f>VLOOKUP(E4,'Base Blend Property Calculation'!$A$7:$BT$151,61,FALSE)</f>
        <v>1880</v>
      </c>
      <c r="H4" s="15">
        <f>G4</f>
        <v>1880</v>
      </c>
      <c r="I4" s="15">
        <v>1950</v>
      </c>
      <c r="J4" t="str">
        <f t="shared" ref="J4:J67" si="0">IF(F4&gt;G4,"Fix Here","")</f>
        <v/>
      </c>
      <c r="K4" t="str">
        <f t="shared" ref="K4:K67" si="1">IF(H4&lt;G4,"Fix This","")</f>
        <v/>
      </c>
      <c r="L4" s="484" t="s">
        <v>524</v>
      </c>
      <c r="M4" s="485"/>
      <c r="N4" s="146">
        <f>VLOOKUP('Bulk Plant Input'!$A$19,'Max Add &amp; Blend Densities'!$E$3:$H$150,4,FALSE)</f>
        <v>1901</v>
      </c>
    </row>
    <row r="5" spans="2:14" x14ac:dyDescent="0.25">
      <c r="B5" s="11" t="s">
        <v>147</v>
      </c>
      <c r="C5" s="151">
        <v>0.3</v>
      </c>
      <c r="D5" s="150"/>
      <c r="E5" s="151" t="str">
        <f>'Base Blend Property Calculation'!A9</f>
        <v>0:1:0 'C'</v>
      </c>
      <c r="F5" s="399">
        <f t="shared" ref="F5:F68" si="2">G5</f>
        <v>1780</v>
      </c>
      <c r="G5" s="399">
        <f>VLOOKUP(E5,'Base Blend Property Calculation'!$A$7:$BT$151,61,FALSE)</f>
        <v>1780</v>
      </c>
      <c r="H5" s="399">
        <f t="shared" ref="H5:H68" si="3">G5</f>
        <v>1780</v>
      </c>
      <c r="I5" s="15">
        <v>1860</v>
      </c>
      <c r="J5" t="str">
        <f t="shared" si="0"/>
        <v/>
      </c>
      <c r="K5" t="str">
        <f t="shared" si="1"/>
        <v/>
      </c>
      <c r="L5" s="484" t="s">
        <v>526</v>
      </c>
      <c r="M5" s="485"/>
      <c r="N5" s="146">
        <f>VLOOKUP('Bulk Plant Input'!$A$19,'Max Add &amp; Blend Densities'!$E$3:$I$150,5,FALSE)</f>
        <v>2105</v>
      </c>
    </row>
    <row r="6" spans="2:14" x14ac:dyDescent="0.25">
      <c r="B6" s="11" t="s">
        <v>121</v>
      </c>
      <c r="C6" s="151">
        <v>3</v>
      </c>
      <c r="D6" s="150"/>
      <c r="E6" s="151" t="str">
        <f>'Base Blend Property Calculation'!A10</f>
        <v>0:1:0 'G'</v>
      </c>
      <c r="F6" s="399">
        <f t="shared" si="2"/>
        <v>1901</v>
      </c>
      <c r="G6" s="399">
        <f>VLOOKUP(E6,'Base Blend Property Calculation'!$A$7:$BT$151,61,FALSE)</f>
        <v>1901</v>
      </c>
      <c r="H6" s="399">
        <f t="shared" si="3"/>
        <v>1901</v>
      </c>
      <c r="I6" s="15">
        <v>2105</v>
      </c>
      <c r="J6" t="str">
        <f t="shared" si="0"/>
        <v/>
      </c>
      <c r="K6" t="str">
        <f t="shared" si="1"/>
        <v/>
      </c>
    </row>
    <row r="7" spans="2:14" x14ac:dyDescent="0.25">
      <c r="B7" s="11" t="s">
        <v>150</v>
      </c>
      <c r="C7" s="151">
        <v>0.4</v>
      </c>
      <c r="D7" s="150"/>
      <c r="E7" s="151" t="str">
        <f>'Base Blend Property Calculation'!A11</f>
        <v>0:1:12 'G'</v>
      </c>
      <c r="F7" s="399">
        <f t="shared" si="2"/>
        <v>1525</v>
      </c>
      <c r="G7" s="399">
        <f>VLOOKUP(E7,'Base Blend Property Calculation'!$A$7:$BT$151,61,FALSE)</f>
        <v>1525</v>
      </c>
      <c r="H7" s="399">
        <f t="shared" si="3"/>
        <v>1525</v>
      </c>
      <c r="I7" s="15" t="s">
        <v>522</v>
      </c>
      <c r="J7" t="str">
        <f t="shared" si="0"/>
        <v/>
      </c>
      <c r="K7" t="str">
        <f t="shared" si="1"/>
        <v/>
      </c>
    </row>
    <row r="8" spans="2:14" x14ac:dyDescent="0.25">
      <c r="B8" s="11" t="s">
        <v>301</v>
      </c>
      <c r="C8" s="151">
        <v>0.4</v>
      </c>
      <c r="D8" s="150"/>
      <c r="E8" s="151" t="str">
        <f>'Base Blend Property Calculation'!A12</f>
        <v>0:1:2 'G'</v>
      </c>
      <c r="F8" s="399">
        <f t="shared" si="2"/>
        <v>1796</v>
      </c>
      <c r="G8" s="399">
        <f>VLOOKUP(E8,'Base Blend Property Calculation'!$A$7:$BT$151,61,FALSE)</f>
        <v>1796</v>
      </c>
      <c r="H8" s="399">
        <f t="shared" si="3"/>
        <v>1796</v>
      </c>
      <c r="I8" s="15" t="s">
        <v>522</v>
      </c>
      <c r="J8" t="str">
        <f t="shared" si="0"/>
        <v/>
      </c>
      <c r="K8" t="str">
        <f t="shared" si="1"/>
        <v/>
      </c>
    </row>
    <row r="9" spans="2:14" x14ac:dyDescent="0.25">
      <c r="B9" s="11" t="s">
        <v>179</v>
      </c>
      <c r="C9" s="152">
        <v>10</v>
      </c>
      <c r="D9" s="150"/>
      <c r="E9" s="151" t="str">
        <f>'Base Blend Property Calculation'!A13</f>
        <v>0:1:4 'G'</v>
      </c>
      <c r="F9" s="399">
        <f t="shared" si="2"/>
        <v>1718</v>
      </c>
      <c r="G9" s="399">
        <f>VLOOKUP(E9,'Base Blend Property Calculation'!$A$7:$BT$151,61,FALSE)</f>
        <v>1718</v>
      </c>
      <c r="H9" s="399">
        <f t="shared" si="3"/>
        <v>1718</v>
      </c>
      <c r="I9" s="15" t="s">
        <v>522</v>
      </c>
      <c r="J9" t="str">
        <f t="shared" si="0"/>
        <v/>
      </c>
      <c r="K9" t="str">
        <f t="shared" si="1"/>
        <v/>
      </c>
    </row>
    <row r="10" spans="2:14" x14ac:dyDescent="0.25">
      <c r="B10" s="11" t="s">
        <v>111</v>
      </c>
      <c r="C10" s="152">
        <v>5</v>
      </c>
      <c r="D10" s="150"/>
      <c r="E10" s="151" t="str">
        <f>'Base Blend Property Calculation'!A14</f>
        <v>0:1:6 'G'</v>
      </c>
      <c r="F10" s="399">
        <f t="shared" si="2"/>
        <v>1666</v>
      </c>
      <c r="G10" s="399">
        <f>VLOOKUP(E10,'Base Blend Property Calculation'!$A$7:$BT$151,61,FALSE)</f>
        <v>1666</v>
      </c>
      <c r="H10" s="399">
        <f t="shared" si="3"/>
        <v>1666</v>
      </c>
      <c r="I10" s="15" t="s">
        <v>522</v>
      </c>
      <c r="J10" t="str">
        <f t="shared" si="0"/>
        <v/>
      </c>
      <c r="K10" t="str">
        <f t="shared" si="1"/>
        <v/>
      </c>
      <c r="L10" t="s">
        <v>529</v>
      </c>
    </row>
    <row r="11" spans="2:14" x14ac:dyDescent="0.25">
      <c r="B11" s="11" t="s">
        <v>112</v>
      </c>
      <c r="C11" s="152">
        <v>5</v>
      </c>
      <c r="D11" s="150"/>
      <c r="E11" s="151" t="str">
        <f>'Base Blend Property Calculation'!A15</f>
        <v>0:1:8 'G'</v>
      </c>
      <c r="F11" s="399">
        <f t="shared" si="2"/>
        <v>1603</v>
      </c>
      <c r="G11" s="399">
        <f>VLOOKUP(E11,'Base Blend Property Calculation'!$A$7:$BT$151,61,FALSE)</f>
        <v>1603</v>
      </c>
      <c r="H11" s="399">
        <f t="shared" si="3"/>
        <v>1603</v>
      </c>
      <c r="I11" s="15" t="s">
        <v>522</v>
      </c>
      <c r="J11" t="str">
        <f t="shared" si="0"/>
        <v/>
      </c>
      <c r="K11" t="str">
        <f t="shared" si="1"/>
        <v/>
      </c>
    </row>
    <row r="12" spans="2:14" x14ac:dyDescent="0.25">
      <c r="B12" s="11" t="s">
        <v>110</v>
      </c>
      <c r="C12" s="152">
        <v>5</v>
      </c>
      <c r="D12" s="150"/>
      <c r="E12" s="151" t="str">
        <f>'Base Blend Property Calculation'!A16</f>
        <v>1:1:0 'G'</v>
      </c>
      <c r="F12" s="399">
        <f t="shared" si="2"/>
        <v>1720</v>
      </c>
      <c r="G12" s="399">
        <f>VLOOKUP(E12,'Base Blend Property Calculation'!$A$7:$BT$151,61,FALSE)</f>
        <v>1720</v>
      </c>
      <c r="H12" s="399">
        <f t="shared" si="3"/>
        <v>1720</v>
      </c>
      <c r="I12" s="15">
        <v>1820</v>
      </c>
      <c r="J12" t="str">
        <f t="shared" si="0"/>
        <v/>
      </c>
      <c r="K12" t="str">
        <f t="shared" si="1"/>
        <v/>
      </c>
      <c r="L12">
        <f>IF('Bulk Plant Input'!G23="",0,1)</f>
        <v>1</v>
      </c>
    </row>
    <row r="13" spans="2:14" x14ac:dyDescent="0.25">
      <c r="B13" s="11" t="s">
        <v>362</v>
      </c>
      <c r="C13" s="152">
        <v>5</v>
      </c>
      <c r="D13" s="150"/>
      <c r="E13" s="151" t="str">
        <f>'Base Blend Property Calculation'!A17</f>
        <v>1:1:0 'G' (Sask)</v>
      </c>
      <c r="F13" s="399">
        <f t="shared" si="2"/>
        <v>1720</v>
      </c>
      <c r="G13" s="399">
        <f>VLOOKUP(E13,'Base Blend Property Calculation'!$A$7:$BT$151,61,FALSE)</f>
        <v>1720</v>
      </c>
      <c r="H13" s="399">
        <f t="shared" si="3"/>
        <v>1720</v>
      </c>
      <c r="I13" s="15">
        <v>1825</v>
      </c>
      <c r="J13" t="str">
        <f t="shared" si="0"/>
        <v/>
      </c>
      <c r="K13" t="str">
        <f t="shared" si="1"/>
        <v/>
      </c>
      <c r="L13">
        <f>IF('Bulk Plant Input'!G24="",0,1)</f>
        <v>0</v>
      </c>
    </row>
    <row r="14" spans="2:14" x14ac:dyDescent="0.25">
      <c r="B14" s="11" t="s">
        <v>152</v>
      </c>
      <c r="C14" s="151">
        <v>1</v>
      </c>
      <c r="D14" s="150"/>
      <c r="E14" s="151" t="str">
        <f>'Base Blend Property Calculation'!A18</f>
        <v>1:1:12 'G'</v>
      </c>
      <c r="F14" s="399">
        <f t="shared" si="2"/>
        <v>1446</v>
      </c>
      <c r="G14" s="399">
        <f>VLOOKUP(E14,'Base Blend Property Calculation'!$A$7:$BT$151,61,FALSE)</f>
        <v>1446</v>
      </c>
      <c r="H14" s="399">
        <f t="shared" si="3"/>
        <v>1446</v>
      </c>
      <c r="I14" s="15" t="s">
        <v>522</v>
      </c>
      <c r="J14" t="str">
        <f t="shared" si="0"/>
        <v/>
      </c>
      <c r="K14" t="str">
        <f t="shared" si="1"/>
        <v/>
      </c>
      <c r="L14">
        <f>IF('Bulk Plant Input'!G25="",0,1)</f>
        <v>0</v>
      </c>
    </row>
    <row r="15" spans="2:14" x14ac:dyDescent="0.25">
      <c r="B15" s="11" t="s">
        <v>117</v>
      </c>
      <c r="C15" s="151">
        <v>1.25</v>
      </c>
      <c r="D15" s="150"/>
      <c r="E15" s="151" t="str">
        <f>'Base Blend Property Calculation'!A19</f>
        <v>1:1:12 'G' (Sask)</v>
      </c>
      <c r="F15" s="399">
        <f t="shared" si="2"/>
        <v>1446</v>
      </c>
      <c r="G15" s="399">
        <f>VLOOKUP(E15,'Base Blend Property Calculation'!$A$7:$BT$151,61,FALSE)</f>
        <v>1446</v>
      </c>
      <c r="H15" s="399">
        <f t="shared" si="3"/>
        <v>1446</v>
      </c>
      <c r="I15" s="15" t="s">
        <v>522</v>
      </c>
      <c r="J15" t="str">
        <f t="shared" si="0"/>
        <v/>
      </c>
      <c r="K15" t="str">
        <f t="shared" si="1"/>
        <v/>
      </c>
      <c r="L15">
        <f>IF('Bulk Plant Input'!G26="",0,1)</f>
        <v>0</v>
      </c>
    </row>
    <row r="16" spans="2:14" x14ac:dyDescent="0.25">
      <c r="B16" s="11" t="s">
        <v>154</v>
      </c>
      <c r="C16" s="151">
        <v>1.75</v>
      </c>
      <c r="D16" s="150"/>
      <c r="E16" s="151" t="str">
        <f>'Base Blend Property Calculation'!A20</f>
        <v>1:1:2 'G'</v>
      </c>
      <c r="F16" s="399">
        <f t="shared" si="2"/>
        <v>1646</v>
      </c>
      <c r="G16" s="399">
        <f>VLOOKUP(E16,'Base Blend Property Calculation'!$A$7:$BT$151,61,FALSE)</f>
        <v>1646</v>
      </c>
      <c r="H16" s="399">
        <f t="shared" si="3"/>
        <v>1646</v>
      </c>
      <c r="I16" s="15" t="s">
        <v>522</v>
      </c>
      <c r="J16" t="str">
        <f t="shared" si="0"/>
        <v/>
      </c>
      <c r="K16" t="str">
        <f t="shared" si="1"/>
        <v/>
      </c>
      <c r="L16">
        <f>IF('Bulk Plant Input'!G27="",0,1)</f>
        <v>0</v>
      </c>
    </row>
    <row r="17" spans="2:12" x14ac:dyDescent="0.25">
      <c r="B17" s="11" t="s">
        <v>118</v>
      </c>
      <c r="C17" s="151">
        <v>1.2</v>
      </c>
      <c r="D17" s="150"/>
      <c r="E17" s="151" t="str">
        <f>'Base Blend Property Calculation'!A21</f>
        <v>1:1:2 'G' (Sask)</v>
      </c>
      <c r="F17" s="399">
        <f t="shared" si="2"/>
        <v>1646</v>
      </c>
      <c r="G17" s="399">
        <f>VLOOKUP(E17,'Base Blend Property Calculation'!$A$7:$BT$151,61,FALSE)</f>
        <v>1646</v>
      </c>
      <c r="H17" s="399">
        <f t="shared" si="3"/>
        <v>1646</v>
      </c>
      <c r="I17" s="15" t="s">
        <v>522</v>
      </c>
      <c r="J17" t="str">
        <f t="shared" si="0"/>
        <v/>
      </c>
      <c r="K17" t="str">
        <f t="shared" si="1"/>
        <v/>
      </c>
      <c r="L17">
        <f>IF('Bulk Plant Input'!G28="",0,1)</f>
        <v>0</v>
      </c>
    </row>
    <row r="18" spans="2:12" x14ac:dyDescent="0.25">
      <c r="B18" s="11" t="s">
        <v>119</v>
      </c>
      <c r="C18" s="151">
        <v>0.8</v>
      </c>
      <c r="D18" s="150"/>
      <c r="E18" s="151" t="str">
        <f>'Base Blend Property Calculation'!A22</f>
        <v>1:1:4 'G'</v>
      </c>
      <c r="F18" s="399">
        <f t="shared" si="2"/>
        <v>1590</v>
      </c>
      <c r="G18" s="399">
        <f>VLOOKUP(E18,'Base Blend Property Calculation'!$A$7:$BT$151,61,FALSE)</f>
        <v>1590</v>
      </c>
      <c r="H18" s="399">
        <f t="shared" si="3"/>
        <v>1590</v>
      </c>
      <c r="I18" s="15" t="s">
        <v>522</v>
      </c>
      <c r="J18" t="str">
        <f t="shared" si="0"/>
        <v/>
      </c>
      <c r="K18" t="str">
        <f t="shared" si="1"/>
        <v/>
      </c>
      <c r="L18">
        <f>IF('Bulk Plant Input'!G29="",0,1)</f>
        <v>0</v>
      </c>
    </row>
    <row r="19" spans="2:12" x14ac:dyDescent="0.25">
      <c r="B19" s="11" t="s">
        <v>120</v>
      </c>
      <c r="C19" s="151">
        <v>1.2</v>
      </c>
      <c r="D19" s="150"/>
      <c r="E19" s="151" t="str">
        <f>'Base Blend Property Calculation'!A23</f>
        <v>1:1:4 'G' (Sask)</v>
      </c>
      <c r="F19" s="399">
        <f t="shared" si="2"/>
        <v>1590</v>
      </c>
      <c r="G19" s="399">
        <f>VLOOKUP(E19,'Base Blend Property Calculation'!$A$7:$BT$151,61,FALSE)</f>
        <v>1590</v>
      </c>
      <c r="H19" s="399">
        <f t="shared" si="3"/>
        <v>1590</v>
      </c>
      <c r="I19" s="15" t="s">
        <v>522</v>
      </c>
      <c r="J19" t="str">
        <f t="shared" si="0"/>
        <v/>
      </c>
      <c r="K19" t="str">
        <f t="shared" si="1"/>
        <v/>
      </c>
      <c r="L19">
        <f>IF('Bulk Plant Input'!G30="",0,1)</f>
        <v>0</v>
      </c>
    </row>
    <row r="20" spans="2:12" x14ac:dyDescent="0.25">
      <c r="B20" s="11" t="s">
        <v>530</v>
      </c>
      <c r="C20" s="151">
        <v>1</v>
      </c>
      <c r="D20" s="150"/>
      <c r="E20" s="151" t="str">
        <f>'Base Blend Property Calculation'!A24</f>
        <v>1:1:6 'G'</v>
      </c>
      <c r="F20" s="399">
        <f t="shared" si="2"/>
        <v>1552</v>
      </c>
      <c r="G20" s="399">
        <f>VLOOKUP(E20,'Base Blend Property Calculation'!$A$7:$BT$151,61,FALSE)</f>
        <v>1552</v>
      </c>
      <c r="H20" s="399">
        <f t="shared" si="3"/>
        <v>1552</v>
      </c>
      <c r="I20" s="15" t="s">
        <v>522</v>
      </c>
      <c r="J20" t="str">
        <f t="shared" si="0"/>
        <v/>
      </c>
      <c r="K20" t="str">
        <f t="shared" si="1"/>
        <v/>
      </c>
      <c r="L20">
        <f>IF('Bulk Plant Input'!G31="",0,1)</f>
        <v>0</v>
      </c>
    </row>
    <row r="21" spans="2:12" x14ac:dyDescent="0.25">
      <c r="B21" s="11" t="s">
        <v>114</v>
      </c>
      <c r="C21" s="151">
        <v>1</v>
      </c>
      <c r="D21" s="150"/>
      <c r="E21" s="151" t="str">
        <f>'Base Blend Property Calculation'!A25</f>
        <v>1:1:6 'G' (Sask)</v>
      </c>
      <c r="F21" s="399">
        <f t="shared" si="2"/>
        <v>1552</v>
      </c>
      <c r="G21" s="399">
        <f>VLOOKUP(E21,'Base Blend Property Calculation'!$A$7:$BT$151,61,FALSE)</f>
        <v>1552</v>
      </c>
      <c r="H21" s="399">
        <f t="shared" si="3"/>
        <v>1552</v>
      </c>
      <c r="I21" s="15" t="s">
        <v>522</v>
      </c>
      <c r="J21" t="str">
        <f t="shared" si="0"/>
        <v/>
      </c>
      <c r="K21" t="str">
        <f t="shared" si="1"/>
        <v/>
      </c>
      <c r="L21">
        <f>IF('Bulk Plant Input'!G32="",0,1)</f>
        <v>0</v>
      </c>
    </row>
    <row r="22" spans="2:12" x14ac:dyDescent="0.25">
      <c r="B22" s="11" t="s">
        <v>115</v>
      </c>
      <c r="C22" s="151">
        <v>1</v>
      </c>
      <c r="D22" s="150"/>
      <c r="E22" s="151" t="str">
        <f>'Base Blend Property Calculation'!A26</f>
        <v>1:1:8 'G'</v>
      </c>
      <c r="F22" s="399">
        <f t="shared" si="2"/>
        <v>1505</v>
      </c>
      <c r="G22" s="399">
        <f>VLOOKUP(E22,'Base Blend Property Calculation'!$A$7:$BT$151,61,FALSE)</f>
        <v>1505</v>
      </c>
      <c r="H22" s="399">
        <f t="shared" si="3"/>
        <v>1505</v>
      </c>
      <c r="I22" s="15" t="s">
        <v>522</v>
      </c>
      <c r="J22" t="str">
        <f t="shared" si="0"/>
        <v/>
      </c>
      <c r="K22" t="str">
        <f t="shared" si="1"/>
        <v/>
      </c>
      <c r="L22">
        <f>IF('Bulk Plant Input'!G33="",0,1)</f>
        <v>0</v>
      </c>
    </row>
    <row r="23" spans="2:12" x14ac:dyDescent="0.25">
      <c r="B23" s="11" t="s">
        <v>116</v>
      </c>
      <c r="C23" s="151">
        <v>0.2</v>
      </c>
      <c r="D23" s="150"/>
      <c r="E23" s="151" t="str">
        <f>'Base Blend Property Calculation'!A27</f>
        <v>1:1:8 'G' (Sask)</v>
      </c>
      <c r="F23" s="399">
        <f t="shared" si="2"/>
        <v>1505</v>
      </c>
      <c r="G23" s="399">
        <f>VLOOKUP(E23,'Base Blend Property Calculation'!$A$7:$BT$151,61,FALSE)</f>
        <v>1505</v>
      </c>
      <c r="H23" s="399">
        <f t="shared" si="3"/>
        <v>1505</v>
      </c>
      <c r="I23" s="15" t="s">
        <v>522</v>
      </c>
      <c r="J23" t="str">
        <f t="shared" si="0"/>
        <v/>
      </c>
      <c r="K23" t="str">
        <f t="shared" si="1"/>
        <v/>
      </c>
      <c r="L23">
        <f>IF('Bulk Plant Input'!G34="",0,1)</f>
        <v>0</v>
      </c>
    </row>
    <row r="24" spans="2:12" x14ac:dyDescent="0.25">
      <c r="B24" s="11" t="s">
        <v>462</v>
      </c>
      <c r="C24" s="151">
        <v>8</v>
      </c>
      <c r="D24" s="150"/>
      <c r="E24" s="151" t="str">
        <f>'Base Blend Property Calculation'!A28</f>
        <v>2:1:0 'G'</v>
      </c>
      <c r="F24" s="399">
        <f t="shared" si="2"/>
        <v>1649</v>
      </c>
      <c r="G24" s="399">
        <f>VLOOKUP(E24,'Base Blend Property Calculation'!$A$7:$BT$151,61,FALSE)</f>
        <v>1649</v>
      </c>
      <c r="H24" s="399">
        <f t="shared" si="3"/>
        <v>1649</v>
      </c>
      <c r="I24" s="15">
        <v>1725</v>
      </c>
      <c r="J24" t="str">
        <f t="shared" si="0"/>
        <v/>
      </c>
      <c r="K24" t="str">
        <f t="shared" si="1"/>
        <v/>
      </c>
      <c r="L24">
        <f>IF('Bulk Plant Input'!G35="",0,1)</f>
        <v>0</v>
      </c>
    </row>
    <row r="25" spans="2:12" x14ac:dyDescent="0.25">
      <c r="B25" s="11" t="s">
        <v>304</v>
      </c>
      <c r="C25" s="151">
        <v>8</v>
      </c>
      <c r="D25" s="150"/>
      <c r="E25" s="151" t="str">
        <f>'Base Blend Property Calculation'!A29</f>
        <v>2:1:0 'G' (Sask)</v>
      </c>
      <c r="F25" s="399">
        <f t="shared" si="2"/>
        <v>1649</v>
      </c>
      <c r="G25" s="399">
        <f>VLOOKUP(E25,'Base Blend Property Calculation'!$A$7:$BT$151,61,FALSE)</f>
        <v>1649</v>
      </c>
      <c r="H25" s="399">
        <f t="shared" si="3"/>
        <v>1649</v>
      </c>
      <c r="I25" s="15">
        <v>1735</v>
      </c>
      <c r="J25" t="str">
        <f t="shared" si="0"/>
        <v/>
      </c>
      <c r="K25" t="str">
        <f t="shared" si="1"/>
        <v/>
      </c>
      <c r="L25">
        <f>IF('Bulk Plant Input'!G36="",0,1)</f>
        <v>0</v>
      </c>
    </row>
    <row r="26" spans="2:12" x14ac:dyDescent="0.25">
      <c r="B26" s="11" t="s">
        <v>156</v>
      </c>
      <c r="C26" s="151">
        <v>12</v>
      </c>
      <c r="D26" s="150"/>
      <c r="E26" s="151" t="str">
        <f>'Base Blend Property Calculation'!A30</f>
        <v>2:1:12 'G'</v>
      </c>
      <c r="F26" s="399">
        <f t="shared" si="2"/>
        <v>1413</v>
      </c>
      <c r="G26" s="399">
        <f>VLOOKUP(E26,'Base Blend Property Calculation'!$A$7:$BT$151,61,FALSE)</f>
        <v>1413</v>
      </c>
      <c r="H26" s="399">
        <f t="shared" si="3"/>
        <v>1413</v>
      </c>
      <c r="I26" s="15" t="s">
        <v>522</v>
      </c>
      <c r="J26" t="str">
        <f t="shared" si="0"/>
        <v/>
      </c>
      <c r="K26" t="str">
        <f t="shared" si="1"/>
        <v/>
      </c>
      <c r="L26">
        <f>IF('Bulk Plant Input'!G37="",0,1)</f>
        <v>1</v>
      </c>
    </row>
    <row r="27" spans="2:12" x14ac:dyDescent="0.25">
      <c r="B27" s="11" t="s">
        <v>125</v>
      </c>
      <c r="C27" s="151">
        <v>3</v>
      </c>
      <c r="D27" s="150"/>
      <c r="E27" s="151" t="str">
        <f>'Base Blend Property Calculation'!A31</f>
        <v>2:1:12 'G' (Sask)</v>
      </c>
      <c r="F27" s="399">
        <f t="shared" si="2"/>
        <v>1413</v>
      </c>
      <c r="G27" s="399">
        <f>VLOOKUP(E27,'Base Blend Property Calculation'!$A$7:$BT$151,61,FALSE)</f>
        <v>1413</v>
      </c>
      <c r="H27" s="399">
        <f t="shared" si="3"/>
        <v>1413</v>
      </c>
      <c r="I27" s="15" t="s">
        <v>522</v>
      </c>
      <c r="J27" t="str">
        <f t="shared" si="0"/>
        <v/>
      </c>
      <c r="K27" t="str">
        <f t="shared" si="1"/>
        <v/>
      </c>
      <c r="L27">
        <f>IF('Bulk Plant Input'!C50="",0,1)</f>
        <v>0</v>
      </c>
    </row>
    <row r="28" spans="2:12" x14ac:dyDescent="0.25">
      <c r="B28" s="11" t="s">
        <v>157</v>
      </c>
      <c r="C28" s="151">
        <v>0.35</v>
      </c>
      <c r="D28" s="150"/>
      <c r="E28" s="151" t="str">
        <f>'Base Blend Property Calculation'!A32</f>
        <v>2:1:2 'G'</v>
      </c>
      <c r="F28" s="399">
        <f t="shared" si="2"/>
        <v>1586</v>
      </c>
      <c r="G28" s="399">
        <f>VLOOKUP(E28,'Base Blend Property Calculation'!$A$7:$BT$151,61,FALSE)</f>
        <v>1586</v>
      </c>
      <c r="H28" s="399">
        <f t="shared" si="3"/>
        <v>1586</v>
      </c>
      <c r="I28" s="15" t="s">
        <v>522</v>
      </c>
      <c r="J28" t="str">
        <f t="shared" si="0"/>
        <v/>
      </c>
      <c r="K28" t="str">
        <f t="shared" si="1"/>
        <v/>
      </c>
      <c r="L28">
        <f>IF('Bulk Plant Input'!C51="",0,1)</f>
        <v>0</v>
      </c>
    </row>
    <row r="29" spans="2:12" x14ac:dyDescent="0.25">
      <c r="B29" s="11" t="s">
        <v>106</v>
      </c>
      <c r="C29" s="151">
        <v>12</v>
      </c>
      <c r="D29" s="150"/>
      <c r="E29" s="151" t="str">
        <f>'Base Blend Property Calculation'!A33</f>
        <v>2:1:2 'G' (Sask)</v>
      </c>
      <c r="F29" s="399">
        <f t="shared" si="2"/>
        <v>1586</v>
      </c>
      <c r="G29" s="399">
        <f>VLOOKUP(E29,'Base Blend Property Calculation'!$A$7:$BT$151,61,FALSE)</f>
        <v>1586</v>
      </c>
      <c r="H29" s="399">
        <f t="shared" si="3"/>
        <v>1586</v>
      </c>
      <c r="I29" s="15" t="s">
        <v>522</v>
      </c>
      <c r="J29" t="str">
        <f t="shared" si="0"/>
        <v/>
      </c>
      <c r="K29" t="str">
        <f t="shared" si="1"/>
        <v/>
      </c>
    </row>
    <row r="30" spans="2:12" x14ac:dyDescent="0.25">
      <c r="B30" s="11" t="s">
        <v>158</v>
      </c>
      <c r="C30" s="152">
        <v>0.3</v>
      </c>
      <c r="D30" s="150"/>
      <c r="E30" s="151" t="str">
        <f>'Base Blend Property Calculation'!A34</f>
        <v>2:1:4 'G'</v>
      </c>
      <c r="F30" s="399">
        <f t="shared" si="2"/>
        <v>1538</v>
      </c>
      <c r="G30" s="399">
        <f>VLOOKUP(E30,'Base Blend Property Calculation'!$A$7:$BT$151,61,FALSE)</f>
        <v>1538</v>
      </c>
      <c r="H30" s="399">
        <f t="shared" si="3"/>
        <v>1538</v>
      </c>
      <c r="I30" s="15" t="s">
        <v>522</v>
      </c>
      <c r="J30" t="str">
        <f t="shared" si="0"/>
        <v/>
      </c>
      <c r="K30" t="str">
        <f t="shared" si="1"/>
        <v/>
      </c>
      <c r="L30">
        <f>SUM(L12:L28)</f>
        <v>2</v>
      </c>
    </row>
    <row r="31" spans="2:12" x14ac:dyDescent="0.25">
      <c r="B31" s="11" t="s">
        <v>108</v>
      </c>
      <c r="C31" s="152">
        <v>55</v>
      </c>
      <c r="D31" s="150"/>
      <c r="E31" s="151" t="str">
        <f>'Base Blend Property Calculation'!A35</f>
        <v>2:1:4 'G' (Sask)</v>
      </c>
      <c r="F31" s="399">
        <f t="shared" si="2"/>
        <v>1538</v>
      </c>
      <c r="G31" s="399">
        <f>VLOOKUP(E31,'Base Blend Property Calculation'!$A$7:$BT$151,61,FALSE)</f>
        <v>1538</v>
      </c>
      <c r="H31" s="399">
        <f t="shared" si="3"/>
        <v>1538</v>
      </c>
      <c r="I31" s="15" t="s">
        <v>522</v>
      </c>
      <c r="J31" t="str">
        <f t="shared" si="0"/>
        <v/>
      </c>
      <c r="K31" t="str">
        <f t="shared" si="1"/>
        <v/>
      </c>
    </row>
    <row r="32" spans="2:12" x14ac:dyDescent="0.25">
      <c r="B32" s="11" t="s">
        <v>159</v>
      </c>
      <c r="C32" s="151">
        <v>1.5</v>
      </c>
      <c r="D32" s="150"/>
      <c r="E32" s="151" t="str">
        <f>'Base Blend Property Calculation'!A36</f>
        <v>2:1:6 'G'</v>
      </c>
      <c r="F32" s="399">
        <f t="shared" si="2"/>
        <v>1494</v>
      </c>
      <c r="G32" s="399">
        <f>VLOOKUP(E32,'Base Blend Property Calculation'!$A$7:$BT$151,61,FALSE)</f>
        <v>1494</v>
      </c>
      <c r="H32" s="399">
        <f t="shared" si="3"/>
        <v>1494</v>
      </c>
      <c r="I32" s="15" t="s">
        <v>522</v>
      </c>
      <c r="J32" t="str">
        <f t="shared" si="0"/>
        <v/>
      </c>
      <c r="K32" t="str">
        <f t="shared" si="1"/>
        <v/>
      </c>
    </row>
    <row r="33" spans="2:11" x14ac:dyDescent="0.25">
      <c r="B33" s="11" t="s">
        <v>160</v>
      </c>
      <c r="C33" s="151">
        <v>1.25</v>
      </c>
      <c r="D33" s="150"/>
      <c r="E33" s="151" t="str">
        <f>'Base Blend Property Calculation'!A37</f>
        <v>2:1:6 'G' (Sask)</v>
      </c>
      <c r="F33" s="399">
        <f t="shared" si="2"/>
        <v>1494</v>
      </c>
      <c r="G33" s="399">
        <f>VLOOKUP(E33,'Base Blend Property Calculation'!$A$7:$BT$151,61,FALSE)</f>
        <v>1494</v>
      </c>
      <c r="H33" s="399">
        <f t="shared" si="3"/>
        <v>1494</v>
      </c>
      <c r="I33" s="15" t="s">
        <v>522</v>
      </c>
      <c r="J33" t="str">
        <f t="shared" si="0"/>
        <v/>
      </c>
      <c r="K33" t="str">
        <f t="shared" si="1"/>
        <v/>
      </c>
    </row>
    <row r="34" spans="2:11" x14ac:dyDescent="0.25">
      <c r="B34" s="11" t="s">
        <v>161</v>
      </c>
      <c r="C34" s="151">
        <v>2</v>
      </c>
      <c r="D34" s="150"/>
      <c r="E34" s="151" t="str">
        <f>'Base Blend Property Calculation'!A38</f>
        <v>2:1:8 'G'</v>
      </c>
      <c r="F34" s="399">
        <f t="shared" si="2"/>
        <v>1464</v>
      </c>
      <c r="G34" s="399">
        <f>VLOOKUP(E34,'Base Blend Property Calculation'!$A$7:$BT$151,61,FALSE)</f>
        <v>1464</v>
      </c>
      <c r="H34" s="399">
        <f t="shared" si="3"/>
        <v>1464</v>
      </c>
      <c r="I34" s="15" t="s">
        <v>522</v>
      </c>
      <c r="J34" t="str">
        <f t="shared" si="0"/>
        <v/>
      </c>
      <c r="K34" t="str">
        <f t="shared" si="1"/>
        <v/>
      </c>
    </row>
    <row r="35" spans="2:11" x14ac:dyDescent="0.25">
      <c r="B35" s="11" t="s">
        <v>162</v>
      </c>
      <c r="C35" s="151">
        <v>1</v>
      </c>
      <c r="D35" s="150"/>
      <c r="E35" s="151" t="str">
        <f>'Base Blend Property Calculation'!A39</f>
        <v>2:1:8 'G' (Sask)</v>
      </c>
      <c r="F35" s="399">
        <f t="shared" si="2"/>
        <v>1464</v>
      </c>
      <c r="G35" s="399">
        <f>VLOOKUP(E35,'Base Blend Property Calculation'!$A$7:$BT$151,61,FALSE)</f>
        <v>1464</v>
      </c>
      <c r="H35" s="399">
        <f t="shared" si="3"/>
        <v>1464</v>
      </c>
      <c r="I35" s="15" t="s">
        <v>522</v>
      </c>
      <c r="J35" t="str">
        <f t="shared" si="0"/>
        <v/>
      </c>
      <c r="K35" t="str">
        <f t="shared" si="1"/>
        <v/>
      </c>
    </row>
    <row r="36" spans="2:11" x14ac:dyDescent="0.25">
      <c r="B36" s="11" t="s">
        <v>163</v>
      </c>
      <c r="C36" s="152">
        <v>0</v>
      </c>
      <c r="D36" s="150"/>
      <c r="E36" s="151" t="str">
        <f>'Base Blend Property Calculation'!A40</f>
        <v>ARC</v>
      </c>
      <c r="F36" s="399">
        <f t="shared" si="2"/>
        <v>1755</v>
      </c>
      <c r="G36" s="399">
        <f>VLOOKUP(E36,'Base Blend Property Calculation'!$A$7:$BT$151,61,FALSE)</f>
        <v>1755</v>
      </c>
      <c r="H36" s="399">
        <f t="shared" si="3"/>
        <v>1755</v>
      </c>
      <c r="I36" s="15" t="s">
        <v>522</v>
      </c>
      <c r="J36" t="str">
        <f t="shared" si="0"/>
        <v/>
      </c>
      <c r="K36" t="str">
        <f t="shared" si="1"/>
        <v/>
      </c>
    </row>
    <row r="37" spans="2:11" x14ac:dyDescent="0.25">
      <c r="B37" s="11" t="s">
        <v>164</v>
      </c>
      <c r="C37" s="152">
        <v>3</v>
      </c>
      <c r="D37" s="150"/>
      <c r="E37" s="151" t="str">
        <f>'Base Blend Property Calculation'!A41</f>
        <v>ASC (IV)</v>
      </c>
      <c r="F37" s="399">
        <f t="shared" si="2"/>
        <v>1750</v>
      </c>
      <c r="G37" s="399">
        <f>VLOOKUP(E37,'Base Blend Property Calculation'!$A$7:$BT$151,61,FALSE)</f>
        <v>1750</v>
      </c>
      <c r="H37" s="399">
        <f t="shared" si="3"/>
        <v>1750</v>
      </c>
      <c r="I37" s="15" t="s">
        <v>522</v>
      </c>
      <c r="J37" t="str">
        <f t="shared" si="0"/>
        <v/>
      </c>
      <c r="K37" t="str">
        <f t="shared" si="1"/>
        <v/>
      </c>
    </row>
    <row r="38" spans="2:11" x14ac:dyDescent="0.25">
      <c r="B38" s="11" t="s">
        <v>332</v>
      </c>
      <c r="C38" s="152">
        <v>5.5</v>
      </c>
      <c r="D38" s="150"/>
      <c r="E38" s="151" t="str">
        <f>'Base Blend Property Calculation'!A42</f>
        <v>CNRL CHOPS TH</v>
      </c>
      <c r="F38" s="399">
        <f t="shared" si="2"/>
        <v>1840</v>
      </c>
      <c r="G38" s="399">
        <f>VLOOKUP(E38,'Base Blend Property Calculation'!$A$7:$BT$151,61,FALSE)</f>
        <v>1840</v>
      </c>
      <c r="H38" s="399">
        <f t="shared" si="3"/>
        <v>1840</v>
      </c>
      <c r="I38" s="15" t="s">
        <v>522</v>
      </c>
      <c r="J38" t="str">
        <f t="shared" si="0"/>
        <v/>
      </c>
      <c r="K38" t="str">
        <f t="shared" si="1"/>
        <v/>
      </c>
    </row>
    <row r="39" spans="2:11" x14ac:dyDescent="0.25">
      <c r="B39" s="11" t="s">
        <v>328</v>
      </c>
      <c r="C39" s="152">
        <v>0.25</v>
      </c>
      <c r="D39" s="150"/>
      <c r="E39" s="151" t="str">
        <f>'Base Blend Property Calculation'!A43</f>
        <v>Expandomix</v>
      </c>
      <c r="F39" s="399">
        <f t="shared" si="2"/>
        <v>1770</v>
      </c>
      <c r="G39" s="399">
        <f>VLOOKUP(E39,'Base Blend Property Calculation'!$A$7:$BT$151,61,FALSE)</f>
        <v>1770</v>
      </c>
      <c r="H39" s="399">
        <f t="shared" si="3"/>
        <v>1770</v>
      </c>
      <c r="I39" s="15">
        <v>1850</v>
      </c>
      <c r="J39" t="str">
        <f t="shared" si="0"/>
        <v/>
      </c>
      <c r="K39" t="str">
        <f t="shared" si="1"/>
        <v/>
      </c>
    </row>
    <row r="40" spans="2:11" x14ac:dyDescent="0.25">
      <c r="B40" s="11" t="s">
        <v>330</v>
      </c>
      <c r="C40" s="151">
        <v>0.5</v>
      </c>
      <c r="D40" s="150"/>
      <c r="E40" s="151" t="str">
        <f>'Base Blend Property Calculation'!A44</f>
        <v>Expandomix HT</v>
      </c>
      <c r="F40" s="399">
        <f t="shared" si="2"/>
        <v>1780</v>
      </c>
      <c r="G40" s="399">
        <f>VLOOKUP(E40,'Base Blend Property Calculation'!$A$7:$BT$151,61,FALSE)</f>
        <v>1780</v>
      </c>
      <c r="H40" s="399">
        <f t="shared" si="3"/>
        <v>1780</v>
      </c>
      <c r="I40" s="15">
        <v>1850</v>
      </c>
      <c r="J40" t="str">
        <f t="shared" si="0"/>
        <v/>
      </c>
      <c r="K40" t="str">
        <f t="shared" si="1"/>
        <v/>
      </c>
    </row>
    <row r="41" spans="2:11" x14ac:dyDescent="0.25">
      <c r="B41" s="11" t="s">
        <v>133</v>
      </c>
      <c r="C41" s="152">
        <v>3</v>
      </c>
      <c r="D41" s="150"/>
      <c r="E41" s="151" t="str">
        <f>'Base Blend Property Calculation'!A45</f>
        <v>Expandomix HT (SK)</v>
      </c>
      <c r="F41" s="399">
        <f t="shared" si="2"/>
        <v>1780</v>
      </c>
      <c r="G41" s="399">
        <f>VLOOKUP(E41,'Base Blend Property Calculation'!$A$7:$BT$151,61,FALSE)</f>
        <v>1780</v>
      </c>
      <c r="H41" s="399">
        <f t="shared" si="3"/>
        <v>1780</v>
      </c>
      <c r="I41" s="15">
        <v>1855</v>
      </c>
      <c r="J41" t="str">
        <f t="shared" si="0"/>
        <v/>
      </c>
      <c r="K41" t="str">
        <f t="shared" si="1"/>
        <v/>
      </c>
    </row>
    <row r="42" spans="2:11" x14ac:dyDescent="0.25">
      <c r="B42" s="11" t="s">
        <v>131</v>
      </c>
      <c r="C42" s="152">
        <v>3</v>
      </c>
      <c r="D42" s="150"/>
      <c r="E42" s="151" t="str">
        <f>'Base Blend Property Calculation'!A46</f>
        <v>Expandomix LWL</v>
      </c>
      <c r="F42" s="399">
        <f t="shared" si="2"/>
        <v>1770</v>
      </c>
      <c r="G42" s="399">
        <f>VLOOKUP(E42,'Base Blend Property Calculation'!$A$7:$BT$151,61,FALSE)</f>
        <v>1770</v>
      </c>
      <c r="H42" s="399">
        <f t="shared" si="3"/>
        <v>1770</v>
      </c>
      <c r="I42" s="15">
        <v>1850</v>
      </c>
      <c r="J42" t="str">
        <f t="shared" si="0"/>
        <v/>
      </c>
      <c r="K42" t="str">
        <f t="shared" si="1"/>
        <v/>
      </c>
    </row>
    <row r="43" spans="2:11" x14ac:dyDescent="0.25">
      <c r="B43" s="11" t="s">
        <v>322</v>
      </c>
      <c r="C43" s="152">
        <v>3</v>
      </c>
      <c r="D43" s="150"/>
      <c r="E43" s="151" t="str">
        <f>'Base Blend Property Calculation'!A47</f>
        <v>EXPANDOmix PRO HT</v>
      </c>
      <c r="F43" s="399">
        <f t="shared" si="2"/>
        <v>1600</v>
      </c>
      <c r="G43" s="399">
        <f>VLOOKUP(E43,'Base Blend Property Calculation'!$A$7:$BT$151,61,FALSE)</f>
        <v>1600</v>
      </c>
      <c r="H43" s="399">
        <f t="shared" si="3"/>
        <v>1600</v>
      </c>
      <c r="I43" s="15">
        <v>1700</v>
      </c>
      <c r="J43" t="str">
        <f t="shared" si="0"/>
        <v/>
      </c>
      <c r="K43" t="str">
        <f t="shared" si="1"/>
        <v/>
      </c>
    </row>
    <row r="44" spans="2:11" x14ac:dyDescent="0.25">
      <c r="B44" s="11" t="s">
        <v>165</v>
      </c>
      <c r="C44" s="152">
        <v>3</v>
      </c>
      <c r="D44" s="150"/>
      <c r="E44" s="151" t="str">
        <f>'Base Blend Property Calculation'!A48</f>
        <v>EXPANDOmix PRO LT</v>
      </c>
      <c r="F44" s="399">
        <f t="shared" si="2"/>
        <v>1600</v>
      </c>
      <c r="G44" s="399">
        <f>VLOOKUP(E44,'Base Blend Property Calculation'!$A$7:$BT$151,61,FALSE)</f>
        <v>1600</v>
      </c>
      <c r="H44" s="399">
        <f t="shared" si="3"/>
        <v>1600</v>
      </c>
      <c r="I44" s="15">
        <v>1700</v>
      </c>
      <c r="J44" t="str">
        <f t="shared" si="0"/>
        <v/>
      </c>
      <c r="K44" t="str">
        <f t="shared" si="1"/>
        <v/>
      </c>
    </row>
    <row r="45" spans="2:11" x14ac:dyDescent="0.25">
      <c r="B45" s="11" t="s">
        <v>325</v>
      </c>
      <c r="C45" s="152">
        <v>3</v>
      </c>
      <c r="D45" s="150"/>
      <c r="E45" s="151" t="str">
        <f>'Base Blend Property Calculation'!A49</f>
        <v>EXPANDOmix PRO HT (SK)</v>
      </c>
      <c r="F45" s="399">
        <f t="shared" si="2"/>
        <v>1600</v>
      </c>
      <c r="G45" s="399">
        <f>VLOOKUP(E45,'Base Blend Property Calculation'!$A$7:$BT$151,61,FALSE)</f>
        <v>1600</v>
      </c>
      <c r="H45" s="399">
        <f t="shared" si="3"/>
        <v>1600</v>
      </c>
      <c r="I45" s="15">
        <v>1700</v>
      </c>
      <c r="J45" t="str">
        <f t="shared" si="0"/>
        <v/>
      </c>
      <c r="K45" t="str">
        <f t="shared" si="1"/>
        <v/>
      </c>
    </row>
    <row r="46" spans="2:11" x14ac:dyDescent="0.25">
      <c r="B46" s="11" t="s">
        <v>327</v>
      </c>
      <c r="C46" s="152">
        <v>3</v>
      </c>
      <c r="D46" s="150"/>
      <c r="E46" s="151" t="str">
        <f>'Base Blend Property Calculation'!A50</f>
        <v>EXPANDOmix PRO LT (SK)</v>
      </c>
      <c r="F46" s="399">
        <f t="shared" si="2"/>
        <v>1600</v>
      </c>
      <c r="G46" s="399">
        <f>VLOOKUP(E46,'Base Blend Property Calculation'!$A$7:$BT$151,61,FALSE)</f>
        <v>1600</v>
      </c>
      <c r="H46" s="399">
        <f t="shared" si="3"/>
        <v>1600</v>
      </c>
      <c r="I46" s="15">
        <v>1700</v>
      </c>
      <c r="J46" t="str">
        <f t="shared" si="0"/>
        <v/>
      </c>
      <c r="K46" t="str">
        <f t="shared" si="1"/>
        <v/>
      </c>
    </row>
    <row r="47" spans="2:11" x14ac:dyDescent="0.25">
      <c r="B47" s="11" t="s">
        <v>166</v>
      </c>
      <c r="C47" s="151">
        <v>0.99</v>
      </c>
      <c r="D47" s="150"/>
      <c r="E47" s="151" t="str">
        <f>'Base Blend Property Calculation'!A51</f>
        <v>Glacial Mix</v>
      </c>
      <c r="F47" s="399">
        <f t="shared" si="2"/>
        <v>1850</v>
      </c>
      <c r="G47" s="399">
        <f>VLOOKUP(E47,'Base Blend Property Calculation'!$A$7:$BT$151,61,FALSE)</f>
        <v>1850</v>
      </c>
      <c r="H47" s="399">
        <f t="shared" si="3"/>
        <v>1850</v>
      </c>
      <c r="I47" s="15">
        <f t="shared" ref="I47:I52" si="4">G47</f>
        <v>1850</v>
      </c>
      <c r="J47" t="str">
        <f t="shared" si="0"/>
        <v/>
      </c>
      <c r="K47" t="str">
        <f t="shared" si="1"/>
        <v/>
      </c>
    </row>
    <row r="48" spans="2:11" x14ac:dyDescent="0.25">
      <c r="B48" s="11" t="s">
        <v>167</v>
      </c>
      <c r="C48" s="151">
        <v>3</v>
      </c>
      <c r="D48" s="150"/>
      <c r="E48" s="151" t="str">
        <f>'Base Blend Property Calculation'!A52</f>
        <v>iBond</v>
      </c>
      <c r="F48" s="399">
        <f t="shared" si="2"/>
        <v>1780</v>
      </c>
      <c r="G48" s="399">
        <f>VLOOKUP(E48,'Base Blend Property Calculation'!$A$7:$BT$151,61,FALSE)</f>
        <v>1780</v>
      </c>
      <c r="H48" s="399">
        <f t="shared" si="3"/>
        <v>1780</v>
      </c>
      <c r="I48" s="15">
        <f t="shared" si="4"/>
        <v>1780</v>
      </c>
      <c r="J48" t="str">
        <f t="shared" si="0"/>
        <v/>
      </c>
      <c r="K48" t="str">
        <f t="shared" si="1"/>
        <v/>
      </c>
    </row>
    <row r="49" spans="2:11" x14ac:dyDescent="0.25">
      <c r="B49" s="11" t="s">
        <v>135</v>
      </c>
      <c r="C49" s="152"/>
      <c r="D49" s="150"/>
      <c r="E49" s="151" t="str">
        <f>'Base Blend Property Calculation'!A53</f>
        <v>iGain (SK)</v>
      </c>
      <c r="F49" s="399">
        <f t="shared" si="2"/>
        <v>1500</v>
      </c>
      <c r="G49" s="399">
        <f>VLOOKUP(E49,'Base Blend Property Calculation'!$A$7:$BT$151,61,FALSE)</f>
        <v>1500</v>
      </c>
      <c r="H49" s="399">
        <f t="shared" si="3"/>
        <v>1500</v>
      </c>
      <c r="I49" s="15">
        <f t="shared" si="4"/>
        <v>1500</v>
      </c>
      <c r="J49" t="str">
        <f t="shared" si="0"/>
        <v/>
      </c>
      <c r="K49" t="str">
        <f t="shared" si="1"/>
        <v/>
      </c>
    </row>
    <row r="50" spans="2:11" x14ac:dyDescent="0.25">
      <c r="B50" s="27" t="s">
        <v>168</v>
      </c>
      <c r="C50" s="151">
        <v>0.6</v>
      </c>
      <c r="D50" s="150"/>
      <c r="E50" s="151" t="str">
        <f>'Base Blend Property Calculation'!A54</f>
        <v>iGain(AB)</v>
      </c>
      <c r="F50" s="399">
        <f t="shared" si="2"/>
        <v>1500</v>
      </c>
      <c r="G50" s="399">
        <f>VLOOKUP(E50,'Base Blend Property Calculation'!$A$7:$BT$151,61,FALSE)</f>
        <v>1500</v>
      </c>
      <c r="H50" s="399">
        <f t="shared" si="3"/>
        <v>1500</v>
      </c>
      <c r="I50" s="15">
        <f t="shared" si="4"/>
        <v>1500</v>
      </c>
      <c r="J50" t="str">
        <f t="shared" si="0"/>
        <v/>
      </c>
      <c r="K50" t="str">
        <f t="shared" si="1"/>
        <v/>
      </c>
    </row>
    <row r="51" spans="2:11" x14ac:dyDescent="0.25">
      <c r="B51" s="27" t="s">
        <v>426</v>
      </c>
      <c r="C51" s="152">
        <v>3</v>
      </c>
      <c r="D51" s="150"/>
      <c r="E51" s="151" t="str">
        <f>'Base Blend Property Calculation'!A55</f>
        <v>iPrime (AB)</v>
      </c>
      <c r="F51" s="399">
        <f t="shared" si="2"/>
        <v>1500</v>
      </c>
      <c r="G51" s="399">
        <f>VLOOKUP(E51,'Base Blend Property Calculation'!$A$7:$BT$151,61,FALSE)</f>
        <v>1500</v>
      </c>
      <c r="H51" s="399">
        <f t="shared" si="3"/>
        <v>1500</v>
      </c>
      <c r="I51" s="399">
        <f t="shared" si="4"/>
        <v>1500</v>
      </c>
      <c r="J51" t="str">
        <f t="shared" si="0"/>
        <v/>
      </c>
      <c r="K51" t="str">
        <f t="shared" si="1"/>
        <v/>
      </c>
    </row>
    <row r="52" spans="2:11" x14ac:dyDescent="0.25">
      <c r="B52" s="11" t="s">
        <v>107</v>
      </c>
      <c r="C52" s="152">
        <v>3</v>
      </c>
      <c r="D52" s="150"/>
      <c r="E52" s="151" t="str">
        <f>'Base Blend Property Calculation'!A56</f>
        <v>iPrime (SK)</v>
      </c>
      <c r="F52" s="399">
        <f t="shared" si="2"/>
        <v>1500</v>
      </c>
      <c r="G52" s="399">
        <f>VLOOKUP(E52,'Base Blend Property Calculation'!$A$7:$BT$151,61,FALSE)</f>
        <v>1500</v>
      </c>
      <c r="H52" s="399">
        <f t="shared" si="3"/>
        <v>1500</v>
      </c>
      <c r="I52" s="399">
        <f t="shared" si="4"/>
        <v>1500</v>
      </c>
      <c r="J52" t="str">
        <f t="shared" si="0"/>
        <v/>
      </c>
      <c r="K52" t="str">
        <f t="shared" si="1"/>
        <v/>
      </c>
    </row>
    <row r="53" spans="2:11" x14ac:dyDescent="0.25">
      <c r="B53" s="11" t="s">
        <v>124</v>
      </c>
      <c r="C53" s="151">
        <v>3</v>
      </c>
      <c r="D53" s="150"/>
      <c r="E53" s="151" t="str">
        <f>'Base Blend Property Calculation'!A57</f>
        <v>iThix</v>
      </c>
      <c r="F53" s="399">
        <f t="shared" si="2"/>
        <v>1650</v>
      </c>
      <c r="G53" s="399">
        <f>VLOOKUP(E53,'Base Blend Property Calculation'!$A$7:$BT$151,61,FALSE)</f>
        <v>1650</v>
      </c>
      <c r="H53" s="399">
        <f t="shared" si="3"/>
        <v>1650</v>
      </c>
      <c r="I53" s="15">
        <f t="shared" ref="I53:I116" si="5">G53</f>
        <v>1650</v>
      </c>
      <c r="J53" t="str">
        <f t="shared" si="0"/>
        <v/>
      </c>
      <c r="K53" t="str">
        <f t="shared" si="1"/>
        <v/>
      </c>
    </row>
    <row r="54" spans="2:11" x14ac:dyDescent="0.25">
      <c r="B54" s="11" t="s">
        <v>122</v>
      </c>
      <c r="C54" s="151">
        <v>3</v>
      </c>
      <c r="D54" s="150"/>
      <c r="E54" s="151" t="str">
        <f>'Base Blend Property Calculation'!A58</f>
        <v>iZone</v>
      </c>
      <c r="F54" s="399">
        <f t="shared" si="2"/>
        <v>1400</v>
      </c>
      <c r="G54" s="399">
        <f>VLOOKUP(E54,'Base Blend Property Calculation'!$A$7:$BT$151,61,FALSE)</f>
        <v>1400</v>
      </c>
      <c r="H54" s="399">
        <f t="shared" si="3"/>
        <v>1400</v>
      </c>
      <c r="I54" s="15">
        <f t="shared" si="5"/>
        <v>1400</v>
      </c>
      <c r="J54" t="str">
        <f t="shared" si="0"/>
        <v/>
      </c>
      <c r="K54" t="str">
        <f t="shared" si="1"/>
        <v/>
      </c>
    </row>
    <row r="55" spans="2:11" x14ac:dyDescent="0.25">
      <c r="B55" s="11" t="s">
        <v>123</v>
      </c>
      <c r="C55" s="151">
        <v>3</v>
      </c>
      <c r="D55" s="150"/>
      <c r="E55" s="151" t="str">
        <f>'Base Blend Property Calculation'!A59</f>
        <v>LCS 1600</v>
      </c>
      <c r="F55" s="399">
        <f t="shared" si="2"/>
        <v>1600</v>
      </c>
      <c r="G55" s="399">
        <f>VLOOKUP(E55,'Base Blend Property Calculation'!$A$7:$BT$151,61,FALSE)</f>
        <v>1600</v>
      </c>
      <c r="H55" s="399">
        <f t="shared" si="3"/>
        <v>1600</v>
      </c>
      <c r="I55" s="15">
        <f t="shared" si="5"/>
        <v>1600</v>
      </c>
      <c r="J55" t="str">
        <f t="shared" si="0"/>
        <v/>
      </c>
      <c r="K55" t="str">
        <f t="shared" si="1"/>
        <v/>
      </c>
    </row>
    <row r="56" spans="2:11" x14ac:dyDescent="0.25">
      <c r="B56" s="11" t="s">
        <v>129</v>
      </c>
      <c r="C56" s="152">
        <v>3</v>
      </c>
      <c r="D56" s="150"/>
      <c r="E56" s="151" t="str">
        <f>'Base Blend Property Calculation'!A60</f>
        <v>LCS 1820</v>
      </c>
      <c r="F56" s="399">
        <f t="shared" si="2"/>
        <v>1820</v>
      </c>
      <c r="G56" s="399">
        <f>VLOOKUP(E56,'Base Blend Property Calculation'!$A$7:$BT$151,61,FALSE)</f>
        <v>1820</v>
      </c>
      <c r="H56" s="399">
        <f t="shared" si="3"/>
        <v>1820</v>
      </c>
      <c r="I56" s="15">
        <f t="shared" si="5"/>
        <v>1820</v>
      </c>
      <c r="J56" t="str">
        <f t="shared" si="0"/>
        <v/>
      </c>
      <c r="K56" t="str">
        <f t="shared" si="1"/>
        <v/>
      </c>
    </row>
    <row r="57" spans="2:11" x14ac:dyDescent="0.25">
      <c r="B57" s="11" t="s">
        <v>130</v>
      </c>
      <c r="C57" s="152">
        <v>3</v>
      </c>
      <c r="D57" s="150"/>
      <c r="E57" s="151" t="str">
        <f>'Base Blend Property Calculation'!A61</f>
        <v>LDP-C-0117</v>
      </c>
      <c r="F57" s="399">
        <f t="shared" si="2"/>
        <v>1200</v>
      </c>
      <c r="G57" s="399">
        <f>VLOOKUP(E57,'Base Blend Property Calculation'!$A$7:$BT$151,61,FALSE)</f>
        <v>1200</v>
      </c>
      <c r="H57" s="399">
        <f t="shared" si="3"/>
        <v>1200</v>
      </c>
      <c r="I57" s="15">
        <f t="shared" si="5"/>
        <v>1200</v>
      </c>
      <c r="J57" t="str">
        <f t="shared" si="0"/>
        <v/>
      </c>
      <c r="K57" t="str">
        <f t="shared" si="1"/>
        <v/>
      </c>
    </row>
    <row r="58" spans="2:11" x14ac:dyDescent="0.25">
      <c r="B58" s="11" t="s">
        <v>427</v>
      </c>
      <c r="C58" s="152">
        <v>0</v>
      </c>
      <c r="D58" s="150"/>
      <c r="E58" s="151" t="str">
        <f>'Base Blend Property Calculation'!A62</f>
        <v>LDP-C-0417</v>
      </c>
      <c r="F58" s="399">
        <f t="shared" si="2"/>
        <v>1350</v>
      </c>
      <c r="G58" s="399">
        <f>VLOOKUP(E58,'Base Blend Property Calculation'!$A$7:$BT$151,61,FALSE)</f>
        <v>1350</v>
      </c>
      <c r="H58" s="399">
        <f t="shared" si="3"/>
        <v>1350</v>
      </c>
      <c r="I58" s="15">
        <f t="shared" si="5"/>
        <v>1350</v>
      </c>
      <c r="J58" t="str">
        <f t="shared" si="0"/>
        <v/>
      </c>
      <c r="K58" t="str">
        <f t="shared" si="1"/>
        <v/>
      </c>
    </row>
    <row r="59" spans="2:11" x14ac:dyDescent="0.25">
      <c r="B59" s="11" t="s">
        <v>126</v>
      </c>
      <c r="C59" s="152">
        <v>0</v>
      </c>
      <c r="D59" s="150"/>
      <c r="E59" s="151" t="str">
        <f>'Base Blend Property Calculation'!A63</f>
        <v>LDP-C-0516</v>
      </c>
      <c r="F59" s="399">
        <f t="shared" si="2"/>
        <v>1840</v>
      </c>
      <c r="G59" s="399">
        <f>VLOOKUP(E59,'Base Blend Property Calculation'!$A$7:$BT$151,61,FALSE)</f>
        <v>1840</v>
      </c>
      <c r="H59" s="399">
        <f t="shared" si="3"/>
        <v>1840</v>
      </c>
      <c r="I59" s="15">
        <f t="shared" si="5"/>
        <v>1840</v>
      </c>
      <c r="J59" t="str">
        <f t="shared" si="0"/>
        <v/>
      </c>
      <c r="K59" t="str">
        <f t="shared" si="1"/>
        <v/>
      </c>
    </row>
    <row r="60" spans="2:11" x14ac:dyDescent="0.25">
      <c r="B60" s="11" t="s">
        <v>169</v>
      </c>
      <c r="C60" s="151">
        <v>0.3</v>
      </c>
      <c r="D60" s="1"/>
      <c r="E60" s="151" t="str">
        <f>'Base Blend Property Calculation'!A64</f>
        <v>LDP-C-0517</v>
      </c>
      <c r="F60" s="399">
        <f t="shared" si="2"/>
        <v>1350</v>
      </c>
      <c r="G60" s="399">
        <f>VLOOKUP(E60,'Base Blend Property Calculation'!$A$7:$BT$151,61,FALSE)</f>
        <v>1350</v>
      </c>
      <c r="H60" s="399">
        <f t="shared" si="3"/>
        <v>1350</v>
      </c>
      <c r="I60" s="15">
        <f t="shared" si="5"/>
        <v>1350</v>
      </c>
      <c r="J60" t="str">
        <f t="shared" si="0"/>
        <v/>
      </c>
      <c r="K60" t="str">
        <f t="shared" si="1"/>
        <v/>
      </c>
    </row>
    <row r="61" spans="2:11" x14ac:dyDescent="0.25">
      <c r="B61" s="10" t="s">
        <v>127</v>
      </c>
      <c r="C61" s="15">
        <v>37</v>
      </c>
      <c r="D61" s="1"/>
      <c r="E61" s="151" t="str">
        <f>'Base Blend Property Calculation'!A65</f>
        <v>LITEmix PRO</v>
      </c>
      <c r="F61" s="399">
        <f t="shared" si="2"/>
        <v>1340</v>
      </c>
      <c r="G61" s="399">
        <f>VLOOKUP(E61,'Base Blend Property Calculation'!$A$7:$BT$151,61,FALSE)</f>
        <v>1340</v>
      </c>
      <c r="H61" s="399">
        <f t="shared" si="3"/>
        <v>1340</v>
      </c>
      <c r="I61" s="15">
        <f t="shared" si="5"/>
        <v>1340</v>
      </c>
      <c r="J61" t="str">
        <f t="shared" si="0"/>
        <v/>
      </c>
      <c r="K61" t="str">
        <f t="shared" si="1"/>
        <v/>
      </c>
    </row>
    <row r="62" spans="2:11" x14ac:dyDescent="0.25">
      <c r="B62" s="10" t="s">
        <v>128</v>
      </c>
      <c r="C62" s="15">
        <v>15</v>
      </c>
      <c r="E62" s="151" t="str">
        <f>'Base Blend Property Calculation'!A66</f>
        <v>LDP-C-1616</v>
      </c>
      <c r="F62" s="399">
        <f t="shared" si="2"/>
        <v>1600</v>
      </c>
      <c r="G62" s="399">
        <f>VLOOKUP(E62,'Base Blend Property Calculation'!$A$7:$BT$151,61,FALSE)</f>
        <v>1600</v>
      </c>
      <c r="H62" s="399">
        <f t="shared" si="3"/>
        <v>1600</v>
      </c>
      <c r="I62" s="15">
        <f t="shared" si="5"/>
        <v>1600</v>
      </c>
      <c r="J62" t="str">
        <f t="shared" si="0"/>
        <v/>
      </c>
      <c r="K62" t="str">
        <f t="shared" si="1"/>
        <v/>
      </c>
    </row>
    <row r="63" spans="2:11" x14ac:dyDescent="0.25">
      <c r="B63" s="214" t="s">
        <v>358</v>
      </c>
      <c r="C63" s="15">
        <v>1</v>
      </c>
      <c r="E63" s="151" t="str">
        <f>'Base Blend Property Calculation'!A67</f>
        <v>Litefill 1400 HT</v>
      </c>
      <c r="F63" s="399">
        <f t="shared" si="2"/>
        <v>1400</v>
      </c>
      <c r="G63" s="399">
        <f>VLOOKUP(E63,'Base Blend Property Calculation'!$A$7:$BT$151,61,FALSE)</f>
        <v>1400</v>
      </c>
      <c r="H63" s="399">
        <f t="shared" si="3"/>
        <v>1400</v>
      </c>
      <c r="I63" s="15">
        <f t="shared" si="5"/>
        <v>1400</v>
      </c>
      <c r="J63" t="str">
        <f t="shared" si="0"/>
        <v/>
      </c>
      <c r="K63" t="str">
        <f t="shared" si="1"/>
        <v/>
      </c>
    </row>
    <row r="64" spans="2:11" x14ac:dyDescent="0.25">
      <c r="B64" s="214" t="s">
        <v>608</v>
      </c>
      <c r="C64" s="15">
        <v>1.5</v>
      </c>
      <c r="E64" s="151" t="str">
        <f>'Base Blend Property Calculation'!A68</f>
        <v>Litefill 1400 LT</v>
      </c>
      <c r="F64" s="399">
        <f t="shared" si="2"/>
        <v>1400</v>
      </c>
      <c r="G64" s="399">
        <f>VLOOKUP(E64,'Base Blend Property Calculation'!$A$7:$BT$151,61,FALSE)</f>
        <v>1400</v>
      </c>
      <c r="H64" s="399">
        <f t="shared" si="3"/>
        <v>1400</v>
      </c>
      <c r="I64" s="15">
        <f t="shared" si="5"/>
        <v>1400</v>
      </c>
      <c r="J64" t="str">
        <f t="shared" si="0"/>
        <v/>
      </c>
      <c r="K64" t="str">
        <f t="shared" si="1"/>
        <v/>
      </c>
    </row>
    <row r="65" spans="2:11" x14ac:dyDescent="0.25">
      <c r="B65" s="214" t="s">
        <v>1779</v>
      </c>
      <c r="C65" s="15">
        <v>12.5</v>
      </c>
      <c r="E65" s="151" t="str">
        <f>'Base Blend Property Calculation'!A69</f>
        <v>Litefill 1400 MT</v>
      </c>
      <c r="F65" s="399">
        <f t="shared" si="2"/>
        <v>1400</v>
      </c>
      <c r="G65" s="399">
        <f>VLOOKUP(E65,'Base Blend Property Calculation'!$A$7:$BT$151,61,FALSE)</f>
        <v>1400</v>
      </c>
      <c r="H65" s="399">
        <f t="shared" si="3"/>
        <v>1400</v>
      </c>
      <c r="I65" s="15">
        <f t="shared" si="5"/>
        <v>1400</v>
      </c>
      <c r="J65" t="str">
        <f t="shared" si="0"/>
        <v/>
      </c>
      <c r="K65" t="str">
        <f t="shared" si="1"/>
        <v/>
      </c>
    </row>
    <row r="66" spans="2:11" x14ac:dyDescent="0.25">
      <c r="B66" s="214" t="s">
        <v>314</v>
      </c>
      <c r="C66" s="15">
        <v>0.5</v>
      </c>
      <c r="E66" s="151" t="str">
        <f>'Base Blend Property Calculation'!A70</f>
        <v>Litefill 1450 HT</v>
      </c>
      <c r="F66" s="399">
        <f t="shared" si="2"/>
        <v>1450</v>
      </c>
      <c r="G66" s="399">
        <f>VLOOKUP(E66,'Base Blend Property Calculation'!$A$7:$BT$151,61,FALSE)</f>
        <v>1450</v>
      </c>
      <c r="H66" s="399">
        <f t="shared" si="3"/>
        <v>1450</v>
      </c>
      <c r="I66" s="15">
        <f t="shared" si="5"/>
        <v>1450</v>
      </c>
      <c r="J66" t="str">
        <f t="shared" si="0"/>
        <v/>
      </c>
      <c r="K66" t="str">
        <f t="shared" si="1"/>
        <v/>
      </c>
    </row>
    <row r="67" spans="2:11" x14ac:dyDescent="0.25">
      <c r="B67" s="214" t="s">
        <v>1919</v>
      </c>
      <c r="C67" s="151">
        <v>1.5</v>
      </c>
      <c r="E67" s="151" t="str">
        <f>'Base Blend Property Calculation'!A71</f>
        <v>Litefill 1450 LT</v>
      </c>
      <c r="F67" s="399">
        <f t="shared" si="2"/>
        <v>1450</v>
      </c>
      <c r="G67" s="399">
        <f>VLOOKUP(E67,'Base Blend Property Calculation'!$A$7:$BT$151,61,FALSE)</f>
        <v>1450</v>
      </c>
      <c r="H67" s="399">
        <f t="shared" si="3"/>
        <v>1450</v>
      </c>
      <c r="I67" s="15">
        <f t="shared" si="5"/>
        <v>1450</v>
      </c>
      <c r="J67" t="str">
        <f t="shared" si="0"/>
        <v/>
      </c>
      <c r="K67" t="str">
        <f t="shared" si="1"/>
        <v/>
      </c>
    </row>
    <row r="68" spans="2:11" x14ac:dyDescent="0.25">
      <c r="B68" s="409" t="s">
        <v>1787</v>
      </c>
      <c r="C68" s="10">
        <v>0.6</v>
      </c>
      <c r="E68" s="151" t="str">
        <f>'Base Blend Property Calculation'!A72</f>
        <v>Litefill 1450 MT</v>
      </c>
      <c r="F68" s="399">
        <f t="shared" si="2"/>
        <v>1450</v>
      </c>
      <c r="G68" s="399">
        <f>VLOOKUP(E68,'Base Blend Property Calculation'!$A$7:$BT$151,61,FALSE)</f>
        <v>1450</v>
      </c>
      <c r="H68" s="399">
        <f t="shared" si="3"/>
        <v>1450</v>
      </c>
      <c r="I68" s="15">
        <f t="shared" si="5"/>
        <v>1450</v>
      </c>
      <c r="J68" t="str">
        <f t="shared" ref="J68:J131" si="6">IF(F68&gt;G68,"Fix Here","")</f>
        <v/>
      </c>
      <c r="K68" t="str">
        <f t="shared" ref="K68:K131" si="7">IF(H68&lt;G68,"Fix This","")</f>
        <v/>
      </c>
    </row>
    <row r="69" spans="2:11" x14ac:dyDescent="0.25">
      <c r="E69" s="151" t="str">
        <f>'Base Blend Property Calculation'!A73</f>
        <v>Litefill 1500 HT</v>
      </c>
      <c r="F69" s="399">
        <f t="shared" ref="F69:F132" si="8">G69</f>
        <v>1500</v>
      </c>
      <c r="G69" s="399">
        <f>VLOOKUP(E69,'Base Blend Property Calculation'!$A$7:$BT$151,61,FALSE)</f>
        <v>1500</v>
      </c>
      <c r="H69" s="399">
        <f t="shared" ref="H69:H132" si="9">G69</f>
        <v>1500</v>
      </c>
      <c r="I69" s="15">
        <f t="shared" si="5"/>
        <v>1500</v>
      </c>
      <c r="J69" t="str">
        <f t="shared" si="6"/>
        <v/>
      </c>
      <c r="K69" t="str">
        <f t="shared" si="7"/>
        <v/>
      </c>
    </row>
    <row r="70" spans="2:11" x14ac:dyDescent="0.25">
      <c r="E70" s="151" t="str">
        <f>'Base Blend Property Calculation'!A74</f>
        <v>Litefill 1500 LT</v>
      </c>
      <c r="F70" s="399">
        <f t="shared" si="8"/>
        <v>1500</v>
      </c>
      <c r="G70" s="399">
        <f>VLOOKUP(E70,'Base Blend Property Calculation'!$A$7:$BT$151,61,FALSE)</f>
        <v>1500</v>
      </c>
      <c r="H70" s="399">
        <f t="shared" si="9"/>
        <v>1500</v>
      </c>
      <c r="I70" s="15">
        <f t="shared" si="5"/>
        <v>1500</v>
      </c>
      <c r="J70" t="str">
        <f t="shared" si="6"/>
        <v/>
      </c>
      <c r="K70" t="str">
        <f t="shared" si="7"/>
        <v/>
      </c>
    </row>
    <row r="71" spans="2:11" x14ac:dyDescent="0.25">
      <c r="E71" s="151" t="str">
        <f>'Base Blend Property Calculation'!A75</f>
        <v>Litefill 1500 MT</v>
      </c>
      <c r="F71" s="399">
        <f t="shared" si="8"/>
        <v>1500</v>
      </c>
      <c r="G71" s="399">
        <f>VLOOKUP(E71,'Base Blend Property Calculation'!$A$7:$BT$151,61,FALSE)</f>
        <v>1500</v>
      </c>
      <c r="H71" s="399">
        <f t="shared" si="9"/>
        <v>1500</v>
      </c>
      <c r="I71" s="15">
        <f t="shared" si="5"/>
        <v>1500</v>
      </c>
      <c r="J71" t="str">
        <f t="shared" si="6"/>
        <v/>
      </c>
      <c r="K71" t="str">
        <f t="shared" si="7"/>
        <v/>
      </c>
    </row>
    <row r="72" spans="2:11" x14ac:dyDescent="0.25">
      <c r="E72" s="151" t="str">
        <f>'Base Blend Property Calculation'!A76</f>
        <v>Litefill 1550 HT</v>
      </c>
      <c r="F72" s="399">
        <f t="shared" si="8"/>
        <v>1550</v>
      </c>
      <c r="G72" s="399">
        <f>VLOOKUP(E72,'Base Blend Property Calculation'!$A$7:$BT$151,61,FALSE)</f>
        <v>1550</v>
      </c>
      <c r="H72" s="399">
        <f t="shared" si="9"/>
        <v>1550</v>
      </c>
      <c r="I72" s="15">
        <f t="shared" si="5"/>
        <v>1550</v>
      </c>
      <c r="J72" t="str">
        <f t="shared" si="6"/>
        <v/>
      </c>
      <c r="K72" t="str">
        <f t="shared" si="7"/>
        <v/>
      </c>
    </row>
    <row r="73" spans="2:11" x14ac:dyDescent="0.25">
      <c r="E73" s="151" t="str">
        <f>'Base Blend Property Calculation'!A77</f>
        <v>Litefill 1550 LT</v>
      </c>
      <c r="F73" s="399">
        <f t="shared" si="8"/>
        <v>1550</v>
      </c>
      <c r="G73" s="399">
        <f>VLOOKUP(E73,'Base Blend Property Calculation'!$A$7:$BT$151,61,FALSE)</f>
        <v>1550</v>
      </c>
      <c r="H73" s="399">
        <f t="shared" si="9"/>
        <v>1550</v>
      </c>
      <c r="I73" s="15">
        <f t="shared" si="5"/>
        <v>1550</v>
      </c>
      <c r="J73" t="str">
        <f t="shared" si="6"/>
        <v/>
      </c>
      <c r="K73" t="str">
        <f t="shared" si="7"/>
        <v/>
      </c>
    </row>
    <row r="74" spans="2:11" x14ac:dyDescent="0.25">
      <c r="E74" s="151" t="str">
        <f>'Base Blend Property Calculation'!A78</f>
        <v>Litefill 1550 MT</v>
      </c>
      <c r="F74" s="399">
        <f t="shared" si="8"/>
        <v>1550</v>
      </c>
      <c r="G74" s="399">
        <f>VLOOKUP(E74,'Base Blend Property Calculation'!$A$7:$BT$151,61,FALSE)</f>
        <v>1550</v>
      </c>
      <c r="H74" s="399">
        <f t="shared" si="9"/>
        <v>1550</v>
      </c>
      <c r="I74" s="15">
        <f t="shared" si="5"/>
        <v>1550</v>
      </c>
      <c r="J74" t="str">
        <f t="shared" si="6"/>
        <v/>
      </c>
      <c r="K74" t="str">
        <f t="shared" si="7"/>
        <v/>
      </c>
    </row>
    <row r="75" spans="2:11" x14ac:dyDescent="0.25">
      <c r="E75" s="151" t="str">
        <f>'Base Blend Property Calculation'!A79</f>
        <v>LITEmix 1325 (AB)</v>
      </c>
      <c r="F75" s="399">
        <f t="shared" si="8"/>
        <v>1325</v>
      </c>
      <c r="G75" s="399">
        <f>VLOOKUP(E75,'Base Blend Property Calculation'!$A$7:$BT$151,61,FALSE)</f>
        <v>1325</v>
      </c>
      <c r="H75" s="399">
        <f t="shared" si="9"/>
        <v>1325</v>
      </c>
      <c r="I75" s="15">
        <f t="shared" si="5"/>
        <v>1325</v>
      </c>
      <c r="J75" t="str">
        <f t="shared" si="6"/>
        <v/>
      </c>
      <c r="K75" t="str">
        <f t="shared" si="7"/>
        <v/>
      </c>
    </row>
    <row r="76" spans="2:11" x14ac:dyDescent="0.25">
      <c r="E76" s="151" t="str">
        <f>'Base Blend Property Calculation'!A80</f>
        <v>LITEmix 1325 (SK)</v>
      </c>
      <c r="F76" s="399">
        <f t="shared" si="8"/>
        <v>1325</v>
      </c>
      <c r="G76" s="399">
        <f>VLOOKUP(E76,'Base Blend Property Calculation'!$A$7:$BT$151,61,FALSE)</f>
        <v>1325</v>
      </c>
      <c r="H76" s="399">
        <f t="shared" si="9"/>
        <v>1325</v>
      </c>
      <c r="I76" s="15">
        <f t="shared" si="5"/>
        <v>1325</v>
      </c>
      <c r="J76" t="str">
        <f t="shared" si="6"/>
        <v/>
      </c>
      <c r="K76" t="str">
        <f t="shared" si="7"/>
        <v/>
      </c>
    </row>
    <row r="77" spans="2:11" x14ac:dyDescent="0.25">
      <c r="E77" s="151" t="str">
        <f>'Base Blend Property Calculation'!A81</f>
        <v>LITEmix 1400 (AB)</v>
      </c>
      <c r="F77" s="399">
        <f t="shared" si="8"/>
        <v>1400</v>
      </c>
      <c r="G77" s="399">
        <f>VLOOKUP(E77,'Base Blend Property Calculation'!$A$7:$BT$151,61,FALSE)</f>
        <v>1400</v>
      </c>
      <c r="H77" s="399">
        <f t="shared" si="9"/>
        <v>1400</v>
      </c>
      <c r="I77" s="15">
        <f t="shared" si="5"/>
        <v>1400</v>
      </c>
      <c r="J77" t="str">
        <f t="shared" si="6"/>
        <v/>
      </c>
      <c r="K77" t="str">
        <f t="shared" si="7"/>
        <v/>
      </c>
    </row>
    <row r="78" spans="2:11" x14ac:dyDescent="0.25">
      <c r="E78" s="151" t="str">
        <f>'Base Blend Property Calculation'!A82</f>
        <v>LITEmix 1400 (SK)</v>
      </c>
      <c r="F78" s="399">
        <f t="shared" si="8"/>
        <v>1400</v>
      </c>
      <c r="G78" s="399">
        <f>VLOOKUP(E78,'Base Blend Property Calculation'!$A$7:$BT$151,61,FALSE)</f>
        <v>1400</v>
      </c>
      <c r="H78" s="399">
        <f t="shared" si="9"/>
        <v>1400</v>
      </c>
      <c r="I78" s="15">
        <f t="shared" si="5"/>
        <v>1400</v>
      </c>
      <c r="J78" t="str">
        <f t="shared" si="6"/>
        <v/>
      </c>
      <c r="K78" t="str">
        <f t="shared" si="7"/>
        <v/>
      </c>
    </row>
    <row r="79" spans="2:11" x14ac:dyDescent="0.25">
      <c r="E79" s="151" t="str">
        <f>'Base Blend Property Calculation'!A83</f>
        <v>LITEmix EC</v>
      </c>
      <c r="F79" s="399">
        <f t="shared" si="8"/>
        <v>1500</v>
      </c>
      <c r="G79" s="399">
        <f>VLOOKUP(E79,'Base Blend Property Calculation'!$A$7:$BT$151,61,FALSE)</f>
        <v>1500</v>
      </c>
      <c r="H79" s="399">
        <f t="shared" si="9"/>
        <v>1500</v>
      </c>
      <c r="I79" s="15">
        <f t="shared" si="5"/>
        <v>1500</v>
      </c>
      <c r="J79" t="str">
        <f t="shared" si="6"/>
        <v/>
      </c>
      <c r="K79" t="str">
        <f t="shared" si="7"/>
        <v/>
      </c>
    </row>
    <row r="80" spans="2:11" x14ac:dyDescent="0.25">
      <c r="E80" s="151" t="str">
        <f>'Base Blend Property Calculation'!A84</f>
        <v>PRODUCTIONmix 1500 PRO (LDP-C-3515)</v>
      </c>
      <c r="F80" s="399">
        <f t="shared" si="8"/>
        <v>1500</v>
      </c>
      <c r="G80" s="399">
        <f>VLOOKUP(E80,'Base Blend Property Calculation'!$A$7:$BT$151,61,FALSE)</f>
        <v>1500</v>
      </c>
      <c r="H80" s="399">
        <f t="shared" si="9"/>
        <v>1500</v>
      </c>
      <c r="I80" s="15">
        <f t="shared" si="5"/>
        <v>1500</v>
      </c>
      <c r="J80" t="str">
        <f t="shared" si="6"/>
        <v/>
      </c>
      <c r="K80" t="str">
        <f t="shared" si="7"/>
        <v/>
      </c>
    </row>
    <row r="81" spans="5:11" x14ac:dyDescent="0.25">
      <c r="E81" s="151" t="str">
        <f>'Base Blend Property Calculation'!A85</f>
        <v>PRODUCTIONmix 1600</v>
      </c>
      <c r="F81" s="399">
        <f t="shared" si="8"/>
        <v>1600</v>
      </c>
      <c r="G81" s="399">
        <f>VLOOKUP(E81,'Base Blend Property Calculation'!$A$7:$BT$151,61,FALSE)</f>
        <v>1600</v>
      </c>
      <c r="H81" s="399">
        <f t="shared" si="9"/>
        <v>1600</v>
      </c>
      <c r="I81" s="15">
        <f t="shared" si="5"/>
        <v>1600</v>
      </c>
      <c r="J81" t="str">
        <f t="shared" si="6"/>
        <v/>
      </c>
      <c r="K81" t="str">
        <f t="shared" si="7"/>
        <v/>
      </c>
    </row>
    <row r="82" spans="5:11" x14ac:dyDescent="0.25">
      <c r="E82" s="151" t="str">
        <f>'Base Blend Property Calculation'!A86</f>
        <v>PRODUCTIONmix 1600 (SK)</v>
      </c>
      <c r="F82" s="399">
        <f t="shared" si="8"/>
        <v>1600</v>
      </c>
      <c r="G82" s="399">
        <f>VLOOKUP(E82,'Base Blend Property Calculation'!$A$7:$BT$151,61,FALSE)</f>
        <v>1600</v>
      </c>
      <c r="H82" s="399">
        <f t="shared" si="9"/>
        <v>1600</v>
      </c>
      <c r="I82" s="15">
        <f t="shared" si="5"/>
        <v>1600</v>
      </c>
      <c r="J82" t="str">
        <f t="shared" si="6"/>
        <v/>
      </c>
      <c r="K82" t="str">
        <f t="shared" si="7"/>
        <v/>
      </c>
    </row>
    <row r="83" spans="5:11" x14ac:dyDescent="0.25">
      <c r="E83" s="151" t="str">
        <f>'Base Blend Property Calculation'!A87</f>
        <v>PRODUCTIONmix 1725</v>
      </c>
      <c r="F83" s="399">
        <f t="shared" si="8"/>
        <v>1725</v>
      </c>
      <c r="G83" s="399">
        <f>VLOOKUP(E83,'Base Blend Property Calculation'!$A$7:$BT$151,61,FALSE)</f>
        <v>1725</v>
      </c>
      <c r="H83" s="399">
        <f t="shared" si="9"/>
        <v>1725</v>
      </c>
      <c r="I83" s="15">
        <f t="shared" si="5"/>
        <v>1725</v>
      </c>
      <c r="J83" t="str">
        <f t="shared" si="6"/>
        <v/>
      </c>
      <c r="K83" t="str">
        <f t="shared" si="7"/>
        <v/>
      </c>
    </row>
    <row r="84" spans="5:11" x14ac:dyDescent="0.25">
      <c r="E84" s="151" t="str">
        <f>'Base Blend Property Calculation'!A88</f>
        <v>PRODUCTIONmix EC</v>
      </c>
      <c r="F84" s="399">
        <f t="shared" si="8"/>
        <v>1640</v>
      </c>
      <c r="G84" s="399">
        <f>VLOOKUP(E84,'Base Blend Property Calculation'!$A$7:$BT$151,61,FALSE)</f>
        <v>1640</v>
      </c>
      <c r="H84" s="399">
        <f t="shared" si="9"/>
        <v>1640</v>
      </c>
      <c r="I84" s="15">
        <f t="shared" si="5"/>
        <v>1640</v>
      </c>
      <c r="J84" t="str">
        <f t="shared" si="6"/>
        <v/>
      </c>
      <c r="K84" t="str">
        <f t="shared" si="7"/>
        <v/>
      </c>
    </row>
    <row r="85" spans="5:11" x14ac:dyDescent="0.25">
      <c r="E85" s="151" t="str">
        <f>'Base Blend Property Calculation'!A89</f>
        <v>PRODUCTIONmix EC (SK)</v>
      </c>
      <c r="F85" s="399">
        <f t="shared" si="8"/>
        <v>1640</v>
      </c>
      <c r="G85" s="399">
        <f>VLOOKUP(E85,'Base Blend Property Calculation'!$A$7:$BT$151,61,FALSE)</f>
        <v>1640</v>
      </c>
      <c r="H85" s="399">
        <f t="shared" si="9"/>
        <v>1640</v>
      </c>
      <c r="I85" s="15">
        <f t="shared" si="5"/>
        <v>1640</v>
      </c>
      <c r="J85" t="str">
        <f t="shared" si="6"/>
        <v/>
      </c>
      <c r="K85" t="str">
        <f t="shared" si="7"/>
        <v/>
      </c>
    </row>
    <row r="86" spans="5:11" x14ac:dyDescent="0.25">
      <c r="E86" s="151" t="str">
        <f>'Base Blend Property Calculation'!A90</f>
        <v>PRODUCTIONmix HZ</v>
      </c>
      <c r="F86" s="399">
        <f t="shared" si="8"/>
        <v>1494</v>
      </c>
      <c r="G86" s="399">
        <f>VLOOKUP(E86,'Base Blend Property Calculation'!$A$7:$BT$151,61,FALSE)</f>
        <v>1494</v>
      </c>
      <c r="H86" s="399">
        <f t="shared" si="9"/>
        <v>1494</v>
      </c>
      <c r="I86" s="15">
        <f t="shared" si="5"/>
        <v>1494</v>
      </c>
      <c r="J86" t="str">
        <f t="shared" si="6"/>
        <v/>
      </c>
      <c r="K86" t="str">
        <f t="shared" si="7"/>
        <v/>
      </c>
    </row>
    <row r="87" spans="5:11" x14ac:dyDescent="0.25">
      <c r="E87" s="151" t="str">
        <f>'Base Blend Property Calculation'!A91</f>
        <v>PRODUCTIONmix LW</v>
      </c>
      <c r="F87" s="399">
        <f t="shared" si="8"/>
        <v>1500</v>
      </c>
      <c r="G87" s="399">
        <f>VLOOKUP(E87,'Base Blend Property Calculation'!$A$7:$BT$151,61,FALSE)</f>
        <v>1500</v>
      </c>
      <c r="H87" s="399">
        <f t="shared" si="9"/>
        <v>1500</v>
      </c>
      <c r="I87" s="15">
        <f t="shared" si="5"/>
        <v>1500</v>
      </c>
      <c r="J87" t="str">
        <f t="shared" si="6"/>
        <v/>
      </c>
      <c r="K87" t="str">
        <f t="shared" si="7"/>
        <v/>
      </c>
    </row>
    <row r="88" spans="5:11" x14ac:dyDescent="0.25">
      <c r="E88" s="151" t="str">
        <f>'Base Blend Property Calculation'!A92</f>
        <v>PRODUCTIONmix LW (SK)</v>
      </c>
      <c r="F88" s="399">
        <f t="shared" si="8"/>
        <v>1500</v>
      </c>
      <c r="G88" s="399">
        <f>VLOOKUP(E88,'Base Blend Property Calculation'!$A$7:$BT$151,61,FALSE)</f>
        <v>1500</v>
      </c>
      <c r="H88" s="399">
        <f t="shared" si="9"/>
        <v>1500</v>
      </c>
      <c r="I88" s="15">
        <f t="shared" si="5"/>
        <v>1500</v>
      </c>
      <c r="J88" t="str">
        <f t="shared" si="6"/>
        <v/>
      </c>
      <c r="K88" t="str">
        <f t="shared" si="7"/>
        <v/>
      </c>
    </row>
    <row r="89" spans="5:11" x14ac:dyDescent="0.25">
      <c r="E89" s="151" t="str">
        <f>'Base Blend Property Calculation'!A93</f>
        <v>PRODUCTIONmix LW PRO</v>
      </c>
      <c r="F89" s="399">
        <f t="shared" si="8"/>
        <v>1500</v>
      </c>
      <c r="G89" s="399">
        <f>VLOOKUP(E89,'Base Blend Property Calculation'!$A$7:$BT$151,61,FALSE)</f>
        <v>1500</v>
      </c>
      <c r="H89" s="399">
        <f t="shared" si="9"/>
        <v>1500</v>
      </c>
      <c r="I89" s="15">
        <f t="shared" si="5"/>
        <v>1500</v>
      </c>
      <c r="J89" t="str">
        <f t="shared" si="6"/>
        <v/>
      </c>
      <c r="K89" t="str">
        <f t="shared" si="7"/>
        <v/>
      </c>
    </row>
    <row r="90" spans="5:11" x14ac:dyDescent="0.25">
      <c r="E90" s="151" t="str">
        <f>'Base Blend Property Calculation'!A94</f>
        <v>PRODUCTIONmix THX</v>
      </c>
      <c r="F90" s="399">
        <f t="shared" si="8"/>
        <v>1550</v>
      </c>
      <c r="G90" s="399">
        <f>VLOOKUP(E90,'Base Blend Property Calculation'!$A$7:$BT$151,61,FALSE)</f>
        <v>1550</v>
      </c>
      <c r="H90" s="399">
        <f t="shared" si="9"/>
        <v>1550</v>
      </c>
      <c r="I90" s="15">
        <f t="shared" si="5"/>
        <v>1550</v>
      </c>
      <c r="J90" t="str">
        <f t="shared" si="6"/>
        <v/>
      </c>
      <c r="K90" t="str">
        <f t="shared" si="7"/>
        <v/>
      </c>
    </row>
    <row r="91" spans="5:11" x14ac:dyDescent="0.25">
      <c r="E91" s="151" t="str">
        <f>'Base Blend Property Calculation'!A95</f>
        <v>Prolite 13</v>
      </c>
      <c r="F91" s="399">
        <f t="shared" si="8"/>
        <v>1300</v>
      </c>
      <c r="G91" s="399">
        <f>VLOOKUP(E91,'Base Blend Property Calculation'!$A$7:$BT$151,61,FALSE)</f>
        <v>1300</v>
      </c>
      <c r="H91" s="399">
        <f t="shared" si="9"/>
        <v>1300</v>
      </c>
      <c r="I91" s="15">
        <f t="shared" si="5"/>
        <v>1300</v>
      </c>
      <c r="J91" t="str">
        <f t="shared" si="6"/>
        <v/>
      </c>
      <c r="K91" t="str">
        <f t="shared" si="7"/>
        <v/>
      </c>
    </row>
    <row r="92" spans="5:11" x14ac:dyDescent="0.25">
      <c r="E92" s="151" t="str">
        <f>'Base Blend Property Calculation'!A96</f>
        <v>Prolite 14</v>
      </c>
      <c r="F92" s="399">
        <f t="shared" si="8"/>
        <v>1400</v>
      </c>
      <c r="G92" s="399">
        <f>VLOOKUP(E92,'Base Blend Property Calculation'!$A$7:$BT$151,61,FALSE)</f>
        <v>1400</v>
      </c>
      <c r="H92" s="399">
        <f t="shared" si="9"/>
        <v>1400</v>
      </c>
      <c r="I92" s="15">
        <f t="shared" si="5"/>
        <v>1400</v>
      </c>
      <c r="J92" t="str">
        <f t="shared" si="6"/>
        <v/>
      </c>
      <c r="K92" t="str">
        <f t="shared" si="7"/>
        <v/>
      </c>
    </row>
    <row r="93" spans="5:11" x14ac:dyDescent="0.25">
      <c r="E93" s="151" t="str">
        <f>'Base Blend Property Calculation'!A97</f>
        <v>Proteus Core</v>
      </c>
      <c r="F93" s="399">
        <f t="shared" si="8"/>
        <v>1700</v>
      </c>
      <c r="G93" s="399">
        <f>VLOOKUP(E93,'Base Blend Property Calculation'!$A$7:$BT$151,61,FALSE)</f>
        <v>1700</v>
      </c>
      <c r="H93" s="399">
        <f t="shared" si="9"/>
        <v>1700</v>
      </c>
      <c r="I93" s="15">
        <f t="shared" si="5"/>
        <v>1700</v>
      </c>
      <c r="J93" t="str">
        <f t="shared" si="6"/>
        <v/>
      </c>
      <c r="K93" t="str">
        <f t="shared" si="7"/>
        <v/>
      </c>
    </row>
    <row r="94" spans="5:11" x14ac:dyDescent="0.25">
      <c r="E94" s="151" t="str">
        <f>'Base Blend Property Calculation'!A98</f>
        <v>Proteus GLS @ 1300</v>
      </c>
      <c r="F94" s="399">
        <f t="shared" si="8"/>
        <v>1300</v>
      </c>
      <c r="G94" s="399">
        <f>VLOOKUP(E94,'Base Blend Property Calculation'!$A$7:$BT$151,61,FALSE)</f>
        <v>1300</v>
      </c>
      <c r="H94" s="399">
        <f t="shared" si="9"/>
        <v>1300</v>
      </c>
      <c r="I94" s="15">
        <f t="shared" si="5"/>
        <v>1300</v>
      </c>
      <c r="J94" t="str">
        <f t="shared" si="6"/>
        <v/>
      </c>
      <c r="K94" t="str">
        <f t="shared" si="7"/>
        <v/>
      </c>
    </row>
    <row r="95" spans="5:11" x14ac:dyDescent="0.25">
      <c r="E95" s="151" t="str">
        <f>'Base Blend Property Calculation'!A99</f>
        <v>Proteus GLS @ 1350</v>
      </c>
      <c r="F95" s="399">
        <f t="shared" si="8"/>
        <v>1350</v>
      </c>
      <c r="G95" s="399">
        <f>VLOOKUP(E95,'Base Blend Property Calculation'!$A$7:$BT$151,61,FALSE)</f>
        <v>1350</v>
      </c>
      <c r="H95" s="399">
        <f t="shared" si="9"/>
        <v>1350</v>
      </c>
      <c r="I95" s="15">
        <f t="shared" si="5"/>
        <v>1350</v>
      </c>
      <c r="J95" t="str">
        <f t="shared" si="6"/>
        <v/>
      </c>
      <c r="K95" t="str">
        <f t="shared" si="7"/>
        <v/>
      </c>
    </row>
    <row r="96" spans="5:11" x14ac:dyDescent="0.25">
      <c r="E96" s="151" t="str">
        <f>'Base Blend Property Calculation'!A100</f>
        <v>Proteus GLS @ 1400</v>
      </c>
      <c r="F96" s="399">
        <f t="shared" si="8"/>
        <v>1400</v>
      </c>
      <c r="G96" s="399">
        <f>VLOOKUP(E96,'Base Blend Property Calculation'!$A$7:$BT$151,61,FALSE)</f>
        <v>1400</v>
      </c>
      <c r="H96" s="399">
        <f t="shared" si="9"/>
        <v>1400</v>
      </c>
      <c r="I96" s="15">
        <f t="shared" si="5"/>
        <v>1400</v>
      </c>
      <c r="J96" t="str">
        <f t="shared" si="6"/>
        <v/>
      </c>
      <c r="K96" t="str">
        <f t="shared" si="7"/>
        <v/>
      </c>
    </row>
    <row r="97" spans="5:11" x14ac:dyDescent="0.25">
      <c r="E97" s="151" t="str">
        <f>'Base Blend Property Calculation'!A101</f>
        <v>Proteus GLS @ 1400 (CDM-5)</v>
      </c>
      <c r="F97" s="399">
        <f t="shared" si="8"/>
        <v>1400</v>
      </c>
      <c r="G97" s="399">
        <f>VLOOKUP(E97,'Base Blend Property Calculation'!$A$7:$BT$151,61,FALSE)</f>
        <v>1400</v>
      </c>
      <c r="H97" s="399">
        <f t="shared" si="9"/>
        <v>1400</v>
      </c>
      <c r="I97" s="15">
        <f t="shared" si="5"/>
        <v>1400</v>
      </c>
      <c r="J97" t="str">
        <f t="shared" si="6"/>
        <v/>
      </c>
      <c r="K97" t="str">
        <f t="shared" si="7"/>
        <v/>
      </c>
    </row>
    <row r="98" spans="5:11" x14ac:dyDescent="0.25">
      <c r="E98" s="151" t="str">
        <f>'Base Blend Property Calculation'!A102</f>
        <v>Proteus LCS</v>
      </c>
      <c r="F98" s="399">
        <f t="shared" si="8"/>
        <v>1750</v>
      </c>
      <c r="G98" s="399">
        <f>VLOOKUP(E98,'Base Blend Property Calculation'!$A$7:$BT$151,61,FALSE)</f>
        <v>1750</v>
      </c>
      <c r="H98" s="399">
        <f t="shared" si="9"/>
        <v>1750</v>
      </c>
      <c r="I98" s="15">
        <f t="shared" si="5"/>
        <v>1750</v>
      </c>
      <c r="J98" t="str">
        <f t="shared" si="6"/>
        <v/>
      </c>
      <c r="K98" t="str">
        <f t="shared" si="7"/>
        <v/>
      </c>
    </row>
    <row r="99" spans="5:11" x14ac:dyDescent="0.25">
      <c r="E99" s="151" t="str">
        <f>'Base Blend Property Calculation'!A103</f>
        <v>Proteus Pro</v>
      </c>
      <c r="F99" s="399">
        <f t="shared" si="8"/>
        <v>1725</v>
      </c>
      <c r="G99" s="399">
        <f>VLOOKUP(E99,'Base Blend Property Calculation'!$A$7:$BT$151,61,FALSE)</f>
        <v>1725</v>
      </c>
      <c r="H99" s="399">
        <f t="shared" si="9"/>
        <v>1725</v>
      </c>
      <c r="I99" s="15">
        <f t="shared" si="5"/>
        <v>1725</v>
      </c>
      <c r="J99" t="str">
        <f t="shared" si="6"/>
        <v/>
      </c>
      <c r="K99" t="str">
        <f t="shared" si="7"/>
        <v/>
      </c>
    </row>
    <row r="100" spans="5:11" x14ac:dyDescent="0.25">
      <c r="E100" s="151" t="str">
        <f>'Base Blend Property Calculation'!A104</f>
        <v>RAS II</v>
      </c>
      <c r="F100" s="399">
        <f t="shared" si="8"/>
        <v>1740</v>
      </c>
      <c r="G100" s="399">
        <f>VLOOKUP(E100,'Base Blend Property Calculation'!$A$7:$BT$151,61,FALSE)</f>
        <v>1740</v>
      </c>
      <c r="H100" s="399">
        <f t="shared" si="9"/>
        <v>1740</v>
      </c>
      <c r="I100" s="15">
        <f t="shared" si="5"/>
        <v>1740</v>
      </c>
      <c r="J100" t="str">
        <f t="shared" si="6"/>
        <v/>
      </c>
      <c r="K100" t="str">
        <f t="shared" si="7"/>
        <v/>
      </c>
    </row>
    <row r="101" spans="5:11" x14ac:dyDescent="0.25">
      <c r="E101" s="151" t="str">
        <f>'Base Blend Property Calculation'!A105</f>
        <v>SanSeal</v>
      </c>
      <c r="F101" s="399">
        <f t="shared" si="8"/>
        <v>1650</v>
      </c>
      <c r="G101" s="399">
        <f>VLOOKUP(E101,'Base Blend Property Calculation'!$A$7:$BT$151,61,FALSE)</f>
        <v>1650</v>
      </c>
      <c r="H101" s="399">
        <f t="shared" si="9"/>
        <v>1650</v>
      </c>
      <c r="I101" s="15">
        <f t="shared" si="5"/>
        <v>1650</v>
      </c>
      <c r="J101" t="str">
        <f t="shared" si="6"/>
        <v/>
      </c>
      <c r="K101" t="str">
        <f t="shared" si="7"/>
        <v/>
      </c>
    </row>
    <row r="102" spans="5:11" x14ac:dyDescent="0.25">
      <c r="E102" s="151" t="str">
        <f>'Base Blend Property Calculation'!A106</f>
        <v>SanSeal HT</v>
      </c>
      <c r="F102" s="399">
        <f t="shared" si="8"/>
        <v>1500</v>
      </c>
      <c r="G102" s="399">
        <f>VLOOKUP(E102,'Base Blend Property Calculation'!$A$7:$BT$151,61,FALSE)</f>
        <v>1500</v>
      </c>
      <c r="H102" s="399">
        <f t="shared" si="9"/>
        <v>1500</v>
      </c>
      <c r="I102" s="15">
        <f t="shared" si="5"/>
        <v>1500</v>
      </c>
      <c r="J102" t="str">
        <f t="shared" si="6"/>
        <v/>
      </c>
      <c r="K102" t="str">
        <f t="shared" si="7"/>
        <v/>
      </c>
    </row>
    <row r="103" spans="5:11" x14ac:dyDescent="0.25">
      <c r="E103" s="151" t="str">
        <f>'Base Blend Property Calculation'!A107</f>
        <v>SCC10 Thermal</v>
      </c>
      <c r="F103" s="399">
        <f t="shared" si="8"/>
        <v>1625</v>
      </c>
      <c r="G103" s="399">
        <f>VLOOKUP(E103,'Base Blend Property Calculation'!$A$7:$BT$151,61,FALSE)</f>
        <v>1625</v>
      </c>
      <c r="H103" s="399">
        <f t="shared" si="9"/>
        <v>1625</v>
      </c>
      <c r="I103" s="15">
        <f t="shared" si="5"/>
        <v>1625</v>
      </c>
      <c r="J103" t="str">
        <f t="shared" si="6"/>
        <v/>
      </c>
      <c r="K103" t="str">
        <f t="shared" si="7"/>
        <v/>
      </c>
    </row>
    <row r="104" spans="5:11" x14ac:dyDescent="0.25">
      <c r="E104" s="151" t="str">
        <f>'Base Blend Property Calculation'!A108</f>
        <v>SSi</v>
      </c>
      <c r="F104" s="399">
        <f t="shared" si="8"/>
        <v>1750</v>
      </c>
      <c r="G104" s="399">
        <f>VLOOKUP(E104,'Base Blend Property Calculation'!$A$7:$BT$151,61,FALSE)</f>
        <v>1750</v>
      </c>
      <c r="H104" s="399">
        <f t="shared" si="9"/>
        <v>1750</v>
      </c>
      <c r="I104" s="15">
        <f t="shared" si="5"/>
        <v>1750</v>
      </c>
      <c r="J104" t="str">
        <f t="shared" si="6"/>
        <v/>
      </c>
      <c r="K104" t="str">
        <f t="shared" si="7"/>
        <v/>
      </c>
    </row>
    <row r="105" spans="5:11" x14ac:dyDescent="0.25">
      <c r="E105" s="151" t="str">
        <f>'Base Blend Property Calculation'!A109</f>
        <v>Superlite 13</v>
      </c>
      <c r="F105" s="399">
        <f t="shared" si="8"/>
        <v>1300</v>
      </c>
      <c r="G105" s="399">
        <f>VLOOKUP(E105,'Base Blend Property Calculation'!$A$7:$BT$151,61,FALSE)</f>
        <v>1300</v>
      </c>
      <c r="H105" s="399">
        <f t="shared" si="9"/>
        <v>1300</v>
      </c>
      <c r="I105" s="15">
        <f t="shared" si="5"/>
        <v>1300</v>
      </c>
      <c r="J105" t="str">
        <f t="shared" si="6"/>
        <v/>
      </c>
      <c r="K105" t="str">
        <f t="shared" si="7"/>
        <v/>
      </c>
    </row>
    <row r="106" spans="5:11" x14ac:dyDescent="0.25">
      <c r="E106" s="151" t="str">
        <f>'Base Blend Property Calculation'!A110</f>
        <v>Superlite 13 (CDM-5)</v>
      </c>
      <c r="F106" s="399">
        <f t="shared" si="8"/>
        <v>1300</v>
      </c>
      <c r="G106" s="399">
        <f>VLOOKUP(E106,'Base Blend Property Calculation'!$A$7:$BT$151,61,FALSE)</f>
        <v>1300</v>
      </c>
      <c r="H106" s="399">
        <f t="shared" si="9"/>
        <v>1300</v>
      </c>
      <c r="I106" s="15">
        <f t="shared" si="5"/>
        <v>1300</v>
      </c>
      <c r="J106" t="str">
        <f t="shared" si="6"/>
        <v/>
      </c>
      <c r="K106" t="str">
        <f t="shared" si="7"/>
        <v/>
      </c>
    </row>
    <row r="107" spans="5:11" x14ac:dyDescent="0.25">
      <c r="E107" s="151" t="str">
        <f>'Base Blend Property Calculation'!A111</f>
        <v>SUPERLITEmix 1100X</v>
      </c>
      <c r="F107" s="399">
        <f t="shared" si="8"/>
        <v>1100</v>
      </c>
      <c r="G107" s="399">
        <f>VLOOKUP(E107,'Base Blend Property Calculation'!$A$7:$BT$151,61,FALSE)</f>
        <v>1100</v>
      </c>
      <c r="H107" s="399">
        <f t="shared" si="9"/>
        <v>1100</v>
      </c>
      <c r="I107" s="15">
        <f t="shared" si="5"/>
        <v>1100</v>
      </c>
      <c r="J107" t="str">
        <f t="shared" si="6"/>
        <v/>
      </c>
      <c r="K107" t="str">
        <f t="shared" si="7"/>
        <v/>
      </c>
    </row>
    <row r="108" spans="5:11" x14ac:dyDescent="0.25">
      <c r="E108" s="151" t="str">
        <f>'Base Blend Property Calculation'!A112</f>
        <v>SUPERLITEmix 1160</v>
      </c>
      <c r="F108" s="399">
        <f t="shared" si="8"/>
        <v>1160</v>
      </c>
      <c r="G108" s="399">
        <f>VLOOKUP(E108,'Base Blend Property Calculation'!$A$7:$BT$151,61,FALSE)</f>
        <v>1160</v>
      </c>
      <c r="H108" s="399">
        <f t="shared" si="9"/>
        <v>1160</v>
      </c>
      <c r="I108" s="15">
        <f t="shared" si="5"/>
        <v>1160</v>
      </c>
      <c r="J108" t="str">
        <f t="shared" si="6"/>
        <v/>
      </c>
      <c r="K108" t="str">
        <f t="shared" si="7"/>
        <v/>
      </c>
    </row>
    <row r="109" spans="5:11" x14ac:dyDescent="0.25">
      <c r="E109" s="151" t="str">
        <f>'Base Blend Property Calculation'!A113</f>
        <v>SUPERLITEmix 1160 (CDM-5)</v>
      </c>
      <c r="F109" s="399">
        <f t="shared" si="8"/>
        <v>1160</v>
      </c>
      <c r="G109" s="399">
        <f>VLOOKUP(E109,'Base Blend Property Calculation'!$A$7:$BT$151,61,FALSE)</f>
        <v>1160</v>
      </c>
      <c r="H109" s="399">
        <f t="shared" si="9"/>
        <v>1160</v>
      </c>
      <c r="I109" s="15">
        <f t="shared" si="5"/>
        <v>1160</v>
      </c>
      <c r="J109" t="str">
        <f t="shared" si="6"/>
        <v/>
      </c>
      <c r="K109" t="str">
        <f t="shared" si="7"/>
        <v/>
      </c>
    </row>
    <row r="110" spans="5:11" x14ac:dyDescent="0.25">
      <c r="E110" s="151" t="str">
        <f>'Base Blend Property Calculation'!A114</f>
        <v>SUPERLITEmix 1160 C</v>
      </c>
      <c r="F110" s="399">
        <f t="shared" si="8"/>
        <v>0</v>
      </c>
      <c r="G110" s="399">
        <f>VLOOKUP(E110,'Base Blend Property Calculation'!$A$7:$BT$151,61,FALSE)</f>
        <v>0</v>
      </c>
      <c r="H110" s="399">
        <f t="shared" si="9"/>
        <v>0</v>
      </c>
      <c r="I110" s="15">
        <f t="shared" si="5"/>
        <v>0</v>
      </c>
      <c r="J110" t="str">
        <f t="shared" si="6"/>
        <v/>
      </c>
      <c r="K110" t="str">
        <f t="shared" si="7"/>
        <v/>
      </c>
    </row>
    <row r="111" spans="5:11" x14ac:dyDescent="0.25">
      <c r="E111" s="151" t="str">
        <f>'Base Blend Property Calculation'!A115</f>
        <v>SUPERLITEmix 1160X</v>
      </c>
      <c r="F111" s="399">
        <f t="shared" si="8"/>
        <v>1160</v>
      </c>
      <c r="G111" s="399">
        <f>VLOOKUP(E111,'Base Blend Property Calculation'!$A$7:$BT$151,61,FALSE)</f>
        <v>1160</v>
      </c>
      <c r="H111" s="399">
        <f t="shared" si="9"/>
        <v>1160</v>
      </c>
      <c r="I111" s="15">
        <f t="shared" si="5"/>
        <v>1160</v>
      </c>
      <c r="J111" t="str">
        <f t="shared" si="6"/>
        <v/>
      </c>
      <c r="K111" t="str">
        <f t="shared" si="7"/>
        <v/>
      </c>
    </row>
    <row r="112" spans="5:11" x14ac:dyDescent="0.25">
      <c r="E112" s="151" t="str">
        <f>'Base Blend Property Calculation'!A116</f>
        <v>SUPERLITEmix PRO</v>
      </c>
      <c r="F112" s="399">
        <f t="shared" si="8"/>
        <v>1175</v>
      </c>
      <c r="G112" s="399">
        <f>VLOOKUP(E112,'Base Blend Property Calculation'!$A$7:$BT$151,61,FALSE)</f>
        <v>1175</v>
      </c>
      <c r="H112" s="399">
        <f t="shared" si="9"/>
        <v>1175</v>
      </c>
      <c r="I112" s="15">
        <f t="shared" si="5"/>
        <v>1175</v>
      </c>
      <c r="J112" t="str">
        <f t="shared" si="6"/>
        <v/>
      </c>
      <c r="K112" t="str">
        <f t="shared" si="7"/>
        <v/>
      </c>
    </row>
    <row r="113" spans="5:11" x14ac:dyDescent="0.25">
      <c r="E113" s="151" t="str">
        <f>'Base Blend Property Calculation'!A117</f>
        <v>SUPERLITEmix PRO (CDM-2)</v>
      </c>
      <c r="F113" s="399">
        <f t="shared" si="8"/>
        <v>1200</v>
      </c>
      <c r="G113" s="399">
        <f>VLOOKUP(E113,'Base Blend Property Calculation'!$A$7:$BT$151,61,FALSE)</f>
        <v>1200</v>
      </c>
      <c r="H113" s="399">
        <f t="shared" si="9"/>
        <v>1200</v>
      </c>
      <c r="I113" s="15">
        <f t="shared" si="5"/>
        <v>1200</v>
      </c>
      <c r="J113" t="str">
        <f t="shared" si="6"/>
        <v/>
      </c>
      <c r="K113" t="str">
        <f t="shared" si="7"/>
        <v/>
      </c>
    </row>
    <row r="114" spans="5:11" x14ac:dyDescent="0.25">
      <c r="E114" s="151" t="str">
        <f>'Base Blend Property Calculation'!A118</f>
        <v>SUPERLITEmix PRO (LDP-C-3215)</v>
      </c>
      <c r="F114" s="399">
        <f t="shared" si="8"/>
        <v>1175</v>
      </c>
      <c r="G114" s="399">
        <f>VLOOKUP(E114,'Base Blend Property Calculation'!$A$7:$BT$151,61,FALSE)</f>
        <v>1175</v>
      </c>
      <c r="H114" s="399">
        <f t="shared" si="9"/>
        <v>1175</v>
      </c>
      <c r="I114" s="15">
        <f t="shared" si="5"/>
        <v>1175</v>
      </c>
      <c r="J114" t="str">
        <f t="shared" si="6"/>
        <v/>
      </c>
      <c r="K114" t="str">
        <f t="shared" si="7"/>
        <v/>
      </c>
    </row>
    <row r="115" spans="5:11" x14ac:dyDescent="0.25">
      <c r="E115" s="151" t="str">
        <f>'Base Blend Property Calculation'!A119</f>
        <v>SUPERLITEmix PRO HT</v>
      </c>
      <c r="F115" s="399">
        <f t="shared" si="8"/>
        <v>1200</v>
      </c>
      <c r="G115" s="399">
        <f>VLOOKUP(E115,'Base Blend Property Calculation'!$A$7:$BT$151,61,FALSE)</f>
        <v>1200</v>
      </c>
      <c r="H115" s="399">
        <f t="shared" si="9"/>
        <v>1200</v>
      </c>
      <c r="I115" s="15">
        <f t="shared" si="5"/>
        <v>1200</v>
      </c>
      <c r="J115" t="str">
        <f t="shared" si="6"/>
        <v/>
      </c>
      <c r="K115" t="str">
        <f t="shared" si="7"/>
        <v/>
      </c>
    </row>
    <row r="116" spans="5:11" x14ac:dyDescent="0.25">
      <c r="E116" s="151" t="str">
        <f>'Base Blend Property Calculation'!A120</f>
        <v>SUPERLITEmix PROX</v>
      </c>
      <c r="F116" s="399">
        <f t="shared" si="8"/>
        <v>1200</v>
      </c>
      <c r="G116" s="399">
        <f>VLOOKUP(E116,'Base Blend Property Calculation'!$A$7:$BT$151,61,FALSE)</f>
        <v>1200</v>
      </c>
      <c r="H116" s="399">
        <f t="shared" si="9"/>
        <v>1200</v>
      </c>
      <c r="I116" s="15">
        <f t="shared" si="5"/>
        <v>1200</v>
      </c>
      <c r="J116" t="str">
        <f t="shared" si="6"/>
        <v/>
      </c>
      <c r="K116" t="str">
        <f t="shared" si="7"/>
        <v/>
      </c>
    </row>
    <row r="117" spans="5:11" x14ac:dyDescent="0.25">
      <c r="E117" s="151" t="str">
        <f>'Base Blend Property Calculation'!A121</f>
        <v>SURFACEmix LW (AB)</v>
      </c>
      <c r="F117" s="399">
        <f t="shared" si="8"/>
        <v>1600</v>
      </c>
      <c r="G117" s="399">
        <f>VLOOKUP(E117,'Base Blend Property Calculation'!$A$7:$BT$151,61,FALSE)</f>
        <v>1600</v>
      </c>
      <c r="H117" s="399">
        <f t="shared" si="9"/>
        <v>1600</v>
      </c>
      <c r="I117" s="15">
        <f t="shared" ref="I117:I142" si="10">G117</f>
        <v>1600</v>
      </c>
      <c r="J117" t="str">
        <f t="shared" si="6"/>
        <v/>
      </c>
      <c r="K117" t="str">
        <f t="shared" si="7"/>
        <v/>
      </c>
    </row>
    <row r="118" spans="5:11" x14ac:dyDescent="0.25">
      <c r="E118" s="151" t="str">
        <f>'Base Blend Property Calculation'!A122</f>
        <v>SURFACEmix LW (SK)</v>
      </c>
      <c r="F118" s="399">
        <f t="shared" si="8"/>
        <v>1600</v>
      </c>
      <c r="G118" s="399">
        <f>VLOOKUP(E118,'Base Blend Property Calculation'!$A$7:$BT$151,61,FALSE)</f>
        <v>1600</v>
      </c>
      <c r="H118" s="399">
        <f t="shared" si="9"/>
        <v>1600</v>
      </c>
      <c r="I118" s="15">
        <f t="shared" si="10"/>
        <v>1600</v>
      </c>
      <c r="J118" t="str">
        <f t="shared" si="6"/>
        <v/>
      </c>
      <c r="K118" t="str">
        <f t="shared" si="7"/>
        <v/>
      </c>
    </row>
    <row r="119" spans="5:11" x14ac:dyDescent="0.25">
      <c r="E119" s="151" t="str">
        <f>'Base Blend Property Calculation'!A123</f>
        <v>SURFACEmix LW PRO</v>
      </c>
      <c r="F119" s="399">
        <f t="shared" si="8"/>
        <v>1550</v>
      </c>
      <c r="G119" s="399">
        <f>VLOOKUP(E119,'Base Blend Property Calculation'!$A$7:$BT$151,61,FALSE)</f>
        <v>1550</v>
      </c>
      <c r="H119" s="399">
        <f t="shared" si="9"/>
        <v>1550</v>
      </c>
      <c r="I119" s="15">
        <f t="shared" si="10"/>
        <v>1550</v>
      </c>
      <c r="J119" t="str">
        <f t="shared" si="6"/>
        <v/>
      </c>
      <c r="K119" t="str">
        <f>IF(H119&lt;G119,"Fix This","")</f>
        <v/>
      </c>
    </row>
    <row r="120" spans="5:11" x14ac:dyDescent="0.25">
      <c r="E120" s="151" t="str">
        <f>'Base Blend Property Calculation'!A124</f>
        <v>SURFACEmix LW PRO (SK)</v>
      </c>
      <c r="F120" s="399">
        <f t="shared" si="8"/>
        <v>1550</v>
      </c>
      <c r="G120" s="399">
        <f>VLOOKUP(E120,'Base Blend Property Calculation'!$A$7:$BT$151,61,FALSE)</f>
        <v>1550</v>
      </c>
      <c r="H120" s="399">
        <f t="shared" si="9"/>
        <v>1550</v>
      </c>
      <c r="I120" s="15">
        <f t="shared" si="10"/>
        <v>1550</v>
      </c>
      <c r="J120" t="str">
        <f t="shared" si="6"/>
        <v/>
      </c>
      <c r="K120" t="str">
        <f t="shared" si="7"/>
        <v/>
      </c>
    </row>
    <row r="121" spans="5:11" x14ac:dyDescent="0.25">
      <c r="E121" s="151" t="str">
        <f>'Base Blend Property Calculation'!A125</f>
        <v>SURFACEmix LW PRO ED</v>
      </c>
      <c r="F121" s="399">
        <f t="shared" si="8"/>
        <v>1550</v>
      </c>
      <c r="G121" s="399">
        <f>VLOOKUP(E121,'Base Blend Property Calculation'!$A$7:$BT$151,61,FALSE)</f>
        <v>1550</v>
      </c>
      <c r="H121" s="399">
        <f t="shared" si="9"/>
        <v>1550</v>
      </c>
      <c r="I121" s="15">
        <f t="shared" si="10"/>
        <v>1550</v>
      </c>
      <c r="J121" t="str">
        <f t="shared" si="6"/>
        <v/>
      </c>
      <c r="K121" t="str">
        <f t="shared" si="7"/>
        <v/>
      </c>
    </row>
    <row r="122" spans="5:11" x14ac:dyDescent="0.25">
      <c r="E122" s="151" t="str">
        <f>'Base Blend Property Calculation'!A126</f>
        <v>SURFACEmix LW PRO FSJ</v>
      </c>
      <c r="F122" s="399">
        <f t="shared" si="8"/>
        <v>1550</v>
      </c>
      <c r="G122" s="399">
        <f>VLOOKUP(E122,'Base Blend Property Calculation'!$A$7:$BT$151,61,FALSE)</f>
        <v>1550</v>
      </c>
      <c r="H122" s="399">
        <f t="shared" si="9"/>
        <v>1550</v>
      </c>
      <c r="I122" s="15">
        <f t="shared" si="10"/>
        <v>1550</v>
      </c>
      <c r="J122" t="str">
        <f t="shared" si="6"/>
        <v/>
      </c>
      <c r="K122" t="str">
        <f t="shared" si="7"/>
        <v/>
      </c>
    </row>
    <row r="123" spans="5:11" x14ac:dyDescent="0.25">
      <c r="E123" s="151" t="str">
        <f>'Base Blend Property Calculation'!A127</f>
        <v>SURFACEmix LW PRO GP</v>
      </c>
      <c r="F123" s="399">
        <f t="shared" si="8"/>
        <v>1550</v>
      </c>
      <c r="G123" s="399">
        <f>VLOOKUP(E123,'Base Blend Property Calculation'!$A$7:$BT$151,61,FALSE)</f>
        <v>1550</v>
      </c>
      <c r="H123" s="399">
        <f t="shared" si="9"/>
        <v>1550</v>
      </c>
      <c r="I123" s="15">
        <f t="shared" si="10"/>
        <v>1550</v>
      </c>
      <c r="J123" t="str">
        <f t="shared" si="6"/>
        <v/>
      </c>
      <c r="K123" t="str">
        <f t="shared" si="7"/>
        <v/>
      </c>
    </row>
    <row r="124" spans="5:11" x14ac:dyDescent="0.25">
      <c r="E124" s="151" t="str">
        <f>'Base Blend Property Calculation'!A128</f>
        <v>SURFACEmix LW PRO LLD</v>
      </c>
      <c r="F124" s="399">
        <f t="shared" si="8"/>
        <v>1550</v>
      </c>
      <c r="G124" s="399">
        <f>VLOOKUP(E124,'Base Blend Property Calculation'!$A$7:$BT$151,61,FALSE)</f>
        <v>1550</v>
      </c>
      <c r="H124" s="399">
        <f t="shared" si="9"/>
        <v>1550</v>
      </c>
      <c r="I124" s="15">
        <f t="shared" si="10"/>
        <v>1550</v>
      </c>
      <c r="J124" t="str">
        <f t="shared" si="6"/>
        <v/>
      </c>
      <c r="K124" t="str">
        <f t="shared" si="7"/>
        <v/>
      </c>
    </row>
    <row r="125" spans="5:11" x14ac:dyDescent="0.25">
      <c r="E125" s="151" t="str">
        <f>'Base Blend Property Calculation'!A129</f>
        <v>SURFACEmix LW PRO RD</v>
      </c>
      <c r="F125" s="399">
        <f t="shared" si="8"/>
        <v>1550</v>
      </c>
      <c r="G125" s="399">
        <f>VLOOKUP(E125,'Base Blend Property Calculation'!$A$7:$BT$151,61,FALSE)</f>
        <v>1550</v>
      </c>
      <c r="H125" s="399">
        <f t="shared" si="9"/>
        <v>1550</v>
      </c>
      <c r="I125" s="15">
        <f t="shared" si="10"/>
        <v>1550</v>
      </c>
      <c r="J125" t="str">
        <f t="shared" si="6"/>
        <v/>
      </c>
      <c r="K125" t="str">
        <f t="shared" si="7"/>
        <v/>
      </c>
    </row>
    <row r="126" spans="5:11" x14ac:dyDescent="0.25">
      <c r="E126" s="151" t="str">
        <f>'Base Blend Property Calculation'!A130</f>
        <v>SURFACEmix PRO</v>
      </c>
      <c r="F126" s="399">
        <f t="shared" si="8"/>
        <v>1700</v>
      </c>
      <c r="G126" s="399">
        <f>VLOOKUP(E126,'Base Blend Property Calculation'!$A$7:$BT$151,61,FALSE)</f>
        <v>1700</v>
      </c>
      <c r="H126" s="399">
        <f t="shared" si="9"/>
        <v>1700</v>
      </c>
      <c r="I126" s="15">
        <f t="shared" si="10"/>
        <v>1700</v>
      </c>
      <c r="J126" t="str">
        <f t="shared" si="6"/>
        <v/>
      </c>
      <c r="K126" t="str">
        <f t="shared" si="7"/>
        <v/>
      </c>
    </row>
    <row r="127" spans="5:11" x14ac:dyDescent="0.25">
      <c r="E127" s="151" t="str">
        <f>'Base Blend Property Calculation'!A131</f>
        <v>SURFACEmix SLW</v>
      </c>
      <c r="F127" s="399">
        <f t="shared" si="8"/>
        <v>1200</v>
      </c>
      <c r="G127" s="399">
        <f>VLOOKUP(E127,'Base Blend Property Calculation'!$A$7:$BT$151,61,FALSE)</f>
        <v>1200</v>
      </c>
      <c r="H127" s="399">
        <f t="shared" si="9"/>
        <v>1200</v>
      </c>
      <c r="I127" s="15">
        <f t="shared" si="10"/>
        <v>1200</v>
      </c>
      <c r="J127" t="str">
        <f t="shared" si="6"/>
        <v/>
      </c>
      <c r="K127" t="str">
        <f t="shared" si="7"/>
        <v/>
      </c>
    </row>
    <row r="128" spans="5:11" x14ac:dyDescent="0.25">
      <c r="E128" s="151" t="str">
        <f>'Base Blend Property Calculation'!A132</f>
        <v>SURFACEmix THX</v>
      </c>
      <c r="F128" s="399">
        <f t="shared" si="8"/>
        <v>1725</v>
      </c>
      <c r="G128" s="399">
        <f>VLOOKUP(E128,'Base Blend Property Calculation'!$A$7:$BT$151,61,FALSE)</f>
        <v>1725</v>
      </c>
      <c r="H128" s="399">
        <f t="shared" si="9"/>
        <v>1725</v>
      </c>
      <c r="I128" s="15">
        <f t="shared" si="10"/>
        <v>1725</v>
      </c>
      <c r="J128" t="str">
        <f t="shared" si="6"/>
        <v/>
      </c>
      <c r="K128" t="str">
        <f t="shared" si="7"/>
        <v/>
      </c>
    </row>
    <row r="129" spans="5:11" x14ac:dyDescent="0.25">
      <c r="E129" s="151" t="str">
        <f>'Base Blend Property Calculation'!A133</f>
        <v>SurfLite</v>
      </c>
      <c r="F129" s="399">
        <f t="shared" si="8"/>
        <v>1730</v>
      </c>
      <c r="G129" s="399">
        <f>VLOOKUP(E129,'Base Blend Property Calculation'!$A$7:$BT$151,61,FALSE)</f>
        <v>1730</v>
      </c>
      <c r="H129" s="399">
        <f t="shared" si="9"/>
        <v>1730</v>
      </c>
      <c r="I129" s="15">
        <f t="shared" si="10"/>
        <v>1730</v>
      </c>
      <c r="J129" t="str">
        <f t="shared" si="6"/>
        <v/>
      </c>
      <c r="K129" t="str">
        <f t="shared" si="7"/>
        <v/>
      </c>
    </row>
    <row r="130" spans="5:11" x14ac:dyDescent="0.25">
      <c r="E130" s="151" t="str">
        <f>'Base Blend Property Calculation'!A134</f>
        <v>SurfLite (SK)</v>
      </c>
      <c r="F130" s="399">
        <f t="shared" si="8"/>
        <v>1730</v>
      </c>
      <c r="G130" s="399">
        <f>VLOOKUP(E130,'Base Blend Property Calculation'!$A$7:$BT$151,61,FALSE)</f>
        <v>1730</v>
      </c>
      <c r="H130" s="399">
        <f t="shared" si="9"/>
        <v>1730</v>
      </c>
      <c r="I130" s="15">
        <f t="shared" si="10"/>
        <v>1730</v>
      </c>
      <c r="J130" t="str">
        <f t="shared" si="6"/>
        <v/>
      </c>
      <c r="K130" t="str">
        <f t="shared" si="7"/>
        <v/>
      </c>
    </row>
    <row r="131" spans="5:11" x14ac:dyDescent="0.25">
      <c r="E131" s="151" t="str">
        <f>'Base Blend Property Calculation'!A135</f>
        <v>Thermal 40</v>
      </c>
      <c r="F131" s="399">
        <f t="shared" si="8"/>
        <v>1885</v>
      </c>
      <c r="G131" s="399">
        <f>VLOOKUP(E131,'Base Blend Property Calculation'!$A$7:$BT$151,61,FALSE)</f>
        <v>1885</v>
      </c>
      <c r="H131" s="399">
        <f t="shared" si="9"/>
        <v>1885</v>
      </c>
      <c r="I131" s="15">
        <f t="shared" si="10"/>
        <v>1885</v>
      </c>
      <c r="J131" t="str">
        <f t="shared" si="6"/>
        <v/>
      </c>
      <c r="K131" t="str">
        <f t="shared" si="7"/>
        <v/>
      </c>
    </row>
    <row r="132" spans="5:11" x14ac:dyDescent="0.25">
      <c r="E132" s="151" t="str">
        <f>'Base Blend Property Calculation'!A136</f>
        <v>Thermal 40 EXP</v>
      </c>
      <c r="F132" s="399">
        <f t="shared" si="8"/>
        <v>1820</v>
      </c>
      <c r="G132" s="399">
        <f>VLOOKUP(E132,'Base Blend Property Calculation'!$A$7:$BT$151,61,FALSE)</f>
        <v>1820</v>
      </c>
      <c r="H132" s="399">
        <f t="shared" si="9"/>
        <v>1820</v>
      </c>
      <c r="I132" s="15">
        <f t="shared" si="10"/>
        <v>1820</v>
      </c>
      <c r="J132" t="str">
        <f t="shared" ref="J132:J142" si="11">IF(F132&gt;G132,"Fix Here","")</f>
        <v/>
      </c>
      <c r="K132" t="str">
        <f t="shared" ref="K132:K142" si="12">IF(H132&lt;G132,"Fix This","")</f>
        <v/>
      </c>
    </row>
    <row r="133" spans="5:11" x14ac:dyDescent="0.25">
      <c r="E133" s="151" t="str">
        <f>'Base Blend Property Calculation'!A137</f>
        <v>Thermal 40 Lite</v>
      </c>
      <c r="F133" s="399">
        <f t="shared" ref="F133:F142" si="13">G133</f>
        <v>1550</v>
      </c>
      <c r="G133" s="399">
        <f>VLOOKUP(E133,'Base Blend Property Calculation'!$A$7:$BT$151,61,FALSE)</f>
        <v>1550</v>
      </c>
      <c r="H133" s="399">
        <f t="shared" ref="H133:H142" si="14">G133</f>
        <v>1550</v>
      </c>
      <c r="I133" s="15">
        <f t="shared" si="10"/>
        <v>1550</v>
      </c>
      <c r="J133" t="str">
        <f t="shared" si="11"/>
        <v/>
      </c>
      <c r="K133" t="str">
        <f t="shared" si="12"/>
        <v/>
      </c>
    </row>
    <row r="134" spans="5:11" x14ac:dyDescent="0.25">
      <c r="E134" s="151" t="str">
        <f>'Base Blend Property Calculation'!A138</f>
        <v>THERMAmix EC</v>
      </c>
      <c r="F134" s="399">
        <f t="shared" si="13"/>
        <v>1750</v>
      </c>
      <c r="G134" s="399">
        <f>VLOOKUP(E134,'Base Blend Property Calculation'!$A$7:$BT$151,61,FALSE)</f>
        <v>1750</v>
      </c>
      <c r="H134" s="399">
        <f t="shared" si="14"/>
        <v>1750</v>
      </c>
      <c r="I134" s="15">
        <f t="shared" si="10"/>
        <v>1750</v>
      </c>
      <c r="J134" t="str">
        <f t="shared" si="11"/>
        <v/>
      </c>
      <c r="K134" t="str">
        <f t="shared" si="12"/>
        <v/>
      </c>
    </row>
    <row r="135" spans="5:11" x14ac:dyDescent="0.25">
      <c r="E135" s="151" t="str">
        <f>'Base Blend Property Calculation'!A139</f>
        <v>THERMAmix EC EXP</v>
      </c>
      <c r="F135" s="399">
        <f t="shared" si="13"/>
        <v>1675</v>
      </c>
      <c r="G135" s="399">
        <f>VLOOKUP(E135,'Base Blend Property Calculation'!$A$7:$BT$151,61,FALSE)</f>
        <v>1675</v>
      </c>
      <c r="H135" s="399">
        <f t="shared" si="14"/>
        <v>1675</v>
      </c>
      <c r="I135" s="15">
        <f t="shared" si="10"/>
        <v>1675</v>
      </c>
      <c r="J135" t="str">
        <f t="shared" si="11"/>
        <v/>
      </c>
      <c r="K135" t="str">
        <f t="shared" si="12"/>
        <v/>
      </c>
    </row>
    <row r="136" spans="5:11" x14ac:dyDescent="0.25">
      <c r="E136" s="151" t="str">
        <f>'Base Blend Property Calculation'!A140</f>
        <v>THERMAmix LT</v>
      </c>
      <c r="F136" s="399">
        <f t="shared" si="13"/>
        <v>1840</v>
      </c>
      <c r="G136" s="399">
        <f>VLOOKUP(E136,'Base Blend Property Calculation'!$A$7:$BT$151,61,FALSE)</f>
        <v>1840</v>
      </c>
      <c r="H136" s="399">
        <f t="shared" si="14"/>
        <v>1840</v>
      </c>
      <c r="I136" s="15">
        <f t="shared" si="10"/>
        <v>1840</v>
      </c>
      <c r="J136" t="str">
        <f t="shared" si="11"/>
        <v/>
      </c>
      <c r="K136" t="str">
        <f t="shared" si="12"/>
        <v/>
      </c>
    </row>
    <row r="137" spans="5:11" x14ac:dyDescent="0.25">
      <c r="E137" s="151" t="str">
        <f>'Base Blend Property Calculation'!A141</f>
        <v>THERMAmix PRO</v>
      </c>
      <c r="F137" s="399">
        <f t="shared" si="13"/>
        <v>1700</v>
      </c>
      <c r="G137" s="399">
        <f>VLOOKUP(E137,'Base Blend Property Calculation'!$A$7:$BT$151,61,FALSE)</f>
        <v>1700</v>
      </c>
      <c r="H137" s="399">
        <f t="shared" si="14"/>
        <v>1700</v>
      </c>
      <c r="I137" s="15">
        <f t="shared" si="10"/>
        <v>1700</v>
      </c>
      <c r="J137" t="str">
        <f t="shared" si="11"/>
        <v/>
      </c>
      <c r="K137" t="str">
        <f t="shared" si="12"/>
        <v/>
      </c>
    </row>
    <row r="138" spans="5:11" x14ac:dyDescent="0.25">
      <c r="E138" s="151" t="str">
        <f>'Base Blend Property Calculation'!A142</f>
        <v>THERMAmix SLW</v>
      </c>
      <c r="F138" s="399">
        <f t="shared" si="13"/>
        <v>1350</v>
      </c>
      <c r="G138" s="399">
        <f>VLOOKUP(E138,'Base Blend Property Calculation'!$A$7:$BT$151,61,FALSE)</f>
        <v>1350</v>
      </c>
      <c r="H138" s="399">
        <f t="shared" si="14"/>
        <v>1350</v>
      </c>
      <c r="I138" s="15">
        <f t="shared" si="10"/>
        <v>1350</v>
      </c>
      <c r="J138" t="str">
        <f t="shared" si="11"/>
        <v/>
      </c>
      <c r="K138" t="str">
        <f t="shared" si="12"/>
        <v/>
      </c>
    </row>
    <row r="139" spans="5:11" x14ac:dyDescent="0.25">
      <c r="E139" s="151" t="str">
        <f>'Base Blend Property Calculation'!A143</f>
        <v>THERMAmix THX</v>
      </c>
      <c r="F139" s="399">
        <f t="shared" si="13"/>
        <v>1840</v>
      </c>
      <c r="G139" s="399">
        <f>VLOOKUP(E139,'Base Blend Property Calculation'!$A$7:$BT$151,61,FALSE)</f>
        <v>1840</v>
      </c>
      <c r="H139" s="399">
        <f t="shared" si="14"/>
        <v>1840</v>
      </c>
      <c r="I139" s="15">
        <f t="shared" si="10"/>
        <v>1840</v>
      </c>
      <c r="J139" t="str">
        <f t="shared" si="11"/>
        <v/>
      </c>
      <c r="K139" t="str">
        <f t="shared" si="12"/>
        <v/>
      </c>
    </row>
    <row r="140" spans="5:11" x14ac:dyDescent="0.25">
      <c r="E140" s="151" t="str">
        <f>'Base Blend Property Calculation'!A144</f>
        <v>ThixLite HT (AB)</v>
      </c>
      <c r="F140" s="399">
        <f t="shared" si="13"/>
        <v>1500</v>
      </c>
      <c r="G140" s="399">
        <f>VLOOKUP(E140,'Base Blend Property Calculation'!$A$7:$BT$151,61,FALSE)</f>
        <v>1500</v>
      </c>
      <c r="H140" s="399">
        <f t="shared" si="14"/>
        <v>1500</v>
      </c>
      <c r="I140" s="15">
        <f t="shared" si="10"/>
        <v>1500</v>
      </c>
      <c r="J140" t="str">
        <f t="shared" si="11"/>
        <v/>
      </c>
      <c r="K140" t="str">
        <f t="shared" si="12"/>
        <v/>
      </c>
    </row>
    <row r="141" spans="5:11" x14ac:dyDescent="0.25">
      <c r="E141" s="151" t="str">
        <f>'Base Blend Property Calculation'!A145</f>
        <v>ThixLite HT (SK)</v>
      </c>
      <c r="F141" s="399">
        <f t="shared" si="13"/>
        <v>1500</v>
      </c>
      <c r="G141" s="399">
        <f>VLOOKUP(E141,'Base Blend Property Calculation'!$A$7:$BT$151,61,FALSE)</f>
        <v>1500</v>
      </c>
      <c r="H141" s="399">
        <f t="shared" si="14"/>
        <v>1500</v>
      </c>
      <c r="I141" s="15">
        <f t="shared" si="10"/>
        <v>1500</v>
      </c>
      <c r="J141" t="str">
        <f t="shared" si="11"/>
        <v/>
      </c>
      <c r="K141" t="str">
        <f t="shared" si="12"/>
        <v/>
      </c>
    </row>
    <row r="142" spans="5:11" x14ac:dyDescent="0.25">
      <c r="E142" s="151" t="str">
        <f>'Base Blend Property Calculation'!A146</f>
        <v>Sanseal Thermal</v>
      </c>
      <c r="F142" s="399">
        <f t="shared" si="13"/>
        <v>1650</v>
      </c>
      <c r="G142" s="15">
        <f>VLOOKUP(E142,'Base Blend Property Calculation'!$A$7:$BT$151,61,FALSE)</f>
        <v>1650</v>
      </c>
      <c r="H142" s="399">
        <f t="shared" si="14"/>
        <v>1650</v>
      </c>
      <c r="I142" s="15">
        <f t="shared" si="10"/>
        <v>1650</v>
      </c>
      <c r="J142" t="str">
        <f t="shared" si="11"/>
        <v/>
      </c>
      <c r="K142" t="str">
        <f t="shared" si="12"/>
        <v/>
      </c>
    </row>
    <row r="143" spans="5:11" x14ac:dyDescent="0.25">
      <c r="E143" s="151" t="str">
        <f>'Base Blend Property Calculation'!A147</f>
        <v>LDP-C-0119</v>
      </c>
      <c r="F143" s="15">
        <v>1350</v>
      </c>
      <c r="G143" s="15">
        <v>1350</v>
      </c>
      <c r="H143" s="15">
        <v>1350</v>
      </c>
      <c r="I143" s="15">
        <v>1350</v>
      </c>
    </row>
    <row r="144" spans="5:11" x14ac:dyDescent="0.25">
      <c r="E144" s="151"/>
      <c r="F144" s="15"/>
      <c r="G144" s="15"/>
      <c r="H144" s="15"/>
      <c r="I144" s="15"/>
    </row>
    <row r="145" spans="5:9" x14ac:dyDescent="0.25">
      <c r="E145" s="151"/>
      <c r="F145" s="15"/>
      <c r="G145" s="15"/>
      <c r="H145" s="15"/>
      <c r="I145" s="15"/>
    </row>
    <row r="146" spans="5:9" x14ac:dyDescent="0.25">
      <c r="E146" s="151"/>
      <c r="F146" s="15"/>
      <c r="G146" s="15"/>
      <c r="H146" s="15"/>
      <c r="I146" s="15"/>
    </row>
    <row r="147" spans="5:9" x14ac:dyDescent="0.25">
      <c r="E147" s="151"/>
      <c r="F147" s="15"/>
      <c r="G147" s="15"/>
      <c r="H147" s="15"/>
      <c r="I147" s="15"/>
    </row>
    <row r="148" spans="5:9" x14ac:dyDescent="0.25">
      <c r="E148" s="151"/>
      <c r="F148" s="15"/>
      <c r="G148" s="15"/>
      <c r="H148" s="15"/>
      <c r="I148" s="15"/>
    </row>
    <row r="149" spans="5:9" x14ac:dyDescent="0.25">
      <c r="E149" s="151"/>
      <c r="F149" s="15"/>
      <c r="G149" s="15"/>
      <c r="H149" s="15"/>
      <c r="I149" s="15"/>
    </row>
    <row r="150" spans="5:9" x14ac:dyDescent="0.25">
      <c r="E150" s="151"/>
      <c r="F150" s="15"/>
      <c r="G150" s="15"/>
      <c r="H150" s="15"/>
      <c r="I150" s="15"/>
    </row>
  </sheetData>
  <mergeCells count="3">
    <mergeCell ref="L3:M3"/>
    <mergeCell ref="L4:M4"/>
    <mergeCell ref="L5:M5"/>
  </mergeCells>
  <conditionalFormatting sqref="L3">
    <cfRule type="cellIs" dxfId="111" priority="7" operator="equal">
      <formula>0</formula>
    </cfRule>
    <cfRule type="cellIs" dxfId="110" priority="8" operator="equal">
      <formula>0</formula>
    </cfRule>
  </conditionalFormatting>
  <conditionalFormatting sqref="L4:L5">
    <cfRule type="cellIs" dxfId="109" priority="5" operator="equal">
      <formula>0</formula>
    </cfRule>
    <cfRule type="cellIs" dxfId="108" priority="6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F24"/>
  <sheetViews>
    <sheetView zoomScaleNormal="100" workbookViewId="0">
      <selection activeCell="E19" sqref="E19"/>
    </sheetView>
  </sheetViews>
  <sheetFormatPr defaultRowHeight="15" x14ac:dyDescent="0.25"/>
  <cols>
    <col min="1" max="3" width="30.7109375" customWidth="1"/>
  </cols>
  <sheetData>
    <row r="1" spans="1:6" ht="58.5" customHeight="1" x14ac:dyDescent="0.25">
      <c r="A1" s="57"/>
      <c r="B1" s="56"/>
      <c r="C1" s="56"/>
    </row>
    <row r="2" spans="1:6" ht="15.75" x14ac:dyDescent="0.25">
      <c r="A2" s="486" t="s">
        <v>266</v>
      </c>
      <c r="B2" s="486"/>
      <c r="C2" s="486"/>
    </row>
    <row r="3" spans="1:6" ht="16.5" thickBot="1" x14ac:dyDescent="0.3">
      <c r="A3" s="58"/>
      <c r="B3" s="58"/>
      <c r="C3" s="59" t="s">
        <v>532</v>
      </c>
    </row>
    <row r="4" spans="1:6" ht="30" customHeight="1" thickTop="1" thickBot="1" x14ac:dyDescent="0.3">
      <c r="A4" s="62" t="s">
        <v>221</v>
      </c>
      <c r="B4" s="63" t="s">
        <v>222</v>
      </c>
      <c r="C4" s="64" t="s">
        <v>223</v>
      </c>
    </row>
    <row r="5" spans="1:6" ht="30" customHeight="1" thickTop="1" x14ac:dyDescent="0.25">
      <c r="A5" s="68" t="s">
        <v>48</v>
      </c>
      <c r="B5" s="60" t="s">
        <v>114</v>
      </c>
      <c r="C5" s="65" t="s">
        <v>224</v>
      </c>
    </row>
    <row r="6" spans="1:6" ht="30" customHeight="1" x14ac:dyDescent="0.25">
      <c r="A6" s="68" t="s">
        <v>49</v>
      </c>
      <c r="B6" s="60" t="s">
        <v>225</v>
      </c>
      <c r="C6" s="65" t="s">
        <v>226</v>
      </c>
    </row>
    <row r="7" spans="1:6" ht="30" customHeight="1" x14ac:dyDescent="0.25">
      <c r="A7" s="68" t="s">
        <v>51</v>
      </c>
      <c r="B7" s="60" t="s">
        <v>114</v>
      </c>
      <c r="C7" s="65" t="s">
        <v>224</v>
      </c>
    </row>
    <row r="8" spans="1:6" ht="30" customHeight="1" x14ac:dyDescent="0.25">
      <c r="A8" s="68" t="s">
        <v>52</v>
      </c>
      <c r="B8" s="60" t="s">
        <v>114</v>
      </c>
      <c r="C8" s="65" t="s">
        <v>224</v>
      </c>
    </row>
    <row r="9" spans="1:6" ht="30" customHeight="1" x14ac:dyDescent="0.25">
      <c r="A9" s="68" t="s">
        <v>53</v>
      </c>
      <c r="B9" s="60" t="s">
        <v>114</v>
      </c>
      <c r="C9" s="65" t="s">
        <v>224</v>
      </c>
    </row>
    <row r="10" spans="1:6" ht="30" customHeight="1" x14ac:dyDescent="0.25">
      <c r="A10" s="68" t="s">
        <v>227</v>
      </c>
      <c r="B10" s="60" t="s">
        <v>228</v>
      </c>
      <c r="C10" s="65" t="s">
        <v>229</v>
      </c>
    </row>
    <row r="11" spans="1:6" ht="30" customHeight="1" x14ac:dyDescent="0.25">
      <c r="A11" s="68" t="s">
        <v>230</v>
      </c>
      <c r="B11" s="60" t="s">
        <v>114</v>
      </c>
      <c r="C11" s="65" t="s">
        <v>224</v>
      </c>
    </row>
    <row r="12" spans="1:6" ht="30" customHeight="1" x14ac:dyDescent="0.25">
      <c r="A12" s="68" t="s">
        <v>55</v>
      </c>
      <c r="B12" s="60" t="s">
        <v>114</v>
      </c>
      <c r="C12" s="65" t="s">
        <v>224</v>
      </c>
    </row>
    <row r="13" spans="1:6" ht="30" customHeight="1" x14ac:dyDescent="0.25">
      <c r="A13" s="68" t="s">
        <v>231</v>
      </c>
      <c r="B13" s="60" t="s">
        <v>114</v>
      </c>
      <c r="C13" s="65" t="s">
        <v>224</v>
      </c>
    </row>
    <row r="14" spans="1:6" ht="30" customHeight="1" x14ac:dyDescent="0.25">
      <c r="A14" s="68" t="s">
        <v>232</v>
      </c>
      <c r="B14" s="60" t="s">
        <v>114</v>
      </c>
      <c r="C14" s="65" t="s">
        <v>224</v>
      </c>
    </row>
    <row r="15" spans="1:6" ht="30" customHeight="1" x14ac:dyDescent="0.25">
      <c r="A15" s="68" t="s">
        <v>233</v>
      </c>
      <c r="B15" s="60" t="s">
        <v>114</v>
      </c>
      <c r="C15" s="65" t="s">
        <v>224</v>
      </c>
      <c r="F15" t="s">
        <v>559</v>
      </c>
    </row>
    <row r="16" spans="1:6" ht="30" customHeight="1" x14ac:dyDescent="0.25">
      <c r="A16" s="68" t="s">
        <v>59</v>
      </c>
      <c r="B16" s="60" t="s">
        <v>114</v>
      </c>
      <c r="C16" s="65" t="s">
        <v>234</v>
      </c>
    </row>
    <row r="17" spans="1:3" ht="30" customHeight="1" x14ac:dyDescent="0.25">
      <c r="A17" s="68" t="s">
        <v>597</v>
      </c>
      <c r="B17" s="60" t="s">
        <v>114</v>
      </c>
      <c r="C17" s="65" t="s">
        <v>224</v>
      </c>
    </row>
    <row r="18" spans="1:3" ht="30" customHeight="1" x14ac:dyDescent="0.25">
      <c r="A18" s="68" t="s">
        <v>598</v>
      </c>
      <c r="B18" s="60" t="s">
        <v>114</v>
      </c>
      <c r="C18" s="65" t="s">
        <v>224</v>
      </c>
    </row>
    <row r="19" spans="1:3" ht="30" customHeight="1" x14ac:dyDescent="0.25">
      <c r="A19" s="68" t="s">
        <v>531</v>
      </c>
      <c r="B19" s="60" t="s">
        <v>114</v>
      </c>
      <c r="C19" s="65" t="s">
        <v>224</v>
      </c>
    </row>
    <row r="20" spans="1:3" ht="30" customHeight="1" x14ac:dyDescent="0.25">
      <c r="A20" s="68" t="s">
        <v>235</v>
      </c>
      <c r="B20" s="60" t="s">
        <v>114</v>
      </c>
      <c r="C20" s="65" t="s">
        <v>224</v>
      </c>
    </row>
    <row r="21" spans="1:3" ht="30" customHeight="1" x14ac:dyDescent="0.25">
      <c r="A21" s="68" t="s">
        <v>236</v>
      </c>
      <c r="B21" s="60" t="s">
        <v>114</v>
      </c>
      <c r="C21" s="65" t="s">
        <v>224</v>
      </c>
    </row>
    <row r="22" spans="1:3" ht="30" customHeight="1" x14ac:dyDescent="0.25">
      <c r="A22" s="67" t="s">
        <v>91</v>
      </c>
      <c r="B22" s="60" t="s">
        <v>114</v>
      </c>
      <c r="C22" s="65" t="s">
        <v>224</v>
      </c>
    </row>
    <row r="23" spans="1:3" ht="30" customHeight="1" thickBot="1" x14ac:dyDescent="0.3">
      <c r="A23" s="69" t="s">
        <v>92</v>
      </c>
      <c r="B23" s="61" t="s">
        <v>114</v>
      </c>
      <c r="C23" s="66" t="s">
        <v>224</v>
      </c>
    </row>
    <row r="24" spans="1:3" ht="15.75" thickTop="1" x14ac:dyDescent="0.25"/>
  </sheetData>
  <sheetProtection selectLockedCells="1" selectUnlockedCells="1"/>
  <mergeCells count="1">
    <mergeCell ref="A2:C2"/>
  </mergeCells>
  <pageMargins left="0.7" right="0.7" top="0.75" bottom="0.75" header="0.3" footer="0.3"/>
  <pageSetup scale="98" orientation="portrait" r:id="rId1"/>
  <headerFooter>
    <oddFooter>&amp;L&amp;F
Sheet Printed: &amp;T &amp;D
PRIVATE AND CONFIDENTIAL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E17"/>
  <sheetViews>
    <sheetView zoomScaleNormal="100" workbookViewId="0">
      <selection activeCell="E19" sqref="E19"/>
    </sheetView>
  </sheetViews>
  <sheetFormatPr defaultRowHeight="15" x14ac:dyDescent="0.25"/>
  <cols>
    <col min="1" max="1" width="5.5703125" customWidth="1"/>
    <col min="3" max="3" width="20.7109375" customWidth="1"/>
    <col min="4" max="4" width="25.7109375" customWidth="1"/>
    <col min="5" max="5" width="28.7109375" customWidth="1"/>
  </cols>
  <sheetData>
    <row r="1" spans="1:5" ht="39" customHeight="1" x14ac:dyDescent="0.25">
      <c r="A1" s="56"/>
      <c r="B1" s="57"/>
      <c r="C1" s="56"/>
      <c r="D1" s="56"/>
      <c r="E1" s="56"/>
    </row>
    <row r="2" spans="1:5" ht="15.75" x14ac:dyDescent="0.25">
      <c r="A2" s="486" t="s">
        <v>237</v>
      </c>
      <c r="B2" s="486"/>
      <c r="C2" s="486"/>
      <c r="D2" s="486"/>
      <c r="E2" s="486"/>
    </row>
    <row r="3" spans="1:5" ht="16.5" thickBot="1" x14ac:dyDescent="0.3">
      <c r="A3" s="58"/>
      <c r="B3" s="58"/>
      <c r="C3" s="58"/>
      <c r="D3" s="58"/>
      <c r="E3" s="59" t="s">
        <v>220</v>
      </c>
    </row>
    <row r="4" spans="1:5" ht="28.5" customHeight="1" thickTop="1" thickBot="1" x14ac:dyDescent="0.3">
      <c r="A4" s="70"/>
      <c r="B4" s="71" t="s">
        <v>238</v>
      </c>
      <c r="C4" s="72" t="s">
        <v>239</v>
      </c>
      <c r="D4" s="72" t="s">
        <v>240</v>
      </c>
      <c r="E4" s="73" t="s">
        <v>241</v>
      </c>
    </row>
    <row r="5" spans="1:5" ht="50.1" customHeight="1" thickTop="1" x14ac:dyDescent="0.25">
      <c r="A5" s="487" t="s">
        <v>242</v>
      </c>
      <c r="B5" s="74" t="s">
        <v>243</v>
      </c>
      <c r="C5" s="75" t="s">
        <v>114</v>
      </c>
      <c r="D5" s="76" t="s">
        <v>244</v>
      </c>
      <c r="E5" s="77" t="s">
        <v>245</v>
      </c>
    </row>
    <row r="6" spans="1:5" ht="36.75" customHeight="1" x14ac:dyDescent="0.25">
      <c r="A6" s="488"/>
      <c r="B6" s="78" t="s">
        <v>122</v>
      </c>
      <c r="C6" s="60" t="s">
        <v>135</v>
      </c>
      <c r="D6" s="60" t="s">
        <v>246</v>
      </c>
      <c r="E6" s="79" t="s">
        <v>247</v>
      </c>
    </row>
    <row r="7" spans="1:5" ht="50.1" customHeight="1" x14ac:dyDescent="0.25">
      <c r="A7" s="488"/>
      <c r="B7" s="78" t="s">
        <v>127</v>
      </c>
      <c r="C7" s="60" t="s">
        <v>135</v>
      </c>
      <c r="D7" s="60" t="s">
        <v>248</v>
      </c>
      <c r="E7" s="80" t="s">
        <v>249</v>
      </c>
    </row>
    <row r="8" spans="1:5" ht="50.1" customHeight="1" thickBot="1" x14ac:dyDescent="0.3">
      <c r="A8" s="489"/>
      <c r="B8" s="81" t="s">
        <v>128</v>
      </c>
      <c r="C8" s="61" t="s">
        <v>135</v>
      </c>
      <c r="D8" s="61" t="s">
        <v>248</v>
      </c>
      <c r="E8" s="82" t="s">
        <v>249</v>
      </c>
    </row>
    <row r="9" spans="1:5" ht="50.1" customHeight="1" thickTop="1" x14ac:dyDescent="0.25">
      <c r="A9" s="487" t="s">
        <v>250</v>
      </c>
      <c r="B9" s="74" t="s">
        <v>117</v>
      </c>
      <c r="C9" s="75" t="s">
        <v>114</v>
      </c>
      <c r="D9" s="83" t="s">
        <v>251</v>
      </c>
      <c r="E9" s="77" t="s">
        <v>252</v>
      </c>
    </row>
    <row r="10" spans="1:5" ht="50.1" customHeight="1" x14ac:dyDescent="0.25">
      <c r="A10" s="488"/>
      <c r="B10" s="78" t="s">
        <v>154</v>
      </c>
      <c r="C10" s="60" t="s">
        <v>114</v>
      </c>
      <c r="D10" s="60" t="s">
        <v>251</v>
      </c>
      <c r="E10" s="80" t="s">
        <v>253</v>
      </c>
    </row>
    <row r="11" spans="1:5" ht="50.1" customHeight="1" thickBot="1" x14ac:dyDescent="0.3">
      <c r="A11" s="489"/>
      <c r="B11" s="81" t="s">
        <v>119</v>
      </c>
      <c r="C11" s="61" t="s">
        <v>114</v>
      </c>
      <c r="D11" s="61" t="s">
        <v>251</v>
      </c>
      <c r="E11" s="82" t="s">
        <v>254</v>
      </c>
    </row>
    <row r="12" spans="1:5" ht="50.1" customHeight="1" thickTop="1" thickBot="1" x14ac:dyDescent="0.3">
      <c r="A12" s="84" t="s">
        <v>255</v>
      </c>
      <c r="B12" s="85" t="s">
        <v>114</v>
      </c>
      <c r="C12" s="86" t="s">
        <v>256</v>
      </c>
      <c r="D12" s="87" t="s">
        <v>244</v>
      </c>
      <c r="E12" s="88" t="s">
        <v>257</v>
      </c>
    </row>
    <row r="13" spans="1:5" ht="50.1" customHeight="1" thickTop="1" x14ac:dyDescent="0.25">
      <c r="A13" s="487" t="s">
        <v>258</v>
      </c>
      <c r="B13" s="74" t="s">
        <v>147</v>
      </c>
      <c r="C13" s="89" t="s">
        <v>114</v>
      </c>
      <c r="D13" s="76" t="s">
        <v>244</v>
      </c>
      <c r="E13" s="77" t="s">
        <v>259</v>
      </c>
    </row>
    <row r="14" spans="1:5" ht="80.25" customHeight="1" thickBot="1" x14ac:dyDescent="0.3">
      <c r="A14" s="490"/>
      <c r="B14" s="90" t="s">
        <v>260</v>
      </c>
      <c r="C14" s="91" t="s">
        <v>135</v>
      </c>
      <c r="D14" s="92" t="s">
        <v>261</v>
      </c>
      <c r="E14" s="93" t="s">
        <v>533</v>
      </c>
    </row>
    <row r="15" spans="1:5" ht="50.1" customHeight="1" thickTop="1" x14ac:dyDescent="0.25">
      <c r="A15" s="491" t="s">
        <v>262</v>
      </c>
      <c r="B15" s="74" t="s">
        <v>159</v>
      </c>
      <c r="C15" s="76" t="s">
        <v>244</v>
      </c>
      <c r="D15" s="94" t="s">
        <v>263</v>
      </c>
      <c r="E15" s="77" t="s">
        <v>264</v>
      </c>
    </row>
    <row r="16" spans="1:5" ht="22.5" customHeight="1" thickBot="1" x14ac:dyDescent="0.3">
      <c r="A16" s="492"/>
      <c r="B16" s="81" t="s">
        <v>168</v>
      </c>
      <c r="C16" s="95" t="s">
        <v>244</v>
      </c>
      <c r="D16" s="95" t="s">
        <v>265</v>
      </c>
      <c r="E16" s="96" t="s">
        <v>244</v>
      </c>
    </row>
    <row r="17" spans="1:5" ht="15.75" thickTop="1" x14ac:dyDescent="0.25">
      <c r="A17" s="56"/>
      <c r="B17" s="57"/>
      <c r="C17" s="56"/>
      <c r="D17" s="56"/>
      <c r="E17" s="56"/>
    </row>
  </sheetData>
  <sheetProtection selectLockedCells="1" selectUnlockedCells="1"/>
  <mergeCells count="5">
    <mergeCell ref="A2:E2"/>
    <mergeCell ref="A5:A8"/>
    <mergeCell ref="A9:A11"/>
    <mergeCell ref="A13:A14"/>
    <mergeCell ref="A15:A16"/>
  </mergeCells>
  <pageMargins left="0.7" right="0.7" top="0.75" bottom="0.75" header="0.3" footer="0.3"/>
  <pageSetup scale="98" fitToWidth="0" orientation="portrait" r:id="rId1"/>
  <headerFooter>
    <oddFooter>&amp;L&amp;F
Sheet Printed: &amp;T &amp;D
PRIVATE AND CONFIDENTIAL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D51"/>
  <sheetViews>
    <sheetView zoomScaleNormal="100" workbookViewId="0">
      <selection activeCell="H9" sqref="H9"/>
    </sheetView>
  </sheetViews>
  <sheetFormatPr defaultRowHeight="15" x14ac:dyDescent="0.25"/>
  <cols>
    <col min="1" max="1" width="22.5703125" style="57" customWidth="1"/>
    <col min="2" max="2" width="27.7109375" style="99" customWidth="1"/>
    <col min="3" max="3" width="16" style="57" customWidth="1"/>
    <col min="4" max="4" width="31" style="57" customWidth="1"/>
    <col min="5" max="16384" width="9.140625" style="99"/>
  </cols>
  <sheetData>
    <row r="1" spans="1:4" x14ac:dyDescent="0.25">
      <c r="D1" s="100" t="s">
        <v>1789</v>
      </c>
    </row>
    <row r="2" spans="1:4" ht="22.5" customHeight="1" x14ac:dyDescent="0.25"/>
    <row r="3" spans="1:4" x14ac:dyDescent="0.25">
      <c r="A3" s="497" t="s">
        <v>273</v>
      </c>
      <c r="B3" s="497"/>
      <c r="C3" s="497"/>
      <c r="D3" s="497"/>
    </row>
    <row r="4" spans="1:4" x14ac:dyDescent="0.25">
      <c r="A4" s="497"/>
      <c r="B4" s="497"/>
      <c r="C4" s="497"/>
      <c r="D4" s="497"/>
    </row>
    <row r="5" spans="1:4" ht="15.75" thickBot="1" x14ac:dyDescent="0.3"/>
    <row r="6" spans="1:4" ht="16.5" thickTop="1" thickBot="1" x14ac:dyDescent="0.3">
      <c r="A6" s="101" t="s">
        <v>274</v>
      </c>
      <c r="B6" s="102" t="s">
        <v>275</v>
      </c>
      <c r="C6" s="102" t="s">
        <v>276</v>
      </c>
      <c r="D6" s="103" t="s">
        <v>277</v>
      </c>
    </row>
    <row r="7" spans="1:4" ht="15.75" thickTop="1" x14ac:dyDescent="0.25">
      <c r="A7" s="498" t="s">
        <v>278</v>
      </c>
      <c r="B7" s="104" t="s">
        <v>279</v>
      </c>
      <c r="C7" s="105" t="s">
        <v>107</v>
      </c>
      <c r="D7" s="493" t="s">
        <v>280</v>
      </c>
    </row>
    <row r="8" spans="1:4" x14ac:dyDescent="0.25">
      <c r="A8" s="499"/>
      <c r="B8" s="106" t="s">
        <v>281</v>
      </c>
      <c r="C8" s="107" t="s">
        <v>124</v>
      </c>
      <c r="D8" s="494"/>
    </row>
    <row r="9" spans="1:4" x14ac:dyDescent="0.25">
      <c r="A9" s="499"/>
      <c r="B9" s="106" t="s">
        <v>282</v>
      </c>
      <c r="C9" s="107" t="s">
        <v>122</v>
      </c>
      <c r="D9" s="494"/>
    </row>
    <row r="10" spans="1:4" ht="15.75" thickBot="1" x14ac:dyDescent="0.3">
      <c r="A10" s="500"/>
      <c r="B10" s="108" t="s">
        <v>283</v>
      </c>
      <c r="C10" s="109" t="s">
        <v>123</v>
      </c>
      <c r="D10" s="501"/>
    </row>
    <row r="11" spans="1:4" ht="15.75" thickTop="1" x14ac:dyDescent="0.25">
      <c r="A11" s="503" t="s">
        <v>284</v>
      </c>
      <c r="B11" s="104" t="s">
        <v>285</v>
      </c>
      <c r="C11" s="105" t="s">
        <v>111</v>
      </c>
      <c r="D11" s="502" t="s">
        <v>286</v>
      </c>
    </row>
    <row r="12" spans="1:4" x14ac:dyDescent="0.25">
      <c r="A12" s="504"/>
      <c r="B12" s="106" t="s">
        <v>287</v>
      </c>
      <c r="C12" s="107" t="s">
        <v>112</v>
      </c>
      <c r="D12" s="495"/>
    </row>
    <row r="13" spans="1:4" x14ac:dyDescent="0.25">
      <c r="A13" s="504"/>
      <c r="B13" s="106" t="s">
        <v>1786</v>
      </c>
      <c r="C13" s="107" t="s">
        <v>1779</v>
      </c>
      <c r="D13" s="495"/>
    </row>
    <row r="14" spans="1:4" x14ac:dyDescent="0.25">
      <c r="A14" s="504"/>
      <c r="B14" s="106" t="s">
        <v>360</v>
      </c>
      <c r="C14" s="107" t="s">
        <v>110</v>
      </c>
      <c r="D14" s="495"/>
    </row>
    <row r="15" spans="1:4" x14ac:dyDescent="0.25">
      <c r="A15" s="504"/>
      <c r="B15" s="106" t="s">
        <v>361</v>
      </c>
      <c r="C15" s="107" t="s">
        <v>362</v>
      </c>
      <c r="D15" s="495"/>
    </row>
    <row r="16" spans="1:4" x14ac:dyDescent="0.25">
      <c r="A16" s="504"/>
      <c r="B16" s="106" t="s">
        <v>288</v>
      </c>
      <c r="C16" s="107" t="s">
        <v>113</v>
      </c>
      <c r="D16" s="495"/>
    </row>
    <row r="17" spans="1:4" ht="15.75" thickBot="1" x14ac:dyDescent="0.3">
      <c r="A17" s="505"/>
      <c r="B17" s="108" t="s">
        <v>289</v>
      </c>
      <c r="C17" s="109" t="s">
        <v>179</v>
      </c>
      <c r="D17" s="496"/>
    </row>
    <row r="18" spans="1:4" ht="15.75" thickTop="1" x14ac:dyDescent="0.25">
      <c r="A18" s="503" t="s">
        <v>290</v>
      </c>
      <c r="B18" s="104" t="s">
        <v>129</v>
      </c>
      <c r="C18" s="105" t="s">
        <v>1782</v>
      </c>
      <c r="D18" s="502" t="s">
        <v>291</v>
      </c>
    </row>
    <row r="19" spans="1:4" ht="15.75" thickBot="1" x14ac:dyDescent="0.3">
      <c r="A19" s="504"/>
      <c r="B19" s="106" t="s">
        <v>130</v>
      </c>
      <c r="C19" s="107" t="s">
        <v>1783</v>
      </c>
      <c r="D19" s="495"/>
    </row>
    <row r="20" spans="1:4" ht="16.5" thickTop="1" thickBot="1" x14ac:dyDescent="0.3">
      <c r="A20" s="110" t="s">
        <v>292</v>
      </c>
      <c r="B20" s="111" t="s">
        <v>293</v>
      </c>
      <c r="C20" s="112" t="s">
        <v>294</v>
      </c>
      <c r="D20" s="113" t="s">
        <v>295</v>
      </c>
    </row>
    <row r="21" spans="1:4" ht="15.75" thickTop="1" x14ac:dyDescent="0.25">
      <c r="A21" s="506" t="s">
        <v>296</v>
      </c>
      <c r="B21" s="104" t="s">
        <v>297</v>
      </c>
      <c r="C21" s="105" t="s">
        <v>298</v>
      </c>
      <c r="D21" s="238" t="s">
        <v>299</v>
      </c>
    </row>
    <row r="22" spans="1:4" x14ac:dyDescent="0.25">
      <c r="A22" s="507"/>
      <c r="B22" s="114" t="s">
        <v>300</v>
      </c>
      <c r="C22" s="115" t="s">
        <v>301</v>
      </c>
      <c r="D22" s="239" t="s">
        <v>302</v>
      </c>
    </row>
    <row r="23" spans="1:4" x14ac:dyDescent="0.25">
      <c r="A23" s="507"/>
      <c r="B23" s="106" t="s">
        <v>303</v>
      </c>
      <c r="C23" s="107" t="s">
        <v>304</v>
      </c>
      <c r="D23" s="240" t="s">
        <v>305</v>
      </c>
    </row>
    <row r="24" spans="1:4" ht="15.75" thickBot="1" x14ac:dyDescent="0.3">
      <c r="A24" s="508"/>
      <c r="B24" s="116" t="s">
        <v>306</v>
      </c>
      <c r="C24" s="117" t="s">
        <v>307</v>
      </c>
      <c r="D24" s="242" t="s">
        <v>308</v>
      </c>
    </row>
    <row r="25" spans="1:4" ht="15.75" thickTop="1" x14ac:dyDescent="0.25">
      <c r="A25" s="509" t="s">
        <v>309</v>
      </c>
      <c r="B25" s="114" t="s">
        <v>310</v>
      </c>
      <c r="C25" s="115" t="s">
        <v>145</v>
      </c>
      <c r="D25" s="510" t="s">
        <v>311</v>
      </c>
    </row>
    <row r="26" spans="1:4" x14ac:dyDescent="0.25">
      <c r="A26" s="504"/>
      <c r="B26" s="106" t="s">
        <v>312</v>
      </c>
      <c r="C26" s="107" t="s">
        <v>147</v>
      </c>
      <c r="D26" s="495"/>
    </row>
    <row r="27" spans="1:4" x14ac:dyDescent="0.25">
      <c r="A27" s="504"/>
      <c r="B27" s="106" t="s">
        <v>313</v>
      </c>
      <c r="C27" s="107" t="s">
        <v>314</v>
      </c>
      <c r="D27" s="495"/>
    </row>
    <row r="28" spans="1:4" x14ac:dyDescent="0.25">
      <c r="A28" s="504"/>
      <c r="B28" s="106" t="s">
        <v>156</v>
      </c>
      <c r="C28" s="107" t="s">
        <v>1787</v>
      </c>
      <c r="D28" s="495" t="s">
        <v>258</v>
      </c>
    </row>
    <row r="29" spans="1:4" ht="15.75" thickBot="1" x14ac:dyDescent="0.3">
      <c r="A29" s="505"/>
      <c r="B29" s="108" t="s">
        <v>315</v>
      </c>
      <c r="C29" s="109" t="s">
        <v>125</v>
      </c>
      <c r="D29" s="496"/>
    </row>
    <row r="30" spans="1:4" ht="16.5" thickTop="1" thickBot="1" x14ac:dyDescent="0.3">
      <c r="A30" s="243" t="s">
        <v>316</v>
      </c>
      <c r="B30" s="118" t="s">
        <v>559</v>
      </c>
      <c r="C30" s="119" t="s">
        <v>559</v>
      </c>
      <c r="D30" s="238" t="s">
        <v>559</v>
      </c>
    </row>
    <row r="31" spans="1:4" ht="15.75" thickTop="1" x14ac:dyDescent="0.25">
      <c r="A31" s="503" t="s">
        <v>317</v>
      </c>
      <c r="B31" s="104" t="s">
        <v>318</v>
      </c>
      <c r="C31" s="105" t="s">
        <v>133</v>
      </c>
      <c r="D31" s="493" t="s">
        <v>319</v>
      </c>
    </row>
    <row r="32" spans="1:4" ht="30" x14ac:dyDescent="0.25">
      <c r="A32" s="504"/>
      <c r="B32" s="106" t="s">
        <v>320</v>
      </c>
      <c r="C32" s="107" t="s">
        <v>131</v>
      </c>
      <c r="D32" s="494"/>
    </row>
    <row r="33" spans="1:4" x14ac:dyDescent="0.25">
      <c r="A33" s="504"/>
      <c r="B33" s="106" t="s">
        <v>321</v>
      </c>
      <c r="C33" s="107" t="s">
        <v>322</v>
      </c>
      <c r="D33" s="494"/>
    </row>
    <row r="34" spans="1:4" ht="30" x14ac:dyDescent="0.25">
      <c r="A34" s="504"/>
      <c r="B34" s="106" t="s">
        <v>323</v>
      </c>
      <c r="C34" s="107" t="s">
        <v>165</v>
      </c>
      <c r="D34" s="494"/>
    </row>
    <row r="35" spans="1:4" x14ac:dyDescent="0.25">
      <c r="A35" s="504"/>
      <c r="B35" s="106" t="s">
        <v>324</v>
      </c>
      <c r="C35" s="107" t="s">
        <v>325</v>
      </c>
      <c r="D35" s="494"/>
    </row>
    <row r="36" spans="1:4" x14ac:dyDescent="0.25">
      <c r="A36" s="504"/>
      <c r="B36" s="106" t="s">
        <v>326</v>
      </c>
      <c r="C36" s="107" t="s">
        <v>327</v>
      </c>
      <c r="D36" s="494"/>
    </row>
    <row r="37" spans="1:4" x14ac:dyDescent="0.25">
      <c r="A37" s="504"/>
      <c r="B37" s="106" t="s">
        <v>329</v>
      </c>
      <c r="C37" s="107" t="s">
        <v>330</v>
      </c>
      <c r="D37" s="239"/>
    </row>
    <row r="38" spans="1:4" x14ac:dyDescent="0.25">
      <c r="A38" s="504"/>
      <c r="B38" s="106" t="s">
        <v>331</v>
      </c>
      <c r="C38" s="107" t="s">
        <v>332</v>
      </c>
      <c r="D38" s="240" t="s">
        <v>333</v>
      </c>
    </row>
    <row r="39" spans="1:4" x14ac:dyDescent="0.25">
      <c r="A39" s="504"/>
      <c r="B39" s="106" t="s">
        <v>334</v>
      </c>
      <c r="C39" s="107" t="s">
        <v>335</v>
      </c>
      <c r="D39" s="495" t="s">
        <v>336</v>
      </c>
    </row>
    <row r="40" spans="1:4" ht="15.75" thickBot="1" x14ac:dyDescent="0.3">
      <c r="A40" s="505"/>
      <c r="B40" s="108" t="s">
        <v>337</v>
      </c>
      <c r="C40" s="109" t="s">
        <v>338</v>
      </c>
      <c r="D40" s="496"/>
    </row>
    <row r="41" spans="1:4" ht="15.75" thickTop="1" x14ac:dyDescent="0.25">
      <c r="A41" s="503" t="s">
        <v>339</v>
      </c>
      <c r="B41" s="104" t="s">
        <v>340</v>
      </c>
      <c r="C41" s="105" t="s">
        <v>1788</v>
      </c>
      <c r="D41" s="502" t="s">
        <v>341</v>
      </c>
    </row>
    <row r="42" spans="1:4" x14ac:dyDescent="0.25">
      <c r="A42" s="504"/>
      <c r="B42" s="106" t="s">
        <v>342</v>
      </c>
      <c r="C42" s="107" t="s">
        <v>343</v>
      </c>
      <c r="D42" s="495"/>
    </row>
    <row r="43" spans="1:4" x14ac:dyDescent="0.25">
      <c r="A43" s="504"/>
      <c r="B43" s="106" t="s">
        <v>344</v>
      </c>
      <c r="C43" s="107" t="s">
        <v>345</v>
      </c>
      <c r="D43" s="495"/>
    </row>
    <row r="44" spans="1:4" x14ac:dyDescent="0.25">
      <c r="A44" s="504"/>
      <c r="B44" s="106" t="s">
        <v>346</v>
      </c>
      <c r="C44" s="107" t="s">
        <v>347</v>
      </c>
      <c r="D44" s="240" t="s">
        <v>348</v>
      </c>
    </row>
    <row r="45" spans="1:4" ht="15.75" thickBot="1" x14ac:dyDescent="0.3">
      <c r="A45" s="505"/>
      <c r="B45" s="108" t="s">
        <v>349</v>
      </c>
      <c r="C45" s="109" t="s">
        <v>350</v>
      </c>
      <c r="D45" s="241" t="s">
        <v>351</v>
      </c>
    </row>
    <row r="46" spans="1:4" ht="15.75" thickTop="1" x14ac:dyDescent="0.25">
      <c r="A46" s="503" t="s">
        <v>262</v>
      </c>
      <c r="B46" s="104" t="s">
        <v>352</v>
      </c>
      <c r="C46" s="105" t="s">
        <v>160</v>
      </c>
      <c r="D46" s="502" t="s">
        <v>353</v>
      </c>
    </row>
    <row r="47" spans="1:4" x14ac:dyDescent="0.25">
      <c r="A47" s="504"/>
      <c r="B47" s="106" t="s">
        <v>354</v>
      </c>
      <c r="C47" s="107" t="s">
        <v>161</v>
      </c>
      <c r="D47" s="495"/>
    </row>
    <row r="48" spans="1:4" x14ac:dyDescent="0.25">
      <c r="A48" s="504"/>
      <c r="B48" s="106" t="s">
        <v>355</v>
      </c>
      <c r="C48" s="107" t="s">
        <v>162</v>
      </c>
      <c r="D48" s="495"/>
    </row>
    <row r="49" spans="1:4" ht="15.75" thickBot="1" x14ac:dyDescent="0.3">
      <c r="A49" s="505"/>
      <c r="B49" s="108" t="s">
        <v>559</v>
      </c>
      <c r="C49" s="109" t="s">
        <v>608</v>
      </c>
      <c r="D49" s="241"/>
    </row>
    <row r="50" spans="1:4" ht="31.5" thickTop="1" thickBot="1" x14ac:dyDescent="0.3">
      <c r="A50" s="244" t="s">
        <v>356</v>
      </c>
      <c r="B50" s="116" t="s">
        <v>357</v>
      </c>
      <c r="C50" s="117" t="s">
        <v>358</v>
      </c>
      <c r="D50" s="242" t="s">
        <v>359</v>
      </c>
    </row>
    <row r="51" spans="1:4" ht="15.75" thickTop="1" x14ac:dyDescent="0.25"/>
  </sheetData>
  <mergeCells count="18">
    <mergeCell ref="D46:D48"/>
    <mergeCell ref="A11:A17"/>
    <mergeCell ref="D11:D17"/>
    <mergeCell ref="A18:A19"/>
    <mergeCell ref="D18:D19"/>
    <mergeCell ref="A21:A24"/>
    <mergeCell ref="A41:A45"/>
    <mergeCell ref="D41:D43"/>
    <mergeCell ref="A46:A49"/>
    <mergeCell ref="A25:A29"/>
    <mergeCell ref="D25:D27"/>
    <mergeCell ref="D28:D29"/>
    <mergeCell ref="A31:A40"/>
    <mergeCell ref="D31:D36"/>
    <mergeCell ref="D39:D40"/>
    <mergeCell ref="A3:D4"/>
    <mergeCell ref="A7:A10"/>
    <mergeCell ref="D7:D10"/>
  </mergeCells>
  <pageMargins left="0.7" right="0.7" top="0.75" bottom="0.75" header="0.3" footer="0.3"/>
  <pageSetup orientation="portrait" r:id="rId1"/>
  <headerFooter>
    <oddFooter>&amp;L&amp;F Sheet Printed: &amp;T &amp;D PRIVATE AND CONFIDENTIAL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CEC1-695D-4530-AD2C-E38D740E06D2}">
  <dimension ref="A1:F64"/>
  <sheetViews>
    <sheetView topLeftCell="A2" workbookViewId="0">
      <selection activeCell="B64" sqref="B64"/>
    </sheetView>
  </sheetViews>
  <sheetFormatPr defaultRowHeight="15" x14ac:dyDescent="0.25"/>
  <cols>
    <col min="1" max="1" width="32.7109375" bestFit="1" customWidth="1"/>
    <col min="2" max="2" width="24.42578125" bestFit="1" customWidth="1"/>
    <col min="3" max="3" width="22.5703125" bestFit="1" customWidth="1"/>
    <col min="4" max="4" width="22.5703125" customWidth="1"/>
    <col min="5" max="5" width="26.85546875" bestFit="1" customWidth="1"/>
    <col min="6" max="6" width="24.85546875" bestFit="1" customWidth="1"/>
  </cols>
  <sheetData>
    <row r="1" spans="1:6" x14ac:dyDescent="0.25">
      <c r="A1" t="s">
        <v>1834</v>
      </c>
      <c r="B1" t="s">
        <v>1835</v>
      </c>
      <c r="C1" t="s">
        <v>1836</v>
      </c>
      <c r="D1" t="s">
        <v>1911</v>
      </c>
      <c r="E1" t="s">
        <v>1837</v>
      </c>
      <c r="F1" t="s">
        <v>1838</v>
      </c>
    </row>
    <row r="2" spans="1:6" x14ac:dyDescent="0.25">
      <c r="A2" t="s">
        <v>1839</v>
      </c>
      <c r="B2">
        <v>12</v>
      </c>
      <c r="C2" t="s">
        <v>1840</v>
      </c>
      <c r="D2" t="str">
        <f>IF(C2="Cementing","Primary", IF(C2="Remedial","Remedial",""))</f>
        <v>Remedial</v>
      </c>
      <c r="E2" t="s">
        <v>1841</v>
      </c>
      <c r="F2" t="s">
        <v>1842</v>
      </c>
    </row>
    <row r="3" spans="1:6" x14ac:dyDescent="0.25">
      <c r="A3" t="s">
        <v>1843</v>
      </c>
      <c r="B3">
        <v>12</v>
      </c>
      <c r="C3" t="s">
        <v>1840</v>
      </c>
      <c r="D3" t="str">
        <f t="shared" ref="D3:D63" si="0">IF(C3="Cementing","Primary", IF(C3="Remedial","Remedial",""))</f>
        <v>Remedial</v>
      </c>
      <c r="E3" t="s">
        <v>1841</v>
      </c>
      <c r="F3" t="s">
        <v>1842</v>
      </c>
    </row>
    <row r="4" spans="1:6" x14ac:dyDescent="0.25">
      <c r="A4" t="s">
        <v>1844</v>
      </c>
      <c r="B4">
        <v>12</v>
      </c>
      <c r="C4" t="s">
        <v>1840</v>
      </c>
      <c r="D4" t="str">
        <f t="shared" si="0"/>
        <v>Remedial</v>
      </c>
      <c r="E4" t="s">
        <v>1845</v>
      </c>
      <c r="F4" t="s">
        <v>1846</v>
      </c>
    </row>
    <row r="5" spans="1:6" x14ac:dyDescent="0.25">
      <c r="A5" t="s">
        <v>1847</v>
      </c>
      <c r="B5">
        <v>12</v>
      </c>
      <c r="C5" t="s">
        <v>1840</v>
      </c>
      <c r="D5" t="str">
        <f t="shared" si="0"/>
        <v>Remedial</v>
      </c>
      <c r="E5" t="s">
        <v>1845</v>
      </c>
      <c r="F5" t="s">
        <v>1846</v>
      </c>
    </row>
    <row r="6" spans="1:6" x14ac:dyDescent="0.25">
      <c r="A6" t="s">
        <v>1848</v>
      </c>
      <c r="B6">
        <v>12</v>
      </c>
      <c r="C6" t="s">
        <v>1840</v>
      </c>
      <c r="D6" t="str">
        <f t="shared" si="0"/>
        <v>Remedial</v>
      </c>
      <c r="E6" t="s">
        <v>1845</v>
      </c>
      <c r="F6" t="s">
        <v>1846</v>
      </c>
    </row>
    <row r="7" spans="1:6" x14ac:dyDescent="0.25">
      <c r="A7" t="s">
        <v>1849</v>
      </c>
      <c r="B7">
        <v>12</v>
      </c>
      <c r="C7" t="s">
        <v>1840</v>
      </c>
      <c r="D7" t="str">
        <f t="shared" si="0"/>
        <v>Remedial</v>
      </c>
      <c r="E7" t="s">
        <v>1845</v>
      </c>
      <c r="F7" t="s">
        <v>1846</v>
      </c>
    </row>
    <row r="8" spans="1:6" x14ac:dyDescent="0.25">
      <c r="A8" t="s">
        <v>1850</v>
      </c>
      <c r="B8">
        <v>12</v>
      </c>
      <c r="C8" t="s">
        <v>1840</v>
      </c>
      <c r="D8" t="str">
        <f t="shared" si="0"/>
        <v>Remedial</v>
      </c>
      <c r="E8" t="s">
        <v>1845</v>
      </c>
      <c r="F8" t="s">
        <v>1846</v>
      </c>
    </row>
    <row r="9" spans="1:6" x14ac:dyDescent="0.25">
      <c r="A9" t="s">
        <v>1851</v>
      </c>
      <c r="B9">
        <v>12</v>
      </c>
      <c r="C9" t="s">
        <v>1840</v>
      </c>
      <c r="D9" t="str">
        <f t="shared" si="0"/>
        <v>Remedial</v>
      </c>
      <c r="E9" t="s">
        <v>1845</v>
      </c>
      <c r="F9" t="s">
        <v>1846</v>
      </c>
    </row>
    <row r="10" spans="1:6" x14ac:dyDescent="0.25">
      <c r="A10" t="s">
        <v>1852</v>
      </c>
      <c r="B10">
        <v>12</v>
      </c>
      <c r="C10" t="s">
        <v>1840</v>
      </c>
      <c r="D10" t="str">
        <f t="shared" si="0"/>
        <v>Remedial</v>
      </c>
      <c r="E10" t="s">
        <v>1841</v>
      </c>
      <c r="F10" t="s">
        <v>1842</v>
      </c>
    </row>
    <row r="11" spans="1:6" x14ac:dyDescent="0.25">
      <c r="A11" t="s">
        <v>1853</v>
      </c>
      <c r="B11">
        <v>12</v>
      </c>
      <c r="C11" t="s">
        <v>1840</v>
      </c>
      <c r="D11" t="str">
        <f t="shared" si="0"/>
        <v>Remedial</v>
      </c>
      <c r="E11" t="s">
        <v>1841</v>
      </c>
      <c r="F11" t="s">
        <v>1842</v>
      </c>
    </row>
    <row r="12" spans="1:6" x14ac:dyDescent="0.25">
      <c r="A12" t="s">
        <v>1854</v>
      </c>
      <c r="B12">
        <v>13</v>
      </c>
      <c r="C12" t="s">
        <v>1855</v>
      </c>
      <c r="D12" t="str">
        <f t="shared" si="0"/>
        <v>Primary</v>
      </c>
      <c r="E12" t="s">
        <v>1856</v>
      </c>
      <c r="F12" t="s">
        <v>1857</v>
      </c>
    </row>
    <row r="13" spans="1:6" x14ac:dyDescent="0.25">
      <c r="A13" t="s">
        <v>1858</v>
      </c>
      <c r="B13">
        <v>12</v>
      </c>
      <c r="C13" t="s">
        <v>1840</v>
      </c>
      <c r="D13" t="str">
        <f t="shared" si="0"/>
        <v>Remedial</v>
      </c>
      <c r="E13" t="s">
        <v>1841</v>
      </c>
      <c r="F13" t="s">
        <v>1842</v>
      </c>
    </row>
    <row r="14" spans="1:6" x14ac:dyDescent="0.25">
      <c r="A14" t="s">
        <v>1859</v>
      </c>
      <c r="B14">
        <v>12</v>
      </c>
      <c r="C14" t="s">
        <v>1840</v>
      </c>
      <c r="D14" t="str">
        <f t="shared" si="0"/>
        <v>Remedial</v>
      </c>
      <c r="E14" t="s">
        <v>1841</v>
      </c>
      <c r="F14" t="s">
        <v>1842</v>
      </c>
    </row>
    <row r="15" spans="1:6" x14ac:dyDescent="0.25">
      <c r="A15" t="s">
        <v>1860</v>
      </c>
      <c r="B15">
        <v>12</v>
      </c>
      <c r="C15" t="s">
        <v>1840</v>
      </c>
      <c r="D15" t="str">
        <f t="shared" si="0"/>
        <v>Remedial</v>
      </c>
      <c r="E15" t="s">
        <v>1845</v>
      </c>
      <c r="F15" t="s">
        <v>1846</v>
      </c>
    </row>
    <row r="16" spans="1:6" x14ac:dyDescent="0.25">
      <c r="A16" t="s">
        <v>1861</v>
      </c>
      <c r="B16">
        <v>13</v>
      </c>
      <c r="C16" t="s">
        <v>1855</v>
      </c>
      <c r="D16" t="str">
        <f t="shared" si="0"/>
        <v>Primary</v>
      </c>
      <c r="E16" t="s">
        <v>1856</v>
      </c>
      <c r="F16" t="s">
        <v>1857</v>
      </c>
    </row>
    <row r="17" spans="1:6" x14ac:dyDescent="0.25">
      <c r="A17" t="s">
        <v>1862</v>
      </c>
      <c r="B17">
        <v>13</v>
      </c>
      <c r="C17" t="s">
        <v>1855</v>
      </c>
      <c r="D17" t="str">
        <f t="shared" si="0"/>
        <v>Primary</v>
      </c>
      <c r="E17" t="s">
        <v>1863</v>
      </c>
      <c r="F17" t="s">
        <v>1864</v>
      </c>
    </row>
    <row r="18" spans="1:6" x14ac:dyDescent="0.25">
      <c r="A18" t="s">
        <v>1865</v>
      </c>
      <c r="B18">
        <v>12</v>
      </c>
      <c r="C18" t="s">
        <v>1840</v>
      </c>
      <c r="D18" t="str">
        <f t="shared" si="0"/>
        <v>Remedial</v>
      </c>
      <c r="E18" t="s">
        <v>1863</v>
      </c>
      <c r="F18" t="s">
        <v>1864</v>
      </c>
    </row>
    <row r="19" spans="1:6" x14ac:dyDescent="0.25">
      <c r="A19" t="s">
        <v>1866</v>
      </c>
      <c r="B19">
        <v>13</v>
      </c>
      <c r="C19" t="s">
        <v>1855</v>
      </c>
      <c r="D19" t="str">
        <f t="shared" si="0"/>
        <v>Primary</v>
      </c>
      <c r="E19" t="s">
        <v>1856</v>
      </c>
      <c r="F19" t="s">
        <v>1857</v>
      </c>
    </row>
    <row r="20" spans="1:6" x14ac:dyDescent="0.25">
      <c r="A20" t="s">
        <v>1867</v>
      </c>
      <c r="B20">
        <v>12</v>
      </c>
      <c r="C20" t="s">
        <v>1840</v>
      </c>
      <c r="D20" t="str">
        <f t="shared" si="0"/>
        <v>Remedial</v>
      </c>
      <c r="E20" t="s">
        <v>1841</v>
      </c>
      <c r="F20" t="s">
        <v>1842</v>
      </c>
    </row>
    <row r="21" spans="1:6" x14ac:dyDescent="0.25">
      <c r="A21" t="s">
        <v>1868</v>
      </c>
      <c r="B21">
        <v>13</v>
      </c>
      <c r="C21" t="s">
        <v>1855</v>
      </c>
      <c r="D21" t="str">
        <f t="shared" si="0"/>
        <v>Primary</v>
      </c>
      <c r="E21" t="s">
        <v>1863</v>
      </c>
      <c r="F21" t="s">
        <v>1864</v>
      </c>
    </row>
    <row r="22" spans="1:6" x14ac:dyDescent="0.25">
      <c r="A22" t="s">
        <v>1869</v>
      </c>
      <c r="B22">
        <v>12</v>
      </c>
      <c r="C22" t="s">
        <v>1840</v>
      </c>
      <c r="D22" t="str">
        <f t="shared" si="0"/>
        <v>Remedial</v>
      </c>
      <c r="E22" t="s">
        <v>1863</v>
      </c>
      <c r="F22" t="s">
        <v>1864</v>
      </c>
    </row>
    <row r="23" spans="1:6" x14ac:dyDescent="0.25">
      <c r="A23" t="s">
        <v>1870</v>
      </c>
      <c r="B23">
        <v>13</v>
      </c>
      <c r="C23" t="s">
        <v>1855</v>
      </c>
      <c r="D23" t="str">
        <f t="shared" si="0"/>
        <v>Primary</v>
      </c>
      <c r="E23" t="s">
        <v>1856</v>
      </c>
      <c r="F23" t="s">
        <v>1857</v>
      </c>
    </row>
    <row r="24" spans="1:6" x14ac:dyDescent="0.25">
      <c r="A24" t="s">
        <v>1871</v>
      </c>
      <c r="B24">
        <v>12</v>
      </c>
      <c r="C24" t="s">
        <v>1840</v>
      </c>
      <c r="D24" t="str">
        <f t="shared" si="0"/>
        <v>Remedial</v>
      </c>
      <c r="E24" t="s">
        <v>1845</v>
      </c>
      <c r="F24" t="s">
        <v>1846</v>
      </c>
    </row>
    <row r="25" spans="1:6" x14ac:dyDescent="0.25">
      <c r="A25" t="s">
        <v>1872</v>
      </c>
      <c r="B25">
        <v>13</v>
      </c>
      <c r="C25" t="s">
        <v>1855</v>
      </c>
      <c r="D25" t="str">
        <f t="shared" si="0"/>
        <v>Primary</v>
      </c>
      <c r="E25" t="s">
        <v>1856</v>
      </c>
      <c r="F25" t="s">
        <v>1857</v>
      </c>
    </row>
    <row r="26" spans="1:6" x14ac:dyDescent="0.25">
      <c r="A26" t="s">
        <v>1873</v>
      </c>
      <c r="B26">
        <v>13</v>
      </c>
      <c r="C26" t="s">
        <v>1855</v>
      </c>
      <c r="D26" t="str">
        <f t="shared" si="0"/>
        <v>Primary</v>
      </c>
      <c r="E26" t="s">
        <v>1856</v>
      </c>
      <c r="F26" t="s">
        <v>1857</v>
      </c>
    </row>
    <row r="27" spans="1:6" x14ac:dyDescent="0.25">
      <c r="A27" t="s">
        <v>1874</v>
      </c>
      <c r="B27">
        <v>13</v>
      </c>
      <c r="C27" t="s">
        <v>1855</v>
      </c>
      <c r="D27" t="str">
        <f t="shared" si="0"/>
        <v>Primary</v>
      </c>
      <c r="E27" t="s">
        <v>1856</v>
      </c>
      <c r="F27" t="s">
        <v>1857</v>
      </c>
    </row>
    <row r="28" spans="1:6" x14ac:dyDescent="0.25">
      <c r="A28" t="s">
        <v>1875</v>
      </c>
      <c r="B28">
        <v>13</v>
      </c>
      <c r="C28" t="s">
        <v>1855</v>
      </c>
      <c r="D28" t="str">
        <f t="shared" si="0"/>
        <v>Primary</v>
      </c>
      <c r="E28" t="s">
        <v>1856</v>
      </c>
      <c r="F28" t="s">
        <v>1857</v>
      </c>
    </row>
    <row r="29" spans="1:6" x14ac:dyDescent="0.25">
      <c r="A29" t="s">
        <v>1876</v>
      </c>
      <c r="B29">
        <v>12</v>
      </c>
      <c r="C29" t="s">
        <v>1840</v>
      </c>
      <c r="D29" t="str">
        <f t="shared" si="0"/>
        <v>Remedial</v>
      </c>
      <c r="E29" t="s">
        <v>1841</v>
      </c>
      <c r="F29" t="s">
        <v>1842</v>
      </c>
    </row>
    <row r="30" spans="1:6" x14ac:dyDescent="0.25">
      <c r="A30" t="s">
        <v>1877</v>
      </c>
      <c r="B30">
        <v>12</v>
      </c>
      <c r="C30" t="s">
        <v>1840</v>
      </c>
      <c r="D30" t="str">
        <f t="shared" si="0"/>
        <v>Remedial</v>
      </c>
      <c r="E30" t="s">
        <v>1845</v>
      </c>
      <c r="F30" t="s">
        <v>1846</v>
      </c>
    </row>
    <row r="31" spans="1:6" x14ac:dyDescent="0.25">
      <c r="A31" t="s">
        <v>1878</v>
      </c>
      <c r="B31">
        <v>13</v>
      </c>
      <c r="C31" t="s">
        <v>1855</v>
      </c>
      <c r="D31" t="str">
        <f t="shared" si="0"/>
        <v>Primary</v>
      </c>
      <c r="E31" t="s">
        <v>1856</v>
      </c>
      <c r="F31" t="s">
        <v>1857</v>
      </c>
    </row>
    <row r="32" spans="1:6" x14ac:dyDescent="0.25">
      <c r="A32" t="s">
        <v>1879</v>
      </c>
      <c r="B32">
        <v>13</v>
      </c>
      <c r="C32" t="s">
        <v>1855</v>
      </c>
      <c r="D32" t="str">
        <f t="shared" si="0"/>
        <v>Primary</v>
      </c>
      <c r="E32" t="s">
        <v>1856</v>
      </c>
      <c r="F32" t="s">
        <v>1857</v>
      </c>
    </row>
    <row r="33" spans="1:6" x14ac:dyDescent="0.25">
      <c r="A33" t="s">
        <v>1880</v>
      </c>
      <c r="B33">
        <v>13</v>
      </c>
      <c r="C33" t="s">
        <v>1855</v>
      </c>
      <c r="D33" t="str">
        <f t="shared" si="0"/>
        <v>Primary</v>
      </c>
      <c r="E33" t="s">
        <v>1856</v>
      </c>
      <c r="F33" t="s">
        <v>1857</v>
      </c>
    </row>
    <row r="34" spans="1:6" x14ac:dyDescent="0.25">
      <c r="A34" t="s">
        <v>1881</v>
      </c>
      <c r="B34">
        <v>13</v>
      </c>
      <c r="C34" t="s">
        <v>1855</v>
      </c>
      <c r="D34" t="str">
        <f t="shared" si="0"/>
        <v>Primary</v>
      </c>
      <c r="E34" t="s">
        <v>1863</v>
      </c>
      <c r="F34" t="s">
        <v>1864</v>
      </c>
    </row>
    <row r="35" spans="1:6" x14ac:dyDescent="0.25">
      <c r="A35" t="s">
        <v>1882</v>
      </c>
      <c r="B35">
        <v>12</v>
      </c>
      <c r="C35" t="s">
        <v>1840</v>
      </c>
      <c r="D35" t="str">
        <f t="shared" si="0"/>
        <v>Remedial</v>
      </c>
      <c r="E35" t="s">
        <v>1863</v>
      </c>
      <c r="F35" t="s">
        <v>1864</v>
      </c>
    </row>
    <row r="36" spans="1:6" x14ac:dyDescent="0.25">
      <c r="A36" t="s">
        <v>1883</v>
      </c>
      <c r="B36">
        <v>13</v>
      </c>
      <c r="C36" t="s">
        <v>1855</v>
      </c>
      <c r="D36" t="str">
        <f t="shared" si="0"/>
        <v>Primary</v>
      </c>
      <c r="E36" t="s">
        <v>1856</v>
      </c>
      <c r="F36" t="s">
        <v>1857</v>
      </c>
    </row>
    <row r="37" spans="1:6" x14ac:dyDescent="0.25">
      <c r="A37" t="s">
        <v>1884</v>
      </c>
      <c r="B37">
        <v>12</v>
      </c>
      <c r="C37" t="s">
        <v>1840</v>
      </c>
      <c r="D37" t="str">
        <f t="shared" si="0"/>
        <v>Remedial</v>
      </c>
      <c r="E37" t="s">
        <v>1841</v>
      </c>
      <c r="F37" t="s">
        <v>1842</v>
      </c>
    </row>
    <row r="38" spans="1:6" x14ac:dyDescent="0.25">
      <c r="A38" t="s">
        <v>1885</v>
      </c>
      <c r="B38">
        <v>12</v>
      </c>
      <c r="C38" t="s">
        <v>1840</v>
      </c>
      <c r="D38" t="str">
        <f t="shared" si="0"/>
        <v>Remedial</v>
      </c>
      <c r="E38" t="s">
        <v>1845</v>
      </c>
      <c r="F38" t="s">
        <v>1846</v>
      </c>
    </row>
    <row r="39" spans="1:6" x14ac:dyDescent="0.25">
      <c r="A39" t="s">
        <v>1886</v>
      </c>
      <c r="B39">
        <v>12</v>
      </c>
      <c r="C39" t="s">
        <v>1840</v>
      </c>
      <c r="D39" t="str">
        <f t="shared" si="0"/>
        <v>Remedial</v>
      </c>
      <c r="E39" t="s">
        <v>1841</v>
      </c>
      <c r="F39" t="s">
        <v>1842</v>
      </c>
    </row>
    <row r="40" spans="1:6" x14ac:dyDescent="0.25">
      <c r="A40" t="s">
        <v>1887</v>
      </c>
      <c r="B40">
        <v>12</v>
      </c>
      <c r="C40" t="s">
        <v>1840</v>
      </c>
      <c r="D40" t="str">
        <f t="shared" si="0"/>
        <v>Remedial</v>
      </c>
      <c r="E40" t="s">
        <v>1841</v>
      </c>
      <c r="F40" t="s">
        <v>1842</v>
      </c>
    </row>
    <row r="41" spans="1:6" x14ac:dyDescent="0.25">
      <c r="A41" t="s">
        <v>1888</v>
      </c>
      <c r="B41">
        <v>12</v>
      </c>
      <c r="C41" t="s">
        <v>1840</v>
      </c>
      <c r="D41" t="str">
        <f t="shared" si="0"/>
        <v>Remedial</v>
      </c>
      <c r="E41" t="s">
        <v>1841</v>
      </c>
      <c r="F41" t="s">
        <v>1842</v>
      </c>
    </row>
    <row r="42" spans="1:6" x14ac:dyDescent="0.25">
      <c r="A42" t="s">
        <v>1889</v>
      </c>
      <c r="B42">
        <v>12</v>
      </c>
      <c r="C42" t="s">
        <v>1840</v>
      </c>
      <c r="D42" t="str">
        <f t="shared" si="0"/>
        <v>Remedial</v>
      </c>
      <c r="E42" t="s">
        <v>1845</v>
      </c>
      <c r="F42" t="s">
        <v>1846</v>
      </c>
    </row>
    <row r="43" spans="1:6" x14ac:dyDescent="0.25">
      <c r="A43" t="s">
        <v>1890</v>
      </c>
      <c r="B43">
        <v>13</v>
      </c>
      <c r="C43" t="s">
        <v>1855</v>
      </c>
      <c r="D43" t="str">
        <f t="shared" si="0"/>
        <v>Primary</v>
      </c>
      <c r="E43" t="s">
        <v>1863</v>
      </c>
      <c r="F43" t="s">
        <v>1864</v>
      </c>
    </row>
    <row r="44" spans="1:6" x14ac:dyDescent="0.25">
      <c r="A44" t="s">
        <v>1891</v>
      </c>
      <c r="B44">
        <v>12</v>
      </c>
      <c r="C44" t="s">
        <v>1840</v>
      </c>
      <c r="D44" t="str">
        <f t="shared" si="0"/>
        <v>Remedial</v>
      </c>
      <c r="E44" t="s">
        <v>1863</v>
      </c>
      <c r="F44" t="s">
        <v>1864</v>
      </c>
    </row>
    <row r="45" spans="1:6" x14ac:dyDescent="0.25">
      <c r="A45" t="s">
        <v>1892</v>
      </c>
      <c r="B45">
        <v>12</v>
      </c>
      <c r="C45" t="s">
        <v>1840</v>
      </c>
      <c r="D45" t="str">
        <f t="shared" si="0"/>
        <v>Remedial</v>
      </c>
      <c r="E45" t="s">
        <v>1863</v>
      </c>
      <c r="F45" t="s">
        <v>1864</v>
      </c>
    </row>
    <row r="46" spans="1:6" x14ac:dyDescent="0.25">
      <c r="A46" t="s">
        <v>1893</v>
      </c>
      <c r="B46">
        <v>13</v>
      </c>
      <c r="C46" t="s">
        <v>1855</v>
      </c>
      <c r="D46" t="str">
        <f t="shared" si="0"/>
        <v>Primary</v>
      </c>
      <c r="E46" t="s">
        <v>1856</v>
      </c>
      <c r="F46" t="s">
        <v>1857</v>
      </c>
    </row>
    <row r="47" spans="1:6" x14ac:dyDescent="0.25">
      <c r="A47" t="s">
        <v>1894</v>
      </c>
      <c r="B47">
        <v>13</v>
      </c>
      <c r="C47" t="s">
        <v>1855</v>
      </c>
      <c r="D47" t="str">
        <f t="shared" si="0"/>
        <v>Primary</v>
      </c>
      <c r="E47" t="s">
        <v>1856</v>
      </c>
      <c r="F47" t="s">
        <v>1857</v>
      </c>
    </row>
    <row r="48" spans="1:6" x14ac:dyDescent="0.25">
      <c r="A48" t="s">
        <v>1895</v>
      </c>
      <c r="B48">
        <v>13</v>
      </c>
      <c r="C48" t="s">
        <v>1855</v>
      </c>
      <c r="D48" t="str">
        <f t="shared" si="0"/>
        <v>Primary</v>
      </c>
      <c r="E48" t="s">
        <v>1856</v>
      </c>
      <c r="F48" t="s">
        <v>1857</v>
      </c>
    </row>
    <row r="49" spans="1:6" x14ac:dyDescent="0.25">
      <c r="A49" t="s">
        <v>1896</v>
      </c>
      <c r="B49">
        <v>13</v>
      </c>
      <c r="C49" t="s">
        <v>1855</v>
      </c>
      <c r="D49" t="str">
        <f t="shared" si="0"/>
        <v>Primary</v>
      </c>
      <c r="E49" t="s">
        <v>1856</v>
      </c>
      <c r="F49" t="s">
        <v>1857</v>
      </c>
    </row>
    <row r="50" spans="1:6" x14ac:dyDescent="0.25">
      <c r="A50" t="s">
        <v>1897</v>
      </c>
      <c r="B50">
        <v>13</v>
      </c>
      <c r="C50" t="s">
        <v>1855</v>
      </c>
      <c r="D50" t="str">
        <f t="shared" si="0"/>
        <v>Primary</v>
      </c>
      <c r="E50" t="s">
        <v>1856</v>
      </c>
      <c r="F50" t="s">
        <v>1857</v>
      </c>
    </row>
    <row r="51" spans="1:6" x14ac:dyDescent="0.25">
      <c r="A51" t="s">
        <v>1898</v>
      </c>
      <c r="B51">
        <v>13</v>
      </c>
      <c r="C51" t="s">
        <v>1855</v>
      </c>
      <c r="D51" t="str">
        <f t="shared" si="0"/>
        <v>Primary</v>
      </c>
      <c r="E51" t="s">
        <v>1856</v>
      </c>
      <c r="F51" t="s">
        <v>1857</v>
      </c>
    </row>
    <row r="52" spans="1:6" x14ac:dyDescent="0.25">
      <c r="A52" t="s">
        <v>1899</v>
      </c>
      <c r="B52">
        <v>13</v>
      </c>
      <c r="C52" t="s">
        <v>1855</v>
      </c>
      <c r="D52" t="str">
        <f t="shared" si="0"/>
        <v>Primary</v>
      </c>
      <c r="E52" t="s">
        <v>1856</v>
      </c>
      <c r="F52" t="s">
        <v>1857</v>
      </c>
    </row>
    <row r="53" spans="1:6" x14ac:dyDescent="0.25">
      <c r="A53" t="s">
        <v>1900</v>
      </c>
      <c r="B53">
        <v>13</v>
      </c>
      <c r="C53" t="s">
        <v>1855</v>
      </c>
      <c r="D53" t="str">
        <f t="shared" si="0"/>
        <v>Primary</v>
      </c>
      <c r="E53" t="s">
        <v>1856</v>
      </c>
      <c r="F53" t="s">
        <v>1857</v>
      </c>
    </row>
    <row r="54" spans="1:6" x14ac:dyDescent="0.25">
      <c r="A54" t="s">
        <v>1901</v>
      </c>
      <c r="B54">
        <v>12</v>
      </c>
      <c r="C54" t="s">
        <v>1840</v>
      </c>
      <c r="D54" t="str">
        <f t="shared" si="0"/>
        <v>Remedial</v>
      </c>
      <c r="E54" t="s">
        <v>1841</v>
      </c>
      <c r="F54" t="s">
        <v>1842</v>
      </c>
    </row>
    <row r="55" spans="1:6" x14ac:dyDescent="0.25">
      <c r="A55" t="s">
        <v>1902</v>
      </c>
      <c r="B55">
        <v>12</v>
      </c>
      <c r="C55" t="s">
        <v>1840</v>
      </c>
      <c r="D55" t="str">
        <f t="shared" si="0"/>
        <v>Remedial</v>
      </c>
      <c r="E55" t="s">
        <v>1841</v>
      </c>
      <c r="F55" t="s">
        <v>1842</v>
      </c>
    </row>
    <row r="56" spans="1:6" x14ac:dyDescent="0.25">
      <c r="A56" t="s">
        <v>1903</v>
      </c>
      <c r="B56">
        <v>12</v>
      </c>
      <c r="C56" t="s">
        <v>1840</v>
      </c>
      <c r="D56" t="str">
        <f t="shared" si="0"/>
        <v>Remedial</v>
      </c>
      <c r="E56" t="s">
        <v>1845</v>
      </c>
      <c r="F56" t="s">
        <v>1846</v>
      </c>
    </row>
    <row r="57" spans="1:6" x14ac:dyDescent="0.25">
      <c r="A57" t="s">
        <v>1904</v>
      </c>
      <c r="B57">
        <v>12</v>
      </c>
      <c r="C57" t="s">
        <v>1840</v>
      </c>
      <c r="D57" t="str">
        <f t="shared" si="0"/>
        <v>Remedial</v>
      </c>
      <c r="E57" t="s">
        <v>1841</v>
      </c>
      <c r="F57" t="s">
        <v>1842</v>
      </c>
    </row>
    <row r="58" spans="1:6" x14ac:dyDescent="0.25">
      <c r="A58" t="s">
        <v>1905</v>
      </c>
      <c r="B58">
        <v>12</v>
      </c>
      <c r="C58" t="s">
        <v>1840</v>
      </c>
      <c r="D58" t="str">
        <f t="shared" si="0"/>
        <v>Remedial</v>
      </c>
      <c r="E58" t="s">
        <v>1863</v>
      </c>
      <c r="F58" t="s">
        <v>1864</v>
      </c>
    </row>
    <row r="59" spans="1:6" x14ac:dyDescent="0.25">
      <c r="A59" t="s">
        <v>1906</v>
      </c>
      <c r="B59">
        <v>12</v>
      </c>
      <c r="C59" t="s">
        <v>1840</v>
      </c>
      <c r="D59" t="str">
        <f t="shared" si="0"/>
        <v>Remedial</v>
      </c>
      <c r="E59" t="s">
        <v>1863</v>
      </c>
      <c r="F59" t="s">
        <v>1864</v>
      </c>
    </row>
    <row r="60" spans="1:6" x14ac:dyDescent="0.25">
      <c r="A60" t="s">
        <v>1907</v>
      </c>
      <c r="B60">
        <v>12</v>
      </c>
      <c r="C60" t="s">
        <v>1840</v>
      </c>
      <c r="D60" t="str">
        <f t="shared" si="0"/>
        <v>Remedial</v>
      </c>
      <c r="E60" t="s">
        <v>1845</v>
      </c>
      <c r="F60" t="s">
        <v>1846</v>
      </c>
    </row>
    <row r="61" spans="1:6" x14ac:dyDescent="0.25">
      <c r="A61" t="s">
        <v>1908</v>
      </c>
      <c r="B61">
        <v>12</v>
      </c>
      <c r="C61" t="s">
        <v>1840</v>
      </c>
      <c r="D61" t="str">
        <f t="shared" si="0"/>
        <v>Remedial</v>
      </c>
      <c r="E61" t="s">
        <v>1841</v>
      </c>
      <c r="F61" t="s">
        <v>1842</v>
      </c>
    </row>
    <row r="62" spans="1:6" x14ac:dyDescent="0.25">
      <c r="A62" t="s">
        <v>1909</v>
      </c>
      <c r="B62">
        <v>12</v>
      </c>
      <c r="C62" t="s">
        <v>1840</v>
      </c>
      <c r="D62" t="str">
        <f t="shared" si="0"/>
        <v>Remedial</v>
      </c>
      <c r="E62" t="s">
        <v>1841</v>
      </c>
      <c r="F62" t="s">
        <v>1842</v>
      </c>
    </row>
    <row r="63" spans="1:6" x14ac:dyDescent="0.25">
      <c r="A63" t="s">
        <v>1910</v>
      </c>
      <c r="B63">
        <v>12</v>
      </c>
      <c r="C63" t="s">
        <v>1840</v>
      </c>
      <c r="D63" t="str">
        <f t="shared" si="0"/>
        <v>Remedial</v>
      </c>
      <c r="E63" t="s">
        <v>1841</v>
      </c>
      <c r="F63" t="s">
        <v>1842</v>
      </c>
    </row>
    <row r="64" spans="1:6" x14ac:dyDescent="0.25">
      <c r="A64" t="s">
        <v>1913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2:B17"/>
  <sheetViews>
    <sheetView workbookViewId="0">
      <selection activeCell="B18" sqref="B18"/>
    </sheetView>
  </sheetViews>
  <sheetFormatPr defaultRowHeight="15" x14ac:dyDescent="0.25"/>
  <cols>
    <col min="1" max="1" width="13.42578125" style="1" customWidth="1"/>
    <col min="2" max="2" width="68.42578125" customWidth="1"/>
  </cols>
  <sheetData>
    <row r="2" spans="1:2" x14ac:dyDescent="0.25">
      <c r="A2" s="1" t="s">
        <v>511</v>
      </c>
      <c r="B2" t="s">
        <v>601</v>
      </c>
    </row>
    <row r="3" spans="1:2" x14ac:dyDescent="0.25">
      <c r="A3" s="229">
        <v>42675</v>
      </c>
      <c r="B3" t="s">
        <v>603</v>
      </c>
    </row>
    <row r="4" spans="1:2" x14ac:dyDescent="0.25">
      <c r="A4" s="229">
        <v>42675</v>
      </c>
      <c r="B4" t="s">
        <v>602</v>
      </c>
    </row>
    <row r="5" spans="1:2" x14ac:dyDescent="0.25">
      <c r="A5" s="229">
        <v>42678</v>
      </c>
      <c r="B5" t="s">
        <v>604</v>
      </c>
    </row>
    <row r="6" spans="1:2" x14ac:dyDescent="0.25">
      <c r="A6" s="229">
        <v>42678</v>
      </c>
      <c r="B6" t="s">
        <v>605</v>
      </c>
    </row>
    <row r="7" spans="1:2" x14ac:dyDescent="0.25">
      <c r="A7" s="229">
        <v>42688</v>
      </c>
      <c r="B7" t="s">
        <v>609</v>
      </c>
    </row>
    <row r="8" spans="1:2" x14ac:dyDescent="0.25">
      <c r="A8" s="229">
        <v>42703</v>
      </c>
      <c r="B8" t="s">
        <v>610</v>
      </c>
    </row>
    <row r="9" spans="1:2" x14ac:dyDescent="0.25">
      <c r="A9" s="229">
        <v>42703</v>
      </c>
      <c r="B9" t="s">
        <v>611</v>
      </c>
    </row>
    <row r="10" spans="1:2" x14ac:dyDescent="0.25">
      <c r="A10" s="229">
        <v>42705</v>
      </c>
      <c r="B10" t="s">
        <v>612</v>
      </c>
    </row>
    <row r="11" spans="1:2" x14ac:dyDescent="0.25">
      <c r="A11" s="229">
        <v>42712</v>
      </c>
      <c r="B11" t="s">
        <v>1762</v>
      </c>
    </row>
    <row r="12" spans="1:2" x14ac:dyDescent="0.25">
      <c r="A12" s="229">
        <v>42712</v>
      </c>
      <c r="B12" t="s">
        <v>1763</v>
      </c>
    </row>
    <row r="13" spans="1:2" x14ac:dyDescent="0.25">
      <c r="A13" s="229">
        <v>42748</v>
      </c>
      <c r="B13" t="s">
        <v>1765</v>
      </c>
    </row>
    <row r="14" spans="1:2" x14ac:dyDescent="0.25">
      <c r="A14" s="229">
        <v>42748</v>
      </c>
      <c r="B14" t="s">
        <v>1768</v>
      </c>
    </row>
    <row r="15" spans="1:2" x14ac:dyDescent="0.25">
      <c r="A15" s="229">
        <v>42759</v>
      </c>
      <c r="B15" t="s">
        <v>1773</v>
      </c>
    </row>
    <row r="16" spans="1:2" x14ac:dyDescent="0.25">
      <c r="A16" s="229">
        <v>42774</v>
      </c>
      <c r="B16" t="s">
        <v>1777</v>
      </c>
    </row>
    <row r="17" spans="1:2" x14ac:dyDescent="0.25">
      <c r="A17" s="229">
        <v>42809</v>
      </c>
      <c r="B17" t="s">
        <v>1781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Z391"/>
  <sheetViews>
    <sheetView workbookViewId="0">
      <selection activeCell="P36" sqref="P36"/>
    </sheetView>
  </sheetViews>
  <sheetFormatPr defaultRowHeight="15" x14ac:dyDescent="0.25"/>
  <cols>
    <col min="2" max="2" width="47.140625" bestFit="1" customWidth="1"/>
    <col min="23" max="23" width="12" customWidth="1"/>
    <col min="24" max="24" width="26.140625" bestFit="1" customWidth="1"/>
  </cols>
  <sheetData>
    <row r="1" spans="1:26" x14ac:dyDescent="0.25">
      <c r="A1" t="s">
        <v>616</v>
      </c>
      <c r="B1" t="s">
        <v>617</v>
      </c>
      <c r="C1" t="s">
        <v>618</v>
      </c>
      <c r="D1" t="s">
        <v>619</v>
      </c>
      <c r="E1" t="s">
        <v>620</v>
      </c>
      <c r="F1" t="s">
        <v>621</v>
      </c>
      <c r="G1" t="s">
        <v>622</v>
      </c>
      <c r="H1" t="s">
        <v>623</v>
      </c>
      <c r="I1" t="s">
        <v>624</v>
      </c>
      <c r="J1" t="s">
        <v>625</v>
      </c>
      <c r="K1" t="s">
        <v>626</v>
      </c>
      <c r="L1" t="s">
        <v>627</v>
      </c>
      <c r="M1" t="s">
        <v>628</v>
      </c>
      <c r="N1" t="s">
        <v>629</v>
      </c>
      <c r="O1" t="s">
        <v>630</v>
      </c>
      <c r="P1" t="s">
        <v>631</v>
      </c>
      <c r="Q1" t="s">
        <v>632</v>
      </c>
      <c r="R1" t="s">
        <v>633</v>
      </c>
      <c r="S1" t="s">
        <v>634</v>
      </c>
      <c r="T1" t="s">
        <v>635</v>
      </c>
      <c r="U1" t="s">
        <v>636</v>
      </c>
      <c r="V1" t="s">
        <v>637</v>
      </c>
      <c r="W1" t="s">
        <v>638</v>
      </c>
      <c r="X1" t="s">
        <v>639</v>
      </c>
      <c r="Y1" t="s">
        <v>640</v>
      </c>
      <c r="Z1" t="s">
        <v>641</v>
      </c>
    </row>
    <row r="2" spans="1:26" x14ac:dyDescent="0.25">
      <c r="A2">
        <v>10287</v>
      </c>
      <c r="B2" t="s">
        <v>642</v>
      </c>
      <c r="C2" t="s">
        <v>643</v>
      </c>
      <c r="G2" t="s">
        <v>644</v>
      </c>
      <c r="H2" t="s">
        <v>645</v>
      </c>
      <c r="I2">
        <v>1</v>
      </c>
      <c r="J2" t="s">
        <v>643</v>
      </c>
      <c r="N2" t="s">
        <v>644</v>
      </c>
      <c r="O2" t="s">
        <v>645</v>
      </c>
      <c r="P2">
        <v>1</v>
      </c>
      <c r="R2">
        <v>8</v>
      </c>
      <c r="S2">
        <v>0</v>
      </c>
      <c r="U2" t="s">
        <v>646</v>
      </c>
      <c r="V2">
        <v>3</v>
      </c>
      <c r="W2" s="232">
        <v>36892</v>
      </c>
      <c r="X2" s="232">
        <v>36525</v>
      </c>
      <c r="Y2">
        <v>1</v>
      </c>
      <c r="Z2">
        <v>1</v>
      </c>
    </row>
    <row r="3" spans="1:26" x14ac:dyDescent="0.25">
      <c r="A3">
        <v>10365</v>
      </c>
      <c r="B3" t="s">
        <v>647</v>
      </c>
      <c r="C3" t="s">
        <v>648</v>
      </c>
      <c r="G3" t="s">
        <v>644</v>
      </c>
      <c r="H3" t="s">
        <v>649</v>
      </c>
      <c r="I3">
        <v>1</v>
      </c>
      <c r="J3" t="s">
        <v>648</v>
      </c>
      <c r="N3" t="s">
        <v>644</v>
      </c>
      <c r="O3" t="s">
        <v>649</v>
      </c>
      <c r="P3">
        <v>1</v>
      </c>
      <c r="R3">
        <v>6</v>
      </c>
      <c r="S3">
        <v>0</v>
      </c>
      <c r="U3" t="s">
        <v>650</v>
      </c>
      <c r="V3">
        <v>3</v>
      </c>
      <c r="W3" s="232">
        <v>36892</v>
      </c>
      <c r="X3" s="232">
        <v>36525</v>
      </c>
      <c r="Y3">
        <v>1</v>
      </c>
      <c r="Z3">
        <v>1</v>
      </c>
    </row>
    <row r="4" spans="1:26" x14ac:dyDescent="0.25">
      <c r="A4">
        <v>10471</v>
      </c>
      <c r="B4" t="s">
        <v>651</v>
      </c>
      <c r="C4" t="s">
        <v>652</v>
      </c>
      <c r="G4" t="s">
        <v>644</v>
      </c>
      <c r="H4" t="s">
        <v>653</v>
      </c>
      <c r="I4">
        <v>1</v>
      </c>
      <c r="J4" t="s">
        <v>652</v>
      </c>
      <c r="N4" t="s">
        <v>644</v>
      </c>
      <c r="O4" t="s">
        <v>653</v>
      </c>
      <c r="P4">
        <v>1</v>
      </c>
      <c r="R4">
        <v>9</v>
      </c>
      <c r="S4">
        <v>0</v>
      </c>
      <c r="U4" t="s">
        <v>650</v>
      </c>
      <c r="V4">
        <v>3</v>
      </c>
      <c r="W4" s="232">
        <v>36892</v>
      </c>
      <c r="X4" s="232">
        <v>36525</v>
      </c>
      <c r="Y4">
        <v>0</v>
      </c>
      <c r="Z4">
        <v>1</v>
      </c>
    </row>
    <row r="5" spans="1:26" x14ac:dyDescent="0.25">
      <c r="A5">
        <v>4523</v>
      </c>
      <c r="B5" t="s">
        <v>654</v>
      </c>
      <c r="C5" t="s">
        <v>655</v>
      </c>
      <c r="G5" t="s">
        <v>644</v>
      </c>
      <c r="H5" t="s">
        <v>656</v>
      </c>
      <c r="I5">
        <v>1</v>
      </c>
      <c r="J5" t="s">
        <v>655</v>
      </c>
      <c r="N5" t="s">
        <v>644</v>
      </c>
      <c r="O5" t="s">
        <v>656</v>
      </c>
      <c r="P5">
        <v>1</v>
      </c>
      <c r="R5">
        <v>4</v>
      </c>
      <c r="S5">
        <v>0</v>
      </c>
      <c r="U5" t="s">
        <v>650</v>
      </c>
      <c r="V5">
        <v>3</v>
      </c>
      <c r="W5" s="232">
        <v>36892</v>
      </c>
      <c r="X5" s="232">
        <v>36525</v>
      </c>
      <c r="Y5">
        <v>0</v>
      </c>
      <c r="Z5">
        <v>1</v>
      </c>
    </row>
    <row r="6" spans="1:26" x14ac:dyDescent="0.25">
      <c r="A6">
        <v>30075</v>
      </c>
      <c r="B6" t="s">
        <v>657</v>
      </c>
      <c r="C6" t="s">
        <v>658</v>
      </c>
      <c r="G6" t="s">
        <v>644</v>
      </c>
      <c r="H6" t="s">
        <v>659</v>
      </c>
      <c r="I6">
        <v>1</v>
      </c>
      <c r="J6" t="s">
        <v>658</v>
      </c>
      <c r="N6" t="s">
        <v>644</v>
      </c>
      <c r="O6" t="s">
        <v>659</v>
      </c>
      <c r="P6">
        <v>1</v>
      </c>
      <c r="R6">
        <v>2</v>
      </c>
      <c r="S6">
        <v>29747</v>
      </c>
      <c r="T6" t="s">
        <v>660</v>
      </c>
      <c r="U6" t="s">
        <v>661</v>
      </c>
      <c r="V6">
        <v>3</v>
      </c>
      <c r="W6" s="232">
        <v>36892</v>
      </c>
      <c r="X6" s="232">
        <v>36525</v>
      </c>
      <c r="Y6">
        <v>0</v>
      </c>
      <c r="Z6">
        <v>1</v>
      </c>
    </row>
    <row r="7" spans="1:26" x14ac:dyDescent="0.25">
      <c r="A7">
        <v>1084</v>
      </c>
      <c r="B7" t="s">
        <v>662</v>
      </c>
      <c r="C7" t="s">
        <v>663</v>
      </c>
      <c r="G7" t="s">
        <v>644</v>
      </c>
      <c r="H7" t="s">
        <v>664</v>
      </c>
      <c r="I7">
        <v>1</v>
      </c>
      <c r="J7" t="s">
        <v>663</v>
      </c>
      <c r="N7" t="s">
        <v>644</v>
      </c>
      <c r="O7" t="s">
        <v>664</v>
      </c>
      <c r="P7">
        <v>1</v>
      </c>
      <c r="R7">
        <v>8</v>
      </c>
      <c r="S7">
        <v>0</v>
      </c>
      <c r="U7" t="s">
        <v>665</v>
      </c>
      <c r="V7">
        <v>3</v>
      </c>
      <c r="W7" s="232">
        <v>36892</v>
      </c>
      <c r="X7" s="232">
        <v>36525</v>
      </c>
      <c r="Y7">
        <v>0</v>
      </c>
      <c r="Z7">
        <v>1</v>
      </c>
    </row>
    <row r="8" spans="1:26" x14ac:dyDescent="0.25">
      <c r="A8">
        <v>30076</v>
      </c>
      <c r="B8" t="s">
        <v>666</v>
      </c>
      <c r="I8">
        <v>1</v>
      </c>
      <c r="P8">
        <v>1</v>
      </c>
      <c r="R8">
        <v>1</v>
      </c>
      <c r="S8">
        <v>29747</v>
      </c>
      <c r="T8" t="s">
        <v>660</v>
      </c>
      <c r="U8" t="s">
        <v>667</v>
      </c>
      <c r="V8">
        <v>3</v>
      </c>
      <c r="W8" s="232">
        <v>36892</v>
      </c>
      <c r="X8" s="232">
        <v>36525</v>
      </c>
      <c r="Y8">
        <v>0</v>
      </c>
      <c r="Z8">
        <v>1</v>
      </c>
    </row>
    <row r="9" spans="1:26" x14ac:dyDescent="0.25">
      <c r="A9">
        <v>3834</v>
      </c>
      <c r="B9" t="s">
        <v>668</v>
      </c>
      <c r="C9" t="s">
        <v>669</v>
      </c>
      <c r="G9" t="s">
        <v>644</v>
      </c>
      <c r="H9" t="s">
        <v>649</v>
      </c>
      <c r="I9">
        <v>1</v>
      </c>
      <c r="J9" t="s">
        <v>669</v>
      </c>
      <c r="N9" t="s">
        <v>644</v>
      </c>
      <c r="O9" t="s">
        <v>649</v>
      </c>
      <c r="P9">
        <v>1</v>
      </c>
      <c r="Q9">
        <v>1285</v>
      </c>
      <c r="R9">
        <v>3</v>
      </c>
      <c r="S9">
        <v>0</v>
      </c>
      <c r="U9" t="s">
        <v>650</v>
      </c>
      <c r="V9">
        <v>3</v>
      </c>
      <c r="W9" s="232">
        <v>36892</v>
      </c>
      <c r="X9" s="232">
        <v>36525</v>
      </c>
      <c r="Y9">
        <v>0</v>
      </c>
      <c r="Z9">
        <v>1</v>
      </c>
    </row>
    <row r="10" spans="1:26" x14ac:dyDescent="0.25">
      <c r="A10">
        <v>10361</v>
      </c>
      <c r="B10" t="s">
        <v>670</v>
      </c>
      <c r="C10" t="s">
        <v>671</v>
      </c>
      <c r="G10" t="s">
        <v>644</v>
      </c>
      <c r="H10" t="s">
        <v>672</v>
      </c>
      <c r="I10">
        <v>1</v>
      </c>
      <c r="J10" t="s">
        <v>671</v>
      </c>
      <c r="N10" t="s">
        <v>644</v>
      </c>
      <c r="O10" t="s">
        <v>672</v>
      </c>
      <c r="P10">
        <v>1</v>
      </c>
      <c r="R10">
        <v>11</v>
      </c>
      <c r="S10">
        <v>29747</v>
      </c>
      <c r="T10" t="s">
        <v>660</v>
      </c>
      <c r="U10" t="s">
        <v>673</v>
      </c>
      <c r="V10">
        <v>3</v>
      </c>
      <c r="W10" s="232">
        <v>36892</v>
      </c>
      <c r="X10" s="232">
        <v>36525</v>
      </c>
      <c r="Y10">
        <v>1</v>
      </c>
      <c r="Z10">
        <v>1</v>
      </c>
    </row>
    <row r="11" spans="1:26" x14ac:dyDescent="0.25">
      <c r="A11">
        <v>1040</v>
      </c>
      <c r="B11" t="s">
        <v>674</v>
      </c>
      <c r="C11" t="s">
        <v>675</v>
      </c>
      <c r="G11" t="s">
        <v>676</v>
      </c>
      <c r="H11" t="s">
        <v>677</v>
      </c>
      <c r="I11">
        <v>12</v>
      </c>
      <c r="J11" t="s">
        <v>675</v>
      </c>
      <c r="N11" t="s">
        <v>676</v>
      </c>
      <c r="O11" t="s">
        <v>677</v>
      </c>
      <c r="P11">
        <v>12</v>
      </c>
      <c r="R11">
        <v>6</v>
      </c>
      <c r="S11">
        <v>0</v>
      </c>
      <c r="U11" t="s">
        <v>650</v>
      </c>
      <c r="V11">
        <v>3</v>
      </c>
      <c r="W11" s="232">
        <v>36892</v>
      </c>
      <c r="X11" s="232">
        <v>36525</v>
      </c>
      <c r="Y11">
        <v>0</v>
      </c>
      <c r="Z11">
        <v>1</v>
      </c>
    </row>
    <row r="12" spans="1:26" x14ac:dyDescent="0.25">
      <c r="A12">
        <v>30177</v>
      </c>
      <c r="B12" t="s">
        <v>678</v>
      </c>
      <c r="C12" t="s">
        <v>679</v>
      </c>
      <c r="G12" t="s">
        <v>213</v>
      </c>
      <c r="H12" t="s">
        <v>680</v>
      </c>
      <c r="I12">
        <v>12</v>
      </c>
      <c r="J12" t="s">
        <v>679</v>
      </c>
      <c r="K12" t="s">
        <v>213</v>
      </c>
      <c r="O12" t="s">
        <v>680</v>
      </c>
      <c r="P12">
        <v>12</v>
      </c>
      <c r="R12">
        <v>2</v>
      </c>
      <c r="S12">
        <v>29747</v>
      </c>
      <c r="T12" t="s">
        <v>660</v>
      </c>
      <c r="U12" t="s">
        <v>681</v>
      </c>
      <c r="V12">
        <v>3</v>
      </c>
      <c r="W12" s="232">
        <v>36892</v>
      </c>
      <c r="X12" s="232">
        <v>36525</v>
      </c>
      <c r="Y12">
        <v>0</v>
      </c>
      <c r="Z12">
        <v>1</v>
      </c>
    </row>
    <row r="13" spans="1:26" x14ac:dyDescent="0.25">
      <c r="A13">
        <v>10497</v>
      </c>
      <c r="B13" t="s">
        <v>682</v>
      </c>
      <c r="C13" t="s">
        <v>683</v>
      </c>
      <c r="G13" t="s">
        <v>644</v>
      </c>
      <c r="H13" t="s">
        <v>684</v>
      </c>
      <c r="I13">
        <v>1</v>
      </c>
      <c r="J13" t="s">
        <v>683</v>
      </c>
      <c r="N13" t="s">
        <v>644</v>
      </c>
      <c r="O13" t="s">
        <v>684</v>
      </c>
      <c r="P13">
        <v>1</v>
      </c>
      <c r="R13">
        <v>4</v>
      </c>
      <c r="S13">
        <v>0</v>
      </c>
      <c r="U13" t="s">
        <v>650</v>
      </c>
      <c r="V13">
        <v>3</v>
      </c>
      <c r="W13" s="232">
        <v>36892</v>
      </c>
      <c r="X13" s="232">
        <v>36525</v>
      </c>
      <c r="Y13">
        <v>1</v>
      </c>
      <c r="Z13">
        <v>1</v>
      </c>
    </row>
    <row r="14" spans="1:26" x14ac:dyDescent="0.25">
      <c r="A14">
        <v>10282</v>
      </c>
      <c r="B14" t="s">
        <v>685</v>
      </c>
      <c r="C14" t="s">
        <v>686</v>
      </c>
      <c r="G14" t="s">
        <v>687</v>
      </c>
      <c r="H14" t="s">
        <v>688</v>
      </c>
      <c r="I14">
        <v>1</v>
      </c>
      <c r="J14" t="s">
        <v>686</v>
      </c>
      <c r="N14" t="s">
        <v>687</v>
      </c>
      <c r="O14" t="s">
        <v>688</v>
      </c>
      <c r="P14">
        <v>1</v>
      </c>
      <c r="R14">
        <v>6</v>
      </c>
      <c r="S14">
        <v>0</v>
      </c>
      <c r="U14" t="s">
        <v>650</v>
      </c>
      <c r="V14">
        <v>3</v>
      </c>
      <c r="W14" s="232">
        <v>36892</v>
      </c>
      <c r="X14" s="232">
        <v>36525</v>
      </c>
      <c r="Y14">
        <v>1</v>
      </c>
      <c r="Z14">
        <v>1</v>
      </c>
    </row>
    <row r="15" spans="1:26" x14ac:dyDescent="0.25">
      <c r="A15">
        <v>1163</v>
      </c>
      <c r="B15" t="s">
        <v>689</v>
      </c>
      <c r="C15" t="s">
        <v>690</v>
      </c>
      <c r="G15" t="s">
        <v>644</v>
      </c>
      <c r="H15" t="s">
        <v>691</v>
      </c>
      <c r="I15">
        <v>1</v>
      </c>
      <c r="J15" t="s">
        <v>690</v>
      </c>
      <c r="N15" t="s">
        <v>644</v>
      </c>
      <c r="O15" t="s">
        <v>691</v>
      </c>
      <c r="P15">
        <v>1</v>
      </c>
      <c r="Q15">
        <v>1285</v>
      </c>
      <c r="R15">
        <v>8</v>
      </c>
      <c r="S15">
        <v>0</v>
      </c>
      <c r="U15" t="s">
        <v>692</v>
      </c>
      <c r="V15">
        <v>3</v>
      </c>
      <c r="W15" s="232">
        <v>36892</v>
      </c>
      <c r="X15" s="232">
        <v>36525</v>
      </c>
      <c r="Y15">
        <v>1</v>
      </c>
      <c r="Z15">
        <v>1</v>
      </c>
    </row>
    <row r="16" spans="1:26" x14ac:dyDescent="0.25">
      <c r="A16">
        <v>30207</v>
      </c>
      <c r="B16" t="s">
        <v>693</v>
      </c>
      <c r="C16" t="s">
        <v>694</v>
      </c>
      <c r="G16" t="s">
        <v>644</v>
      </c>
      <c r="H16" t="s">
        <v>695</v>
      </c>
      <c r="I16">
        <v>1</v>
      </c>
      <c r="J16" t="s">
        <v>694</v>
      </c>
      <c r="N16" t="s">
        <v>644</v>
      </c>
      <c r="O16" t="s">
        <v>695</v>
      </c>
      <c r="P16">
        <v>1</v>
      </c>
      <c r="R16">
        <v>2</v>
      </c>
      <c r="S16">
        <v>29747</v>
      </c>
      <c r="T16" t="s">
        <v>660</v>
      </c>
      <c r="U16" t="s">
        <v>696</v>
      </c>
      <c r="V16">
        <v>3</v>
      </c>
      <c r="W16" s="232">
        <v>36892</v>
      </c>
      <c r="X16" s="232">
        <v>36525</v>
      </c>
      <c r="Y16">
        <v>0</v>
      </c>
      <c r="Z16">
        <v>1</v>
      </c>
    </row>
    <row r="17" spans="1:26" x14ac:dyDescent="0.25">
      <c r="A17">
        <v>1109</v>
      </c>
      <c r="B17" t="s">
        <v>697</v>
      </c>
      <c r="C17" t="s">
        <v>698</v>
      </c>
      <c r="G17" t="s">
        <v>644</v>
      </c>
      <c r="H17" t="s">
        <v>699</v>
      </c>
      <c r="I17">
        <v>1</v>
      </c>
      <c r="J17" t="s">
        <v>698</v>
      </c>
      <c r="N17" t="s">
        <v>644</v>
      </c>
      <c r="O17" t="s">
        <v>699</v>
      </c>
      <c r="P17">
        <v>1</v>
      </c>
      <c r="R17">
        <v>10</v>
      </c>
      <c r="S17">
        <v>0</v>
      </c>
      <c r="U17" t="s">
        <v>650</v>
      </c>
      <c r="V17">
        <v>3</v>
      </c>
      <c r="W17" s="232">
        <v>36892</v>
      </c>
      <c r="X17" s="232">
        <v>36525</v>
      </c>
      <c r="Y17">
        <v>0</v>
      </c>
      <c r="Z17">
        <v>1</v>
      </c>
    </row>
    <row r="18" spans="1:26" x14ac:dyDescent="0.25">
      <c r="A18">
        <v>10269</v>
      </c>
      <c r="B18" t="s">
        <v>700</v>
      </c>
      <c r="C18" t="s">
        <v>701</v>
      </c>
      <c r="G18" t="s">
        <v>644</v>
      </c>
      <c r="H18" t="s">
        <v>659</v>
      </c>
      <c r="I18">
        <v>1</v>
      </c>
      <c r="J18" t="s">
        <v>701</v>
      </c>
      <c r="N18" t="s">
        <v>644</v>
      </c>
      <c r="O18" t="s">
        <v>659</v>
      </c>
      <c r="P18">
        <v>1</v>
      </c>
      <c r="R18">
        <v>7</v>
      </c>
      <c r="S18">
        <v>0</v>
      </c>
      <c r="U18" t="s">
        <v>650</v>
      </c>
      <c r="V18">
        <v>3</v>
      </c>
      <c r="W18" s="232">
        <v>36892</v>
      </c>
      <c r="X18" s="232">
        <v>36525</v>
      </c>
      <c r="Y18">
        <v>1</v>
      </c>
      <c r="Z18">
        <v>1</v>
      </c>
    </row>
    <row r="19" spans="1:26" x14ac:dyDescent="0.25">
      <c r="A19">
        <v>10523</v>
      </c>
      <c r="B19" t="s">
        <v>702</v>
      </c>
      <c r="C19" t="s">
        <v>703</v>
      </c>
      <c r="G19" t="s">
        <v>644</v>
      </c>
      <c r="H19" t="s">
        <v>704</v>
      </c>
      <c r="I19">
        <v>1</v>
      </c>
      <c r="J19" t="s">
        <v>703</v>
      </c>
      <c r="N19" t="s">
        <v>644</v>
      </c>
      <c r="O19" t="s">
        <v>704</v>
      </c>
      <c r="P19">
        <v>1</v>
      </c>
      <c r="R19">
        <v>2</v>
      </c>
      <c r="S19">
        <v>0</v>
      </c>
      <c r="U19" t="s">
        <v>650</v>
      </c>
      <c r="V19">
        <v>3</v>
      </c>
      <c r="W19" s="232">
        <v>36892</v>
      </c>
      <c r="X19" s="232">
        <v>36525</v>
      </c>
      <c r="Y19">
        <v>0</v>
      </c>
      <c r="Z19">
        <v>1</v>
      </c>
    </row>
    <row r="20" spans="1:26" x14ac:dyDescent="0.25">
      <c r="A20">
        <v>10243</v>
      </c>
      <c r="B20" t="s">
        <v>705</v>
      </c>
      <c r="C20" t="s">
        <v>706</v>
      </c>
      <c r="G20" t="s">
        <v>644</v>
      </c>
      <c r="H20" t="s">
        <v>707</v>
      </c>
      <c r="I20">
        <v>1</v>
      </c>
      <c r="J20" t="s">
        <v>706</v>
      </c>
      <c r="N20" t="s">
        <v>644</v>
      </c>
      <c r="O20" t="s">
        <v>707</v>
      </c>
      <c r="P20">
        <v>1</v>
      </c>
      <c r="R20">
        <v>7</v>
      </c>
      <c r="S20">
        <v>0</v>
      </c>
      <c r="U20" t="s">
        <v>650</v>
      </c>
      <c r="V20">
        <v>3</v>
      </c>
      <c r="W20" s="232">
        <v>36892</v>
      </c>
      <c r="X20" s="232">
        <v>36525</v>
      </c>
      <c r="Y20">
        <v>1</v>
      </c>
      <c r="Z20">
        <v>1</v>
      </c>
    </row>
    <row r="21" spans="1:26" x14ac:dyDescent="0.25">
      <c r="A21">
        <v>10498</v>
      </c>
      <c r="B21" t="s">
        <v>708</v>
      </c>
      <c r="C21" t="s">
        <v>709</v>
      </c>
      <c r="G21" t="s">
        <v>644</v>
      </c>
      <c r="H21" t="s">
        <v>704</v>
      </c>
      <c r="I21">
        <v>1</v>
      </c>
      <c r="J21" t="s">
        <v>709</v>
      </c>
      <c r="N21" t="s">
        <v>644</v>
      </c>
      <c r="O21" t="s">
        <v>704</v>
      </c>
      <c r="P21">
        <v>1</v>
      </c>
      <c r="R21">
        <v>3</v>
      </c>
      <c r="S21">
        <v>0</v>
      </c>
      <c r="U21" t="s">
        <v>650</v>
      </c>
      <c r="V21">
        <v>3</v>
      </c>
      <c r="W21" s="232">
        <v>36892</v>
      </c>
      <c r="X21" s="232">
        <v>36525</v>
      </c>
      <c r="Y21">
        <v>0</v>
      </c>
      <c r="Z21">
        <v>1</v>
      </c>
    </row>
    <row r="22" spans="1:26" x14ac:dyDescent="0.25">
      <c r="A22">
        <v>10507</v>
      </c>
      <c r="B22" t="s">
        <v>710</v>
      </c>
      <c r="C22" t="s">
        <v>711</v>
      </c>
      <c r="G22" t="s">
        <v>644</v>
      </c>
      <c r="H22" t="s">
        <v>704</v>
      </c>
      <c r="I22">
        <v>1</v>
      </c>
      <c r="J22" t="s">
        <v>711</v>
      </c>
      <c r="N22" t="s">
        <v>644</v>
      </c>
      <c r="O22" t="s">
        <v>704</v>
      </c>
      <c r="P22">
        <v>1</v>
      </c>
      <c r="R22">
        <v>2</v>
      </c>
      <c r="S22">
        <v>0</v>
      </c>
      <c r="U22" t="s">
        <v>650</v>
      </c>
      <c r="V22">
        <v>3</v>
      </c>
      <c r="W22" s="232">
        <v>36892</v>
      </c>
      <c r="X22" s="232">
        <v>36525</v>
      </c>
      <c r="Y22">
        <v>0</v>
      </c>
      <c r="Z22">
        <v>1</v>
      </c>
    </row>
    <row r="23" spans="1:26" x14ac:dyDescent="0.25">
      <c r="A23">
        <v>1018</v>
      </c>
      <c r="B23" t="s">
        <v>712</v>
      </c>
      <c r="C23" t="s">
        <v>713</v>
      </c>
      <c r="G23" t="s">
        <v>644</v>
      </c>
      <c r="H23" t="s">
        <v>714</v>
      </c>
      <c r="I23">
        <v>1</v>
      </c>
      <c r="J23" t="s">
        <v>713</v>
      </c>
      <c r="N23" t="s">
        <v>644</v>
      </c>
      <c r="O23" t="s">
        <v>714</v>
      </c>
      <c r="P23">
        <v>1</v>
      </c>
      <c r="R23">
        <v>9</v>
      </c>
      <c r="S23">
        <v>0</v>
      </c>
      <c r="U23" t="s">
        <v>650</v>
      </c>
      <c r="V23">
        <v>3</v>
      </c>
      <c r="W23" s="232">
        <v>36892</v>
      </c>
      <c r="X23" s="232">
        <v>36525</v>
      </c>
      <c r="Y23">
        <v>0</v>
      </c>
      <c r="Z23">
        <v>1</v>
      </c>
    </row>
    <row r="24" spans="1:26" x14ac:dyDescent="0.25">
      <c r="A24">
        <v>1101</v>
      </c>
      <c r="B24" t="s">
        <v>715</v>
      </c>
      <c r="C24" t="s">
        <v>716</v>
      </c>
      <c r="G24" t="s">
        <v>717</v>
      </c>
      <c r="H24" t="s">
        <v>718</v>
      </c>
      <c r="I24">
        <v>1</v>
      </c>
      <c r="J24" t="s">
        <v>716</v>
      </c>
      <c r="N24" t="s">
        <v>717</v>
      </c>
      <c r="O24" t="s">
        <v>718</v>
      </c>
      <c r="P24">
        <v>1</v>
      </c>
      <c r="R24">
        <v>4</v>
      </c>
      <c r="S24">
        <v>0</v>
      </c>
      <c r="U24" t="s">
        <v>650</v>
      </c>
      <c r="V24">
        <v>3</v>
      </c>
      <c r="W24" s="232">
        <v>36892</v>
      </c>
      <c r="X24" s="232">
        <v>36525</v>
      </c>
      <c r="Y24">
        <v>0</v>
      </c>
      <c r="Z24">
        <v>1</v>
      </c>
    </row>
    <row r="25" spans="1:26" x14ac:dyDescent="0.25">
      <c r="A25">
        <v>10340</v>
      </c>
      <c r="B25" t="s">
        <v>719</v>
      </c>
      <c r="C25" t="s">
        <v>720</v>
      </c>
      <c r="G25" t="s">
        <v>214</v>
      </c>
      <c r="H25" t="s">
        <v>721</v>
      </c>
      <c r="I25">
        <v>2</v>
      </c>
      <c r="J25" t="s">
        <v>720</v>
      </c>
      <c r="N25" t="s">
        <v>214</v>
      </c>
      <c r="O25" t="s">
        <v>721</v>
      </c>
      <c r="P25">
        <v>2</v>
      </c>
      <c r="R25">
        <v>6</v>
      </c>
      <c r="S25">
        <v>0</v>
      </c>
      <c r="U25" t="s">
        <v>650</v>
      </c>
      <c r="V25">
        <v>3</v>
      </c>
      <c r="W25" s="232">
        <v>36892</v>
      </c>
      <c r="X25" s="232">
        <v>36525</v>
      </c>
      <c r="Y25">
        <v>1</v>
      </c>
      <c r="Z25">
        <v>1</v>
      </c>
    </row>
    <row r="26" spans="1:26" x14ac:dyDescent="0.25">
      <c r="A26">
        <v>1043</v>
      </c>
      <c r="B26" t="s">
        <v>722</v>
      </c>
      <c r="C26" t="s">
        <v>723</v>
      </c>
      <c r="G26" t="s">
        <v>644</v>
      </c>
      <c r="H26" t="s">
        <v>724</v>
      </c>
      <c r="I26">
        <v>1</v>
      </c>
      <c r="J26" t="s">
        <v>723</v>
      </c>
      <c r="N26" t="s">
        <v>644</v>
      </c>
      <c r="O26" t="s">
        <v>724</v>
      </c>
      <c r="P26">
        <v>1</v>
      </c>
      <c r="R26">
        <v>7</v>
      </c>
      <c r="S26">
        <v>0</v>
      </c>
      <c r="U26" t="s">
        <v>650</v>
      </c>
      <c r="V26">
        <v>3</v>
      </c>
      <c r="W26" s="232">
        <v>42184</v>
      </c>
      <c r="X26" s="232">
        <v>36525</v>
      </c>
      <c r="Y26">
        <v>0</v>
      </c>
      <c r="Z26">
        <v>1</v>
      </c>
    </row>
    <row r="27" spans="1:26" x14ac:dyDescent="0.25">
      <c r="A27">
        <v>1116</v>
      </c>
      <c r="B27" t="s">
        <v>725</v>
      </c>
      <c r="C27" t="s">
        <v>726</v>
      </c>
      <c r="G27" t="s">
        <v>644</v>
      </c>
      <c r="H27" t="s">
        <v>727</v>
      </c>
      <c r="I27">
        <v>1</v>
      </c>
      <c r="J27" t="s">
        <v>726</v>
      </c>
      <c r="N27" t="s">
        <v>644</v>
      </c>
      <c r="O27" t="s">
        <v>727</v>
      </c>
      <c r="P27">
        <v>1</v>
      </c>
      <c r="R27">
        <v>4</v>
      </c>
      <c r="S27">
        <v>0</v>
      </c>
      <c r="U27" t="s">
        <v>650</v>
      </c>
      <c r="V27">
        <v>3</v>
      </c>
      <c r="W27" s="232">
        <v>36892</v>
      </c>
      <c r="X27" s="232">
        <v>36525</v>
      </c>
      <c r="Y27">
        <v>0</v>
      </c>
      <c r="Z27">
        <v>1</v>
      </c>
    </row>
    <row r="28" spans="1:26" x14ac:dyDescent="0.25">
      <c r="A28">
        <v>1198</v>
      </c>
      <c r="B28" t="s">
        <v>728</v>
      </c>
      <c r="C28" t="s">
        <v>729</v>
      </c>
      <c r="G28" t="s">
        <v>730</v>
      </c>
      <c r="H28" t="s">
        <v>731</v>
      </c>
      <c r="I28">
        <v>12</v>
      </c>
      <c r="J28" t="s">
        <v>729</v>
      </c>
      <c r="N28" t="s">
        <v>730</v>
      </c>
      <c r="O28" t="s">
        <v>731</v>
      </c>
      <c r="P28">
        <v>12</v>
      </c>
      <c r="R28">
        <v>7</v>
      </c>
      <c r="S28">
        <v>0</v>
      </c>
      <c r="U28" t="s">
        <v>650</v>
      </c>
      <c r="V28">
        <v>3</v>
      </c>
      <c r="W28" s="232">
        <v>36892</v>
      </c>
      <c r="X28" s="232">
        <v>36525</v>
      </c>
      <c r="Y28">
        <v>0</v>
      </c>
      <c r="Z28">
        <v>1</v>
      </c>
    </row>
    <row r="29" spans="1:26" x14ac:dyDescent="0.25">
      <c r="A29">
        <v>10218</v>
      </c>
      <c r="B29" t="s">
        <v>732</v>
      </c>
      <c r="C29" t="s">
        <v>733</v>
      </c>
      <c r="G29" t="s">
        <v>644</v>
      </c>
      <c r="H29" t="s">
        <v>734</v>
      </c>
      <c r="I29">
        <v>1</v>
      </c>
      <c r="J29" t="s">
        <v>733</v>
      </c>
      <c r="N29" t="s">
        <v>644</v>
      </c>
      <c r="O29" t="s">
        <v>734</v>
      </c>
      <c r="P29">
        <v>1</v>
      </c>
      <c r="R29">
        <v>5</v>
      </c>
      <c r="S29">
        <v>0</v>
      </c>
      <c r="U29" t="s">
        <v>650</v>
      </c>
      <c r="V29">
        <v>3</v>
      </c>
      <c r="W29" s="232">
        <v>36892</v>
      </c>
      <c r="X29" s="232">
        <v>36525</v>
      </c>
      <c r="Y29">
        <v>1</v>
      </c>
      <c r="Z29">
        <v>1</v>
      </c>
    </row>
    <row r="30" spans="1:26" x14ac:dyDescent="0.25">
      <c r="A30">
        <v>1119</v>
      </c>
      <c r="B30" t="s">
        <v>735</v>
      </c>
      <c r="C30" t="s">
        <v>736</v>
      </c>
      <c r="G30" t="s">
        <v>644</v>
      </c>
      <c r="H30" t="s">
        <v>737</v>
      </c>
      <c r="I30">
        <v>1</v>
      </c>
      <c r="J30" t="s">
        <v>736</v>
      </c>
      <c r="N30" t="s">
        <v>644</v>
      </c>
      <c r="O30" t="s">
        <v>737</v>
      </c>
      <c r="P30">
        <v>1</v>
      </c>
      <c r="R30">
        <v>14</v>
      </c>
      <c r="S30">
        <v>29747</v>
      </c>
      <c r="T30" t="s">
        <v>660</v>
      </c>
      <c r="U30" t="s">
        <v>738</v>
      </c>
      <c r="V30">
        <v>3</v>
      </c>
      <c r="W30" s="232">
        <v>36892</v>
      </c>
      <c r="X30" s="232">
        <v>36525</v>
      </c>
      <c r="Y30">
        <v>1</v>
      </c>
      <c r="Z30">
        <v>1</v>
      </c>
    </row>
    <row r="31" spans="1:26" x14ac:dyDescent="0.25">
      <c r="A31">
        <v>1085</v>
      </c>
      <c r="B31" t="s">
        <v>739</v>
      </c>
      <c r="C31" t="s">
        <v>740</v>
      </c>
      <c r="G31" t="s">
        <v>741</v>
      </c>
      <c r="H31" t="s">
        <v>737</v>
      </c>
      <c r="I31">
        <v>1</v>
      </c>
      <c r="J31" t="s">
        <v>740</v>
      </c>
      <c r="N31" t="s">
        <v>741</v>
      </c>
      <c r="O31" t="s">
        <v>737</v>
      </c>
      <c r="P31">
        <v>1</v>
      </c>
      <c r="Q31">
        <v>1285</v>
      </c>
      <c r="R31">
        <v>4</v>
      </c>
      <c r="S31">
        <v>0</v>
      </c>
      <c r="U31" t="s">
        <v>650</v>
      </c>
      <c r="V31">
        <v>3</v>
      </c>
      <c r="W31" s="232">
        <v>36892</v>
      </c>
      <c r="X31" s="232">
        <v>36525</v>
      </c>
      <c r="Y31">
        <v>0</v>
      </c>
      <c r="Z31">
        <v>1</v>
      </c>
    </row>
    <row r="32" spans="1:26" x14ac:dyDescent="0.25">
      <c r="A32">
        <v>1151</v>
      </c>
      <c r="B32" t="s">
        <v>742</v>
      </c>
      <c r="C32" t="s">
        <v>743</v>
      </c>
      <c r="G32" t="s">
        <v>644</v>
      </c>
      <c r="H32" t="s">
        <v>704</v>
      </c>
      <c r="I32">
        <v>1</v>
      </c>
      <c r="J32" t="s">
        <v>743</v>
      </c>
      <c r="N32" t="s">
        <v>644</v>
      </c>
      <c r="O32" t="s">
        <v>704</v>
      </c>
      <c r="P32">
        <v>1</v>
      </c>
      <c r="R32">
        <v>5</v>
      </c>
      <c r="S32">
        <v>0</v>
      </c>
      <c r="U32" t="s">
        <v>650</v>
      </c>
      <c r="V32">
        <v>3</v>
      </c>
      <c r="W32" s="232">
        <v>36892</v>
      </c>
      <c r="X32" s="232">
        <v>36525</v>
      </c>
      <c r="Y32">
        <v>0</v>
      </c>
      <c r="Z32">
        <v>1</v>
      </c>
    </row>
    <row r="33" spans="1:26" x14ac:dyDescent="0.25">
      <c r="A33">
        <v>1054</v>
      </c>
      <c r="B33" t="s">
        <v>744</v>
      </c>
      <c r="C33" t="s">
        <v>745</v>
      </c>
      <c r="G33" t="s">
        <v>644</v>
      </c>
      <c r="H33" t="s">
        <v>746</v>
      </c>
      <c r="I33">
        <v>1</v>
      </c>
      <c r="J33" t="s">
        <v>745</v>
      </c>
      <c r="N33" t="s">
        <v>644</v>
      </c>
      <c r="O33" t="s">
        <v>746</v>
      </c>
      <c r="P33">
        <v>1</v>
      </c>
      <c r="R33">
        <v>3</v>
      </c>
      <c r="S33">
        <v>0</v>
      </c>
      <c r="U33" t="s">
        <v>650</v>
      </c>
      <c r="V33">
        <v>3</v>
      </c>
      <c r="W33" s="232">
        <v>36892</v>
      </c>
      <c r="X33" s="232">
        <v>36525</v>
      </c>
      <c r="Y33">
        <v>0</v>
      </c>
      <c r="Z33">
        <v>1</v>
      </c>
    </row>
    <row r="34" spans="1:26" x14ac:dyDescent="0.25">
      <c r="A34">
        <v>30197</v>
      </c>
      <c r="B34" t="s">
        <v>747</v>
      </c>
      <c r="C34" t="s">
        <v>748</v>
      </c>
      <c r="G34" t="s">
        <v>213</v>
      </c>
      <c r="H34" t="s">
        <v>749</v>
      </c>
      <c r="I34">
        <v>12</v>
      </c>
      <c r="J34" t="s">
        <v>750</v>
      </c>
      <c r="N34" t="s">
        <v>213</v>
      </c>
      <c r="O34" t="s">
        <v>749</v>
      </c>
      <c r="P34">
        <v>12</v>
      </c>
      <c r="R34">
        <v>1</v>
      </c>
      <c r="S34">
        <v>29747</v>
      </c>
      <c r="T34" t="s">
        <v>660</v>
      </c>
      <c r="U34" t="s">
        <v>751</v>
      </c>
      <c r="V34">
        <v>1</v>
      </c>
      <c r="W34" s="232">
        <v>36892</v>
      </c>
      <c r="X34" s="232">
        <v>36525</v>
      </c>
      <c r="Y34">
        <v>0</v>
      </c>
      <c r="Z34">
        <v>1</v>
      </c>
    </row>
    <row r="35" spans="1:26" x14ac:dyDescent="0.25">
      <c r="A35">
        <v>30209</v>
      </c>
      <c r="B35" t="s">
        <v>752</v>
      </c>
      <c r="C35" t="s">
        <v>753</v>
      </c>
      <c r="G35" t="s">
        <v>644</v>
      </c>
      <c r="H35" t="s">
        <v>754</v>
      </c>
      <c r="I35">
        <v>1</v>
      </c>
      <c r="J35" t="s">
        <v>753</v>
      </c>
      <c r="N35" t="s">
        <v>644</v>
      </c>
      <c r="O35" t="s">
        <v>754</v>
      </c>
      <c r="P35">
        <v>1</v>
      </c>
      <c r="R35">
        <v>2</v>
      </c>
      <c r="S35">
        <v>29747</v>
      </c>
      <c r="T35" t="s">
        <v>660</v>
      </c>
      <c r="U35" t="s">
        <v>755</v>
      </c>
      <c r="V35">
        <v>3</v>
      </c>
      <c r="W35" s="232">
        <v>36892</v>
      </c>
      <c r="X35" s="232">
        <v>36525</v>
      </c>
      <c r="Y35">
        <v>0</v>
      </c>
      <c r="Z35">
        <v>1</v>
      </c>
    </row>
    <row r="36" spans="1:26" x14ac:dyDescent="0.25">
      <c r="A36">
        <v>1394</v>
      </c>
      <c r="B36" t="s">
        <v>756</v>
      </c>
      <c r="C36" t="s">
        <v>757</v>
      </c>
      <c r="G36" t="s">
        <v>644</v>
      </c>
      <c r="H36" t="s">
        <v>672</v>
      </c>
      <c r="I36">
        <v>1</v>
      </c>
      <c r="J36" t="s">
        <v>757</v>
      </c>
      <c r="N36" t="s">
        <v>644</v>
      </c>
      <c r="O36" t="s">
        <v>672</v>
      </c>
      <c r="P36">
        <v>1</v>
      </c>
      <c r="R36">
        <v>8</v>
      </c>
      <c r="S36">
        <v>0</v>
      </c>
      <c r="U36" t="s">
        <v>650</v>
      </c>
      <c r="V36">
        <v>3</v>
      </c>
      <c r="W36" s="232">
        <v>36892</v>
      </c>
      <c r="X36" s="232">
        <v>36525</v>
      </c>
      <c r="Y36">
        <v>0</v>
      </c>
      <c r="Z36">
        <v>1</v>
      </c>
    </row>
    <row r="37" spans="1:26" x14ac:dyDescent="0.25">
      <c r="A37">
        <v>1258</v>
      </c>
      <c r="B37" t="s">
        <v>758</v>
      </c>
      <c r="C37" t="s">
        <v>759</v>
      </c>
      <c r="G37" t="s">
        <v>644</v>
      </c>
      <c r="H37" t="s">
        <v>760</v>
      </c>
      <c r="I37">
        <v>1</v>
      </c>
      <c r="J37" t="s">
        <v>759</v>
      </c>
      <c r="N37" t="s">
        <v>644</v>
      </c>
      <c r="O37" t="s">
        <v>760</v>
      </c>
      <c r="P37">
        <v>1</v>
      </c>
      <c r="R37">
        <v>3</v>
      </c>
      <c r="S37">
        <v>0</v>
      </c>
      <c r="U37" t="s">
        <v>650</v>
      </c>
      <c r="V37">
        <v>3</v>
      </c>
      <c r="W37" s="232">
        <v>36892</v>
      </c>
      <c r="X37" s="232">
        <v>36525</v>
      </c>
      <c r="Y37">
        <v>0</v>
      </c>
      <c r="Z37">
        <v>1</v>
      </c>
    </row>
    <row r="38" spans="1:26" x14ac:dyDescent="0.25">
      <c r="A38">
        <v>10579</v>
      </c>
      <c r="B38" t="s">
        <v>761</v>
      </c>
      <c r="C38" t="s">
        <v>762</v>
      </c>
      <c r="G38" t="s">
        <v>644</v>
      </c>
      <c r="H38" t="s">
        <v>763</v>
      </c>
      <c r="I38">
        <v>1</v>
      </c>
      <c r="J38" t="s">
        <v>762</v>
      </c>
      <c r="N38" t="s">
        <v>644</v>
      </c>
      <c r="O38" t="s">
        <v>763</v>
      </c>
      <c r="P38">
        <v>1</v>
      </c>
      <c r="R38">
        <v>1</v>
      </c>
      <c r="S38">
        <v>0</v>
      </c>
      <c r="U38" t="s">
        <v>650</v>
      </c>
      <c r="V38">
        <v>1</v>
      </c>
      <c r="W38" s="232">
        <v>36892</v>
      </c>
      <c r="X38" s="232">
        <v>36525</v>
      </c>
      <c r="Y38">
        <v>1</v>
      </c>
      <c r="Z38">
        <v>1</v>
      </c>
    </row>
    <row r="39" spans="1:26" x14ac:dyDescent="0.25">
      <c r="A39">
        <v>1205</v>
      </c>
      <c r="B39" t="s">
        <v>764</v>
      </c>
      <c r="C39" t="s">
        <v>765</v>
      </c>
      <c r="G39" t="s">
        <v>644</v>
      </c>
      <c r="H39" t="s">
        <v>766</v>
      </c>
      <c r="I39">
        <v>1</v>
      </c>
      <c r="J39" t="s">
        <v>765</v>
      </c>
      <c r="N39" t="s">
        <v>644</v>
      </c>
      <c r="O39" t="s">
        <v>766</v>
      </c>
      <c r="P39">
        <v>1</v>
      </c>
      <c r="R39">
        <v>5</v>
      </c>
      <c r="S39">
        <v>0</v>
      </c>
      <c r="U39" t="s">
        <v>650</v>
      </c>
      <c r="V39">
        <v>3</v>
      </c>
      <c r="W39" s="232">
        <v>36892</v>
      </c>
      <c r="X39" s="232">
        <v>36525</v>
      </c>
      <c r="Y39">
        <v>0</v>
      </c>
      <c r="Z39">
        <v>1</v>
      </c>
    </row>
    <row r="40" spans="1:26" x14ac:dyDescent="0.25">
      <c r="A40">
        <v>10307</v>
      </c>
      <c r="B40" t="s">
        <v>767</v>
      </c>
      <c r="C40" t="s">
        <v>768</v>
      </c>
      <c r="G40" t="s">
        <v>644</v>
      </c>
      <c r="H40" t="s">
        <v>769</v>
      </c>
      <c r="I40">
        <v>1</v>
      </c>
      <c r="J40" t="s">
        <v>768</v>
      </c>
      <c r="N40" t="s">
        <v>644</v>
      </c>
      <c r="O40" t="s">
        <v>769</v>
      </c>
      <c r="P40">
        <v>1</v>
      </c>
      <c r="R40">
        <v>4</v>
      </c>
      <c r="S40">
        <v>0</v>
      </c>
      <c r="U40" t="s">
        <v>650</v>
      </c>
      <c r="V40">
        <v>3</v>
      </c>
      <c r="W40" s="232">
        <v>36892</v>
      </c>
      <c r="X40" s="232">
        <v>36525</v>
      </c>
      <c r="Y40">
        <v>1</v>
      </c>
      <c r="Z40">
        <v>1</v>
      </c>
    </row>
    <row r="41" spans="1:26" x14ac:dyDescent="0.25">
      <c r="A41">
        <v>2487</v>
      </c>
      <c r="B41" t="s">
        <v>770</v>
      </c>
      <c r="C41" t="s">
        <v>771</v>
      </c>
      <c r="G41" t="s">
        <v>644</v>
      </c>
      <c r="H41" t="s">
        <v>772</v>
      </c>
      <c r="I41">
        <v>1</v>
      </c>
      <c r="J41" t="s">
        <v>771</v>
      </c>
      <c r="N41" t="s">
        <v>644</v>
      </c>
      <c r="O41" t="s">
        <v>772</v>
      </c>
      <c r="P41">
        <v>1</v>
      </c>
      <c r="R41">
        <v>4</v>
      </c>
      <c r="S41">
        <v>0</v>
      </c>
      <c r="U41" t="s">
        <v>650</v>
      </c>
      <c r="V41">
        <v>3</v>
      </c>
      <c r="W41" s="232">
        <v>36892</v>
      </c>
      <c r="X41" s="232">
        <v>36525</v>
      </c>
      <c r="Y41">
        <v>0</v>
      </c>
      <c r="Z41">
        <v>1</v>
      </c>
    </row>
    <row r="42" spans="1:26" x14ac:dyDescent="0.25">
      <c r="A42">
        <v>30081</v>
      </c>
      <c r="B42" t="s">
        <v>773</v>
      </c>
      <c r="I42">
        <v>1</v>
      </c>
      <c r="P42">
        <v>1</v>
      </c>
      <c r="R42">
        <v>1</v>
      </c>
      <c r="S42">
        <v>29747</v>
      </c>
      <c r="T42" t="s">
        <v>660</v>
      </c>
      <c r="U42" t="s">
        <v>774</v>
      </c>
      <c r="V42">
        <v>3</v>
      </c>
      <c r="W42" s="232">
        <v>36892</v>
      </c>
      <c r="X42" s="232">
        <v>36525</v>
      </c>
      <c r="Y42">
        <v>0</v>
      </c>
      <c r="Z42">
        <v>1</v>
      </c>
    </row>
    <row r="43" spans="1:26" x14ac:dyDescent="0.25">
      <c r="A43">
        <v>1385</v>
      </c>
      <c r="B43" t="s">
        <v>775</v>
      </c>
      <c r="C43" t="s">
        <v>776</v>
      </c>
      <c r="G43" t="s">
        <v>644</v>
      </c>
      <c r="H43" t="s">
        <v>746</v>
      </c>
      <c r="I43">
        <v>1</v>
      </c>
      <c r="J43" t="s">
        <v>776</v>
      </c>
      <c r="N43" t="s">
        <v>644</v>
      </c>
      <c r="O43" t="s">
        <v>746</v>
      </c>
      <c r="P43">
        <v>1</v>
      </c>
      <c r="R43">
        <v>9</v>
      </c>
      <c r="S43">
        <v>29747</v>
      </c>
      <c r="T43" t="s">
        <v>660</v>
      </c>
      <c r="U43" t="s">
        <v>777</v>
      </c>
      <c r="V43">
        <v>3</v>
      </c>
      <c r="W43" s="232">
        <v>36892</v>
      </c>
      <c r="X43" s="232">
        <v>36525</v>
      </c>
      <c r="Y43">
        <v>1</v>
      </c>
      <c r="Z43">
        <v>1</v>
      </c>
    </row>
    <row r="44" spans="1:26" x14ac:dyDescent="0.25">
      <c r="A44">
        <v>2496</v>
      </c>
      <c r="B44" t="s">
        <v>778</v>
      </c>
      <c r="C44" t="s">
        <v>779</v>
      </c>
      <c r="G44" t="s">
        <v>644</v>
      </c>
      <c r="H44" t="s">
        <v>780</v>
      </c>
      <c r="I44">
        <v>1</v>
      </c>
      <c r="J44" t="s">
        <v>779</v>
      </c>
      <c r="N44" t="s">
        <v>644</v>
      </c>
      <c r="O44" t="s">
        <v>780</v>
      </c>
      <c r="P44">
        <v>1</v>
      </c>
      <c r="R44">
        <v>3</v>
      </c>
      <c r="S44">
        <v>0</v>
      </c>
      <c r="U44" t="s">
        <v>650</v>
      </c>
      <c r="V44">
        <v>3</v>
      </c>
      <c r="W44" s="232">
        <v>36892</v>
      </c>
      <c r="X44" s="232">
        <v>36525</v>
      </c>
      <c r="Y44">
        <v>0</v>
      </c>
      <c r="Z44">
        <v>1</v>
      </c>
    </row>
    <row r="45" spans="1:26" x14ac:dyDescent="0.25">
      <c r="A45">
        <v>10304</v>
      </c>
      <c r="B45" t="s">
        <v>781</v>
      </c>
      <c r="C45" t="s">
        <v>782</v>
      </c>
      <c r="G45" t="s">
        <v>644</v>
      </c>
      <c r="H45" t="s">
        <v>783</v>
      </c>
      <c r="I45">
        <v>1</v>
      </c>
      <c r="J45" t="s">
        <v>782</v>
      </c>
      <c r="N45" t="s">
        <v>644</v>
      </c>
      <c r="O45" t="s">
        <v>783</v>
      </c>
      <c r="P45">
        <v>1</v>
      </c>
      <c r="R45">
        <v>4</v>
      </c>
      <c r="S45">
        <v>0</v>
      </c>
      <c r="U45" t="s">
        <v>650</v>
      </c>
      <c r="V45">
        <v>3</v>
      </c>
      <c r="W45" s="232">
        <v>36892</v>
      </c>
      <c r="X45" s="232">
        <v>36525</v>
      </c>
      <c r="Y45">
        <v>0</v>
      </c>
      <c r="Z45">
        <v>1</v>
      </c>
    </row>
    <row r="46" spans="1:26" x14ac:dyDescent="0.25">
      <c r="A46">
        <v>10289</v>
      </c>
      <c r="B46" t="s">
        <v>784</v>
      </c>
      <c r="C46" t="s">
        <v>785</v>
      </c>
      <c r="G46" t="s">
        <v>644</v>
      </c>
      <c r="H46" t="s">
        <v>786</v>
      </c>
      <c r="I46">
        <v>1</v>
      </c>
      <c r="J46" t="s">
        <v>785</v>
      </c>
      <c r="N46" t="s">
        <v>644</v>
      </c>
      <c r="O46" t="s">
        <v>786</v>
      </c>
      <c r="P46">
        <v>1</v>
      </c>
      <c r="R46">
        <v>5</v>
      </c>
      <c r="S46">
        <v>0</v>
      </c>
      <c r="U46" t="s">
        <v>787</v>
      </c>
      <c r="V46">
        <v>3</v>
      </c>
      <c r="W46" s="232">
        <v>36892</v>
      </c>
      <c r="X46" s="232">
        <v>36525</v>
      </c>
      <c r="Y46">
        <v>0</v>
      </c>
      <c r="Z46">
        <v>1</v>
      </c>
    </row>
    <row r="47" spans="1:26" x14ac:dyDescent="0.25">
      <c r="A47">
        <v>30229</v>
      </c>
      <c r="B47" t="s">
        <v>788</v>
      </c>
      <c r="C47" t="s">
        <v>789</v>
      </c>
      <c r="G47" t="s">
        <v>741</v>
      </c>
      <c r="H47" t="s">
        <v>790</v>
      </c>
      <c r="I47">
        <v>1</v>
      </c>
      <c r="J47" t="s">
        <v>789</v>
      </c>
      <c r="N47" t="s">
        <v>741</v>
      </c>
      <c r="O47" t="s">
        <v>790</v>
      </c>
      <c r="P47">
        <v>1</v>
      </c>
      <c r="R47">
        <v>3</v>
      </c>
      <c r="S47">
        <v>0</v>
      </c>
      <c r="U47" t="s">
        <v>791</v>
      </c>
      <c r="V47">
        <v>3</v>
      </c>
      <c r="W47" s="232">
        <v>36892</v>
      </c>
      <c r="X47" s="232">
        <v>36525</v>
      </c>
      <c r="Y47">
        <v>0</v>
      </c>
      <c r="Z47">
        <v>1</v>
      </c>
    </row>
    <row r="48" spans="1:26" x14ac:dyDescent="0.25">
      <c r="A48">
        <v>30217</v>
      </c>
      <c r="B48" t="s">
        <v>792</v>
      </c>
      <c r="R48">
        <v>1</v>
      </c>
      <c r="S48">
        <v>29747</v>
      </c>
      <c r="T48" t="s">
        <v>660</v>
      </c>
      <c r="U48" t="s">
        <v>793</v>
      </c>
      <c r="V48">
        <v>1</v>
      </c>
      <c r="W48" s="232">
        <v>36892</v>
      </c>
      <c r="X48" s="232">
        <v>36525</v>
      </c>
      <c r="Y48">
        <v>0</v>
      </c>
      <c r="Z48">
        <v>1</v>
      </c>
    </row>
    <row r="49" spans="1:26" x14ac:dyDescent="0.25">
      <c r="A49">
        <v>1322</v>
      </c>
      <c r="B49" t="s">
        <v>794</v>
      </c>
      <c r="C49" t="s">
        <v>795</v>
      </c>
      <c r="G49" t="s">
        <v>644</v>
      </c>
      <c r="H49" t="s">
        <v>780</v>
      </c>
      <c r="I49">
        <v>1</v>
      </c>
      <c r="J49" t="s">
        <v>795</v>
      </c>
      <c r="N49" t="s">
        <v>644</v>
      </c>
      <c r="O49" t="s">
        <v>780</v>
      </c>
      <c r="P49">
        <v>1</v>
      </c>
      <c r="R49">
        <v>2</v>
      </c>
      <c r="S49">
        <v>0</v>
      </c>
      <c r="U49" t="s">
        <v>650</v>
      </c>
      <c r="V49">
        <v>3</v>
      </c>
      <c r="W49" s="232">
        <v>36892</v>
      </c>
      <c r="X49" s="232">
        <v>36525</v>
      </c>
      <c r="Y49">
        <v>0</v>
      </c>
      <c r="Z49">
        <v>1</v>
      </c>
    </row>
    <row r="50" spans="1:26" x14ac:dyDescent="0.25">
      <c r="A50">
        <v>10443</v>
      </c>
      <c r="B50" t="s">
        <v>796</v>
      </c>
      <c r="C50" t="s">
        <v>797</v>
      </c>
      <c r="G50" t="s">
        <v>644</v>
      </c>
      <c r="H50" t="s">
        <v>798</v>
      </c>
      <c r="I50">
        <v>1</v>
      </c>
      <c r="J50" t="s">
        <v>797</v>
      </c>
      <c r="N50" t="s">
        <v>644</v>
      </c>
      <c r="O50" t="s">
        <v>798</v>
      </c>
      <c r="P50">
        <v>1</v>
      </c>
      <c r="R50">
        <v>5</v>
      </c>
      <c r="S50">
        <v>0</v>
      </c>
      <c r="U50" t="s">
        <v>799</v>
      </c>
      <c r="V50">
        <v>3</v>
      </c>
      <c r="W50" s="232">
        <v>36892</v>
      </c>
      <c r="X50" s="232">
        <v>36525</v>
      </c>
      <c r="Y50">
        <v>1</v>
      </c>
      <c r="Z50">
        <v>1</v>
      </c>
    </row>
    <row r="51" spans="1:26" x14ac:dyDescent="0.25">
      <c r="A51">
        <v>2489</v>
      </c>
      <c r="B51" t="s">
        <v>800</v>
      </c>
      <c r="C51" t="s">
        <v>801</v>
      </c>
      <c r="G51" t="s">
        <v>644</v>
      </c>
      <c r="H51" t="s">
        <v>798</v>
      </c>
      <c r="I51">
        <v>1</v>
      </c>
      <c r="J51" t="s">
        <v>801</v>
      </c>
      <c r="N51" t="s">
        <v>644</v>
      </c>
      <c r="O51" t="s">
        <v>798</v>
      </c>
      <c r="P51">
        <v>1</v>
      </c>
      <c r="R51">
        <v>4</v>
      </c>
      <c r="S51">
        <v>0</v>
      </c>
      <c r="U51" t="s">
        <v>650</v>
      </c>
      <c r="V51">
        <v>3</v>
      </c>
      <c r="W51" s="232">
        <v>36892</v>
      </c>
      <c r="X51" s="232">
        <v>36525</v>
      </c>
      <c r="Y51">
        <v>0</v>
      </c>
      <c r="Z51">
        <v>1</v>
      </c>
    </row>
    <row r="52" spans="1:26" x14ac:dyDescent="0.25">
      <c r="A52">
        <v>10355</v>
      </c>
      <c r="B52" t="s">
        <v>802</v>
      </c>
      <c r="C52" t="s">
        <v>803</v>
      </c>
      <c r="G52" t="s">
        <v>644</v>
      </c>
      <c r="H52" t="s">
        <v>804</v>
      </c>
      <c r="I52">
        <v>1</v>
      </c>
      <c r="J52" t="s">
        <v>803</v>
      </c>
      <c r="N52" t="s">
        <v>644</v>
      </c>
      <c r="O52" t="s">
        <v>804</v>
      </c>
      <c r="P52">
        <v>1</v>
      </c>
      <c r="R52">
        <v>3</v>
      </c>
      <c r="S52">
        <v>0</v>
      </c>
      <c r="U52" t="s">
        <v>650</v>
      </c>
      <c r="V52">
        <v>3</v>
      </c>
      <c r="W52" s="232">
        <v>36892</v>
      </c>
      <c r="X52" s="232">
        <v>36525</v>
      </c>
      <c r="Y52">
        <v>0</v>
      </c>
      <c r="Z52">
        <v>1</v>
      </c>
    </row>
    <row r="53" spans="1:26" x14ac:dyDescent="0.25">
      <c r="A53">
        <v>10376</v>
      </c>
      <c r="B53" t="s">
        <v>805</v>
      </c>
      <c r="C53" t="s">
        <v>806</v>
      </c>
      <c r="G53" t="s">
        <v>644</v>
      </c>
      <c r="H53" t="s">
        <v>783</v>
      </c>
      <c r="I53">
        <v>1</v>
      </c>
      <c r="J53" t="s">
        <v>806</v>
      </c>
      <c r="N53" t="s">
        <v>644</v>
      </c>
      <c r="O53" t="s">
        <v>783</v>
      </c>
      <c r="P53">
        <v>1</v>
      </c>
      <c r="R53">
        <v>4</v>
      </c>
      <c r="S53">
        <v>0</v>
      </c>
      <c r="U53" t="s">
        <v>807</v>
      </c>
      <c r="V53">
        <v>3</v>
      </c>
      <c r="W53" s="232">
        <v>36892</v>
      </c>
      <c r="X53" s="232">
        <v>36525</v>
      </c>
      <c r="Y53">
        <v>0</v>
      </c>
      <c r="Z53">
        <v>1</v>
      </c>
    </row>
    <row r="54" spans="1:26" x14ac:dyDescent="0.25">
      <c r="A54">
        <v>1389</v>
      </c>
      <c r="B54" t="s">
        <v>808</v>
      </c>
      <c r="C54" t="s">
        <v>809</v>
      </c>
      <c r="G54" t="s">
        <v>644</v>
      </c>
      <c r="H54" t="s">
        <v>810</v>
      </c>
      <c r="I54">
        <v>1</v>
      </c>
      <c r="J54" t="s">
        <v>809</v>
      </c>
      <c r="N54" t="s">
        <v>644</v>
      </c>
      <c r="O54" t="s">
        <v>810</v>
      </c>
      <c r="P54">
        <v>1</v>
      </c>
      <c r="R54">
        <v>5</v>
      </c>
      <c r="S54">
        <v>0</v>
      </c>
      <c r="U54" t="s">
        <v>650</v>
      </c>
      <c r="V54">
        <v>3</v>
      </c>
      <c r="W54" s="232">
        <v>36892</v>
      </c>
      <c r="X54" s="232">
        <v>36525</v>
      </c>
      <c r="Y54">
        <v>0</v>
      </c>
      <c r="Z54">
        <v>1</v>
      </c>
    </row>
    <row r="55" spans="1:26" x14ac:dyDescent="0.25">
      <c r="A55">
        <v>10325</v>
      </c>
      <c r="B55" t="s">
        <v>811</v>
      </c>
      <c r="C55" t="s">
        <v>812</v>
      </c>
      <c r="G55" t="s">
        <v>644</v>
      </c>
      <c r="H55" t="s">
        <v>813</v>
      </c>
      <c r="I55">
        <v>1</v>
      </c>
      <c r="J55" t="s">
        <v>812</v>
      </c>
      <c r="N55" t="s">
        <v>644</v>
      </c>
      <c r="O55" t="s">
        <v>813</v>
      </c>
      <c r="P55">
        <v>1</v>
      </c>
      <c r="R55">
        <v>4</v>
      </c>
      <c r="S55">
        <v>0</v>
      </c>
      <c r="U55" t="s">
        <v>650</v>
      </c>
      <c r="V55">
        <v>3</v>
      </c>
      <c r="W55" s="232">
        <v>36892</v>
      </c>
      <c r="X55" s="232">
        <v>36525</v>
      </c>
      <c r="Y55">
        <v>1</v>
      </c>
      <c r="Z55">
        <v>1</v>
      </c>
    </row>
    <row r="56" spans="1:26" x14ac:dyDescent="0.25">
      <c r="A56">
        <v>10293</v>
      </c>
      <c r="B56" t="s">
        <v>814</v>
      </c>
      <c r="C56" t="s">
        <v>815</v>
      </c>
      <c r="G56" t="s">
        <v>644</v>
      </c>
      <c r="H56" t="s">
        <v>816</v>
      </c>
      <c r="I56">
        <v>1</v>
      </c>
      <c r="J56" t="s">
        <v>815</v>
      </c>
      <c r="N56" t="s">
        <v>644</v>
      </c>
      <c r="O56" t="s">
        <v>816</v>
      </c>
      <c r="P56">
        <v>1</v>
      </c>
      <c r="R56">
        <v>3</v>
      </c>
      <c r="S56">
        <v>0</v>
      </c>
      <c r="U56" t="s">
        <v>650</v>
      </c>
      <c r="V56">
        <v>3</v>
      </c>
      <c r="W56" s="232">
        <v>36892</v>
      </c>
      <c r="X56" s="232">
        <v>36525</v>
      </c>
      <c r="Y56">
        <v>1</v>
      </c>
      <c r="Z56">
        <v>1</v>
      </c>
    </row>
    <row r="57" spans="1:26" x14ac:dyDescent="0.25">
      <c r="A57">
        <v>1397</v>
      </c>
      <c r="B57" t="s">
        <v>817</v>
      </c>
      <c r="C57" t="s">
        <v>818</v>
      </c>
      <c r="G57" t="s">
        <v>644</v>
      </c>
      <c r="H57" t="s">
        <v>819</v>
      </c>
      <c r="I57">
        <v>1</v>
      </c>
      <c r="J57" t="s">
        <v>818</v>
      </c>
      <c r="N57" t="s">
        <v>644</v>
      </c>
      <c r="O57" t="s">
        <v>819</v>
      </c>
      <c r="P57">
        <v>1</v>
      </c>
      <c r="R57">
        <v>4</v>
      </c>
      <c r="S57">
        <v>0</v>
      </c>
      <c r="U57" t="s">
        <v>650</v>
      </c>
      <c r="V57">
        <v>3</v>
      </c>
      <c r="W57" s="232">
        <v>36892</v>
      </c>
      <c r="X57" s="232">
        <v>36525</v>
      </c>
      <c r="Y57">
        <v>1</v>
      </c>
      <c r="Z57">
        <v>1</v>
      </c>
    </row>
    <row r="58" spans="1:26" x14ac:dyDescent="0.25">
      <c r="A58">
        <v>30155</v>
      </c>
      <c r="B58" t="s">
        <v>820</v>
      </c>
      <c r="C58" t="s">
        <v>821</v>
      </c>
      <c r="D58" t="s">
        <v>822</v>
      </c>
      <c r="G58" t="s">
        <v>823</v>
      </c>
      <c r="H58" t="s">
        <v>824</v>
      </c>
      <c r="I58">
        <v>1</v>
      </c>
      <c r="J58" t="s">
        <v>821</v>
      </c>
      <c r="K58" t="s">
        <v>822</v>
      </c>
      <c r="N58" t="s">
        <v>823</v>
      </c>
      <c r="O58" t="s">
        <v>824</v>
      </c>
      <c r="P58">
        <v>1</v>
      </c>
      <c r="R58">
        <v>3</v>
      </c>
      <c r="S58">
        <v>29747</v>
      </c>
      <c r="T58" t="s">
        <v>660</v>
      </c>
      <c r="U58" t="s">
        <v>825</v>
      </c>
      <c r="V58">
        <v>3</v>
      </c>
      <c r="W58" s="232">
        <v>36892</v>
      </c>
      <c r="X58" s="232">
        <v>36525</v>
      </c>
      <c r="Y58">
        <v>0</v>
      </c>
      <c r="Z58">
        <v>1</v>
      </c>
    </row>
    <row r="59" spans="1:26" x14ac:dyDescent="0.25">
      <c r="A59">
        <v>1226</v>
      </c>
      <c r="B59" t="s">
        <v>826</v>
      </c>
      <c r="C59" t="s">
        <v>827</v>
      </c>
      <c r="G59" t="s">
        <v>644</v>
      </c>
      <c r="H59" t="s">
        <v>828</v>
      </c>
      <c r="I59">
        <v>1</v>
      </c>
      <c r="J59" t="s">
        <v>827</v>
      </c>
      <c r="N59" t="s">
        <v>644</v>
      </c>
      <c r="O59" t="s">
        <v>828</v>
      </c>
      <c r="P59">
        <v>1</v>
      </c>
      <c r="R59">
        <v>9</v>
      </c>
      <c r="S59">
        <v>0</v>
      </c>
      <c r="U59" t="s">
        <v>650</v>
      </c>
      <c r="V59">
        <v>3</v>
      </c>
      <c r="W59" s="232">
        <v>36892</v>
      </c>
      <c r="X59" s="232">
        <v>36525</v>
      </c>
      <c r="Y59">
        <v>0</v>
      </c>
      <c r="Z59">
        <v>1</v>
      </c>
    </row>
    <row r="60" spans="1:26" x14ac:dyDescent="0.25">
      <c r="A60">
        <v>1246</v>
      </c>
      <c r="B60" t="s">
        <v>829</v>
      </c>
      <c r="C60" t="s">
        <v>830</v>
      </c>
      <c r="G60" t="s">
        <v>644</v>
      </c>
      <c r="H60" t="s">
        <v>831</v>
      </c>
      <c r="I60">
        <v>1</v>
      </c>
      <c r="J60" t="s">
        <v>830</v>
      </c>
      <c r="N60" t="s">
        <v>644</v>
      </c>
      <c r="O60" t="s">
        <v>831</v>
      </c>
      <c r="P60">
        <v>1</v>
      </c>
      <c r="R60">
        <v>3</v>
      </c>
      <c r="S60">
        <v>0</v>
      </c>
      <c r="U60" t="s">
        <v>650</v>
      </c>
      <c r="V60">
        <v>3</v>
      </c>
      <c r="W60" s="232">
        <v>36892</v>
      </c>
      <c r="X60" s="232">
        <v>36525</v>
      </c>
      <c r="Y60">
        <v>0</v>
      </c>
      <c r="Z60">
        <v>1</v>
      </c>
    </row>
    <row r="61" spans="1:26" x14ac:dyDescent="0.25">
      <c r="A61">
        <v>1371</v>
      </c>
      <c r="B61" t="s">
        <v>832</v>
      </c>
      <c r="C61" t="s">
        <v>833</v>
      </c>
      <c r="G61" t="s">
        <v>834</v>
      </c>
      <c r="H61" t="s">
        <v>835</v>
      </c>
      <c r="I61">
        <v>1</v>
      </c>
      <c r="J61" t="s">
        <v>833</v>
      </c>
      <c r="N61" t="s">
        <v>834</v>
      </c>
      <c r="O61" t="s">
        <v>835</v>
      </c>
      <c r="P61">
        <v>1</v>
      </c>
      <c r="Q61">
        <v>1285</v>
      </c>
      <c r="R61">
        <v>4</v>
      </c>
      <c r="S61">
        <v>0</v>
      </c>
      <c r="U61" t="s">
        <v>836</v>
      </c>
      <c r="V61">
        <v>3</v>
      </c>
      <c r="W61" s="232">
        <v>36892</v>
      </c>
      <c r="X61" s="232">
        <v>36525</v>
      </c>
      <c r="Y61">
        <v>0</v>
      </c>
      <c r="Z61">
        <v>1</v>
      </c>
    </row>
    <row r="62" spans="1:26" x14ac:dyDescent="0.25">
      <c r="A62">
        <v>30189</v>
      </c>
      <c r="B62" t="s">
        <v>837</v>
      </c>
      <c r="C62" t="s">
        <v>838</v>
      </c>
      <c r="G62" t="s">
        <v>644</v>
      </c>
      <c r="H62" t="s">
        <v>839</v>
      </c>
      <c r="I62">
        <v>1</v>
      </c>
      <c r="P62">
        <v>1</v>
      </c>
      <c r="R62">
        <v>3</v>
      </c>
      <c r="S62">
        <v>29747</v>
      </c>
      <c r="T62" t="s">
        <v>660</v>
      </c>
      <c r="U62" t="s">
        <v>840</v>
      </c>
      <c r="V62">
        <v>3</v>
      </c>
      <c r="W62" s="232">
        <v>36892</v>
      </c>
      <c r="X62" s="232">
        <v>36525</v>
      </c>
      <c r="Y62">
        <v>0</v>
      </c>
      <c r="Z62">
        <v>1</v>
      </c>
    </row>
    <row r="63" spans="1:26" x14ac:dyDescent="0.25">
      <c r="A63">
        <v>1217</v>
      </c>
      <c r="B63" t="s">
        <v>841</v>
      </c>
      <c r="C63" t="s">
        <v>842</v>
      </c>
      <c r="G63" t="s">
        <v>644</v>
      </c>
      <c r="H63" t="s">
        <v>760</v>
      </c>
      <c r="I63">
        <v>1</v>
      </c>
      <c r="J63" t="s">
        <v>842</v>
      </c>
      <c r="N63" t="s">
        <v>644</v>
      </c>
      <c r="O63" t="s">
        <v>760</v>
      </c>
      <c r="P63">
        <v>1</v>
      </c>
      <c r="R63">
        <v>4</v>
      </c>
      <c r="S63">
        <v>0</v>
      </c>
      <c r="U63" t="s">
        <v>650</v>
      </c>
      <c r="V63">
        <v>3</v>
      </c>
      <c r="W63" s="232">
        <v>36892</v>
      </c>
      <c r="X63" s="232">
        <v>36525</v>
      </c>
      <c r="Y63">
        <v>0</v>
      </c>
      <c r="Z63">
        <v>1</v>
      </c>
    </row>
    <row r="64" spans="1:26" x14ac:dyDescent="0.25">
      <c r="A64">
        <v>2387</v>
      </c>
      <c r="B64" t="s">
        <v>843</v>
      </c>
      <c r="C64" t="s">
        <v>844</v>
      </c>
      <c r="G64" t="s">
        <v>644</v>
      </c>
      <c r="H64" t="s">
        <v>845</v>
      </c>
      <c r="I64">
        <v>1</v>
      </c>
      <c r="J64" t="s">
        <v>844</v>
      </c>
      <c r="N64" t="s">
        <v>644</v>
      </c>
      <c r="O64" t="s">
        <v>845</v>
      </c>
      <c r="P64">
        <v>1</v>
      </c>
      <c r="R64">
        <v>5</v>
      </c>
      <c r="S64">
        <v>0</v>
      </c>
      <c r="U64" t="s">
        <v>650</v>
      </c>
      <c r="V64">
        <v>3</v>
      </c>
      <c r="W64" s="232">
        <v>36892</v>
      </c>
      <c r="X64" s="232">
        <v>36525</v>
      </c>
      <c r="Y64">
        <v>0</v>
      </c>
      <c r="Z64">
        <v>1</v>
      </c>
    </row>
    <row r="65" spans="1:26" x14ac:dyDescent="0.25">
      <c r="A65">
        <v>1406</v>
      </c>
      <c r="B65" t="s">
        <v>846</v>
      </c>
      <c r="C65" t="s">
        <v>847</v>
      </c>
      <c r="G65" t="s">
        <v>644</v>
      </c>
      <c r="H65" t="s">
        <v>848</v>
      </c>
      <c r="I65">
        <v>1</v>
      </c>
      <c r="J65" t="s">
        <v>847</v>
      </c>
      <c r="N65" t="s">
        <v>644</v>
      </c>
      <c r="O65" t="s">
        <v>848</v>
      </c>
      <c r="P65">
        <v>1</v>
      </c>
      <c r="R65">
        <v>5</v>
      </c>
      <c r="S65">
        <v>0</v>
      </c>
      <c r="U65" t="s">
        <v>650</v>
      </c>
      <c r="V65">
        <v>3</v>
      </c>
      <c r="W65" s="232">
        <v>36892</v>
      </c>
      <c r="X65" s="232">
        <v>36525</v>
      </c>
      <c r="Y65">
        <v>0</v>
      </c>
      <c r="Z65">
        <v>1</v>
      </c>
    </row>
    <row r="66" spans="1:26" x14ac:dyDescent="0.25">
      <c r="A66">
        <v>1227</v>
      </c>
      <c r="B66" t="s">
        <v>849</v>
      </c>
      <c r="C66" t="s">
        <v>675</v>
      </c>
      <c r="G66" t="s">
        <v>676</v>
      </c>
      <c r="H66" t="s">
        <v>677</v>
      </c>
      <c r="I66">
        <v>12</v>
      </c>
      <c r="J66" t="s">
        <v>675</v>
      </c>
      <c r="N66" t="s">
        <v>676</v>
      </c>
      <c r="O66" t="s">
        <v>677</v>
      </c>
      <c r="P66">
        <v>12</v>
      </c>
      <c r="R66">
        <v>3</v>
      </c>
      <c r="S66">
        <v>0</v>
      </c>
      <c r="U66" t="s">
        <v>650</v>
      </c>
      <c r="V66">
        <v>3</v>
      </c>
      <c r="W66" s="232">
        <v>36892</v>
      </c>
      <c r="X66" s="232">
        <v>36525</v>
      </c>
      <c r="Y66">
        <v>1</v>
      </c>
      <c r="Z66">
        <v>1</v>
      </c>
    </row>
    <row r="67" spans="1:26" x14ac:dyDescent="0.25">
      <c r="A67">
        <v>10402</v>
      </c>
      <c r="B67" t="s">
        <v>850</v>
      </c>
      <c r="C67" t="s">
        <v>851</v>
      </c>
      <c r="G67" t="s">
        <v>644</v>
      </c>
      <c r="H67" t="s">
        <v>852</v>
      </c>
      <c r="I67">
        <v>1</v>
      </c>
      <c r="J67" t="s">
        <v>851</v>
      </c>
      <c r="N67" t="s">
        <v>644</v>
      </c>
      <c r="O67" t="s">
        <v>852</v>
      </c>
      <c r="P67">
        <v>1</v>
      </c>
      <c r="R67">
        <v>6</v>
      </c>
      <c r="S67">
        <v>0</v>
      </c>
      <c r="U67" t="s">
        <v>650</v>
      </c>
      <c r="V67">
        <v>3</v>
      </c>
      <c r="W67" s="232">
        <v>36892</v>
      </c>
      <c r="X67" s="232">
        <v>36525</v>
      </c>
      <c r="Y67">
        <v>0</v>
      </c>
      <c r="Z67">
        <v>1</v>
      </c>
    </row>
    <row r="68" spans="1:26" x14ac:dyDescent="0.25">
      <c r="A68">
        <v>2495</v>
      </c>
      <c r="B68" t="s">
        <v>853</v>
      </c>
      <c r="C68" t="s">
        <v>854</v>
      </c>
      <c r="G68" t="s">
        <v>644</v>
      </c>
      <c r="H68" t="s">
        <v>645</v>
      </c>
      <c r="I68">
        <v>1</v>
      </c>
      <c r="J68" t="s">
        <v>854</v>
      </c>
      <c r="N68" t="s">
        <v>644</v>
      </c>
      <c r="O68" t="s">
        <v>645</v>
      </c>
      <c r="P68">
        <v>1</v>
      </c>
      <c r="R68">
        <v>4</v>
      </c>
      <c r="S68">
        <v>0</v>
      </c>
      <c r="U68" t="s">
        <v>650</v>
      </c>
      <c r="V68">
        <v>3</v>
      </c>
      <c r="W68" s="232">
        <v>36892</v>
      </c>
      <c r="X68" s="232">
        <v>36525</v>
      </c>
      <c r="Y68">
        <v>0</v>
      </c>
      <c r="Z68">
        <v>1</v>
      </c>
    </row>
    <row r="69" spans="1:26" x14ac:dyDescent="0.25">
      <c r="A69">
        <v>1452</v>
      </c>
      <c r="B69" t="s">
        <v>855</v>
      </c>
      <c r="C69" t="s">
        <v>856</v>
      </c>
      <c r="G69" t="s">
        <v>644</v>
      </c>
      <c r="H69" t="s">
        <v>857</v>
      </c>
      <c r="I69">
        <v>1</v>
      </c>
      <c r="J69" t="s">
        <v>856</v>
      </c>
      <c r="N69" t="s">
        <v>644</v>
      </c>
      <c r="O69" t="s">
        <v>857</v>
      </c>
      <c r="P69">
        <v>1</v>
      </c>
      <c r="R69">
        <v>3</v>
      </c>
      <c r="S69">
        <v>0</v>
      </c>
      <c r="U69" t="s">
        <v>650</v>
      </c>
      <c r="V69">
        <v>3</v>
      </c>
      <c r="W69" s="232">
        <v>36892</v>
      </c>
      <c r="X69" s="232">
        <v>36525</v>
      </c>
      <c r="Y69">
        <v>0</v>
      </c>
      <c r="Z69">
        <v>1</v>
      </c>
    </row>
    <row r="70" spans="1:26" x14ac:dyDescent="0.25">
      <c r="A70">
        <v>2300</v>
      </c>
      <c r="B70" t="s">
        <v>858</v>
      </c>
      <c r="C70" t="s">
        <v>859</v>
      </c>
      <c r="G70" t="s">
        <v>860</v>
      </c>
      <c r="H70" t="s">
        <v>861</v>
      </c>
      <c r="I70">
        <v>12</v>
      </c>
      <c r="J70" t="s">
        <v>859</v>
      </c>
      <c r="N70" t="s">
        <v>860</v>
      </c>
      <c r="O70" t="s">
        <v>861</v>
      </c>
      <c r="P70">
        <v>12</v>
      </c>
      <c r="R70">
        <v>1</v>
      </c>
      <c r="S70">
        <v>148354</v>
      </c>
      <c r="T70" t="s">
        <v>862</v>
      </c>
      <c r="U70" t="s">
        <v>650</v>
      </c>
      <c r="V70">
        <v>1</v>
      </c>
      <c r="W70" s="232">
        <v>36892</v>
      </c>
      <c r="X70" s="232">
        <v>36525</v>
      </c>
      <c r="Y70">
        <v>0</v>
      </c>
      <c r="Z70">
        <v>1</v>
      </c>
    </row>
    <row r="71" spans="1:26" x14ac:dyDescent="0.25">
      <c r="A71">
        <v>1765</v>
      </c>
      <c r="B71" t="s">
        <v>863</v>
      </c>
      <c r="C71" t="s">
        <v>864</v>
      </c>
      <c r="G71" t="s">
        <v>644</v>
      </c>
      <c r="H71" t="s">
        <v>865</v>
      </c>
      <c r="I71">
        <v>1</v>
      </c>
      <c r="J71" t="s">
        <v>864</v>
      </c>
      <c r="N71" t="s">
        <v>644</v>
      </c>
      <c r="O71" t="s">
        <v>865</v>
      </c>
      <c r="P71">
        <v>1</v>
      </c>
      <c r="R71">
        <v>7</v>
      </c>
      <c r="S71">
        <v>0</v>
      </c>
      <c r="U71" t="s">
        <v>650</v>
      </c>
      <c r="V71">
        <v>3</v>
      </c>
      <c r="W71" s="232">
        <v>36892</v>
      </c>
      <c r="X71" s="232">
        <v>36525</v>
      </c>
      <c r="Y71">
        <v>0</v>
      </c>
      <c r="Z71">
        <v>1</v>
      </c>
    </row>
    <row r="72" spans="1:26" x14ac:dyDescent="0.25">
      <c r="A72">
        <v>1506</v>
      </c>
      <c r="B72" t="s">
        <v>866</v>
      </c>
      <c r="C72" t="s">
        <v>867</v>
      </c>
      <c r="G72" t="s">
        <v>644</v>
      </c>
      <c r="H72" t="s">
        <v>868</v>
      </c>
      <c r="I72">
        <v>1</v>
      </c>
      <c r="J72" t="s">
        <v>867</v>
      </c>
      <c r="N72" t="s">
        <v>644</v>
      </c>
      <c r="O72" t="s">
        <v>868</v>
      </c>
      <c r="P72">
        <v>1</v>
      </c>
      <c r="R72">
        <v>6</v>
      </c>
      <c r="S72">
        <v>0</v>
      </c>
      <c r="U72" t="s">
        <v>650</v>
      </c>
      <c r="V72">
        <v>3</v>
      </c>
      <c r="W72" s="232">
        <v>36892</v>
      </c>
      <c r="X72" s="232">
        <v>36525</v>
      </c>
      <c r="Y72">
        <v>0</v>
      </c>
      <c r="Z72">
        <v>1</v>
      </c>
    </row>
    <row r="73" spans="1:26" x14ac:dyDescent="0.25">
      <c r="A73">
        <v>10283</v>
      </c>
      <c r="B73" t="s">
        <v>869</v>
      </c>
      <c r="C73" t="s">
        <v>870</v>
      </c>
      <c r="G73" t="s">
        <v>644</v>
      </c>
      <c r="H73" t="s">
        <v>871</v>
      </c>
      <c r="I73">
        <v>1</v>
      </c>
      <c r="J73" t="s">
        <v>870</v>
      </c>
      <c r="N73" t="s">
        <v>644</v>
      </c>
      <c r="O73" t="s">
        <v>871</v>
      </c>
      <c r="P73">
        <v>1</v>
      </c>
      <c r="R73">
        <v>5</v>
      </c>
      <c r="S73">
        <v>0</v>
      </c>
      <c r="U73" t="s">
        <v>650</v>
      </c>
      <c r="V73">
        <v>3</v>
      </c>
      <c r="W73" s="232">
        <v>36892</v>
      </c>
      <c r="X73" s="232">
        <v>36525</v>
      </c>
      <c r="Y73">
        <v>1</v>
      </c>
      <c r="Z73">
        <v>1</v>
      </c>
    </row>
    <row r="74" spans="1:26" x14ac:dyDescent="0.25">
      <c r="A74">
        <v>1513</v>
      </c>
      <c r="B74" t="s">
        <v>872</v>
      </c>
      <c r="C74" t="s">
        <v>873</v>
      </c>
      <c r="G74" t="s">
        <v>644</v>
      </c>
      <c r="H74" t="s">
        <v>874</v>
      </c>
      <c r="I74">
        <v>1</v>
      </c>
      <c r="J74" t="s">
        <v>873</v>
      </c>
      <c r="N74" t="s">
        <v>644</v>
      </c>
      <c r="O74" t="s">
        <v>874</v>
      </c>
      <c r="P74">
        <v>1</v>
      </c>
      <c r="R74">
        <v>5</v>
      </c>
      <c r="S74">
        <v>0</v>
      </c>
      <c r="U74" t="s">
        <v>650</v>
      </c>
      <c r="V74">
        <v>3</v>
      </c>
      <c r="W74" s="232">
        <v>36892</v>
      </c>
      <c r="X74" s="232">
        <v>36525</v>
      </c>
      <c r="Y74">
        <v>0</v>
      </c>
      <c r="Z74">
        <v>1</v>
      </c>
    </row>
    <row r="75" spans="1:26" x14ac:dyDescent="0.25">
      <c r="A75">
        <v>10377</v>
      </c>
      <c r="B75" t="s">
        <v>875</v>
      </c>
      <c r="C75" t="s">
        <v>876</v>
      </c>
      <c r="G75" t="s">
        <v>644</v>
      </c>
      <c r="H75" t="s">
        <v>645</v>
      </c>
      <c r="I75">
        <v>1</v>
      </c>
      <c r="J75" t="s">
        <v>876</v>
      </c>
      <c r="N75" t="s">
        <v>644</v>
      </c>
      <c r="O75" t="s">
        <v>645</v>
      </c>
      <c r="P75">
        <v>1</v>
      </c>
      <c r="R75">
        <v>2</v>
      </c>
      <c r="S75">
        <v>0</v>
      </c>
      <c r="U75" t="s">
        <v>650</v>
      </c>
      <c r="V75">
        <v>3</v>
      </c>
      <c r="W75" s="232">
        <v>36892</v>
      </c>
      <c r="X75" s="232">
        <v>36525</v>
      </c>
      <c r="Y75">
        <v>1</v>
      </c>
      <c r="Z75">
        <v>1</v>
      </c>
    </row>
    <row r="76" spans="1:26" x14ac:dyDescent="0.25">
      <c r="A76">
        <v>30228</v>
      </c>
      <c r="B76" t="s">
        <v>877</v>
      </c>
      <c r="C76" t="s">
        <v>878</v>
      </c>
      <c r="G76" t="s">
        <v>644</v>
      </c>
      <c r="H76" t="s">
        <v>879</v>
      </c>
      <c r="I76">
        <v>1</v>
      </c>
      <c r="J76" t="s">
        <v>878</v>
      </c>
      <c r="N76" t="s">
        <v>644</v>
      </c>
      <c r="O76" t="s">
        <v>879</v>
      </c>
      <c r="P76">
        <v>1</v>
      </c>
      <c r="R76">
        <v>2</v>
      </c>
      <c r="S76">
        <v>0</v>
      </c>
      <c r="U76" t="s">
        <v>880</v>
      </c>
      <c r="V76">
        <v>3</v>
      </c>
      <c r="W76" s="232">
        <v>36892</v>
      </c>
      <c r="X76" s="232">
        <v>36525</v>
      </c>
      <c r="Y76">
        <v>0</v>
      </c>
      <c r="Z76">
        <v>1</v>
      </c>
    </row>
    <row r="77" spans="1:26" x14ac:dyDescent="0.25">
      <c r="A77">
        <v>1696</v>
      </c>
      <c r="B77" t="s">
        <v>881</v>
      </c>
      <c r="C77" t="s">
        <v>882</v>
      </c>
      <c r="G77" t="s">
        <v>644</v>
      </c>
      <c r="H77" t="s">
        <v>883</v>
      </c>
      <c r="I77">
        <v>1</v>
      </c>
      <c r="J77" t="s">
        <v>882</v>
      </c>
      <c r="N77" t="s">
        <v>644</v>
      </c>
      <c r="O77" t="s">
        <v>883</v>
      </c>
      <c r="P77">
        <v>1</v>
      </c>
      <c r="R77">
        <v>4</v>
      </c>
      <c r="S77">
        <v>0</v>
      </c>
      <c r="U77" t="s">
        <v>650</v>
      </c>
      <c r="V77">
        <v>3</v>
      </c>
      <c r="W77" s="232">
        <v>36892</v>
      </c>
      <c r="X77" s="232">
        <v>36525</v>
      </c>
      <c r="Y77">
        <v>0</v>
      </c>
      <c r="Z77">
        <v>1</v>
      </c>
    </row>
    <row r="78" spans="1:26" x14ac:dyDescent="0.25">
      <c r="A78">
        <v>10554</v>
      </c>
      <c r="B78" t="s">
        <v>884</v>
      </c>
      <c r="C78" t="s">
        <v>885</v>
      </c>
      <c r="G78" t="s">
        <v>644</v>
      </c>
      <c r="H78" t="s">
        <v>804</v>
      </c>
      <c r="I78">
        <v>1</v>
      </c>
      <c r="J78" t="s">
        <v>885</v>
      </c>
      <c r="N78" t="s">
        <v>644</v>
      </c>
      <c r="O78" t="s">
        <v>804</v>
      </c>
      <c r="P78">
        <v>1</v>
      </c>
      <c r="R78">
        <v>3</v>
      </c>
      <c r="S78">
        <v>0</v>
      </c>
      <c r="U78" t="s">
        <v>650</v>
      </c>
      <c r="V78">
        <v>3</v>
      </c>
      <c r="W78" s="232">
        <v>36892</v>
      </c>
      <c r="X78" s="232">
        <v>36525</v>
      </c>
      <c r="Y78">
        <v>0</v>
      </c>
      <c r="Z78">
        <v>1</v>
      </c>
    </row>
    <row r="79" spans="1:26" x14ac:dyDescent="0.25">
      <c r="A79">
        <v>1586</v>
      </c>
      <c r="B79" t="s">
        <v>886</v>
      </c>
      <c r="C79" t="s">
        <v>887</v>
      </c>
      <c r="G79" t="s">
        <v>676</v>
      </c>
      <c r="H79" t="s">
        <v>888</v>
      </c>
      <c r="I79">
        <v>12</v>
      </c>
      <c r="J79" t="s">
        <v>887</v>
      </c>
      <c r="N79" t="s">
        <v>676</v>
      </c>
      <c r="O79" t="s">
        <v>888</v>
      </c>
      <c r="P79">
        <v>12</v>
      </c>
      <c r="Q79">
        <v>1285</v>
      </c>
      <c r="R79">
        <v>2</v>
      </c>
      <c r="S79">
        <v>0</v>
      </c>
      <c r="U79" t="s">
        <v>650</v>
      </c>
      <c r="V79">
        <v>3</v>
      </c>
      <c r="W79" s="232">
        <v>36892</v>
      </c>
      <c r="X79" s="232">
        <v>36525</v>
      </c>
      <c r="Y79">
        <v>0</v>
      </c>
      <c r="Z79">
        <v>1</v>
      </c>
    </row>
    <row r="80" spans="1:26" x14ac:dyDescent="0.25">
      <c r="A80">
        <v>10397</v>
      </c>
      <c r="B80" t="s">
        <v>889</v>
      </c>
      <c r="C80" t="s">
        <v>890</v>
      </c>
      <c r="G80" t="s">
        <v>891</v>
      </c>
      <c r="H80" t="s">
        <v>892</v>
      </c>
      <c r="I80">
        <v>12</v>
      </c>
      <c r="J80" t="s">
        <v>890</v>
      </c>
      <c r="N80" t="s">
        <v>891</v>
      </c>
      <c r="O80" t="s">
        <v>892</v>
      </c>
      <c r="P80">
        <v>12</v>
      </c>
      <c r="R80">
        <v>2</v>
      </c>
      <c r="S80">
        <v>0</v>
      </c>
      <c r="U80" t="s">
        <v>650</v>
      </c>
      <c r="V80">
        <v>3</v>
      </c>
      <c r="W80" s="232">
        <v>36892</v>
      </c>
      <c r="X80" s="232">
        <v>36525</v>
      </c>
      <c r="Y80">
        <v>1</v>
      </c>
      <c r="Z80">
        <v>1</v>
      </c>
    </row>
    <row r="81" spans="1:26" x14ac:dyDescent="0.25">
      <c r="A81">
        <v>10403</v>
      </c>
      <c r="B81" t="s">
        <v>893</v>
      </c>
      <c r="C81" t="s">
        <v>894</v>
      </c>
      <c r="G81" t="s">
        <v>644</v>
      </c>
      <c r="H81" t="s">
        <v>895</v>
      </c>
      <c r="I81">
        <v>1</v>
      </c>
      <c r="J81" t="s">
        <v>894</v>
      </c>
      <c r="N81" t="s">
        <v>644</v>
      </c>
      <c r="O81" t="s">
        <v>895</v>
      </c>
      <c r="P81">
        <v>1</v>
      </c>
      <c r="R81">
        <v>6</v>
      </c>
      <c r="S81">
        <v>0</v>
      </c>
      <c r="U81" t="s">
        <v>650</v>
      </c>
      <c r="V81">
        <v>3</v>
      </c>
      <c r="W81" s="232">
        <v>36892</v>
      </c>
      <c r="X81" s="232">
        <v>36525</v>
      </c>
      <c r="Y81">
        <v>0</v>
      </c>
      <c r="Z81">
        <v>1</v>
      </c>
    </row>
    <row r="82" spans="1:26" x14ac:dyDescent="0.25">
      <c r="A82">
        <v>10502</v>
      </c>
      <c r="B82" t="s">
        <v>896</v>
      </c>
      <c r="C82" t="s">
        <v>897</v>
      </c>
      <c r="G82" t="s">
        <v>644</v>
      </c>
      <c r="H82" t="s">
        <v>898</v>
      </c>
      <c r="I82">
        <v>1</v>
      </c>
      <c r="J82" t="s">
        <v>897</v>
      </c>
      <c r="N82" t="s">
        <v>644</v>
      </c>
      <c r="O82" t="s">
        <v>898</v>
      </c>
      <c r="P82">
        <v>1</v>
      </c>
      <c r="R82">
        <v>2</v>
      </c>
      <c r="S82">
        <v>0</v>
      </c>
      <c r="U82" t="s">
        <v>650</v>
      </c>
      <c r="V82">
        <v>3</v>
      </c>
      <c r="W82" s="232">
        <v>36892</v>
      </c>
      <c r="X82" s="232">
        <v>36525</v>
      </c>
      <c r="Y82">
        <v>1</v>
      </c>
      <c r="Z82">
        <v>1</v>
      </c>
    </row>
    <row r="83" spans="1:26" x14ac:dyDescent="0.25">
      <c r="A83">
        <v>1499</v>
      </c>
      <c r="B83" t="s">
        <v>899</v>
      </c>
      <c r="C83" t="s">
        <v>900</v>
      </c>
      <c r="G83" t="s">
        <v>644</v>
      </c>
      <c r="H83" t="s">
        <v>901</v>
      </c>
      <c r="I83">
        <v>1</v>
      </c>
      <c r="J83" t="s">
        <v>900</v>
      </c>
      <c r="N83" t="s">
        <v>644</v>
      </c>
      <c r="O83" t="s">
        <v>901</v>
      </c>
      <c r="P83">
        <v>1</v>
      </c>
      <c r="R83">
        <v>7</v>
      </c>
      <c r="S83">
        <v>0</v>
      </c>
      <c r="U83" t="s">
        <v>650</v>
      </c>
      <c r="V83">
        <v>3</v>
      </c>
      <c r="W83" s="232">
        <v>36892</v>
      </c>
      <c r="X83" s="232">
        <v>36525</v>
      </c>
      <c r="Y83">
        <v>0</v>
      </c>
      <c r="Z83">
        <v>1</v>
      </c>
    </row>
    <row r="84" spans="1:26" x14ac:dyDescent="0.25">
      <c r="A84">
        <v>2054</v>
      </c>
      <c r="B84" t="s">
        <v>902</v>
      </c>
      <c r="C84" t="s">
        <v>903</v>
      </c>
      <c r="G84" t="s">
        <v>644</v>
      </c>
      <c r="H84" t="s">
        <v>901</v>
      </c>
      <c r="I84">
        <v>1</v>
      </c>
      <c r="J84" t="s">
        <v>903</v>
      </c>
      <c r="N84" t="s">
        <v>644</v>
      </c>
      <c r="O84" t="s">
        <v>901</v>
      </c>
      <c r="P84">
        <v>1</v>
      </c>
      <c r="R84">
        <v>8</v>
      </c>
      <c r="S84">
        <v>0</v>
      </c>
      <c r="U84" t="s">
        <v>650</v>
      </c>
      <c r="V84">
        <v>3</v>
      </c>
      <c r="W84" s="232">
        <v>36892</v>
      </c>
      <c r="X84" s="232">
        <v>36525</v>
      </c>
      <c r="Y84">
        <v>0</v>
      </c>
      <c r="Z84">
        <v>1</v>
      </c>
    </row>
    <row r="85" spans="1:26" x14ac:dyDescent="0.25">
      <c r="A85">
        <v>1053</v>
      </c>
      <c r="B85" t="s">
        <v>904</v>
      </c>
      <c r="C85" t="s">
        <v>905</v>
      </c>
      <c r="G85" t="s">
        <v>644</v>
      </c>
      <c r="H85" t="s">
        <v>906</v>
      </c>
      <c r="I85">
        <v>1</v>
      </c>
      <c r="J85" t="s">
        <v>905</v>
      </c>
      <c r="N85" t="s">
        <v>644</v>
      </c>
      <c r="O85" t="s">
        <v>906</v>
      </c>
      <c r="P85">
        <v>1</v>
      </c>
      <c r="R85">
        <v>0</v>
      </c>
      <c r="S85">
        <v>0</v>
      </c>
      <c r="U85" t="s">
        <v>650</v>
      </c>
      <c r="V85">
        <v>0</v>
      </c>
      <c r="W85" s="232">
        <v>36892</v>
      </c>
      <c r="X85" s="232">
        <v>36525</v>
      </c>
      <c r="Y85">
        <v>0</v>
      </c>
      <c r="Z85">
        <v>1</v>
      </c>
    </row>
    <row r="86" spans="1:26" x14ac:dyDescent="0.25">
      <c r="A86">
        <v>4424</v>
      </c>
      <c r="B86" t="s">
        <v>907</v>
      </c>
      <c r="C86" t="s">
        <v>908</v>
      </c>
      <c r="G86" t="s">
        <v>644</v>
      </c>
      <c r="H86" t="s">
        <v>828</v>
      </c>
      <c r="I86">
        <v>1</v>
      </c>
      <c r="J86" t="s">
        <v>908</v>
      </c>
      <c r="N86" t="s">
        <v>644</v>
      </c>
      <c r="O86" t="s">
        <v>828</v>
      </c>
      <c r="P86">
        <v>1</v>
      </c>
      <c r="R86">
        <v>6</v>
      </c>
      <c r="S86">
        <v>0</v>
      </c>
      <c r="U86" t="s">
        <v>650</v>
      </c>
      <c r="V86">
        <v>3</v>
      </c>
      <c r="W86" s="232">
        <v>36892</v>
      </c>
      <c r="X86" s="232">
        <v>36525</v>
      </c>
      <c r="Y86">
        <v>0</v>
      </c>
      <c r="Z86">
        <v>1</v>
      </c>
    </row>
    <row r="87" spans="1:26" x14ac:dyDescent="0.25">
      <c r="A87">
        <v>30089</v>
      </c>
      <c r="B87" t="s">
        <v>909</v>
      </c>
      <c r="I87">
        <v>1</v>
      </c>
      <c r="P87">
        <v>1</v>
      </c>
      <c r="R87">
        <v>1</v>
      </c>
      <c r="S87">
        <v>29747</v>
      </c>
      <c r="T87" t="s">
        <v>660</v>
      </c>
      <c r="U87" t="s">
        <v>910</v>
      </c>
      <c r="V87">
        <v>3</v>
      </c>
      <c r="W87" s="232">
        <v>36892</v>
      </c>
      <c r="X87" s="232">
        <v>36525</v>
      </c>
      <c r="Y87">
        <v>0</v>
      </c>
      <c r="Z87">
        <v>1</v>
      </c>
    </row>
    <row r="88" spans="1:26" x14ac:dyDescent="0.25">
      <c r="A88">
        <v>1493</v>
      </c>
      <c r="B88" t="s">
        <v>911</v>
      </c>
      <c r="C88" t="s">
        <v>912</v>
      </c>
      <c r="G88" t="s">
        <v>644</v>
      </c>
      <c r="H88" t="s">
        <v>913</v>
      </c>
      <c r="I88">
        <v>1</v>
      </c>
      <c r="J88" t="s">
        <v>912</v>
      </c>
      <c r="N88" t="s">
        <v>644</v>
      </c>
      <c r="O88" t="s">
        <v>913</v>
      </c>
      <c r="P88">
        <v>1</v>
      </c>
      <c r="R88">
        <v>8</v>
      </c>
      <c r="S88">
        <v>0</v>
      </c>
      <c r="U88" t="s">
        <v>650</v>
      </c>
      <c r="V88">
        <v>3</v>
      </c>
      <c r="W88" s="232">
        <v>36892</v>
      </c>
      <c r="X88" s="232">
        <v>36525</v>
      </c>
      <c r="Y88">
        <v>0</v>
      </c>
      <c r="Z88">
        <v>1</v>
      </c>
    </row>
    <row r="89" spans="1:26" x14ac:dyDescent="0.25">
      <c r="A89">
        <v>30216</v>
      </c>
      <c r="B89" t="s">
        <v>914</v>
      </c>
      <c r="R89">
        <v>2</v>
      </c>
      <c r="S89">
        <v>29747</v>
      </c>
      <c r="T89" t="s">
        <v>660</v>
      </c>
      <c r="U89" t="s">
        <v>915</v>
      </c>
      <c r="V89">
        <v>3</v>
      </c>
      <c r="W89" s="232">
        <v>36892</v>
      </c>
      <c r="X89" s="232">
        <v>36525</v>
      </c>
      <c r="Y89">
        <v>0</v>
      </c>
      <c r="Z89">
        <v>1</v>
      </c>
    </row>
    <row r="90" spans="1:26" x14ac:dyDescent="0.25">
      <c r="A90">
        <v>1583</v>
      </c>
      <c r="B90" t="s">
        <v>916</v>
      </c>
      <c r="C90" t="s">
        <v>917</v>
      </c>
      <c r="D90" t="s">
        <v>918</v>
      </c>
      <c r="G90" t="s">
        <v>919</v>
      </c>
      <c r="H90" t="s">
        <v>920</v>
      </c>
      <c r="I90">
        <v>1</v>
      </c>
      <c r="J90" t="s">
        <v>917</v>
      </c>
      <c r="K90" t="s">
        <v>918</v>
      </c>
      <c r="N90" t="s">
        <v>919</v>
      </c>
      <c r="O90" t="s">
        <v>920</v>
      </c>
      <c r="P90">
        <v>1</v>
      </c>
      <c r="R90">
        <v>0</v>
      </c>
      <c r="S90">
        <v>0</v>
      </c>
      <c r="U90" t="s">
        <v>650</v>
      </c>
      <c r="V90">
        <v>0</v>
      </c>
      <c r="W90" s="232">
        <v>36892</v>
      </c>
      <c r="X90" s="232">
        <v>36525</v>
      </c>
      <c r="Y90">
        <v>0</v>
      </c>
      <c r="Z90">
        <v>1</v>
      </c>
    </row>
    <row r="91" spans="1:26" x14ac:dyDescent="0.25">
      <c r="A91">
        <v>30224</v>
      </c>
      <c r="B91" t="s">
        <v>916</v>
      </c>
      <c r="R91">
        <v>2</v>
      </c>
      <c r="S91">
        <v>0</v>
      </c>
      <c r="U91" t="s">
        <v>921</v>
      </c>
      <c r="V91">
        <v>3</v>
      </c>
      <c r="W91" s="232">
        <v>36892</v>
      </c>
      <c r="X91" s="232">
        <v>36525</v>
      </c>
      <c r="Y91">
        <v>0</v>
      </c>
      <c r="Z91">
        <v>1</v>
      </c>
    </row>
    <row r="92" spans="1:26" x14ac:dyDescent="0.25">
      <c r="A92">
        <v>1758</v>
      </c>
      <c r="B92" t="s">
        <v>922</v>
      </c>
      <c r="C92" t="s">
        <v>923</v>
      </c>
      <c r="G92" t="s">
        <v>644</v>
      </c>
      <c r="H92" t="s">
        <v>924</v>
      </c>
      <c r="I92">
        <v>1</v>
      </c>
      <c r="J92" t="s">
        <v>923</v>
      </c>
      <c r="N92" t="s">
        <v>644</v>
      </c>
      <c r="O92" t="s">
        <v>924</v>
      </c>
      <c r="P92">
        <v>1</v>
      </c>
      <c r="R92">
        <v>4</v>
      </c>
      <c r="S92">
        <v>0</v>
      </c>
      <c r="U92" t="s">
        <v>650</v>
      </c>
      <c r="V92">
        <v>3</v>
      </c>
      <c r="W92" s="232">
        <v>36892</v>
      </c>
      <c r="X92" s="232">
        <v>36525</v>
      </c>
      <c r="Y92">
        <v>0</v>
      </c>
      <c r="Z92">
        <v>1</v>
      </c>
    </row>
    <row r="93" spans="1:26" x14ac:dyDescent="0.25">
      <c r="A93">
        <v>1461</v>
      </c>
      <c r="B93" t="s">
        <v>925</v>
      </c>
      <c r="C93" t="s">
        <v>926</v>
      </c>
      <c r="G93" t="s">
        <v>644</v>
      </c>
      <c r="H93" t="s">
        <v>865</v>
      </c>
      <c r="I93">
        <v>1</v>
      </c>
      <c r="J93" t="s">
        <v>926</v>
      </c>
      <c r="N93" t="s">
        <v>644</v>
      </c>
      <c r="O93" t="s">
        <v>865</v>
      </c>
      <c r="P93">
        <v>1</v>
      </c>
      <c r="R93">
        <v>5</v>
      </c>
      <c r="S93">
        <v>0</v>
      </c>
      <c r="U93" t="s">
        <v>650</v>
      </c>
      <c r="V93">
        <v>3</v>
      </c>
      <c r="W93" s="232">
        <v>36892</v>
      </c>
      <c r="X93" s="232">
        <v>36525</v>
      </c>
      <c r="Y93">
        <v>0</v>
      </c>
      <c r="Z93">
        <v>1</v>
      </c>
    </row>
    <row r="94" spans="1:26" x14ac:dyDescent="0.25">
      <c r="A94">
        <v>1639</v>
      </c>
      <c r="B94" t="s">
        <v>927</v>
      </c>
      <c r="C94" t="s">
        <v>928</v>
      </c>
      <c r="G94" t="s">
        <v>644</v>
      </c>
      <c r="H94" t="s">
        <v>929</v>
      </c>
      <c r="I94">
        <v>1</v>
      </c>
      <c r="J94" t="s">
        <v>928</v>
      </c>
      <c r="N94" t="s">
        <v>644</v>
      </c>
      <c r="O94" t="s">
        <v>929</v>
      </c>
      <c r="P94">
        <v>1</v>
      </c>
      <c r="R94">
        <v>5</v>
      </c>
      <c r="S94">
        <v>0</v>
      </c>
      <c r="U94" t="s">
        <v>650</v>
      </c>
      <c r="V94">
        <v>3</v>
      </c>
      <c r="W94" s="232">
        <v>36892</v>
      </c>
      <c r="X94" s="232">
        <v>36525</v>
      </c>
      <c r="Y94">
        <v>1</v>
      </c>
      <c r="Z94">
        <v>1</v>
      </c>
    </row>
    <row r="95" spans="1:26" x14ac:dyDescent="0.25">
      <c r="A95">
        <v>1537</v>
      </c>
      <c r="B95" t="s">
        <v>930</v>
      </c>
      <c r="C95" t="s">
        <v>931</v>
      </c>
      <c r="G95" t="s">
        <v>644</v>
      </c>
      <c r="H95" t="s">
        <v>932</v>
      </c>
      <c r="I95">
        <v>1</v>
      </c>
      <c r="J95" t="s">
        <v>931</v>
      </c>
      <c r="N95" t="s">
        <v>644</v>
      </c>
      <c r="O95" t="s">
        <v>932</v>
      </c>
      <c r="P95">
        <v>1</v>
      </c>
      <c r="R95">
        <v>5</v>
      </c>
      <c r="S95">
        <v>0</v>
      </c>
      <c r="U95" t="s">
        <v>650</v>
      </c>
      <c r="V95">
        <v>3</v>
      </c>
      <c r="W95" s="232">
        <v>36892</v>
      </c>
      <c r="X95" s="232">
        <v>36525</v>
      </c>
      <c r="Y95">
        <v>0</v>
      </c>
      <c r="Z95">
        <v>1</v>
      </c>
    </row>
    <row r="96" spans="1:26" x14ac:dyDescent="0.25">
      <c r="A96">
        <v>1494</v>
      </c>
      <c r="B96" t="s">
        <v>933</v>
      </c>
      <c r="C96" t="s">
        <v>934</v>
      </c>
      <c r="G96" t="s">
        <v>644</v>
      </c>
      <c r="H96" t="s">
        <v>760</v>
      </c>
      <c r="I96">
        <v>1</v>
      </c>
      <c r="J96" t="s">
        <v>934</v>
      </c>
      <c r="N96" t="s">
        <v>644</v>
      </c>
      <c r="O96" t="s">
        <v>760</v>
      </c>
      <c r="P96">
        <v>1</v>
      </c>
      <c r="R96">
        <v>9</v>
      </c>
      <c r="S96">
        <v>0</v>
      </c>
      <c r="U96" t="s">
        <v>650</v>
      </c>
      <c r="V96">
        <v>3</v>
      </c>
      <c r="W96" s="232">
        <v>36892</v>
      </c>
      <c r="X96" s="232">
        <v>36525</v>
      </c>
      <c r="Y96">
        <v>1</v>
      </c>
      <c r="Z96">
        <v>1</v>
      </c>
    </row>
    <row r="97" spans="1:26" x14ac:dyDescent="0.25">
      <c r="A97">
        <v>1541</v>
      </c>
      <c r="B97" t="s">
        <v>935</v>
      </c>
      <c r="C97" t="s">
        <v>936</v>
      </c>
      <c r="G97" t="s">
        <v>891</v>
      </c>
      <c r="H97" t="s">
        <v>937</v>
      </c>
      <c r="I97">
        <v>12</v>
      </c>
      <c r="J97" t="s">
        <v>936</v>
      </c>
      <c r="N97" t="s">
        <v>891</v>
      </c>
      <c r="O97" t="s">
        <v>937</v>
      </c>
      <c r="P97">
        <v>12</v>
      </c>
      <c r="R97">
        <v>2</v>
      </c>
      <c r="S97">
        <v>0</v>
      </c>
      <c r="U97" t="s">
        <v>650</v>
      </c>
      <c r="V97">
        <v>3</v>
      </c>
      <c r="W97" s="232">
        <v>36892</v>
      </c>
      <c r="X97" s="232">
        <v>36525</v>
      </c>
      <c r="Y97">
        <v>1</v>
      </c>
      <c r="Z97">
        <v>1</v>
      </c>
    </row>
    <row r="98" spans="1:26" x14ac:dyDescent="0.25">
      <c r="A98">
        <v>10262</v>
      </c>
      <c r="B98" t="s">
        <v>938</v>
      </c>
      <c r="C98" t="s">
        <v>939</v>
      </c>
      <c r="G98" t="s">
        <v>940</v>
      </c>
      <c r="H98" t="s">
        <v>941</v>
      </c>
      <c r="I98">
        <v>1</v>
      </c>
      <c r="J98" t="s">
        <v>939</v>
      </c>
      <c r="N98" t="s">
        <v>940</v>
      </c>
      <c r="O98" t="s">
        <v>941</v>
      </c>
      <c r="P98">
        <v>1</v>
      </c>
      <c r="R98">
        <v>4</v>
      </c>
      <c r="S98">
        <v>0</v>
      </c>
      <c r="U98" t="s">
        <v>650</v>
      </c>
      <c r="V98">
        <v>3</v>
      </c>
      <c r="W98" s="232">
        <v>36892</v>
      </c>
      <c r="X98" s="232">
        <v>36525</v>
      </c>
      <c r="Y98">
        <v>1</v>
      </c>
      <c r="Z98">
        <v>1</v>
      </c>
    </row>
    <row r="99" spans="1:26" x14ac:dyDescent="0.25">
      <c r="A99">
        <v>2462</v>
      </c>
      <c r="B99" t="s">
        <v>942</v>
      </c>
      <c r="C99" t="s">
        <v>943</v>
      </c>
      <c r="G99" t="s">
        <v>644</v>
      </c>
      <c r="H99" t="s">
        <v>944</v>
      </c>
      <c r="I99">
        <v>1</v>
      </c>
      <c r="J99" t="s">
        <v>943</v>
      </c>
      <c r="N99" t="s">
        <v>644</v>
      </c>
      <c r="O99" t="s">
        <v>944</v>
      </c>
      <c r="P99">
        <v>1</v>
      </c>
      <c r="R99">
        <v>6</v>
      </c>
      <c r="S99">
        <v>0</v>
      </c>
      <c r="U99" t="s">
        <v>650</v>
      </c>
      <c r="V99">
        <v>3</v>
      </c>
      <c r="W99" s="232">
        <v>36892</v>
      </c>
      <c r="X99" s="232">
        <v>36525</v>
      </c>
      <c r="Y99">
        <v>0</v>
      </c>
      <c r="Z99">
        <v>1</v>
      </c>
    </row>
    <row r="100" spans="1:26" x14ac:dyDescent="0.25">
      <c r="A100">
        <v>10406</v>
      </c>
      <c r="B100" t="s">
        <v>945</v>
      </c>
      <c r="C100" t="s">
        <v>946</v>
      </c>
      <c r="G100" t="s">
        <v>644</v>
      </c>
      <c r="H100" t="s">
        <v>656</v>
      </c>
      <c r="I100">
        <v>1</v>
      </c>
      <c r="J100" t="s">
        <v>946</v>
      </c>
      <c r="N100" t="s">
        <v>644</v>
      </c>
      <c r="O100" t="s">
        <v>656</v>
      </c>
      <c r="P100">
        <v>1</v>
      </c>
      <c r="R100">
        <v>3</v>
      </c>
      <c r="S100">
        <v>0</v>
      </c>
      <c r="U100" t="s">
        <v>650</v>
      </c>
      <c r="V100">
        <v>3</v>
      </c>
      <c r="W100" s="232">
        <v>36892</v>
      </c>
      <c r="X100" s="232">
        <v>36525</v>
      </c>
      <c r="Y100">
        <v>0</v>
      </c>
      <c r="Z100">
        <v>1</v>
      </c>
    </row>
    <row r="101" spans="1:26" x14ac:dyDescent="0.25">
      <c r="A101">
        <v>4459</v>
      </c>
      <c r="B101" t="s">
        <v>947</v>
      </c>
      <c r="C101" t="s">
        <v>948</v>
      </c>
      <c r="G101" t="s">
        <v>644</v>
      </c>
      <c r="H101" t="s">
        <v>828</v>
      </c>
      <c r="I101">
        <v>1</v>
      </c>
      <c r="J101" t="s">
        <v>948</v>
      </c>
      <c r="N101" t="s">
        <v>644</v>
      </c>
      <c r="O101" t="s">
        <v>828</v>
      </c>
      <c r="P101">
        <v>1</v>
      </c>
      <c r="R101">
        <v>8</v>
      </c>
      <c r="S101">
        <v>0</v>
      </c>
      <c r="U101" t="s">
        <v>650</v>
      </c>
      <c r="V101">
        <v>3</v>
      </c>
      <c r="W101" s="232">
        <v>36892</v>
      </c>
      <c r="X101" s="232">
        <v>36525</v>
      </c>
      <c r="Y101">
        <v>0</v>
      </c>
      <c r="Z101">
        <v>1</v>
      </c>
    </row>
    <row r="102" spans="1:26" x14ac:dyDescent="0.25">
      <c r="A102">
        <v>4639</v>
      </c>
      <c r="B102" t="s">
        <v>949</v>
      </c>
      <c r="C102" t="s">
        <v>950</v>
      </c>
      <c r="G102" t="s">
        <v>644</v>
      </c>
      <c r="H102" t="s">
        <v>727</v>
      </c>
      <c r="I102">
        <v>1</v>
      </c>
      <c r="J102" t="s">
        <v>950</v>
      </c>
      <c r="N102" t="s">
        <v>644</v>
      </c>
      <c r="O102" t="s">
        <v>727</v>
      </c>
      <c r="P102">
        <v>1</v>
      </c>
      <c r="R102">
        <v>10</v>
      </c>
      <c r="S102">
        <v>29747</v>
      </c>
      <c r="T102" t="s">
        <v>660</v>
      </c>
      <c r="U102" t="s">
        <v>951</v>
      </c>
      <c r="V102">
        <v>3</v>
      </c>
      <c r="W102" s="232">
        <v>36892</v>
      </c>
      <c r="X102" s="232">
        <v>36525</v>
      </c>
      <c r="Y102">
        <v>0</v>
      </c>
      <c r="Z102">
        <v>1</v>
      </c>
    </row>
    <row r="103" spans="1:26" x14ac:dyDescent="0.25">
      <c r="A103">
        <v>1637</v>
      </c>
      <c r="B103" t="s">
        <v>952</v>
      </c>
      <c r="C103" t="s">
        <v>953</v>
      </c>
      <c r="G103" t="s">
        <v>644</v>
      </c>
      <c r="H103" t="s">
        <v>828</v>
      </c>
      <c r="I103">
        <v>1</v>
      </c>
      <c r="J103" t="s">
        <v>953</v>
      </c>
      <c r="N103" t="s">
        <v>644</v>
      </c>
      <c r="O103" t="s">
        <v>828</v>
      </c>
      <c r="P103">
        <v>1</v>
      </c>
      <c r="R103">
        <v>8</v>
      </c>
      <c r="S103">
        <v>0</v>
      </c>
      <c r="U103" t="s">
        <v>954</v>
      </c>
      <c r="V103">
        <v>3</v>
      </c>
      <c r="W103" s="232">
        <v>36892</v>
      </c>
      <c r="X103" s="232">
        <v>36525</v>
      </c>
      <c r="Y103">
        <v>0</v>
      </c>
      <c r="Z103">
        <v>1</v>
      </c>
    </row>
    <row r="104" spans="1:26" x14ac:dyDescent="0.25">
      <c r="A104">
        <v>1689</v>
      </c>
      <c r="B104" t="s">
        <v>955</v>
      </c>
      <c r="C104" t="s">
        <v>956</v>
      </c>
      <c r="G104" t="s">
        <v>644</v>
      </c>
      <c r="H104" t="s">
        <v>957</v>
      </c>
      <c r="I104">
        <v>1</v>
      </c>
      <c r="J104" t="s">
        <v>956</v>
      </c>
      <c r="N104" t="s">
        <v>644</v>
      </c>
      <c r="O104" t="s">
        <v>957</v>
      </c>
      <c r="P104">
        <v>1</v>
      </c>
      <c r="R104">
        <v>6</v>
      </c>
      <c r="S104">
        <v>0</v>
      </c>
      <c r="U104" t="s">
        <v>650</v>
      </c>
      <c r="V104">
        <v>3</v>
      </c>
      <c r="W104" s="232">
        <v>36892</v>
      </c>
      <c r="X104" s="232">
        <v>36525</v>
      </c>
      <c r="Y104">
        <v>1</v>
      </c>
      <c r="Z104">
        <v>1</v>
      </c>
    </row>
    <row r="105" spans="1:26" x14ac:dyDescent="0.25">
      <c r="A105">
        <v>1782</v>
      </c>
      <c r="B105" t="s">
        <v>958</v>
      </c>
      <c r="C105" t="s">
        <v>959</v>
      </c>
      <c r="G105" t="s">
        <v>644</v>
      </c>
      <c r="H105" t="s">
        <v>727</v>
      </c>
      <c r="I105">
        <v>1</v>
      </c>
      <c r="J105" t="s">
        <v>959</v>
      </c>
      <c r="N105" t="s">
        <v>644</v>
      </c>
      <c r="O105" t="s">
        <v>727</v>
      </c>
      <c r="P105">
        <v>1</v>
      </c>
      <c r="R105">
        <v>4</v>
      </c>
      <c r="S105">
        <v>0</v>
      </c>
      <c r="U105" t="s">
        <v>650</v>
      </c>
      <c r="V105">
        <v>3</v>
      </c>
      <c r="W105" s="232">
        <v>36892</v>
      </c>
      <c r="X105" s="232">
        <v>36525</v>
      </c>
      <c r="Y105">
        <v>1</v>
      </c>
      <c r="Z105">
        <v>1</v>
      </c>
    </row>
    <row r="106" spans="1:26" x14ac:dyDescent="0.25">
      <c r="A106">
        <v>10460</v>
      </c>
      <c r="B106" t="s">
        <v>960</v>
      </c>
      <c r="C106" t="s">
        <v>961</v>
      </c>
      <c r="G106" t="s">
        <v>962</v>
      </c>
      <c r="H106" t="s">
        <v>963</v>
      </c>
      <c r="I106">
        <v>12</v>
      </c>
      <c r="J106" t="s">
        <v>961</v>
      </c>
      <c r="N106" t="s">
        <v>962</v>
      </c>
      <c r="O106" t="s">
        <v>963</v>
      </c>
      <c r="P106">
        <v>12</v>
      </c>
      <c r="R106">
        <v>4</v>
      </c>
      <c r="S106">
        <v>0</v>
      </c>
      <c r="U106" t="s">
        <v>650</v>
      </c>
      <c r="V106">
        <v>3</v>
      </c>
      <c r="W106" s="232">
        <v>36892</v>
      </c>
      <c r="X106" s="232">
        <v>36525</v>
      </c>
      <c r="Y106">
        <v>0</v>
      </c>
      <c r="Z106">
        <v>1</v>
      </c>
    </row>
    <row r="107" spans="1:26" x14ac:dyDescent="0.25">
      <c r="A107">
        <v>1481</v>
      </c>
      <c r="B107" t="s">
        <v>964</v>
      </c>
      <c r="C107" t="s">
        <v>965</v>
      </c>
      <c r="G107" t="s">
        <v>644</v>
      </c>
      <c r="H107" t="s">
        <v>966</v>
      </c>
      <c r="I107">
        <v>1</v>
      </c>
      <c r="J107" t="s">
        <v>965</v>
      </c>
      <c r="N107" t="s">
        <v>644</v>
      </c>
      <c r="O107" t="s">
        <v>966</v>
      </c>
      <c r="P107">
        <v>1</v>
      </c>
      <c r="R107">
        <v>6</v>
      </c>
      <c r="S107">
        <v>0</v>
      </c>
      <c r="U107" t="s">
        <v>650</v>
      </c>
      <c r="V107">
        <v>3</v>
      </c>
      <c r="W107" s="232">
        <v>36892</v>
      </c>
      <c r="X107" s="232">
        <v>36525</v>
      </c>
      <c r="Y107">
        <v>1</v>
      </c>
      <c r="Z107">
        <v>1</v>
      </c>
    </row>
    <row r="108" spans="1:26" x14ac:dyDescent="0.25">
      <c r="A108">
        <v>30183</v>
      </c>
      <c r="B108" t="s">
        <v>967</v>
      </c>
      <c r="C108" t="s">
        <v>968</v>
      </c>
      <c r="G108" t="s">
        <v>969</v>
      </c>
      <c r="H108" t="s">
        <v>970</v>
      </c>
      <c r="I108">
        <v>12</v>
      </c>
      <c r="J108" t="s">
        <v>968</v>
      </c>
      <c r="N108" t="s">
        <v>969</v>
      </c>
      <c r="O108" t="s">
        <v>970</v>
      </c>
      <c r="P108">
        <v>12</v>
      </c>
      <c r="R108">
        <v>2</v>
      </c>
      <c r="S108">
        <v>29747</v>
      </c>
      <c r="T108" t="s">
        <v>660</v>
      </c>
      <c r="U108" t="s">
        <v>971</v>
      </c>
      <c r="V108">
        <v>3</v>
      </c>
      <c r="W108" s="232">
        <v>36892</v>
      </c>
      <c r="X108" s="232">
        <v>36525</v>
      </c>
      <c r="Y108">
        <v>0</v>
      </c>
      <c r="Z108">
        <v>1</v>
      </c>
    </row>
    <row r="109" spans="1:26" x14ac:dyDescent="0.25">
      <c r="A109">
        <v>30215</v>
      </c>
      <c r="B109" t="s">
        <v>972</v>
      </c>
      <c r="R109">
        <v>1</v>
      </c>
      <c r="S109">
        <v>29747</v>
      </c>
      <c r="T109" t="s">
        <v>660</v>
      </c>
      <c r="U109" t="s">
        <v>973</v>
      </c>
      <c r="V109">
        <v>1</v>
      </c>
      <c r="W109" s="232">
        <v>36892</v>
      </c>
      <c r="X109" s="232">
        <v>36525</v>
      </c>
      <c r="Y109">
        <v>0</v>
      </c>
      <c r="Z109">
        <v>1</v>
      </c>
    </row>
    <row r="110" spans="1:26" x14ac:dyDescent="0.25">
      <c r="A110">
        <v>30219</v>
      </c>
      <c r="B110" t="s">
        <v>974</v>
      </c>
      <c r="R110">
        <v>1</v>
      </c>
      <c r="S110">
        <v>29747</v>
      </c>
      <c r="T110" t="s">
        <v>660</v>
      </c>
      <c r="U110" t="s">
        <v>975</v>
      </c>
      <c r="V110">
        <v>1</v>
      </c>
      <c r="W110" s="232">
        <v>36892</v>
      </c>
      <c r="X110" s="232">
        <v>36525</v>
      </c>
      <c r="Y110">
        <v>0</v>
      </c>
      <c r="Z110">
        <v>1</v>
      </c>
    </row>
    <row r="111" spans="1:26" x14ac:dyDescent="0.25">
      <c r="A111">
        <v>2391</v>
      </c>
      <c r="B111" t="s">
        <v>976</v>
      </c>
      <c r="C111" t="s">
        <v>977</v>
      </c>
      <c r="G111" t="s">
        <v>644</v>
      </c>
      <c r="H111" t="s">
        <v>978</v>
      </c>
      <c r="I111">
        <v>1</v>
      </c>
      <c r="J111" t="s">
        <v>977</v>
      </c>
      <c r="N111" t="s">
        <v>644</v>
      </c>
      <c r="O111" t="s">
        <v>978</v>
      </c>
      <c r="P111">
        <v>1</v>
      </c>
      <c r="R111">
        <v>8</v>
      </c>
      <c r="S111">
        <v>0</v>
      </c>
      <c r="U111" t="s">
        <v>650</v>
      </c>
      <c r="V111">
        <v>3</v>
      </c>
      <c r="W111" s="232">
        <v>36892</v>
      </c>
      <c r="X111" s="232">
        <v>36525</v>
      </c>
      <c r="Y111">
        <v>1</v>
      </c>
      <c r="Z111">
        <v>1</v>
      </c>
    </row>
    <row r="112" spans="1:26" x14ac:dyDescent="0.25">
      <c r="A112">
        <v>30188</v>
      </c>
      <c r="B112" t="s">
        <v>979</v>
      </c>
      <c r="C112" t="s">
        <v>980</v>
      </c>
      <c r="G112" t="s">
        <v>981</v>
      </c>
      <c r="H112" t="s">
        <v>982</v>
      </c>
      <c r="I112">
        <v>1</v>
      </c>
      <c r="J112" t="s">
        <v>980</v>
      </c>
      <c r="N112" t="s">
        <v>981</v>
      </c>
      <c r="O112" t="s">
        <v>982</v>
      </c>
      <c r="P112">
        <v>1</v>
      </c>
      <c r="R112">
        <v>4</v>
      </c>
      <c r="S112">
        <v>29747</v>
      </c>
      <c r="T112" t="s">
        <v>660</v>
      </c>
      <c r="U112" t="s">
        <v>983</v>
      </c>
      <c r="V112">
        <v>3</v>
      </c>
      <c r="W112" s="232">
        <v>36892</v>
      </c>
      <c r="X112" s="232">
        <v>36525</v>
      </c>
      <c r="Y112">
        <v>0</v>
      </c>
      <c r="Z112">
        <v>1</v>
      </c>
    </row>
    <row r="113" spans="1:26" x14ac:dyDescent="0.25">
      <c r="A113">
        <v>30205</v>
      </c>
      <c r="B113" t="s">
        <v>984</v>
      </c>
      <c r="C113" t="s">
        <v>985</v>
      </c>
      <c r="G113" t="s">
        <v>644</v>
      </c>
      <c r="H113" t="s">
        <v>766</v>
      </c>
      <c r="I113">
        <v>1</v>
      </c>
      <c r="J113" t="s">
        <v>985</v>
      </c>
      <c r="N113" t="s">
        <v>644</v>
      </c>
      <c r="O113" t="s">
        <v>766</v>
      </c>
      <c r="P113">
        <v>1</v>
      </c>
      <c r="R113">
        <v>3</v>
      </c>
      <c r="S113">
        <v>29747</v>
      </c>
      <c r="T113" t="s">
        <v>660</v>
      </c>
      <c r="U113" t="s">
        <v>986</v>
      </c>
      <c r="V113">
        <v>3</v>
      </c>
      <c r="W113" s="232">
        <v>36892</v>
      </c>
      <c r="X113" s="232">
        <v>36525</v>
      </c>
      <c r="Y113">
        <v>1</v>
      </c>
      <c r="Z113">
        <v>1</v>
      </c>
    </row>
    <row r="114" spans="1:26" x14ac:dyDescent="0.25">
      <c r="A114">
        <v>1868</v>
      </c>
      <c r="B114" t="s">
        <v>987</v>
      </c>
      <c r="C114" t="s">
        <v>988</v>
      </c>
      <c r="G114" t="s">
        <v>644</v>
      </c>
      <c r="H114" t="s">
        <v>656</v>
      </c>
      <c r="I114">
        <v>1</v>
      </c>
      <c r="J114" t="s">
        <v>988</v>
      </c>
      <c r="N114" t="s">
        <v>644</v>
      </c>
      <c r="O114" t="s">
        <v>656</v>
      </c>
      <c r="P114">
        <v>1</v>
      </c>
      <c r="R114">
        <v>3</v>
      </c>
      <c r="S114">
        <v>0</v>
      </c>
      <c r="U114" t="s">
        <v>650</v>
      </c>
      <c r="V114">
        <v>3</v>
      </c>
      <c r="W114" s="232">
        <v>36892</v>
      </c>
      <c r="X114" s="232">
        <v>36525</v>
      </c>
      <c r="Y114">
        <v>0</v>
      </c>
      <c r="Z114">
        <v>1</v>
      </c>
    </row>
    <row r="115" spans="1:26" x14ac:dyDescent="0.25">
      <c r="A115">
        <v>30199</v>
      </c>
      <c r="B115" t="s">
        <v>989</v>
      </c>
      <c r="C115" t="s">
        <v>990</v>
      </c>
      <c r="G115" t="s">
        <v>644</v>
      </c>
      <c r="H115" t="s">
        <v>991</v>
      </c>
      <c r="I115">
        <v>1</v>
      </c>
      <c r="P115">
        <v>1</v>
      </c>
      <c r="R115">
        <v>2</v>
      </c>
      <c r="S115">
        <v>29747</v>
      </c>
      <c r="T115" t="s">
        <v>660</v>
      </c>
      <c r="U115" t="s">
        <v>992</v>
      </c>
      <c r="V115">
        <v>3</v>
      </c>
      <c r="W115" s="232">
        <v>42584</v>
      </c>
      <c r="X115" s="232">
        <v>36525</v>
      </c>
      <c r="Y115">
        <v>0</v>
      </c>
      <c r="Z115">
        <v>1</v>
      </c>
    </row>
    <row r="116" spans="1:26" x14ac:dyDescent="0.25">
      <c r="A116">
        <v>1840</v>
      </c>
      <c r="B116" t="s">
        <v>993</v>
      </c>
      <c r="C116" t="s">
        <v>994</v>
      </c>
      <c r="G116" t="s">
        <v>644</v>
      </c>
      <c r="H116" t="s">
        <v>895</v>
      </c>
      <c r="I116">
        <v>1</v>
      </c>
      <c r="J116" t="s">
        <v>994</v>
      </c>
      <c r="N116" t="s">
        <v>644</v>
      </c>
      <c r="O116" t="s">
        <v>895</v>
      </c>
      <c r="P116">
        <v>1</v>
      </c>
      <c r="R116">
        <v>8</v>
      </c>
      <c r="S116">
        <v>0</v>
      </c>
      <c r="U116" t="s">
        <v>650</v>
      </c>
      <c r="V116">
        <v>3</v>
      </c>
      <c r="W116" s="232">
        <v>36892</v>
      </c>
      <c r="X116" s="232">
        <v>36525</v>
      </c>
      <c r="Y116">
        <v>0</v>
      </c>
      <c r="Z116">
        <v>1</v>
      </c>
    </row>
    <row r="117" spans="1:26" x14ac:dyDescent="0.25">
      <c r="A117">
        <v>2382</v>
      </c>
      <c r="B117" t="s">
        <v>995</v>
      </c>
      <c r="C117" t="s">
        <v>996</v>
      </c>
      <c r="G117" t="s">
        <v>644</v>
      </c>
      <c r="H117" t="s">
        <v>828</v>
      </c>
      <c r="I117">
        <v>1</v>
      </c>
      <c r="J117" t="s">
        <v>996</v>
      </c>
      <c r="N117" t="s">
        <v>644</v>
      </c>
      <c r="O117" t="s">
        <v>828</v>
      </c>
      <c r="P117">
        <v>1</v>
      </c>
      <c r="R117">
        <v>4</v>
      </c>
      <c r="S117">
        <v>0</v>
      </c>
      <c r="U117" t="s">
        <v>650</v>
      </c>
      <c r="V117">
        <v>3</v>
      </c>
      <c r="W117" s="232">
        <v>36892</v>
      </c>
      <c r="X117" s="232">
        <v>36525</v>
      </c>
      <c r="Y117">
        <v>0</v>
      </c>
      <c r="Z117">
        <v>1</v>
      </c>
    </row>
    <row r="118" spans="1:26" x14ac:dyDescent="0.25">
      <c r="A118">
        <v>1822</v>
      </c>
      <c r="B118" t="s">
        <v>997</v>
      </c>
      <c r="C118" t="s">
        <v>905</v>
      </c>
      <c r="G118" t="s">
        <v>644</v>
      </c>
      <c r="H118" t="s">
        <v>906</v>
      </c>
      <c r="I118">
        <v>1</v>
      </c>
      <c r="J118" t="s">
        <v>905</v>
      </c>
      <c r="N118" t="s">
        <v>644</v>
      </c>
      <c r="O118" t="s">
        <v>906</v>
      </c>
      <c r="P118">
        <v>1</v>
      </c>
      <c r="R118">
        <v>4</v>
      </c>
      <c r="S118">
        <v>0</v>
      </c>
      <c r="U118" t="s">
        <v>650</v>
      </c>
      <c r="V118">
        <v>3</v>
      </c>
      <c r="W118" s="232">
        <v>36892</v>
      </c>
      <c r="X118" s="232">
        <v>36525</v>
      </c>
      <c r="Y118">
        <v>1</v>
      </c>
      <c r="Z118">
        <v>1</v>
      </c>
    </row>
    <row r="119" spans="1:26" x14ac:dyDescent="0.25">
      <c r="A119">
        <v>10388</v>
      </c>
      <c r="B119" t="s">
        <v>998</v>
      </c>
      <c r="C119" t="s">
        <v>999</v>
      </c>
      <c r="G119" t="s">
        <v>644</v>
      </c>
      <c r="H119" t="s">
        <v>1000</v>
      </c>
      <c r="I119">
        <v>1</v>
      </c>
      <c r="J119" t="s">
        <v>999</v>
      </c>
      <c r="N119" t="s">
        <v>644</v>
      </c>
      <c r="O119" t="s">
        <v>1000</v>
      </c>
      <c r="P119">
        <v>1</v>
      </c>
      <c r="R119">
        <v>3</v>
      </c>
      <c r="S119">
        <v>0</v>
      </c>
      <c r="U119" t="s">
        <v>650</v>
      </c>
      <c r="V119">
        <v>3</v>
      </c>
      <c r="W119" s="232">
        <v>36892</v>
      </c>
      <c r="X119" s="232">
        <v>36525</v>
      </c>
      <c r="Y119">
        <v>0</v>
      </c>
      <c r="Z119">
        <v>1</v>
      </c>
    </row>
    <row r="120" spans="1:26" x14ac:dyDescent="0.25">
      <c r="A120">
        <v>10294</v>
      </c>
      <c r="B120" t="s">
        <v>1001</v>
      </c>
      <c r="C120" t="s">
        <v>1002</v>
      </c>
      <c r="G120" t="s">
        <v>1003</v>
      </c>
      <c r="H120" t="s">
        <v>1004</v>
      </c>
      <c r="I120">
        <v>1</v>
      </c>
      <c r="J120" t="s">
        <v>1002</v>
      </c>
      <c r="N120" t="s">
        <v>1003</v>
      </c>
      <c r="O120" t="s">
        <v>1004</v>
      </c>
      <c r="P120">
        <v>1</v>
      </c>
      <c r="R120">
        <v>7</v>
      </c>
      <c r="S120">
        <v>0</v>
      </c>
      <c r="U120" t="s">
        <v>650</v>
      </c>
      <c r="V120">
        <v>3</v>
      </c>
      <c r="W120" s="232">
        <v>36892</v>
      </c>
      <c r="X120" s="232">
        <v>36525</v>
      </c>
      <c r="Y120">
        <v>0</v>
      </c>
      <c r="Z120">
        <v>1</v>
      </c>
    </row>
    <row r="121" spans="1:26" x14ac:dyDescent="0.25">
      <c r="A121">
        <v>10581</v>
      </c>
      <c r="B121" t="s">
        <v>1005</v>
      </c>
      <c r="R121">
        <v>2</v>
      </c>
      <c r="S121">
        <v>0</v>
      </c>
      <c r="U121" t="s">
        <v>650</v>
      </c>
      <c r="V121">
        <v>3</v>
      </c>
      <c r="W121" s="232">
        <v>36892</v>
      </c>
      <c r="X121" s="232">
        <v>36525</v>
      </c>
      <c r="Y121">
        <v>1</v>
      </c>
      <c r="Z121">
        <v>1</v>
      </c>
    </row>
    <row r="122" spans="1:26" x14ac:dyDescent="0.25">
      <c r="A122">
        <v>2336</v>
      </c>
      <c r="B122" t="s">
        <v>1006</v>
      </c>
      <c r="C122" t="s">
        <v>1007</v>
      </c>
      <c r="G122" t="s">
        <v>644</v>
      </c>
      <c r="H122" t="s">
        <v>857</v>
      </c>
      <c r="I122">
        <v>1</v>
      </c>
      <c r="J122" t="s">
        <v>1007</v>
      </c>
      <c r="N122" t="s">
        <v>644</v>
      </c>
      <c r="O122" t="s">
        <v>857</v>
      </c>
      <c r="P122">
        <v>1</v>
      </c>
      <c r="R122">
        <v>7</v>
      </c>
      <c r="S122">
        <v>0</v>
      </c>
      <c r="U122" t="s">
        <v>650</v>
      </c>
      <c r="V122">
        <v>3</v>
      </c>
      <c r="W122" s="232">
        <v>36892</v>
      </c>
      <c r="X122" s="232">
        <v>36525</v>
      </c>
      <c r="Y122">
        <v>1</v>
      </c>
      <c r="Z122">
        <v>1</v>
      </c>
    </row>
    <row r="123" spans="1:26" x14ac:dyDescent="0.25">
      <c r="A123">
        <v>2392</v>
      </c>
      <c r="B123" t="s">
        <v>1008</v>
      </c>
      <c r="C123" t="s">
        <v>1009</v>
      </c>
      <c r="G123" t="s">
        <v>1010</v>
      </c>
      <c r="H123" t="s">
        <v>1011</v>
      </c>
      <c r="I123">
        <v>1</v>
      </c>
      <c r="J123" t="s">
        <v>1009</v>
      </c>
      <c r="N123" t="s">
        <v>1010</v>
      </c>
      <c r="O123" t="s">
        <v>1011</v>
      </c>
      <c r="P123">
        <v>1</v>
      </c>
      <c r="R123">
        <v>8</v>
      </c>
      <c r="S123">
        <v>29747</v>
      </c>
      <c r="T123" t="s">
        <v>660</v>
      </c>
      <c r="U123" t="s">
        <v>1012</v>
      </c>
      <c r="V123">
        <v>3</v>
      </c>
      <c r="W123" s="232">
        <v>36892</v>
      </c>
      <c r="X123" s="232">
        <v>36525</v>
      </c>
      <c r="Y123">
        <v>0</v>
      </c>
      <c r="Z123">
        <v>1</v>
      </c>
    </row>
    <row r="124" spans="1:26" x14ac:dyDescent="0.25">
      <c r="A124">
        <v>10322</v>
      </c>
      <c r="B124" t="s">
        <v>1013</v>
      </c>
      <c r="C124" t="s">
        <v>1014</v>
      </c>
      <c r="G124" t="s">
        <v>644</v>
      </c>
      <c r="H124" t="s">
        <v>1015</v>
      </c>
      <c r="I124">
        <v>1</v>
      </c>
      <c r="J124" t="s">
        <v>1014</v>
      </c>
      <c r="N124" t="s">
        <v>644</v>
      </c>
      <c r="O124" t="s">
        <v>1015</v>
      </c>
      <c r="P124">
        <v>1</v>
      </c>
      <c r="R124">
        <v>5</v>
      </c>
      <c r="S124">
        <v>0</v>
      </c>
      <c r="U124" t="s">
        <v>650</v>
      </c>
      <c r="V124">
        <v>3</v>
      </c>
      <c r="W124" s="232">
        <v>36892</v>
      </c>
      <c r="X124" s="232">
        <v>36525</v>
      </c>
      <c r="Y124">
        <v>0</v>
      </c>
      <c r="Z124">
        <v>1</v>
      </c>
    </row>
    <row r="125" spans="1:26" x14ac:dyDescent="0.25">
      <c r="A125">
        <v>1988</v>
      </c>
      <c r="B125" t="s">
        <v>1016</v>
      </c>
      <c r="C125" t="s">
        <v>1017</v>
      </c>
      <c r="G125" t="s">
        <v>644</v>
      </c>
      <c r="H125" t="s">
        <v>769</v>
      </c>
      <c r="I125">
        <v>1</v>
      </c>
      <c r="J125" t="s">
        <v>1017</v>
      </c>
      <c r="N125" t="s">
        <v>644</v>
      </c>
      <c r="O125" t="s">
        <v>769</v>
      </c>
      <c r="P125">
        <v>1</v>
      </c>
      <c r="R125">
        <v>4</v>
      </c>
      <c r="S125">
        <v>0</v>
      </c>
      <c r="U125" t="s">
        <v>650</v>
      </c>
      <c r="V125">
        <v>3</v>
      </c>
      <c r="W125" s="232">
        <v>36892</v>
      </c>
      <c r="X125" s="232">
        <v>36525</v>
      </c>
      <c r="Y125">
        <v>0</v>
      </c>
      <c r="Z125">
        <v>1</v>
      </c>
    </row>
    <row r="126" spans="1:26" x14ac:dyDescent="0.25">
      <c r="A126">
        <v>1946</v>
      </c>
      <c r="B126" t="s">
        <v>1018</v>
      </c>
      <c r="R126">
        <v>8</v>
      </c>
      <c r="S126">
        <v>0</v>
      </c>
      <c r="U126" t="s">
        <v>650</v>
      </c>
      <c r="V126">
        <v>3</v>
      </c>
      <c r="W126" s="232">
        <v>36892</v>
      </c>
      <c r="X126" s="232">
        <v>36525</v>
      </c>
      <c r="Y126">
        <v>0</v>
      </c>
      <c r="Z126">
        <v>1</v>
      </c>
    </row>
    <row r="127" spans="1:26" x14ac:dyDescent="0.25">
      <c r="A127">
        <v>10285</v>
      </c>
      <c r="B127" t="s">
        <v>1019</v>
      </c>
      <c r="C127" t="s">
        <v>1020</v>
      </c>
      <c r="G127" t="s">
        <v>644</v>
      </c>
      <c r="H127" t="s">
        <v>1021</v>
      </c>
      <c r="I127">
        <v>1</v>
      </c>
      <c r="J127" t="s">
        <v>1020</v>
      </c>
      <c r="N127" t="s">
        <v>644</v>
      </c>
      <c r="O127" t="s">
        <v>1021</v>
      </c>
      <c r="P127">
        <v>1</v>
      </c>
      <c r="R127">
        <v>4</v>
      </c>
      <c r="S127">
        <v>0</v>
      </c>
      <c r="U127" t="s">
        <v>650</v>
      </c>
      <c r="V127">
        <v>3</v>
      </c>
      <c r="W127" s="232">
        <v>36892</v>
      </c>
      <c r="X127" s="232">
        <v>36525</v>
      </c>
      <c r="Y127">
        <v>1</v>
      </c>
      <c r="Z127">
        <v>1</v>
      </c>
    </row>
    <row r="128" spans="1:26" x14ac:dyDescent="0.25">
      <c r="A128">
        <v>2307</v>
      </c>
      <c r="B128" t="s">
        <v>1022</v>
      </c>
      <c r="C128" t="s">
        <v>1023</v>
      </c>
      <c r="G128" t="s">
        <v>644</v>
      </c>
      <c r="H128" t="s">
        <v>704</v>
      </c>
      <c r="I128">
        <v>1</v>
      </c>
      <c r="J128" t="s">
        <v>1023</v>
      </c>
      <c r="N128" t="s">
        <v>644</v>
      </c>
      <c r="O128" t="s">
        <v>704</v>
      </c>
      <c r="P128">
        <v>1</v>
      </c>
      <c r="R128">
        <v>8</v>
      </c>
      <c r="S128">
        <v>0</v>
      </c>
      <c r="U128" t="s">
        <v>650</v>
      </c>
      <c r="V128">
        <v>3</v>
      </c>
      <c r="W128" s="232">
        <v>36892</v>
      </c>
      <c r="X128" s="232">
        <v>36525</v>
      </c>
      <c r="Y128">
        <v>0</v>
      </c>
      <c r="Z128">
        <v>1</v>
      </c>
    </row>
    <row r="129" spans="1:26" x14ac:dyDescent="0.25">
      <c r="A129">
        <v>2338</v>
      </c>
      <c r="B129" t="s">
        <v>1024</v>
      </c>
      <c r="C129" t="s">
        <v>1025</v>
      </c>
      <c r="G129" t="s">
        <v>644</v>
      </c>
      <c r="H129" t="s">
        <v>1026</v>
      </c>
      <c r="I129">
        <v>1</v>
      </c>
      <c r="J129" t="s">
        <v>1025</v>
      </c>
      <c r="N129" t="s">
        <v>644</v>
      </c>
      <c r="O129" t="s">
        <v>1026</v>
      </c>
      <c r="P129">
        <v>1</v>
      </c>
      <c r="R129">
        <v>2</v>
      </c>
      <c r="S129">
        <v>0</v>
      </c>
      <c r="U129" t="s">
        <v>650</v>
      </c>
      <c r="V129">
        <v>3</v>
      </c>
      <c r="W129" s="232">
        <v>36892</v>
      </c>
      <c r="X129" s="232">
        <v>36525</v>
      </c>
      <c r="Y129">
        <v>0</v>
      </c>
      <c r="Z129">
        <v>1</v>
      </c>
    </row>
    <row r="130" spans="1:26" x14ac:dyDescent="0.25">
      <c r="A130">
        <v>10474</v>
      </c>
      <c r="B130" t="s">
        <v>1027</v>
      </c>
      <c r="C130" t="s">
        <v>1028</v>
      </c>
      <c r="G130" t="s">
        <v>644</v>
      </c>
      <c r="H130" t="s">
        <v>1029</v>
      </c>
      <c r="I130">
        <v>1</v>
      </c>
      <c r="J130" t="s">
        <v>1028</v>
      </c>
      <c r="N130" t="s">
        <v>644</v>
      </c>
      <c r="O130" t="s">
        <v>1029</v>
      </c>
      <c r="P130">
        <v>1</v>
      </c>
      <c r="R130">
        <v>5</v>
      </c>
      <c r="S130">
        <v>0</v>
      </c>
      <c r="U130" t="s">
        <v>650</v>
      </c>
      <c r="V130">
        <v>3</v>
      </c>
      <c r="W130" s="232">
        <v>36892</v>
      </c>
      <c r="X130" s="232">
        <v>36525</v>
      </c>
      <c r="Y130">
        <v>0</v>
      </c>
      <c r="Z130">
        <v>1</v>
      </c>
    </row>
    <row r="131" spans="1:26" x14ac:dyDescent="0.25">
      <c r="A131">
        <v>30095</v>
      </c>
      <c r="B131" t="s">
        <v>1030</v>
      </c>
      <c r="I131">
        <v>1</v>
      </c>
      <c r="P131">
        <v>1</v>
      </c>
      <c r="R131">
        <v>1</v>
      </c>
      <c r="S131">
        <v>29747</v>
      </c>
      <c r="T131" t="s">
        <v>660</v>
      </c>
      <c r="U131" t="s">
        <v>1031</v>
      </c>
      <c r="V131">
        <v>3</v>
      </c>
      <c r="W131" s="232">
        <v>36892</v>
      </c>
      <c r="X131" s="232">
        <v>36525</v>
      </c>
      <c r="Y131">
        <v>0</v>
      </c>
      <c r="Z131">
        <v>1</v>
      </c>
    </row>
    <row r="132" spans="1:26" x14ac:dyDescent="0.25">
      <c r="A132">
        <v>10477</v>
      </c>
      <c r="B132" t="s">
        <v>1032</v>
      </c>
      <c r="C132" t="s">
        <v>1033</v>
      </c>
      <c r="G132" t="s">
        <v>215</v>
      </c>
      <c r="H132" t="s">
        <v>1034</v>
      </c>
      <c r="I132">
        <v>1</v>
      </c>
      <c r="J132" t="s">
        <v>1033</v>
      </c>
      <c r="N132" t="s">
        <v>215</v>
      </c>
      <c r="O132" t="s">
        <v>1034</v>
      </c>
      <c r="P132">
        <v>1</v>
      </c>
      <c r="R132">
        <v>3</v>
      </c>
      <c r="S132">
        <v>0</v>
      </c>
      <c r="U132" t="s">
        <v>650</v>
      </c>
      <c r="V132">
        <v>3</v>
      </c>
      <c r="W132" s="232">
        <v>36892</v>
      </c>
      <c r="X132" s="232">
        <v>36525</v>
      </c>
      <c r="Y132">
        <v>1</v>
      </c>
      <c r="Z132">
        <v>1</v>
      </c>
    </row>
    <row r="133" spans="1:26" x14ac:dyDescent="0.25">
      <c r="A133">
        <v>1908</v>
      </c>
      <c r="B133" t="s">
        <v>1035</v>
      </c>
      <c r="C133" t="s">
        <v>1036</v>
      </c>
      <c r="G133" t="s">
        <v>644</v>
      </c>
      <c r="H133" t="s">
        <v>1037</v>
      </c>
      <c r="I133">
        <v>1</v>
      </c>
      <c r="J133" t="s">
        <v>1036</v>
      </c>
      <c r="N133" t="s">
        <v>644</v>
      </c>
      <c r="O133" t="s">
        <v>1037</v>
      </c>
      <c r="P133">
        <v>1</v>
      </c>
      <c r="R133">
        <v>5</v>
      </c>
      <c r="S133">
        <v>0</v>
      </c>
      <c r="U133" t="s">
        <v>650</v>
      </c>
      <c r="V133">
        <v>3</v>
      </c>
      <c r="W133" s="232">
        <v>36892</v>
      </c>
      <c r="X133" s="232">
        <v>36525</v>
      </c>
      <c r="Y133">
        <v>1</v>
      </c>
      <c r="Z133">
        <v>1</v>
      </c>
    </row>
    <row r="134" spans="1:26" x14ac:dyDescent="0.25">
      <c r="A134">
        <v>1986</v>
      </c>
      <c r="B134" t="s">
        <v>1038</v>
      </c>
      <c r="C134" t="s">
        <v>1039</v>
      </c>
      <c r="G134" t="s">
        <v>644</v>
      </c>
      <c r="H134" t="s">
        <v>1040</v>
      </c>
      <c r="I134">
        <v>1</v>
      </c>
      <c r="J134" t="s">
        <v>1039</v>
      </c>
      <c r="N134" t="s">
        <v>644</v>
      </c>
      <c r="O134" t="s">
        <v>1040</v>
      </c>
      <c r="P134">
        <v>1</v>
      </c>
      <c r="R134">
        <v>0</v>
      </c>
      <c r="S134">
        <v>0</v>
      </c>
      <c r="U134" t="s">
        <v>650</v>
      </c>
      <c r="V134">
        <v>0</v>
      </c>
      <c r="W134" s="232">
        <v>36892</v>
      </c>
      <c r="X134" s="232">
        <v>36525</v>
      </c>
      <c r="Y134">
        <v>0</v>
      </c>
      <c r="Z134">
        <v>1</v>
      </c>
    </row>
    <row r="135" spans="1:26" x14ac:dyDescent="0.25">
      <c r="A135">
        <v>10395</v>
      </c>
      <c r="B135" t="s">
        <v>1041</v>
      </c>
      <c r="C135" t="s">
        <v>1042</v>
      </c>
      <c r="G135" t="s">
        <v>891</v>
      </c>
      <c r="H135" t="s">
        <v>1043</v>
      </c>
      <c r="I135">
        <v>12</v>
      </c>
      <c r="J135" t="s">
        <v>1042</v>
      </c>
      <c r="N135" t="s">
        <v>891</v>
      </c>
      <c r="O135" t="s">
        <v>1043</v>
      </c>
      <c r="P135">
        <v>12</v>
      </c>
      <c r="R135">
        <v>5</v>
      </c>
      <c r="S135">
        <v>0</v>
      </c>
      <c r="U135" t="s">
        <v>650</v>
      </c>
      <c r="V135">
        <v>3</v>
      </c>
      <c r="W135" s="232">
        <v>36892</v>
      </c>
      <c r="X135" s="232">
        <v>36525</v>
      </c>
      <c r="Y135">
        <v>1</v>
      </c>
      <c r="Z135">
        <v>1</v>
      </c>
    </row>
    <row r="136" spans="1:26" x14ac:dyDescent="0.25">
      <c r="A136">
        <v>30096</v>
      </c>
      <c r="B136" t="s">
        <v>1044</v>
      </c>
      <c r="I136">
        <v>1</v>
      </c>
      <c r="P136">
        <v>1</v>
      </c>
      <c r="R136">
        <v>1</v>
      </c>
      <c r="S136">
        <v>29747</v>
      </c>
      <c r="T136" t="s">
        <v>660</v>
      </c>
      <c r="U136" t="s">
        <v>1045</v>
      </c>
      <c r="V136">
        <v>3</v>
      </c>
      <c r="W136" s="232">
        <v>36892</v>
      </c>
      <c r="X136" s="232">
        <v>36525</v>
      </c>
      <c r="Y136">
        <v>0</v>
      </c>
      <c r="Z136">
        <v>1</v>
      </c>
    </row>
    <row r="137" spans="1:26" x14ac:dyDescent="0.25">
      <c r="A137">
        <v>30204</v>
      </c>
      <c r="B137" t="s">
        <v>1046</v>
      </c>
      <c r="C137" t="s">
        <v>1047</v>
      </c>
      <c r="G137" t="s">
        <v>644</v>
      </c>
      <c r="H137" t="s">
        <v>1048</v>
      </c>
      <c r="I137">
        <v>1</v>
      </c>
      <c r="J137" t="s">
        <v>1047</v>
      </c>
      <c r="N137" t="s">
        <v>644</v>
      </c>
      <c r="O137" t="s">
        <v>1048</v>
      </c>
      <c r="P137">
        <v>1</v>
      </c>
      <c r="R137">
        <v>2</v>
      </c>
      <c r="S137">
        <v>0</v>
      </c>
      <c r="U137" t="s">
        <v>1049</v>
      </c>
      <c r="V137">
        <v>3</v>
      </c>
      <c r="W137" s="232">
        <v>36892</v>
      </c>
      <c r="X137" s="232">
        <v>36525</v>
      </c>
      <c r="Y137">
        <v>0</v>
      </c>
      <c r="Z137">
        <v>1</v>
      </c>
    </row>
    <row r="138" spans="1:26" x14ac:dyDescent="0.25">
      <c r="A138">
        <v>10396</v>
      </c>
      <c r="B138" t="s">
        <v>1050</v>
      </c>
      <c r="C138" t="s">
        <v>1051</v>
      </c>
      <c r="G138" t="s">
        <v>644</v>
      </c>
      <c r="H138" t="s">
        <v>1052</v>
      </c>
      <c r="I138">
        <v>1</v>
      </c>
      <c r="J138" t="s">
        <v>1051</v>
      </c>
      <c r="N138" t="s">
        <v>644</v>
      </c>
      <c r="O138" t="s">
        <v>1052</v>
      </c>
      <c r="P138">
        <v>1</v>
      </c>
      <c r="R138">
        <v>6</v>
      </c>
      <c r="S138">
        <v>29747</v>
      </c>
      <c r="T138" t="s">
        <v>660</v>
      </c>
      <c r="U138" t="s">
        <v>1053</v>
      </c>
      <c r="V138">
        <v>3</v>
      </c>
      <c r="W138" s="232">
        <v>36892</v>
      </c>
      <c r="X138" s="232">
        <v>36525</v>
      </c>
      <c r="Y138">
        <v>1</v>
      </c>
      <c r="Z138">
        <v>1</v>
      </c>
    </row>
    <row r="139" spans="1:26" x14ac:dyDescent="0.25">
      <c r="A139">
        <v>10453</v>
      </c>
      <c r="B139" t="s">
        <v>1054</v>
      </c>
      <c r="C139" t="s">
        <v>1055</v>
      </c>
      <c r="G139" t="s">
        <v>644</v>
      </c>
      <c r="H139" t="s">
        <v>1056</v>
      </c>
      <c r="I139">
        <v>1</v>
      </c>
      <c r="J139" t="s">
        <v>1055</v>
      </c>
      <c r="N139" t="s">
        <v>644</v>
      </c>
      <c r="O139" t="s">
        <v>1056</v>
      </c>
      <c r="P139">
        <v>1</v>
      </c>
      <c r="R139">
        <v>4</v>
      </c>
      <c r="S139">
        <v>0</v>
      </c>
      <c r="U139" t="s">
        <v>650</v>
      </c>
      <c r="V139">
        <v>3</v>
      </c>
      <c r="W139" s="232">
        <v>36892</v>
      </c>
      <c r="X139" s="232">
        <v>36525</v>
      </c>
      <c r="Y139">
        <v>1</v>
      </c>
      <c r="Z139">
        <v>1</v>
      </c>
    </row>
    <row r="140" spans="1:26" x14ac:dyDescent="0.25">
      <c r="A140">
        <v>10530</v>
      </c>
      <c r="B140" t="s">
        <v>1057</v>
      </c>
      <c r="C140" t="s">
        <v>1058</v>
      </c>
      <c r="G140" t="s">
        <v>644</v>
      </c>
      <c r="H140" t="s">
        <v>1059</v>
      </c>
      <c r="I140">
        <v>1</v>
      </c>
      <c r="J140" t="s">
        <v>1058</v>
      </c>
      <c r="N140" t="s">
        <v>644</v>
      </c>
      <c r="O140" t="s">
        <v>1059</v>
      </c>
      <c r="P140">
        <v>1</v>
      </c>
      <c r="R140">
        <v>2</v>
      </c>
      <c r="S140">
        <v>0</v>
      </c>
      <c r="U140" t="s">
        <v>650</v>
      </c>
      <c r="V140">
        <v>3</v>
      </c>
      <c r="W140" s="232">
        <v>36892</v>
      </c>
      <c r="X140" s="232">
        <v>36525</v>
      </c>
      <c r="Y140">
        <v>0</v>
      </c>
      <c r="Z140">
        <v>1</v>
      </c>
    </row>
    <row r="141" spans="1:26" x14ac:dyDescent="0.25">
      <c r="A141">
        <v>2090</v>
      </c>
      <c r="B141" t="s">
        <v>1060</v>
      </c>
      <c r="C141" t="s">
        <v>1061</v>
      </c>
      <c r="G141" t="s">
        <v>644</v>
      </c>
      <c r="H141" t="s">
        <v>1037</v>
      </c>
      <c r="I141">
        <v>1</v>
      </c>
      <c r="J141" t="s">
        <v>1061</v>
      </c>
      <c r="N141" t="s">
        <v>644</v>
      </c>
      <c r="O141" t="s">
        <v>1037</v>
      </c>
      <c r="P141">
        <v>1</v>
      </c>
      <c r="R141">
        <v>7</v>
      </c>
      <c r="S141">
        <v>29747</v>
      </c>
      <c r="T141" t="s">
        <v>660</v>
      </c>
      <c r="U141" t="s">
        <v>1062</v>
      </c>
      <c r="V141">
        <v>3</v>
      </c>
      <c r="W141" s="232">
        <v>36892</v>
      </c>
      <c r="X141" s="232">
        <v>36525</v>
      </c>
      <c r="Y141">
        <v>0</v>
      </c>
      <c r="Z141">
        <v>1</v>
      </c>
    </row>
    <row r="142" spans="1:26" x14ac:dyDescent="0.25">
      <c r="A142">
        <v>3109</v>
      </c>
      <c r="B142" t="s">
        <v>1063</v>
      </c>
      <c r="C142" t="s">
        <v>1064</v>
      </c>
      <c r="G142" t="s">
        <v>860</v>
      </c>
      <c r="H142" t="s">
        <v>1065</v>
      </c>
      <c r="I142">
        <v>12</v>
      </c>
      <c r="J142" t="s">
        <v>1064</v>
      </c>
      <c r="N142" t="s">
        <v>860</v>
      </c>
      <c r="O142" t="s">
        <v>1065</v>
      </c>
      <c r="P142">
        <v>12</v>
      </c>
      <c r="R142">
        <v>8</v>
      </c>
      <c r="S142">
        <v>0</v>
      </c>
      <c r="U142" t="s">
        <v>650</v>
      </c>
      <c r="V142">
        <v>3</v>
      </c>
      <c r="W142" s="232">
        <v>36892</v>
      </c>
      <c r="X142" s="232">
        <v>36525</v>
      </c>
      <c r="Y142">
        <v>1</v>
      </c>
      <c r="Z142">
        <v>1</v>
      </c>
    </row>
    <row r="143" spans="1:26" x14ac:dyDescent="0.25">
      <c r="A143">
        <v>10371</v>
      </c>
      <c r="B143" t="s">
        <v>1066</v>
      </c>
      <c r="C143" t="s">
        <v>1067</v>
      </c>
      <c r="G143" t="s">
        <v>215</v>
      </c>
      <c r="H143" t="s">
        <v>1068</v>
      </c>
      <c r="I143">
        <v>1</v>
      </c>
      <c r="J143" t="s">
        <v>1067</v>
      </c>
      <c r="N143" t="s">
        <v>215</v>
      </c>
      <c r="O143" t="s">
        <v>1068</v>
      </c>
      <c r="P143">
        <v>1</v>
      </c>
      <c r="R143">
        <v>3</v>
      </c>
      <c r="S143">
        <v>0</v>
      </c>
      <c r="U143" t="s">
        <v>650</v>
      </c>
      <c r="V143">
        <v>3</v>
      </c>
      <c r="W143" s="232">
        <v>36892</v>
      </c>
      <c r="X143" s="232">
        <v>36525</v>
      </c>
      <c r="Y143">
        <v>1</v>
      </c>
      <c r="Z143">
        <v>1</v>
      </c>
    </row>
    <row r="144" spans="1:26" x14ac:dyDescent="0.25">
      <c r="A144">
        <v>30169</v>
      </c>
      <c r="B144" t="s">
        <v>1069</v>
      </c>
      <c r="C144" t="s">
        <v>1070</v>
      </c>
      <c r="G144" t="s">
        <v>1071</v>
      </c>
      <c r="H144" t="s">
        <v>1072</v>
      </c>
      <c r="I144">
        <v>1</v>
      </c>
      <c r="J144" t="s">
        <v>1070</v>
      </c>
      <c r="N144" t="s">
        <v>1071</v>
      </c>
      <c r="O144" t="s">
        <v>1072</v>
      </c>
      <c r="P144">
        <v>1</v>
      </c>
      <c r="R144">
        <v>3</v>
      </c>
      <c r="S144">
        <v>29747</v>
      </c>
      <c r="T144" t="s">
        <v>660</v>
      </c>
      <c r="U144" t="s">
        <v>1073</v>
      </c>
      <c r="V144">
        <v>3</v>
      </c>
      <c r="W144" s="232">
        <v>36892</v>
      </c>
      <c r="X144" s="232">
        <v>36525</v>
      </c>
      <c r="Y144">
        <v>0</v>
      </c>
      <c r="Z144">
        <v>1</v>
      </c>
    </row>
    <row r="145" spans="1:26" x14ac:dyDescent="0.25">
      <c r="A145">
        <v>10478</v>
      </c>
      <c r="B145" t="s">
        <v>1074</v>
      </c>
      <c r="C145" t="s">
        <v>1075</v>
      </c>
      <c r="G145" t="s">
        <v>644</v>
      </c>
      <c r="H145" t="s">
        <v>879</v>
      </c>
      <c r="I145">
        <v>1</v>
      </c>
      <c r="J145" t="s">
        <v>1075</v>
      </c>
      <c r="N145" t="s">
        <v>644</v>
      </c>
      <c r="O145" t="s">
        <v>879</v>
      </c>
      <c r="P145">
        <v>1</v>
      </c>
      <c r="R145">
        <v>3</v>
      </c>
      <c r="S145">
        <v>0</v>
      </c>
      <c r="U145" t="s">
        <v>650</v>
      </c>
      <c r="V145">
        <v>3</v>
      </c>
      <c r="W145" s="232">
        <v>36892</v>
      </c>
      <c r="X145" s="232">
        <v>36525</v>
      </c>
      <c r="Y145">
        <v>0</v>
      </c>
      <c r="Z145">
        <v>1</v>
      </c>
    </row>
    <row r="146" spans="1:26" x14ac:dyDescent="0.25">
      <c r="A146">
        <v>10357</v>
      </c>
      <c r="B146" t="s">
        <v>1076</v>
      </c>
      <c r="C146" t="s">
        <v>1077</v>
      </c>
      <c r="G146" t="s">
        <v>644</v>
      </c>
      <c r="H146" t="s">
        <v>1078</v>
      </c>
      <c r="I146">
        <v>1</v>
      </c>
      <c r="J146" t="s">
        <v>1077</v>
      </c>
      <c r="N146" t="s">
        <v>644</v>
      </c>
      <c r="O146" t="s">
        <v>1078</v>
      </c>
      <c r="P146">
        <v>1</v>
      </c>
      <c r="R146">
        <v>4</v>
      </c>
      <c r="S146">
        <v>0</v>
      </c>
      <c r="U146" t="s">
        <v>650</v>
      </c>
      <c r="V146">
        <v>3</v>
      </c>
      <c r="W146" s="232">
        <v>36892</v>
      </c>
      <c r="X146" s="232">
        <v>36525</v>
      </c>
      <c r="Y146">
        <v>1</v>
      </c>
      <c r="Z146">
        <v>1</v>
      </c>
    </row>
    <row r="147" spans="1:26" x14ac:dyDescent="0.25">
      <c r="A147">
        <v>10296</v>
      </c>
      <c r="B147" t="s">
        <v>1079</v>
      </c>
      <c r="C147" t="s">
        <v>1080</v>
      </c>
      <c r="G147" t="s">
        <v>644</v>
      </c>
      <c r="H147" t="s">
        <v>772</v>
      </c>
      <c r="I147">
        <v>1</v>
      </c>
      <c r="J147" t="s">
        <v>1080</v>
      </c>
      <c r="N147" t="s">
        <v>644</v>
      </c>
      <c r="O147" t="s">
        <v>772</v>
      </c>
      <c r="P147">
        <v>1</v>
      </c>
      <c r="R147">
        <v>4</v>
      </c>
      <c r="S147">
        <v>0</v>
      </c>
      <c r="U147" t="s">
        <v>650</v>
      </c>
      <c r="V147">
        <v>3</v>
      </c>
      <c r="W147" s="232">
        <v>36892</v>
      </c>
      <c r="X147" s="232">
        <v>36525</v>
      </c>
      <c r="Y147">
        <v>1</v>
      </c>
      <c r="Z147">
        <v>1</v>
      </c>
    </row>
    <row r="148" spans="1:26" x14ac:dyDescent="0.25">
      <c r="A148">
        <v>2184</v>
      </c>
      <c r="B148" t="s">
        <v>1081</v>
      </c>
      <c r="C148" t="s">
        <v>1082</v>
      </c>
      <c r="G148" t="s">
        <v>1083</v>
      </c>
      <c r="H148" t="s">
        <v>1084</v>
      </c>
      <c r="I148">
        <v>1</v>
      </c>
      <c r="J148" t="s">
        <v>1082</v>
      </c>
      <c r="N148" t="s">
        <v>1083</v>
      </c>
      <c r="O148" t="s">
        <v>1084</v>
      </c>
      <c r="P148">
        <v>1</v>
      </c>
      <c r="R148">
        <v>0</v>
      </c>
      <c r="S148">
        <v>0</v>
      </c>
      <c r="U148" t="s">
        <v>650</v>
      </c>
      <c r="V148">
        <v>0</v>
      </c>
      <c r="W148" s="232">
        <v>36892</v>
      </c>
      <c r="X148" s="232">
        <v>36525</v>
      </c>
      <c r="Y148">
        <v>0</v>
      </c>
      <c r="Z148">
        <v>1</v>
      </c>
    </row>
    <row r="149" spans="1:26" x14ac:dyDescent="0.25">
      <c r="A149">
        <v>30225</v>
      </c>
      <c r="B149" t="s">
        <v>1085</v>
      </c>
      <c r="C149" t="s">
        <v>1086</v>
      </c>
      <c r="G149" t="s">
        <v>644</v>
      </c>
      <c r="H149" t="s">
        <v>1087</v>
      </c>
      <c r="I149">
        <v>1</v>
      </c>
      <c r="J149" t="s">
        <v>1086</v>
      </c>
      <c r="N149" t="s">
        <v>644</v>
      </c>
      <c r="O149" t="s">
        <v>1087</v>
      </c>
      <c r="P149">
        <v>1</v>
      </c>
      <c r="R149">
        <v>3</v>
      </c>
      <c r="S149">
        <v>0</v>
      </c>
      <c r="U149" t="s">
        <v>1088</v>
      </c>
      <c r="V149">
        <v>3</v>
      </c>
      <c r="W149" s="232">
        <v>36892</v>
      </c>
      <c r="X149" s="232">
        <v>36525</v>
      </c>
      <c r="Y149">
        <v>1</v>
      </c>
      <c r="Z149">
        <v>1</v>
      </c>
    </row>
    <row r="150" spans="1:26" x14ac:dyDescent="0.25">
      <c r="A150">
        <v>2347</v>
      </c>
      <c r="B150" t="s">
        <v>1089</v>
      </c>
      <c r="C150" t="s">
        <v>1090</v>
      </c>
      <c r="G150" t="s">
        <v>644</v>
      </c>
      <c r="H150" t="s">
        <v>656</v>
      </c>
      <c r="I150">
        <v>1</v>
      </c>
      <c r="J150" t="s">
        <v>1090</v>
      </c>
      <c r="N150" t="s">
        <v>644</v>
      </c>
      <c r="O150" t="s">
        <v>656</v>
      </c>
      <c r="P150">
        <v>1</v>
      </c>
      <c r="R150">
        <v>4</v>
      </c>
      <c r="S150">
        <v>0</v>
      </c>
      <c r="U150" t="s">
        <v>650</v>
      </c>
      <c r="V150">
        <v>3</v>
      </c>
      <c r="W150" s="232">
        <v>36892</v>
      </c>
      <c r="X150" s="232">
        <v>36525</v>
      </c>
      <c r="Y150">
        <v>0</v>
      </c>
      <c r="Z150">
        <v>1</v>
      </c>
    </row>
    <row r="151" spans="1:26" x14ac:dyDescent="0.25">
      <c r="A151">
        <v>30226</v>
      </c>
      <c r="B151" t="s">
        <v>1091</v>
      </c>
      <c r="C151" t="s">
        <v>1092</v>
      </c>
      <c r="G151" t="s">
        <v>860</v>
      </c>
      <c r="H151" t="s">
        <v>1093</v>
      </c>
      <c r="I151">
        <v>12</v>
      </c>
      <c r="J151" t="s">
        <v>1092</v>
      </c>
      <c r="N151" t="s">
        <v>860</v>
      </c>
      <c r="O151" t="s">
        <v>1093</v>
      </c>
      <c r="P151">
        <v>12</v>
      </c>
      <c r="R151">
        <v>2</v>
      </c>
      <c r="S151">
        <v>0</v>
      </c>
      <c r="U151" t="s">
        <v>1094</v>
      </c>
      <c r="V151">
        <v>3</v>
      </c>
      <c r="W151" s="232">
        <v>36892</v>
      </c>
      <c r="X151" s="232">
        <v>36525</v>
      </c>
      <c r="Y151">
        <v>0</v>
      </c>
      <c r="Z151">
        <v>1</v>
      </c>
    </row>
    <row r="152" spans="1:26" x14ac:dyDescent="0.25">
      <c r="A152">
        <v>2559</v>
      </c>
      <c r="B152" t="s">
        <v>1095</v>
      </c>
      <c r="C152" t="s">
        <v>1096</v>
      </c>
      <c r="G152" t="s">
        <v>644</v>
      </c>
      <c r="H152" t="s">
        <v>664</v>
      </c>
      <c r="I152">
        <v>1</v>
      </c>
      <c r="J152" t="s">
        <v>1096</v>
      </c>
      <c r="N152" t="s">
        <v>644</v>
      </c>
      <c r="O152" t="s">
        <v>664</v>
      </c>
      <c r="P152">
        <v>1</v>
      </c>
      <c r="R152">
        <v>10</v>
      </c>
      <c r="S152">
        <v>29747</v>
      </c>
      <c r="T152" t="s">
        <v>660</v>
      </c>
      <c r="U152" t="s">
        <v>1097</v>
      </c>
      <c r="V152">
        <v>3</v>
      </c>
      <c r="W152" s="232">
        <v>36892</v>
      </c>
      <c r="X152" s="232">
        <v>36525</v>
      </c>
      <c r="Y152">
        <v>0</v>
      </c>
      <c r="Z152">
        <v>1</v>
      </c>
    </row>
    <row r="153" spans="1:26" x14ac:dyDescent="0.25">
      <c r="A153">
        <v>10514</v>
      </c>
      <c r="B153" t="s">
        <v>1098</v>
      </c>
      <c r="C153" t="s">
        <v>1099</v>
      </c>
      <c r="G153" t="s">
        <v>644</v>
      </c>
      <c r="H153" t="s">
        <v>783</v>
      </c>
      <c r="I153">
        <v>1</v>
      </c>
      <c r="J153" t="s">
        <v>1099</v>
      </c>
      <c r="N153" t="s">
        <v>644</v>
      </c>
      <c r="O153" t="s">
        <v>783</v>
      </c>
      <c r="P153">
        <v>1</v>
      </c>
      <c r="R153">
        <v>7</v>
      </c>
      <c r="S153">
        <v>0</v>
      </c>
      <c r="U153" t="s">
        <v>1100</v>
      </c>
      <c r="V153">
        <v>3</v>
      </c>
      <c r="W153" s="232">
        <v>36892</v>
      </c>
      <c r="X153" s="232">
        <v>36525</v>
      </c>
      <c r="Y153">
        <v>0</v>
      </c>
      <c r="Z153">
        <v>1</v>
      </c>
    </row>
    <row r="154" spans="1:26" x14ac:dyDescent="0.25">
      <c r="A154">
        <v>30192</v>
      </c>
      <c r="B154" t="s">
        <v>1101</v>
      </c>
      <c r="C154" t="s">
        <v>1102</v>
      </c>
      <c r="G154" t="s">
        <v>644</v>
      </c>
      <c r="H154" t="s">
        <v>763</v>
      </c>
      <c r="I154">
        <v>1</v>
      </c>
      <c r="J154" t="s">
        <v>1102</v>
      </c>
      <c r="N154" t="s">
        <v>644</v>
      </c>
      <c r="O154" t="s">
        <v>763</v>
      </c>
      <c r="P154">
        <v>1</v>
      </c>
      <c r="R154">
        <v>4</v>
      </c>
      <c r="S154">
        <v>29747</v>
      </c>
      <c r="T154" t="s">
        <v>660</v>
      </c>
      <c r="U154" t="s">
        <v>1103</v>
      </c>
      <c r="V154">
        <v>3</v>
      </c>
      <c r="W154" s="232">
        <v>36892</v>
      </c>
      <c r="X154" s="232">
        <v>36525</v>
      </c>
      <c r="Y154">
        <v>0</v>
      </c>
      <c r="Z154">
        <v>1</v>
      </c>
    </row>
    <row r="155" spans="1:26" x14ac:dyDescent="0.25">
      <c r="A155">
        <v>30195</v>
      </c>
      <c r="B155" t="s">
        <v>1104</v>
      </c>
      <c r="C155" t="s">
        <v>1105</v>
      </c>
      <c r="G155" t="s">
        <v>553</v>
      </c>
      <c r="H155" t="s">
        <v>1106</v>
      </c>
      <c r="I155">
        <v>1</v>
      </c>
      <c r="J155" t="s">
        <v>1105</v>
      </c>
      <c r="N155" t="s">
        <v>553</v>
      </c>
      <c r="O155" t="s">
        <v>1106</v>
      </c>
      <c r="P155">
        <v>1</v>
      </c>
      <c r="R155">
        <v>2</v>
      </c>
      <c r="S155">
        <v>29747</v>
      </c>
      <c r="T155" t="s">
        <v>660</v>
      </c>
      <c r="U155" t="s">
        <v>1107</v>
      </c>
      <c r="V155">
        <v>3</v>
      </c>
      <c r="W155" s="232">
        <v>36892</v>
      </c>
      <c r="X155" s="232">
        <v>36525</v>
      </c>
      <c r="Y155">
        <v>0</v>
      </c>
      <c r="Z155">
        <v>1</v>
      </c>
    </row>
    <row r="156" spans="1:26" x14ac:dyDescent="0.25">
      <c r="A156">
        <v>2385</v>
      </c>
      <c r="B156" t="s">
        <v>1108</v>
      </c>
      <c r="C156" t="s">
        <v>1109</v>
      </c>
      <c r="G156" t="s">
        <v>644</v>
      </c>
      <c r="H156" t="s">
        <v>1110</v>
      </c>
      <c r="I156">
        <v>1</v>
      </c>
      <c r="J156" t="s">
        <v>1109</v>
      </c>
      <c r="N156" t="s">
        <v>644</v>
      </c>
      <c r="O156" t="s">
        <v>1110</v>
      </c>
      <c r="P156">
        <v>1</v>
      </c>
      <c r="R156">
        <v>4</v>
      </c>
      <c r="S156">
        <v>0</v>
      </c>
      <c r="U156" t="s">
        <v>650</v>
      </c>
      <c r="V156">
        <v>3</v>
      </c>
      <c r="W156" s="232">
        <v>36892</v>
      </c>
      <c r="X156" s="232">
        <v>36525</v>
      </c>
      <c r="Y156">
        <v>1</v>
      </c>
      <c r="Z156">
        <v>1</v>
      </c>
    </row>
    <row r="157" spans="1:26" x14ac:dyDescent="0.25">
      <c r="A157">
        <v>10583</v>
      </c>
      <c r="B157" t="s">
        <v>1111</v>
      </c>
      <c r="C157" t="s">
        <v>1112</v>
      </c>
      <c r="G157" t="s">
        <v>644</v>
      </c>
      <c r="H157" t="s">
        <v>1113</v>
      </c>
      <c r="I157">
        <v>1</v>
      </c>
      <c r="J157" t="s">
        <v>1112</v>
      </c>
      <c r="N157" t="s">
        <v>644</v>
      </c>
      <c r="O157" t="s">
        <v>1113</v>
      </c>
      <c r="P157">
        <v>1</v>
      </c>
      <c r="R157">
        <v>1</v>
      </c>
      <c r="S157">
        <v>0</v>
      </c>
      <c r="U157" t="s">
        <v>650</v>
      </c>
      <c r="V157">
        <v>1</v>
      </c>
      <c r="W157" s="232">
        <v>36892</v>
      </c>
      <c r="X157" s="232">
        <v>36525</v>
      </c>
      <c r="Y157">
        <v>1</v>
      </c>
      <c r="Z157">
        <v>1</v>
      </c>
    </row>
    <row r="158" spans="1:26" x14ac:dyDescent="0.25">
      <c r="A158">
        <v>10312</v>
      </c>
      <c r="B158" t="s">
        <v>1114</v>
      </c>
      <c r="C158" t="s">
        <v>1115</v>
      </c>
      <c r="G158" t="s">
        <v>1116</v>
      </c>
      <c r="H158" t="s">
        <v>1117</v>
      </c>
      <c r="I158">
        <v>12</v>
      </c>
      <c r="J158" t="s">
        <v>1115</v>
      </c>
      <c r="N158" t="s">
        <v>1116</v>
      </c>
      <c r="O158" t="s">
        <v>1117</v>
      </c>
      <c r="P158">
        <v>12</v>
      </c>
      <c r="R158">
        <v>3</v>
      </c>
      <c r="S158">
        <v>0</v>
      </c>
      <c r="U158" t="s">
        <v>650</v>
      </c>
      <c r="V158">
        <v>3</v>
      </c>
      <c r="W158" s="232">
        <v>36892</v>
      </c>
      <c r="X158" s="232">
        <v>36525</v>
      </c>
      <c r="Y158">
        <v>1</v>
      </c>
      <c r="Z158">
        <v>1</v>
      </c>
    </row>
    <row r="159" spans="1:26" x14ac:dyDescent="0.25">
      <c r="A159">
        <v>2189</v>
      </c>
      <c r="B159" t="s">
        <v>1118</v>
      </c>
      <c r="C159" t="s">
        <v>1119</v>
      </c>
      <c r="G159" t="s">
        <v>644</v>
      </c>
      <c r="H159" t="s">
        <v>819</v>
      </c>
      <c r="I159">
        <v>1</v>
      </c>
      <c r="J159" t="s">
        <v>1119</v>
      </c>
      <c r="N159" t="s">
        <v>644</v>
      </c>
      <c r="O159" t="s">
        <v>819</v>
      </c>
      <c r="P159">
        <v>1</v>
      </c>
      <c r="R159">
        <v>7</v>
      </c>
      <c r="S159">
        <v>0</v>
      </c>
      <c r="U159" t="s">
        <v>650</v>
      </c>
      <c r="V159">
        <v>3</v>
      </c>
      <c r="W159" s="232">
        <v>36892</v>
      </c>
      <c r="X159" s="232">
        <v>36525</v>
      </c>
      <c r="Y159">
        <v>1</v>
      </c>
      <c r="Z159">
        <v>1</v>
      </c>
    </row>
    <row r="160" spans="1:26" x14ac:dyDescent="0.25">
      <c r="A160">
        <v>2161</v>
      </c>
      <c r="B160" t="s">
        <v>1120</v>
      </c>
      <c r="C160" t="s">
        <v>1121</v>
      </c>
      <c r="G160" t="s">
        <v>644</v>
      </c>
      <c r="H160" t="s">
        <v>1122</v>
      </c>
      <c r="I160">
        <v>1</v>
      </c>
      <c r="J160" t="s">
        <v>1121</v>
      </c>
      <c r="N160" t="s">
        <v>644</v>
      </c>
      <c r="O160" t="s">
        <v>1122</v>
      </c>
      <c r="P160">
        <v>1</v>
      </c>
      <c r="R160">
        <v>4</v>
      </c>
      <c r="S160">
        <v>0</v>
      </c>
      <c r="U160" t="s">
        <v>650</v>
      </c>
      <c r="V160">
        <v>3</v>
      </c>
      <c r="W160" s="232">
        <v>36892</v>
      </c>
      <c r="X160" s="232">
        <v>36525</v>
      </c>
      <c r="Y160">
        <v>0</v>
      </c>
      <c r="Z160">
        <v>1</v>
      </c>
    </row>
    <row r="161" spans="1:26" x14ac:dyDescent="0.25">
      <c r="A161">
        <v>2378</v>
      </c>
      <c r="B161" t="s">
        <v>1123</v>
      </c>
      <c r="C161" t="s">
        <v>1124</v>
      </c>
      <c r="G161" t="s">
        <v>644</v>
      </c>
      <c r="H161" t="s">
        <v>871</v>
      </c>
      <c r="I161">
        <v>1</v>
      </c>
      <c r="J161" t="s">
        <v>1124</v>
      </c>
      <c r="N161" t="s">
        <v>644</v>
      </c>
      <c r="O161" t="s">
        <v>871</v>
      </c>
      <c r="P161">
        <v>1</v>
      </c>
      <c r="R161">
        <v>4</v>
      </c>
      <c r="S161">
        <v>0</v>
      </c>
      <c r="U161" t="s">
        <v>650</v>
      </c>
      <c r="V161">
        <v>3</v>
      </c>
      <c r="W161" s="232">
        <v>36892</v>
      </c>
      <c r="X161" s="232">
        <v>36525</v>
      </c>
      <c r="Y161">
        <v>1</v>
      </c>
      <c r="Z161">
        <v>1</v>
      </c>
    </row>
    <row r="162" spans="1:26" x14ac:dyDescent="0.25">
      <c r="A162">
        <v>10534</v>
      </c>
      <c r="B162" t="s">
        <v>1125</v>
      </c>
      <c r="C162" t="s">
        <v>1126</v>
      </c>
      <c r="G162" t="s">
        <v>644</v>
      </c>
      <c r="H162" t="s">
        <v>879</v>
      </c>
      <c r="I162">
        <v>1</v>
      </c>
      <c r="J162" t="s">
        <v>1126</v>
      </c>
      <c r="N162" t="s">
        <v>644</v>
      </c>
      <c r="O162" t="s">
        <v>879</v>
      </c>
      <c r="P162">
        <v>1</v>
      </c>
      <c r="R162">
        <v>2</v>
      </c>
      <c r="S162">
        <v>0</v>
      </c>
      <c r="U162" t="s">
        <v>650</v>
      </c>
      <c r="V162">
        <v>3</v>
      </c>
      <c r="W162" s="232">
        <v>36892</v>
      </c>
      <c r="X162" s="232">
        <v>36525</v>
      </c>
      <c r="Y162">
        <v>1</v>
      </c>
      <c r="Z162">
        <v>1</v>
      </c>
    </row>
    <row r="163" spans="1:26" x14ac:dyDescent="0.25">
      <c r="A163">
        <v>2173</v>
      </c>
      <c r="B163" t="s">
        <v>1127</v>
      </c>
      <c r="C163" t="s">
        <v>1128</v>
      </c>
      <c r="G163" t="s">
        <v>644</v>
      </c>
      <c r="H163" t="s">
        <v>813</v>
      </c>
      <c r="I163">
        <v>1</v>
      </c>
      <c r="J163" t="s">
        <v>1128</v>
      </c>
      <c r="N163" t="s">
        <v>644</v>
      </c>
      <c r="O163" t="s">
        <v>813</v>
      </c>
      <c r="P163">
        <v>1</v>
      </c>
      <c r="R163">
        <v>5</v>
      </c>
      <c r="S163">
        <v>0</v>
      </c>
      <c r="U163" t="s">
        <v>650</v>
      </c>
      <c r="V163">
        <v>3</v>
      </c>
      <c r="W163" s="232">
        <v>36892</v>
      </c>
      <c r="X163" s="232">
        <v>36525</v>
      </c>
      <c r="Y163">
        <v>0</v>
      </c>
      <c r="Z163">
        <v>1</v>
      </c>
    </row>
    <row r="164" spans="1:26" x14ac:dyDescent="0.25">
      <c r="A164">
        <v>10214</v>
      </c>
      <c r="B164" t="s">
        <v>1129</v>
      </c>
      <c r="C164" t="s">
        <v>1130</v>
      </c>
      <c r="G164" t="s">
        <v>644</v>
      </c>
      <c r="H164" t="s">
        <v>1131</v>
      </c>
      <c r="I164">
        <v>1</v>
      </c>
      <c r="J164" t="s">
        <v>1130</v>
      </c>
      <c r="N164" t="s">
        <v>644</v>
      </c>
      <c r="O164" t="s">
        <v>1131</v>
      </c>
      <c r="P164">
        <v>1</v>
      </c>
      <c r="R164">
        <v>7</v>
      </c>
      <c r="S164">
        <v>0</v>
      </c>
      <c r="U164" t="s">
        <v>650</v>
      </c>
      <c r="V164">
        <v>3</v>
      </c>
      <c r="W164" s="232">
        <v>36892</v>
      </c>
      <c r="X164" s="232">
        <v>36525</v>
      </c>
      <c r="Y164">
        <v>0</v>
      </c>
      <c r="Z164">
        <v>1</v>
      </c>
    </row>
    <row r="165" spans="1:26" x14ac:dyDescent="0.25">
      <c r="A165">
        <v>2207</v>
      </c>
      <c r="B165" t="s">
        <v>1132</v>
      </c>
      <c r="C165" t="s">
        <v>1133</v>
      </c>
      <c r="G165" t="s">
        <v>644</v>
      </c>
      <c r="H165" t="s">
        <v>1134</v>
      </c>
      <c r="I165">
        <v>1</v>
      </c>
      <c r="J165" t="s">
        <v>1133</v>
      </c>
      <c r="N165" t="s">
        <v>644</v>
      </c>
      <c r="O165" t="s">
        <v>1134</v>
      </c>
      <c r="P165">
        <v>1</v>
      </c>
      <c r="R165">
        <v>3</v>
      </c>
      <c r="S165">
        <v>0</v>
      </c>
      <c r="U165" t="s">
        <v>650</v>
      </c>
      <c r="V165">
        <v>3</v>
      </c>
      <c r="W165" s="232">
        <v>36892</v>
      </c>
      <c r="X165" s="232">
        <v>36525</v>
      </c>
      <c r="Y165">
        <v>0</v>
      </c>
      <c r="Z165">
        <v>1</v>
      </c>
    </row>
    <row r="166" spans="1:26" x14ac:dyDescent="0.25">
      <c r="A166">
        <v>2242</v>
      </c>
      <c r="B166" t="s">
        <v>1135</v>
      </c>
      <c r="C166" t="s">
        <v>1136</v>
      </c>
      <c r="G166" t="s">
        <v>644</v>
      </c>
      <c r="H166" t="s">
        <v>1137</v>
      </c>
      <c r="I166">
        <v>1</v>
      </c>
      <c r="J166" t="s">
        <v>1136</v>
      </c>
      <c r="N166" t="s">
        <v>644</v>
      </c>
      <c r="O166" t="s">
        <v>1137</v>
      </c>
      <c r="P166">
        <v>1</v>
      </c>
      <c r="R166">
        <v>8</v>
      </c>
      <c r="S166">
        <v>0</v>
      </c>
      <c r="U166" t="s">
        <v>1138</v>
      </c>
      <c r="V166">
        <v>3</v>
      </c>
      <c r="W166" s="232">
        <v>36892</v>
      </c>
      <c r="X166" s="232">
        <v>36525</v>
      </c>
      <c r="Y166">
        <v>0</v>
      </c>
      <c r="Z166">
        <v>1</v>
      </c>
    </row>
    <row r="167" spans="1:26" x14ac:dyDescent="0.25">
      <c r="A167">
        <v>10510</v>
      </c>
      <c r="B167" t="s">
        <v>1139</v>
      </c>
      <c r="C167" t="s">
        <v>1140</v>
      </c>
      <c r="G167" t="s">
        <v>644</v>
      </c>
      <c r="H167" t="s">
        <v>746</v>
      </c>
      <c r="I167">
        <v>1</v>
      </c>
      <c r="J167" t="s">
        <v>1140</v>
      </c>
      <c r="N167" t="s">
        <v>644</v>
      </c>
      <c r="O167" t="s">
        <v>746</v>
      </c>
      <c r="P167">
        <v>1</v>
      </c>
      <c r="R167">
        <v>6</v>
      </c>
      <c r="S167">
        <v>29747</v>
      </c>
      <c r="T167" t="s">
        <v>660</v>
      </c>
      <c r="U167" t="s">
        <v>1141</v>
      </c>
      <c r="V167">
        <v>3</v>
      </c>
      <c r="W167" s="232">
        <v>36892</v>
      </c>
      <c r="X167" s="232">
        <v>36525</v>
      </c>
      <c r="Y167">
        <v>1</v>
      </c>
      <c r="Z167">
        <v>1</v>
      </c>
    </row>
    <row r="168" spans="1:26" x14ac:dyDescent="0.25">
      <c r="A168">
        <v>30198</v>
      </c>
      <c r="B168" t="s">
        <v>1142</v>
      </c>
      <c r="C168" t="s">
        <v>1143</v>
      </c>
      <c r="G168" t="s">
        <v>1144</v>
      </c>
      <c r="H168" t="s">
        <v>1145</v>
      </c>
      <c r="I168">
        <v>2</v>
      </c>
      <c r="R168">
        <v>1</v>
      </c>
      <c r="S168">
        <v>29747</v>
      </c>
      <c r="T168" t="s">
        <v>660</v>
      </c>
      <c r="U168" t="s">
        <v>1146</v>
      </c>
      <c r="V168">
        <v>1</v>
      </c>
      <c r="W168" s="232">
        <v>36892</v>
      </c>
      <c r="X168" s="232">
        <v>36525</v>
      </c>
      <c r="Y168">
        <v>0</v>
      </c>
      <c r="Z168">
        <v>1</v>
      </c>
    </row>
    <row r="169" spans="1:26" x14ac:dyDescent="0.25">
      <c r="A169">
        <v>10515</v>
      </c>
      <c r="B169" t="s">
        <v>1147</v>
      </c>
      <c r="C169" t="s">
        <v>1148</v>
      </c>
      <c r="G169" t="s">
        <v>644</v>
      </c>
      <c r="H169" t="s">
        <v>1149</v>
      </c>
      <c r="I169">
        <v>1</v>
      </c>
      <c r="J169" t="s">
        <v>1148</v>
      </c>
      <c r="N169" t="s">
        <v>644</v>
      </c>
      <c r="O169" t="s">
        <v>1149</v>
      </c>
      <c r="P169">
        <v>1</v>
      </c>
      <c r="R169">
        <v>6</v>
      </c>
      <c r="S169">
        <v>0</v>
      </c>
      <c r="U169" t="s">
        <v>650</v>
      </c>
      <c r="V169">
        <v>3</v>
      </c>
      <c r="W169" s="232">
        <v>36892</v>
      </c>
      <c r="X169" s="232">
        <v>36525</v>
      </c>
      <c r="Y169">
        <v>1</v>
      </c>
      <c r="Z169">
        <v>1</v>
      </c>
    </row>
    <row r="170" spans="1:26" x14ac:dyDescent="0.25">
      <c r="A170">
        <v>10364</v>
      </c>
      <c r="B170" t="s">
        <v>1150</v>
      </c>
      <c r="C170" t="s">
        <v>1151</v>
      </c>
      <c r="G170" t="s">
        <v>891</v>
      </c>
      <c r="H170" t="s">
        <v>1152</v>
      </c>
      <c r="I170">
        <v>12</v>
      </c>
      <c r="J170" t="s">
        <v>1151</v>
      </c>
      <c r="N170" t="s">
        <v>891</v>
      </c>
      <c r="O170" t="s">
        <v>1152</v>
      </c>
      <c r="P170">
        <v>12</v>
      </c>
      <c r="R170">
        <v>2</v>
      </c>
      <c r="S170">
        <v>0</v>
      </c>
      <c r="U170" t="s">
        <v>650</v>
      </c>
      <c r="V170">
        <v>3</v>
      </c>
      <c r="W170" s="232">
        <v>36892</v>
      </c>
      <c r="X170" s="232">
        <v>36525</v>
      </c>
      <c r="Y170">
        <v>1</v>
      </c>
      <c r="Z170">
        <v>1</v>
      </c>
    </row>
    <row r="171" spans="1:26" x14ac:dyDescent="0.25">
      <c r="A171">
        <v>10326</v>
      </c>
      <c r="B171" t="s">
        <v>1153</v>
      </c>
      <c r="C171" t="s">
        <v>1154</v>
      </c>
      <c r="G171" t="s">
        <v>644</v>
      </c>
      <c r="H171" t="s">
        <v>1155</v>
      </c>
      <c r="I171">
        <v>1</v>
      </c>
      <c r="J171" t="s">
        <v>1154</v>
      </c>
      <c r="N171" t="s">
        <v>644</v>
      </c>
      <c r="O171" t="s">
        <v>1155</v>
      </c>
      <c r="P171">
        <v>1</v>
      </c>
      <c r="R171">
        <v>4</v>
      </c>
      <c r="S171">
        <v>0</v>
      </c>
      <c r="U171" t="s">
        <v>650</v>
      </c>
      <c r="V171">
        <v>3</v>
      </c>
      <c r="W171" s="232">
        <v>36892</v>
      </c>
      <c r="X171" s="232">
        <v>36525</v>
      </c>
      <c r="Y171">
        <v>0</v>
      </c>
      <c r="Z171">
        <v>1</v>
      </c>
    </row>
    <row r="172" spans="1:26" x14ac:dyDescent="0.25">
      <c r="A172">
        <v>30100</v>
      </c>
      <c r="B172" t="s">
        <v>1156</v>
      </c>
      <c r="I172">
        <v>1</v>
      </c>
      <c r="P172">
        <v>1</v>
      </c>
      <c r="R172">
        <v>1</v>
      </c>
      <c r="S172">
        <v>29747</v>
      </c>
      <c r="T172" t="s">
        <v>660</v>
      </c>
      <c r="U172" t="s">
        <v>1157</v>
      </c>
      <c r="V172">
        <v>3</v>
      </c>
      <c r="W172" s="232">
        <v>36892</v>
      </c>
      <c r="X172" s="232">
        <v>36525</v>
      </c>
      <c r="Y172">
        <v>0</v>
      </c>
      <c r="Z172">
        <v>1</v>
      </c>
    </row>
    <row r="173" spans="1:26" x14ac:dyDescent="0.25">
      <c r="A173">
        <v>30206</v>
      </c>
      <c r="B173" t="s">
        <v>1158</v>
      </c>
      <c r="C173" t="s">
        <v>1159</v>
      </c>
      <c r="G173" t="s">
        <v>1160</v>
      </c>
      <c r="H173" t="s">
        <v>1161</v>
      </c>
      <c r="I173">
        <v>2</v>
      </c>
      <c r="J173" t="s">
        <v>1159</v>
      </c>
      <c r="N173" t="s">
        <v>1160</v>
      </c>
      <c r="O173" t="s">
        <v>1161</v>
      </c>
      <c r="P173">
        <v>2</v>
      </c>
      <c r="R173">
        <v>2</v>
      </c>
      <c r="S173">
        <v>29747</v>
      </c>
      <c r="T173" t="s">
        <v>660</v>
      </c>
      <c r="U173" t="s">
        <v>1162</v>
      </c>
      <c r="V173">
        <v>3</v>
      </c>
      <c r="W173" s="232">
        <v>36892</v>
      </c>
      <c r="X173" s="232">
        <v>36525</v>
      </c>
      <c r="Y173">
        <v>0</v>
      </c>
      <c r="Z173">
        <v>1</v>
      </c>
    </row>
    <row r="174" spans="1:26" x14ac:dyDescent="0.25">
      <c r="A174">
        <v>4008</v>
      </c>
      <c r="B174" t="s">
        <v>1163</v>
      </c>
      <c r="C174" t="s">
        <v>1164</v>
      </c>
      <c r="G174" t="s">
        <v>644</v>
      </c>
      <c r="H174" t="s">
        <v>1165</v>
      </c>
      <c r="I174">
        <v>1</v>
      </c>
      <c r="J174" t="s">
        <v>1164</v>
      </c>
      <c r="N174" t="s">
        <v>644</v>
      </c>
      <c r="O174" t="s">
        <v>1165</v>
      </c>
      <c r="P174">
        <v>1</v>
      </c>
      <c r="R174">
        <v>6</v>
      </c>
      <c r="S174">
        <v>0</v>
      </c>
      <c r="U174" t="s">
        <v>650</v>
      </c>
      <c r="V174">
        <v>3</v>
      </c>
      <c r="W174" s="232">
        <v>36892</v>
      </c>
      <c r="X174" s="232">
        <v>36525</v>
      </c>
      <c r="Y174">
        <v>0</v>
      </c>
      <c r="Z174">
        <v>1</v>
      </c>
    </row>
    <row r="175" spans="1:26" x14ac:dyDescent="0.25">
      <c r="A175">
        <v>2365</v>
      </c>
      <c r="B175" t="s">
        <v>1166</v>
      </c>
      <c r="C175" t="s">
        <v>1167</v>
      </c>
      <c r="G175" t="s">
        <v>644</v>
      </c>
      <c r="H175" t="s">
        <v>1168</v>
      </c>
      <c r="I175">
        <v>1</v>
      </c>
      <c r="J175" t="s">
        <v>1167</v>
      </c>
      <c r="N175" t="s">
        <v>644</v>
      </c>
      <c r="O175" t="s">
        <v>1168</v>
      </c>
      <c r="P175">
        <v>1</v>
      </c>
      <c r="R175">
        <v>9</v>
      </c>
      <c r="S175">
        <v>0</v>
      </c>
      <c r="U175" t="s">
        <v>650</v>
      </c>
      <c r="V175">
        <v>3</v>
      </c>
      <c r="W175" s="232">
        <v>36892</v>
      </c>
      <c r="X175" s="232">
        <v>36525</v>
      </c>
      <c r="Y175">
        <v>0</v>
      </c>
      <c r="Z175">
        <v>1</v>
      </c>
    </row>
    <row r="176" spans="1:26" x14ac:dyDescent="0.25">
      <c r="A176">
        <v>10385</v>
      </c>
      <c r="B176" t="s">
        <v>1169</v>
      </c>
      <c r="C176" t="s">
        <v>1170</v>
      </c>
      <c r="G176" t="s">
        <v>644</v>
      </c>
      <c r="H176" t="s">
        <v>819</v>
      </c>
      <c r="I176">
        <v>1</v>
      </c>
      <c r="J176" t="s">
        <v>1170</v>
      </c>
      <c r="N176" t="s">
        <v>644</v>
      </c>
      <c r="O176" t="s">
        <v>819</v>
      </c>
      <c r="P176">
        <v>1</v>
      </c>
      <c r="R176">
        <v>9</v>
      </c>
      <c r="S176">
        <v>0</v>
      </c>
      <c r="U176" t="s">
        <v>1171</v>
      </c>
      <c r="V176">
        <v>3</v>
      </c>
      <c r="W176" s="232">
        <v>36892</v>
      </c>
      <c r="X176" s="232">
        <v>36525</v>
      </c>
      <c r="Y176">
        <v>0</v>
      </c>
      <c r="Z176">
        <v>1</v>
      </c>
    </row>
    <row r="177" spans="1:26" x14ac:dyDescent="0.25">
      <c r="A177">
        <v>2401</v>
      </c>
      <c r="B177" t="s">
        <v>1172</v>
      </c>
      <c r="C177" t="s">
        <v>1173</v>
      </c>
      <c r="G177" t="s">
        <v>644</v>
      </c>
      <c r="H177" t="s">
        <v>1174</v>
      </c>
      <c r="I177">
        <v>1</v>
      </c>
      <c r="J177" t="s">
        <v>1173</v>
      </c>
      <c r="N177" t="s">
        <v>644</v>
      </c>
      <c r="O177" t="s">
        <v>1174</v>
      </c>
      <c r="P177">
        <v>1</v>
      </c>
      <c r="R177">
        <v>4</v>
      </c>
      <c r="S177">
        <v>0</v>
      </c>
      <c r="U177" t="s">
        <v>650</v>
      </c>
      <c r="V177">
        <v>3</v>
      </c>
      <c r="W177" s="232">
        <v>36892</v>
      </c>
      <c r="X177" s="232">
        <v>36525</v>
      </c>
      <c r="Y177">
        <v>0</v>
      </c>
      <c r="Z177">
        <v>1</v>
      </c>
    </row>
    <row r="178" spans="1:26" x14ac:dyDescent="0.25">
      <c r="A178">
        <v>2395</v>
      </c>
      <c r="B178" t="s">
        <v>1175</v>
      </c>
      <c r="C178" t="s">
        <v>1176</v>
      </c>
      <c r="G178" t="s">
        <v>644</v>
      </c>
      <c r="H178" t="s">
        <v>1177</v>
      </c>
      <c r="I178">
        <v>1</v>
      </c>
      <c r="J178" t="s">
        <v>1176</v>
      </c>
      <c r="N178" t="s">
        <v>644</v>
      </c>
      <c r="O178" t="s">
        <v>1177</v>
      </c>
      <c r="P178">
        <v>1</v>
      </c>
      <c r="R178">
        <v>6</v>
      </c>
      <c r="S178">
        <v>0</v>
      </c>
      <c r="U178" t="s">
        <v>1178</v>
      </c>
      <c r="V178">
        <v>3</v>
      </c>
      <c r="W178" s="232">
        <v>36892</v>
      </c>
      <c r="X178" s="232">
        <v>36525</v>
      </c>
      <c r="Y178">
        <v>0</v>
      </c>
      <c r="Z178">
        <v>1</v>
      </c>
    </row>
    <row r="179" spans="1:26" x14ac:dyDescent="0.25">
      <c r="A179">
        <v>10439</v>
      </c>
      <c r="B179" t="s">
        <v>1179</v>
      </c>
      <c r="C179" t="s">
        <v>1180</v>
      </c>
      <c r="G179" t="s">
        <v>644</v>
      </c>
      <c r="H179" t="s">
        <v>857</v>
      </c>
      <c r="I179">
        <v>1</v>
      </c>
      <c r="J179" t="s">
        <v>1180</v>
      </c>
      <c r="N179" t="s">
        <v>644</v>
      </c>
      <c r="O179" t="s">
        <v>857</v>
      </c>
      <c r="P179">
        <v>1</v>
      </c>
      <c r="R179">
        <v>10</v>
      </c>
      <c r="S179">
        <v>29747</v>
      </c>
      <c r="T179" t="s">
        <v>660</v>
      </c>
      <c r="U179" t="s">
        <v>1181</v>
      </c>
      <c r="V179">
        <v>3</v>
      </c>
      <c r="W179" s="232">
        <v>36892</v>
      </c>
      <c r="X179" s="232">
        <v>36525</v>
      </c>
      <c r="Y179">
        <v>1</v>
      </c>
      <c r="Z179">
        <v>1</v>
      </c>
    </row>
    <row r="180" spans="1:26" x14ac:dyDescent="0.25">
      <c r="A180">
        <v>10398</v>
      </c>
      <c r="B180" t="s">
        <v>1182</v>
      </c>
      <c r="C180" t="s">
        <v>1183</v>
      </c>
      <c r="G180" t="s">
        <v>644</v>
      </c>
      <c r="H180" t="s">
        <v>957</v>
      </c>
      <c r="I180">
        <v>1</v>
      </c>
      <c r="J180" t="s">
        <v>1183</v>
      </c>
      <c r="N180" t="s">
        <v>644</v>
      </c>
      <c r="O180" t="s">
        <v>957</v>
      </c>
      <c r="P180">
        <v>1</v>
      </c>
      <c r="R180">
        <v>7</v>
      </c>
      <c r="S180">
        <v>0</v>
      </c>
      <c r="U180" t="s">
        <v>1184</v>
      </c>
      <c r="V180">
        <v>3</v>
      </c>
      <c r="W180" s="232">
        <v>36892</v>
      </c>
      <c r="X180" s="232">
        <v>36525</v>
      </c>
      <c r="Y180">
        <v>0</v>
      </c>
      <c r="Z180">
        <v>1</v>
      </c>
    </row>
    <row r="181" spans="1:26" x14ac:dyDescent="0.25">
      <c r="A181">
        <v>2444</v>
      </c>
      <c r="B181" t="s">
        <v>1185</v>
      </c>
      <c r="C181" t="s">
        <v>1186</v>
      </c>
      <c r="G181" t="s">
        <v>644</v>
      </c>
      <c r="H181" t="s">
        <v>656</v>
      </c>
      <c r="I181">
        <v>1</v>
      </c>
      <c r="J181" t="s">
        <v>1186</v>
      </c>
      <c r="N181" t="s">
        <v>644</v>
      </c>
      <c r="O181" t="s">
        <v>656</v>
      </c>
      <c r="P181">
        <v>1</v>
      </c>
      <c r="R181">
        <v>4</v>
      </c>
      <c r="S181">
        <v>0</v>
      </c>
      <c r="U181" t="s">
        <v>650</v>
      </c>
      <c r="V181">
        <v>3</v>
      </c>
      <c r="W181" s="232">
        <v>36892</v>
      </c>
      <c r="X181" s="232">
        <v>36525</v>
      </c>
      <c r="Y181">
        <v>0</v>
      </c>
      <c r="Z181">
        <v>1</v>
      </c>
    </row>
    <row r="182" spans="1:26" x14ac:dyDescent="0.25">
      <c r="A182">
        <v>10516</v>
      </c>
      <c r="B182" t="s">
        <v>1187</v>
      </c>
      <c r="C182" t="s">
        <v>1188</v>
      </c>
      <c r="G182" t="s">
        <v>644</v>
      </c>
      <c r="H182" t="s">
        <v>1189</v>
      </c>
      <c r="I182">
        <v>1</v>
      </c>
      <c r="J182" t="s">
        <v>1188</v>
      </c>
      <c r="N182" t="s">
        <v>644</v>
      </c>
      <c r="O182" t="s">
        <v>1189</v>
      </c>
      <c r="P182">
        <v>1</v>
      </c>
      <c r="R182">
        <v>2</v>
      </c>
      <c r="S182">
        <v>0</v>
      </c>
      <c r="U182" t="s">
        <v>650</v>
      </c>
      <c r="V182">
        <v>3</v>
      </c>
      <c r="W182" s="232">
        <v>36892</v>
      </c>
      <c r="X182" s="232">
        <v>36525</v>
      </c>
      <c r="Y182">
        <v>0</v>
      </c>
      <c r="Z182">
        <v>1</v>
      </c>
    </row>
    <row r="183" spans="1:26" x14ac:dyDescent="0.25">
      <c r="A183">
        <v>2450</v>
      </c>
      <c r="B183" t="s">
        <v>1190</v>
      </c>
      <c r="C183" t="s">
        <v>1191</v>
      </c>
      <c r="G183" t="s">
        <v>644</v>
      </c>
      <c r="H183" t="s">
        <v>1192</v>
      </c>
      <c r="I183">
        <v>1</v>
      </c>
      <c r="J183" t="s">
        <v>1191</v>
      </c>
      <c r="N183" t="s">
        <v>644</v>
      </c>
      <c r="O183" t="s">
        <v>1192</v>
      </c>
      <c r="P183">
        <v>1</v>
      </c>
      <c r="Q183">
        <v>1285</v>
      </c>
      <c r="R183">
        <v>4</v>
      </c>
      <c r="S183">
        <v>0</v>
      </c>
      <c r="U183" t="s">
        <v>650</v>
      </c>
      <c r="V183">
        <v>3</v>
      </c>
      <c r="W183" s="232">
        <v>36892</v>
      </c>
      <c r="X183" s="232">
        <v>36525</v>
      </c>
      <c r="Y183">
        <v>1</v>
      </c>
      <c r="Z183">
        <v>1</v>
      </c>
    </row>
    <row r="184" spans="1:26" x14ac:dyDescent="0.25">
      <c r="A184">
        <v>2406</v>
      </c>
      <c r="B184" t="s">
        <v>1193</v>
      </c>
      <c r="C184" t="s">
        <v>1194</v>
      </c>
      <c r="G184" t="s">
        <v>644</v>
      </c>
      <c r="H184" t="s">
        <v>1195</v>
      </c>
      <c r="I184">
        <v>1</v>
      </c>
      <c r="J184" t="s">
        <v>1194</v>
      </c>
      <c r="N184" t="s">
        <v>644</v>
      </c>
      <c r="O184" t="s">
        <v>1195</v>
      </c>
      <c r="P184">
        <v>1</v>
      </c>
      <c r="Q184">
        <v>1285</v>
      </c>
      <c r="R184">
        <v>5</v>
      </c>
      <c r="S184">
        <v>0</v>
      </c>
      <c r="U184" t="s">
        <v>650</v>
      </c>
      <c r="V184">
        <v>3</v>
      </c>
      <c r="W184" s="232">
        <v>36892</v>
      </c>
      <c r="X184" s="232">
        <v>36525</v>
      </c>
      <c r="Y184">
        <v>0</v>
      </c>
      <c r="Z184">
        <v>1</v>
      </c>
    </row>
    <row r="185" spans="1:26" x14ac:dyDescent="0.25">
      <c r="A185">
        <v>2505</v>
      </c>
      <c r="B185" t="s">
        <v>1196</v>
      </c>
      <c r="C185" t="s">
        <v>1197</v>
      </c>
      <c r="G185" t="s">
        <v>644</v>
      </c>
      <c r="H185" t="s">
        <v>727</v>
      </c>
      <c r="I185">
        <v>1</v>
      </c>
      <c r="J185" t="s">
        <v>1197</v>
      </c>
      <c r="N185" t="s">
        <v>644</v>
      </c>
      <c r="O185" t="s">
        <v>727</v>
      </c>
      <c r="P185">
        <v>1</v>
      </c>
      <c r="R185">
        <v>5</v>
      </c>
      <c r="S185">
        <v>0</v>
      </c>
      <c r="U185" t="s">
        <v>650</v>
      </c>
      <c r="V185">
        <v>3</v>
      </c>
      <c r="W185" s="232">
        <v>36892</v>
      </c>
      <c r="X185" s="232">
        <v>36525</v>
      </c>
      <c r="Y185">
        <v>0</v>
      </c>
      <c r="Z185">
        <v>1</v>
      </c>
    </row>
    <row r="186" spans="1:26" x14ac:dyDescent="0.25">
      <c r="A186">
        <v>2507</v>
      </c>
      <c r="B186" t="s">
        <v>1198</v>
      </c>
      <c r="C186" t="s">
        <v>1199</v>
      </c>
      <c r="G186" t="s">
        <v>1116</v>
      </c>
      <c r="H186" t="s">
        <v>1117</v>
      </c>
      <c r="I186">
        <v>12</v>
      </c>
      <c r="J186" t="s">
        <v>1199</v>
      </c>
      <c r="N186" t="s">
        <v>1116</v>
      </c>
      <c r="O186" t="s">
        <v>1117</v>
      </c>
      <c r="P186">
        <v>12</v>
      </c>
      <c r="R186">
        <v>4</v>
      </c>
      <c r="S186">
        <v>0</v>
      </c>
      <c r="U186" t="s">
        <v>1200</v>
      </c>
      <c r="V186">
        <v>3</v>
      </c>
      <c r="W186" s="232">
        <v>36892</v>
      </c>
      <c r="X186" s="232">
        <v>36525</v>
      </c>
      <c r="Y186">
        <v>0</v>
      </c>
      <c r="Z186">
        <v>1</v>
      </c>
    </row>
    <row r="187" spans="1:26" x14ac:dyDescent="0.25">
      <c r="A187">
        <v>2501</v>
      </c>
      <c r="B187" t="s">
        <v>1201</v>
      </c>
      <c r="C187" t="s">
        <v>1202</v>
      </c>
      <c r="G187" t="s">
        <v>213</v>
      </c>
      <c r="H187" t="s">
        <v>1203</v>
      </c>
      <c r="I187">
        <v>12</v>
      </c>
      <c r="J187" t="s">
        <v>1202</v>
      </c>
      <c r="N187" t="s">
        <v>213</v>
      </c>
      <c r="O187" t="s">
        <v>1203</v>
      </c>
      <c r="P187">
        <v>12</v>
      </c>
      <c r="Q187">
        <v>1285</v>
      </c>
      <c r="R187">
        <v>3</v>
      </c>
      <c r="S187">
        <v>0</v>
      </c>
      <c r="U187" t="s">
        <v>650</v>
      </c>
      <c r="V187">
        <v>3</v>
      </c>
      <c r="W187" s="232">
        <v>36892</v>
      </c>
      <c r="X187" s="232">
        <v>36525</v>
      </c>
      <c r="Y187">
        <v>1</v>
      </c>
      <c r="Z187">
        <v>1</v>
      </c>
    </row>
    <row r="188" spans="1:26" x14ac:dyDescent="0.25">
      <c r="A188">
        <v>30104</v>
      </c>
      <c r="B188" t="s">
        <v>1204</v>
      </c>
      <c r="I188">
        <v>1</v>
      </c>
      <c r="P188">
        <v>1</v>
      </c>
      <c r="R188">
        <v>1</v>
      </c>
      <c r="S188">
        <v>29747</v>
      </c>
      <c r="T188" t="s">
        <v>660</v>
      </c>
      <c r="U188" t="s">
        <v>1205</v>
      </c>
      <c r="V188">
        <v>3</v>
      </c>
      <c r="W188" s="232">
        <v>36892</v>
      </c>
      <c r="X188" s="232">
        <v>36525</v>
      </c>
      <c r="Y188">
        <v>0</v>
      </c>
      <c r="Z188">
        <v>1</v>
      </c>
    </row>
    <row r="189" spans="1:26" x14ac:dyDescent="0.25">
      <c r="A189">
        <v>10475</v>
      </c>
      <c r="B189" t="s">
        <v>1206</v>
      </c>
      <c r="C189" t="s">
        <v>1207</v>
      </c>
      <c r="G189" t="s">
        <v>644</v>
      </c>
      <c r="H189" t="s">
        <v>828</v>
      </c>
      <c r="I189">
        <v>1</v>
      </c>
      <c r="J189" t="s">
        <v>1207</v>
      </c>
      <c r="N189" t="s">
        <v>644</v>
      </c>
      <c r="O189" t="s">
        <v>828</v>
      </c>
      <c r="P189">
        <v>1</v>
      </c>
      <c r="R189">
        <v>5</v>
      </c>
      <c r="S189">
        <v>0</v>
      </c>
      <c r="U189" t="s">
        <v>650</v>
      </c>
      <c r="V189">
        <v>3</v>
      </c>
      <c r="W189" s="232">
        <v>36892</v>
      </c>
      <c r="X189" s="232">
        <v>36525</v>
      </c>
      <c r="Y189">
        <v>0</v>
      </c>
      <c r="Z189">
        <v>1</v>
      </c>
    </row>
    <row r="190" spans="1:26" x14ac:dyDescent="0.25">
      <c r="A190">
        <v>10421</v>
      </c>
      <c r="B190" t="s">
        <v>1208</v>
      </c>
      <c r="C190" t="s">
        <v>1209</v>
      </c>
      <c r="G190" t="s">
        <v>860</v>
      </c>
      <c r="H190" t="s">
        <v>1210</v>
      </c>
      <c r="I190">
        <v>12</v>
      </c>
      <c r="J190" t="s">
        <v>1209</v>
      </c>
      <c r="N190" t="s">
        <v>860</v>
      </c>
      <c r="O190" t="s">
        <v>1210</v>
      </c>
      <c r="P190">
        <v>12</v>
      </c>
      <c r="R190">
        <v>9</v>
      </c>
      <c r="S190">
        <v>0</v>
      </c>
      <c r="U190" t="s">
        <v>1211</v>
      </c>
      <c r="V190">
        <v>3</v>
      </c>
      <c r="W190" s="232">
        <v>36892</v>
      </c>
      <c r="X190" s="232">
        <v>36525</v>
      </c>
      <c r="Y190">
        <v>0</v>
      </c>
      <c r="Z190">
        <v>1</v>
      </c>
    </row>
    <row r="191" spans="1:26" x14ac:dyDescent="0.25">
      <c r="A191">
        <v>2605</v>
      </c>
      <c r="B191" t="s">
        <v>1212</v>
      </c>
      <c r="C191" t="s">
        <v>1213</v>
      </c>
      <c r="G191" t="s">
        <v>644</v>
      </c>
      <c r="H191" t="s">
        <v>1214</v>
      </c>
      <c r="I191">
        <v>1</v>
      </c>
      <c r="J191" t="s">
        <v>1213</v>
      </c>
      <c r="N191" t="s">
        <v>644</v>
      </c>
      <c r="O191" t="s">
        <v>1214</v>
      </c>
      <c r="P191">
        <v>1</v>
      </c>
      <c r="Q191">
        <v>1285</v>
      </c>
      <c r="R191">
        <v>4</v>
      </c>
      <c r="S191">
        <v>0</v>
      </c>
      <c r="U191" t="s">
        <v>650</v>
      </c>
      <c r="V191">
        <v>3</v>
      </c>
      <c r="W191" s="232">
        <v>36892</v>
      </c>
      <c r="X191" s="232">
        <v>36525</v>
      </c>
      <c r="Y191">
        <v>1</v>
      </c>
      <c r="Z191">
        <v>1</v>
      </c>
    </row>
    <row r="192" spans="1:26" x14ac:dyDescent="0.25">
      <c r="A192">
        <v>2658</v>
      </c>
      <c r="B192" t="s">
        <v>1215</v>
      </c>
      <c r="C192" t="s">
        <v>1216</v>
      </c>
      <c r="G192" t="s">
        <v>644</v>
      </c>
      <c r="H192" t="s">
        <v>1217</v>
      </c>
      <c r="I192">
        <v>1</v>
      </c>
      <c r="J192" t="s">
        <v>1216</v>
      </c>
      <c r="N192" t="s">
        <v>644</v>
      </c>
      <c r="O192" t="s">
        <v>1217</v>
      </c>
      <c r="P192">
        <v>1</v>
      </c>
      <c r="R192">
        <v>16</v>
      </c>
      <c r="S192">
        <v>0</v>
      </c>
      <c r="U192" t="s">
        <v>650</v>
      </c>
      <c r="V192">
        <v>3</v>
      </c>
      <c r="W192" s="232">
        <v>36892</v>
      </c>
      <c r="X192" s="232">
        <v>36525</v>
      </c>
      <c r="Y192">
        <v>1</v>
      </c>
      <c r="Z192">
        <v>1</v>
      </c>
    </row>
    <row r="193" spans="1:26" x14ac:dyDescent="0.25">
      <c r="A193">
        <v>30211</v>
      </c>
      <c r="B193" t="s">
        <v>1218</v>
      </c>
      <c r="C193" t="s">
        <v>1219</v>
      </c>
      <c r="G193" t="s">
        <v>644</v>
      </c>
      <c r="H193" t="s">
        <v>1220</v>
      </c>
      <c r="I193">
        <v>1</v>
      </c>
      <c r="J193" t="s">
        <v>1219</v>
      </c>
      <c r="N193" t="s">
        <v>644</v>
      </c>
      <c r="O193" t="s">
        <v>1220</v>
      </c>
      <c r="P193">
        <v>1</v>
      </c>
      <c r="R193">
        <v>3</v>
      </c>
      <c r="S193">
        <v>0</v>
      </c>
      <c r="U193" t="s">
        <v>1221</v>
      </c>
      <c r="V193">
        <v>3</v>
      </c>
      <c r="W193" s="232">
        <v>36892</v>
      </c>
      <c r="X193" s="232">
        <v>36525</v>
      </c>
      <c r="Y193">
        <v>0</v>
      </c>
      <c r="Z193">
        <v>1</v>
      </c>
    </row>
    <row r="194" spans="1:26" x14ac:dyDescent="0.25">
      <c r="A194">
        <v>10360</v>
      </c>
      <c r="B194" t="s">
        <v>1222</v>
      </c>
      <c r="C194" t="s">
        <v>1219</v>
      </c>
      <c r="G194" t="s">
        <v>644</v>
      </c>
      <c r="H194" t="s">
        <v>1220</v>
      </c>
      <c r="I194">
        <v>1</v>
      </c>
      <c r="J194" t="s">
        <v>1219</v>
      </c>
      <c r="N194" t="s">
        <v>644</v>
      </c>
      <c r="O194" t="s">
        <v>1220</v>
      </c>
      <c r="P194">
        <v>1</v>
      </c>
      <c r="R194">
        <v>8</v>
      </c>
      <c r="S194">
        <v>0</v>
      </c>
      <c r="U194" t="s">
        <v>1223</v>
      </c>
      <c r="V194">
        <v>3</v>
      </c>
      <c r="W194" s="232">
        <v>36892</v>
      </c>
      <c r="X194" s="232">
        <v>36525</v>
      </c>
      <c r="Y194">
        <v>0</v>
      </c>
      <c r="Z194">
        <v>1</v>
      </c>
    </row>
    <row r="195" spans="1:26" x14ac:dyDescent="0.25">
      <c r="A195">
        <v>2644</v>
      </c>
      <c r="B195" t="s">
        <v>1224</v>
      </c>
      <c r="C195" t="s">
        <v>1225</v>
      </c>
      <c r="G195" t="s">
        <v>644</v>
      </c>
      <c r="H195" t="s">
        <v>879</v>
      </c>
      <c r="I195">
        <v>1</v>
      </c>
      <c r="J195" t="s">
        <v>1225</v>
      </c>
      <c r="N195" t="s">
        <v>644</v>
      </c>
      <c r="O195" t="s">
        <v>879</v>
      </c>
      <c r="P195">
        <v>1</v>
      </c>
      <c r="R195">
        <v>6</v>
      </c>
      <c r="S195">
        <v>0</v>
      </c>
      <c r="U195" t="s">
        <v>1226</v>
      </c>
      <c r="V195">
        <v>3</v>
      </c>
      <c r="W195" s="232">
        <v>36892</v>
      </c>
      <c r="X195" s="232">
        <v>36525</v>
      </c>
      <c r="Y195">
        <v>0</v>
      </c>
      <c r="Z195">
        <v>1</v>
      </c>
    </row>
    <row r="196" spans="1:26" x14ac:dyDescent="0.25">
      <c r="A196">
        <v>2657</v>
      </c>
      <c r="B196" t="s">
        <v>1227</v>
      </c>
      <c r="C196" t="s">
        <v>1228</v>
      </c>
      <c r="G196" t="s">
        <v>891</v>
      </c>
      <c r="H196" t="s">
        <v>1229</v>
      </c>
      <c r="I196">
        <v>12</v>
      </c>
      <c r="J196" t="s">
        <v>1228</v>
      </c>
      <c r="N196" t="s">
        <v>891</v>
      </c>
      <c r="O196" t="s">
        <v>1230</v>
      </c>
      <c r="P196">
        <v>12</v>
      </c>
      <c r="R196">
        <v>3</v>
      </c>
      <c r="S196">
        <v>1000370</v>
      </c>
      <c r="T196" t="s">
        <v>1231</v>
      </c>
      <c r="U196" t="s">
        <v>650</v>
      </c>
      <c r="V196">
        <v>3</v>
      </c>
      <c r="W196" s="232">
        <v>36892</v>
      </c>
      <c r="X196" s="232">
        <v>36525</v>
      </c>
      <c r="Y196">
        <v>0</v>
      </c>
      <c r="Z196">
        <v>1</v>
      </c>
    </row>
    <row r="197" spans="1:26" x14ac:dyDescent="0.25">
      <c r="A197">
        <v>10247</v>
      </c>
      <c r="B197" t="s">
        <v>1232</v>
      </c>
      <c r="C197" t="s">
        <v>1233</v>
      </c>
      <c r="G197" t="s">
        <v>891</v>
      </c>
      <c r="H197" t="s">
        <v>1229</v>
      </c>
      <c r="I197">
        <v>12</v>
      </c>
      <c r="J197" t="s">
        <v>1233</v>
      </c>
      <c r="N197" t="s">
        <v>891</v>
      </c>
      <c r="O197" t="s">
        <v>1229</v>
      </c>
      <c r="P197">
        <v>12</v>
      </c>
      <c r="R197">
        <v>4</v>
      </c>
      <c r="S197">
        <v>0</v>
      </c>
      <c r="U197" t="s">
        <v>650</v>
      </c>
      <c r="V197">
        <v>3</v>
      </c>
      <c r="W197" s="232">
        <v>36892</v>
      </c>
      <c r="X197" s="232">
        <v>36525</v>
      </c>
      <c r="Y197">
        <v>1</v>
      </c>
      <c r="Z197">
        <v>1</v>
      </c>
    </row>
    <row r="198" spans="1:26" x14ac:dyDescent="0.25">
      <c r="A198">
        <v>2656</v>
      </c>
      <c r="B198" t="s">
        <v>1234</v>
      </c>
      <c r="C198" t="s">
        <v>1235</v>
      </c>
      <c r="G198" t="s">
        <v>644</v>
      </c>
      <c r="H198" t="s">
        <v>1134</v>
      </c>
      <c r="I198">
        <v>1</v>
      </c>
      <c r="J198" t="s">
        <v>1235</v>
      </c>
      <c r="N198" t="s">
        <v>644</v>
      </c>
      <c r="O198" t="s">
        <v>1134</v>
      </c>
      <c r="P198">
        <v>1</v>
      </c>
      <c r="R198">
        <v>7</v>
      </c>
      <c r="S198">
        <v>0</v>
      </c>
      <c r="U198" t="s">
        <v>650</v>
      </c>
      <c r="V198">
        <v>3</v>
      </c>
      <c r="W198" s="232">
        <v>36892</v>
      </c>
      <c r="X198" s="232">
        <v>36525</v>
      </c>
      <c r="Y198">
        <v>1</v>
      </c>
      <c r="Z198">
        <v>1</v>
      </c>
    </row>
    <row r="199" spans="1:26" x14ac:dyDescent="0.25">
      <c r="A199">
        <v>10409</v>
      </c>
      <c r="B199" t="s">
        <v>1236</v>
      </c>
      <c r="C199" t="s">
        <v>1237</v>
      </c>
      <c r="G199" t="s">
        <v>644</v>
      </c>
      <c r="H199" t="s">
        <v>734</v>
      </c>
      <c r="I199">
        <v>1</v>
      </c>
      <c r="J199" t="s">
        <v>1237</v>
      </c>
      <c r="N199" t="s">
        <v>644</v>
      </c>
      <c r="O199" t="s">
        <v>734</v>
      </c>
      <c r="P199">
        <v>1</v>
      </c>
      <c r="R199">
        <v>3</v>
      </c>
      <c r="S199">
        <v>0</v>
      </c>
      <c r="U199" t="s">
        <v>650</v>
      </c>
      <c r="V199">
        <v>3</v>
      </c>
      <c r="W199" s="232">
        <v>36892</v>
      </c>
      <c r="X199" s="232">
        <v>36525</v>
      </c>
      <c r="Y199">
        <v>0</v>
      </c>
      <c r="Z199">
        <v>1</v>
      </c>
    </row>
    <row r="200" spans="1:26" x14ac:dyDescent="0.25">
      <c r="A200">
        <v>10438</v>
      </c>
      <c r="B200" t="s">
        <v>1238</v>
      </c>
      <c r="C200" t="s">
        <v>1239</v>
      </c>
      <c r="G200" t="s">
        <v>644</v>
      </c>
      <c r="H200" t="s">
        <v>906</v>
      </c>
      <c r="I200">
        <v>1</v>
      </c>
      <c r="J200" t="s">
        <v>1239</v>
      </c>
      <c r="N200" t="s">
        <v>644</v>
      </c>
      <c r="O200" t="s">
        <v>906</v>
      </c>
      <c r="P200">
        <v>1</v>
      </c>
      <c r="R200">
        <v>2</v>
      </c>
      <c r="S200">
        <v>0</v>
      </c>
      <c r="U200" t="s">
        <v>650</v>
      </c>
      <c r="V200">
        <v>3</v>
      </c>
      <c r="W200" s="232">
        <v>36892</v>
      </c>
      <c r="X200" s="232">
        <v>36525</v>
      </c>
      <c r="Y200">
        <v>0</v>
      </c>
      <c r="Z200">
        <v>1</v>
      </c>
    </row>
    <row r="201" spans="1:26" x14ac:dyDescent="0.25">
      <c r="A201">
        <v>30158</v>
      </c>
      <c r="B201" t="s">
        <v>1240</v>
      </c>
      <c r="C201" t="s">
        <v>1241</v>
      </c>
      <c r="G201" t="s">
        <v>919</v>
      </c>
      <c r="H201" t="s">
        <v>1242</v>
      </c>
      <c r="I201">
        <v>1</v>
      </c>
      <c r="J201" t="s">
        <v>1241</v>
      </c>
      <c r="N201" t="s">
        <v>919</v>
      </c>
      <c r="O201" t="s">
        <v>1242</v>
      </c>
      <c r="P201">
        <v>1</v>
      </c>
      <c r="R201">
        <v>2</v>
      </c>
      <c r="S201">
        <v>29747</v>
      </c>
      <c r="T201" t="s">
        <v>660</v>
      </c>
      <c r="U201" t="s">
        <v>1243</v>
      </c>
      <c r="V201">
        <v>3</v>
      </c>
      <c r="W201" s="232">
        <v>36892</v>
      </c>
      <c r="X201" s="232">
        <v>36525</v>
      </c>
      <c r="Y201">
        <v>0</v>
      </c>
      <c r="Z201">
        <v>1</v>
      </c>
    </row>
    <row r="202" spans="1:26" x14ac:dyDescent="0.25">
      <c r="A202">
        <v>2661</v>
      </c>
      <c r="B202" t="s">
        <v>1244</v>
      </c>
      <c r="C202" t="s">
        <v>1245</v>
      </c>
      <c r="G202" t="s">
        <v>1246</v>
      </c>
      <c r="H202" t="s">
        <v>1247</v>
      </c>
      <c r="I202">
        <v>11</v>
      </c>
      <c r="J202" t="s">
        <v>1245</v>
      </c>
      <c r="N202" t="s">
        <v>1246</v>
      </c>
      <c r="O202" t="s">
        <v>1247</v>
      </c>
      <c r="P202">
        <v>11</v>
      </c>
      <c r="R202">
        <v>5</v>
      </c>
      <c r="S202">
        <v>0</v>
      </c>
      <c r="U202" t="s">
        <v>650</v>
      </c>
      <c r="V202">
        <v>3</v>
      </c>
      <c r="W202" s="232">
        <v>36892</v>
      </c>
      <c r="X202" s="232">
        <v>36525</v>
      </c>
      <c r="Y202">
        <v>1</v>
      </c>
      <c r="Z202">
        <v>1</v>
      </c>
    </row>
    <row r="203" spans="1:26" x14ac:dyDescent="0.25">
      <c r="A203">
        <v>2689</v>
      </c>
      <c r="B203" t="s">
        <v>1248</v>
      </c>
      <c r="C203" t="s">
        <v>1249</v>
      </c>
      <c r="G203" t="s">
        <v>644</v>
      </c>
      <c r="H203" t="s">
        <v>1087</v>
      </c>
      <c r="I203">
        <v>1</v>
      </c>
      <c r="J203" t="s">
        <v>1249</v>
      </c>
      <c r="N203" t="s">
        <v>644</v>
      </c>
      <c r="O203" t="s">
        <v>1087</v>
      </c>
      <c r="P203">
        <v>1</v>
      </c>
      <c r="R203">
        <v>4</v>
      </c>
      <c r="S203">
        <v>0</v>
      </c>
      <c r="U203" t="s">
        <v>650</v>
      </c>
      <c r="V203">
        <v>3</v>
      </c>
      <c r="W203" s="232">
        <v>36892</v>
      </c>
      <c r="X203" s="232">
        <v>36525</v>
      </c>
      <c r="Y203">
        <v>1</v>
      </c>
      <c r="Z203">
        <v>1</v>
      </c>
    </row>
    <row r="204" spans="1:26" x14ac:dyDescent="0.25">
      <c r="A204">
        <v>30106</v>
      </c>
      <c r="B204" t="s">
        <v>1250</v>
      </c>
      <c r="I204">
        <v>1</v>
      </c>
      <c r="P204">
        <v>1</v>
      </c>
      <c r="R204">
        <v>1</v>
      </c>
      <c r="S204">
        <v>29747</v>
      </c>
      <c r="T204" t="s">
        <v>660</v>
      </c>
      <c r="U204" t="s">
        <v>1251</v>
      </c>
      <c r="V204">
        <v>3</v>
      </c>
      <c r="W204" s="232">
        <v>36892</v>
      </c>
      <c r="X204" s="232">
        <v>36525</v>
      </c>
      <c r="Y204">
        <v>0</v>
      </c>
      <c r="Z204">
        <v>1</v>
      </c>
    </row>
    <row r="205" spans="1:26" x14ac:dyDescent="0.25">
      <c r="A205">
        <v>10570</v>
      </c>
      <c r="B205" t="s">
        <v>1252</v>
      </c>
      <c r="C205" t="s">
        <v>1253</v>
      </c>
      <c r="G205" t="s">
        <v>1010</v>
      </c>
      <c r="H205" t="s">
        <v>1254</v>
      </c>
      <c r="I205">
        <v>1</v>
      </c>
      <c r="J205" t="s">
        <v>1253</v>
      </c>
      <c r="N205" t="s">
        <v>1010</v>
      </c>
      <c r="O205" t="s">
        <v>1254</v>
      </c>
      <c r="P205">
        <v>1</v>
      </c>
      <c r="R205">
        <v>3</v>
      </c>
      <c r="S205">
        <v>0</v>
      </c>
      <c r="U205" t="s">
        <v>650</v>
      </c>
      <c r="V205">
        <v>3</v>
      </c>
      <c r="W205" s="232">
        <v>36892</v>
      </c>
      <c r="X205" s="232">
        <v>36525</v>
      </c>
      <c r="Y205">
        <v>0</v>
      </c>
      <c r="Z205">
        <v>1</v>
      </c>
    </row>
    <row r="206" spans="1:26" x14ac:dyDescent="0.25">
      <c r="A206">
        <v>2763</v>
      </c>
      <c r="B206" t="s">
        <v>1255</v>
      </c>
      <c r="C206" t="s">
        <v>1256</v>
      </c>
      <c r="G206" t="s">
        <v>644</v>
      </c>
      <c r="H206" t="s">
        <v>828</v>
      </c>
      <c r="I206">
        <v>1</v>
      </c>
      <c r="J206" t="s">
        <v>1256</v>
      </c>
      <c r="N206" t="s">
        <v>644</v>
      </c>
      <c r="O206" t="s">
        <v>828</v>
      </c>
      <c r="P206">
        <v>1</v>
      </c>
      <c r="R206">
        <v>7</v>
      </c>
      <c r="S206">
        <v>0</v>
      </c>
      <c r="U206" t="s">
        <v>650</v>
      </c>
      <c r="V206">
        <v>3</v>
      </c>
      <c r="W206" s="232">
        <v>36892</v>
      </c>
      <c r="X206" s="232">
        <v>36525</v>
      </c>
      <c r="Y206">
        <v>0</v>
      </c>
      <c r="Z206">
        <v>1</v>
      </c>
    </row>
    <row r="207" spans="1:26" x14ac:dyDescent="0.25">
      <c r="A207">
        <v>30210</v>
      </c>
      <c r="B207" t="s">
        <v>1257</v>
      </c>
      <c r="C207" t="s">
        <v>1258</v>
      </c>
      <c r="G207" t="s">
        <v>644</v>
      </c>
      <c r="H207" t="s">
        <v>1259</v>
      </c>
      <c r="I207">
        <v>1</v>
      </c>
      <c r="J207" t="s">
        <v>1258</v>
      </c>
      <c r="N207" t="s">
        <v>644</v>
      </c>
      <c r="O207" t="s">
        <v>1259</v>
      </c>
      <c r="P207">
        <v>1</v>
      </c>
      <c r="R207">
        <v>2</v>
      </c>
      <c r="S207">
        <v>0</v>
      </c>
      <c r="U207" t="s">
        <v>1260</v>
      </c>
      <c r="V207">
        <v>3</v>
      </c>
      <c r="W207" s="232">
        <v>36892</v>
      </c>
      <c r="X207" s="232">
        <v>36525</v>
      </c>
      <c r="Y207">
        <v>0</v>
      </c>
      <c r="Z207">
        <v>1</v>
      </c>
    </row>
    <row r="208" spans="1:26" x14ac:dyDescent="0.25">
      <c r="A208">
        <v>10400</v>
      </c>
      <c r="B208" t="s">
        <v>1261</v>
      </c>
      <c r="C208" t="s">
        <v>959</v>
      </c>
      <c r="G208" t="s">
        <v>644</v>
      </c>
      <c r="H208" t="s">
        <v>727</v>
      </c>
      <c r="I208">
        <v>1</v>
      </c>
      <c r="J208" t="s">
        <v>959</v>
      </c>
      <c r="N208" t="s">
        <v>644</v>
      </c>
      <c r="O208" t="s">
        <v>727</v>
      </c>
      <c r="P208">
        <v>1</v>
      </c>
      <c r="R208">
        <v>9</v>
      </c>
      <c r="S208">
        <v>0</v>
      </c>
      <c r="U208" t="s">
        <v>1262</v>
      </c>
      <c r="V208">
        <v>3</v>
      </c>
      <c r="W208" s="232">
        <v>36892</v>
      </c>
      <c r="X208" s="232">
        <v>36525</v>
      </c>
      <c r="Y208">
        <v>0</v>
      </c>
      <c r="Z208">
        <v>1</v>
      </c>
    </row>
    <row r="209" spans="1:26" x14ac:dyDescent="0.25">
      <c r="A209">
        <v>3925</v>
      </c>
      <c r="B209" t="s">
        <v>1263</v>
      </c>
      <c r="C209" t="s">
        <v>1264</v>
      </c>
      <c r="G209" t="s">
        <v>644</v>
      </c>
      <c r="H209" t="s">
        <v>828</v>
      </c>
      <c r="I209">
        <v>1</v>
      </c>
      <c r="J209" t="s">
        <v>1264</v>
      </c>
      <c r="N209" t="s">
        <v>644</v>
      </c>
      <c r="O209" t="s">
        <v>828</v>
      </c>
      <c r="P209">
        <v>1</v>
      </c>
      <c r="R209">
        <v>13</v>
      </c>
      <c r="S209">
        <v>29747</v>
      </c>
      <c r="T209" t="s">
        <v>660</v>
      </c>
      <c r="U209" t="s">
        <v>1265</v>
      </c>
      <c r="V209">
        <v>3</v>
      </c>
      <c r="W209" s="232">
        <v>36892</v>
      </c>
      <c r="X209" s="232">
        <v>36525</v>
      </c>
      <c r="Y209">
        <v>0</v>
      </c>
      <c r="Z209">
        <v>1</v>
      </c>
    </row>
    <row r="210" spans="1:26" x14ac:dyDescent="0.25">
      <c r="A210">
        <v>2779</v>
      </c>
      <c r="B210" t="s">
        <v>1266</v>
      </c>
      <c r="C210" t="s">
        <v>1267</v>
      </c>
      <c r="G210" t="s">
        <v>644</v>
      </c>
      <c r="H210" t="s">
        <v>1268</v>
      </c>
      <c r="I210">
        <v>1</v>
      </c>
      <c r="J210" t="s">
        <v>1267</v>
      </c>
      <c r="N210" t="s">
        <v>644</v>
      </c>
      <c r="O210" t="s">
        <v>1268</v>
      </c>
      <c r="P210">
        <v>1</v>
      </c>
      <c r="R210">
        <v>8</v>
      </c>
      <c r="S210">
        <v>0</v>
      </c>
      <c r="U210" t="s">
        <v>1269</v>
      </c>
      <c r="V210">
        <v>3</v>
      </c>
      <c r="W210" s="232">
        <v>36892</v>
      </c>
      <c r="X210" s="232">
        <v>36525</v>
      </c>
      <c r="Y210">
        <v>0</v>
      </c>
      <c r="Z210">
        <v>1</v>
      </c>
    </row>
    <row r="211" spans="1:26" x14ac:dyDescent="0.25">
      <c r="A211">
        <v>2777</v>
      </c>
      <c r="B211" t="s">
        <v>1270</v>
      </c>
      <c r="C211" t="s">
        <v>1271</v>
      </c>
      <c r="G211" t="s">
        <v>644</v>
      </c>
      <c r="H211" t="s">
        <v>895</v>
      </c>
      <c r="I211">
        <v>1</v>
      </c>
      <c r="J211" t="s">
        <v>1271</v>
      </c>
      <c r="N211" t="s">
        <v>644</v>
      </c>
      <c r="O211" t="s">
        <v>895</v>
      </c>
      <c r="P211">
        <v>1</v>
      </c>
      <c r="R211">
        <v>6</v>
      </c>
      <c r="S211">
        <v>0</v>
      </c>
      <c r="U211" t="s">
        <v>650</v>
      </c>
      <c r="V211">
        <v>3</v>
      </c>
      <c r="W211" s="232">
        <v>36892</v>
      </c>
      <c r="X211" s="232">
        <v>36525</v>
      </c>
      <c r="Y211">
        <v>1</v>
      </c>
      <c r="Z211">
        <v>1</v>
      </c>
    </row>
    <row r="212" spans="1:26" x14ac:dyDescent="0.25">
      <c r="A212">
        <v>10323</v>
      </c>
      <c r="B212" t="s">
        <v>1272</v>
      </c>
      <c r="C212" t="s">
        <v>1273</v>
      </c>
      <c r="G212" t="s">
        <v>1274</v>
      </c>
      <c r="H212" t="s">
        <v>1275</v>
      </c>
      <c r="I212">
        <v>1</v>
      </c>
      <c r="J212" t="s">
        <v>1273</v>
      </c>
      <c r="N212" t="s">
        <v>1274</v>
      </c>
      <c r="O212" t="s">
        <v>1275</v>
      </c>
      <c r="P212">
        <v>1</v>
      </c>
      <c r="R212">
        <v>3</v>
      </c>
      <c r="S212">
        <v>0</v>
      </c>
      <c r="U212" t="s">
        <v>650</v>
      </c>
      <c r="V212">
        <v>3</v>
      </c>
      <c r="W212" s="232">
        <v>36892</v>
      </c>
      <c r="X212" s="232">
        <v>36525</v>
      </c>
      <c r="Y212">
        <v>1</v>
      </c>
      <c r="Z212">
        <v>1</v>
      </c>
    </row>
    <row r="213" spans="1:26" x14ac:dyDescent="0.25">
      <c r="A213">
        <v>9063</v>
      </c>
      <c r="B213" t="s">
        <v>1276</v>
      </c>
      <c r="C213" t="s">
        <v>1277</v>
      </c>
      <c r="G213" t="s">
        <v>644</v>
      </c>
      <c r="H213" t="s">
        <v>1278</v>
      </c>
      <c r="I213">
        <v>1</v>
      </c>
      <c r="J213" t="s">
        <v>1277</v>
      </c>
      <c r="N213" t="s">
        <v>644</v>
      </c>
      <c r="O213" t="s">
        <v>1278</v>
      </c>
      <c r="P213">
        <v>1</v>
      </c>
      <c r="Q213">
        <v>1285</v>
      </c>
      <c r="R213">
        <v>2</v>
      </c>
      <c r="S213">
        <v>29747</v>
      </c>
      <c r="T213" t="s">
        <v>660</v>
      </c>
      <c r="U213" t="s">
        <v>1279</v>
      </c>
      <c r="V213">
        <v>3</v>
      </c>
      <c r="W213" s="232">
        <v>40514</v>
      </c>
      <c r="X213" s="232">
        <v>36525</v>
      </c>
      <c r="Y213">
        <v>0</v>
      </c>
      <c r="Z213">
        <v>1</v>
      </c>
    </row>
    <row r="214" spans="1:26" x14ac:dyDescent="0.25">
      <c r="A214">
        <v>10324</v>
      </c>
      <c r="B214" t="s">
        <v>1280</v>
      </c>
      <c r="C214" t="s">
        <v>1281</v>
      </c>
      <c r="G214" t="s">
        <v>644</v>
      </c>
      <c r="H214" t="s">
        <v>845</v>
      </c>
      <c r="I214">
        <v>1</v>
      </c>
      <c r="J214" t="s">
        <v>1281</v>
      </c>
      <c r="N214" t="s">
        <v>644</v>
      </c>
      <c r="O214" t="s">
        <v>845</v>
      </c>
      <c r="P214">
        <v>1</v>
      </c>
      <c r="R214">
        <v>4</v>
      </c>
      <c r="S214">
        <v>0</v>
      </c>
      <c r="U214" t="s">
        <v>650</v>
      </c>
      <c r="V214">
        <v>3</v>
      </c>
      <c r="W214" s="232">
        <v>36892</v>
      </c>
      <c r="X214" s="232">
        <v>36525</v>
      </c>
      <c r="Y214">
        <v>1</v>
      </c>
      <c r="Z214">
        <v>1</v>
      </c>
    </row>
    <row r="215" spans="1:26" x14ac:dyDescent="0.25">
      <c r="A215">
        <v>10374</v>
      </c>
      <c r="B215" t="s">
        <v>1282</v>
      </c>
      <c r="C215" t="s">
        <v>1283</v>
      </c>
      <c r="G215" t="s">
        <v>644</v>
      </c>
      <c r="H215" t="s">
        <v>1284</v>
      </c>
      <c r="I215">
        <v>1</v>
      </c>
      <c r="J215" t="s">
        <v>1283</v>
      </c>
      <c r="N215" t="s">
        <v>644</v>
      </c>
      <c r="O215" t="s">
        <v>1284</v>
      </c>
      <c r="P215">
        <v>1</v>
      </c>
      <c r="R215">
        <v>5</v>
      </c>
      <c r="S215">
        <v>0</v>
      </c>
      <c r="U215" t="s">
        <v>650</v>
      </c>
      <c r="V215">
        <v>3</v>
      </c>
      <c r="W215" s="232">
        <v>36892</v>
      </c>
      <c r="X215" s="232">
        <v>36525</v>
      </c>
      <c r="Y215">
        <v>0</v>
      </c>
      <c r="Z215">
        <v>1</v>
      </c>
    </row>
    <row r="216" spans="1:26" x14ac:dyDescent="0.25">
      <c r="A216">
        <v>3037</v>
      </c>
      <c r="B216" t="s">
        <v>1285</v>
      </c>
      <c r="C216" t="s">
        <v>1286</v>
      </c>
      <c r="G216" t="s">
        <v>644</v>
      </c>
      <c r="H216" t="s">
        <v>1287</v>
      </c>
      <c r="I216">
        <v>1</v>
      </c>
      <c r="J216" t="s">
        <v>1286</v>
      </c>
      <c r="N216" t="s">
        <v>644</v>
      </c>
      <c r="O216" t="s">
        <v>1287</v>
      </c>
      <c r="P216">
        <v>1</v>
      </c>
      <c r="R216">
        <v>5</v>
      </c>
      <c r="S216">
        <v>0</v>
      </c>
      <c r="U216" t="s">
        <v>650</v>
      </c>
      <c r="V216">
        <v>3</v>
      </c>
      <c r="W216" s="232">
        <v>36892</v>
      </c>
      <c r="X216" s="232">
        <v>36525</v>
      </c>
      <c r="Y216">
        <v>0</v>
      </c>
      <c r="Z216">
        <v>1</v>
      </c>
    </row>
    <row r="217" spans="1:26" x14ac:dyDescent="0.25">
      <c r="A217">
        <v>3116</v>
      </c>
      <c r="B217" t="s">
        <v>1288</v>
      </c>
      <c r="C217" t="s">
        <v>1289</v>
      </c>
      <c r="G217" t="s">
        <v>644</v>
      </c>
      <c r="H217" t="s">
        <v>828</v>
      </c>
      <c r="I217">
        <v>1</v>
      </c>
      <c r="J217" t="s">
        <v>1289</v>
      </c>
      <c r="N217" t="s">
        <v>644</v>
      </c>
      <c r="O217" t="s">
        <v>828</v>
      </c>
      <c r="P217">
        <v>1</v>
      </c>
      <c r="R217">
        <v>10</v>
      </c>
      <c r="S217">
        <v>0</v>
      </c>
      <c r="U217" t="s">
        <v>650</v>
      </c>
      <c r="V217">
        <v>3</v>
      </c>
      <c r="W217" s="232">
        <v>36892</v>
      </c>
      <c r="X217" s="232">
        <v>36525</v>
      </c>
      <c r="Y217">
        <v>0</v>
      </c>
      <c r="Z217">
        <v>1</v>
      </c>
    </row>
    <row r="218" spans="1:26" x14ac:dyDescent="0.25">
      <c r="A218">
        <v>10442</v>
      </c>
      <c r="B218" t="s">
        <v>1290</v>
      </c>
      <c r="C218" t="s">
        <v>1291</v>
      </c>
      <c r="G218" t="s">
        <v>644</v>
      </c>
      <c r="H218" t="s">
        <v>1292</v>
      </c>
      <c r="I218">
        <v>1</v>
      </c>
      <c r="J218" t="s">
        <v>1291</v>
      </c>
      <c r="N218" t="s">
        <v>644</v>
      </c>
      <c r="O218" t="s">
        <v>1292</v>
      </c>
      <c r="P218">
        <v>1</v>
      </c>
      <c r="R218">
        <v>3</v>
      </c>
      <c r="S218">
        <v>0</v>
      </c>
      <c r="U218" t="s">
        <v>650</v>
      </c>
      <c r="V218">
        <v>3</v>
      </c>
      <c r="W218" s="232">
        <v>36892</v>
      </c>
      <c r="X218" s="232">
        <v>36525</v>
      </c>
      <c r="Y218">
        <v>1</v>
      </c>
      <c r="Z218">
        <v>1</v>
      </c>
    </row>
    <row r="219" spans="1:26" x14ac:dyDescent="0.25">
      <c r="A219">
        <v>2998</v>
      </c>
      <c r="B219" t="s">
        <v>1293</v>
      </c>
      <c r="C219" t="s">
        <v>1294</v>
      </c>
      <c r="G219" t="s">
        <v>644</v>
      </c>
      <c r="H219" t="s">
        <v>656</v>
      </c>
      <c r="I219">
        <v>1</v>
      </c>
      <c r="J219" t="s">
        <v>1294</v>
      </c>
      <c r="N219" t="s">
        <v>644</v>
      </c>
      <c r="O219" t="s">
        <v>656</v>
      </c>
      <c r="P219">
        <v>1</v>
      </c>
      <c r="R219">
        <v>8</v>
      </c>
      <c r="S219">
        <v>0</v>
      </c>
      <c r="U219" t="s">
        <v>650</v>
      </c>
      <c r="V219">
        <v>3</v>
      </c>
      <c r="W219" s="232">
        <v>36892</v>
      </c>
      <c r="X219" s="232">
        <v>36525</v>
      </c>
      <c r="Y219">
        <v>0</v>
      </c>
      <c r="Z219">
        <v>1</v>
      </c>
    </row>
    <row r="220" spans="1:26" x14ac:dyDescent="0.25">
      <c r="A220">
        <v>10566</v>
      </c>
      <c r="B220" t="s">
        <v>1295</v>
      </c>
      <c r="C220" t="s">
        <v>1296</v>
      </c>
      <c r="G220" t="s">
        <v>1297</v>
      </c>
      <c r="H220" t="s">
        <v>1298</v>
      </c>
      <c r="I220">
        <v>9</v>
      </c>
      <c r="J220" t="s">
        <v>1296</v>
      </c>
      <c r="N220" t="s">
        <v>1297</v>
      </c>
      <c r="O220" t="s">
        <v>1298</v>
      </c>
      <c r="P220">
        <v>9</v>
      </c>
      <c r="R220">
        <v>3</v>
      </c>
      <c r="S220">
        <v>0</v>
      </c>
      <c r="U220" t="s">
        <v>650</v>
      </c>
      <c r="V220">
        <v>3</v>
      </c>
      <c r="W220" s="232">
        <v>36892</v>
      </c>
      <c r="X220" s="232">
        <v>36525</v>
      </c>
      <c r="Y220">
        <v>0</v>
      </c>
      <c r="Z220">
        <v>1</v>
      </c>
    </row>
    <row r="221" spans="1:26" x14ac:dyDescent="0.25">
      <c r="A221">
        <v>3061</v>
      </c>
      <c r="B221" t="s">
        <v>1299</v>
      </c>
      <c r="C221" t="s">
        <v>1300</v>
      </c>
      <c r="G221" t="s">
        <v>644</v>
      </c>
      <c r="H221" t="s">
        <v>766</v>
      </c>
      <c r="I221">
        <v>1</v>
      </c>
      <c r="J221" t="s">
        <v>1300</v>
      </c>
      <c r="N221" t="s">
        <v>644</v>
      </c>
      <c r="O221" t="s">
        <v>766</v>
      </c>
      <c r="P221">
        <v>1</v>
      </c>
      <c r="R221">
        <v>7</v>
      </c>
      <c r="S221">
        <v>0</v>
      </c>
      <c r="U221" t="s">
        <v>1301</v>
      </c>
      <c r="V221">
        <v>3</v>
      </c>
      <c r="W221" s="232">
        <v>36892</v>
      </c>
      <c r="X221" s="232">
        <v>36525</v>
      </c>
      <c r="Y221">
        <v>0</v>
      </c>
      <c r="Z221">
        <v>1</v>
      </c>
    </row>
    <row r="222" spans="1:26" x14ac:dyDescent="0.25">
      <c r="A222">
        <v>10454</v>
      </c>
      <c r="B222" t="s">
        <v>1302</v>
      </c>
      <c r="C222" t="s">
        <v>1303</v>
      </c>
      <c r="G222" t="s">
        <v>1304</v>
      </c>
      <c r="H222" t="s">
        <v>1305</v>
      </c>
      <c r="I222">
        <v>3</v>
      </c>
      <c r="J222" t="s">
        <v>1303</v>
      </c>
      <c r="N222" t="s">
        <v>1304</v>
      </c>
      <c r="O222" t="s">
        <v>1305</v>
      </c>
      <c r="P222">
        <v>3</v>
      </c>
      <c r="R222">
        <v>4</v>
      </c>
      <c r="S222">
        <v>0</v>
      </c>
      <c r="U222" t="s">
        <v>650</v>
      </c>
      <c r="V222">
        <v>3</v>
      </c>
      <c r="W222" s="232">
        <v>36892</v>
      </c>
      <c r="X222" s="232">
        <v>36525</v>
      </c>
      <c r="Y222">
        <v>0</v>
      </c>
      <c r="Z222">
        <v>1</v>
      </c>
    </row>
    <row r="223" spans="1:26" x14ac:dyDescent="0.25">
      <c r="A223">
        <v>3017</v>
      </c>
      <c r="B223" t="s">
        <v>1306</v>
      </c>
      <c r="C223" t="s">
        <v>1307</v>
      </c>
      <c r="G223" t="s">
        <v>1308</v>
      </c>
      <c r="H223" t="s">
        <v>1309</v>
      </c>
      <c r="I223">
        <v>12</v>
      </c>
      <c r="J223" t="s">
        <v>1307</v>
      </c>
      <c r="N223" t="s">
        <v>1308</v>
      </c>
      <c r="O223" t="s">
        <v>1309</v>
      </c>
      <c r="P223">
        <v>12</v>
      </c>
      <c r="R223">
        <v>4</v>
      </c>
      <c r="S223">
        <v>0</v>
      </c>
      <c r="U223" t="s">
        <v>650</v>
      </c>
      <c r="V223">
        <v>3</v>
      </c>
      <c r="W223" s="232">
        <v>42506</v>
      </c>
      <c r="X223" s="232">
        <v>36525</v>
      </c>
      <c r="Y223">
        <v>0</v>
      </c>
      <c r="Z223">
        <v>1</v>
      </c>
    </row>
    <row r="224" spans="1:26" x14ac:dyDescent="0.25">
      <c r="A224">
        <v>10393</v>
      </c>
      <c r="B224" t="s">
        <v>1310</v>
      </c>
      <c r="C224" t="s">
        <v>1311</v>
      </c>
      <c r="G224" t="s">
        <v>644</v>
      </c>
      <c r="H224" t="s">
        <v>659</v>
      </c>
      <c r="I224">
        <v>1</v>
      </c>
      <c r="J224" t="s">
        <v>1311</v>
      </c>
      <c r="N224" t="s">
        <v>644</v>
      </c>
      <c r="O224" t="s">
        <v>659</v>
      </c>
      <c r="P224">
        <v>1</v>
      </c>
      <c r="R224">
        <v>3</v>
      </c>
      <c r="S224">
        <v>0</v>
      </c>
      <c r="U224" t="s">
        <v>650</v>
      </c>
      <c r="V224">
        <v>3</v>
      </c>
      <c r="W224" s="232">
        <v>36892</v>
      </c>
      <c r="X224" s="232">
        <v>36525</v>
      </c>
      <c r="Y224">
        <v>1</v>
      </c>
      <c r="Z224">
        <v>1</v>
      </c>
    </row>
    <row r="225" spans="1:26" x14ac:dyDescent="0.25">
      <c r="A225">
        <v>2137</v>
      </c>
      <c r="B225" t="s">
        <v>1312</v>
      </c>
      <c r="C225" t="s">
        <v>1313</v>
      </c>
      <c r="G225" t="s">
        <v>644</v>
      </c>
      <c r="H225" t="s">
        <v>1314</v>
      </c>
      <c r="I225">
        <v>1</v>
      </c>
      <c r="J225" t="s">
        <v>1313</v>
      </c>
      <c r="N225" t="s">
        <v>644</v>
      </c>
      <c r="O225" t="s">
        <v>1314</v>
      </c>
      <c r="P225">
        <v>1</v>
      </c>
      <c r="Q225">
        <v>1285</v>
      </c>
      <c r="R225">
        <v>6</v>
      </c>
      <c r="S225">
        <v>0</v>
      </c>
      <c r="U225" t="s">
        <v>650</v>
      </c>
      <c r="V225">
        <v>3</v>
      </c>
      <c r="W225" s="232">
        <v>36892</v>
      </c>
      <c r="X225" s="232">
        <v>36525</v>
      </c>
      <c r="Y225">
        <v>1</v>
      </c>
      <c r="Z225">
        <v>1</v>
      </c>
    </row>
    <row r="226" spans="1:26" x14ac:dyDescent="0.25">
      <c r="A226">
        <v>30227</v>
      </c>
      <c r="B226" t="s">
        <v>1315</v>
      </c>
      <c r="C226" t="s">
        <v>1316</v>
      </c>
      <c r="G226" t="s">
        <v>1317</v>
      </c>
      <c r="H226" t="s">
        <v>1318</v>
      </c>
      <c r="I226">
        <v>12</v>
      </c>
      <c r="J226" t="s">
        <v>1316</v>
      </c>
      <c r="N226" t="s">
        <v>1317</v>
      </c>
      <c r="O226" t="s">
        <v>1318</v>
      </c>
      <c r="P226">
        <v>12</v>
      </c>
      <c r="R226">
        <v>2</v>
      </c>
      <c r="S226">
        <v>0</v>
      </c>
      <c r="U226" t="s">
        <v>1319</v>
      </c>
      <c r="V226">
        <v>3</v>
      </c>
      <c r="W226" s="232">
        <v>36892</v>
      </c>
      <c r="X226" s="232">
        <v>36525</v>
      </c>
      <c r="Y226">
        <v>0</v>
      </c>
      <c r="Z226">
        <v>1</v>
      </c>
    </row>
    <row r="227" spans="1:26" x14ac:dyDescent="0.25">
      <c r="A227">
        <v>10467</v>
      </c>
      <c r="B227" t="s">
        <v>1320</v>
      </c>
      <c r="C227" t="s">
        <v>1321</v>
      </c>
      <c r="G227" t="s">
        <v>1322</v>
      </c>
      <c r="H227" t="s">
        <v>1323</v>
      </c>
      <c r="I227">
        <v>12</v>
      </c>
      <c r="J227" t="s">
        <v>1321</v>
      </c>
      <c r="N227" t="s">
        <v>1322</v>
      </c>
      <c r="O227" t="s">
        <v>1323</v>
      </c>
      <c r="P227">
        <v>12</v>
      </c>
      <c r="R227">
        <v>5</v>
      </c>
      <c r="S227">
        <v>0</v>
      </c>
      <c r="U227" t="s">
        <v>650</v>
      </c>
      <c r="V227">
        <v>3</v>
      </c>
      <c r="W227" s="232">
        <v>36892</v>
      </c>
      <c r="X227" s="232">
        <v>36525</v>
      </c>
      <c r="Y227">
        <v>0</v>
      </c>
      <c r="Z227">
        <v>1</v>
      </c>
    </row>
    <row r="228" spans="1:26" x14ac:dyDescent="0.25">
      <c r="A228">
        <v>30200</v>
      </c>
      <c r="B228" t="s">
        <v>1324</v>
      </c>
      <c r="C228" t="s">
        <v>1325</v>
      </c>
      <c r="G228" t="s">
        <v>644</v>
      </c>
      <c r="J228" t="s">
        <v>1325</v>
      </c>
      <c r="N228" t="s">
        <v>644</v>
      </c>
      <c r="R228">
        <v>1</v>
      </c>
      <c r="S228">
        <v>1283</v>
      </c>
      <c r="T228" t="s">
        <v>1326</v>
      </c>
      <c r="U228" t="s">
        <v>1327</v>
      </c>
      <c r="V228">
        <v>1</v>
      </c>
      <c r="W228" s="232">
        <v>42605</v>
      </c>
      <c r="X228" s="232">
        <v>36525</v>
      </c>
      <c r="Y228">
        <v>0</v>
      </c>
    </row>
    <row r="229" spans="1:26" x14ac:dyDescent="0.25">
      <c r="A229">
        <v>3013</v>
      </c>
      <c r="B229" t="s">
        <v>1328</v>
      </c>
      <c r="C229" t="s">
        <v>1329</v>
      </c>
      <c r="G229" t="s">
        <v>644</v>
      </c>
      <c r="H229" t="s">
        <v>1330</v>
      </c>
      <c r="I229">
        <v>1</v>
      </c>
      <c r="J229" t="s">
        <v>1329</v>
      </c>
      <c r="N229" t="s">
        <v>644</v>
      </c>
      <c r="O229" t="s">
        <v>1330</v>
      </c>
      <c r="P229">
        <v>1</v>
      </c>
      <c r="R229">
        <v>6</v>
      </c>
      <c r="S229">
        <v>0</v>
      </c>
      <c r="U229" t="s">
        <v>650</v>
      </c>
      <c r="V229">
        <v>3</v>
      </c>
      <c r="W229" s="232">
        <v>36892</v>
      </c>
      <c r="X229" s="232">
        <v>36525</v>
      </c>
      <c r="Y229">
        <v>1</v>
      </c>
      <c r="Z229">
        <v>1</v>
      </c>
    </row>
    <row r="230" spans="1:26" x14ac:dyDescent="0.25">
      <c r="A230">
        <v>10549</v>
      </c>
      <c r="B230" t="s">
        <v>1331</v>
      </c>
      <c r="C230" t="s">
        <v>1332</v>
      </c>
      <c r="G230" t="s">
        <v>644</v>
      </c>
      <c r="H230" t="s">
        <v>1333</v>
      </c>
      <c r="I230">
        <v>1</v>
      </c>
      <c r="J230" t="s">
        <v>1332</v>
      </c>
      <c r="N230" t="s">
        <v>644</v>
      </c>
      <c r="O230" t="s">
        <v>1333</v>
      </c>
      <c r="P230">
        <v>1</v>
      </c>
      <c r="R230">
        <v>4</v>
      </c>
      <c r="S230">
        <v>0</v>
      </c>
      <c r="U230" t="s">
        <v>650</v>
      </c>
      <c r="V230">
        <v>3</v>
      </c>
      <c r="W230" s="232">
        <v>36892</v>
      </c>
      <c r="X230" s="232">
        <v>36525</v>
      </c>
      <c r="Y230">
        <v>1</v>
      </c>
      <c r="Z230">
        <v>1</v>
      </c>
    </row>
    <row r="231" spans="1:26" x14ac:dyDescent="0.25">
      <c r="A231">
        <v>30108</v>
      </c>
      <c r="B231" t="s">
        <v>1334</v>
      </c>
      <c r="I231">
        <v>1</v>
      </c>
      <c r="P231">
        <v>1</v>
      </c>
      <c r="R231">
        <v>1</v>
      </c>
      <c r="S231">
        <v>29747</v>
      </c>
      <c r="T231" t="s">
        <v>660</v>
      </c>
      <c r="U231" t="s">
        <v>1335</v>
      </c>
      <c r="V231">
        <v>3</v>
      </c>
      <c r="W231" s="232">
        <v>36892</v>
      </c>
      <c r="X231" s="232">
        <v>36525</v>
      </c>
      <c r="Y231">
        <v>0</v>
      </c>
      <c r="Z231">
        <v>1</v>
      </c>
    </row>
    <row r="232" spans="1:26" x14ac:dyDescent="0.25">
      <c r="A232">
        <v>3200</v>
      </c>
      <c r="B232" t="s">
        <v>1336</v>
      </c>
      <c r="C232" t="s">
        <v>1337</v>
      </c>
      <c r="G232" t="s">
        <v>644</v>
      </c>
      <c r="H232" t="s">
        <v>1015</v>
      </c>
      <c r="I232">
        <v>1</v>
      </c>
      <c r="J232" t="s">
        <v>1337</v>
      </c>
      <c r="N232" t="s">
        <v>644</v>
      </c>
      <c r="O232" t="s">
        <v>1015</v>
      </c>
      <c r="P232">
        <v>1</v>
      </c>
      <c r="R232">
        <v>8</v>
      </c>
      <c r="S232">
        <v>0</v>
      </c>
      <c r="U232" t="s">
        <v>1338</v>
      </c>
      <c r="V232">
        <v>3</v>
      </c>
      <c r="W232" s="232">
        <v>36892</v>
      </c>
      <c r="X232" s="232">
        <v>36525</v>
      </c>
      <c r="Y232">
        <v>0</v>
      </c>
      <c r="Z232">
        <v>1</v>
      </c>
    </row>
    <row r="233" spans="1:26" x14ac:dyDescent="0.25">
      <c r="A233">
        <v>3099</v>
      </c>
      <c r="B233" t="s">
        <v>1339</v>
      </c>
      <c r="C233" t="s">
        <v>1340</v>
      </c>
      <c r="G233" t="s">
        <v>644</v>
      </c>
      <c r="H233" t="s">
        <v>707</v>
      </c>
      <c r="I233">
        <v>1</v>
      </c>
      <c r="J233" t="s">
        <v>1340</v>
      </c>
      <c r="N233" t="s">
        <v>644</v>
      </c>
      <c r="O233" t="s">
        <v>707</v>
      </c>
      <c r="P233">
        <v>1</v>
      </c>
      <c r="R233">
        <v>6</v>
      </c>
      <c r="S233">
        <v>0</v>
      </c>
      <c r="U233" t="s">
        <v>650</v>
      </c>
      <c r="V233">
        <v>3</v>
      </c>
      <c r="W233" s="232">
        <v>36892</v>
      </c>
      <c r="X233" s="232">
        <v>36525</v>
      </c>
      <c r="Y233">
        <v>0</v>
      </c>
      <c r="Z233">
        <v>1</v>
      </c>
    </row>
    <row r="234" spans="1:26" x14ac:dyDescent="0.25">
      <c r="A234">
        <v>10392</v>
      </c>
      <c r="B234" t="s">
        <v>1341</v>
      </c>
      <c r="C234" t="s">
        <v>1342</v>
      </c>
      <c r="G234" t="s">
        <v>644</v>
      </c>
      <c r="H234" t="s">
        <v>783</v>
      </c>
      <c r="I234">
        <v>1</v>
      </c>
      <c r="J234" t="s">
        <v>1342</v>
      </c>
      <c r="N234" t="s">
        <v>644</v>
      </c>
      <c r="O234" t="s">
        <v>783</v>
      </c>
      <c r="P234">
        <v>1</v>
      </c>
      <c r="R234">
        <v>3</v>
      </c>
      <c r="S234">
        <v>29747</v>
      </c>
      <c r="T234" t="s">
        <v>660</v>
      </c>
      <c r="U234" t="s">
        <v>1343</v>
      </c>
      <c r="V234">
        <v>3</v>
      </c>
      <c r="W234" s="232">
        <v>36892</v>
      </c>
      <c r="X234" s="232">
        <v>36525</v>
      </c>
      <c r="Y234">
        <v>0</v>
      </c>
      <c r="Z234">
        <v>1</v>
      </c>
    </row>
    <row r="235" spans="1:26" x14ac:dyDescent="0.25">
      <c r="A235">
        <v>3202</v>
      </c>
      <c r="B235" t="s">
        <v>1344</v>
      </c>
      <c r="C235" t="s">
        <v>1345</v>
      </c>
      <c r="G235" t="s">
        <v>644</v>
      </c>
      <c r="H235" t="s">
        <v>1346</v>
      </c>
      <c r="I235">
        <v>1</v>
      </c>
      <c r="J235" t="s">
        <v>1345</v>
      </c>
      <c r="N235" t="s">
        <v>644</v>
      </c>
      <c r="O235" t="s">
        <v>1346</v>
      </c>
      <c r="P235">
        <v>1</v>
      </c>
      <c r="R235">
        <v>4</v>
      </c>
      <c r="S235">
        <v>0</v>
      </c>
      <c r="U235" t="s">
        <v>650</v>
      </c>
      <c r="V235">
        <v>3</v>
      </c>
      <c r="W235" s="232">
        <v>36892</v>
      </c>
      <c r="X235" s="232">
        <v>36525</v>
      </c>
      <c r="Y235">
        <v>0</v>
      </c>
      <c r="Z235">
        <v>1</v>
      </c>
    </row>
    <row r="236" spans="1:26" x14ac:dyDescent="0.25">
      <c r="A236">
        <v>3266</v>
      </c>
      <c r="B236" t="s">
        <v>1347</v>
      </c>
      <c r="C236" t="s">
        <v>1348</v>
      </c>
      <c r="G236" t="s">
        <v>644</v>
      </c>
      <c r="H236" t="s">
        <v>1349</v>
      </c>
      <c r="I236">
        <v>1</v>
      </c>
      <c r="J236" t="s">
        <v>1348</v>
      </c>
      <c r="N236" t="s">
        <v>644</v>
      </c>
      <c r="O236" t="s">
        <v>1349</v>
      </c>
      <c r="P236">
        <v>1</v>
      </c>
      <c r="R236">
        <v>5</v>
      </c>
      <c r="S236">
        <v>0</v>
      </c>
      <c r="U236" t="s">
        <v>650</v>
      </c>
      <c r="V236">
        <v>3</v>
      </c>
      <c r="W236" s="232">
        <v>36892</v>
      </c>
      <c r="X236" s="232">
        <v>36525</v>
      </c>
      <c r="Y236">
        <v>0</v>
      </c>
      <c r="Z236">
        <v>1</v>
      </c>
    </row>
    <row r="237" spans="1:26" x14ac:dyDescent="0.25">
      <c r="A237">
        <v>10300</v>
      </c>
      <c r="B237" t="s">
        <v>1350</v>
      </c>
      <c r="C237" t="s">
        <v>1351</v>
      </c>
      <c r="G237" t="s">
        <v>644</v>
      </c>
      <c r="H237" t="s">
        <v>1352</v>
      </c>
      <c r="I237">
        <v>1</v>
      </c>
      <c r="J237" t="s">
        <v>1351</v>
      </c>
      <c r="N237" t="s">
        <v>644</v>
      </c>
      <c r="O237" t="s">
        <v>1352</v>
      </c>
      <c r="P237">
        <v>1</v>
      </c>
      <c r="R237">
        <v>6</v>
      </c>
      <c r="S237">
        <v>0</v>
      </c>
      <c r="U237" t="s">
        <v>650</v>
      </c>
      <c r="V237">
        <v>3</v>
      </c>
      <c r="W237" s="232">
        <v>36892</v>
      </c>
      <c r="X237" s="232">
        <v>36525</v>
      </c>
      <c r="Y237">
        <v>1</v>
      </c>
      <c r="Z237">
        <v>1</v>
      </c>
    </row>
    <row r="238" spans="1:26" x14ac:dyDescent="0.25">
      <c r="A238">
        <v>10288</v>
      </c>
      <c r="B238" t="s">
        <v>1353</v>
      </c>
      <c r="C238" t="s">
        <v>1354</v>
      </c>
      <c r="G238" t="s">
        <v>644</v>
      </c>
      <c r="H238" t="s">
        <v>957</v>
      </c>
      <c r="I238">
        <v>1</v>
      </c>
      <c r="J238" t="s">
        <v>1354</v>
      </c>
      <c r="N238" t="s">
        <v>644</v>
      </c>
      <c r="O238" t="s">
        <v>957</v>
      </c>
      <c r="P238">
        <v>1</v>
      </c>
      <c r="R238">
        <v>2</v>
      </c>
      <c r="S238">
        <v>0</v>
      </c>
      <c r="U238" t="s">
        <v>650</v>
      </c>
      <c r="V238">
        <v>3</v>
      </c>
      <c r="W238" s="232">
        <v>36892</v>
      </c>
      <c r="X238" s="232">
        <v>36525</v>
      </c>
      <c r="Y238">
        <v>0</v>
      </c>
      <c r="Z238">
        <v>1</v>
      </c>
    </row>
    <row r="239" spans="1:26" x14ac:dyDescent="0.25">
      <c r="A239">
        <v>3303</v>
      </c>
      <c r="B239" t="s">
        <v>1355</v>
      </c>
      <c r="C239" t="s">
        <v>1356</v>
      </c>
      <c r="G239" t="s">
        <v>644</v>
      </c>
      <c r="H239" t="s">
        <v>783</v>
      </c>
      <c r="I239">
        <v>1</v>
      </c>
      <c r="J239" t="s">
        <v>1356</v>
      </c>
      <c r="N239" t="s">
        <v>644</v>
      </c>
      <c r="O239" t="s">
        <v>783</v>
      </c>
      <c r="P239">
        <v>1</v>
      </c>
      <c r="R239">
        <v>5</v>
      </c>
      <c r="S239">
        <v>0</v>
      </c>
      <c r="U239" t="s">
        <v>650</v>
      </c>
      <c r="V239">
        <v>3</v>
      </c>
      <c r="W239" s="232">
        <v>36892</v>
      </c>
      <c r="X239" s="232">
        <v>36525</v>
      </c>
      <c r="Y239">
        <v>0</v>
      </c>
      <c r="Z239">
        <v>1</v>
      </c>
    </row>
    <row r="240" spans="1:26" x14ac:dyDescent="0.25">
      <c r="A240">
        <v>30196</v>
      </c>
      <c r="B240" t="s">
        <v>1357</v>
      </c>
      <c r="C240" t="s">
        <v>1358</v>
      </c>
      <c r="G240" t="s">
        <v>644</v>
      </c>
      <c r="H240" t="s">
        <v>1359</v>
      </c>
      <c r="I240">
        <v>1</v>
      </c>
      <c r="J240" t="s">
        <v>1358</v>
      </c>
      <c r="N240" t="s">
        <v>644</v>
      </c>
      <c r="O240" t="s">
        <v>1359</v>
      </c>
      <c r="P240">
        <v>1</v>
      </c>
      <c r="R240">
        <v>1</v>
      </c>
      <c r="S240">
        <v>29747</v>
      </c>
      <c r="T240" t="s">
        <v>660</v>
      </c>
      <c r="U240" t="s">
        <v>1360</v>
      </c>
      <c r="V240">
        <v>1</v>
      </c>
      <c r="W240" s="232">
        <v>36892</v>
      </c>
      <c r="X240" s="232">
        <v>36525</v>
      </c>
      <c r="Y240">
        <v>0</v>
      </c>
      <c r="Z240">
        <v>1</v>
      </c>
    </row>
    <row r="241" spans="1:26" x14ac:dyDescent="0.25">
      <c r="A241">
        <v>3304</v>
      </c>
      <c r="B241" t="s">
        <v>1361</v>
      </c>
      <c r="C241" t="s">
        <v>1362</v>
      </c>
      <c r="G241" t="s">
        <v>644</v>
      </c>
      <c r="H241" t="s">
        <v>714</v>
      </c>
      <c r="I241">
        <v>1</v>
      </c>
      <c r="J241" t="s">
        <v>1362</v>
      </c>
      <c r="N241" t="s">
        <v>644</v>
      </c>
      <c r="O241" t="s">
        <v>714</v>
      </c>
      <c r="P241">
        <v>1</v>
      </c>
      <c r="R241">
        <v>7</v>
      </c>
      <c r="S241">
        <v>0</v>
      </c>
      <c r="U241" t="s">
        <v>650</v>
      </c>
      <c r="V241">
        <v>3</v>
      </c>
      <c r="W241" s="232">
        <v>36892</v>
      </c>
      <c r="X241" s="232">
        <v>36525</v>
      </c>
      <c r="Y241">
        <v>0</v>
      </c>
      <c r="Z241">
        <v>1</v>
      </c>
    </row>
    <row r="242" spans="1:26" x14ac:dyDescent="0.25">
      <c r="A242">
        <v>3254</v>
      </c>
      <c r="B242" t="s">
        <v>1363</v>
      </c>
      <c r="C242" t="s">
        <v>1364</v>
      </c>
      <c r="G242" t="s">
        <v>644</v>
      </c>
      <c r="H242" t="s">
        <v>659</v>
      </c>
      <c r="I242">
        <v>1</v>
      </c>
      <c r="J242" t="s">
        <v>1364</v>
      </c>
      <c r="N242" t="s">
        <v>644</v>
      </c>
      <c r="O242" t="s">
        <v>659</v>
      </c>
      <c r="P242">
        <v>1</v>
      </c>
      <c r="R242">
        <v>9</v>
      </c>
      <c r="S242">
        <v>29747</v>
      </c>
      <c r="T242" t="s">
        <v>660</v>
      </c>
      <c r="U242" t="s">
        <v>1365</v>
      </c>
      <c r="V242">
        <v>3</v>
      </c>
      <c r="W242" s="232">
        <v>36892</v>
      </c>
      <c r="X242" s="232">
        <v>36525</v>
      </c>
      <c r="Y242">
        <v>1</v>
      </c>
      <c r="Z242">
        <v>1</v>
      </c>
    </row>
    <row r="243" spans="1:26" x14ac:dyDescent="0.25">
      <c r="A243">
        <v>30222</v>
      </c>
      <c r="B243" t="s">
        <v>1366</v>
      </c>
      <c r="C243" t="s">
        <v>1367</v>
      </c>
      <c r="G243" t="s">
        <v>644</v>
      </c>
      <c r="H243" t="s">
        <v>1368</v>
      </c>
      <c r="I243">
        <v>1</v>
      </c>
      <c r="J243" t="s">
        <v>1367</v>
      </c>
      <c r="N243" t="s">
        <v>644</v>
      </c>
      <c r="O243" t="s">
        <v>1368</v>
      </c>
      <c r="P243">
        <v>1</v>
      </c>
      <c r="R243">
        <v>2</v>
      </c>
      <c r="S243">
        <v>0</v>
      </c>
      <c r="U243" t="s">
        <v>1369</v>
      </c>
      <c r="V243">
        <v>3</v>
      </c>
      <c r="W243" s="232">
        <v>36892</v>
      </c>
      <c r="X243" s="232">
        <v>36525</v>
      </c>
      <c r="Y243">
        <v>0</v>
      </c>
      <c r="Z243">
        <v>1</v>
      </c>
    </row>
    <row r="244" spans="1:26" x14ac:dyDescent="0.25">
      <c r="A244">
        <v>30231</v>
      </c>
      <c r="B244" t="s">
        <v>1370</v>
      </c>
      <c r="C244" t="s">
        <v>1371</v>
      </c>
      <c r="G244" t="s">
        <v>644</v>
      </c>
      <c r="H244" t="s">
        <v>1195</v>
      </c>
      <c r="I244">
        <v>1</v>
      </c>
      <c r="J244" t="s">
        <v>1371</v>
      </c>
      <c r="N244" t="s">
        <v>644</v>
      </c>
      <c r="O244" t="s">
        <v>1195</v>
      </c>
      <c r="P244">
        <v>1</v>
      </c>
      <c r="R244">
        <v>2</v>
      </c>
      <c r="S244">
        <v>0</v>
      </c>
      <c r="U244" t="s">
        <v>1372</v>
      </c>
      <c r="V244">
        <v>3</v>
      </c>
      <c r="W244" s="232">
        <v>36892</v>
      </c>
      <c r="X244" s="232">
        <v>36525</v>
      </c>
      <c r="Y244">
        <v>0</v>
      </c>
      <c r="Z244">
        <v>1</v>
      </c>
    </row>
    <row r="245" spans="1:26" x14ac:dyDescent="0.25">
      <c r="A245">
        <v>3245</v>
      </c>
      <c r="B245" t="s">
        <v>1373</v>
      </c>
      <c r="C245" t="s">
        <v>1374</v>
      </c>
      <c r="G245" t="s">
        <v>644</v>
      </c>
      <c r="H245" t="s">
        <v>944</v>
      </c>
      <c r="I245">
        <v>1</v>
      </c>
      <c r="J245" t="s">
        <v>1374</v>
      </c>
      <c r="N245" t="s">
        <v>644</v>
      </c>
      <c r="O245" t="s">
        <v>944</v>
      </c>
      <c r="P245">
        <v>1</v>
      </c>
      <c r="R245">
        <v>4</v>
      </c>
      <c r="S245">
        <v>0</v>
      </c>
      <c r="U245" t="s">
        <v>650</v>
      </c>
      <c r="V245">
        <v>3</v>
      </c>
      <c r="W245" s="232">
        <v>36892</v>
      </c>
      <c r="X245" s="232">
        <v>36525</v>
      </c>
      <c r="Y245">
        <v>0</v>
      </c>
      <c r="Z245">
        <v>1</v>
      </c>
    </row>
    <row r="246" spans="1:26" x14ac:dyDescent="0.25">
      <c r="A246">
        <v>10434</v>
      </c>
      <c r="B246" t="s">
        <v>1375</v>
      </c>
      <c r="C246" t="s">
        <v>1376</v>
      </c>
      <c r="G246" t="s">
        <v>644</v>
      </c>
      <c r="H246" t="s">
        <v>760</v>
      </c>
      <c r="I246">
        <v>1</v>
      </c>
      <c r="J246" t="s">
        <v>1376</v>
      </c>
      <c r="N246" t="s">
        <v>644</v>
      </c>
      <c r="O246" t="s">
        <v>760</v>
      </c>
      <c r="P246">
        <v>1</v>
      </c>
      <c r="R246">
        <v>3</v>
      </c>
      <c r="S246">
        <v>0</v>
      </c>
      <c r="U246" t="s">
        <v>650</v>
      </c>
      <c r="V246">
        <v>3</v>
      </c>
      <c r="W246" s="232">
        <v>36892</v>
      </c>
      <c r="X246" s="232">
        <v>36525</v>
      </c>
      <c r="Y246">
        <v>1</v>
      </c>
      <c r="Z246">
        <v>1</v>
      </c>
    </row>
    <row r="247" spans="1:26" x14ac:dyDescent="0.25">
      <c r="A247">
        <v>10548</v>
      </c>
      <c r="B247" t="s">
        <v>1377</v>
      </c>
      <c r="C247" t="s">
        <v>1378</v>
      </c>
      <c r="G247" t="s">
        <v>644</v>
      </c>
      <c r="H247" t="s">
        <v>1379</v>
      </c>
      <c r="I247">
        <v>1</v>
      </c>
      <c r="J247" t="s">
        <v>1378</v>
      </c>
      <c r="N247" t="s">
        <v>644</v>
      </c>
      <c r="O247" t="s">
        <v>1379</v>
      </c>
      <c r="P247">
        <v>1</v>
      </c>
      <c r="R247">
        <v>5</v>
      </c>
      <c r="S247">
        <v>0</v>
      </c>
      <c r="U247" t="s">
        <v>1380</v>
      </c>
      <c r="V247">
        <v>3</v>
      </c>
      <c r="W247" s="232">
        <v>36892</v>
      </c>
      <c r="X247" s="232">
        <v>36525</v>
      </c>
      <c r="Y247">
        <v>0</v>
      </c>
      <c r="Z247">
        <v>1</v>
      </c>
    </row>
    <row r="248" spans="1:26" x14ac:dyDescent="0.25">
      <c r="A248">
        <v>10328</v>
      </c>
      <c r="B248" t="s">
        <v>1381</v>
      </c>
      <c r="C248" t="s">
        <v>1382</v>
      </c>
      <c r="G248" t="s">
        <v>644</v>
      </c>
      <c r="H248" t="s">
        <v>746</v>
      </c>
      <c r="I248">
        <v>1</v>
      </c>
      <c r="J248" t="s">
        <v>1382</v>
      </c>
      <c r="N248" t="s">
        <v>644</v>
      </c>
      <c r="O248" t="s">
        <v>746</v>
      </c>
      <c r="P248">
        <v>1</v>
      </c>
      <c r="R248">
        <v>4</v>
      </c>
      <c r="S248">
        <v>0</v>
      </c>
      <c r="U248" t="s">
        <v>650</v>
      </c>
      <c r="V248">
        <v>3</v>
      </c>
      <c r="W248" s="232">
        <v>36892</v>
      </c>
      <c r="X248" s="232">
        <v>36525</v>
      </c>
      <c r="Y248">
        <v>1</v>
      </c>
      <c r="Z248">
        <v>1</v>
      </c>
    </row>
    <row r="249" spans="1:26" x14ac:dyDescent="0.25">
      <c r="A249">
        <v>10561</v>
      </c>
      <c r="B249" t="s">
        <v>1383</v>
      </c>
      <c r="C249" t="s">
        <v>1384</v>
      </c>
      <c r="G249" t="s">
        <v>644</v>
      </c>
      <c r="H249" t="s">
        <v>879</v>
      </c>
      <c r="I249">
        <v>1</v>
      </c>
      <c r="J249" t="s">
        <v>1384</v>
      </c>
      <c r="N249" t="s">
        <v>644</v>
      </c>
      <c r="O249" t="s">
        <v>879</v>
      </c>
      <c r="P249">
        <v>1</v>
      </c>
      <c r="R249">
        <v>5</v>
      </c>
      <c r="S249">
        <v>0</v>
      </c>
      <c r="U249" t="s">
        <v>650</v>
      </c>
      <c r="V249">
        <v>3</v>
      </c>
      <c r="W249" s="232">
        <v>36892</v>
      </c>
      <c r="X249" s="232">
        <v>36525</v>
      </c>
      <c r="Y249">
        <v>1</v>
      </c>
      <c r="Z249">
        <v>1</v>
      </c>
    </row>
    <row r="250" spans="1:26" x14ac:dyDescent="0.25">
      <c r="A250">
        <v>3513</v>
      </c>
      <c r="B250" t="s">
        <v>1385</v>
      </c>
      <c r="C250" t="s">
        <v>1386</v>
      </c>
      <c r="G250" t="s">
        <v>644</v>
      </c>
      <c r="H250" t="s">
        <v>766</v>
      </c>
      <c r="I250">
        <v>1</v>
      </c>
      <c r="J250" t="s">
        <v>1386</v>
      </c>
      <c r="N250" t="s">
        <v>644</v>
      </c>
      <c r="O250" t="s">
        <v>766</v>
      </c>
      <c r="P250">
        <v>1</v>
      </c>
      <c r="R250">
        <v>5</v>
      </c>
      <c r="S250">
        <v>0</v>
      </c>
      <c r="U250" t="s">
        <v>650</v>
      </c>
      <c r="V250">
        <v>3</v>
      </c>
      <c r="W250" s="232">
        <v>36892</v>
      </c>
      <c r="X250" s="232">
        <v>36525</v>
      </c>
      <c r="Y250">
        <v>0</v>
      </c>
      <c r="Z250">
        <v>1</v>
      </c>
    </row>
    <row r="251" spans="1:26" x14ac:dyDescent="0.25">
      <c r="A251">
        <v>10316</v>
      </c>
      <c r="B251" t="s">
        <v>1387</v>
      </c>
      <c r="C251" t="s">
        <v>1388</v>
      </c>
      <c r="G251" t="s">
        <v>644</v>
      </c>
      <c r="H251" t="s">
        <v>1389</v>
      </c>
      <c r="I251">
        <v>1</v>
      </c>
      <c r="J251" t="s">
        <v>1388</v>
      </c>
      <c r="N251" t="s">
        <v>644</v>
      </c>
      <c r="O251" t="s">
        <v>1389</v>
      </c>
      <c r="P251">
        <v>1</v>
      </c>
      <c r="R251">
        <v>4</v>
      </c>
      <c r="S251">
        <v>0</v>
      </c>
      <c r="U251" t="s">
        <v>650</v>
      </c>
      <c r="V251">
        <v>3</v>
      </c>
      <c r="W251" s="232">
        <v>36892</v>
      </c>
      <c r="X251" s="232">
        <v>36525</v>
      </c>
      <c r="Y251">
        <v>0</v>
      </c>
      <c r="Z251">
        <v>1</v>
      </c>
    </row>
    <row r="252" spans="1:26" x14ac:dyDescent="0.25">
      <c r="A252">
        <v>3546</v>
      </c>
      <c r="B252" t="s">
        <v>1390</v>
      </c>
      <c r="C252" t="s">
        <v>1391</v>
      </c>
      <c r="G252" t="s">
        <v>644</v>
      </c>
      <c r="H252" t="s">
        <v>804</v>
      </c>
      <c r="I252">
        <v>1</v>
      </c>
      <c r="J252" t="s">
        <v>1391</v>
      </c>
      <c r="N252" t="s">
        <v>644</v>
      </c>
      <c r="O252" t="s">
        <v>804</v>
      </c>
      <c r="P252">
        <v>1</v>
      </c>
      <c r="R252">
        <v>8</v>
      </c>
      <c r="S252">
        <v>0</v>
      </c>
      <c r="U252" t="s">
        <v>1392</v>
      </c>
      <c r="V252">
        <v>3</v>
      </c>
      <c r="W252" s="232">
        <v>36892</v>
      </c>
      <c r="X252" s="232">
        <v>36525</v>
      </c>
      <c r="Y252">
        <v>0</v>
      </c>
      <c r="Z252">
        <v>1</v>
      </c>
    </row>
    <row r="253" spans="1:26" x14ac:dyDescent="0.25">
      <c r="A253">
        <v>10314</v>
      </c>
      <c r="B253" t="s">
        <v>1393</v>
      </c>
      <c r="C253" t="s">
        <v>1394</v>
      </c>
      <c r="G253" t="s">
        <v>644</v>
      </c>
      <c r="H253" t="s">
        <v>1395</v>
      </c>
      <c r="I253">
        <v>1</v>
      </c>
      <c r="J253" t="s">
        <v>1394</v>
      </c>
      <c r="N253" t="s">
        <v>644</v>
      </c>
      <c r="O253" t="s">
        <v>1395</v>
      </c>
      <c r="P253">
        <v>1</v>
      </c>
      <c r="R253">
        <v>7</v>
      </c>
      <c r="S253">
        <v>0</v>
      </c>
      <c r="U253" t="s">
        <v>650</v>
      </c>
      <c r="V253">
        <v>3</v>
      </c>
      <c r="W253" s="232">
        <v>36892</v>
      </c>
      <c r="X253" s="232">
        <v>36525</v>
      </c>
      <c r="Y253">
        <v>0</v>
      </c>
      <c r="Z253">
        <v>1</v>
      </c>
    </row>
    <row r="254" spans="1:26" x14ac:dyDescent="0.25">
      <c r="A254">
        <v>3884</v>
      </c>
      <c r="B254" t="s">
        <v>1396</v>
      </c>
      <c r="C254" t="s">
        <v>1397</v>
      </c>
      <c r="G254" t="s">
        <v>644</v>
      </c>
      <c r="H254" t="s">
        <v>883</v>
      </c>
      <c r="I254">
        <v>1</v>
      </c>
      <c r="J254" t="s">
        <v>1397</v>
      </c>
      <c r="N254" t="s">
        <v>644</v>
      </c>
      <c r="O254" t="s">
        <v>883</v>
      </c>
      <c r="P254">
        <v>1</v>
      </c>
      <c r="R254">
        <v>3</v>
      </c>
      <c r="S254">
        <v>0</v>
      </c>
      <c r="U254" t="s">
        <v>650</v>
      </c>
      <c r="V254">
        <v>3</v>
      </c>
      <c r="W254" s="232">
        <v>36892</v>
      </c>
      <c r="X254" s="232">
        <v>36525</v>
      </c>
      <c r="Y254">
        <v>0</v>
      </c>
      <c r="Z254">
        <v>1</v>
      </c>
    </row>
    <row r="255" spans="1:26" x14ac:dyDescent="0.25">
      <c r="A255">
        <v>3879</v>
      </c>
      <c r="B255" t="s">
        <v>1398</v>
      </c>
      <c r="C255" t="s">
        <v>1399</v>
      </c>
      <c r="G255" t="s">
        <v>644</v>
      </c>
      <c r="H255" t="s">
        <v>804</v>
      </c>
      <c r="I255">
        <v>1</v>
      </c>
      <c r="J255" t="s">
        <v>1399</v>
      </c>
      <c r="N255" t="s">
        <v>644</v>
      </c>
      <c r="O255" t="s">
        <v>804</v>
      </c>
      <c r="P255">
        <v>1</v>
      </c>
      <c r="R255">
        <v>5</v>
      </c>
      <c r="S255">
        <v>0</v>
      </c>
      <c r="U255" t="s">
        <v>650</v>
      </c>
      <c r="V255">
        <v>3</v>
      </c>
      <c r="W255" s="232">
        <v>36892</v>
      </c>
      <c r="X255" s="232">
        <v>36525</v>
      </c>
      <c r="Y255">
        <v>1</v>
      </c>
      <c r="Z255">
        <v>1</v>
      </c>
    </row>
    <row r="256" spans="1:26" x14ac:dyDescent="0.25">
      <c r="A256">
        <v>30112</v>
      </c>
      <c r="B256" t="s">
        <v>1400</v>
      </c>
      <c r="I256">
        <v>1</v>
      </c>
      <c r="P256">
        <v>1</v>
      </c>
      <c r="R256">
        <v>1</v>
      </c>
      <c r="S256">
        <v>29747</v>
      </c>
      <c r="T256" t="s">
        <v>660</v>
      </c>
      <c r="U256" t="s">
        <v>1401</v>
      </c>
      <c r="V256">
        <v>3</v>
      </c>
      <c r="W256" s="232">
        <v>36892</v>
      </c>
      <c r="X256" s="232">
        <v>36525</v>
      </c>
      <c r="Y256">
        <v>0</v>
      </c>
      <c r="Z256">
        <v>1</v>
      </c>
    </row>
    <row r="257" spans="1:26" x14ac:dyDescent="0.25">
      <c r="A257">
        <v>10372</v>
      </c>
      <c r="B257" t="s">
        <v>1402</v>
      </c>
      <c r="C257" t="s">
        <v>1403</v>
      </c>
      <c r="G257" t="s">
        <v>644</v>
      </c>
      <c r="H257" t="s">
        <v>1404</v>
      </c>
      <c r="I257">
        <v>1</v>
      </c>
      <c r="J257" t="s">
        <v>1403</v>
      </c>
      <c r="N257" t="s">
        <v>644</v>
      </c>
      <c r="O257" t="s">
        <v>1404</v>
      </c>
      <c r="P257">
        <v>1</v>
      </c>
      <c r="R257">
        <v>2</v>
      </c>
      <c r="S257">
        <v>0</v>
      </c>
      <c r="U257" t="s">
        <v>650</v>
      </c>
      <c r="V257">
        <v>3</v>
      </c>
      <c r="W257" s="232">
        <v>36892</v>
      </c>
      <c r="X257" s="232">
        <v>36525</v>
      </c>
      <c r="Y257">
        <v>1</v>
      </c>
      <c r="Z257">
        <v>1</v>
      </c>
    </row>
    <row r="258" spans="1:26" x14ac:dyDescent="0.25">
      <c r="A258">
        <v>3708</v>
      </c>
      <c r="B258" t="s">
        <v>1405</v>
      </c>
      <c r="C258" t="s">
        <v>1406</v>
      </c>
      <c r="G258" t="s">
        <v>644</v>
      </c>
      <c r="H258" t="s">
        <v>1407</v>
      </c>
      <c r="I258">
        <v>1</v>
      </c>
      <c r="J258" t="s">
        <v>1406</v>
      </c>
      <c r="N258" t="s">
        <v>644</v>
      </c>
      <c r="O258" t="s">
        <v>1407</v>
      </c>
      <c r="P258">
        <v>1</v>
      </c>
      <c r="R258">
        <v>11</v>
      </c>
      <c r="S258">
        <v>0</v>
      </c>
      <c r="U258" t="s">
        <v>650</v>
      </c>
      <c r="V258">
        <v>3</v>
      </c>
      <c r="W258" s="232">
        <v>36892</v>
      </c>
      <c r="X258" s="232">
        <v>36525</v>
      </c>
      <c r="Y258">
        <v>0</v>
      </c>
      <c r="Z258">
        <v>1</v>
      </c>
    </row>
    <row r="259" spans="1:26" x14ac:dyDescent="0.25">
      <c r="A259">
        <v>30140</v>
      </c>
      <c r="B259" t="s">
        <v>1408</v>
      </c>
      <c r="I259">
        <v>244</v>
      </c>
      <c r="P259">
        <v>244</v>
      </c>
      <c r="R259">
        <v>2</v>
      </c>
      <c r="S259">
        <v>29747</v>
      </c>
      <c r="T259" t="s">
        <v>660</v>
      </c>
      <c r="U259" t="s">
        <v>1409</v>
      </c>
      <c r="V259">
        <v>3</v>
      </c>
      <c r="W259" s="232">
        <v>36892</v>
      </c>
      <c r="X259" s="232">
        <v>36525</v>
      </c>
      <c r="Y259">
        <v>0</v>
      </c>
      <c r="Z259">
        <v>1</v>
      </c>
    </row>
    <row r="260" spans="1:26" x14ac:dyDescent="0.25">
      <c r="A260">
        <v>10488</v>
      </c>
      <c r="B260" t="s">
        <v>1410</v>
      </c>
      <c r="C260" t="s">
        <v>1411</v>
      </c>
      <c r="G260" t="s">
        <v>214</v>
      </c>
      <c r="H260" t="s">
        <v>1412</v>
      </c>
      <c r="I260">
        <v>2</v>
      </c>
      <c r="J260" t="s">
        <v>1411</v>
      </c>
      <c r="N260" t="s">
        <v>214</v>
      </c>
      <c r="O260" t="s">
        <v>1412</v>
      </c>
      <c r="P260">
        <v>2</v>
      </c>
      <c r="R260">
        <v>2</v>
      </c>
      <c r="S260">
        <v>0</v>
      </c>
      <c r="U260" t="s">
        <v>650</v>
      </c>
      <c r="V260">
        <v>3</v>
      </c>
      <c r="W260" s="232">
        <v>36892</v>
      </c>
      <c r="X260" s="232">
        <v>36525</v>
      </c>
      <c r="Y260">
        <v>0</v>
      </c>
      <c r="Z260">
        <v>1</v>
      </c>
    </row>
    <row r="261" spans="1:26" x14ac:dyDescent="0.25">
      <c r="A261">
        <v>30202</v>
      </c>
      <c r="B261" t="s">
        <v>1413</v>
      </c>
      <c r="C261" t="s">
        <v>1414</v>
      </c>
      <c r="G261" t="s">
        <v>214</v>
      </c>
      <c r="H261" t="s">
        <v>1412</v>
      </c>
      <c r="I261">
        <v>2</v>
      </c>
      <c r="J261" t="s">
        <v>1414</v>
      </c>
      <c r="N261" t="s">
        <v>214</v>
      </c>
      <c r="O261" t="s">
        <v>1412</v>
      </c>
      <c r="P261">
        <v>2</v>
      </c>
      <c r="R261">
        <v>1</v>
      </c>
      <c r="S261">
        <v>29747</v>
      </c>
      <c r="T261" t="s">
        <v>660</v>
      </c>
      <c r="U261" t="s">
        <v>1415</v>
      </c>
      <c r="V261">
        <v>1</v>
      </c>
      <c r="W261" s="232">
        <v>36892</v>
      </c>
      <c r="X261" s="232">
        <v>36525</v>
      </c>
      <c r="Y261">
        <v>0</v>
      </c>
      <c r="Z261">
        <v>1</v>
      </c>
    </row>
    <row r="262" spans="1:26" x14ac:dyDescent="0.25">
      <c r="A262">
        <v>3779</v>
      </c>
      <c r="B262" t="s">
        <v>1416</v>
      </c>
      <c r="C262" t="s">
        <v>1417</v>
      </c>
      <c r="G262" t="s">
        <v>215</v>
      </c>
      <c r="H262" t="s">
        <v>1418</v>
      </c>
      <c r="I262">
        <v>1</v>
      </c>
      <c r="J262" t="s">
        <v>1417</v>
      </c>
      <c r="N262" t="s">
        <v>215</v>
      </c>
      <c r="O262" t="s">
        <v>1418</v>
      </c>
      <c r="P262">
        <v>1</v>
      </c>
      <c r="Q262">
        <v>1285</v>
      </c>
      <c r="R262">
        <v>2</v>
      </c>
      <c r="S262">
        <v>0</v>
      </c>
      <c r="U262" t="s">
        <v>650</v>
      </c>
      <c r="V262">
        <v>3</v>
      </c>
      <c r="W262" s="232">
        <v>36892</v>
      </c>
      <c r="X262" s="232">
        <v>36525</v>
      </c>
      <c r="Y262">
        <v>0</v>
      </c>
      <c r="Z262">
        <v>1</v>
      </c>
    </row>
    <row r="263" spans="1:26" x14ac:dyDescent="0.25">
      <c r="A263">
        <v>3756</v>
      </c>
      <c r="B263" t="s">
        <v>1419</v>
      </c>
      <c r="C263" t="s">
        <v>1420</v>
      </c>
      <c r="G263" t="s">
        <v>644</v>
      </c>
      <c r="H263" t="s">
        <v>1421</v>
      </c>
      <c r="I263">
        <v>1</v>
      </c>
      <c r="J263" t="s">
        <v>1420</v>
      </c>
      <c r="N263" t="s">
        <v>644</v>
      </c>
      <c r="O263" t="s">
        <v>1421</v>
      </c>
      <c r="P263">
        <v>1</v>
      </c>
      <c r="R263">
        <v>4</v>
      </c>
      <c r="S263">
        <v>0</v>
      </c>
      <c r="U263" t="s">
        <v>650</v>
      </c>
      <c r="V263">
        <v>3</v>
      </c>
      <c r="W263" s="232">
        <v>36892</v>
      </c>
      <c r="X263" s="232">
        <v>36525</v>
      </c>
      <c r="Y263">
        <v>0</v>
      </c>
      <c r="Z263">
        <v>1</v>
      </c>
    </row>
    <row r="264" spans="1:26" x14ac:dyDescent="0.25">
      <c r="A264">
        <v>3712</v>
      </c>
      <c r="B264" t="s">
        <v>1422</v>
      </c>
      <c r="C264" t="s">
        <v>1423</v>
      </c>
      <c r="G264" t="s">
        <v>644</v>
      </c>
      <c r="H264" t="s">
        <v>704</v>
      </c>
      <c r="I264">
        <v>1</v>
      </c>
      <c r="J264" t="s">
        <v>1423</v>
      </c>
      <c r="N264" t="s">
        <v>644</v>
      </c>
      <c r="O264" t="s">
        <v>704</v>
      </c>
      <c r="P264">
        <v>1</v>
      </c>
      <c r="R264">
        <v>4</v>
      </c>
      <c r="S264">
        <v>0</v>
      </c>
      <c r="U264" t="s">
        <v>650</v>
      </c>
      <c r="V264">
        <v>3</v>
      </c>
      <c r="W264" s="232">
        <v>36892</v>
      </c>
      <c r="X264" s="232">
        <v>36525</v>
      </c>
      <c r="Y264">
        <v>1</v>
      </c>
      <c r="Z264">
        <v>1</v>
      </c>
    </row>
    <row r="265" spans="1:26" x14ac:dyDescent="0.25">
      <c r="A265">
        <v>3814</v>
      </c>
      <c r="B265" t="s">
        <v>1424</v>
      </c>
      <c r="C265" t="s">
        <v>1425</v>
      </c>
      <c r="G265" t="s">
        <v>644</v>
      </c>
      <c r="H265" t="s">
        <v>819</v>
      </c>
      <c r="I265">
        <v>1</v>
      </c>
      <c r="J265" t="s">
        <v>1425</v>
      </c>
      <c r="N265" t="s">
        <v>644</v>
      </c>
      <c r="O265" t="s">
        <v>819</v>
      </c>
      <c r="P265">
        <v>1</v>
      </c>
      <c r="R265">
        <v>6</v>
      </c>
      <c r="S265">
        <v>0</v>
      </c>
      <c r="U265" t="s">
        <v>650</v>
      </c>
      <c r="V265">
        <v>3</v>
      </c>
      <c r="W265" s="232">
        <v>36892</v>
      </c>
      <c r="X265" s="232">
        <v>36525</v>
      </c>
      <c r="Y265">
        <v>0</v>
      </c>
      <c r="Z265">
        <v>1</v>
      </c>
    </row>
    <row r="266" spans="1:26" x14ac:dyDescent="0.25">
      <c r="A266">
        <v>3739</v>
      </c>
      <c r="B266" t="s">
        <v>1426</v>
      </c>
      <c r="C266" t="s">
        <v>1427</v>
      </c>
      <c r="G266" t="s">
        <v>644</v>
      </c>
      <c r="H266" t="s">
        <v>772</v>
      </c>
      <c r="I266">
        <v>1</v>
      </c>
      <c r="J266" t="s">
        <v>1427</v>
      </c>
      <c r="N266" t="s">
        <v>644</v>
      </c>
      <c r="O266" t="s">
        <v>772</v>
      </c>
      <c r="P266">
        <v>1</v>
      </c>
      <c r="Q266">
        <v>1285</v>
      </c>
      <c r="R266">
        <v>6</v>
      </c>
      <c r="S266">
        <v>0</v>
      </c>
      <c r="U266" t="s">
        <v>650</v>
      </c>
      <c r="V266">
        <v>3</v>
      </c>
      <c r="W266" s="232">
        <v>36892</v>
      </c>
      <c r="X266" s="232">
        <v>36525</v>
      </c>
      <c r="Y266">
        <v>1</v>
      </c>
      <c r="Z266">
        <v>1</v>
      </c>
    </row>
    <row r="267" spans="1:26" x14ac:dyDescent="0.25">
      <c r="A267">
        <v>10231</v>
      </c>
      <c r="B267" t="s">
        <v>1428</v>
      </c>
      <c r="C267" t="s">
        <v>1429</v>
      </c>
      <c r="G267" t="s">
        <v>644</v>
      </c>
      <c r="H267" t="s">
        <v>737</v>
      </c>
      <c r="I267">
        <v>1</v>
      </c>
      <c r="J267" t="s">
        <v>1429</v>
      </c>
      <c r="N267" t="s">
        <v>644</v>
      </c>
      <c r="O267" t="s">
        <v>737</v>
      </c>
      <c r="P267">
        <v>1</v>
      </c>
      <c r="R267">
        <v>4</v>
      </c>
      <c r="S267">
        <v>0</v>
      </c>
      <c r="U267" t="s">
        <v>650</v>
      </c>
      <c r="V267">
        <v>3</v>
      </c>
      <c r="W267" s="232">
        <v>36892</v>
      </c>
      <c r="X267" s="232">
        <v>36525</v>
      </c>
      <c r="Y267">
        <v>0</v>
      </c>
      <c r="Z267">
        <v>1</v>
      </c>
    </row>
    <row r="268" spans="1:26" x14ac:dyDescent="0.25">
      <c r="A268">
        <v>3758</v>
      </c>
      <c r="B268" t="s">
        <v>1430</v>
      </c>
      <c r="C268" t="s">
        <v>1431</v>
      </c>
      <c r="G268" t="s">
        <v>644</v>
      </c>
      <c r="H268" t="s">
        <v>1432</v>
      </c>
      <c r="I268">
        <v>1</v>
      </c>
      <c r="J268" t="s">
        <v>1431</v>
      </c>
      <c r="N268" t="s">
        <v>644</v>
      </c>
      <c r="O268" t="s">
        <v>1432</v>
      </c>
      <c r="P268">
        <v>1</v>
      </c>
      <c r="R268">
        <v>5</v>
      </c>
      <c r="S268">
        <v>0</v>
      </c>
      <c r="U268" t="s">
        <v>650</v>
      </c>
      <c r="V268">
        <v>3</v>
      </c>
      <c r="W268" s="232">
        <v>36892</v>
      </c>
      <c r="X268" s="232">
        <v>36525</v>
      </c>
      <c r="Y268">
        <v>0</v>
      </c>
      <c r="Z268">
        <v>1</v>
      </c>
    </row>
    <row r="269" spans="1:26" x14ac:dyDescent="0.25">
      <c r="A269">
        <v>3929</v>
      </c>
      <c r="B269" t="s">
        <v>1433</v>
      </c>
      <c r="C269" t="s">
        <v>1434</v>
      </c>
      <c r="G269" t="s">
        <v>644</v>
      </c>
      <c r="H269" t="s">
        <v>804</v>
      </c>
      <c r="I269">
        <v>1</v>
      </c>
      <c r="J269" t="s">
        <v>1434</v>
      </c>
      <c r="N269" t="s">
        <v>644</v>
      </c>
      <c r="O269" t="s">
        <v>804</v>
      </c>
      <c r="P269">
        <v>1</v>
      </c>
      <c r="R269">
        <v>5</v>
      </c>
      <c r="S269">
        <v>0</v>
      </c>
      <c r="U269" t="s">
        <v>650</v>
      </c>
      <c r="V269">
        <v>3</v>
      </c>
      <c r="W269" s="232">
        <v>36892</v>
      </c>
      <c r="X269" s="232">
        <v>36525</v>
      </c>
      <c r="Y269">
        <v>1</v>
      </c>
      <c r="Z269">
        <v>1</v>
      </c>
    </row>
    <row r="270" spans="1:26" x14ac:dyDescent="0.25">
      <c r="A270">
        <v>3913</v>
      </c>
      <c r="B270" t="s">
        <v>1435</v>
      </c>
      <c r="C270" t="s">
        <v>1436</v>
      </c>
      <c r="G270" t="s">
        <v>644</v>
      </c>
      <c r="H270" t="s">
        <v>1437</v>
      </c>
      <c r="I270">
        <v>1</v>
      </c>
      <c r="J270" t="s">
        <v>1436</v>
      </c>
      <c r="N270" t="s">
        <v>644</v>
      </c>
      <c r="O270" t="s">
        <v>1437</v>
      </c>
      <c r="P270">
        <v>1</v>
      </c>
      <c r="R270">
        <v>1</v>
      </c>
      <c r="S270">
        <v>0</v>
      </c>
      <c r="U270" t="s">
        <v>650</v>
      </c>
      <c r="V270">
        <v>3</v>
      </c>
      <c r="W270" s="232">
        <v>36892</v>
      </c>
      <c r="X270" s="232">
        <v>36525</v>
      </c>
      <c r="Y270">
        <v>0</v>
      </c>
      <c r="Z270">
        <v>1</v>
      </c>
    </row>
    <row r="271" spans="1:26" x14ac:dyDescent="0.25">
      <c r="A271">
        <v>10571</v>
      </c>
      <c r="B271" t="s">
        <v>1438</v>
      </c>
      <c r="C271" t="s">
        <v>1439</v>
      </c>
      <c r="G271" t="s">
        <v>644</v>
      </c>
      <c r="H271" t="s">
        <v>1195</v>
      </c>
      <c r="I271">
        <v>1</v>
      </c>
      <c r="J271" t="s">
        <v>1439</v>
      </c>
      <c r="N271" t="s">
        <v>644</v>
      </c>
      <c r="O271" t="s">
        <v>1195</v>
      </c>
      <c r="P271">
        <v>1</v>
      </c>
      <c r="R271">
        <v>3</v>
      </c>
      <c r="S271">
        <v>1283</v>
      </c>
      <c r="T271" t="s">
        <v>1326</v>
      </c>
      <c r="U271" t="s">
        <v>1440</v>
      </c>
      <c r="V271">
        <v>3</v>
      </c>
      <c r="W271" s="232">
        <v>42604</v>
      </c>
      <c r="X271" s="232">
        <v>36525</v>
      </c>
      <c r="Y271">
        <v>0</v>
      </c>
      <c r="Z271">
        <v>1</v>
      </c>
    </row>
    <row r="272" spans="1:26" x14ac:dyDescent="0.25">
      <c r="A272">
        <v>3722</v>
      </c>
      <c r="B272" t="s">
        <v>1441</v>
      </c>
      <c r="C272" t="s">
        <v>1442</v>
      </c>
      <c r="G272" t="s">
        <v>644</v>
      </c>
      <c r="H272" t="s">
        <v>1149</v>
      </c>
      <c r="I272">
        <v>1</v>
      </c>
      <c r="J272" t="s">
        <v>1442</v>
      </c>
      <c r="N272" t="s">
        <v>644</v>
      </c>
      <c r="O272" t="s">
        <v>1149</v>
      </c>
      <c r="P272">
        <v>1</v>
      </c>
      <c r="R272">
        <v>5</v>
      </c>
      <c r="S272">
        <v>0</v>
      </c>
      <c r="U272" t="s">
        <v>650</v>
      </c>
      <c r="V272">
        <v>3</v>
      </c>
      <c r="W272" s="232">
        <v>36892</v>
      </c>
      <c r="X272" s="232">
        <v>36525</v>
      </c>
      <c r="Y272">
        <v>0</v>
      </c>
      <c r="Z272">
        <v>1</v>
      </c>
    </row>
    <row r="273" spans="1:26" x14ac:dyDescent="0.25">
      <c r="A273">
        <v>10391</v>
      </c>
      <c r="B273" t="s">
        <v>1443</v>
      </c>
      <c r="C273" t="s">
        <v>1444</v>
      </c>
      <c r="G273" t="s">
        <v>860</v>
      </c>
      <c r="H273" t="s">
        <v>1445</v>
      </c>
      <c r="I273">
        <v>12</v>
      </c>
      <c r="J273" t="s">
        <v>1444</v>
      </c>
      <c r="N273" t="s">
        <v>860</v>
      </c>
      <c r="O273" t="s">
        <v>1445</v>
      </c>
      <c r="P273">
        <v>12</v>
      </c>
      <c r="R273">
        <v>3</v>
      </c>
      <c r="S273">
        <v>0</v>
      </c>
      <c r="U273" t="s">
        <v>650</v>
      </c>
      <c r="V273">
        <v>3</v>
      </c>
      <c r="W273" s="232">
        <v>36892</v>
      </c>
      <c r="X273" s="232">
        <v>36525</v>
      </c>
      <c r="Y273">
        <v>0</v>
      </c>
      <c r="Z273">
        <v>1</v>
      </c>
    </row>
    <row r="274" spans="1:26" x14ac:dyDescent="0.25">
      <c r="A274">
        <v>3688</v>
      </c>
      <c r="B274" t="s">
        <v>1446</v>
      </c>
      <c r="C274" t="s">
        <v>1447</v>
      </c>
      <c r="G274" t="s">
        <v>644</v>
      </c>
      <c r="H274" t="s">
        <v>1189</v>
      </c>
      <c r="I274">
        <v>1</v>
      </c>
      <c r="J274" t="s">
        <v>1447</v>
      </c>
      <c r="N274" t="s">
        <v>644</v>
      </c>
      <c r="O274" t="s">
        <v>1189</v>
      </c>
      <c r="P274">
        <v>1</v>
      </c>
      <c r="R274">
        <v>4</v>
      </c>
      <c r="S274">
        <v>0</v>
      </c>
      <c r="U274" t="s">
        <v>650</v>
      </c>
      <c r="V274">
        <v>3</v>
      </c>
      <c r="W274" s="232">
        <v>36892</v>
      </c>
      <c r="X274" s="232">
        <v>36525</v>
      </c>
      <c r="Y274">
        <v>1</v>
      </c>
      <c r="Z274">
        <v>1</v>
      </c>
    </row>
    <row r="275" spans="1:26" x14ac:dyDescent="0.25">
      <c r="A275">
        <v>1508</v>
      </c>
      <c r="B275" t="s">
        <v>1448</v>
      </c>
      <c r="C275" t="s">
        <v>1449</v>
      </c>
      <c r="G275" t="s">
        <v>644</v>
      </c>
      <c r="H275" t="s">
        <v>695</v>
      </c>
      <c r="I275">
        <v>1</v>
      </c>
      <c r="J275" t="s">
        <v>1449</v>
      </c>
      <c r="N275" t="s">
        <v>644</v>
      </c>
      <c r="O275" t="s">
        <v>695</v>
      </c>
      <c r="P275">
        <v>1</v>
      </c>
      <c r="R275">
        <v>11</v>
      </c>
      <c r="S275">
        <v>0</v>
      </c>
      <c r="U275" t="s">
        <v>1450</v>
      </c>
      <c r="V275">
        <v>3</v>
      </c>
      <c r="W275" s="232">
        <v>36892</v>
      </c>
      <c r="X275" s="232">
        <v>36525</v>
      </c>
      <c r="Y275">
        <v>0</v>
      </c>
      <c r="Z275">
        <v>1</v>
      </c>
    </row>
    <row r="276" spans="1:26" x14ac:dyDescent="0.25">
      <c r="A276">
        <v>10257</v>
      </c>
      <c r="B276" t="s">
        <v>1451</v>
      </c>
      <c r="C276" t="s">
        <v>1452</v>
      </c>
      <c r="G276" t="s">
        <v>1010</v>
      </c>
      <c r="H276" t="s">
        <v>1453</v>
      </c>
      <c r="I276">
        <v>1</v>
      </c>
      <c r="J276" t="s">
        <v>1452</v>
      </c>
      <c r="N276" t="s">
        <v>1010</v>
      </c>
      <c r="O276" t="s">
        <v>1453</v>
      </c>
      <c r="P276">
        <v>1</v>
      </c>
      <c r="R276">
        <v>4</v>
      </c>
      <c r="S276">
        <v>0</v>
      </c>
      <c r="U276" t="s">
        <v>650</v>
      </c>
      <c r="V276">
        <v>3</v>
      </c>
      <c r="W276" s="232">
        <v>36892</v>
      </c>
      <c r="X276" s="232">
        <v>36525</v>
      </c>
      <c r="Y276">
        <v>1</v>
      </c>
      <c r="Z276">
        <v>1</v>
      </c>
    </row>
    <row r="277" spans="1:26" x14ac:dyDescent="0.25">
      <c r="A277">
        <v>10203</v>
      </c>
      <c r="B277" t="s">
        <v>1454</v>
      </c>
      <c r="C277" t="s">
        <v>1455</v>
      </c>
      <c r="G277" t="s">
        <v>644</v>
      </c>
      <c r="H277" t="s">
        <v>828</v>
      </c>
      <c r="I277">
        <v>1</v>
      </c>
      <c r="J277" t="s">
        <v>1455</v>
      </c>
      <c r="N277" t="s">
        <v>644</v>
      </c>
      <c r="O277" t="s">
        <v>828</v>
      </c>
      <c r="P277">
        <v>1</v>
      </c>
      <c r="R277">
        <v>6</v>
      </c>
      <c r="S277">
        <v>29747</v>
      </c>
      <c r="T277" t="s">
        <v>660</v>
      </c>
      <c r="U277" t="s">
        <v>1456</v>
      </c>
      <c r="V277">
        <v>3</v>
      </c>
      <c r="W277" s="232">
        <v>36892</v>
      </c>
      <c r="X277" s="232">
        <v>36525</v>
      </c>
      <c r="Y277">
        <v>1</v>
      </c>
      <c r="Z277">
        <v>1</v>
      </c>
    </row>
    <row r="278" spans="1:26" x14ac:dyDescent="0.25">
      <c r="A278">
        <v>30148</v>
      </c>
      <c r="B278" t="s">
        <v>1457</v>
      </c>
      <c r="C278" t="s">
        <v>1458</v>
      </c>
      <c r="D278" t="s">
        <v>1459</v>
      </c>
      <c r="G278" t="s">
        <v>218</v>
      </c>
      <c r="H278" t="s">
        <v>1460</v>
      </c>
      <c r="I278">
        <v>1</v>
      </c>
      <c r="J278" t="s">
        <v>1458</v>
      </c>
      <c r="K278" t="s">
        <v>1459</v>
      </c>
      <c r="N278" t="s">
        <v>218</v>
      </c>
      <c r="O278" t="s">
        <v>1460</v>
      </c>
      <c r="P278">
        <v>1</v>
      </c>
      <c r="R278">
        <v>3</v>
      </c>
      <c r="S278">
        <v>29747</v>
      </c>
      <c r="T278" t="s">
        <v>660</v>
      </c>
      <c r="U278" t="s">
        <v>1461</v>
      </c>
      <c r="V278">
        <v>3</v>
      </c>
      <c r="W278" s="232">
        <v>36892</v>
      </c>
      <c r="X278" s="232">
        <v>36525</v>
      </c>
      <c r="Y278">
        <v>0</v>
      </c>
      <c r="Z278">
        <v>1</v>
      </c>
    </row>
    <row r="279" spans="1:26" x14ac:dyDescent="0.25">
      <c r="A279">
        <v>3768</v>
      </c>
      <c r="B279" t="s">
        <v>1462</v>
      </c>
      <c r="C279" t="s">
        <v>1463</v>
      </c>
      <c r="G279" t="s">
        <v>644</v>
      </c>
      <c r="H279" t="s">
        <v>1464</v>
      </c>
      <c r="I279">
        <v>1</v>
      </c>
      <c r="J279" t="s">
        <v>1463</v>
      </c>
      <c r="N279" t="s">
        <v>644</v>
      </c>
      <c r="O279" t="s">
        <v>1464</v>
      </c>
      <c r="P279">
        <v>1</v>
      </c>
      <c r="R279">
        <v>12</v>
      </c>
      <c r="S279">
        <v>0</v>
      </c>
      <c r="U279" t="s">
        <v>650</v>
      </c>
      <c r="V279">
        <v>3</v>
      </c>
      <c r="W279" s="232">
        <v>36892</v>
      </c>
      <c r="X279" s="232">
        <v>36525</v>
      </c>
      <c r="Y279">
        <v>0</v>
      </c>
      <c r="Z279">
        <v>1</v>
      </c>
    </row>
    <row r="280" spans="1:26" x14ac:dyDescent="0.25">
      <c r="A280">
        <v>3878</v>
      </c>
      <c r="B280" t="s">
        <v>1465</v>
      </c>
      <c r="C280" t="s">
        <v>1466</v>
      </c>
      <c r="G280" t="s">
        <v>644</v>
      </c>
      <c r="H280" t="s">
        <v>1467</v>
      </c>
      <c r="I280">
        <v>1</v>
      </c>
      <c r="J280" t="s">
        <v>1466</v>
      </c>
      <c r="N280" t="s">
        <v>644</v>
      </c>
      <c r="O280" t="s">
        <v>1467</v>
      </c>
      <c r="P280">
        <v>1</v>
      </c>
      <c r="R280">
        <v>5</v>
      </c>
      <c r="S280">
        <v>0</v>
      </c>
      <c r="U280" t="s">
        <v>650</v>
      </c>
      <c r="V280">
        <v>3</v>
      </c>
      <c r="W280" s="232">
        <v>36892</v>
      </c>
      <c r="X280" s="232">
        <v>36525</v>
      </c>
      <c r="Y280">
        <v>1</v>
      </c>
      <c r="Z280">
        <v>1</v>
      </c>
    </row>
    <row r="281" spans="1:26" x14ac:dyDescent="0.25">
      <c r="A281">
        <v>3910</v>
      </c>
      <c r="B281" t="s">
        <v>1468</v>
      </c>
      <c r="C281" t="s">
        <v>1469</v>
      </c>
      <c r="G281" t="s">
        <v>644</v>
      </c>
      <c r="H281" t="s">
        <v>1333</v>
      </c>
      <c r="I281">
        <v>1</v>
      </c>
      <c r="J281" t="s">
        <v>1469</v>
      </c>
      <c r="N281" t="s">
        <v>644</v>
      </c>
      <c r="O281" t="s">
        <v>1333</v>
      </c>
      <c r="P281">
        <v>1</v>
      </c>
      <c r="R281">
        <v>4</v>
      </c>
      <c r="S281">
        <v>0</v>
      </c>
      <c r="U281" t="s">
        <v>650</v>
      </c>
      <c r="V281">
        <v>3</v>
      </c>
      <c r="W281" s="232">
        <v>36892</v>
      </c>
      <c r="X281" s="232">
        <v>36525</v>
      </c>
      <c r="Y281">
        <v>1</v>
      </c>
      <c r="Z281">
        <v>1</v>
      </c>
    </row>
    <row r="282" spans="1:26" x14ac:dyDescent="0.25">
      <c r="A282">
        <v>10503</v>
      </c>
      <c r="B282" t="s">
        <v>1470</v>
      </c>
      <c r="C282" t="s">
        <v>1471</v>
      </c>
      <c r="G282" t="s">
        <v>644</v>
      </c>
      <c r="H282" t="s">
        <v>649</v>
      </c>
      <c r="I282">
        <v>1</v>
      </c>
      <c r="J282" t="s">
        <v>1471</v>
      </c>
      <c r="N282" t="s">
        <v>644</v>
      </c>
      <c r="O282" t="s">
        <v>649</v>
      </c>
      <c r="P282">
        <v>1</v>
      </c>
      <c r="R282">
        <v>3</v>
      </c>
      <c r="S282">
        <v>0</v>
      </c>
      <c r="U282" t="s">
        <v>650</v>
      </c>
      <c r="V282">
        <v>3</v>
      </c>
      <c r="W282" s="232">
        <v>36892</v>
      </c>
      <c r="X282" s="232">
        <v>36525</v>
      </c>
      <c r="Y282">
        <v>0</v>
      </c>
      <c r="Z282">
        <v>1</v>
      </c>
    </row>
    <row r="283" spans="1:26" x14ac:dyDescent="0.25">
      <c r="A283">
        <v>30213</v>
      </c>
      <c r="B283" t="s">
        <v>1472</v>
      </c>
      <c r="R283">
        <v>1</v>
      </c>
      <c r="S283">
        <v>29747</v>
      </c>
      <c r="T283" t="s">
        <v>660</v>
      </c>
      <c r="U283" t="s">
        <v>1473</v>
      </c>
      <c r="V283">
        <v>1</v>
      </c>
      <c r="W283" s="232">
        <v>36892</v>
      </c>
      <c r="X283" s="232">
        <v>36525</v>
      </c>
      <c r="Y283">
        <v>0</v>
      </c>
    </row>
    <row r="284" spans="1:26" x14ac:dyDescent="0.25">
      <c r="A284">
        <v>30115</v>
      </c>
      <c r="B284" t="s">
        <v>1474</v>
      </c>
      <c r="I284">
        <v>1</v>
      </c>
      <c r="P284">
        <v>1</v>
      </c>
      <c r="R284">
        <v>1</v>
      </c>
      <c r="S284">
        <v>29747</v>
      </c>
      <c r="T284" t="s">
        <v>660</v>
      </c>
      <c r="U284" t="s">
        <v>1475</v>
      </c>
      <c r="V284">
        <v>3</v>
      </c>
      <c r="W284" s="232">
        <v>36892</v>
      </c>
      <c r="X284" s="232">
        <v>36525</v>
      </c>
      <c r="Y284">
        <v>0</v>
      </c>
      <c r="Z284">
        <v>1</v>
      </c>
    </row>
    <row r="285" spans="1:26" x14ac:dyDescent="0.25">
      <c r="A285">
        <v>10553</v>
      </c>
      <c r="B285" t="s">
        <v>1476</v>
      </c>
      <c r="C285" t="s">
        <v>1477</v>
      </c>
      <c r="G285" t="s">
        <v>1478</v>
      </c>
      <c r="H285" t="s">
        <v>1479</v>
      </c>
      <c r="I285">
        <v>1</v>
      </c>
      <c r="J285" t="s">
        <v>1477</v>
      </c>
      <c r="N285" t="s">
        <v>1478</v>
      </c>
      <c r="O285" t="s">
        <v>1479</v>
      </c>
      <c r="P285">
        <v>1</v>
      </c>
      <c r="R285">
        <v>1</v>
      </c>
      <c r="S285">
        <v>0</v>
      </c>
      <c r="U285" t="s">
        <v>650</v>
      </c>
      <c r="V285">
        <v>1</v>
      </c>
      <c r="W285" s="232">
        <v>36892</v>
      </c>
      <c r="X285" s="232">
        <v>36525</v>
      </c>
      <c r="Y285">
        <v>1</v>
      </c>
      <c r="Z285">
        <v>1</v>
      </c>
    </row>
    <row r="286" spans="1:26" x14ac:dyDescent="0.25">
      <c r="A286">
        <v>10302</v>
      </c>
      <c r="B286" t="s">
        <v>1480</v>
      </c>
      <c r="C286" t="s">
        <v>1481</v>
      </c>
      <c r="G286" t="s">
        <v>644</v>
      </c>
      <c r="H286" t="s">
        <v>1482</v>
      </c>
      <c r="I286">
        <v>1</v>
      </c>
      <c r="J286" t="s">
        <v>1481</v>
      </c>
      <c r="N286" t="s">
        <v>644</v>
      </c>
      <c r="O286" t="s">
        <v>1482</v>
      </c>
      <c r="P286">
        <v>1</v>
      </c>
      <c r="R286">
        <v>3</v>
      </c>
      <c r="S286">
        <v>0</v>
      </c>
      <c r="U286" t="s">
        <v>650</v>
      </c>
      <c r="V286">
        <v>3</v>
      </c>
      <c r="W286" s="232">
        <v>36892</v>
      </c>
      <c r="X286" s="232">
        <v>36525</v>
      </c>
      <c r="Y286">
        <v>0</v>
      </c>
      <c r="Z286">
        <v>1</v>
      </c>
    </row>
    <row r="287" spans="1:26" x14ac:dyDescent="0.25">
      <c r="A287">
        <v>10576</v>
      </c>
      <c r="B287" t="s">
        <v>1483</v>
      </c>
      <c r="C287" t="s">
        <v>1484</v>
      </c>
      <c r="G287" t="s">
        <v>644</v>
      </c>
      <c r="H287" t="s">
        <v>798</v>
      </c>
      <c r="I287">
        <v>1</v>
      </c>
      <c r="J287" t="s">
        <v>1484</v>
      </c>
      <c r="N287" t="s">
        <v>644</v>
      </c>
      <c r="O287" t="s">
        <v>798</v>
      </c>
      <c r="P287">
        <v>1</v>
      </c>
      <c r="R287">
        <v>3</v>
      </c>
      <c r="S287">
        <v>0</v>
      </c>
      <c r="U287" t="s">
        <v>650</v>
      </c>
      <c r="V287">
        <v>3</v>
      </c>
      <c r="W287" s="232">
        <v>36892</v>
      </c>
      <c r="X287" s="232">
        <v>36525</v>
      </c>
      <c r="Y287">
        <v>0</v>
      </c>
      <c r="Z287">
        <v>1</v>
      </c>
    </row>
    <row r="288" spans="1:26" x14ac:dyDescent="0.25">
      <c r="A288">
        <v>30208</v>
      </c>
      <c r="B288" t="s">
        <v>1485</v>
      </c>
      <c r="C288" t="s">
        <v>1486</v>
      </c>
      <c r="G288" t="s">
        <v>644</v>
      </c>
      <c r="H288" t="s">
        <v>1040</v>
      </c>
      <c r="I288">
        <v>1</v>
      </c>
      <c r="J288" t="s">
        <v>1486</v>
      </c>
      <c r="N288" t="s">
        <v>644</v>
      </c>
      <c r="O288" t="s">
        <v>1040</v>
      </c>
      <c r="P288">
        <v>1</v>
      </c>
      <c r="R288">
        <v>2</v>
      </c>
      <c r="S288">
        <v>29747</v>
      </c>
      <c r="T288" t="s">
        <v>660</v>
      </c>
      <c r="U288" t="s">
        <v>1487</v>
      </c>
      <c r="V288">
        <v>3</v>
      </c>
      <c r="W288" s="232">
        <v>36892</v>
      </c>
      <c r="X288" s="232">
        <v>36525</v>
      </c>
      <c r="Y288">
        <v>0</v>
      </c>
      <c r="Z288">
        <v>1</v>
      </c>
    </row>
    <row r="289" spans="1:26" x14ac:dyDescent="0.25">
      <c r="A289">
        <v>4002</v>
      </c>
      <c r="B289" t="s">
        <v>1488</v>
      </c>
      <c r="C289" t="s">
        <v>1489</v>
      </c>
      <c r="G289" t="s">
        <v>1490</v>
      </c>
      <c r="H289" t="s">
        <v>1491</v>
      </c>
      <c r="I289">
        <v>12</v>
      </c>
      <c r="J289" t="s">
        <v>1489</v>
      </c>
      <c r="N289" t="s">
        <v>1490</v>
      </c>
      <c r="O289" t="s">
        <v>1491</v>
      </c>
      <c r="P289">
        <v>12</v>
      </c>
      <c r="Q289">
        <v>1285</v>
      </c>
      <c r="R289">
        <v>5</v>
      </c>
      <c r="S289">
        <v>0</v>
      </c>
      <c r="U289" t="s">
        <v>650</v>
      </c>
      <c r="V289">
        <v>3</v>
      </c>
      <c r="W289" s="232">
        <v>36892</v>
      </c>
      <c r="X289" s="232">
        <v>36525</v>
      </c>
      <c r="Y289">
        <v>1</v>
      </c>
      <c r="Z289">
        <v>1</v>
      </c>
    </row>
    <row r="290" spans="1:26" x14ac:dyDescent="0.25">
      <c r="A290">
        <v>4053</v>
      </c>
      <c r="B290" t="s">
        <v>1492</v>
      </c>
      <c r="C290" t="s">
        <v>759</v>
      </c>
      <c r="G290" t="s">
        <v>644</v>
      </c>
      <c r="H290" t="s">
        <v>760</v>
      </c>
      <c r="I290">
        <v>1</v>
      </c>
      <c r="J290" t="s">
        <v>759</v>
      </c>
      <c r="N290" t="s">
        <v>644</v>
      </c>
      <c r="O290" t="s">
        <v>760</v>
      </c>
      <c r="P290">
        <v>1</v>
      </c>
      <c r="R290">
        <v>3</v>
      </c>
      <c r="S290">
        <v>0</v>
      </c>
      <c r="U290" t="s">
        <v>650</v>
      </c>
      <c r="V290">
        <v>3</v>
      </c>
      <c r="W290" s="232">
        <v>36892</v>
      </c>
      <c r="X290" s="232">
        <v>36525</v>
      </c>
      <c r="Y290">
        <v>1</v>
      </c>
      <c r="Z290">
        <v>1</v>
      </c>
    </row>
    <row r="291" spans="1:26" x14ac:dyDescent="0.25">
      <c r="A291">
        <v>10567</v>
      </c>
      <c r="B291" t="s">
        <v>1493</v>
      </c>
      <c r="C291" t="s">
        <v>1494</v>
      </c>
      <c r="G291" t="s">
        <v>1010</v>
      </c>
      <c r="H291" t="s">
        <v>1495</v>
      </c>
      <c r="I291">
        <v>1</v>
      </c>
      <c r="J291" t="s">
        <v>1494</v>
      </c>
      <c r="N291" t="s">
        <v>1010</v>
      </c>
      <c r="O291" t="s">
        <v>1495</v>
      </c>
      <c r="P291">
        <v>1</v>
      </c>
      <c r="R291">
        <v>4</v>
      </c>
      <c r="S291">
        <v>0</v>
      </c>
      <c r="U291" t="s">
        <v>650</v>
      </c>
      <c r="V291">
        <v>3</v>
      </c>
      <c r="W291" s="232">
        <v>36892</v>
      </c>
      <c r="X291" s="232">
        <v>36525</v>
      </c>
      <c r="Y291">
        <v>0</v>
      </c>
      <c r="Z291">
        <v>1</v>
      </c>
    </row>
    <row r="292" spans="1:26" x14ac:dyDescent="0.25">
      <c r="A292">
        <v>30116</v>
      </c>
      <c r="B292" t="s">
        <v>1496</v>
      </c>
      <c r="I292">
        <v>1</v>
      </c>
      <c r="P292">
        <v>1</v>
      </c>
      <c r="R292">
        <v>1</v>
      </c>
      <c r="S292">
        <v>29747</v>
      </c>
      <c r="T292" t="s">
        <v>660</v>
      </c>
      <c r="U292" t="s">
        <v>1497</v>
      </c>
      <c r="V292">
        <v>3</v>
      </c>
      <c r="W292" s="232">
        <v>36892</v>
      </c>
      <c r="X292" s="232">
        <v>36525</v>
      </c>
      <c r="Y292">
        <v>0</v>
      </c>
      <c r="Z292">
        <v>1</v>
      </c>
    </row>
    <row r="293" spans="1:26" x14ac:dyDescent="0.25">
      <c r="A293">
        <v>4180</v>
      </c>
      <c r="B293" t="s">
        <v>1498</v>
      </c>
      <c r="C293" t="s">
        <v>1499</v>
      </c>
      <c r="G293" t="s">
        <v>644</v>
      </c>
      <c r="H293" t="s">
        <v>1467</v>
      </c>
      <c r="I293">
        <v>1</v>
      </c>
      <c r="J293" t="s">
        <v>1499</v>
      </c>
      <c r="N293" t="s">
        <v>644</v>
      </c>
      <c r="O293" t="s">
        <v>1467</v>
      </c>
      <c r="P293">
        <v>1</v>
      </c>
      <c r="R293">
        <v>5</v>
      </c>
      <c r="S293">
        <v>0</v>
      </c>
      <c r="U293" t="s">
        <v>1500</v>
      </c>
      <c r="V293">
        <v>3</v>
      </c>
      <c r="W293" s="232">
        <v>36892</v>
      </c>
      <c r="X293" s="232">
        <v>36525</v>
      </c>
      <c r="Y293">
        <v>0</v>
      </c>
      <c r="Z293">
        <v>1</v>
      </c>
    </row>
    <row r="294" spans="1:26" x14ac:dyDescent="0.25">
      <c r="A294">
        <v>10367</v>
      </c>
      <c r="B294" t="s">
        <v>1501</v>
      </c>
      <c r="C294" t="s">
        <v>1502</v>
      </c>
      <c r="G294" t="s">
        <v>1503</v>
      </c>
      <c r="H294" t="s">
        <v>1504</v>
      </c>
      <c r="I294">
        <v>1</v>
      </c>
      <c r="J294" t="s">
        <v>1502</v>
      </c>
      <c r="N294" t="s">
        <v>1503</v>
      </c>
      <c r="O294" t="s">
        <v>1504</v>
      </c>
      <c r="P294">
        <v>1</v>
      </c>
      <c r="R294">
        <v>3</v>
      </c>
      <c r="S294">
        <v>0</v>
      </c>
      <c r="U294" t="s">
        <v>650</v>
      </c>
      <c r="V294">
        <v>3</v>
      </c>
      <c r="W294" s="232">
        <v>36892</v>
      </c>
      <c r="X294" s="232">
        <v>36525</v>
      </c>
      <c r="Y294">
        <v>0</v>
      </c>
      <c r="Z294">
        <v>1</v>
      </c>
    </row>
    <row r="295" spans="1:26" x14ac:dyDescent="0.25">
      <c r="A295">
        <v>4177</v>
      </c>
      <c r="B295" t="s">
        <v>1505</v>
      </c>
      <c r="C295" t="s">
        <v>1506</v>
      </c>
      <c r="G295" t="s">
        <v>644</v>
      </c>
      <c r="H295" t="s">
        <v>1195</v>
      </c>
      <c r="I295">
        <v>1</v>
      </c>
      <c r="J295" t="s">
        <v>1506</v>
      </c>
      <c r="N295" t="s">
        <v>644</v>
      </c>
      <c r="O295" t="s">
        <v>1195</v>
      </c>
      <c r="P295">
        <v>1</v>
      </c>
      <c r="R295">
        <v>4</v>
      </c>
      <c r="S295">
        <v>0</v>
      </c>
      <c r="U295" t="s">
        <v>1507</v>
      </c>
      <c r="V295">
        <v>3</v>
      </c>
      <c r="W295" s="232">
        <v>36892</v>
      </c>
      <c r="X295" s="232">
        <v>36525</v>
      </c>
      <c r="Y295">
        <v>1</v>
      </c>
      <c r="Z295">
        <v>1</v>
      </c>
    </row>
    <row r="296" spans="1:26" x14ac:dyDescent="0.25">
      <c r="A296">
        <v>4167</v>
      </c>
      <c r="B296" t="s">
        <v>1508</v>
      </c>
      <c r="C296" t="s">
        <v>1509</v>
      </c>
      <c r="G296" t="s">
        <v>644</v>
      </c>
      <c r="H296" t="s">
        <v>1510</v>
      </c>
      <c r="I296">
        <v>1</v>
      </c>
      <c r="J296" t="s">
        <v>1509</v>
      </c>
      <c r="N296" t="s">
        <v>644</v>
      </c>
      <c r="O296" t="s">
        <v>1510</v>
      </c>
      <c r="P296">
        <v>1</v>
      </c>
      <c r="R296">
        <v>8</v>
      </c>
      <c r="S296">
        <v>0</v>
      </c>
      <c r="U296" t="s">
        <v>650</v>
      </c>
      <c r="V296">
        <v>3</v>
      </c>
      <c r="W296" s="232">
        <v>36892</v>
      </c>
      <c r="X296" s="232">
        <v>36525</v>
      </c>
      <c r="Y296">
        <v>1</v>
      </c>
      <c r="Z296">
        <v>1</v>
      </c>
    </row>
    <row r="297" spans="1:26" x14ac:dyDescent="0.25">
      <c r="A297">
        <v>4500</v>
      </c>
      <c r="B297" t="s">
        <v>1511</v>
      </c>
      <c r="C297" t="s">
        <v>1512</v>
      </c>
      <c r="G297" t="s">
        <v>644</v>
      </c>
      <c r="H297" t="s">
        <v>1407</v>
      </c>
      <c r="I297">
        <v>1</v>
      </c>
      <c r="J297" t="s">
        <v>1512</v>
      </c>
      <c r="N297" t="s">
        <v>644</v>
      </c>
      <c r="O297" t="s">
        <v>1407</v>
      </c>
      <c r="P297">
        <v>1</v>
      </c>
      <c r="R297">
        <v>6</v>
      </c>
      <c r="S297">
        <v>0</v>
      </c>
      <c r="U297" t="s">
        <v>650</v>
      </c>
      <c r="V297">
        <v>3</v>
      </c>
      <c r="W297" s="232">
        <v>36892</v>
      </c>
      <c r="X297" s="232">
        <v>36525</v>
      </c>
      <c r="Y297">
        <v>0</v>
      </c>
      <c r="Z297">
        <v>1</v>
      </c>
    </row>
    <row r="298" spans="1:26" x14ac:dyDescent="0.25">
      <c r="A298">
        <v>10290</v>
      </c>
      <c r="B298" t="s">
        <v>1513</v>
      </c>
      <c r="C298" t="s">
        <v>1514</v>
      </c>
      <c r="G298" t="s">
        <v>644</v>
      </c>
      <c r="H298" t="s">
        <v>1515</v>
      </c>
      <c r="I298">
        <v>1</v>
      </c>
      <c r="J298" t="s">
        <v>1514</v>
      </c>
      <c r="N298" t="s">
        <v>644</v>
      </c>
      <c r="O298" t="s">
        <v>1515</v>
      </c>
      <c r="P298">
        <v>1</v>
      </c>
      <c r="R298">
        <v>4</v>
      </c>
      <c r="S298">
        <v>0</v>
      </c>
      <c r="U298" t="s">
        <v>650</v>
      </c>
      <c r="V298">
        <v>3</v>
      </c>
      <c r="W298" s="232">
        <v>36892</v>
      </c>
      <c r="X298" s="232">
        <v>36525</v>
      </c>
      <c r="Y298">
        <v>1</v>
      </c>
      <c r="Z298">
        <v>1</v>
      </c>
    </row>
    <row r="299" spans="1:26" x14ac:dyDescent="0.25">
      <c r="A299">
        <v>10411</v>
      </c>
      <c r="B299" t="s">
        <v>1516</v>
      </c>
      <c r="C299" t="s">
        <v>1517</v>
      </c>
      <c r="G299" t="s">
        <v>644</v>
      </c>
      <c r="H299" t="s">
        <v>1467</v>
      </c>
      <c r="I299">
        <v>1</v>
      </c>
      <c r="J299" t="s">
        <v>1517</v>
      </c>
      <c r="N299" t="s">
        <v>644</v>
      </c>
      <c r="O299" t="s">
        <v>1467</v>
      </c>
      <c r="P299">
        <v>1</v>
      </c>
      <c r="R299">
        <v>4</v>
      </c>
      <c r="S299">
        <v>29747</v>
      </c>
      <c r="T299" t="s">
        <v>660</v>
      </c>
      <c r="U299" t="s">
        <v>1518</v>
      </c>
      <c r="V299">
        <v>3</v>
      </c>
      <c r="W299" s="232">
        <v>36892</v>
      </c>
      <c r="X299" s="232">
        <v>36525</v>
      </c>
      <c r="Y299">
        <v>1</v>
      </c>
      <c r="Z299">
        <v>1</v>
      </c>
    </row>
    <row r="300" spans="1:26" x14ac:dyDescent="0.25">
      <c r="A300">
        <v>10568</v>
      </c>
      <c r="B300" t="s">
        <v>1519</v>
      </c>
      <c r="C300" t="s">
        <v>1520</v>
      </c>
      <c r="G300" t="s">
        <v>644</v>
      </c>
      <c r="H300" t="s">
        <v>1467</v>
      </c>
      <c r="I300">
        <v>1</v>
      </c>
      <c r="J300" t="s">
        <v>1520</v>
      </c>
      <c r="N300" t="s">
        <v>644</v>
      </c>
      <c r="O300" t="s">
        <v>1467</v>
      </c>
      <c r="P300">
        <v>1</v>
      </c>
      <c r="R300">
        <v>4</v>
      </c>
      <c r="S300">
        <v>29747</v>
      </c>
      <c r="T300" t="s">
        <v>660</v>
      </c>
      <c r="U300" t="s">
        <v>1521</v>
      </c>
      <c r="V300">
        <v>3</v>
      </c>
      <c r="W300" s="232">
        <v>36892</v>
      </c>
      <c r="X300" s="232">
        <v>36525</v>
      </c>
      <c r="Y300">
        <v>0</v>
      </c>
      <c r="Z300">
        <v>1</v>
      </c>
    </row>
    <row r="301" spans="1:26" x14ac:dyDescent="0.25">
      <c r="A301">
        <v>4011</v>
      </c>
      <c r="B301" t="s">
        <v>1522</v>
      </c>
      <c r="C301" t="s">
        <v>1523</v>
      </c>
      <c r="G301" t="s">
        <v>644</v>
      </c>
      <c r="H301" t="s">
        <v>879</v>
      </c>
      <c r="I301">
        <v>1</v>
      </c>
      <c r="J301" t="s">
        <v>1523</v>
      </c>
      <c r="N301" t="s">
        <v>644</v>
      </c>
      <c r="O301" t="s">
        <v>879</v>
      </c>
      <c r="P301">
        <v>1</v>
      </c>
      <c r="R301">
        <v>10</v>
      </c>
      <c r="S301">
        <v>29747</v>
      </c>
      <c r="T301" t="s">
        <v>660</v>
      </c>
      <c r="U301" t="s">
        <v>1524</v>
      </c>
      <c r="V301">
        <v>3</v>
      </c>
      <c r="W301" s="232">
        <v>36892</v>
      </c>
      <c r="X301" s="232">
        <v>36525</v>
      </c>
      <c r="Y301">
        <v>1</v>
      </c>
      <c r="Z301">
        <v>1</v>
      </c>
    </row>
    <row r="302" spans="1:26" x14ac:dyDescent="0.25">
      <c r="A302">
        <v>10420</v>
      </c>
      <c r="B302" t="s">
        <v>1525</v>
      </c>
      <c r="C302" t="s">
        <v>1526</v>
      </c>
      <c r="G302" t="s">
        <v>1527</v>
      </c>
      <c r="H302" t="s">
        <v>1528</v>
      </c>
      <c r="I302">
        <v>1</v>
      </c>
      <c r="J302" t="s">
        <v>1526</v>
      </c>
      <c r="N302" t="s">
        <v>1527</v>
      </c>
      <c r="O302" t="s">
        <v>1528</v>
      </c>
      <c r="P302">
        <v>1</v>
      </c>
      <c r="R302">
        <v>2</v>
      </c>
      <c r="S302">
        <v>0</v>
      </c>
      <c r="U302" t="s">
        <v>650</v>
      </c>
      <c r="V302">
        <v>3</v>
      </c>
      <c r="W302" s="232">
        <v>36892</v>
      </c>
      <c r="X302" s="232">
        <v>36525</v>
      </c>
      <c r="Y302">
        <v>1</v>
      </c>
      <c r="Z302">
        <v>1</v>
      </c>
    </row>
    <row r="303" spans="1:26" x14ac:dyDescent="0.25">
      <c r="A303">
        <v>4088</v>
      </c>
      <c r="B303" t="s">
        <v>1529</v>
      </c>
      <c r="C303" t="s">
        <v>1530</v>
      </c>
      <c r="G303" t="s">
        <v>644</v>
      </c>
      <c r="H303" t="s">
        <v>929</v>
      </c>
      <c r="I303">
        <v>1</v>
      </c>
      <c r="J303" t="s">
        <v>1530</v>
      </c>
      <c r="N303" t="s">
        <v>644</v>
      </c>
      <c r="O303" t="s">
        <v>929</v>
      </c>
      <c r="P303">
        <v>1</v>
      </c>
      <c r="R303">
        <v>6</v>
      </c>
      <c r="S303">
        <v>0</v>
      </c>
      <c r="U303" t="s">
        <v>650</v>
      </c>
      <c r="V303">
        <v>3</v>
      </c>
      <c r="W303" s="232">
        <v>36892</v>
      </c>
      <c r="X303" s="232">
        <v>36525</v>
      </c>
      <c r="Y303">
        <v>0</v>
      </c>
      <c r="Z303">
        <v>1</v>
      </c>
    </row>
    <row r="304" spans="1:26" x14ac:dyDescent="0.25">
      <c r="A304">
        <v>10321</v>
      </c>
      <c r="B304" t="s">
        <v>1531</v>
      </c>
      <c r="C304" t="s">
        <v>1532</v>
      </c>
      <c r="G304" t="s">
        <v>644</v>
      </c>
      <c r="H304" t="s">
        <v>798</v>
      </c>
      <c r="I304">
        <v>1</v>
      </c>
      <c r="J304" t="s">
        <v>1532</v>
      </c>
      <c r="N304" t="s">
        <v>644</v>
      </c>
      <c r="O304" t="s">
        <v>798</v>
      </c>
      <c r="P304">
        <v>1</v>
      </c>
      <c r="R304">
        <v>4</v>
      </c>
      <c r="S304">
        <v>0</v>
      </c>
      <c r="U304" t="s">
        <v>650</v>
      </c>
      <c r="V304">
        <v>3</v>
      </c>
      <c r="W304" s="232">
        <v>36892</v>
      </c>
      <c r="X304" s="232">
        <v>36525</v>
      </c>
      <c r="Y304">
        <v>0</v>
      </c>
      <c r="Z304">
        <v>1</v>
      </c>
    </row>
    <row r="305" spans="1:26" x14ac:dyDescent="0.25">
      <c r="A305">
        <v>10547</v>
      </c>
      <c r="B305" t="s">
        <v>1533</v>
      </c>
      <c r="C305" t="s">
        <v>1534</v>
      </c>
      <c r="G305" t="s">
        <v>644</v>
      </c>
      <c r="H305" t="s">
        <v>1535</v>
      </c>
      <c r="I305">
        <v>1</v>
      </c>
      <c r="J305" t="s">
        <v>1534</v>
      </c>
      <c r="N305" t="s">
        <v>644</v>
      </c>
      <c r="O305" t="s">
        <v>1535</v>
      </c>
      <c r="P305">
        <v>1</v>
      </c>
      <c r="R305">
        <v>4</v>
      </c>
      <c r="S305">
        <v>29747</v>
      </c>
      <c r="T305" t="s">
        <v>660</v>
      </c>
      <c r="U305" t="s">
        <v>1536</v>
      </c>
      <c r="V305">
        <v>3</v>
      </c>
      <c r="W305" s="232">
        <v>36892</v>
      </c>
      <c r="X305" s="232">
        <v>36525</v>
      </c>
      <c r="Y305">
        <v>0</v>
      </c>
      <c r="Z305">
        <v>1</v>
      </c>
    </row>
    <row r="306" spans="1:26" x14ac:dyDescent="0.25">
      <c r="A306">
        <v>4166</v>
      </c>
      <c r="B306" t="s">
        <v>1537</v>
      </c>
      <c r="C306" t="s">
        <v>1538</v>
      </c>
      <c r="G306" t="s">
        <v>1539</v>
      </c>
      <c r="H306" t="s">
        <v>1540</v>
      </c>
      <c r="I306">
        <v>1</v>
      </c>
      <c r="J306" t="s">
        <v>1538</v>
      </c>
      <c r="N306" t="s">
        <v>1539</v>
      </c>
      <c r="O306" t="s">
        <v>1540</v>
      </c>
      <c r="P306">
        <v>1</v>
      </c>
      <c r="R306">
        <v>8</v>
      </c>
      <c r="S306">
        <v>0</v>
      </c>
      <c r="U306" t="s">
        <v>650</v>
      </c>
      <c r="V306">
        <v>3</v>
      </c>
      <c r="W306" s="232">
        <v>36892</v>
      </c>
      <c r="X306" s="232">
        <v>36525</v>
      </c>
      <c r="Y306">
        <v>1</v>
      </c>
      <c r="Z306">
        <v>1</v>
      </c>
    </row>
    <row r="307" spans="1:26" x14ac:dyDescent="0.25">
      <c r="A307">
        <v>10399</v>
      </c>
      <c r="B307" t="s">
        <v>1541</v>
      </c>
      <c r="C307" t="s">
        <v>1542</v>
      </c>
      <c r="G307" t="s">
        <v>644</v>
      </c>
      <c r="H307" t="s">
        <v>1195</v>
      </c>
      <c r="I307">
        <v>1</v>
      </c>
      <c r="J307" t="s">
        <v>1542</v>
      </c>
      <c r="N307" t="s">
        <v>644</v>
      </c>
      <c r="O307" t="s">
        <v>1195</v>
      </c>
      <c r="P307">
        <v>1</v>
      </c>
      <c r="R307">
        <v>6</v>
      </c>
      <c r="S307">
        <v>29747</v>
      </c>
      <c r="T307" t="s">
        <v>660</v>
      </c>
      <c r="U307" t="s">
        <v>1543</v>
      </c>
      <c r="V307">
        <v>3</v>
      </c>
      <c r="W307" s="232">
        <v>36892</v>
      </c>
      <c r="X307" s="232">
        <v>36525</v>
      </c>
      <c r="Y307">
        <v>0</v>
      </c>
      <c r="Z307">
        <v>1</v>
      </c>
    </row>
    <row r="308" spans="1:26" x14ac:dyDescent="0.25">
      <c r="A308">
        <v>9061</v>
      </c>
      <c r="B308" t="s">
        <v>1544</v>
      </c>
      <c r="C308" t="s">
        <v>1545</v>
      </c>
      <c r="G308" t="s">
        <v>644</v>
      </c>
      <c r="H308" t="s">
        <v>1278</v>
      </c>
      <c r="I308">
        <v>1</v>
      </c>
      <c r="J308" t="s">
        <v>1545</v>
      </c>
      <c r="N308" t="s">
        <v>644</v>
      </c>
      <c r="O308" t="s">
        <v>1278</v>
      </c>
      <c r="P308">
        <v>1</v>
      </c>
      <c r="R308">
        <v>1</v>
      </c>
      <c r="S308">
        <v>29747</v>
      </c>
      <c r="T308" t="s">
        <v>660</v>
      </c>
      <c r="U308" t="s">
        <v>1546</v>
      </c>
      <c r="V308">
        <v>3</v>
      </c>
      <c r="W308" s="232">
        <v>36892</v>
      </c>
      <c r="X308" s="232">
        <v>36525</v>
      </c>
      <c r="Y308">
        <v>0</v>
      </c>
      <c r="Z308">
        <v>1</v>
      </c>
    </row>
    <row r="309" spans="1:26" x14ac:dyDescent="0.25">
      <c r="A309">
        <v>30147</v>
      </c>
      <c r="B309" t="s">
        <v>1547</v>
      </c>
      <c r="I309">
        <v>1</v>
      </c>
      <c r="P309">
        <v>1</v>
      </c>
      <c r="R309">
        <v>2</v>
      </c>
      <c r="S309">
        <v>29747</v>
      </c>
      <c r="T309" t="s">
        <v>660</v>
      </c>
      <c r="U309" t="s">
        <v>1548</v>
      </c>
      <c r="V309">
        <v>3</v>
      </c>
      <c r="W309" s="232">
        <v>36892</v>
      </c>
      <c r="X309" s="232">
        <v>36525</v>
      </c>
      <c r="Y309">
        <v>0</v>
      </c>
      <c r="Z309">
        <v>1</v>
      </c>
    </row>
    <row r="310" spans="1:26" x14ac:dyDescent="0.25">
      <c r="A310">
        <v>30201</v>
      </c>
      <c r="B310" t="s">
        <v>1549</v>
      </c>
      <c r="C310" t="s">
        <v>1550</v>
      </c>
      <c r="G310" t="s">
        <v>644</v>
      </c>
      <c r="H310" t="s">
        <v>1551</v>
      </c>
      <c r="I310">
        <v>1</v>
      </c>
      <c r="J310" t="s">
        <v>1550</v>
      </c>
      <c r="N310" t="s">
        <v>644</v>
      </c>
      <c r="O310" t="s">
        <v>1551</v>
      </c>
      <c r="P310">
        <v>1</v>
      </c>
      <c r="R310">
        <v>1</v>
      </c>
      <c r="S310">
        <v>1001376</v>
      </c>
      <c r="T310" t="s">
        <v>1552</v>
      </c>
      <c r="U310" t="s">
        <v>1553</v>
      </c>
      <c r="V310">
        <v>1</v>
      </c>
      <c r="W310" s="232">
        <v>36892</v>
      </c>
      <c r="X310" s="232">
        <v>36525</v>
      </c>
      <c r="Y310">
        <v>0</v>
      </c>
      <c r="Z310">
        <v>1</v>
      </c>
    </row>
    <row r="311" spans="1:26" x14ac:dyDescent="0.25">
      <c r="A311">
        <v>10435</v>
      </c>
      <c r="B311" t="s">
        <v>1554</v>
      </c>
      <c r="C311" t="s">
        <v>1555</v>
      </c>
      <c r="G311" t="s">
        <v>644</v>
      </c>
      <c r="H311" t="s">
        <v>816</v>
      </c>
      <c r="I311">
        <v>1</v>
      </c>
      <c r="J311" t="s">
        <v>1555</v>
      </c>
      <c r="N311" t="s">
        <v>644</v>
      </c>
      <c r="O311" t="s">
        <v>816</v>
      </c>
      <c r="P311">
        <v>1</v>
      </c>
      <c r="R311">
        <v>4</v>
      </c>
      <c r="S311">
        <v>0</v>
      </c>
      <c r="U311" t="s">
        <v>650</v>
      </c>
      <c r="V311">
        <v>3</v>
      </c>
      <c r="W311" s="232">
        <v>36892</v>
      </c>
      <c r="X311" s="232">
        <v>36525</v>
      </c>
      <c r="Y311">
        <v>1</v>
      </c>
      <c r="Z311">
        <v>1</v>
      </c>
    </row>
    <row r="312" spans="1:26" x14ac:dyDescent="0.25">
      <c r="A312">
        <v>4487</v>
      </c>
      <c r="B312" t="s">
        <v>1556</v>
      </c>
      <c r="C312" t="s">
        <v>1557</v>
      </c>
      <c r="G312" t="s">
        <v>644</v>
      </c>
      <c r="H312" t="s">
        <v>868</v>
      </c>
      <c r="I312">
        <v>1</v>
      </c>
      <c r="J312" t="s">
        <v>1557</v>
      </c>
      <c r="N312" t="s">
        <v>644</v>
      </c>
      <c r="O312" t="s">
        <v>868</v>
      </c>
      <c r="P312">
        <v>1</v>
      </c>
      <c r="R312">
        <v>4</v>
      </c>
      <c r="S312">
        <v>0</v>
      </c>
      <c r="U312" t="s">
        <v>650</v>
      </c>
      <c r="V312">
        <v>3</v>
      </c>
      <c r="W312" s="232">
        <v>36892</v>
      </c>
      <c r="X312" s="232">
        <v>36525</v>
      </c>
      <c r="Y312">
        <v>0</v>
      </c>
      <c r="Z312">
        <v>1</v>
      </c>
    </row>
    <row r="313" spans="1:26" x14ac:dyDescent="0.25">
      <c r="A313">
        <v>10276</v>
      </c>
      <c r="B313" t="s">
        <v>1558</v>
      </c>
      <c r="C313" t="s">
        <v>1559</v>
      </c>
      <c r="G313" t="s">
        <v>644</v>
      </c>
      <c r="H313" t="s">
        <v>1464</v>
      </c>
      <c r="I313">
        <v>1</v>
      </c>
      <c r="J313" t="s">
        <v>1559</v>
      </c>
      <c r="N313" t="s">
        <v>644</v>
      </c>
      <c r="O313" t="s">
        <v>1464</v>
      </c>
      <c r="P313">
        <v>1</v>
      </c>
      <c r="R313">
        <v>8</v>
      </c>
      <c r="S313">
        <v>0</v>
      </c>
      <c r="U313" t="s">
        <v>650</v>
      </c>
      <c r="V313">
        <v>3</v>
      </c>
      <c r="W313" s="232">
        <v>36892</v>
      </c>
      <c r="X313" s="232">
        <v>36525</v>
      </c>
      <c r="Y313">
        <v>0</v>
      </c>
      <c r="Z313">
        <v>1</v>
      </c>
    </row>
    <row r="314" spans="1:26" x14ac:dyDescent="0.25">
      <c r="A314">
        <v>10459</v>
      </c>
      <c r="B314" t="s">
        <v>1560</v>
      </c>
      <c r="C314" t="s">
        <v>1561</v>
      </c>
      <c r="G314" t="s">
        <v>644</v>
      </c>
      <c r="H314" t="s">
        <v>1122</v>
      </c>
      <c r="I314">
        <v>1</v>
      </c>
      <c r="J314" t="s">
        <v>1561</v>
      </c>
      <c r="N314" t="s">
        <v>644</v>
      </c>
      <c r="O314" t="s">
        <v>1122</v>
      </c>
      <c r="P314">
        <v>1</v>
      </c>
      <c r="R314">
        <v>6</v>
      </c>
      <c r="S314">
        <v>0</v>
      </c>
      <c r="U314" t="s">
        <v>1562</v>
      </c>
      <c r="V314">
        <v>3</v>
      </c>
      <c r="W314" s="232">
        <v>36892</v>
      </c>
      <c r="X314" s="232">
        <v>36525</v>
      </c>
      <c r="Y314">
        <v>0</v>
      </c>
      <c r="Z314">
        <v>1</v>
      </c>
    </row>
    <row r="315" spans="1:26" x14ac:dyDescent="0.25">
      <c r="A315">
        <v>4458</v>
      </c>
      <c r="B315" t="s">
        <v>1563</v>
      </c>
      <c r="C315" t="s">
        <v>1564</v>
      </c>
      <c r="G315" t="s">
        <v>644</v>
      </c>
      <c r="H315" t="s">
        <v>1565</v>
      </c>
      <c r="I315">
        <v>1</v>
      </c>
      <c r="J315" t="s">
        <v>1564</v>
      </c>
      <c r="N315" t="s">
        <v>644</v>
      </c>
      <c r="O315" t="s">
        <v>1565</v>
      </c>
      <c r="P315">
        <v>1</v>
      </c>
      <c r="R315">
        <v>10</v>
      </c>
      <c r="S315">
        <v>0</v>
      </c>
      <c r="U315" t="s">
        <v>1566</v>
      </c>
      <c r="V315">
        <v>3</v>
      </c>
      <c r="W315" s="232">
        <v>36892</v>
      </c>
      <c r="X315" s="232">
        <v>36525</v>
      </c>
      <c r="Y315">
        <v>0</v>
      </c>
      <c r="Z315">
        <v>1</v>
      </c>
    </row>
    <row r="316" spans="1:26" x14ac:dyDescent="0.25">
      <c r="A316">
        <v>4208</v>
      </c>
      <c r="B316" t="s">
        <v>1567</v>
      </c>
      <c r="C316" t="s">
        <v>1568</v>
      </c>
      <c r="G316" t="s">
        <v>644</v>
      </c>
      <c r="H316" t="s">
        <v>1569</v>
      </c>
      <c r="I316">
        <v>1</v>
      </c>
      <c r="J316" t="s">
        <v>1568</v>
      </c>
      <c r="N316" t="s">
        <v>644</v>
      </c>
      <c r="O316" t="s">
        <v>1569</v>
      </c>
      <c r="P316">
        <v>1</v>
      </c>
      <c r="R316">
        <v>11</v>
      </c>
      <c r="S316">
        <v>0</v>
      </c>
      <c r="U316" t="s">
        <v>1570</v>
      </c>
      <c r="V316">
        <v>3</v>
      </c>
      <c r="W316" s="232">
        <v>36892</v>
      </c>
      <c r="X316" s="232">
        <v>36525</v>
      </c>
      <c r="Y316">
        <v>0</v>
      </c>
      <c r="Z316">
        <v>1</v>
      </c>
    </row>
    <row r="317" spans="1:26" x14ac:dyDescent="0.25">
      <c r="A317">
        <v>10481</v>
      </c>
      <c r="B317" t="s">
        <v>1571</v>
      </c>
      <c r="C317" t="s">
        <v>1572</v>
      </c>
      <c r="G317" t="s">
        <v>644</v>
      </c>
      <c r="H317" t="s">
        <v>966</v>
      </c>
      <c r="I317">
        <v>1</v>
      </c>
      <c r="J317" t="s">
        <v>1572</v>
      </c>
      <c r="N317" t="s">
        <v>644</v>
      </c>
      <c r="O317" t="s">
        <v>966</v>
      </c>
      <c r="P317">
        <v>1</v>
      </c>
      <c r="R317">
        <v>3</v>
      </c>
      <c r="S317">
        <v>0</v>
      </c>
      <c r="U317" t="s">
        <v>650</v>
      </c>
      <c r="V317">
        <v>3</v>
      </c>
      <c r="W317" s="232">
        <v>36892</v>
      </c>
      <c r="X317" s="232">
        <v>36525</v>
      </c>
      <c r="Y317">
        <v>0</v>
      </c>
      <c r="Z317">
        <v>1</v>
      </c>
    </row>
    <row r="318" spans="1:26" x14ac:dyDescent="0.25">
      <c r="A318">
        <v>10429</v>
      </c>
      <c r="B318" t="s">
        <v>1573</v>
      </c>
      <c r="C318" t="s">
        <v>1574</v>
      </c>
      <c r="G318" t="s">
        <v>644</v>
      </c>
      <c r="H318" t="s">
        <v>1029</v>
      </c>
      <c r="I318">
        <v>1</v>
      </c>
      <c r="J318" t="s">
        <v>1574</v>
      </c>
      <c r="N318" t="s">
        <v>644</v>
      </c>
      <c r="O318" t="s">
        <v>1029</v>
      </c>
      <c r="P318">
        <v>1</v>
      </c>
      <c r="R318">
        <v>3</v>
      </c>
      <c r="S318">
        <v>0</v>
      </c>
      <c r="U318" t="s">
        <v>650</v>
      </c>
      <c r="V318">
        <v>3</v>
      </c>
      <c r="W318" s="232">
        <v>36892</v>
      </c>
      <c r="X318" s="232">
        <v>36525</v>
      </c>
      <c r="Y318">
        <v>0</v>
      </c>
      <c r="Z318">
        <v>1</v>
      </c>
    </row>
    <row r="319" spans="1:26" x14ac:dyDescent="0.25">
      <c r="A319">
        <v>1875</v>
      </c>
      <c r="B319" t="s">
        <v>1575</v>
      </c>
      <c r="C319" t="s">
        <v>1576</v>
      </c>
      <c r="G319" t="s">
        <v>644</v>
      </c>
      <c r="H319" t="s">
        <v>1577</v>
      </c>
      <c r="I319">
        <v>1</v>
      </c>
      <c r="J319" t="s">
        <v>1576</v>
      </c>
      <c r="N319" t="s">
        <v>644</v>
      </c>
      <c r="O319" t="s">
        <v>1577</v>
      </c>
      <c r="P319">
        <v>1</v>
      </c>
      <c r="R319">
        <v>9</v>
      </c>
      <c r="S319">
        <v>0</v>
      </c>
      <c r="U319" t="s">
        <v>1578</v>
      </c>
      <c r="V319">
        <v>3</v>
      </c>
      <c r="W319" s="232">
        <v>36892</v>
      </c>
      <c r="X319" s="232">
        <v>36525</v>
      </c>
      <c r="Y319">
        <v>0</v>
      </c>
      <c r="Z319">
        <v>1</v>
      </c>
    </row>
    <row r="320" spans="1:26" x14ac:dyDescent="0.25">
      <c r="A320">
        <v>30185</v>
      </c>
      <c r="B320" t="s">
        <v>1579</v>
      </c>
      <c r="C320" t="s">
        <v>1580</v>
      </c>
      <c r="G320" t="s">
        <v>644</v>
      </c>
      <c r="H320" t="s">
        <v>691</v>
      </c>
      <c r="I320">
        <v>1</v>
      </c>
      <c r="J320" t="s">
        <v>1580</v>
      </c>
      <c r="N320" t="s">
        <v>644</v>
      </c>
      <c r="O320" t="s">
        <v>691</v>
      </c>
      <c r="P320">
        <v>1</v>
      </c>
      <c r="R320">
        <v>3</v>
      </c>
      <c r="S320">
        <v>29747</v>
      </c>
      <c r="T320" t="s">
        <v>660</v>
      </c>
      <c r="U320" t="s">
        <v>1581</v>
      </c>
      <c r="V320">
        <v>3</v>
      </c>
      <c r="W320" s="232">
        <v>36892</v>
      </c>
      <c r="X320" s="232">
        <v>36525</v>
      </c>
      <c r="Y320">
        <v>0</v>
      </c>
      <c r="Z320">
        <v>1</v>
      </c>
    </row>
    <row r="321" spans="1:26" x14ac:dyDescent="0.25">
      <c r="A321">
        <v>10432</v>
      </c>
      <c r="B321" t="s">
        <v>1582</v>
      </c>
      <c r="C321" t="s">
        <v>1583</v>
      </c>
      <c r="G321" t="s">
        <v>644</v>
      </c>
      <c r="H321" t="s">
        <v>659</v>
      </c>
      <c r="I321">
        <v>1</v>
      </c>
      <c r="J321" t="s">
        <v>1583</v>
      </c>
      <c r="N321" t="s">
        <v>644</v>
      </c>
      <c r="O321" t="s">
        <v>659</v>
      </c>
      <c r="P321">
        <v>1</v>
      </c>
      <c r="R321">
        <v>5</v>
      </c>
      <c r="S321">
        <v>0</v>
      </c>
      <c r="U321" t="s">
        <v>1584</v>
      </c>
      <c r="V321">
        <v>3</v>
      </c>
      <c r="W321" s="232">
        <v>36892</v>
      </c>
      <c r="X321" s="232">
        <v>36525</v>
      </c>
      <c r="Y321">
        <v>1</v>
      </c>
      <c r="Z321">
        <v>1</v>
      </c>
    </row>
    <row r="322" spans="1:26" x14ac:dyDescent="0.25">
      <c r="A322">
        <v>4414</v>
      </c>
      <c r="B322" t="s">
        <v>1585</v>
      </c>
      <c r="C322" t="s">
        <v>1586</v>
      </c>
      <c r="G322" t="s">
        <v>644</v>
      </c>
      <c r="H322" t="s">
        <v>1464</v>
      </c>
      <c r="I322">
        <v>1</v>
      </c>
      <c r="J322" t="s">
        <v>1586</v>
      </c>
      <c r="N322" t="s">
        <v>644</v>
      </c>
      <c r="O322" t="s">
        <v>1464</v>
      </c>
      <c r="P322">
        <v>1</v>
      </c>
      <c r="R322">
        <v>5</v>
      </c>
      <c r="S322">
        <v>0</v>
      </c>
      <c r="U322" t="s">
        <v>650</v>
      </c>
      <c r="V322">
        <v>3</v>
      </c>
      <c r="W322" s="232">
        <v>36892</v>
      </c>
      <c r="X322" s="232">
        <v>36525</v>
      </c>
      <c r="Y322">
        <v>1</v>
      </c>
      <c r="Z322">
        <v>1</v>
      </c>
    </row>
    <row r="323" spans="1:26" x14ac:dyDescent="0.25">
      <c r="A323">
        <v>4439</v>
      </c>
      <c r="B323" t="s">
        <v>1587</v>
      </c>
      <c r="C323" t="s">
        <v>1588</v>
      </c>
      <c r="G323" t="s">
        <v>644</v>
      </c>
      <c r="H323" t="s">
        <v>1510</v>
      </c>
      <c r="I323">
        <v>1</v>
      </c>
      <c r="J323" t="s">
        <v>1588</v>
      </c>
      <c r="N323" t="s">
        <v>644</v>
      </c>
      <c r="O323" t="s">
        <v>1510</v>
      </c>
      <c r="P323">
        <v>1</v>
      </c>
      <c r="R323">
        <v>9</v>
      </c>
      <c r="S323">
        <v>0</v>
      </c>
      <c r="U323" t="s">
        <v>650</v>
      </c>
      <c r="V323">
        <v>3</v>
      </c>
      <c r="W323" s="232">
        <v>36892</v>
      </c>
      <c r="X323" s="232">
        <v>36525</v>
      </c>
      <c r="Y323">
        <v>0</v>
      </c>
      <c r="Z323">
        <v>1</v>
      </c>
    </row>
    <row r="324" spans="1:26" x14ac:dyDescent="0.25">
      <c r="A324">
        <v>10456</v>
      </c>
      <c r="B324" t="s">
        <v>1589</v>
      </c>
      <c r="C324" t="s">
        <v>1590</v>
      </c>
      <c r="G324" t="s">
        <v>644</v>
      </c>
      <c r="H324" t="s">
        <v>1029</v>
      </c>
      <c r="I324">
        <v>1</v>
      </c>
      <c r="J324" t="s">
        <v>1590</v>
      </c>
      <c r="N324" t="s">
        <v>644</v>
      </c>
      <c r="O324" t="s">
        <v>1029</v>
      </c>
      <c r="P324">
        <v>1</v>
      </c>
      <c r="R324">
        <v>3</v>
      </c>
      <c r="S324">
        <v>0</v>
      </c>
      <c r="U324" t="s">
        <v>650</v>
      </c>
      <c r="V324">
        <v>3</v>
      </c>
      <c r="W324" s="232">
        <v>36892</v>
      </c>
      <c r="X324" s="232">
        <v>36525</v>
      </c>
      <c r="Y324">
        <v>1</v>
      </c>
      <c r="Z324">
        <v>1</v>
      </c>
    </row>
    <row r="325" spans="1:26" x14ac:dyDescent="0.25">
      <c r="A325">
        <v>4244</v>
      </c>
      <c r="B325" t="s">
        <v>1591</v>
      </c>
      <c r="C325" t="s">
        <v>1592</v>
      </c>
      <c r="G325" t="s">
        <v>644</v>
      </c>
      <c r="H325" t="s">
        <v>798</v>
      </c>
      <c r="I325">
        <v>1</v>
      </c>
      <c r="J325" t="s">
        <v>1592</v>
      </c>
      <c r="N325" t="s">
        <v>644</v>
      </c>
      <c r="O325" t="s">
        <v>798</v>
      </c>
      <c r="P325">
        <v>1</v>
      </c>
      <c r="R325">
        <v>4</v>
      </c>
      <c r="S325">
        <v>0</v>
      </c>
      <c r="U325" t="s">
        <v>650</v>
      </c>
      <c r="V325">
        <v>3</v>
      </c>
      <c r="W325" s="232">
        <v>36892</v>
      </c>
      <c r="X325" s="232">
        <v>36525</v>
      </c>
      <c r="Y325">
        <v>1</v>
      </c>
      <c r="Z325">
        <v>1</v>
      </c>
    </row>
    <row r="326" spans="1:26" x14ac:dyDescent="0.25">
      <c r="A326">
        <v>10308</v>
      </c>
      <c r="B326" t="s">
        <v>1593</v>
      </c>
      <c r="C326" t="s">
        <v>1594</v>
      </c>
      <c r="G326" t="s">
        <v>644</v>
      </c>
      <c r="H326" t="s">
        <v>1000</v>
      </c>
      <c r="I326">
        <v>1</v>
      </c>
      <c r="J326" t="s">
        <v>1594</v>
      </c>
      <c r="N326" t="s">
        <v>644</v>
      </c>
      <c r="O326" t="s">
        <v>1000</v>
      </c>
      <c r="P326">
        <v>1</v>
      </c>
      <c r="R326">
        <v>4</v>
      </c>
      <c r="S326">
        <v>0</v>
      </c>
      <c r="U326" t="s">
        <v>650</v>
      </c>
      <c r="V326">
        <v>3</v>
      </c>
      <c r="W326" s="232">
        <v>36892</v>
      </c>
      <c r="X326" s="232">
        <v>36525</v>
      </c>
      <c r="Y326">
        <v>0</v>
      </c>
      <c r="Z326">
        <v>1</v>
      </c>
    </row>
    <row r="327" spans="1:26" x14ac:dyDescent="0.25">
      <c r="A327">
        <v>4429</v>
      </c>
      <c r="B327" t="s">
        <v>1595</v>
      </c>
      <c r="C327" t="s">
        <v>1596</v>
      </c>
      <c r="G327" t="s">
        <v>981</v>
      </c>
      <c r="H327" t="s">
        <v>1597</v>
      </c>
      <c r="I327">
        <v>1</v>
      </c>
      <c r="J327" t="s">
        <v>1596</v>
      </c>
      <c r="N327" t="s">
        <v>981</v>
      </c>
      <c r="O327" t="s">
        <v>1597</v>
      </c>
      <c r="P327">
        <v>1</v>
      </c>
      <c r="Q327">
        <v>1285</v>
      </c>
      <c r="R327">
        <v>5</v>
      </c>
      <c r="S327">
        <v>0</v>
      </c>
      <c r="U327" t="s">
        <v>650</v>
      </c>
      <c r="V327">
        <v>3</v>
      </c>
      <c r="W327" s="232">
        <v>36892</v>
      </c>
      <c r="X327" s="232">
        <v>36525</v>
      </c>
      <c r="Y327">
        <v>0</v>
      </c>
      <c r="Z327">
        <v>1</v>
      </c>
    </row>
    <row r="328" spans="1:26" x14ac:dyDescent="0.25">
      <c r="A328">
        <v>4390</v>
      </c>
      <c r="B328" t="s">
        <v>1598</v>
      </c>
      <c r="C328" t="s">
        <v>1599</v>
      </c>
      <c r="G328" t="s">
        <v>644</v>
      </c>
      <c r="H328" t="s">
        <v>1600</v>
      </c>
      <c r="I328">
        <v>1</v>
      </c>
      <c r="J328" t="s">
        <v>1599</v>
      </c>
      <c r="N328" t="s">
        <v>644</v>
      </c>
      <c r="O328" t="s">
        <v>1600</v>
      </c>
      <c r="P328">
        <v>1</v>
      </c>
      <c r="R328">
        <v>4</v>
      </c>
      <c r="S328">
        <v>0</v>
      </c>
      <c r="U328" t="s">
        <v>650</v>
      </c>
      <c r="V328">
        <v>3</v>
      </c>
      <c r="W328" s="232">
        <v>36892</v>
      </c>
      <c r="X328" s="232">
        <v>36525</v>
      </c>
      <c r="Y328">
        <v>0</v>
      </c>
      <c r="Z328">
        <v>1</v>
      </c>
    </row>
    <row r="329" spans="1:26" x14ac:dyDescent="0.25">
      <c r="A329">
        <v>10366</v>
      </c>
      <c r="B329" t="s">
        <v>1601</v>
      </c>
      <c r="C329" t="s">
        <v>1602</v>
      </c>
      <c r="G329" t="s">
        <v>644</v>
      </c>
      <c r="H329" t="s">
        <v>1268</v>
      </c>
      <c r="I329">
        <v>1</v>
      </c>
      <c r="J329" t="s">
        <v>1602</v>
      </c>
      <c r="N329" t="s">
        <v>644</v>
      </c>
      <c r="O329" t="s">
        <v>1268</v>
      </c>
      <c r="P329">
        <v>1</v>
      </c>
      <c r="R329">
        <v>2</v>
      </c>
      <c r="S329">
        <v>0</v>
      </c>
      <c r="U329" t="s">
        <v>650</v>
      </c>
      <c r="V329">
        <v>3</v>
      </c>
      <c r="W329" s="232">
        <v>36892</v>
      </c>
      <c r="X329" s="232">
        <v>36525</v>
      </c>
      <c r="Y329">
        <v>1</v>
      </c>
      <c r="Z329">
        <v>1</v>
      </c>
    </row>
    <row r="330" spans="1:26" x14ac:dyDescent="0.25">
      <c r="A330">
        <v>30184</v>
      </c>
      <c r="B330" t="s">
        <v>1603</v>
      </c>
      <c r="C330" t="s">
        <v>1604</v>
      </c>
      <c r="G330" t="s">
        <v>213</v>
      </c>
      <c r="H330" t="s">
        <v>1605</v>
      </c>
      <c r="I330">
        <v>12</v>
      </c>
      <c r="J330" t="s">
        <v>1604</v>
      </c>
      <c r="N330" t="s">
        <v>213</v>
      </c>
      <c r="O330" t="s">
        <v>1605</v>
      </c>
      <c r="P330">
        <v>12</v>
      </c>
      <c r="R330">
        <v>3</v>
      </c>
      <c r="S330">
        <v>29747</v>
      </c>
      <c r="T330" t="s">
        <v>660</v>
      </c>
      <c r="U330" t="s">
        <v>1606</v>
      </c>
      <c r="V330">
        <v>3</v>
      </c>
      <c r="W330" s="232">
        <v>36892</v>
      </c>
      <c r="X330" s="232">
        <v>36525</v>
      </c>
      <c r="Y330">
        <v>0</v>
      </c>
      <c r="Z330">
        <v>1</v>
      </c>
    </row>
    <row r="331" spans="1:26" x14ac:dyDescent="0.25">
      <c r="A331">
        <v>4492</v>
      </c>
      <c r="B331" t="s">
        <v>1607</v>
      </c>
      <c r="C331" t="s">
        <v>1608</v>
      </c>
      <c r="G331" t="s">
        <v>644</v>
      </c>
      <c r="H331" t="s">
        <v>1609</v>
      </c>
      <c r="I331">
        <v>1</v>
      </c>
      <c r="J331" t="s">
        <v>1608</v>
      </c>
      <c r="N331" t="s">
        <v>644</v>
      </c>
      <c r="O331" t="s">
        <v>1609</v>
      </c>
      <c r="P331">
        <v>1</v>
      </c>
      <c r="R331">
        <v>6</v>
      </c>
      <c r="S331">
        <v>0</v>
      </c>
      <c r="U331" t="s">
        <v>650</v>
      </c>
      <c r="V331">
        <v>3</v>
      </c>
      <c r="W331" s="232">
        <v>36892</v>
      </c>
      <c r="X331" s="232">
        <v>36525</v>
      </c>
      <c r="Y331">
        <v>0</v>
      </c>
      <c r="Z331">
        <v>1</v>
      </c>
    </row>
    <row r="332" spans="1:26" x14ac:dyDescent="0.25">
      <c r="A332">
        <v>30212</v>
      </c>
      <c r="B332" t="s">
        <v>1610</v>
      </c>
      <c r="R332">
        <v>2</v>
      </c>
      <c r="S332">
        <v>29747</v>
      </c>
      <c r="T332" t="s">
        <v>660</v>
      </c>
      <c r="U332" t="s">
        <v>1611</v>
      </c>
      <c r="V332">
        <v>3</v>
      </c>
      <c r="W332" s="232">
        <v>36892</v>
      </c>
      <c r="X332" s="232">
        <v>36525</v>
      </c>
      <c r="Y332">
        <v>0</v>
      </c>
      <c r="Z332">
        <v>1</v>
      </c>
    </row>
    <row r="333" spans="1:26" x14ac:dyDescent="0.25">
      <c r="A333">
        <v>10455</v>
      </c>
      <c r="B333" t="s">
        <v>1612</v>
      </c>
      <c r="C333" t="s">
        <v>1613</v>
      </c>
      <c r="G333" t="s">
        <v>644</v>
      </c>
      <c r="H333" t="s">
        <v>1614</v>
      </c>
      <c r="I333">
        <v>1</v>
      </c>
      <c r="J333" t="s">
        <v>1613</v>
      </c>
      <c r="N333" t="s">
        <v>644</v>
      </c>
      <c r="O333" t="s">
        <v>1614</v>
      </c>
      <c r="P333">
        <v>1</v>
      </c>
      <c r="R333">
        <v>2</v>
      </c>
      <c r="S333">
        <v>1000342</v>
      </c>
      <c r="T333" t="s">
        <v>1552</v>
      </c>
      <c r="U333" t="s">
        <v>650</v>
      </c>
      <c r="V333">
        <v>3</v>
      </c>
      <c r="W333" s="232">
        <v>36892</v>
      </c>
      <c r="X333" s="232">
        <v>36525</v>
      </c>
      <c r="Y333">
        <v>0</v>
      </c>
      <c r="Z333">
        <v>1</v>
      </c>
    </row>
    <row r="334" spans="1:26" x14ac:dyDescent="0.25">
      <c r="A334">
        <v>30221</v>
      </c>
      <c r="B334" t="s">
        <v>1615</v>
      </c>
      <c r="C334" t="s">
        <v>1616</v>
      </c>
      <c r="G334" t="s">
        <v>644</v>
      </c>
      <c r="H334" t="s">
        <v>659</v>
      </c>
      <c r="I334">
        <v>1</v>
      </c>
      <c r="J334" t="s">
        <v>1616</v>
      </c>
      <c r="N334" t="s">
        <v>644</v>
      </c>
      <c r="O334" t="s">
        <v>659</v>
      </c>
      <c r="P334">
        <v>1</v>
      </c>
      <c r="R334">
        <v>2</v>
      </c>
      <c r="S334">
        <v>29747</v>
      </c>
      <c r="T334" t="s">
        <v>660</v>
      </c>
      <c r="U334" t="s">
        <v>1617</v>
      </c>
      <c r="V334">
        <v>3</v>
      </c>
      <c r="W334" s="232">
        <v>36892</v>
      </c>
      <c r="X334" s="232">
        <v>36525</v>
      </c>
      <c r="Y334">
        <v>0</v>
      </c>
      <c r="Z334">
        <v>1</v>
      </c>
    </row>
    <row r="335" spans="1:26" x14ac:dyDescent="0.25">
      <c r="A335">
        <v>10441</v>
      </c>
      <c r="B335" t="s">
        <v>1618</v>
      </c>
      <c r="C335" t="s">
        <v>1619</v>
      </c>
      <c r="G335" t="s">
        <v>644</v>
      </c>
      <c r="H335" t="s">
        <v>664</v>
      </c>
      <c r="I335">
        <v>1</v>
      </c>
      <c r="J335" t="s">
        <v>1619</v>
      </c>
      <c r="N335" t="s">
        <v>644</v>
      </c>
      <c r="O335" t="s">
        <v>664</v>
      </c>
      <c r="P335">
        <v>1</v>
      </c>
      <c r="R335">
        <v>7</v>
      </c>
      <c r="S335">
        <v>0</v>
      </c>
      <c r="U335" t="s">
        <v>1620</v>
      </c>
      <c r="V335">
        <v>3</v>
      </c>
      <c r="W335" s="232">
        <v>36892</v>
      </c>
      <c r="X335" s="232">
        <v>36525</v>
      </c>
      <c r="Y335">
        <v>0</v>
      </c>
      <c r="Z335">
        <v>1</v>
      </c>
    </row>
    <row r="336" spans="1:26" x14ac:dyDescent="0.25">
      <c r="A336">
        <v>30230</v>
      </c>
      <c r="B336" t="s">
        <v>1621</v>
      </c>
      <c r="C336" t="s">
        <v>1622</v>
      </c>
      <c r="G336" t="s">
        <v>676</v>
      </c>
      <c r="H336" t="s">
        <v>1623</v>
      </c>
      <c r="I336">
        <v>12</v>
      </c>
      <c r="J336" t="s">
        <v>1622</v>
      </c>
      <c r="N336" t="s">
        <v>676</v>
      </c>
      <c r="O336" t="s">
        <v>1623</v>
      </c>
      <c r="P336">
        <v>12</v>
      </c>
      <c r="R336">
        <v>1</v>
      </c>
      <c r="S336">
        <v>0</v>
      </c>
      <c r="U336" t="s">
        <v>1624</v>
      </c>
      <c r="V336">
        <v>1</v>
      </c>
      <c r="W336" s="232">
        <v>36892</v>
      </c>
      <c r="X336" s="232">
        <v>36525</v>
      </c>
      <c r="Y336">
        <v>0</v>
      </c>
      <c r="Z336">
        <v>1</v>
      </c>
    </row>
    <row r="337" spans="1:26" x14ac:dyDescent="0.25">
      <c r="A337">
        <v>4477</v>
      </c>
      <c r="B337" t="s">
        <v>1625</v>
      </c>
      <c r="C337" t="s">
        <v>1626</v>
      </c>
      <c r="G337" t="s">
        <v>644</v>
      </c>
      <c r="H337" t="s">
        <v>1627</v>
      </c>
      <c r="I337">
        <v>1</v>
      </c>
      <c r="J337" t="s">
        <v>1626</v>
      </c>
      <c r="N337" t="s">
        <v>644</v>
      </c>
      <c r="O337" t="s">
        <v>1627</v>
      </c>
      <c r="P337">
        <v>1</v>
      </c>
      <c r="R337">
        <v>10</v>
      </c>
      <c r="S337">
        <v>0</v>
      </c>
      <c r="U337" t="s">
        <v>650</v>
      </c>
      <c r="V337">
        <v>3</v>
      </c>
      <c r="W337" s="232">
        <v>36892</v>
      </c>
      <c r="X337" s="232">
        <v>36525</v>
      </c>
      <c r="Y337">
        <v>0</v>
      </c>
      <c r="Z337">
        <v>1</v>
      </c>
    </row>
    <row r="338" spans="1:26" x14ac:dyDescent="0.25">
      <c r="A338">
        <v>1998</v>
      </c>
      <c r="B338" t="s">
        <v>1628</v>
      </c>
      <c r="C338" t="s">
        <v>1629</v>
      </c>
      <c r="G338" t="s">
        <v>644</v>
      </c>
      <c r="H338" t="s">
        <v>1627</v>
      </c>
      <c r="I338">
        <v>1</v>
      </c>
      <c r="J338" t="s">
        <v>1629</v>
      </c>
      <c r="N338" t="s">
        <v>644</v>
      </c>
      <c r="O338" t="s">
        <v>1627</v>
      </c>
      <c r="P338">
        <v>1</v>
      </c>
      <c r="R338">
        <v>6</v>
      </c>
      <c r="S338">
        <v>0</v>
      </c>
      <c r="U338" t="s">
        <v>650</v>
      </c>
      <c r="V338">
        <v>3</v>
      </c>
      <c r="W338" s="232">
        <v>36892</v>
      </c>
      <c r="X338" s="232">
        <v>36525</v>
      </c>
      <c r="Y338">
        <v>0</v>
      </c>
      <c r="Z338">
        <v>1</v>
      </c>
    </row>
    <row r="339" spans="1:26" x14ac:dyDescent="0.25">
      <c r="A339">
        <v>4197</v>
      </c>
      <c r="B339" t="s">
        <v>1630</v>
      </c>
      <c r="C339" t="s">
        <v>1631</v>
      </c>
      <c r="G339" t="s">
        <v>823</v>
      </c>
      <c r="H339" t="s">
        <v>1632</v>
      </c>
      <c r="I339">
        <v>1</v>
      </c>
      <c r="J339" t="s">
        <v>1631</v>
      </c>
      <c r="N339" t="s">
        <v>823</v>
      </c>
      <c r="O339" t="s">
        <v>1632</v>
      </c>
      <c r="P339">
        <v>1</v>
      </c>
      <c r="R339">
        <v>5</v>
      </c>
      <c r="S339">
        <v>0</v>
      </c>
      <c r="U339" t="s">
        <v>650</v>
      </c>
      <c r="V339">
        <v>3</v>
      </c>
      <c r="W339" s="232">
        <v>36892</v>
      </c>
      <c r="X339" s="232">
        <v>36525</v>
      </c>
      <c r="Y339">
        <v>1</v>
      </c>
      <c r="Z339">
        <v>1</v>
      </c>
    </row>
    <row r="340" spans="1:26" x14ac:dyDescent="0.25">
      <c r="A340">
        <v>4462</v>
      </c>
      <c r="B340" t="s">
        <v>1633</v>
      </c>
      <c r="C340" t="s">
        <v>1634</v>
      </c>
      <c r="G340" t="s">
        <v>644</v>
      </c>
      <c r="H340" t="s">
        <v>1635</v>
      </c>
      <c r="I340">
        <v>1</v>
      </c>
      <c r="J340" t="s">
        <v>1634</v>
      </c>
      <c r="N340" t="s">
        <v>644</v>
      </c>
      <c r="O340" t="s">
        <v>1635</v>
      </c>
      <c r="P340">
        <v>1</v>
      </c>
      <c r="R340">
        <v>4</v>
      </c>
      <c r="S340">
        <v>0</v>
      </c>
      <c r="U340" t="s">
        <v>650</v>
      </c>
      <c r="V340">
        <v>3</v>
      </c>
      <c r="W340" s="232">
        <v>36892</v>
      </c>
      <c r="X340" s="232">
        <v>36525</v>
      </c>
      <c r="Y340">
        <v>0</v>
      </c>
      <c r="Z340">
        <v>1</v>
      </c>
    </row>
    <row r="341" spans="1:26" x14ac:dyDescent="0.25">
      <c r="A341">
        <v>4226</v>
      </c>
      <c r="B341" t="s">
        <v>1636</v>
      </c>
      <c r="C341" t="s">
        <v>1637</v>
      </c>
      <c r="G341" t="s">
        <v>644</v>
      </c>
      <c r="H341" t="s">
        <v>1635</v>
      </c>
      <c r="I341">
        <v>1</v>
      </c>
      <c r="J341" t="s">
        <v>1637</v>
      </c>
      <c r="N341" t="s">
        <v>644</v>
      </c>
      <c r="O341" t="s">
        <v>1635</v>
      </c>
      <c r="P341">
        <v>1</v>
      </c>
      <c r="R341">
        <v>6</v>
      </c>
      <c r="S341">
        <v>0</v>
      </c>
      <c r="U341" t="s">
        <v>650</v>
      </c>
      <c r="V341">
        <v>3</v>
      </c>
      <c r="W341" s="232">
        <v>36892</v>
      </c>
      <c r="X341" s="232">
        <v>36525</v>
      </c>
      <c r="Y341">
        <v>0</v>
      </c>
      <c r="Z341">
        <v>1</v>
      </c>
    </row>
    <row r="342" spans="1:26" x14ac:dyDescent="0.25">
      <c r="A342">
        <v>5001</v>
      </c>
      <c r="B342" t="s">
        <v>1638</v>
      </c>
      <c r="C342" t="s">
        <v>1639</v>
      </c>
      <c r="G342" t="s">
        <v>644</v>
      </c>
      <c r="H342" t="s">
        <v>672</v>
      </c>
      <c r="I342">
        <v>1</v>
      </c>
      <c r="J342" t="s">
        <v>1639</v>
      </c>
      <c r="N342" t="s">
        <v>644</v>
      </c>
      <c r="O342" t="s">
        <v>672</v>
      </c>
      <c r="P342">
        <v>1</v>
      </c>
      <c r="R342">
        <v>6</v>
      </c>
      <c r="S342">
        <v>0</v>
      </c>
      <c r="U342" t="s">
        <v>1640</v>
      </c>
      <c r="V342">
        <v>3</v>
      </c>
      <c r="W342" s="232">
        <v>36892</v>
      </c>
      <c r="X342" s="232">
        <v>36525</v>
      </c>
      <c r="Y342">
        <v>0</v>
      </c>
      <c r="Z342">
        <v>1</v>
      </c>
    </row>
    <row r="343" spans="1:26" x14ac:dyDescent="0.25">
      <c r="A343">
        <v>4467</v>
      </c>
      <c r="B343" t="s">
        <v>1641</v>
      </c>
      <c r="C343" t="s">
        <v>1642</v>
      </c>
      <c r="G343" t="s">
        <v>644</v>
      </c>
      <c r="H343" t="s">
        <v>1643</v>
      </c>
      <c r="I343">
        <v>1</v>
      </c>
      <c r="J343" t="s">
        <v>1642</v>
      </c>
      <c r="N343" t="s">
        <v>644</v>
      </c>
      <c r="O343" t="s">
        <v>1643</v>
      </c>
      <c r="P343">
        <v>1</v>
      </c>
      <c r="R343">
        <v>4</v>
      </c>
      <c r="S343">
        <v>0</v>
      </c>
      <c r="U343" t="s">
        <v>650</v>
      </c>
      <c r="V343">
        <v>3</v>
      </c>
      <c r="W343" s="232">
        <v>36892</v>
      </c>
      <c r="X343" s="232">
        <v>36525</v>
      </c>
      <c r="Y343">
        <v>1</v>
      </c>
      <c r="Z343">
        <v>1</v>
      </c>
    </row>
    <row r="344" spans="1:26" x14ac:dyDescent="0.25">
      <c r="A344">
        <v>10244</v>
      </c>
      <c r="B344" t="s">
        <v>1644</v>
      </c>
      <c r="C344" t="s">
        <v>1645</v>
      </c>
      <c r="G344" t="s">
        <v>644</v>
      </c>
      <c r="H344" t="s">
        <v>813</v>
      </c>
      <c r="I344">
        <v>1</v>
      </c>
      <c r="J344" t="s">
        <v>1645</v>
      </c>
      <c r="N344" t="s">
        <v>644</v>
      </c>
      <c r="O344" t="s">
        <v>813</v>
      </c>
      <c r="P344">
        <v>1</v>
      </c>
      <c r="R344">
        <v>4</v>
      </c>
      <c r="S344">
        <v>0</v>
      </c>
      <c r="U344" t="s">
        <v>650</v>
      </c>
      <c r="V344">
        <v>3</v>
      </c>
      <c r="W344" s="232">
        <v>36892</v>
      </c>
      <c r="X344" s="232">
        <v>36525</v>
      </c>
      <c r="Y344">
        <v>0</v>
      </c>
      <c r="Z344">
        <v>1</v>
      </c>
    </row>
    <row r="345" spans="1:26" x14ac:dyDescent="0.25">
      <c r="A345">
        <v>10472</v>
      </c>
      <c r="B345" t="s">
        <v>1646</v>
      </c>
      <c r="C345" t="s">
        <v>1647</v>
      </c>
      <c r="G345" t="s">
        <v>644</v>
      </c>
      <c r="H345" t="s">
        <v>707</v>
      </c>
      <c r="I345">
        <v>1</v>
      </c>
      <c r="J345" t="s">
        <v>1647</v>
      </c>
      <c r="N345" t="s">
        <v>644</v>
      </c>
      <c r="O345" t="s">
        <v>707</v>
      </c>
      <c r="P345">
        <v>1</v>
      </c>
      <c r="R345">
        <v>5</v>
      </c>
      <c r="S345">
        <v>0</v>
      </c>
      <c r="U345" t="s">
        <v>650</v>
      </c>
      <c r="V345">
        <v>3</v>
      </c>
      <c r="W345" s="232">
        <v>36892</v>
      </c>
      <c r="X345" s="232">
        <v>36525</v>
      </c>
      <c r="Y345">
        <v>0</v>
      </c>
      <c r="Z345">
        <v>1</v>
      </c>
    </row>
    <row r="346" spans="1:26" x14ac:dyDescent="0.25">
      <c r="A346">
        <v>4499</v>
      </c>
      <c r="B346" t="s">
        <v>1648</v>
      </c>
      <c r="C346" t="s">
        <v>1649</v>
      </c>
      <c r="G346" t="s">
        <v>644</v>
      </c>
      <c r="H346" t="s">
        <v>1650</v>
      </c>
      <c r="I346">
        <v>1</v>
      </c>
      <c r="J346" t="s">
        <v>1649</v>
      </c>
      <c r="N346" t="s">
        <v>644</v>
      </c>
      <c r="O346" t="s">
        <v>1650</v>
      </c>
      <c r="P346">
        <v>1</v>
      </c>
      <c r="R346">
        <v>7</v>
      </c>
      <c r="S346">
        <v>0</v>
      </c>
      <c r="U346" t="s">
        <v>1651</v>
      </c>
      <c r="V346">
        <v>3</v>
      </c>
      <c r="W346" s="232">
        <v>36892</v>
      </c>
      <c r="X346" s="232">
        <v>36525</v>
      </c>
      <c r="Y346">
        <v>0</v>
      </c>
      <c r="Z346">
        <v>1</v>
      </c>
    </row>
    <row r="347" spans="1:26" x14ac:dyDescent="0.25">
      <c r="A347">
        <v>4654</v>
      </c>
      <c r="B347" t="s">
        <v>1652</v>
      </c>
      <c r="C347" t="s">
        <v>1653</v>
      </c>
      <c r="G347" t="s">
        <v>644</v>
      </c>
      <c r="H347" t="s">
        <v>724</v>
      </c>
      <c r="I347">
        <v>1</v>
      </c>
      <c r="J347" t="s">
        <v>1653</v>
      </c>
      <c r="N347" t="s">
        <v>644</v>
      </c>
      <c r="O347" t="s">
        <v>724</v>
      </c>
      <c r="P347">
        <v>1</v>
      </c>
      <c r="R347">
        <v>4</v>
      </c>
      <c r="S347">
        <v>0</v>
      </c>
      <c r="U347" t="s">
        <v>650</v>
      </c>
      <c r="V347">
        <v>3</v>
      </c>
      <c r="W347" s="232">
        <v>36892</v>
      </c>
      <c r="X347" s="232">
        <v>36525</v>
      </c>
      <c r="Y347">
        <v>0</v>
      </c>
      <c r="Z347">
        <v>1</v>
      </c>
    </row>
    <row r="348" spans="1:26" x14ac:dyDescent="0.25">
      <c r="A348">
        <v>4682</v>
      </c>
      <c r="B348" t="s">
        <v>1654</v>
      </c>
      <c r="C348" t="s">
        <v>1655</v>
      </c>
      <c r="G348" t="s">
        <v>644</v>
      </c>
      <c r="H348" t="s">
        <v>766</v>
      </c>
      <c r="I348">
        <v>1</v>
      </c>
      <c r="J348" t="s">
        <v>1655</v>
      </c>
      <c r="N348" t="s">
        <v>644</v>
      </c>
      <c r="O348" t="s">
        <v>766</v>
      </c>
      <c r="P348">
        <v>1</v>
      </c>
      <c r="R348">
        <v>6</v>
      </c>
      <c r="S348">
        <v>0</v>
      </c>
      <c r="U348" t="s">
        <v>650</v>
      </c>
      <c r="V348">
        <v>3</v>
      </c>
      <c r="W348" s="232">
        <v>36892</v>
      </c>
      <c r="X348" s="232">
        <v>36525</v>
      </c>
      <c r="Y348">
        <v>0</v>
      </c>
      <c r="Z348">
        <v>1</v>
      </c>
    </row>
    <row r="349" spans="1:26" x14ac:dyDescent="0.25">
      <c r="A349">
        <v>30123</v>
      </c>
      <c r="B349" t="s">
        <v>1656</v>
      </c>
      <c r="I349">
        <v>1</v>
      </c>
      <c r="P349">
        <v>1</v>
      </c>
      <c r="R349">
        <v>1</v>
      </c>
      <c r="S349">
        <v>29747</v>
      </c>
      <c r="T349" t="s">
        <v>660</v>
      </c>
      <c r="U349" t="s">
        <v>1657</v>
      </c>
      <c r="V349">
        <v>3</v>
      </c>
      <c r="W349" s="232">
        <v>36892</v>
      </c>
      <c r="X349" s="232">
        <v>36525</v>
      </c>
      <c r="Y349">
        <v>0</v>
      </c>
      <c r="Z349">
        <v>1</v>
      </c>
    </row>
    <row r="350" spans="1:26" x14ac:dyDescent="0.25">
      <c r="A350">
        <v>10447</v>
      </c>
      <c r="B350" t="s">
        <v>1658</v>
      </c>
      <c r="C350" t="s">
        <v>1659</v>
      </c>
      <c r="G350" t="s">
        <v>891</v>
      </c>
      <c r="H350" t="s">
        <v>1660</v>
      </c>
      <c r="I350">
        <v>12</v>
      </c>
      <c r="J350" t="s">
        <v>1659</v>
      </c>
      <c r="N350" t="s">
        <v>891</v>
      </c>
      <c r="O350" t="s">
        <v>1660</v>
      </c>
      <c r="P350">
        <v>12</v>
      </c>
      <c r="R350">
        <v>10</v>
      </c>
      <c r="S350">
        <v>29747</v>
      </c>
      <c r="T350" t="s">
        <v>660</v>
      </c>
      <c r="U350" t="s">
        <v>1661</v>
      </c>
      <c r="V350">
        <v>3</v>
      </c>
      <c r="W350" s="232">
        <v>36892</v>
      </c>
      <c r="X350" s="232">
        <v>36525</v>
      </c>
      <c r="Y350">
        <v>1</v>
      </c>
      <c r="Z350">
        <v>1</v>
      </c>
    </row>
    <row r="351" spans="1:26" x14ac:dyDescent="0.25">
      <c r="A351">
        <v>4685</v>
      </c>
      <c r="B351" t="s">
        <v>1662</v>
      </c>
      <c r="C351" t="s">
        <v>1663</v>
      </c>
      <c r="G351" t="s">
        <v>644</v>
      </c>
      <c r="H351" t="s">
        <v>879</v>
      </c>
      <c r="I351">
        <v>1</v>
      </c>
      <c r="J351" t="s">
        <v>1663</v>
      </c>
      <c r="N351" t="s">
        <v>644</v>
      </c>
      <c r="O351" t="s">
        <v>879</v>
      </c>
      <c r="P351">
        <v>1</v>
      </c>
      <c r="R351">
        <v>4</v>
      </c>
      <c r="S351">
        <v>0</v>
      </c>
      <c r="U351" t="s">
        <v>650</v>
      </c>
      <c r="V351">
        <v>3</v>
      </c>
      <c r="W351" s="232">
        <v>36892</v>
      </c>
      <c r="X351" s="232">
        <v>36525</v>
      </c>
      <c r="Y351">
        <v>0</v>
      </c>
      <c r="Z351">
        <v>1</v>
      </c>
    </row>
    <row r="352" spans="1:26" x14ac:dyDescent="0.25">
      <c r="A352">
        <v>10533</v>
      </c>
      <c r="B352" t="s">
        <v>1664</v>
      </c>
      <c r="C352" t="s">
        <v>1665</v>
      </c>
      <c r="G352" t="s">
        <v>1003</v>
      </c>
      <c r="H352" t="s">
        <v>1666</v>
      </c>
      <c r="I352">
        <v>1</v>
      </c>
      <c r="J352" t="s">
        <v>1665</v>
      </c>
      <c r="N352" t="s">
        <v>1003</v>
      </c>
      <c r="O352" t="s">
        <v>1666</v>
      </c>
      <c r="P352">
        <v>1</v>
      </c>
      <c r="R352">
        <v>3</v>
      </c>
      <c r="S352">
        <v>0</v>
      </c>
      <c r="U352" t="s">
        <v>650</v>
      </c>
      <c r="V352">
        <v>3</v>
      </c>
      <c r="W352" s="232">
        <v>36892</v>
      </c>
      <c r="X352" s="232">
        <v>36525</v>
      </c>
      <c r="Y352">
        <v>0</v>
      </c>
      <c r="Z352">
        <v>1</v>
      </c>
    </row>
    <row r="353" spans="1:26" x14ac:dyDescent="0.25">
      <c r="A353">
        <v>4693</v>
      </c>
      <c r="B353" t="s">
        <v>1667</v>
      </c>
      <c r="C353" t="s">
        <v>1668</v>
      </c>
      <c r="G353" t="s">
        <v>644</v>
      </c>
      <c r="H353" t="s">
        <v>1189</v>
      </c>
      <c r="I353">
        <v>1</v>
      </c>
      <c r="J353" t="s">
        <v>1668</v>
      </c>
      <c r="N353" t="s">
        <v>644</v>
      </c>
      <c r="O353" t="s">
        <v>1189</v>
      </c>
      <c r="P353">
        <v>1</v>
      </c>
      <c r="R353">
        <v>6</v>
      </c>
      <c r="S353">
        <v>0</v>
      </c>
      <c r="U353" t="s">
        <v>650</v>
      </c>
      <c r="V353">
        <v>3</v>
      </c>
      <c r="W353" s="232">
        <v>36892</v>
      </c>
      <c r="X353" s="232">
        <v>36525</v>
      </c>
      <c r="Y353">
        <v>0</v>
      </c>
      <c r="Z353">
        <v>1</v>
      </c>
    </row>
    <row r="354" spans="1:26" x14ac:dyDescent="0.25">
      <c r="A354">
        <v>10545</v>
      </c>
      <c r="B354" t="s">
        <v>1669</v>
      </c>
      <c r="C354" t="s">
        <v>1670</v>
      </c>
      <c r="G354" t="s">
        <v>644</v>
      </c>
      <c r="H354" t="s">
        <v>656</v>
      </c>
      <c r="I354">
        <v>1</v>
      </c>
      <c r="J354" t="s">
        <v>1670</v>
      </c>
      <c r="N354" t="s">
        <v>644</v>
      </c>
      <c r="O354" t="s">
        <v>656</v>
      </c>
      <c r="P354">
        <v>1</v>
      </c>
      <c r="R354">
        <v>6</v>
      </c>
      <c r="S354">
        <v>0</v>
      </c>
      <c r="U354" t="s">
        <v>650</v>
      </c>
      <c r="V354">
        <v>3</v>
      </c>
      <c r="W354" s="232">
        <v>36892</v>
      </c>
      <c r="X354" s="232">
        <v>36525</v>
      </c>
      <c r="Y354">
        <v>0</v>
      </c>
      <c r="Z354">
        <v>1</v>
      </c>
    </row>
    <row r="355" spans="1:26" x14ac:dyDescent="0.25">
      <c r="A355">
        <v>4687</v>
      </c>
      <c r="B355" t="s">
        <v>1671</v>
      </c>
      <c r="C355" t="s">
        <v>1672</v>
      </c>
      <c r="G355" t="s">
        <v>644</v>
      </c>
      <c r="H355" t="s">
        <v>828</v>
      </c>
      <c r="I355">
        <v>1</v>
      </c>
      <c r="J355" t="s">
        <v>1672</v>
      </c>
      <c r="N355" t="s">
        <v>644</v>
      </c>
      <c r="O355" t="s">
        <v>828</v>
      </c>
      <c r="P355">
        <v>1</v>
      </c>
      <c r="R355">
        <v>4</v>
      </c>
      <c r="S355">
        <v>0</v>
      </c>
      <c r="U355" t="s">
        <v>650</v>
      </c>
      <c r="V355">
        <v>3</v>
      </c>
      <c r="W355" s="232">
        <v>36892</v>
      </c>
      <c r="X355" s="232">
        <v>36525</v>
      </c>
      <c r="Y355">
        <v>1</v>
      </c>
      <c r="Z355">
        <v>1</v>
      </c>
    </row>
    <row r="356" spans="1:26" x14ac:dyDescent="0.25">
      <c r="A356">
        <v>10483</v>
      </c>
      <c r="B356" t="s">
        <v>1673</v>
      </c>
      <c r="C356" t="s">
        <v>1674</v>
      </c>
      <c r="G356" t="s">
        <v>644</v>
      </c>
      <c r="H356" t="s">
        <v>957</v>
      </c>
      <c r="I356">
        <v>1</v>
      </c>
      <c r="J356" t="s">
        <v>1674</v>
      </c>
      <c r="N356" t="s">
        <v>644</v>
      </c>
      <c r="O356" t="s">
        <v>957</v>
      </c>
      <c r="P356">
        <v>1</v>
      </c>
      <c r="R356">
        <v>3</v>
      </c>
      <c r="S356">
        <v>0</v>
      </c>
      <c r="U356" t="s">
        <v>650</v>
      </c>
      <c r="V356">
        <v>3</v>
      </c>
      <c r="W356" s="232">
        <v>36892</v>
      </c>
      <c r="X356" s="232">
        <v>36525</v>
      </c>
      <c r="Y356">
        <v>0</v>
      </c>
      <c r="Z356">
        <v>1</v>
      </c>
    </row>
    <row r="357" spans="1:26" x14ac:dyDescent="0.25">
      <c r="A357">
        <v>4668</v>
      </c>
      <c r="B357" t="s">
        <v>1675</v>
      </c>
      <c r="C357" t="s">
        <v>1676</v>
      </c>
      <c r="G357" t="s">
        <v>644</v>
      </c>
      <c r="H357" t="s">
        <v>707</v>
      </c>
      <c r="I357">
        <v>1</v>
      </c>
      <c r="J357" t="s">
        <v>1676</v>
      </c>
      <c r="N357" t="s">
        <v>644</v>
      </c>
      <c r="O357" t="s">
        <v>707</v>
      </c>
      <c r="P357">
        <v>1</v>
      </c>
      <c r="R357">
        <v>8</v>
      </c>
      <c r="S357">
        <v>0</v>
      </c>
      <c r="U357" t="s">
        <v>1677</v>
      </c>
      <c r="V357">
        <v>3</v>
      </c>
      <c r="W357" s="232">
        <v>36892</v>
      </c>
      <c r="X357" s="232">
        <v>36525</v>
      </c>
      <c r="Y357">
        <v>0</v>
      </c>
      <c r="Z357">
        <v>1</v>
      </c>
    </row>
    <row r="358" spans="1:26" x14ac:dyDescent="0.25">
      <c r="A358">
        <v>10272</v>
      </c>
      <c r="B358" t="s">
        <v>1678</v>
      </c>
      <c r="C358" t="s">
        <v>1679</v>
      </c>
      <c r="G358" t="s">
        <v>644</v>
      </c>
      <c r="H358" t="s">
        <v>1680</v>
      </c>
      <c r="I358">
        <v>1</v>
      </c>
      <c r="J358" t="s">
        <v>1679</v>
      </c>
      <c r="N358" t="s">
        <v>644</v>
      </c>
      <c r="O358" t="s">
        <v>1680</v>
      </c>
      <c r="P358">
        <v>1</v>
      </c>
      <c r="R358">
        <v>4</v>
      </c>
      <c r="S358">
        <v>0</v>
      </c>
      <c r="U358" t="s">
        <v>650</v>
      </c>
      <c r="V358">
        <v>3</v>
      </c>
      <c r="W358" s="232">
        <v>36892</v>
      </c>
      <c r="X358" s="232">
        <v>36525</v>
      </c>
      <c r="Y358">
        <v>1</v>
      </c>
      <c r="Z358">
        <v>1</v>
      </c>
    </row>
    <row r="359" spans="1:26" x14ac:dyDescent="0.25">
      <c r="A359">
        <v>30128</v>
      </c>
      <c r="B359" t="s">
        <v>1681</v>
      </c>
      <c r="I359">
        <v>12</v>
      </c>
      <c r="P359">
        <v>12</v>
      </c>
      <c r="R359">
        <v>2</v>
      </c>
      <c r="S359">
        <v>29747</v>
      </c>
      <c r="T359" t="s">
        <v>660</v>
      </c>
      <c r="U359" t="s">
        <v>1682</v>
      </c>
      <c r="V359">
        <v>3</v>
      </c>
      <c r="W359" s="232">
        <v>36892</v>
      </c>
      <c r="X359" s="232">
        <v>36525</v>
      </c>
      <c r="Y359">
        <v>0</v>
      </c>
      <c r="Z359">
        <v>1</v>
      </c>
    </row>
    <row r="360" spans="1:26" x14ac:dyDescent="0.25">
      <c r="A360">
        <v>10373</v>
      </c>
      <c r="B360" t="s">
        <v>1683</v>
      </c>
      <c r="C360" t="s">
        <v>1684</v>
      </c>
      <c r="G360" t="s">
        <v>644</v>
      </c>
      <c r="H360" t="s">
        <v>746</v>
      </c>
      <c r="I360">
        <v>1</v>
      </c>
      <c r="J360" t="s">
        <v>1684</v>
      </c>
      <c r="N360" t="s">
        <v>644</v>
      </c>
      <c r="O360" t="s">
        <v>746</v>
      </c>
      <c r="P360">
        <v>1</v>
      </c>
      <c r="R360">
        <v>4</v>
      </c>
      <c r="S360">
        <v>0</v>
      </c>
      <c r="U360" t="s">
        <v>650</v>
      </c>
      <c r="V360">
        <v>3</v>
      </c>
      <c r="W360" s="232">
        <v>36892</v>
      </c>
      <c r="X360" s="232">
        <v>36525</v>
      </c>
      <c r="Y360">
        <v>0</v>
      </c>
      <c r="Z360">
        <v>1</v>
      </c>
    </row>
    <row r="361" spans="1:26" x14ac:dyDescent="0.25">
      <c r="A361">
        <v>4614</v>
      </c>
      <c r="B361" t="s">
        <v>1685</v>
      </c>
      <c r="C361" t="s">
        <v>1686</v>
      </c>
      <c r="G361" t="s">
        <v>644</v>
      </c>
      <c r="H361" t="s">
        <v>1600</v>
      </c>
      <c r="I361">
        <v>1</v>
      </c>
      <c r="J361" t="s">
        <v>1686</v>
      </c>
      <c r="N361" t="s">
        <v>644</v>
      </c>
      <c r="O361" t="s">
        <v>1600</v>
      </c>
      <c r="P361">
        <v>1</v>
      </c>
      <c r="R361">
        <v>9</v>
      </c>
      <c r="S361">
        <v>0</v>
      </c>
      <c r="U361" t="s">
        <v>650</v>
      </c>
      <c r="V361">
        <v>3</v>
      </c>
      <c r="W361" s="232">
        <v>36892</v>
      </c>
      <c r="X361" s="232">
        <v>36525</v>
      </c>
      <c r="Y361">
        <v>0</v>
      </c>
      <c r="Z361">
        <v>1</v>
      </c>
    </row>
    <row r="362" spans="1:26" x14ac:dyDescent="0.25">
      <c r="A362">
        <v>10463</v>
      </c>
      <c r="B362" t="s">
        <v>1687</v>
      </c>
      <c r="C362" t="s">
        <v>1688</v>
      </c>
      <c r="G362" t="s">
        <v>644</v>
      </c>
      <c r="H362" t="s">
        <v>828</v>
      </c>
      <c r="I362">
        <v>1</v>
      </c>
      <c r="J362" t="s">
        <v>1688</v>
      </c>
      <c r="N362" t="s">
        <v>644</v>
      </c>
      <c r="O362" t="s">
        <v>828</v>
      </c>
      <c r="P362">
        <v>1</v>
      </c>
      <c r="R362">
        <v>6</v>
      </c>
      <c r="S362">
        <v>1001376</v>
      </c>
      <c r="T362" t="s">
        <v>1552</v>
      </c>
      <c r="U362" t="s">
        <v>1689</v>
      </c>
      <c r="V362">
        <v>3</v>
      </c>
      <c r="W362" s="232">
        <v>36892</v>
      </c>
      <c r="X362" s="232">
        <v>36525</v>
      </c>
      <c r="Y362">
        <v>1</v>
      </c>
      <c r="Z362">
        <v>1</v>
      </c>
    </row>
    <row r="363" spans="1:26" x14ac:dyDescent="0.25">
      <c r="A363">
        <v>4447</v>
      </c>
      <c r="B363" t="s">
        <v>1690</v>
      </c>
      <c r="C363" t="s">
        <v>1691</v>
      </c>
      <c r="G363" t="s">
        <v>644</v>
      </c>
      <c r="H363" t="s">
        <v>798</v>
      </c>
      <c r="I363">
        <v>1</v>
      </c>
      <c r="J363" t="s">
        <v>1691</v>
      </c>
      <c r="N363" t="s">
        <v>644</v>
      </c>
      <c r="O363" t="s">
        <v>798</v>
      </c>
      <c r="P363">
        <v>1</v>
      </c>
      <c r="R363">
        <v>4</v>
      </c>
      <c r="S363">
        <v>0</v>
      </c>
      <c r="U363" t="s">
        <v>650</v>
      </c>
      <c r="V363">
        <v>3</v>
      </c>
      <c r="W363" s="232">
        <v>36892</v>
      </c>
      <c r="X363" s="232">
        <v>36525</v>
      </c>
      <c r="Y363">
        <v>0</v>
      </c>
      <c r="Z363">
        <v>1</v>
      </c>
    </row>
    <row r="364" spans="1:26" x14ac:dyDescent="0.25">
      <c r="A364">
        <v>4536</v>
      </c>
      <c r="B364" t="s">
        <v>1692</v>
      </c>
      <c r="C364" t="s">
        <v>1693</v>
      </c>
      <c r="G364" t="s">
        <v>1694</v>
      </c>
      <c r="H364" t="s">
        <v>1695</v>
      </c>
      <c r="I364">
        <v>3</v>
      </c>
      <c r="J364" t="s">
        <v>1693</v>
      </c>
      <c r="N364" t="s">
        <v>1694</v>
      </c>
      <c r="O364" t="s">
        <v>1695</v>
      </c>
      <c r="P364">
        <v>3</v>
      </c>
      <c r="R364">
        <v>4</v>
      </c>
      <c r="S364">
        <v>0</v>
      </c>
      <c r="U364" t="s">
        <v>650</v>
      </c>
      <c r="V364">
        <v>3</v>
      </c>
      <c r="W364" s="232">
        <v>36892</v>
      </c>
      <c r="X364" s="232">
        <v>36525</v>
      </c>
      <c r="Y364">
        <v>0</v>
      </c>
      <c r="Z364">
        <v>1</v>
      </c>
    </row>
    <row r="365" spans="1:26" x14ac:dyDescent="0.25">
      <c r="A365">
        <v>30223</v>
      </c>
      <c r="B365" t="s">
        <v>1696</v>
      </c>
      <c r="R365">
        <v>2</v>
      </c>
      <c r="S365">
        <v>0</v>
      </c>
      <c r="U365" t="s">
        <v>1697</v>
      </c>
      <c r="V365">
        <v>3</v>
      </c>
      <c r="W365" s="232">
        <v>36892</v>
      </c>
      <c r="X365" s="232">
        <v>36525</v>
      </c>
      <c r="Y365">
        <v>0</v>
      </c>
      <c r="Z365">
        <v>1</v>
      </c>
    </row>
    <row r="366" spans="1:26" x14ac:dyDescent="0.25">
      <c r="A366">
        <v>4630</v>
      </c>
      <c r="B366" t="s">
        <v>1698</v>
      </c>
      <c r="C366" t="s">
        <v>1699</v>
      </c>
      <c r="G366" t="s">
        <v>644</v>
      </c>
      <c r="H366" t="s">
        <v>991</v>
      </c>
      <c r="I366">
        <v>1</v>
      </c>
      <c r="J366" t="s">
        <v>1699</v>
      </c>
      <c r="N366" t="s">
        <v>644</v>
      </c>
      <c r="O366" t="s">
        <v>991</v>
      </c>
      <c r="P366">
        <v>1</v>
      </c>
      <c r="R366">
        <v>4</v>
      </c>
      <c r="S366">
        <v>0</v>
      </c>
      <c r="U366" t="s">
        <v>650</v>
      </c>
      <c r="V366">
        <v>3</v>
      </c>
      <c r="W366" s="232">
        <v>36892</v>
      </c>
      <c r="X366" s="232">
        <v>36525</v>
      </c>
      <c r="Y366">
        <v>0</v>
      </c>
      <c r="Z366">
        <v>1</v>
      </c>
    </row>
    <row r="367" spans="1:26" x14ac:dyDescent="0.25">
      <c r="A367">
        <v>30214</v>
      </c>
      <c r="B367" t="s">
        <v>1700</v>
      </c>
      <c r="R367">
        <v>2</v>
      </c>
      <c r="S367">
        <v>29747</v>
      </c>
      <c r="T367" t="s">
        <v>660</v>
      </c>
      <c r="U367" t="s">
        <v>1701</v>
      </c>
      <c r="V367">
        <v>3</v>
      </c>
      <c r="W367" s="232">
        <v>36892</v>
      </c>
      <c r="X367" s="232">
        <v>36525</v>
      </c>
      <c r="Y367">
        <v>0</v>
      </c>
      <c r="Z367">
        <v>1</v>
      </c>
    </row>
    <row r="368" spans="1:26" x14ac:dyDescent="0.25">
      <c r="A368">
        <v>4644</v>
      </c>
      <c r="B368" t="s">
        <v>1702</v>
      </c>
      <c r="C368" t="s">
        <v>1703</v>
      </c>
      <c r="G368" t="s">
        <v>644</v>
      </c>
      <c r="H368" t="s">
        <v>746</v>
      </c>
      <c r="I368">
        <v>1</v>
      </c>
      <c r="J368" t="s">
        <v>1703</v>
      </c>
      <c r="N368" t="s">
        <v>644</v>
      </c>
      <c r="O368" t="s">
        <v>746</v>
      </c>
      <c r="P368">
        <v>1</v>
      </c>
      <c r="R368">
        <v>3</v>
      </c>
      <c r="S368">
        <v>0</v>
      </c>
      <c r="U368" t="s">
        <v>650</v>
      </c>
      <c r="V368">
        <v>3</v>
      </c>
      <c r="W368" s="232">
        <v>36892</v>
      </c>
      <c r="X368" s="232">
        <v>36525</v>
      </c>
      <c r="Y368">
        <v>1</v>
      </c>
      <c r="Z368">
        <v>1</v>
      </c>
    </row>
    <row r="369" spans="1:26" x14ac:dyDescent="0.25">
      <c r="A369">
        <v>4665</v>
      </c>
      <c r="B369" t="s">
        <v>1704</v>
      </c>
      <c r="C369" t="s">
        <v>1705</v>
      </c>
      <c r="G369" t="s">
        <v>644</v>
      </c>
      <c r="H369" t="s">
        <v>1040</v>
      </c>
      <c r="I369">
        <v>1</v>
      </c>
      <c r="J369" t="s">
        <v>1705</v>
      </c>
      <c r="N369" t="s">
        <v>644</v>
      </c>
      <c r="O369" t="s">
        <v>1040</v>
      </c>
      <c r="P369">
        <v>1</v>
      </c>
      <c r="Q369">
        <v>1285</v>
      </c>
      <c r="R369">
        <v>5</v>
      </c>
      <c r="S369">
        <v>0</v>
      </c>
      <c r="U369" t="s">
        <v>1706</v>
      </c>
      <c r="V369">
        <v>3</v>
      </c>
      <c r="W369" s="232">
        <v>36892</v>
      </c>
      <c r="X369" s="232">
        <v>36525</v>
      </c>
      <c r="Y369">
        <v>0</v>
      </c>
      <c r="Z369">
        <v>1</v>
      </c>
    </row>
    <row r="370" spans="1:26" x14ac:dyDescent="0.25">
      <c r="A370">
        <v>4841</v>
      </c>
      <c r="B370" t="s">
        <v>1707</v>
      </c>
      <c r="C370" t="s">
        <v>1708</v>
      </c>
      <c r="G370" t="s">
        <v>891</v>
      </c>
      <c r="H370" t="s">
        <v>1709</v>
      </c>
      <c r="I370">
        <v>12</v>
      </c>
      <c r="J370" t="s">
        <v>1708</v>
      </c>
      <c r="N370" t="s">
        <v>891</v>
      </c>
      <c r="O370" t="s">
        <v>1709</v>
      </c>
      <c r="P370">
        <v>12</v>
      </c>
      <c r="R370">
        <v>8</v>
      </c>
      <c r="S370">
        <v>0</v>
      </c>
      <c r="U370" t="s">
        <v>650</v>
      </c>
      <c r="V370">
        <v>3</v>
      </c>
      <c r="W370" s="232">
        <v>36892</v>
      </c>
      <c r="X370" s="232">
        <v>36525</v>
      </c>
      <c r="Y370">
        <v>1</v>
      </c>
      <c r="Z370">
        <v>1</v>
      </c>
    </row>
    <row r="371" spans="1:26" x14ac:dyDescent="0.25">
      <c r="A371">
        <v>10344</v>
      </c>
      <c r="B371" t="s">
        <v>1710</v>
      </c>
      <c r="C371" t="s">
        <v>1711</v>
      </c>
      <c r="G371" t="s">
        <v>644</v>
      </c>
      <c r="H371" t="s">
        <v>724</v>
      </c>
      <c r="I371">
        <v>1</v>
      </c>
      <c r="J371" t="s">
        <v>1711</v>
      </c>
      <c r="N371" t="s">
        <v>644</v>
      </c>
      <c r="O371" t="s">
        <v>724</v>
      </c>
      <c r="P371">
        <v>1</v>
      </c>
      <c r="R371">
        <v>5</v>
      </c>
      <c r="S371">
        <v>0</v>
      </c>
      <c r="U371" t="s">
        <v>650</v>
      </c>
      <c r="V371">
        <v>3</v>
      </c>
      <c r="W371" s="232">
        <v>36892</v>
      </c>
      <c r="X371" s="232">
        <v>36525</v>
      </c>
      <c r="Y371">
        <v>0</v>
      </c>
      <c r="Z371">
        <v>1</v>
      </c>
    </row>
    <row r="372" spans="1:26" x14ac:dyDescent="0.25">
      <c r="A372">
        <v>30193</v>
      </c>
      <c r="B372" t="s">
        <v>1712</v>
      </c>
      <c r="C372" t="s">
        <v>1713</v>
      </c>
      <c r="G372" t="s">
        <v>644</v>
      </c>
      <c r="H372" t="s">
        <v>724</v>
      </c>
      <c r="I372">
        <v>1</v>
      </c>
      <c r="J372" t="s">
        <v>1713</v>
      </c>
      <c r="N372" t="s">
        <v>644</v>
      </c>
      <c r="O372" t="s">
        <v>724</v>
      </c>
      <c r="P372">
        <v>1</v>
      </c>
      <c r="R372">
        <v>5</v>
      </c>
      <c r="S372">
        <v>29747</v>
      </c>
      <c r="T372" t="s">
        <v>660</v>
      </c>
      <c r="U372" t="s">
        <v>1714</v>
      </c>
      <c r="V372">
        <v>3</v>
      </c>
      <c r="W372" s="232">
        <v>36892</v>
      </c>
      <c r="X372" s="232">
        <v>36525</v>
      </c>
      <c r="Y372">
        <v>0</v>
      </c>
      <c r="Z372">
        <v>1</v>
      </c>
    </row>
    <row r="373" spans="1:26" x14ac:dyDescent="0.25">
      <c r="A373">
        <v>10333</v>
      </c>
      <c r="B373" t="s">
        <v>1715</v>
      </c>
      <c r="C373" t="s">
        <v>1716</v>
      </c>
      <c r="G373" t="s">
        <v>644</v>
      </c>
      <c r="H373" t="s">
        <v>656</v>
      </c>
      <c r="I373">
        <v>1</v>
      </c>
      <c r="J373" t="s">
        <v>1716</v>
      </c>
      <c r="N373" t="s">
        <v>644</v>
      </c>
      <c r="O373" t="s">
        <v>656</v>
      </c>
      <c r="P373">
        <v>1</v>
      </c>
      <c r="R373">
        <v>4</v>
      </c>
      <c r="S373">
        <v>0</v>
      </c>
      <c r="U373" t="s">
        <v>650</v>
      </c>
      <c r="V373">
        <v>3</v>
      </c>
      <c r="W373" s="232">
        <v>36892</v>
      </c>
      <c r="X373" s="232">
        <v>36525</v>
      </c>
      <c r="Y373">
        <v>0</v>
      </c>
      <c r="Z373">
        <v>1</v>
      </c>
    </row>
    <row r="374" spans="1:26" x14ac:dyDescent="0.25">
      <c r="A374">
        <v>4700</v>
      </c>
      <c r="B374" t="s">
        <v>1717</v>
      </c>
      <c r="C374" t="s">
        <v>1718</v>
      </c>
      <c r="G374" t="s">
        <v>644</v>
      </c>
      <c r="H374" t="s">
        <v>766</v>
      </c>
      <c r="I374">
        <v>1</v>
      </c>
      <c r="J374" t="s">
        <v>1718</v>
      </c>
      <c r="N374" t="s">
        <v>644</v>
      </c>
      <c r="O374" t="s">
        <v>766</v>
      </c>
      <c r="P374">
        <v>1</v>
      </c>
      <c r="R374">
        <v>5</v>
      </c>
      <c r="S374">
        <v>0</v>
      </c>
      <c r="U374" t="s">
        <v>650</v>
      </c>
      <c r="V374">
        <v>3</v>
      </c>
      <c r="W374" s="232">
        <v>36892</v>
      </c>
      <c r="X374" s="232">
        <v>36525</v>
      </c>
      <c r="Y374">
        <v>0</v>
      </c>
      <c r="Z374">
        <v>1</v>
      </c>
    </row>
    <row r="375" spans="1:26" x14ac:dyDescent="0.25">
      <c r="A375">
        <v>4788</v>
      </c>
      <c r="B375" t="s">
        <v>1719</v>
      </c>
      <c r="C375" t="s">
        <v>1720</v>
      </c>
      <c r="G375" t="s">
        <v>1721</v>
      </c>
      <c r="H375" t="s">
        <v>1722</v>
      </c>
      <c r="I375">
        <v>12</v>
      </c>
      <c r="J375" t="s">
        <v>1720</v>
      </c>
      <c r="N375" t="s">
        <v>1721</v>
      </c>
      <c r="O375" t="s">
        <v>1722</v>
      </c>
      <c r="P375">
        <v>12</v>
      </c>
      <c r="R375">
        <v>6</v>
      </c>
      <c r="S375">
        <v>0</v>
      </c>
      <c r="U375" t="s">
        <v>1723</v>
      </c>
      <c r="V375">
        <v>3</v>
      </c>
      <c r="W375" s="232">
        <v>36892</v>
      </c>
      <c r="X375" s="232">
        <v>36525</v>
      </c>
      <c r="Y375">
        <v>0</v>
      </c>
      <c r="Z375">
        <v>1</v>
      </c>
    </row>
    <row r="376" spans="1:26" x14ac:dyDescent="0.25">
      <c r="A376">
        <v>10492</v>
      </c>
      <c r="B376" t="s">
        <v>1724</v>
      </c>
      <c r="C376" t="s">
        <v>1725</v>
      </c>
      <c r="G376" t="s">
        <v>644</v>
      </c>
      <c r="H376" t="s">
        <v>868</v>
      </c>
      <c r="I376">
        <v>1</v>
      </c>
      <c r="J376" t="s">
        <v>1725</v>
      </c>
      <c r="N376" t="s">
        <v>644</v>
      </c>
      <c r="O376" t="s">
        <v>868</v>
      </c>
      <c r="P376">
        <v>1</v>
      </c>
      <c r="R376">
        <v>4</v>
      </c>
      <c r="S376">
        <v>0</v>
      </c>
      <c r="U376" t="s">
        <v>650</v>
      </c>
      <c r="V376">
        <v>3</v>
      </c>
      <c r="W376" s="232">
        <v>36892</v>
      </c>
      <c r="X376" s="232">
        <v>36525</v>
      </c>
      <c r="Y376">
        <v>1</v>
      </c>
      <c r="Z376">
        <v>1</v>
      </c>
    </row>
    <row r="377" spans="1:26" x14ac:dyDescent="0.25">
      <c r="A377">
        <v>1793</v>
      </c>
      <c r="B377" t="s">
        <v>1726</v>
      </c>
      <c r="C377" t="s">
        <v>1727</v>
      </c>
      <c r="G377" t="s">
        <v>644</v>
      </c>
      <c r="H377" t="s">
        <v>1728</v>
      </c>
      <c r="I377">
        <v>1</v>
      </c>
      <c r="J377" t="s">
        <v>1727</v>
      </c>
      <c r="N377" t="s">
        <v>644</v>
      </c>
      <c r="O377" t="s">
        <v>1728</v>
      </c>
      <c r="P377">
        <v>1</v>
      </c>
      <c r="R377">
        <v>3</v>
      </c>
      <c r="S377">
        <v>0</v>
      </c>
      <c r="U377" t="s">
        <v>650</v>
      </c>
      <c r="V377">
        <v>3</v>
      </c>
      <c r="W377" s="232">
        <v>36892</v>
      </c>
      <c r="X377" s="232">
        <v>36525</v>
      </c>
      <c r="Y377">
        <v>0</v>
      </c>
      <c r="Z377">
        <v>1</v>
      </c>
    </row>
    <row r="378" spans="1:26" x14ac:dyDescent="0.25">
      <c r="A378">
        <v>30218</v>
      </c>
      <c r="B378" t="s">
        <v>1729</v>
      </c>
      <c r="R378">
        <v>2</v>
      </c>
      <c r="S378">
        <v>29747</v>
      </c>
      <c r="T378" t="s">
        <v>660</v>
      </c>
      <c r="U378" t="s">
        <v>1730</v>
      </c>
      <c r="V378">
        <v>3</v>
      </c>
      <c r="W378" s="232">
        <v>36892</v>
      </c>
      <c r="X378" s="232">
        <v>36525</v>
      </c>
      <c r="Y378">
        <v>0</v>
      </c>
      <c r="Z378">
        <v>1</v>
      </c>
    </row>
    <row r="379" spans="1:26" x14ac:dyDescent="0.25">
      <c r="A379">
        <v>10405</v>
      </c>
      <c r="B379" t="s">
        <v>1731</v>
      </c>
      <c r="C379" t="s">
        <v>1732</v>
      </c>
      <c r="G379" t="s">
        <v>644</v>
      </c>
      <c r="H379" t="s">
        <v>1733</v>
      </c>
      <c r="I379">
        <v>1</v>
      </c>
      <c r="J379" t="s">
        <v>1732</v>
      </c>
      <c r="N379" t="s">
        <v>644</v>
      </c>
      <c r="O379" t="s">
        <v>1733</v>
      </c>
      <c r="P379">
        <v>1</v>
      </c>
      <c r="R379">
        <v>4</v>
      </c>
      <c r="S379">
        <v>0</v>
      </c>
      <c r="U379" t="s">
        <v>650</v>
      </c>
      <c r="V379">
        <v>3</v>
      </c>
      <c r="W379" s="232">
        <v>36892</v>
      </c>
      <c r="X379" s="232">
        <v>36525</v>
      </c>
      <c r="Y379">
        <v>0</v>
      </c>
      <c r="Z379">
        <v>1</v>
      </c>
    </row>
    <row r="380" spans="1:26" x14ac:dyDescent="0.25">
      <c r="A380">
        <v>10252</v>
      </c>
      <c r="B380" t="s">
        <v>1734</v>
      </c>
      <c r="C380" t="s">
        <v>1735</v>
      </c>
      <c r="G380" t="s">
        <v>644</v>
      </c>
      <c r="H380" t="s">
        <v>804</v>
      </c>
      <c r="I380">
        <v>1</v>
      </c>
      <c r="J380" t="s">
        <v>1735</v>
      </c>
      <c r="N380" t="s">
        <v>644</v>
      </c>
      <c r="O380" t="s">
        <v>804</v>
      </c>
      <c r="P380">
        <v>1</v>
      </c>
      <c r="R380">
        <v>5</v>
      </c>
      <c r="S380">
        <v>0</v>
      </c>
      <c r="U380" t="s">
        <v>1736</v>
      </c>
      <c r="V380">
        <v>3</v>
      </c>
      <c r="W380" s="232">
        <v>36892</v>
      </c>
      <c r="X380" s="232">
        <v>36525</v>
      </c>
      <c r="Y380">
        <v>0</v>
      </c>
      <c r="Z380">
        <v>1</v>
      </c>
    </row>
    <row r="381" spans="1:26" x14ac:dyDescent="0.25">
      <c r="A381">
        <v>4936</v>
      </c>
      <c r="B381" t="s">
        <v>1737</v>
      </c>
      <c r="C381" t="s">
        <v>1738</v>
      </c>
      <c r="G381" t="s">
        <v>1010</v>
      </c>
      <c r="H381" t="s">
        <v>1739</v>
      </c>
      <c r="I381">
        <v>1</v>
      </c>
      <c r="J381" t="s">
        <v>1738</v>
      </c>
      <c r="N381" t="s">
        <v>1010</v>
      </c>
      <c r="O381" t="s">
        <v>1739</v>
      </c>
      <c r="P381">
        <v>1</v>
      </c>
      <c r="R381">
        <v>2</v>
      </c>
      <c r="S381">
        <v>0</v>
      </c>
      <c r="U381" t="s">
        <v>650</v>
      </c>
      <c r="V381">
        <v>3</v>
      </c>
      <c r="W381" s="232">
        <v>36892</v>
      </c>
      <c r="X381" s="232">
        <v>36525</v>
      </c>
      <c r="Y381">
        <v>1</v>
      </c>
      <c r="Z381">
        <v>1</v>
      </c>
    </row>
    <row r="382" spans="1:26" x14ac:dyDescent="0.25">
      <c r="A382">
        <v>10387</v>
      </c>
      <c r="B382" t="s">
        <v>1740</v>
      </c>
      <c r="C382" t="s">
        <v>1741</v>
      </c>
      <c r="G382" t="s">
        <v>644</v>
      </c>
      <c r="H382" t="s">
        <v>737</v>
      </c>
      <c r="I382">
        <v>1</v>
      </c>
      <c r="J382" t="s">
        <v>1741</v>
      </c>
      <c r="N382" t="s">
        <v>644</v>
      </c>
      <c r="O382" t="s">
        <v>737</v>
      </c>
      <c r="P382">
        <v>1</v>
      </c>
      <c r="R382">
        <v>3</v>
      </c>
      <c r="S382">
        <v>0</v>
      </c>
      <c r="U382" t="s">
        <v>650</v>
      </c>
      <c r="V382">
        <v>3</v>
      </c>
      <c r="W382" s="232">
        <v>36892</v>
      </c>
      <c r="X382" s="232">
        <v>36525</v>
      </c>
      <c r="Y382">
        <v>0</v>
      </c>
      <c r="Z382">
        <v>1</v>
      </c>
    </row>
    <row r="383" spans="1:26" x14ac:dyDescent="0.25">
      <c r="A383">
        <v>4939</v>
      </c>
      <c r="B383" t="s">
        <v>1742</v>
      </c>
      <c r="C383" t="s">
        <v>1743</v>
      </c>
      <c r="G383" t="s">
        <v>644</v>
      </c>
      <c r="H383" t="s">
        <v>828</v>
      </c>
      <c r="I383">
        <v>1</v>
      </c>
      <c r="J383" t="s">
        <v>1743</v>
      </c>
      <c r="N383" t="s">
        <v>644</v>
      </c>
      <c r="O383" t="s">
        <v>828</v>
      </c>
      <c r="P383">
        <v>1</v>
      </c>
      <c r="R383">
        <v>8</v>
      </c>
      <c r="S383">
        <v>0</v>
      </c>
      <c r="U383" t="s">
        <v>650</v>
      </c>
      <c r="V383">
        <v>3</v>
      </c>
      <c r="W383" s="232">
        <v>36892</v>
      </c>
      <c r="X383" s="232">
        <v>36525</v>
      </c>
      <c r="Y383">
        <v>0</v>
      </c>
      <c r="Z383">
        <v>1</v>
      </c>
    </row>
    <row r="384" spans="1:26" x14ac:dyDescent="0.25">
      <c r="A384">
        <v>4895</v>
      </c>
      <c r="B384" t="s">
        <v>1744</v>
      </c>
      <c r="C384" t="s">
        <v>1745</v>
      </c>
      <c r="G384" t="s">
        <v>644</v>
      </c>
      <c r="H384" t="s">
        <v>656</v>
      </c>
      <c r="I384">
        <v>1</v>
      </c>
      <c r="J384" t="s">
        <v>1745</v>
      </c>
      <c r="N384" t="s">
        <v>644</v>
      </c>
      <c r="O384" t="s">
        <v>656</v>
      </c>
      <c r="P384">
        <v>1</v>
      </c>
      <c r="R384">
        <v>7</v>
      </c>
      <c r="S384">
        <v>0</v>
      </c>
      <c r="U384" t="s">
        <v>650</v>
      </c>
      <c r="V384">
        <v>3</v>
      </c>
      <c r="W384" s="232">
        <v>36892</v>
      </c>
      <c r="X384" s="232">
        <v>36525</v>
      </c>
      <c r="Y384">
        <v>1</v>
      </c>
      <c r="Z384">
        <v>1</v>
      </c>
    </row>
    <row r="385" spans="1:26" x14ac:dyDescent="0.25">
      <c r="A385">
        <v>10419</v>
      </c>
      <c r="B385" t="s">
        <v>1746</v>
      </c>
      <c r="C385" t="s">
        <v>1747</v>
      </c>
      <c r="G385" t="s">
        <v>644</v>
      </c>
      <c r="H385" t="s">
        <v>1748</v>
      </c>
      <c r="I385">
        <v>1</v>
      </c>
      <c r="J385" t="s">
        <v>1747</v>
      </c>
      <c r="N385" t="s">
        <v>644</v>
      </c>
      <c r="O385" t="s">
        <v>1748</v>
      </c>
      <c r="P385">
        <v>1</v>
      </c>
      <c r="R385">
        <v>5</v>
      </c>
      <c r="S385">
        <v>0</v>
      </c>
      <c r="U385" t="s">
        <v>650</v>
      </c>
      <c r="V385">
        <v>3</v>
      </c>
      <c r="W385" s="232">
        <v>36892</v>
      </c>
      <c r="X385" s="232">
        <v>36525</v>
      </c>
      <c r="Y385">
        <v>0</v>
      </c>
      <c r="Z385">
        <v>1</v>
      </c>
    </row>
    <row r="386" spans="1:26" x14ac:dyDescent="0.25">
      <c r="A386">
        <v>4941</v>
      </c>
      <c r="B386" t="s">
        <v>1749</v>
      </c>
      <c r="C386" t="s">
        <v>745</v>
      </c>
      <c r="G386" t="s">
        <v>644</v>
      </c>
      <c r="H386" t="s">
        <v>746</v>
      </c>
      <c r="I386">
        <v>1</v>
      </c>
      <c r="J386" t="s">
        <v>745</v>
      </c>
      <c r="N386" t="s">
        <v>644</v>
      </c>
      <c r="O386" t="s">
        <v>746</v>
      </c>
      <c r="P386">
        <v>1</v>
      </c>
      <c r="R386">
        <v>3</v>
      </c>
      <c r="S386">
        <v>0</v>
      </c>
      <c r="U386" t="s">
        <v>650</v>
      </c>
      <c r="V386">
        <v>3</v>
      </c>
      <c r="W386" s="232">
        <v>36892</v>
      </c>
      <c r="X386" s="232">
        <v>36525</v>
      </c>
      <c r="Y386">
        <v>0</v>
      </c>
      <c r="Z386">
        <v>1</v>
      </c>
    </row>
    <row r="387" spans="1:26" x14ac:dyDescent="0.25">
      <c r="A387">
        <v>10369</v>
      </c>
      <c r="B387" t="s">
        <v>1750</v>
      </c>
      <c r="C387" t="s">
        <v>1751</v>
      </c>
      <c r="G387" t="s">
        <v>644</v>
      </c>
      <c r="H387" t="s">
        <v>1752</v>
      </c>
      <c r="I387">
        <v>1</v>
      </c>
      <c r="J387" t="s">
        <v>1751</v>
      </c>
      <c r="N387" t="s">
        <v>644</v>
      </c>
      <c r="O387" t="s">
        <v>1752</v>
      </c>
      <c r="P387">
        <v>1</v>
      </c>
      <c r="R387">
        <v>3</v>
      </c>
      <c r="S387">
        <v>0</v>
      </c>
      <c r="U387" t="s">
        <v>650</v>
      </c>
      <c r="V387">
        <v>3</v>
      </c>
      <c r="W387" s="232">
        <v>36892</v>
      </c>
      <c r="X387" s="232">
        <v>36525</v>
      </c>
      <c r="Y387">
        <v>0</v>
      </c>
      <c r="Z387">
        <v>1</v>
      </c>
    </row>
    <row r="388" spans="1:26" x14ac:dyDescent="0.25">
      <c r="A388">
        <v>30134</v>
      </c>
      <c r="B388" t="s">
        <v>1753</v>
      </c>
      <c r="I388">
        <v>1</v>
      </c>
      <c r="P388">
        <v>1</v>
      </c>
      <c r="R388">
        <v>1</v>
      </c>
      <c r="S388">
        <v>29747</v>
      </c>
      <c r="T388" t="s">
        <v>660</v>
      </c>
      <c r="U388" t="s">
        <v>1754</v>
      </c>
      <c r="V388">
        <v>3</v>
      </c>
      <c r="W388" s="232">
        <v>36892</v>
      </c>
      <c r="X388" s="232">
        <v>36525</v>
      </c>
      <c r="Y388">
        <v>0</v>
      </c>
      <c r="Z388">
        <v>1</v>
      </c>
    </row>
    <row r="389" spans="1:26" x14ac:dyDescent="0.25">
      <c r="A389">
        <v>4905</v>
      </c>
      <c r="B389" t="s">
        <v>1755</v>
      </c>
      <c r="C389" t="s">
        <v>1756</v>
      </c>
      <c r="G389" t="s">
        <v>644</v>
      </c>
      <c r="H389" t="s">
        <v>1650</v>
      </c>
      <c r="I389">
        <v>1</v>
      </c>
      <c r="J389" t="s">
        <v>1756</v>
      </c>
      <c r="N389" t="s">
        <v>644</v>
      </c>
      <c r="O389" t="s">
        <v>1650</v>
      </c>
      <c r="P389">
        <v>1</v>
      </c>
      <c r="Q389">
        <v>1285</v>
      </c>
      <c r="R389">
        <v>7</v>
      </c>
      <c r="S389">
        <v>0</v>
      </c>
      <c r="U389" t="s">
        <v>650</v>
      </c>
      <c r="V389">
        <v>3</v>
      </c>
      <c r="W389" s="232">
        <v>36892</v>
      </c>
      <c r="X389" s="232">
        <v>36525</v>
      </c>
      <c r="Y389">
        <v>0</v>
      </c>
      <c r="Z389">
        <v>1</v>
      </c>
    </row>
    <row r="390" spans="1:26" x14ac:dyDescent="0.25">
      <c r="A390">
        <v>4908</v>
      </c>
      <c r="B390" t="s">
        <v>1757</v>
      </c>
      <c r="C390" t="s">
        <v>1758</v>
      </c>
      <c r="G390" t="s">
        <v>644</v>
      </c>
      <c r="H390" t="s">
        <v>1467</v>
      </c>
      <c r="I390">
        <v>1</v>
      </c>
      <c r="J390" t="s">
        <v>1758</v>
      </c>
      <c r="N390" t="s">
        <v>644</v>
      </c>
      <c r="O390" t="s">
        <v>1467</v>
      </c>
      <c r="P390">
        <v>1</v>
      </c>
      <c r="R390">
        <v>6</v>
      </c>
      <c r="S390">
        <v>0</v>
      </c>
      <c r="U390" t="s">
        <v>1759</v>
      </c>
      <c r="V390">
        <v>3</v>
      </c>
      <c r="W390" s="232">
        <v>36892</v>
      </c>
      <c r="X390" s="232">
        <v>36525</v>
      </c>
      <c r="Y390">
        <v>0</v>
      </c>
      <c r="Z390">
        <v>1</v>
      </c>
    </row>
    <row r="391" spans="1:26" x14ac:dyDescent="0.25">
      <c r="A391">
        <v>5000</v>
      </c>
      <c r="B391" t="s">
        <v>1760</v>
      </c>
      <c r="C391" t="s">
        <v>1761</v>
      </c>
      <c r="G391" t="s">
        <v>644</v>
      </c>
      <c r="H391" t="s">
        <v>1029</v>
      </c>
      <c r="I391">
        <v>1</v>
      </c>
      <c r="J391" t="s">
        <v>1761</v>
      </c>
      <c r="N391" t="s">
        <v>644</v>
      </c>
      <c r="O391" t="s">
        <v>1029</v>
      </c>
      <c r="P391">
        <v>1</v>
      </c>
      <c r="R391">
        <v>2</v>
      </c>
      <c r="S391">
        <v>0</v>
      </c>
      <c r="U391" t="s">
        <v>650</v>
      </c>
      <c r="V391">
        <v>3</v>
      </c>
      <c r="W391" s="232">
        <v>36892</v>
      </c>
      <c r="X391" s="232">
        <v>36525</v>
      </c>
      <c r="Y391">
        <v>0</v>
      </c>
      <c r="Z391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D229"/>
  <sheetViews>
    <sheetView workbookViewId="0">
      <selection activeCell="A8" sqref="A8"/>
    </sheetView>
  </sheetViews>
  <sheetFormatPr defaultRowHeight="15" x14ac:dyDescent="0.25"/>
  <cols>
    <col min="2" max="2" width="17.140625" style="145" customWidth="1"/>
    <col min="3" max="3" width="21.5703125" style="1" customWidth="1"/>
    <col min="4" max="4" width="111.140625" customWidth="1"/>
  </cols>
  <sheetData>
    <row r="1" spans="1:4" x14ac:dyDescent="0.25">
      <c r="A1" s="15" t="s">
        <v>510</v>
      </c>
      <c r="B1" s="15" t="s">
        <v>511</v>
      </c>
      <c r="C1" s="15" t="s">
        <v>512</v>
      </c>
      <c r="D1" s="15" t="s">
        <v>513</v>
      </c>
    </row>
    <row r="2" spans="1:4" x14ac:dyDescent="0.25">
      <c r="A2" s="126">
        <v>1</v>
      </c>
      <c r="B2" s="144">
        <v>42395</v>
      </c>
      <c r="C2" s="15" t="s">
        <v>514</v>
      </c>
      <c r="D2" s="10" t="s">
        <v>516</v>
      </c>
    </row>
    <row r="3" spans="1:4" x14ac:dyDescent="0.25">
      <c r="A3" s="15">
        <v>1.1000000000000001</v>
      </c>
      <c r="B3" s="144">
        <v>42401</v>
      </c>
      <c r="C3" s="15" t="s">
        <v>514</v>
      </c>
      <c r="D3" s="143" t="s">
        <v>515</v>
      </c>
    </row>
    <row r="4" spans="1:4" x14ac:dyDescent="0.25">
      <c r="A4" s="15">
        <v>1.2</v>
      </c>
      <c r="B4" s="144">
        <v>42437</v>
      </c>
      <c r="C4" s="15" t="s">
        <v>514</v>
      </c>
      <c r="D4" s="10" t="s">
        <v>528</v>
      </c>
    </row>
    <row r="5" spans="1:4" x14ac:dyDescent="0.25">
      <c r="A5" s="15">
        <v>1.3</v>
      </c>
      <c r="B5" s="144">
        <v>42493</v>
      </c>
      <c r="C5" s="15" t="s">
        <v>514</v>
      </c>
      <c r="D5" s="10" t="s">
        <v>535</v>
      </c>
    </row>
    <row r="6" spans="1:4" x14ac:dyDescent="0.25">
      <c r="A6" s="15">
        <v>1.4</v>
      </c>
      <c r="B6" s="144">
        <v>42507</v>
      </c>
      <c r="C6" s="15" t="s">
        <v>514</v>
      </c>
      <c r="D6" s="10" t="s">
        <v>536</v>
      </c>
    </row>
    <row r="7" spans="1:4" x14ac:dyDescent="0.25">
      <c r="A7" s="15">
        <v>1.5</v>
      </c>
      <c r="B7" s="144">
        <v>42548</v>
      </c>
      <c r="C7" s="15" t="s">
        <v>540</v>
      </c>
      <c r="D7" s="10" t="s">
        <v>541</v>
      </c>
    </row>
    <row r="8" spans="1:4" x14ac:dyDescent="0.25">
      <c r="A8" s="15">
        <v>1.8</v>
      </c>
      <c r="B8" s="144">
        <v>42571</v>
      </c>
      <c r="C8" s="15" t="s">
        <v>540</v>
      </c>
      <c r="D8" s="10" t="s">
        <v>561</v>
      </c>
    </row>
    <row r="9" spans="1:4" x14ac:dyDescent="0.25">
      <c r="A9" s="10"/>
      <c r="B9" s="144"/>
      <c r="C9" s="15"/>
      <c r="D9" s="10"/>
    </row>
    <row r="10" spans="1:4" x14ac:dyDescent="0.25">
      <c r="A10" s="10"/>
      <c r="B10" s="144"/>
      <c r="C10" s="15"/>
      <c r="D10" s="10"/>
    </row>
    <row r="11" spans="1:4" x14ac:dyDescent="0.25">
      <c r="A11" s="10"/>
      <c r="B11" s="144"/>
      <c r="C11" s="15"/>
      <c r="D11" s="10"/>
    </row>
    <row r="12" spans="1:4" x14ac:dyDescent="0.25">
      <c r="A12" s="10"/>
      <c r="B12" s="144"/>
      <c r="C12" s="15"/>
      <c r="D12" s="10"/>
    </row>
    <row r="13" spans="1:4" x14ac:dyDescent="0.25">
      <c r="A13" s="10"/>
      <c r="B13" s="144"/>
      <c r="C13" s="15"/>
      <c r="D13" s="10"/>
    </row>
    <row r="14" spans="1:4" x14ac:dyDescent="0.25">
      <c r="A14" s="10"/>
      <c r="B14" s="144"/>
      <c r="C14" s="15"/>
      <c r="D14" s="10"/>
    </row>
    <row r="15" spans="1:4" x14ac:dyDescent="0.25">
      <c r="A15" s="10"/>
      <c r="B15" s="144"/>
      <c r="C15" s="15"/>
      <c r="D15" s="10"/>
    </row>
    <row r="16" spans="1:4" x14ac:dyDescent="0.25">
      <c r="A16" s="10"/>
      <c r="B16" s="144"/>
      <c r="C16" s="15"/>
      <c r="D16" s="10"/>
    </row>
    <row r="17" spans="1:4" x14ac:dyDescent="0.25">
      <c r="A17" s="10"/>
      <c r="B17" s="144"/>
      <c r="C17" s="15"/>
      <c r="D17" s="10"/>
    </row>
    <row r="18" spans="1:4" x14ac:dyDescent="0.25">
      <c r="A18" s="10"/>
      <c r="B18" s="144"/>
      <c r="C18" s="15"/>
      <c r="D18" s="10"/>
    </row>
    <row r="19" spans="1:4" x14ac:dyDescent="0.25">
      <c r="A19" s="10"/>
      <c r="B19" s="144"/>
      <c r="C19" s="15"/>
      <c r="D19" s="10"/>
    </row>
    <row r="20" spans="1:4" x14ac:dyDescent="0.25">
      <c r="A20" s="10"/>
      <c r="B20" s="144"/>
      <c r="C20" s="15"/>
      <c r="D20" s="10"/>
    </row>
    <row r="21" spans="1:4" x14ac:dyDescent="0.25">
      <c r="A21" s="10"/>
      <c r="B21" s="144"/>
      <c r="C21" s="15"/>
      <c r="D21" s="10"/>
    </row>
    <row r="22" spans="1:4" x14ac:dyDescent="0.25">
      <c r="A22" s="10"/>
      <c r="B22" s="144"/>
      <c r="C22" s="15"/>
      <c r="D22" s="10"/>
    </row>
    <row r="23" spans="1:4" x14ac:dyDescent="0.25">
      <c r="A23" s="10"/>
      <c r="B23" s="144"/>
      <c r="C23" s="15"/>
      <c r="D23" s="10"/>
    </row>
    <row r="24" spans="1:4" x14ac:dyDescent="0.25">
      <c r="A24" s="10"/>
      <c r="B24" s="144"/>
      <c r="C24" s="15"/>
      <c r="D24" s="10"/>
    </row>
    <row r="25" spans="1:4" x14ac:dyDescent="0.25">
      <c r="A25" s="10"/>
      <c r="B25" s="144"/>
      <c r="C25" s="15"/>
      <c r="D25" s="10"/>
    </row>
    <row r="26" spans="1:4" x14ac:dyDescent="0.25">
      <c r="A26" s="10"/>
      <c r="B26" s="144"/>
      <c r="C26" s="15"/>
      <c r="D26" s="10"/>
    </row>
    <row r="27" spans="1:4" x14ac:dyDescent="0.25">
      <c r="A27" s="10"/>
      <c r="B27" s="144"/>
      <c r="C27" s="15"/>
      <c r="D27" s="10"/>
    </row>
    <row r="28" spans="1:4" x14ac:dyDescent="0.25">
      <c r="A28" s="10"/>
      <c r="B28" s="144"/>
      <c r="C28" s="15"/>
      <c r="D28" s="10"/>
    </row>
    <row r="29" spans="1:4" x14ac:dyDescent="0.25">
      <c r="A29" s="10"/>
      <c r="B29" s="144"/>
      <c r="C29" s="15"/>
      <c r="D29" s="10"/>
    </row>
    <row r="30" spans="1:4" x14ac:dyDescent="0.25">
      <c r="A30" s="10"/>
      <c r="B30" s="144"/>
      <c r="C30" s="15"/>
      <c r="D30" s="10"/>
    </row>
    <row r="31" spans="1:4" x14ac:dyDescent="0.25">
      <c r="A31" s="10"/>
      <c r="B31" s="144"/>
      <c r="C31" s="15"/>
      <c r="D31" s="10"/>
    </row>
    <row r="32" spans="1:4" x14ac:dyDescent="0.25">
      <c r="A32" s="10"/>
      <c r="B32" s="144"/>
      <c r="C32" s="15"/>
      <c r="D32" s="10"/>
    </row>
    <row r="33" spans="1:4" x14ac:dyDescent="0.25">
      <c r="A33" s="10"/>
      <c r="B33" s="144"/>
      <c r="C33" s="15"/>
      <c r="D33" s="10"/>
    </row>
    <row r="34" spans="1:4" x14ac:dyDescent="0.25">
      <c r="A34" s="10"/>
      <c r="B34" s="144"/>
      <c r="C34" s="15"/>
      <c r="D34" s="10"/>
    </row>
    <row r="35" spans="1:4" x14ac:dyDescent="0.25">
      <c r="A35" s="10"/>
      <c r="B35" s="144"/>
      <c r="C35" s="15"/>
      <c r="D35" s="10"/>
    </row>
    <row r="36" spans="1:4" x14ac:dyDescent="0.25">
      <c r="A36" s="10"/>
      <c r="B36" s="144"/>
      <c r="C36" s="15"/>
      <c r="D36" s="10"/>
    </row>
    <row r="37" spans="1:4" x14ac:dyDescent="0.25">
      <c r="A37" s="10"/>
      <c r="B37" s="144"/>
      <c r="C37" s="15"/>
      <c r="D37" s="10"/>
    </row>
    <row r="38" spans="1:4" x14ac:dyDescent="0.25">
      <c r="A38" s="10"/>
      <c r="B38" s="144"/>
      <c r="C38" s="15"/>
      <c r="D38" s="10"/>
    </row>
    <row r="39" spans="1:4" x14ac:dyDescent="0.25">
      <c r="A39" s="10"/>
      <c r="B39" s="144"/>
      <c r="C39" s="15"/>
      <c r="D39" s="10"/>
    </row>
    <row r="40" spans="1:4" x14ac:dyDescent="0.25">
      <c r="A40" s="10"/>
      <c r="B40" s="144"/>
      <c r="C40" s="15"/>
      <c r="D40" s="10"/>
    </row>
    <row r="41" spans="1:4" x14ac:dyDescent="0.25">
      <c r="A41" s="10"/>
      <c r="B41" s="144"/>
      <c r="C41" s="15"/>
      <c r="D41" s="10"/>
    </row>
    <row r="42" spans="1:4" x14ac:dyDescent="0.25">
      <c r="A42" s="10"/>
      <c r="B42" s="144"/>
      <c r="C42" s="15"/>
      <c r="D42" s="10"/>
    </row>
    <row r="43" spans="1:4" x14ac:dyDescent="0.25">
      <c r="A43" s="10"/>
      <c r="B43" s="144"/>
      <c r="C43" s="15"/>
      <c r="D43" s="10"/>
    </row>
    <row r="44" spans="1:4" x14ac:dyDescent="0.25">
      <c r="A44" s="10"/>
      <c r="B44" s="144"/>
      <c r="C44" s="15"/>
      <c r="D44" s="10"/>
    </row>
    <row r="45" spans="1:4" x14ac:dyDescent="0.25">
      <c r="A45" s="10"/>
      <c r="B45" s="144"/>
      <c r="C45" s="15"/>
      <c r="D45" s="10"/>
    </row>
    <row r="46" spans="1:4" x14ac:dyDescent="0.25">
      <c r="A46" s="10"/>
      <c r="B46" s="144"/>
      <c r="C46" s="15"/>
      <c r="D46" s="10"/>
    </row>
    <row r="47" spans="1:4" x14ac:dyDescent="0.25">
      <c r="A47" s="10"/>
      <c r="B47" s="144"/>
      <c r="C47" s="15"/>
      <c r="D47" s="10"/>
    </row>
    <row r="48" spans="1:4" x14ac:dyDescent="0.25">
      <c r="A48" s="10"/>
      <c r="B48" s="144"/>
      <c r="C48" s="15"/>
      <c r="D48" s="10"/>
    </row>
    <row r="49" spans="1:4" x14ac:dyDescent="0.25">
      <c r="A49" s="10"/>
      <c r="B49" s="144"/>
      <c r="C49" s="15"/>
      <c r="D49" s="10"/>
    </row>
    <row r="50" spans="1:4" x14ac:dyDescent="0.25">
      <c r="A50" s="10"/>
      <c r="B50" s="144"/>
      <c r="C50" s="15"/>
      <c r="D50" s="10"/>
    </row>
    <row r="51" spans="1:4" x14ac:dyDescent="0.25">
      <c r="A51" s="10"/>
      <c r="B51" s="144"/>
      <c r="C51" s="15"/>
      <c r="D51" s="10"/>
    </row>
    <row r="52" spans="1:4" x14ac:dyDescent="0.25">
      <c r="A52" s="10"/>
      <c r="B52" s="144"/>
      <c r="C52" s="15"/>
      <c r="D52" s="10"/>
    </row>
    <row r="53" spans="1:4" x14ac:dyDescent="0.25">
      <c r="A53" s="10"/>
      <c r="B53" s="144"/>
      <c r="C53" s="15"/>
      <c r="D53" s="10"/>
    </row>
    <row r="54" spans="1:4" x14ac:dyDescent="0.25">
      <c r="A54" s="10"/>
      <c r="B54" s="144"/>
      <c r="C54" s="15"/>
      <c r="D54" s="10"/>
    </row>
    <row r="55" spans="1:4" x14ac:dyDescent="0.25">
      <c r="A55" s="10"/>
      <c r="B55" s="144"/>
      <c r="C55" s="15"/>
      <c r="D55" s="10"/>
    </row>
    <row r="56" spans="1:4" x14ac:dyDescent="0.25">
      <c r="A56" s="10"/>
      <c r="B56" s="144"/>
      <c r="C56" s="15"/>
      <c r="D56" s="10"/>
    </row>
    <row r="57" spans="1:4" x14ac:dyDescent="0.25">
      <c r="A57" s="10"/>
      <c r="B57" s="144"/>
      <c r="C57" s="15"/>
      <c r="D57" s="10"/>
    </row>
    <row r="58" spans="1:4" x14ac:dyDescent="0.25">
      <c r="A58" s="10"/>
      <c r="B58" s="144"/>
      <c r="C58" s="15"/>
      <c r="D58" s="10"/>
    </row>
    <row r="59" spans="1:4" x14ac:dyDescent="0.25">
      <c r="A59" s="10"/>
      <c r="B59" s="144"/>
      <c r="C59" s="15"/>
      <c r="D59" s="10"/>
    </row>
    <row r="60" spans="1:4" x14ac:dyDescent="0.25">
      <c r="A60" s="10"/>
      <c r="B60" s="144"/>
      <c r="C60" s="15"/>
      <c r="D60" s="10"/>
    </row>
    <row r="61" spans="1:4" x14ac:dyDescent="0.25">
      <c r="A61" s="10"/>
      <c r="B61" s="144"/>
      <c r="C61" s="15"/>
      <c r="D61" s="10"/>
    </row>
    <row r="62" spans="1:4" x14ac:dyDescent="0.25">
      <c r="A62" s="10"/>
      <c r="B62" s="144"/>
      <c r="C62" s="15"/>
      <c r="D62" s="10"/>
    </row>
    <row r="63" spans="1:4" x14ac:dyDescent="0.25">
      <c r="A63" s="10"/>
      <c r="B63" s="144"/>
      <c r="C63" s="15"/>
      <c r="D63" s="10"/>
    </row>
    <row r="64" spans="1:4" x14ac:dyDescent="0.25">
      <c r="A64" s="10"/>
      <c r="B64" s="144"/>
      <c r="C64" s="15"/>
      <c r="D64" s="10"/>
    </row>
    <row r="65" spans="1:4" x14ac:dyDescent="0.25">
      <c r="A65" s="10"/>
      <c r="B65" s="144"/>
      <c r="C65" s="15"/>
      <c r="D65" s="10"/>
    </row>
    <row r="66" spans="1:4" x14ac:dyDescent="0.25">
      <c r="A66" s="10"/>
      <c r="B66" s="144"/>
      <c r="C66" s="15"/>
      <c r="D66" s="10"/>
    </row>
    <row r="67" spans="1:4" x14ac:dyDescent="0.25">
      <c r="A67" s="10"/>
      <c r="B67" s="144"/>
      <c r="C67" s="15"/>
      <c r="D67" s="10"/>
    </row>
    <row r="68" spans="1:4" x14ac:dyDescent="0.25">
      <c r="A68" s="10"/>
      <c r="B68" s="144"/>
      <c r="C68" s="15"/>
      <c r="D68" s="10"/>
    </row>
    <row r="69" spans="1:4" x14ac:dyDescent="0.25">
      <c r="A69" s="10"/>
      <c r="B69" s="144"/>
      <c r="C69" s="15"/>
      <c r="D69" s="10"/>
    </row>
    <row r="70" spans="1:4" x14ac:dyDescent="0.25">
      <c r="A70" s="10"/>
      <c r="B70" s="144"/>
      <c r="C70" s="15"/>
      <c r="D70" s="10"/>
    </row>
    <row r="71" spans="1:4" x14ac:dyDescent="0.25">
      <c r="A71" s="10"/>
      <c r="B71" s="144"/>
      <c r="C71" s="15"/>
      <c r="D71" s="10"/>
    </row>
    <row r="72" spans="1:4" x14ac:dyDescent="0.25">
      <c r="A72" s="10"/>
      <c r="B72" s="144"/>
      <c r="C72" s="15"/>
      <c r="D72" s="10"/>
    </row>
    <row r="73" spans="1:4" x14ac:dyDescent="0.25">
      <c r="A73" s="10"/>
      <c r="B73" s="144"/>
      <c r="C73" s="15"/>
      <c r="D73" s="10"/>
    </row>
    <row r="74" spans="1:4" x14ac:dyDescent="0.25">
      <c r="A74" s="10"/>
      <c r="B74" s="144"/>
      <c r="C74" s="15"/>
      <c r="D74" s="10"/>
    </row>
    <row r="75" spans="1:4" x14ac:dyDescent="0.25">
      <c r="A75" s="10"/>
      <c r="B75" s="144"/>
      <c r="C75" s="15"/>
      <c r="D75" s="10"/>
    </row>
    <row r="76" spans="1:4" x14ac:dyDescent="0.25">
      <c r="A76" s="10"/>
      <c r="B76" s="144"/>
      <c r="C76" s="15"/>
      <c r="D76" s="10"/>
    </row>
    <row r="77" spans="1:4" x14ac:dyDescent="0.25">
      <c r="A77" s="10"/>
      <c r="B77" s="144"/>
      <c r="C77" s="15"/>
      <c r="D77" s="10"/>
    </row>
    <row r="78" spans="1:4" x14ac:dyDescent="0.25">
      <c r="A78" s="10"/>
      <c r="B78" s="144"/>
      <c r="C78" s="15"/>
      <c r="D78" s="10"/>
    </row>
    <row r="79" spans="1:4" x14ac:dyDescent="0.25">
      <c r="A79" s="10"/>
      <c r="B79" s="144"/>
      <c r="C79" s="15"/>
      <c r="D79" s="10"/>
    </row>
    <row r="80" spans="1:4" x14ac:dyDescent="0.25">
      <c r="A80" s="10"/>
      <c r="B80" s="144"/>
      <c r="C80" s="15"/>
      <c r="D80" s="10"/>
    </row>
    <row r="81" spans="1:4" x14ac:dyDescent="0.25">
      <c r="A81" s="10"/>
      <c r="B81" s="144"/>
      <c r="C81" s="15"/>
      <c r="D81" s="10"/>
    </row>
    <row r="82" spans="1:4" x14ac:dyDescent="0.25">
      <c r="A82" s="10"/>
      <c r="B82" s="144"/>
      <c r="C82" s="15"/>
      <c r="D82" s="10"/>
    </row>
    <row r="83" spans="1:4" x14ac:dyDescent="0.25">
      <c r="A83" s="10"/>
      <c r="B83" s="144"/>
      <c r="C83" s="15"/>
      <c r="D83" s="10"/>
    </row>
    <row r="84" spans="1:4" x14ac:dyDescent="0.25">
      <c r="A84" s="10"/>
      <c r="B84" s="144"/>
      <c r="C84" s="15"/>
      <c r="D84" s="10"/>
    </row>
    <row r="85" spans="1:4" x14ac:dyDescent="0.25">
      <c r="A85" s="10"/>
      <c r="B85" s="144"/>
      <c r="C85" s="15"/>
      <c r="D85" s="10"/>
    </row>
    <row r="86" spans="1:4" x14ac:dyDescent="0.25">
      <c r="A86" s="10"/>
      <c r="B86" s="144"/>
      <c r="C86" s="15"/>
      <c r="D86" s="10"/>
    </row>
    <row r="87" spans="1:4" x14ac:dyDescent="0.25">
      <c r="A87" s="10"/>
      <c r="B87" s="144"/>
      <c r="C87" s="15"/>
      <c r="D87" s="10"/>
    </row>
    <row r="88" spans="1:4" x14ac:dyDescent="0.25">
      <c r="A88" s="10"/>
      <c r="B88" s="144"/>
      <c r="C88" s="15"/>
      <c r="D88" s="10"/>
    </row>
    <row r="89" spans="1:4" x14ac:dyDescent="0.25">
      <c r="A89" s="10"/>
      <c r="B89" s="144"/>
      <c r="C89" s="15"/>
      <c r="D89" s="10"/>
    </row>
    <row r="90" spans="1:4" x14ac:dyDescent="0.25">
      <c r="A90" s="10"/>
      <c r="B90" s="144"/>
      <c r="C90" s="15"/>
      <c r="D90" s="10"/>
    </row>
    <row r="91" spans="1:4" x14ac:dyDescent="0.25">
      <c r="A91" s="10"/>
      <c r="B91" s="144"/>
      <c r="C91" s="15"/>
      <c r="D91" s="10"/>
    </row>
    <row r="92" spans="1:4" x14ac:dyDescent="0.25">
      <c r="A92" s="10"/>
      <c r="B92" s="144"/>
      <c r="C92" s="15"/>
      <c r="D92" s="10"/>
    </row>
    <row r="93" spans="1:4" x14ac:dyDescent="0.25">
      <c r="A93" s="10"/>
      <c r="B93" s="144"/>
      <c r="C93" s="15"/>
      <c r="D93" s="10"/>
    </row>
    <row r="94" spans="1:4" x14ac:dyDescent="0.25">
      <c r="A94" s="10"/>
      <c r="B94" s="144"/>
      <c r="C94" s="15"/>
      <c r="D94" s="10"/>
    </row>
    <row r="95" spans="1:4" x14ac:dyDescent="0.25">
      <c r="A95" s="10"/>
      <c r="B95" s="144"/>
      <c r="C95" s="15"/>
      <c r="D95" s="10"/>
    </row>
    <row r="96" spans="1:4" x14ac:dyDescent="0.25">
      <c r="A96" s="10"/>
      <c r="B96" s="144"/>
      <c r="C96" s="15"/>
      <c r="D96" s="10"/>
    </row>
    <row r="97" spans="1:4" x14ac:dyDescent="0.25">
      <c r="A97" s="10"/>
      <c r="B97" s="144"/>
      <c r="C97" s="15"/>
      <c r="D97" s="10"/>
    </row>
    <row r="98" spans="1:4" x14ac:dyDescent="0.25">
      <c r="A98" s="10"/>
      <c r="B98" s="144"/>
      <c r="C98" s="15"/>
      <c r="D98" s="10"/>
    </row>
    <row r="99" spans="1:4" x14ac:dyDescent="0.25">
      <c r="A99" s="10"/>
      <c r="B99" s="144"/>
      <c r="C99" s="15"/>
      <c r="D99" s="10"/>
    </row>
    <row r="100" spans="1:4" x14ac:dyDescent="0.25">
      <c r="A100" s="10"/>
      <c r="B100" s="144"/>
      <c r="C100" s="15"/>
      <c r="D100" s="10"/>
    </row>
    <row r="101" spans="1:4" x14ac:dyDescent="0.25">
      <c r="A101" s="10"/>
      <c r="B101" s="144"/>
      <c r="C101" s="15"/>
      <c r="D101" s="10"/>
    </row>
    <row r="102" spans="1:4" x14ac:dyDescent="0.25">
      <c r="A102" s="10"/>
      <c r="B102" s="144"/>
      <c r="C102" s="15"/>
      <c r="D102" s="10"/>
    </row>
    <row r="103" spans="1:4" x14ac:dyDescent="0.25">
      <c r="A103" s="10"/>
      <c r="B103" s="144"/>
      <c r="C103" s="15"/>
      <c r="D103" s="10"/>
    </row>
    <row r="104" spans="1:4" x14ac:dyDescent="0.25">
      <c r="A104" s="10"/>
      <c r="B104" s="144"/>
      <c r="C104" s="15"/>
      <c r="D104" s="10"/>
    </row>
    <row r="105" spans="1:4" x14ac:dyDescent="0.25">
      <c r="A105" s="10"/>
      <c r="B105" s="144"/>
      <c r="C105" s="15"/>
      <c r="D105" s="10"/>
    </row>
    <row r="106" spans="1:4" x14ac:dyDescent="0.25">
      <c r="A106" s="10"/>
      <c r="B106" s="144"/>
      <c r="C106" s="15"/>
      <c r="D106" s="10"/>
    </row>
    <row r="107" spans="1:4" x14ac:dyDescent="0.25">
      <c r="A107" s="10"/>
      <c r="B107" s="144"/>
      <c r="C107" s="15"/>
      <c r="D107" s="10"/>
    </row>
    <row r="108" spans="1:4" x14ac:dyDescent="0.25">
      <c r="A108" s="10"/>
      <c r="B108" s="144"/>
      <c r="C108" s="15"/>
      <c r="D108" s="10"/>
    </row>
    <row r="109" spans="1:4" x14ac:dyDescent="0.25">
      <c r="A109" s="10"/>
      <c r="B109" s="144"/>
      <c r="C109" s="15"/>
      <c r="D109" s="10"/>
    </row>
    <row r="110" spans="1:4" x14ac:dyDescent="0.25">
      <c r="A110" s="10"/>
      <c r="B110" s="144"/>
      <c r="C110" s="15"/>
      <c r="D110" s="10"/>
    </row>
    <row r="111" spans="1:4" x14ac:dyDescent="0.25">
      <c r="A111" s="10"/>
      <c r="B111" s="144"/>
      <c r="C111" s="15"/>
      <c r="D111" s="10"/>
    </row>
    <row r="112" spans="1:4" x14ac:dyDescent="0.25">
      <c r="A112" s="10"/>
      <c r="B112" s="144"/>
      <c r="C112" s="15"/>
      <c r="D112" s="10"/>
    </row>
    <row r="113" spans="1:4" x14ac:dyDescent="0.25">
      <c r="A113" s="10"/>
      <c r="B113" s="144"/>
      <c r="C113" s="15"/>
      <c r="D113" s="10"/>
    </row>
    <row r="114" spans="1:4" x14ac:dyDescent="0.25">
      <c r="A114" s="10"/>
      <c r="B114" s="144"/>
      <c r="C114" s="15"/>
      <c r="D114" s="10"/>
    </row>
    <row r="115" spans="1:4" x14ac:dyDescent="0.25">
      <c r="A115" s="10"/>
      <c r="B115" s="144"/>
      <c r="C115" s="15"/>
      <c r="D115" s="10"/>
    </row>
    <row r="116" spans="1:4" x14ac:dyDescent="0.25">
      <c r="A116" s="10"/>
      <c r="B116" s="144"/>
      <c r="C116" s="15"/>
      <c r="D116" s="10"/>
    </row>
    <row r="117" spans="1:4" x14ac:dyDescent="0.25">
      <c r="A117" s="10"/>
      <c r="B117" s="144"/>
      <c r="C117" s="15"/>
      <c r="D117" s="10"/>
    </row>
    <row r="118" spans="1:4" x14ac:dyDescent="0.25">
      <c r="A118" s="10"/>
      <c r="B118" s="144"/>
      <c r="C118" s="15"/>
      <c r="D118" s="10"/>
    </row>
    <row r="119" spans="1:4" x14ac:dyDescent="0.25">
      <c r="A119" s="10"/>
      <c r="B119" s="144"/>
      <c r="C119" s="15"/>
      <c r="D119" s="10"/>
    </row>
    <row r="120" spans="1:4" x14ac:dyDescent="0.25">
      <c r="A120" s="10"/>
      <c r="B120" s="144"/>
      <c r="C120" s="15"/>
      <c r="D120" s="10"/>
    </row>
    <row r="121" spans="1:4" x14ac:dyDescent="0.25">
      <c r="A121" s="10"/>
      <c r="B121" s="144"/>
      <c r="C121" s="15"/>
      <c r="D121" s="10"/>
    </row>
    <row r="122" spans="1:4" x14ac:dyDescent="0.25">
      <c r="A122" s="10"/>
      <c r="B122" s="144"/>
      <c r="C122" s="15"/>
      <c r="D122" s="10"/>
    </row>
    <row r="123" spans="1:4" x14ac:dyDescent="0.25">
      <c r="A123" s="10"/>
      <c r="B123" s="144"/>
      <c r="C123" s="15"/>
      <c r="D123" s="10"/>
    </row>
    <row r="124" spans="1:4" x14ac:dyDescent="0.25">
      <c r="A124" s="10"/>
      <c r="B124" s="144"/>
      <c r="C124" s="15"/>
      <c r="D124" s="10"/>
    </row>
    <row r="125" spans="1:4" x14ac:dyDescent="0.25">
      <c r="A125" s="10"/>
      <c r="B125" s="144"/>
      <c r="C125" s="15"/>
      <c r="D125" s="10"/>
    </row>
    <row r="126" spans="1:4" x14ac:dyDescent="0.25">
      <c r="A126" s="10"/>
      <c r="B126" s="144"/>
      <c r="C126" s="15"/>
      <c r="D126" s="10"/>
    </row>
    <row r="127" spans="1:4" x14ac:dyDescent="0.25">
      <c r="A127" s="10"/>
      <c r="B127" s="144"/>
      <c r="C127" s="15"/>
      <c r="D127" s="10"/>
    </row>
    <row r="128" spans="1:4" x14ac:dyDescent="0.25">
      <c r="A128" s="10"/>
      <c r="B128" s="144"/>
      <c r="C128" s="15"/>
      <c r="D128" s="10"/>
    </row>
    <row r="129" spans="1:4" x14ac:dyDescent="0.25">
      <c r="A129" s="10"/>
      <c r="B129" s="144"/>
      <c r="C129" s="15"/>
      <c r="D129" s="10"/>
    </row>
    <row r="130" spans="1:4" x14ac:dyDescent="0.25">
      <c r="A130" s="10"/>
      <c r="B130" s="144"/>
      <c r="C130" s="15"/>
      <c r="D130" s="10"/>
    </row>
    <row r="131" spans="1:4" x14ac:dyDescent="0.25">
      <c r="A131" s="10"/>
      <c r="B131" s="144"/>
      <c r="C131" s="15"/>
      <c r="D131" s="10"/>
    </row>
    <row r="132" spans="1:4" x14ac:dyDescent="0.25">
      <c r="A132" s="10"/>
      <c r="B132" s="144"/>
      <c r="C132" s="15"/>
      <c r="D132" s="10"/>
    </row>
    <row r="133" spans="1:4" x14ac:dyDescent="0.25">
      <c r="A133" s="10"/>
      <c r="B133" s="144"/>
      <c r="C133" s="15"/>
      <c r="D133" s="10"/>
    </row>
    <row r="134" spans="1:4" x14ac:dyDescent="0.25">
      <c r="A134" s="10"/>
      <c r="B134" s="144"/>
      <c r="C134" s="15"/>
      <c r="D134" s="10"/>
    </row>
    <row r="135" spans="1:4" x14ac:dyDescent="0.25">
      <c r="A135" s="10"/>
      <c r="B135" s="144"/>
      <c r="C135" s="15"/>
      <c r="D135" s="10"/>
    </row>
    <row r="136" spans="1:4" x14ac:dyDescent="0.25">
      <c r="A136" s="10"/>
      <c r="B136" s="144"/>
      <c r="C136" s="15"/>
      <c r="D136" s="10"/>
    </row>
    <row r="137" spans="1:4" x14ac:dyDescent="0.25">
      <c r="A137" s="10"/>
      <c r="B137" s="144"/>
      <c r="C137" s="15"/>
      <c r="D137" s="10"/>
    </row>
    <row r="138" spans="1:4" x14ac:dyDescent="0.25">
      <c r="A138" s="10"/>
      <c r="B138" s="144"/>
      <c r="C138" s="15"/>
      <c r="D138" s="10"/>
    </row>
    <row r="139" spans="1:4" x14ac:dyDescent="0.25">
      <c r="A139" s="10"/>
      <c r="B139" s="144"/>
      <c r="C139" s="15"/>
      <c r="D139" s="10"/>
    </row>
    <row r="140" spans="1:4" x14ac:dyDescent="0.25">
      <c r="A140" s="10"/>
      <c r="B140" s="144"/>
      <c r="C140" s="15"/>
      <c r="D140" s="10"/>
    </row>
    <row r="141" spans="1:4" x14ac:dyDescent="0.25">
      <c r="A141" s="10"/>
      <c r="B141" s="144"/>
      <c r="C141" s="15"/>
      <c r="D141" s="10"/>
    </row>
    <row r="142" spans="1:4" x14ac:dyDescent="0.25">
      <c r="A142" s="10"/>
      <c r="B142" s="144"/>
      <c r="C142" s="15"/>
      <c r="D142" s="10"/>
    </row>
    <row r="143" spans="1:4" x14ac:dyDescent="0.25">
      <c r="A143" s="10"/>
      <c r="B143" s="144"/>
      <c r="C143" s="15"/>
      <c r="D143" s="10"/>
    </row>
    <row r="144" spans="1:4" x14ac:dyDescent="0.25">
      <c r="A144" s="10"/>
      <c r="B144" s="144"/>
      <c r="C144" s="15"/>
      <c r="D144" s="10"/>
    </row>
    <row r="145" spans="1:4" x14ac:dyDescent="0.25">
      <c r="A145" s="10"/>
      <c r="B145" s="144"/>
      <c r="C145" s="15"/>
      <c r="D145" s="10"/>
    </row>
    <row r="146" spans="1:4" x14ac:dyDescent="0.25">
      <c r="A146" s="10"/>
      <c r="B146" s="144"/>
      <c r="C146" s="15"/>
      <c r="D146" s="10"/>
    </row>
    <row r="147" spans="1:4" x14ac:dyDescent="0.25">
      <c r="A147" s="10"/>
      <c r="B147" s="144"/>
      <c r="C147" s="15"/>
      <c r="D147" s="10"/>
    </row>
    <row r="148" spans="1:4" x14ac:dyDescent="0.25">
      <c r="A148" s="10"/>
      <c r="B148" s="144"/>
      <c r="C148" s="15"/>
      <c r="D148" s="10"/>
    </row>
    <row r="149" spans="1:4" x14ac:dyDescent="0.25">
      <c r="A149" s="10"/>
      <c r="B149" s="144"/>
      <c r="C149" s="15"/>
      <c r="D149" s="10"/>
    </row>
    <row r="150" spans="1:4" x14ac:dyDescent="0.25">
      <c r="A150" s="10"/>
      <c r="B150" s="144"/>
      <c r="C150" s="15"/>
      <c r="D150" s="10"/>
    </row>
    <row r="151" spans="1:4" x14ac:dyDescent="0.25">
      <c r="A151" s="10"/>
      <c r="B151" s="144"/>
      <c r="C151" s="15"/>
      <c r="D151" s="10"/>
    </row>
    <row r="152" spans="1:4" x14ac:dyDescent="0.25">
      <c r="A152" s="10"/>
      <c r="B152" s="144"/>
      <c r="C152" s="15"/>
      <c r="D152" s="10"/>
    </row>
    <row r="153" spans="1:4" x14ac:dyDescent="0.25">
      <c r="A153" s="10"/>
      <c r="B153" s="144"/>
      <c r="C153" s="15"/>
      <c r="D153" s="10"/>
    </row>
    <row r="154" spans="1:4" x14ac:dyDescent="0.25">
      <c r="A154" s="10"/>
      <c r="B154" s="144"/>
      <c r="C154" s="15"/>
      <c r="D154" s="10"/>
    </row>
    <row r="155" spans="1:4" x14ac:dyDescent="0.25">
      <c r="A155" s="10"/>
      <c r="B155" s="144"/>
      <c r="C155" s="15"/>
      <c r="D155" s="10"/>
    </row>
    <row r="156" spans="1:4" x14ac:dyDescent="0.25">
      <c r="A156" s="10"/>
      <c r="B156" s="144"/>
      <c r="C156" s="15"/>
      <c r="D156" s="10"/>
    </row>
    <row r="157" spans="1:4" x14ac:dyDescent="0.25">
      <c r="A157" s="10"/>
      <c r="B157" s="144"/>
      <c r="C157" s="15"/>
      <c r="D157" s="10"/>
    </row>
    <row r="158" spans="1:4" x14ac:dyDescent="0.25">
      <c r="A158" s="10"/>
      <c r="B158" s="144"/>
      <c r="C158" s="15"/>
      <c r="D158" s="10"/>
    </row>
    <row r="159" spans="1:4" x14ac:dyDescent="0.25">
      <c r="A159" s="10"/>
      <c r="B159" s="144"/>
      <c r="C159" s="15"/>
      <c r="D159" s="10"/>
    </row>
    <row r="160" spans="1:4" x14ac:dyDescent="0.25">
      <c r="A160" s="10"/>
      <c r="B160" s="144"/>
      <c r="C160" s="15"/>
      <c r="D160" s="10"/>
    </row>
    <row r="161" spans="1:4" x14ac:dyDescent="0.25">
      <c r="A161" s="10"/>
      <c r="B161" s="144"/>
      <c r="C161" s="15"/>
      <c r="D161" s="10"/>
    </row>
    <row r="162" spans="1:4" x14ac:dyDescent="0.25">
      <c r="A162" s="10"/>
      <c r="B162" s="144"/>
      <c r="C162" s="15"/>
      <c r="D162" s="10"/>
    </row>
    <row r="163" spans="1:4" x14ac:dyDescent="0.25">
      <c r="A163" s="10"/>
      <c r="B163" s="144"/>
      <c r="C163" s="15"/>
      <c r="D163" s="10"/>
    </row>
    <row r="164" spans="1:4" x14ac:dyDescent="0.25">
      <c r="A164" s="10"/>
      <c r="B164" s="144"/>
      <c r="C164" s="15"/>
      <c r="D164" s="10"/>
    </row>
    <row r="165" spans="1:4" x14ac:dyDescent="0.25">
      <c r="A165" s="10"/>
      <c r="B165" s="144"/>
      <c r="C165" s="15"/>
      <c r="D165" s="10"/>
    </row>
    <row r="166" spans="1:4" x14ac:dyDescent="0.25">
      <c r="A166" s="10"/>
      <c r="B166" s="144"/>
      <c r="C166" s="15"/>
      <c r="D166" s="10"/>
    </row>
    <row r="167" spans="1:4" x14ac:dyDescent="0.25">
      <c r="A167" s="10"/>
      <c r="B167" s="144"/>
      <c r="C167" s="15"/>
      <c r="D167" s="10"/>
    </row>
    <row r="168" spans="1:4" x14ac:dyDescent="0.25">
      <c r="A168" s="10"/>
      <c r="B168" s="144"/>
      <c r="C168" s="15"/>
      <c r="D168" s="10"/>
    </row>
    <row r="169" spans="1:4" x14ac:dyDescent="0.25">
      <c r="A169" s="10"/>
      <c r="B169" s="144"/>
      <c r="C169" s="15"/>
      <c r="D169" s="10"/>
    </row>
    <row r="170" spans="1:4" x14ac:dyDescent="0.25">
      <c r="A170" s="10"/>
      <c r="B170" s="144"/>
      <c r="C170" s="15"/>
      <c r="D170" s="10"/>
    </row>
    <row r="171" spans="1:4" x14ac:dyDescent="0.25">
      <c r="A171" s="10"/>
      <c r="B171" s="144"/>
      <c r="C171" s="15"/>
      <c r="D171" s="10"/>
    </row>
    <row r="172" spans="1:4" x14ac:dyDescent="0.25">
      <c r="A172" s="10"/>
      <c r="B172" s="144"/>
      <c r="C172" s="15"/>
      <c r="D172" s="10"/>
    </row>
    <row r="173" spans="1:4" x14ac:dyDescent="0.25">
      <c r="A173" s="10"/>
      <c r="B173" s="144"/>
      <c r="C173" s="15"/>
      <c r="D173" s="10"/>
    </row>
    <row r="174" spans="1:4" x14ac:dyDescent="0.25">
      <c r="A174" s="10"/>
      <c r="B174" s="144"/>
      <c r="C174" s="15"/>
      <c r="D174" s="10"/>
    </row>
    <row r="175" spans="1:4" x14ac:dyDescent="0.25">
      <c r="A175" s="10"/>
      <c r="B175" s="144"/>
      <c r="C175" s="15"/>
      <c r="D175" s="10"/>
    </row>
    <row r="176" spans="1:4" x14ac:dyDescent="0.25">
      <c r="A176" s="10"/>
      <c r="B176" s="144"/>
      <c r="C176" s="15"/>
      <c r="D176" s="10"/>
    </row>
    <row r="177" spans="1:4" x14ac:dyDescent="0.25">
      <c r="A177" s="10"/>
      <c r="B177" s="144"/>
      <c r="C177" s="15"/>
      <c r="D177" s="10"/>
    </row>
    <row r="178" spans="1:4" x14ac:dyDescent="0.25">
      <c r="A178" s="10"/>
      <c r="B178" s="144"/>
      <c r="C178" s="15"/>
      <c r="D178" s="10"/>
    </row>
    <row r="179" spans="1:4" x14ac:dyDescent="0.25">
      <c r="A179" s="10"/>
      <c r="B179" s="144"/>
      <c r="C179" s="15"/>
      <c r="D179" s="10"/>
    </row>
    <row r="180" spans="1:4" x14ac:dyDescent="0.25">
      <c r="A180" s="10"/>
      <c r="B180" s="144"/>
      <c r="C180" s="15"/>
      <c r="D180" s="10"/>
    </row>
    <row r="181" spans="1:4" x14ac:dyDescent="0.25">
      <c r="A181" s="10"/>
      <c r="B181" s="144"/>
      <c r="C181" s="15"/>
      <c r="D181" s="10"/>
    </row>
    <row r="182" spans="1:4" x14ac:dyDescent="0.25">
      <c r="A182" s="10"/>
      <c r="B182" s="144"/>
      <c r="C182" s="15"/>
      <c r="D182" s="10"/>
    </row>
    <row r="183" spans="1:4" x14ac:dyDescent="0.25">
      <c r="A183" s="10"/>
      <c r="B183" s="144"/>
      <c r="C183" s="15"/>
      <c r="D183" s="10"/>
    </row>
    <row r="184" spans="1:4" x14ac:dyDescent="0.25">
      <c r="A184" s="10"/>
      <c r="B184" s="144"/>
      <c r="C184" s="15"/>
      <c r="D184" s="10"/>
    </row>
    <row r="185" spans="1:4" x14ac:dyDescent="0.25">
      <c r="A185" s="10"/>
      <c r="B185" s="144"/>
      <c r="C185" s="15"/>
      <c r="D185" s="10"/>
    </row>
    <row r="186" spans="1:4" x14ac:dyDescent="0.25">
      <c r="A186" s="10"/>
      <c r="B186" s="144"/>
      <c r="C186" s="15"/>
      <c r="D186" s="10"/>
    </row>
    <row r="187" spans="1:4" x14ac:dyDescent="0.25">
      <c r="A187" s="10"/>
      <c r="B187" s="144"/>
      <c r="C187" s="15"/>
      <c r="D187" s="10"/>
    </row>
    <row r="188" spans="1:4" x14ac:dyDescent="0.25">
      <c r="A188" s="10"/>
      <c r="B188" s="144"/>
      <c r="C188" s="15"/>
      <c r="D188" s="10"/>
    </row>
    <row r="189" spans="1:4" x14ac:dyDescent="0.25">
      <c r="A189" s="10"/>
      <c r="B189" s="144"/>
      <c r="C189" s="15"/>
      <c r="D189" s="10"/>
    </row>
    <row r="190" spans="1:4" x14ac:dyDescent="0.25">
      <c r="A190" s="10"/>
      <c r="B190" s="144"/>
      <c r="C190" s="15"/>
      <c r="D190" s="10"/>
    </row>
    <row r="191" spans="1:4" x14ac:dyDescent="0.25">
      <c r="A191" s="10"/>
      <c r="B191" s="144"/>
      <c r="C191" s="15"/>
      <c r="D191" s="10"/>
    </row>
    <row r="192" spans="1:4" x14ac:dyDescent="0.25">
      <c r="A192" s="10"/>
      <c r="B192" s="144"/>
      <c r="C192" s="15"/>
      <c r="D192" s="10"/>
    </row>
    <row r="193" spans="1:4" x14ac:dyDescent="0.25">
      <c r="A193" s="10"/>
      <c r="B193" s="144"/>
      <c r="C193" s="15"/>
      <c r="D193" s="10"/>
    </row>
    <row r="194" spans="1:4" x14ac:dyDescent="0.25">
      <c r="A194" s="10"/>
      <c r="B194" s="144"/>
      <c r="C194" s="15"/>
      <c r="D194" s="10"/>
    </row>
    <row r="195" spans="1:4" x14ac:dyDescent="0.25">
      <c r="A195" s="10"/>
      <c r="B195" s="144"/>
      <c r="C195" s="15"/>
      <c r="D195" s="10"/>
    </row>
    <row r="196" spans="1:4" x14ac:dyDescent="0.25">
      <c r="A196" s="10"/>
      <c r="B196" s="144"/>
      <c r="C196" s="15"/>
      <c r="D196" s="10"/>
    </row>
    <row r="197" spans="1:4" x14ac:dyDescent="0.25">
      <c r="A197" s="10"/>
      <c r="B197" s="144"/>
      <c r="C197" s="15"/>
      <c r="D197" s="10"/>
    </row>
    <row r="198" spans="1:4" x14ac:dyDescent="0.25">
      <c r="A198" s="10"/>
      <c r="B198" s="144"/>
      <c r="C198" s="15"/>
      <c r="D198" s="10"/>
    </row>
    <row r="199" spans="1:4" x14ac:dyDescent="0.25">
      <c r="A199" s="10"/>
      <c r="B199" s="144"/>
      <c r="C199" s="15"/>
      <c r="D199" s="10"/>
    </row>
    <row r="200" spans="1:4" x14ac:dyDescent="0.25">
      <c r="A200" s="10"/>
      <c r="B200" s="144"/>
      <c r="C200" s="15"/>
      <c r="D200" s="10"/>
    </row>
    <row r="201" spans="1:4" x14ac:dyDescent="0.25">
      <c r="A201" s="10"/>
      <c r="B201" s="144"/>
      <c r="C201" s="15"/>
      <c r="D201" s="10"/>
    </row>
    <row r="202" spans="1:4" x14ac:dyDescent="0.25">
      <c r="A202" s="10"/>
      <c r="B202" s="144"/>
      <c r="C202" s="15"/>
      <c r="D202" s="10"/>
    </row>
    <row r="203" spans="1:4" x14ac:dyDescent="0.25">
      <c r="A203" s="10"/>
      <c r="B203" s="144"/>
      <c r="C203" s="15"/>
      <c r="D203" s="10"/>
    </row>
    <row r="204" spans="1:4" x14ac:dyDescent="0.25">
      <c r="A204" s="10"/>
      <c r="B204" s="144"/>
      <c r="C204" s="15"/>
      <c r="D204" s="10"/>
    </row>
    <row r="205" spans="1:4" x14ac:dyDescent="0.25">
      <c r="A205" s="10"/>
      <c r="B205" s="144"/>
      <c r="C205" s="15"/>
      <c r="D205" s="10"/>
    </row>
    <row r="206" spans="1:4" x14ac:dyDescent="0.25">
      <c r="A206" s="10"/>
      <c r="B206" s="144"/>
      <c r="C206" s="15"/>
      <c r="D206" s="10"/>
    </row>
    <row r="207" spans="1:4" x14ac:dyDescent="0.25">
      <c r="A207" s="10"/>
      <c r="B207" s="144"/>
      <c r="C207" s="15"/>
      <c r="D207" s="10"/>
    </row>
    <row r="208" spans="1:4" x14ac:dyDescent="0.25">
      <c r="A208" s="10"/>
      <c r="B208" s="144"/>
      <c r="C208" s="15"/>
      <c r="D208" s="10"/>
    </row>
    <row r="209" spans="1:4" x14ac:dyDescent="0.25">
      <c r="A209" s="10"/>
      <c r="B209" s="144"/>
      <c r="C209" s="15"/>
      <c r="D209" s="10"/>
    </row>
    <row r="210" spans="1:4" x14ac:dyDescent="0.25">
      <c r="A210" s="10"/>
      <c r="B210" s="144"/>
      <c r="C210" s="15"/>
      <c r="D210" s="10"/>
    </row>
    <row r="211" spans="1:4" x14ac:dyDescent="0.25">
      <c r="A211" s="10"/>
      <c r="B211" s="144"/>
      <c r="C211" s="15"/>
      <c r="D211" s="10"/>
    </row>
    <row r="212" spans="1:4" x14ac:dyDescent="0.25">
      <c r="A212" s="10"/>
      <c r="B212" s="144"/>
      <c r="C212" s="15"/>
      <c r="D212" s="10"/>
    </row>
    <row r="213" spans="1:4" x14ac:dyDescent="0.25">
      <c r="A213" s="10"/>
      <c r="B213" s="144"/>
      <c r="C213" s="15"/>
      <c r="D213" s="10"/>
    </row>
    <row r="214" spans="1:4" x14ac:dyDescent="0.25">
      <c r="A214" s="10"/>
      <c r="B214" s="144"/>
      <c r="C214" s="15"/>
      <c r="D214" s="10"/>
    </row>
    <row r="215" spans="1:4" x14ac:dyDescent="0.25">
      <c r="A215" s="10"/>
      <c r="B215" s="144"/>
      <c r="C215" s="15"/>
      <c r="D215" s="10"/>
    </row>
    <row r="216" spans="1:4" x14ac:dyDescent="0.25">
      <c r="A216" s="10"/>
      <c r="B216" s="144"/>
      <c r="C216" s="15"/>
      <c r="D216" s="10"/>
    </row>
    <row r="217" spans="1:4" x14ac:dyDescent="0.25">
      <c r="A217" s="10"/>
      <c r="B217" s="144"/>
      <c r="C217" s="15"/>
      <c r="D217" s="10"/>
    </row>
    <row r="218" spans="1:4" x14ac:dyDescent="0.25">
      <c r="A218" s="10"/>
      <c r="B218" s="144"/>
      <c r="C218" s="15"/>
      <c r="D218" s="10"/>
    </row>
    <row r="219" spans="1:4" x14ac:dyDescent="0.25">
      <c r="A219" s="10"/>
      <c r="B219" s="144"/>
      <c r="C219" s="15"/>
      <c r="D219" s="10"/>
    </row>
    <row r="220" spans="1:4" x14ac:dyDescent="0.25">
      <c r="A220" s="10"/>
      <c r="B220" s="144"/>
      <c r="C220" s="15"/>
      <c r="D220" s="10"/>
    </row>
    <row r="221" spans="1:4" x14ac:dyDescent="0.25">
      <c r="A221" s="10"/>
      <c r="B221" s="144"/>
      <c r="C221" s="15"/>
      <c r="D221" s="10"/>
    </row>
    <row r="222" spans="1:4" x14ac:dyDescent="0.25">
      <c r="A222" s="10"/>
      <c r="B222" s="144"/>
      <c r="C222" s="15"/>
      <c r="D222" s="10"/>
    </row>
    <row r="223" spans="1:4" x14ac:dyDescent="0.25">
      <c r="A223" s="10"/>
      <c r="B223" s="144"/>
      <c r="C223" s="15"/>
      <c r="D223" s="10"/>
    </row>
    <row r="224" spans="1:4" x14ac:dyDescent="0.25">
      <c r="A224" s="10"/>
      <c r="B224" s="144"/>
      <c r="C224" s="15"/>
      <c r="D224" s="10"/>
    </row>
    <row r="225" spans="1:4" x14ac:dyDescent="0.25">
      <c r="A225" s="10"/>
      <c r="B225" s="144"/>
      <c r="C225" s="15"/>
      <c r="D225" s="10"/>
    </row>
    <row r="226" spans="1:4" x14ac:dyDescent="0.25">
      <c r="A226" s="10"/>
      <c r="B226" s="144"/>
      <c r="C226" s="15"/>
      <c r="D226" s="10"/>
    </row>
    <row r="227" spans="1:4" x14ac:dyDescent="0.25">
      <c r="A227" s="10"/>
      <c r="B227" s="144"/>
      <c r="C227" s="15"/>
      <c r="D227" s="10"/>
    </row>
    <row r="228" spans="1:4" x14ac:dyDescent="0.25">
      <c r="A228" s="10"/>
      <c r="B228" s="144"/>
      <c r="C228" s="15"/>
      <c r="D228" s="10"/>
    </row>
    <row r="229" spans="1:4" x14ac:dyDescent="0.25">
      <c r="A229" s="10"/>
      <c r="B229" s="144"/>
      <c r="C229" s="15"/>
      <c r="D229" s="10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AB155"/>
  <sheetViews>
    <sheetView workbookViewId="0">
      <pane xSplit="3" ySplit="2" topLeftCell="K3" activePane="bottomRight" state="frozen"/>
      <selection activeCell="E19" sqref="E19"/>
      <selection pane="topRight" activeCell="E19" sqref="E19"/>
      <selection pane="bottomLeft" activeCell="E19" sqref="E19"/>
      <selection pane="bottomRight" activeCell="B121" sqref="B121"/>
    </sheetView>
  </sheetViews>
  <sheetFormatPr defaultRowHeight="15" x14ac:dyDescent="0.25"/>
  <cols>
    <col min="1" max="1" width="52.85546875" style="49" customWidth="1"/>
    <col min="2" max="2" width="18.5703125" customWidth="1"/>
    <col min="3" max="3" width="24.5703125" customWidth="1"/>
    <col min="22" max="22" width="9.140625" customWidth="1"/>
  </cols>
  <sheetData>
    <row r="1" spans="1:28" x14ac:dyDescent="0.25">
      <c r="A1" s="511" t="s">
        <v>267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4"/>
    </row>
    <row r="2" spans="1:28" ht="28.5" customHeight="1" x14ac:dyDescent="0.25">
      <c r="A2" s="22" t="s">
        <v>268</v>
      </c>
      <c r="B2" s="22" t="s">
        <v>269</v>
      </c>
      <c r="C2" s="22" t="s">
        <v>270</v>
      </c>
      <c r="D2" s="481" t="s">
        <v>271</v>
      </c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1"/>
      <c r="R2" s="481"/>
      <c r="S2" s="22" t="s">
        <v>450</v>
      </c>
      <c r="U2" s="15" t="s">
        <v>114</v>
      </c>
      <c r="V2" s="15" t="s">
        <v>147</v>
      </c>
      <c r="W2" s="15" t="s">
        <v>121</v>
      </c>
      <c r="X2" s="15" t="s">
        <v>117</v>
      </c>
      <c r="Y2" s="15" t="s">
        <v>154</v>
      </c>
      <c r="Z2" s="15" t="s">
        <v>119</v>
      </c>
      <c r="AA2" s="15" t="s">
        <v>187</v>
      </c>
      <c r="AB2" s="1"/>
    </row>
    <row r="3" spans="1:28" ht="15.75" x14ac:dyDescent="0.25">
      <c r="A3" s="120" t="str">
        <f>'Base Blend Property Calculation'!A7</f>
        <v>No Cement</v>
      </c>
      <c r="B3" s="97">
        <f>IF(C3=0,0,1)</f>
        <v>0</v>
      </c>
      <c r="C3" s="97">
        <f>COUNTIF('Bulk Plant Input'!$A$23:$A$37,'Base Blend Property Calculation'!BV7)+COUNTIF('Bulk Plant Input'!$A$23:$A$37,'Base Blend Property Calculation'!BW7)+COUNTIF('Bulk Plant Input'!$A$23:$A$37,'Base Blend Property Calculation'!BX7)+COUNTIF('Bulk Plant Input'!$A$23:$A$37,'Base Blend Property Calculation'!BY7)+COUNTIF('Bulk Plant Input'!$A$23:$A$37,'Base Blend Property Calculation'!BZ7)</f>
        <v>0</v>
      </c>
      <c r="D3" s="15" t="str">
        <f>'Bulk Plant Input'!$A$23</f>
        <v>CFR-5</v>
      </c>
      <c r="E3" s="15" t="str">
        <f>'Bulk Plant Input'!$A$24</f>
        <v>CFL-4</v>
      </c>
      <c r="F3" s="15" t="str">
        <f>'Bulk Plant Input'!$A$25</f>
        <v>FWC-2</v>
      </c>
      <c r="G3" s="15" t="str">
        <f>'Bulk Plant Input'!$A$26</f>
        <v>LTR</v>
      </c>
      <c r="H3" s="15" t="str">
        <f>'Bulk Plant Input'!$A$27</f>
        <v>CDF-6P</v>
      </c>
      <c r="I3" s="15" t="str">
        <f>'Bulk Plant Input'!$A$28</f>
        <v>ASM-3</v>
      </c>
      <c r="J3" s="15">
        <f>'Bulk Plant Input'!$A$29</f>
        <v>0</v>
      </c>
      <c r="K3" s="15">
        <f>'Bulk Plant Input'!$A$30</f>
        <v>0</v>
      </c>
      <c r="L3" s="15">
        <f>'Bulk Plant Input'!$A$31</f>
        <v>0</v>
      </c>
      <c r="M3" s="15">
        <f>'Bulk Plant Input'!$A$32</f>
        <v>0</v>
      </c>
      <c r="N3" s="15">
        <f>'Bulk Plant Input'!$A$33</f>
        <v>0</v>
      </c>
      <c r="O3" s="15">
        <f>'Bulk Plant Input'!$A$34</f>
        <v>0</v>
      </c>
      <c r="P3" s="15">
        <f>'Bulk Plant Input'!$A$35</f>
        <v>0</v>
      </c>
      <c r="Q3" s="15">
        <f>'Bulk Plant Input'!$A$36</f>
        <v>0</v>
      </c>
      <c r="R3" s="15">
        <f>'Bulk Plant Input'!$A$37</f>
        <v>0</v>
      </c>
      <c r="S3" s="15">
        <v>0</v>
      </c>
      <c r="U3" s="15">
        <f>COUNTIF('Bulk Plant Input'!$A$23:$A$37, "CFR")</f>
        <v>0</v>
      </c>
      <c r="V3" s="15">
        <f>COUNTIF('Bulk Plant Input'!$A$23:$A$37, "ASM-5")</f>
        <v>0</v>
      </c>
      <c r="W3" s="15">
        <f>COUNTIF('Bulk Plant Input'!$A$23:$A$37, "CaCl2")</f>
        <v>0</v>
      </c>
      <c r="X3" s="15">
        <f>COUNTIF('Bulk Plant Input'!$A$23:$A$37, "CFL-3")</f>
        <v>0</v>
      </c>
      <c r="Y3" s="15">
        <f>COUNTIF('Bulk Plant Input'!$A$23:$A$37, "CFL-3L")</f>
        <v>0</v>
      </c>
      <c r="Z3" s="15">
        <f>COUNTIF('Bulk Plant Input'!$A$23:$A$37, "CFL-6")</f>
        <v>0</v>
      </c>
      <c r="AA3" s="15">
        <f>SUM(V3:Z3)</f>
        <v>0</v>
      </c>
    </row>
    <row r="4" spans="1:28" ht="15.75" x14ac:dyDescent="0.25">
      <c r="A4" s="120" t="str">
        <f>'Base Blend Property Calculation'!A8</f>
        <v>0:1:0 'A'</v>
      </c>
      <c r="B4" s="97">
        <f t="shared" ref="B4:B67" si="0">IF(C4=0,0,1)</f>
        <v>0</v>
      </c>
      <c r="C4" s="97">
        <f>COUNTIF('Bulk Plant Input'!$A$23:$A$37,'Base Blend Property Calculation'!BV8)+COUNTIF('Bulk Plant Input'!$A$23:$A$37,'Base Blend Property Calculation'!BW8)+COUNTIF('Bulk Plant Input'!$A$23:$A$37,'Base Blend Property Calculation'!BX8)+COUNTIF('Bulk Plant Input'!$A$23:$A$37,'Base Blend Property Calculation'!BY8)+COUNTIF('Bulk Plant Input'!$A$23:$A$37,'Base Blend Property Calculation'!BZ8)</f>
        <v>0</v>
      </c>
      <c r="D4" s="15" t="str">
        <f>'Bulk Plant Input'!$A$23</f>
        <v>CFR-5</v>
      </c>
      <c r="E4" s="15" t="str">
        <f>'Bulk Plant Input'!$A$24</f>
        <v>CFL-4</v>
      </c>
      <c r="F4" s="15" t="str">
        <f>'Bulk Plant Input'!$A$25</f>
        <v>FWC-2</v>
      </c>
      <c r="G4" s="15" t="str">
        <f>'Bulk Plant Input'!$A$26</f>
        <v>LTR</v>
      </c>
      <c r="H4" s="15" t="str">
        <f>'Bulk Plant Input'!$A$27</f>
        <v>CDF-6P</v>
      </c>
      <c r="I4" s="15" t="str">
        <f>'Bulk Plant Input'!$A$28</f>
        <v>ASM-3</v>
      </c>
      <c r="J4" s="15">
        <f>'Bulk Plant Input'!$A$29</f>
        <v>0</v>
      </c>
      <c r="K4" s="15">
        <f>'Bulk Plant Input'!$A$30</f>
        <v>0</v>
      </c>
      <c r="L4" s="15">
        <f>'Bulk Plant Input'!$A$31</f>
        <v>0</v>
      </c>
      <c r="M4" s="15">
        <f>'Bulk Plant Input'!$A$32</f>
        <v>0</v>
      </c>
      <c r="N4" s="15">
        <f>'Bulk Plant Input'!$A$33</f>
        <v>0</v>
      </c>
      <c r="O4" s="15">
        <f>'Bulk Plant Input'!$A$34</f>
        <v>0</v>
      </c>
      <c r="P4" s="15">
        <f>'Bulk Plant Input'!$A$35</f>
        <v>0</v>
      </c>
      <c r="Q4" s="15">
        <f>'Bulk Plant Input'!$A$36</f>
        <v>0</v>
      </c>
      <c r="R4" s="15">
        <f>'Bulk Plant Input'!$A$37</f>
        <v>0</v>
      </c>
      <c r="S4" s="15">
        <v>0</v>
      </c>
      <c r="U4" s="1"/>
      <c r="V4" s="1"/>
      <c r="W4" s="1"/>
      <c r="X4" s="1"/>
      <c r="Y4" s="1"/>
      <c r="Z4" s="1"/>
      <c r="AA4" s="1"/>
      <c r="AB4" s="1"/>
    </row>
    <row r="5" spans="1:28" ht="30.75" customHeight="1" x14ac:dyDescent="0.25">
      <c r="A5" s="120" t="str">
        <f>'Base Blend Property Calculation'!A9</f>
        <v>0:1:0 'C'</v>
      </c>
      <c r="B5" s="97">
        <f t="shared" si="0"/>
        <v>0</v>
      </c>
      <c r="C5" s="97">
        <f>COUNTIF('Bulk Plant Input'!$A$23:$A$37,'Base Blend Property Calculation'!BV9)+COUNTIF('Bulk Plant Input'!$A$23:$A$37,'Base Blend Property Calculation'!BW9)+COUNTIF('Bulk Plant Input'!$A$23:$A$37,'Base Blend Property Calculation'!BX9)+COUNTIF('Bulk Plant Input'!$A$23:$A$37,'Base Blend Property Calculation'!BY9)+COUNTIF('Bulk Plant Input'!$A$23:$A$37,'Base Blend Property Calculation'!BZ9)</f>
        <v>0</v>
      </c>
      <c r="D5" s="15" t="str">
        <f>'Bulk Plant Input'!$A$23</f>
        <v>CFR-5</v>
      </c>
      <c r="E5" s="15" t="str">
        <f>'Bulk Plant Input'!$A$24</f>
        <v>CFL-4</v>
      </c>
      <c r="F5" s="15" t="str">
        <f>'Bulk Plant Input'!$A$25</f>
        <v>FWC-2</v>
      </c>
      <c r="G5" s="15" t="str">
        <f>'Bulk Plant Input'!$A$26</f>
        <v>LTR</v>
      </c>
      <c r="H5" s="15" t="str">
        <f>'Bulk Plant Input'!$A$27</f>
        <v>CDF-6P</v>
      </c>
      <c r="I5" s="15" t="str">
        <f>'Bulk Plant Input'!$A$28</f>
        <v>ASM-3</v>
      </c>
      <c r="J5" s="15">
        <f>'Bulk Plant Input'!$A$29</f>
        <v>0</v>
      </c>
      <c r="K5" s="15">
        <f>'Bulk Plant Input'!$A$30</f>
        <v>0</v>
      </c>
      <c r="L5" s="15">
        <f>'Bulk Plant Input'!$A$31</f>
        <v>0</v>
      </c>
      <c r="M5" s="15">
        <f>'Bulk Plant Input'!$A$32</f>
        <v>0</v>
      </c>
      <c r="N5" s="15">
        <f>'Bulk Plant Input'!$A$33</f>
        <v>0</v>
      </c>
      <c r="O5" s="15">
        <f>'Bulk Plant Input'!$A$34</f>
        <v>0</v>
      </c>
      <c r="P5" s="15">
        <f>'Bulk Plant Input'!$A$35</f>
        <v>0</v>
      </c>
      <c r="Q5" s="15">
        <f>'Bulk Plant Input'!$A$36</f>
        <v>0</v>
      </c>
      <c r="R5" s="15">
        <f>'Bulk Plant Input'!$A$37</f>
        <v>0</v>
      </c>
      <c r="S5" s="15">
        <v>0</v>
      </c>
      <c r="U5" s="17" t="s">
        <v>446</v>
      </c>
      <c r="V5" s="17" t="s">
        <v>447</v>
      </c>
      <c r="W5" s="1"/>
      <c r="X5" s="512" t="s">
        <v>448</v>
      </c>
      <c r="Y5" s="513"/>
      <c r="Z5" s="514"/>
      <c r="AA5" s="107">
        <f>IF(U6+V6&gt;1, 1, 0)</f>
        <v>0</v>
      </c>
      <c r="AB5" s="99" t="s">
        <v>449</v>
      </c>
    </row>
    <row r="6" spans="1:28" ht="15.75" x14ac:dyDescent="0.25">
      <c r="A6" s="120" t="str">
        <f>'Base Blend Property Calculation'!A10</f>
        <v>0:1:0 'G'</v>
      </c>
      <c r="B6" s="97">
        <f t="shared" si="0"/>
        <v>0</v>
      </c>
      <c r="C6" s="97">
        <f>COUNTIF('Bulk Plant Input'!$A$23:$A$37,'Base Blend Property Calculation'!BV10)+COUNTIF('Bulk Plant Input'!$A$23:$A$37,'Base Blend Property Calculation'!BW10)+COUNTIF('Bulk Plant Input'!$A$23:$A$37,'Base Blend Property Calculation'!BX10)+COUNTIF('Bulk Plant Input'!$A$23:$A$37,'Base Blend Property Calculation'!BY10)+COUNTIF('Bulk Plant Input'!$A$23:$A$37,'Base Blend Property Calculation'!BZ10)</f>
        <v>0</v>
      </c>
      <c r="D6" s="15" t="str">
        <f>'Bulk Plant Input'!$A$23</f>
        <v>CFR-5</v>
      </c>
      <c r="E6" s="15" t="str">
        <f>'Bulk Plant Input'!$A$24</f>
        <v>CFL-4</v>
      </c>
      <c r="F6" s="15" t="str">
        <f>'Bulk Plant Input'!$A$25</f>
        <v>FWC-2</v>
      </c>
      <c r="G6" s="15" t="str">
        <f>'Bulk Plant Input'!$A$26</f>
        <v>LTR</v>
      </c>
      <c r="H6" s="15" t="str">
        <f>'Bulk Plant Input'!$A$27</f>
        <v>CDF-6P</v>
      </c>
      <c r="I6" s="15" t="str">
        <f>'Bulk Plant Input'!$A$28</f>
        <v>ASM-3</v>
      </c>
      <c r="J6" s="15">
        <f>'Bulk Plant Input'!$A$29</f>
        <v>0</v>
      </c>
      <c r="K6" s="15">
        <f>'Bulk Plant Input'!$A$30</f>
        <v>0</v>
      </c>
      <c r="L6" s="15">
        <f>'Bulk Plant Input'!$A$31</f>
        <v>0</v>
      </c>
      <c r="M6" s="15">
        <f>'Bulk Plant Input'!$A$32</f>
        <v>0</v>
      </c>
      <c r="N6" s="15">
        <f>'Bulk Plant Input'!$A$33</f>
        <v>0</v>
      </c>
      <c r="O6" s="15">
        <f>'Bulk Plant Input'!$A$34</f>
        <v>0</v>
      </c>
      <c r="P6" s="15">
        <f>'Bulk Plant Input'!$A$35</f>
        <v>0</v>
      </c>
      <c r="Q6" s="15">
        <f>'Bulk Plant Input'!$A$36</f>
        <v>0</v>
      </c>
      <c r="R6" s="15">
        <f>'Bulk Plant Input'!$A$37</f>
        <v>0</v>
      </c>
      <c r="S6" s="15">
        <v>0</v>
      </c>
      <c r="U6" s="15">
        <f>IF(U3&gt;0,1,0)</f>
        <v>0</v>
      </c>
      <c r="V6" s="15">
        <f>IF(AA3&gt;0, 1, 0)</f>
        <v>0</v>
      </c>
      <c r="W6" s="1"/>
      <c r="X6" s="1"/>
      <c r="Y6" s="1"/>
      <c r="Z6" s="1"/>
      <c r="AA6" s="1"/>
      <c r="AB6" s="1"/>
    </row>
    <row r="7" spans="1:28" ht="15.75" x14ac:dyDescent="0.25">
      <c r="A7" s="120" t="str">
        <f>'Base Blend Property Calculation'!A11</f>
        <v>0:1:12 'G'</v>
      </c>
      <c r="B7" s="97">
        <f t="shared" si="0"/>
        <v>0</v>
      </c>
      <c r="C7" s="97">
        <f>COUNTIF('Bulk Plant Input'!$A$23:$A$37,'Base Blend Property Calculation'!BV11)+COUNTIF('Bulk Plant Input'!$A$23:$A$37,'Base Blend Property Calculation'!BW11)+COUNTIF('Bulk Plant Input'!$A$23:$A$37,'Base Blend Property Calculation'!BX11)+COUNTIF('Bulk Plant Input'!$A$23:$A$37,'Base Blend Property Calculation'!BY11)+COUNTIF('Bulk Plant Input'!$A$23:$A$37,'Base Blend Property Calculation'!BZ11)</f>
        <v>0</v>
      </c>
      <c r="D7" s="15" t="str">
        <f>'Bulk Plant Input'!$A$23</f>
        <v>CFR-5</v>
      </c>
      <c r="E7" s="15" t="str">
        <f>'Bulk Plant Input'!$A$24</f>
        <v>CFL-4</v>
      </c>
      <c r="F7" s="15" t="str">
        <f>'Bulk Plant Input'!$A$25</f>
        <v>FWC-2</v>
      </c>
      <c r="G7" s="15" t="str">
        <f>'Bulk Plant Input'!$A$26</f>
        <v>LTR</v>
      </c>
      <c r="H7" s="15" t="str">
        <f>'Bulk Plant Input'!$A$27</f>
        <v>CDF-6P</v>
      </c>
      <c r="I7" s="15" t="str">
        <f>'Bulk Plant Input'!$A$28</f>
        <v>ASM-3</v>
      </c>
      <c r="J7" s="15">
        <f>'Bulk Plant Input'!$A$29</f>
        <v>0</v>
      </c>
      <c r="K7" s="15">
        <f>'Bulk Plant Input'!$A$30</f>
        <v>0</v>
      </c>
      <c r="L7" s="15">
        <f>'Bulk Plant Input'!$A$31</f>
        <v>0</v>
      </c>
      <c r="M7" s="15">
        <f>'Bulk Plant Input'!$A$32</f>
        <v>0</v>
      </c>
      <c r="N7" s="15">
        <f>'Bulk Plant Input'!$A$33</f>
        <v>0</v>
      </c>
      <c r="O7" s="15">
        <f>'Bulk Plant Input'!$A$34</f>
        <v>0</v>
      </c>
      <c r="P7" s="15">
        <f>'Bulk Plant Input'!$A$35</f>
        <v>0</v>
      </c>
      <c r="Q7" s="15">
        <f>'Bulk Plant Input'!$A$36</f>
        <v>0</v>
      </c>
      <c r="R7" s="15">
        <f>'Bulk Plant Input'!$A$37</f>
        <v>0</v>
      </c>
      <c r="S7" s="15">
        <v>0</v>
      </c>
      <c r="U7" s="1"/>
      <c r="V7" s="1"/>
      <c r="W7" s="1"/>
      <c r="X7" s="1"/>
      <c r="Y7" s="1"/>
      <c r="Z7" s="1"/>
      <c r="AA7" s="1"/>
      <c r="AB7" s="1"/>
    </row>
    <row r="8" spans="1:28" ht="15.75" x14ac:dyDescent="0.25">
      <c r="A8" s="120" t="str">
        <f>'Base Blend Property Calculation'!A12</f>
        <v>0:1:2 'G'</v>
      </c>
      <c r="B8" s="97">
        <f t="shared" si="0"/>
        <v>0</v>
      </c>
      <c r="C8" s="97">
        <f>COUNTIF('Bulk Plant Input'!$A$23:$A$37,'Base Blend Property Calculation'!BV12)+COUNTIF('Bulk Plant Input'!$A$23:$A$37,'Base Blend Property Calculation'!BW12)+COUNTIF('Bulk Plant Input'!$A$23:$A$37,'Base Blend Property Calculation'!BX12)+COUNTIF('Bulk Plant Input'!$A$23:$A$37,'Base Blend Property Calculation'!BY12)+COUNTIF('Bulk Plant Input'!$A$23:$A$37,'Base Blend Property Calculation'!BZ12)</f>
        <v>0</v>
      </c>
      <c r="D8" s="15" t="str">
        <f>'Bulk Plant Input'!$A$23</f>
        <v>CFR-5</v>
      </c>
      <c r="E8" s="15" t="str">
        <f>'Bulk Plant Input'!$A$24</f>
        <v>CFL-4</v>
      </c>
      <c r="F8" s="15" t="str">
        <f>'Bulk Plant Input'!$A$25</f>
        <v>FWC-2</v>
      </c>
      <c r="G8" s="15" t="str">
        <f>'Bulk Plant Input'!$A$26</f>
        <v>LTR</v>
      </c>
      <c r="H8" s="15" t="str">
        <f>'Bulk Plant Input'!$A$27</f>
        <v>CDF-6P</v>
      </c>
      <c r="I8" s="15" t="str">
        <f>'Bulk Plant Input'!$A$28</f>
        <v>ASM-3</v>
      </c>
      <c r="J8" s="15">
        <f>'Bulk Plant Input'!$A$29</f>
        <v>0</v>
      </c>
      <c r="K8" s="15">
        <f>'Bulk Plant Input'!$A$30</f>
        <v>0</v>
      </c>
      <c r="L8" s="15">
        <f>'Bulk Plant Input'!$A$31</f>
        <v>0</v>
      </c>
      <c r="M8" s="15">
        <f>'Bulk Plant Input'!$A$32</f>
        <v>0</v>
      </c>
      <c r="N8" s="15">
        <f>'Bulk Plant Input'!$A$33</f>
        <v>0</v>
      </c>
      <c r="O8" s="15">
        <f>'Bulk Plant Input'!$A$34</f>
        <v>0</v>
      </c>
      <c r="P8" s="15">
        <f>'Bulk Plant Input'!$A$35</f>
        <v>0</v>
      </c>
      <c r="Q8" s="15">
        <f>'Bulk Plant Input'!$A$36</f>
        <v>0</v>
      </c>
      <c r="R8" s="15">
        <f>'Bulk Plant Input'!$A$37</f>
        <v>0</v>
      </c>
      <c r="S8" s="15">
        <v>0</v>
      </c>
      <c r="W8" s="1"/>
      <c r="X8" s="125">
        <f>COUNTIF('Bulk Plant Input'!A23:A37,'Base Blend Property Calculation'!BV51)</f>
        <v>0</v>
      </c>
      <c r="Z8" s="1"/>
      <c r="AA8" s="1"/>
      <c r="AB8" s="1"/>
    </row>
    <row r="9" spans="1:28" ht="15.75" x14ac:dyDescent="0.25">
      <c r="A9" s="120" t="str">
        <f>'Base Blend Property Calculation'!A13</f>
        <v>0:1:4 'G'</v>
      </c>
      <c r="B9" s="97">
        <f t="shared" si="0"/>
        <v>0</v>
      </c>
      <c r="C9" s="97">
        <f>COUNTIF('Bulk Plant Input'!$A$23:$A$37,'Base Blend Property Calculation'!BV13)+COUNTIF('Bulk Plant Input'!$A$23:$A$37,'Base Blend Property Calculation'!BW13)+COUNTIF('Bulk Plant Input'!$A$23:$A$37,'Base Blend Property Calculation'!BX13)+COUNTIF('Bulk Plant Input'!$A$23:$A$37,'Base Blend Property Calculation'!BY13)+COUNTIF('Bulk Plant Input'!$A$23:$A$37,'Base Blend Property Calculation'!BZ13)</f>
        <v>0</v>
      </c>
      <c r="D9" s="15" t="str">
        <f>'Bulk Plant Input'!$A$23</f>
        <v>CFR-5</v>
      </c>
      <c r="E9" s="15" t="str">
        <f>'Bulk Plant Input'!$A$24</f>
        <v>CFL-4</v>
      </c>
      <c r="F9" s="15" t="str">
        <f>'Bulk Plant Input'!$A$25</f>
        <v>FWC-2</v>
      </c>
      <c r="G9" s="15" t="str">
        <f>'Bulk Plant Input'!$A$26</f>
        <v>LTR</v>
      </c>
      <c r="H9" s="15" t="str">
        <f>'Bulk Plant Input'!$A$27</f>
        <v>CDF-6P</v>
      </c>
      <c r="I9" s="15" t="str">
        <f>'Bulk Plant Input'!$A$28</f>
        <v>ASM-3</v>
      </c>
      <c r="J9" s="15">
        <f>'Bulk Plant Input'!$A$29</f>
        <v>0</v>
      </c>
      <c r="K9" s="15">
        <f>'Bulk Plant Input'!$A$30</f>
        <v>0</v>
      </c>
      <c r="L9" s="15">
        <f>'Bulk Plant Input'!$A$31</f>
        <v>0</v>
      </c>
      <c r="M9" s="15">
        <f>'Bulk Plant Input'!$A$32</f>
        <v>0</v>
      </c>
      <c r="N9" s="15">
        <f>'Bulk Plant Input'!$A$33</f>
        <v>0</v>
      </c>
      <c r="O9" s="15">
        <f>'Bulk Plant Input'!$A$34</f>
        <v>0</v>
      </c>
      <c r="P9" s="15">
        <f>'Bulk Plant Input'!$A$35</f>
        <v>0</v>
      </c>
      <c r="Q9" s="15">
        <f>'Bulk Plant Input'!$A$36</f>
        <v>0</v>
      </c>
      <c r="R9" s="15">
        <f>'Bulk Plant Input'!$A$37</f>
        <v>0</v>
      </c>
      <c r="S9" s="15">
        <v>0</v>
      </c>
      <c r="U9" s="1"/>
      <c r="V9" s="1"/>
      <c r="W9" s="1"/>
      <c r="X9" s="125" t="str">
        <f>'Bulk Plant Input'!A19</f>
        <v>0:1:0 'G'</v>
      </c>
      <c r="Y9" s="1"/>
      <c r="Z9" s="1"/>
      <c r="AA9" s="1"/>
      <c r="AB9" s="1"/>
    </row>
    <row r="10" spans="1:28" ht="15.75" x14ac:dyDescent="0.25">
      <c r="A10" s="120" t="str">
        <f>'Base Blend Property Calculation'!A14</f>
        <v>0:1:6 'G'</v>
      </c>
      <c r="B10" s="97">
        <f t="shared" si="0"/>
        <v>0</v>
      </c>
      <c r="C10" s="97">
        <f>COUNTIF('Bulk Plant Input'!$A$23:$A$37,'Base Blend Property Calculation'!BV14)+COUNTIF('Bulk Plant Input'!$A$23:$A$37,'Base Blend Property Calculation'!BW14)+COUNTIF('Bulk Plant Input'!$A$23:$A$37,'Base Blend Property Calculation'!BX14)+COUNTIF('Bulk Plant Input'!$A$23:$A$37,'Base Blend Property Calculation'!BY14)+COUNTIF('Bulk Plant Input'!$A$23:$A$37,'Base Blend Property Calculation'!BZ14)</f>
        <v>0</v>
      </c>
      <c r="D10" s="15" t="str">
        <f>'Bulk Plant Input'!$A$23</f>
        <v>CFR-5</v>
      </c>
      <c r="E10" s="15" t="str">
        <f>'Bulk Plant Input'!$A$24</f>
        <v>CFL-4</v>
      </c>
      <c r="F10" s="15" t="str">
        <f>'Bulk Plant Input'!$A$25</f>
        <v>FWC-2</v>
      </c>
      <c r="G10" s="15" t="str">
        <f>'Bulk Plant Input'!$A$26</f>
        <v>LTR</v>
      </c>
      <c r="H10" s="15" t="str">
        <f>'Bulk Plant Input'!$A$27</f>
        <v>CDF-6P</v>
      </c>
      <c r="I10" s="15" t="str">
        <f>'Bulk Plant Input'!$A$28</f>
        <v>ASM-3</v>
      </c>
      <c r="J10" s="15">
        <f>'Bulk Plant Input'!$A$29</f>
        <v>0</v>
      </c>
      <c r="K10" s="15">
        <f>'Bulk Plant Input'!$A$30</f>
        <v>0</v>
      </c>
      <c r="L10" s="15">
        <f>'Bulk Plant Input'!$A$31</f>
        <v>0</v>
      </c>
      <c r="M10" s="15">
        <f>'Bulk Plant Input'!$A$32</f>
        <v>0</v>
      </c>
      <c r="N10" s="15">
        <f>'Bulk Plant Input'!$A$33</f>
        <v>0</v>
      </c>
      <c r="O10" s="15">
        <f>'Bulk Plant Input'!$A$34</f>
        <v>0</v>
      </c>
      <c r="P10" s="15">
        <f>'Bulk Plant Input'!$A$35</f>
        <v>0</v>
      </c>
      <c r="Q10" s="15">
        <f>'Bulk Plant Input'!$A$36</f>
        <v>0</v>
      </c>
      <c r="R10" s="15">
        <f>'Bulk Plant Input'!$A$37</f>
        <v>0</v>
      </c>
      <c r="S10" s="15">
        <v>0</v>
      </c>
      <c r="W10" s="55" t="s">
        <v>452</v>
      </c>
      <c r="X10" s="15">
        <f>IF(VLOOKUP(X9,'Base Blend Compatibility Test'!$A$3:$C$153,2,FALSE)&lt;&gt;0,15,0)</f>
        <v>0</v>
      </c>
      <c r="Z10" s="55" t="s">
        <v>453</v>
      </c>
      <c r="AA10" s="15">
        <f>VLOOKUP('Bulk Plant Input'!A19, 'Base Blend Compatibility Test'!A3:S152, 19, FALSE)</f>
        <v>0</v>
      </c>
      <c r="AB10" s="1"/>
    </row>
    <row r="11" spans="1:28" ht="15.75" x14ac:dyDescent="0.25">
      <c r="A11" s="120" t="str">
        <f>'Base Blend Property Calculation'!A15</f>
        <v>0:1:8 'G'</v>
      </c>
      <c r="B11" s="97">
        <f t="shared" si="0"/>
        <v>0</v>
      </c>
      <c r="C11" s="97">
        <f>COUNTIF('Bulk Plant Input'!$A$23:$A$37,'Base Blend Property Calculation'!BV15)+COUNTIF('Bulk Plant Input'!$A$23:$A$37,'Base Blend Property Calculation'!BW15)+COUNTIF('Bulk Plant Input'!$A$23:$A$37,'Base Blend Property Calculation'!BX15)+COUNTIF('Bulk Plant Input'!$A$23:$A$37,'Base Blend Property Calculation'!BY15)+COUNTIF('Bulk Plant Input'!$A$23:$A$37,'Base Blend Property Calculation'!BZ15)</f>
        <v>0</v>
      </c>
      <c r="D11" s="15" t="str">
        <f>'Bulk Plant Input'!$A$23</f>
        <v>CFR-5</v>
      </c>
      <c r="E11" s="15" t="str">
        <f>'Bulk Plant Input'!$A$24</f>
        <v>CFL-4</v>
      </c>
      <c r="F11" s="15" t="str">
        <f>'Bulk Plant Input'!$A$25</f>
        <v>FWC-2</v>
      </c>
      <c r="G11" s="15" t="str">
        <f>'Bulk Plant Input'!$A$26</f>
        <v>LTR</v>
      </c>
      <c r="H11" s="15" t="str">
        <f>'Bulk Plant Input'!$A$27</f>
        <v>CDF-6P</v>
      </c>
      <c r="I11" s="15" t="str">
        <f>'Bulk Plant Input'!$A$28</f>
        <v>ASM-3</v>
      </c>
      <c r="J11" s="15">
        <f>'Bulk Plant Input'!$A$29</f>
        <v>0</v>
      </c>
      <c r="K11" s="15">
        <f>'Bulk Plant Input'!$A$30</f>
        <v>0</v>
      </c>
      <c r="L11" s="15">
        <f>'Bulk Plant Input'!$A$31</f>
        <v>0</v>
      </c>
      <c r="M11" s="15">
        <f>'Bulk Plant Input'!$A$32</f>
        <v>0</v>
      </c>
      <c r="N11" s="15">
        <f>'Bulk Plant Input'!$A$33</f>
        <v>0</v>
      </c>
      <c r="O11" s="15">
        <f>'Bulk Plant Input'!$A$34</f>
        <v>0</v>
      </c>
      <c r="P11" s="15">
        <f>'Bulk Plant Input'!$A$35</f>
        <v>0</v>
      </c>
      <c r="Q11" s="15">
        <f>'Bulk Plant Input'!$A$36</f>
        <v>0</v>
      </c>
      <c r="R11" s="15">
        <f>'Bulk Plant Input'!$A$37</f>
        <v>0</v>
      </c>
      <c r="S11" s="15">
        <v>0</v>
      </c>
    </row>
    <row r="12" spans="1:28" ht="15.75" x14ac:dyDescent="0.25">
      <c r="A12" s="120" t="str">
        <f>'Base Blend Property Calculation'!A16</f>
        <v>1:1:0 'G'</v>
      </c>
      <c r="B12" s="97">
        <f t="shared" si="0"/>
        <v>0</v>
      </c>
      <c r="C12" s="97">
        <f>COUNTIF('Bulk Plant Input'!$A$23:$A$37,'Base Blend Property Calculation'!BV16)+COUNTIF('Bulk Plant Input'!$A$23:$A$37,'Base Blend Property Calculation'!BW16)+COUNTIF('Bulk Plant Input'!$A$23:$A$37,'Base Blend Property Calculation'!BX16)+COUNTIF('Bulk Plant Input'!$A$23:$A$37,'Base Blend Property Calculation'!BY16)+COUNTIF('Bulk Plant Input'!$A$23:$A$37,'Base Blend Property Calculation'!BZ16)</f>
        <v>0</v>
      </c>
      <c r="D12" s="15" t="str">
        <f>'Bulk Plant Input'!$A$23</f>
        <v>CFR-5</v>
      </c>
      <c r="E12" s="15" t="str">
        <f>'Bulk Plant Input'!$A$24</f>
        <v>CFL-4</v>
      </c>
      <c r="F12" s="15" t="str">
        <f>'Bulk Plant Input'!$A$25</f>
        <v>FWC-2</v>
      </c>
      <c r="G12" s="15" t="str">
        <f>'Bulk Plant Input'!$A$26</f>
        <v>LTR</v>
      </c>
      <c r="H12" s="15" t="str">
        <f>'Bulk Plant Input'!$A$27</f>
        <v>CDF-6P</v>
      </c>
      <c r="I12" s="15" t="str">
        <f>'Bulk Plant Input'!$A$28</f>
        <v>ASM-3</v>
      </c>
      <c r="J12" s="15">
        <f>'Bulk Plant Input'!$A$29</f>
        <v>0</v>
      </c>
      <c r="K12" s="15">
        <f>'Bulk Plant Input'!$A$30</f>
        <v>0</v>
      </c>
      <c r="L12" s="15">
        <f>'Bulk Plant Input'!$A$31</f>
        <v>0</v>
      </c>
      <c r="M12" s="15">
        <f>'Bulk Plant Input'!$A$32</f>
        <v>0</v>
      </c>
      <c r="N12" s="15">
        <f>'Bulk Plant Input'!$A$33</f>
        <v>0</v>
      </c>
      <c r="O12" s="15">
        <f>'Bulk Plant Input'!$A$34</f>
        <v>0</v>
      </c>
      <c r="P12" s="15">
        <f>'Bulk Plant Input'!$A$35</f>
        <v>0</v>
      </c>
      <c r="Q12" s="15">
        <f>'Bulk Plant Input'!$A$36</f>
        <v>0</v>
      </c>
      <c r="R12" s="15">
        <f>'Bulk Plant Input'!$A$37</f>
        <v>0</v>
      </c>
      <c r="S12" s="15">
        <v>0</v>
      </c>
      <c r="U12" t="s">
        <v>451</v>
      </c>
      <c r="AA12" s="15">
        <f>IF(X10+AA10&gt;15, 1, 0)</f>
        <v>0</v>
      </c>
    </row>
    <row r="13" spans="1:28" ht="15.75" x14ac:dyDescent="0.25">
      <c r="A13" s="120" t="str">
        <f>'Base Blend Property Calculation'!A17</f>
        <v>1:1:0 'G' (Sask)</v>
      </c>
      <c r="B13" s="97">
        <f t="shared" si="0"/>
        <v>0</v>
      </c>
      <c r="C13" s="97">
        <f>COUNTIF('Bulk Plant Input'!$A$23:$A$37,'Base Blend Property Calculation'!BV17)+COUNTIF('Bulk Plant Input'!$A$23:$A$37,'Base Blend Property Calculation'!BW17)+COUNTIF('Bulk Plant Input'!$A$23:$A$37,'Base Blend Property Calculation'!BX17)+COUNTIF('Bulk Plant Input'!$A$23:$A$37,'Base Blend Property Calculation'!BY17)+COUNTIF('Bulk Plant Input'!$A$23:$A$37,'Base Blend Property Calculation'!BZ17)</f>
        <v>0</v>
      </c>
      <c r="D13" s="15" t="str">
        <f>'Bulk Plant Input'!$A$23</f>
        <v>CFR-5</v>
      </c>
      <c r="E13" s="15" t="str">
        <f>'Bulk Plant Input'!$A$24</f>
        <v>CFL-4</v>
      </c>
      <c r="F13" s="15" t="str">
        <f>'Bulk Plant Input'!$A$25</f>
        <v>FWC-2</v>
      </c>
      <c r="G13" s="15" t="str">
        <f>'Bulk Plant Input'!$A$26</f>
        <v>LTR</v>
      </c>
      <c r="H13" s="15" t="str">
        <f>'Bulk Plant Input'!$A$27</f>
        <v>CDF-6P</v>
      </c>
      <c r="I13" s="15" t="str">
        <f>'Bulk Plant Input'!$A$28</f>
        <v>ASM-3</v>
      </c>
      <c r="J13" s="15">
        <f>'Bulk Plant Input'!$A$29</f>
        <v>0</v>
      </c>
      <c r="K13" s="15">
        <f>'Bulk Plant Input'!$A$30</f>
        <v>0</v>
      </c>
      <c r="L13" s="15">
        <f>'Bulk Plant Input'!$A$31</f>
        <v>0</v>
      </c>
      <c r="M13" s="15">
        <f>'Bulk Plant Input'!$A$32</f>
        <v>0</v>
      </c>
      <c r="N13" s="15">
        <f>'Bulk Plant Input'!$A$33</f>
        <v>0</v>
      </c>
      <c r="O13" s="15">
        <f>'Bulk Plant Input'!$A$34</f>
        <v>0</v>
      </c>
      <c r="P13" s="15">
        <f>'Bulk Plant Input'!$A$35</f>
        <v>0</v>
      </c>
      <c r="Q13" s="15">
        <f>'Bulk Plant Input'!$A$36</f>
        <v>0</v>
      </c>
      <c r="R13" s="15">
        <f>'Bulk Plant Input'!$A$37</f>
        <v>0</v>
      </c>
      <c r="S13" s="15">
        <v>0</v>
      </c>
    </row>
    <row r="14" spans="1:28" ht="16.5" thickBot="1" x14ac:dyDescent="0.3">
      <c r="A14" s="120" t="str">
        <f>'Base Blend Property Calculation'!A18</f>
        <v>1:1:12 'G'</v>
      </c>
      <c r="B14" s="97">
        <f t="shared" si="0"/>
        <v>0</v>
      </c>
      <c r="C14" s="97">
        <f>COUNTIF('Bulk Plant Input'!$A$23:$A$37,'Base Blend Property Calculation'!BV18)+COUNTIF('Bulk Plant Input'!$A$23:$A$37,'Base Blend Property Calculation'!BW18)+COUNTIF('Bulk Plant Input'!$A$23:$A$37,'Base Blend Property Calculation'!BX18)+COUNTIF('Bulk Plant Input'!$A$23:$A$37,'Base Blend Property Calculation'!BY18)+COUNTIF('Bulk Plant Input'!$A$23:$A$37,'Base Blend Property Calculation'!BZ18)</f>
        <v>0</v>
      </c>
      <c r="D14" s="15" t="str">
        <f>'Bulk Plant Input'!$A$23</f>
        <v>CFR-5</v>
      </c>
      <c r="E14" s="15" t="str">
        <f>'Bulk Plant Input'!$A$24</f>
        <v>CFL-4</v>
      </c>
      <c r="F14" s="15" t="str">
        <f>'Bulk Plant Input'!$A$25</f>
        <v>FWC-2</v>
      </c>
      <c r="G14" s="15" t="str">
        <f>'Bulk Plant Input'!$A$26</f>
        <v>LTR</v>
      </c>
      <c r="H14" s="15" t="str">
        <f>'Bulk Plant Input'!$A$27</f>
        <v>CDF-6P</v>
      </c>
      <c r="I14" s="15" t="str">
        <f>'Bulk Plant Input'!$A$28</f>
        <v>ASM-3</v>
      </c>
      <c r="J14" s="15">
        <f>'Bulk Plant Input'!$A$29</f>
        <v>0</v>
      </c>
      <c r="K14" s="15">
        <f>'Bulk Plant Input'!$A$30</f>
        <v>0</v>
      </c>
      <c r="L14" s="15">
        <f>'Bulk Plant Input'!$A$31</f>
        <v>0</v>
      </c>
      <c r="M14" s="15">
        <f>'Bulk Plant Input'!$A$32</f>
        <v>0</v>
      </c>
      <c r="N14" s="15">
        <f>'Bulk Plant Input'!$A$33</f>
        <v>0</v>
      </c>
      <c r="O14" s="15">
        <f>'Bulk Plant Input'!$A$34</f>
        <v>0</v>
      </c>
      <c r="P14" s="15">
        <f>'Bulk Plant Input'!$A$35</f>
        <v>0</v>
      </c>
      <c r="Q14" s="15">
        <f>'Bulk Plant Input'!$A$36</f>
        <v>0</v>
      </c>
      <c r="R14" s="15">
        <f>'Bulk Plant Input'!$A$37</f>
        <v>0</v>
      </c>
      <c r="S14" s="15">
        <v>0</v>
      </c>
    </row>
    <row r="15" spans="1:28" ht="17.25" thickTop="1" thickBot="1" x14ac:dyDescent="0.3">
      <c r="A15" s="120" t="str">
        <f>'Base Blend Property Calculation'!A19</f>
        <v>1:1:12 'G' (Sask)</v>
      </c>
      <c r="B15" s="97">
        <f t="shared" si="0"/>
        <v>0</v>
      </c>
      <c r="C15" s="97">
        <f>COUNTIF('Bulk Plant Input'!$A$23:$A$37,'Base Blend Property Calculation'!BV19)+COUNTIF('Bulk Plant Input'!$A$23:$A$37,'Base Blend Property Calculation'!BW19)+COUNTIF('Bulk Plant Input'!$A$23:$A$37,'Base Blend Property Calculation'!BX19)+COUNTIF('Bulk Plant Input'!$A$23:$A$37,'Base Blend Property Calculation'!BY19)+COUNTIF('Bulk Plant Input'!$A$23:$A$37,'Base Blend Property Calculation'!BZ19)</f>
        <v>0</v>
      </c>
      <c r="D15" s="15" t="str">
        <f>'Bulk Plant Input'!$A$23</f>
        <v>CFR-5</v>
      </c>
      <c r="E15" s="15" t="str">
        <f>'Bulk Plant Input'!$A$24</f>
        <v>CFL-4</v>
      </c>
      <c r="F15" s="15" t="str">
        <f>'Bulk Plant Input'!$A$25</f>
        <v>FWC-2</v>
      </c>
      <c r="G15" s="15" t="str">
        <f>'Bulk Plant Input'!$A$26</f>
        <v>LTR</v>
      </c>
      <c r="H15" s="15" t="str">
        <f>'Bulk Plant Input'!$A$27</f>
        <v>CDF-6P</v>
      </c>
      <c r="I15" s="15" t="str">
        <f>'Bulk Plant Input'!$A$28</f>
        <v>ASM-3</v>
      </c>
      <c r="J15" s="15">
        <f>'Bulk Plant Input'!$A$29</f>
        <v>0</v>
      </c>
      <c r="K15" s="15">
        <f>'Bulk Plant Input'!$A$30</f>
        <v>0</v>
      </c>
      <c r="L15" s="15">
        <f>'Bulk Plant Input'!$A$31</f>
        <v>0</v>
      </c>
      <c r="M15" s="15">
        <f>'Bulk Plant Input'!$A$32</f>
        <v>0</v>
      </c>
      <c r="N15" s="15">
        <f>'Bulk Plant Input'!$A$33</f>
        <v>0</v>
      </c>
      <c r="O15" s="15">
        <f>'Bulk Plant Input'!$A$34</f>
        <v>0</v>
      </c>
      <c r="P15" s="15">
        <f>'Bulk Plant Input'!$A$35</f>
        <v>0</v>
      </c>
      <c r="Q15" s="15">
        <f>'Bulk Plant Input'!$A$36</f>
        <v>0</v>
      </c>
      <c r="R15" s="15">
        <f>'Bulk Plant Input'!$A$37</f>
        <v>0</v>
      </c>
      <c r="S15" s="15">
        <v>0</v>
      </c>
      <c r="U15" s="123" t="s">
        <v>454</v>
      </c>
      <c r="V15" s="124"/>
      <c r="W15" s="124"/>
      <c r="X15" s="122">
        <f>IF(VLOOKUP(X9,'Base Blend Compatibility Test'!$A$3:$C$153,2,FALSE)&lt;&gt;0,15,0)</f>
        <v>0</v>
      </c>
      <c r="Y15" s="1"/>
      <c r="Z15" s="1"/>
      <c r="AA15" s="1"/>
      <c r="AB15" s="1"/>
    </row>
    <row r="16" spans="1:28" ht="16.5" thickTop="1" x14ac:dyDescent="0.25">
      <c r="A16" s="120" t="str">
        <f>'Base Blend Property Calculation'!A20</f>
        <v>1:1:2 'G'</v>
      </c>
      <c r="B16" s="97">
        <f t="shared" si="0"/>
        <v>0</v>
      </c>
      <c r="C16" s="97">
        <f>COUNTIF('Bulk Plant Input'!$A$23:$A$37,'Base Blend Property Calculation'!BV20)+COUNTIF('Bulk Plant Input'!$A$23:$A$37,'Base Blend Property Calculation'!BW20)+COUNTIF('Bulk Plant Input'!$A$23:$A$37,'Base Blend Property Calculation'!BX20)+COUNTIF('Bulk Plant Input'!$A$23:$A$37,'Base Blend Property Calculation'!BY20)+COUNTIF('Bulk Plant Input'!$A$23:$A$37,'Base Blend Property Calculation'!BZ20)</f>
        <v>0</v>
      </c>
      <c r="D16" s="15" t="str">
        <f>'Bulk Plant Input'!$A$23</f>
        <v>CFR-5</v>
      </c>
      <c r="E16" s="15" t="str">
        <f>'Bulk Plant Input'!$A$24</f>
        <v>CFL-4</v>
      </c>
      <c r="F16" s="15" t="str">
        <f>'Bulk Plant Input'!$A$25</f>
        <v>FWC-2</v>
      </c>
      <c r="G16" s="15" t="str">
        <f>'Bulk Plant Input'!$A$26</f>
        <v>LTR</v>
      </c>
      <c r="H16" s="15" t="str">
        <f>'Bulk Plant Input'!$A$27</f>
        <v>CDF-6P</v>
      </c>
      <c r="I16" s="15" t="str">
        <f>'Bulk Plant Input'!$A$28</f>
        <v>ASM-3</v>
      </c>
      <c r="J16" s="15">
        <f>'Bulk Plant Input'!$A$29</f>
        <v>0</v>
      </c>
      <c r="K16" s="15">
        <f>'Bulk Plant Input'!$A$30</f>
        <v>0</v>
      </c>
      <c r="L16" s="15">
        <f>'Bulk Plant Input'!$A$31</f>
        <v>0</v>
      </c>
      <c r="M16" s="15">
        <f>'Bulk Plant Input'!$A$32</f>
        <v>0</v>
      </c>
      <c r="N16" s="15">
        <f>'Bulk Plant Input'!$A$33</f>
        <v>0</v>
      </c>
      <c r="O16" s="15">
        <f>'Bulk Plant Input'!$A$34</f>
        <v>0</v>
      </c>
      <c r="P16" s="15">
        <f>'Bulk Plant Input'!$A$35</f>
        <v>0</v>
      </c>
      <c r="Q16" s="15">
        <f>'Bulk Plant Input'!$A$36</f>
        <v>0</v>
      </c>
      <c r="R16" s="15">
        <f>'Bulk Plant Input'!$A$37</f>
        <v>0</v>
      </c>
      <c r="S16" s="15">
        <v>0</v>
      </c>
      <c r="U16" s="1"/>
      <c r="V16" s="1"/>
      <c r="W16" s="1"/>
      <c r="X16" s="1"/>
      <c r="Y16" s="1"/>
      <c r="Z16" s="1"/>
      <c r="AA16" s="1"/>
      <c r="AB16" s="1"/>
    </row>
    <row r="17" spans="1:28" ht="15.75" x14ac:dyDescent="0.25">
      <c r="A17" s="120" t="str">
        <f>'Base Blend Property Calculation'!A21</f>
        <v>1:1:2 'G' (Sask)</v>
      </c>
      <c r="B17" s="97">
        <f t="shared" si="0"/>
        <v>0</v>
      </c>
      <c r="C17" s="97">
        <f>COUNTIF('Bulk Plant Input'!$A$23:$A$37,'Base Blend Property Calculation'!BV21)+COUNTIF('Bulk Plant Input'!$A$23:$A$37,'Base Blend Property Calculation'!BW21)+COUNTIF('Bulk Plant Input'!$A$23:$A$37,'Base Blend Property Calculation'!BX21)+COUNTIF('Bulk Plant Input'!$A$23:$A$37,'Base Blend Property Calculation'!BY21)+COUNTIF('Bulk Plant Input'!$A$23:$A$37,'Base Blend Property Calculation'!BZ21)</f>
        <v>0</v>
      </c>
      <c r="D17" s="15" t="str">
        <f>'Bulk Plant Input'!$A$23</f>
        <v>CFR-5</v>
      </c>
      <c r="E17" s="15" t="str">
        <f>'Bulk Plant Input'!$A$24</f>
        <v>CFL-4</v>
      </c>
      <c r="F17" s="15" t="str">
        <f>'Bulk Plant Input'!$A$25</f>
        <v>FWC-2</v>
      </c>
      <c r="G17" s="15" t="str">
        <f>'Bulk Plant Input'!$A$26</f>
        <v>LTR</v>
      </c>
      <c r="H17" s="15" t="str">
        <f>'Bulk Plant Input'!$A$27</f>
        <v>CDF-6P</v>
      </c>
      <c r="I17" s="15" t="str">
        <f>'Bulk Plant Input'!$A$28</f>
        <v>ASM-3</v>
      </c>
      <c r="J17" s="15">
        <f>'Bulk Plant Input'!$A$29</f>
        <v>0</v>
      </c>
      <c r="K17" s="15">
        <f>'Bulk Plant Input'!$A$30</f>
        <v>0</v>
      </c>
      <c r="L17" s="15">
        <f>'Bulk Plant Input'!$A$31</f>
        <v>0</v>
      </c>
      <c r="M17" s="15">
        <f>'Bulk Plant Input'!$A$32</f>
        <v>0</v>
      </c>
      <c r="N17" s="15">
        <f>'Bulk Plant Input'!$A$33</f>
        <v>0</v>
      </c>
      <c r="O17" s="15">
        <f>'Bulk Plant Input'!$A$34</f>
        <v>0</v>
      </c>
      <c r="P17" s="15">
        <f>'Bulk Plant Input'!$A$35</f>
        <v>0</v>
      </c>
      <c r="Q17" s="15">
        <f>'Bulk Plant Input'!$A$36</f>
        <v>0</v>
      </c>
      <c r="R17" s="15">
        <f>'Bulk Plant Input'!$A$37</f>
        <v>0</v>
      </c>
      <c r="S17" s="15">
        <v>0</v>
      </c>
      <c r="U17" s="1"/>
      <c r="V17" s="1"/>
      <c r="W17" s="1"/>
      <c r="X17" s="1"/>
      <c r="Y17" s="1"/>
      <c r="Z17" s="1"/>
      <c r="AA17" s="1"/>
      <c r="AB17" s="1"/>
    </row>
    <row r="18" spans="1:28" ht="15.75" x14ac:dyDescent="0.25">
      <c r="A18" s="120" t="str">
        <f>'Base Blend Property Calculation'!A22</f>
        <v>1:1:4 'G'</v>
      </c>
      <c r="B18" s="97">
        <f t="shared" si="0"/>
        <v>0</v>
      </c>
      <c r="C18" s="97">
        <f>COUNTIF('Bulk Plant Input'!$A$23:$A$37,'Base Blend Property Calculation'!BV22)+COUNTIF('Bulk Plant Input'!$A$23:$A$37,'Base Blend Property Calculation'!BW22)+COUNTIF('Bulk Plant Input'!$A$23:$A$37,'Base Blend Property Calculation'!BX22)+COUNTIF('Bulk Plant Input'!$A$23:$A$37,'Base Blend Property Calculation'!BY22)+COUNTIF('Bulk Plant Input'!$A$23:$A$37,'Base Blend Property Calculation'!BZ22)</f>
        <v>0</v>
      </c>
      <c r="D18" s="15" t="str">
        <f>'Bulk Plant Input'!$A$23</f>
        <v>CFR-5</v>
      </c>
      <c r="E18" s="15" t="str">
        <f>'Bulk Plant Input'!$A$24</f>
        <v>CFL-4</v>
      </c>
      <c r="F18" s="15" t="str">
        <f>'Bulk Plant Input'!$A$25</f>
        <v>FWC-2</v>
      </c>
      <c r="G18" s="15" t="str">
        <f>'Bulk Plant Input'!$A$26</f>
        <v>LTR</v>
      </c>
      <c r="H18" s="15" t="str">
        <f>'Bulk Plant Input'!$A$27</f>
        <v>CDF-6P</v>
      </c>
      <c r="I18" s="15" t="str">
        <f>'Bulk Plant Input'!$A$28</f>
        <v>ASM-3</v>
      </c>
      <c r="J18" s="15">
        <f>'Bulk Plant Input'!$A$29</f>
        <v>0</v>
      </c>
      <c r="K18" s="15">
        <f>'Bulk Plant Input'!$A$30</f>
        <v>0</v>
      </c>
      <c r="L18" s="15">
        <f>'Bulk Plant Input'!$A$31</f>
        <v>0</v>
      </c>
      <c r="M18" s="15">
        <f>'Bulk Plant Input'!$A$32</f>
        <v>0</v>
      </c>
      <c r="N18" s="15">
        <f>'Bulk Plant Input'!$A$33</f>
        <v>0</v>
      </c>
      <c r="O18" s="15">
        <f>'Bulk Plant Input'!$A$34</f>
        <v>0</v>
      </c>
      <c r="P18" s="15">
        <f>'Bulk Plant Input'!$A$35</f>
        <v>0</v>
      </c>
      <c r="Q18" s="15">
        <f>'Bulk Plant Input'!$A$36</f>
        <v>0</v>
      </c>
      <c r="R18" s="15">
        <f>'Bulk Plant Input'!$A$37</f>
        <v>0</v>
      </c>
      <c r="S18" s="15">
        <v>0</v>
      </c>
      <c r="U18" s="1"/>
      <c r="V18" s="1"/>
      <c r="W18" s="1"/>
      <c r="X18" s="1"/>
      <c r="Y18" s="1"/>
      <c r="Z18" s="1"/>
      <c r="AA18" s="1"/>
      <c r="AB18" s="1"/>
    </row>
    <row r="19" spans="1:28" ht="15.75" x14ac:dyDescent="0.25">
      <c r="A19" s="120" t="str">
        <f>'Base Blend Property Calculation'!A23</f>
        <v>1:1:4 'G' (Sask)</v>
      </c>
      <c r="B19" s="97">
        <f t="shared" si="0"/>
        <v>0</v>
      </c>
      <c r="C19" s="97">
        <f>COUNTIF('Bulk Plant Input'!$A$23:$A$37,'Base Blend Property Calculation'!BV23)+COUNTIF('Bulk Plant Input'!$A$23:$A$37,'Base Blend Property Calculation'!BW23)+COUNTIF('Bulk Plant Input'!$A$23:$A$37,'Base Blend Property Calculation'!BX23)+COUNTIF('Bulk Plant Input'!$A$23:$A$37,'Base Blend Property Calculation'!BY23)+COUNTIF('Bulk Plant Input'!$A$23:$A$37,'Base Blend Property Calculation'!BZ23)</f>
        <v>0</v>
      </c>
      <c r="D19" s="15" t="str">
        <f>'Bulk Plant Input'!$A$23</f>
        <v>CFR-5</v>
      </c>
      <c r="E19" s="15" t="str">
        <f>'Bulk Plant Input'!$A$24</f>
        <v>CFL-4</v>
      </c>
      <c r="F19" s="15" t="str">
        <f>'Bulk Plant Input'!$A$25</f>
        <v>FWC-2</v>
      </c>
      <c r="G19" s="15" t="str">
        <f>'Bulk Plant Input'!$A$26</f>
        <v>LTR</v>
      </c>
      <c r="H19" s="15" t="str">
        <f>'Bulk Plant Input'!$A$27</f>
        <v>CDF-6P</v>
      </c>
      <c r="I19" s="15" t="str">
        <f>'Bulk Plant Input'!$A$28</f>
        <v>ASM-3</v>
      </c>
      <c r="J19" s="15">
        <f>'Bulk Plant Input'!$A$29</f>
        <v>0</v>
      </c>
      <c r="K19" s="15">
        <f>'Bulk Plant Input'!$A$30</f>
        <v>0</v>
      </c>
      <c r="L19" s="15">
        <f>'Bulk Plant Input'!$A$31</f>
        <v>0</v>
      </c>
      <c r="M19" s="15">
        <f>'Bulk Plant Input'!$A$32</f>
        <v>0</v>
      </c>
      <c r="N19" s="15">
        <f>'Bulk Plant Input'!$A$33</f>
        <v>0</v>
      </c>
      <c r="O19" s="15">
        <f>'Bulk Plant Input'!$A$34</f>
        <v>0</v>
      </c>
      <c r="P19" s="15">
        <f>'Bulk Plant Input'!$A$35</f>
        <v>0</v>
      </c>
      <c r="Q19" s="15">
        <f>'Bulk Plant Input'!$A$36</f>
        <v>0</v>
      </c>
      <c r="R19" s="15">
        <f>'Bulk Plant Input'!$A$37</f>
        <v>0</v>
      </c>
      <c r="S19" s="15">
        <v>0</v>
      </c>
      <c r="U19" s="1"/>
      <c r="V19" s="1"/>
      <c r="W19" s="1"/>
      <c r="X19" s="1"/>
      <c r="Y19" s="1"/>
      <c r="Z19" s="1"/>
      <c r="AA19" s="1"/>
      <c r="AB19" s="1"/>
    </row>
    <row r="20" spans="1:28" ht="15.75" x14ac:dyDescent="0.25">
      <c r="A20" s="120" t="str">
        <f>'Base Blend Property Calculation'!A24</f>
        <v>1:1:6 'G'</v>
      </c>
      <c r="B20" s="97">
        <f t="shared" si="0"/>
        <v>0</v>
      </c>
      <c r="C20" s="97">
        <f>COUNTIF('Bulk Plant Input'!$A$23:$A$37,'Base Blend Property Calculation'!BV24)+COUNTIF('Bulk Plant Input'!$A$23:$A$37,'Base Blend Property Calculation'!BW24)+COUNTIF('Bulk Plant Input'!$A$23:$A$37,'Base Blend Property Calculation'!BX24)+COUNTIF('Bulk Plant Input'!$A$23:$A$37,'Base Blend Property Calculation'!BY24)+COUNTIF('Bulk Plant Input'!$A$23:$A$37,'Base Blend Property Calculation'!BZ24)</f>
        <v>0</v>
      </c>
      <c r="D20" s="15" t="str">
        <f>'Bulk Plant Input'!$A$23</f>
        <v>CFR-5</v>
      </c>
      <c r="E20" s="15" t="str">
        <f>'Bulk Plant Input'!$A$24</f>
        <v>CFL-4</v>
      </c>
      <c r="F20" s="15" t="str">
        <f>'Bulk Plant Input'!$A$25</f>
        <v>FWC-2</v>
      </c>
      <c r="G20" s="15" t="str">
        <f>'Bulk Plant Input'!$A$26</f>
        <v>LTR</v>
      </c>
      <c r="H20" s="15" t="str">
        <f>'Bulk Plant Input'!$A$27</f>
        <v>CDF-6P</v>
      </c>
      <c r="I20" s="15" t="str">
        <f>'Bulk Plant Input'!$A$28</f>
        <v>ASM-3</v>
      </c>
      <c r="J20" s="15">
        <f>'Bulk Plant Input'!$A$29</f>
        <v>0</v>
      </c>
      <c r="K20" s="15">
        <f>'Bulk Plant Input'!$A$30</f>
        <v>0</v>
      </c>
      <c r="L20" s="15">
        <f>'Bulk Plant Input'!$A$31</f>
        <v>0</v>
      </c>
      <c r="M20" s="15">
        <f>'Bulk Plant Input'!$A$32</f>
        <v>0</v>
      </c>
      <c r="N20" s="15">
        <f>'Bulk Plant Input'!$A$33</f>
        <v>0</v>
      </c>
      <c r="O20" s="15">
        <f>'Bulk Plant Input'!$A$34</f>
        <v>0</v>
      </c>
      <c r="P20" s="15">
        <f>'Bulk Plant Input'!$A$35</f>
        <v>0</v>
      </c>
      <c r="Q20" s="15">
        <f>'Bulk Plant Input'!$A$36</f>
        <v>0</v>
      </c>
      <c r="R20" s="15">
        <f>'Bulk Plant Input'!$A$37</f>
        <v>0</v>
      </c>
      <c r="S20" s="15">
        <v>0</v>
      </c>
      <c r="U20" s="1"/>
      <c r="V20" s="1"/>
      <c r="W20" s="1"/>
      <c r="X20" s="1"/>
      <c r="Y20" s="1"/>
      <c r="Z20" s="1"/>
      <c r="AA20" s="1"/>
      <c r="AB20" s="1"/>
    </row>
    <row r="21" spans="1:28" ht="15.75" x14ac:dyDescent="0.25">
      <c r="A21" s="120" t="str">
        <f>'Base Blend Property Calculation'!A25</f>
        <v>1:1:6 'G' (Sask)</v>
      </c>
      <c r="B21" s="97">
        <f t="shared" si="0"/>
        <v>0</v>
      </c>
      <c r="C21" s="97">
        <f>COUNTIF('Bulk Plant Input'!$A$23:$A$37,'Base Blend Property Calculation'!BV25)+COUNTIF('Bulk Plant Input'!$A$23:$A$37,'Base Blend Property Calculation'!BW25)+COUNTIF('Bulk Plant Input'!$A$23:$A$37,'Base Blend Property Calculation'!BX25)+COUNTIF('Bulk Plant Input'!$A$23:$A$37,'Base Blend Property Calculation'!BY25)+COUNTIF('Bulk Plant Input'!$A$23:$A$37,'Base Blend Property Calculation'!BZ25)</f>
        <v>0</v>
      </c>
      <c r="D21" s="15" t="str">
        <f>'Bulk Plant Input'!$A$23</f>
        <v>CFR-5</v>
      </c>
      <c r="E21" s="15" t="str">
        <f>'Bulk Plant Input'!$A$24</f>
        <v>CFL-4</v>
      </c>
      <c r="F21" s="15" t="str">
        <f>'Bulk Plant Input'!$A$25</f>
        <v>FWC-2</v>
      </c>
      <c r="G21" s="15" t="str">
        <f>'Bulk Plant Input'!$A$26</f>
        <v>LTR</v>
      </c>
      <c r="H21" s="15" t="str">
        <f>'Bulk Plant Input'!$A$27</f>
        <v>CDF-6P</v>
      </c>
      <c r="I21" s="15" t="str">
        <f>'Bulk Plant Input'!$A$28</f>
        <v>ASM-3</v>
      </c>
      <c r="J21" s="15">
        <f>'Bulk Plant Input'!$A$29</f>
        <v>0</v>
      </c>
      <c r="K21" s="15">
        <f>'Bulk Plant Input'!$A$30</f>
        <v>0</v>
      </c>
      <c r="L21" s="15">
        <f>'Bulk Plant Input'!$A$31</f>
        <v>0</v>
      </c>
      <c r="M21" s="15">
        <f>'Bulk Plant Input'!$A$32</f>
        <v>0</v>
      </c>
      <c r="N21" s="15">
        <f>'Bulk Plant Input'!$A$33</f>
        <v>0</v>
      </c>
      <c r="O21" s="15">
        <f>'Bulk Plant Input'!$A$34</f>
        <v>0</v>
      </c>
      <c r="P21" s="15">
        <f>'Bulk Plant Input'!$A$35</f>
        <v>0</v>
      </c>
      <c r="Q21" s="15">
        <f>'Bulk Plant Input'!$A$36</f>
        <v>0</v>
      </c>
      <c r="R21" s="15">
        <f>'Bulk Plant Input'!$A$37</f>
        <v>0</v>
      </c>
      <c r="S21" s="15">
        <v>0</v>
      </c>
      <c r="U21" s="1"/>
      <c r="V21" s="1"/>
      <c r="W21" s="1"/>
      <c r="X21" s="1"/>
      <c r="Y21" s="1"/>
      <c r="Z21" s="1"/>
      <c r="AA21" s="1"/>
      <c r="AB21" s="1"/>
    </row>
    <row r="22" spans="1:28" ht="15.75" x14ac:dyDescent="0.25">
      <c r="A22" s="120" t="str">
        <f>'Base Blend Property Calculation'!A26</f>
        <v>1:1:8 'G'</v>
      </c>
      <c r="B22" s="97">
        <f t="shared" si="0"/>
        <v>0</v>
      </c>
      <c r="C22" s="97">
        <f>COUNTIF('Bulk Plant Input'!$A$23:$A$37,'Base Blend Property Calculation'!BV26)+COUNTIF('Bulk Plant Input'!$A$23:$A$37,'Base Blend Property Calculation'!BW26)+COUNTIF('Bulk Plant Input'!$A$23:$A$37,'Base Blend Property Calculation'!BX26)+COUNTIF('Bulk Plant Input'!$A$23:$A$37,'Base Blend Property Calculation'!BY26)+COUNTIF('Bulk Plant Input'!$A$23:$A$37,'Base Blend Property Calculation'!BZ26)</f>
        <v>0</v>
      </c>
      <c r="D22" s="15" t="str">
        <f>'Bulk Plant Input'!$A$23</f>
        <v>CFR-5</v>
      </c>
      <c r="E22" s="15" t="str">
        <f>'Bulk Plant Input'!$A$24</f>
        <v>CFL-4</v>
      </c>
      <c r="F22" s="15" t="str">
        <f>'Bulk Plant Input'!$A$25</f>
        <v>FWC-2</v>
      </c>
      <c r="G22" s="15" t="str">
        <f>'Bulk Plant Input'!$A$26</f>
        <v>LTR</v>
      </c>
      <c r="H22" s="15" t="str">
        <f>'Bulk Plant Input'!$A$27</f>
        <v>CDF-6P</v>
      </c>
      <c r="I22" s="15" t="str">
        <f>'Bulk Plant Input'!$A$28</f>
        <v>ASM-3</v>
      </c>
      <c r="J22" s="15">
        <f>'Bulk Plant Input'!$A$29</f>
        <v>0</v>
      </c>
      <c r="K22" s="15">
        <f>'Bulk Plant Input'!$A$30</f>
        <v>0</v>
      </c>
      <c r="L22" s="15">
        <f>'Bulk Plant Input'!$A$31</f>
        <v>0</v>
      </c>
      <c r="M22" s="15">
        <f>'Bulk Plant Input'!$A$32</f>
        <v>0</v>
      </c>
      <c r="N22" s="15">
        <f>'Bulk Plant Input'!$A$33</f>
        <v>0</v>
      </c>
      <c r="O22" s="15">
        <f>'Bulk Plant Input'!$A$34</f>
        <v>0</v>
      </c>
      <c r="P22" s="15">
        <f>'Bulk Plant Input'!$A$35</f>
        <v>0</v>
      </c>
      <c r="Q22" s="15">
        <f>'Bulk Plant Input'!$A$36</f>
        <v>0</v>
      </c>
      <c r="R22" s="15">
        <f>'Bulk Plant Input'!$A$37</f>
        <v>0</v>
      </c>
      <c r="S22" s="15">
        <v>0</v>
      </c>
      <c r="U22" s="1"/>
      <c r="V22" s="1"/>
      <c r="W22" s="1"/>
      <c r="X22" s="1"/>
      <c r="Y22" s="1"/>
      <c r="Z22" s="1"/>
      <c r="AA22" s="1"/>
      <c r="AB22" s="1"/>
    </row>
    <row r="23" spans="1:28" ht="15.75" x14ac:dyDescent="0.25">
      <c r="A23" s="120" t="str">
        <f>'Base Blend Property Calculation'!A27</f>
        <v>1:1:8 'G' (Sask)</v>
      </c>
      <c r="B23" s="97">
        <f t="shared" si="0"/>
        <v>0</v>
      </c>
      <c r="C23" s="97">
        <f>COUNTIF('Bulk Plant Input'!$A$23:$A$37,'Base Blend Property Calculation'!BV27)+COUNTIF('Bulk Plant Input'!$A$23:$A$37,'Base Blend Property Calculation'!BW27)+COUNTIF('Bulk Plant Input'!$A$23:$A$37,'Base Blend Property Calculation'!BX27)+COUNTIF('Bulk Plant Input'!$A$23:$A$37,'Base Blend Property Calculation'!BY27)+COUNTIF('Bulk Plant Input'!$A$23:$A$37,'Base Blend Property Calculation'!BZ27)</f>
        <v>0</v>
      </c>
      <c r="D23" s="15" t="str">
        <f>'Bulk Plant Input'!$A$23</f>
        <v>CFR-5</v>
      </c>
      <c r="E23" s="15" t="str">
        <f>'Bulk Plant Input'!$A$24</f>
        <v>CFL-4</v>
      </c>
      <c r="F23" s="15" t="str">
        <f>'Bulk Plant Input'!$A$25</f>
        <v>FWC-2</v>
      </c>
      <c r="G23" s="15" t="str">
        <f>'Bulk Plant Input'!$A$26</f>
        <v>LTR</v>
      </c>
      <c r="H23" s="15" t="str">
        <f>'Bulk Plant Input'!$A$27</f>
        <v>CDF-6P</v>
      </c>
      <c r="I23" s="15" t="str">
        <f>'Bulk Plant Input'!$A$28</f>
        <v>ASM-3</v>
      </c>
      <c r="J23" s="15">
        <f>'Bulk Plant Input'!$A$29</f>
        <v>0</v>
      </c>
      <c r="K23" s="15">
        <f>'Bulk Plant Input'!$A$30</f>
        <v>0</v>
      </c>
      <c r="L23" s="15">
        <f>'Bulk Plant Input'!$A$31</f>
        <v>0</v>
      </c>
      <c r="M23" s="15">
        <f>'Bulk Plant Input'!$A$32</f>
        <v>0</v>
      </c>
      <c r="N23" s="15">
        <f>'Bulk Plant Input'!$A$33</f>
        <v>0</v>
      </c>
      <c r="O23" s="15">
        <f>'Bulk Plant Input'!$A$34</f>
        <v>0</v>
      </c>
      <c r="P23" s="15">
        <f>'Bulk Plant Input'!$A$35</f>
        <v>0</v>
      </c>
      <c r="Q23" s="15">
        <f>'Bulk Plant Input'!$A$36</f>
        <v>0</v>
      </c>
      <c r="R23" s="15">
        <f>'Bulk Plant Input'!$A$37</f>
        <v>0</v>
      </c>
      <c r="S23" s="15">
        <v>0</v>
      </c>
      <c r="U23" s="1"/>
      <c r="V23" s="1"/>
      <c r="W23" s="1"/>
      <c r="X23" s="1"/>
      <c r="Y23" s="1"/>
      <c r="Z23" s="1"/>
      <c r="AA23" s="1"/>
      <c r="AB23" s="1"/>
    </row>
    <row r="24" spans="1:28" ht="15.75" x14ac:dyDescent="0.25">
      <c r="A24" s="120" t="str">
        <f>'Base Blend Property Calculation'!A28</f>
        <v>2:1:0 'G'</v>
      </c>
      <c r="B24" s="97">
        <f t="shared" si="0"/>
        <v>0</v>
      </c>
      <c r="C24" s="97">
        <f>COUNTIF('Bulk Plant Input'!$A$23:$A$37,'Base Blend Property Calculation'!BV28)+COUNTIF('Bulk Plant Input'!$A$23:$A$37,'Base Blend Property Calculation'!BW28)+COUNTIF('Bulk Plant Input'!$A$23:$A$37,'Base Blend Property Calculation'!BX28)+COUNTIF('Bulk Plant Input'!$A$23:$A$37,'Base Blend Property Calculation'!BY28)+COUNTIF('Bulk Plant Input'!$A$23:$A$37,'Base Blend Property Calculation'!BZ28)</f>
        <v>0</v>
      </c>
      <c r="D24" s="15" t="str">
        <f>'Bulk Plant Input'!$A$23</f>
        <v>CFR-5</v>
      </c>
      <c r="E24" s="15" t="str">
        <f>'Bulk Plant Input'!$A$24</f>
        <v>CFL-4</v>
      </c>
      <c r="F24" s="15" t="str">
        <f>'Bulk Plant Input'!$A$25</f>
        <v>FWC-2</v>
      </c>
      <c r="G24" s="15" t="str">
        <f>'Bulk Plant Input'!$A$26</f>
        <v>LTR</v>
      </c>
      <c r="H24" s="15" t="str">
        <f>'Bulk Plant Input'!$A$27</f>
        <v>CDF-6P</v>
      </c>
      <c r="I24" s="15" t="str">
        <f>'Bulk Plant Input'!$A$28</f>
        <v>ASM-3</v>
      </c>
      <c r="J24" s="15">
        <f>'Bulk Plant Input'!$A$29</f>
        <v>0</v>
      </c>
      <c r="K24" s="15">
        <f>'Bulk Plant Input'!$A$30</f>
        <v>0</v>
      </c>
      <c r="L24" s="15">
        <f>'Bulk Plant Input'!$A$31</f>
        <v>0</v>
      </c>
      <c r="M24" s="15">
        <f>'Bulk Plant Input'!$A$32</f>
        <v>0</v>
      </c>
      <c r="N24" s="15">
        <f>'Bulk Plant Input'!$A$33</f>
        <v>0</v>
      </c>
      <c r="O24" s="15">
        <f>'Bulk Plant Input'!$A$34</f>
        <v>0</v>
      </c>
      <c r="P24" s="15">
        <f>'Bulk Plant Input'!$A$35</f>
        <v>0</v>
      </c>
      <c r="Q24" s="15">
        <f>'Bulk Plant Input'!$A$36</f>
        <v>0</v>
      </c>
      <c r="R24" s="15">
        <f>'Bulk Plant Input'!$A$37</f>
        <v>0</v>
      </c>
      <c r="S24" s="15">
        <v>0</v>
      </c>
      <c r="U24" s="1"/>
      <c r="V24" s="1"/>
      <c r="W24" s="1"/>
      <c r="X24" s="1"/>
      <c r="Y24" s="1"/>
      <c r="Z24" s="1"/>
      <c r="AA24" s="1"/>
      <c r="AB24" s="1"/>
    </row>
    <row r="25" spans="1:28" ht="15.75" x14ac:dyDescent="0.25">
      <c r="A25" s="120" t="str">
        <f>'Base Blend Property Calculation'!A29</f>
        <v>2:1:0 'G' (Sask)</v>
      </c>
      <c r="B25" s="97">
        <f t="shared" si="0"/>
        <v>0</v>
      </c>
      <c r="C25" s="97">
        <f>COUNTIF('Bulk Plant Input'!$A$23:$A$37,'Base Blend Property Calculation'!BV29)+COUNTIF('Bulk Plant Input'!$A$23:$A$37,'Base Blend Property Calculation'!BW29)+COUNTIF('Bulk Plant Input'!$A$23:$A$37,'Base Blend Property Calculation'!BX29)+COUNTIF('Bulk Plant Input'!$A$23:$A$37,'Base Blend Property Calculation'!BY29)+COUNTIF('Bulk Plant Input'!$A$23:$A$37,'Base Blend Property Calculation'!BZ29)</f>
        <v>0</v>
      </c>
      <c r="D25" s="15" t="str">
        <f>'Bulk Plant Input'!$A$23</f>
        <v>CFR-5</v>
      </c>
      <c r="E25" s="15" t="str">
        <f>'Bulk Plant Input'!$A$24</f>
        <v>CFL-4</v>
      </c>
      <c r="F25" s="15" t="str">
        <f>'Bulk Plant Input'!$A$25</f>
        <v>FWC-2</v>
      </c>
      <c r="G25" s="15" t="str">
        <f>'Bulk Plant Input'!$A$26</f>
        <v>LTR</v>
      </c>
      <c r="H25" s="15" t="str">
        <f>'Bulk Plant Input'!$A$27</f>
        <v>CDF-6P</v>
      </c>
      <c r="I25" s="15" t="str">
        <f>'Bulk Plant Input'!$A$28</f>
        <v>ASM-3</v>
      </c>
      <c r="J25" s="15">
        <f>'Bulk Plant Input'!$A$29</f>
        <v>0</v>
      </c>
      <c r="K25" s="15">
        <f>'Bulk Plant Input'!$A$30</f>
        <v>0</v>
      </c>
      <c r="L25" s="15">
        <f>'Bulk Plant Input'!$A$31</f>
        <v>0</v>
      </c>
      <c r="M25" s="15">
        <f>'Bulk Plant Input'!$A$32</f>
        <v>0</v>
      </c>
      <c r="N25" s="15">
        <f>'Bulk Plant Input'!$A$33</f>
        <v>0</v>
      </c>
      <c r="O25" s="15">
        <f>'Bulk Plant Input'!$A$34</f>
        <v>0</v>
      </c>
      <c r="P25" s="15">
        <f>'Bulk Plant Input'!$A$35</f>
        <v>0</v>
      </c>
      <c r="Q25" s="15">
        <f>'Bulk Plant Input'!$A$36</f>
        <v>0</v>
      </c>
      <c r="R25" s="15">
        <f>'Bulk Plant Input'!$A$37</f>
        <v>0</v>
      </c>
      <c r="S25" s="15">
        <v>0</v>
      </c>
      <c r="U25" s="1"/>
      <c r="V25" s="1"/>
      <c r="W25" s="1"/>
      <c r="X25" s="1"/>
      <c r="Y25" s="1"/>
      <c r="Z25" s="1"/>
      <c r="AA25" s="1"/>
      <c r="AB25" s="1"/>
    </row>
    <row r="26" spans="1:28" ht="15.75" x14ac:dyDescent="0.25">
      <c r="A26" s="120" t="str">
        <f>'Base Blend Property Calculation'!A30</f>
        <v>2:1:12 'G'</v>
      </c>
      <c r="B26" s="97">
        <f t="shared" si="0"/>
        <v>0</v>
      </c>
      <c r="C26" s="97">
        <f>COUNTIF('Bulk Plant Input'!$A$23:$A$37,'Base Blend Property Calculation'!BV30)+COUNTIF('Bulk Plant Input'!$A$23:$A$37,'Base Blend Property Calculation'!BW30)+COUNTIF('Bulk Plant Input'!$A$23:$A$37,'Base Blend Property Calculation'!BX30)+COUNTIF('Bulk Plant Input'!$A$23:$A$37,'Base Blend Property Calculation'!BY30)+COUNTIF('Bulk Plant Input'!$A$23:$A$37,'Base Blend Property Calculation'!BZ30)</f>
        <v>0</v>
      </c>
      <c r="D26" s="15" t="str">
        <f>'Bulk Plant Input'!$A$23</f>
        <v>CFR-5</v>
      </c>
      <c r="E26" s="15" t="str">
        <f>'Bulk Plant Input'!$A$24</f>
        <v>CFL-4</v>
      </c>
      <c r="F26" s="15" t="str">
        <f>'Bulk Plant Input'!$A$25</f>
        <v>FWC-2</v>
      </c>
      <c r="G26" s="15" t="str">
        <f>'Bulk Plant Input'!$A$26</f>
        <v>LTR</v>
      </c>
      <c r="H26" s="15" t="str">
        <f>'Bulk Plant Input'!$A$27</f>
        <v>CDF-6P</v>
      </c>
      <c r="I26" s="15" t="str">
        <f>'Bulk Plant Input'!$A$28</f>
        <v>ASM-3</v>
      </c>
      <c r="J26" s="15">
        <f>'Bulk Plant Input'!$A$29</f>
        <v>0</v>
      </c>
      <c r="K26" s="15">
        <f>'Bulk Plant Input'!$A$30</f>
        <v>0</v>
      </c>
      <c r="L26" s="15">
        <f>'Bulk Plant Input'!$A$31</f>
        <v>0</v>
      </c>
      <c r="M26" s="15">
        <f>'Bulk Plant Input'!$A$32</f>
        <v>0</v>
      </c>
      <c r="N26" s="15">
        <f>'Bulk Plant Input'!$A$33</f>
        <v>0</v>
      </c>
      <c r="O26" s="15">
        <f>'Bulk Plant Input'!$A$34</f>
        <v>0</v>
      </c>
      <c r="P26" s="15">
        <f>'Bulk Plant Input'!$A$35</f>
        <v>0</v>
      </c>
      <c r="Q26" s="15">
        <f>'Bulk Plant Input'!$A$36</f>
        <v>0</v>
      </c>
      <c r="R26" s="15">
        <f>'Bulk Plant Input'!$A$37</f>
        <v>0</v>
      </c>
      <c r="S26" s="15">
        <v>0</v>
      </c>
      <c r="U26" s="1"/>
      <c r="V26" s="1"/>
      <c r="W26" s="1"/>
      <c r="X26" s="1"/>
      <c r="Y26" s="1"/>
      <c r="Z26" s="1"/>
      <c r="AA26" s="1"/>
      <c r="AB26" s="1"/>
    </row>
    <row r="27" spans="1:28" ht="15.75" x14ac:dyDescent="0.25">
      <c r="A27" s="120" t="str">
        <f>'Base Blend Property Calculation'!A31</f>
        <v>2:1:12 'G' (Sask)</v>
      </c>
      <c r="B27" s="97">
        <f t="shared" si="0"/>
        <v>0</v>
      </c>
      <c r="C27" s="97">
        <f>COUNTIF('Bulk Plant Input'!$A$23:$A$37,'Base Blend Property Calculation'!BV31)+COUNTIF('Bulk Plant Input'!$A$23:$A$37,'Base Blend Property Calculation'!BW31)+COUNTIF('Bulk Plant Input'!$A$23:$A$37,'Base Blend Property Calculation'!BX31)+COUNTIF('Bulk Plant Input'!$A$23:$A$37,'Base Blend Property Calculation'!BY31)+COUNTIF('Bulk Plant Input'!$A$23:$A$37,'Base Blend Property Calculation'!BZ31)</f>
        <v>0</v>
      </c>
      <c r="D27" s="15" t="str">
        <f>'Bulk Plant Input'!$A$23</f>
        <v>CFR-5</v>
      </c>
      <c r="E27" s="15" t="str">
        <f>'Bulk Plant Input'!$A$24</f>
        <v>CFL-4</v>
      </c>
      <c r="F27" s="15" t="str">
        <f>'Bulk Plant Input'!$A$25</f>
        <v>FWC-2</v>
      </c>
      <c r="G27" s="15" t="str">
        <f>'Bulk Plant Input'!$A$26</f>
        <v>LTR</v>
      </c>
      <c r="H27" s="15" t="str">
        <f>'Bulk Plant Input'!$A$27</f>
        <v>CDF-6P</v>
      </c>
      <c r="I27" s="15" t="str">
        <f>'Bulk Plant Input'!$A$28</f>
        <v>ASM-3</v>
      </c>
      <c r="J27" s="15">
        <f>'Bulk Plant Input'!$A$29</f>
        <v>0</v>
      </c>
      <c r="K27" s="15">
        <f>'Bulk Plant Input'!$A$30</f>
        <v>0</v>
      </c>
      <c r="L27" s="15">
        <f>'Bulk Plant Input'!$A$31</f>
        <v>0</v>
      </c>
      <c r="M27" s="15">
        <f>'Bulk Plant Input'!$A$32</f>
        <v>0</v>
      </c>
      <c r="N27" s="15">
        <f>'Bulk Plant Input'!$A$33</f>
        <v>0</v>
      </c>
      <c r="O27" s="15">
        <f>'Bulk Plant Input'!$A$34</f>
        <v>0</v>
      </c>
      <c r="P27" s="15">
        <f>'Bulk Plant Input'!$A$35</f>
        <v>0</v>
      </c>
      <c r="Q27" s="15">
        <f>'Bulk Plant Input'!$A$36</f>
        <v>0</v>
      </c>
      <c r="R27" s="15">
        <f>'Bulk Plant Input'!$A$37</f>
        <v>0</v>
      </c>
      <c r="S27" s="15">
        <v>0</v>
      </c>
      <c r="U27" s="1"/>
      <c r="V27" s="1"/>
      <c r="W27" s="1"/>
      <c r="X27" s="1"/>
      <c r="Y27" s="1"/>
      <c r="Z27" s="1"/>
      <c r="AA27" s="1"/>
      <c r="AB27" s="1"/>
    </row>
    <row r="28" spans="1:28" ht="15.75" x14ac:dyDescent="0.25">
      <c r="A28" s="120" t="str">
        <f>'Base Blend Property Calculation'!A32</f>
        <v>2:1:2 'G'</v>
      </c>
      <c r="B28" s="97">
        <f t="shared" si="0"/>
        <v>0</v>
      </c>
      <c r="C28" s="97">
        <f>COUNTIF('Bulk Plant Input'!$A$23:$A$37,'Base Blend Property Calculation'!BV32)+COUNTIF('Bulk Plant Input'!$A$23:$A$37,'Base Blend Property Calculation'!BW32)+COUNTIF('Bulk Plant Input'!$A$23:$A$37,'Base Blend Property Calculation'!BX32)+COUNTIF('Bulk Plant Input'!$A$23:$A$37,'Base Blend Property Calculation'!BY32)+COUNTIF('Bulk Plant Input'!$A$23:$A$37,'Base Blend Property Calculation'!BZ32)</f>
        <v>0</v>
      </c>
      <c r="D28" s="15" t="str">
        <f>'Bulk Plant Input'!$A$23</f>
        <v>CFR-5</v>
      </c>
      <c r="E28" s="15" t="str">
        <f>'Bulk Plant Input'!$A$24</f>
        <v>CFL-4</v>
      </c>
      <c r="F28" s="15" t="str">
        <f>'Bulk Plant Input'!$A$25</f>
        <v>FWC-2</v>
      </c>
      <c r="G28" s="15" t="str">
        <f>'Bulk Plant Input'!$A$26</f>
        <v>LTR</v>
      </c>
      <c r="H28" s="15" t="str">
        <f>'Bulk Plant Input'!$A$27</f>
        <v>CDF-6P</v>
      </c>
      <c r="I28" s="15" t="str">
        <f>'Bulk Plant Input'!$A$28</f>
        <v>ASM-3</v>
      </c>
      <c r="J28" s="15">
        <f>'Bulk Plant Input'!$A$29</f>
        <v>0</v>
      </c>
      <c r="K28" s="15">
        <f>'Bulk Plant Input'!$A$30</f>
        <v>0</v>
      </c>
      <c r="L28" s="15">
        <f>'Bulk Plant Input'!$A$31</f>
        <v>0</v>
      </c>
      <c r="M28" s="15">
        <f>'Bulk Plant Input'!$A$32</f>
        <v>0</v>
      </c>
      <c r="N28" s="15">
        <f>'Bulk Plant Input'!$A$33</f>
        <v>0</v>
      </c>
      <c r="O28" s="15">
        <f>'Bulk Plant Input'!$A$34</f>
        <v>0</v>
      </c>
      <c r="P28" s="15">
        <f>'Bulk Plant Input'!$A$35</f>
        <v>0</v>
      </c>
      <c r="Q28" s="15">
        <f>'Bulk Plant Input'!$A$36</f>
        <v>0</v>
      </c>
      <c r="R28" s="15">
        <f>'Bulk Plant Input'!$A$37</f>
        <v>0</v>
      </c>
      <c r="S28" s="15">
        <v>0</v>
      </c>
      <c r="U28" s="1"/>
      <c r="V28" s="1"/>
      <c r="W28" s="1"/>
      <c r="X28" s="1"/>
      <c r="Y28" s="1"/>
      <c r="Z28" s="1"/>
      <c r="AA28" s="1"/>
      <c r="AB28" s="1"/>
    </row>
    <row r="29" spans="1:28" ht="15.75" x14ac:dyDescent="0.25">
      <c r="A29" s="120" t="str">
        <f>'Base Blend Property Calculation'!A33</f>
        <v>2:1:2 'G' (Sask)</v>
      </c>
      <c r="B29" s="97">
        <f t="shared" si="0"/>
        <v>0</v>
      </c>
      <c r="C29" s="97">
        <f>COUNTIF('Bulk Plant Input'!$A$23:$A$37,'Base Blend Property Calculation'!BV33)+COUNTIF('Bulk Plant Input'!$A$23:$A$37,'Base Blend Property Calculation'!BW33)+COUNTIF('Bulk Plant Input'!$A$23:$A$37,'Base Blend Property Calculation'!BX33)+COUNTIF('Bulk Plant Input'!$A$23:$A$37,'Base Blend Property Calculation'!BY33)+COUNTIF('Bulk Plant Input'!$A$23:$A$37,'Base Blend Property Calculation'!BZ33)</f>
        <v>0</v>
      </c>
      <c r="D29" s="15" t="str">
        <f>'Bulk Plant Input'!$A$23</f>
        <v>CFR-5</v>
      </c>
      <c r="E29" s="15" t="str">
        <f>'Bulk Plant Input'!$A$24</f>
        <v>CFL-4</v>
      </c>
      <c r="F29" s="15" t="str">
        <f>'Bulk Plant Input'!$A$25</f>
        <v>FWC-2</v>
      </c>
      <c r="G29" s="15" t="str">
        <f>'Bulk Plant Input'!$A$26</f>
        <v>LTR</v>
      </c>
      <c r="H29" s="15" t="str">
        <f>'Bulk Plant Input'!$A$27</f>
        <v>CDF-6P</v>
      </c>
      <c r="I29" s="15" t="str">
        <f>'Bulk Plant Input'!$A$28</f>
        <v>ASM-3</v>
      </c>
      <c r="J29" s="15">
        <f>'Bulk Plant Input'!$A$29</f>
        <v>0</v>
      </c>
      <c r="K29" s="15">
        <f>'Bulk Plant Input'!$A$30</f>
        <v>0</v>
      </c>
      <c r="L29" s="15">
        <f>'Bulk Plant Input'!$A$31</f>
        <v>0</v>
      </c>
      <c r="M29" s="15">
        <f>'Bulk Plant Input'!$A$32</f>
        <v>0</v>
      </c>
      <c r="N29" s="15">
        <f>'Bulk Plant Input'!$A$33</f>
        <v>0</v>
      </c>
      <c r="O29" s="15">
        <f>'Bulk Plant Input'!$A$34</f>
        <v>0</v>
      </c>
      <c r="P29" s="15">
        <f>'Bulk Plant Input'!$A$35</f>
        <v>0</v>
      </c>
      <c r="Q29" s="15">
        <f>'Bulk Plant Input'!$A$36</f>
        <v>0</v>
      </c>
      <c r="R29" s="15">
        <f>'Bulk Plant Input'!$A$37</f>
        <v>0</v>
      </c>
      <c r="S29" s="15">
        <v>0</v>
      </c>
      <c r="U29" s="1"/>
      <c r="V29" s="1"/>
      <c r="W29" s="1"/>
      <c r="X29" s="1"/>
      <c r="Y29" s="1"/>
      <c r="Z29" s="1"/>
      <c r="AA29" s="1"/>
      <c r="AB29" s="1"/>
    </row>
    <row r="30" spans="1:28" ht="15.75" x14ac:dyDescent="0.25">
      <c r="A30" s="120" t="str">
        <f>'Base Blend Property Calculation'!A34</f>
        <v>2:1:4 'G'</v>
      </c>
      <c r="B30" s="97">
        <f t="shared" si="0"/>
        <v>0</v>
      </c>
      <c r="C30" s="97">
        <f>COUNTIF('Bulk Plant Input'!$A$23:$A$37,'Base Blend Property Calculation'!BV34)+COUNTIF('Bulk Plant Input'!$A$23:$A$37,'Base Blend Property Calculation'!BW34)+COUNTIF('Bulk Plant Input'!$A$23:$A$37,'Base Blend Property Calculation'!BX34)+COUNTIF('Bulk Plant Input'!$A$23:$A$37,'Base Blend Property Calculation'!BY34)+COUNTIF('Bulk Plant Input'!$A$23:$A$37,'Base Blend Property Calculation'!BZ34)</f>
        <v>0</v>
      </c>
      <c r="D30" s="15" t="str">
        <f>'Bulk Plant Input'!$A$23</f>
        <v>CFR-5</v>
      </c>
      <c r="E30" s="15" t="str">
        <f>'Bulk Plant Input'!$A$24</f>
        <v>CFL-4</v>
      </c>
      <c r="F30" s="15" t="str">
        <f>'Bulk Plant Input'!$A$25</f>
        <v>FWC-2</v>
      </c>
      <c r="G30" s="15" t="str">
        <f>'Bulk Plant Input'!$A$26</f>
        <v>LTR</v>
      </c>
      <c r="H30" s="15" t="str">
        <f>'Bulk Plant Input'!$A$27</f>
        <v>CDF-6P</v>
      </c>
      <c r="I30" s="15" t="str">
        <f>'Bulk Plant Input'!$A$28</f>
        <v>ASM-3</v>
      </c>
      <c r="J30" s="15">
        <f>'Bulk Plant Input'!$A$29</f>
        <v>0</v>
      </c>
      <c r="K30" s="15">
        <f>'Bulk Plant Input'!$A$30</f>
        <v>0</v>
      </c>
      <c r="L30" s="15">
        <f>'Bulk Plant Input'!$A$31</f>
        <v>0</v>
      </c>
      <c r="M30" s="15">
        <f>'Bulk Plant Input'!$A$32</f>
        <v>0</v>
      </c>
      <c r="N30" s="15">
        <f>'Bulk Plant Input'!$A$33</f>
        <v>0</v>
      </c>
      <c r="O30" s="15">
        <f>'Bulk Plant Input'!$A$34</f>
        <v>0</v>
      </c>
      <c r="P30" s="15">
        <f>'Bulk Plant Input'!$A$35</f>
        <v>0</v>
      </c>
      <c r="Q30" s="15">
        <f>'Bulk Plant Input'!$A$36</f>
        <v>0</v>
      </c>
      <c r="R30" s="15">
        <f>'Bulk Plant Input'!$A$37</f>
        <v>0</v>
      </c>
      <c r="S30" s="15">
        <v>0</v>
      </c>
      <c r="U30" s="1"/>
      <c r="V30" s="1"/>
      <c r="W30" s="1"/>
      <c r="X30" s="1"/>
      <c r="Y30" s="1"/>
      <c r="Z30" s="1"/>
      <c r="AA30" s="1"/>
      <c r="AB30" s="1"/>
    </row>
    <row r="31" spans="1:28" ht="15.75" x14ac:dyDescent="0.25">
      <c r="A31" s="120" t="str">
        <f>'Base Blend Property Calculation'!A35</f>
        <v>2:1:4 'G' (Sask)</v>
      </c>
      <c r="B31" s="97">
        <f t="shared" si="0"/>
        <v>0</v>
      </c>
      <c r="C31" s="97">
        <f>COUNTIF('Bulk Plant Input'!$A$23:$A$37,'Base Blend Property Calculation'!BV35)+COUNTIF('Bulk Plant Input'!$A$23:$A$37,'Base Blend Property Calculation'!BW35)+COUNTIF('Bulk Plant Input'!$A$23:$A$37,'Base Blend Property Calculation'!BX35)+COUNTIF('Bulk Plant Input'!$A$23:$A$37,'Base Blend Property Calculation'!BY35)+COUNTIF('Bulk Plant Input'!$A$23:$A$37,'Base Blend Property Calculation'!BZ35)</f>
        <v>0</v>
      </c>
      <c r="D31" s="15" t="str">
        <f>'Bulk Plant Input'!$A$23</f>
        <v>CFR-5</v>
      </c>
      <c r="E31" s="15" t="str">
        <f>'Bulk Plant Input'!$A$24</f>
        <v>CFL-4</v>
      </c>
      <c r="F31" s="15" t="str">
        <f>'Bulk Plant Input'!$A$25</f>
        <v>FWC-2</v>
      </c>
      <c r="G31" s="15" t="str">
        <f>'Bulk Plant Input'!$A$26</f>
        <v>LTR</v>
      </c>
      <c r="H31" s="15" t="str">
        <f>'Bulk Plant Input'!$A$27</f>
        <v>CDF-6P</v>
      </c>
      <c r="I31" s="15" t="str">
        <f>'Bulk Plant Input'!$A$28</f>
        <v>ASM-3</v>
      </c>
      <c r="J31" s="15">
        <f>'Bulk Plant Input'!$A$29</f>
        <v>0</v>
      </c>
      <c r="K31" s="15">
        <f>'Bulk Plant Input'!$A$30</f>
        <v>0</v>
      </c>
      <c r="L31" s="15">
        <f>'Bulk Plant Input'!$A$31</f>
        <v>0</v>
      </c>
      <c r="M31" s="15">
        <f>'Bulk Plant Input'!$A$32</f>
        <v>0</v>
      </c>
      <c r="N31" s="15">
        <f>'Bulk Plant Input'!$A$33</f>
        <v>0</v>
      </c>
      <c r="O31" s="15">
        <f>'Bulk Plant Input'!$A$34</f>
        <v>0</v>
      </c>
      <c r="P31" s="15">
        <f>'Bulk Plant Input'!$A$35</f>
        <v>0</v>
      </c>
      <c r="Q31" s="15">
        <f>'Bulk Plant Input'!$A$36</f>
        <v>0</v>
      </c>
      <c r="R31" s="15">
        <f>'Bulk Plant Input'!$A$37</f>
        <v>0</v>
      </c>
      <c r="S31" s="15">
        <v>0</v>
      </c>
      <c r="U31" s="1"/>
      <c r="V31" s="1"/>
      <c r="W31" s="1"/>
      <c r="X31" s="1"/>
      <c r="Y31" s="1"/>
      <c r="Z31" s="1"/>
      <c r="AA31" s="1"/>
      <c r="AB31" s="1"/>
    </row>
    <row r="32" spans="1:28" ht="15.75" x14ac:dyDescent="0.25">
      <c r="A32" s="120" t="str">
        <f>'Base Blend Property Calculation'!A36</f>
        <v>2:1:6 'G'</v>
      </c>
      <c r="B32" s="97">
        <f t="shared" si="0"/>
        <v>0</v>
      </c>
      <c r="C32" s="97">
        <f>COUNTIF('Bulk Plant Input'!$A$23:$A$37,'Base Blend Property Calculation'!BV36)+COUNTIF('Bulk Plant Input'!$A$23:$A$37,'Base Blend Property Calculation'!BW36)+COUNTIF('Bulk Plant Input'!$A$23:$A$37,'Base Blend Property Calculation'!BX36)+COUNTIF('Bulk Plant Input'!$A$23:$A$37,'Base Blend Property Calculation'!BY36)+COUNTIF('Bulk Plant Input'!$A$23:$A$37,'Base Blend Property Calculation'!BZ36)</f>
        <v>0</v>
      </c>
      <c r="D32" s="15" t="str">
        <f>'Bulk Plant Input'!$A$23</f>
        <v>CFR-5</v>
      </c>
      <c r="E32" s="15" t="str">
        <f>'Bulk Plant Input'!$A$24</f>
        <v>CFL-4</v>
      </c>
      <c r="F32" s="15" t="str">
        <f>'Bulk Plant Input'!$A$25</f>
        <v>FWC-2</v>
      </c>
      <c r="G32" s="15" t="str">
        <f>'Bulk Plant Input'!$A$26</f>
        <v>LTR</v>
      </c>
      <c r="H32" s="15" t="str">
        <f>'Bulk Plant Input'!$A$27</f>
        <v>CDF-6P</v>
      </c>
      <c r="I32" s="15" t="str">
        <f>'Bulk Plant Input'!$A$28</f>
        <v>ASM-3</v>
      </c>
      <c r="J32" s="15">
        <f>'Bulk Plant Input'!$A$29</f>
        <v>0</v>
      </c>
      <c r="K32" s="15">
        <f>'Bulk Plant Input'!$A$30</f>
        <v>0</v>
      </c>
      <c r="L32" s="15">
        <f>'Bulk Plant Input'!$A$31</f>
        <v>0</v>
      </c>
      <c r="M32" s="15">
        <f>'Bulk Plant Input'!$A$32</f>
        <v>0</v>
      </c>
      <c r="N32" s="15">
        <f>'Bulk Plant Input'!$A$33</f>
        <v>0</v>
      </c>
      <c r="O32" s="15">
        <f>'Bulk Plant Input'!$A$34</f>
        <v>0</v>
      </c>
      <c r="P32" s="15">
        <f>'Bulk Plant Input'!$A$35</f>
        <v>0</v>
      </c>
      <c r="Q32" s="15">
        <f>'Bulk Plant Input'!$A$36</f>
        <v>0</v>
      </c>
      <c r="R32" s="15">
        <f>'Bulk Plant Input'!$A$37</f>
        <v>0</v>
      </c>
      <c r="S32" s="15">
        <v>0</v>
      </c>
      <c r="U32" s="1"/>
      <c r="V32" s="1"/>
      <c r="W32" s="1"/>
      <c r="X32" s="1"/>
      <c r="Y32" s="1"/>
      <c r="Z32" s="1"/>
      <c r="AA32" s="1"/>
      <c r="AB32" s="1"/>
    </row>
    <row r="33" spans="1:28" ht="15.75" x14ac:dyDescent="0.25">
      <c r="A33" s="120" t="str">
        <f>'Base Blend Property Calculation'!A37</f>
        <v>2:1:6 'G' (Sask)</v>
      </c>
      <c r="B33" s="97">
        <f t="shared" si="0"/>
        <v>0</v>
      </c>
      <c r="C33" s="97">
        <f>COUNTIF('Bulk Plant Input'!$A$23:$A$37,'Base Blend Property Calculation'!BV37)+COUNTIF('Bulk Plant Input'!$A$23:$A$37,'Base Blend Property Calculation'!BW37)+COUNTIF('Bulk Plant Input'!$A$23:$A$37,'Base Blend Property Calculation'!BX37)+COUNTIF('Bulk Plant Input'!$A$23:$A$37,'Base Blend Property Calculation'!BY37)+COUNTIF('Bulk Plant Input'!$A$23:$A$37,'Base Blend Property Calculation'!BZ37)</f>
        <v>0</v>
      </c>
      <c r="D33" s="15" t="str">
        <f>'Bulk Plant Input'!$A$23</f>
        <v>CFR-5</v>
      </c>
      <c r="E33" s="15" t="str">
        <f>'Bulk Plant Input'!$A$24</f>
        <v>CFL-4</v>
      </c>
      <c r="F33" s="15" t="str">
        <f>'Bulk Plant Input'!$A$25</f>
        <v>FWC-2</v>
      </c>
      <c r="G33" s="15" t="str">
        <f>'Bulk Plant Input'!$A$26</f>
        <v>LTR</v>
      </c>
      <c r="H33" s="15" t="str">
        <f>'Bulk Plant Input'!$A$27</f>
        <v>CDF-6P</v>
      </c>
      <c r="I33" s="15" t="str">
        <f>'Bulk Plant Input'!$A$28</f>
        <v>ASM-3</v>
      </c>
      <c r="J33" s="15">
        <f>'Bulk Plant Input'!$A$29</f>
        <v>0</v>
      </c>
      <c r="K33" s="15">
        <f>'Bulk Plant Input'!$A$30</f>
        <v>0</v>
      </c>
      <c r="L33" s="15">
        <f>'Bulk Plant Input'!$A$31</f>
        <v>0</v>
      </c>
      <c r="M33" s="15">
        <f>'Bulk Plant Input'!$A$32</f>
        <v>0</v>
      </c>
      <c r="N33" s="15">
        <f>'Bulk Plant Input'!$A$33</f>
        <v>0</v>
      </c>
      <c r="O33" s="15">
        <f>'Bulk Plant Input'!$A$34</f>
        <v>0</v>
      </c>
      <c r="P33" s="15">
        <f>'Bulk Plant Input'!$A$35</f>
        <v>0</v>
      </c>
      <c r="Q33" s="15">
        <f>'Bulk Plant Input'!$A$36</f>
        <v>0</v>
      </c>
      <c r="R33" s="15">
        <f>'Bulk Plant Input'!$A$37</f>
        <v>0</v>
      </c>
      <c r="S33" s="15">
        <v>0</v>
      </c>
      <c r="U33" s="1"/>
      <c r="V33" s="1"/>
      <c r="W33" s="1"/>
      <c r="X33" s="1"/>
      <c r="Y33" s="1"/>
      <c r="Z33" s="1"/>
      <c r="AA33" s="1"/>
      <c r="AB33" s="1"/>
    </row>
    <row r="34" spans="1:28" ht="15.75" x14ac:dyDescent="0.25">
      <c r="A34" s="120" t="str">
        <f>'Base Blend Property Calculation'!A38</f>
        <v>2:1:8 'G'</v>
      </c>
      <c r="B34" s="97">
        <f t="shared" si="0"/>
        <v>0</v>
      </c>
      <c r="C34" s="97">
        <f>COUNTIF('Bulk Plant Input'!$A$23:$A$37,'Base Blend Property Calculation'!BV38)+COUNTIF('Bulk Plant Input'!$A$23:$A$37,'Base Blend Property Calculation'!BW38)+COUNTIF('Bulk Plant Input'!$A$23:$A$37,'Base Blend Property Calculation'!BX38)+COUNTIF('Bulk Plant Input'!$A$23:$A$37,'Base Blend Property Calculation'!BY38)+COUNTIF('Bulk Plant Input'!$A$23:$A$37,'Base Blend Property Calculation'!BZ38)</f>
        <v>0</v>
      </c>
      <c r="D34" s="15" t="str">
        <f>'Bulk Plant Input'!$A$23</f>
        <v>CFR-5</v>
      </c>
      <c r="E34" s="15" t="str">
        <f>'Bulk Plant Input'!$A$24</f>
        <v>CFL-4</v>
      </c>
      <c r="F34" s="15" t="str">
        <f>'Bulk Plant Input'!$A$25</f>
        <v>FWC-2</v>
      </c>
      <c r="G34" s="15" t="str">
        <f>'Bulk Plant Input'!$A$26</f>
        <v>LTR</v>
      </c>
      <c r="H34" s="15" t="str">
        <f>'Bulk Plant Input'!$A$27</f>
        <v>CDF-6P</v>
      </c>
      <c r="I34" s="15" t="str">
        <f>'Bulk Plant Input'!$A$28</f>
        <v>ASM-3</v>
      </c>
      <c r="J34" s="15">
        <f>'Bulk Plant Input'!$A$29</f>
        <v>0</v>
      </c>
      <c r="K34" s="15">
        <f>'Bulk Plant Input'!$A$30</f>
        <v>0</v>
      </c>
      <c r="L34" s="15">
        <f>'Bulk Plant Input'!$A$31</f>
        <v>0</v>
      </c>
      <c r="M34" s="15">
        <f>'Bulk Plant Input'!$A$32</f>
        <v>0</v>
      </c>
      <c r="N34" s="15">
        <f>'Bulk Plant Input'!$A$33</f>
        <v>0</v>
      </c>
      <c r="O34" s="15">
        <f>'Bulk Plant Input'!$A$34</f>
        <v>0</v>
      </c>
      <c r="P34" s="15">
        <f>'Bulk Plant Input'!$A$35</f>
        <v>0</v>
      </c>
      <c r="Q34" s="15">
        <f>'Bulk Plant Input'!$A$36</f>
        <v>0</v>
      </c>
      <c r="R34" s="15">
        <f>'Bulk Plant Input'!$A$37</f>
        <v>0</v>
      </c>
      <c r="S34" s="15">
        <v>0</v>
      </c>
      <c r="U34" s="1"/>
      <c r="V34" s="1"/>
      <c r="W34" s="1"/>
      <c r="X34" s="1"/>
      <c r="Y34" s="1"/>
      <c r="Z34" s="1"/>
      <c r="AA34" s="1"/>
      <c r="AB34" s="1"/>
    </row>
    <row r="35" spans="1:28" ht="15.75" x14ac:dyDescent="0.25">
      <c r="A35" s="120" t="str">
        <f>'Base Blend Property Calculation'!A39</f>
        <v>2:1:8 'G' (Sask)</v>
      </c>
      <c r="B35" s="97">
        <f t="shared" si="0"/>
        <v>0</v>
      </c>
      <c r="C35" s="97">
        <f>COUNTIF('Bulk Plant Input'!$A$23:$A$37,'Base Blend Property Calculation'!BV39)+COUNTIF('Bulk Plant Input'!$A$23:$A$37,'Base Blend Property Calculation'!BW39)+COUNTIF('Bulk Plant Input'!$A$23:$A$37,'Base Blend Property Calculation'!BX39)+COUNTIF('Bulk Plant Input'!$A$23:$A$37,'Base Blend Property Calculation'!BY39)+COUNTIF('Bulk Plant Input'!$A$23:$A$37,'Base Blend Property Calculation'!BZ39)</f>
        <v>0</v>
      </c>
      <c r="D35" s="15" t="str">
        <f>'Bulk Plant Input'!$A$23</f>
        <v>CFR-5</v>
      </c>
      <c r="E35" s="15" t="str">
        <f>'Bulk Plant Input'!$A$24</f>
        <v>CFL-4</v>
      </c>
      <c r="F35" s="15" t="str">
        <f>'Bulk Plant Input'!$A$25</f>
        <v>FWC-2</v>
      </c>
      <c r="G35" s="15" t="str">
        <f>'Bulk Plant Input'!$A$26</f>
        <v>LTR</v>
      </c>
      <c r="H35" s="15" t="str">
        <f>'Bulk Plant Input'!$A$27</f>
        <v>CDF-6P</v>
      </c>
      <c r="I35" s="15" t="str">
        <f>'Bulk Plant Input'!$A$28</f>
        <v>ASM-3</v>
      </c>
      <c r="J35" s="15">
        <f>'Bulk Plant Input'!$A$29</f>
        <v>0</v>
      </c>
      <c r="K35" s="15">
        <f>'Bulk Plant Input'!$A$30</f>
        <v>0</v>
      </c>
      <c r="L35" s="15">
        <f>'Bulk Plant Input'!$A$31</f>
        <v>0</v>
      </c>
      <c r="M35" s="15">
        <f>'Bulk Plant Input'!$A$32</f>
        <v>0</v>
      </c>
      <c r="N35" s="15">
        <f>'Bulk Plant Input'!$A$33</f>
        <v>0</v>
      </c>
      <c r="O35" s="15">
        <f>'Bulk Plant Input'!$A$34</f>
        <v>0</v>
      </c>
      <c r="P35" s="15">
        <f>'Bulk Plant Input'!$A$35</f>
        <v>0</v>
      </c>
      <c r="Q35" s="15">
        <f>'Bulk Plant Input'!$A$36</f>
        <v>0</v>
      </c>
      <c r="R35" s="15">
        <f>'Bulk Plant Input'!$A$37</f>
        <v>0</v>
      </c>
      <c r="S35" s="15">
        <v>0</v>
      </c>
      <c r="U35" s="1"/>
      <c r="V35" s="1"/>
      <c r="W35" s="1"/>
      <c r="X35" s="1"/>
      <c r="Y35" s="1"/>
      <c r="Z35" s="1"/>
      <c r="AA35" s="1"/>
      <c r="AB35" s="1"/>
    </row>
    <row r="36" spans="1:28" ht="15.75" x14ac:dyDescent="0.25">
      <c r="A36" s="120" t="str">
        <f>'Base Blend Property Calculation'!A40</f>
        <v>ARC</v>
      </c>
      <c r="B36" s="97">
        <f>IF(C36=0,0,1)</f>
        <v>0</v>
      </c>
      <c r="C36" s="97">
        <f>COUNTIF('Bulk Plant Input'!$A$23:$A$37,'Base Blend Property Calculation'!BV40)+COUNTIF('Bulk Plant Input'!$A$23:$A$37,'Base Blend Property Calculation'!BW40)+COUNTIF('Bulk Plant Input'!$A$23:$A$37,'Base Blend Property Calculation'!BX40)+COUNTIF('Bulk Plant Input'!$A$23:$A$37,'Base Blend Property Calculation'!BY40)+COUNTIF('Bulk Plant Input'!$A$23:$A$37,'Base Blend Property Calculation'!BZ40)</f>
        <v>0</v>
      </c>
      <c r="D36" s="15" t="str">
        <f>'Bulk Plant Input'!$A$23</f>
        <v>CFR-5</v>
      </c>
      <c r="E36" s="15" t="str">
        <f>'Bulk Plant Input'!$A$24</f>
        <v>CFL-4</v>
      </c>
      <c r="F36" s="15" t="str">
        <f>'Bulk Plant Input'!$A$25</f>
        <v>FWC-2</v>
      </c>
      <c r="G36" s="15" t="str">
        <f>'Bulk Plant Input'!$A$26</f>
        <v>LTR</v>
      </c>
      <c r="H36" s="15" t="str">
        <f>'Bulk Plant Input'!$A$27</f>
        <v>CDF-6P</v>
      </c>
      <c r="I36" s="15" t="str">
        <f>'Bulk Plant Input'!$A$28</f>
        <v>ASM-3</v>
      </c>
      <c r="J36" s="15">
        <f>'Bulk Plant Input'!$A$29</f>
        <v>0</v>
      </c>
      <c r="K36" s="15">
        <f>'Bulk Plant Input'!$A$30</f>
        <v>0</v>
      </c>
      <c r="L36" s="15">
        <f>'Bulk Plant Input'!$A$31</f>
        <v>0</v>
      </c>
      <c r="M36" s="15">
        <f>'Bulk Plant Input'!$A$32</f>
        <v>0</v>
      </c>
      <c r="N36" s="15">
        <f>'Bulk Plant Input'!$A$33</f>
        <v>0</v>
      </c>
      <c r="O36" s="15">
        <f>'Bulk Plant Input'!$A$34</f>
        <v>0</v>
      </c>
      <c r="P36" s="15">
        <f>'Bulk Plant Input'!$A$35</f>
        <v>0</v>
      </c>
      <c r="Q36" s="15">
        <f>'Bulk Plant Input'!$A$36</f>
        <v>0</v>
      </c>
      <c r="R36" s="15">
        <f>'Bulk Plant Input'!$A$37</f>
        <v>0</v>
      </c>
      <c r="S36" s="15">
        <v>1</v>
      </c>
      <c r="U36" s="1"/>
      <c r="V36" s="1"/>
      <c r="W36" s="1"/>
      <c r="X36" s="1"/>
      <c r="Y36" s="1"/>
      <c r="Z36" s="1"/>
      <c r="AA36" s="1"/>
      <c r="AB36" s="1"/>
    </row>
    <row r="37" spans="1:28" ht="15.75" x14ac:dyDescent="0.25">
      <c r="A37" s="120" t="str">
        <f>'Base Blend Property Calculation'!A41</f>
        <v>ASC (IV)</v>
      </c>
      <c r="B37" s="97">
        <f t="shared" si="0"/>
        <v>0</v>
      </c>
      <c r="C37" s="97">
        <f>COUNTIF('Bulk Plant Input'!$A$23:$A$37,'Base Blend Property Calculation'!BV41)+COUNTIF('Bulk Plant Input'!$A$23:$A$37,'Base Blend Property Calculation'!BW41)+COUNTIF('Bulk Plant Input'!$A$23:$A$37,'Base Blend Property Calculation'!BX41)+COUNTIF('Bulk Plant Input'!$A$23:$A$37,'Base Blend Property Calculation'!BY41)+COUNTIF('Bulk Plant Input'!$A$23:$A$37,'Base Blend Property Calculation'!BZ41)</f>
        <v>0</v>
      </c>
      <c r="D37" s="15" t="str">
        <f>'Bulk Plant Input'!$A$23</f>
        <v>CFR-5</v>
      </c>
      <c r="E37" s="15" t="str">
        <f>'Bulk Plant Input'!$A$24</f>
        <v>CFL-4</v>
      </c>
      <c r="F37" s="15" t="str">
        <f>'Bulk Plant Input'!$A$25</f>
        <v>FWC-2</v>
      </c>
      <c r="G37" s="15" t="str">
        <f>'Bulk Plant Input'!$A$26</f>
        <v>LTR</v>
      </c>
      <c r="H37" s="15" t="str">
        <f>'Bulk Plant Input'!$A$27</f>
        <v>CDF-6P</v>
      </c>
      <c r="I37" s="15" t="str">
        <f>'Bulk Plant Input'!$A$28</f>
        <v>ASM-3</v>
      </c>
      <c r="J37" s="15">
        <f>'Bulk Plant Input'!$A$29</f>
        <v>0</v>
      </c>
      <c r="K37" s="15">
        <f>'Bulk Plant Input'!$A$30</f>
        <v>0</v>
      </c>
      <c r="L37" s="15">
        <f>'Bulk Plant Input'!$A$31</f>
        <v>0</v>
      </c>
      <c r="M37" s="15">
        <f>'Bulk Plant Input'!$A$32</f>
        <v>0</v>
      </c>
      <c r="N37" s="15">
        <f>'Bulk Plant Input'!$A$33</f>
        <v>0</v>
      </c>
      <c r="O37" s="15">
        <f>'Bulk Plant Input'!$A$34</f>
        <v>0</v>
      </c>
      <c r="P37" s="15">
        <f>'Bulk Plant Input'!$A$35</f>
        <v>0</v>
      </c>
      <c r="Q37" s="15">
        <f>'Bulk Plant Input'!$A$36</f>
        <v>0</v>
      </c>
      <c r="R37" s="15">
        <f>'Bulk Plant Input'!$A$37</f>
        <v>0</v>
      </c>
      <c r="S37" s="15">
        <v>0</v>
      </c>
      <c r="U37" s="1"/>
      <c r="V37" s="1"/>
      <c r="W37" s="1"/>
      <c r="X37" s="1"/>
      <c r="Y37" s="1"/>
      <c r="Z37" s="1"/>
      <c r="AA37" s="1"/>
      <c r="AB37" s="1"/>
    </row>
    <row r="38" spans="1:28" ht="15.75" x14ac:dyDescent="0.25">
      <c r="A38" s="120" t="str">
        <f>'Base Blend Property Calculation'!A42</f>
        <v>CNRL CHOPS TH</v>
      </c>
      <c r="B38" s="97">
        <f t="shared" si="0"/>
        <v>0</v>
      </c>
      <c r="C38" s="97">
        <f>COUNTIF('Bulk Plant Input'!$A$23:$A$37,'Base Blend Property Calculation'!BV42)+COUNTIF('Bulk Plant Input'!$A$23:$A$37,'Base Blend Property Calculation'!BW42)+COUNTIF('Bulk Plant Input'!$A$23:$A$37,'Base Blend Property Calculation'!BX42)+COUNTIF('Bulk Plant Input'!$A$23:$A$37,'Base Blend Property Calculation'!BY42)+COUNTIF('Bulk Plant Input'!$A$23:$A$37,'Base Blend Property Calculation'!BZ42)</f>
        <v>0</v>
      </c>
      <c r="D38" s="15" t="str">
        <f>'Bulk Plant Input'!$A$23</f>
        <v>CFR-5</v>
      </c>
      <c r="E38" s="15" t="str">
        <f>'Bulk Plant Input'!$A$24</f>
        <v>CFL-4</v>
      </c>
      <c r="F38" s="15" t="str">
        <f>'Bulk Plant Input'!$A$25</f>
        <v>FWC-2</v>
      </c>
      <c r="G38" s="15" t="str">
        <f>'Bulk Plant Input'!$A$26</f>
        <v>LTR</v>
      </c>
      <c r="H38" s="15" t="str">
        <f>'Bulk Plant Input'!$A$27</f>
        <v>CDF-6P</v>
      </c>
      <c r="I38" s="15" t="str">
        <f>'Bulk Plant Input'!$A$28</f>
        <v>ASM-3</v>
      </c>
      <c r="J38" s="15">
        <f>'Bulk Plant Input'!$A$29</f>
        <v>0</v>
      </c>
      <c r="K38" s="15">
        <f>'Bulk Plant Input'!$A$30</f>
        <v>0</v>
      </c>
      <c r="L38" s="15">
        <f>'Bulk Plant Input'!$A$31</f>
        <v>0</v>
      </c>
      <c r="M38" s="15">
        <f>'Bulk Plant Input'!$A$32</f>
        <v>0</v>
      </c>
      <c r="N38" s="15">
        <f>'Bulk Plant Input'!$A$33</f>
        <v>0</v>
      </c>
      <c r="O38" s="15">
        <f>'Bulk Plant Input'!$A$34</f>
        <v>0</v>
      </c>
      <c r="P38" s="15">
        <f>'Bulk Plant Input'!$A$35</f>
        <v>0</v>
      </c>
      <c r="Q38" s="15">
        <f>'Bulk Plant Input'!$A$36</f>
        <v>0</v>
      </c>
      <c r="R38" s="15">
        <f>'Bulk Plant Input'!$A$37</f>
        <v>0</v>
      </c>
      <c r="S38" s="15">
        <v>0</v>
      </c>
      <c r="U38" s="1"/>
      <c r="V38" s="1"/>
      <c r="W38" s="1"/>
      <c r="X38" s="1"/>
      <c r="Y38" s="1"/>
      <c r="Z38" s="1"/>
      <c r="AA38" s="1"/>
      <c r="AB38" s="1"/>
    </row>
    <row r="39" spans="1:28" ht="15.75" x14ac:dyDescent="0.25">
      <c r="A39" s="120" t="str">
        <f>'Base Blend Property Calculation'!A43</f>
        <v>Expandomix</v>
      </c>
      <c r="B39" s="97">
        <f t="shared" si="0"/>
        <v>0</v>
      </c>
      <c r="C39" s="97">
        <f>COUNTIF('Bulk Plant Input'!$A$23:$A$37,'Base Blend Property Calculation'!BV43)+COUNTIF('Bulk Plant Input'!$A$23:$A$37,'Base Blend Property Calculation'!BW43)+COUNTIF('Bulk Plant Input'!$A$23:$A$37,'Base Blend Property Calculation'!BX43)+COUNTIF('Bulk Plant Input'!$A$23:$A$37,'Base Blend Property Calculation'!BY43)+COUNTIF('Bulk Plant Input'!$A$23:$A$37,'Base Blend Property Calculation'!BZ43)</f>
        <v>0</v>
      </c>
      <c r="D39" s="15" t="str">
        <f>'Bulk Plant Input'!$A$23</f>
        <v>CFR-5</v>
      </c>
      <c r="E39" s="15" t="str">
        <f>'Bulk Plant Input'!$A$24</f>
        <v>CFL-4</v>
      </c>
      <c r="F39" s="15" t="str">
        <f>'Bulk Plant Input'!$A$25</f>
        <v>FWC-2</v>
      </c>
      <c r="G39" s="15" t="str">
        <f>'Bulk Plant Input'!$A$26</f>
        <v>LTR</v>
      </c>
      <c r="H39" s="15" t="str">
        <f>'Bulk Plant Input'!$A$27</f>
        <v>CDF-6P</v>
      </c>
      <c r="I39" s="15" t="str">
        <f>'Bulk Plant Input'!$A$28</f>
        <v>ASM-3</v>
      </c>
      <c r="J39" s="15">
        <f>'Bulk Plant Input'!$A$29</f>
        <v>0</v>
      </c>
      <c r="K39" s="15">
        <f>'Bulk Plant Input'!$A$30</f>
        <v>0</v>
      </c>
      <c r="L39" s="15">
        <f>'Bulk Plant Input'!$A$31</f>
        <v>0</v>
      </c>
      <c r="M39" s="15">
        <f>'Bulk Plant Input'!$A$32</f>
        <v>0</v>
      </c>
      <c r="N39" s="15">
        <f>'Bulk Plant Input'!$A$33</f>
        <v>0</v>
      </c>
      <c r="O39" s="15">
        <f>'Bulk Plant Input'!$A$34</f>
        <v>0</v>
      </c>
      <c r="P39" s="15">
        <f>'Bulk Plant Input'!$A$35</f>
        <v>0</v>
      </c>
      <c r="Q39" s="15">
        <f>'Bulk Plant Input'!$A$36</f>
        <v>0</v>
      </c>
      <c r="R39" s="15">
        <f>'Bulk Plant Input'!$A$37</f>
        <v>0</v>
      </c>
      <c r="S39" s="15">
        <v>0</v>
      </c>
    </row>
    <row r="40" spans="1:28" ht="15.75" x14ac:dyDescent="0.25">
      <c r="A40" s="120" t="str">
        <f>'Base Blend Property Calculation'!A44</f>
        <v>Expandomix HT</v>
      </c>
      <c r="B40" s="97">
        <f t="shared" si="0"/>
        <v>0</v>
      </c>
      <c r="C40" s="97">
        <f>COUNTIF('Bulk Plant Input'!$A$23:$A$37,'Base Blend Property Calculation'!BV44)+COUNTIF('Bulk Plant Input'!$A$23:$A$37,'Base Blend Property Calculation'!BW44)+COUNTIF('Bulk Plant Input'!$A$23:$A$37,'Base Blend Property Calculation'!BX44)+COUNTIF('Bulk Plant Input'!$A$23:$A$37,'Base Blend Property Calculation'!BY44)+COUNTIF('Bulk Plant Input'!$A$23:$A$37,'Base Blend Property Calculation'!BZ44)</f>
        <v>0</v>
      </c>
      <c r="D40" s="15" t="str">
        <f>'Bulk Plant Input'!$A$23</f>
        <v>CFR-5</v>
      </c>
      <c r="E40" s="15" t="str">
        <f>'Bulk Plant Input'!$A$24</f>
        <v>CFL-4</v>
      </c>
      <c r="F40" s="15" t="str">
        <f>'Bulk Plant Input'!$A$25</f>
        <v>FWC-2</v>
      </c>
      <c r="G40" s="15" t="str">
        <f>'Bulk Plant Input'!$A$26</f>
        <v>LTR</v>
      </c>
      <c r="H40" s="15" t="str">
        <f>'Bulk Plant Input'!$A$27</f>
        <v>CDF-6P</v>
      </c>
      <c r="I40" s="15" t="str">
        <f>'Bulk Plant Input'!$A$28</f>
        <v>ASM-3</v>
      </c>
      <c r="J40" s="15">
        <f>'Bulk Plant Input'!$A$29</f>
        <v>0</v>
      </c>
      <c r="K40" s="15">
        <f>'Bulk Plant Input'!$A$30</f>
        <v>0</v>
      </c>
      <c r="L40" s="15">
        <f>'Bulk Plant Input'!$A$31</f>
        <v>0</v>
      </c>
      <c r="M40" s="15">
        <f>'Bulk Plant Input'!$A$32</f>
        <v>0</v>
      </c>
      <c r="N40" s="15">
        <f>'Bulk Plant Input'!$A$33</f>
        <v>0</v>
      </c>
      <c r="O40" s="15">
        <f>'Bulk Plant Input'!$A$34</f>
        <v>0</v>
      </c>
      <c r="P40" s="15">
        <f>'Bulk Plant Input'!$A$35</f>
        <v>0</v>
      </c>
      <c r="Q40" s="15">
        <f>'Bulk Plant Input'!$A$36</f>
        <v>0</v>
      </c>
      <c r="R40" s="15">
        <f>'Bulk Plant Input'!$A$37</f>
        <v>0</v>
      </c>
      <c r="S40" s="15">
        <v>1</v>
      </c>
      <c r="U40" s="1"/>
      <c r="V40" s="1"/>
      <c r="W40" s="1"/>
      <c r="X40" s="1"/>
      <c r="Y40" s="1"/>
      <c r="Z40" s="1"/>
      <c r="AA40" s="1"/>
      <c r="AB40" s="1"/>
    </row>
    <row r="41" spans="1:28" ht="15.75" x14ac:dyDescent="0.25">
      <c r="A41" s="120" t="str">
        <f>'Base Blend Property Calculation'!A45</f>
        <v>Expandomix HT (SK)</v>
      </c>
      <c r="B41" s="97">
        <f t="shared" si="0"/>
        <v>0</v>
      </c>
      <c r="C41" s="97">
        <f>COUNTIF('Bulk Plant Input'!$A$23:$A$37,'Base Blend Property Calculation'!BV45)+COUNTIF('Bulk Plant Input'!$A$23:$A$37,'Base Blend Property Calculation'!BW45)+COUNTIF('Bulk Plant Input'!$A$23:$A$37,'Base Blend Property Calculation'!BX45)+COUNTIF('Bulk Plant Input'!$A$23:$A$37,'Base Blend Property Calculation'!BY45)+COUNTIF('Bulk Plant Input'!$A$23:$A$37,'Base Blend Property Calculation'!BZ45)</f>
        <v>0</v>
      </c>
      <c r="D41" s="15" t="str">
        <f>'Bulk Plant Input'!$A$23</f>
        <v>CFR-5</v>
      </c>
      <c r="E41" s="15" t="str">
        <f>'Bulk Plant Input'!$A$24</f>
        <v>CFL-4</v>
      </c>
      <c r="F41" s="15" t="str">
        <f>'Bulk Plant Input'!$A$25</f>
        <v>FWC-2</v>
      </c>
      <c r="G41" s="15" t="str">
        <f>'Bulk Plant Input'!$A$26</f>
        <v>LTR</v>
      </c>
      <c r="H41" s="15" t="str">
        <f>'Bulk Plant Input'!$A$27</f>
        <v>CDF-6P</v>
      </c>
      <c r="I41" s="15" t="str">
        <f>'Bulk Plant Input'!$A$28</f>
        <v>ASM-3</v>
      </c>
      <c r="J41" s="15">
        <f>'Bulk Plant Input'!$A$29</f>
        <v>0</v>
      </c>
      <c r="K41" s="15">
        <f>'Bulk Plant Input'!$A$30</f>
        <v>0</v>
      </c>
      <c r="L41" s="15">
        <f>'Bulk Plant Input'!$A$31</f>
        <v>0</v>
      </c>
      <c r="M41" s="15">
        <f>'Bulk Plant Input'!$A$32</f>
        <v>0</v>
      </c>
      <c r="N41" s="15">
        <f>'Bulk Plant Input'!$A$33</f>
        <v>0</v>
      </c>
      <c r="O41" s="15">
        <f>'Bulk Plant Input'!$A$34</f>
        <v>0</v>
      </c>
      <c r="P41" s="15">
        <f>'Bulk Plant Input'!$A$35</f>
        <v>0</v>
      </c>
      <c r="Q41" s="15">
        <f>'Bulk Plant Input'!$A$36</f>
        <v>0</v>
      </c>
      <c r="R41" s="15">
        <f>'Bulk Plant Input'!$A$37</f>
        <v>0</v>
      </c>
      <c r="S41" s="15">
        <v>1</v>
      </c>
      <c r="U41" s="1"/>
      <c r="V41" s="1"/>
      <c r="W41" s="1"/>
      <c r="X41" s="1"/>
      <c r="Y41" s="1"/>
      <c r="Z41" s="1"/>
      <c r="AA41" s="1"/>
      <c r="AB41" s="1"/>
    </row>
    <row r="42" spans="1:28" ht="15.75" x14ac:dyDescent="0.25">
      <c r="A42" s="120" t="str">
        <f>'Base Blend Property Calculation'!A46</f>
        <v>Expandomix LWL</v>
      </c>
      <c r="B42" s="97">
        <f t="shared" si="0"/>
        <v>0</v>
      </c>
      <c r="C42" s="97">
        <f>COUNTIF('Bulk Plant Input'!$A$23:$A$37,'Base Blend Property Calculation'!BV46)+COUNTIF('Bulk Plant Input'!$A$23:$A$37,'Base Blend Property Calculation'!BW46)+COUNTIF('Bulk Plant Input'!$A$23:$A$37,'Base Blend Property Calculation'!BX46)+COUNTIF('Bulk Plant Input'!$A$23:$A$37,'Base Blend Property Calculation'!BY46)+COUNTIF('Bulk Plant Input'!$A$23:$A$37,'Base Blend Property Calculation'!BZ46)</f>
        <v>0</v>
      </c>
      <c r="D42" s="15" t="str">
        <f>'Bulk Plant Input'!$A$23</f>
        <v>CFR-5</v>
      </c>
      <c r="E42" s="15" t="str">
        <f>'Bulk Plant Input'!$A$24</f>
        <v>CFL-4</v>
      </c>
      <c r="F42" s="15" t="str">
        <f>'Bulk Plant Input'!$A$25</f>
        <v>FWC-2</v>
      </c>
      <c r="G42" s="15" t="str">
        <f>'Bulk Plant Input'!$A$26</f>
        <v>LTR</v>
      </c>
      <c r="H42" s="15" t="str">
        <f>'Bulk Plant Input'!$A$27</f>
        <v>CDF-6P</v>
      </c>
      <c r="I42" s="15" t="str">
        <f>'Bulk Plant Input'!$A$28</f>
        <v>ASM-3</v>
      </c>
      <c r="J42" s="15">
        <f>'Bulk Plant Input'!$A$29</f>
        <v>0</v>
      </c>
      <c r="K42" s="15">
        <f>'Bulk Plant Input'!$A$30</f>
        <v>0</v>
      </c>
      <c r="L42" s="15">
        <f>'Bulk Plant Input'!$A$31</f>
        <v>0</v>
      </c>
      <c r="M42" s="15">
        <f>'Bulk Plant Input'!$A$32</f>
        <v>0</v>
      </c>
      <c r="N42" s="15">
        <f>'Bulk Plant Input'!$A$33</f>
        <v>0</v>
      </c>
      <c r="O42" s="15">
        <f>'Bulk Plant Input'!$A$34</f>
        <v>0</v>
      </c>
      <c r="P42" s="15">
        <f>'Bulk Plant Input'!$A$35</f>
        <v>0</v>
      </c>
      <c r="Q42" s="15">
        <f>'Bulk Plant Input'!$A$36</f>
        <v>0</v>
      </c>
      <c r="R42" s="15">
        <f>'Bulk Plant Input'!$A$37</f>
        <v>0</v>
      </c>
      <c r="S42" s="15">
        <v>1</v>
      </c>
      <c r="U42" s="1"/>
      <c r="V42" s="1"/>
      <c r="W42" s="1"/>
      <c r="X42" s="1"/>
      <c r="Y42" s="1"/>
      <c r="Z42" s="1"/>
      <c r="AA42" s="1"/>
      <c r="AB42" s="1"/>
    </row>
    <row r="43" spans="1:28" ht="15.75" x14ac:dyDescent="0.25">
      <c r="A43" s="120" t="str">
        <f>'Base Blend Property Calculation'!A47</f>
        <v>EXPANDOmix PRO HT</v>
      </c>
      <c r="B43" s="97">
        <f t="shared" si="0"/>
        <v>0</v>
      </c>
      <c r="C43" s="97">
        <f>COUNTIF('Bulk Plant Input'!$A$23:$A$37,'Base Blend Property Calculation'!BV47)+COUNTIF('Bulk Plant Input'!$A$23:$A$37,'Base Blend Property Calculation'!BW47)+COUNTIF('Bulk Plant Input'!$A$23:$A$37,'Base Blend Property Calculation'!BX47)+COUNTIF('Bulk Plant Input'!$A$23:$A$37,'Base Blend Property Calculation'!BY47)+COUNTIF('Bulk Plant Input'!$A$23:$A$37,'Base Blend Property Calculation'!BZ47)</f>
        <v>0</v>
      </c>
      <c r="D43" s="15" t="str">
        <f>'Bulk Plant Input'!$A$23</f>
        <v>CFR-5</v>
      </c>
      <c r="E43" s="15" t="str">
        <f>'Bulk Plant Input'!$A$24</f>
        <v>CFL-4</v>
      </c>
      <c r="F43" s="15" t="str">
        <f>'Bulk Plant Input'!$A$25</f>
        <v>FWC-2</v>
      </c>
      <c r="G43" s="15" t="str">
        <f>'Bulk Plant Input'!$A$26</f>
        <v>LTR</v>
      </c>
      <c r="H43" s="15" t="str">
        <f>'Bulk Plant Input'!$A$27</f>
        <v>CDF-6P</v>
      </c>
      <c r="I43" s="15" t="str">
        <f>'Bulk Plant Input'!$A$28</f>
        <v>ASM-3</v>
      </c>
      <c r="J43" s="15">
        <f>'Bulk Plant Input'!$A$29</f>
        <v>0</v>
      </c>
      <c r="K43" s="15">
        <f>'Bulk Plant Input'!$A$30</f>
        <v>0</v>
      </c>
      <c r="L43" s="15">
        <f>'Bulk Plant Input'!$A$31</f>
        <v>0</v>
      </c>
      <c r="M43" s="15">
        <f>'Bulk Plant Input'!$A$32</f>
        <v>0</v>
      </c>
      <c r="N43" s="15">
        <f>'Bulk Plant Input'!$A$33</f>
        <v>0</v>
      </c>
      <c r="O43" s="15">
        <f>'Bulk Plant Input'!$A$34</f>
        <v>0</v>
      </c>
      <c r="P43" s="15">
        <f>'Bulk Plant Input'!$A$35</f>
        <v>0</v>
      </c>
      <c r="Q43" s="15">
        <f>'Bulk Plant Input'!$A$36</f>
        <v>0</v>
      </c>
      <c r="R43" s="15">
        <f>'Bulk Plant Input'!$A$37</f>
        <v>0</v>
      </c>
      <c r="S43" s="15">
        <v>1</v>
      </c>
      <c r="U43" s="1"/>
      <c r="V43" s="1"/>
      <c r="W43" s="1"/>
      <c r="X43" s="1"/>
      <c r="Y43" s="1"/>
      <c r="Z43" s="1"/>
      <c r="AA43" s="1"/>
      <c r="AB43" s="1"/>
    </row>
    <row r="44" spans="1:28" ht="15.75" x14ac:dyDescent="0.25">
      <c r="A44" s="120" t="str">
        <f>'Base Blend Property Calculation'!A48</f>
        <v>EXPANDOmix PRO LT</v>
      </c>
      <c r="B44" s="97">
        <f t="shared" si="0"/>
        <v>0</v>
      </c>
      <c r="C44" s="97">
        <f>COUNTIF('Bulk Plant Input'!$A$23:$A$37,'Base Blend Property Calculation'!BV48)+COUNTIF('Bulk Plant Input'!$A$23:$A$37,'Base Blend Property Calculation'!BW48)+COUNTIF('Bulk Plant Input'!$A$23:$A$37,'Base Blend Property Calculation'!BX48)+COUNTIF('Bulk Plant Input'!$A$23:$A$37,'Base Blend Property Calculation'!BY48)+COUNTIF('Bulk Plant Input'!$A$23:$A$37,'Base Blend Property Calculation'!BZ48)</f>
        <v>0</v>
      </c>
      <c r="D44" s="15" t="str">
        <f>'Bulk Plant Input'!$A$23</f>
        <v>CFR-5</v>
      </c>
      <c r="E44" s="15" t="str">
        <f>'Bulk Plant Input'!$A$24</f>
        <v>CFL-4</v>
      </c>
      <c r="F44" s="15" t="str">
        <f>'Bulk Plant Input'!$A$25</f>
        <v>FWC-2</v>
      </c>
      <c r="G44" s="15" t="str">
        <f>'Bulk Plant Input'!$A$26</f>
        <v>LTR</v>
      </c>
      <c r="H44" s="15" t="str">
        <f>'Bulk Plant Input'!$A$27</f>
        <v>CDF-6P</v>
      </c>
      <c r="I44" s="15" t="str">
        <f>'Bulk Plant Input'!$A$28</f>
        <v>ASM-3</v>
      </c>
      <c r="J44" s="15">
        <f>'Bulk Plant Input'!$A$29</f>
        <v>0</v>
      </c>
      <c r="K44" s="15">
        <f>'Bulk Plant Input'!$A$30</f>
        <v>0</v>
      </c>
      <c r="L44" s="15">
        <f>'Bulk Plant Input'!$A$31</f>
        <v>0</v>
      </c>
      <c r="M44" s="15">
        <f>'Bulk Plant Input'!$A$32</f>
        <v>0</v>
      </c>
      <c r="N44" s="15">
        <f>'Bulk Plant Input'!$A$33</f>
        <v>0</v>
      </c>
      <c r="O44" s="15">
        <f>'Bulk Plant Input'!$A$34</f>
        <v>0</v>
      </c>
      <c r="P44" s="15">
        <f>'Bulk Plant Input'!$A$35</f>
        <v>0</v>
      </c>
      <c r="Q44" s="15">
        <f>'Bulk Plant Input'!$A$36</f>
        <v>0</v>
      </c>
      <c r="R44" s="15">
        <f>'Bulk Plant Input'!$A$37</f>
        <v>0</v>
      </c>
      <c r="S44" s="15">
        <v>1</v>
      </c>
      <c r="U44" s="1"/>
      <c r="V44" s="1"/>
      <c r="W44" s="1"/>
      <c r="X44" s="1"/>
      <c r="Y44" s="1"/>
      <c r="Z44" s="1"/>
      <c r="AA44" s="1"/>
      <c r="AB44" s="1"/>
    </row>
    <row r="45" spans="1:28" ht="15.75" x14ac:dyDescent="0.25">
      <c r="A45" s="120" t="str">
        <f>'Base Blend Property Calculation'!A49</f>
        <v>EXPANDOmix PRO HT (SK)</v>
      </c>
      <c r="B45" s="97">
        <f t="shared" si="0"/>
        <v>0</v>
      </c>
      <c r="C45" s="97">
        <f>COUNTIF('Bulk Plant Input'!$A$23:$A$37,'Base Blend Property Calculation'!BV49)+COUNTIF('Bulk Plant Input'!$A$23:$A$37,'Base Blend Property Calculation'!BW49)+COUNTIF('Bulk Plant Input'!$A$23:$A$37,'Base Blend Property Calculation'!BX49)+COUNTIF('Bulk Plant Input'!$A$23:$A$37,'Base Blend Property Calculation'!BY49)+COUNTIF('Bulk Plant Input'!$A$23:$A$37,'Base Blend Property Calculation'!BZ49)</f>
        <v>0</v>
      </c>
      <c r="D45" s="15" t="str">
        <f>'Bulk Plant Input'!$A$23</f>
        <v>CFR-5</v>
      </c>
      <c r="E45" s="15" t="str">
        <f>'Bulk Plant Input'!$A$24</f>
        <v>CFL-4</v>
      </c>
      <c r="F45" s="15" t="str">
        <f>'Bulk Plant Input'!$A$25</f>
        <v>FWC-2</v>
      </c>
      <c r="G45" s="15" t="str">
        <f>'Bulk Plant Input'!$A$26</f>
        <v>LTR</v>
      </c>
      <c r="H45" s="15" t="str">
        <f>'Bulk Plant Input'!$A$27</f>
        <v>CDF-6P</v>
      </c>
      <c r="I45" s="15" t="str">
        <f>'Bulk Plant Input'!$A$28</f>
        <v>ASM-3</v>
      </c>
      <c r="J45" s="15">
        <f>'Bulk Plant Input'!$A$29</f>
        <v>0</v>
      </c>
      <c r="K45" s="15">
        <f>'Bulk Plant Input'!$A$30</f>
        <v>0</v>
      </c>
      <c r="L45" s="15">
        <f>'Bulk Plant Input'!$A$31</f>
        <v>0</v>
      </c>
      <c r="M45" s="15">
        <f>'Bulk Plant Input'!$A$32</f>
        <v>0</v>
      </c>
      <c r="N45" s="15">
        <f>'Bulk Plant Input'!$A$33</f>
        <v>0</v>
      </c>
      <c r="O45" s="15">
        <f>'Bulk Plant Input'!$A$34</f>
        <v>0</v>
      </c>
      <c r="P45" s="15">
        <f>'Bulk Plant Input'!$A$35</f>
        <v>0</v>
      </c>
      <c r="Q45" s="15">
        <f>'Bulk Plant Input'!$A$36</f>
        <v>0</v>
      </c>
      <c r="R45" s="15">
        <f>'Bulk Plant Input'!$A$37</f>
        <v>0</v>
      </c>
      <c r="S45" s="15">
        <v>1</v>
      </c>
      <c r="U45" s="1"/>
      <c r="V45" s="1"/>
      <c r="W45" s="1"/>
      <c r="X45" s="1"/>
      <c r="Y45" s="1"/>
      <c r="Z45" s="1"/>
      <c r="AA45" s="1"/>
      <c r="AB45" s="1"/>
    </row>
    <row r="46" spans="1:28" ht="15.75" x14ac:dyDescent="0.25">
      <c r="A46" s="120" t="str">
        <f>'Base Blend Property Calculation'!A50</f>
        <v>EXPANDOmix PRO LT (SK)</v>
      </c>
      <c r="B46" s="97">
        <f t="shared" si="0"/>
        <v>0</v>
      </c>
      <c r="C46" s="97">
        <f>COUNTIF('Bulk Plant Input'!$A$23:$A$37,'Base Blend Property Calculation'!BV50)+COUNTIF('Bulk Plant Input'!$A$23:$A$37,'Base Blend Property Calculation'!BW50)+COUNTIF('Bulk Plant Input'!$A$23:$A$37,'Base Blend Property Calculation'!BX50)+COUNTIF('Bulk Plant Input'!$A$23:$A$37,'Base Blend Property Calculation'!BY50)+COUNTIF('Bulk Plant Input'!$A$23:$A$37,'Base Blend Property Calculation'!BZ50)</f>
        <v>0</v>
      </c>
      <c r="D46" s="15" t="str">
        <f>'Bulk Plant Input'!$A$23</f>
        <v>CFR-5</v>
      </c>
      <c r="E46" s="15" t="str">
        <f>'Bulk Plant Input'!$A$24</f>
        <v>CFL-4</v>
      </c>
      <c r="F46" s="15" t="str">
        <f>'Bulk Plant Input'!$A$25</f>
        <v>FWC-2</v>
      </c>
      <c r="G46" s="15" t="str">
        <f>'Bulk Plant Input'!$A$26</f>
        <v>LTR</v>
      </c>
      <c r="H46" s="15" t="str">
        <f>'Bulk Plant Input'!$A$27</f>
        <v>CDF-6P</v>
      </c>
      <c r="I46" s="15" t="str">
        <f>'Bulk Plant Input'!$A$28</f>
        <v>ASM-3</v>
      </c>
      <c r="J46" s="15">
        <f>'Bulk Plant Input'!$A$29</f>
        <v>0</v>
      </c>
      <c r="K46" s="15">
        <f>'Bulk Plant Input'!$A$30</f>
        <v>0</v>
      </c>
      <c r="L46" s="15">
        <f>'Bulk Plant Input'!$A$31</f>
        <v>0</v>
      </c>
      <c r="M46" s="15">
        <f>'Bulk Plant Input'!$A$32</f>
        <v>0</v>
      </c>
      <c r="N46" s="15">
        <f>'Bulk Plant Input'!$A$33</f>
        <v>0</v>
      </c>
      <c r="O46" s="15">
        <f>'Bulk Plant Input'!$A$34</f>
        <v>0</v>
      </c>
      <c r="P46" s="15">
        <f>'Bulk Plant Input'!$A$35</f>
        <v>0</v>
      </c>
      <c r="Q46" s="15">
        <f>'Bulk Plant Input'!$A$36</f>
        <v>0</v>
      </c>
      <c r="R46" s="15">
        <f>'Bulk Plant Input'!$A$37</f>
        <v>0</v>
      </c>
      <c r="S46" s="15">
        <v>1</v>
      </c>
      <c r="U46" s="1"/>
      <c r="V46" s="1"/>
      <c r="W46" s="1"/>
      <c r="X46" s="1"/>
      <c r="Y46" s="1"/>
      <c r="Z46" s="1"/>
      <c r="AA46" s="1"/>
      <c r="AB46" s="1"/>
    </row>
    <row r="47" spans="1:28" ht="15.75" x14ac:dyDescent="0.25">
      <c r="A47" s="120" t="str">
        <f>'Base Blend Property Calculation'!A51</f>
        <v>Glacial Mix</v>
      </c>
      <c r="B47" s="97">
        <f>IF(C47=0,0,1)</f>
        <v>0</v>
      </c>
      <c r="C47" s="97">
        <f>COUNTIF('Bulk Plant Input'!$A$23:$A$37,'Base Blend Property Calculation'!BV51)+COUNTIF('Bulk Plant Input'!$A$23:$A$37,'Base Blend Property Calculation'!BW51)+COUNTIF('Bulk Plant Input'!$A$23:$A$37,'Base Blend Property Calculation'!BX51)+COUNTIF('Bulk Plant Input'!$A$23:$A$37,'Base Blend Property Calculation'!BY51)+COUNTIF('Bulk Plant Input'!$A$23:$A$37,'Base Blend Property Calculation'!BZ51)</f>
        <v>0</v>
      </c>
      <c r="D47" s="15" t="str">
        <f>'Bulk Plant Input'!$A$23</f>
        <v>CFR-5</v>
      </c>
      <c r="E47" s="15" t="str">
        <f>'Bulk Plant Input'!$A$24</f>
        <v>CFL-4</v>
      </c>
      <c r="F47" s="15" t="str">
        <f>'Bulk Plant Input'!$A$25</f>
        <v>FWC-2</v>
      </c>
      <c r="G47" s="15" t="str">
        <f>'Bulk Plant Input'!$A$26</f>
        <v>LTR</v>
      </c>
      <c r="H47" s="15" t="str">
        <f>'Bulk Plant Input'!$A$27</f>
        <v>CDF-6P</v>
      </c>
      <c r="I47" s="15" t="str">
        <f>'Bulk Plant Input'!$A$28</f>
        <v>ASM-3</v>
      </c>
      <c r="J47" s="15">
        <f>'Bulk Plant Input'!$A$29</f>
        <v>0</v>
      </c>
      <c r="K47" s="15">
        <f>'Bulk Plant Input'!$A$30</f>
        <v>0</v>
      </c>
      <c r="L47" s="15">
        <f>'Bulk Plant Input'!$A$31</f>
        <v>0</v>
      </c>
      <c r="M47" s="15">
        <f>'Bulk Plant Input'!$A$32</f>
        <v>0</v>
      </c>
      <c r="N47" s="15">
        <f>'Bulk Plant Input'!$A$33</f>
        <v>0</v>
      </c>
      <c r="O47" s="15">
        <f>'Bulk Plant Input'!$A$34</f>
        <v>0</v>
      </c>
      <c r="P47" s="15">
        <f>'Bulk Plant Input'!$A$35</f>
        <v>0</v>
      </c>
      <c r="Q47" s="15">
        <f>'Bulk Plant Input'!$A$36</f>
        <v>0</v>
      </c>
      <c r="R47" s="15">
        <f>'Bulk Plant Input'!$A$37</f>
        <v>0</v>
      </c>
      <c r="S47" s="15">
        <v>15</v>
      </c>
      <c r="U47" s="1"/>
      <c r="V47" s="1"/>
      <c r="W47" s="1"/>
      <c r="X47" s="1"/>
      <c r="Y47" s="1"/>
      <c r="Z47" s="1"/>
      <c r="AA47" s="1"/>
      <c r="AB47" s="1"/>
    </row>
    <row r="48" spans="1:28" ht="15.75" x14ac:dyDescent="0.25">
      <c r="A48" s="120" t="str">
        <f>'Base Blend Property Calculation'!A52</f>
        <v>iBond</v>
      </c>
      <c r="B48" s="97">
        <f t="shared" si="0"/>
        <v>0</v>
      </c>
      <c r="C48" s="97">
        <f>COUNTIF('Bulk Plant Input'!$A$23:$A$37,'Base Blend Property Calculation'!BV52)+COUNTIF('Bulk Plant Input'!$A$23:$A$37,'Base Blend Property Calculation'!BW52)+COUNTIF('Bulk Plant Input'!$A$23:$A$37,'Base Blend Property Calculation'!BX52)+COUNTIF('Bulk Plant Input'!$A$23:$A$37,'Base Blend Property Calculation'!BY52)+COUNTIF('Bulk Plant Input'!$A$23:$A$37,'Base Blend Property Calculation'!BZ52)</f>
        <v>0</v>
      </c>
      <c r="D48" s="15" t="str">
        <f>'Bulk Plant Input'!$A$23</f>
        <v>CFR-5</v>
      </c>
      <c r="E48" s="15" t="str">
        <f>'Bulk Plant Input'!$A$24</f>
        <v>CFL-4</v>
      </c>
      <c r="F48" s="15" t="str">
        <f>'Bulk Plant Input'!$A$25</f>
        <v>FWC-2</v>
      </c>
      <c r="G48" s="15" t="str">
        <f>'Bulk Plant Input'!$A$26</f>
        <v>LTR</v>
      </c>
      <c r="H48" s="15" t="str">
        <f>'Bulk Plant Input'!$A$27</f>
        <v>CDF-6P</v>
      </c>
      <c r="I48" s="15" t="str">
        <f>'Bulk Plant Input'!$A$28</f>
        <v>ASM-3</v>
      </c>
      <c r="J48" s="15">
        <f>'Bulk Plant Input'!$A$29</f>
        <v>0</v>
      </c>
      <c r="K48" s="15">
        <f>'Bulk Plant Input'!$A$30</f>
        <v>0</v>
      </c>
      <c r="L48" s="15">
        <f>'Bulk Plant Input'!$A$31</f>
        <v>0</v>
      </c>
      <c r="M48" s="15">
        <f>'Bulk Plant Input'!$A$32</f>
        <v>0</v>
      </c>
      <c r="N48" s="15">
        <f>'Bulk Plant Input'!$A$33</f>
        <v>0</v>
      </c>
      <c r="O48" s="15">
        <f>'Bulk Plant Input'!$A$34</f>
        <v>0</v>
      </c>
      <c r="P48" s="15">
        <f>'Bulk Plant Input'!$A$35</f>
        <v>0</v>
      </c>
      <c r="Q48" s="15">
        <f>'Bulk Plant Input'!$A$36</f>
        <v>0</v>
      </c>
      <c r="R48" s="15">
        <f>'Bulk Plant Input'!$A$37</f>
        <v>0</v>
      </c>
      <c r="S48" s="15">
        <v>1</v>
      </c>
      <c r="U48" s="1"/>
      <c r="V48" s="1"/>
      <c r="W48" s="1"/>
      <c r="X48" s="1"/>
      <c r="Y48" s="1"/>
      <c r="Z48" s="1"/>
      <c r="AA48" s="1"/>
      <c r="AB48" s="1"/>
    </row>
    <row r="49" spans="1:28" ht="15.75" x14ac:dyDescent="0.25">
      <c r="A49" s="120" t="str">
        <f>'Base Blend Property Calculation'!A53</f>
        <v>iGain (SK)</v>
      </c>
      <c r="B49" s="97">
        <f t="shared" si="0"/>
        <v>0</v>
      </c>
      <c r="C49" s="97">
        <f>COUNTIF('Bulk Plant Input'!$A$23:$A$37,'Base Blend Property Calculation'!BV53)+COUNTIF('Bulk Plant Input'!$A$23:$A$37,'Base Blend Property Calculation'!BW53)+COUNTIF('Bulk Plant Input'!$A$23:$A$37,'Base Blend Property Calculation'!BX53)+COUNTIF('Bulk Plant Input'!$A$23:$A$37,'Base Blend Property Calculation'!BY53)+COUNTIF('Bulk Plant Input'!$A$23:$A$37,'Base Blend Property Calculation'!BZ53)</f>
        <v>0</v>
      </c>
      <c r="D49" s="15" t="str">
        <f>'Bulk Plant Input'!$A$23</f>
        <v>CFR-5</v>
      </c>
      <c r="E49" s="15" t="str">
        <f>'Bulk Plant Input'!$A$24</f>
        <v>CFL-4</v>
      </c>
      <c r="F49" s="15" t="str">
        <f>'Bulk Plant Input'!$A$25</f>
        <v>FWC-2</v>
      </c>
      <c r="G49" s="15" t="str">
        <f>'Bulk Plant Input'!$A$26</f>
        <v>LTR</v>
      </c>
      <c r="H49" s="15" t="str">
        <f>'Bulk Plant Input'!$A$27</f>
        <v>CDF-6P</v>
      </c>
      <c r="I49" s="15" t="str">
        <f>'Bulk Plant Input'!$A$28</f>
        <v>ASM-3</v>
      </c>
      <c r="J49" s="15">
        <f>'Bulk Plant Input'!$A$29</f>
        <v>0</v>
      </c>
      <c r="K49" s="15">
        <f>'Bulk Plant Input'!$A$30</f>
        <v>0</v>
      </c>
      <c r="L49" s="15">
        <f>'Bulk Plant Input'!$A$31</f>
        <v>0</v>
      </c>
      <c r="M49" s="15">
        <f>'Bulk Plant Input'!$A$32</f>
        <v>0</v>
      </c>
      <c r="N49" s="15">
        <f>'Bulk Plant Input'!$A$33</f>
        <v>0</v>
      </c>
      <c r="O49" s="15">
        <f>'Bulk Plant Input'!$A$34</f>
        <v>0</v>
      </c>
      <c r="P49" s="15">
        <f>'Bulk Plant Input'!$A$35</f>
        <v>0</v>
      </c>
      <c r="Q49" s="15">
        <f>'Bulk Plant Input'!$A$36</f>
        <v>0</v>
      </c>
      <c r="R49" s="15">
        <f>'Bulk Plant Input'!$A$37</f>
        <v>0</v>
      </c>
      <c r="S49" s="15">
        <v>1</v>
      </c>
      <c r="U49" s="1"/>
      <c r="V49" s="1"/>
      <c r="W49" s="1"/>
      <c r="X49" s="1"/>
      <c r="Y49" s="1"/>
      <c r="Z49" s="1"/>
      <c r="AA49" s="1"/>
      <c r="AB49" s="1"/>
    </row>
    <row r="50" spans="1:28" ht="15.75" x14ac:dyDescent="0.25">
      <c r="A50" s="120" t="str">
        <f>'Base Blend Property Calculation'!A54</f>
        <v>iGain(AB)</v>
      </c>
      <c r="B50" s="97">
        <f t="shared" si="0"/>
        <v>0</v>
      </c>
      <c r="C50" s="97">
        <f>COUNTIF('Bulk Plant Input'!$A$23:$A$37,'Base Blend Property Calculation'!BV54)+COUNTIF('Bulk Plant Input'!$A$23:$A$37,'Base Blend Property Calculation'!BW54)+COUNTIF('Bulk Plant Input'!$A$23:$A$37,'Base Blend Property Calculation'!BX54)+COUNTIF('Bulk Plant Input'!$A$23:$A$37,'Base Blend Property Calculation'!BY54)+COUNTIF('Bulk Plant Input'!$A$23:$A$37,'Base Blend Property Calculation'!BZ54)</f>
        <v>0</v>
      </c>
      <c r="D50" s="15" t="str">
        <f>'Bulk Plant Input'!$A$23</f>
        <v>CFR-5</v>
      </c>
      <c r="E50" s="15" t="str">
        <f>'Bulk Plant Input'!$A$24</f>
        <v>CFL-4</v>
      </c>
      <c r="F50" s="15" t="str">
        <f>'Bulk Plant Input'!$A$25</f>
        <v>FWC-2</v>
      </c>
      <c r="G50" s="15" t="str">
        <f>'Bulk Plant Input'!$A$26</f>
        <v>LTR</v>
      </c>
      <c r="H50" s="15" t="str">
        <f>'Bulk Plant Input'!$A$27</f>
        <v>CDF-6P</v>
      </c>
      <c r="I50" s="15" t="str">
        <f>'Bulk Plant Input'!$A$28</f>
        <v>ASM-3</v>
      </c>
      <c r="J50" s="15">
        <f>'Bulk Plant Input'!$A$29</f>
        <v>0</v>
      </c>
      <c r="K50" s="15">
        <f>'Bulk Plant Input'!$A$30</f>
        <v>0</v>
      </c>
      <c r="L50" s="15">
        <f>'Bulk Plant Input'!$A$31</f>
        <v>0</v>
      </c>
      <c r="M50" s="15">
        <f>'Bulk Plant Input'!$A$32</f>
        <v>0</v>
      </c>
      <c r="N50" s="15">
        <f>'Bulk Plant Input'!$A$33</f>
        <v>0</v>
      </c>
      <c r="O50" s="15">
        <f>'Bulk Plant Input'!$A$34</f>
        <v>0</v>
      </c>
      <c r="P50" s="15">
        <f>'Bulk Plant Input'!$A$35</f>
        <v>0</v>
      </c>
      <c r="Q50" s="15">
        <f>'Bulk Plant Input'!$A$36</f>
        <v>0</v>
      </c>
      <c r="R50" s="15">
        <f>'Bulk Plant Input'!$A$37</f>
        <v>0</v>
      </c>
      <c r="S50" s="15">
        <v>1</v>
      </c>
      <c r="U50" s="1"/>
      <c r="V50" s="1"/>
      <c r="W50" s="1"/>
      <c r="X50" s="1"/>
      <c r="Y50" s="1"/>
      <c r="Z50" s="1"/>
      <c r="AA50" s="1"/>
      <c r="AB50" s="1"/>
    </row>
    <row r="51" spans="1:28" ht="15.75" x14ac:dyDescent="0.25">
      <c r="A51" s="120" t="str">
        <f>'Base Blend Property Calculation'!A55</f>
        <v>iPrime (AB)</v>
      </c>
      <c r="B51" s="97">
        <f t="shared" si="0"/>
        <v>0</v>
      </c>
      <c r="C51" s="97">
        <f>COUNTIF('Bulk Plant Input'!$A$23:$A$37,'Base Blend Property Calculation'!BV55)+COUNTIF('Bulk Plant Input'!$A$23:$A$37,'Base Blend Property Calculation'!BW55)+COUNTIF('Bulk Plant Input'!$A$23:$A$37,'Base Blend Property Calculation'!BX55)+COUNTIF('Bulk Plant Input'!$A$23:$A$37,'Base Blend Property Calculation'!BY55)+COUNTIF('Bulk Plant Input'!$A$23:$A$37,'Base Blend Property Calculation'!BZ55)</f>
        <v>0</v>
      </c>
      <c r="D51" s="15" t="str">
        <f>'Bulk Plant Input'!$A$23</f>
        <v>CFR-5</v>
      </c>
      <c r="E51" s="15" t="str">
        <f>'Bulk Plant Input'!$A$24</f>
        <v>CFL-4</v>
      </c>
      <c r="F51" s="15" t="str">
        <f>'Bulk Plant Input'!$A$25</f>
        <v>FWC-2</v>
      </c>
      <c r="G51" s="15" t="str">
        <f>'Bulk Plant Input'!$A$26</f>
        <v>LTR</v>
      </c>
      <c r="H51" s="15" t="str">
        <f>'Bulk Plant Input'!$A$27</f>
        <v>CDF-6P</v>
      </c>
      <c r="I51" s="15" t="str">
        <f>'Bulk Plant Input'!$A$28</f>
        <v>ASM-3</v>
      </c>
      <c r="J51" s="15">
        <f>'Bulk Plant Input'!$A$29</f>
        <v>0</v>
      </c>
      <c r="K51" s="15">
        <f>'Bulk Plant Input'!$A$30</f>
        <v>0</v>
      </c>
      <c r="L51" s="15">
        <f>'Bulk Plant Input'!$A$31</f>
        <v>0</v>
      </c>
      <c r="M51" s="15">
        <f>'Bulk Plant Input'!$A$32</f>
        <v>0</v>
      </c>
      <c r="N51" s="15">
        <f>'Bulk Plant Input'!$A$33</f>
        <v>0</v>
      </c>
      <c r="O51" s="15">
        <f>'Bulk Plant Input'!$A$34</f>
        <v>0</v>
      </c>
      <c r="P51" s="15">
        <f>'Bulk Plant Input'!$A$35</f>
        <v>0</v>
      </c>
      <c r="Q51" s="15">
        <f>'Bulk Plant Input'!$A$36</f>
        <v>0</v>
      </c>
      <c r="R51" s="15">
        <f>'Bulk Plant Input'!$A$37</f>
        <v>0</v>
      </c>
      <c r="S51" s="15">
        <v>1</v>
      </c>
      <c r="U51" s="1"/>
      <c r="V51" s="1"/>
      <c r="W51" s="1"/>
      <c r="X51" s="1"/>
      <c r="Y51" s="1"/>
      <c r="Z51" s="1"/>
      <c r="AA51" s="1"/>
      <c r="AB51" s="1"/>
    </row>
    <row r="52" spans="1:28" ht="15.75" x14ac:dyDescent="0.25">
      <c r="A52" s="120" t="str">
        <f>'Base Blend Property Calculation'!A56</f>
        <v>iPrime (SK)</v>
      </c>
      <c r="B52" s="97">
        <f t="shared" si="0"/>
        <v>0</v>
      </c>
      <c r="C52" s="97">
        <f>COUNTIF('Bulk Plant Input'!$A$23:$A$37,'Base Blend Property Calculation'!BV56)+COUNTIF('Bulk Plant Input'!$A$23:$A$37,'Base Blend Property Calculation'!BW56)+COUNTIF('Bulk Plant Input'!$A$23:$A$37,'Base Blend Property Calculation'!BX56)+COUNTIF('Bulk Plant Input'!$A$23:$A$37,'Base Blend Property Calculation'!BY56)+COUNTIF('Bulk Plant Input'!$A$23:$A$37,'Base Blend Property Calculation'!BZ56)</f>
        <v>0</v>
      </c>
      <c r="D52" s="15" t="str">
        <f>'Bulk Plant Input'!$A$23</f>
        <v>CFR-5</v>
      </c>
      <c r="E52" s="15" t="str">
        <f>'Bulk Plant Input'!$A$24</f>
        <v>CFL-4</v>
      </c>
      <c r="F52" s="15" t="str">
        <f>'Bulk Plant Input'!$A$25</f>
        <v>FWC-2</v>
      </c>
      <c r="G52" s="15" t="str">
        <f>'Bulk Plant Input'!$A$26</f>
        <v>LTR</v>
      </c>
      <c r="H52" s="15" t="str">
        <f>'Bulk Plant Input'!$A$27</f>
        <v>CDF-6P</v>
      </c>
      <c r="I52" s="15" t="str">
        <f>'Bulk Plant Input'!$A$28</f>
        <v>ASM-3</v>
      </c>
      <c r="J52" s="15">
        <f>'Bulk Plant Input'!$A$29</f>
        <v>0</v>
      </c>
      <c r="K52" s="15">
        <f>'Bulk Plant Input'!$A$30</f>
        <v>0</v>
      </c>
      <c r="L52" s="15">
        <f>'Bulk Plant Input'!$A$31</f>
        <v>0</v>
      </c>
      <c r="M52" s="15">
        <f>'Bulk Plant Input'!$A$32</f>
        <v>0</v>
      </c>
      <c r="N52" s="15">
        <f>'Bulk Plant Input'!$A$33</f>
        <v>0</v>
      </c>
      <c r="O52" s="15">
        <f>'Bulk Plant Input'!$A$34</f>
        <v>0</v>
      </c>
      <c r="P52" s="15">
        <f>'Bulk Plant Input'!$A$35</f>
        <v>0</v>
      </c>
      <c r="Q52" s="15">
        <f>'Bulk Plant Input'!$A$36</f>
        <v>0</v>
      </c>
      <c r="R52" s="15">
        <f>'Bulk Plant Input'!$A$37</f>
        <v>0</v>
      </c>
      <c r="S52" s="15">
        <v>1</v>
      </c>
      <c r="U52" s="1"/>
      <c r="V52" s="1"/>
      <c r="W52" s="1"/>
      <c r="X52" s="1"/>
      <c r="Y52" s="1"/>
      <c r="Z52" s="1"/>
      <c r="AA52" s="1"/>
      <c r="AB52" s="1"/>
    </row>
    <row r="53" spans="1:28" ht="15.75" x14ac:dyDescent="0.25">
      <c r="A53" s="120" t="str">
        <f>'Base Blend Property Calculation'!A57</f>
        <v>iThix</v>
      </c>
      <c r="B53" s="97">
        <f t="shared" si="0"/>
        <v>0</v>
      </c>
      <c r="C53" s="97">
        <f>COUNTIF('Bulk Plant Input'!$A$23:$A$37,'Base Blend Property Calculation'!BV57)+COUNTIF('Bulk Plant Input'!$A$23:$A$37,'Base Blend Property Calculation'!BW57)+COUNTIF('Bulk Plant Input'!$A$23:$A$37,'Base Blend Property Calculation'!BX57)+COUNTIF('Bulk Plant Input'!$A$23:$A$37,'Base Blend Property Calculation'!BY57)+COUNTIF('Bulk Plant Input'!$A$23:$A$37,'Base Blend Property Calculation'!BZ57)</f>
        <v>0</v>
      </c>
      <c r="D53" s="15" t="str">
        <f>'Bulk Plant Input'!$A$23</f>
        <v>CFR-5</v>
      </c>
      <c r="E53" s="15" t="str">
        <f>'Bulk Plant Input'!$A$24</f>
        <v>CFL-4</v>
      </c>
      <c r="F53" s="15" t="str">
        <f>'Bulk Plant Input'!$A$25</f>
        <v>FWC-2</v>
      </c>
      <c r="G53" s="15" t="str">
        <f>'Bulk Plant Input'!$A$26</f>
        <v>LTR</v>
      </c>
      <c r="H53" s="15" t="str">
        <f>'Bulk Plant Input'!$A$27</f>
        <v>CDF-6P</v>
      </c>
      <c r="I53" s="15" t="str">
        <f>'Bulk Plant Input'!$A$28</f>
        <v>ASM-3</v>
      </c>
      <c r="J53" s="15">
        <f>'Bulk Plant Input'!$A$29</f>
        <v>0</v>
      </c>
      <c r="K53" s="15">
        <f>'Bulk Plant Input'!$A$30</f>
        <v>0</v>
      </c>
      <c r="L53" s="15">
        <f>'Bulk Plant Input'!$A$31</f>
        <v>0</v>
      </c>
      <c r="M53" s="15">
        <f>'Bulk Plant Input'!$A$32</f>
        <v>0</v>
      </c>
      <c r="N53" s="15">
        <f>'Bulk Plant Input'!$A$33</f>
        <v>0</v>
      </c>
      <c r="O53" s="15">
        <f>'Bulk Plant Input'!$A$34</f>
        <v>0</v>
      </c>
      <c r="P53" s="15">
        <f>'Bulk Plant Input'!$A$35</f>
        <v>0</v>
      </c>
      <c r="Q53" s="15">
        <f>'Bulk Plant Input'!$A$36</f>
        <v>0</v>
      </c>
      <c r="R53" s="15">
        <f>'Bulk Plant Input'!$A$37</f>
        <v>0</v>
      </c>
      <c r="S53" s="15">
        <v>0</v>
      </c>
      <c r="U53" s="1"/>
      <c r="V53" s="1"/>
      <c r="W53" s="1"/>
      <c r="X53" s="1"/>
      <c r="Y53" s="1"/>
      <c r="Z53" s="1"/>
      <c r="AA53" s="1"/>
      <c r="AB53" s="1"/>
    </row>
    <row r="54" spans="1:28" ht="15.75" x14ac:dyDescent="0.25">
      <c r="A54" s="120" t="str">
        <f>'Base Blend Property Calculation'!A58</f>
        <v>iZone</v>
      </c>
      <c r="B54" s="97">
        <f t="shared" si="0"/>
        <v>0</v>
      </c>
      <c r="C54" s="97">
        <f>COUNTIF('Bulk Plant Input'!$A$23:$A$37,'Base Blend Property Calculation'!BV58)+COUNTIF('Bulk Plant Input'!$A$23:$A$37,'Base Blend Property Calculation'!BW58)+COUNTIF('Bulk Plant Input'!$A$23:$A$37,'Base Blend Property Calculation'!BX58)+COUNTIF('Bulk Plant Input'!$A$23:$A$37,'Base Blend Property Calculation'!BY58)+COUNTIF('Bulk Plant Input'!$A$23:$A$37,'Base Blend Property Calculation'!BZ58)</f>
        <v>0</v>
      </c>
      <c r="D54" s="15" t="str">
        <f>'Bulk Plant Input'!$A$23</f>
        <v>CFR-5</v>
      </c>
      <c r="E54" s="15" t="str">
        <f>'Bulk Plant Input'!$A$24</f>
        <v>CFL-4</v>
      </c>
      <c r="F54" s="15" t="str">
        <f>'Bulk Plant Input'!$A$25</f>
        <v>FWC-2</v>
      </c>
      <c r="G54" s="15" t="str">
        <f>'Bulk Plant Input'!$A$26</f>
        <v>LTR</v>
      </c>
      <c r="H54" s="15" t="str">
        <f>'Bulk Plant Input'!$A$27</f>
        <v>CDF-6P</v>
      </c>
      <c r="I54" s="15" t="str">
        <f>'Bulk Plant Input'!$A$28</f>
        <v>ASM-3</v>
      </c>
      <c r="J54" s="15">
        <f>'Bulk Plant Input'!$A$29</f>
        <v>0</v>
      </c>
      <c r="K54" s="15">
        <f>'Bulk Plant Input'!$A$30</f>
        <v>0</v>
      </c>
      <c r="L54" s="15">
        <f>'Bulk Plant Input'!$A$31</f>
        <v>0</v>
      </c>
      <c r="M54" s="15">
        <f>'Bulk Plant Input'!$A$32</f>
        <v>0</v>
      </c>
      <c r="N54" s="15">
        <f>'Bulk Plant Input'!$A$33</f>
        <v>0</v>
      </c>
      <c r="O54" s="15">
        <f>'Bulk Plant Input'!$A$34</f>
        <v>0</v>
      </c>
      <c r="P54" s="15">
        <f>'Bulk Plant Input'!$A$35</f>
        <v>0</v>
      </c>
      <c r="Q54" s="15">
        <f>'Bulk Plant Input'!$A$36</f>
        <v>0</v>
      </c>
      <c r="R54" s="15">
        <f>'Bulk Plant Input'!$A$37</f>
        <v>0</v>
      </c>
      <c r="S54" s="15">
        <v>0</v>
      </c>
      <c r="U54" s="1"/>
      <c r="V54" s="1"/>
      <c r="W54" s="1"/>
      <c r="X54" s="1"/>
      <c r="Y54" s="1"/>
      <c r="Z54" s="1"/>
      <c r="AA54" s="1"/>
      <c r="AB54" s="1"/>
    </row>
    <row r="55" spans="1:28" ht="15.75" x14ac:dyDescent="0.25">
      <c r="A55" s="120" t="str">
        <f>'Base Blend Property Calculation'!A59</f>
        <v>LCS 1600</v>
      </c>
      <c r="B55" s="97">
        <f t="shared" si="0"/>
        <v>0</v>
      </c>
      <c r="C55" s="97">
        <f>COUNTIF('Bulk Plant Input'!$A$23:$A$37,'Base Blend Property Calculation'!BV59)+COUNTIF('Bulk Plant Input'!$A$23:$A$37,'Base Blend Property Calculation'!BW59)+COUNTIF('Bulk Plant Input'!$A$23:$A$37,'Base Blend Property Calculation'!BX59)+COUNTIF('Bulk Plant Input'!$A$23:$A$37,'Base Blend Property Calculation'!BY59)+COUNTIF('Bulk Plant Input'!$A$23:$A$37,'Base Blend Property Calculation'!BZ59)</f>
        <v>0</v>
      </c>
      <c r="D55" s="15" t="str">
        <f>'Bulk Plant Input'!$A$23</f>
        <v>CFR-5</v>
      </c>
      <c r="E55" s="15" t="str">
        <f>'Bulk Plant Input'!$A$24</f>
        <v>CFL-4</v>
      </c>
      <c r="F55" s="15" t="str">
        <f>'Bulk Plant Input'!$A$25</f>
        <v>FWC-2</v>
      </c>
      <c r="G55" s="15" t="str">
        <f>'Bulk Plant Input'!$A$26</f>
        <v>LTR</v>
      </c>
      <c r="H55" s="15" t="str">
        <f>'Bulk Plant Input'!$A$27</f>
        <v>CDF-6P</v>
      </c>
      <c r="I55" s="15" t="str">
        <f>'Bulk Plant Input'!$A$28</f>
        <v>ASM-3</v>
      </c>
      <c r="J55" s="15">
        <f>'Bulk Plant Input'!$A$29</f>
        <v>0</v>
      </c>
      <c r="K55" s="15">
        <f>'Bulk Plant Input'!$A$30</f>
        <v>0</v>
      </c>
      <c r="L55" s="15">
        <f>'Bulk Plant Input'!$A$31</f>
        <v>0</v>
      </c>
      <c r="M55" s="15">
        <f>'Bulk Plant Input'!$A$32</f>
        <v>0</v>
      </c>
      <c r="N55" s="15">
        <f>'Bulk Plant Input'!$A$33</f>
        <v>0</v>
      </c>
      <c r="O55" s="15">
        <f>'Bulk Plant Input'!$A$34</f>
        <v>0</v>
      </c>
      <c r="P55" s="15">
        <f>'Bulk Plant Input'!$A$35</f>
        <v>0</v>
      </c>
      <c r="Q55" s="15">
        <f>'Bulk Plant Input'!$A$36</f>
        <v>0</v>
      </c>
      <c r="R55" s="15">
        <f>'Bulk Plant Input'!$A$37</f>
        <v>0</v>
      </c>
      <c r="S55" s="15">
        <v>0</v>
      </c>
      <c r="U55" s="1"/>
      <c r="V55" s="1"/>
      <c r="W55" s="1"/>
      <c r="X55" s="1"/>
      <c r="Y55" s="1"/>
      <c r="Z55" s="1"/>
      <c r="AA55" s="1"/>
      <c r="AB55" s="1"/>
    </row>
    <row r="56" spans="1:28" ht="15.75" x14ac:dyDescent="0.25">
      <c r="A56" s="120" t="str">
        <f>'Base Blend Property Calculation'!A60</f>
        <v>LCS 1820</v>
      </c>
      <c r="B56" s="97">
        <f t="shared" si="0"/>
        <v>0</v>
      </c>
      <c r="C56" s="97">
        <f>COUNTIF('Bulk Plant Input'!$A$23:$A$37,'Base Blend Property Calculation'!BV60)+COUNTIF('Bulk Plant Input'!$A$23:$A$37,'Base Blend Property Calculation'!BW60)+COUNTIF('Bulk Plant Input'!$A$23:$A$37,'Base Blend Property Calculation'!BX60)+COUNTIF('Bulk Plant Input'!$A$23:$A$37,'Base Blend Property Calculation'!BY60)+COUNTIF('Bulk Plant Input'!$A$23:$A$37,'Base Blend Property Calculation'!BZ60)</f>
        <v>0</v>
      </c>
      <c r="D56" s="15" t="str">
        <f>'Bulk Plant Input'!$A$23</f>
        <v>CFR-5</v>
      </c>
      <c r="E56" s="15" t="str">
        <f>'Bulk Plant Input'!$A$24</f>
        <v>CFL-4</v>
      </c>
      <c r="F56" s="15" t="str">
        <f>'Bulk Plant Input'!$A$25</f>
        <v>FWC-2</v>
      </c>
      <c r="G56" s="15" t="str">
        <f>'Bulk Plant Input'!$A$26</f>
        <v>LTR</v>
      </c>
      <c r="H56" s="15" t="str">
        <f>'Bulk Plant Input'!$A$27</f>
        <v>CDF-6P</v>
      </c>
      <c r="I56" s="15" t="str">
        <f>'Bulk Plant Input'!$A$28</f>
        <v>ASM-3</v>
      </c>
      <c r="J56" s="15">
        <f>'Bulk Plant Input'!$A$29</f>
        <v>0</v>
      </c>
      <c r="K56" s="15">
        <f>'Bulk Plant Input'!$A$30</f>
        <v>0</v>
      </c>
      <c r="L56" s="15">
        <f>'Bulk Plant Input'!$A$31</f>
        <v>0</v>
      </c>
      <c r="M56" s="15">
        <f>'Bulk Plant Input'!$A$32</f>
        <v>0</v>
      </c>
      <c r="N56" s="15">
        <f>'Bulk Plant Input'!$A$33</f>
        <v>0</v>
      </c>
      <c r="O56" s="15">
        <f>'Bulk Plant Input'!$A$34</f>
        <v>0</v>
      </c>
      <c r="P56" s="15">
        <f>'Bulk Plant Input'!$A$35</f>
        <v>0</v>
      </c>
      <c r="Q56" s="15">
        <f>'Bulk Plant Input'!$A$36</f>
        <v>0</v>
      </c>
      <c r="R56" s="15">
        <f>'Bulk Plant Input'!$A$37</f>
        <v>0</v>
      </c>
      <c r="S56" s="15">
        <v>1</v>
      </c>
      <c r="U56" s="1"/>
      <c r="V56" s="1"/>
      <c r="W56" s="1"/>
      <c r="X56" s="1"/>
      <c r="Y56" s="1"/>
      <c r="Z56" s="1"/>
      <c r="AA56" s="1"/>
      <c r="AB56" s="1"/>
    </row>
    <row r="57" spans="1:28" ht="15.75" x14ac:dyDescent="0.25">
      <c r="A57" s="120" t="str">
        <f>'Base Blend Property Calculation'!A61</f>
        <v>LDP-C-0117</v>
      </c>
      <c r="B57" s="97">
        <f t="shared" si="0"/>
        <v>0</v>
      </c>
      <c r="C57" s="97">
        <f>COUNTIF('Bulk Plant Input'!$A$23:$A$37,'Base Blend Property Calculation'!BV61)+COUNTIF('Bulk Plant Input'!$A$23:$A$37,'Base Blend Property Calculation'!BW61)+COUNTIF('Bulk Plant Input'!$A$23:$A$37,'Base Blend Property Calculation'!BX61)+COUNTIF('Bulk Plant Input'!$A$23:$A$37,'Base Blend Property Calculation'!BY61)+COUNTIF('Bulk Plant Input'!$A$23:$A$37,'Base Blend Property Calculation'!BZ61)</f>
        <v>0</v>
      </c>
      <c r="D57" s="15" t="str">
        <f>'Bulk Plant Input'!$A$23</f>
        <v>CFR-5</v>
      </c>
      <c r="E57" s="15" t="str">
        <f>'Bulk Plant Input'!$A$24</f>
        <v>CFL-4</v>
      </c>
      <c r="F57" s="15" t="str">
        <f>'Bulk Plant Input'!$A$25</f>
        <v>FWC-2</v>
      </c>
      <c r="G57" s="15" t="str">
        <f>'Bulk Plant Input'!$A$26</f>
        <v>LTR</v>
      </c>
      <c r="H57" s="15" t="str">
        <f>'Bulk Plant Input'!$A$27</f>
        <v>CDF-6P</v>
      </c>
      <c r="I57" s="15" t="str">
        <f>'Bulk Plant Input'!$A$28</f>
        <v>ASM-3</v>
      </c>
      <c r="J57" s="15">
        <f>'Bulk Plant Input'!$A$29</f>
        <v>0</v>
      </c>
      <c r="K57" s="15">
        <f>'Bulk Plant Input'!$A$30</f>
        <v>0</v>
      </c>
      <c r="L57" s="15">
        <f>'Bulk Plant Input'!$A$31</f>
        <v>0</v>
      </c>
      <c r="M57" s="15">
        <f>'Bulk Plant Input'!$A$32</f>
        <v>0</v>
      </c>
      <c r="N57" s="15">
        <f>'Bulk Plant Input'!$A$33</f>
        <v>0</v>
      </c>
      <c r="O57" s="15">
        <f>'Bulk Plant Input'!$A$34</f>
        <v>0</v>
      </c>
      <c r="P57" s="15">
        <f>'Bulk Plant Input'!$A$35</f>
        <v>0</v>
      </c>
      <c r="Q57" s="15">
        <f>'Bulk Plant Input'!$A$36</f>
        <v>0</v>
      </c>
      <c r="R57" s="15">
        <f>'Bulk Plant Input'!$A$37</f>
        <v>0</v>
      </c>
      <c r="S57" s="15">
        <v>1</v>
      </c>
      <c r="U57" s="1"/>
      <c r="V57" s="1"/>
      <c r="W57" s="1"/>
      <c r="X57" s="1"/>
      <c r="Y57" s="1"/>
      <c r="Z57" s="1"/>
      <c r="AA57" s="1"/>
      <c r="AB57" s="1"/>
    </row>
    <row r="58" spans="1:28" ht="15.75" x14ac:dyDescent="0.25">
      <c r="A58" s="120" t="str">
        <f>'Base Blend Property Calculation'!A62</f>
        <v>LDP-C-0417</v>
      </c>
      <c r="B58" s="97">
        <f t="shared" si="0"/>
        <v>0</v>
      </c>
      <c r="C58" s="97">
        <f>COUNTIF('Bulk Plant Input'!$A$23:$A$37,'Base Blend Property Calculation'!BV62)+COUNTIF('Bulk Plant Input'!$A$23:$A$37,'Base Blend Property Calculation'!BW62)+COUNTIF('Bulk Plant Input'!$A$23:$A$37,'Base Blend Property Calculation'!BX62)+COUNTIF('Bulk Plant Input'!$A$23:$A$37,'Base Blend Property Calculation'!BY62)+COUNTIF('Bulk Plant Input'!$A$23:$A$37,'Base Blend Property Calculation'!BZ62)</f>
        <v>0</v>
      </c>
      <c r="D58" s="15" t="str">
        <f>'Bulk Plant Input'!$A$23</f>
        <v>CFR-5</v>
      </c>
      <c r="E58" s="15" t="str">
        <f>'Bulk Plant Input'!$A$24</f>
        <v>CFL-4</v>
      </c>
      <c r="F58" s="15" t="str">
        <f>'Bulk Plant Input'!$A$25</f>
        <v>FWC-2</v>
      </c>
      <c r="G58" s="15" t="str">
        <f>'Bulk Plant Input'!$A$26</f>
        <v>LTR</v>
      </c>
      <c r="H58" s="15" t="str">
        <f>'Bulk Plant Input'!$A$27</f>
        <v>CDF-6P</v>
      </c>
      <c r="I58" s="15" t="str">
        <f>'Bulk Plant Input'!$A$28</f>
        <v>ASM-3</v>
      </c>
      <c r="J58" s="15">
        <f>'Bulk Plant Input'!$A$29</f>
        <v>0</v>
      </c>
      <c r="K58" s="15">
        <f>'Bulk Plant Input'!$A$30</f>
        <v>0</v>
      </c>
      <c r="L58" s="15">
        <f>'Bulk Plant Input'!$A$31</f>
        <v>0</v>
      </c>
      <c r="M58" s="15">
        <f>'Bulk Plant Input'!$A$32</f>
        <v>0</v>
      </c>
      <c r="N58" s="15">
        <f>'Bulk Plant Input'!$A$33</f>
        <v>0</v>
      </c>
      <c r="O58" s="15">
        <f>'Bulk Plant Input'!$A$34</f>
        <v>0</v>
      </c>
      <c r="P58" s="15">
        <f>'Bulk Plant Input'!$A$35</f>
        <v>0</v>
      </c>
      <c r="Q58" s="15">
        <f>'Bulk Plant Input'!$A$36</f>
        <v>0</v>
      </c>
      <c r="R58" s="15">
        <f>'Bulk Plant Input'!$A$37</f>
        <v>0</v>
      </c>
      <c r="S58" s="15">
        <v>1</v>
      </c>
      <c r="U58" s="1"/>
      <c r="V58" s="1"/>
      <c r="W58" s="1"/>
      <c r="X58" s="1"/>
      <c r="Y58" s="1"/>
      <c r="Z58" s="1"/>
      <c r="AA58" s="1"/>
      <c r="AB58" s="1"/>
    </row>
    <row r="59" spans="1:28" ht="15.75" x14ac:dyDescent="0.25">
      <c r="A59" s="120" t="str">
        <f>'Base Blend Property Calculation'!A63</f>
        <v>LDP-C-0516</v>
      </c>
      <c r="B59" s="97">
        <f t="shared" si="0"/>
        <v>0</v>
      </c>
      <c r="C59" s="97">
        <f>COUNTIF('Bulk Plant Input'!$A$23:$A$37,'Base Blend Property Calculation'!BV63)+COUNTIF('Bulk Plant Input'!$A$23:$A$37,'Base Blend Property Calculation'!BW63)+COUNTIF('Bulk Plant Input'!$A$23:$A$37,'Base Blend Property Calculation'!BX63)+COUNTIF('Bulk Plant Input'!$A$23:$A$37,'Base Blend Property Calculation'!BY63)+COUNTIF('Bulk Plant Input'!$A$23:$A$37,'Base Blend Property Calculation'!BZ63)</f>
        <v>0</v>
      </c>
      <c r="D59" s="15" t="str">
        <f>'Bulk Plant Input'!$A$23</f>
        <v>CFR-5</v>
      </c>
      <c r="E59" s="15" t="str">
        <f>'Bulk Plant Input'!$A$24</f>
        <v>CFL-4</v>
      </c>
      <c r="F59" s="15" t="str">
        <f>'Bulk Plant Input'!$A$25</f>
        <v>FWC-2</v>
      </c>
      <c r="G59" s="15" t="str">
        <f>'Bulk Plant Input'!$A$26</f>
        <v>LTR</v>
      </c>
      <c r="H59" s="15" t="str">
        <f>'Bulk Plant Input'!$A$27</f>
        <v>CDF-6P</v>
      </c>
      <c r="I59" s="15" t="str">
        <f>'Bulk Plant Input'!$A$28</f>
        <v>ASM-3</v>
      </c>
      <c r="J59" s="15">
        <f>'Bulk Plant Input'!$A$29</f>
        <v>0</v>
      </c>
      <c r="K59" s="15">
        <f>'Bulk Plant Input'!$A$30</f>
        <v>0</v>
      </c>
      <c r="L59" s="15">
        <f>'Bulk Plant Input'!$A$31</f>
        <v>0</v>
      </c>
      <c r="M59" s="15">
        <f>'Bulk Plant Input'!$A$32</f>
        <v>0</v>
      </c>
      <c r="N59" s="15">
        <f>'Bulk Plant Input'!$A$33</f>
        <v>0</v>
      </c>
      <c r="O59" s="15">
        <f>'Bulk Plant Input'!$A$34</f>
        <v>0</v>
      </c>
      <c r="P59" s="15">
        <f>'Bulk Plant Input'!$A$35</f>
        <v>0</v>
      </c>
      <c r="Q59" s="15">
        <f>'Bulk Plant Input'!$A$36</f>
        <v>0</v>
      </c>
      <c r="R59" s="15">
        <f>'Bulk Plant Input'!$A$37</f>
        <v>0</v>
      </c>
      <c r="S59" s="15">
        <v>1</v>
      </c>
      <c r="U59" s="1"/>
      <c r="V59" s="1"/>
      <c r="W59" s="1"/>
      <c r="X59" s="1"/>
      <c r="Y59" s="1"/>
      <c r="Z59" s="1"/>
      <c r="AA59" s="1"/>
      <c r="AB59" s="1"/>
    </row>
    <row r="60" spans="1:28" ht="15.75" x14ac:dyDescent="0.25">
      <c r="A60" s="120" t="str">
        <f>'Base Blend Property Calculation'!A64</f>
        <v>LDP-C-0517</v>
      </c>
      <c r="B60" s="97">
        <f t="shared" si="0"/>
        <v>0</v>
      </c>
      <c r="C60" s="97">
        <f>COUNTIF('Bulk Plant Input'!$A$23:$A$37,'Base Blend Property Calculation'!BV64)+COUNTIF('Bulk Plant Input'!$A$23:$A$37,'Base Blend Property Calculation'!BW64)+COUNTIF('Bulk Plant Input'!$A$23:$A$37,'Base Blend Property Calculation'!BX64)+COUNTIF('Bulk Plant Input'!$A$23:$A$37,'Base Blend Property Calculation'!BY64)+COUNTIF('Bulk Plant Input'!$A$23:$A$37,'Base Blend Property Calculation'!BZ64)</f>
        <v>0</v>
      </c>
      <c r="D60" s="15" t="str">
        <f>'Bulk Plant Input'!$A$23</f>
        <v>CFR-5</v>
      </c>
      <c r="E60" s="15" t="str">
        <f>'Bulk Plant Input'!$A$24</f>
        <v>CFL-4</v>
      </c>
      <c r="F60" s="15" t="str">
        <f>'Bulk Plant Input'!$A$25</f>
        <v>FWC-2</v>
      </c>
      <c r="G60" s="15" t="str">
        <f>'Bulk Plant Input'!$A$26</f>
        <v>LTR</v>
      </c>
      <c r="H60" s="15" t="str">
        <f>'Bulk Plant Input'!$A$27</f>
        <v>CDF-6P</v>
      </c>
      <c r="I60" s="15" t="str">
        <f>'Bulk Plant Input'!$A$28</f>
        <v>ASM-3</v>
      </c>
      <c r="J60" s="15">
        <f>'Bulk Plant Input'!$A$29</f>
        <v>0</v>
      </c>
      <c r="K60" s="15">
        <f>'Bulk Plant Input'!$A$30</f>
        <v>0</v>
      </c>
      <c r="L60" s="15">
        <f>'Bulk Plant Input'!$A$31</f>
        <v>0</v>
      </c>
      <c r="M60" s="15">
        <f>'Bulk Plant Input'!$A$32</f>
        <v>0</v>
      </c>
      <c r="N60" s="15">
        <f>'Bulk Plant Input'!$A$33</f>
        <v>0</v>
      </c>
      <c r="O60" s="15">
        <f>'Bulk Plant Input'!$A$34</f>
        <v>0</v>
      </c>
      <c r="P60" s="15">
        <f>'Bulk Plant Input'!$A$35</f>
        <v>0</v>
      </c>
      <c r="Q60" s="15">
        <f>'Bulk Plant Input'!$A$36</f>
        <v>0</v>
      </c>
      <c r="R60" s="15">
        <f>'Bulk Plant Input'!$A$37</f>
        <v>0</v>
      </c>
      <c r="S60" s="15">
        <v>1</v>
      </c>
      <c r="U60" s="1"/>
      <c r="V60" s="1"/>
      <c r="W60" s="1"/>
      <c r="X60" s="1"/>
      <c r="Y60" s="1"/>
      <c r="Z60" s="1"/>
      <c r="AA60" s="1"/>
      <c r="AB60" s="1"/>
    </row>
    <row r="61" spans="1:28" ht="15.75" x14ac:dyDescent="0.25">
      <c r="A61" s="120" t="str">
        <f>'Base Blend Property Calculation'!A65</f>
        <v>LITEmix PRO</v>
      </c>
      <c r="B61" s="97">
        <f t="shared" si="0"/>
        <v>0</v>
      </c>
      <c r="C61" s="97">
        <f>COUNTIF('Bulk Plant Input'!$A$23:$A$37,'Base Blend Property Calculation'!BV65)+COUNTIF('Bulk Plant Input'!$A$23:$A$37,'Base Blend Property Calculation'!BW65)+COUNTIF('Bulk Plant Input'!$A$23:$A$37,'Base Blend Property Calculation'!BX65)+COUNTIF('Bulk Plant Input'!$A$23:$A$37,'Base Blend Property Calculation'!BY65)+COUNTIF('Bulk Plant Input'!$A$23:$A$37,'Base Blend Property Calculation'!BZ65)</f>
        <v>0</v>
      </c>
      <c r="D61" s="15" t="str">
        <f>'Bulk Plant Input'!$A$23</f>
        <v>CFR-5</v>
      </c>
      <c r="E61" s="15" t="str">
        <f>'Bulk Plant Input'!$A$24</f>
        <v>CFL-4</v>
      </c>
      <c r="F61" s="15" t="str">
        <f>'Bulk Plant Input'!$A$25</f>
        <v>FWC-2</v>
      </c>
      <c r="G61" s="15" t="str">
        <f>'Bulk Plant Input'!$A$26</f>
        <v>LTR</v>
      </c>
      <c r="H61" s="15" t="str">
        <f>'Bulk Plant Input'!$A$27</f>
        <v>CDF-6P</v>
      </c>
      <c r="I61" s="15" t="str">
        <f>'Bulk Plant Input'!$A$28</f>
        <v>ASM-3</v>
      </c>
      <c r="J61" s="15">
        <f>'Bulk Plant Input'!$A$29</f>
        <v>0</v>
      </c>
      <c r="K61" s="15">
        <f>'Bulk Plant Input'!$A$30</f>
        <v>0</v>
      </c>
      <c r="L61" s="15">
        <f>'Bulk Plant Input'!$A$31</f>
        <v>0</v>
      </c>
      <c r="M61" s="15">
        <f>'Bulk Plant Input'!$A$32</f>
        <v>0</v>
      </c>
      <c r="N61" s="15">
        <f>'Bulk Plant Input'!$A$33</f>
        <v>0</v>
      </c>
      <c r="O61" s="15">
        <f>'Bulk Plant Input'!$A$34</f>
        <v>0</v>
      </c>
      <c r="P61" s="15">
        <f>'Bulk Plant Input'!$A$35</f>
        <v>0</v>
      </c>
      <c r="Q61" s="15">
        <f>'Bulk Plant Input'!$A$36</f>
        <v>0</v>
      </c>
      <c r="R61" s="15">
        <f>'Bulk Plant Input'!$A$37</f>
        <v>0</v>
      </c>
      <c r="S61" s="15">
        <v>1</v>
      </c>
      <c r="U61" s="1"/>
      <c r="V61" s="1"/>
      <c r="W61" s="1"/>
      <c r="X61" s="1"/>
      <c r="Y61" s="1"/>
      <c r="Z61" s="1"/>
      <c r="AA61" s="1"/>
      <c r="AB61" s="1"/>
    </row>
    <row r="62" spans="1:28" ht="15.75" x14ac:dyDescent="0.25">
      <c r="A62" s="120" t="str">
        <f>'Base Blend Property Calculation'!A66</f>
        <v>LDP-C-1616</v>
      </c>
      <c r="B62" s="97">
        <f t="shared" si="0"/>
        <v>0</v>
      </c>
      <c r="C62" s="97">
        <f>COUNTIF('Bulk Plant Input'!$A$23:$A$37,'Base Blend Property Calculation'!BV66)+COUNTIF('Bulk Plant Input'!$A$23:$A$37,'Base Blend Property Calculation'!BW66)+COUNTIF('Bulk Plant Input'!$A$23:$A$37,'Base Blend Property Calculation'!BX66)+COUNTIF('Bulk Plant Input'!$A$23:$A$37,'Base Blend Property Calculation'!BY66)+COUNTIF('Bulk Plant Input'!$A$23:$A$37,'Base Blend Property Calculation'!BZ66)</f>
        <v>0</v>
      </c>
      <c r="D62" s="15" t="str">
        <f>'Bulk Plant Input'!$A$23</f>
        <v>CFR-5</v>
      </c>
      <c r="E62" s="15" t="str">
        <f>'Bulk Plant Input'!$A$24</f>
        <v>CFL-4</v>
      </c>
      <c r="F62" s="15" t="str">
        <f>'Bulk Plant Input'!$A$25</f>
        <v>FWC-2</v>
      </c>
      <c r="G62" s="15" t="str">
        <f>'Bulk Plant Input'!$A$26</f>
        <v>LTR</v>
      </c>
      <c r="H62" s="15" t="str">
        <f>'Bulk Plant Input'!$A$27</f>
        <v>CDF-6P</v>
      </c>
      <c r="I62" s="15" t="str">
        <f>'Bulk Plant Input'!$A$28</f>
        <v>ASM-3</v>
      </c>
      <c r="J62" s="15">
        <f>'Bulk Plant Input'!$A$29</f>
        <v>0</v>
      </c>
      <c r="K62" s="15">
        <f>'Bulk Plant Input'!$A$30</f>
        <v>0</v>
      </c>
      <c r="L62" s="15">
        <f>'Bulk Plant Input'!$A$31</f>
        <v>0</v>
      </c>
      <c r="M62" s="15">
        <f>'Bulk Plant Input'!$A$32</f>
        <v>0</v>
      </c>
      <c r="N62" s="15">
        <f>'Bulk Plant Input'!$A$33</f>
        <v>0</v>
      </c>
      <c r="O62" s="15">
        <f>'Bulk Plant Input'!$A$34</f>
        <v>0</v>
      </c>
      <c r="P62" s="15">
        <f>'Bulk Plant Input'!$A$35</f>
        <v>0</v>
      </c>
      <c r="Q62" s="15">
        <f>'Bulk Plant Input'!$A$36</f>
        <v>0</v>
      </c>
      <c r="R62" s="15">
        <f>'Bulk Plant Input'!$A$37</f>
        <v>0</v>
      </c>
      <c r="S62" s="15">
        <v>1</v>
      </c>
      <c r="U62" s="1"/>
      <c r="V62" s="1"/>
      <c r="W62" s="1"/>
      <c r="X62" s="1"/>
      <c r="Y62" s="1"/>
      <c r="Z62" s="1"/>
      <c r="AA62" s="1"/>
      <c r="AB62" s="1"/>
    </row>
    <row r="63" spans="1:28" ht="15.75" x14ac:dyDescent="0.25">
      <c r="A63" s="120" t="str">
        <f>'Base Blend Property Calculation'!A67</f>
        <v>Litefill 1400 HT</v>
      </c>
      <c r="B63" s="97">
        <f t="shared" si="0"/>
        <v>0</v>
      </c>
      <c r="C63" s="97">
        <f>COUNTIF('Bulk Plant Input'!$A$23:$A$37,'Base Blend Property Calculation'!BV67)+COUNTIF('Bulk Plant Input'!$A$23:$A$37,'Base Blend Property Calculation'!BW67)+COUNTIF('Bulk Plant Input'!$A$23:$A$37,'Base Blend Property Calculation'!BX67)+COUNTIF('Bulk Plant Input'!$A$23:$A$37,'Base Blend Property Calculation'!BY67)+COUNTIF('Bulk Plant Input'!$A$23:$A$37,'Base Blend Property Calculation'!BZ67)</f>
        <v>0</v>
      </c>
      <c r="D63" s="15" t="str">
        <f>'Bulk Plant Input'!$A$23</f>
        <v>CFR-5</v>
      </c>
      <c r="E63" s="15" t="str">
        <f>'Bulk Plant Input'!$A$24</f>
        <v>CFL-4</v>
      </c>
      <c r="F63" s="15" t="str">
        <f>'Bulk Plant Input'!$A$25</f>
        <v>FWC-2</v>
      </c>
      <c r="G63" s="15" t="str">
        <f>'Bulk Plant Input'!$A$26</f>
        <v>LTR</v>
      </c>
      <c r="H63" s="15" t="str">
        <f>'Bulk Plant Input'!$A$27</f>
        <v>CDF-6P</v>
      </c>
      <c r="I63" s="15" t="str">
        <f>'Bulk Plant Input'!$A$28</f>
        <v>ASM-3</v>
      </c>
      <c r="J63" s="15">
        <f>'Bulk Plant Input'!$A$29</f>
        <v>0</v>
      </c>
      <c r="K63" s="15">
        <f>'Bulk Plant Input'!$A$30</f>
        <v>0</v>
      </c>
      <c r="L63" s="15">
        <f>'Bulk Plant Input'!$A$31</f>
        <v>0</v>
      </c>
      <c r="M63" s="15">
        <f>'Bulk Plant Input'!$A$32</f>
        <v>0</v>
      </c>
      <c r="N63" s="15">
        <f>'Bulk Plant Input'!$A$33</f>
        <v>0</v>
      </c>
      <c r="O63" s="15">
        <f>'Bulk Plant Input'!$A$34</f>
        <v>0</v>
      </c>
      <c r="P63" s="15">
        <f>'Bulk Plant Input'!$A$35</f>
        <v>0</v>
      </c>
      <c r="Q63" s="15">
        <f>'Bulk Plant Input'!$A$36</f>
        <v>0</v>
      </c>
      <c r="R63" s="15">
        <f>'Bulk Plant Input'!$A$37</f>
        <v>0</v>
      </c>
      <c r="S63" s="15">
        <v>0</v>
      </c>
      <c r="U63" s="1"/>
      <c r="V63" s="1"/>
      <c r="W63" s="1"/>
      <c r="X63" s="1"/>
      <c r="Y63" s="1"/>
      <c r="Z63" s="1"/>
      <c r="AA63" s="1"/>
      <c r="AB63" s="1"/>
    </row>
    <row r="64" spans="1:28" ht="15.75" x14ac:dyDescent="0.25">
      <c r="A64" s="120" t="str">
        <f>'Base Blend Property Calculation'!A68</f>
        <v>Litefill 1400 LT</v>
      </c>
      <c r="B64" s="97">
        <f t="shared" si="0"/>
        <v>0</v>
      </c>
      <c r="C64" s="97">
        <f>COUNTIF('Bulk Plant Input'!$A$23:$A$37,'Base Blend Property Calculation'!BV68)+COUNTIF('Bulk Plant Input'!$A$23:$A$37,'Base Blend Property Calculation'!BW68)+COUNTIF('Bulk Plant Input'!$A$23:$A$37,'Base Blend Property Calculation'!BX68)+COUNTIF('Bulk Plant Input'!$A$23:$A$37,'Base Blend Property Calculation'!BY68)+COUNTIF('Bulk Plant Input'!$A$23:$A$37,'Base Blend Property Calculation'!BZ68)</f>
        <v>0</v>
      </c>
      <c r="D64" s="15" t="str">
        <f>'Bulk Plant Input'!$A$23</f>
        <v>CFR-5</v>
      </c>
      <c r="E64" s="15" t="str">
        <f>'Bulk Plant Input'!$A$24</f>
        <v>CFL-4</v>
      </c>
      <c r="F64" s="15" t="str">
        <f>'Bulk Plant Input'!$A$25</f>
        <v>FWC-2</v>
      </c>
      <c r="G64" s="15" t="str">
        <f>'Bulk Plant Input'!$A$26</f>
        <v>LTR</v>
      </c>
      <c r="H64" s="15" t="str">
        <f>'Bulk Plant Input'!$A$27</f>
        <v>CDF-6P</v>
      </c>
      <c r="I64" s="15" t="str">
        <f>'Bulk Plant Input'!$A$28</f>
        <v>ASM-3</v>
      </c>
      <c r="J64" s="15">
        <f>'Bulk Plant Input'!$A$29</f>
        <v>0</v>
      </c>
      <c r="K64" s="15">
        <f>'Bulk Plant Input'!$A$30</f>
        <v>0</v>
      </c>
      <c r="L64" s="15">
        <f>'Bulk Plant Input'!$A$31</f>
        <v>0</v>
      </c>
      <c r="M64" s="15">
        <f>'Bulk Plant Input'!$A$32</f>
        <v>0</v>
      </c>
      <c r="N64" s="15">
        <f>'Bulk Plant Input'!$A$33</f>
        <v>0</v>
      </c>
      <c r="O64" s="15">
        <f>'Bulk Plant Input'!$A$34</f>
        <v>0</v>
      </c>
      <c r="P64" s="15">
        <f>'Bulk Plant Input'!$A$35</f>
        <v>0</v>
      </c>
      <c r="Q64" s="15">
        <f>'Bulk Plant Input'!$A$36</f>
        <v>0</v>
      </c>
      <c r="R64" s="15">
        <f>'Bulk Plant Input'!$A$37</f>
        <v>0</v>
      </c>
      <c r="S64" s="15">
        <v>0</v>
      </c>
      <c r="U64" s="1"/>
      <c r="V64" s="1"/>
      <c r="W64" s="1"/>
      <c r="X64" s="1"/>
      <c r="Y64" s="1"/>
      <c r="Z64" s="1"/>
      <c r="AA64" s="1"/>
      <c r="AB64" s="1"/>
    </row>
    <row r="65" spans="1:28" ht="15.75" x14ac:dyDescent="0.25">
      <c r="A65" s="120" t="str">
        <f>'Base Blend Property Calculation'!A69</f>
        <v>Litefill 1400 MT</v>
      </c>
      <c r="B65" s="97">
        <f t="shared" si="0"/>
        <v>0</v>
      </c>
      <c r="C65" s="97">
        <f>COUNTIF('Bulk Plant Input'!$A$23:$A$37,'Base Blend Property Calculation'!BV69)+COUNTIF('Bulk Plant Input'!$A$23:$A$37,'Base Blend Property Calculation'!BW69)+COUNTIF('Bulk Plant Input'!$A$23:$A$37,'Base Blend Property Calculation'!BX69)+COUNTIF('Bulk Plant Input'!$A$23:$A$37,'Base Blend Property Calculation'!BY69)+COUNTIF('Bulk Plant Input'!$A$23:$A$37,'Base Blend Property Calculation'!BZ69)</f>
        <v>0</v>
      </c>
      <c r="D65" s="15" t="str">
        <f>'Bulk Plant Input'!$A$23</f>
        <v>CFR-5</v>
      </c>
      <c r="E65" s="15" t="str">
        <f>'Bulk Plant Input'!$A$24</f>
        <v>CFL-4</v>
      </c>
      <c r="F65" s="15" t="str">
        <f>'Bulk Plant Input'!$A$25</f>
        <v>FWC-2</v>
      </c>
      <c r="G65" s="15" t="str">
        <f>'Bulk Plant Input'!$A$26</f>
        <v>LTR</v>
      </c>
      <c r="H65" s="15" t="str">
        <f>'Bulk Plant Input'!$A$27</f>
        <v>CDF-6P</v>
      </c>
      <c r="I65" s="15" t="str">
        <f>'Bulk Plant Input'!$A$28</f>
        <v>ASM-3</v>
      </c>
      <c r="J65" s="15">
        <f>'Bulk Plant Input'!$A$29</f>
        <v>0</v>
      </c>
      <c r="K65" s="15">
        <f>'Bulk Plant Input'!$A$30</f>
        <v>0</v>
      </c>
      <c r="L65" s="15">
        <f>'Bulk Plant Input'!$A$31</f>
        <v>0</v>
      </c>
      <c r="M65" s="15">
        <f>'Bulk Plant Input'!$A$32</f>
        <v>0</v>
      </c>
      <c r="N65" s="15">
        <f>'Bulk Plant Input'!$A$33</f>
        <v>0</v>
      </c>
      <c r="O65" s="15">
        <f>'Bulk Plant Input'!$A$34</f>
        <v>0</v>
      </c>
      <c r="P65" s="15">
        <f>'Bulk Plant Input'!$A$35</f>
        <v>0</v>
      </c>
      <c r="Q65" s="15">
        <f>'Bulk Plant Input'!$A$36</f>
        <v>0</v>
      </c>
      <c r="R65" s="15">
        <f>'Bulk Plant Input'!$A$37</f>
        <v>0</v>
      </c>
      <c r="S65" s="15">
        <v>0</v>
      </c>
      <c r="U65" s="1"/>
      <c r="V65" s="1"/>
      <c r="W65" s="1"/>
      <c r="X65" s="1"/>
      <c r="Y65" s="1"/>
      <c r="Z65" s="1"/>
      <c r="AA65" s="1"/>
      <c r="AB65" s="1"/>
    </row>
    <row r="66" spans="1:28" ht="15.75" x14ac:dyDescent="0.25">
      <c r="A66" s="120" t="str">
        <f>'Base Blend Property Calculation'!A70</f>
        <v>Litefill 1450 HT</v>
      </c>
      <c r="B66" s="97">
        <f t="shared" si="0"/>
        <v>0</v>
      </c>
      <c r="C66" s="97">
        <f>COUNTIF('Bulk Plant Input'!$A$23:$A$37,'Base Blend Property Calculation'!BV70)+COUNTIF('Bulk Plant Input'!$A$23:$A$37,'Base Blend Property Calculation'!BW70)+COUNTIF('Bulk Plant Input'!$A$23:$A$37,'Base Blend Property Calculation'!BX70)+COUNTIF('Bulk Plant Input'!$A$23:$A$37,'Base Blend Property Calculation'!BY70)+COUNTIF('Bulk Plant Input'!$A$23:$A$37,'Base Blend Property Calculation'!BZ70)</f>
        <v>0</v>
      </c>
      <c r="D66" s="15" t="str">
        <f>'Bulk Plant Input'!$A$23</f>
        <v>CFR-5</v>
      </c>
      <c r="E66" s="15" t="str">
        <f>'Bulk Plant Input'!$A$24</f>
        <v>CFL-4</v>
      </c>
      <c r="F66" s="15" t="str">
        <f>'Bulk Plant Input'!$A$25</f>
        <v>FWC-2</v>
      </c>
      <c r="G66" s="15" t="str">
        <f>'Bulk Plant Input'!$A$26</f>
        <v>LTR</v>
      </c>
      <c r="H66" s="15" t="str">
        <f>'Bulk Plant Input'!$A$27</f>
        <v>CDF-6P</v>
      </c>
      <c r="I66" s="15" t="str">
        <f>'Bulk Plant Input'!$A$28</f>
        <v>ASM-3</v>
      </c>
      <c r="J66" s="15">
        <f>'Bulk Plant Input'!$A$29</f>
        <v>0</v>
      </c>
      <c r="K66" s="15">
        <f>'Bulk Plant Input'!$A$30</f>
        <v>0</v>
      </c>
      <c r="L66" s="15">
        <f>'Bulk Plant Input'!$A$31</f>
        <v>0</v>
      </c>
      <c r="M66" s="15">
        <f>'Bulk Plant Input'!$A$32</f>
        <v>0</v>
      </c>
      <c r="N66" s="15">
        <f>'Bulk Plant Input'!$A$33</f>
        <v>0</v>
      </c>
      <c r="O66" s="15">
        <f>'Bulk Plant Input'!$A$34</f>
        <v>0</v>
      </c>
      <c r="P66" s="15">
        <f>'Bulk Plant Input'!$A$35</f>
        <v>0</v>
      </c>
      <c r="Q66" s="15">
        <f>'Bulk Plant Input'!$A$36</f>
        <v>0</v>
      </c>
      <c r="R66" s="15">
        <f>'Bulk Plant Input'!$A$37</f>
        <v>0</v>
      </c>
      <c r="S66" s="15">
        <v>0</v>
      </c>
      <c r="U66" s="1"/>
      <c r="V66" s="1"/>
      <c r="W66" s="1"/>
      <c r="X66" s="1"/>
      <c r="Y66" s="1"/>
      <c r="Z66" s="1"/>
      <c r="AA66" s="1"/>
      <c r="AB66" s="1"/>
    </row>
    <row r="67" spans="1:28" ht="15.75" x14ac:dyDescent="0.25">
      <c r="A67" s="120" t="str">
        <f>'Base Blend Property Calculation'!A71</f>
        <v>Litefill 1450 LT</v>
      </c>
      <c r="B67" s="97">
        <f t="shared" si="0"/>
        <v>0</v>
      </c>
      <c r="C67" s="97">
        <f>COUNTIF('Bulk Plant Input'!$A$23:$A$37,'Base Blend Property Calculation'!BV71)+COUNTIF('Bulk Plant Input'!$A$23:$A$37,'Base Blend Property Calculation'!BW71)+COUNTIF('Bulk Plant Input'!$A$23:$A$37,'Base Blend Property Calculation'!BX71)+COUNTIF('Bulk Plant Input'!$A$23:$A$37,'Base Blend Property Calculation'!BY71)+COUNTIF('Bulk Plant Input'!$A$23:$A$37,'Base Blend Property Calculation'!BZ71)</f>
        <v>0</v>
      </c>
      <c r="D67" s="15" t="str">
        <f>'Bulk Plant Input'!$A$23</f>
        <v>CFR-5</v>
      </c>
      <c r="E67" s="15" t="str">
        <f>'Bulk Plant Input'!$A$24</f>
        <v>CFL-4</v>
      </c>
      <c r="F67" s="15" t="str">
        <f>'Bulk Plant Input'!$A$25</f>
        <v>FWC-2</v>
      </c>
      <c r="G67" s="15" t="str">
        <f>'Bulk Plant Input'!$A$26</f>
        <v>LTR</v>
      </c>
      <c r="H67" s="15" t="str">
        <f>'Bulk Plant Input'!$A$27</f>
        <v>CDF-6P</v>
      </c>
      <c r="I67" s="15" t="str">
        <f>'Bulk Plant Input'!$A$28</f>
        <v>ASM-3</v>
      </c>
      <c r="J67" s="15">
        <f>'Bulk Plant Input'!$A$29</f>
        <v>0</v>
      </c>
      <c r="K67" s="15">
        <f>'Bulk Plant Input'!$A$30</f>
        <v>0</v>
      </c>
      <c r="L67" s="15">
        <f>'Bulk Plant Input'!$A$31</f>
        <v>0</v>
      </c>
      <c r="M67" s="15">
        <f>'Bulk Plant Input'!$A$32</f>
        <v>0</v>
      </c>
      <c r="N67" s="15">
        <f>'Bulk Plant Input'!$A$33</f>
        <v>0</v>
      </c>
      <c r="O67" s="15">
        <f>'Bulk Plant Input'!$A$34</f>
        <v>0</v>
      </c>
      <c r="P67" s="15">
        <f>'Bulk Plant Input'!$A$35</f>
        <v>0</v>
      </c>
      <c r="Q67" s="15">
        <f>'Bulk Plant Input'!$A$36</f>
        <v>0</v>
      </c>
      <c r="R67" s="15">
        <f>'Bulk Plant Input'!$A$37</f>
        <v>0</v>
      </c>
      <c r="S67" s="15">
        <v>0</v>
      </c>
      <c r="U67" s="1"/>
      <c r="V67" s="1"/>
      <c r="W67" s="1"/>
      <c r="X67" s="1"/>
      <c r="Y67" s="1"/>
      <c r="Z67" s="1"/>
      <c r="AA67" s="1"/>
      <c r="AB67" s="1"/>
    </row>
    <row r="68" spans="1:28" ht="15.75" x14ac:dyDescent="0.25">
      <c r="A68" s="120" t="str">
        <f>'Base Blend Property Calculation'!A72</f>
        <v>Litefill 1450 MT</v>
      </c>
      <c r="B68" s="97">
        <f t="shared" ref="B68:B131" si="1">IF(C68=0,0,1)</f>
        <v>0</v>
      </c>
      <c r="C68" s="97">
        <f>COUNTIF('Bulk Plant Input'!$A$23:$A$37,'Base Blend Property Calculation'!BV72)+COUNTIF('Bulk Plant Input'!$A$23:$A$37,'Base Blend Property Calculation'!BW72)+COUNTIF('Bulk Plant Input'!$A$23:$A$37,'Base Blend Property Calculation'!BX72)+COUNTIF('Bulk Plant Input'!$A$23:$A$37,'Base Blend Property Calculation'!BY72)+COUNTIF('Bulk Plant Input'!$A$23:$A$37,'Base Blend Property Calculation'!BZ72)</f>
        <v>0</v>
      </c>
      <c r="D68" s="15" t="str">
        <f>'Bulk Plant Input'!$A$23</f>
        <v>CFR-5</v>
      </c>
      <c r="E68" s="15" t="str">
        <f>'Bulk Plant Input'!$A$24</f>
        <v>CFL-4</v>
      </c>
      <c r="F68" s="15" t="str">
        <f>'Bulk Plant Input'!$A$25</f>
        <v>FWC-2</v>
      </c>
      <c r="G68" s="15" t="str">
        <f>'Bulk Plant Input'!$A$26</f>
        <v>LTR</v>
      </c>
      <c r="H68" s="15" t="str">
        <f>'Bulk Plant Input'!$A$27</f>
        <v>CDF-6P</v>
      </c>
      <c r="I68" s="15" t="str">
        <f>'Bulk Plant Input'!$A$28</f>
        <v>ASM-3</v>
      </c>
      <c r="J68" s="15">
        <f>'Bulk Plant Input'!$A$29</f>
        <v>0</v>
      </c>
      <c r="K68" s="15">
        <f>'Bulk Plant Input'!$A$30</f>
        <v>0</v>
      </c>
      <c r="L68" s="15">
        <f>'Bulk Plant Input'!$A$31</f>
        <v>0</v>
      </c>
      <c r="M68" s="15">
        <f>'Bulk Plant Input'!$A$32</f>
        <v>0</v>
      </c>
      <c r="N68" s="15">
        <f>'Bulk Plant Input'!$A$33</f>
        <v>0</v>
      </c>
      <c r="O68" s="15">
        <f>'Bulk Plant Input'!$A$34</f>
        <v>0</v>
      </c>
      <c r="P68" s="15">
        <f>'Bulk Plant Input'!$A$35</f>
        <v>0</v>
      </c>
      <c r="Q68" s="15">
        <f>'Bulk Plant Input'!$A$36</f>
        <v>0</v>
      </c>
      <c r="R68" s="15">
        <f>'Bulk Plant Input'!$A$37</f>
        <v>0</v>
      </c>
      <c r="S68" s="15">
        <v>0</v>
      </c>
      <c r="U68" s="1"/>
      <c r="V68" s="1"/>
      <c r="W68" s="1"/>
      <c r="X68" s="1"/>
      <c r="Y68" s="1"/>
      <c r="Z68" s="1"/>
      <c r="AA68" s="1"/>
      <c r="AB68" s="1"/>
    </row>
    <row r="69" spans="1:28" ht="15.75" x14ac:dyDescent="0.25">
      <c r="A69" s="120" t="str">
        <f>'Base Blend Property Calculation'!A73</f>
        <v>Litefill 1500 HT</v>
      </c>
      <c r="B69" s="97">
        <f t="shared" si="1"/>
        <v>0</v>
      </c>
      <c r="C69" s="97">
        <f>COUNTIF('Bulk Plant Input'!$A$23:$A$37,'Base Blend Property Calculation'!BV73)+COUNTIF('Bulk Plant Input'!$A$23:$A$37,'Base Blend Property Calculation'!BW73)+COUNTIF('Bulk Plant Input'!$A$23:$A$37,'Base Blend Property Calculation'!BX73)+COUNTIF('Bulk Plant Input'!$A$23:$A$37,'Base Blend Property Calculation'!BY73)+COUNTIF('Bulk Plant Input'!$A$23:$A$37,'Base Blend Property Calculation'!BZ73)</f>
        <v>0</v>
      </c>
      <c r="D69" s="15" t="str">
        <f>'Bulk Plant Input'!$A$23</f>
        <v>CFR-5</v>
      </c>
      <c r="E69" s="15" t="str">
        <f>'Bulk Plant Input'!$A$24</f>
        <v>CFL-4</v>
      </c>
      <c r="F69" s="15" t="str">
        <f>'Bulk Plant Input'!$A$25</f>
        <v>FWC-2</v>
      </c>
      <c r="G69" s="15" t="str">
        <f>'Bulk Plant Input'!$A$26</f>
        <v>LTR</v>
      </c>
      <c r="H69" s="15" t="str">
        <f>'Bulk Plant Input'!$A$27</f>
        <v>CDF-6P</v>
      </c>
      <c r="I69" s="15" t="str">
        <f>'Bulk Plant Input'!$A$28</f>
        <v>ASM-3</v>
      </c>
      <c r="J69" s="15">
        <f>'Bulk Plant Input'!$A$29</f>
        <v>0</v>
      </c>
      <c r="K69" s="15">
        <f>'Bulk Plant Input'!$A$30</f>
        <v>0</v>
      </c>
      <c r="L69" s="15">
        <f>'Bulk Plant Input'!$A$31</f>
        <v>0</v>
      </c>
      <c r="M69" s="15">
        <f>'Bulk Plant Input'!$A$32</f>
        <v>0</v>
      </c>
      <c r="N69" s="15">
        <f>'Bulk Plant Input'!$A$33</f>
        <v>0</v>
      </c>
      <c r="O69" s="15">
        <f>'Bulk Plant Input'!$A$34</f>
        <v>0</v>
      </c>
      <c r="P69" s="15">
        <f>'Bulk Plant Input'!$A$35</f>
        <v>0</v>
      </c>
      <c r="Q69" s="15">
        <f>'Bulk Plant Input'!$A$36</f>
        <v>0</v>
      </c>
      <c r="R69" s="15">
        <f>'Bulk Plant Input'!$A$37</f>
        <v>0</v>
      </c>
      <c r="S69" s="15">
        <v>0</v>
      </c>
      <c r="U69" s="1"/>
      <c r="V69" s="1"/>
      <c r="W69" s="1"/>
      <c r="X69" s="1"/>
      <c r="Y69" s="1"/>
      <c r="Z69" s="1"/>
      <c r="AA69" s="1"/>
      <c r="AB69" s="1"/>
    </row>
    <row r="70" spans="1:28" ht="15.75" x14ac:dyDescent="0.25">
      <c r="A70" s="120" t="str">
        <f>'Base Blend Property Calculation'!A74</f>
        <v>Litefill 1500 LT</v>
      </c>
      <c r="B70" s="97">
        <f t="shared" si="1"/>
        <v>0</v>
      </c>
      <c r="C70" s="97">
        <f>COUNTIF('Bulk Plant Input'!$A$23:$A$37,'Base Blend Property Calculation'!BV74)+COUNTIF('Bulk Plant Input'!$A$23:$A$37,'Base Blend Property Calculation'!BW74)+COUNTIF('Bulk Plant Input'!$A$23:$A$37,'Base Blend Property Calculation'!BX74)+COUNTIF('Bulk Plant Input'!$A$23:$A$37,'Base Blend Property Calculation'!BY74)+COUNTIF('Bulk Plant Input'!$A$23:$A$37,'Base Blend Property Calculation'!BZ74)</f>
        <v>0</v>
      </c>
      <c r="D70" s="15" t="str">
        <f>'Bulk Plant Input'!$A$23</f>
        <v>CFR-5</v>
      </c>
      <c r="E70" s="15" t="str">
        <f>'Bulk Plant Input'!$A$24</f>
        <v>CFL-4</v>
      </c>
      <c r="F70" s="15" t="str">
        <f>'Bulk Plant Input'!$A$25</f>
        <v>FWC-2</v>
      </c>
      <c r="G70" s="15" t="str">
        <f>'Bulk Plant Input'!$A$26</f>
        <v>LTR</v>
      </c>
      <c r="H70" s="15" t="str">
        <f>'Bulk Plant Input'!$A$27</f>
        <v>CDF-6P</v>
      </c>
      <c r="I70" s="15" t="str">
        <f>'Bulk Plant Input'!$A$28</f>
        <v>ASM-3</v>
      </c>
      <c r="J70" s="15">
        <f>'Bulk Plant Input'!$A$29</f>
        <v>0</v>
      </c>
      <c r="K70" s="15">
        <f>'Bulk Plant Input'!$A$30</f>
        <v>0</v>
      </c>
      <c r="L70" s="15">
        <f>'Bulk Plant Input'!$A$31</f>
        <v>0</v>
      </c>
      <c r="M70" s="15">
        <f>'Bulk Plant Input'!$A$32</f>
        <v>0</v>
      </c>
      <c r="N70" s="15">
        <f>'Bulk Plant Input'!$A$33</f>
        <v>0</v>
      </c>
      <c r="O70" s="15">
        <f>'Bulk Plant Input'!$A$34</f>
        <v>0</v>
      </c>
      <c r="P70" s="15">
        <f>'Bulk Plant Input'!$A$35</f>
        <v>0</v>
      </c>
      <c r="Q70" s="15">
        <f>'Bulk Plant Input'!$A$36</f>
        <v>0</v>
      </c>
      <c r="R70" s="15">
        <f>'Bulk Plant Input'!$A$37</f>
        <v>0</v>
      </c>
      <c r="S70" s="15">
        <v>0</v>
      </c>
      <c r="U70" s="1"/>
      <c r="V70" s="1"/>
      <c r="W70" s="1"/>
      <c r="X70" s="1"/>
      <c r="Y70" s="1"/>
      <c r="Z70" s="1"/>
      <c r="AA70" s="1"/>
      <c r="AB70" s="1"/>
    </row>
    <row r="71" spans="1:28" ht="15.75" x14ac:dyDescent="0.25">
      <c r="A71" s="120" t="str">
        <f>'Base Blend Property Calculation'!A75</f>
        <v>Litefill 1500 MT</v>
      </c>
      <c r="B71" s="97">
        <f t="shared" si="1"/>
        <v>0</v>
      </c>
      <c r="C71" s="97">
        <f>COUNTIF('Bulk Plant Input'!$A$23:$A$37,'Base Blend Property Calculation'!BV75)+COUNTIF('Bulk Plant Input'!$A$23:$A$37,'Base Blend Property Calculation'!BW75)+COUNTIF('Bulk Plant Input'!$A$23:$A$37,'Base Blend Property Calculation'!BX75)+COUNTIF('Bulk Plant Input'!$A$23:$A$37,'Base Blend Property Calculation'!BY75)+COUNTIF('Bulk Plant Input'!$A$23:$A$37,'Base Blend Property Calculation'!BZ75)</f>
        <v>0</v>
      </c>
      <c r="D71" s="15" t="str">
        <f>'Bulk Plant Input'!$A$23</f>
        <v>CFR-5</v>
      </c>
      <c r="E71" s="15" t="str">
        <f>'Bulk Plant Input'!$A$24</f>
        <v>CFL-4</v>
      </c>
      <c r="F71" s="15" t="str">
        <f>'Bulk Plant Input'!$A$25</f>
        <v>FWC-2</v>
      </c>
      <c r="G71" s="15" t="str">
        <f>'Bulk Plant Input'!$A$26</f>
        <v>LTR</v>
      </c>
      <c r="H71" s="15" t="str">
        <f>'Bulk Plant Input'!$A$27</f>
        <v>CDF-6P</v>
      </c>
      <c r="I71" s="15" t="str">
        <f>'Bulk Plant Input'!$A$28</f>
        <v>ASM-3</v>
      </c>
      <c r="J71" s="15">
        <f>'Bulk Plant Input'!$A$29</f>
        <v>0</v>
      </c>
      <c r="K71" s="15">
        <f>'Bulk Plant Input'!$A$30</f>
        <v>0</v>
      </c>
      <c r="L71" s="15">
        <f>'Bulk Plant Input'!$A$31</f>
        <v>0</v>
      </c>
      <c r="M71" s="15">
        <f>'Bulk Plant Input'!$A$32</f>
        <v>0</v>
      </c>
      <c r="N71" s="15">
        <f>'Bulk Plant Input'!$A$33</f>
        <v>0</v>
      </c>
      <c r="O71" s="15">
        <f>'Bulk Plant Input'!$A$34</f>
        <v>0</v>
      </c>
      <c r="P71" s="15">
        <f>'Bulk Plant Input'!$A$35</f>
        <v>0</v>
      </c>
      <c r="Q71" s="15">
        <f>'Bulk Plant Input'!$A$36</f>
        <v>0</v>
      </c>
      <c r="R71" s="15">
        <f>'Bulk Plant Input'!$A$37</f>
        <v>0</v>
      </c>
      <c r="S71" s="15">
        <v>0</v>
      </c>
      <c r="U71" s="1"/>
      <c r="V71" s="1"/>
      <c r="W71" s="1"/>
      <c r="X71" s="1"/>
      <c r="Y71" s="1"/>
      <c r="Z71" s="1"/>
      <c r="AA71" s="1"/>
      <c r="AB71" s="1"/>
    </row>
    <row r="72" spans="1:28" ht="15.75" x14ac:dyDescent="0.25">
      <c r="A72" s="120" t="str">
        <f>'Base Blend Property Calculation'!A76</f>
        <v>Litefill 1550 HT</v>
      </c>
      <c r="B72" s="97">
        <f t="shared" si="1"/>
        <v>0</v>
      </c>
      <c r="C72" s="97">
        <f>COUNTIF('Bulk Plant Input'!$A$23:$A$37,'Base Blend Property Calculation'!BV76)+COUNTIF('Bulk Plant Input'!$A$23:$A$37,'Base Blend Property Calculation'!BW76)+COUNTIF('Bulk Plant Input'!$A$23:$A$37,'Base Blend Property Calculation'!BX76)+COUNTIF('Bulk Plant Input'!$A$23:$A$37,'Base Blend Property Calculation'!BY76)+COUNTIF('Bulk Plant Input'!$A$23:$A$37,'Base Blend Property Calculation'!BZ76)</f>
        <v>0</v>
      </c>
      <c r="D72" s="15" t="str">
        <f>'Bulk Plant Input'!$A$23</f>
        <v>CFR-5</v>
      </c>
      <c r="E72" s="15" t="str">
        <f>'Bulk Plant Input'!$A$24</f>
        <v>CFL-4</v>
      </c>
      <c r="F72" s="15" t="str">
        <f>'Bulk Plant Input'!$A$25</f>
        <v>FWC-2</v>
      </c>
      <c r="G72" s="15" t="str">
        <f>'Bulk Plant Input'!$A$26</f>
        <v>LTR</v>
      </c>
      <c r="H72" s="15" t="str">
        <f>'Bulk Plant Input'!$A$27</f>
        <v>CDF-6P</v>
      </c>
      <c r="I72" s="15" t="str">
        <f>'Bulk Plant Input'!$A$28</f>
        <v>ASM-3</v>
      </c>
      <c r="J72" s="15">
        <f>'Bulk Plant Input'!$A$29</f>
        <v>0</v>
      </c>
      <c r="K72" s="15">
        <f>'Bulk Plant Input'!$A$30</f>
        <v>0</v>
      </c>
      <c r="L72" s="15">
        <f>'Bulk Plant Input'!$A$31</f>
        <v>0</v>
      </c>
      <c r="M72" s="15">
        <f>'Bulk Plant Input'!$A$32</f>
        <v>0</v>
      </c>
      <c r="N72" s="15">
        <f>'Bulk Plant Input'!$A$33</f>
        <v>0</v>
      </c>
      <c r="O72" s="15">
        <f>'Bulk Plant Input'!$A$34</f>
        <v>0</v>
      </c>
      <c r="P72" s="15">
        <f>'Bulk Plant Input'!$A$35</f>
        <v>0</v>
      </c>
      <c r="Q72" s="15">
        <f>'Bulk Plant Input'!$A$36</f>
        <v>0</v>
      </c>
      <c r="R72" s="15">
        <f>'Bulk Plant Input'!$A$37</f>
        <v>0</v>
      </c>
      <c r="S72" s="15">
        <v>0</v>
      </c>
      <c r="U72" s="1"/>
      <c r="V72" s="1"/>
      <c r="W72" s="1"/>
      <c r="X72" s="1"/>
      <c r="Y72" s="1"/>
      <c r="Z72" s="1"/>
      <c r="AA72" s="1"/>
      <c r="AB72" s="1"/>
    </row>
    <row r="73" spans="1:28" ht="15.75" x14ac:dyDescent="0.25">
      <c r="A73" s="120" t="str">
        <f>'Base Blend Property Calculation'!A77</f>
        <v>Litefill 1550 LT</v>
      </c>
      <c r="B73" s="97">
        <f t="shared" si="1"/>
        <v>0</v>
      </c>
      <c r="C73" s="97">
        <f>COUNTIF('Bulk Plant Input'!$A$23:$A$37,'Base Blend Property Calculation'!BV77)+COUNTIF('Bulk Plant Input'!$A$23:$A$37,'Base Blend Property Calculation'!BW77)+COUNTIF('Bulk Plant Input'!$A$23:$A$37,'Base Blend Property Calculation'!BX77)+COUNTIF('Bulk Plant Input'!$A$23:$A$37,'Base Blend Property Calculation'!BY77)+COUNTIF('Bulk Plant Input'!$A$23:$A$37,'Base Blend Property Calculation'!BZ77)</f>
        <v>0</v>
      </c>
      <c r="D73" s="15" t="str">
        <f>'Bulk Plant Input'!$A$23</f>
        <v>CFR-5</v>
      </c>
      <c r="E73" s="15" t="str">
        <f>'Bulk Plant Input'!$A$24</f>
        <v>CFL-4</v>
      </c>
      <c r="F73" s="15" t="str">
        <f>'Bulk Plant Input'!$A$25</f>
        <v>FWC-2</v>
      </c>
      <c r="G73" s="15" t="str">
        <f>'Bulk Plant Input'!$A$26</f>
        <v>LTR</v>
      </c>
      <c r="H73" s="15" t="str">
        <f>'Bulk Plant Input'!$A$27</f>
        <v>CDF-6P</v>
      </c>
      <c r="I73" s="15" t="str">
        <f>'Bulk Plant Input'!$A$28</f>
        <v>ASM-3</v>
      </c>
      <c r="J73" s="15">
        <f>'Bulk Plant Input'!$A$29</f>
        <v>0</v>
      </c>
      <c r="K73" s="15">
        <f>'Bulk Plant Input'!$A$30</f>
        <v>0</v>
      </c>
      <c r="L73" s="15">
        <f>'Bulk Plant Input'!$A$31</f>
        <v>0</v>
      </c>
      <c r="M73" s="15">
        <f>'Bulk Plant Input'!$A$32</f>
        <v>0</v>
      </c>
      <c r="N73" s="15">
        <f>'Bulk Plant Input'!$A$33</f>
        <v>0</v>
      </c>
      <c r="O73" s="15">
        <f>'Bulk Plant Input'!$A$34</f>
        <v>0</v>
      </c>
      <c r="P73" s="15">
        <f>'Bulk Plant Input'!$A$35</f>
        <v>0</v>
      </c>
      <c r="Q73" s="15">
        <f>'Bulk Plant Input'!$A$36</f>
        <v>0</v>
      </c>
      <c r="R73" s="15">
        <f>'Bulk Plant Input'!$A$37</f>
        <v>0</v>
      </c>
      <c r="S73" s="15">
        <v>0</v>
      </c>
      <c r="U73" s="1"/>
      <c r="V73" s="1"/>
      <c r="W73" s="1"/>
      <c r="X73" s="1"/>
      <c r="Y73" s="1"/>
      <c r="Z73" s="1"/>
      <c r="AA73" s="1"/>
      <c r="AB73" s="1"/>
    </row>
    <row r="74" spans="1:28" ht="15.75" x14ac:dyDescent="0.25">
      <c r="A74" s="120" t="str">
        <f>'Base Blend Property Calculation'!A78</f>
        <v>Litefill 1550 MT</v>
      </c>
      <c r="B74" s="97">
        <f t="shared" si="1"/>
        <v>0</v>
      </c>
      <c r="C74" s="97">
        <f>COUNTIF('Bulk Plant Input'!$A$23:$A$37,'Base Blend Property Calculation'!BV78)+COUNTIF('Bulk Plant Input'!$A$23:$A$37,'Base Blend Property Calculation'!BW78)+COUNTIF('Bulk Plant Input'!$A$23:$A$37,'Base Blend Property Calculation'!BX78)+COUNTIF('Bulk Plant Input'!$A$23:$A$37,'Base Blend Property Calculation'!BY78)+COUNTIF('Bulk Plant Input'!$A$23:$A$37,'Base Blend Property Calculation'!BZ78)</f>
        <v>0</v>
      </c>
      <c r="D74" s="15" t="str">
        <f>'Bulk Plant Input'!$A$23</f>
        <v>CFR-5</v>
      </c>
      <c r="E74" s="15" t="str">
        <f>'Bulk Plant Input'!$A$24</f>
        <v>CFL-4</v>
      </c>
      <c r="F74" s="15" t="str">
        <f>'Bulk Plant Input'!$A$25</f>
        <v>FWC-2</v>
      </c>
      <c r="G74" s="15" t="str">
        <f>'Bulk Plant Input'!$A$26</f>
        <v>LTR</v>
      </c>
      <c r="H74" s="15" t="str">
        <f>'Bulk Plant Input'!$A$27</f>
        <v>CDF-6P</v>
      </c>
      <c r="I74" s="15" t="str">
        <f>'Bulk Plant Input'!$A$28</f>
        <v>ASM-3</v>
      </c>
      <c r="J74" s="15">
        <f>'Bulk Plant Input'!$A$29</f>
        <v>0</v>
      </c>
      <c r="K74" s="15">
        <f>'Bulk Plant Input'!$A$30</f>
        <v>0</v>
      </c>
      <c r="L74" s="15">
        <f>'Bulk Plant Input'!$A$31</f>
        <v>0</v>
      </c>
      <c r="M74" s="15">
        <f>'Bulk Plant Input'!$A$32</f>
        <v>0</v>
      </c>
      <c r="N74" s="15">
        <f>'Bulk Plant Input'!$A$33</f>
        <v>0</v>
      </c>
      <c r="O74" s="15">
        <f>'Bulk Plant Input'!$A$34</f>
        <v>0</v>
      </c>
      <c r="P74" s="15">
        <f>'Bulk Plant Input'!$A$35</f>
        <v>0</v>
      </c>
      <c r="Q74" s="15">
        <f>'Bulk Plant Input'!$A$36</f>
        <v>0</v>
      </c>
      <c r="R74" s="15">
        <f>'Bulk Plant Input'!$A$37</f>
        <v>0</v>
      </c>
      <c r="S74" s="15">
        <v>0</v>
      </c>
      <c r="U74" s="1"/>
      <c r="V74" s="1"/>
      <c r="W74" s="1"/>
      <c r="X74" s="1"/>
      <c r="Y74" s="1"/>
      <c r="Z74" s="1"/>
      <c r="AA74" s="1"/>
      <c r="AB74" s="1"/>
    </row>
    <row r="75" spans="1:28" ht="15.75" x14ac:dyDescent="0.25">
      <c r="A75" s="120" t="str">
        <f>'Base Blend Property Calculation'!A79</f>
        <v>LITEmix 1325 (AB)</v>
      </c>
      <c r="B75" s="97">
        <f t="shared" si="1"/>
        <v>0</v>
      </c>
      <c r="C75" s="97">
        <f>COUNTIF('Bulk Plant Input'!$A$23:$A$37,'Base Blend Property Calculation'!BV79)+COUNTIF('Bulk Plant Input'!$A$23:$A$37,'Base Blend Property Calculation'!BW79)+COUNTIF('Bulk Plant Input'!$A$23:$A$37,'Base Blend Property Calculation'!BX79)+COUNTIF('Bulk Plant Input'!$A$23:$A$37,'Base Blend Property Calculation'!BY79)+COUNTIF('Bulk Plant Input'!$A$23:$A$37,'Base Blend Property Calculation'!BZ79)</f>
        <v>0</v>
      </c>
      <c r="D75" s="15" t="str">
        <f>'Bulk Plant Input'!$A$23</f>
        <v>CFR-5</v>
      </c>
      <c r="E75" s="15" t="str">
        <f>'Bulk Plant Input'!$A$24</f>
        <v>CFL-4</v>
      </c>
      <c r="F75" s="15" t="str">
        <f>'Bulk Plant Input'!$A$25</f>
        <v>FWC-2</v>
      </c>
      <c r="G75" s="15" t="str">
        <f>'Bulk Plant Input'!$A$26</f>
        <v>LTR</v>
      </c>
      <c r="H75" s="15" t="str">
        <f>'Bulk Plant Input'!$A$27</f>
        <v>CDF-6P</v>
      </c>
      <c r="I75" s="15" t="str">
        <f>'Bulk Plant Input'!$A$28</f>
        <v>ASM-3</v>
      </c>
      <c r="J75" s="15">
        <f>'Bulk Plant Input'!$A$29</f>
        <v>0</v>
      </c>
      <c r="K75" s="15">
        <f>'Bulk Plant Input'!$A$30</f>
        <v>0</v>
      </c>
      <c r="L75" s="15">
        <f>'Bulk Plant Input'!$A$31</f>
        <v>0</v>
      </c>
      <c r="M75" s="15">
        <f>'Bulk Plant Input'!$A$32</f>
        <v>0</v>
      </c>
      <c r="N75" s="15">
        <f>'Bulk Plant Input'!$A$33</f>
        <v>0</v>
      </c>
      <c r="O75" s="15">
        <f>'Bulk Plant Input'!$A$34</f>
        <v>0</v>
      </c>
      <c r="P75" s="15">
        <f>'Bulk Plant Input'!$A$35</f>
        <v>0</v>
      </c>
      <c r="Q75" s="15">
        <f>'Bulk Plant Input'!$A$36</f>
        <v>0</v>
      </c>
      <c r="R75" s="15">
        <f>'Bulk Plant Input'!$A$37</f>
        <v>0</v>
      </c>
      <c r="S75" s="15">
        <v>0</v>
      </c>
      <c r="U75" s="1"/>
      <c r="V75" s="1"/>
      <c r="W75" s="1"/>
      <c r="X75" s="1"/>
      <c r="Y75" s="1"/>
      <c r="Z75" s="1"/>
      <c r="AA75" s="1"/>
      <c r="AB75" s="1"/>
    </row>
    <row r="76" spans="1:28" ht="15.75" x14ac:dyDescent="0.25">
      <c r="A76" s="120" t="str">
        <f>'Base Blend Property Calculation'!A80</f>
        <v>LITEmix 1325 (SK)</v>
      </c>
      <c r="B76" s="97">
        <f t="shared" si="1"/>
        <v>0</v>
      </c>
      <c r="C76" s="97">
        <f>COUNTIF('Bulk Plant Input'!$A$23:$A$37,'Base Blend Property Calculation'!BV80)+COUNTIF('Bulk Plant Input'!$A$23:$A$37,'Base Blend Property Calculation'!BW80)+COUNTIF('Bulk Plant Input'!$A$23:$A$37,'Base Blend Property Calculation'!BX80)+COUNTIF('Bulk Plant Input'!$A$23:$A$37,'Base Blend Property Calculation'!BY80)+COUNTIF('Bulk Plant Input'!$A$23:$A$37,'Base Blend Property Calculation'!BZ80)</f>
        <v>0</v>
      </c>
      <c r="D76" s="15" t="str">
        <f>'Bulk Plant Input'!$A$23</f>
        <v>CFR-5</v>
      </c>
      <c r="E76" s="15" t="str">
        <f>'Bulk Plant Input'!$A$24</f>
        <v>CFL-4</v>
      </c>
      <c r="F76" s="15" t="str">
        <f>'Bulk Plant Input'!$A$25</f>
        <v>FWC-2</v>
      </c>
      <c r="G76" s="15" t="str">
        <f>'Bulk Plant Input'!$A$26</f>
        <v>LTR</v>
      </c>
      <c r="H76" s="15" t="str">
        <f>'Bulk Plant Input'!$A$27</f>
        <v>CDF-6P</v>
      </c>
      <c r="I76" s="15" t="str">
        <f>'Bulk Plant Input'!$A$28</f>
        <v>ASM-3</v>
      </c>
      <c r="J76" s="15">
        <f>'Bulk Plant Input'!$A$29</f>
        <v>0</v>
      </c>
      <c r="K76" s="15">
        <f>'Bulk Plant Input'!$A$30</f>
        <v>0</v>
      </c>
      <c r="L76" s="15">
        <f>'Bulk Plant Input'!$A$31</f>
        <v>0</v>
      </c>
      <c r="M76" s="15">
        <f>'Bulk Plant Input'!$A$32</f>
        <v>0</v>
      </c>
      <c r="N76" s="15">
        <f>'Bulk Plant Input'!$A$33</f>
        <v>0</v>
      </c>
      <c r="O76" s="15">
        <f>'Bulk Plant Input'!$A$34</f>
        <v>0</v>
      </c>
      <c r="P76" s="15">
        <f>'Bulk Plant Input'!$A$35</f>
        <v>0</v>
      </c>
      <c r="Q76" s="15">
        <f>'Bulk Plant Input'!$A$36</f>
        <v>0</v>
      </c>
      <c r="R76" s="15">
        <f>'Bulk Plant Input'!$A$37</f>
        <v>0</v>
      </c>
      <c r="S76" s="15">
        <v>0</v>
      </c>
      <c r="U76" s="1"/>
      <c r="V76" s="1"/>
      <c r="W76" s="1"/>
      <c r="X76" s="1"/>
      <c r="Y76" s="1"/>
      <c r="Z76" s="1"/>
      <c r="AA76" s="1"/>
      <c r="AB76" s="1"/>
    </row>
    <row r="77" spans="1:28" ht="15.75" x14ac:dyDescent="0.25">
      <c r="A77" s="120" t="str">
        <f>'Base Blend Property Calculation'!A81</f>
        <v>LITEmix 1400 (AB)</v>
      </c>
      <c r="B77" s="97">
        <f t="shared" si="1"/>
        <v>0</v>
      </c>
      <c r="C77" s="97">
        <f>COUNTIF('Bulk Plant Input'!$A$23:$A$37,'Base Blend Property Calculation'!BV81)+COUNTIF('Bulk Plant Input'!$A$23:$A$37,'Base Blend Property Calculation'!BW81)+COUNTIF('Bulk Plant Input'!$A$23:$A$37,'Base Blend Property Calculation'!BX81)+COUNTIF('Bulk Plant Input'!$A$23:$A$37,'Base Blend Property Calculation'!BY81)+COUNTIF('Bulk Plant Input'!$A$23:$A$37,'Base Blend Property Calculation'!BZ81)</f>
        <v>0</v>
      </c>
      <c r="D77" s="15" t="str">
        <f>'Bulk Plant Input'!$A$23</f>
        <v>CFR-5</v>
      </c>
      <c r="E77" s="15" t="str">
        <f>'Bulk Plant Input'!$A$24</f>
        <v>CFL-4</v>
      </c>
      <c r="F77" s="15" t="str">
        <f>'Bulk Plant Input'!$A$25</f>
        <v>FWC-2</v>
      </c>
      <c r="G77" s="15" t="str">
        <f>'Bulk Plant Input'!$A$26</f>
        <v>LTR</v>
      </c>
      <c r="H77" s="15" t="str">
        <f>'Bulk Plant Input'!$A$27</f>
        <v>CDF-6P</v>
      </c>
      <c r="I77" s="15" t="str">
        <f>'Bulk Plant Input'!$A$28</f>
        <v>ASM-3</v>
      </c>
      <c r="J77" s="15">
        <f>'Bulk Plant Input'!$A$29</f>
        <v>0</v>
      </c>
      <c r="K77" s="15">
        <f>'Bulk Plant Input'!$A$30</f>
        <v>0</v>
      </c>
      <c r="L77" s="15">
        <f>'Bulk Plant Input'!$A$31</f>
        <v>0</v>
      </c>
      <c r="M77" s="15">
        <f>'Bulk Plant Input'!$A$32</f>
        <v>0</v>
      </c>
      <c r="N77" s="15">
        <f>'Bulk Plant Input'!$A$33</f>
        <v>0</v>
      </c>
      <c r="O77" s="15">
        <f>'Bulk Plant Input'!$A$34</f>
        <v>0</v>
      </c>
      <c r="P77" s="15">
        <f>'Bulk Plant Input'!$A$35</f>
        <v>0</v>
      </c>
      <c r="Q77" s="15">
        <f>'Bulk Plant Input'!$A$36</f>
        <v>0</v>
      </c>
      <c r="R77" s="15">
        <f>'Bulk Plant Input'!$A$37</f>
        <v>0</v>
      </c>
      <c r="S77" s="15">
        <v>0</v>
      </c>
      <c r="U77" s="1"/>
      <c r="V77" s="1"/>
      <c r="W77" s="1"/>
      <c r="X77" s="1"/>
      <c r="Y77" s="1"/>
      <c r="Z77" s="1"/>
      <c r="AA77" s="1"/>
      <c r="AB77" s="1"/>
    </row>
    <row r="78" spans="1:28" ht="15.75" x14ac:dyDescent="0.25">
      <c r="A78" s="120" t="str">
        <f>'Base Blend Property Calculation'!A82</f>
        <v>LITEmix 1400 (SK)</v>
      </c>
      <c r="B78" s="97">
        <f t="shared" si="1"/>
        <v>0</v>
      </c>
      <c r="C78" s="97">
        <f>COUNTIF('Bulk Plant Input'!$A$23:$A$37,'Base Blend Property Calculation'!BV82)+COUNTIF('Bulk Plant Input'!$A$23:$A$37,'Base Blend Property Calculation'!BW82)+COUNTIF('Bulk Plant Input'!$A$23:$A$37,'Base Blend Property Calculation'!BX82)+COUNTIF('Bulk Plant Input'!$A$23:$A$37,'Base Blend Property Calculation'!BY82)+COUNTIF('Bulk Plant Input'!$A$23:$A$37,'Base Blend Property Calculation'!BZ82)</f>
        <v>0</v>
      </c>
      <c r="D78" s="15" t="str">
        <f>'Bulk Plant Input'!$A$23</f>
        <v>CFR-5</v>
      </c>
      <c r="E78" s="15" t="str">
        <f>'Bulk Plant Input'!$A$24</f>
        <v>CFL-4</v>
      </c>
      <c r="F78" s="15" t="str">
        <f>'Bulk Plant Input'!$A$25</f>
        <v>FWC-2</v>
      </c>
      <c r="G78" s="15" t="str">
        <f>'Bulk Plant Input'!$A$26</f>
        <v>LTR</v>
      </c>
      <c r="H78" s="15" t="str">
        <f>'Bulk Plant Input'!$A$27</f>
        <v>CDF-6P</v>
      </c>
      <c r="I78" s="15" t="str">
        <f>'Bulk Plant Input'!$A$28</f>
        <v>ASM-3</v>
      </c>
      <c r="J78" s="15">
        <f>'Bulk Plant Input'!$A$29</f>
        <v>0</v>
      </c>
      <c r="K78" s="15">
        <f>'Bulk Plant Input'!$A$30</f>
        <v>0</v>
      </c>
      <c r="L78" s="15">
        <f>'Bulk Plant Input'!$A$31</f>
        <v>0</v>
      </c>
      <c r="M78" s="15">
        <f>'Bulk Plant Input'!$A$32</f>
        <v>0</v>
      </c>
      <c r="N78" s="15">
        <f>'Bulk Plant Input'!$A$33</f>
        <v>0</v>
      </c>
      <c r="O78" s="15">
        <f>'Bulk Plant Input'!$A$34</f>
        <v>0</v>
      </c>
      <c r="P78" s="15">
        <f>'Bulk Plant Input'!$A$35</f>
        <v>0</v>
      </c>
      <c r="Q78" s="15">
        <f>'Bulk Plant Input'!$A$36</f>
        <v>0</v>
      </c>
      <c r="R78" s="15">
        <f>'Bulk Plant Input'!$A$37</f>
        <v>0</v>
      </c>
      <c r="S78" s="15">
        <v>0</v>
      </c>
      <c r="U78" s="1"/>
      <c r="V78" s="1"/>
      <c r="W78" s="1"/>
      <c r="X78" s="1"/>
      <c r="Y78" s="1"/>
      <c r="Z78" s="1"/>
      <c r="AA78" s="1"/>
      <c r="AB78" s="1"/>
    </row>
    <row r="79" spans="1:28" ht="15.75" x14ac:dyDescent="0.25">
      <c r="A79" s="120" t="str">
        <f>'Base Blend Property Calculation'!A83</f>
        <v>LITEmix EC</v>
      </c>
      <c r="B79" s="97">
        <f t="shared" si="1"/>
        <v>0</v>
      </c>
      <c r="C79" s="97">
        <f>COUNTIF('Bulk Plant Input'!$A$23:$A$37,'Base Blend Property Calculation'!BV83)+COUNTIF('Bulk Plant Input'!$A$23:$A$37,'Base Blend Property Calculation'!BW83)+COUNTIF('Bulk Plant Input'!$A$23:$A$37,'Base Blend Property Calculation'!BX83)+COUNTIF('Bulk Plant Input'!$A$23:$A$37,'Base Blend Property Calculation'!BY83)+COUNTIF('Bulk Plant Input'!$A$23:$A$37,'Base Blend Property Calculation'!BZ83)</f>
        <v>0</v>
      </c>
      <c r="D79" s="15" t="str">
        <f>'Bulk Plant Input'!$A$23</f>
        <v>CFR-5</v>
      </c>
      <c r="E79" s="15" t="str">
        <f>'Bulk Plant Input'!$A$24</f>
        <v>CFL-4</v>
      </c>
      <c r="F79" s="15" t="str">
        <f>'Bulk Plant Input'!$A$25</f>
        <v>FWC-2</v>
      </c>
      <c r="G79" s="15" t="str">
        <f>'Bulk Plant Input'!$A$26</f>
        <v>LTR</v>
      </c>
      <c r="H79" s="15" t="str">
        <f>'Bulk Plant Input'!$A$27</f>
        <v>CDF-6P</v>
      </c>
      <c r="I79" s="15" t="str">
        <f>'Bulk Plant Input'!$A$28</f>
        <v>ASM-3</v>
      </c>
      <c r="J79" s="15">
        <f>'Bulk Plant Input'!$A$29</f>
        <v>0</v>
      </c>
      <c r="K79" s="15">
        <f>'Bulk Plant Input'!$A$30</f>
        <v>0</v>
      </c>
      <c r="L79" s="15">
        <f>'Bulk Plant Input'!$A$31</f>
        <v>0</v>
      </c>
      <c r="M79" s="15">
        <f>'Bulk Plant Input'!$A$32</f>
        <v>0</v>
      </c>
      <c r="N79" s="15">
        <f>'Bulk Plant Input'!$A$33</f>
        <v>0</v>
      </c>
      <c r="O79" s="15">
        <f>'Bulk Plant Input'!$A$34</f>
        <v>0</v>
      </c>
      <c r="P79" s="15">
        <f>'Bulk Plant Input'!$A$35</f>
        <v>0</v>
      </c>
      <c r="Q79" s="15">
        <f>'Bulk Plant Input'!$A$36</f>
        <v>0</v>
      </c>
      <c r="R79" s="15">
        <f>'Bulk Plant Input'!$A$37</f>
        <v>0</v>
      </c>
      <c r="S79" s="15">
        <v>0</v>
      </c>
      <c r="U79" s="1"/>
      <c r="V79" s="1"/>
      <c r="W79" s="1"/>
      <c r="X79" s="1"/>
      <c r="Y79" s="1"/>
      <c r="Z79" s="1"/>
      <c r="AA79" s="1"/>
      <c r="AB79" s="1"/>
    </row>
    <row r="80" spans="1:28" ht="15.75" x14ac:dyDescent="0.25">
      <c r="A80" s="120" t="str">
        <f>'Base Blend Property Calculation'!A84</f>
        <v>PRODUCTIONmix 1500 PRO (LDP-C-3515)</v>
      </c>
      <c r="B80" s="97">
        <f t="shared" si="1"/>
        <v>0</v>
      </c>
      <c r="C80" s="97">
        <f>COUNTIF('Bulk Plant Input'!$A$23:$A$37,'Base Blend Property Calculation'!BV84)+COUNTIF('Bulk Plant Input'!$A$23:$A$37,'Base Blend Property Calculation'!BW84)+COUNTIF('Bulk Plant Input'!$A$23:$A$37,'Base Blend Property Calculation'!BX84)+COUNTIF('Bulk Plant Input'!$A$23:$A$37,'Base Blend Property Calculation'!BY84)+COUNTIF('Bulk Plant Input'!$A$23:$A$37,'Base Blend Property Calculation'!BZ84)</f>
        <v>0</v>
      </c>
      <c r="D80" s="15" t="str">
        <f>'Bulk Plant Input'!$A$23</f>
        <v>CFR-5</v>
      </c>
      <c r="E80" s="15" t="str">
        <f>'Bulk Plant Input'!$A$24</f>
        <v>CFL-4</v>
      </c>
      <c r="F80" s="15" t="str">
        <f>'Bulk Plant Input'!$A$25</f>
        <v>FWC-2</v>
      </c>
      <c r="G80" s="15" t="str">
        <f>'Bulk Plant Input'!$A$26</f>
        <v>LTR</v>
      </c>
      <c r="H80" s="15" t="str">
        <f>'Bulk Plant Input'!$A$27</f>
        <v>CDF-6P</v>
      </c>
      <c r="I80" s="15" t="str">
        <f>'Bulk Plant Input'!$A$28</f>
        <v>ASM-3</v>
      </c>
      <c r="J80" s="15">
        <f>'Bulk Plant Input'!$A$29</f>
        <v>0</v>
      </c>
      <c r="K80" s="15">
        <f>'Bulk Plant Input'!$A$30</f>
        <v>0</v>
      </c>
      <c r="L80" s="15">
        <f>'Bulk Plant Input'!$A$31</f>
        <v>0</v>
      </c>
      <c r="M80" s="15">
        <f>'Bulk Plant Input'!$A$32</f>
        <v>0</v>
      </c>
      <c r="N80" s="15">
        <f>'Bulk Plant Input'!$A$33</f>
        <v>0</v>
      </c>
      <c r="O80" s="15">
        <f>'Bulk Plant Input'!$A$34</f>
        <v>0</v>
      </c>
      <c r="P80" s="15">
        <f>'Bulk Plant Input'!$A$35</f>
        <v>0</v>
      </c>
      <c r="Q80" s="15">
        <f>'Bulk Plant Input'!$A$36</f>
        <v>0</v>
      </c>
      <c r="R80" s="15">
        <f>'Bulk Plant Input'!$A$37</f>
        <v>0</v>
      </c>
      <c r="S80" s="15">
        <v>1</v>
      </c>
      <c r="U80" s="1"/>
      <c r="V80" s="1"/>
      <c r="W80" s="1"/>
      <c r="X80" s="1"/>
      <c r="Y80" s="1"/>
      <c r="Z80" s="1"/>
      <c r="AA80" s="1"/>
      <c r="AB80" s="1"/>
    </row>
    <row r="81" spans="1:28" ht="15.75" x14ac:dyDescent="0.25">
      <c r="A81" s="120" t="str">
        <f>'Base Blend Property Calculation'!A85</f>
        <v>PRODUCTIONmix 1600</v>
      </c>
      <c r="B81" s="97">
        <f t="shared" si="1"/>
        <v>0</v>
      </c>
      <c r="C81" s="97">
        <f>COUNTIF('Bulk Plant Input'!$A$23:$A$37,'Base Blend Property Calculation'!BV85)+COUNTIF('Bulk Plant Input'!$A$23:$A$37,'Base Blend Property Calculation'!BW85)+COUNTIF('Bulk Plant Input'!$A$23:$A$37,'Base Blend Property Calculation'!BX85)+COUNTIF('Bulk Plant Input'!$A$23:$A$37,'Base Blend Property Calculation'!BY85)+COUNTIF('Bulk Plant Input'!$A$23:$A$37,'Base Blend Property Calculation'!BZ85)</f>
        <v>0</v>
      </c>
      <c r="D81" s="15" t="str">
        <f>'Bulk Plant Input'!$A$23</f>
        <v>CFR-5</v>
      </c>
      <c r="E81" s="15" t="str">
        <f>'Bulk Plant Input'!$A$24</f>
        <v>CFL-4</v>
      </c>
      <c r="F81" s="15" t="str">
        <f>'Bulk Plant Input'!$A$25</f>
        <v>FWC-2</v>
      </c>
      <c r="G81" s="15" t="str">
        <f>'Bulk Plant Input'!$A$26</f>
        <v>LTR</v>
      </c>
      <c r="H81" s="15" t="str">
        <f>'Bulk Plant Input'!$A$27</f>
        <v>CDF-6P</v>
      </c>
      <c r="I81" s="15" t="str">
        <f>'Bulk Plant Input'!$A$28</f>
        <v>ASM-3</v>
      </c>
      <c r="J81" s="15">
        <f>'Bulk Plant Input'!$A$29</f>
        <v>0</v>
      </c>
      <c r="K81" s="15">
        <f>'Bulk Plant Input'!$A$30</f>
        <v>0</v>
      </c>
      <c r="L81" s="15">
        <f>'Bulk Plant Input'!$A$31</f>
        <v>0</v>
      </c>
      <c r="M81" s="15">
        <f>'Bulk Plant Input'!$A$32</f>
        <v>0</v>
      </c>
      <c r="N81" s="15">
        <f>'Bulk Plant Input'!$A$33</f>
        <v>0</v>
      </c>
      <c r="O81" s="15">
        <f>'Bulk Plant Input'!$A$34</f>
        <v>0</v>
      </c>
      <c r="P81" s="15">
        <f>'Bulk Plant Input'!$A$35</f>
        <v>0</v>
      </c>
      <c r="Q81" s="15">
        <f>'Bulk Plant Input'!$A$36</f>
        <v>0</v>
      </c>
      <c r="R81" s="15">
        <f>'Bulk Plant Input'!$A$37</f>
        <v>0</v>
      </c>
      <c r="S81" s="15">
        <v>1</v>
      </c>
      <c r="U81" s="1"/>
      <c r="V81" s="1"/>
      <c r="W81" s="1"/>
      <c r="X81" s="1"/>
      <c r="Y81" s="1"/>
      <c r="Z81" s="1"/>
      <c r="AA81" s="1"/>
      <c r="AB81" s="1"/>
    </row>
    <row r="82" spans="1:28" ht="15.75" x14ac:dyDescent="0.25">
      <c r="A82" s="120" t="str">
        <f>'Base Blend Property Calculation'!A86</f>
        <v>PRODUCTIONmix 1600 (SK)</v>
      </c>
      <c r="B82" s="97">
        <f t="shared" si="1"/>
        <v>0</v>
      </c>
      <c r="C82" s="97">
        <f>COUNTIF('Bulk Plant Input'!$A$23:$A$37,'Base Blend Property Calculation'!BV86)+COUNTIF('Bulk Plant Input'!$A$23:$A$37,'Base Blend Property Calculation'!BW86)+COUNTIF('Bulk Plant Input'!$A$23:$A$37,'Base Blend Property Calculation'!BX86)+COUNTIF('Bulk Plant Input'!$A$23:$A$37,'Base Blend Property Calculation'!BY86)+COUNTIF('Bulk Plant Input'!$A$23:$A$37,'Base Blend Property Calculation'!BZ86)</f>
        <v>0</v>
      </c>
      <c r="D82" s="15" t="str">
        <f>'Bulk Plant Input'!$A$23</f>
        <v>CFR-5</v>
      </c>
      <c r="E82" s="15" t="str">
        <f>'Bulk Plant Input'!$A$24</f>
        <v>CFL-4</v>
      </c>
      <c r="F82" s="15" t="str">
        <f>'Bulk Plant Input'!$A$25</f>
        <v>FWC-2</v>
      </c>
      <c r="G82" s="15" t="str">
        <f>'Bulk Plant Input'!$A$26</f>
        <v>LTR</v>
      </c>
      <c r="H82" s="15" t="str">
        <f>'Bulk Plant Input'!$A$27</f>
        <v>CDF-6P</v>
      </c>
      <c r="I82" s="15" t="str">
        <f>'Bulk Plant Input'!$A$28</f>
        <v>ASM-3</v>
      </c>
      <c r="J82" s="15">
        <f>'Bulk Plant Input'!$A$29</f>
        <v>0</v>
      </c>
      <c r="K82" s="15">
        <f>'Bulk Plant Input'!$A$30</f>
        <v>0</v>
      </c>
      <c r="L82" s="15">
        <f>'Bulk Plant Input'!$A$31</f>
        <v>0</v>
      </c>
      <c r="M82" s="15">
        <f>'Bulk Plant Input'!$A$32</f>
        <v>0</v>
      </c>
      <c r="N82" s="15">
        <f>'Bulk Plant Input'!$A$33</f>
        <v>0</v>
      </c>
      <c r="O82" s="15">
        <f>'Bulk Plant Input'!$A$34</f>
        <v>0</v>
      </c>
      <c r="P82" s="15">
        <f>'Bulk Plant Input'!$A$35</f>
        <v>0</v>
      </c>
      <c r="Q82" s="15">
        <f>'Bulk Plant Input'!$A$36</f>
        <v>0</v>
      </c>
      <c r="R82" s="15">
        <f>'Bulk Plant Input'!$A$37</f>
        <v>0</v>
      </c>
      <c r="S82" s="15">
        <v>1</v>
      </c>
      <c r="U82" s="1"/>
      <c r="V82" s="1"/>
      <c r="W82" s="1"/>
      <c r="X82" s="1"/>
      <c r="Y82" s="1"/>
      <c r="Z82" s="1"/>
      <c r="AA82" s="1"/>
      <c r="AB82" s="1"/>
    </row>
    <row r="83" spans="1:28" ht="15.75" x14ac:dyDescent="0.25">
      <c r="A83" s="120" t="str">
        <f>'Base Blend Property Calculation'!A87</f>
        <v>PRODUCTIONmix 1725</v>
      </c>
      <c r="B83" s="97">
        <f t="shared" si="1"/>
        <v>0</v>
      </c>
      <c r="C83" s="97">
        <f>COUNTIF('Bulk Plant Input'!$A$23:$A$37,'Base Blend Property Calculation'!BV87)+COUNTIF('Bulk Plant Input'!$A$23:$A$37,'Base Blend Property Calculation'!BW87)+COUNTIF('Bulk Plant Input'!$A$23:$A$37,'Base Blend Property Calculation'!BX87)+COUNTIF('Bulk Plant Input'!$A$23:$A$37,'Base Blend Property Calculation'!BY87)+COUNTIF('Bulk Plant Input'!$A$23:$A$37,'Base Blend Property Calculation'!BZ87)</f>
        <v>0</v>
      </c>
      <c r="D83" s="15" t="str">
        <f>'Bulk Plant Input'!$A$23</f>
        <v>CFR-5</v>
      </c>
      <c r="E83" s="15" t="str">
        <f>'Bulk Plant Input'!$A$24</f>
        <v>CFL-4</v>
      </c>
      <c r="F83" s="15" t="str">
        <f>'Bulk Plant Input'!$A$25</f>
        <v>FWC-2</v>
      </c>
      <c r="G83" s="15" t="str">
        <f>'Bulk Plant Input'!$A$26</f>
        <v>LTR</v>
      </c>
      <c r="H83" s="15" t="str">
        <f>'Bulk Plant Input'!$A$27</f>
        <v>CDF-6P</v>
      </c>
      <c r="I83" s="15" t="str">
        <f>'Bulk Plant Input'!$A$28</f>
        <v>ASM-3</v>
      </c>
      <c r="J83" s="15">
        <f>'Bulk Plant Input'!$A$29</f>
        <v>0</v>
      </c>
      <c r="K83" s="15">
        <f>'Bulk Plant Input'!$A$30</f>
        <v>0</v>
      </c>
      <c r="L83" s="15">
        <f>'Bulk Plant Input'!$A$31</f>
        <v>0</v>
      </c>
      <c r="M83" s="15">
        <f>'Bulk Plant Input'!$A$32</f>
        <v>0</v>
      </c>
      <c r="N83" s="15">
        <f>'Bulk Plant Input'!$A$33</f>
        <v>0</v>
      </c>
      <c r="O83" s="15">
        <f>'Bulk Plant Input'!$A$34</f>
        <v>0</v>
      </c>
      <c r="P83" s="15">
        <f>'Bulk Plant Input'!$A$35</f>
        <v>0</v>
      </c>
      <c r="Q83" s="15">
        <f>'Bulk Plant Input'!$A$36</f>
        <v>0</v>
      </c>
      <c r="R83" s="15">
        <f>'Bulk Plant Input'!$A$37</f>
        <v>0</v>
      </c>
      <c r="S83" s="15">
        <v>1</v>
      </c>
      <c r="U83" s="1"/>
      <c r="V83" s="1"/>
      <c r="W83" s="1"/>
      <c r="X83" s="1"/>
      <c r="Y83" s="1"/>
      <c r="Z83" s="1"/>
      <c r="AA83" s="1"/>
      <c r="AB83" s="1"/>
    </row>
    <row r="84" spans="1:28" ht="15.75" x14ac:dyDescent="0.25">
      <c r="A84" s="120" t="str">
        <f>'Base Blend Property Calculation'!A88</f>
        <v>PRODUCTIONmix EC</v>
      </c>
      <c r="B84" s="97">
        <f t="shared" si="1"/>
        <v>0</v>
      </c>
      <c r="C84" s="97">
        <f>COUNTIF('Bulk Plant Input'!$A$23:$A$37,'Base Blend Property Calculation'!BV88)+COUNTIF('Bulk Plant Input'!$A$23:$A$37,'Base Blend Property Calculation'!BW88)+COUNTIF('Bulk Plant Input'!$A$23:$A$37,'Base Blend Property Calculation'!BX88)+COUNTIF('Bulk Plant Input'!$A$23:$A$37,'Base Blend Property Calculation'!BY88)+COUNTIF('Bulk Plant Input'!$A$23:$A$37,'Base Blend Property Calculation'!BZ88)</f>
        <v>0</v>
      </c>
      <c r="D84" s="15" t="str">
        <f>'Bulk Plant Input'!$A$23</f>
        <v>CFR-5</v>
      </c>
      <c r="E84" s="15" t="str">
        <f>'Bulk Plant Input'!$A$24</f>
        <v>CFL-4</v>
      </c>
      <c r="F84" s="15" t="str">
        <f>'Bulk Plant Input'!$A$25</f>
        <v>FWC-2</v>
      </c>
      <c r="G84" s="15" t="str">
        <f>'Bulk Plant Input'!$A$26</f>
        <v>LTR</v>
      </c>
      <c r="H84" s="15" t="str">
        <f>'Bulk Plant Input'!$A$27</f>
        <v>CDF-6P</v>
      </c>
      <c r="I84" s="15" t="str">
        <f>'Bulk Plant Input'!$A$28</f>
        <v>ASM-3</v>
      </c>
      <c r="J84" s="15">
        <f>'Bulk Plant Input'!$A$29</f>
        <v>0</v>
      </c>
      <c r="K84" s="15">
        <f>'Bulk Plant Input'!$A$30</f>
        <v>0</v>
      </c>
      <c r="L84" s="15">
        <f>'Bulk Plant Input'!$A$31</f>
        <v>0</v>
      </c>
      <c r="M84" s="15">
        <f>'Bulk Plant Input'!$A$32</f>
        <v>0</v>
      </c>
      <c r="N84" s="15">
        <f>'Bulk Plant Input'!$A$33</f>
        <v>0</v>
      </c>
      <c r="O84" s="15">
        <f>'Bulk Plant Input'!$A$34</f>
        <v>0</v>
      </c>
      <c r="P84" s="15">
        <f>'Bulk Plant Input'!$A$35</f>
        <v>0</v>
      </c>
      <c r="Q84" s="15">
        <f>'Bulk Plant Input'!$A$36</f>
        <v>0</v>
      </c>
      <c r="R84" s="15">
        <f>'Bulk Plant Input'!$A$37</f>
        <v>0</v>
      </c>
      <c r="S84" s="15">
        <v>1</v>
      </c>
      <c r="U84" s="1"/>
      <c r="V84" s="1"/>
      <c r="W84" s="1"/>
      <c r="X84" s="1"/>
      <c r="Y84" s="1"/>
      <c r="Z84" s="1"/>
      <c r="AA84" s="1"/>
      <c r="AB84" s="1"/>
    </row>
    <row r="85" spans="1:28" ht="15.75" x14ac:dyDescent="0.25">
      <c r="A85" s="120" t="str">
        <f>'Base Blend Property Calculation'!A89</f>
        <v>PRODUCTIONmix EC (SK)</v>
      </c>
      <c r="B85" s="97">
        <f t="shared" si="1"/>
        <v>0</v>
      </c>
      <c r="C85" s="97">
        <f>COUNTIF('Bulk Plant Input'!$A$23:$A$37,'Base Blend Property Calculation'!BV89)+COUNTIF('Bulk Plant Input'!$A$23:$A$37,'Base Blend Property Calculation'!BW89)+COUNTIF('Bulk Plant Input'!$A$23:$A$37,'Base Blend Property Calculation'!BX89)+COUNTIF('Bulk Plant Input'!$A$23:$A$37,'Base Blend Property Calculation'!BY89)+COUNTIF('Bulk Plant Input'!$A$23:$A$37,'Base Blend Property Calculation'!BZ89)</f>
        <v>0</v>
      </c>
      <c r="D85" s="15" t="str">
        <f>'Bulk Plant Input'!$A$23</f>
        <v>CFR-5</v>
      </c>
      <c r="E85" s="15" t="str">
        <f>'Bulk Plant Input'!$A$24</f>
        <v>CFL-4</v>
      </c>
      <c r="F85" s="15" t="str">
        <f>'Bulk Plant Input'!$A$25</f>
        <v>FWC-2</v>
      </c>
      <c r="G85" s="15" t="str">
        <f>'Bulk Plant Input'!$A$26</f>
        <v>LTR</v>
      </c>
      <c r="H85" s="15" t="str">
        <f>'Bulk Plant Input'!$A$27</f>
        <v>CDF-6P</v>
      </c>
      <c r="I85" s="15" t="str">
        <f>'Bulk Plant Input'!$A$28</f>
        <v>ASM-3</v>
      </c>
      <c r="J85" s="15">
        <f>'Bulk Plant Input'!$A$29</f>
        <v>0</v>
      </c>
      <c r="K85" s="15">
        <f>'Bulk Plant Input'!$A$30</f>
        <v>0</v>
      </c>
      <c r="L85" s="15">
        <f>'Bulk Plant Input'!$A$31</f>
        <v>0</v>
      </c>
      <c r="M85" s="15">
        <f>'Bulk Plant Input'!$A$32</f>
        <v>0</v>
      </c>
      <c r="N85" s="15">
        <f>'Bulk Plant Input'!$A$33</f>
        <v>0</v>
      </c>
      <c r="O85" s="15">
        <f>'Bulk Plant Input'!$A$34</f>
        <v>0</v>
      </c>
      <c r="P85" s="15">
        <f>'Bulk Plant Input'!$A$35</f>
        <v>0</v>
      </c>
      <c r="Q85" s="15">
        <f>'Bulk Plant Input'!$A$36</f>
        <v>0</v>
      </c>
      <c r="R85" s="15">
        <f>'Bulk Plant Input'!$A$37</f>
        <v>0</v>
      </c>
      <c r="S85" s="15">
        <v>1</v>
      </c>
      <c r="U85" s="1"/>
      <c r="V85" s="1"/>
      <c r="W85" s="1"/>
      <c r="X85" s="1"/>
      <c r="Y85" s="1"/>
      <c r="Z85" s="1"/>
      <c r="AA85" s="1"/>
      <c r="AB85" s="1"/>
    </row>
    <row r="86" spans="1:28" ht="15.75" x14ac:dyDescent="0.25">
      <c r="A86" s="120" t="str">
        <f>'Base Blend Property Calculation'!A90</f>
        <v>PRODUCTIONmix HZ</v>
      </c>
      <c r="B86" s="97">
        <f t="shared" si="1"/>
        <v>0</v>
      </c>
      <c r="C86" s="97">
        <f>COUNTIF('Bulk Plant Input'!$A$23:$A$37,'Base Blend Property Calculation'!BV90)+COUNTIF('Bulk Plant Input'!$A$23:$A$37,'Base Blend Property Calculation'!BW90)+COUNTIF('Bulk Plant Input'!$A$23:$A$37,'Base Blend Property Calculation'!BX90)+COUNTIF('Bulk Plant Input'!$A$23:$A$37,'Base Blend Property Calculation'!BY90)+COUNTIF('Bulk Plant Input'!$A$23:$A$37,'Base Blend Property Calculation'!BZ90)</f>
        <v>0</v>
      </c>
      <c r="D86" s="15" t="str">
        <f>'Bulk Plant Input'!$A$23</f>
        <v>CFR-5</v>
      </c>
      <c r="E86" s="15" t="str">
        <f>'Bulk Plant Input'!$A$24</f>
        <v>CFL-4</v>
      </c>
      <c r="F86" s="15" t="str">
        <f>'Bulk Plant Input'!$A$25</f>
        <v>FWC-2</v>
      </c>
      <c r="G86" s="15" t="str">
        <f>'Bulk Plant Input'!$A$26</f>
        <v>LTR</v>
      </c>
      <c r="H86" s="15" t="str">
        <f>'Bulk Plant Input'!$A$27</f>
        <v>CDF-6P</v>
      </c>
      <c r="I86" s="15" t="str">
        <f>'Bulk Plant Input'!$A$28</f>
        <v>ASM-3</v>
      </c>
      <c r="J86" s="15">
        <f>'Bulk Plant Input'!$A$29</f>
        <v>0</v>
      </c>
      <c r="K86" s="15">
        <f>'Bulk Plant Input'!$A$30</f>
        <v>0</v>
      </c>
      <c r="L86" s="15">
        <f>'Bulk Plant Input'!$A$31</f>
        <v>0</v>
      </c>
      <c r="M86" s="15">
        <f>'Bulk Plant Input'!$A$32</f>
        <v>0</v>
      </c>
      <c r="N86" s="15">
        <f>'Bulk Plant Input'!$A$33</f>
        <v>0</v>
      </c>
      <c r="O86" s="15">
        <f>'Bulk Plant Input'!$A$34</f>
        <v>0</v>
      </c>
      <c r="P86" s="15">
        <f>'Bulk Plant Input'!$A$35</f>
        <v>0</v>
      </c>
      <c r="Q86" s="15">
        <f>'Bulk Plant Input'!$A$36</f>
        <v>0</v>
      </c>
      <c r="R86" s="15">
        <f>'Bulk Plant Input'!$A$37</f>
        <v>0</v>
      </c>
      <c r="S86" s="15">
        <v>1</v>
      </c>
      <c r="U86" s="1"/>
      <c r="V86" s="1"/>
      <c r="W86" s="1"/>
      <c r="X86" s="1"/>
      <c r="Y86" s="1"/>
      <c r="Z86" s="1"/>
      <c r="AA86" s="1"/>
      <c r="AB86" s="1"/>
    </row>
    <row r="87" spans="1:28" ht="15.75" x14ac:dyDescent="0.25">
      <c r="A87" s="120" t="str">
        <f>'Base Blend Property Calculation'!A91</f>
        <v>PRODUCTIONmix LW</v>
      </c>
      <c r="B87" s="97">
        <f t="shared" si="1"/>
        <v>0</v>
      </c>
      <c r="C87" s="97">
        <f>COUNTIF('Bulk Plant Input'!$A$23:$A$37,'Base Blend Property Calculation'!BV91)+COUNTIF('Bulk Plant Input'!$A$23:$A$37,'Base Blend Property Calculation'!BW91)+COUNTIF('Bulk Plant Input'!$A$23:$A$37,'Base Blend Property Calculation'!BX91)+COUNTIF('Bulk Plant Input'!$A$23:$A$37,'Base Blend Property Calculation'!BY91)+COUNTIF('Bulk Plant Input'!$A$23:$A$37,'Base Blend Property Calculation'!BZ91)</f>
        <v>0</v>
      </c>
      <c r="D87" s="15" t="str">
        <f>'Bulk Plant Input'!$A$23</f>
        <v>CFR-5</v>
      </c>
      <c r="E87" s="15" t="str">
        <f>'Bulk Plant Input'!$A$24</f>
        <v>CFL-4</v>
      </c>
      <c r="F87" s="15" t="str">
        <f>'Bulk Plant Input'!$A$25</f>
        <v>FWC-2</v>
      </c>
      <c r="G87" s="15" t="str">
        <f>'Bulk Plant Input'!$A$26</f>
        <v>LTR</v>
      </c>
      <c r="H87" s="15" t="str">
        <f>'Bulk Plant Input'!$A$27</f>
        <v>CDF-6P</v>
      </c>
      <c r="I87" s="15" t="str">
        <f>'Bulk Plant Input'!$A$28</f>
        <v>ASM-3</v>
      </c>
      <c r="J87" s="15">
        <f>'Bulk Plant Input'!$A$29</f>
        <v>0</v>
      </c>
      <c r="K87" s="15">
        <f>'Bulk Plant Input'!$A$30</f>
        <v>0</v>
      </c>
      <c r="L87" s="15">
        <f>'Bulk Plant Input'!$A$31</f>
        <v>0</v>
      </c>
      <c r="M87" s="15">
        <f>'Bulk Plant Input'!$A$32</f>
        <v>0</v>
      </c>
      <c r="N87" s="15">
        <f>'Bulk Plant Input'!$A$33</f>
        <v>0</v>
      </c>
      <c r="O87" s="15">
        <f>'Bulk Plant Input'!$A$34</f>
        <v>0</v>
      </c>
      <c r="P87" s="15">
        <f>'Bulk Plant Input'!$A$35</f>
        <v>0</v>
      </c>
      <c r="Q87" s="15">
        <f>'Bulk Plant Input'!$A$36</f>
        <v>0</v>
      </c>
      <c r="R87" s="15">
        <f>'Bulk Plant Input'!$A$37</f>
        <v>0</v>
      </c>
      <c r="S87" s="15">
        <v>1</v>
      </c>
      <c r="U87" s="1"/>
      <c r="V87" s="1"/>
      <c r="W87" s="1"/>
      <c r="X87" s="1"/>
      <c r="Y87" s="1"/>
      <c r="Z87" s="1"/>
      <c r="AA87" s="1"/>
      <c r="AB87" s="1"/>
    </row>
    <row r="88" spans="1:28" ht="15.75" x14ac:dyDescent="0.25">
      <c r="A88" s="120" t="str">
        <f>'Base Blend Property Calculation'!A92</f>
        <v>PRODUCTIONmix LW (SK)</v>
      </c>
      <c r="B88" s="97">
        <f t="shared" si="1"/>
        <v>0</v>
      </c>
      <c r="C88" s="97">
        <f>COUNTIF('Bulk Plant Input'!$A$23:$A$37,'Base Blend Property Calculation'!BV92)+COUNTIF('Bulk Plant Input'!$A$23:$A$37,'Base Blend Property Calculation'!BW92)+COUNTIF('Bulk Plant Input'!$A$23:$A$37,'Base Blend Property Calculation'!BX92)+COUNTIF('Bulk Plant Input'!$A$23:$A$37,'Base Blend Property Calculation'!BY92)+COUNTIF('Bulk Plant Input'!$A$23:$A$37,'Base Blend Property Calculation'!BZ92)</f>
        <v>0</v>
      </c>
      <c r="D88" s="15" t="str">
        <f>'Bulk Plant Input'!$A$23</f>
        <v>CFR-5</v>
      </c>
      <c r="E88" s="15" t="str">
        <f>'Bulk Plant Input'!$A$24</f>
        <v>CFL-4</v>
      </c>
      <c r="F88" s="15" t="str">
        <f>'Bulk Plant Input'!$A$25</f>
        <v>FWC-2</v>
      </c>
      <c r="G88" s="15" t="str">
        <f>'Bulk Plant Input'!$A$26</f>
        <v>LTR</v>
      </c>
      <c r="H88" s="15" t="str">
        <f>'Bulk Plant Input'!$A$27</f>
        <v>CDF-6P</v>
      </c>
      <c r="I88" s="15" t="str">
        <f>'Bulk Plant Input'!$A$28</f>
        <v>ASM-3</v>
      </c>
      <c r="J88" s="15">
        <f>'Bulk Plant Input'!$A$29</f>
        <v>0</v>
      </c>
      <c r="K88" s="15">
        <f>'Bulk Plant Input'!$A$30</f>
        <v>0</v>
      </c>
      <c r="L88" s="15">
        <f>'Bulk Plant Input'!$A$31</f>
        <v>0</v>
      </c>
      <c r="M88" s="15">
        <f>'Bulk Plant Input'!$A$32</f>
        <v>0</v>
      </c>
      <c r="N88" s="15">
        <f>'Bulk Plant Input'!$A$33</f>
        <v>0</v>
      </c>
      <c r="O88" s="15">
        <f>'Bulk Plant Input'!$A$34</f>
        <v>0</v>
      </c>
      <c r="P88" s="15">
        <f>'Bulk Plant Input'!$A$35</f>
        <v>0</v>
      </c>
      <c r="Q88" s="15">
        <f>'Bulk Plant Input'!$A$36</f>
        <v>0</v>
      </c>
      <c r="R88" s="15">
        <f>'Bulk Plant Input'!$A$37</f>
        <v>0</v>
      </c>
      <c r="S88" s="15">
        <v>1</v>
      </c>
      <c r="U88" s="1"/>
      <c r="V88" s="1"/>
      <c r="W88" s="1"/>
      <c r="X88" s="1"/>
      <c r="Y88" s="1"/>
      <c r="Z88" s="1"/>
      <c r="AA88" s="1"/>
      <c r="AB88" s="1"/>
    </row>
    <row r="89" spans="1:28" ht="15.75" x14ac:dyDescent="0.25">
      <c r="A89" s="120" t="str">
        <f>'Base Blend Property Calculation'!A93</f>
        <v>PRODUCTIONmix LW PRO</v>
      </c>
      <c r="B89" s="97">
        <f t="shared" si="1"/>
        <v>0</v>
      </c>
      <c r="C89" s="97">
        <f>COUNTIF('Bulk Plant Input'!$A$23:$A$37,'Base Blend Property Calculation'!BV93)+COUNTIF('Bulk Plant Input'!$A$23:$A$37,'Base Blend Property Calculation'!BW93)+COUNTIF('Bulk Plant Input'!$A$23:$A$37,'Base Blend Property Calculation'!BX93)+COUNTIF('Bulk Plant Input'!$A$23:$A$37,'Base Blend Property Calculation'!BY93)+COUNTIF('Bulk Plant Input'!$A$23:$A$37,'Base Blend Property Calculation'!BZ93)</f>
        <v>0</v>
      </c>
      <c r="D89" s="15" t="str">
        <f>'Bulk Plant Input'!$A$23</f>
        <v>CFR-5</v>
      </c>
      <c r="E89" s="15" t="str">
        <f>'Bulk Plant Input'!$A$24</f>
        <v>CFL-4</v>
      </c>
      <c r="F89" s="15" t="str">
        <f>'Bulk Plant Input'!$A$25</f>
        <v>FWC-2</v>
      </c>
      <c r="G89" s="15" t="str">
        <f>'Bulk Plant Input'!$A$26</f>
        <v>LTR</v>
      </c>
      <c r="H89" s="15" t="str">
        <f>'Bulk Plant Input'!$A$27</f>
        <v>CDF-6P</v>
      </c>
      <c r="I89" s="15" t="str">
        <f>'Bulk Plant Input'!$A$28</f>
        <v>ASM-3</v>
      </c>
      <c r="J89" s="15">
        <f>'Bulk Plant Input'!$A$29</f>
        <v>0</v>
      </c>
      <c r="K89" s="15">
        <f>'Bulk Plant Input'!$A$30</f>
        <v>0</v>
      </c>
      <c r="L89" s="15">
        <f>'Bulk Plant Input'!$A$31</f>
        <v>0</v>
      </c>
      <c r="M89" s="15">
        <f>'Bulk Plant Input'!$A$32</f>
        <v>0</v>
      </c>
      <c r="N89" s="15">
        <f>'Bulk Plant Input'!$A$33</f>
        <v>0</v>
      </c>
      <c r="O89" s="15">
        <f>'Bulk Plant Input'!$A$34</f>
        <v>0</v>
      </c>
      <c r="P89" s="15">
        <f>'Bulk Plant Input'!$A$35</f>
        <v>0</v>
      </c>
      <c r="Q89" s="15">
        <f>'Bulk Plant Input'!$A$36</f>
        <v>0</v>
      </c>
      <c r="R89" s="15">
        <f>'Bulk Plant Input'!$A$37</f>
        <v>0</v>
      </c>
      <c r="S89" s="15">
        <v>1</v>
      </c>
      <c r="U89" s="1"/>
      <c r="V89" s="1"/>
      <c r="W89" s="1"/>
      <c r="X89" s="1"/>
      <c r="Y89" s="1"/>
      <c r="Z89" s="1"/>
      <c r="AA89" s="1"/>
      <c r="AB89" s="1"/>
    </row>
    <row r="90" spans="1:28" ht="15.75" x14ac:dyDescent="0.25">
      <c r="A90" s="120" t="str">
        <f>'Base Blend Property Calculation'!A94</f>
        <v>PRODUCTIONmix THX</v>
      </c>
      <c r="B90" s="97">
        <f t="shared" si="1"/>
        <v>0</v>
      </c>
      <c r="C90" s="97">
        <f>COUNTIF('Bulk Plant Input'!$A$23:$A$37,'Base Blend Property Calculation'!BV94)+COUNTIF('Bulk Plant Input'!$A$23:$A$37,'Base Blend Property Calculation'!BW94)+COUNTIF('Bulk Plant Input'!$A$23:$A$37,'Base Blend Property Calculation'!BX94)+COUNTIF('Bulk Plant Input'!$A$23:$A$37,'Base Blend Property Calculation'!BY94)+COUNTIF('Bulk Plant Input'!$A$23:$A$37,'Base Blend Property Calculation'!BZ94)</f>
        <v>0</v>
      </c>
      <c r="D90" s="15" t="str">
        <f>'Bulk Plant Input'!$A$23</f>
        <v>CFR-5</v>
      </c>
      <c r="E90" s="15" t="str">
        <f>'Bulk Plant Input'!$A$24</f>
        <v>CFL-4</v>
      </c>
      <c r="F90" s="15" t="str">
        <f>'Bulk Plant Input'!$A$25</f>
        <v>FWC-2</v>
      </c>
      <c r="G90" s="15" t="str">
        <f>'Bulk Plant Input'!$A$26</f>
        <v>LTR</v>
      </c>
      <c r="H90" s="15" t="str">
        <f>'Bulk Plant Input'!$A$27</f>
        <v>CDF-6P</v>
      </c>
      <c r="I90" s="15" t="str">
        <f>'Bulk Plant Input'!$A$28</f>
        <v>ASM-3</v>
      </c>
      <c r="J90" s="15">
        <f>'Bulk Plant Input'!$A$29</f>
        <v>0</v>
      </c>
      <c r="K90" s="15">
        <f>'Bulk Plant Input'!$A$30</f>
        <v>0</v>
      </c>
      <c r="L90" s="15">
        <f>'Bulk Plant Input'!$A$31</f>
        <v>0</v>
      </c>
      <c r="M90" s="15">
        <f>'Bulk Plant Input'!$A$32</f>
        <v>0</v>
      </c>
      <c r="N90" s="15">
        <f>'Bulk Plant Input'!$A$33</f>
        <v>0</v>
      </c>
      <c r="O90" s="15">
        <f>'Bulk Plant Input'!$A$34</f>
        <v>0</v>
      </c>
      <c r="P90" s="15">
        <f>'Bulk Plant Input'!$A$35</f>
        <v>0</v>
      </c>
      <c r="Q90" s="15">
        <f>'Bulk Plant Input'!$A$36</f>
        <v>0</v>
      </c>
      <c r="R90" s="15">
        <f>'Bulk Plant Input'!$A$37</f>
        <v>0</v>
      </c>
      <c r="S90" s="15">
        <v>1</v>
      </c>
      <c r="U90" s="1"/>
      <c r="V90" s="1"/>
      <c r="W90" s="1"/>
      <c r="X90" s="1"/>
      <c r="Y90" s="1"/>
      <c r="Z90" s="1"/>
      <c r="AA90" s="1"/>
      <c r="AB90" s="1"/>
    </row>
    <row r="91" spans="1:28" ht="15.75" x14ac:dyDescent="0.25">
      <c r="A91" s="120" t="str">
        <f>'Base Blend Property Calculation'!A95</f>
        <v>Prolite 13</v>
      </c>
      <c r="B91" s="97">
        <f t="shared" si="1"/>
        <v>0</v>
      </c>
      <c r="C91" s="97">
        <f>COUNTIF('Bulk Plant Input'!$A$23:$A$37,'Base Blend Property Calculation'!BV95)+COUNTIF('Bulk Plant Input'!$A$23:$A$37,'Base Blend Property Calculation'!BW95)+COUNTIF('Bulk Plant Input'!$A$23:$A$37,'Base Blend Property Calculation'!BX95)+COUNTIF('Bulk Plant Input'!$A$23:$A$37,'Base Blend Property Calculation'!BY95)+COUNTIF('Bulk Plant Input'!$A$23:$A$37,'Base Blend Property Calculation'!BZ95)</f>
        <v>0</v>
      </c>
      <c r="D91" s="15" t="str">
        <f>'Bulk Plant Input'!$A$23</f>
        <v>CFR-5</v>
      </c>
      <c r="E91" s="15" t="str">
        <f>'Bulk Plant Input'!$A$24</f>
        <v>CFL-4</v>
      </c>
      <c r="F91" s="15" t="str">
        <f>'Bulk Plant Input'!$A$25</f>
        <v>FWC-2</v>
      </c>
      <c r="G91" s="15" t="str">
        <f>'Bulk Plant Input'!$A$26</f>
        <v>LTR</v>
      </c>
      <c r="H91" s="15" t="str">
        <f>'Bulk Plant Input'!$A$27</f>
        <v>CDF-6P</v>
      </c>
      <c r="I91" s="15" t="str">
        <f>'Bulk Plant Input'!$A$28</f>
        <v>ASM-3</v>
      </c>
      <c r="J91" s="15">
        <f>'Bulk Plant Input'!$A$29</f>
        <v>0</v>
      </c>
      <c r="K91" s="15">
        <f>'Bulk Plant Input'!$A$30</f>
        <v>0</v>
      </c>
      <c r="L91" s="15">
        <f>'Bulk Plant Input'!$A$31</f>
        <v>0</v>
      </c>
      <c r="M91" s="15">
        <f>'Bulk Plant Input'!$A$32</f>
        <v>0</v>
      </c>
      <c r="N91" s="15">
        <f>'Bulk Plant Input'!$A$33</f>
        <v>0</v>
      </c>
      <c r="O91" s="15">
        <f>'Bulk Plant Input'!$A$34</f>
        <v>0</v>
      </c>
      <c r="P91" s="15">
        <f>'Bulk Plant Input'!$A$35</f>
        <v>0</v>
      </c>
      <c r="Q91" s="15">
        <f>'Bulk Plant Input'!$A$36</f>
        <v>0</v>
      </c>
      <c r="R91" s="15">
        <f>'Bulk Plant Input'!$A$37</f>
        <v>0</v>
      </c>
      <c r="S91" s="15">
        <v>0</v>
      </c>
      <c r="U91" s="1"/>
      <c r="V91" s="1"/>
      <c r="W91" s="1"/>
      <c r="X91" s="1"/>
      <c r="Y91" s="1"/>
      <c r="Z91" s="1"/>
      <c r="AA91" s="1"/>
      <c r="AB91" s="1"/>
    </row>
    <row r="92" spans="1:28" ht="15.75" x14ac:dyDescent="0.25">
      <c r="A92" s="120" t="str">
        <f>'Base Blend Property Calculation'!A96</f>
        <v>Prolite 14</v>
      </c>
      <c r="B92" s="97">
        <f t="shared" si="1"/>
        <v>0</v>
      </c>
      <c r="C92" s="97">
        <f>COUNTIF('Bulk Plant Input'!$A$23:$A$37,'Base Blend Property Calculation'!BV96)+COUNTIF('Bulk Plant Input'!$A$23:$A$37,'Base Blend Property Calculation'!BW96)+COUNTIF('Bulk Plant Input'!$A$23:$A$37,'Base Blend Property Calculation'!BX96)+COUNTIF('Bulk Plant Input'!$A$23:$A$37,'Base Blend Property Calculation'!BY96)+COUNTIF('Bulk Plant Input'!$A$23:$A$37,'Base Blend Property Calculation'!BZ96)</f>
        <v>0</v>
      </c>
      <c r="D92" s="15" t="str">
        <f>'Bulk Plant Input'!$A$23</f>
        <v>CFR-5</v>
      </c>
      <c r="E92" s="15" t="str">
        <f>'Bulk Plant Input'!$A$24</f>
        <v>CFL-4</v>
      </c>
      <c r="F92" s="15" t="str">
        <f>'Bulk Plant Input'!$A$25</f>
        <v>FWC-2</v>
      </c>
      <c r="G92" s="15" t="str">
        <f>'Bulk Plant Input'!$A$26</f>
        <v>LTR</v>
      </c>
      <c r="H92" s="15" t="str">
        <f>'Bulk Plant Input'!$A$27</f>
        <v>CDF-6P</v>
      </c>
      <c r="I92" s="15" t="str">
        <f>'Bulk Plant Input'!$A$28</f>
        <v>ASM-3</v>
      </c>
      <c r="J92" s="15">
        <f>'Bulk Plant Input'!$A$29</f>
        <v>0</v>
      </c>
      <c r="K92" s="15">
        <f>'Bulk Plant Input'!$A$30</f>
        <v>0</v>
      </c>
      <c r="L92" s="15">
        <f>'Bulk Plant Input'!$A$31</f>
        <v>0</v>
      </c>
      <c r="M92" s="15">
        <f>'Bulk Plant Input'!$A$32</f>
        <v>0</v>
      </c>
      <c r="N92" s="15">
        <f>'Bulk Plant Input'!$A$33</f>
        <v>0</v>
      </c>
      <c r="O92" s="15">
        <f>'Bulk Plant Input'!$A$34</f>
        <v>0</v>
      </c>
      <c r="P92" s="15">
        <f>'Bulk Plant Input'!$A$35</f>
        <v>0</v>
      </c>
      <c r="Q92" s="15">
        <f>'Bulk Plant Input'!$A$36</f>
        <v>0</v>
      </c>
      <c r="R92" s="15">
        <f>'Bulk Plant Input'!$A$37</f>
        <v>0</v>
      </c>
      <c r="S92" s="15">
        <v>0</v>
      </c>
      <c r="U92" s="1"/>
      <c r="V92" s="1"/>
      <c r="W92" s="1"/>
      <c r="X92" s="1"/>
      <c r="Y92" s="1"/>
      <c r="Z92" s="1"/>
      <c r="AA92" s="1"/>
      <c r="AB92" s="1"/>
    </row>
    <row r="93" spans="1:28" ht="15.75" x14ac:dyDescent="0.25">
      <c r="A93" s="120" t="str">
        <f>'Base Blend Property Calculation'!A97</f>
        <v>Proteus Core</v>
      </c>
      <c r="B93" s="97">
        <f t="shared" si="1"/>
        <v>0</v>
      </c>
      <c r="C93" s="97">
        <f>COUNTIF('Bulk Plant Input'!$A$23:$A$37,'Base Blend Property Calculation'!BV97)+COUNTIF('Bulk Plant Input'!$A$23:$A$37,'Base Blend Property Calculation'!BW97)+COUNTIF('Bulk Plant Input'!$A$23:$A$37,'Base Blend Property Calculation'!BX97)+COUNTIF('Bulk Plant Input'!$A$23:$A$37,'Base Blend Property Calculation'!BY97)+COUNTIF('Bulk Plant Input'!$A$23:$A$37,'Base Blend Property Calculation'!BZ97)</f>
        <v>0</v>
      </c>
      <c r="D93" s="15" t="str">
        <f>'Bulk Plant Input'!$A$23</f>
        <v>CFR-5</v>
      </c>
      <c r="E93" s="15" t="str">
        <f>'Bulk Plant Input'!$A$24</f>
        <v>CFL-4</v>
      </c>
      <c r="F93" s="15" t="str">
        <f>'Bulk Plant Input'!$A$25</f>
        <v>FWC-2</v>
      </c>
      <c r="G93" s="15" t="str">
        <f>'Bulk Plant Input'!$A$26</f>
        <v>LTR</v>
      </c>
      <c r="H93" s="15" t="str">
        <f>'Bulk Plant Input'!$A$27</f>
        <v>CDF-6P</v>
      </c>
      <c r="I93" s="15" t="str">
        <f>'Bulk Plant Input'!$A$28</f>
        <v>ASM-3</v>
      </c>
      <c r="J93" s="15">
        <f>'Bulk Plant Input'!$A$29</f>
        <v>0</v>
      </c>
      <c r="K93" s="15">
        <f>'Bulk Plant Input'!$A$30</f>
        <v>0</v>
      </c>
      <c r="L93" s="15">
        <f>'Bulk Plant Input'!$A$31</f>
        <v>0</v>
      </c>
      <c r="M93" s="15">
        <f>'Bulk Plant Input'!$A$32</f>
        <v>0</v>
      </c>
      <c r="N93" s="15">
        <f>'Bulk Plant Input'!$A$33</f>
        <v>0</v>
      </c>
      <c r="O93" s="15">
        <f>'Bulk Plant Input'!$A$34</f>
        <v>0</v>
      </c>
      <c r="P93" s="15">
        <f>'Bulk Plant Input'!$A$35</f>
        <v>0</v>
      </c>
      <c r="Q93" s="15">
        <f>'Bulk Plant Input'!$A$36</f>
        <v>0</v>
      </c>
      <c r="R93" s="15">
        <f>'Bulk Plant Input'!$A$37</f>
        <v>0</v>
      </c>
      <c r="S93" s="15">
        <v>0</v>
      </c>
      <c r="U93" s="1"/>
      <c r="V93" s="1"/>
      <c r="W93" s="1"/>
      <c r="X93" s="1"/>
      <c r="Y93" s="1"/>
      <c r="Z93" s="1"/>
      <c r="AA93" s="1"/>
      <c r="AB93" s="1"/>
    </row>
    <row r="94" spans="1:28" ht="15.75" x14ac:dyDescent="0.25">
      <c r="A94" s="120" t="str">
        <f>'Base Blend Property Calculation'!A98</f>
        <v>Proteus GLS @ 1300</v>
      </c>
      <c r="B94" s="97">
        <f t="shared" si="1"/>
        <v>0</v>
      </c>
      <c r="C94" s="97">
        <f>COUNTIF('Bulk Plant Input'!$A$23:$A$37,'Base Blend Property Calculation'!BV98)+COUNTIF('Bulk Plant Input'!$A$23:$A$37,'Base Blend Property Calculation'!BW98)+COUNTIF('Bulk Plant Input'!$A$23:$A$37,'Base Blend Property Calculation'!BX98)+COUNTIF('Bulk Plant Input'!$A$23:$A$37,'Base Blend Property Calculation'!BY98)+COUNTIF('Bulk Plant Input'!$A$23:$A$37,'Base Blend Property Calculation'!BZ98)</f>
        <v>0</v>
      </c>
      <c r="D94" s="15" t="str">
        <f>'Bulk Plant Input'!$A$23</f>
        <v>CFR-5</v>
      </c>
      <c r="E94" s="15" t="str">
        <f>'Bulk Plant Input'!$A$24</f>
        <v>CFL-4</v>
      </c>
      <c r="F94" s="15" t="str">
        <f>'Bulk Plant Input'!$A$25</f>
        <v>FWC-2</v>
      </c>
      <c r="G94" s="15" t="str">
        <f>'Bulk Plant Input'!$A$26</f>
        <v>LTR</v>
      </c>
      <c r="H94" s="15" t="str">
        <f>'Bulk Plant Input'!$A$27</f>
        <v>CDF-6P</v>
      </c>
      <c r="I94" s="15" t="str">
        <f>'Bulk Plant Input'!$A$28</f>
        <v>ASM-3</v>
      </c>
      <c r="J94" s="15">
        <f>'Bulk Plant Input'!$A$29</f>
        <v>0</v>
      </c>
      <c r="K94" s="15">
        <f>'Bulk Plant Input'!$A$30</f>
        <v>0</v>
      </c>
      <c r="L94" s="15">
        <f>'Bulk Plant Input'!$A$31</f>
        <v>0</v>
      </c>
      <c r="M94" s="15">
        <f>'Bulk Plant Input'!$A$32</f>
        <v>0</v>
      </c>
      <c r="N94" s="15">
        <f>'Bulk Plant Input'!$A$33</f>
        <v>0</v>
      </c>
      <c r="O94" s="15">
        <f>'Bulk Plant Input'!$A$34</f>
        <v>0</v>
      </c>
      <c r="P94" s="15">
        <f>'Bulk Plant Input'!$A$35</f>
        <v>0</v>
      </c>
      <c r="Q94" s="15">
        <f>'Bulk Plant Input'!$A$36</f>
        <v>0</v>
      </c>
      <c r="R94" s="15">
        <f>'Bulk Plant Input'!$A$37</f>
        <v>0</v>
      </c>
      <c r="S94" s="15">
        <v>0</v>
      </c>
      <c r="U94" s="1"/>
      <c r="V94" s="1"/>
      <c r="W94" s="1"/>
      <c r="X94" s="1"/>
      <c r="Y94" s="1"/>
      <c r="Z94" s="1"/>
      <c r="AA94" s="1"/>
      <c r="AB94" s="1"/>
    </row>
    <row r="95" spans="1:28" ht="15.75" x14ac:dyDescent="0.25">
      <c r="A95" s="120" t="str">
        <f>'Base Blend Property Calculation'!A99</f>
        <v>Proteus GLS @ 1350</v>
      </c>
      <c r="B95" s="97">
        <f t="shared" si="1"/>
        <v>0</v>
      </c>
      <c r="C95" s="97">
        <f>COUNTIF('Bulk Plant Input'!$A$23:$A$37,'Base Blend Property Calculation'!BV99)+COUNTIF('Bulk Plant Input'!$A$23:$A$37,'Base Blend Property Calculation'!BW99)+COUNTIF('Bulk Plant Input'!$A$23:$A$37,'Base Blend Property Calculation'!BX99)+COUNTIF('Bulk Plant Input'!$A$23:$A$37,'Base Blend Property Calculation'!BY99)+COUNTIF('Bulk Plant Input'!$A$23:$A$37,'Base Blend Property Calculation'!BZ99)</f>
        <v>0</v>
      </c>
      <c r="D95" s="15" t="str">
        <f>'Bulk Plant Input'!$A$23</f>
        <v>CFR-5</v>
      </c>
      <c r="E95" s="15" t="str">
        <f>'Bulk Plant Input'!$A$24</f>
        <v>CFL-4</v>
      </c>
      <c r="F95" s="15" t="str">
        <f>'Bulk Plant Input'!$A$25</f>
        <v>FWC-2</v>
      </c>
      <c r="G95" s="15" t="str">
        <f>'Bulk Plant Input'!$A$26</f>
        <v>LTR</v>
      </c>
      <c r="H95" s="15" t="str">
        <f>'Bulk Plant Input'!$A$27</f>
        <v>CDF-6P</v>
      </c>
      <c r="I95" s="15" t="str">
        <f>'Bulk Plant Input'!$A$28</f>
        <v>ASM-3</v>
      </c>
      <c r="J95" s="15">
        <f>'Bulk Plant Input'!$A$29</f>
        <v>0</v>
      </c>
      <c r="K95" s="15">
        <f>'Bulk Plant Input'!$A$30</f>
        <v>0</v>
      </c>
      <c r="L95" s="15">
        <f>'Bulk Plant Input'!$A$31</f>
        <v>0</v>
      </c>
      <c r="M95" s="15">
        <f>'Bulk Plant Input'!$A$32</f>
        <v>0</v>
      </c>
      <c r="N95" s="15">
        <f>'Bulk Plant Input'!$A$33</f>
        <v>0</v>
      </c>
      <c r="O95" s="15">
        <f>'Bulk Plant Input'!$A$34</f>
        <v>0</v>
      </c>
      <c r="P95" s="15">
        <f>'Bulk Plant Input'!$A$35</f>
        <v>0</v>
      </c>
      <c r="Q95" s="15">
        <f>'Bulk Plant Input'!$A$36</f>
        <v>0</v>
      </c>
      <c r="R95" s="15">
        <f>'Bulk Plant Input'!$A$37</f>
        <v>0</v>
      </c>
      <c r="S95" s="15">
        <v>0</v>
      </c>
      <c r="U95" s="1"/>
      <c r="V95" s="1"/>
      <c r="W95" s="1"/>
      <c r="X95" s="1"/>
      <c r="Y95" s="1"/>
      <c r="Z95" s="1"/>
      <c r="AA95" s="1"/>
      <c r="AB95" s="1"/>
    </row>
    <row r="96" spans="1:28" ht="15.75" x14ac:dyDescent="0.25">
      <c r="A96" s="120" t="str">
        <f>'Base Blend Property Calculation'!A100</f>
        <v>Proteus GLS @ 1400</v>
      </c>
      <c r="B96" s="97">
        <f t="shared" si="1"/>
        <v>0</v>
      </c>
      <c r="C96" s="97">
        <f>COUNTIF('Bulk Plant Input'!$A$23:$A$37,'Base Blend Property Calculation'!BV100)+COUNTIF('Bulk Plant Input'!$A$23:$A$37,'Base Blend Property Calculation'!BW100)+COUNTIF('Bulk Plant Input'!$A$23:$A$37,'Base Blend Property Calculation'!BX100)+COUNTIF('Bulk Plant Input'!$A$23:$A$37,'Base Blend Property Calculation'!BY100)+COUNTIF('Bulk Plant Input'!$A$23:$A$37,'Base Blend Property Calculation'!BZ100)</f>
        <v>0</v>
      </c>
      <c r="D96" s="15" t="str">
        <f>'Bulk Plant Input'!$A$23</f>
        <v>CFR-5</v>
      </c>
      <c r="E96" s="15" t="str">
        <f>'Bulk Plant Input'!$A$24</f>
        <v>CFL-4</v>
      </c>
      <c r="F96" s="15" t="str">
        <f>'Bulk Plant Input'!$A$25</f>
        <v>FWC-2</v>
      </c>
      <c r="G96" s="15" t="str">
        <f>'Bulk Plant Input'!$A$26</f>
        <v>LTR</v>
      </c>
      <c r="H96" s="15" t="str">
        <f>'Bulk Plant Input'!$A$27</f>
        <v>CDF-6P</v>
      </c>
      <c r="I96" s="15" t="str">
        <f>'Bulk Plant Input'!$A$28</f>
        <v>ASM-3</v>
      </c>
      <c r="J96" s="15">
        <f>'Bulk Plant Input'!$A$29</f>
        <v>0</v>
      </c>
      <c r="K96" s="15">
        <f>'Bulk Plant Input'!$A$30</f>
        <v>0</v>
      </c>
      <c r="L96" s="15">
        <f>'Bulk Plant Input'!$A$31</f>
        <v>0</v>
      </c>
      <c r="M96" s="15">
        <f>'Bulk Plant Input'!$A$32</f>
        <v>0</v>
      </c>
      <c r="N96" s="15">
        <f>'Bulk Plant Input'!$A$33</f>
        <v>0</v>
      </c>
      <c r="O96" s="15">
        <f>'Bulk Plant Input'!$A$34</f>
        <v>0</v>
      </c>
      <c r="P96" s="15">
        <f>'Bulk Plant Input'!$A$35</f>
        <v>0</v>
      </c>
      <c r="Q96" s="15">
        <f>'Bulk Plant Input'!$A$36</f>
        <v>0</v>
      </c>
      <c r="R96" s="15">
        <f>'Bulk Plant Input'!$A$37</f>
        <v>0</v>
      </c>
      <c r="S96" s="15">
        <v>0</v>
      </c>
      <c r="U96" s="1"/>
      <c r="V96" s="1"/>
      <c r="W96" s="1"/>
      <c r="X96" s="1"/>
      <c r="Y96" s="1"/>
      <c r="Z96" s="1"/>
      <c r="AA96" s="1"/>
      <c r="AB96" s="1"/>
    </row>
    <row r="97" spans="1:28" ht="15.75" x14ac:dyDescent="0.25">
      <c r="A97" s="120" t="str">
        <f>'Base Blend Property Calculation'!A101</f>
        <v>Proteus GLS @ 1400 (CDM-5)</v>
      </c>
      <c r="B97" s="97">
        <f t="shared" si="1"/>
        <v>0</v>
      </c>
      <c r="C97" s="97">
        <f>COUNTIF('Bulk Plant Input'!$A$23:$A$37,'Base Blend Property Calculation'!BV101)+COUNTIF('Bulk Plant Input'!$A$23:$A$37,'Base Blend Property Calculation'!BW101)+COUNTIF('Bulk Plant Input'!$A$23:$A$37,'Base Blend Property Calculation'!BX101)+COUNTIF('Bulk Plant Input'!$A$23:$A$37,'Base Blend Property Calculation'!BY101)+COUNTIF('Bulk Plant Input'!$A$23:$A$37,'Base Blend Property Calculation'!BZ101)</f>
        <v>0</v>
      </c>
      <c r="D97" s="15" t="str">
        <f>'Bulk Plant Input'!$A$23</f>
        <v>CFR-5</v>
      </c>
      <c r="E97" s="15" t="str">
        <f>'Bulk Plant Input'!$A$24</f>
        <v>CFL-4</v>
      </c>
      <c r="F97" s="15" t="str">
        <f>'Bulk Plant Input'!$A$25</f>
        <v>FWC-2</v>
      </c>
      <c r="G97" s="15" t="str">
        <f>'Bulk Plant Input'!$A$26</f>
        <v>LTR</v>
      </c>
      <c r="H97" s="15" t="str">
        <f>'Bulk Plant Input'!$A$27</f>
        <v>CDF-6P</v>
      </c>
      <c r="I97" s="15" t="str">
        <f>'Bulk Plant Input'!$A$28</f>
        <v>ASM-3</v>
      </c>
      <c r="J97" s="15">
        <f>'Bulk Plant Input'!$A$29</f>
        <v>0</v>
      </c>
      <c r="K97" s="15">
        <f>'Bulk Plant Input'!$A$30</f>
        <v>0</v>
      </c>
      <c r="L97" s="15">
        <f>'Bulk Plant Input'!$A$31</f>
        <v>0</v>
      </c>
      <c r="M97" s="15">
        <f>'Bulk Plant Input'!$A$32</f>
        <v>0</v>
      </c>
      <c r="N97" s="15">
        <f>'Bulk Plant Input'!$A$33</f>
        <v>0</v>
      </c>
      <c r="O97" s="15">
        <f>'Bulk Plant Input'!$A$34</f>
        <v>0</v>
      </c>
      <c r="P97" s="15">
        <f>'Bulk Plant Input'!$A$35</f>
        <v>0</v>
      </c>
      <c r="Q97" s="15">
        <f>'Bulk Plant Input'!$A$36</f>
        <v>0</v>
      </c>
      <c r="R97" s="15">
        <f>'Bulk Plant Input'!$A$37</f>
        <v>0</v>
      </c>
      <c r="S97" s="15">
        <v>0</v>
      </c>
      <c r="U97" s="1"/>
      <c r="V97" s="1"/>
      <c r="W97" s="1"/>
      <c r="X97" s="1"/>
      <c r="Y97" s="1"/>
      <c r="Z97" s="1"/>
      <c r="AA97" s="1"/>
      <c r="AB97" s="1"/>
    </row>
    <row r="98" spans="1:28" ht="15.75" x14ac:dyDescent="0.25">
      <c r="A98" s="120" t="str">
        <f>'Base Blend Property Calculation'!A102</f>
        <v>Proteus LCS</v>
      </c>
      <c r="B98" s="97">
        <f t="shared" si="1"/>
        <v>0</v>
      </c>
      <c r="C98" s="97">
        <f>COUNTIF('Bulk Plant Input'!$A$23:$A$37,'Base Blend Property Calculation'!BV102)+COUNTIF('Bulk Plant Input'!$A$23:$A$37,'Base Blend Property Calculation'!BW102)+COUNTIF('Bulk Plant Input'!$A$23:$A$37,'Base Blend Property Calculation'!BX102)+COUNTIF('Bulk Plant Input'!$A$23:$A$37,'Base Blend Property Calculation'!BY102)+COUNTIF('Bulk Plant Input'!$A$23:$A$37,'Base Blend Property Calculation'!BZ102)</f>
        <v>0</v>
      </c>
      <c r="D98" s="15" t="str">
        <f>'Bulk Plant Input'!$A$23</f>
        <v>CFR-5</v>
      </c>
      <c r="E98" s="15" t="str">
        <f>'Bulk Plant Input'!$A$24</f>
        <v>CFL-4</v>
      </c>
      <c r="F98" s="15" t="str">
        <f>'Bulk Plant Input'!$A$25</f>
        <v>FWC-2</v>
      </c>
      <c r="G98" s="15" t="str">
        <f>'Bulk Plant Input'!$A$26</f>
        <v>LTR</v>
      </c>
      <c r="H98" s="15" t="str">
        <f>'Bulk Plant Input'!$A$27</f>
        <v>CDF-6P</v>
      </c>
      <c r="I98" s="15" t="str">
        <f>'Bulk Plant Input'!$A$28</f>
        <v>ASM-3</v>
      </c>
      <c r="J98" s="15">
        <f>'Bulk Plant Input'!$A$29</f>
        <v>0</v>
      </c>
      <c r="K98" s="15">
        <f>'Bulk Plant Input'!$A$30</f>
        <v>0</v>
      </c>
      <c r="L98" s="15">
        <f>'Bulk Plant Input'!$A$31</f>
        <v>0</v>
      </c>
      <c r="M98" s="15">
        <f>'Bulk Plant Input'!$A$32</f>
        <v>0</v>
      </c>
      <c r="N98" s="15">
        <f>'Bulk Plant Input'!$A$33</f>
        <v>0</v>
      </c>
      <c r="O98" s="15">
        <f>'Bulk Plant Input'!$A$34</f>
        <v>0</v>
      </c>
      <c r="P98" s="15">
        <f>'Bulk Plant Input'!$A$35</f>
        <v>0</v>
      </c>
      <c r="Q98" s="15">
        <f>'Bulk Plant Input'!$A$36</f>
        <v>0</v>
      </c>
      <c r="R98" s="15">
        <f>'Bulk Plant Input'!$A$37</f>
        <v>0</v>
      </c>
      <c r="S98" s="15">
        <v>0</v>
      </c>
      <c r="U98" s="1"/>
      <c r="V98" s="1"/>
      <c r="W98" s="1"/>
      <c r="X98" s="1"/>
      <c r="Y98" s="1"/>
      <c r="Z98" s="1"/>
      <c r="AA98" s="1"/>
      <c r="AB98" s="1"/>
    </row>
    <row r="99" spans="1:28" ht="15.75" x14ac:dyDescent="0.25">
      <c r="A99" s="120" t="str">
        <f>'Base Blend Property Calculation'!A103</f>
        <v>Proteus Pro</v>
      </c>
      <c r="B99" s="97">
        <f t="shared" si="1"/>
        <v>0</v>
      </c>
      <c r="C99" s="97">
        <f>COUNTIF('Bulk Plant Input'!$A$23:$A$37,'Base Blend Property Calculation'!BV103)+COUNTIF('Bulk Plant Input'!$A$23:$A$37,'Base Blend Property Calculation'!BW103)+COUNTIF('Bulk Plant Input'!$A$23:$A$37,'Base Blend Property Calculation'!BX103)+COUNTIF('Bulk Plant Input'!$A$23:$A$37,'Base Blend Property Calculation'!BY103)+COUNTIF('Bulk Plant Input'!$A$23:$A$37,'Base Blend Property Calculation'!BZ103)</f>
        <v>0</v>
      </c>
      <c r="D99" s="15" t="str">
        <f>'Bulk Plant Input'!$A$23</f>
        <v>CFR-5</v>
      </c>
      <c r="E99" s="15" t="str">
        <f>'Bulk Plant Input'!$A$24</f>
        <v>CFL-4</v>
      </c>
      <c r="F99" s="15" t="str">
        <f>'Bulk Plant Input'!$A$25</f>
        <v>FWC-2</v>
      </c>
      <c r="G99" s="15" t="str">
        <f>'Bulk Plant Input'!$A$26</f>
        <v>LTR</v>
      </c>
      <c r="H99" s="15" t="str">
        <f>'Bulk Plant Input'!$A$27</f>
        <v>CDF-6P</v>
      </c>
      <c r="I99" s="15" t="str">
        <f>'Bulk Plant Input'!$A$28</f>
        <v>ASM-3</v>
      </c>
      <c r="J99" s="15">
        <f>'Bulk Plant Input'!$A$29</f>
        <v>0</v>
      </c>
      <c r="K99" s="15">
        <f>'Bulk Plant Input'!$A$30</f>
        <v>0</v>
      </c>
      <c r="L99" s="15">
        <f>'Bulk Plant Input'!$A$31</f>
        <v>0</v>
      </c>
      <c r="M99" s="15">
        <f>'Bulk Plant Input'!$A$32</f>
        <v>0</v>
      </c>
      <c r="N99" s="15">
        <f>'Bulk Plant Input'!$A$33</f>
        <v>0</v>
      </c>
      <c r="O99" s="15">
        <f>'Bulk Plant Input'!$A$34</f>
        <v>0</v>
      </c>
      <c r="P99" s="15">
        <f>'Bulk Plant Input'!$A$35</f>
        <v>0</v>
      </c>
      <c r="Q99" s="15">
        <f>'Bulk Plant Input'!$A$36</f>
        <v>0</v>
      </c>
      <c r="R99" s="15">
        <f>'Bulk Plant Input'!$A$37</f>
        <v>0</v>
      </c>
      <c r="S99" s="15">
        <v>0</v>
      </c>
      <c r="U99" s="1"/>
      <c r="V99" s="1"/>
      <c r="W99" s="1"/>
      <c r="X99" s="1"/>
      <c r="Y99" s="1"/>
      <c r="Z99" s="1"/>
      <c r="AA99" s="1"/>
      <c r="AB99" s="1"/>
    </row>
    <row r="100" spans="1:28" ht="15.75" x14ac:dyDescent="0.25">
      <c r="A100" s="120" t="str">
        <f>'Base Blend Property Calculation'!A104</f>
        <v>RAS II</v>
      </c>
      <c r="B100" s="97">
        <f t="shared" si="1"/>
        <v>0</v>
      </c>
      <c r="C100" s="97">
        <f>COUNTIF('Bulk Plant Input'!$A$23:$A$37,'Base Blend Property Calculation'!BV104)+COUNTIF('Bulk Plant Input'!$A$23:$A$37,'Base Blend Property Calculation'!BW104)+COUNTIF('Bulk Plant Input'!$A$23:$A$37,'Base Blend Property Calculation'!BX104)+COUNTIF('Bulk Plant Input'!$A$23:$A$37,'Base Blend Property Calculation'!BY104)+COUNTIF('Bulk Plant Input'!$A$23:$A$37,'Base Blend Property Calculation'!BZ104)</f>
        <v>0</v>
      </c>
      <c r="D100" s="15" t="str">
        <f>'Bulk Plant Input'!$A$23</f>
        <v>CFR-5</v>
      </c>
      <c r="E100" s="15" t="str">
        <f>'Bulk Plant Input'!$A$24</f>
        <v>CFL-4</v>
      </c>
      <c r="F100" s="15" t="str">
        <f>'Bulk Plant Input'!$A$25</f>
        <v>FWC-2</v>
      </c>
      <c r="G100" s="15" t="str">
        <f>'Bulk Plant Input'!$A$26</f>
        <v>LTR</v>
      </c>
      <c r="H100" s="15" t="str">
        <f>'Bulk Plant Input'!$A$27</f>
        <v>CDF-6P</v>
      </c>
      <c r="I100" s="15" t="str">
        <f>'Bulk Plant Input'!$A$28</f>
        <v>ASM-3</v>
      </c>
      <c r="J100" s="15">
        <f>'Bulk Plant Input'!$A$29</f>
        <v>0</v>
      </c>
      <c r="K100" s="15">
        <f>'Bulk Plant Input'!$A$30</f>
        <v>0</v>
      </c>
      <c r="L100" s="15">
        <f>'Bulk Plant Input'!$A$31</f>
        <v>0</v>
      </c>
      <c r="M100" s="15">
        <f>'Bulk Plant Input'!$A$32</f>
        <v>0</v>
      </c>
      <c r="N100" s="15">
        <f>'Bulk Plant Input'!$A$33</f>
        <v>0</v>
      </c>
      <c r="O100" s="15">
        <f>'Bulk Plant Input'!$A$34</f>
        <v>0</v>
      </c>
      <c r="P100" s="15">
        <f>'Bulk Plant Input'!$A$35</f>
        <v>0</v>
      </c>
      <c r="Q100" s="15">
        <f>'Bulk Plant Input'!$A$36</f>
        <v>0</v>
      </c>
      <c r="R100" s="15">
        <f>'Bulk Plant Input'!$A$37</f>
        <v>0</v>
      </c>
      <c r="S100" s="15">
        <v>0</v>
      </c>
      <c r="U100" s="1"/>
      <c r="V100" s="1"/>
      <c r="W100" s="1"/>
      <c r="X100" s="1"/>
      <c r="Y100" s="1"/>
      <c r="Z100" s="1"/>
      <c r="AA100" s="1"/>
      <c r="AB100" s="1"/>
    </row>
    <row r="101" spans="1:28" ht="15.75" x14ac:dyDescent="0.25">
      <c r="A101" s="120" t="str">
        <f>'Base Blend Property Calculation'!A105</f>
        <v>SanSeal</v>
      </c>
      <c r="B101" s="97">
        <f t="shared" si="1"/>
        <v>0</v>
      </c>
      <c r="C101" s="97">
        <f>COUNTIF('Bulk Plant Input'!$A$23:$A$37,'Base Blend Property Calculation'!BV105)+COUNTIF('Bulk Plant Input'!$A$23:$A$37,'Base Blend Property Calculation'!BW105)+COUNTIF('Bulk Plant Input'!$A$23:$A$37,'Base Blend Property Calculation'!BX105)+COUNTIF('Bulk Plant Input'!$A$23:$A$37,'Base Blend Property Calculation'!BY105)+COUNTIF('Bulk Plant Input'!$A$23:$A$37,'Base Blend Property Calculation'!BZ105)</f>
        <v>0</v>
      </c>
      <c r="D101" s="15" t="str">
        <f>'Bulk Plant Input'!$A$23</f>
        <v>CFR-5</v>
      </c>
      <c r="E101" s="15" t="str">
        <f>'Bulk Plant Input'!$A$24</f>
        <v>CFL-4</v>
      </c>
      <c r="F101" s="15" t="str">
        <f>'Bulk Plant Input'!$A$25</f>
        <v>FWC-2</v>
      </c>
      <c r="G101" s="15" t="str">
        <f>'Bulk Plant Input'!$A$26</f>
        <v>LTR</v>
      </c>
      <c r="H101" s="15" t="str">
        <f>'Bulk Plant Input'!$A$27</f>
        <v>CDF-6P</v>
      </c>
      <c r="I101" s="15" t="str">
        <f>'Bulk Plant Input'!$A$28</f>
        <v>ASM-3</v>
      </c>
      <c r="J101" s="15">
        <f>'Bulk Plant Input'!$A$29</f>
        <v>0</v>
      </c>
      <c r="K101" s="15">
        <f>'Bulk Plant Input'!$A$30</f>
        <v>0</v>
      </c>
      <c r="L101" s="15">
        <f>'Bulk Plant Input'!$A$31</f>
        <v>0</v>
      </c>
      <c r="M101" s="15">
        <f>'Bulk Plant Input'!$A$32</f>
        <v>0</v>
      </c>
      <c r="N101" s="15">
        <f>'Bulk Plant Input'!$A$33</f>
        <v>0</v>
      </c>
      <c r="O101" s="15">
        <f>'Bulk Plant Input'!$A$34</f>
        <v>0</v>
      </c>
      <c r="P101" s="15">
        <f>'Bulk Plant Input'!$A$35</f>
        <v>0</v>
      </c>
      <c r="Q101" s="15">
        <f>'Bulk Plant Input'!$A$36</f>
        <v>0</v>
      </c>
      <c r="R101" s="15">
        <f>'Bulk Plant Input'!$A$37</f>
        <v>0</v>
      </c>
      <c r="S101" s="15">
        <v>0</v>
      </c>
      <c r="U101" s="1"/>
      <c r="V101" s="1"/>
      <c r="W101" s="1"/>
      <c r="X101" s="1"/>
      <c r="Y101" s="1"/>
      <c r="Z101" s="1"/>
      <c r="AA101" s="1"/>
      <c r="AB101" s="1"/>
    </row>
    <row r="102" spans="1:28" ht="15.75" x14ac:dyDescent="0.25">
      <c r="A102" s="120" t="str">
        <f>'Base Blend Property Calculation'!A106</f>
        <v>SanSeal HT</v>
      </c>
      <c r="B102" s="97">
        <f t="shared" si="1"/>
        <v>0</v>
      </c>
      <c r="C102" s="97">
        <f>COUNTIF('Bulk Plant Input'!$A$23:$A$37,'Base Blend Property Calculation'!BV106)+COUNTIF('Bulk Plant Input'!$A$23:$A$37,'Base Blend Property Calculation'!BW106)+COUNTIF('Bulk Plant Input'!$A$23:$A$37,'Base Blend Property Calculation'!BX106)+COUNTIF('Bulk Plant Input'!$A$23:$A$37,'Base Blend Property Calculation'!BY106)+COUNTIF('Bulk Plant Input'!$A$23:$A$37,'Base Blend Property Calculation'!BZ106)</f>
        <v>0</v>
      </c>
      <c r="D102" s="15" t="str">
        <f>'Bulk Plant Input'!$A$23</f>
        <v>CFR-5</v>
      </c>
      <c r="E102" s="15" t="str">
        <f>'Bulk Plant Input'!$A$24</f>
        <v>CFL-4</v>
      </c>
      <c r="F102" s="15" t="str">
        <f>'Bulk Plant Input'!$A$25</f>
        <v>FWC-2</v>
      </c>
      <c r="G102" s="15" t="str">
        <f>'Bulk Plant Input'!$A$26</f>
        <v>LTR</v>
      </c>
      <c r="H102" s="15" t="str">
        <f>'Bulk Plant Input'!$A$27</f>
        <v>CDF-6P</v>
      </c>
      <c r="I102" s="15" t="str">
        <f>'Bulk Plant Input'!$A$28</f>
        <v>ASM-3</v>
      </c>
      <c r="J102" s="15">
        <f>'Bulk Plant Input'!$A$29</f>
        <v>0</v>
      </c>
      <c r="K102" s="15">
        <f>'Bulk Plant Input'!$A$30</f>
        <v>0</v>
      </c>
      <c r="L102" s="15">
        <f>'Bulk Plant Input'!$A$31</f>
        <v>0</v>
      </c>
      <c r="M102" s="15">
        <f>'Bulk Plant Input'!$A$32</f>
        <v>0</v>
      </c>
      <c r="N102" s="15">
        <f>'Bulk Plant Input'!$A$33</f>
        <v>0</v>
      </c>
      <c r="O102" s="15">
        <f>'Bulk Plant Input'!$A$34</f>
        <v>0</v>
      </c>
      <c r="P102" s="15">
        <f>'Bulk Plant Input'!$A$35</f>
        <v>0</v>
      </c>
      <c r="Q102" s="15">
        <f>'Bulk Plant Input'!$A$36</f>
        <v>0</v>
      </c>
      <c r="R102" s="15">
        <f>'Bulk Plant Input'!$A$37</f>
        <v>0</v>
      </c>
      <c r="S102" s="15">
        <v>0</v>
      </c>
      <c r="U102" s="1"/>
      <c r="V102" s="1"/>
      <c r="W102" s="1"/>
      <c r="X102" s="1"/>
      <c r="Y102" s="1"/>
      <c r="Z102" s="1"/>
      <c r="AA102" s="1"/>
      <c r="AB102" s="1"/>
    </row>
    <row r="103" spans="1:28" ht="15.75" x14ac:dyDescent="0.25">
      <c r="A103" s="120" t="str">
        <f>'Base Blend Property Calculation'!A107</f>
        <v>SCC10 Thermal</v>
      </c>
      <c r="B103" s="97">
        <f t="shared" si="1"/>
        <v>0</v>
      </c>
      <c r="C103" s="97">
        <f>COUNTIF('Bulk Plant Input'!$A$23:$A$37,'Base Blend Property Calculation'!BV107)+COUNTIF('Bulk Plant Input'!$A$23:$A$37,'Base Blend Property Calculation'!BW107)+COUNTIF('Bulk Plant Input'!$A$23:$A$37,'Base Blend Property Calculation'!BX107)+COUNTIF('Bulk Plant Input'!$A$23:$A$37,'Base Blend Property Calculation'!BY107)+COUNTIF('Bulk Plant Input'!$A$23:$A$37,'Base Blend Property Calculation'!BZ107)</f>
        <v>0</v>
      </c>
      <c r="D103" s="15" t="str">
        <f>'Bulk Plant Input'!$A$23</f>
        <v>CFR-5</v>
      </c>
      <c r="E103" s="15" t="str">
        <f>'Bulk Plant Input'!$A$24</f>
        <v>CFL-4</v>
      </c>
      <c r="F103" s="15" t="str">
        <f>'Bulk Plant Input'!$A$25</f>
        <v>FWC-2</v>
      </c>
      <c r="G103" s="15" t="str">
        <f>'Bulk Plant Input'!$A$26</f>
        <v>LTR</v>
      </c>
      <c r="H103" s="15" t="str">
        <f>'Bulk Plant Input'!$A$27</f>
        <v>CDF-6P</v>
      </c>
      <c r="I103" s="15" t="str">
        <f>'Bulk Plant Input'!$A$28</f>
        <v>ASM-3</v>
      </c>
      <c r="J103" s="15">
        <f>'Bulk Plant Input'!$A$29</f>
        <v>0</v>
      </c>
      <c r="K103" s="15">
        <f>'Bulk Plant Input'!$A$30</f>
        <v>0</v>
      </c>
      <c r="L103" s="15">
        <f>'Bulk Plant Input'!$A$31</f>
        <v>0</v>
      </c>
      <c r="M103" s="15">
        <f>'Bulk Plant Input'!$A$32</f>
        <v>0</v>
      </c>
      <c r="N103" s="15">
        <f>'Bulk Plant Input'!$A$33</f>
        <v>0</v>
      </c>
      <c r="O103" s="15">
        <f>'Bulk Plant Input'!$A$34</f>
        <v>0</v>
      </c>
      <c r="P103" s="15">
        <f>'Bulk Plant Input'!$A$35</f>
        <v>0</v>
      </c>
      <c r="Q103" s="15">
        <f>'Bulk Plant Input'!$A$36</f>
        <v>0</v>
      </c>
      <c r="R103" s="15">
        <f>'Bulk Plant Input'!$A$37</f>
        <v>0</v>
      </c>
      <c r="S103" s="15">
        <v>0</v>
      </c>
      <c r="U103" s="1"/>
      <c r="V103" s="1"/>
      <c r="W103" s="1"/>
      <c r="X103" s="1"/>
      <c r="Y103" s="1"/>
      <c r="Z103" s="1"/>
      <c r="AA103" s="1"/>
      <c r="AB103" s="1"/>
    </row>
    <row r="104" spans="1:28" ht="15.75" x14ac:dyDescent="0.25">
      <c r="A104" s="120" t="str">
        <f>'Base Blend Property Calculation'!A108</f>
        <v>SSi</v>
      </c>
      <c r="B104" s="97">
        <f t="shared" si="1"/>
        <v>0</v>
      </c>
      <c r="C104" s="97">
        <f>COUNTIF('Bulk Plant Input'!$A$23:$A$37,'Base Blend Property Calculation'!BV108)+COUNTIF('Bulk Plant Input'!$A$23:$A$37,'Base Blend Property Calculation'!BW108)+COUNTIF('Bulk Plant Input'!$A$23:$A$37,'Base Blend Property Calculation'!BX108)+COUNTIF('Bulk Plant Input'!$A$23:$A$37,'Base Blend Property Calculation'!BY108)+COUNTIF('Bulk Plant Input'!$A$23:$A$37,'Base Blend Property Calculation'!BZ108)</f>
        <v>0</v>
      </c>
      <c r="D104" s="15" t="str">
        <f>'Bulk Plant Input'!$A$23</f>
        <v>CFR-5</v>
      </c>
      <c r="E104" s="15" t="str">
        <f>'Bulk Plant Input'!$A$24</f>
        <v>CFL-4</v>
      </c>
      <c r="F104" s="15" t="str">
        <f>'Bulk Plant Input'!$A$25</f>
        <v>FWC-2</v>
      </c>
      <c r="G104" s="15" t="str">
        <f>'Bulk Plant Input'!$A$26</f>
        <v>LTR</v>
      </c>
      <c r="H104" s="15" t="str">
        <f>'Bulk Plant Input'!$A$27</f>
        <v>CDF-6P</v>
      </c>
      <c r="I104" s="15" t="str">
        <f>'Bulk Plant Input'!$A$28</f>
        <v>ASM-3</v>
      </c>
      <c r="J104" s="15">
        <f>'Bulk Plant Input'!$A$29</f>
        <v>0</v>
      </c>
      <c r="K104" s="15">
        <f>'Bulk Plant Input'!$A$30</f>
        <v>0</v>
      </c>
      <c r="L104" s="15">
        <f>'Bulk Plant Input'!$A$31</f>
        <v>0</v>
      </c>
      <c r="M104" s="15">
        <f>'Bulk Plant Input'!$A$32</f>
        <v>0</v>
      </c>
      <c r="N104" s="15">
        <f>'Bulk Plant Input'!$A$33</f>
        <v>0</v>
      </c>
      <c r="O104" s="15">
        <f>'Bulk Plant Input'!$A$34</f>
        <v>0</v>
      </c>
      <c r="P104" s="15">
        <f>'Bulk Plant Input'!$A$35</f>
        <v>0</v>
      </c>
      <c r="Q104" s="15">
        <f>'Bulk Plant Input'!$A$36</f>
        <v>0</v>
      </c>
      <c r="R104" s="15">
        <f>'Bulk Plant Input'!$A$37</f>
        <v>0</v>
      </c>
      <c r="S104" s="15">
        <v>0</v>
      </c>
      <c r="U104" s="1"/>
      <c r="V104" s="1"/>
      <c r="W104" s="1"/>
      <c r="X104" s="1"/>
      <c r="Y104" s="1"/>
      <c r="Z104" s="1"/>
      <c r="AA104" s="1"/>
      <c r="AB104" s="1"/>
    </row>
    <row r="105" spans="1:28" ht="15.75" x14ac:dyDescent="0.25">
      <c r="A105" s="120" t="str">
        <f>'Base Blend Property Calculation'!A109</f>
        <v>Superlite 13</v>
      </c>
      <c r="B105" s="97">
        <f t="shared" si="1"/>
        <v>0</v>
      </c>
      <c r="C105" s="97">
        <f>COUNTIF('Bulk Plant Input'!$A$23:$A$37,'Base Blend Property Calculation'!BV109)+COUNTIF('Bulk Plant Input'!$A$23:$A$37,'Base Blend Property Calculation'!BW109)+COUNTIF('Bulk Plant Input'!$A$23:$A$37,'Base Blend Property Calculation'!BX109)+COUNTIF('Bulk Plant Input'!$A$23:$A$37,'Base Blend Property Calculation'!BY109)+COUNTIF('Bulk Plant Input'!$A$23:$A$37,'Base Blend Property Calculation'!BZ109)</f>
        <v>0</v>
      </c>
      <c r="D105" s="15" t="str">
        <f>'Bulk Plant Input'!$A$23</f>
        <v>CFR-5</v>
      </c>
      <c r="E105" s="15" t="str">
        <f>'Bulk Plant Input'!$A$24</f>
        <v>CFL-4</v>
      </c>
      <c r="F105" s="15" t="str">
        <f>'Bulk Plant Input'!$A$25</f>
        <v>FWC-2</v>
      </c>
      <c r="G105" s="15" t="str">
        <f>'Bulk Plant Input'!$A$26</f>
        <v>LTR</v>
      </c>
      <c r="H105" s="15" t="str">
        <f>'Bulk Plant Input'!$A$27</f>
        <v>CDF-6P</v>
      </c>
      <c r="I105" s="15" t="str">
        <f>'Bulk Plant Input'!$A$28</f>
        <v>ASM-3</v>
      </c>
      <c r="J105" s="15">
        <f>'Bulk Plant Input'!$A$29</f>
        <v>0</v>
      </c>
      <c r="K105" s="15">
        <f>'Bulk Plant Input'!$A$30</f>
        <v>0</v>
      </c>
      <c r="L105" s="15">
        <f>'Bulk Plant Input'!$A$31</f>
        <v>0</v>
      </c>
      <c r="M105" s="15">
        <f>'Bulk Plant Input'!$A$32</f>
        <v>0</v>
      </c>
      <c r="N105" s="15">
        <f>'Bulk Plant Input'!$A$33</f>
        <v>0</v>
      </c>
      <c r="O105" s="15">
        <f>'Bulk Plant Input'!$A$34</f>
        <v>0</v>
      </c>
      <c r="P105" s="15">
        <f>'Bulk Plant Input'!$A$35</f>
        <v>0</v>
      </c>
      <c r="Q105" s="15">
        <f>'Bulk Plant Input'!$A$36</f>
        <v>0</v>
      </c>
      <c r="R105" s="15">
        <f>'Bulk Plant Input'!$A$37</f>
        <v>0</v>
      </c>
      <c r="S105" s="15">
        <v>0</v>
      </c>
      <c r="U105" s="1"/>
      <c r="V105" s="1"/>
      <c r="W105" s="1"/>
      <c r="X105" s="1"/>
      <c r="Y105" s="1"/>
      <c r="Z105" s="1"/>
      <c r="AA105" s="1"/>
      <c r="AB105" s="1"/>
    </row>
    <row r="106" spans="1:28" ht="15.75" x14ac:dyDescent="0.25">
      <c r="A106" s="120" t="str">
        <f>'Base Blend Property Calculation'!A110</f>
        <v>Superlite 13 (CDM-5)</v>
      </c>
      <c r="B106" s="97">
        <f t="shared" si="1"/>
        <v>0</v>
      </c>
      <c r="C106" s="97">
        <f>COUNTIF('Bulk Plant Input'!$A$23:$A$37,'Base Blend Property Calculation'!BV110)+COUNTIF('Bulk Plant Input'!$A$23:$A$37,'Base Blend Property Calculation'!BW110)+COUNTIF('Bulk Plant Input'!$A$23:$A$37,'Base Blend Property Calculation'!BX110)+COUNTIF('Bulk Plant Input'!$A$23:$A$37,'Base Blend Property Calculation'!BY110)+COUNTIF('Bulk Plant Input'!$A$23:$A$37,'Base Blend Property Calculation'!BZ110)</f>
        <v>0</v>
      </c>
      <c r="D106" s="15" t="str">
        <f>'Bulk Plant Input'!$A$23</f>
        <v>CFR-5</v>
      </c>
      <c r="E106" s="15" t="str">
        <f>'Bulk Plant Input'!$A$24</f>
        <v>CFL-4</v>
      </c>
      <c r="F106" s="15" t="str">
        <f>'Bulk Plant Input'!$A$25</f>
        <v>FWC-2</v>
      </c>
      <c r="G106" s="15" t="str">
        <f>'Bulk Plant Input'!$A$26</f>
        <v>LTR</v>
      </c>
      <c r="H106" s="15" t="str">
        <f>'Bulk Plant Input'!$A$27</f>
        <v>CDF-6P</v>
      </c>
      <c r="I106" s="15" t="str">
        <f>'Bulk Plant Input'!$A$28</f>
        <v>ASM-3</v>
      </c>
      <c r="J106" s="15">
        <f>'Bulk Plant Input'!$A$29</f>
        <v>0</v>
      </c>
      <c r="K106" s="15">
        <f>'Bulk Plant Input'!$A$30</f>
        <v>0</v>
      </c>
      <c r="L106" s="15">
        <f>'Bulk Plant Input'!$A$31</f>
        <v>0</v>
      </c>
      <c r="M106" s="15">
        <f>'Bulk Plant Input'!$A$32</f>
        <v>0</v>
      </c>
      <c r="N106" s="15">
        <f>'Bulk Plant Input'!$A$33</f>
        <v>0</v>
      </c>
      <c r="O106" s="15">
        <f>'Bulk Plant Input'!$A$34</f>
        <v>0</v>
      </c>
      <c r="P106" s="15">
        <f>'Bulk Plant Input'!$A$35</f>
        <v>0</v>
      </c>
      <c r="Q106" s="15">
        <f>'Bulk Plant Input'!$A$36</f>
        <v>0</v>
      </c>
      <c r="R106" s="15">
        <f>'Bulk Plant Input'!$A$37</f>
        <v>0</v>
      </c>
      <c r="S106" s="15">
        <v>0</v>
      </c>
      <c r="U106" s="1"/>
      <c r="V106" s="1"/>
      <c r="W106" s="1"/>
      <c r="X106" s="1"/>
      <c r="Y106" s="1"/>
      <c r="Z106" s="1"/>
      <c r="AA106" s="1"/>
      <c r="AB106" s="1"/>
    </row>
    <row r="107" spans="1:28" ht="15.75" x14ac:dyDescent="0.25">
      <c r="A107" s="120" t="str">
        <f>'Base Blend Property Calculation'!A111</f>
        <v>SUPERLITEmix 1100X</v>
      </c>
      <c r="B107" s="97">
        <f t="shared" si="1"/>
        <v>0</v>
      </c>
      <c r="C107" s="97">
        <f>COUNTIF('Bulk Plant Input'!$A$23:$A$37,'Base Blend Property Calculation'!BV111)+COUNTIF('Bulk Plant Input'!$A$23:$A$37,'Base Blend Property Calculation'!BW111)+COUNTIF('Bulk Plant Input'!$A$23:$A$37,'Base Blend Property Calculation'!BX111)+COUNTIF('Bulk Plant Input'!$A$23:$A$37,'Base Blend Property Calculation'!BY111)+COUNTIF('Bulk Plant Input'!$A$23:$A$37,'Base Blend Property Calculation'!BZ111)</f>
        <v>0</v>
      </c>
      <c r="D107" s="15" t="str">
        <f>'Bulk Plant Input'!$A$23</f>
        <v>CFR-5</v>
      </c>
      <c r="E107" s="15" t="str">
        <f>'Bulk Plant Input'!$A$24</f>
        <v>CFL-4</v>
      </c>
      <c r="F107" s="15" t="str">
        <f>'Bulk Plant Input'!$A$25</f>
        <v>FWC-2</v>
      </c>
      <c r="G107" s="15" t="str">
        <f>'Bulk Plant Input'!$A$26</f>
        <v>LTR</v>
      </c>
      <c r="H107" s="15" t="str">
        <f>'Bulk Plant Input'!$A$27</f>
        <v>CDF-6P</v>
      </c>
      <c r="I107" s="15" t="str">
        <f>'Bulk Plant Input'!$A$28</f>
        <v>ASM-3</v>
      </c>
      <c r="J107" s="15">
        <f>'Bulk Plant Input'!$A$29</f>
        <v>0</v>
      </c>
      <c r="K107" s="15">
        <f>'Bulk Plant Input'!$A$30</f>
        <v>0</v>
      </c>
      <c r="L107" s="15">
        <f>'Bulk Plant Input'!$A$31</f>
        <v>0</v>
      </c>
      <c r="M107" s="15">
        <f>'Bulk Plant Input'!$A$32</f>
        <v>0</v>
      </c>
      <c r="N107" s="15">
        <f>'Bulk Plant Input'!$A$33</f>
        <v>0</v>
      </c>
      <c r="O107" s="15">
        <f>'Bulk Plant Input'!$A$34</f>
        <v>0</v>
      </c>
      <c r="P107" s="15">
        <f>'Bulk Plant Input'!$A$35</f>
        <v>0</v>
      </c>
      <c r="Q107" s="15">
        <f>'Bulk Plant Input'!$A$36</f>
        <v>0</v>
      </c>
      <c r="R107" s="15">
        <f>'Bulk Plant Input'!$A$37</f>
        <v>0</v>
      </c>
      <c r="S107" s="15">
        <v>0</v>
      </c>
      <c r="U107" s="1"/>
      <c r="V107" s="1"/>
      <c r="W107" s="1"/>
      <c r="X107" s="1"/>
      <c r="Y107" s="1"/>
      <c r="Z107" s="1"/>
      <c r="AA107" s="1"/>
      <c r="AB107" s="1"/>
    </row>
    <row r="108" spans="1:28" ht="15.75" x14ac:dyDescent="0.25">
      <c r="A108" s="120" t="str">
        <f>'Base Blend Property Calculation'!A112</f>
        <v>SUPERLITEmix 1160</v>
      </c>
      <c r="B108" s="97">
        <f t="shared" si="1"/>
        <v>0</v>
      </c>
      <c r="C108" s="97">
        <f>COUNTIF('Bulk Plant Input'!$A$23:$A$37,'Base Blend Property Calculation'!BV112)+COUNTIF('Bulk Plant Input'!$A$23:$A$37,'Base Blend Property Calculation'!BW112)+COUNTIF('Bulk Plant Input'!$A$23:$A$37,'Base Blend Property Calculation'!BX112)+COUNTIF('Bulk Plant Input'!$A$23:$A$37,'Base Blend Property Calculation'!BY112)+COUNTIF('Bulk Plant Input'!$A$23:$A$37,'Base Blend Property Calculation'!BZ112)</f>
        <v>0</v>
      </c>
      <c r="D108" s="15" t="str">
        <f>'Bulk Plant Input'!$A$23</f>
        <v>CFR-5</v>
      </c>
      <c r="E108" s="15" t="str">
        <f>'Bulk Plant Input'!$A$24</f>
        <v>CFL-4</v>
      </c>
      <c r="F108" s="15" t="str">
        <f>'Bulk Plant Input'!$A$25</f>
        <v>FWC-2</v>
      </c>
      <c r="G108" s="15" t="str">
        <f>'Bulk Plant Input'!$A$26</f>
        <v>LTR</v>
      </c>
      <c r="H108" s="15" t="str">
        <f>'Bulk Plant Input'!$A$27</f>
        <v>CDF-6P</v>
      </c>
      <c r="I108" s="15" t="str">
        <f>'Bulk Plant Input'!$A$28</f>
        <v>ASM-3</v>
      </c>
      <c r="J108" s="15">
        <f>'Bulk Plant Input'!$A$29</f>
        <v>0</v>
      </c>
      <c r="K108" s="15">
        <f>'Bulk Plant Input'!$A$30</f>
        <v>0</v>
      </c>
      <c r="L108" s="15">
        <f>'Bulk Plant Input'!$A$31</f>
        <v>0</v>
      </c>
      <c r="M108" s="15">
        <f>'Bulk Plant Input'!$A$32</f>
        <v>0</v>
      </c>
      <c r="N108" s="15">
        <f>'Bulk Plant Input'!$A$33</f>
        <v>0</v>
      </c>
      <c r="O108" s="15">
        <f>'Bulk Plant Input'!$A$34</f>
        <v>0</v>
      </c>
      <c r="P108" s="15">
        <f>'Bulk Plant Input'!$A$35</f>
        <v>0</v>
      </c>
      <c r="Q108" s="15">
        <f>'Bulk Plant Input'!$A$36</f>
        <v>0</v>
      </c>
      <c r="R108" s="15">
        <f>'Bulk Plant Input'!$A$37</f>
        <v>0</v>
      </c>
      <c r="S108" s="15">
        <v>0</v>
      </c>
      <c r="U108" s="1"/>
      <c r="V108" s="1"/>
      <c r="W108" s="1"/>
      <c r="X108" s="1"/>
      <c r="Y108" s="1"/>
      <c r="Z108" s="1"/>
      <c r="AA108" s="1"/>
      <c r="AB108" s="1"/>
    </row>
    <row r="109" spans="1:28" ht="15.75" x14ac:dyDescent="0.25">
      <c r="A109" s="120" t="str">
        <f>'Base Blend Property Calculation'!A113</f>
        <v>SUPERLITEmix 1160 (CDM-5)</v>
      </c>
      <c r="B109" s="97">
        <f t="shared" si="1"/>
        <v>0</v>
      </c>
      <c r="C109" s="97">
        <f>COUNTIF('Bulk Plant Input'!$A$23:$A$37,'Base Blend Property Calculation'!BV113)+COUNTIF('Bulk Plant Input'!$A$23:$A$37,'Base Blend Property Calculation'!BW113)+COUNTIF('Bulk Plant Input'!$A$23:$A$37,'Base Blend Property Calculation'!BX113)+COUNTIF('Bulk Plant Input'!$A$23:$A$37,'Base Blend Property Calculation'!BY113)+COUNTIF('Bulk Plant Input'!$A$23:$A$37,'Base Blend Property Calculation'!BZ113)</f>
        <v>0</v>
      </c>
      <c r="D109" s="15" t="str">
        <f>'Bulk Plant Input'!$A$23</f>
        <v>CFR-5</v>
      </c>
      <c r="E109" s="15" t="str">
        <f>'Bulk Plant Input'!$A$24</f>
        <v>CFL-4</v>
      </c>
      <c r="F109" s="15" t="str">
        <f>'Bulk Plant Input'!$A$25</f>
        <v>FWC-2</v>
      </c>
      <c r="G109" s="15" t="str">
        <f>'Bulk Plant Input'!$A$26</f>
        <v>LTR</v>
      </c>
      <c r="H109" s="15" t="str">
        <f>'Bulk Plant Input'!$A$27</f>
        <v>CDF-6P</v>
      </c>
      <c r="I109" s="15" t="str">
        <f>'Bulk Plant Input'!$A$28</f>
        <v>ASM-3</v>
      </c>
      <c r="J109" s="15">
        <f>'Bulk Plant Input'!$A$29</f>
        <v>0</v>
      </c>
      <c r="K109" s="15">
        <f>'Bulk Plant Input'!$A$30</f>
        <v>0</v>
      </c>
      <c r="L109" s="15">
        <f>'Bulk Plant Input'!$A$31</f>
        <v>0</v>
      </c>
      <c r="M109" s="15">
        <f>'Bulk Plant Input'!$A$32</f>
        <v>0</v>
      </c>
      <c r="N109" s="15">
        <f>'Bulk Plant Input'!$A$33</f>
        <v>0</v>
      </c>
      <c r="O109" s="15">
        <f>'Bulk Plant Input'!$A$34</f>
        <v>0</v>
      </c>
      <c r="P109" s="15">
        <f>'Bulk Plant Input'!$A$35</f>
        <v>0</v>
      </c>
      <c r="Q109" s="15">
        <f>'Bulk Plant Input'!$A$36</f>
        <v>0</v>
      </c>
      <c r="R109" s="15">
        <f>'Bulk Plant Input'!$A$37</f>
        <v>0</v>
      </c>
      <c r="S109" s="15">
        <v>0</v>
      </c>
      <c r="U109" s="1"/>
      <c r="V109" s="1"/>
      <c r="W109" s="1"/>
      <c r="X109" s="1"/>
      <c r="Y109" s="1"/>
      <c r="Z109" s="1"/>
      <c r="AA109" s="1"/>
      <c r="AB109" s="1"/>
    </row>
    <row r="110" spans="1:28" ht="15.75" x14ac:dyDescent="0.25">
      <c r="A110" s="120" t="str">
        <f>'Base Blend Property Calculation'!A114</f>
        <v>SUPERLITEmix 1160 C</v>
      </c>
      <c r="B110" s="97">
        <f t="shared" si="1"/>
        <v>0</v>
      </c>
      <c r="C110" s="97">
        <f>COUNTIF('Bulk Plant Input'!$A$23:$A$37,'Base Blend Property Calculation'!BV114)+COUNTIF('Bulk Plant Input'!$A$23:$A$37,'Base Blend Property Calculation'!BW114)+COUNTIF('Bulk Plant Input'!$A$23:$A$37,'Base Blend Property Calculation'!BX114)+COUNTIF('Bulk Plant Input'!$A$23:$A$37,'Base Blend Property Calculation'!BY114)+COUNTIF('Bulk Plant Input'!$A$23:$A$37,'Base Blend Property Calculation'!BZ114)</f>
        <v>0</v>
      </c>
      <c r="D110" s="15" t="str">
        <f>'Bulk Plant Input'!$A$23</f>
        <v>CFR-5</v>
      </c>
      <c r="E110" s="15" t="str">
        <f>'Bulk Plant Input'!$A$24</f>
        <v>CFL-4</v>
      </c>
      <c r="F110" s="15" t="str">
        <f>'Bulk Plant Input'!$A$25</f>
        <v>FWC-2</v>
      </c>
      <c r="G110" s="15" t="str">
        <f>'Bulk Plant Input'!$A$26</f>
        <v>LTR</v>
      </c>
      <c r="H110" s="15" t="str">
        <f>'Bulk Plant Input'!$A$27</f>
        <v>CDF-6P</v>
      </c>
      <c r="I110" s="15" t="str">
        <f>'Bulk Plant Input'!$A$28</f>
        <v>ASM-3</v>
      </c>
      <c r="J110" s="15">
        <f>'Bulk Plant Input'!$A$29</f>
        <v>0</v>
      </c>
      <c r="K110" s="15">
        <f>'Bulk Plant Input'!$A$30</f>
        <v>0</v>
      </c>
      <c r="L110" s="15">
        <f>'Bulk Plant Input'!$A$31</f>
        <v>0</v>
      </c>
      <c r="M110" s="15">
        <f>'Bulk Plant Input'!$A$32</f>
        <v>0</v>
      </c>
      <c r="N110" s="15">
        <f>'Bulk Plant Input'!$A$33</f>
        <v>0</v>
      </c>
      <c r="O110" s="15">
        <f>'Bulk Plant Input'!$A$34</f>
        <v>0</v>
      </c>
      <c r="P110" s="15">
        <f>'Bulk Plant Input'!$A$35</f>
        <v>0</v>
      </c>
      <c r="Q110" s="15">
        <f>'Bulk Plant Input'!$A$36</f>
        <v>0</v>
      </c>
      <c r="R110" s="15">
        <f>'Bulk Plant Input'!$A$37</f>
        <v>0</v>
      </c>
      <c r="S110" s="15">
        <v>0</v>
      </c>
      <c r="U110" s="1"/>
      <c r="V110" s="1"/>
      <c r="W110" s="1"/>
      <c r="X110" s="1"/>
      <c r="Y110" s="1"/>
      <c r="Z110" s="1"/>
      <c r="AA110" s="1"/>
      <c r="AB110" s="1"/>
    </row>
    <row r="111" spans="1:28" ht="15.75" x14ac:dyDescent="0.25">
      <c r="A111" s="120" t="str">
        <f>'Base Blend Property Calculation'!A115</f>
        <v>SUPERLITEmix 1160X</v>
      </c>
      <c r="B111" s="97">
        <f t="shared" si="1"/>
        <v>0</v>
      </c>
      <c r="C111" s="97">
        <f>COUNTIF('Bulk Plant Input'!$A$23:$A$37,'Base Blend Property Calculation'!BV115)+COUNTIF('Bulk Plant Input'!$A$23:$A$37,'Base Blend Property Calculation'!BW115)+COUNTIF('Bulk Plant Input'!$A$23:$A$37,'Base Blend Property Calculation'!BX115)+COUNTIF('Bulk Plant Input'!$A$23:$A$37,'Base Blend Property Calculation'!BY115)+COUNTIF('Bulk Plant Input'!$A$23:$A$37,'Base Blend Property Calculation'!BZ115)</f>
        <v>0</v>
      </c>
      <c r="D111" s="15" t="str">
        <f>'Bulk Plant Input'!$A$23</f>
        <v>CFR-5</v>
      </c>
      <c r="E111" s="15" t="str">
        <f>'Bulk Plant Input'!$A$24</f>
        <v>CFL-4</v>
      </c>
      <c r="F111" s="15" t="str">
        <f>'Bulk Plant Input'!$A$25</f>
        <v>FWC-2</v>
      </c>
      <c r="G111" s="15" t="str">
        <f>'Bulk Plant Input'!$A$26</f>
        <v>LTR</v>
      </c>
      <c r="H111" s="15" t="str">
        <f>'Bulk Plant Input'!$A$27</f>
        <v>CDF-6P</v>
      </c>
      <c r="I111" s="15" t="str">
        <f>'Bulk Plant Input'!$A$28</f>
        <v>ASM-3</v>
      </c>
      <c r="J111" s="15">
        <f>'Bulk Plant Input'!$A$29</f>
        <v>0</v>
      </c>
      <c r="K111" s="15">
        <f>'Bulk Plant Input'!$A$30</f>
        <v>0</v>
      </c>
      <c r="L111" s="15">
        <f>'Bulk Plant Input'!$A$31</f>
        <v>0</v>
      </c>
      <c r="M111" s="15">
        <f>'Bulk Plant Input'!$A$32</f>
        <v>0</v>
      </c>
      <c r="N111" s="15">
        <f>'Bulk Plant Input'!$A$33</f>
        <v>0</v>
      </c>
      <c r="O111" s="15">
        <f>'Bulk Plant Input'!$A$34</f>
        <v>0</v>
      </c>
      <c r="P111" s="15">
        <f>'Bulk Plant Input'!$A$35</f>
        <v>0</v>
      </c>
      <c r="Q111" s="15">
        <f>'Bulk Plant Input'!$A$36</f>
        <v>0</v>
      </c>
      <c r="R111" s="15">
        <f>'Bulk Plant Input'!$A$37</f>
        <v>0</v>
      </c>
      <c r="S111" s="15">
        <v>0</v>
      </c>
      <c r="U111" s="1"/>
      <c r="V111" s="1"/>
      <c r="W111" s="1"/>
      <c r="X111" s="1"/>
      <c r="Y111" s="1"/>
      <c r="Z111" s="1"/>
      <c r="AA111" s="1"/>
      <c r="AB111" s="1"/>
    </row>
    <row r="112" spans="1:28" ht="15.75" x14ac:dyDescent="0.25">
      <c r="A112" s="120" t="str">
        <f>'Base Blend Property Calculation'!A116</f>
        <v>SUPERLITEmix PRO</v>
      </c>
      <c r="B112" s="97">
        <f t="shared" si="1"/>
        <v>0</v>
      </c>
      <c r="C112" s="97">
        <f>COUNTIF('Bulk Plant Input'!$A$23:$A$37,'Base Blend Property Calculation'!BV116)+COUNTIF('Bulk Plant Input'!$A$23:$A$37,'Base Blend Property Calculation'!BW116)+COUNTIF('Bulk Plant Input'!$A$23:$A$37,'Base Blend Property Calculation'!BX116)+COUNTIF('Bulk Plant Input'!$A$23:$A$37,'Base Blend Property Calculation'!BY116)+COUNTIF('Bulk Plant Input'!$A$23:$A$37,'Base Blend Property Calculation'!BZ116)</f>
        <v>0</v>
      </c>
      <c r="D112" s="15" t="str">
        <f>'Bulk Plant Input'!$A$23</f>
        <v>CFR-5</v>
      </c>
      <c r="E112" s="15" t="str">
        <f>'Bulk Plant Input'!$A$24</f>
        <v>CFL-4</v>
      </c>
      <c r="F112" s="15" t="str">
        <f>'Bulk Plant Input'!$A$25</f>
        <v>FWC-2</v>
      </c>
      <c r="G112" s="15" t="str">
        <f>'Bulk Plant Input'!$A$26</f>
        <v>LTR</v>
      </c>
      <c r="H112" s="15" t="str">
        <f>'Bulk Plant Input'!$A$27</f>
        <v>CDF-6P</v>
      </c>
      <c r="I112" s="15" t="str">
        <f>'Bulk Plant Input'!$A$28</f>
        <v>ASM-3</v>
      </c>
      <c r="J112" s="15">
        <f>'Bulk Plant Input'!$A$29</f>
        <v>0</v>
      </c>
      <c r="K112" s="15">
        <f>'Bulk Plant Input'!$A$30</f>
        <v>0</v>
      </c>
      <c r="L112" s="15">
        <f>'Bulk Plant Input'!$A$31</f>
        <v>0</v>
      </c>
      <c r="M112" s="15">
        <f>'Bulk Plant Input'!$A$32</f>
        <v>0</v>
      </c>
      <c r="N112" s="15">
        <f>'Bulk Plant Input'!$A$33</f>
        <v>0</v>
      </c>
      <c r="O112" s="15">
        <f>'Bulk Plant Input'!$A$34</f>
        <v>0</v>
      </c>
      <c r="P112" s="15">
        <f>'Bulk Plant Input'!$A$35</f>
        <v>0</v>
      </c>
      <c r="Q112" s="15">
        <f>'Bulk Plant Input'!$A$36</f>
        <v>0</v>
      </c>
      <c r="R112" s="15">
        <f>'Bulk Plant Input'!$A$37</f>
        <v>0</v>
      </c>
      <c r="S112" s="15">
        <v>0</v>
      </c>
      <c r="U112" s="1"/>
      <c r="V112" s="1"/>
      <c r="W112" s="1"/>
      <c r="X112" s="1"/>
      <c r="Y112" s="1"/>
      <c r="Z112" s="1"/>
      <c r="AA112" s="1"/>
      <c r="AB112" s="1"/>
    </row>
    <row r="113" spans="1:28" ht="15.75" x14ac:dyDescent="0.25">
      <c r="A113" s="120" t="str">
        <f>'Base Blend Property Calculation'!A117</f>
        <v>SUPERLITEmix PRO (CDM-2)</v>
      </c>
      <c r="B113" s="97">
        <f t="shared" si="1"/>
        <v>0</v>
      </c>
      <c r="C113" s="97">
        <f>COUNTIF('Bulk Plant Input'!$A$23:$A$37,'Base Blend Property Calculation'!BV117)+COUNTIF('Bulk Plant Input'!$A$23:$A$37,'Base Blend Property Calculation'!BW117)+COUNTIF('Bulk Plant Input'!$A$23:$A$37,'Base Blend Property Calculation'!BX117)+COUNTIF('Bulk Plant Input'!$A$23:$A$37,'Base Blend Property Calculation'!BY117)+COUNTIF('Bulk Plant Input'!$A$23:$A$37,'Base Blend Property Calculation'!BZ117)</f>
        <v>0</v>
      </c>
      <c r="D113" s="15" t="str">
        <f>'Bulk Plant Input'!$A$23</f>
        <v>CFR-5</v>
      </c>
      <c r="E113" s="15" t="str">
        <f>'Bulk Plant Input'!$A$24</f>
        <v>CFL-4</v>
      </c>
      <c r="F113" s="15" t="str">
        <f>'Bulk Plant Input'!$A$25</f>
        <v>FWC-2</v>
      </c>
      <c r="G113" s="15" t="str">
        <f>'Bulk Plant Input'!$A$26</f>
        <v>LTR</v>
      </c>
      <c r="H113" s="15" t="str">
        <f>'Bulk Plant Input'!$A$27</f>
        <v>CDF-6P</v>
      </c>
      <c r="I113" s="15" t="str">
        <f>'Bulk Plant Input'!$A$28</f>
        <v>ASM-3</v>
      </c>
      <c r="J113" s="15">
        <f>'Bulk Plant Input'!$A$29</f>
        <v>0</v>
      </c>
      <c r="K113" s="15">
        <f>'Bulk Plant Input'!$A$30</f>
        <v>0</v>
      </c>
      <c r="L113" s="15">
        <f>'Bulk Plant Input'!$A$31</f>
        <v>0</v>
      </c>
      <c r="M113" s="15">
        <f>'Bulk Plant Input'!$A$32</f>
        <v>0</v>
      </c>
      <c r="N113" s="15">
        <f>'Bulk Plant Input'!$A$33</f>
        <v>0</v>
      </c>
      <c r="O113" s="15">
        <f>'Bulk Plant Input'!$A$34</f>
        <v>0</v>
      </c>
      <c r="P113" s="15">
        <f>'Bulk Plant Input'!$A$35</f>
        <v>0</v>
      </c>
      <c r="Q113" s="15">
        <f>'Bulk Plant Input'!$A$36</f>
        <v>0</v>
      </c>
      <c r="R113" s="15">
        <f>'Bulk Plant Input'!$A$37</f>
        <v>0</v>
      </c>
      <c r="S113" s="15">
        <v>0</v>
      </c>
      <c r="U113" s="1"/>
      <c r="V113" s="1"/>
      <c r="W113" s="1"/>
      <c r="X113" s="1"/>
      <c r="Y113" s="1"/>
      <c r="Z113" s="1"/>
      <c r="AA113" s="1"/>
      <c r="AB113" s="1"/>
    </row>
    <row r="114" spans="1:28" ht="15.75" x14ac:dyDescent="0.25">
      <c r="A114" s="120" t="str">
        <f>'Base Blend Property Calculation'!A118</f>
        <v>SUPERLITEmix PRO (LDP-C-3215)</v>
      </c>
      <c r="B114" s="97">
        <f t="shared" si="1"/>
        <v>0</v>
      </c>
      <c r="C114" s="97">
        <f>COUNTIF('Bulk Plant Input'!$A$23:$A$37,'Base Blend Property Calculation'!BV118)+COUNTIF('Bulk Plant Input'!$A$23:$A$37,'Base Blend Property Calculation'!BW118)+COUNTIF('Bulk Plant Input'!$A$23:$A$37,'Base Blend Property Calculation'!BX118)+COUNTIF('Bulk Plant Input'!$A$23:$A$37,'Base Blend Property Calculation'!BY118)+COUNTIF('Bulk Plant Input'!$A$23:$A$37,'Base Blend Property Calculation'!BZ118)</f>
        <v>0</v>
      </c>
      <c r="D114" s="15" t="str">
        <f>'Bulk Plant Input'!$A$23</f>
        <v>CFR-5</v>
      </c>
      <c r="E114" s="15" t="str">
        <f>'Bulk Plant Input'!$A$24</f>
        <v>CFL-4</v>
      </c>
      <c r="F114" s="15" t="str">
        <f>'Bulk Plant Input'!$A$25</f>
        <v>FWC-2</v>
      </c>
      <c r="G114" s="15" t="str">
        <f>'Bulk Plant Input'!$A$26</f>
        <v>LTR</v>
      </c>
      <c r="H114" s="15" t="str">
        <f>'Bulk Plant Input'!$A$27</f>
        <v>CDF-6P</v>
      </c>
      <c r="I114" s="15" t="str">
        <f>'Bulk Plant Input'!$A$28</f>
        <v>ASM-3</v>
      </c>
      <c r="J114" s="15">
        <f>'Bulk Plant Input'!$A$29</f>
        <v>0</v>
      </c>
      <c r="K114" s="15">
        <f>'Bulk Plant Input'!$A$30</f>
        <v>0</v>
      </c>
      <c r="L114" s="15">
        <f>'Bulk Plant Input'!$A$31</f>
        <v>0</v>
      </c>
      <c r="M114" s="15">
        <f>'Bulk Plant Input'!$A$32</f>
        <v>0</v>
      </c>
      <c r="N114" s="15">
        <f>'Bulk Plant Input'!$A$33</f>
        <v>0</v>
      </c>
      <c r="O114" s="15">
        <f>'Bulk Plant Input'!$A$34</f>
        <v>0</v>
      </c>
      <c r="P114" s="15">
        <f>'Bulk Plant Input'!$A$35</f>
        <v>0</v>
      </c>
      <c r="Q114" s="15">
        <f>'Bulk Plant Input'!$A$36</f>
        <v>0</v>
      </c>
      <c r="R114" s="15">
        <f>'Bulk Plant Input'!$A$37</f>
        <v>0</v>
      </c>
      <c r="S114" s="15">
        <v>0</v>
      </c>
      <c r="U114" s="1"/>
      <c r="V114" s="1"/>
      <c r="W114" s="1"/>
      <c r="X114" s="1"/>
      <c r="Y114" s="1"/>
      <c r="Z114" s="1"/>
      <c r="AA114" s="1"/>
      <c r="AB114" s="1"/>
    </row>
    <row r="115" spans="1:28" ht="15.75" x14ac:dyDescent="0.25">
      <c r="A115" s="120" t="str">
        <f>'Base Blend Property Calculation'!A119</f>
        <v>SUPERLITEmix PRO HT</v>
      </c>
      <c r="B115" s="97">
        <f t="shared" si="1"/>
        <v>0</v>
      </c>
      <c r="C115" s="97">
        <f>COUNTIF('Bulk Plant Input'!$A$23:$A$37,'Base Blend Property Calculation'!BV119)+COUNTIF('Bulk Plant Input'!$A$23:$A$37,'Base Blend Property Calculation'!BW119)+COUNTIF('Bulk Plant Input'!$A$23:$A$37,'Base Blend Property Calculation'!BX119)+COUNTIF('Bulk Plant Input'!$A$23:$A$37,'Base Blend Property Calculation'!BY119)+COUNTIF('Bulk Plant Input'!$A$23:$A$37,'Base Blend Property Calculation'!BZ119)</f>
        <v>0</v>
      </c>
      <c r="D115" s="15" t="str">
        <f>'Bulk Plant Input'!$A$23</f>
        <v>CFR-5</v>
      </c>
      <c r="E115" s="15" t="str">
        <f>'Bulk Plant Input'!$A$24</f>
        <v>CFL-4</v>
      </c>
      <c r="F115" s="15" t="str">
        <f>'Bulk Plant Input'!$A$25</f>
        <v>FWC-2</v>
      </c>
      <c r="G115" s="15" t="str">
        <f>'Bulk Plant Input'!$A$26</f>
        <v>LTR</v>
      </c>
      <c r="H115" s="15" t="str">
        <f>'Bulk Plant Input'!$A$27</f>
        <v>CDF-6P</v>
      </c>
      <c r="I115" s="15" t="str">
        <f>'Bulk Plant Input'!$A$28</f>
        <v>ASM-3</v>
      </c>
      <c r="J115" s="15">
        <f>'Bulk Plant Input'!$A$29</f>
        <v>0</v>
      </c>
      <c r="K115" s="15">
        <f>'Bulk Plant Input'!$A$30</f>
        <v>0</v>
      </c>
      <c r="L115" s="15">
        <f>'Bulk Plant Input'!$A$31</f>
        <v>0</v>
      </c>
      <c r="M115" s="15">
        <f>'Bulk Plant Input'!$A$32</f>
        <v>0</v>
      </c>
      <c r="N115" s="15">
        <f>'Bulk Plant Input'!$A$33</f>
        <v>0</v>
      </c>
      <c r="O115" s="15">
        <f>'Bulk Plant Input'!$A$34</f>
        <v>0</v>
      </c>
      <c r="P115" s="15">
        <f>'Bulk Plant Input'!$A$35</f>
        <v>0</v>
      </c>
      <c r="Q115" s="15">
        <f>'Bulk Plant Input'!$A$36</f>
        <v>0</v>
      </c>
      <c r="R115" s="15">
        <f>'Bulk Plant Input'!$A$37</f>
        <v>0</v>
      </c>
      <c r="S115" s="15">
        <v>0</v>
      </c>
      <c r="U115" s="1"/>
      <c r="V115" s="1"/>
      <c r="W115" s="1"/>
      <c r="X115" s="1"/>
      <c r="Y115" s="1"/>
      <c r="Z115" s="1"/>
      <c r="AA115" s="1"/>
      <c r="AB115" s="1"/>
    </row>
    <row r="116" spans="1:28" ht="15.75" x14ac:dyDescent="0.25">
      <c r="A116" s="120" t="str">
        <f>'Base Blend Property Calculation'!A120</f>
        <v>SUPERLITEmix PROX</v>
      </c>
      <c r="B116" s="97">
        <f t="shared" si="1"/>
        <v>0</v>
      </c>
      <c r="C116" s="97">
        <f>COUNTIF('Bulk Plant Input'!$A$23:$A$37,'Base Blend Property Calculation'!BV120)+COUNTIF('Bulk Plant Input'!$A$23:$A$37,'Base Blend Property Calculation'!BW120)+COUNTIF('Bulk Plant Input'!$A$23:$A$37,'Base Blend Property Calculation'!BX120)+COUNTIF('Bulk Plant Input'!$A$23:$A$37,'Base Blend Property Calculation'!BY120)+COUNTIF('Bulk Plant Input'!$A$23:$A$37,'Base Blend Property Calculation'!BZ120)</f>
        <v>0</v>
      </c>
      <c r="D116" s="15" t="str">
        <f>'Bulk Plant Input'!$A$23</f>
        <v>CFR-5</v>
      </c>
      <c r="E116" s="15" t="str">
        <f>'Bulk Plant Input'!$A$24</f>
        <v>CFL-4</v>
      </c>
      <c r="F116" s="15" t="str">
        <f>'Bulk Plant Input'!$A$25</f>
        <v>FWC-2</v>
      </c>
      <c r="G116" s="15" t="str">
        <f>'Bulk Plant Input'!$A$26</f>
        <v>LTR</v>
      </c>
      <c r="H116" s="15" t="str">
        <f>'Bulk Plant Input'!$A$27</f>
        <v>CDF-6P</v>
      </c>
      <c r="I116" s="15" t="str">
        <f>'Bulk Plant Input'!$A$28</f>
        <v>ASM-3</v>
      </c>
      <c r="J116" s="15">
        <f>'Bulk Plant Input'!$A$29</f>
        <v>0</v>
      </c>
      <c r="K116" s="15">
        <f>'Bulk Plant Input'!$A$30</f>
        <v>0</v>
      </c>
      <c r="L116" s="15">
        <f>'Bulk Plant Input'!$A$31</f>
        <v>0</v>
      </c>
      <c r="M116" s="15">
        <f>'Bulk Plant Input'!$A$32</f>
        <v>0</v>
      </c>
      <c r="N116" s="15">
        <f>'Bulk Plant Input'!$A$33</f>
        <v>0</v>
      </c>
      <c r="O116" s="15">
        <f>'Bulk Plant Input'!$A$34</f>
        <v>0</v>
      </c>
      <c r="P116" s="15">
        <f>'Bulk Plant Input'!$A$35</f>
        <v>0</v>
      </c>
      <c r="Q116" s="15">
        <f>'Bulk Plant Input'!$A$36</f>
        <v>0</v>
      </c>
      <c r="R116" s="15">
        <f>'Bulk Plant Input'!$A$37</f>
        <v>0</v>
      </c>
      <c r="S116" s="15">
        <v>0</v>
      </c>
      <c r="U116" s="1"/>
      <c r="V116" s="1"/>
      <c r="W116" s="1"/>
      <c r="X116" s="1"/>
      <c r="Y116" s="1"/>
      <c r="Z116" s="1"/>
      <c r="AA116" s="1"/>
      <c r="AB116" s="1"/>
    </row>
    <row r="117" spans="1:28" ht="15.75" x14ac:dyDescent="0.25">
      <c r="A117" s="120" t="str">
        <f>'Base Blend Property Calculation'!A121</f>
        <v>SURFACEmix LW (AB)</v>
      </c>
      <c r="B117" s="97">
        <f t="shared" si="1"/>
        <v>0</v>
      </c>
      <c r="C117" s="97">
        <f>COUNTIF('Bulk Plant Input'!$A$23:$A$37,'Base Blend Property Calculation'!BV121)+COUNTIF('Bulk Plant Input'!$A$23:$A$37,'Base Blend Property Calculation'!BW121)+COUNTIF('Bulk Plant Input'!$A$23:$A$37,'Base Blend Property Calculation'!BX121)+COUNTIF('Bulk Plant Input'!$A$23:$A$37,'Base Blend Property Calculation'!BY121)+COUNTIF('Bulk Plant Input'!$A$23:$A$37,'Base Blend Property Calculation'!BZ121)</f>
        <v>0</v>
      </c>
      <c r="D117" s="15" t="str">
        <f>'Bulk Plant Input'!$A$23</f>
        <v>CFR-5</v>
      </c>
      <c r="E117" s="15" t="str">
        <f>'Bulk Plant Input'!$A$24</f>
        <v>CFL-4</v>
      </c>
      <c r="F117" s="15" t="str">
        <f>'Bulk Plant Input'!$A$25</f>
        <v>FWC-2</v>
      </c>
      <c r="G117" s="15" t="str">
        <f>'Bulk Plant Input'!$A$26</f>
        <v>LTR</v>
      </c>
      <c r="H117" s="15" t="str">
        <f>'Bulk Plant Input'!$A$27</f>
        <v>CDF-6P</v>
      </c>
      <c r="I117" s="15" t="str">
        <f>'Bulk Plant Input'!$A$28</f>
        <v>ASM-3</v>
      </c>
      <c r="J117" s="15">
        <f>'Bulk Plant Input'!$A$29</f>
        <v>0</v>
      </c>
      <c r="K117" s="15">
        <f>'Bulk Plant Input'!$A$30</f>
        <v>0</v>
      </c>
      <c r="L117" s="15">
        <f>'Bulk Plant Input'!$A$31</f>
        <v>0</v>
      </c>
      <c r="M117" s="15">
        <f>'Bulk Plant Input'!$A$32</f>
        <v>0</v>
      </c>
      <c r="N117" s="15">
        <f>'Bulk Plant Input'!$A$33</f>
        <v>0</v>
      </c>
      <c r="O117" s="15">
        <f>'Bulk Plant Input'!$A$34</f>
        <v>0</v>
      </c>
      <c r="P117" s="15">
        <f>'Bulk Plant Input'!$A$35</f>
        <v>0</v>
      </c>
      <c r="Q117" s="15">
        <f>'Bulk Plant Input'!$A$36</f>
        <v>0</v>
      </c>
      <c r="R117" s="15">
        <f>'Bulk Plant Input'!$A$37</f>
        <v>0</v>
      </c>
      <c r="S117" s="15">
        <v>0</v>
      </c>
      <c r="U117" s="1"/>
      <c r="V117" s="1"/>
      <c r="W117" s="1"/>
      <c r="X117" s="1"/>
      <c r="Y117" s="1"/>
      <c r="Z117" s="1"/>
      <c r="AA117" s="1"/>
      <c r="AB117" s="1"/>
    </row>
    <row r="118" spans="1:28" ht="15.75" x14ac:dyDescent="0.25">
      <c r="A118" s="120" t="str">
        <f>'Base Blend Property Calculation'!A122</f>
        <v>SURFACEmix LW (SK)</v>
      </c>
      <c r="B118" s="97">
        <f t="shared" si="1"/>
        <v>0</v>
      </c>
      <c r="C118" s="97">
        <f>COUNTIF('Bulk Plant Input'!$A$23:$A$37,'Base Blend Property Calculation'!BV122)+COUNTIF('Bulk Plant Input'!$A$23:$A$37,'Base Blend Property Calculation'!BW122)+COUNTIF('Bulk Plant Input'!$A$23:$A$37,'Base Blend Property Calculation'!BX122)+COUNTIF('Bulk Plant Input'!$A$23:$A$37,'Base Blend Property Calculation'!BY122)+COUNTIF('Bulk Plant Input'!$A$23:$A$37,'Base Blend Property Calculation'!BZ122)</f>
        <v>0</v>
      </c>
      <c r="D118" s="15" t="str">
        <f>'Bulk Plant Input'!$A$23</f>
        <v>CFR-5</v>
      </c>
      <c r="E118" s="15" t="str">
        <f>'Bulk Plant Input'!$A$24</f>
        <v>CFL-4</v>
      </c>
      <c r="F118" s="15" t="str">
        <f>'Bulk Plant Input'!$A$25</f>
        <v>FWC-2</v>
      </c>
      <c r="G118" s="15" t="str">
        <f>'Bulk Plant Input'!$A$26</f>
        <v>LTR</v>
      </c>
      <c r="H118" s="15" t="str">
        <f>'Bulk Plant Input'!$A$27</f>
        <v>CDF-6P</v>
      </c>
      <c r="I118" s="15" t="str">
        <f>'Bulk Plant Input'!$A$28</f>
        <v>ASM-3</v>
      </c>
      <c r="J118" s="15">
        <f>'Bulk Plant Input'!$A$29</f>
        <v>0</v>
      </c>
      <c r="K118" s="15">
        <f>'Bulk Plant Input'!$A$30</f>
        <v>0</v>
      </c>
      <c r="L118" s="15">
        <f>'Bulk Plant Input'!$A$31</f>
        <v>0</v>
      </c>
      <c r="M118" s="15">
        <f>'Bulk Plant Input'!$A$32</f>
        <v>0</v>
      </c>
      <c r="N118" s="15">
        <f>'Bulk Plant Input'!$A$33</f>
        <v>0</v>
      </c>
      <c r="O118" s="15">
        <f>'Bulk Plant Input'!$A$34</f>
        <v>0</v>
      </c>
      <c r="P118" s="15">
        <f>'Bulk Plant Input'!$A$35</f>
        <v>0</v>
      </c>
      <c r="Q118" s="15">
        <f>'Bulk Plant Input'!$A$36</f>
        <v>0</v>
      </c>
      <c r="R118" s="15">
        <f>'Bulk Plant Input'!$A$37</f>
        <v>0</v>
      </c>
      <c r="S118" s="15">
        <v>0</v>
      </c>
      <c r="U118" s="1"/>
      <c r="V118" s="1"/>
      <c r="W118" s="1"/>
      <c r="X118" s="1"/>
      <c r="Y118" s="1"/>
      <c r="Z118" s="1"/>
      <c r="AA118" s="1"/>
      <c r="AB118" s="1"/>
    </row>
    <row r="119" spans="1:28" ht="15.75" x14ac:dyDescent="0.25">
      <c r="A119" s="120" t="str">
        <f>'Base Blend Property Calculation'!A123</f>
        <v>SURFACEmix LW PRO</v>
      </c>
      <c r="B119" s="97">
        <f t="shared" si="1"/>
        <v>0</v>
      </c>
      <c r="C119" s="97">
        <f>COUNTIF('Bulk Plant Input'!$A$23:$A$37,'Base Blend Property Calculation'!BV123)+COUNTIF('Bulk Plant Input'!$A$23:$A$37,'Base Blend Property Calculation'!BW123)+COUNTIF('Bulk Plant Input'!$A$23:$A$37,'Base Blend Property Calculation'!BX123)+COUNTIF('Bulk Plant Input'!$A$23:$A$37,'Base Blend Property Calculation'!BY123)+COUNTIF('Bulk Plant Input'!$A$23:$A$37,'Base Blend Property Calculation'!BZ123)</f>
        <v>0</v>
      </c>
      <c r="D119" s="15" t="str">
        <f>'Bulk Plant Input'!$A$23</f>
        <v>CFR-5</v>
      </c>
      <c r="E119" s="15" t="str">
        <f>'Bulk Plant Input'!$A$24</f>
        <v>CFL-4</v>
      </c>
      <c r="F119" s="15" t="str">
        <f>'Bulk Plant Input'!$A$25</f>
        <v>FWC-2</v>
      </c>
      <c r="G119" s="15" t="str">
        <f>'Bulk Plant Input'!$A$26</f>
        <v>LTR</v>
      </c>
      <c r="H119" s="15" t="str">
        <f>'Bulk Plant Input'!$A$27</f>
        <v>CDF-6P</v>
      </c>
      <c r="I119" s="15" t="str">
        <f>'Bulk Plant Input'!$A$28</f>
        <v>ASM-3</v>
      </c>
      <c r="J119" s="15">
        <f>'Bulk Plant Input'!$A$29</f>
        <v>0</v>
      </c>
      <c r="K119" s="15">
        <f>'Bulk Plant Input'!$A$30</f>
        <v>0</v>
      </c>
      <c r="L119" s="15">
        <f>'Bulk Plant Input'!$A$31</f>
        <v>0</v>
      </c>
      <c r="M119" s="15">
        <f>'Bulk Plant Input'!$A$32</f>
        <v>0</v>
      </c>
      <c r="N119" s="15">
        <f>'Bulk Plant Input'!$A$33</f>
        <v>0</v>
      </c>
      <c r="O119" s="15">
        <f>'Bulk Plant Input'!$A$34</f>
        <v>0</v>
      </c>
      <c r="P119" s="15">
        <f>'Bulk Plant Input'!$A$35</f>
        <v>0</v>
      </c>
      <c r="Q119" s="15">
        <f>'Bulk Plant Input'!$A$36</f>
        <v>0</v>
      </c>
      <c r="R119" s="15">
        <f>'Bulk Plant Input'!$A$37</f>
        <v>0</v>
      </c>
      <c r="S119" s="15">
        <v>0</v>
      </c>
      <c r="U119" s="1"/>
      <c r="V119" s="1"/>
      <c r="W119" s="1"/>
      <c r="X119" s="1"/>
      <c r="Y119" s="1"/>
      <c r="Z119" s="1"/>
      <c r="AA119" s="1"/>
      <c r="AB119" s="1"/>
    </row>
    <row r="120" spans="1:28" ht="15.75" x14ac:dyDescent="0.25">
      <c r="A120" s="120" t="str">
        <f>'Base Blend Property Calculation'!A124</f>
        <v>SURFACEmix LW PRO (SK)</v>
      </c>
      <c r="B120" s="97">
        <f t="shared" si="1"/>
        <v>0</v>
      </c>
      <c r="C120" s="97">
        <f>COUNTIF('Bulk Plant Input'!$A$23:$A$37,'Base Blend Property Calculation'!BV124)+COUNTIF('Bulk Plant Input'!$A$23:$A$37,'Base Blend Property Calculation'!BW124)+COUNTIF('Bulk Plant Input'!$A$23:$A$37,'Base Blend Property Calculation'!BX124)+COUNTIF('Bulk Plant Input'!$A$23:$A$37,'Base Blend Property Calculation'!BY124)+COUNTIF('Bulk Plant Input'!$A$23:$A$37,'Base Blend Property Calculation'!BZ124)</f>
        <v>0</v>
      </c>
      <c r="D120" s="15" t="str">
        <f>'Bulk Plant Input'!$A$23</f>
        <v>CFR-5</v>
      </c>
      <c r="E120" s="15" t="str">
        <f>'Bulk Plant Input'!$A$24</f>
        <v>CFL-4</v>
      </c>
      <c r="F120" s="15" t="str">
        <f>'Bulk Plant Input'!$A$25</f>
        <v>FWC-2</v>
      </c>
      <c r="G120" s="15" t="str">
        <f>'Bulk Plant Input'!$A$26</f>
        <v>LTR</v>
      </c>
      <c r="H120" s="15" t="str">
        <f>'Bulk Plant Input'!$A$27</f>
        <v>CDF-6P</v>
      </c>
      <c r="I120" s="15" t="str">
        <f>'Bulk Plant Input'!$A$28</f>
        <v>ASM-3</v>
      </c>
      <c r="J120" s="15">
        <f>'Bulk Plant Input'!$A$29</f>
        <v>0</v>
      </c>
      <c r="K120" s="15">
        <f>'Bulk Plant Input'!$A$30</f>
        <v>0</v>
      </c>
      <c r="L120" s="15">
        <f>'Bulk Plant Input'!$A$31</f>
        <v>0</v>
      </c>
      <c r="M120" s="15">
        <f>'Bulk Plant Input'!$A$32</f>
        <v>0</v>
      </c>
      <c r="N120" s="15">
        <f>'Bulk Plant Input'!$A$33</f>
        <v>0</v>
      </c>
      <c r="O120" s="15">
        <f>'Bulk Plant Input'!$A$34</f>
        <v>0</v>
      </c>
      <c r="P120" s="15">
        <f>'Bulk Plant Input'!$A$35</f>
        <v>0</v>
      </c>
      <c r="Q120" s="15">
        <f>'Bulk Plant Input'!$A$36</f>
        <v>0</v>
      </c>
      <c r="R120" s="15">
        <f>'Bulk Plant Input'!$A$37</f>
        <v>0</v>
      </c>
      <c r="S120" s="15">
        <v>0</v>
      </c>
      <c r="U120" s="1"/>
      <c r="V120" s="1"/>
      <c r="W120" s="1"/>
      <c r="X120" s="1"/>
      <c r="Y120" s="1"/>
      <c r="Z120" s="1"/>
      <c r="AA120" s="1"/>
      <c r="AB120" s="1"/>
    </row>
    <row r="121" spans="1:28" ht="15.75" x14ac:dyDescent="0.25">
      <c r="A121" s="120" t="str">
        <f>'Base Blend Property Calculation'!A125</f>
        <v>SURFACEmix LW PRO ED</v>
      </c>
      <c r="B121" s="97">
        <f t="shared" si="1"/>
        <v>0</v>
      </c>
      <c r="C121" s="97">
        <f>COUNTIF('Bulk Plant Input'!$A$23:$A$37,'Base Blend Property Calculation'!BV125)+COUNTIF('Bulk Plant Input'!$A$23:$A$37,'Base Blend Property Calculation'!BW125)+COUNTIF('Bulk Plant Input'!$A$23:$A$37,'Base Blend Property Calculation'!BX125)+COUNTIF('Bulk Plant Input'!$A$23:$A$37,'Base Blend Property Calculation'!BY125)+COUNTIF('Bulk Plant Input'!$A$23:$A$37,'Base Blend Property Calculation'!BZ125)</f>
        <v>0</v>
      </c>
      <c r="D121" s="15" t="str">
        <f>'Bulk Plant Input'!$A$23</f>
        <v>CFR-5</v>
      </c>
      <c r="E121" s="15" t="str">
        <f>'Bulk Plant Input'!$A$24</f>
        <v>CFL-4</v>
      </c>
      <c r="F121" s="15" t="str">
        <f>'Bulk Plant Input'!$A$25</f>
        <v>FWC-2</v>
      </c>
      <c r="G121" s="15" t="str">
        <f>'Bulk Plant Input'!$A$26</f>
        <v>LTR</v>
      </c>
      <c r="H121" s="15" t="str">
        <f>'Bulk Plant Input'!$A$27</f>
        <v>CDF-6P</v>
      </c>
      <c r="I121" s="15" t="str">
        <f>'Bulk Plant Input'!$A$28</f>
        <v>ASM-3</v>
      </c>
      <c r="J121" s="15">
        <f>'Bulk Plant Input'!$A$29</f>
        <v>0</v>
      </c>
      <c r="K121" s="15">
        <f>'Bulk Plant Input'!$A$30</f>
        <v>0</v>
      </c>
      <c r="L121" s="15">
        <f>'Bulk Plant Input'!$A$31</f>
        <v>0</v>
      </c>
      <c r="M121" s="15">
        <f>'Bulk Plant Input'!$A$32</f>
        <v>0</v>
      </c>
      <c r="N121" s="15">
        <f>'Bulk Plant Input'!$A$33</f>
        <v>0</v>
      </c>
      <c r="O121" s="15">
        <f>'Bulk Plant Input'!$A$34</f>
        <v>0</v>
      </c>
      <c r="P121" s="15">
        <f>'Bulk Plant Input'!$A$35</f>
        <v>0</v>
      </c>
      <c r="Q121" s="15">
        <f>'Bulk Plant Input'!$A$36</f>
        <v>0</v>
      </c>
      <c r="R121" s="15">
        <f>'Bulk Plant Input'!$A$37</f>
        <v>0</v>
      </c>
      <c r="S121" s="15">
        <v>0</v>
      </c>
      <c r="U121" s="1"/>
      <c r="V121" s="1"/>
      <c r="W121" s="1"/>
      <c r="X121" s="1"/>
      <c r="Y121" s="1"/>
      <c r="Z121" s="1"/>
      <c r="AA121" s="1"/>
      <c r="AB121" s="1"/>
    </row>
    <row r="122" spans="1:28" ht="15.75" x14ac:dyDescent="0.25">
      <c r="A122" s="120" t="str">
        <f>'Base Blend Property Calculation'!A126</f>
        <v>SURFACEmix LW PRO FSJ</v>
      </c>
      <c r="B122" s="97">
        <f t="shared" si="1"/>
        <v>0</v>
      </c>
      <c r="C122" s="97">
        <f>COUNTIF('Bulk Plant Input'!$A$23:$A$37,'Base Blend Property Calculation'!BV127)+COUNTIF('Bulk Plant Input'!$A$23:$A$37,'Base Blend Property Calculation'!BW127)+COUNTIF('Bulk Plant Input'!$A$23:$A$37,'Base Blend Property Calculation'!BX127)+COUNTIF('Bulk Plant Input'!$A$23:$A$37,'Base Blend Property Calculation'!BY127)+COUNTIF('Bulk Plant Input'!$A$23:$A$37,'Base Blend Property Calculation'!BZ127)</f>
        <v>0</v>
      </c>
      <c r="D122" s="15" t="str">
        <f>'Bulk Plant Input'!$A$23</f>
        <v>CFR-5</v>
      </c>
      <c r="E122" s="15" t="str">
        <f>'Bulk Plant Input'!$A$24</f>
        <v>CFL-4</v>
      </c>
      <c r="F122" s="15" t="str">
        <f>'Bulk Plant Input'!$A$25</f>
        <v>FWC-2</v>
      </c>
      <c r="G122" s="15" t="str">
        <f>'Bulk Plant Input'!$A$26</f>
        <v>LTR</v>
      </c>
      <c r="H122" s="15" t="str">
        <f>'Bulk Plant Input'!$A$27</f>
        <v>CDF-6P</v>
      </c>
      <c r="I122" s="15" t="str">
        <f>'Bulk Plant Input'!$A$28</f>
        <v>ASM-3</v>
      </c>
      <c r="J122" s="15">
        <f>'Bulk Plant Input'!$A$29</f>
        <v>0</v>
      </c>
      <c r="K122" s="15">
        <f>'Bulk Plant Input'!$A$30</f>
        <v>0</v>
      </c>
      <c r="L122" s="15">
        <f>'Bulk Plant Input'!$A$31</f>
        <v>0</v>
      </c>
      <c r="M122" s="15">
        <f>'Bulk Plant Input'!$A$32</f>
        <v>0</v>
      </c>
      <c r="N122" s="15">
        <f>'Bulk Plant Input'!$A$33</f>
        <v>0</v>
      </c>
      <c r="O122" s="15">
        <f>'Bulk Plant Input'!$A$34</f>
        <v>0</v>
      </c>
      <c r="P122" s="15">
        <f>'Bulk Plant Input'!$A$35</f>
        <v>0</v>
      </c>
      <c r="Q122" s="15">
        <f>'Bulk Plant Input'!$A$36</f>
        <v>0</v>
      </c>
      <c r="R122" s="15">
        <f>'Bulk Plant Input'!$A$37</f>
        <v>0</v>
      </c>
      <c r="S122" s="15">
        <v>0</v>
      </c>
      <c r="U122" s="1"/>
      <c r="V122" s="1"/>
      <c r="W122" s="1"/>
      <c r="X122" s="1"/>
      <c r="Y122" s="1"/>
      <c r="Z122" s="1"/>
      <c r="AA122" s="1"/>
      <c r="AB122" s="1"/>
    </row>
    <row r="123" spans="1:28" ht="15.75" x14ac:dyDescent="0.25">
      <c r="A123" s="120" t="str">
        <f>'Base Blend Property Calculation'!A127</f>
        <v>SURFACEmix LW PRO GP</v>
      </c>
      <c r="B123" s="97">
        <f t="shared" si="1"/>
        <v>0</v>
      </c>
      <c r="C123" s="97">
        <f>COUNTIF('Bulk Plant Input'!$A$23:$A$37,'Base Blend Property Calculation'!BV128)+COUNTIF('Bulk Plant Input'!$A$23:$A$37,'Base Blend Property Calculation'!BW128)+COUNTIF('Bulk Plant Input'!$A$23:$A$37,'Base Blend Property Calculation'!BX128)+COUNTIF('Bulk Plant Input'!$A$23:$A$37,'Base Blend Property Calculation'!BY128)+COUNTIF('Bulk Plant Input'!$A$23:$A$37,'Base Blend Property Calculation'!BZ128)</f>
        <v>0</v>
      </c>
      <c r="D123" s="15" t="str">
        <f>'Bulk Plant Input'!$A$23</f>
        <v>CFR-5</v>
      </c>
      <c r="E123" s="15" t="str">
        <f>'Bulk Plant Input'!$A$24</f>
        <v>CFL-4</v>
      </c>
      <c r="F123" s="15" t="str">
        <f>'Bulk Plant Input'!$A$25</f>
        <v>FWC-2</v>
      </c>
      <c r="G123" s="15" t="str">
        <f>'Bulk Plant Input'!$A$26</f>
        <v>LTR</v>
      </c>
      <c r="H123" s="15" t="str">
        <f>'Bulk Plant Input'!$A$27</f>
        <v>CDF-6P</v>
      </c>
      <c r="I123" s="15" t="str">
        <f>'Bulk Plant Input'!$A$28</f>
        <v>ASM-3</v>
      </c>
      <c r="J123" s="15">
        <f>'Bulk Plant Input'!$A$29</f>
        <v>0</v>
      </c>
      <c r="K123" s="15">
        <f>'Bulk Plant Input'!$A$30</f>
        <v>0</v>
      </c>
      <c r="L123" s="15">
        <f>'Bulk Plant Input'!$A$31</f>
        <v>0</v>
      </c>
      <c r="M123" s="15">
        <f>'Bulk Plant Input'!$A$32</f>
        <v>0</v>
      </c>
      <c r="N123" s="15">
        <f>'Bulk Plant Input'!$A$33</f>
        <v>0</v>
      </c>
      <c r="O123" s="15">
        <f>'Bulk Plant Input'!$A$34</f>
        <v>0</v>
      </c>
      <c r="P123" s="15">
        <f>'Bulk Plant Input'!$A$35</f>
        <v>0</v>
      </c>
      <c r="Q123" s="15">
        <f>'Bulk Plant Input'!$A$36</f>
        <v>0</v>
      </c>
      <c r="R123" s="15">
        <f>'Bulk Plant Input'!$A$37</f>
        <v>0</v>
      </c>
      <c r="S123" s="15">
        <v>0</v>
      </c>
      <c r="U123" s="1"/>
      <c r="V123" s="1"/>
      <c r="W123" s="1"/>
      <c r="X123" s="1"/>
      <c r="Y123" s="1"/>
      <c r="Z123" s="1"/>
      <c r="AA123" s="1"/>
      <c r="AB123" s="1"/>
    </row>
    <row r="124" spans="1:28" ht="15.75" x14ac:dyDescent="0.25">
      <c r="A124" s="120" t="str">
        <f>'Base Blend Property Calculation'!A128</f>
        <v>SURFACEmix LW PRO LLD</v>
      </c>
      <c r="B124" s="97">
        <f t="shared" si="1"/>
        <v>0</v>
      </c>
      <c r="C124" s="97">
        <f>COUNTIF('Bulk Plant Input'!$A$23:$A$37,'Base Blend Property Calculation'!BV129)+COUNTIF('Bulk Plant Input'!$A$23:$A$37,'Base Blend Property Calculation'!BW129)+COUNTIF('Bulk Plant Input'!$A$23:$A$37,'Base Blend Property Calculation'!BX129)+COUNTIF('Bulk Plant Input'!$A$23:$A$37,'Base Blend Property Calculation'!BY129)+COUNTIF('Bulk Plant Input'!$A$23:$A$37,'Base Blend Property Calculation'!BZ129)</f>
        <v>0</v>
      </c>
      <c r="D124" s="15" t="str">
        <f>'Bulk Plant Input'!$A$23</f>
        <v>CFR-5</v>
      </c>
      <c r="E124" s="15" t="str">
        <f>'Bulk Plant Input'!$A$24</f>
        <v>CFL-4</v>
      </c>
      <c r="F124" s="15" t="str">
        <f>'Bulk Plant Input'!$A$25</f>
        <v>FWC-2</v>
      </c>
      <c r="G124" s="15" t="str">
        <f>'Bulk Plant Input'!$A$26</f>
        <v>LTR</v>
      </c>
      <c r="H124" s="15" t="str">
        <f>'Bulk Plant Input'!$A$27</f>
        <v>CDF-6P</v>
      </c>
      <c r="I124" s="15" t="str">
        <f>'Bulk Plant Input'!$A$28</f>
        <v>ASM-3</v>
      </c>
      <c r="J124" s="15">
        <f>'Bulk Plant Input'!$A$29</f>
        <v>0</v>
      </c>
      <c r="K124" s="15">
        <f>'Bulk Plant Input'!$A$30</f>
        <v>0</v>
      </c>
      <c r="L124" s="15">
        <f>'Bulk Plant Input'!$A$31</f>
        <v>0</v>
      </c>
      <c r="M124" s="15">
        <f>'Bulk Plant Input'!$A$32</f>
        <v>0</v>
      </c>
      <c r="N124" s="15">
        <f>'Bulk Plant Input'!$A$33</f>
        <v>0</v>
      </c>
      <c r="O124" s="15">
        <f>'Bulk Plant Input'!$A$34</f>
        <v>0</v>
      </c>
      <c r="P124" s="15">
        <f>'Bulk Plant Input'!$A$35</f>
        <v>0</v>
      </c>
      <c r="Q124" s="15">
        <f>'Bulk Plant Input'!$A$36</f>
        <v>0</v>
      </c>
      <c r="R124" s="15">
        <f>'Bulk Plant Input'!$A$37</f>
        <v>0</v>
      </c>
      <c r="S124" s="15">
        <v>0</v>
      </c>
      <c r="U124" s="1"/>
      <c r="V124" s="1"/>
      <c r="W124" s="1"/>
      <c r="X124" s="1"/>
      <c r="Y124" s="1"/>
      <c r="Z124" s="1"/>
      <c r="AA124" s="1"/>
      <c r="AB124" s="1"/>
    </row>
    <row r="125" spans="1:28" ht="15.75" x14ac:dyDescent="0.25">
      <c r="A125" s="120" t="str">
        <f>'Base Blend Property Calculation'!A129</f>
        <v>SURFACEmix LW PRO RD</v>
      </c>
      <c r="B125" s="97">
        <f t="shared" si="1"/>
        <v>0</v>
      </c>
      <c r="C125" s="97">
        <f>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</f>
        <v>0</v>
      </c>
      <c r="D125" s="15" t="str">
        <f>'Bulk Plant Input'!$A$23</f>
        <v>CFR-5</v>
      </c>
      <c r="E125" s="15" t="str">
        <f>'Bulk Plant Input'!$A$24</f>
        <v>CFL-4</v>
      </c>
      <c r="F125" s="15" t="str">
        <f>'Bulk Plant Input'!$A$25</f>
        <v>FWC-2</v>
      </c>
      <c r="G125" s="15" t="str">
        <f>'Bulk Plant Input'!$A$26</f>
        <v>LTR</v>
      </c>
      <c r="H125" s="15" t="str">
        <f>'Bulk Plant Input'!$A$27</f>
        <v>CDF-6P</v>
      </c>
      <c r="I125" s="15" t="str">
        <f>'Bulk Plant Input'!$A$28</f>
        <v>ASM-3</v>
      </c>
      <c r="J125" s="15">
        <f>'Bulk Plant Input'!$A$29</f>
        <v>0</v>
      </c>
      <c r="K125" s="15">
        <f>'Bulk Plant Input'!$A$30</f>
        <v>0</v>
      </c>
      <c r="L125" s="15">
        <f>'Bulk Plant Input'!$A$31</f>
        <v>0</v>
      </c>
      <c r="M125" s="15">
        <f>'Bulk Plant Input'!$A$32</f>
        <v>0</v>
      </c>
      <c r="N125" s="15">
        <f>'Bulk Plant Input'!$A$33</f>
        <v>0</v>
      </c>
      <c r="O125" s="15">
        <f>'Bulk Plant Input'!$A$34</f>
        <v>0</v>
      </c>
      <c r="P125" s="15">
        <f>'Bulk Plant Input'!$A$35</f>
        <v>0</v>
      </c>
      <c r="Q125" s="15">
        <f>'Bulk Plant Input'!$A$36</f>
        <v>0</v>
      </c>
      <c r="R125" s="15">
        <f>'Bulk Plant Input'!$A$37</f>
        <v>0</v>
      </c>
      <c r="S125" s="15">
        <v>0</v>
      </c>
      <c r="U125" s="1"/>
      <c r="V125" s="1"/>
      <c r="W125" s="1"/>
      <c r="X125" s="1"/>
      <c r="Y125" s="1"/>
      <c r="Z125" s="1"/>
      <c r="AA125" s="1"/>
      <c r="AB125" s="1"/>
    </row>
    <row r="126" spans="1:28" ht="15.75" x14ac:dyDescent="0.25">
      <c r="A126" s="120" t="str">
        <f>'Base Blend Property Calculation'!A130</f>
        <v>SURFACEmix PRO</v>
      </c>
      <c r="B126" s="97">
        <f t="shared" si="1"/>
        <v>0</v>
      </c>
      <c r="C126" s="97">
        <f>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</f>
        <v>0</v>
      </c>
      <c r="D126" s="15" t="str">
        <f>'Bulk Plant Input'!$A$23</f>
        <v>CFR-5</v>
      </c>
      <c r="E126" s="15" t="str">
        <f>'Bulk Plant Input'!$A$24</f>
        <v>CFL-4</v>
      </c>
      <c r="F126" s="15" t="str">
        <f>'Bulk Plant Input'!$A$25</f>
        <v>FWC-2</v>
      </c>
      <c r="G126" s="15" t="str">
        <f>'Bulk Plant Input'!$A$26</f>
        <v>LTR</v>
      </c>
      <c r="H126" s="15" t="str">
        <f>'Bulk Plant Input'!$A$27</f>
        <v>CDF-6P</v>
      </c>
      <c r="I126" s="15" t="str">
        <f>'Bulk Plant Input'!$A$28</f>
        <v>ASM-3</v>
      </c>
      <c r="J126" s="15">
        <f>'Bulk Plant Input'!$A$29</f>
        <v>0</v>
      </c>
      <c r="K126" s="15">
        <f>'Bulk Plant Input'!$A$30</f>
        <v>0</v>
      </c>
      <c r="L126" s="15">
        <f>'Bulk Plant Input'!$A$31</f>
        <v>0</v>
      </c>
      <c r="M126" s="15">
        <f>'Bulk Plant Input'!$A$32</f>
        <v>0</v>
      </c>
      <c r="N126" s="15">
        <f>'Bulk Plant Input'!$A$33</f>
        <v>0</v>
      </c>
      <c r="O126" s="15">
        <f>'Bulk Plant Input'!$A$34</f>
        <v>0</v>
      </c>
      <c r="P126" s="15">
        <f>'Bulk Plant Input'!$A$35</f>
        <v>0</v>
      </c>
      <c r="Q126" s="15">
        <f>'Bulk Plant Input'!$A$36</f>
        <v>0</v>
      </c>
      <c r="R126" s="15">
        <f>'Bulk Plant Input'!$A$37</f>
        <v>0</v>
      </c>
      <c r="S126" s="15">
        <v>0</v>
      </c>
      <c r="U126" s="1"/>
      <c r="V126" s="1"/>
      <c r="W126" s="1"/>
      <c r="X126" s="1"/>
      <c r="Y126" s="1"/>
      <c r="Z126" s="1"/>
      <c r="AA126" s="1"/>
      <c r="AB126" s="1"/>
    </row>
    <row r="127" spans="1:28" ht="15.75" x14ac:dyDescent="0.25">
      <c r="A127" s="120" t="str">
        <f>'Base Blend Property Calculation'!A131</f>
        <v>SURFACEmix SLW</v>
      </c>
      <c r="B127" s="97">
        <f t="shared" si="1"/>
        <v>0</v>
      </c>
      <c r="C127" s="97">
        <f>COUNTIF('Bulk Plant Input'!$A$23:$A$37,'Base Blend Property Calculation'!BV130)+COUNTIF('Bulk Plant Input'!$A$23:$A$37,'Base Blend Property Calculation'!BW130)+COUNTIF('Bulk Plant Input'!$A$23:$A$37,'Base Blend Property Calculation'!BX130)+COUNTIF('Bulk Plant Input'!$A$23:$A$37,'Base Blend Property Calculation'!BY130)+COUNTIF('Bulk Plant Input'!$A$23:$A$37,'Base Blend Property Calculation'!BZ130)</f>
        <v>0</v>
      </c>
      <c r="D127" s="15" t="str">
        <f>'Bulk Plant Input'!$A$23</f>
        <v>CFR-5</v>
      </c>
      <c r="E127" s="15" t="str">
        <f>'Bulk Plant Input'!$A$24</f>
        <v>CFL-4</v>
      </c>
      <c r="F127" s="15" t="str">
        <f>'Bulk Plant Input'!$A$25</f>
        <v>FWC-2</v>
      </c>
      <c r="G127" s="15" t="str">
        <f>'Bulk Plant Input'!$A$26</f>
        <v>LTR</v>
      </c>
      <c r="H127" s="15" t="str">
        <f>'Bulk Plant Input'!$A$27</f>
        <v>CDF-6P</v>
      </c>
      <c r="I127" s="15" t="str">
        <f>'Bulk Plant Input'!$A$28</f>
        <v>ASM-3</v>
      </c>
      <c r="J127" s="15">
        <f>'Bulk Plant Input'!$A$29</f>
        <v>0</v>
      </c>
      <c r="K127" s="15">
        <f>'Bulk Plant Input'!$A$30</f>
        <v>0</v>
      </c>
      <c r="L127" s="15">
        <f>'Bulk Plant Input'!$A$31</f>
        <v>0</v>
      </c>
      <c r="M127" s="15">
        <f>'Bulk Plant Input'!$A$32</f>
        <v>0</v>
      </c>
      <c r="N127" s="15">
        <f>'Bulk Plant Input'!$A$33</f>
        <v>0</v>
      </c>
      <c r="O127" s="15">
        <f>'Bulk Plant Input'!$A$34</f>
        <v>0</v>
      </c>
      <c r="P127" s="15">
        <f>'Bulk Plant Input'!$A$35</f>
        <v>0</v>
      </c>
      <c r="Q127" s="15">
        <f>'Bulk Plant Input'!$A$36</f>
        <v>0</v>
      </c>
      <c r="R127" s="15">
        <f>'Bulk Plant Input'!$A$37</f>
        <v>0</v>
      </c>
      <c r="S127" s="15">
        <v>0</v>
      </c>
      <c r="U127" s="1"/>
      <c r="V127" s="1"/>
      <c r="W127" s="1"/>
      <c r="X127" s="1"/>
      <c r="Y127" s="1"/>
      <c r="Z127" s="1"/>
      <c r="AA127" s="1"/>
      <c r="AB127" s="1"/>
    </row>
    <row r="128" spans="1:28" ht="15.75" x14ac:dyDescent="0.25">
      <c r="A128" s="120" t="str">
        <f>'Base Blend Property Calculation'!A132</f>
        <v>SURFACEmix THX</v>
      </c>
      <c r="B128" s="97">
        <f t="shared" si="1"/>
        <v>0</v>
      </c>
      <c r="C128" s="97">
        <f>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</f>
        <v>0</v>
      </c>
      <c r="D128" s="15" t="str">
        <f>'Bulk Plant Input'!$A$23</f>
        <v>CFR-5</v>
      </c>
      <c r="E128" s="15" t="str">
        <f>'Bulk Plant Input'!$A$24</f>
        <v>CFL-4</v>
      </c>
      <c r="F128" s="15" t="str">
        <f>'Bulk Plant Input'!$A$25</f>
        <v>FWC-2</v>
      </c>
      <c r="G128" s="15" t="str">
        <f>'Bulk Plant Input'!$A$26</f>
        <v>LTR</v>
      </c>
      <c r="H128" s="15" t="str">
        <f>'Bulk Plant Input'!$A$27</f>
        <v>CDF-6P</v>
      </c>
      <c r="I128" s="15" t="str">
        <f>'Bulk Plant Input'!$A$28</f>
        <v>ASM-3</v>
      </c>
      <c r="J128" s="15">
        <f>'Bulk Plant Input'!$A$29</f>
        <v>0</v>
      </c>
      <c r="K128" s="15">
        <f>'Bulk Plant Input'!$A$30</f>
        <v>0</v>
      </c>
      <c r="L128" s="15">
        <f>'Bulk Plant Input'!$A$31</f>
        <v>0</v>
      </c>
      <c r="M128" s="15">
        <f>'Bulk Plant Input'!$A$32</f>
        <v>0</v>
      </c>
      <c r="N128" s="15">
        <f>'Bulk Plant Input'!$A$33</f>
        <v>0</v>
      </c>
      <c r="O128" s="15">
        <f>'Bulk Plant Input'!$A$34</f>
        <v>0</v>
      </c>
      <c r="P128" s="15">
        <f>'Bulk Plant Input'!$A$35</f>
        <v>0</v>
      </c>
      <c r="Q128" s="15">
        <f>'Bulk Plant Input'!$A$36</f>
        <v>0</v>
      </c>
      <c r="R128" s="15">
        <f>'Bulk Plant Input'!$A$37</f>
        <v>0</v>
      </c>
      <c r="S128" s="15">
        <v>0</v>
      </c>
      <c r="U128" s="1"/>
      <c r="V128" s="1"/>
      <c r="W128" s="1"/>
      <c r="X128" s="1"/>
      <c r="Y128" s="1"/>
      <c r="Z128" s="1"/>
      <c r="AA128" s="1"/>
      <c r="AB128" s="1"/>
    </row>
    <row r="129" spans="1:28" ht="15.75" x14ac:dyDescent="0.25">
      <c r="A129" s="120" t="str">
        <f>'Base Blend Property Calculation'!A133</f>
        <v>SurfLite</v>
      </c>
      <c r="B129" s="97">
        <f t="shared" si="1"/>
        <v>0</v>
      </c>
      <c r="C129" s="97">
        <f>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</f>
        <v>0</v>
      </c>
      <c r="D129" s="15" t="str">
        <f>'Bulk Plant Input'!$A$23</f>
        <v>CFR-5</v>
      </c>
      <c r="E129" s="15" t="str">
        <f>'Bulk Plant Input'!$A$24</f>
        <v>CFL-4</v>
      </c>
      <c r="F129" s="15" t="str">
        <f>'Bulk Plant Input'!$A$25</f>
        <v>FWC-2</v>
      </c>
      <c r="G129" s="15" t="str">
        <f>'Bulk Plant Input'!$A$26</f>
        <v>LTR</v>
      </c>
      <c r="H129" s="15" t="str">
        <f>'Bulk Plant Input'!$A$27</f>
        <v>CDF-6P</v>
      </c>
      <c r="I129" s="15" t="str">
        <f>'Bulk Plant Input'!$A$28</f>
        <v>ASM-3</v>
      </c>
      <c r="J129" s="15">
        <f>'Bulk Plant Input'!$A$29</f>
        <v>0</v>
      </c>
      <c r="K129" s="15">
        <f>'Bulk Plant Input'!$A$30</f>
        <v>0</v>
      </c>
      <c r="L129" s="15">
        <f>'Bulk Plant Input'!$A$31</f>
        <v>0</v>
      </c>
      <c r="M129" s="15">
        <f>'Bulk Plant Input'!$A$32</f>
        <v>0</v>
      </c>
      <c r="N129" s="15">
        <f>'Bulk Plant Input'!$A$33</f>
        <v>0</v>
      </c>
      <c r="O129" s="15">
        <f>'Bulk Plant Input'!$A$34</f>
        <v>0</v>
      </c>
      <c r="P129" s="15">
        <f>'Bulk Plant Input'!$A$35</f>
        <v>0</v>
      </c>
      <c r="Q129" s="15">
        <f>'Bulk Plant Input'!$A$36</f>
        <v>0</v>
      </c>
      <c r="R129" s="15">
        <f>'Bulk Plant Input'!$A$37</f>
        <v>0</v>
      </c>
      <c r="S129" s="15">
        <v>0</v>
      </c>
      <c r="U129" s="1"/>
      <c r="V129" s="1"/>
      <c r="W129" s="1"/>
      <c r="X129" s="1"/>
      <c r="Y129" s="1"/>
      <c r="Z129" s="1"/>
      <c r="AA129" s="1"/>
      <c r="AB129" s="1"/>
    </row>
    <row r="130" spans="1:28" ht="15.75" x14ac:dyDescent="0.25">
      <c r="A130" s="120" t="str">
        <f>'Base Blend Property Calculation'!A134</f>
        <v>SurfLite (SK)</v>
      </c>
      <c r="B130" s="97">
        <f t="shared" si="1"/>
        <v>0</v>
      </c>
      <c r="C130" s="97">
        <f>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</f>
        <v>0</v>
      </c>
      <c r="D130" s="15" t="str">
        <f>'Bulk Plant Input'!$A$23</f>
        <v>CFR-5</v>
      </c>
      <c r="E130" s="15" t="str">
        <f>'Bulk Plant Input'!$A$24</f>
        <v>CFL-4</v>
      </c>
      <c r="F130" s="15" t="str">
        <f>'Bulk Plant Input'!$A$25</f>
        <v>FWC-2</v>
      </c>
      <c r="G130" s="15" t="str">
        <f>'Bulk Plant Input'!$A$26</f>
        <v>LTR</v>
      </c>
      <c r="H130" s="15" t="str">
        <f>'Bulk Plant Input'!$A$27</f>
        <v>CDF-6P</v>
      </c>
      <c r="I130" s="15" t="str">
        <f>'Bulk Plant Input'!$A$28</f>
        <v>ASM-3</v>
      </c>
      <c r="J130" s="15">
        <f>'Bulk Plant Input'!$A$29</f>
        <v>0</v>
      </c>
      <c r="K130" s="15">
        <f>'Bulk Plant Input'!$A$30</f>
        <v>0</v>
      </c>
      <c r="L130" s="15">
        <f>'Bulk Plant Input'!$A$31</f>
        <v>0</v>
      </c>
      <c r="M130" s="15">
        <f>'Bulk Plant Input'!$A$32</f>
        <v>0</v>
      </c>
      <c r="N130" s="15">
        <f>'Bulk Plant Input'!$A$33</f>
        <v>0</v>
      </c>
      <c r="O130" s="15">
        <f>'Bulk Plant Input'!$A$34</f>
        <v>0</v>
      </c>
      <c r="P130" s="15">
        <f>'Bulk Plant Input'!$A$35</f>
        <v>0</v>
      </c>
      <c r="Q130" s="15">
        <f>'Bulk Plant Input'!$A$36</f>
        <v>0</v>
      </c>
      <c r="R130" s="15">
        <f>'Bulk Plant Input'!$A$37</f>
        <v>0</v>
      </c>
      <c r="S130" s="15">
        <v>0</v>
      </c>
      <c r="U130" s="1"/>
      <c r="V130" s="1"/>
      <c r="W130" s="1"/>
      <c r="X130" s="1"/>
      <c r="Y130" s="1"/>
      <c r="Z130" s="1"/>
      <c r="AA130" s="1"/>
      <c r="AB130" s="1"/>
    </row>
    <row r="131" spans="1:28" ht="15.75" x14ac:dyDescent="0.25">
      <c r="A131" s="120" t="str">
        <f>'Base Blend Property Calculation'!A135</f>
        <v>Thermal 40</v>
      </c>
      <c r="B131" s="97">
        <f t="shared" si="1"/>
        <v>0</v>
      </c>
      <c r="C131" s="97">
        <f>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</f>
        <v>0</v>
      </c>
      <c r="D131" s="15" t="str">
        <f>'Bulk Plant Input'!$A$23</f>
        <v>CFR-5</v>
      </c>
      <c r="E131" s="15" t="str">
        <f>'Bulk Plant Input'!$A$24</f>
        <v>CFL-4</v>
      </c>
      <c r="F131" s="15" t="str">
        <f>'Bulk Plant Input'!$A$25</f>
        <v>FWC-2</v>
      </c>
      <c r="G131" s="15" t="str">
        <f>'Bulk Plant Input'!$A$26</f>
        <v>LTR</v>
      </c>
      <c r="H131" s="15" t="str">
        <f>'Bulk Plant Input'!$A$27</f>
        <v>CDF-6P</v>
      </c>
      <c r="I131" s="15" t="str">
        <f>'Bulk Plant Input'!$A$28</f>
        <v>ASM-3</v>
      </c>
      <c r="J131" s="15">
        <f>'Bulk Plant Input'!$A$29</f>
        <v>0</v>
      </c>
      <c r="K131" s="15">
        <f>'Bulk Plant Input'!$A$30</f>
        <v>0</v>
      </c>
      <c r="L131" s="15">
        <f>'Bulk Plant Input'!$A$31</f>
        <v>0</v>
      </c>
      <c r="M131" s="15">
        <f>'Bulk Plant Input'!$A$32</f>
        <v>0</v>
      </c>
      <c r="N131" s="15">
        <f>'Bulk Plant Input'!$A$33</f>
        <v>0</v>
      </c>
      <c r="O131" s="15">
        <f>'Bulk Plant Input'!$A$34</f>
        <v>0</v>
      </c>
      <c r="P131" s="15">
        <f>'Bulk Plant Input'!$A$35</f>
        <v>0</v>
      </c>
      <c r="Q131" s="15">
        <f>'Bulk Plant Input'!$A$36</f>
        <v>0</v>
      </c>
      <c r="R131" s="15">
        <f>'Bulk Plant Input'!$A$37</f>
        <v>0</v>
      </c>
      <c r="S131" s="15">
        <v>0</v>
      </c>
      <c r="U131" s="1"/>
      <c r="V131" s="1"/>
      <c r="W131" s="1"/>
      <c r="X131" s="1"/>
      <c r="Y131" s="1"/>
      <c r="Z131" s="1"/>
      <c r="AA131" s="1"/>
      <c r="AB131" s="1"/>
    </row>
    <row r="132" spans="1:28" ht="15.75" x14ac:dyDescent="0.25">
      <c r="A132" s="120" t="str">
        <f>'Base Blend Property Calculation'!A136</f>
        <v>Thermal 40 EXP</v>
      </c>
      <c r="B132" s="97">
        <f t="shared" ref="B132:B147" si="2">IF(C132=0,0,1)</f>
        <v>0</v>
      </c>
      <c r="C132" s="97">
        <f>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Calculation'!#REF!)+COUNTIF('Bulk Plant Input'!$A$23:$A$37,'Base Blend Property Calculation'!#REF!)</f>
        <v>0</v>
      </c>
      <c r="D132" s="15" t="str">
        <f>'Bulk Plant Input'!$A$23</f>
        <v>CFR-5</v>
      </c>
      <c r="E132" s="15" t="str">
        <f>'Bulk Plant Input'!$A$24</f>
        <v>CFL-4</v>
      </c>
      <c r="F132" s="15" t="str">
        <f>'Bulk Plant Input'!$A$25</f>
        <v>FWC-2</v>
      </c>
      <c r="G132" s="15" t="str">
        <f>'Bulk Plant Input'!$A$26</f>
        <v>LTR</v>
      </c>
      <c r="H132" s="15" t="str">
        <f>'Bulk Plant Input'!$A$27</f>
        <v>CDF-6P</v>
      </c>
      <c r="I132" s="15" t="str">
        <f>'Bulk Plant Input'!$A$28</f>
        <v>ASM-3</v>
      </c>
      <c r="J132" s="15">
        <f>'Bulk Plant Input'!$A$29</f>
        <v>0</v>
      </c>
      <c r="K132" s="15">
        <f>'Bulk Plant Input'!$A$30</f>
        <v>0</v>
      </c>
      <c r="L132" s="15">
        <f>'Bulk Plant Input'!$A$31</f>
        <v>0</v>
      </c>
      <c r="M132" s="15">
        <f>'Bulk Plant Input'!$A$32</f>
        <v>0</v>
      </c>
      <c r="N132" s="15">
        <f>'Bulk Plant Input'!$A$33</f>
        <v>0</v>
      </c>
      <c r="O132" s="15">
        <f>'Bulk Plant Input'!$A$34</f>
        <v>0</v>
      </c>
      <c r="P132" s="15">
        <f>'Bulk Plant Input'!$A$35</f>
        <v>0</v>
      </c>
      <c r="Q132" s="15">
        <f>'Bulk Plant Input'!$A$36</f>
        <v>0</v>
      </c>
      <c r="R132" s="15">
        <f>'Bulk Plant Input'!$A$37</f>
        <v>0</v>
      </c>
      <c r="S132" s="15">
        <v>0</v>
      </c>
      <c r="U132" s="1"/>
      <c r="V132" s="1"/>
      <c r="W132" s="1"/>
      <c r="X132" s="1"/>
      <c r="Y132" s="1"/>
      <c r="Z132" s="1"/>
      <c r="AA132" s="1"/>
      <c r="AB132" s="1"/>
    </row>
    <row r="133" spans="1:28" ht="15.75" x14ac:dyDescent="0.25">
      <c r="A133" s="120" t="str">
        <f>'Base Blend Property Calculation'!A137</f>
        <v>Thermal 40 Lite</v>
      </c>
      <c r="B133" s="97">
        <f t="shared" si="2"/>
        <v>0</v>
      </c>
      <c r="C133" s="97">
        <f>COUNTIF('Bulk Plant Input'!$A$23:$A$37,'Base Blend Property Calculation'!BV131)+COUNTIF('Bulk Plant Input'!$A$23:$A$37,'Base Blend Property Calculation'!BW131)+COUNTIF('Bulk Plant Input'!$A$23:$A$37,'Base Blend Property Calculation'!BX131)+COUNTIF('Bulk Plant Input'!$A$23:$A$37,'Base Blend Property Calculation'!BY131)+COUNTIF('Bulk Plant Input'!$A$23:$A$37,'Base Blend Property Calculation'!BZ131)</f>
        <v>0</v>
      </c>
      <c r="D133" s="15" t="str">
        <f>'Bulk Plant Input'!$A$23</f>
        <v>CFR-5</v>
      </c>
      <c r="E133" s="15" t="str">
        <f>'Bulk Plant Input'!$A$24</f>
        <v>CFL-4</v>
      </c>
      <c r="F133" s="15" t="str">
        <f>'Bulk Plant Input'!$A$25</f>
        <v>FWC-2</v>
      </c>
      <c r="G133" s="15" t="str">
        <f>'Bulk Plant Input'!$A$26</f>
        <v>LTR</v>
      </c>
      <c r="H133" s="15" t="str">
        <f>'Bulk Plant Input'!$A$27</f>
        <v>CDF-6P</v>
      </c>
      <c r="I133" s="15" t="str">
        <f>'Bulk Plant Input'!$A$28</f>
        <v>ASM-3</v>
      </c>
      <c r="J133" s="15">
        <f>'Bulk Plant Input'!$A$29</f>
        <v>0</v>
      </c>
      <c r="K133" s="15">
        <f>'Bulk Plant Input'!$A$30</f>
        <v>0</v>
      </c>
      <c r="L133" s="15">
        <f>'Bulk Plant Input'!$A$31</f>
        <v>0</v>
      </c>
      <c r="M133" s="15">
        <f>'Bulk Plant Input'!$A$32</f>
        <v>0</v>
      </c>
      <c r="N133" s="15">
        <f>'Bulk Plant Input'!$A$33</f>
        <v>0</v>
      </c>
      <c r="O133" s="15">
        <f>'Bulk Plant Input'!$A$34</f>
        <v>0</v>
      </c>
      <c r="P133" s="15">
        <f>'Bulk Plant Input'!$A$35</f>
        <v>0</v>
      </c>
      <c r="Q133" s="15">
        <f>'Bulk Plant Input'!$A$36</f>
        <v>0</v>
      </c>
      <c r="R133" s="15">
        <f>'Bulk Plant Input'!$A$37</f>
        <v>0</v>
      </c>
      <c r="S133" s="15">
        <v>0</v>
      </c>
      <c r="U133" s="1"/>
      <c r="V133" s="1"/>
      <c r="W133" s="1"/>
      <c r="X133" s="1"/>
      <c r="Y133" s="1"/>
      <c r="Z133" s="1"/>
      <c r="AA133" s="1"/>
      <c r="AB133" s="1"/>
    </row>
    <row r="134" spans="1:28" ht="15.75" x14ac:dyDescent="0.25">
      <c r="A134" s="120" t="str">
        <f>'Base Blend Property Calculation'!A138</f>
        <v>THERMAmix EC</v>
      </c>
      <c r="B134" s="97">
        <f t="shared" si="2"/>
        <v>0</v>
      </c>
      <c r="C134" s="97">
        <f>COUNTIF('Bulk Plant Input'!$A$23:$A$37,'Base Blend Property Calculation'!BV132)+COUNTIF('Bulk Plant Input'!$A$23:$A$37,'Base Blend Property Calculation'!BW132)+COUNTIF('Bulk Plant Input'!$A$23:$A$37,'Base Blend Property Calculation'!BX132)+COUNTIF('Bulk Plant Input'!$A$23:$A$37,'Base Blend Property Calculation'!BY132)+COUNTIF('Bulk Plant Input'!$A$23:$A$37,'Base Blend Property Calculation'!BZ132)</f>
        <v>0</v>
      </c>
      <c r="D134" s="15" t="str">
        <f>'Bulk Plant Input'!$A$23</f>
        <v>CFR-5</v>
      </c>
      <c r="E134" s="15" t="str">
        <f>'Bulk Plant Input'!$A$24</f>
        <v>CFL-4</v>
      </c>
      <c r="F134" s="15" t="str">
        <f>'Bulk Plant Input'!$A$25</f>
        <v>FWC-2</v>
      </c>
      <c r="G134" s="15" t="str">
        <f>'Bulk Plant Input'!$A$26</f>
        <v>LTR</v>
      </c>
      <c r="H134" s="15" t="str">
        <f>'Bulk Plant Input'!$A$27</f>
        <v>CDF-6P</v>
      </c>
      <c r="I134" s="15" t="str">
        <f>'Bulk Plant Input'!$A$28</f>
        <v>ASM-3</v>
      </c>
      <c r="J134" s="15">
        <f>'Bulk Plant Input'!$A$29</f>
        <v>0</v>
      </c>
      <c r="K134" s="15">
        <f>'Bulk Plant Input'!$A$30</f>
        <v>0</v>
      </c>
      <c r="L134" s="15">
        <f>'Bulk Plant Input'!$A$31</f>
        <v>0</v>
      </c>
      <c r="M134" s="15">
        <f>'Bulk Plant Input'!$A$32</f>
        <v>0</v>
      </c>
      <c r="N134" s="15">
        <f>'Bulk Plant Input'!$A$33</f>
        <v>0</v>
      </c>
      <c r="O134" s="15">
        <f>'Bulk Plant Input'!$A$34</f>
        <v>0</v>
      </c>
      <c r="P134" s="15">
        <f>'Bulk Plant Input'!$A$35</f>
        <v>0</v>
      </c>
      <c r="Q134" s="15">
        <f>'Bulk Plant Input'!$A$36</f>
        <v>0</v>
      </c>
      <c r="R134" s="15">
        <f>'Bulk Plant Input'!$A$37</f>
        <v>0</v>
      </c>
      <c r="S134" s="15">
        <v>1</v>
      </c>
      <c r="U134" s="1"/>
      <c r="V134" s="1"/>
      <c r="W134" s="1"/>
      <c r="X134" s="1"/>
      <c r="Y134" s="1"/>
      <c r="Z134" s="1"/>
      <c r="AA134" s="1"/>
      <c r="AB134" s="1"/>
    </row>
    <row r="135" spans="1:28" ht="15.75" x14ac:dyDescent="0.25">
      <c r="A135" s="120" t="str">
        <f>'Base Blend Property Calculation'!A139</f>
        <v>THERMAmix EC EXP</v>
      </c>
      <c r="B135" s="97">
        <f t="shared" si="2"/>
        <v>0</v>
      </c>
      <c r="C135" s="97">
        <f>COUNTIF('Bulk Plant Input'!$A$23:$A$37,'Base Blend Property Calculation'!BV133)+COUNTIF('Bulk Plant Input'!$A$23:$A$37,'Base Blend Property Calculation'!BW133)+COUNTIF('Bulk Plant Input'!$A$23:$A$37,'Base Blend Property Calculation'!BX133)+COUNTIF('Bulk Plant Input'!$A$23:$A$37,'Base Blend Property Calculation'!BY133)+COUNTIF('Bulk Plant Input'!$A$23:$A$37,'Base Blend Property Calculation'!BZ133)</f>
        <v>0</v>
      </c>
      <c r="D135" s="15" t="str">
        <f>'Bulk Plant Input'!$A$23</f>
        <v>CFR-5</v>
      </c>
      <c r="E135" s="15" t="str">
        <f>'Bulk Plant Input'!$A$24</f>
        <v>CFL-4</v>
      </c>
      <c r="F135" s="15" t="str">
        <f>'Bulk Plant Input'!$A$25</f>
        <v>FWC-2</v>
      </c>
      <c r="G135" s="15" t="str">
        <f>'Bulk Plant Input'!$A$26</f>
        <v>LTR</v>
      </c>
      <c r="H135" s="15" t="str">
        <f>'Bulk Plant Input'!$A$27</f>
        <v>CDF-6P</v>
      </c>
      <c r="I135" s="15" t="str">
        <f>'Bulk Plant Input'!$A$28</f>
        <v>ASM-3</v>
      </c>
      <c r="J135" s="15">
        <f>'Bulk Plant Input'!$A$29</f>
        <v>0</v>
      </c>
      <c r="K135" s="15">
        <f>'Bulk Plant Input'!$A$30</f>
        <v>0</v>
      </c>
      <c r="L135" s="15">
        <f>'Bulk Plant Input'!$A$31</f>
        <v>0</v>
      </c>
      <c r="M135" s="15">
        <f>'Bulk Plant Input'!$A$32</f>
        <v>0</v>
      </c>
      <c r="N135" s="15">
        <f>'Bulk Plant Input'!$A$33</f>
        <v>0</v>
      </c>
      <c r="O135" s="15">
        <f>'Bulk Plant Input'!$A$34</f>
        <v>0</v>
      </c>
      <c r="P135" s="15">
        <f>'Bulk Plant Input'!$A$35</f>
        <v>0</v>
      </c>
      <c r="Q135" s="15">
        <f>'Bulk Plant Input'!$A$36</f>
        <v>0</v>
      </c>
      <c r="R135" s="15">
        <f>'Bulk Plant Input'!$A$37</f>
        <v>0</v>
      </c>
      <c r="S135" s="15">
        <v>0</v>
      </c>
      <c r="U135" s="1"/>
      <c r="V135" s="1"/>
      <c r="W135" s="1"/>
      <c r="X135" s="1"/>
      <c r="Y135" s="1"/>
      <c r="Z135" s="1"/>
      <c r="AA135" s="1"/>
      <c r="AB135" s="1"/>
    </row>
    <row r="136" spans="1:28" ht="15.75" x14ac:dyDescent="0.25">
      <c r="A136" s="120" t="str">
        <f>'Base Blend Property Calculation'!A140</f>
        <v>THERMAmix LT</v>
      </c>
      <c r="B136" s="97">
        <f t="shared" si="2"/>
        <v>0</v>
      </c>
      <c r="C136" s="97">
        <f>COUNTIF('Bulk Plant Input'!$A$23:$A$37,'Base Blend Property Calculation'!BV134)+COUNTIF('Bulk Plant Input'!$A$23:$A$37,'Base Blend Property Calculation'!BW134)+COUNTIF('Bulk Plant Input'!$A$23:$A$37,'Base Blend Property Calculation'!BX134)+COUNTIF('Bulk Plant Input'!$A$23:$A$37,'Base Blend Property Calculation'!BY134)+COUNTIF('Bulk Plant Input'!$A$23:$A$37,'Base Blend Property Calculation'!BZ134)</f>
        <v>0</v>
      </c>
      <c r="D136" s="15" t="str">
        <f>'Bulk Plant Input'!$A$23</f>
        <v>CFR-5</v>
      </c>
      <c r="E136" s="15" t="str">
        <f>'Bulk Plant Input'!$A$24</f>
        <v>CFL-4</v>
      </c>
      <c r="F136" s="15" t="str">
        <f>'Bulk Plant Input'!$A$25</f>
        <v>FWC-2</v>
      </c>
      <c r="G136" s="15" t="str">
        <f>'Bulk Plant Input'!$A$26</f>
        <v>LTR</v>
      </c>
      <c r="H136" s="15" t="str">
        <f>'Bulk Plant Input'!$A$27</f>
        <v>CDF-6P</v>
      </c>
      <c r="I136" s="15" t="str">
        <f>'Bulk Plant Input'!$A$28</f>
        <v>ASM-3</v>
      </c>
      <c r="J136" s="15">
        <f>'Bulk Plant Input'!$A$29</f>
        <v>0</v>
      </c>
      <c r="K136" s="15">
        <f>'Bulk Plant Input'!$A$30</f>
        <v>0</v>
      </c>
      <c r="L136" s="15">
        <f>'Bulk Plant Input'!$A$31</f>
        <v>0</v>
      </c>
      <c r="M136" s="15">
        <f>'Bulk Plant Input'!$A$32</f>
        <v>0</v>
      </c>
      <c r="N136" s="15">
        <f>'Bulk Plant Input'!$A$33</f>
        <v>0</v>
      </c>
      <c r="O136" s="15">
        <f>'Bulk Plant Input'!$A$34</f>
        <v>0</v>
      </c>
      <c r="P136" s="15">
        <f>'Bulk Plant Input'!$A$35</f>
        <v>0</v>
      </c>
      <c r="Q136" s="15">
        <f>'Bulk Plant Input'!$A$36</f>
        <v>0</v>
      </c>
      <c r="R136" s="15">
        <f>'Bulk Plant Input'!$A$37</f>
        <v>0</v>
      </c>
      <c r="S136" s="15">
        <v>0</v>
      </c>
      <c r="U136" s="1"/>
      <c r="V136" s="1"/>
      <c r="W136" s="1"/>
      <c r="X136" s="1"/>
      <c r="Y136" s="1"/>
      <c r="Z136" s="1"/>
      <c r="AA136" s="1"/>
      <c r="AB136" s="1"/>
    </row>
    <row r="137" spans="1:28" ht="15.75" x14ac:dyDescent="0.25">
      <c r="A137" s="120" t="str">
        <f>'Base Blend Property Calculation'!A141</f>
        <v>THERMAmix PRO</v>
      </c>
      <c r="B137" s="97">
        <f t="shared" si="2"/>
        <v>0</v>
      </c>
      <c r="C137" s="97">
        <f>COUNTIF('Bulk Plant Input'!$A$23:$A$37,'Base Blend Property Calculation'!BV135)+COUNTIF('Bulk Plant Input'!$A$23:$A$37,'Base Blend Property Calculation'!BW135)+COUNTIF('Bulk Plant Input'!$A$23:$A$37,'Base Blend Property Calculation'!BX135)+COUNTIF('Bulk Plant Input'!$A$23:$A$37,'Base Blend Property Calculation'!BY135)+COUNTIF('Bulk Plant Input'!$A$23:$A$37,'Base Blend Property Calculation'!BZ135)</f>
        <v>0</v>
      </c>
      <c r="D137" s="15" t="str">
        <f>'Bulk Plant Input'!$A$23</f>
        <v>CFR-5</v>
      </c>
      <c r="E137" s="15" t="str">
        <f>'Bulk Plant Input'!$A$24</f>
        <v>CFL-4</v>
      </c>
      <c r="F137" s="15" t="str">
        <f>'Bulk Plant Input'!$A$25</f>
        <v>FWC-2</v>
      </c>
      <c r="G137" s="15" t="str">
        <f>'Bulk Plant Input'!$A$26</f>
        <v>LTR</v>
      </c>
      <c r="H137" s="15" t="str">
        <f>'Bulk Plant Input'!$A$27</f>
        <v>CDF-6P</v>
      </c>
      <c r="I137" s="15" t="str">
        <f>'Bulk Plant Input'!$A$28</f>
        <v>ASM-3</v>
      </c>
      <c r="J137" s="15">
        <f>'Bulk Plant Input'!$A$29</f>
        <v>0</v>
      </c>
      <c r="K137" s="15">
        <f>'Bulk Plant Input'!$A$30</f>
        <v>0</v>
      </c>
      <c r="L137" s="15">
        <f>'Bulk Plant Input'!$A$31</f>
        <v>0</v>
      </c>
      <c r="M137" s="15">
        <f>'Bulk Plant Input'!$A$32</f>
        <v>0</v>
      </c>
      <c r="N137" s="15">
        <f>'Bulk Plant Input'!$A$33</f>
        <v>0</v>
      </c>
      <c r="O137" s="15">
        <f>'Bulk Plant Input'!$A$34</f>
        <v>0</v>
      </c>
      <c r="P137" s="15">
        <f>'Bulk Plant Input'!$A$35</f>
        <v>0</v>
      </c>
      <c r="Q137" s="15">
        <f>'Bulk Plant Input'!$A$36</f>
        <v>0</v>
      </c>
      <c r="R137" s="15">
        <f>'Bulk Plant Input'!$A$37</f>
        <v>0</v>
      </c>
      <c r="S137" s="15">
        <v>0</v>
      </c>
      <c r="U137" s="1"/>
      <c r="V137" s="1"/>
      <c r="W137" s="1"/>
      <c r="X137" s="1"/>
      <c r="Y137" s="1"/>
      <c r="Z137" s="1"/>
      <c r="AA137" s="1"/>
      <c r="AB137" s="1"/>
    </row>
    <row r="138" spans="1:28" ht="15.75" x14ac:dyDescent="0.25">
      <c r="A138" s="120" t="str">
        <f>'Base Blend Property Calculation'!A142</f>
        <v>THERMAmix SLW</v>
      </c>
      <c r="B138" s="97">
        <f t="shared" si="2"/>
        <v>0</v>
      </c>
      <c r="C138" s="97">
        <f>COUNTIF('Bulk Plant Input'!$A$23:$A$37,'Base Blend Property Calculation'!BV136)+COUNTIF('Bulk Plant Input'!$A$23:$A$37,'Base Blend Property Calculation'!BW136)+COUNTIF('Bulk Plant Input'!$A$23:$A$37,'Base Blend Property Calculation'!BX136)+COUNTIF('Bulk Plant Input'!$A$23:$A$37,'Base Blend Property Calculation'!BY136)+COUNTIF('Bulk Plant Input'!$A$23:$A$37,'Base Blend Property Calculation'!BZ136)</f>
        <v>0</v>
      </c>
      <c r="D138" s="15" t="str">
        <f>'Bulk Plant Input'!$A$23</f>
        <v>CFR-5</v>
      </c>
      <c r="E138" s="15" t="str">
        <f>'Bulk Plant Input'!$A$24</f>
        <v>CFL-4</v>
      </c>
      <c r="F138" s="15" t="str">
        <f>'Bulk Plant Input'!$A$25</f>
        <v>FWC-2</v>
      </c>
      <c r="G138" s="15" t="str">
        <f>'Bulk Plant Input'!$A$26</f>
        <v>LTR</v>
      </c>
      <c r="H138" s="15" t="str">
        <f>'Bulk Plant Input'!$A$27</f>
        <v>CDF-6P</v>
      </c>
      <c r="I138" s="15" t="str">
        <f>'Bulk Plant Input'!$A$28</f>
        <v>ASM-3</v>
      </c>
      <c r="J138" s="15">
        <f>'Bulk Plant Input'!$A$29</f>
        <v>0</v>
      </c>
      <c r="K138" s="15">
        <f>'Bulk Plant Input'!$A$30</f>
        <v>0</v>
      </c>
      <c r="L138" s="15">
        <f>'Bulk Plant Input'!$A$31</f>
        <v>0</v>
      </c>
      <c r="M138" s="15">
        <f>'Bulk Plant Input'!$A$32</f>
        <v>0</v>
      </c>
      <c r="N138" s="15">
        <f>'Bulk Plant Input'!$A$33</f>
        <v>0</v>
      </c>
      <c r="O138" s="15">
        <f>'Bulk Plant Input'!$A$34</f>
        <v>0</v>
      </c>
      <c r="P138" s="15">
        <f>'Bulk Plant Input'!$A$35</f>
        <v>0</v>
      </c>
      <c r="Q138" s="15">
        <f>'Bulk Plant Input'!$A$36</f>
        <v>0</v>
      </c>
      <c r="R138" s="15">
        <f>'Bulk Plant Input'!$A$37</f>
        <v>0</v>
      </c>
      <c r="S138" s="15">
        <v>0</v>
      </c>
      <c r="U138" s="1"/>
      <c r="V138" s="1"/>
      <c r="W138" s="1"/>
      <c r="X138" s="1"/>
      <c r="Y138" s="1"/>
      <c r="Z138" s="1"/>
      <c r="AA138" s="1"/>
      <c r="AB138" s="1"/>
    </row>
    <row r="139" spans="1:28" ht="15.75" x14ac:dyDescent="0.25">
      <c r="A139" s="120" t="str">
        <f>'Base Blend Property Calculation'!A143</f>
        <v>THERMAmix THX</v>
      </c>
      <c r="B139" s="97">
        <f t="shared" si="2"/>
        <v>0</v>
      </c>
      <c r="C139" s="97">
        <f>COUNTIF('Bulk Plant Input'!$A$23:$A$37,'Base Blend Property Calculation'!BV137)+COUNTIF('Bulk Plant Input'!$A$23:$A$37,'Base Blend Property Calculation'!BW137)+COUNTIF('Bulk Plant Input'!$A$23:$A$37,'Base Blend Property Calculation'!BX137)+COUNTIF('Bulk Plant Input'!$A$23:$A$37,'Base Blend Property Calculation'!BY137)+COUNTIF('Bulk Plant Input'!$A$23:$A$37,'Base Blend Property Calculation'!BZ137)</f>
        <v>0</v>
      </c>
      <c r="D139" s="15" t="str">
        <f>'Bulk Plant Input'!$A$23</f>
        <v>CFR-5</v>
      </c>
      <c r="E139" s="15" t="str">
        <f>'Bulk Plant Input'!$A$24</f>
        <v>CFL-4</v>
      </c>
      <c r="F139" s="15" t="str">
        <f>'Bulk Plant Input'!$A$25</f>
        <v>FWC-2</v>
      </c>
      <c r="G139" s="15" t="str">
        <f>'Bulk Plant Input'!$A$26</f>
        <v>LTR</v>
      </c>
      <c r="H139" s="15" t="str">
        <f>'Bulk Plant Input'!$A$27</f>
        <v>CDF-6P</v>
      </c>
      <c r="I139" s="15" t="str">
        <f>'Bulk Plant Input'!$A$28</f>
        <v>ASM-3</v>
      </c>
      <c r="J139" s="15">
        <f>'Bulk Plant Input'!$A$29</f>
        <v>0</v>
      </c>
      <c r="K139" s="15">
        <f>'Bulk Plant Input'!$A$30</f>
        <v>0</v>
      </c>
      <c r="L139" s="15">
        <f>'Bulk Plant Input'!$A$31</f>
        <v>0</v>
      </c>
      <c r="M139" s="15">
        <f>'Bulk Plant Input'!$A$32</f>
        <v>0</v>
      </c>
      <c r="N139" s="15">
        <f>'Bulk Plant Input'!$A$33</f>
        <v>0</v>
      </c>
      <c r="O139" s="15">
        <f>'Bulk Plant Input'!$A$34</f>
        <v>0</v>
      </c>
      <c r="P139" s="15">
        <f>'Bulk Plant Input'!$A$35</f>
        <v>0</v>
      </c>
      <c r="Q139" s="15">
        <f>'Bulk Plant Input'!$A$36</f>
        <v>0</v>
      </c>
      <c r="R139" s="15">
        <f>'Bulk Plant Input'!$A$37</f>
        <v>0</v>
      </c>
      <c r="S139" s="15">
        <v>0</v>
      </c>
      <c r="U139" s="1"/>
      <c r="V139" s="1"/>
      <c r="W139" s="1"/>
      <c r="X139" s="1"/>
      <c r="Y139" s="1"/>
      <c r="Z139" s="1"/>
      <c r="AA139" s="1"/>
      <c r="AB139" s="1"/>
    </row>
    <row r="140" spans="1:28" ht="15.75" x14ac:dyDescent="0.25">
      <c r="A140" s="120" t="str">
        <f>'Base Blend Property Calculation'!A144</f>
        <v>ThixLite HT (AB)</v>
      </c>
      <c r="B140" s="97">
        <f t="shared" si="2"/>
        <v>0</v>
      </c>
      <c r="C140" s="97">
        <f>COUNTIF('Bulk Plant Input'!$A$23:$A$37,'Base Blend Property Calculation'!BV138)+COUNTIF('Bulk Plant Input'!$A$23:$A$37,'Base Blend Property Calculation'!BW138)+COUNTIF('Bulk Plant Input'!$A$23:$A$37,'Base Blend Property Calculation'!BX138)+COUNTIF('Bulk Plant Input'!$A$23:$A$37,'Base Blend Property Calculation'!BY138)+COUNTIF('Bulk Plant Input'!$A$23:$A$37,'Base Blend Property Calculation'!BZ138)</f>
        <v>0</v>
      </c>
      <c r="D140" s="15" t="str">
        <f>'Bulk Plant Input'!$A$23</f>
        <v>CFR-5</v>
      </c>
      <c r="E140" s="15" t="str">
        <f>'Bulk Plant Input'!$A$24</f>
        <v>CFL-4</v>
      </c>
      <c r="F140" s="15" t="str">
        <f>'Bulk Plant Input'!$A$25</f>
        <v>FWC-2</v>
      </c>
      <c r="G140" s="15" t="str">
        <f>'Bulk Plant Input'!$A$26</f>
        <v>LTR</v>
      </c>
      <c r="H140" s="15" t="str">
        <f>'Bulk Plant Input'!$A$27</f>
        <v>CDF-6P</v>
      </c>
      <c r="I140" s="15" t="str">
        <f>'Bulk Plant Input'!$A$28</f>
        <v>ASM-3</v>
      </c>
      <c r="J140" s="15">
        <f>'Bulk Plant Input'!$A$29</f>
        <v>0</v>
      </c>
      <c r="K140" s="15">
        <f>'Bulk Plant Input'!$A$30</f>
        <v>0</v>
      </c>
      <c r="L140" s="15">
        <f>'Bulk Plant Input'!$A$31</f>
        <v>0</v>
      </c>
      <c r="M140" s="15">
        <f>'Bulk Plant Input'!$A$32</f>
        <v>0</v>
      </c>
      <c r="N140" s="15">
        <f>'Bulk Plant Input'!$A$33</f>
        <v>0</v>
      </c>
      <c r="O140" s="15">
        <f>'Bulk Plant Input'!$A$34</f>
        <v>0</v>
      </c>
      <c r="P140" s="15">
        <f>'Bulk Plant Input'!$A$35</f>
        <v>0</v>
      </c>
      <c r="Q140" s="15">
        <f>'Bulk Plant Input'!$A$36</f>
        <v>0</v>
      </c>
      <c r="R140" s="15">
        <f>'Bulk Plant Input'!$A$37</f>
        <v>0</v>
      </c>
      <c r="S140" s="15">
        <v>0</v>
      </c>
      <c r="U140" s="1"/>
      <c r="V140" s="1"/>
      <c r="W140" s="1"/>
      <c r="X140" s="1"/>
      <c r="Y140" s="1"/>
      <c r="Z140" s="1"/>
      <c r="AA140" s="1"/>
      <c r="AB140" s="1"/>
    </row>
    <row r="141" spans="1:28" ht="15.75" x14ac:dyDescent="0.25">
      <c r="A141" s="120" t="str">
        <f>'Base Blend Property Calculation'!A145</f>
        <v>ThixLite HT (SK)</v>
      </c>
      <c r="B141" s="97">
        <f t="shared" si="2"/>
        <v>0</v>
      </c>
      <c r="C141" s="97">
        <f>COUNTIF('Bulk Plant Input'!$A$23:$A$37,'Base Blend Property Calculation'!BV139)+COUNTIF('Bulk Plant Input'!$A$23:$A$37,'Base Blend Property Calculation'!BW139)+COUNTIF('Bulk Plant Input'!$A$23:$A$37,'Base Blend Property Calculation'!BX139)+COUNTIF('Bulk Plant Input'!$A$23:$A$37,'Base Blend Property Calculation'!BY139)+COUNTIF('Bulk Plant Input'!$A$23:$A$37,'Base Blend Property Calculation'!BZ139)</f>
        <v>0</v>
      </c>
      <c r="D141" s="15" t="str">
        <f>'Bulk Plant Input'!$A$23</f>
        <v>CFR-5</v>
      </c>
      <c r="E141" s="15" t="str">
        <f>'Bulk Plant Input'!$A$24</f>
        <v>CFL-4</v>
      </c>
      <c r="F141" s="15" t="str">
        <f>'Bulk Plant Input'!$A$25</f>
        <v>FWC-2</v>
      </c>
      <c r="G141" s="15" t="str">
        <f>'Bulk Plant Input'!$A$26</f>
        <v>LTR</v>
      </c>
      <c r="H141" s="15" t="str">
        <f>'Bulk Plant Input'!$A$27</f>
        <v>CDF-6P</v>
      </c>
      <c r="I141" s="15" t="str">
        <f>'Bulk Plant Input'!$A$28</f>
        <v>ASM-3</v>
      </c>
      <c r="J141" s="15">
        <f>'Bulk Plant Input'!$A$29</f>
        <v>0</v>
      </c>
      <c r="K141" s="15">
        <f>'Bulk Plant Input'!$A$30</f>
        <v>0</v>
      </c>
      <c r="L141" s="15">
        <f>'Bulk Plant Input'!$A$31</f>
        <v>0</v>
      </c>
      <c r="M141" s="15">
        <f>'Bulk Plant Input'!$A$32</f>
        <v>0</v>
      </c>
      <c r="N141" s="15">
        <f>'Bulk Plant Input'!$A$33</f>
        <v>0</v>
      </c>
      <c r="O141" s="15">
        <f>'Bulk Plant Input'!$A$34</f>
        <v>0</v>
      </c>
      <c r="P141" s="15">
        <f>'Bulk Plant Input'!$A$35</f>
        <v>0</v>
      </c>
      <c r="Q141" s="15">
        <f>'Bulk Plant Input'!$A$36</f>
        <v>0</v>
      </c>
      <c r="R141" s="15">
        <f>'Bulk Plant Input'!$A$37</f>
        <v>0</v>
      </c>
      <c r="S141" s="15">
        <v>0</v>
      </c>
      <c r="U141" s="1"/>
      <c r="V141" s="1"/>
      <c r="W141" s="1"/>
      <c r="X141" s="1"/>
      <c r="Y141" s="1"/>
      <c r="Z141" s="1"/>
      <c r="AA141" s="1"/>
      <c r="AB141" s="1"/>
    </row>
    <row r="142" spans="1:28" ht="15.75" x14ac:dyDescent="0.25">
      <c r="A142" s="120" t="str">
        <f>'Base Blend Property Calculation'!A146</f>
        <v>Sanseal Thermal</v>
      </c>
      <c r="B142" s="97">
        <f t="shared" si="2"/>
        <v>0</v>
      </c>
      <c r="C142" s="97">
        <f>COUNTIF('Bulk Plant Input'!$A$23:$A$37,'Base Blend Property Calculation'!BV140)+COUNTIF('Bulk Plant Input'!$A$23:$A$37,'Base Blend Property Calculation'!BW140)+COUNTIF('Bulk Plant Input'!$A$23:$A$37,'Base Blend Property Calculation'!BX140)+COUNTIF('Bulk Plant Input'!$A$23:$A$37,'Base Blend Property Calculation'!BY140)+COUNTIF('Bulk Plant Input'!$A$23:$A$37,'Base Blend Property Calculation'!BZ140)</f>
        <v>0</v>
      </c>
      <c r="D142" s="15" t="str">
        <f>'Bulk Plant Input'!$A$23</f>
        <v>CFR-5</v>
      </c>
      <c r="E142" s="15" t="str">
        <f>'Bulk Plant Input'!$A$24</f>
        <v>CFL-4</v>
      </c>
      <c r="F142" s="15" t="str">
        <f>'Bulk Plant Input'!$A$25</f>
        <v>FWC-2</v>
      </c>
      <c r="G142" s="15" t="str">
        <f>'Bulk Plant Input'!$A$26</f>
        <v>LTR</v>
      </c>
      <c r="H142" s="15" t="str">
        <f>'Bulk Plant Input'!$A$27</f>
        <v>CDF-6P</v>
      </c>
      <c r="I142" s="15" t="str">
        <f>'Bulk Plant Input'!$A$28</f>
        <v>ASM-3</v>
      </c>
      <c r="J142" s="15">
        <f>'Bulk Plant Input'!$A$29</f>
        <v>0</v>
      </c>
      <c r="K142" s="15">
        <f>'Bulk Plant Input'!$A$30</f>
        <v>0</v>
      </c>
      <c r="L142" s="15">
        <f>'Bulk Plant Input'!$A$31</f>
        <v>0</v>
      </c>
      <c r="M142" s="15">
        <f>'Bulk Plant Input'!$A$32</f>
        <v>0</v>
      </c>
      <c r="N142" s="15">
        <f>'Bulk Plant Input'!$A$33</f>
        <v>0</v>
      </c>
      <c r="O142" s="15">
        <f>'Bulk Plant Input'!$A$34</f>
        <v>0</v>
      </c>
      <c r="P142" s="15">
        <f>'Bulk Plant Input'!$A$35</f>
        <v>0</v>
      </c>
      <c r="Q142" s="15">
        <f>'Bulk Plant Input'!$A$36</f>
        <v>0</v>
      </c>
      <c r="R142" s="15">
        <f>'Bulk Plant Input'!$A$37</f>
        <v>0</v>
      </c>
      <c r="S142" s="15">
        <v>0</v>
      </c>
      <c r="U142" s="1"/>
      <c r="V142" s="1"/>
      <c r="W142" s="1"/>
      <c r="X142" s="1"/>
      <c r="Y142" s="1"/>
      <c r="Z142" s="1"/>
      <c r="AA142" s="1"/>
      <c r="AB142" s="1"/>
    </row>
    <row r="143" spans="1:28" ht="15.75" x14ac:dyDescent="0.25">
      <c r="A143" s="120" t="str">
        <f>'Base Blend Property Calculation'!A147</f>
        <v>LDP-C-0119</v>
      </c>
      <c r="B143" s="97">
        <f t="shared" si="2"/>
        <v>0</v>
      </c>
      <c r="C143" s="97">
        <f>COUNTIF('Bulk Plant Input'!$A$23:$A$37,'Base Blend Property Calculation'!BV141)+COUNTIF('Bulk Plant Input'!$A$23:$A$37,'Base Blend Property Calculation'!BW141)+COUNTIF('Bulk Plant Input'!$A$23:$A$37,'Base Blend Property Calculation'!BX141)+COUNTIF('Bulk Plant Input'!$A$23:$A$37,'Base Blend Property Calculation'!BY141)+COUNTIF('Bulk Plant Input'!$A$23:$A$37,'Base Blend Property Calculation'!BZ141)</f>
        <v>0</v>
      </c>
      <c r="D143" s="15" t="str">
        <f>'Bulk Plant Input'!$A$23</f>
        <v>CFR-5</v>
      </c>
      <c r="E143" s="15" t="str">
        <f>'Bulk Plant Input'!$A$24</f>
        <v>CFL-4</v>
      </c>
      <c r="F143" s="15" t="str">
        <f>'Bulk Plant Input'!$A$25</f>
        <v>FWC-2</v>
      </c>
      <c r="G143" s="15" t="str">
        <f>'Bulk Plant Input'!$A$26</f>
        <v>LTR</v>
      </c>
      <c r="H143" s="15" t="str">
        <f>'Bulk Plant Input'!$A$27</f>
        <v>CDF-6P</v>
      </c>
      <c r="I143" s="15" t="str">
        <f>'Bulk Plant Input'!$A$28</f>
        <v>ASM-3</v>
      </c>
      <c r="J143" s="15">
        <f>'Bulk Plant Input'!$A$29</f>
        <v>0</v>
      </c>
      <c r="K143" s="15">
        <f>'Bulk Plant Input'!$A$30</f>
        <v>0</v>
      </c>
      <c r="L143" s="15">
        <f>'Bulk Plant Input'!$A$31</f>
        <v>0</v>
      </c>
      <c r="M143" s="15">
        <f>'Bulk Plant Input'!$A$32</f>
        <v>0</v>
      </c>
      <c r="N143" s="15">
        <f>'Bulk Plant Input'!$A$33</f>
        <v>0</v>
      </c>
      <c r="O143" s="15">
        <f>'Bulk Plant Input'!$A$34</f>
        <v>0</v>
      </c>
      <c r="P143" s="15">
        <f>'Bulk Plant Input'!$A$35</f>
        <v>0</v>
      </c>
      <c r="Q143" s="15">
        <f>'Bulk Plant Input'!$A$36</f>
        <v>0</v>
      </c>
      <c r="R143" s="15">
        <f>'Bulk Plant Input'!$A$37</f>
        <v>0</v>
      </c>
      <c r="S143" s="15">
        <v>0</v>
      </c>
      <c r="U143" s="1"/>
      <c r="V143" s="1"/>
      <c r="W143" s="1"/>
      <c r="X143" s="1"/>
      <c r="Y143" s="1"/>
      <c r="Z143" s="1"/>
      <c r="AA143" s="1"/>
      <c r="AB143" s="1"/>
    </row>
    <row r="144" spans="1:28" ht="15.75" x14ac:dyDescent="0.25">
      <c r="A144" s="120">
        <f>'Base Blend Property Calculation'!A148</f>
        <v>0</v>
      </c>
      <c r="B144" s="97">
        <f t="shared" si="2"/>
        <v>0</v>
      </c>
      <c r="C144" s="97">
        <f>COUNTIF('Bulk Plant Input'!$A$23:$A$37,'Base Blend Property Calculation'!BV142)+COUNTIF('Bulk Plant Input'!$A$23:$A$37,'Base Blend Property Calculation'!BW142)+COUNTIF('Bulk Plant Input'!$A$23:$A$37,'Base Blend Property Calculation'!BX142)+COUNTIF('Bulk Plant Input'!$A$23:$A$37,'Base Blend Property Calculation'!BY142)+COUNTIF('Bulk Plant Input'!$A$23:$A$37,'Base Blend Property Calculation'!BZ142)</f>
        <v>0</v>
      </c>
      <c r="D144" s="15" t="str">
        <f>'Bulk Plant Input'!$A$23</f>
        <v>CFR-5</v>
      </c>
      <c r="E144" s="15" t="str">
        <f>'Bulk Plant Input'!$A$24</f>
        <v>CFL-4</v>
      </c>
      <c r="F144" s="15" t="str">
        <f>'Bulk Plant Input'!$A$25</f>
        <v>FWC-2</v>
      </c>
      <c r="G144" s="15" t="str">
        <f>'Bulk Plant Input'!$A$26</f>
        <v>LTR</v>
      </c>
      <c r="H144" s="15" t="str">
        <f>'Bulk Plant Input'!$A$27</f>
        <v>CDF-6P</v>
      </c>
      <c r="I144" s="15" t="str">
        <f>'Bulk Plant Input'!$A$28</f>
        <v>ASM-3</v>
      </c>
      <c r="J144" s="15">
        <f>'Bulk Plant Input'!$A$29</f>
        <v>0</v>
      </c>
      <c r="K144" s="15">
        <f>'Bulk Plant Input'!$A$30</f>
        <v>0</v>
      </c>
      <c r="L144" s="15">
        <f>'Bulk Plant Input'!$A$31</f>
        <v>0</v>
      </c>
      <c r="M144" s="15">
        <f>'Bulk Plant Input'!$A$32</f>
        <v>0</v>
      </c>
      <c r="N144" s="15">
        <f>'Bulk Plant Input'!$A$33</f>
        <v>0</v>
      </c>
      <c r="O144" s="15">
        <f>'Bulk Plant Input'!$A$34</f>
        <v>0</v>
      </c>
      <c r="P144" s="15">
        <f>'Bulk Plant Input'!$A$35</f>
        <v>0</v>
      </c>
      <c r="Q144" s="15">
        <f>'Bulk Plant Input'!$A$36</f>
        <v>0</v>
      </c>
      <c r="R144" s="15">
        <f>'Bulk Plant Input'!$A$37</f>
        <v>0</v>
      </c>
      <c r="S144" s="15">
        <v>0</v>
      </c>
      <c r="U144" s="1"/>
      <c r="V144" s="1"/>
      <c r="W144" s="1"/>
      <c r="X144" s="1"/>
      <c r="Y144" s="1"/>
      <c r="Z144" s="1"/>
      <c r="AA144" s="1"/>
      <c r="AB144" s="1"/>
    </row>
    <row r="145" spans="1:28" ht="15.75" x14ac:dyDescent="0.25">
      <c r="A145" s="120">
        <f>'Base Blend Property Calculation'!A149</f>
        <v>0</v>
      </c>
      <c r="B145" s="97">
        <f t="shared" si="2"/>
        <v>0</v>
      </c>
      <c r="C145" s="97">
        <f>COUNTIF('Bulk Plant Input'!$A$23:$A$37,'Base Blend Property Calculation'!BV143)+COUNTIF('Bulk Plant Input'!$A$23:$A$37,'Base Blend Property Calculation'!BW143)+COUNTIF('Bulk Plant Input'!$A$23:$A$37,'Base Blend Property Calculation'!BX143)+COUNTIF('Bulk Plant Input'!$A$23:$A$37,'Base Blend Property Calculation'!BY143)+COUNTIF('Bulk Plant Input'!$A$23:$A$37,'Base Blend Property Calculation'!BZ143)</f>
        <v>0</v>
      </c>
      <c r="D145" s="15" t="str">
        <f>'Bulk Plant Input'!$A$23</f>
        <v>CFR-5</v>
      </c>
      <c r="E145" s="15" t="str">
        <f>'Bulk Plant Input'!$A$24</f>
        <v>CFL-4</v>
      </c>
      <c r="F145" s="15" t="str">
        <f>'Bulk Plant Input'!$A$25</f>
        <v>FWC-2</v>
      </c>
      <c r="G145" s="15" t="str">
        <f>'Bulk Plant Input'!$A$26</f>
        <v>LTR</v>
      </c>
      <c r="H145" s="15" t="str">
        <f>'Bulk Plant Input'!$A$27</f>
        <v>CDF-6P</v>
      </c>
      <c r="I145" s="15" t="str">
        <f>'Bulk Plant Input'!$A$28</f>
        <v>ASM-3</v>
      </c>
      <c r="J145" s="15">
        <f>'Bulk Plant Input'!$A$29</f>
        <v>0</v>
      </c>
      <c r="K145" s="15">
        <f>'Bulk Plant Input'!$A$30</f>
        <v>0</v>
      </c>
      <c r="L145" s="15">
        <f>'Bulk Plant Input'!$A$31</f>
        <v>0</v>
      </c>
      <c r="M145" s="15">
        <f>'Bulk Plant Input'!$A$32</f>
        <v>0</v>
      </c>
      <c r="N145" s="15">
        <f>'Bulk Plant Input'!$A$33</f>
        <v>0</v>
      </c>
      <c r="O145" s="15">
        <f>'Bulk Plant Input'!$A$34</f>
        <v>0</v>
      </c>
      <c r="P145" s="15">
        <f>'Bulk Plant Input'!$A$35</f>
        <v>0</v>
      </c>
      <c r="Q145" s="15">
        <f>'Bulk Plant Input'!$A$36</f>
        <v>0</v>
      </c>
      <c r="R145" s="15">
        <f>'Bulk Plant Input'!$A$37</f>
        <v>0</v>
      </c>
      <c r="S145" s="15">
        <v>0</v>
      </c>
      <c r="U145" s="1"/>
      <c r="V145" s="1"/>
      <c r="W145" s="1"/>
      <c r="X145" s="1"/>
      <c r="Y145" s="1"/>
      <c r="Z145" s="1"/>
      <c r="AA145" s="1"/>
      <c r="AB145" s="1"/>
    </row>
    <row r="146" spans="1:28" ht="15.75" x14ac:dyDescent="0.25">
      <c r="A146" s="120">
        <f>'Base Blend Property Calculation'!A150</f>
        <v>0</v>
      </c>
      <c r="B146" s="97">
        <f t="shared" si="2"/>
        <v>0</v>
      </c>
      <c r="C146" s="97">
        <f>COUNTIF('Bulk Plant Input'!$A$23:$A$37,'Base Blend Property Calculation'!BV144)+COUNTIF('Bulk Plant Input'!$A$23:$A$37,'Base Blend Property Calculation'!BW144)+COUNTIF('Bulk Plant Input'!$A$23:$A$37,'Base Blend Property Calculation'!BX144)+COUNTIF('Bulk Plant Input'!$A$23:$A$37,'Base Blend Property Calculation'!BY144)+COUNTIF('Bulk Plant Input'!$A$23:$A$37,'Base Blend Property Calculation'!BZ144)</f>
        <v>0</v>
      </c>
      <c r="D146" s="15" t="str">
        <f>'Bulk Plant Input'!$A$23</f>
        <v>CFR-5</v>
      </c>
      <c r="E146" s="15" t="str">
        <f>'Bulk Plant Input'!$A$24</f>
        <v>CFL-4</v>
      </c>
      <c r="F146" s="15" t="str">
        <f>'Bulk Plant Input'!$A$25</f>
        <v>FWC-2</v>
      </c>
      <c r="G146" s="15" t="str">
        <f>'Bulk Plant Input'!$A$26</f>
        <v>LTR</v>
      </c>
      <c r="H146" s="15" t="str">
        <f>'Bulk Plant Input'!$A$27</f>
        <v>CDF-6P</v>
      </c>
      <c r="I146" s="15" t="str">
        <f>'Bulk Plant Input'!$A$28</f>
        <v>ASM-3</v>
      </c>
      <c r="J146" s="15">
        <f>'Bulk Plant Input'!$A$29</f>
        <v>0</v>
      </c>
      <c r="K146" s="15">
        <f>'Bulk Plant Input'!$A$30</f>
        <v>0</v>
      </c>
      <c r="L146" s="15">
        <f>'Bulk Plant Input'!$A$31</f>
        <v>0</v>
      </c>
      <c r="M146" s="15">
        <f>'Bulk Plant Input'!$A$32</f>
        <v>0</v>
      </c>
      <c r="N146" s="15">
        <f>'Bulk Plant Input'!$A$33</f>
        <v>0</v>
      </c>
      <c r="O146" s="15">
        <f>'Bulk Plant Input'!$A$34</f>
        <v>0</v>
      </c>
      <c r="P146" s="15">
        <f>'Bulk Plant Input'!$A$35</f>
        <v>0</v>
      </c>
      <c r="Q146" s="15">
        <f>'Bulk Plant Input'!$A$36</f>
        <v>0</v>
      </c>
      <c r="R146" s="15">
        <f>'Bulk Plant Input'!$A$37</f>
        <v>0</v>
      </c>
      <c r="S146" s="15">
        <v>1</v>
      </c>
      <c r="U146" s="1"/>
      <c r="V146" s="1"/>
      <c r="W146" s="1"/>
      <c r="X146" s="1"/>
      <c r="Y146" s="1"/>
      <c r="Z146" s="1"/>
      <c r="AA146" s="1"/>
      <c r="AB146" s="1"/>
    </row>
    <row r="147" spans="1:28" ht="15.75" x14ac:dyDescent="0.25">
      <c r="A147" s="120">
        <f>'Base Blend Property Calculation'!A151</f>
        <v>0</v>
      </c>
      <c r="B147" s="97">
        <f t="shared" si="2"/>
        <v>0</v>
      </c>
      <c r="C147" s="97">
        <f>COUNTIF('Bulk Plant Input'!$A$23:$A$37,'Base Blend Property Calculation'!BV145)+COUNTIF('Bulk Plant Input'!$A$23:$A$37,'Base Blend Property Calculation'!BW145)+COUNTIF('Bulk Plant Input'!$A$23:$A$37,'Base Blend Property Calculation'!BX145)+COUNTIF('Bulk Plant Input'!$A$23:$A$37,'Base Blend Property Calculation'!BY145)+COUNTIF('Bulk Plant Input'!$A$23:$A$37,'Base Blend Property Calculation'!BZ145)</f>
        <v>0</v>
      </c>
      <c r="D147" s="15" t="str">
        <f>'Bulk Plant Input'!$A$23</f>
        <v>CFR-5</v>
      </c>
      <c r="E147" s="15" t="str">
        <f>'Bulk Plant Input'!$A$24</f>
        <v>CFL-4</v>
      </c>
      <c r="F147" s="15" t="str">
        <f>'Bulk Plant Input'!$A$25</f>
        <v>FWC-2</v>
      </c>
      <c r="G147" s="15" t="str">
        <f>'Bulk Plant Input'!$A$26</f>
        <v>LTR</v>
      </c>
      <c r="H147" s="15" t="str">
        <f>'Bulk Plant Input'!$A$27</f>
        <v>CDF-6P</v>
      </c>
      <c r="I147" s="15" t="str">
        <f>'Bulk Plant Input'!$A$28</f>
        <v>ASM-3</v>
      </c>
      <c r="J147" s="15">
        <f>'Bulk Plant Input'!$A$29</f>
        <v>0</v>
      </c>
      <c r="K147" s="15">
        <f>'Bulk Plant Input'!$A$30</f>
        <v>0</v>
      </c>
      <c r="L147" s="15">
        <f>'Bulk Plant Input'!$A$31</f>
        <v>0</v>
      </c>
      <c r="M147" s="15">
        <f>'Bulk Plant Input'!$A$32</f>
        <v>0</v>
      </c>
      <c r="N147" s="15">
        <f>'Bulk Plant Input'!$A$33</f>
        <v>0</v>
      </c>
      <c r="O147" s="15">
        <f>'Bulk Plant Input'!$A$34</f>
        <v>0</v>
      </c>
      <c r="P147" s="15">
        <f>'Bulk Plant Input'!$A$35</f>
        <v>0</v>
      </c>
      <c r="Q147" s="15">
        <f>'Bulk Plant Input'!$A$36</f>
        <v>0</v>
      </c>
      <c r="R147" s="15">
        <f>'Bulk Plant Input'!$A$37</f>
        <v>0</v>
      </c>
      <c r="S147" s="15">
        <v>1</v>
      </c>
      <c r="U147" s="1"/>
      <c r="V147" s="1"/>
      <c r="W147" s="1"/>
      <c r="X147" s="1"/>
      <c r="Y147" s="1"/>
      <c r="Z147" s="1"/>
      <c r="AA147" s="1"/>
      <c r="AB147" s="1"/>
    </row>
    <row r="148" spans="1:28" ht="15.75" x14ac:dyDescent="0.25">
      <c r="A148" s="120" t="str">
        <f>'Base Blend Property Calculation'!A152</f>
        <v>PROJECT</v>
      </c>
      <c r="B148" s="97"/>
      <c r="C148" s="97">
        <f>COUNTIF('Bulk Plant Input'!$A$23:$A$37,'Base Blend Property Calculation'!BV146)+COUNTIF('Bulk Plant Input'!$A$23:$A$37,'Base Blend Property Calculation'!BW146)+COUNTIF('Bulk Plant Input'!$A$23:$A$37,'Base Blend Property Calculation'!BX146)+COUNTIF('Bulk Plant Input'!$A$23:$A$37,'Base Blend Property Calculation'!BY146)+COUNTIF('Bulk Plant Input'!$A$23:$A$37,'Base Blend Property Calculation'!BZ146)</f>
        <v>0</v>
      </c>
      <c r="D148" s="15" t="str">
        <f>'Bulk Plant Input'!$A$23</f>
        <v>CFR-5</v>
      </c>
      <c r="E148" s="15" t="str">
        <f>'Bulk Plant Input'!$A$24</f>
        <v>CFL-4</v>
      </c>
      <c r="F148" s="15" t="str">
        <f>'Bulk Plant Input'!$A$25</f>
        <v>FWC-2</v>
      </c>
      <c r="G148" s="15" t="str">
        <f>'Bulk Plant Input'!$A$26</f>
        <v>LTR</v>
      </c>
      <c r="H148" s="15" t="str">
        <f>'Bulk Plant Input'!$A$27</f>
        <v>CDF-6P</v>
      </c>
      <c r="I148" s="15" t="str">
        <f>'Bulk Plant Input'!$A$28</f>
        <v>ASM-3</v>
      </c>
      <c r="J148" s="15">
        <f>'Bulk Plant Input'!$A$29</f>
        <v>0</v>
      </c>
      <c r="K148" s="15">
        <f>'Bulk Plant Input'!$A$30</f>
        <v>0</v>
      </c>
      <c r="L148" s="15">
        <f>'Bulk Plant Input'!$A$31</f>
        <v>0</v>
      </c>
      <c r="M148" s="15">
        <f>'Bulk Plant Input'!$A$32</f>
        <v>0</v>
      </c>
      <c r="N148" s="15">
        <f>'Bulk Plant Input'!$A$33</f>
        <v>0</v>
      </c>
      <c r="O148" s="15">
        <f>'Bulk Plant Input'!$A$34</f>
        <v>0</v>
      </c>
      <c r="P148" s="15">
        <f>'Bulk Plant Input'!$A$35</f>
        <v>0</v>
      </c>
      <c r="Q148" s="15">
        <f>'Bulk Plant Input'!$A$36</f>
        <v>0</v>
      </c>
      <c r="R148" s="15">
        <f>'Bulk Plant Input'!$A$37</f>
        <v>0</v>
      </c>
      <c r="S148" s="15">
        <v>0</v>
      </c>
      <c r="U148" s="1"/>
      <c r="V148" s="1"/>
      <c r="W148" s="1"/>
      <c r="X148" s="1"/>
      <c r="Y148" s="1"/>
      <c r="Z148" s="1"/>
      <c r="AA148" s="1"/>
      <c r="AB148" s="1"/>
    </row>
    <row r="149" spans="1:28" ht="15.75" x14ac:dyDescent="0.25">
      <c r="A149" s="120">
        <f>'Base Blend Property Calculation'!A153</f>
        <v>0</v>
      </c>
      <c r="B149" s="97"/>
      <c r="C149" s="97"/>
      <c r="D149" s="15" t="str">
        <f>'Bulk Plant Input'!$A$23</f>
        <v>CFR-5</v>
      </c>
      <c r="E149" s="15" t="str">
        <f>'Bulk Plant Input'!$A$24</f>
        <v>CFL-4</v>
      </c>
      <c r="F149" s="15" t="str">
        <f>'Bulk Plant Input'!$A$25</f>
        <v>FWC-2</v>
      </c>
      <c r="G149" s="15" t="str">
        <f>'Bulk Plant Input'!$A$26</f>
        <v>LTR</v>
      </c>
      <c r="H149" s="15" t="str">
        <f>'Bulk Plant Input'!$A$27</f>
        <v>CDF-6P</v>
      </c>
      <c r="I149" s="15" t="str">
        <f>'Bulk Plant Input'!$A$28</f>
        <v>ASM-3</v>
      </c>
      <c r="J149" s="15">
        <f>'Bulk Plant Input'!$A$29</f>
        <v>0</v>
      </c>
      <c r="K149" s="15">
        <f>'Bulk Plant Input'!$A$30</f>
        <v>0</v>
      </c>
      <c r="L149" s="15">
        <f>'Bulk Plant Input'!$A$31</f>
        <v>0</v>
      </c>
      <c r="M149" s="15">
        <f>'Bulk Plant Input'!$A$32</f>
        <v>0</v>
      </c>
      <c r="N149" s="15">
        <f>'Bulk Plant Input'!$A$33</f>
        <v>0</v>
      </c>
      <c r="O149" s="15">
        <f>'Bulk Plant Input'!$A$34</f>
        <v>0</v>
      </c>
      <c r="P149" s="15">
        <f>'Bulk Plant Input'!$A$35</f>
        <v>0</v>
      </c>
      <c r="Q149" s="15">
        <f>'Bulk Plant Input'!$A$36</f>
        <v>0</v>
      </c>
      <c r="R149" s="15">
        <f>'Bulk Plant Input'!$A$37</f>
        <v>0</v>
      </c>
      <c r="S149" s="15">
        <v>0</v>
      </c>
      <c r="U149" s="1"/>
      <c r="V149" s="1"/>
      <c r="W149" s="1"/>
      <c r="X149" s="1"/>
      <c r="Y149" s="1"/>
      <c r="Z149" s="1"/>
      <c r="AA149" s="1"/>
      <c r="AB149" s="1"/>
    </row>
    <row r="150" spans="1:28" ht="15.75" x14ac:dyDescent="0.25">
      <c r="A150" s="120">
        <f>'Base Blend Property Calculation'!A154</f>
        <v>0</v>
      </c>
      <c r="B150" s="97"/>
      <c r="C150" s="97"/>
      <c r="D150" s="15" t="str">
        <f>'Bulk Plant Input'!$A$23</f>
        <v>CFR-5</v>
      </c>
      <c r="E150" s="15" t="str">
        <f>'Bulk Plant Input'!$A$24</f>
        <v>CFL-4</v>
      </c>
      <c r="F150" s="15" t="str">
        <f>'Bulk Plant Input'!$A$25</f>
        <v>FWC-2</v>
      </c>
      <c r="G150" s="15" t="str">
        <f>'Bulk Plant Input'!$A$26</f>
        <v>LTR</v>
      </c>
      <c r="H150" s="15" t="str">
        <f>'Bulk Plant Input'!$A$27</f>
        <v>CDF-6P</v>
      </c>
      <c r="I150" s="15" t="str">
        <f>'Bulk Plant Input'!$A$28</f>
        <v>ASM-3</v>
      </c>
      <c r="J150" s="15">
        <f>'Bulk Plant Input'!$A$29</f>
        <v>0</v>
      </c>
      <c r="K150" s="15">
        <f>'Bulk Plant Input'!$A$30</f>
        <v>0</v>
      </c>
      <c r="L150" s="15">
        <f>'Bulk Plant Input'!$A$31</f>
        <v>0</v>
      </c>
      <c r="M150" s="15">
        <f>'Bulk Plant Input'!$A$32</f>
        <v>0</v>
      </c>
      <c r="N150" s="15">
        <f>'Bulk Plant Input'!$A$33</f>
        <v>0</v>
      </c>
      <c r="O150" s="15">
        <f>'Bulk Plant Input'!$A$34</f>
        <v>0</v>
      </c>
      <c r="P150" s="15">
        <f>'Bulk Plant Input'!$A$35</f>
        <v>0</v>
      </c>
      <c r="Q150" s="15">
        <f>'Bulk Plant Input'!$A$36</f>
        <v>0</v>
      </c>
      <c r="R150" s="15">
        <f>'Bulk Plant Input'!$A$37</f>
        <v>0</v>
      </c>
      <c r="S150" s="15">
        <v>0</v>
      </c>
      <c r="U150" s="1"/>
      <c r="V150" s="1"/>
      <c r="W150" s="1"/>
      <c r="X150" s="1"/>
      <c r="Y150" s="1"/>
      <c r="Z150" s="1"/>
      <c r="AA150" s="1"/>
      <c r="AB150" s="1"/>
    </row>
    <row r="151" spans="1:28" ht="15.75" x14ac:dyDescent="0.25">
      <c r="A151" s="120">
        <f>'Base Blend Property Calculation'!A155</f>
        <v>0</v>
      </c>
      <c r="B151" s="97"/>
      <c r="C151" s="97"/>
      <c r="D151" s="15" t="str">
        <f>'Bulk Plant Input'!$A$23</f>
        <v>CFR-5</v>
      </c>
      <c r="E151" s="15" t="str">
        <f>'Bulk Plant Input'!$A$24</f>
        <v>CFL-4</v>
      </c>
      <c r="F151" s="15" t="str">
        <f>'Bulk Plant Input'!$A$25</f>
        <v>FWC-2</v>
      </c>
      <c r="G151" s="15" t="str">
        <f>'Bulk Plant Input'!$A$26</f>
        <v>LTR</v>
      </c>
      <c r="H151" s="15" t="str">
        <f>'Bulk Plant Input'!$A$27</f>
        <v>CDF-6P</v>
      </c>
      <c r="I151" s="15" t="str">
        <f>'Bulk Plant Input'!$A$28</f>
        <v>ASM-3</v>
      </c>
      <c r="J151" s="15">
        <f>'Bulk Plant Input'!$A$29</f>
        <v>0</v>
      </c>
      <c r="K151" s="15">
        <f>'Bulk Plant Input'!$A$30</f>
        <v>0</v>
      </c>
      <c r="L151" s="15">
        <f>'Bulk Plant Input'!$A$31</f>
        <v>0</v>
      </c>
      <c r="M151" s="15">
        <f>'Bulk Plant Input'!$A$32</f>
        <v>0</v>
      </c>
      <c r="N151" s="15">
        <f>'Bulk Plant Input'!$A$33</f>
        <v>0</v>
      </c>
      <c r="O151" s="15">
        <f>'Bulk Plant Input'!$A$34</f>
        <v>0</v>
      </c>
      <c r="P151" s="15">
        <f>'Bulk Plant Input'!$A$35</f>
        <v>0</v>
      </c>
      <c r="Q151" s="15">
        <f>'Bulk Plant Input'!$A$36</f>
        <v>0</v>
      </c>
      <c r="R151" s="15">
        <f>'Bulk Plant Input'!$A$37</f>
        <v>0</v>
      </c>
      <c r="S151" s="15">
        <v>0</v>
      </c>
      <c r="U151" s="1"/>
      <c r="V151" s="1"/>
      <c r="W151" s="1"/>
      <c r="X151" s="1"/>
      <c r="Y151" s="1"/>
      <c r="Z151" s="1"/>
      <c r="AA151" s="1"/>
      <c r="AB151" s="1"/>
    </row>
    <row r="152" spans="1:28" ht="15.75" x14ac:dyDescent="0.25">
      <c r="A152" s="120">
        <f>'Base Blend Property Calculation'!A156</f>
        <v>0</v>
      </c>
      <c r="B152" s="97"/>
      <c r="C152" s="97"/>
      <c r="D152" s="15" t="str">
        <f>'Bulk Plant Input'!$A$23</f>
        <v>CFR-5</v>
      </c>
      <c r="E152" s="15" t="str">
        <f>'Bulk Plant Input'!$A$24</f>
        <v>CFL-4</v>
      </c>
      <c r="F152" s="15" t="str">
        <f>'Bulk Plant Input'!$A$25</f>
        <v>FWC-2</v>
      </c>
      <c r="G152" s="15" t="str">
        <f>'Bulk Plant Input'!$A$26</f>
        <v>LTR</v>
      </c>
      <c r="H152" s="15" t="str">
        <f>'Bulk Plant Input'!$A$27</f>
        <v>CDF-6P</v>
      </c>
      <c r="I152" s="15" t="str">
        <f>'Bulk Plant Input'!$A$28</f>
        <v>ASM-3</v>
      </c>
      <c r="J152" s="15">
        <f>'Bulk Plant Input'!$A$29</f>
        <v>0</v>
      </c>
      <c r="K152" s="15">
        <f>'Bulk Plant Input'!$A$30</f>
        <v>0</v>
      </c>
      <c r="L152" s="15">
        <f>'Bulk Plant Input'!$A$31</f>
        <v>0</v>
      </c>
      <c r="M152" s="15">
        <f>'Bulk Plant Input'!$A$32</f>
        <v>0</v>
      </c>
      <c r="N152" s="15">
        <f>'Bulk Plant Input'!$A$33</f>
        <v>0</v>
      </c>
      <c r="O152" s="15">
        <f>'Bulk Plant Input'!$A$34</f>
        <v>0</v>
      </c>
      <c r="P152" s="15">
        <f>'Bulk Plant Input'!$A$35</f>
        <v>0</v>
      </c>
      <c r="Q152" s="15">
        <f>'Bulk Plant Input'!$A$36</f>
        <v>0</v>
      </c>
      <c r="R152" s="15">
        <f>'Bulk Plant Input'!$A$37</f>
        <v>0</v>
      </c>
      <c r="S152" s="15">
        <v>0</v>
      </c>
      <c r="U152" s="1"/>
      <c r="V152" s="1"/>
      <c r="W152" s="1"/>
      <c r="X152" s="1"/>
      <c r="Y152" s="1"/>
      <c r="Z152" s="1"/>
      <c r="AA152" s="1"/>
      <c r="AB152" s="1"/>
    </row>
    <row r="153" spans="1:28" x14ac:dyDescent="0.25">
      <c r="U153" s="1"/>
      <c r="V153" s="1"/>
      <c r="W153" s="1"/>
      <c r="X153" s="1"/>
      <c r="Y153" s="1"/>
      <c r="Z153" s="1"/>
      <c r="AA153" s="1"/>
      <c r="AB153" s="1"/>
    </row>
    <row r="154" spans="1:28" x14ac:dyDescent="0.25"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U155" s="1"/>
      <c r="V155" s="1"/>
      <c r="W155" s="1"/>
      <c r="X155" s="1"/>
      <c r="Y155" s="1"/>
      <c r="Z155" s="1"/>
      <c r="AA155" s="1"/>
      <c r="AB155" s="1"/>
    </row>
  </sheetData>
  <mergeCells count="3">
    <mergeCell ref="D2:R2"/>
    <mergeCell ref="A1:R1"/>
    <mergeCell ref="X5:Z5"/>
  </mergeCells>
  <pageMargins left="0.7" right="0.7" top="0.75" bottom="0.75" header="0.3" footer="0.3"/>
  <pageSetup orientation="portrait" r:id="rId1"/>
  <headerFooter>
    <oddFooter>&amp;L&amp;F Sheet Printed: &amp;T &amp;D PRIVATE AND CONFIDENTIAL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"/>
  <dimension ref="A1:O138"/>
  <sheetViews>
    <sheetView topLeftCell="A76" workbookViewId="0">
      <selection activeCell="L71" sqref="L71"/>
    </sheetView>
  </sheetViews>
  <sheetFormatPr defaultRowHeight="15" x14ac:dyDescent="0.25"/>
  <cols>
    <col min="1" max="1" width="33.140625" customWidth="1"/>
    <col min="2" max="5" width="13.7109375" customWidth="1"/>
    <col min="6" max="9" width="15.7109375" customWidth="1"/>
    <col min="12" max="13" width="20.7109375" customWidth="1"/>
    <col min="15" max="15" width="25.5703125" customWidth="1"/>
  </cols>
  <sheetData>
    <row r="1" spans="1:15" x14ac:dyDescent="0.25">
      <c r="A1" s="515" t="s">
        <v>170</v>
      </c>
      <c r="B1" s="515"/>
      <c r="C1" s="515"/>
      <c r="D1" s="127"/>
      <c r="E1" s="127"/>
      <c r="F1" s="13" t="s">
        <v>171</v>
      </c>
      <c r="G1" s="16">
        <v>42571</v>
      </c>
    </row>
    <row r="2" spans="1:15" ht="15.75" thickBot="1" x14ac:dyDescent="0.3">
      <c r="F2" s="13"/>
      <c r="G2" s="16"/>
    </row>
    <row r="3" spans="1:15" ht="15.75" thickBot="1" x14ac:dyDescent="0.3">
      <c r="A3" s="133" t="s">
        <v>143</v>
      </c>
      <c r="B3" s="138" t="s">
        <v>144</v>
      </c>
      <c r="C3" s="138" t="s">
        <v>457</v>
      </c>
      <c r="D3" s="137" t="s">
        <v>490</v>
      </c>
      <c r="E3" s="13"/>
      <c r="F3" s="516" t="s">
        <v>208</v>
      </c>
      <c r="G3" s="517"/>
      <c r="H3" s="518"/>
      <c r="I3" s="519"/>
      <c r="L3" s="520" t="s">
        <v>471</v>
      </c>
      <c r="M3" s="520"/>
      <c r="O3" s="52" t="s">
        <v>195</v>
      </c>
    </row>
    <row r="4" spans="1:15" ht="16.5" thickBot="1" x14ac:dyDescent="0.3">
      <c r="A4" s="135" t="s">
        <v>145</v>
      </c>
      <c r="B4" s="132">
        <v>2.5190000000000001</v>
      </c>
      <c r="C4" s="136" t="s">
        <v>456</v>
      </c>
      <c r="D4" s="15" t="s">
        <v>366</v>
      </c>
      <c r="E4" s="18"/>
      <c r="F4" s="44" t="s">
        <v>127</v>
      </c>
      <c r="G4" s="45" t="s">
        <v>177</v>
      </c>
      <c r="H4" s="46" t="s">
        <v>128</v>
      </c>
      <c r="I4" s="40" t="s">
        <v>177</v>
      </c>
      <c r="L4" s="52" t="s">
        <v>472</v>
      </c>
      <c r="M4" s="52" t="s">
        <v>491</v>
      </c>
      <c r="O4" s="15" t="s">
        <v>127</v>
      </c>
    </row>
    <row r="5" spans="1:15" x14ac:dyDescent="0.25">
      <c r="A5" s="135" t="s">
        <v>146</v>
      </c>
      <c r="B5" s="132">
        <v>1.4178999999999999</v>
      </c>
      <c r="C5" s="136" t="s">
        <v>456</v>
      </c>
      <c r="D5" s="15">
        <v>0</v>
      </c>
      <c r="F5" s="38">
        <v>0</v>
      </c>
      <c r="G5" s="39">
        <v>0</v>
      </c>
      <c r="H5" s="47">
        <v>0</v>
      </c>
      <c r="I5" s="39">
        <v>0</v>
      </c>
      <c r="L5" s="11" t="s">
        <v>145</v>
      </c>
      <c r="M5" s="11" t="s">
        <v>145</v>
      </c>
      <c r="O5" s="15" t="s">
        <v>128</v>
      </c>
    </row>
    <row r="6" spans="1:15" x14ac:dyDescent="0.25">
      <c r="A6" s="135" t="s">
        <v>147</v>
      </c>
      <c r="B6" s="132">
        <v>1.32</v>
      </c>
      <c r="C6" s="136" t="s">
        <v>456</v>
      </c>
      <c r="D6" s="15" t="s">
        <v>367</v>
      </c>
      <c r="F6" s="41">
        <v>1</v>
      </c>
      <c r="G6" s="42">
        <v>0.29515999999999998</v>
      </c>
      <c r="H6" s="43">
        <v>1</v>
      </c>
      <c r="I6" s="42">
        <v>0.36399999999999999</v>
      </c>
      <c r="L6" s="19" t="s">
        <v>146</v>
      </c>
      <c r="M6" s="19" t="s">
        <v>146</v>
      </c>
    </row>
    <row r="7" spans="1:15" x14ac:dyDescent="0.25">
      <c r="A7" s="135" t="s">
        <v>148</v>
      </c>
      <c r="B7" s="132">
        <v>4.2300000000000004</v>
      </c>
      <c r="C7" s="136" t="s">
        <v>456</v>
      </c>
      <c r="D7" s="15" t="s">
        <v>368</v>
      </c>
      <c r="F7" s="30">
        <v>2</v>
      </c>
      <c r="G7" s="31">
        <v>0.29824000000000001</v>
      </c>
      <c r="H7" s="35">
        <v>2</v>
      </c>
      <c r="I7" s="31">
        <v>0.36699999999999999</v>
      </c>
      <c r="L7" s="11" t="s">
        <v>147</v>
      </c>
      <c r="M7" s="11" t="s">
        <v>147</v>
      </c>
    </row>
    <row r="8" spans="1:15" x14ac:dyDescent="0.25">
      <c r="A8" s="135" t="s">
        <v>121</v>
      </c>
      <c r="B8" s="132">
        <v>2.1909999999999998</v>
      </c>
      <c r="C8" s="136" t="s">
        <v>456</v>
      </c>
      <c r="D8" s="15" t="s">
        <v>369</v>
      </c>
      <c r="F8" s="30">
        <v>3</v>
      </c>
      <c r="G8" s="31">
        <v>0.30124000000000001</v>
      </c>
      <c r="H8" s="35">
        <v>3</v>
      </c>
      <c r="I8" s="31">
        <v>0.37</v>
      </c>
      <c r="L8" s="214" t="s">
        <v>314</v>
      </c>
      <c r="M8" s="11" t="s">
        <v>608</v>
      </c>
      <c r="O8" s="52" t="s">
        <v>463</v>
      </c>
    </row>
    <row r="9" spans="1:15" x14ac:dyDescent="0.25">
      <c r="A9" s="135" t="s">
        <v>150</v>
      </c>
      <c r="B9" s="132">
        <v>1.6120000000000001</v>
      </c>
      <c r="C9" s="136" t="s">
        <v>456</v>
      </c>
      <c r="D9" s="15" t="s">
        <v>370</v>
      </c>
      <c r="F9" s="30">
        <v>4</v>
      </c>
      <c r="G9" s="31">
        <v>0.30415999999999999</v>
      </c>
      <c r="H9" s="35">
        <v>4</v>
      </c>
      <c r="I9" s="31">
        <v>0.373</v>
      </c>
      <c r="L9" s="11" t="s">
        <v>121</v>
      </c>
      <c r="M9" s="11" t="s">
        <v>148</v>
      </c>
      <c r="O9" s="15" t="s">
        <v>462</v>
      </c>
    </row>
    <row r="10" spans="1:15" x14ac:dyDescent="0.25">
      <c r="A10" s="135" t="s">
        <v>301</v>
      </c>
      <c r="B10" s="132">
        <v>1.6951000000000001</v>
      </c>
      <c r="C10" s="136" t="s">
        <v>456</v>
      </c>
      <c r="D10" s="15" t="s">
        <v>497</v>
      </c>
      <c r="F10" s="30">
        <v>5</v>
      </c>
      <c r="G10" s="31">
        <v>0.307</v>
      </c>
      <c r="H10" s="35">
        <v>5</v>
      </c>
      <c r="I10" s="31">
        <v>0.376</v>
      </c>
      <c r="L10" s="11" t="s">
        <v>150</v>
      </c>
      <c r="M10" s="11" t="s">
        <v>121</v>
      </c>
      <c r="O10" s="15" t="s">
        <v>304</v>
      </c>
    </row>
    <row r="11" spans="1:15" x14ac:dyDescent="0.25">
      <c r="A11" s="135" t="s">
        <v>179</v>
      </c>
      <c r="B11" s="132">
        <v>1.2</v>
      </c>
      <c r="C11" s="136" t="s">
        <v>456</v>
      </c>
      <c r="D11" s="15" t="s">
        <v>371</v>
      </c>
      <c r="F11" s="30">
        <v>6</v>
      </c>
      <c r="G11" s="31">
        <v>0.30975999999999998</v>
      </c>
      <c r="H11" s="35">
        <v>6</v>
      </c>
      <c r="I11" s="31">
        <v>0.379</v>
      </c>
      <c r="L11" s="11" t="s">
        <v>301</v>
      </c>
      <c r="M11" s="11" t="s">
        <v>149</v>
      </c>
      <c r="O11" s="15" t="s">
        <v>307</v>
      </c>
    </row>
    <row r="12" spans="1:15" x14ac:dyDescent="0.25">
      <c r="A12" s="135" t="s">
        <v>111</v>
      </c>
      <c r="B12" s="132">
        <v>0.32</v>
      </c>
      <c r="C12" s="136" t="s">
        <v>456</v>
      </c>
      <c r="D12" s="15" t="s">
        <v>372</v>
      </c>
      <c r="F12" s="30">
        <v>7</v>
      </c>
      <c r="G12" s="31">
        <v>0.31244</v>
      </c>
      <c r="H12" s="35">
        <v>7</v>
      </c>
      <c r="I12" s="31">
        <v>0.38200000000000001</v>
      </c>
      <c r="L12" s="11" t="s">
        <v>111</v>
      </c>
      <c r="M12" s="11" t="s">
        <v>150</v>
      </c>
    </row>
    <row r="13" spans="1:15" x14ac:dyDescent="0.25">
      <c r="A13" s="135" t="s">
        <v>112</v>
      </c>
      <c r="B13" s="132">
        <v>0.38</v>
      </c>
      <c r="C13" s="136" t="s">
        <v>456</v>
      </c>
      <c r="D13" s="15" t="s">
        <v>373</v>
      </c>
      <c r="F13" s="30">
        <v>8</v>
      </c>
      <c r="G13" s="31">
        <v>0.31503999999999999</v>
      </c>
      <c r="H13" s="35">
        <v>8</v>
      </c>
      <c r="I13" s="31">
        <v>0.38500000000000001</v>
      </c>
      <c r="L13" s="214" t="s">
        <v>1779</v>
      </c>
      <c r="M13" s="11" t="s">
        <v>301</v>
      </c>
      <c r="O13" s="129" t="s">
        <v>474</v>
      </c>
    </row>
    <row r="14" spans="1:15" x14ac:dyDescent="0.25">
      <c r="A14" s="135" t="s">
        <v>110</v>
      </c>
      <c r="B14" s="132">
        <v>0.54</v>
      </c>
      <c r="C14" s="136" t="s">
        <v>456</v>
      </c>
      <c r="D14" s="15" t="s">
        <v>374</v>
      </c>
      <c r="F14" s="30">
        <v>9</v>
      </c>
      <c r="G14" s="31">
        <v>0.31756000000000001</v>
      </c>
      <c r="H14" s="35">
        <v>9</v>
      </c>
      <c r="I14" s="31">
        <v>0.38800000000000001</v>
      </c>
      <c r="L14" s="11" t="s">
        <v>112</v>
      </c>
      <c r="M14" s="11" t="s">
        <v>113</v>
      </c>
      <c r="O14" s="15" t="s">
        <v>475</v>
      </c>
    </row>
    <row r="15" spans="1:15" x14ac:dyDescent="0.25">
      <c r="A15" s="234" t="s">
        <v>1771</v>
      </c>
      <c r="B15" s="235">
        <v>0.54</v>
      </c>
      <c r="C15" s="236" t="s">
        <v>456</v>
      </c>
      <c r="D15" s="237" t="s">
        <v>499</v>
      </c>
      <c r="F15" s="30">
        <v>10</v>
      </c>
      <c r="G15" s="31">
        <v>0.32</v>
      </c>
      <c r="H15" s="35">
        <v>10</v>
      </c>
      <c r="I15" s="31">
        <v>0.39100000000000001</v>
      </c>
      <c r="L15" s="11" t="s">
        <v>110</v>
      </c>
      <c r="M15" s="11" t="s">
        <v>111</v>
      </c>
      <c r="O15" s="15" t="s">
        <v>476</v>
      </c>
    </row>
    <row r="16" spans="1:15" x14ac:dyDescent="0.25">
      <c r="A16" s="139" t="s">
        <v>398</v>
      </c>
      <c r="B16" s="140">
        <v>0.41</v>
      </c>
      <c r="C16" s="141" t="s">
        <v>456</v>
      </c>
      <c r="D16" s="142">
        <v>0</v>
      </c>
      <c r="F16" s="30">
        <v>11</v>
      </c>
      <c r="G16" s="31">
        <v>0.32235999999999998</v>
      </c>
      <c r="H16" s="35">
        <v>11</v>
      </c>
      <c r="I16" s="31">
        <v>0.39400000000000002</v>
      </c>
      <c r="L16" s="214" t="s">
        <v>1771</v>
      </c>
      <c r="M16" s="11" t="s">
        <v>108</v>
      </c>
      <c r="O16" s="15" t="s">
        <v>477</v>
      </c>
    </row>
    <row r="17" spans="1:15" x14ac:dyDescent="0.25">
      <c r="A17" s="139" t="s">
        <v>113</v>
      </c>
      <c r="B17" s="140">
        <v>0.58209999999999995</v>
      </c>
      <c r="C17" s="141" t="s">
        <v>456</v>
      </c>
      <c r="D17" s="142">
        <v>0</v>
      </c>
      <c r="F17" s="30">
        <v>12</v>
      </c>
      <c r="G17" s="31">
        <v>0.32463999999999998</v>
      </c>
      <c r="H17" s="35">
        <v>12</v>
      </c>
      <c r="I17" s="31">
        <v>0.39700000000000002</v>
      </c>
      <c r="L17" s="11" t="s">
        <v>179</v>
      </c>
      <c r="M17" s="11" t="s">
        <v>112</v>
      </c>
      <c r="O17" s="15" t="s">
        <v>478</v>
      </c>
    </row>
    <row r="18" spans="1:15" x14ac:dyDescent="0.25">
      <c r="A18" s="139" t="s">
        <v>151</v>
      </c>
      <c r="B18" s="140">
        <v>1.633</v>
      </c>
      <c r="C18" s="141" t="s">
        <v>456</v>
      </c>
      <c r="D18" s="142">
        <v>0</v>
      </c>
      <c r="F18" s="30">
        <v>13</v>
      </c>
      <c r="G18" s="31">
        <v>0.32683999999999996</v>
      </c>
      <c r="H18" s="35">
        <v>13</v>
      </c>
      <c r="I18" s="31">
        <v>0.39999999999999997</v>
      </c>
      <c r="L18" s="214" t="s">
        <v>294</v>
      </c>
      <c r="M18" s="11" t="s">
        <v>110</v>
      </c>
      <c r="O18" s="15" t="s">
        <v>479</v>
      </c>
    </row>
    <row r="19" spans="1:15" x14ac:dyDescent="0.25">
      <c r="A19" s="135" t="s">
        <v>152</v>
      </c>
      <c r="B19" s="132">
        <v>1.28</v>
      </c>
      <c r="C19" s="136" t="s">
        <v>456</v>
      </c>
      <c r="D19" s="15" t="s">
        <v>375</v>
      </c>
      <c r="F19" s="30">
        <v>14</v>
      </c>
      <c r="G19" s="31">
        <v>0.32895999999999997</v>
      </c>
      <c r="H19" s="35">
        <v>14</v>
      </c>
      <c r="I19" s="31">
        <v>0.40299999999999997</v>
      </c>
      <c r="L19" s="11" t="s">
        <v>152</v>
      </c>
      <c r="M19" s="11" t="s">
        <v>398</v>
      </c>
    </row>
    <row r="20" spans="1:15" x14ac:dyDescent="0.25">
      <c r="A20" s="135" t="s">
        <v>117</v>
      </c>
      <c r="B20" s="132">
        <v>1.2869999999999999</v>
      </c>
      <c r="C20" s="136" t="s">
        <v>456</v>
      </c>
      <c r="D20" s="15" t="s">
        <v>376</v>
      </c>
      <c r="F20" s="30">
        <v>15</v>
      </c>
      <c r="G20" s="31">
        <v>0.33199999999999996</v>
      </c>
      <c r="H20" s="35">
        <v>15</v>
      </c>
      <c r="I20" s="31">
        <v>0.40599999999999997</v>
      </c>
      <c r="L20" s="11" t="s">
        <v>117</v>
      </c>
      <c r="M20" s="11" t="s">
        <v>179</v>
      </c>
    </row>
    <row r="21" spans="1:15" x14ac:dyDescent="0.25">
      <c r="A21" s="139" t="s">
        <v>153</v>
      </c>
      <c r="B21" s="140">
        <v>1.4372</v>
      </c>
      <c r="C21" s="141" t="s">
        <v>456</v>
      </c>
      <c r="D21" s="142">
        <v>0</v>
      </c>
      <c r="F21" s="30">
        <v>16</v>
      </c>
      <c r="G21" s="31">
        <v>0.33395999999999998</v>
      </c>
      <c r="H21" s="36"/>
      <c r="I21" s="32"/>
      <c r="L21" s="11" t="s">
        <v>154</v>
      </c>
      <c r="M21" s="11" t="s">
        <v>151</v>
      </c>
    </row>
    <row r="22" spans="1:15" x14ac:dyDescent="0.25">
      <c r="A22" s="135" t="s">
        <v>154</v>
      </c>
      <c r="B22" s="132">
        <v>0.97699999999999998</v>
      </c>
      <c r="C22" s="136" t="s">
        <v>456</v>
      </c>
      <c r="D22" s="15" t="s">
        <v>377</v>
      </c>
      <c r="F22" s="30">
        <v>17</v>
      </c>
      <c r="G22" s="31">
        <v>0.33583999999999997</v>
      </c>
      <c r="H22" s="36"/>
      <c r="I22" s="32"/>
      <c r="L22" s="11" t="s">
        <v>118</v>
      </c>
      <c r="M22" s="11" t="s">
        <v>152</v>
      </c>
    </row>
    <row r="23" spans="1:15" x14ac:dyDescent="0.25">
      <c r="A23" s="135" t="s">
        <v>118</v>
      </c>
      <c r="B23" s="132">
        <v>1.4</v>
      </c>
      <c r="C23" s="136" t="s">
        <v>456</v>
      </c>
      <c r="D23" s="15" t="s">
        <v>378</v>
      </c>
      <c r="F23" s="30">
        <v>18</v>
      </c>
      <c r="G23" s="31">
        <v>0.33764</v>
      </c>
      <c r="H23" s="36"/>
      <c r="I23" s="32"/>
      <c r="L23" s="11" t="s">
        <v>119</v>
      </c>
      <c r="M23" s="11" t="s">
        <v>117</v>
      </c>
      <c r="O23" s="129" t="s">
        <v>480</v>
      </c>
    </row>
    <row r="24" spans="1:15" x14ac:dyDescent="0.25">
      <c r="A24" s="135" t="s">
        <v>119</v>
      </c>
      <c r="B24" s="132">
        <v>1.288</v>
      </c>
      <c r="C24" s="136" t="s">
        <v>456</v>
      </c>
      <c r="D24" s="15" t="s">
        <v>379</v>
      </c>
      <c r="F24" s="30">
        <v>19</v>
      </c>
      <c r="G24" s="31">
        <v>0.33935999999999999</v>
      </c>
      <c r="H24" s="36"/>
      <c r="I24" s="32"/>
      <c r="L24" s="11" t="s">
        <v>120</v>
      </c>
      <c r="M24" s="11" t="s">
        <v>153</v>
      </c>
      <c r="O24" s="15" t="s">
        <v>481</v>
      </c>
    </row>
    <row r="25" spans="1:15" x14ac:dyDescent="0.25">
      <c r="A25" s="135" t="s">
        <v>120</v>
      </c>
      <c r="B25" s="132">
        <v>1.5820000000000001</v>
      </c>
      <c r="C25" s="136" t="s">
        <v>456</v>
      </c>
      <c r="D25" s="15" t="s">
        <v>380</v>
      </c>
      <c r="F25" s="30">
        <v>20</v>
      </c>
      <c r="G25" s="31">
        <v>0.34149999999999997</v>
      </c>
      <c r="H25" s="36"/>
      <c r="I25" s="32"/>
      <c r="L25" s="11" t="s">
        <v>530</v>
      </c>
      <c r="M25" s="11" t="s">
        <v>154</v>
      </c>
      <c r="O25" s="15" t="s">
        <v>482</v>
      </c>
    </row>
    <row r="26" spans="1:15" x14ac:dyDescent="0.25">
      <c r="A26" s="135" t="s">
        <v>530</v>
      </c>
      <c r="B26" s="132">
        <v>1.504</v>
      </c>
      <c r="C26" s="136" t="s">
        <v>456</v>
      </c>
      <c r="D26" s="15" t="s">
        <v>498</v>
      </c>
      <c r="F26" s="30">
        <v>21</v>
      </c>
      <c r="G26" s="31">
        <v>0.34305999999999998</v>
      </c>
      <c r="H26" s="36"/>
      <c r="I26" s="32"/>
      <c r="L26" s="11" t="s">
        <v>114</v>
      </c>
      <c r="M26" s="11" t="s">
        <v>118</v>
      </c>
      <c r="O26" s="15" t="s">
        <v>483</v>
      </c>
    </row>
    <row r="27" spans="1:15" x14ac:dyDescent="0.25">
      <c r="A27" s="135" t="s">
        <v>114</v>
      </c>
      <c r="B27" s="132">
        <v>1.377</v>
      </c>
      <c r="C27" s="136" t="s">
        <v>456</v>
      </c>
      <c r="D27" s="15" t="s">
        <v>381</v>
      </c>
      <c r="F27" s="30">
        <v>22</v>
      </c>
      <c r="G27" s="31">
        <v>0.34453999999999996</v>
      </c>
      <c r="H27" s="36"/>
      <c r="I27" s="32"/>
      <c r="L27" s="11" t="s">
        <v>115</v>
      </c>
      <c r="M27" s="11" t="s">
        <v>119</v>
      </c>
    </row>
    <row r="28" spans="1:15" x14ac:dyDescent="0.25">
      <c r="A28" s="135" t="s">
        <v>115</v>
      </c>
      <c r="B28" s="132">
        <v>1.38</v>
      </c>
      <c r="C28" s="136" t="s">
        <v>456</v>
      </c>
      <c r="D28" s="15" t="s">
        <v>382</v>
      </c>
      <c r="F28" s="30">
        <v>23</v>
      </c>
      <c r="G28" s="31">
        <v>0.34593999999999997</v>
      </c>
      <c r="H28" s="36"/>
      <c r="I28" s="32"/>
      <c r="L28" s="11" t="s">
        <v>116</v>
      </c>
      <c r="M28" s="11" t="s">
        <v>120</v>
      </c>
    </row>
    <row r="29" spans="1:15" x14ac:dyDescent="0.25">
      <c r="A29" s="135" t="s">
        <v>116</v>
      </c>
      <c r="B29" s="132">
        <v>1.0149999999999999</v>
      </c>
      <c r="C29" s="136" t="s">
        <v>456</v>
      </c>
      <c r="D29" s="15" t="s">
        <v>383</v>
      </c>
      <c r="F29" s="30">
        <v>24</v>
      </c>
      <c r="G29" s="31">
        <v>0.34726000000000001</v>
      </c>
      <c r="H29" s="36"/>
      <c r="I29" s="32"/>
      <c r="L29" s="214" t="s">
        <v>1782</v>
      </c>
      <c r="M29" s="11" t="s">
        <v>133</v>
      </c>
      <c r="O29" s="129" t="s">
        <v>489</v>
      </c>
    </row>
    <row r="30" spans="1:15" x14ac:dyDescent="0.25">
      <c r="A30" s="135" t="s">
        <v>49</v>
      </c>
      <c r="B30" s="132">
        <v>3.2</v>
      </c>
      <c r="C30" s="136" t="s">
        <v>456</v>
      </c>
      <c r="D30" s="15" t="s">
        <v>500</v>
      </c>
      <c r="F30" s="30">
        <v>25</v>
      </c>
      <c r="G30" s="31">
        <v>0.34899999999999998</v>
      </c>
      <c r="H30" s="36"/>
      <c r="I30" s="32"/>
      <c r="L30" s="214" t="s">
        <v>1783</v>
      </c>
      <c r="M30" s="11" t="s">
        <v>327</v>
      </c>
      <c r="O30" s="15" t="s">
        <v>212</v>
      </c>
    </row>
    <row r="31" spans="1:15" x14ac:dyDescent="0.25">
      <c r="A31" s="135" t="s">
        <v>95</v>
      </c>
      <c r="B31" s="132">
        <v>3.15</v>
      </c>
      <c r="C31" s="136" t="s">
        <v>456</v>
      </c>
      <c r="D31" s="15" t="s">
        <v>384</v>
      </c>
      <c r="F31" s="30">
        <v>26</v>
      </c>
      <c r="G31" s="31">
        <v>0.35015999999999997</v>
      </c>
      <c r="H31" s="36"/>
      <c r="I31" s="32"/>
      <c r="L31" s="11" t="s">
        <v>462</v>
      </c>
      <c r="M31" s="11" t="s">
        <v>530</v>
      </c>
      <c r="O31" s="15" t="s">
        <v>213</v>
      </c>
    </row>
    <row r="32" spans="1:15" x14ac:dyDescent="0.25">
      <c r="A32" s="135" t="s">
        <v>96</v>
      </c>
      <c r="B32" s="132">
        <v>3.15</v>
      </c>
      <c r="C32" s="136" t="s">
        <v>456</v>
      </c>
      <c r="D32" s="15" t="s">
        <v>385</v>
      </c>
      <c r="F32" s="30">
        <v>27</v>
      </c>
      <c r="G32" s="31">
        <v>0.35124</v>
      </c>
      <c r="H32" s="36"/>
      <c r="I32" s="32"/>
      <c r="L32" s="11" t="s">
        <v>304</v>
      </c>
      <c r="M32" s="11" t="s">
        <v>114</v>
      </c>
      <c r="O32" s="15" t="s">
        <v>214</v>
      </c>
    </row>
    <row r="33" spans="1:15" x14ac:dyDescent="0.25">
      <c r="A33" s="135" t="s">
        <v>97</v>
      </c>
      <c r="B33" s="132">
        <v>3.2</v>
      </c>
      <c r="C33" s="136" t="s">
        <v>456</v>
      </c>
      <c r="D33" s="15" t="s">
        <v>386</v>
      </c>
      <c r="F33" s="30">
        <v>28</v>
      </c>
      <c r="G33" s="31">
        <v>0.35224</v>
      </c>
      <c r="H33" s="36"/>
      <c r="I33" s="32"/>
      <c r="L33" s="11" t="s">
        <v>125</v>
      </c>
      <c r="M33" s="11" t="s">
        <v>116</v>
      </c>
      <c r="O33" s="15" t="s">
        <v>215</v>
      </c>
    </row>
    <row r="34" spans="1:15" x14ac:dyDescent="0.25">
      <c r="A34" s="139" t="s">
        <v>98</v>
      </c>
      <c r="B34" s="140">
        <v>1</v>
      </c>
      <c r="C34" s="141" t="s">
        <v>456</v>
      </c>
      <c r="D34" s="142">
        <v>0</v>
      </c>
      <c r="F34" s="30">
        <v>29</v>
      </c>
      <c r="G34" s="31">
        <v>0.35315999999999997</v>
      </c>
      <c r="H34" s="36"/>
      <c r="I34" s="32"/>
      <c r="L34" s="11" t="s">
        <v>157</v>
      </c>
      <c r="M34" s="11" t="s">
        <v>178</v>
      </c>
      <c r="O34" s="15" t="s">
        <v>216</v>
      </c>
    </row>
    <row r="35" spans="1:15" x14ac:dyDescent="0.25">
      <c r="A35" s="135" t="s">
        <v>100</v>
      </c>
      <c r="B35" s="132">
        <v>3.0049999999999999</v>
      </c>
      <c r="C35" s="136" t="s">
        <v>456</v>
      </c>
      <c r="D35" s="15" t="s">
        <v>387</v>
      </c>
      <c r="F35" s="30">
        <v>30</v>
      </c>
      <c r="G35" s="31">
        <v>0.35499999999999998</v>
      </c>
      <c r="H35" s="36"/>
      <c r="I35" s="32"/>
      <c r="L35" s="214" t="s">
        <v>1828</v>
      </c>
      <c r="M35" s="11" t="s">
        <v>167</v>
      </c>
      <c r="O35" s="15" t="s">
        <v>217</v>
      </c>
    </row>
    <row r="36" spans="1:15" x14ac:dyDescent="0.25">
      <c r="A36" s="135" t="s">
        <v>155</v>
      </c>
      <c r="B36" s="132">
        <v>1.7929999999999999</v>
      </c>
      <c r="C36" s="136" t="s">
        <v>456</v>
      </c>
      <c r="D36" s="15" t="s">
        <v>388</v>
      </c>
      <c r="F36" s="30">
        <v>31</v>
      </c>
      <c r="G36" s="31">
        <v>0.35575999999999997</v>
      </c>
      <c r="H36" s="36"/>
      <c r="I36" s="32"/>
      <c r="L36" s="11" t="s">
        <v>106</v>
      </c>
      <c r="M36" s="11" t="s">
        <v>95</v>
      </c>
      <c r="O36" s="15" t="s">
        <v>218</v>
      </c>
    </row>
    <row r="37" spans="1:15" x14ac:dyDescent="0.25">
      <c r="A37" s="139" t="s">
        <v>103</v>
      </c>
      <c r="B37" s="140">
        <v>2.5</v>
      </c>
      <c r="C37" s="141" t="s">
        <v>456</v>
      </c>
      <c r="D37" s="141">
        <v>0</v>
      </c>
      <c r="F37" s="30">
        <v>32</v>
      </c>
      <c r="G37" s="31">
        <v>0.35643999999999998</v>
      </c>
      <c r="H37" s="36"/>
      <c r="I37" s="32"/>
      <c r="L37" s="11" t="s">
        <v>158</v>
      </c>
      <c r="M37" s="11" t="s">
        <v>96</v>
      </c>
      <c r="O37" s="15" t="s">
        <v>219</v>
      </c>
    </row>
    <row r="38" spans="1:15" x14ac:dyDescent="0.25">
      <c r="A38" s="135" t="s">
        <v>462</v>
      </c>
      <c r="B38" s="132">
        <v>1.06</v>
      </c>
      <c r="C38" s="136" t="s">
        <v>460</v>
      </c>
      <c r="D38" s="136" t="s">
        <v>495</v>
      </c>
      <c r="F38" s="30">
        <v>33</v>
      </c>
      <c r="G38" s="31">
        <v>0.35703999999999997</v>
      </c>
      <c r="H38" s="36"/>
      <c r="I38" s="32"/>
      <c r="L38" s="135" t="s">
        <v>1787</v>
      </c>
      <c r="M38" s="11" t="s">
        <v>115</v>
      </c>
    </row>
    <row r="39" spans="1:15" x14ac:dyDescent="0.25">
      <c r="A39" s="135" t="s">
        <v>304</v>
      </c>
      <c r="B39" s="132">
        <v>1.06</v>
      </c>
      <c r="C39" s="136" t="s">
        <v>460</v>
      </c>
      <c r="D39" s="136" t="s">
        <v>492</v>
      </c>
      <c r="F39" s="30">
        <v>34</v>
      </c>
      <c r="G39" s="31">
        <v>0.35755999999999999</v>
      </c>
      <c r="H39" s="36"/>
      <c r="I39" s="32"/>
      <c r="L39" s="11" t="s">
        <v>108</v>
      </c>
      <c r="M39" s="11" t="s">
        <v>97</v>
      </c>
    </row>
    <row r="40" spans="1:15" x14ac:dyDescent="0.25">
      <c r="A40" s="135" t="s">
        <v>101</v>
      </c>
      <c r="B40" s="132">
        <v>2.0499999999999998</v>
      </c>
      <c r="C40" s="136" t="s">
        <v>456</v>
      </c>
      <c r="D40" s="15" t="s">
        <v>393</v>
      </c>
      <c r="F40" s="30">
        <v>35</v>
      </c>
      <c r="G40" s="31">
        <v>0.35899999999999999</v>
      </c>
      <c r="H40" s="36"/>
      <c r="I40" s="32"/>
      <c r="L40" s="11" t="s">
        <v>159</v>
      </c>
      <c r="M40" s="11" t="s">
        <v>98</v>
      </c>
    </row>
    <row r="41" spans="1:15" x14ac:dyDescent="0.25">
      <c r="A41" s="135" t="s">
        <v>102</v>
      </c>
      <c r="B41" s="132">
        <v>2.476</v>
      </c>
      <c r="C41" s="136" t="s">
        <v>456</v>
      </c>
      <c r="D41" s="15" t="s">
        <v>393</v>
      </c>
      <c r="F41" s="30">
        <v>36</v>
      </c>
      <c r="G41" s="31">
        <v>0.35936000000000001</v>
      </c>
      <c r="H41" s="36"/>
      <c r="I41" s="32"/>
      <c r="L41" s="11" t="s">
        <v>160</v>
      </c>
      <c r="M41" s="11" t="s">
        <v>100</v>
      </c>
    </row>
    <row r="42" spans="1:15" ht="15.75" thickBot="1" x14ac:dyDescent="0.3">
      <c r="A42" s="135" t="s">
        <v>1787</v>
      </c>
      <c r="B42" s="132">
        <v>2.5419999999999998</v>
      </c>
      <c r="C42" s="136" t="s">
        <v>456</v>
      </c>
      <c r="D42" s="15" t="s">
        <v>394</v>
      </c>
      <c r="F42" s="33">
        <v>37</v>
      </c>
      <c r="G42" s="40">
        <v>0.36063999999999996</v>
      </c>
      <c r="H42" s="37"/>
      <c r="I42" s="34"/>
      <c r="L42" s="11" t="s">
        <v>161</v>
      </c>
      <c r="M42" s="11" t="s">
        <v>155</v>
      </c>
    </row>
    <row r="43" spans="1:15" x14ac:dyDescent="0.25">
      <c r="A43" s="135" t="s">
        <v>125</v>
      </c>
      <c r="B43" s="132">
        <v>2.3530000000000002</v>
      </c>
      <c r="C43" s="136" t="s">
        <v>456</v>
      </c>
      <c r="D43" s="15" t="s">
        <v>391</v>
      </c>
      <c r="L43" s="11" t="s">
        <v>162</v>
      </c>
      <c r="M43" s="11" t="s">
        <v>103</v>
      </c>
    </row>
    <row r="44" spans="1:15" x14ac:dyDescent="0.25">
      <c r="A44" s="135" t="s">
        <v>307</v>
      </c>
      <c r="B44" s="132">
        <v>1.073</v>
      </c>
      <c r="C44" s="136" t="s">
        <v>460</v>
      </c>
      <c r="D44" s="136" t="s">
        <v>494</v>
      </c>
      <c r="L44" s="11" t="s">
        <v>163</v>
      </c>
      <c r="M44" s="11" t="s">
        <v>462</v>
      </c>
    </row>
    <row r="45" spans="1:15" x14ac:dyDescent="0.25">
      <c r="A45" s="135" t="s">
        <v>157</v>
      </c>
      <c r="B45" s="132">
        <v>2.1509999999999998</v>
      </c>
      <c r="C45" s="136" t="s">
        <v>456</v>
      </c>
      <c r="D45" s="15" t="s">
        <v>395</v>
      </c>
      <c r="F45" s="24"/>
      <c r="G45" s="25"/>
      <c r="L45" s="11" t="s">
        <v>164</v>
      </c>
      <c r="M45" s="11" t="s">
        <v>304</v>
      </c>
    </row>
    <row r="46" spans="1:15" x14ac:dyDescent="0.25">
      <c r="A46" s="135" t="s">
        <v>106</v>
      </c>
      <c r="B46" s="132">
        <v>2.5419999999999998</v>
      </c>
      <c r="C46" s="136" t="s">
        <v>456</v>
      </c>
      <c r="D46" s="15" t="s">
        <v>394</v>
      </c>
      <c r="L46" s="11" t="s">
        <v>332</v>
      </c>
      <c r="M46" s="11" t="s">
        <v>101</v>
      </c>
    </row>
    <row r="47" spans="1:15" x14ac:dyDescent="0.25">
      <c r="A47" s="139" t="s">
        <v>134</v>
      </c>
      <c r="B47" s="140">
        <v>1.109</v>
      </c>
      <c r="C47" s="141" t="s">
        <v>456</v>
      </c>
      <c r="D47" s="142">
        <v>0</v>
      </c>
      <c r="L47" s="11" t="s">
        <v>328</v>
      </c>
      <c r="M47" s="11" t="s">
        <v>102</v>
      </c>
    </row>
    <row r="48" spans="1:15" x14ac:dyDescent="0.25">
      <c r="A48" s="135" t="s">
        <v>158</v>
      </c>
      <c r="B48" s="132">
        <v>2.5270999999999999</v>
      </c>
      <c r="C48" s="136" t="s">
        <v>456</v>
      </c>
      <c r="D48" s="15" t="s">
        <v>396</v>
      </c>
      <c r="L48" s="11" t="s">
        <v>330</v>
      </c>
      <c r="M48" s="11" t="s">
        <v>307</v>
      </c>
    </row>
    <row r="49" spans="1:13" x14ac:dyDescent="0.25">
      <c r="A49" s="135" t="s">
        <v>108</v>
      </c>
      <c r="B49" s="132">
        <v>5.0199999999999996</v>
      </c>
      <c r="C49" s="136" t="s">
        <v>456</v>
      </c>
      <c r="D49" s="15" t="s">
        <v>397</v>
      </c>
      <c r="L49" s="11" t="s">
        <v>133</v>
      </c>
      <c r="M49" s="11" t="s">
        <v>156</v>
      </c>
    </row>
    <row r="50" spans="1:13" x14ac:dyDescent="0.25">
      <c r="A50" s="135" t="s">
        <v>159</v>
      </c>
      <c r="B50" s="132">
        <v>1.26</v>
      </c>
      <c r="C50" s="136" t="s">
        <v>456</v>
      </c>
      <c r="D50" s="15" t="s">
        <v>399</v>
      </c>
      <c r="L50" s="11" t="s">
        <v>327</v>
      </c>
      <c r="M50" s="11" t="s">
        <v>125</v>
      </c>
    </row>
    <row r="51" spans="1:13" x14ac:dyDescent="0.25">
      <c r="A51" s="135" t="s">
        <v>160</v>
      </c>
      <c r="B51" s="132">
        <v>2.2968000000000002</v>
      </c>
      <c r="C51" s="136" t="s">
        <v>456</v>
      </c>
      <c r="D51" s="15" t="s">
        <v>400</v>
      </c>
      <c r="L51" s="19" t="s">
        <v>131</v>
      </c>
      <c r="M51" s="11" t="s">
        <v>157</v>
      </c>
    </row>
    <row r="52" spans="1:13" x14ac:dyDescent="0.25">
      <c r="A52" s="135" t="s">
        <v>161</v>
      </c>
      <c r="B52" s="132">
        <v>1.42</v>
      </c>
      <c r="C52" s="136" t="s">
        <v>456</v>
      </c>
      <c r="D52" s="15" t="s">
        <v>402</v>
      </c>
      <c r="L52" s="19" t="s">
        <v>322</v>
      </c>
      <c r="M52" s="11" t="s">
        <v>106</v>
      </c>
    </row>
    <row r="53" spans="1:13" x14ac:dyDescent="0.25">
      <c r="A53" s="135" t="s">
        <v>162</v>
      </c>
      <c r="B53" s="132">
        <v>1.7673000000000001</v>
      </c>
      <c r="C53" s="136" t="s">
        <v>456</v>
      </c>
      <c r="D53" s="15" t="s">
        <v>401</v>
      </c>
      <c r="L53" s="11" t="s">
        <v>165</v>
      </c>
      <c r="M53" s="11" t="s">
        <v>134</v>
      </c>
    </row>
    <row r="54" spans="1:13" x14ac:dyDescent="0.25">
      <c r="A54" s="135" t="s">
        <v>99</v>
      </c>
      <c r="B54" s="132">
        <v>2.927</v>
      </c>
      <c r="C54" s="136" t="s">
        <v>456</v>
      </c>
      <c r="D54" s="15" t="s">
        <v>403</v>
      </c>
      <c r="L54" s="11" t="s">
        <v>325</v>
      </c>
      <c r="M54" s="11" t="s">
        <v>158</v>
      </c>
    </row>
    <row r="55" spans="1:13" x14ac:dyDescent="0.25">
      <c r="A55" s="135" t="s">
        <v>163</v>
      </c>
      <c r="B55" s="132">
        <v>1.6593</v>
      </c>
      <c r="C55" s="136" t="s">
        <v>456</v>
      </c>
      <c r="D55" s="15" t="s">
        <v>404</v>
      </c>
      <c r="L55" s="214" t="s">
        <v>1827</v>
      </c>
      <c r="M55" s="11" t="s">
        <v>166</v>
      </c>
    </row>
    <row r="56" spans="1:13" x14ac:dyDescent="0.25">
      <c r="A56" s="135" t="s">
        <v>128</v>
      </c>
      <c r="B56" s="132">
        <v>2.770083102493075</v>
      </c>
      <c r="C56" s="136" t="s">
        <v>461</v>
      </c>
      <c r="D56" s="15" t="s">
        <v>405</v>
      </c>
      <c r="L56" s="11" t="s">
        <v>166</v>
      </c>
      <c r="M56" s="11" t="s">
        <v>159</v>
      </c>
    </row>
    <row r="57" spans="1:13" x14ac:dyDescent="0.25">
      <c r="A57" s="135" t="s">
        <v>164</v>
      </c>
      <c r="B57" s="132">
        <v>1.9015</v>
      </c>
      <c r="C57" s="136" t="s">
        <v>456</v>
      </c>
      <c r="D57" s="15" t="s">
        <v>406</v>
      </c>
      <c r="L57" s="233" t="s">
        <v>1769</v>
      </c>
      <c r="M57" s="19" t="s">
        <v>322</v>
      </c>
    </row>
    <row r="58" spans="1:13" ht="15.75" x14ac:dyDescent="0.25">
      <c r="A58" s="135" t="s">
        <v>332</v>
      </c>
      <c r="B58" s="132"/>
      <c r="C58" s="136" t="s">
        <v>456</v>
      </c>
      <c r="D58" s="15"/>
      <c r="E58" s="14"/>
      <c r="L58" s="214" t="s">
        <v>1808</v>
      </c>
      <c r="M58" s="11" t="s">
        <v>362</v>
      </c>
    </row>
    <row r="59" spans="1:13" ht="15.75" x14ac:dyDescent="0.25">
      <c r="A59" s="135" t="s">
        <v>328</v>
      </c>
      <c r="B59" s="132">
        <v>0.91200000000000003</v>
      </c>
      <c r="C59" s="136" t="s">
        <v>456</v>
      </c>
      <c r="D59" s="15" t="s">
        <v>392</v>
      </c>
      <c r="E59" s="14"/>
      <c r="L59" s="11" t="s">
        <v>167</v>
      </c>
      <c r="M59" s="11" t="s">
        <v>160</v>
      </c>
    </row>
    <row r="60" spans="1:13" ht="15.75" x14ac:dyDescent="0.25">
      <c r="A60" s="135" t="s">
        <v>330</v>
      </c>
      <c r="B60" s="132">
        <v>1.0672999999999999</v>
      </c>
      <c r="C60" s="136" t="s">
        <v>456</v>
      </c>
      <c r="D60" s="136" t="s">
        <v>496</v>
      </c>
      <c r="E60" s="14"/>
      <c r="L60" s="214" t="s">
        <v>608</v>
      </c>
      <c r="M60" s="11" t="s">
        <v>161</v>
      </c>
    </row>
    <row r="61" spans="1:13" ht="15.75" x14ac:dyDescent="0.25">
      <c r="A61" s="135" t="s">
        <v>133</v>
      </c>
      <c r="B61" s="132">
        <v>2.7688000000000001</v>
      </c>
      <c r="C61" s="136" t="s">
        <v>456</v>
      </c>
      <c r="D61" s="15" t="s">
        <v>407</v>
      </c>
      <c r="E61" s="14"/>
      <c r="L61" s="11" t="s">
        <v>135</v>
      </c>
      <c r="M61" s="11" t="s">
        <v>162</v>
      </c>
    </row>
    <row r="62" spans="1:13" ht="15.75" x14ac:dyDescent="0.25">
      <c r="A62" s="135" t="s">
        <v>131</v>
      </c>
      <c r="B62" s="132">
        <v>2.7644000000000002</v>
      </c>
      <c r="C62" s="136" t="s">
        <v>456</v>
      </c>
      <c r="D62" s="15" t="s">
        <v>408</v>
      </c>
      <c r="E62" s="14"/>
      <c r="L62" s="27" t="s">
        <v>168</v>
      </c>
      <c r="M62" s="11" t="s">
        <v>99</v>
      </c>
    </row>
    <row r="63" spans="1:13" ht="15.75" x14ac:dyDescent="0.25">
      <c r="A63" s="135" t="s">
        <v>322</v>
      </c>
      <c r="B63" s="132">
        <v>2.7151000000000001</v>
      </c>
      <c r="C63" s="136" t="s">
        <v>456</v>
      </c>
      <c r="D63" s="15" t="s">
        <v>411</v>
      </c>
      <c r="E63" s="14"/>
      <c r="L63" s="27" t="s">
        <v>426</v>
      </c>
      <c r="M63" s="11" t="s">
        <v>163</v>
      </c>
    </row>
    <row r="64" spans="1:13" ht="15.75" x14ac:dyDescent="0.25">
      <c r="A64" s="135" t="s">
        <v>165</v>
      </c>
      <c r="B64" s="132">
        <v>2.7240000000000002</v>
      </c>
      <c r="C64" s="136" t="s">
        <v>456</v>
      </c>
      <c r="D64" s="15" t="s">
        <v>409</v>
      </c>
      <c r="E64" s="14"/>
      <c r="L64" s="11" t="s">
        <v>107</v>
      </c>
      <c r="M64" s="11" t="s">
        <v>164</v>
      </c>
    </row>
    <row r="65" spans="1:13" ht="15.75" x14ac:dyDescent="0.25">
      <c r="A65" s="135" t="s">
        <v>325</v>
      </c>
      <c r="B65" s="132">
        <v>2.65</v>
      </c>
      <c r="C65" s="136" t="s">
        <v>456</v>
      </c>
      <c r="D65" s="15"/>
      <c r="E65" s="14"/>
      <c r="L65" s="11" t="s">
        <v>124</v>
      </c>
      <c r="M65" s="11" t="s">
        <v>332</v>
      </c>
    </row>
    <row r="66" spans="1:13" ht="15.75" x14ac:dyDescent="0.25">
      <c r="A66" s="135" t="s">
        <v>327</v>
      </c>
      <c r="B66" s="132">
        <v>2.65</v>
      </c>
      <c r="C66" s="136" t="s">
        <v>456</v>
      </c>
      <c r="D66" s="15"/>
      <c r="E66" s="14"/>
      <c r="L66" s="11" t="s">
        <v>122</v>
      </c>
      <c r="M66" s="11" t="s">
        <v>328</v>
      </c>
    </row>
    <row r="67" spans="1:13" x14ac:dyDescent="0.25">
      <c r="A67" s="135" t="s">
        <v>166</v>
      </c>
      <c r="B67" s="132">
        <v>1.2729999999999999</v>
      </c>
      <c r="C67" s="136" t="s">
        <v>456</v>
      </c>
      <c r="D67" s="15" t="s">
        <v>410</v>
      </c>
      <c r="L67" s="11" t="s">
        <v>123</v>
      </c>
      <c r="M67" s="11" t="s">
        <v>330</v>
      </c>
    </row>
    <row r="68" spans="1:13" x14ac:dyDescent="0.25">
      <c r="A68" s="135" t="s">
        <v>167</v>
      </c>
      <c r="B68" s="132">
        <v>2.0880000000000001</v>
      </c>
      <c r="C68" s="136" t="s">
        <v>456</v>
      </c>
      <c r="D68" s="15" t="s">
        <v>412</v>
      </c>
      <c r="L68" s="11" t="s">
        <v>427</v>
      </c>
      <c r="M68" s="19" t="s">
        <v>131</v>
      </c>
    </row>
    <row r="69" spans="1:13" x14ac:dyDescent="0.25">
      <c r="A69" s="135" t="s">
        <v>132</v>
      </c>
      <c r="B69" s="132">
        <v>3.03</v>
      </c>
      <c r="C69" s="136" t="s">
        <v>456</v>
      </c>
      <c r="D69" s="15" t="s">
        <v>413</v>
      </c>
      <c r="L69" s="11" t="s">
        <v>169</v>
      </c>
      <c r="M69" s="11" t="s">
        <v>165</v>
      </c>
    </row>
    <row r="70" spans="1:13" x14ac:dyDescent="0.25">
      <c r="A70" s="135" t="s">
        <v>127</v>
      </c>
      <c r="B70" s="132">
        <v>2.1579999999999999</v>
      </c>
      <c r="C70" s="136" t="s">
        <v>461</v>
      </c>
      <c r="D70" s="15" t="s">
        <v>414</v>
      </c>
      <c r="L70" s="214" t="s">
        <v>358</v>
      </c>
      <c r="M70" s="11" t="s">
        <v>325</v>
      </c>
    </row>
    <row r="71" spans="1:13" x14ac:dyDescent="0.25">
      <c r="A71" s="139" t="s">
        <v>135</v>
      </c>
      <c r="B71" s="140">
        <v>0</v>
      </c>
      <c r="C71" s="141" t="s">
        <v>456</v>
      </c>
      <c r="D71" s="142">
        <v>0</v>
      </c>
      <c r="L71" s="214" t="s">
        <v>1918</v>
      </c>
      <c r="M71" s="11" t="s">
        <v>132</v>
      </c>
    </row>
    <row r="72" spans="1:13" x14ac:dyDescent="0.25">
      <c r="A72" s="139" t="s">
        <v>109</v>
      </c>
      <c r="B72" s="140">
        <v>0.44</v>
      </c>
      <c r="C72" s="141" t="s">
        <v>456</v>
      </c>
      <c r="D72" s="141">
        <v>0</v>
      </c>
      <c r="L72" s="214" t="s">
        <v>1919</v>
      </c>
      <c r="M72" s="11" t="s">
        <v>135</v>
      </c>
    </row>
    <row r="73" spans="1:13" ht="15.75" x14ac:dyDescent="0.25">
      <c r="A73" s="134" t="s">
        <v>168</v>
      </c>
      <c r="B73" s="132">
        <v>2.0630000000000002</v>
      </c>
      <c r="C73" s="136" t="s">
        <v>456</v>
      </c>
      <c r="D73" s="15" t="s">
        <v>425</v>
      </c>
      <c r="L73" s="23"/>
      <c r="M73" s="11" t="s">
        <v>109</v>
      </c>
    </row>
    <row r="74" spans="1:13" ht="15.75" x14ac:dyDescent="0.25">
      <c r="A74" s="134" t="s">
        <v>426</v>
      </c>
      <c r="B74" s="132">
        <v>2.65</v>
      </c>
      <c r="C74" s="136" t="s">
        <v>456</v>
      </c>
      <c r="D74" s="15" t="s">
        <v>415</v>
      </c>
      <c r="L74" s="23"/>
      <c r="M74" s="27" t="s">
        <v>168</v>
      </c>
    </row>
    <row r="75" spans="1:13" ht="15.75" x14ac:dyDescent="0.25">
      <c r="A75" s="135" t="s">
        <v>104</v>
      </c>
      <c r="B75" s="132">
        <v>2.4047999999999998</v>
      </c>
      <c r="C75" s="136" t="s">
        <v>456</v>
      </c>
      <c r="D75" s="15" t="s">
        <v>416</v>
      </c>
      <c r="L75" s="23"/>
      <c r="M75" s="27" t="s">
        <v>426</v>
      </c>
    </row>
    <row r="76" spans="1:13" ht="15.75" x14ac:dyDescent="0.25">
      <c r="A76" s="135" t="s">
        <v>107</v>
      </c>
      <c r="B76" s="132">
        <v>2.7850000000000001</v>
      </c>
      <c r="C76" s="136" t="s">
        <v>456</v>
      </c>
      <c r="D76" s="15" t="s">
        <v>417</v>
      </c>
      <c r="L76" s="23"/>
      <c r="M76" s="11" t="s">
        <v>104</v>
      </c>
    </row>
    <row r="77" spans="1:13" ht="15.75" x14ac:dyDescent="0.25">
      <c r="A77" s="135" t="s">
        <v>124</v>
      </c>
      <c r="B77" s="132">
        <v>2.4064000000000001</v>
      </c>
      <c r="C77" s="136" t="s">
        <v>456</v>
      </c>
      <c r="D77" s="15" t="s">
        <v>418</v>
      </c>
      <c r="L77" s="23"/>
      <c r="M77" s="11" t="s">
        <v>107</v>
      </c>
    </row>
    <row r="78" spans="1:13" ht="15.75" x14ac:dyDescent="0.25">
      <c r="A78" s="135" t="s">
        <v>122</v>
      </c>
      <c r="B78" s="132">
        <v>2.319</v>
      </c>
      <c r="C78" s="136" t="s">
        <v>456</v>
      </c>
      <c r="D78" s="15" t="s">
        <v>419</v>
      </c>
      <c r="L78" s="23"/>
      <c r="M78" s="11" t="s">
        <v>124</v>
      </c>
    </row>
    <row r="79" spans="1:13" ht="15.75" x14ac:dyDescent="0.25">
      <c r="A79" s="135" t="s">
        <v>123</v>
      </c>
      <c r="B79" s="132">
        <v>2.677</v>
      </c>
      <c r="C79" s="136" t="s">
        <v>456</v>
      </c>
      <c r="D79" s="15" t="s">
        <v>420</v>
      </c>
      <c r="L79" s="23"/>
      <c r="M79" s="11" t="s">
        <v>122</v>
      </c>
    </row>
    <row r="80" spans="1:13" ht="15.75" x14ac:dyDescent="0.25">
      <c r="A80" s="135" t="s">
        <v>1782</v>
      </c>
      <c r="B80" s="132">
        <v>3.75</v>
      </c>
      <c r="C80" s="136" t="s">
        <v>456</v>
      </c>
      <c r="D80" s="15" t="s">
        <v>421</v>
      </c>
      <c r="L80" s="23"/>
      <c r="M80" s="11" t="s">
        <v>123</v>
      </c>
    </row>
    <row r="81" spans="1:13" ht="15.75" x14ac:dyDescent="0.25">
      <c r="A81" s="135" t="s">
        <v>1783</v>
      </c>
      <c r="B81" s="132">
        <v>3.0539999999999998</v>
      </c>
      <c r="C81" s="136" t="s">
        <v>456</v>
      </c>
      <c r="D81" s="15" t="s">
        <v>422</v>
      </c>
      <c r="L81" s="23"/>
      <c r="M81" s="214" t="s">
        <v>1782</v>
      </c>
    </row>
    <row r="82" spans="1:13" ht="15.75" x14ac:dyDescent="0.25">
      <c r="A82" s="135" t="s">
        <v>427</v>
      </c>
      <c r="B82" s="132">
        <v>1.978</v>
      </c>
      <c r="C82" s="136" t="s">
        <v>456</v>
      </c>
      <c r="D82" s="15" t="s">
        <v>423</v>
      </c>
      <c r="L82" s="23"/>
      <c r="M82" s="214" t="s">
        <v>1783</v>
      </c>
    </row>
    <row r="83" spans="1:13" ht="15.75" x14ac:dyDescent="0.25">
      <c r="A83" s="135" t="s">
        <v>105</v>
      </c>
      <c r="B83" s="132">
        <v>2.63</v>
      </c>
      <c r="C83" s="136" t="s">
        <v>456</v>
      </c>
      <c r="D83" s="15" t="s">
        <v>424</v>
      </c>
      <c r="L83" s="23"/>
      <c r="M83" s="11" t="s">
        <v>427</v>
      </c>
    </row>
    <row r="84" spans="1:13" ht="15.75" x14ac:dyDescent="0.25">
      <c r="A84" s="135" t="s">
        <v>1769</v>
      </c>
      <c r="B84" s="132">
        <v>1.8301000000000001</v>
      </c>
      <c r="C84" s="136" t="s">
        <v>456</v>
      </c>
      <c r="D84" s="136" t="s">
        <v>501</v>
      </c>
      <c r="L84" s="23"/>
      <c r="M84" s="11" t="s">
        <v>105</v>
      </c>
    </row>
    <row r="85" spans="1:13" ht="15.75" x14ac:dyDescent="0.25">
      <c r="A85" s="135" t="s">
        <v>169</v>
      </c>
      <c r="B85" s="132">
        <v>2.476</v>
      </c>
      <c r="C85" s="136" t="s">
        <v>456</v>
      </c>
      <c r="D85" s="136" t="s">
        <v>493</v>
      </c>
      <c r="L85" s="23"/>
      <c r="M85" s="233" t="s">
        <v>1769</v>
      </c>
    </row>
    <row r="86" spans="1:13" ht="15.75" x14ac:dyDescent="0.25">
      <c r="A86" s="131" t="str">
        <f>'Base Blend Property Calculation'!L6</f>
        <v>Silica Fume - Semi-Densified</v>
      </c>
      <c r="B86" s="130">
        <f>B37</f>
        <v>2.5</v>
      </c>
      <c r="C86" s="136" t="s">
        <v>456</v>
      </c>
      <c r="D86" s="15" t="s">
        <v>390</v>
      </c>
      <c r="L86" s="23"/>
      <c r="M86" s="11" t="s">
        <v>169</v>
      </c>
    </row>
    <row r="87" spans="1:13" ht="15.75" x14ac:dyDescent="0.25">
      <c r="A87" s="131" t="s">
        <v>358</v>
      </c>
      <c r="B87" s="130">
        <v>1.17</v>
      </c>
      <c r="C87" s="15" t="s">
        <v>456</v>
      </c>
      <c r="D87" s="15" t="s">
        <v>607</v>
      </c>
      <c r="L87" s="23"/>
      <c r="M87" s="23"/>
    </row>
    <row r="88" spans="1:13" ht="15.75" x14ac:dyDescent="0.25">
      <c r="A88" s="214" t="s">
        <v>608</v>
      </c>
      <c r="B88" s="136">
        <v>1.9582999999999999</v>
      </c>
      <c r="C88" s="15" t="s">
        <v>456</v>
      </c>
      <c r="D88" s="15" t="s">
        <v>606</v>
      </c>
      <c r="L88" s="23"/>
      <c r="M88" s="23"/>
    </row>
    <row r="89" spans="1:13" ht="15.75" x14ac:dyDescent="0.25">
      <c r="A89" s="131" t="s">
        <v>294</v>
      </c>
      <c r="B89" s="136">
        <v>1.504</v>
      </c>
      <c r="C89" s="15" t="s">
        <v>456</v>
      </c>
      <c r="D89" s="15" t="s">
        <v>1770</v>
      </c>
      <c r="L89" s="23"/>
      <c r="M89" s="23"/>
    </row>
    <row r="90" spans="1:13" ht="15.75" x14ac:dyDescent="0.25">
      <c r="A90" s="131" t="s">
        <v>1779</v>
      </c>
      <c r="B90" s="136">
        <v>0.27139999999999997</v>
      </c>
      <c r="C90" s="15" t="s">
        <v>456</v>
      </c>
      <c r="D90" s="15" t="s">
        <v>1780</v>
      </c>
      <c r="L90" s="23"/>
      <c r="M90" s="23"/>
    </row>
    <row r="91" spans="1:13" ht="15.75" x14ac:dyDescent="0.25">
      <c r="A91" s="135" t="s">
        <v>1808</v>
      </c>
      <c r="B91" s="132">
        <v>1.87</v>
      </c>
      <c r="C91" s="136" t="s">
        <v>456</v>
      </c>
      <c r="D91" s="15" t="s">
        <v>1924</v>
      </c>
      <c r="L91" s="23"/>
      <c r="M91" s="23"/>
    </row>
    <row r="92" spans="1:13" ht="15.75" x14ac:dyDescent="0.25">
      <c r="A92" s="131" t="s">
        <v>1811</v>
      </c>
      <c r="B92" s="132">
        <v>2.7494999999999998</v>
      </c>
      <c r="C92" s="15"/>
      <c r="D92" s="15" t="s">
        <v>1812</v>
      </c>
      <c r="L92" s="23"/>
      <c r="M92" s="23"/>
    </row>
    <row r="93" spans="1:13" ht="15.75" x14ac:dyDescent="0.25">
      <c r="A93" s="131" t="s">
        <v>1827</v>
      </c>
      <c r="B93" s="132">
        <v>1.8919999999999999</v>
      </c>
      <c r="C93" s="132" t="s">
        <v>456</v>
      </c>
      <c r="D93" s="15"/>
      <c r="L93" s="23"/>
      <c r="M93" s="23"/>
    </row>
    <row r="94" spans="1:13" ht="15.75" x14ac:dyDescent="0.25">
      <c r="A94" s="131" t="s">
        <v>1828</v>
      </c>
      <c r="B94" s="132">
        <v>2.2000000000000002</v>
      </c>
      <c r="C94" s="132" t="s">
        <v>456</v>
      </c>
      <c r="D94" s="397" t="s">
        <v>1923</v>
      </c>
      <c r="L94" s="23"/>
      <c r="M94" s="23"/>
    </row>
    <row r="95" spans="1:13" ht="15.75" x14ac:dyDescent="0.25">
      <c r="A95" s="131" t="s">
        <v>314</v>
      </c>
      <c r="B95" s="136">
        <v>1.3662000000000001</v>
      </c>
      <c r="C95" s="15" t="s">
        <v>456</v>
      </c>
      <c r="D95" s="397" t="s">
        <v>1922</v>
      </c>
      <c r="L95" s="23"/>
      <c r="M95" s="23"/>
    </row>
    <row r="96" spans="1:13" ht="15.75" x14ac:dyDescent="0.25">
      <c r="A96" s="131" t="s">
        <v>1918</v>
      </c>
      <c r="B96" s="130">
        <v>2.2000000000000002</v>
      </c>
      <c r="C96" s="15" t="s">
        <v>456</v>
      </c>
      <c r="D96" s="397" t="s">
        <v>1921</v>
      </c>
      <c r="L96" s="23"/>
      <c r="M96" s="23"/>
    </row>
    <row r="97" spans="1:13" ht="15.75" x14ac:dyDescent="0.25">
      <c r="A97" s="131" t="s">
        <v>1919</v>
      </c>
      <c r="B97" s="132">
        <v>1.44</v>
      </c>
      <c r="C97" s="136" t="s">
        <v>456</v>
      </c>
      <c r="D97" s="15" t="s">
        <v>1920</v>
      </c>
      <c r="L97" s="23"/>
      <c r="M97" s="23"/>
    </row>
    <row r="98" spans="1:13" ht="15.75" x14ac:dyDescent="0.25">
      <c r="A98" s="131"/>
      <c r="B98" s="131"/>
      <c r="C98" s="15"/>
      <c r="D98" s="15"/>
      <c r="L98" s="23"/>
      <c r="M98" s="23"/>
    </row>
    <row r="99" spans="1:13" ht="15.75" x14ac:dyDescent="0.25">
      <c r="A99" s="131"/>
      <c r="B99" s="131"/>
      <c r="C99" s="15"/>
      <c r="D99" s="15"/>
      <c r="L99" s="23"/>
      <c r="M99" s="23"/>
    </row>
    <row r="100" spans="1:13" ht="15.75" x14ac:dyDescent="0.25">
      <c r="A100" s="131"/>
      <c r="B100" s="131"/>
      <c r="C100" s="15"/>
      <c r="D100" s="15"/>
      <c r="L100" s="23"/>
      <c r="M100" s="23"/>
    </row>
    <row r="101" spans="1:13" ht="15.75" x14ac:dyDescent="0.25">
      <c r="A101" s="131"/>
      <c r="B101" s="131"/>
      <c r="C101" s="15"/>
      <c r="D101" s="15"/>
      <c r="L101" s="23"/>
      <c r="M101" s="23"/>
    </row>
    <row r="102" spans="1:13" ht="15.75" x14ac:dyDescent="0.25">
      <c r="A102" s="131"/>
      <c r="B102" s="131"/>
      <c r="C102" s="15"/>
      <c r="D102" s="15"/>
      <c r="L102" s="23"/>
      <c r="M102" s="23"/>
    </row>
    <row r="103" spans="1:13" ht="15.75" x14ac:dyDescent="0.25">
      <c r="A103" s="131"/>
      <c r="B103" s="131"/>
      <c r="C103" s="15"/>
      <c r="D103" s="15"/>
      <c r="L103" s="23"/>
      <c r="M103" s="23"/>
    </row>
    <row r="104" spans="1:13" ht="15.75" x14ac:dyDescent="0.25">
      <c r="A104" s="131"/>
      <c r="B104" s="131"/>
      <c r="C104" s="15"/>
      <c r="D104" s="15"/>
      <c r="L104" s="23"/>
      <c r="M104" s="23"/>
    </row>
    <row r="105" spans="1:13" ht="15.75" x14ac:dyDescent="0.25">
      <c r="A105" s="131"/>
      <c r="B105" s="131"/>
      <c r="C105" s="15"/>
      <c r="D105" s="15"/>
      <c r="L105" s="23"/>
      <c r="M105" s="23"/>
    </row>
    <row r="106" spans="1:13" ht="15.75" x14ac:dyDescent="0.25">
      <c r="A106" s="131"/>
      <c r="B106" s="131"/>
      <c r="C106" s="15"/>
      <c r="D106" s="15"/>
      <c r="L106" s="23"/>
      <c r="M106" s="23"/>
    </row>
    <row r="107" spans="1:13" ht="15.75" x14ac:dyDescent="0.25">
      <c r="A107" s="131"/>
      <c r="B107" s="131"/>
      <c r="C107" s="15"/>
      <c r="D107" s="15"/>
      <c r="L107" s="23"/>
      <c r="M107" s="23"/>
    </row>
    <row r="108" spans="1:13" ht="15.75" x14ac:dyDescent="0.25">
      <c r="A108" s="131"/>
      <c r="B108" s="131"/>
      <c r="C108" s="15"/>
      <c r="D108" s="15"/>
      <c r="L108" s="23"/>
      <c r="M108" s="23"/>
    </row>
    <row r="109" spans="1:13" ht="15.75" x14ac:dyDescent="0.25">
      <c r="A109" s="131"/>
      <c r="B109" s="131"/>
      <c r="C109" s="15"/>
      <c r="D109" s="15"/>
      <c r="L109" s="23"/>
      <c r="M109" s="23"/>
    </row>
    <row r="110" spans="1:13" ht="15.75" x14ac:dyDescent="0.25">
      <c r="A110" s="131"/>
      <c r="B110" s="131"/>
      <c r="C110" s="15"/>
      <c r="D110" s="15"/>
      <c r="L110" s="23"/>
      <c r="M110" s="23"/>
    </row>
    <row r="111" spans="1:13" ht="15.75" x14ac:dyDescent="0.25">
      <c r="A111" s="131"/>
      <c r="B111" s="131"/>
      <c r="C111" s="15"/>
      <c r="D111" s="15"/>
      <c r="L111" s="23"/>
      <c r="M111" s="23"/>
    </row>
    <row r="112" spans="1:13" ht="15.75" x14ac:dyDescent="0.25">
      <c r="A112" s="131"/>
      <c r="B112" s="131"/>
      <c r="C112" s="15"/>
      <c r="D112" s="15"/>
      <c r="L112" s="23"/>
      <c r="M112" s="23"/>
    </row>
    <row r="113" spans="1:13" ht="15.75" x14ac:dyDescent="0.25">
      <c r="A113" s="131"/>
      <c r="B113" s="131"/>
      <c r="C113" s="15"/>
      <c r="D113" s="15"/>
      <c r="L113" s="23"/>
      <c r="M113" s="23"/>
    </row>
    <row r="114" spans="1:13" ht="15.75" x14ac:dyDescent="0.25">
      <c r="A114" s="131"/>
      <c r="B114" s="131"/>
      <c r="C114" s="15"/>
      <c r="D114" s="15"/>
      <c r="L114" s="23"/>
      <c r="M114" s="23"/>
    </row>
    <row r="115" spans="1:13" ht="15.75" x14ac:dyDescent="0.25">
      <c r="A115" s="131"/>
      <c r="B115" s="131"/>
      <c r="C115" s="15"/>
      <c r="D115" s="15"/>
      <c r="L115" s="23"/>
      <c r="M115" s="23"/>
    </row>
    <row r="116" spans="1:13" ht="15.75" x14ac:dyDescent="0.25">
      <c r="A116" s="131"/>
      <c r="B116" s="131"/>
      <c r="C116" s="15"/>
      <c r="D116" s="15"/>
      <c r="L116" s="10"/>
      <c r="M116" s="23"/>
    </row>
    <row r="117" spans="1:13" ht="15.75" x14ac:dyDescent="0.25">
      <c r="A117" s="131"/>
      <c r="B117" s="131"/>
      <c r="C117" s="15"/>
      <c r="D117" s="15"/>
      <c r="L117" s="10"/>
      <c r="M117" s="23"/>
    </row>
    <row r="118" spans="1:13" ht="15.75" x14ac:dyDescent="0.25">
      <c r="A118" s="131"/>
      <c r="B118" s="131"/>
      <c r="C118" s="15"/>
      <c r="D118" s="15"/>
      <c r="L118" s="10"/>
      <c r="M118" s="23"/>
    </row>
    <row r="119" spans="1:13" ht="15.75" x14ac:dyDescent="0.25">
      <c r="A119" s="131"/>
      <c r="B119" s="131"/>
      <c r="C119" s="15"/>
      <c r="D119" s="15"/>
      <c r="L119" s="10"/>
      <c r="M119" s="23"/>
    </row>
    <row r="120" spans="1:13" ht="15.75" x14ac:dyDescent="0.25">
      <c r="A120" s="131"/>
      <c r="B120" s="131"/>
      <c r="C120" s="15"/>
      <c r="D120" s="15"/>
      <c r="L120" s="10"/>
      <c r="M120" s="23"/>
    </row>
    <row r="121" spans="1:13" ht="15.75" x14ac:dyDescent="0.25">
      <c r="A121" s="131"/>
      <c r="B121" s="131"/>
      <c r="C121" s="15"/>
      <c r="D121" s="15"/>
      <c r="L121" s="10"/>
      <c r="M121" s="23"/>
    </row>
    <row r="122" spans="1:13" ht="15.75" x14ac:dyDescent="0.25">
      <c r="A122" s="131"/>
      <c r="B122" s="131"/>
      <c r="C122" s="15"/>
      <c r="D122" s="15"/>
      <c r="L122" s="10"/>
      <c r="M122" s="23"/>
    </row>
    <row r="123" spans="1:13" ht="15.75" x14ac:dyDescent="0.25">
      <c r="A123" s="131"/>
      <c r="B123" s="131"/>
      <c r="C123" s="15"/>
      <c r="D123" s="15"/>
      <c r="L123" s="10"/>
      <c r="M123" s="23"/>
    </row>
    <row r="124" spans="1:13" ht="15.75" x14ac:dyDescent="0.25">
      <c r="A124" s="131"/>
      <c r="B124" s="131"/>
      <c r="C124" s="15"/>
      <c r="D124" s="15"/>
      <c r="L124" s="10"/>
      <c r="M124" s="23"/>
    </row>
    <row r="125" spans="1:13" ht="15.75" x14ac:dyDescent="0.25">
      <c r="A125" s="131"/>
      <c r="B125" s="131"/>
      <c r="C125" s="15"/>
      <c r="D125" s="15"/>
      <c r="L125" s="10"/>
      <c r="M125" s="23"/>
    </row>
    <row r="126" spans="1:13" ht="15.75" x14ac:dyDescent="0.25">
      <c r="A126" s="131"/>
      <c r="B126" s="131"/>
      <c r="C126" s="15"/>
      <c r="D126" s="15"/>
      <c r="L126" s="10"/>
      <c r="M126" s="23"/>
    </row>
    <row r="127" spans="1:13" ht="15.75" x14ac:dyDescent="0.25">
      <c r="A127" s="131"/>
      <c r="B127" s="131"/>
      <c r="C127" s="15"/>
      <c r="D127" s="15"/>
      <c r="L127" s="10"/>
      <c r="M127" s="23"/>
    </row>
    <row r="128" spans="1:13" ht="15.75" x14ac:dyDescent="0.25">
      <c r="A128" s="131"/>
      <c r="B128" s="131"/>
      <c r="C128" s="15"/>
      <c r="D128" s="15"/>
      <c r="L128" s="10"/>
      <c r="M128" s="23"/>
    </row>
    <row r="129" spans="1:13" ht="15.75" x14ac:dyDescent="0.25">
      <c r="A129" s="131"/>
      <c r="B129" s="131"/>
      <c r="C129" s="15"/>
      <c r="D129" s="15"/>
      <c r="L129" s="10"/>
      <c r="M129" s="23"/>
    </row>
    <row r="130" spans="1:13" ht="15.75" x14ac:dyDescent="0.25">
      <c r="A130" s="131"/>
      <c r="B130" s="131"/>
      <c r="C130" s="15"/>
      <c r="D130" s="15"/>
      <c r="L130" s="10"/>
      <c r="M130" s="23"/>
    </row>
    <row r="131" spans="1:13" ht="15.75" x14ac:dyDescent="0.25">
      <c r="A131" s="131"/>
      <c r="B131" s="131"/>
      <c r="C131" s="15"/>
      <c r="D131" s="15"/>
      <c r="L131" s="10"/>
      <c r="M131" s="23"/>
    </row>
    <row r="132" spans="1:13" ht="15.75" x14ac:dyDescent="0.25">
      <c r="A132" s="131"/>
      <c r="B132" s="131"/>
      <c r="C132" s="15"/>
      <c r="D132" s="15"/>
      <c r="L132" s="10"/>
      <c r="M132" s="23"/>
    </row>
    <row r="133" spans="1:13" ht="15.75" x14ac:dyDescent="0.25">
      <c r="A133" s="131"/>
      <c r="B133" s="131"/>
      <c r="C133" s="15"/>
      <c r="D133" s="15"/>
      <c r="L133" s="10"/>
      <c r="M133" s="23"/>
    </row>
    <row r="134" spans="1:13" ht="15.75" x14ac:dyDescent="0.25">
      <c r="A134" s="131"/>
      <c r="B134" s="131"/>
      <c r="C134" s="15"/>
      <c r="D134" s="15"/>
      <c r="L134" s="10"/>
      <c r="M134" s="23"/>
    </row>
    <row r="135" spans="1:13" ht="15.75" x14ac:dyDescent="0.25">
      <c r="A135" s="131"/>
      <c r="B135" s="131"/>
      <c r="C135" s="15"/>
      <c r="D135" s="15"/>
      <c r="L135" s="10"/>
      <c r="M135" s="23"/>
    </row>
    <row r="136" spans="1:13" ht="15.75" x14ac:dyDescent="0.25">
      <c r="A136" s="131"/>
      <c r="B136" s="131"/>
      <c r="C136" s="15"/>
      <c r="D136" s="15"/>
      <c r="L136" s="10"/>
      <c r="M136" s="23"/>
    </row>
    <row r="137" spans="1:13" ht="15.75" x14ac:dyDescent="0.25">
      <c r="A137" s="131"/>
      <c r="B137" s="131"/>
      <c r="C137" s="15"/>
      <c r="D137" s="15"/>
      <c r="L137" s="10"/>
      <c r="M137" s="23"/>
    </row>
    <row r="138" spans="1:13" ht="15.75" x14ac:dyDescent="0.25">
      <c r="A138" s="131"/>
      <c r="B138" s="131"/>
      <c r="C138" s="15"/>
      <c r="D138" s="15"/>
      <c r="L138" s="10"/>
      <c r="M138" s="23"/>
    </row>
  </sheetData>
  <autoFilter ref="L4:M4" xr:uid="{3F39D1C1-E9DD-423F-9315-5EE6DA5FF125}">
    <sortState xmlns:xlrd2="http://schemas.microsoft.com/office/spreadsheetml/2017/richdata2" ref="L5:M86">
      <sortCondition ref="L4"/>
    </sortState>
  </autoFilter>
  <sortState xmlns:xlrd2="http://schemas.microsoft.com/office/spreadsheetml/2017/richdata2" ref="L5:L65">
    <sortCondition ref="L5:L65"/>
  </sortState>
  <mergeCells count="3">
    <mergeCell ref="A1:C1"/>
    <mergeCell ref="F3:I3"/>
    <mergeCell ref="L3:M3"/>
  </mergeCells>
  <pageMargins left="0.7" right="0.7" top="0.75" bottom="0.75" header="0.3" footer="0.3"/>
  <pageSetup orientation="portrait" r:id="rId1"/>
  <headerFooter>
    <oddFooter>&amp;L&amp;F Sheet Printed: &amp;T &amp;D PRIVATE AND CONFIDENTIAL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C627D-F41E-43B4-BA17-BF534EF878A5}">
  <dimension ref="B2:C49"/>
  <sheetViews>
    <sheetView topLeftCell="A4" workbookViewId="0">
      <selection activeCell="I2" sqref="I2"/>
    </sheetView>
  </sheetViews>
  <sheetFormatPr defaultRowHeight="15" x14ac:dyDescent="0.25"/>
  <cols>
    <col min="2" max="2" width="16.140625" bestFit="1" customWidth="1"/>
    <col min="3" max="3" width="18.5703125" bestFit="1" customWidth="1"/>
  </cols>
  <sheetData>
    <row r="2" spans="2:3" x14ac:dyDescent="0.25">
      <c r="B2" s="408" t="s">
        <v>1928</v>
      </c>
      <c r="C2" s="408" t="s">
        <v>1929</v>
      </c>
    </row>
    <row r="3" spans="2:3" x14ac:dyDescent="0.25">
      <c r="B3" s="10" t="s">
        <v>145</v>
      </c>
      <c r="C3" s="10">
        <v>0.92044999999999999</v>
      </c>
    </row>
    <row r="4" spans="2:3" x14ac:dyDescent="0.25">
      <c r="B4" s="10" t="s">
        <v>147</v>
      </c>
      <c r="C4" s="10">
        <v>0.65690000000000004</v>
      </c>
    </row>
    <row r="5" spans="2:3" x14ac:dyDescent="0.25">
      <c r="B5" s="10" t="s">
        <v>314</v>
      </c>
      <c r="C5" s="10">
        <v>0.70930000000000004</v>
      </c>
    </row>
    <row r="6" spans="2:3" x14ac:dyDescent="0.25">
      <c r="B6" s="10" t="s">
        <v>148</v>
      </c>
      <c r="C6" s="10">
        <v>1.5632999999999999</v>
      </c>
    </row>
    <row r="7" spans="2:3" ht="18" x14ac:dyDescent="0.35">
      <c r="B7" s="10" t="s">
        <v>1930</v>
      </c>
      <c r="C7" s="10">
        <v>0.76500000000000001</v>
      </c>
    </row>
    <row r="8" spans="2:3" x14ac:dyDescent="0.25">
      <c r="B8" s="10" t="s">
        <v>301</v>
      </c>
      <c r="C8" s="10">
        <v>0.48330000000000001</v>
      </c>
    </row>
    <row r="9" spans="2:3" x14ac:dyDescent="0.25">
      <c r="B9" s="10" t="s">
        <v>112</v>
      </c>
      <c r="C9" s="10">
        <v>0.17899999999999999</v>
      </c>
    </row>
    <row r="10" spans="2:3" x14ac:dyDescent="0.25">
      <c r="B10" s="10" t="s">
        <v>110</v>
      </c>
      <c r="C10" s="10">
        <v>0.25259999999999999</v>
      </c>
    </row>
    <row r="11" spans="2:3" x14ac:dyDescent="0.25">
      <c r="B11" s="10" t="s">
        <v>294</v>
      </c>
      <c r="C11" s="10">
        <v>0.51014999999999999</v>
      </c>
    </row>
    <row r="12" spans="2:3" x14ac:dyDescent="0.25">
      <c r="B12" s="10" t="s">
        <v>117</v>
      </c>
      <c r="C12" s="10">
        <v>0.58199999999999996</v>
      </c>
    </row>
    <row r="13" spans="2:3" x14ac:dyDescent="0.25">
      <c r="B13" s="10" t="s">
        <v>118</v>
      </c>
      <c r="C13" s="10">
        <v>0.33400000000000002</v>
      </c>
    </row>
    <row r="14" spans="2:3" x14ac:dyDescent="0.25">
      <c r="B14" s="10" t="s">
        <v>119</v>
      </c>
      <c r="C14" s="10">
        <v>0.53100000000000003</v>
      </c>
    </row>
    <row r="15" spans="2:3" x14ac:dyDescent="0.25">
      <c r="B15" s="10" t="s">
        <v>120</v>
      </c>
      <c r="C15" s="10">
        <v>0.74299999999999999</v>
      </c>
    </row>
    <row r="16" spans="2:3" x14ac:dyDescent="0.25">
      <c r="B16" s="10" t="s">
        <v>530</v>
      </c>
      <c r="C16" s="10">
        <v>0.51800000000000002</v>
      </c>
    </row>
    <row r="17" spans="2:3" x14ac:dyDescent="0.25">
      <c r="B17" s="10" t="s">
        <v>114</v>
      </c>
      <c r="C17" s="412">
        <v>0.69</v>
      </c>
    </row>
    <row r="18" spans="2:3" x14ac:dyDescent="0.25">
      <c r="B18" s="10" t="s">
        <v>115</v>
      </c>
      <c r="C18" s="10">
        <v>0.63700000000000001</v>
      </c>
    </row>
    <row r="19" spans="2:3" x14ac:dyDescent="0.25">
      <c r="B19" s="10" t="s">
        <v>116</v>
      </c>
      <c r="C19" s="10">
        <v>0.42799999999999999</v>
      </c>
    </row>
    <row r="20" spans="2:3" x14ac:dyDescent="0.25">
      <c r="B20" s="10" t="s">
        <v>1782</v>
      </c>
      <c r="C20" s="10">
        <v>1.3049999999999999</v>
      </c>
    </row>
    <row r="21" spans="2:3" x14ac:dyDescent="0.25">
      <c r="B21" s="10" t="s">
        <v>1783</v>
      </c>
      <c r="C21" s="10">
        <v>1.389</v>
      </c>
    </row>
    <row r="22" spans="2:3" x14ac:dyDescent="0.25">
      <c r="B22" s="10" t="s">
        <v>101</v>
      </c>
      <c r="C22" s="10">
        <v>1.1111</v>
      </c>
    </row>
    <row r="23" spans="2:3" x14ac:dyDescent="0.25">
      <c r="B23" s="10" t="s">
        <v>125</v>
      </c>
      <c r="C23" s="10">
        <v>0.32129999999999997</v>
      </c>
    </row>
    <row r="24" spans="2:3" x14ac:dyDescent="0.25">
      <c r="B24" s="10" t="s">
        <v>157</v>
      </c>
      <c r="C24" s="10">
        <v>1.2052</v>
      </c>
    </row>
    <row r="25" spans="2:3" x14ac:dyDescent="0.25">
      <c r="B25" s="10" t="s">
        <v>1787</v>
      </c>
      <c r="C25" s="10">
        <v>0.78810000000000002</v>
      </c>
    </row>
    <row r="26" spans="2:3" x14ac:dyDescent="0.25">
      <c r="B26" s="10" t="s">
        <v>108</v>
      </c>
      <c r="C26" s="10">
        <v>1.9630000000000001</v>
      </c>
    </row>
    <row r="27" spans="2:3" x14ac:dyDescent="0.25">
      <c r="B27" s="10" t="s">
        <v>159</v>
      </c>
      <c r="C27" s="10">
        <v>0.57599999999999996</v>
      </c>
    </row>
    <row r="28" spans="2:3" x14ac:dyDescent="0.25">
      <c r="B28" s="10" t="s">
        <v>160</v>
      </c>
      <c r="C28" s="10">
        <v>0.85809999999999997</v>
      </c>
    </row>
    <row r="29" spans="2:3" x14ac:dyDescent="0.25">
      <c r="B29" s="226" t="s">
        <v>161</v>
      </c>
      <c r="C29" s="10"/>
    </row>
    <row r="30" spans="2:3" x14ac:dyDescent="0.25">
      <c r="B30" s="10" t="s">
        <v>162</v>
      </c>
      <c r="C30" s="10">
        <v>1.02885</v>
      </c>
    </row>
    <row r="31" spans="2:3" x14ac:dyDescent="0.25">
      <c r="B31" s="10" t="s">
        <v>128</v>
      </c>
      <c r="C31" s="10">
        <v>1.2350000000000001</v>
      </c>
    </row>
    <row r="32" spans="2:3" x14ac:dyDescent="0.25">
      <c r="B32" s="10" t="s">
        <v>164</v>
      </c>
      <c r="C32" s="10">
        <v>1.07</v>
      </c>
    </row>
    <row r="33" spans="2:3" x14ac:dyDescent="0.25">
      <c r="B33" s="10" t="s">
        <v>330</v>
      </c>
      <c r="C33" s="10">
        <v>0.09</v>
      </c>
    </row>
    <row r="34" spans="2:3" x14ac:dyDescent="0.25">
      <c r="B34" s="10" t="s">
        <v>133</v>
      </c>
      <c r="C34" s="10">
        <v>1.284</v>
      </c>
    </row>
    <row r="35" spans="2:3" x14ac:dyDescent="0.25">
      <c r="B35" s="10" t="s">
        <v>131</v>
      </c>
      <c r="C35" s="10">
        <v>0.97199999999999998</v>
      </c>
    </row>
    <row r="36" spans="2:3" x14ac:dyDescent="0.25">
      <c r="B36" s="10" t="s">
        <v>322</v>
      </c>
      <c r="C36" s="10">
        <v>1.554</v>
      </c>
    </row>
    <row r="37" spans="2:3" x14ac:dyDescent="0.25">
      <c r="B37" s="10" t="s">
        <v>165</v>
      </c>
      <c r="C37" s="10">
        <v>1.4710000000000001</v>
      </c>
    </row>
    <row r="38" spans="2:3" x14ac:dyDescent="0.25">
      <c r="B38" s="226" t="s">
        <v>325</v>
      </c>
      <c r="C38" s="10"/>
    </row>
    <row r="39" spans="2:3" x14ac:dyDescent="0.25">
      <c r="B39" s="10" t="s">
        <v>166</v>
      </c>
      <c r="C39" s="10">
        <v>0.50029999999999997</v>
      </c>
    </row>
    <row r="40" spans="2:3" x14ac:dyDescent="0.25">
      <c r="B40" s="10" t="s">
        <v>608</v>
      </c>
      <c r="C40" s="10">
        <v>1.1994</v>
      </c>
    </row>
    <row r="41" spans="2:3" x14ac:dyDescent="0.25">
      <c r="B41" s="10" t="s">
        <v>127</v>
      </c>
      <c r="C41" s="10">
        <v>1.1697</v>
      </c>
    </row>
    <row r="42" spans="2:3" x14ac:dyDescent="0.25">
      <c r="B42" s="10" t="s">
        <v>168</v>
      </c>
      <c r="C42" s="10">
        <v>1.1636</v>
      </c>
    </row>
    <row r="43" spans="2:3" x14ac:dyDescent="0.25">
      <c r="B43" s="10" t="s">
        <v>124</v>
      </c>
      <c r="C43" s="10">
        <v>0.41899999999999998</v>
      </c>
    </row>
    <row r="44" spans="2:3" x14ac:dyDescent="0.25">
      <c r="B44" s="10" t="s">
        <v>122</v>
      </c>
      <c r="C44" s="10">
        <v>1.0317000000000001</v>
      </c>
    </row>
    <row r="45" spans="2:3" x14ac:dyDescent="0.25">
      <c r="B45" s="10" t="s">
        <v>123</v>
      </c>
      <c r="C45" s="10">
        <v>1.4715</v>
      </c>
    </row>
    <row r="46" spans="2:3" x14ac:dyDescent="0.25">
      <c r="B46" s="10" t="s">
        <v>105</v>
      </c>
      <c r="C46" s="10">
        <v>1.1298999999999999</v>
      </c>
    </row>
    <row r="47" spans="2:3" x14ac:dyDescent="0.25">
      <c r="B47" s="10" t="s">
        <v>169</v>
      </c>
      <c r="C47" s="10">
        <v>1.1497999999999999</v>
      </c>
    </row>
    <row r="48" spans="2:3" x14ac:dyDescent="0.25">
      <c r="B48" s="10" t="s">
        <v>1931</v>
      </c>
      <c r="C48" s="10">
        <v>0.70930000000000004</v>
      </c>
    </row>
    <row r="49" spans="2:3" x14ac:dyDescent="0.25">
      <c r="B49" s="10" t="s">
        <v>358</v>
      </c>
      <c r="C49" s="10">
        <v>0.34989999999999999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"/>
  <dimension ref="A1:K151"/>
  <sheetViews>
    <sheetView zoomScaleNormal="100" workbookViewId="0">
      <pane xSplit="2" ySplit="3" topLeftCell="C40" activePane="bottomRight" state="frozen"/>
      <selection activeCell="E19" sqref="E19"/>
      <selection pane="topRight" activeCell="E19" sqref="E19"/>
      <selection pane="bottomLeft" activeCell="E19" sqref="E19"/>
      <selection pane="bottomRight" activeCell="E19" sqref="E19"/>
    </sheetView>
  </sheetViews>
  <sheetFormatPr defaultRowHeight="15" x14ac:dyDescent="0.25"/>
  <cols>
    <col min="1" max="1" width="29.140625" style="1" customWidth="1"/>
    <col min="2" max="2" width="29.28515625" style="1" customWidth="1"/>
    <col min="3" max="11" width="12.7109375" customWidth="1"/>
  </cols>
  <sheetData>
    <row r="1" spans="1:11" s="48" customFormat="1" ht="43.5" customHeight="1" x14ac:dyDescent="0.5">
      <c r="A1" s="521" t="s">
        <v>194</v>
      </c>
      <c r="B1" s="521"/>
      <c r="C1" s="521"/>
      <c r="D1" s="521"/>
      <c r="E1" s="521"/>
      <c r="F1" s="521"/>
      <c r="G1" s="521"/>
      <c r="H1" s="521"/>
      <c r="I1" s="521"/>
      <c r="J1" s="521"/>
      <c r="K1" s="521"/>
    </row>
    <row r="2" spans="1:11" x14ac:dyDescent="0.25">
      <c r="A2" s="481" t="s">
        <v>94</v>
      </c>
      <c r="B2" s="481"/>
      <c r="C2" s="481"/>
      <c r="D2" s="481"/>
      <c r="E2" s="481"/>
      <c r="F2" s="481"/>
      <c r="G2" s="481"/>
      <c r="H2" s="481"/>
      <c r="I2" s="481"/>
      <c r="J2" s="481"/>
      <c r="K2" s="481"/>
    </row>
    <row r="3" spans="1:11" ht="26.25" x14ac:dyDescent="0.25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3" t="s">
        <v>8</v>
      </c>
      <c r="J3" s="3" t="s">
        <v>9</v>
      </c>
      <c r="K3" s="4" t="s">
        <v>10</v>
      </c>
    </row>
    <row r="4" spans="1:11" x14ac:dyDescent="0.25">
      <c r="A4" s="5" t="str">
        <f>'Base Blend Property Calculation'!A7</f>
        <v>No Cement</v>
      </c>
      <c r="B4" s="5" t="str">
        <f>'Base Blend Property Calculation'!B7</f>
        <v>No Cement</v>
      </c>
      <c r="C4" s="6">
        <f>'Base Blend Property Calculation'!BN7</f>
        <v>0</v>
      </c>
      <c r="D4" s="7">
        <f>'Base Blend Property Calculation'!BG7</f>
        <v>0</v>
      </c>
      <c r="E4" s="7">
        <f>'Base Blend Property Calculation'!BH7</f>
        <v>0</v>
      </c>
      <c r="F4" s="8">
        <f>'Base Blend Property Calculation'!BI7</f>
        <v>0</v>
      </c>
      <c r="G4" s="7">
        <f>'Base Blend Property Calculation'!BJ7</f>
        <v>0</v>
      </c>
      <c r="H4" s="8">
        <f>'Base Blend Property Calculation'!BK7</f>
        <v>0</v>
      </c>
      <c r="I4" s="5">
        <f>'Base Blend Property Calculation'!BL7</f>
        <v>0</v>
      </c>
      <c r="J4" s="5">
        <f>'Base Blend Property Calculation'!BM7</f>
        <v>0</v>
      </c>
      <c r="K4" s="5">
        <f>'Base Blend Property Calculation'!BO7</f>
        <v>0</v>
      </c>
    </row>
    <row r="5" spans="1:11" x14ac:dyDescent="0.25">
      <c r="A5" s="5" t="str">
        <f>'Base Blend Property Calculation'!A8</f>
        <v>0:1:0 'A'</v>
      </c>
      <c r="B5" s="5" t="str">
        <f>'Base Blend Property Calculation'!B8</f>
        <v>0:1:0 'A'</v>
      </c>
      <c r="C5" s="6">
        <f>'Base Blend Property Calculation'!BN8</f>
        <v>0</v>
      </c>
      <c r="D5" s="7">
        <f>'Base Blend Property Calculation'!BG8</f>
        <v>0.45815295815295831</v>
      </c>
      <c r="E5" s="7">
        <f>'Base Blend Property Calculation'!BH8</f>
        <v>0.77561327561327575</v>
      </c>
      <c r="F5" s="8">
        <f>'Base Blend Property Calculation'!BI8</f>
        <v>1880</v>
      </c>
      <c r="G5" s="7">
        <f>'Base Blend Property Calculation'!BJ8</f>
        <v>3.1500000000000004</v>
      </c>
      <c r="H5" s="8" t="str">
        <f>'Base Blend Property Calculation'!BK8</f>
        <v>N</v>
      </c>
      <c r="I5" s="5" t="str">
        <f>'Base Blend Property Calculation'!BL8</f>
        <v>01</v>
      </c>
      <c r="J5" s="5" t="str">
        <f>'Base Blend Property Calculation'!BM8</f>
        <v>POR</v>
      </c>
      <c r="K5" s="5">
        <f>'Base Blend Property Calculation'!BO8</f>
        <v>1000</v>
      </c>
    </row>
    <row r="6" spans="1:11" x14ac:dyDescent="0.25">
      <c r="A6" s="5" t="str">
        <f>'Base Blend Property Calculation'!A9</f>
        <v>0:1:0 'C'</v>
      </c>
      <c r="B6" s="5" t="str">
        <f>'Base Blend Property Calculation'!B9</f>
        <v>0:1:0 'C'</v>
      </c>
      <c r="C6" s="6">
        <f>'Base Blend Property Calculation'!BN9</f>
        <v>0</v>
      </c>
      <c r="D6" s="7">
        <f>'Base Blend Property Calculation'!BG9</f>
        <v>0.55759055759055765</v>
      </c>
      <c r="E6" s="7">
        <f>'Base Blend Property Calculation'!BH9</f>
        <v>0.87505087505087509</v>
      </c>
      <c r="F6" s="8">
        <f>'Base Blend Property Calculation'!BI9</f>
        <v>1780</v>
      </c>
      <c r="G6" s="7">
        <f>'Base Blend Property Calculation'!BJ9</f>
        <v>3.1500000000000004</v>
      </c>
      <c r="H6" s="8" t="str">
        <f>'Base Blend Property Calculation'!BK9</f>
        <v>N</v>
      </c>
      <c r="I6" s="5" t="str">
        <f>'Base Blend Property Calculation'!BL9</f>
        <v>03</v>
      </c>
      <c r="J6" s="5" t="str">
        <f>'Base Blend Property Calculation'!BM9</f>
        <v>POR</v>
      </c>
      <c r="K6" s="5">
        <f>'Base Blend Property Calculation'!BO9</f>
        <v>1000</v>
      </c>
    </row>
    <row r="7" spans="1:11" x14ac:dyDescent="0.25">
      <c r="A7" s="5" t="str">
        <f>'Base Blend Property Calculation'!A10</f>
        <v>0:1:0 'G'</v>
      </c>
      <c r="B7" s="5" t="str">
        <f>'Base Blend Property Calculation'!B10</f>
        <v>0:1:0 'G'</v>
      </c>
      <c r="C7" s="6">
        <f>'Base Blend Property Calculation'!BN10</f>
        <v>0</v>
      </c>
      <c r="D7" s="7">
        <f>'Base Blend Property Calculation'!BG10</f>
        <v>0.45054106548279688</v>
      </c>
      <c r="E7" s="7">
        <f>'Base Blend Property Calculation'!BH10</f>
        <v>0.76304106548279682</v>
      </c>
      <c r="F7" s="8">
        <f>'Base Blend Property Calculation'!BI10</f>
        <v>1901</v>
      </c>
      <c r="G7" s="7">
        <f>'Base Blend Property Calculation'!BJ10</f>
        <v>3.2000000000000006</v>
      </c>
      <c r="H7" s="8" t="str">
        <f>'Base Blend Property Calculation'!BK10</f>
        <v>N</v>
      </c>
      <c r="I7" s="5" t="str">
        <f>'Base Blend Property Calculation'!BL10</f>
        <v>04</v>
      </c>
      <c r="J7" s="5">
        <f>'Base Blend Property Calculation'!BM10</f>
        <v>3000</v>
      </c>
      <c r="K7" s="5">
        <f>'Base Blend Property Calculation'!BO10</f>
        <v>1000</v>
      </c>
    </row>
    <row r="8" spans="1:11" x14ac:dyDescent="0.25">
      <c r="A8" s="5" t="str">
        <f>'Base Blend Property Calculation'!A11</f>
        <v>0:1:12 'G'</v>
      </c>
      <c r="B8" s="5" t="str">
        <f>'Base Blend Property Calculation'!B11</f>
        <v>0:1:0 'G'</v>
      </c>
      <c r="C8" s="6">
        <f>'Base Blend Property Calculation'!BN11</f>
        <v>12</v>
      </c>
      <c r="D8" s="7">
        <f>'Base Blend Property Calculation'!BG11</f>
        <v>1.0884703645423555</v>
      </c>
      <c r="E8" s="7">
        <f>'Base Blend Property Calculation'!BH11</f>
        <v>1.4481772882244954</v>
      </c>
      <c r="F8" s="8">
        <f>'Base Blend Property Calculation'!BI11</f>
        <v>1525</v>
      </c>
      <c r="G8" s="7">
        <f>'Base Blend Property Calculation'!BJ11</f>
        <v>2.7800410116199594</v>
      </c>
      <c r="H8" s="8" t="str">
        <f>'Base Blend Property Calculation'!BK11</f>
        <v>Y</v>
      </c>
      <c r="I8" s="5" t="str">
        <f>'Base Blend Property Calculation'!BL11</f>
        <v>04</v>
      </c>
      <c r="J8" s="5">
        <f>'Base Blend Property Calculation'!BM11</f>
        <v>3000</v>
      </c>
      <c r="K8" s="5">
        <f>'Base Blend Property Calculation'!BO11</f>
        <v>1120</v>
      </c>
    </row>
    <row r="9" spans="1:11" x14ac:dyDescent="0.25">
      <c r="A9" s="5" t="str">
        <f>'Base Blend Property Calculation'!A12</f>
        <v>0:1:2 'G'</v>
      </c>
      <c r="B9" s="5" t="str">
        <f>'Base Blend Property Calculation'!B12</f>
        <v>0:1:0 'G'</v>
      </c>
      <c r="C9" s="6">
        <f>'Base Blend Property Calculation'!BN12</f>
        <v>2</v>
      </c>
      <c r="D9" s="7">
        <f>'Base Blend Property Calculation'!BG12</f>
        <v>0.55856707811283002</v>
      </c>
      <c r="E9" s="7">
        <f>'Base Blend Property Calculation'!BH12</f>
        <v>0.87893489872651998</v>
      </c>
      <c r="F9" s="8">
        <f>'Base Blend Property Calculation'!BI12</f>
        <v>1796</v>
      </c>
      <c r="G9" s="7">
        <f>'Base Blend Property Calculation'!BJ12</f>
        <v>3.1214121258633925</v>
      </c>
      <c r="H9" s="8" t="str">
        <f>'Base Blend Property Calculation'!BK12</f>
        <v>N</v>
      </c>
      <c r="I9" s="5" t="str">
        <f>'Base Blend Property Calculation'!BL12</f>
        <v>04</v>
      </c>
      <c r="J9" s="5">
        <f>'Base Blend Property Calculation'!BM12</f>
        <v>3000</v>
      </c>
      <c r="K9" s="5">
        <f>'Base Blend Property Calculation'!BO12</f>
        <v>1020</v>
      </c>
    </row>
    <row r="10" spans="1:11" x14ac:dyDescent="0.25">
      <c r="A10" s="5" t="str">
        <f>'Base Blend Property Calculation'!A13</f>
        <v>0:1:4 'G'</v>
      </c>
      <c r="B10" s="5" t="str">
        <f>'Base Blend Property Calculation'!B13</f>
        <v>0:1:0 'G'</v>
      </c>
      <c r="C10" s="6">
        <f>'Base Blend Property Calculation'!BN13</f>
        <v>4</v>
      </c>
      <c r="D10" s="7">
        <f>'Base Blend Property Calculation'!BG13</f>
        <v>0.66307962168713253</v>
      </c>
      <c r="E10" s="7">
        <f>'Base Blend Property Calculation'!BH13</f>
        <v>0.99131526291451255</v>
      </c>
      <c r="F10" s="8">
        <f>'Base Blend Property Calculation'!BI13</f>
        <v>1718</v>
      </c>
      <c r="G10" s="7">
        <f>'Base Blend Property Calculation'!BJ13</f>
        <v>3.0465917602996253</v>
      </c>
      <c r="H10" s="8" t="str">
        <f>'Base Blend Property Calculation'!BK13</f>
        <v>N</v>
      </c>
      <c r="I10" s="5" t="str">
        <f>'Base Blend Property Calculation'!BL13</f>
        <v>04</v>
      </c>
      <c r="J10" s="5">
        <f>'Base Blend Property Calculation'!BM13</f>
        <v>3000</v>
      </c>
      <c r="K10" s="5">
        <f>'Base Blend Property Calculation'!BO13</f>
        <v>1040</v>
      </c>
    </row>
    <row r="11" spans="1:11" x14ac:dyDescent="0.25">
      <c r="A11" s="5" t="str">
        <f>'Base Blend Property Calculation'!A14</f>
        <v>0:1:6 'G'</v>
      </c>
      <c r="B11" s="5" t="str">
        <f>'Base Blend Property Calculation'!B14</f>
        <v>0:1:0 'G'</v>
      </c>
      <c r="C11" s="6">
        <f>'Base Blend Property Calculation'!BN14</f>
        <v>6</v>
      </c>
      <c r="D11" s="7">
        <f>'Base Blend Property Calculation'!BG14</f>
        <v>0.75082827713630229</v>
      </c>
      <c r="E11" s="7">
        <f>'Base Blend Property Calculation'!BH14</f>
        <v>1.0869317389773723</v>
      </c>
      <c r="F11" s="8">
        <f>'Base Blend Property Calculation'!BI14</f>
        <v>1666</v>
      </c>
      <c r="G11" s="7">
        <f>'Base Blend Property Calculation'!BJ14</f>
        <v>2.9752743233357721</v>
      </c>
      <c r="H11" s="8" t="str">
        <f>'Base Blend Property Calculation'!BK14</f>
        <v>Y</v>
      </c>
      <c r="I11" s="5" t="str">
        <f>'Base Blend Property Calculation'!BL14</f>
        <v>04</v>
      </c>
      <c r="J11" s="5">
        <f>'Base Blend Property Calculation'!BM14</f>
        <v>3000</v>
      </c>
      <c r="K11" s="5">
        <f>'Base Blend Property Calculation'!BO14</f>
        <v>1060</v>
      </c>
    </row>
    <row r="12" spans="1:11" x14ac:dyDescent="0.25">
      <c r="A12" s="5" t="str">
        <f>'Base Blend Property Calculation'!A15</f>
        <v>0:1:8 'G'</v>
      </c>
      <c r="B12" s="5" t="str">
        <f>'Base Blend Property Calculation'!B15</f>
        <v>0:1:0 'G'</v>
      </c>
      <c r="C12" s="6">
        <f>'Base Blend Property Calculation'!BN15</f>
        <v>8</v>
      </c>
      <c r="D12" s="7">
        <f>'Base Blend Property Calculation'!BG15</f>
        <v>0.87664018942789323</v>
      </c>
      <c r="E12" s="7">
        <f>'Base Blend Property Calculation'!BH15</f>
        <v>1.2206114718826533</v>
      </c>
      <c r="F12" s="8">
        <f>'Base Blend Property Calculation'!BI15</f>
        <v>1603</v>
      </c>
      <c r="G12" s="7">
        <f>'Base Blend Property Calculation'!BJ15</f>
        <v>2.9072194424588989</v>
      </c>
      <c r="H12" s="8" t="str">
        <f>'Base Blend Property Calculation'!BK15</f>
        <v>Y</v>
      </c>
      <c r="I12" s="5" t="str">
        <f>'Base Blend Property Calculation'!BL15</f>
        <v>04</v>
      </c>
      <c r="J12" s="5">
        <f>'Base Blend Property Calculation'!BM15</f>
        <v>3000</v>
      </c>
      <c r="K12" s="5">
        <f>'Base Blend Property Calculation'!BO15</f>
        <v>1080</v>
      </c>
    </row>
    <row r="13" spans="1:11" x14ac:dyDescent="0.25">
      <c r="A13" s="5" t="str">
        <f>'Base Blend Property Calculation'!A16</f>
        <v>1:1:0 'G'</v>
      </c>
      <c r="B13" s="5" t="str">
        <f>'Base Blend Property Calculation'!B16</f>
        <v>1:1:0 'G'</v>
      </c>
      <c r="C13" s="6">
        <f>'Base Blend Property Calculation'!BN16</f>
        <v>0</v>
      </c>
      <c r="D13" s="7">
        <f>'Base Blend Property Calculation'!BG16</f>
        <v>0.4832232384823848</v>
      </c>
      <c r="E13" s="7">
        <f>'Base Blend Property Calculation'!BH16</f>
        <v>0.86233909214092141</v>
      </c>
      <c r="F13" s="8">
        <f>'Base Blend Property Calculation'!BI16</f>
        <v>1720</v>
      </c>
      <c r="G13" s="7">
        <f>'Base Blend Property Calculation'!BJ16</f>
        <v>2.6377161238439886</v>
      </c>
      <c r="H13" s="8" t="str">
        <f>'Base Blend Property Calculation'!BK16</f>
        <v>N</v>
      </c>
      <c r="I13" s="5" t="str">
        <f>'Base Blend Property Calculation'!BL16</f>
        <v>04</v>
      </c>
      <c r="J13" s="5">
        <f>'Base Blend Property Calculation'!BM16</f>
        <v>3002</v>
      </c>
      <c r="K13" s="5">
        <f>'Base Blend Property Calculation'!BO16</f>
        <v>1000</v>
      </c>
    </row>
    <row r="14" spans="1:11" x14ac:dyDescent="0.25">
      <c r="A14" s="5" t="str">
        <f>'Base Blend Property Calculation'!A17</f>
        <v>1:1:0 'G' (Sask)</v>
      </c>
      <c r="B14" s="5" t="str">
        <f>'Base Blend Property Calculation'!B17</f>
        <v>1:1:0 'G'</v>
      </c>
      <c r="C14" s="6">
        <f>'Base Blend Property Calculation'!BN17</f>
        <v>0</v>
      </c>
      <c r="D14" s="7">
        <f>'Base Blend Property Calculation'!BG17</f>
        <v>0.54762323864656248</v>
      </c>
      <c r="E14" s="7">
        <f>'Base Blend Property Calculation'!BH17</f>
        <v>0.89978095270148972</v>
      </c>
      <c r="F14" s="8">
        <f>'Base Blend Property Calculation'!BI17</f>
        <v>1720</v>
      </c>
      <c r="G14" s="7">
        <f>'Base Blend Property Calculation'!BJ17</f>
        <v>2.8396367879762718</v>
      </c>
      <c r="H14" s="8" t="str">
        <f>'Base Blend Property Calculation'!BK17</f>
        <v>N</v>
      </c>
      <c r="I14" s="5" t="str">
        <f>'Base Blend Property Calculation'!BL17</f>
        <v>04</v>
      </c>
      <c r="J14" s="5">
        <f>'Base Blend Property Calculation'!BM17</f>
        <v>3002</v>
      </c>
      <c r="K14" s="5">
        <f>'Base Blend Property Calculation'!BO17</f>
        <v>1000</v>
      </c>
    </row>
    <row r="15" spans="1:11" x14ac:dyDescent="0.25">
      <c r="A15" s="5" t="str">
        <f>'Base Blend Property Calculation'!A18</f>
        <v>1:1:12 'G'</v>
      </c>
      <c r="B15" s="5" t="str">
        <f>'Base Blend Property Calculation'!B18</f>
        <v>1:1:0 'G'</v>
      </c>
      <c r="C15" s="6">
        <f>'Base Blend Property Calculation'!BN18</f>
        <v>12</v>
      </c>
      <c r="D15" s="7">
        <f>'Base Blend Property Calculation'!BG18</f>
        <v>1.1290073183080305</v>
      </c>
      <c r="E15" s="7">
        <f>'Base Blend Property Calculation'!BH18</f>
        <v>1.5553300956487071</v>
      </c>
      <c r="F15" s="8">
        <f>'Base Blend Property Calculation'!BI18</f>
        <v>1446</v>
      </c>
      <c r="G15" s="7">
        <f>'Base Blend Property Calculation'!BJ18</f>
        <v>2.3456405642640461</v>
      </c>
      <c r="H15" s="8" t="str">
        <f>'Base Blend Property Calculation'!BK18</f>
        <v>Y</v>
      </c>
      <c r="I15" s="5" t="str">
        <f>'Base Blend Property Calculation'!BL18</f>
        <v>04</v>
      </c>
      <c r="J15" s="5">
        <f>'Base Blend Property Calculation'!BM18</f>
        <v>3002</v>
      </c>
      <c r="K15" s="5">
        <f>'Base Blend Property Calculation'!BO18</f>
        <v>1120</v>
      </c>
    </row>
    <row r="16" spans="1:11" x14ac:dyDescent="0.25">
      <c r="A16" s="5" t="str">
        <f>'Base Blend Property Calculation'!A19</f>
        <v>1:1:12 'G' (Sask)</v>
      </c>
      <c r="B16" s="5" t="str">
        <f>'Base Blend Property Calculation'!B19</f>
        <v>1:1:0 'G'</v>
      </c>
      <c r="C16" s="6">
        <f>'Base Blend Property Calculation'!BN19</f>
        <v>12</v>
      </c>
      <c r="D16" s="7">
        <f>'Base Blend Property Calculation'!BG19</f>
        <v>1.2164097171125574</v>
      </c>
      <c r="E16" s="7">
        <f>'Base Blend Property Calculation'!BH19</f>
        <v>1.6157743548496248</v>
      </c>
      <c r="F16" s="8">
        <f>'Base Blend Property Calculation'!BI19</f>
        <v>1446</v>
      </c>
      <c r="G16" s="7">
        <f>'Base Blend Property Calculation'!BJ19</f>
        <v>2.5039773317595966</v>
      </c>
      <c r="H16" s="8" t="str">
        <f>'Base Blend Property Calculation'!BK19</f>
        <v>Y</v>
      </c>
      <c r="I16" s="5" t="str">
        <f>'Base Blend Property Calculation'!BL19</f>
        <v>04</v>
      </c>
      <c r="J16" s="5">
        <f>'Base Blend Property Calculation'!BM19</f>
        <v>3002</v>
      </c>
      <c r="K16" s="5">
        <f>'Base Blend Property Calculation'!BO19</f>
        <v>1120</v>
      </c>
    </row>
    <row r="17" spans="1:11" x14ac:dyDescent="0.25">
      <c r="A17" s="5" t="str">
        <f>'Base Blend Property Calculation'!A20</f>
        <v>1:1:2 'G'</v>
      </c>
      <c r="B17" s="5" t="str">
        <f>'Base Blend Property Calculation'!B20</f>
        <v>1:1:0 'G'</v>
      </c>
      <c r="C17" s="6">
        <f>'Base Blend Property Calculation'!BN20</f>
        <v>2</v>
      </c>
      <c r="D17" s="7">
        <f>'Base Blend Property Calculation'!BG20</f>
        <v>0.59291775874290253</v>
      </c>
      <c r="E17" s="7">
        <f>'Base Blend Property Calculation'!BH20</f>
        <v>0.97990143301512922</v>
      </c>
      <c r="F17" s="8">
        <f>'Base Blend Property Calculation'!BI20</f>
        <v>1646</v>
      </c>
      <c r="G17" s="7">
        <f>'Base Blend Property Calculation'!BJ20</f>
        <v>2.5840883388185056</v>
      </c>
      <c r="H17" s="8" t="str">
        <f>'Base Blend Property Calculation'!BK20</f>
        <v>N</v>
      </c>
      <c r="I17" s="5" t="str">
        <f>'Base Blend Property Calculation'!BL20</f>
        <v>06</v>
      </c>
      <c r="J17" s="5">
        <f>'Base Blend Property Calculation'!BM20</f>
        <v>3002</v>
      </c>
      <c r="K17" s="5">
        <f>'Base Blend Property Calculation'!BO20</f>
        <v>1020</v>
      </c>
    </row>
    <row r="18" spans="1:11" x14ac:dyDescent="0.25">
      <c r="A18" s="5" t="str">
        <f>'Base Blend Property Calculation'!A21</f>
        <v>1:1:2 'G' (Sask)</v>
      </c>
      <c r="B18" s="5" t="str">
        <f>'Base Blend Property Calculation'!B21</f>
        <v>1:1:0 'G'</v>
      </c>
      <c r="C18" s="6">
        <f>'Base Blend Property Calculation'!BN21</f>
        <v>2</v>
      </c>
      <c r="D18" s="7">
        <f>'Base Blend Property Calculation'!BG21</f>
        <v>0.6616067646059689</v>
      </c>
      <c r="E18" s="7">
        <f>'Base Blend Property Calculation'!BH21</f>
        <v>1.0216322992745863</v>
      </c>
      <c r="F18" s="8">
        <f>'Base Blend Property Calculation'!BI21</f>
        <v>1646</v>
      </c>
      <c r="G18" s="7">
        <f>'Base Blend Property Calculation'!BJ21</f>
        <v>2.7775807649877997</v>
      </c>
      <c r="H18" s="8" t="str">
        <f>'Base Blend Property Calculation'!BK21</f>
        <v>N</v>
      </c>
      <c r="I18" s="5" t="str">
        <f>'Base Blend Property Calculation'!BL21</f>
        <v>06</v>
      </c>
      <c r="J18" s="5">
        <f>'Base Blend Property Calculation'!BM21</f>
        <v>3002</v>
      </c>
      <c r="K18" s="5">
        <f>'Base Blend Property Calculation'!BO21</f>
        <v>1020</v>
      </c>
    </row>
    <row r="19" spans="1:11" x14ac:dyDescent="0.25">
      <c r="A19" s="5" t="str">
        <f>'Base Blend Property Calculation'!A22</f>
        <v>1:1:4 'G'</v>
      </c>
      <c r="B19" s="5" t="str">
        <f>'Base Blend Property Calculation'!B22</f>
        <v>1:1:0 'G'</v>
      </c>
      <c r="C19" s="6">
        <f>'Base Blend Property Calculation'!BN22</f>
        <v>4</v>
      </c>
      <c r="D19" s="7">
        <f>'Base Blend Property Calculation'!BG22</f>
        <v>0.69862054768032611</v>
      </c>
      <c r="E19" s="7">
        <f>'Base Blend Property Calculation'!BH22</f>
        <v>1.0934720425662428</v>
      </c>
      <c r="F19" s="8">
        <f>'Base Blend Property Calculation'!BI22</f>
        <v>1590</v>
      </c>
      <c r="G19" s="7">
        <f>'Base Blend Property Calculation'!BJ22</f>
        <v>2.5325977309239445</v>
      </c>
      <c r="H19" s="8" t="str">
        <f>'Base Blend Property Calculation'!BK22</f>
        <v>N</v>
      </c>
      <c r="I19" s="5" t="str">
        <f>'Base Blend Property Calculation'!BL22</f>
        <v>07</v>
      </c>
      <c r="J19" s="5">
        <f>'Base Blend Property Calculation'!BM22</f>
        <v>3002</v>
      </c>
      <c r="K19" s="5">
        <f>'Base Blend Property Calculation'!BO22</f>
        <v>1040</v>
      </c>
    </row>
    <row r="20" spans="1:11" x14ac:dyDescent="0.25">
      <c r="A20" s="5" t="str">
        <f>'Base Blend Property Calculation'!A23</f>
        <v>1:1:4 'G' (Sask)</v>
      </c>
      <c r="B20" s="5" t="str">
        <f>'Base Blend Property Calculation'!B23</f>
        <v>1:1:0 'G'</v>
      </c>
      <c r="C20" s="6">
        <f>'Base Blend Property Calculation'!BN23</f>
        <v>4</v>
      </c>
      <c r="D20" s="7">
        <f>'Base Blend Property Calculation'!BG23</f>
        <v>0.77127044932395139</v>
      </c>
      <c r="E20" s="7">
        <f>'Base Blend Property Calculation'!BH23</f>
        <v>1.1391638046062587</v>
      </c>
      <c r="F20" s="8">
        <f>'Base Blend Property Calculation'!BI23</f>
        <v>1590</v>
      </c>
      <c r="G20" s="7">
        <f>'Base Blend Property Calculation'!BJ23</f>
        <v>2.7181790202017599</v>
      </c>
      <c r="H20" s="8" t="str">
        <f>'Base Blend Property Calculation'!BK23</f>
        <v>N</v>
      </c>
      <c r="I20" s="5" t="str">
        <f>'Base Blend Property Calculation'!BL23</f>
        <v>07</v>
      </c>
      <c r="J20" s="5">
        <f>'Base Blend Property Calculation'!BM23</f>
        <v>3002</v>
      </c>
      <c r="K20" s="5">
        <f>'Base Blend Property Calculation'!BO23</f>
        <v>1040</v>
      </c>
    </row>
    <row r="21" spans="1:11" x14ac:dyDescent="0.25">
      <c r="A21" s="5" t="str">
        <f>'Base Blend Property Calculation'!A24</f>
        <v>1:1:6 'G'</v>
      </c>
      <c r="B21" s="5" t="str">
        <f>'Base Blend Property Calculation'!B24</f>
        <v>1:1:0 'G'</v>
      </c>
      <c r="C21" s="6">
        <f>'Base Blend Property Calculation'!BN24</f>
        <v>6</v>
      </c>
      <c r="D21" s="7">
        <f>'Base Blend Property Calculation'!BG24</f>
        <v>0.78800656221849719</v>
      </c>
      <c r="E21" s="7">
        <f>'Base Blend Property Calculation'!BH24</f>
        <v>1.1907258777181038</v>
      </c>
      <c r="F21" s="8">
        <f>'Base Blend Property Calculation'!BI24</f>
        <v>1552</v>
      </c>
      <c r="G21" s="7">
        <f>'Base Blend Property Calculation'!BJ24</f>
        <v>2.4831190397694667</v>
      </c>
      <c r="H21" s="8" t="str">
        <f>'Base Blend Property Calculation'!BK24</f>
        <v>N</v>
      </c>
      <c r="I21" s="5" t="str">
        <f>'Base Blend Property Calculation'!BL24</f>
        <v>04</v>
      </c>
      <c r="J21" s="5">
        <f>'Base Blend Property Calculation'!BM24</f>
        <v>3002</v>
      </c>
      <c r="K21" s="5">
        <f>'Base Blend Property Calculation'!BO24</f>
        <v>1060</v>
      </c>
    </row>
    <row r="22" spans="1:11" x14ac:dyDescent="0.25">
      <c r="A22" s="5" t="str">
        <f>'Base Blend Property Calculation'!A25</f>
        <v>1:1:6 'G' (Sask)</v>
      </c>
      <c r="B22" s="5" t="str">
        <f>'Base Blend Property Calculation'!B25</f>
        <v>1:1:0 'G'</v>
      </c>
      <c r="C22" s="6">
        <f>'Base Blend Property Calculation'!BN25</f>
        <v>6</v>
      </c>
      <c r="D22" s="7">
        <f>'Base Blend Property Calculation'!BG25</f>
        <v>0.86380191124893502</v>
      </c>
      <c r="E22" s="7">
        <f>'Base Blend Property Calculation'!BH25</f>
        <v>1.2395630871449324</v>
      </c>
      <c r="F22" s="8">
        <f>'Base Blend Property Calculation'!BI25</f>
        <v>1552</v>
      </c>
      <c r="G22" s="7">
        <f>'Base Blend Property Calculation'!BJ25</f>
        <v>2.6612648249663202</v>
      </c>
      <c r="H22" s="8" t="str">
        <f>'Base Blend Property Calculation'!BK25</f>
        <v>N</v>
      </c>
      <c r="I22" s="5" t="str">
        <f>'Base Blend Property Calculation'!BL25</f>
        <v>04</v>
      </c>
      <c r="J22" s="5">
        <f>'Base Blend Property Calculation'!BM25</f>
        <v>3002</v>
      </c>
      <c r="K22" s="5">
        <f>'Base Blend Property Calculation'!BO25</f>
        <v>1060</v>
      </c>
    </row>
    <row r="23" spans="1:11" x14ac:dyDescent="0.25">
      <c r="A23" s="5" t="str">
        <f>'Base Blend Property Calculation'!A26</f>
        <v>1:1:8 'G'</v>
      </c>
      <c r="B23" s="5" t="str">
        <f>'Base Blend Property Calculation'!B26</f>
        <v>1:1:0 'G'</v>
      </c>
      <c r="C23" s="6">
        <f>'Base Blend Property Calculation'!BN26</f>
        <v>8</v>
      </c>
      <c r="D23" s="7">
        <f>'Base Blend Property Calculation'!BG26</f>
        <v>0.91498289138512612</v>
      </c>
      <c r="E23" s="7">
        <f>'Base Blend Property Calculation'!BH26</f>
        <v>1.3255700274984228</v>
      </c>
      <c r="F23" s="8">
        <f>'Base Blend Property Calculation'!BI26</f>
        <v>1505</v>
      </c>
      <c r="G23" s="7">
        <f>'Base Blend Property Calculation'!BJ26</f>
        <v>2.4355366061056083</v>
      </c>
      <c r="H23" s="8" t="str">
        <f>'Base Blend Property Calculation'!BK26</f>
        <v>Y</v>
      </c>
      <c r="I23" s="5" t="str">
        <f>'Base Blend Property Calculation'!BL26</f>
        <v>04</v>
      </c>
      <c r="J23" s="5">
        <f>'Base Blend Property Calculation'!BM26</f>
        <v>3002</v>
      </c>
      <c r="K23" s="5">
        <f>'Base Blend Property Calculation'!BO26</f>
        <v>1080</v>
      </c>
    </row>
    <row r="24" spans="1:11" x14ac:dyDescent="0.25">
      <c r="A24" s="5" t="str">
        <f>'Base Blend Property Calculation'!A27</f>
        <v>1:1:8 'G' (Sask)</v>
      </c>
      <c r="B24" s="5" t="str">
        <f>'Base Blend Property Calculation'!B27</f>
        <v>1:1:0 'G'</v>
      </c>
      <c r="C24" s="6">
        <f>'Base Blend Property Calculation'!BN27</f>
        <v>8</v>
      </c>
      <c r="D24" s="7">
        <f>'Base Blend Property Calculation'!BG27</f>
        <v>0.99532348564934769</v>
      </c>
      <c r="E24" s="7">
        <f>'Base Blend Property Calculation'!BH27</f>
        <v>1.3789524821590351</v>
      </c>
      <c r="F24" s="8">
        <f>'Base Blend Property Calculation'!BI27</f>
        <v>1505</v>
      </c>
      <c r="G24" s="7">
        <f>'Base Blend Property Calculation'!BJ27</f>
        <v>2.6066851283353083</v>
      </c>
      <c r="H24" s="8" t="str">
        <f>'Base Blend Property Calculation'!BK27</f>
        <v>Y</v>
      </c>
      <c r="I24" s="5" t="str">
        <f>'Base Blend Property Calculation'!BL27</f>
        <v>04</v>
      </c>
      <c r="J24" s="5">
        <f>'Base Blend Property Calculation'!BM27</f>
        <v>3002</v>
      </c>
      <c r="K24" s="5">
        <f>'Base Blend Property Calculation'!BO27</f>
        <v>1080</v>
      </c>
    </row>
    <row r="25" spans="1:11" x14ac:dyDescent="0.25">
      <c r="A25" s="5" t="str">
        <f>'Base Blend Property Calculation'!A28</f>
        <v>2:1:0 'G'</v>
      </c>
      <c r="B25" s="5" t="str">
        <f>'Base Blend Property Calculation'!B28</f>
        <v>2:1:0 'G'</v>
      </c>
      <c r="C25" s="6">
        <f>'Base Blend Property Calculation'!BN28</f>
        <v>0</v>
      </c>
      <c r="D25" s="7">
        <f>'Base Blend Property Calculation'!BG28</f>
        <v>0.49515959120974096</v>
      </c>
      <c r="E25" s="7">
        <f>'Base Blend Property Calculation'!BH28</f>
        <v>0.90670684730730189</v>
      </c>
      <c r="F25" s="8">
        <f>'Base Blend Property Calculation'!BI28</f>
        <v>1649</v>
      </c>
      <c r="G25" s="7">
        <f>'Base Blend Property Calculation'!BJ28</f>
        <v>2.4298546161681638</v>
      </c>
      <c r="H25" s="8" t="str">
        <f>'Base Blend Property Calculation'!BK28</f>
        <v>N</v>
      </c>
      <c r="I25" s="5" t="str">
        <f>'Base Blend Property Calculation'!BL28</f>
        <v>04</v>
      </c>
      <c r="J25" s="5" t="str">
        <f>'Base Blend Property Calculation'!BM28</f>
        <v>POR</v>
      </c>
      <c r="K25" s="5">
        <f>'Base Blend Property Calculation'!BO28</f>
        <v>1000</v>
      </c>
    </row>
    <row r="26" spans="1:11" x14ac:dyDescent="0.25">
      <c r="A26" s="5" t="str">
        <f>'Base Blend Property Calculation'!A29</f>
        <v>2:1:0 'G' (Sask)</v>
      </c>
      <c r="B26" s="5" t="str">
        <f>'Base Blend Property Calculation'!B29</f>
        <v>2:1:0 'G'</v>
      </c>
      <c r="C26" s="6">
        <f>'Base Blend Property Calculation'!BN29</f>
        <v>0</v>
      </c>
      <c r="D26" s="7">
        <f>'Base Blend Property Calculation'!BG29</f>
        <v>0.60566013700710175</v>
      </c>
      <c r="E26" s="7">
        <f>'Base Blend Property Calculation'!BH29</f>
        <v>0.97371748757252985</v>
      </c>
      <c r="F26" s="8">
        <f>'Base Blend Property Calculation'!BI29</f>
        <v>1649</v>
      </c>
      <c r="G26" s="7">
        <f>'Base Blend Property Calculation'!BJ29</f>
        <v>2.7169678814014988</v>
      </c>
      <c r="H26" s="8" t="str">
        <f>'Base Blend Property Calculation'!BK29</f>
        <v>N</v>
      </c>
      <c r="I26" s="5" t="str">
        <f>'Base Blend Property Calculation'!BL29</f>
        <v>04</v>
      </c>
      <c r="J26" s="5" t="str">
        <f>'Base Blend Property Calculation'!BM29</f>
        <v>POR</v>
      </c>
      <c r="K26" s="5">
        <f>'Base Blend Property Calculation'!BO29</f>
        <v>1000</v>
      </c>
    </row>
    <row r="27" spans="1:11" x14ac:dyDescent="0.25">
      <c r="A27" s="5" t="str">
        <f>'Base Blend Property Calculation'!A30</f>
        <v>2:1:12 'G'</v>
      </c>
      <c r="B27" s="5" t="str">
        <f>'Base Blend Property Calculation'!B30</f>
        <v>2:1:0 'G'</v>
      </c>
      <c r="C27" s="6">
        <f>'Base Blend Property Calculation'!BN30</f>
        <v>12</v>
      </c>
      <c r="D27" s="7">
        <f>'Base Blend Property Calculation'!BG30</f>
        <v>1.142325288066059</v>
      </c>
      <c r="E27" s="7">
        <f>'Base Blend Property Calculation'!BH30</f>
        <v>1.6010794678457601</v>
      </c>
      <c r="F27" s="8">
        <f>'Base Blend Property Calculation'!BI30</f>
        <v>1413</v>
      </c>
      <c r="G27" s="7">
        <f>'Base Blend Property Calculation'!BJ30</f>
        <v>2.1798166514367487</v>
      </c>
      <c r="H27" s="8" t="str">
        <f>'Base Blend Property Calculation'!BK30</f>
        <v>Y</v>
      </c>
      <c r="I27" s="5" t="str">
        <f>'Base Blend Property Calculation'!BL30</f>
        <v>04</v>
      </c>
      <c r="J27" s="5" t="str">
        <f>'Base Blend Property Calculation'!BM30</f>
        <v>POR</v>
      </c>
      <c r="K27" s="5">
        <f>'Base Blend Property Calculation'!BO30</f>
        <v>1120</v>
      </c>
    </row>
    <row r="28" spans="1:11" x14ac:dyDescent="0.25">
      <c r="A28" s="5" t="str">
        <f>'Base Blend Property Calculation'!A31</f>
        <v>2:1:12 'G' (Sask)</v>
      </c>
      <c r="B28" s="5" t="str">
        <f>'Base Blend Property Calculation'!B31</f>
        <v>2:1:0 'G'</v>
      </c>
      <c r="C28" s="6">
        <f>'Base Blend Property Calculation'!BN31</f>
        <v>12</v>
      </c>
      <c r="D28" s="7">
        <f>'Base Blend Property Calculation'!BG31</f>
        <v>1.2911176283006929</v>
      </c>
      <c r="E28" s="7">
        <f>'Base Blend Property Calculation'!BH31</f>
        <v>1.7063819025482609</v>
      </c>
      <c r="F28" s="8">
        <f>'Base Blend Property Calculation'!BI31</f>
        <v>1413</v>
      </c>
      <c r="G28" s="7">
        <f>'Base Blend Property Calculation'!BJ31</f>
        <v>2.4081050598728608</v>
      </c>
      <c r="H28" s="8" t="str">
        <f>'Base Blend Property Calculation'!BK31</f>
        <v>Y</v>
      </c>
      <c r="I28" s="5" t="str">
        <f>'Base Blend Property Calculation'!BL31</f>
        <v>04</v>
      </c>
      <c r="J28" s="5" t="str">
        <f>'Base Blend Property Calculation'!BM31</f>
        <v>POR</v>
      </c>
      <c r="K28" s="5">
        <f>'Base Blend Property Calculation'!BO31</f>
        <v>1120</v>
      </c>
    </row>
    <row r="29" spans="1:11" x14ac:dyDescent="0.25">
      <c r="A29" s="5" t="str">
        <f>'Base Blend Property Calculation'!A32</f>
        <v>2:1:2 'G'</v>
      </c>
      <c r="B29" s="5" t="str">
        <f>'Base Blend Property Calculation'!B32</f>
        <v>2:1:0 'G'</v>
      </c>
      <c r="C29" s="6">
        <f>'Base Blend Property Calculation'!BN32</f>
        <v>2</v>
      </c>
      <c r="D29" s="7">
        <f>'Base Blend Property Calculation'!BG32</f>
        <v>0.60547387088047078</v>
      </c>
      <c r="E29" s="7">
        <f>'Base Blend Property Calculation'!BH32</f>
        <v>1.0248889475917218</v>
      </c>
      <c r="F29" s="8">
        <f>'Base Blend Property Calculation'!BI32</f>
        <v>1586</v>
      </c>
      <c r="G29" s="7">
        <f>'Base Blend Property Calculation'!BJ32</f>
        <v>2.384272897009986</v>
      </c>
      <c r="H29" s="8" t="str">
        <f>'Base Blend Property Calculation'!BK32</f>
        <v>N</v>
      </c>
      <c r="I29" s="5" t="str">
        <f>'Base Blend Property Calculation'!BL32</f>
        <v>04</v>
      </c>
      <c r="J29" s="5" t="str">
        <f>'Base Blend Property Calculation'!BM32</f>
        <v>POR</v>
      </c>
      <c r="K29" s="5">
        <f>'Base Blend Property Calculation'!BO32</f>
        <v>1020</v>
      </c>
    </row>
    <row r="30" spans="1:11" x14ac:dyDescent="0.25">
      <c r="A30" s="5" t="str">
        <f>'Base Blend Property Calculation'!A33</f>
        <v>2:1:2 'G' (Sask)</v>
      </c>
      <c r="B30" s="5" t="str">
        <f>'Base Blend Property Calculation'!B33</f>
        <v>2:1:0 'G'</v>
      </c>
      <c r="C30" s="6">
        <f>'Base Blend Property Calculation'!BN33</f>
        <v>2</v>
      </c>
      <c r="D30" s="7">
        <f>'Base Blend Property Calculation'!BG33</f>
        <v>0.72317863226948575</v>
      </c>
      <c r="E30" s="7">
        <f>'Base Blend Property Calculation'!BH33</f>
        <v>1.0991038034486038</v>
      </c>
      <c r="F30" s="8">
        <f>'Base Blend Property Calculation'!BI33</f>
        <v>1586</v>
      </c>
      <c r="G30" s="7">
        <f>'Base Blend Property Calculation'!BJ33</f>
        <v>2.6601038628603226</v>
      </c>
      <c r="H30" s="8" t="str">
        <f>'Base Blend Property Calculation'!BK33</f>
        <v>N</v>
      </c>
      <c r="I30" s="5" t="str">
        <f>'Base Blend Property Calculation'!BL33</f>
        <v>04</v>
      </c>
      <c r="J30" s="5" t="str">
        <f>'Base Blend Property Calculation'!BM33</f>
        <v>POR</v>
      </c>
      <c r="K30" s="5">
        <f>'Base Blend Property Calculation'!BO33</f>
        <v>1020</v>
      </c>
    </row>
    <row r="31" spans="1:11" x14ac:dyDescent="0.25">
      <c r="A31" s="5" t="str">
        <f>'Base Blend Property Calculation'!A34</f>
        <v>2:1:4 'G'</v>
      </c>
      <c r="B31" s="5" t="str">
        <f>'Base Blend Property Calculation'!B34</f>
        <v>2:1:0 'G'</v>
      </c>
      <c r="C31" s="6">
        <f>'Base Blend Property Calculation'!BN34</f>
        <v>4</v>
      </c>
      <c r="D31" s="7">
        <f>'Base Blend Property Calculation'!BG34</f>
        <v>0.71159647567702733</v>
      </c>
      <c r="E31" s="7">
        <f>'Base Blend Property Calculation'!BH34</f>
        <v>1.1388793730019684</v>
      </c>
      <c r="F31" s="8">
        <f>'Base Blend Property Calculation'!BI34</f>
        <v>1538</v>
      </c>
      <c r="G31" s="7">
        <f>'Base Blend Property Calculation'!BJ34</f>
        <v>2.340369825847529</v>
      </c>
      <c r="H31" s="8" t="str">
        <f>'Base Blend Property Calculation'!BK34</f>
        <v>Y</v>
      </c>
      <c r="I31" s="5" t="str">
        <f>'Base Blend Property Calculation'!BL34</f>
        <v>04</v>
      </c>
      <c r="J31" s="5" t="str">
        <f>'Base Blend Property Calculation'!BM34</f>
        <v>POR</v>
      </c>
      <c r="K31" s="5">
        <f>'Base Blend Property Calculation'!BO34</f>
        <v>1040</v>
      </c>
    </row>
    <row r="32" spans="1:11" x14ac:dyDescent="0.25">
      <c r="A32" s="5" t="str">
        <f>'Base Blend Property Calculation'!A35</f>
        <v>2:1:4 'G' (Sask)</v>
      </c>
      <c r="B32" s="5" t="str">
        <f>'Base Blend Property Calculation'!B35</f>
        <v>2:1:0 'G'</v>
      </c>
      <c r="C32" s="6">
        <f>'Base Blend Property Calculation'!BN35</f>
        <v>4</v>
      </c>
      <c r="D32" s="7">
        <f>'Base Blend Property Calculation'!BG35</f>
        <v>0.83592263684509482</v>
      </c>
      <c r="E32" s="7">
        <f>'Base Blend Property Calculation'!BH35</f>
        <v>1.2197156286379029</v>
      </c>
      <c r="F32" s="8">
        <f>'Base Blend Property Calculation'!BI35</f>
        <v>1538</v>
      </c>
      <c r="G32" s="7">
        <f>'Base Blend Property Calculation'!BJ35</f>
        <v>2.6055712881277757</v>
      </c>
      <c r="H32" s="8" t="str">
        <f>'Base Blend Property Calculation'!BK35</f>
        <v>Y</v>
      </c>
      <c r="I32" s="5" t="str">
        <f>'Base Blend Property Calculation'!BL35</f>
        <v>04</v>
      </c>
      <c r="J32" s="5" t="str">
        <f>'Base Blend Property Calculation'!BM35</f>
        <v>POR</v>
      </c>
      <c r="K32" s="5">
        <f>'Base Blend Property Calculation'!BO35</f>
        <v>1040</v>
      </c>
    </row>
    <row r="33" spans="1:11" x14ac:dyDescent="0.25">
      <c r="A33" s="5" t="str">
        <f>'Base Blend Property Calculation'!A36</f>
        <v>2:1:6 'G'</v>
      </c>
      <c r="B33" s="5" t="str">
        <f>'Base Blend Property Calculation'!B36</f>
        <v>2:1:0 'G'</v>
      </c>
      <c r="C33" s="6">
        <f>'Base Blend Property Calculation'!BN36</f>
        <v>6</v>
      </c>
      <c r="D33" s="7">
        <f>'Base Blend Property Calculation'!BG36</f>
        <v>0.82972637125442361</v>
      </c>
      <c r="E33" s="7">
        <f>'Base Blend Property Calculation'!BH36</f>
        <v>1.2648770891930545</v>
      </c>
      <c r="F33" s="8">
        <f>'Base Blend Property Calculation'!BI36</f>
        <v>1494</v>
      </c>
      <c r="G33" s="7">
        <f>'Base Blend Property Calculation'!BJ36</f>
        <v>2.2980543493921788</v>
      </c>
      <c r="H33" s="8" t="str">
        <f>'Base Blend Property Calculation'!BK36</f>
        <v>Y</v>
      </c>
      <c r="I33" s="5" t="str">
        <f>'Base Blend Property Calculation'!BL36</f>
        <v>04</v>
      </c>
      <c r="J33" s="5" t="str">
        <f>'Base Blend Property Calculation'!BM36</f>
        <v>POR</v>
      </c>
      <c r="K33" s="5">
        <f>'Base Blend Property Calculation'!BO36</f>
        <v>1060</v>
      </c>
    </row>
    <row r="34" spans="1:11" x14ac:dyDescent="0.25">
      <c r="A34" s="5" t="str">
        <f>'Base Blend Property Calculation'!A37</f>
        <v>2:1:6 'G' (Sask)</v>
      </c>
      <c r="B34" s="5" t="str">
        <f>'Base Blend Property Calculation'!B37</f>
        <v>2:1:0 'G'</v>
      </c>
      <c r="C34" s="6">
        <f>'Base Blend Property Calculation'!BN37</f>
        <v>6</v>
      </c>
      <c r="D34" s="7">
        <f>'Base Blend Property Calculation'!BG37</f>
        <v>0.96125252280301965</v>
      </c>
      <c r="E34" s="7">
        <f>'Base Blend Property Calculation'!BH37</f>
        <v>1.352913335209518</v>
      </c>
      <c r="F34" s="8">
        <f>'Base Blend Property Calculation'!BI37</f>
        <v>1494</v>
      </c>
      <c r="G34" s="7">
        <f>'Base Blend Property Calculation'!BJ37</f>
        <v>2.5532296526059302</v>
      </c>
      <c r="H34" s="8" t="str">
        <f>'Base Blend Property Calculation'!BK37</f>
        <v>Y</v>
      </c>
      <c r="I34" s="5" t="str">
        <f>'Base Blend Property Calculation'!BL37</f>
        <v>04</v>
      </c>
      <c r="J34" s="5" t="str">
        <f>'Base Blend Property Calculation'!BM37</f>
        <v>POR</v>
      </c>
      <c r="K34" s="5">
        <f>'Base Blend Property Calculation'!BO37</f>
        <v>1060</v>
      </c>
    </row>
    <row r="35" spans="1:11" x14ac:dyDescent="0.25">
      <c r="A35" s="5" t="str">
        <f>'Base Blend Property Calculation'!A38</f>
        <v>2:1:8 'G'</v>
      </c>
      <c r="B35" s="5" t="str">
        <f>'Base Blend Property Calculation'!B38</f>
        <v>2:1:0 'G'</v>
      </c>
      <c r="C35" s="6">
        <f>'Base Blend Property Calculation'!BN38</f>
        <v>8</v>
      </c>
      <c r="D35" s="7">
        <f>'Base Blend Property Calculation'!BG38</f>
        <v>0.9297863352573319</v>
      </c>
      <c r="E35" s="7">
        <f>'Base Blend Property Calculation'!BH38</f>
        <v>1.372804873809653</v>
      </c>
      <c r="F35" s="8">
        <f>'Base Blend Property Calculation'!BI38</f>
        <v>1464</v>
      </c>
      <c r="G35" s="7">
        <f>'Base Blend Property Calculation'!BJ38</f>
        <v>2.2572418826258636</v>
      </c>
      <c r="H35" s="8" t="str">
        <f>'Base Blend Property Calculation'!BK38</f>
        <v>Y</v>
      </c>
      <c r="I35" s="5" t="str">
        <f>'Base Blend Property Calculation'!BL38</f>
        <v>04</v>
      </c>
      <c r="J35" s="5" t="str">
        <f>'Base Blend Property Calculation'!BM38</f>
        <v>POR</v>
      </c>
      <c r="K35" s="5">
        <f>'Base Blend Property Calculation'!BO38</f>
        <v>1080</v>
      </c>
    </row>
    <row r="36" spans="1:11" x14ac:dyDescent="0.25">
      <c r="A36" s="5" t="str">
        <f>'Base Blend Property Calculation'!A39</f>
        <v>2:1:8 'G' (Sask)</v>
      </c>
      <c r="B36" s="5" t="str">
        <f>'Base Blend Property Calculation'!B39</f>
        <v>2:1:0 'G'</v>
      </c>
      <c r="C36" s="6">
        <f>'Base Blend Property Calculation'!BN39</f>
        <v>8</v>
      </c>
      <c r="D36" s="7">
        <f>'Base Blend Property Calculation'!BG39</f>
        <v>1.0670044854707856</v>
      </c>
      <c r="E36" s="7">
        <f>'Base Blend Property Calculation'!BH39</f>
        <v>1.4665331184909738</v>
      </c>
      <c r="F36" s="8">
        <f>'Base Blend Property Calculation'!BI39</f>
        <v>1464</v>
      </c>
      <c r="G36" s="7">
        <f>'Base Blend Property Calculation'!BJ39</f>
        <v>2.5029495193889395</v>
      </c>
      <c r="H36" s="8" t="str">
        <f>'Base Blend Property Calculation'!BK39</f>
        <v>Y</v>
      </c>
      <c r="I36" s="5" t="str">
        <f>'Base Blend Property Calculation'!BL39</f>
        <v>04</v>
      </c>
      <c r="J36" s="5" t="str">
        <f>'Base Blend Property Calculation'!BM39</f>
        <v>POR</v>
      </c>
      <c r="K36" s="5">
        <f>'Base Blend Property Calculation'!BO39</f>
        <v>1080</v>
      </c>
    </row>
    <row r="37" spans="1:11" x14ac:dyDescent="0.25">
      <c r="A37" s="5" t="str">
        <f>'Base Blend Property Calculation'!A40</f>
        <v>ARC</v>
      </c>
      <c r="B37" s="5" t="str">
        <f>'Base Blend Property Calculation'!B40</f>
        <v>ARC</v>
      </c>
      <c r="C37" s="6">
        <f>'Base Blend Property Calculation'!BN40</f>
        <v>0</v>
      </c>
      <c r="D37" s="7">
        <f>'Base Blend Property Calculation'!BG40</f>
        <v>0.56863603238752114</v>
      </c>
      <c r="E37" s="7">
        <f>'Base Blend Property Calculation'!BH40</f>
        <v>0.89380970506411461</v>
      </c>
      <c r="F37" s="8">
        <f>'Base Blend Property Calculation'!BI40</f>
        <v>1755</v>
      </c>
      <c r="G37" s="7">
        <f>'Base Blend Property Calculation'!BJ40</f>
        <v>3.075279716739447</v>
      </c>
      <c r="H37" s="8" t="str">
        <f>'Base Blend Property Calculation'!BK40</f>
        <v>N</v>
      </c>
      <c r="I37" s="5" t="str">
        <f>'Base Blend Property Calculation'!BL40</f>
        <v>04</v>
      </c>
      <c r="J37" s="5">
        <f>'Base Blend Property Calculation'!BM40</f>
        <v>0</v>
      </c>
      <c r="K37" s="5">
        <f>'Base Blend Property Calculation'!BO40</f>
        <v>1000</v>
      </c>
    </row>
    <row r="38" spans="1:11" x14ac:dyDescent="0.25">
      <c r="A38" s="5" t="str">
        <f>'Base Blend Property Calculation'!A41</f>
        <v>ASC (IV)</v>
      </c>
      <c r="B38" s="5" t="str">
        <f>'Base Blend Property Calculation'!B41</f>
        <v>ASC (IV)</v>
      </c>
      <c r="C38" s="6">
        <f>'Base Blend Property Calculation'!BN41</f>
        <v>0</v>
      </c>
      <c r="D38" s="7">
        <f>'Base Blend Property Calculation'!BG41</f>
        <v>0.5472204917559651</v>
      </c>
      <c r="E38" s="7">
        <f>'Base Blend Property Calculation'!BH41</f>
        <v>0.88412599528912295</v>
      </c>
      <c r="F38" s="8">
        <f>'Base Blend Property Calculation'!BI41</f>
        <v>1750</v>
      </c>
      <c r="G38" s="7">
        <f>'Base Blend Property Calculation'!BJ41</f>
        <v>2.9681913459795446</v>
      </c>
      <c r="H38" s="8" t="str">
        <f>'Base Blend Property Calculation'!BK41</f>
        <v>N</v>
      </c>
      <c r="I38" s="5" t="str">
        <f>'Base Blend Property Calculation'!BL41</f>
        <v>04</v>
      </c>
      <c r="J38" s="5">
        <f>'Base Blend Property Calculation'!BM41</f>
        <v>0</v>
      </c>
      <c r="K38" s="5">
        <f>'Base Blend Property Calculation'!BO41</f>
        <v>1000</v>
      </c>
    </row>
    <row r="39" spans="1:11" x14ac:dyDescent="0.25">
      <c r="A39" s="5" t="str">
        <f>'Base Blend Property Calculation'!A42</f>
        <v>CNRL CHOPS TH</v>
      </c>
      <c r="B39" s="5" t="str">
        <f>'Base Blend Property Calculation'!B42</f>
        <v>CNRL CHOPS TH</v>
      </c>
      <c r="C39" s="6">
        <f>'Base Blend Property Calculation'!BN42</f>
        <v>0</v>
      </c>
      <c r="D39" s="7">
        <f>'Base Blend Property Calculation'!BG42</f>
        <v>0.43005347060886301</v>
      </c>
      <c r="E39" s="7">
        <f>'Base Blend Property Calculation'!BH42</f>
        <v>0.77720297315699072</v>
      </c>
      <c r="F39" s="8">
        <f>'Base Blend Property Calculation'!BI42</f>
        <v>1840</v>
      </c>
      <c r="G39" s="7">
        <f>'Base Blend Property Calculation'!BJ42</f>
        <v>2.8806032924139453</v>
      </c>
      <c r="H39" s="8" t="str">
        <f>'Base Blend Property Calculation'!BK42</f>
        <v>N</v>
      </c>
      <c r="I39" s="5">
        <f>'Base Blend Property Calculation'!BL42</f>
        <v>30</v>
      </c>
      <c r="J39" s="5">
        <f>'Base Blend Property Calculation'!BM42</f>
        <v>0</v>
      </c>
      <c r="K39" s="5">
        <f>'Base Blend Property Calculation'!BO42</f>
        <v>1000</v>
      </c>
    </row>
    <row r="40" spans="1:11" x14ac:dyDescent="0.25">
      <c r="A40" s="5" t="str">
        <f>'Base Blend Property Calculation'!A43</f>
        <v>Expandomix</v>
      </c>
      <c r="B40" s="5" t="str">
        <f>'Base Blend Property Calculation'!B43</f>
        <v>Expandomix</v>
      </c>
      <c r="C40" s="6">
        <f>'Base Blend Property Calculation'!BN43</f>
        <v>0</v>
      </c>
      <c r="D40" s="7">
        <f>'Base Blend Property Calculation'!BG43</f>
        <v>0.57081374681319053</v>
      </c>
      <c r="E40" s="7">
        <f>'Base Blend Property Calculation'!BH43</f>
        <v>0.88746539367976873</v>
      </c>
      <c r="F40" s="8">
        <f>'Base Blend Property Calculation'!BI43</f>
        <v>1770</v>
      </c>
      <c r="G40" s="7">
        <f>'Base Blend Property Calculation'!BJ43</f>
        <v>3.1580445258866821</v>
      </c>
      <c r="H40" s="8" t="str">
        <f>'Base Blend Property Calculation'!BK43</f>
        <v>N</v>
      </c>
      <c r="I40" s="5">
        <f>'Base Blend Property Calculation'!BL43</f>
        <v>30</v>
      </c>
      <c r="J40" s="5">
        <f>'Base Blend Property Calculation'!BM43</f>
        <v>0</v>
      </c>
      <c r="K40" s="5">
        <f>'Base Blend Property Calculation'!BO43</f>
        <v>1000</v>
      </c>
    </row>
    <row r="41" spans="1:11" x14ac:dyDescent="0.25">
      <c r="A41" s="5" t="str">
        <f>'Base Blend Property Calculation'!A44</f>
        <v>Expandomix HT</v>
      </c>
      <c r="B41" s="5" t="str">
        <f>'Base Blend Property Calculation'!B44</f>
        <v>Expandomix HT</v>
      </c>
      <c r="C41" s="6">
        <f>'Base Blend Property Calculation'!BN44</f>
        <v>0</v>
      </c>
      <c r="D41" s="7">
        <f>'Base Blend Property Calculation'!BG44</f>
        <v>0.45366768428030058</v>
      </c>
      <c r="E41" s="7">
        <f>'Base Blend Property Calculation'!BH44</f>
        <v>0.81666723835971944</v>
      </c>
      <c r="F41" s="8">
        <f>'Base Blend Property Calculation'!BI44</f>
        <v>1780</v>
      </c>
      <c r="G41" s="7">
        <f>'Base Blend Property Calculation'!BJ44</f>
        <v>2.7548243207516863</v>
      </c>
      <c r="H41" s="8" t="str">
        <f>'Base Blend Property Calculation'!BK44</f>
        <v>N</v>
      </c>
      <c r="I41" s="5">
        <f>'Base Blend Property Calculation'!BL44</f>
        <v>30</v>
      </c>
      <c r="J41" s="5">
        <f>'Base Blend Property Calculation'!BM44</f>
        <v>0</v>
      </c>
      <c r="K41" s="5">
        <f>'Base Blend Property Calculation'!BO44</f>
        <v>1000</v>
      </c>
    </row>
    <row r="42" spans="1:11" x14ac:dyDescent="0.25">
      <c r="A42" s="5" t="str">
        <f>'Base Blend Property Calculation'!A45</f>
        <v>Expandomix HT (SK)</v>
      </c>
      <c r="B42" s="5" t="str">
        <f>'Base Blend Property Calculation'!B45</f>
        <v>Expandomix HT (SK)</v>
      </c>
      <c r="C42" s="6">
        <f>'Base Blend Property Calculation'!BN45</f>
        <v>0</v>
      </c>
      <c r="D42" s="7">
        <f>'Base Blend Property Calculation'!BG45</f>
        <v>0.51629708411723418</v>
      </c>
      <c r="E42" s="7">
        <f>'Base Blend Property Calculation'!BH45</f>
        <v>0.85185229444788435</v>
      </c>
      <c r="F42" s="8">
        <f>'Base Blend Property Calculation'!BI45</f>
        <v>1780</v>
      </c>
      <c r="G42" s="7">
        <f>'Base Blend Property Calculation'!BJ45</f>
        <v>2.9801355163420578</v>
      </c>
      <c r="H42" s="8" t="str">
        <f>'Base Blend Property Calculation'!BK45</f>
        <v>Y</v>
      </c>
      <c r="I42" s="5">
        <f>'Base Blend Property Calculation'!BL45</f>
        <v>31</v>
      </c>
      <c r="J42" s="5">
        <f>'Base Blend Property Calculation'!BM45</f>
        <v>0</v>
      </c>
      <c r="K42" s="5">
        <f>'Base Blend Property Calculation'!BO45</f>
        <v>1000</v>
      </c>
    </row>
    <row r="43" spans="1:11" x14ac:dyDescent="0.25">
      <c r="A43" s="5" t="str">
        <f>'Base Blend Property Calculation'!A46</f>
        <v>Expandomix LWL</v>
      </c>
      <c r="B43" s="5" t="str">
        <f>'Base Blend Property Calculation'!B46</f>
        <v>Expandomix LWL</v>
      </c>
      <c r="C43" s="6">
        <f>'Base Blend Property Calculation'!BN46</f>
        <v>0</v>
      </c>
      <c r="D43" s="7">
        <f>'Base Blend Property Calculation'!BG46</f>
        <v>0.56814437546484176</v>
      </c>
      <c r="E43" s="7">
        <f>'Base Blend Property Calculation'!BH46</f>
        <v>0.8859572742739219</v>
      </c>
      <c r="F43" s="8">
        <f>'Base Blend Property Calculation'!BI46</f>
        <v>1770</v>
      </c>
      <c r="G43" s="7">
        <f>'Base Blend Property Calculation'!BJ46</f>
        <v>3.1465053927868749</v>
      </c>
      <c r="H43" s="8" t="str">
        <f>'Base Blend Property Calculation'!BK46</f>
        <v>N</v>
      </c>
      <c r="I43" s="5" t="str">
        <f>'Base Blend Property Calculation'!BL46</f>
        <v>04</v>
      </c>
      <c r="J43" s="5">
        <f>'Base Blend Property Calculation'!BM46</f>
        <v>0</v>
      </c>
      <c r="K43" s="5">
        <f>'Base Blend Property Calculation'!BO46</f>
        <v>1000</v>
      </c>
    </row>
    <row r="44" spans="1:11" x14ac:dyDescent="0.25">
      <c r="A44" s="5" t="str">
        <f>'Base Blend Property Calculation'!A47</f>
        <v>EXPANDOmix PRO HT</v>
      </c>
      <c r="B44" s="5" t="str">
        <f>'Base Blend Property Calculation'!B47</f>
        <v>EXPANDOmix PRO HT</v>
      </c>
      <c r="C44" s="6">
        <f>'Base Blend Property Calculation'!BN47</f>
        <v>0</v>
      </c>
      <c r="D44" s="7">
        <f>'Base Blend Property Calculation'!BG47</f>
        <v>0.66800000000000004</v>
      </c>
      <c r="E44" s="7">
        <f>'Base Blend Property Calculation'!BH47</f>
        <v>1.0429999999999999</v>
      </c>
      <c r="F44" s="8">
        <f>'Base Blend Property Calculation'!BI47</f>
        <v>1600</v>
      </c>
      <c r="G44" s="7">
        <f>'Base Blend Property Calculation'!BJ47</f>
        <v>2.6230000000000002</v>
      </c>
      <c r="H44" s="8" t="str">
        <f>'Base Blend Property Calculation'!BK47</f>
        <v>N</v>
      </c>
      <c r="I44" s="5">
        <f>'Base Blend Property Calculation'!BL47</f>
        <v>4</v>
      </c>
      <c r="J44" s="5">
        <f>'Base Blend Property Calculation'!BM47</f>
        <v>0</v>
      </c>
      <c r="K44" s="5">
        <f>'Base Blend Property Calculation'!BO47</f>
        <v>1000</v>
      </c>
    </row>
    <row r="45" spans="1:11" x14ac:dyDescent="0.25">
      <c r="A45" s="5" t="str">
        <f>'Base Blend Property Calculation'!A48</f>
        <v>EXPANDOmix PRO LT</v>
      </c>
      <c r="B45" s="5" t="str">
        <f>'Base Blend Property Calculation'!B48</f>
        <v>EXPANDOmix PRO LT</v>
      </c>
      <c r="C45" s="6">
        <f>'Base Blend Property Calculation'!BN48</f>
        <v>0</v>
      </c>
      <c r="D45" s="7">
        <f>'Base Blend Property Calculation'!BG48</f>
        <v>0.66</v>
      </c>
      <c r="E45" s="7">
        <f>'Base Blend Property Calculation'!BH48</f>
        <v>1.0369999999999999</v>
      </c>
      <c r="F45" s="8">
        <f>'Base Blend Property Calculation'!BI48</f>
        <v>1600</v>
      </c>
      <c r="G45" s="7">
        <f>'Base Blend Property Calculation'!BJ48</f>
        <v>2.6</v>
      </c>
      <c r="H45" s="8" t="str">
        <f>'Base Blend Property Calculation'!BK48</f>
        <v>N</v>
      </c>
      <c r="I45" s="5">
        <f>'Base Blend Property Calculation'!BL48</f>
        <v>4</v>
      </c>
      <c r="J45" s="5">
        <f>'Base Blend Property Calculation'!BM48</f>
        <v>0</v>
      </c>
      <c r="K45" s="5">
        <f>'Base Blend Property Calculation'!BO48</f>
        <v>1000</v>
      </c>
    </row>
    <row r="46" spans="1:11" x14ac:dyDescent="0.25">
      <c r="A46" s="5" t="str">
        <f>'Base Blend Property Calculation'!A51</f>
        <v>Glacial Mix</v>
      </c>
      <c r="B46" s="5" t="str">
        <f>'Base Blend Property Calculation'!B51</f>
        <v>Glacial Mix</v>
      </c>
      <c r="C46" s="6">
        <f>'Base Blend Property Calculation'!BN51</f>
        <v>0</v>
      </c>
      <c r="D46" s="7">
        <f>'Base Blend Property Calculation'!BG51</f>
        <v>0.41820451910631951</v>
      </c>
      <c r="E46" s="7">
        <f>'Base Blend Property Calculation'!BH51</f>
        <v>0.76659703735476725</v>
      </c>
      <c r="F46" s="8">
        <f>'Base Blend Property Calculation'!BI51</f>
        <v>1850</v>
      </c>
      <c r="G46" s="7">
        <f>'Base Blend Property Calculation'!BJ51</f>
        <v>2.8703257033977807</v>
      </c>
      <c r="H46" s="8" t="str">
        <f>'Base Blend Property Calculation'!BK51</f>
        <v>N</v>
      </c>
      <c r="I46" s="5" t="str">
        <f>'Base Blend Property Calculation'!BL51</f>
        <v>04</v>
      </c>
      <c r="J46" s="5">
        <f>'Base Blend Property Calculation'!BM51</f>
        <v>0</v>
      </c>
      <c r="K46" s="5">
        <f>'Base Blend Property Calculation'!BO51</f>
        <v>1000</v>
      </c>
    </row>
    <row r="47" spans="1:11" x14ac:dyDescent="0.25">
      <c r="A47" s="5" t="str">
        <f>'Base Blend Property Calculation'!A52</f>
        <v>iBond</v>
      </c>
      <c r="B47" s="5" t="str">
        <f>'Base Blend Property Calculation'!B52</f>
        <v>iBond</v>
      </c>
      <c r="C47" s="6">
        <f>'Base Blend Property Calculation'!BN52</f>
        <v>0</v>
      </c>
      <c r="D47" s="7">
        <f>'Base Blend Property Calculation'!BG52</f>
        <v>0.49777616196997676</v>
      </c>
      <c r="E47" s="7">
        <f>'Base Blend Property Calculation'!BH52</f>
        <v>0.84144728200560492</v>
      </c>
      <c r="F47" s="8">
        <f>'Base Blend Property Calculation'!BI52</f>
        <v>1780</v>
      </c>
      <c r="G47" s="7">
        <f>'Base Blend Property Calculation'!BJ52</f>
        <v>2.909758608451972</v>
      </c>
      <c r="H47" s="8" t="str">
        <f>'Base Blend Property Calculation'!BK52</f>
        <v>Y</v>
      </c>
      <c r="I47" s="5">
        <f>'Base Blend Property Calculation'!BL52</f>
        <v>31</v>
      </c>
      <c r="J47" s="5">
        <f>'Base Blend Property Calculation'!BM52</f>
        <v>0</v>
      </c>
      <c r="K47" s="5">
        <f>'Base Blend Property Calculation'!BO52</f>
        <v>1000</v>
      </c>
    </row>
    <row r="48" spans="1:11" x14ac:dyDescent="0.25">
      <c r="A48" s="5" t="str">
        <f>'Base Blend Property Calculation'!A53</f>
        <v>iGain (SK)</v>
      </c>
      <c r="B48" s="5" t="str">
        <f>'Base Blend Property Calculation'!B53</f>
        <v>iGain (SK)</v>
      </c>
      <c r="C48" s="6">
        <f>'Base Blend Property Calculation'!BN53</f>
        <v>0</v>
      </c>
      <c r="D48" s="7">
        <f>'Base Blend Property Calculation'!BG53</f>
        <v>0.92484159052079762</v>
      </c>
      <c r="E48" s="7">
        <f>'Base Blend Property Calculation'!BH53</f>
        <v>1.283227727013865</v>
      </c>
      <c r="F48" s="8">
        <f>'Base Blend Property Calculation'!BI53</f>
        <v>1500</v>
      </c>
      <c r="G48" s="7">
        <f>'Base Blend Property Calculation'!BJ53</f>
        <v>2.7902865043423462</v>
      </c>
      <c r="H48" s="8" t="str">
        <f>'Base Blend Property Calculation'!BK53</f>
        <v>N</v>
      </c>
      <c r="I48" s="5" t="str">
        <f>'Base Blend Property Calculation'!BL53</f>
        <v>01</v>
      </c>
      <c r="J48" s="5">
        <f>'Base Blend Property Calculation'!BM53</f>
        <v>0</v>
      </c>
      <c r="K48" s="5">
        <f>'Base Blend Property Calculation'!BO53</f>
        <v>1000</v>
      </c>
    </row>
    <row r="49" spans="1:11" x14ac:dyDescent="0.25">
      <c r="A49" s="5" t="str">
        <f>'Base Blend Property Calculation'!A54</f>
        <v>iGain(AB)</v>
      </c>
      <c r="B49" s="5" t="str">
        <f>'Base Blend Property Calculation'!B54</f>
        <v>iGain(AB)</v>
      </c>
      <c r="C49" s="6">
        <f>'Base Blend Property Calculation'!BN54</f>
        <v>0</v>
      </c>
      <c r="D49" s="7">
        <f>'Base Blend Property Calculation'!BG54</f>
        <v>0.8639855381197401</v>
      </c>
      <c r="E49" s="7">
        <f>'Base Blend Property Calculation'!BH54</f>
        <v>1.2426570254131601</v>
      </c>
      <c r="F49" s="8">
        <f>'Base Blend Property Calculation'!BI54</f>
        <v>1500</v>
      </c>
      <c r="G49" s="7">
        <f>'Base Blend Property Calculation'!BJ54</f>
        <v>2.640811451497358</v>
      </c>
      <c r="H49" s="8" t="str">
        <f>'Base Blend Property Calculation'!BK54</f>
        <v>N</v>
      </c>
      <c r="I49" s="5" t="str">
        <f>'Base Blend Property Calculation'!BL54</f>
        <v>04</v>
      </c>
      <c r="J49" s="5">
        <f>'Base Blend Property Calculation'!BM54</f>
        <v>0</v>
      </c>
      <c r="K49" s="5">
        <f>'Base Blend Property Calculation'!BO54</f>
        <v>1000</v>
      </c>
    </row>
    <row r="50" spans="1:11" x14ac:dyDescent="0.25">
      <c r="A50" s="5" t="str">
        <f>'Base Blend Property Calculation'!A55</f>
        <v>iPrime (AB)</v>
      </c>
      <c r="B50" s="5" t="str">
        <f>'Base Blend Property Calculation'!B55</f>
        <v>iPrime (AB)</v>
      </c>
      <c r="C50" s="6">
        <f>'Base Blend Property Calculation'!BN55</f>
        <v>0</v>
      </c>
      <c r="D50" s="7">
        <f>'Base Blend Property Calculation'!BG55</f>
        <v>0.86872547916581921</v>
      </c>
      <c r="E50" s="7">
        <f>'Base Blend Property Calculation'!BH55</f>
        <v>1.2458169861105461</v>
      </c>
      <c r="F50" s="8">
        <f>'Base Blend Property Calculation'!BI55</f>
        <v>1500</v>
      </c>
      <c r="G50" s="7">
        <f>'Base Blend Property Calculation'!BJ55</f>
        <v>2.6518762199186239</v>
      </c>
      <c r="H50" s="8" t="str">
        <f>'Base Blend Property Calculation'!BK55</f>
        <v>Y</v>
      </c>
      <c r="I50" s="5">
        <f>'Base Blend Property Calculation'!BL55</f>
        <v>42</v>
      </c>
      <c r="J50" s="5">
        <f>'Base Blend Property Calculation'!BM55</f>
        <v>0</v>
      </c>
      <c r="K50" s="5">
        <f>'Base Blend Property Calculation'!BO55</f>
        <v>1000</v>
      </c>
    </row>
    <row r="51" spans="1:11" x14ac:dyDescent="0.25">
      <c r="A51" s="5" t="str">
        <f>'Base Blend Property Calculation'!A56</f>
        <v>iPrime (SK)</v>
      </c>
      <c r="B51" s="5" t="str">
        <f>'Base Blend Property Calculation'!B56</f>
        <v>iPrime (SK)</v>
      </c>
      <c r="C51" s="6">
        <f>'Base Blend Property Calculation'!BN56</f>
        <v>0</v>
      </c>
      <c r="D51" s="7">
        <f>'Base Blend Property Calculation'!BG56</f>
        <v>0.92537664745456183</v>
      </c>
      <c r="E51" s="7">
        <f>'Base Blend Property Calculation'!BH56</f>
        <v>1.2835844316363745</v>
      </c>
      <c r="F51" s="8">
        <f>'Base Blend Property Calculation'!BI56</f>
        <v>1500</v>
      </c>
      <c r="G51" s="7">
        <f>'Base Blend Property Calculation'!BJ56</f>
        <v>2.7916757930990075</v>
      </c>
      <c r="H51" s="8" t="str">
        <f>'Base Blend Property Calculation'!BK56</f>
        <v>Y</v>
      </c>
      <c r="I51" s="5">
        <f>'Base Blend Property Calculation'!BL56</f>
        <v>42</v>
      </c>
      <c r="J51" s="5">
        <f>'Base Blend Property Calculation'!BM56</f>
        <v>0</v>
      </c>
      <c r="K51" s="5">
        <f>'Base Blend Property Calculation'!BO56</f>
        <v>1000</v>
      </c>
    </row>
    <row r="52" spans="1:11" x14ac:dyDescent="0.25">
      <c r="A52" s="5" t="str">
        <f>'Base Blend Property Calculation'!A57</f>
        <v>iThix</v>
      </c>
      <c r="B52" s="5" t="str">
        <f>'Base Blend Property Calculation'!B57</f>
        <v>iThix</v>
      </c>
      <c r="C52" s="6">
        <f>'Base Blend Property Calculation'!BN57</f>
        <v>0</v>
      </c>
      <c r="D52" s="7">
        <f>'Base Blend Property Calculation'!BG57</f>
        <v>0.66874645458664106</v>
      </c>
      <c r="E52" s="7">
        <f>'Base Blend Property Calculation'!BH57</f>
        <v>1.0113614876282673</v>
      </c>
      <c r="F52" s="8">
        <f>'Base Blend Property Calculation'!BI57</f>
        <v>1650</v>
      </c>
      <c r="G52" s="7">
        <f>'Base Blend Property Calculation'!BJ57</f>
        <v>2.9187277368489095</v>
      </c>
      <c r="H52" s="8" t="str">
        <f>'Base Blend Property Calculation'!BK57</f>
        <v>N</v>
      </c>
      <c r="I52" s="5">
        <f>'Base Blend Property Calculation'!BL57</f>
        <v>42</v>
      </c>
      <c r="J52" s="5">
        <f>'Base Blend Property Calculation'!BM57</f>
        <v>0</v>
      </c>
      <c r="K52" s="5">
        <f>'Base Blend Property Calculation'!BO57</f>
        <v>1000</v>
      </c>
    </row>
    <row r="53" spans="1:11" x14ac:dyDescent="0.25">
      <c r="A53" s="5" t="str">
        <f>'Base Blend Property Calculation'!A58</f>
        <v>iZone</v>
      </c>
      <c r="B53" s="5" t="str">
        <f>'Base Blend Property Calculation'!B58</f>
        <v>iZone</v>
      </c>
      <c r="C53" s="6">
        <f>'Base Blend Property Calculation'!BN58</f>
        <v>0</v>
      </c>
      <c r="D53" s="7">
        <f>'Base Blend Property Calculation'!BG58</f>
        <v>0.74011906964012053</v>
      </c>
      <c r="E53" s="7">
        <f>'Base Blend Property Calculation'!BH58</f>
        <v>1.2429421926000861</v>
      </c>
      <c r="F53" s="8">
        <f>'Base Blend Property Calculation'!BI58</f>
        <v>1400</v>
      </c>
      <c r="G53" s="7">
        <f>'Base Blend Property Calculation'!BJ58</f>
        <v>1.9887709103616926</v>
      </c>
      <c r="H53" s="8" t="str">
        <f>'Base Blend Property Calculation'!BK58</f>
        <v>N</v>
      </c>
      <c r="I53" s="5">
        <f>'Base Blend Property Calculation'!BL58</f>
        <v>42</v>
      </c>
      <c r="J53" s="5">
        <f>'Base Blend Property Calculation'!BM58</f>
        <v>0</v>
      </c>
      <c r="K53" s="5">
        <f>'Base Blend Property Calculation'!BO58</f>
        <v>1000</v>
      </c>
    </row>
    <row r="54" spans="1:11" x14ac:dyDescent="0.25">
      <c r="A54" s="5" t="str">
        <f>'Base Blend Property Calculation'!A59</f>
        <v>LCS 1600</v>
      </c>
      <c r="B54" s="5" t="str">
        <f>'Base Blend Property Calculation'!B59</f>
        <v>LCS 1600</v>
      </c>
      <c r="C54" s="6">
        <f>'Base Blend Property Calculation'!BN59</f>
        <v>0</v>
      </c>
      <c r="D54" s="7">
        <f>'Base Blend Property Calculation'!BG59</f>
        <v>0.59512435527581076</v>
      </c>
      <c r="E54" s="7">
        <f>'Base Blend Property Calculation'!BH59</f>
        <v>0.99695272204738172</v>
      </c>
      <c r="F54" s="8">
        <f>'Base Blend Property Calculation'!BI59</f>
        <v>1600</v>
      </c>
      <c r="G54" s="7">
        <f>'Base Blend Property Calculation'!BJ59</f>
        <v>2.4886247032143305</v>
      </c>
      <c r="H54" s="8" t="str">
        <f>'Base Blend Property Calculation'!BK59</f>
        <v>Y</v>
      </c>
      <c r="I54" s="5">
        <f>'Base Blend Property Calculation'!BL59</f>
        <v>31</v>
      </c>
      <c r="J54" s="5">
        <f>'Base Blend Property Calculation'!BM59</f>
        <v>0</v>
      </c>
      <c r="K54" s="5">
        <f>'Base Blend Property Calculation'!BO59</f>
        <v>1000</v>
      </c>
    </row>
    <row r="55" spans="1:11" x14ac:dyDescent="0.25">
      <c r="A55" s="5" t="str">
        <f>'Base Blend Property Calculation'!A60</f>
        <v>LCS 1820</v>
      </c>
      <c r="B55" s="5" t="str">
        <f>'Base Blend Property Calculation'!B60</f>
        <v>LCS 1820</v>
      </c>
      <c r="C55" s="6">
        <f>'Base Blend Property Calculation'!BN60</f>
        <v>0</v>
      </c>
      <c r="D55" s="7">
        <f>'Base Blend Property Calculation'!BG60</f>
        <v>0.5050326159366002</v>
      </c>
      <c r="E55" s="7">
        <f>'Base Blend Property Calculation'!BH60</f>
        <v>0.82694099776736274</v>
      </c>
      <c r="F55" s="8">
        <f>'Base Blend Property Calculation'!BI60</f>
        <v>1820</v>
      </c>
      <c r="G55" s="7">
        <f>'Base Blend Property Calculation'!BJ60</f>
        <v>3.106473942408035</v>
      </c>
      <c r="H55" s="8" t="str">
        <f>'Base Blend Property Calculation'!BK60</f>
        <v>Y</v>
      </c>
      <c r="I55" s="5">
        <f>'Base Blend Property Calculation'!BL60</f>
        <v>31</v>
      </c>
      <c r="J55" s="5">
        <f>'Base Blend Property Calculation'!BM60</f>
        <v>0</v>
      </c>
      <c r="K55" s="5">
        <f>'Base Blend Property Calculation'!BO60</f>
        <v>1000</v>
      </c>
    </row>
    <row r="56" spans="1:11" x14ac:dyDescent="0.25">
      <c r="A56" s="5" t="str">
        <f>'Base Blend Property Calculation'!A61</f>
        <v>LDP-C-0117</v>
      </c>
      <c r="B56" s="5" t="str">
        <f>'Base Blend Property Calculation'!B61</f>
        <v>LDP-C-0117</v>
      </c>
      <c r="C56" s="6">
        <f>'Base Blend Property Calculation'!BN61</f>
        <v>0</v>
      </c>
      <c r="D56" s="7">
        <f>'Base Blend Property Calculation'!BG61</f>
        <v>0.66100000000000003</v>
      </c>
      <c r="E56" s="7">
        <f>'Base Blend Property Calculation'!BH61</f>
        <v>1.3839999999999999</v>
      </c>
      <c r="F56" s="8">
        <f>'Base Blend Property Calculation'!BI61</f>
        <v>1200</v>
      </c>
      <c r="G56" s="7">
        <f>'Base Blend Property Calculation'!BJ61</f>
        <v>1.383</v>
      </c>
      <c r="H56" s="8" t="str">
        <f>'Base Blend Property Calculation'!BK61</f>
        <v>N</v>
      </c>
      <c r="I56" s="5" t="str">
        <f>'Base Blend Property Calculation'!BL61</f>
        <v>TBD</v>
      </c>
      <c r="J56" s="5">
        <f>'Base Blend Property Calculation'!BM61</f>
        <v>0</v>
      </c>
      <c r="K56" s="5">
        <f>'Base Blend Property Calculation'!BO61</f>
        <v>1000</v>
      </c>
    </row>
    <row r="57" spans="1:11" x14ac:dyDescent="0.25">
      <c r="A57" s="5" t="str">
        <f>'Base Blend Property Calculation'!A62</f>
        <v>LDP-C-0417</v>
      </c>
      <c r="B57" s="5" t="str">
        <f>'Base Blend Property Calculation'!B62</f>
        <v>LDP-C-0417</v>
      </c>
      <c r="C57" s="6">
        <f>'Base Blend Property Calculation'!BN62</f>
        <v>0</v>
      </c>
      <c r="D57" s="7">
        <f>'Base Blend Property Calculation'!BG62</f>
        <v>0.65100000000000002</v>
      </c>
      <c r="E57" s="7">
        <f>'Base Blend Property Calculation'!BH62</f>
        <v>1.2230000000000001</v>
      </c>
      <c r="F57" s="8">
        <f>'Base Blend Property Calculation'!BI62</f>
        <v>1350</v>
      </c>
      <c r="G57" s="7">
        <f>'Base Blend Property Calculation'!BJ62</f>
        <v>1.748</v>
      </c>
      <c r="H57" s="8" t="str">
        <f>'Base Blend Property Calculation'!BK62</f>
        <v>N</v>
      </c>
      <c r="I57" s="5">
        <f>'Base Blend Property Calculation'!BL62</f>
        <v>30</v>
      </c>
      <c r="J57" s="5">
        <f>'Base Blend Property Calculation'!BM62</f>
        <v>0</v>
      </c>
      <c r="K57" s="5">
        <f>'Base Blend Property Calculation'!BO62</f>
        <v>1000</v>
      </c>
    </row>
    <row r="58" spans="1:11" x14ac:dyDescent="0.25">
      <c r="A58" s="5" t="str">
        <f>'Base Blend Property Calculation'!A63</f>
        <v>LDP-C-0516</v>
      </c>
      <c r="B58" s="5" t="str">
        <f>'Base Blend Property Calculation'!B63</f>
        <v>LDP-C-0516</v>
      </c>
      <c r="C58" s="6">
        <f>'Base Blend Property Calculation'!BN63</f>
        <v>0</v>
      </c>
      <c r="D58" s="7">
        <f>'Base Blend Property Calculation'!BG63</f>
        <v>0.434</v>
      </c>
      <c r="E58" s="7">
        <f>'Base Blend Property Calculation'!BH63</f>
        <v>0.77900000000000003</v>
      </c>
      <c r="F58" s="8">
        <f>'Base Blend Property Calculation'!BI63</f>
        <v>1840</v>
      </c>
      <c r="G58" s="7">
        <f>'Base Blend Property Calculation'!BJ63</f>
        <v>2.899</v>
      </c>
      <c r="H58" s="8" t="str">
        <f>'Base Blend Property Calculation'!BK63</f>
        <v>Y</v>
      </c>
      <c r="I58" s="5">
        <f>'Base Blend Property Calculation'!BL63</f>
        <v>30</v>
      </c>
      <c r="J58" s="5">
        <f>'Base Blend Property Calculation'!BM63</f>
        <v>0</v>
      </c>
      <c r="K58" s="5">
        <f>'Base Blend Property Calculation'!BO63</f>
        <v>1000</v>
      </c>
    </row>
    <row r="59" spans="1:11" x14ac:dyDescent="0.25">
      <c r="A59" s="5" t="str">
        <f>'Base Blend Property Calculation'!A64</f>
        <v>LDP-C-0517</v>
      </c>
      <c r="B59" s="5" t="str">
        <f>'Base Blend Property Calculation'!B64</f>
        <v>LDP-C-0517</v>
      </c>
      <c r="C59" s="6">
        <f>'Base Blend Property Calculation'!BN64</f>
        <v>0</v>
      </c>
      <c r="D59" s="7">
        <f>'Base Blend Property Calculation'!BG64</f>
        <v>0.61799999999999999</v>
      </c>
      <c r="E59" s="7">
        <f>'Base Blend Property Calculation'!BH64</f>
        <v>1.198</v>
      </c>
      <c r="F59" s="8">
        <f>'Base Blend Property Calculation'!BI64</f>
        <v>1350</v>
      </c>
      <c r="G59" s="7">
        <f>'Base Blend Property Calculation'!BJ64</f>
        <v>1.722</v>
      </c>
      <c r="H59" s="8" t="str">
        <f>'Base Blend Property Calculation'!BK64</f>
        <v>N</v>
      </c>
      <c r="I59" s="5">
        <f>'Base Blend Property Calculation'!BL64</f>
        <v>30</v>
      </c>
      <c r="J59" s="5">
        <f>'Base Blend Property Calculation'!BM64</f>
        <v>0</v>
      </c>
      <c r="K59" s="5">
        <f>'Base Blend Property Calculation'!BO64</f>
        <v>1000</v>
      </c>
    </row>
    <row r="60" spans="1:11" x14ac:dyDescent="0.25">
      <c r="A60" s="5" t="str">
        <f>'Base Blend Property Calculation'!A65</f>
        <v>LITEmix PRO</v>
      </c>
      <c r="B60" s="5" t="str">
        <f>'Base Blend Property Calculation'!B65</f>
        <v>LITEmix PRO</v>
      </c>
      <c r="C60" s="6">
        <f>'Base Blend Property Calculation'!BN65</f>
        <v>0</v>
      </c>
      <c r="D60" s="7">
        <f>'Base Blend Property Calculation'!BG65</f>
        <v>1.54</v>
      </c>
      <c r="E60" s="7">
        <f>'Base Blend Property Calculation'!BH65</f>
        <v>1.895</v>
      </c>
      <c r="F60" s="8">
        <f>'Base Blend Property Calculation'!BI65</f>
        <v>1340</v>
      </c>
      <c r="G60" s="7">
        <f>'Base Blend Property Calculation'!BJ65</f>
        <v>2.8169014084507045</v>
      </c>
      <c r="H60" s="8" t="str">
        <f>'Base Blend Property Calculation'!BK65</f>
        <v>N</v>
      </c>
      <c r="I60" s="5">
        <f>'Base Blend Property Calculation'!BL65</f>
        <v>42</v>
      </c>
      <c r="J60" s="5">
        <f>'Base Blend Property Calculation'!BM65</f>
        <v>0</v>
      </c>
      <c r="K60" s="5">
        <f>'Base Blend Property Calculation'!BO65</f>
        <v>1000</v>
      </c>
    </row>
    <row r="61" spans="1:11" x14ac:dyDescent="0.25">
      <c r="A61" s="5" t="str">
        <f>'Base Blend Property Calculation'!A66</f>
        <v>LDP-C-1616</v>
      </c>
      <c r="B61" s="5" t="str">
        <f>'Base Blend Property Calculation'!B66</f>
        <v>LDP-C-1616</v>
      </c>
      <c r="C61" s="6">
        <f>'Base Blend Property Calculation'!BN66</f>
        <v>0</v>
      </c>
      <c r="D61" s="7">
        <f>'Base Blend Property Calculation'!BG66</f>
        <v>0.64200000000000002</v>
      </c>
      <c r="E61" s="7">
        <f>'Base Blend Property Calculation'!BH66</f>
        <v>1.026</v>
      </c>
      <c r="F61" s="8">
        <f>'Base Blend Property Calculation'!BI66</f>
        <v>1600</v>
      </c>
      <c r="G61" s="7">
        <f>'Base Blend Property Calculation'!BJ66</f>
        <v>2.6019999999999999</v>
      </c>
      <c r="H61" s="8" t="str">
        <f>'Base Blend Property Calculation'!BK66</f>
        <v>N</v>
      </c>
      <c r="I61" s="5">
        <f>'Base Blend Property Calculation'!BL66</f>
        <v>4</v>
      </c>
      <c r="J61" s="5">
        <f>'Base Blend Property Calculation'!BM66</f>
        <v>0</v>
      </c>
      <c r="K61" s="5">
        <f>'Base Blend Property Calculation'!BO66</f>
        <v>1000</v>
      </c>
    </row>
    <row r="62" spans="1:11" x14ac:dyDescent="0.25">
      <c r="A62" s="5" t="str">
        <f>'Base Blend Property Calculation'!A67</f>
        <v>Litefill 1400 HT</v>
      </c>
      <c r="B62" s="5" t="str">
        <f>'Base Blend Property Calculation'!B67</f>
        <v>Litefill 1400 HT</v>
      </c>
      <c r="C62" s="6">
        <f>'Base Blend Property Calculation'!BN67</f>
        <v>0</v>
      </c>
      <c r="D62" s="7">
        <f>'Base Blend Property Calculation'!BG67</f>
        <v>1.3999256147010519</v>
      </c>
      <c r="E62" s="7">
        <f>'Base Blend Property Calculation'!BH67</f>
        <v>1.7142325819293229</v>
      </c>
      <c r="F62" s="8">
        <f>'Base Blend Property Calculation'!BI67</f>
        <v>1400</v>
      </c>
      <c r="G62" s="7">
        <f>'Base Blend Property Calculation'!BJ67</f>
        <v>3.1816030322793711</v>
      </c>
      <c r="H62" s="8" t="str">
        <f>'Base Blend Property Calculation'!BK67</f>
        <v>Y</v>
      </c>
      <c r="I62" s="5">
        <f>'Base Blend Property Calculation'!BL67</f>
        <v>31</v>
      </c>
      <c r="J62" s="5">
        <f>'Base Blend Property Calculation'!BM67</f>
        <v>0</v>
      </c>
      <c r="K62" s="5">
        <f>'Base Blend Property Calculation'!BO67</f>
        <v>1000</v>
      </c>
    </row>
    <row r="63" spans="1:11" x14ac:dyDescent="0.25">
      <c r="A63" s="5" t="str">
        <f>'Base Blend Property Calculation'!A68</f>
        <v>Litefill 1400 LT</v>
      </c>
      <c r="B63" s="5" t="str">
        <f>'Base Blend Property Calculation'!B68</f>
        <v>Litefill 1400 LT</v>
      </c>
      <c r="C63" s="6">
        <f>'Base Blend Property Calculation'!BN68</f>
        <v>0</v>
      </c>
      <c r="D63" s="7">
        <f>'Base Blend Property Calculation'!BG68</f>
        <v>1.397939575247952</v>
      </c>
      <c r="E63" s="7">
        <f>'Base Blend Property Calculation'!BH68</f>
        <v>1.7128139823199657</v>
      </c>
      <c r="F63" s="8">
        <f>'Base Blend Property Calculation'!BI68</f>
        <v>1400</v>
      </c>
      <c r="G63" s="7">
        <f>'Base Blend Property Calculation'!BJ68</f>
        <v>3.17586941821948</v>
      </c>
      <c r="H63" s="8" t="str">
        <f>'Base Blend Property Calculation'!BK68</f>
        <v>Y</v>
      </c>
      <c r="I63" s="5">
        <f>'Base Blend Property Calculation'!BL68</f>
        <v>31</v>
      </c>
      <c r="J63" s="5">
        <f>'Base Blend Property Calculation'!BM68</f>
        <v>0</v>
      </c>
      <c r="K63" s="5">
        <f>'Base Blend Property Calculation'!BO68</f>
        <v>1000</v>
      </c>
    </row>
    <row r="64" spans="1:11" x14ac:dyDescent="0.25">
      <c r="A64" s="5" t="str">
        <f>'Base Blend Property Calculation'!A69</f>
        <v>Litefill 1400 MT</v>
      </c>
      <c r="B64" s="5" t="str">
        <f>'Base Blend Property Calculation'!B69</f>
        <v>Litefill 1400 MT</v>
      </c>
      <c r="C64" s="6">
        <f>'Base Blend Property Calculation'!BN69</f>
        <v>0</v>
      </c>
      <c r="D64" s="7">
        <f>'Base Blend Property Calculation'!BG69</f>
        <v>1.3992636015500184</v>
      </c>
      <c r="E64" s="7">
        <f>'Base Blend Property Calculation'!BH69</f>
        <v>1.7137597153928703</v>
      </c>
      <c r="F64" s="8">
        <f>'Base Blend Property Calculation'!BI69</f>
        <v>1400</v>
      </c>
      <c r="G64" s="7">
        <f>'Base Blend Property Calculation'!BJ69</f>
        <v>3.1796895286905902</v>
      </c>
      <c r="H64" s="8" t="str">
        <f>'Base Blend Property Calculation'!BK69</f>
        <v>N</v>
      </c>
      <c r="I64" s="5">
        <f>'Base Blend Property Calculation'!BL69</f>
        <v>42</v>
      </c>
      <c r="J64" s="5">
        <f>'Base Blend Property Calculation'!BM69</f>
        <v>0</v>
      </c>
      <c r="K64" s="5">
        <f>'Base Blend Property Calculation'!BO69</f>
        <v>1000</v>
      </c>
    </row>
    <row r="65" spans="1:11" x14ac:dyDescent="0.25">
      <c r="A65" s="5" t="str">
        <f>'Base Blend Property Calculation'!A70</f>
        <v>Litefill 1450 HT</v>
      </c>
      <c r="B65" s="5" t="str">
        <f>'Base Blend Property Calculation'!B70</f>
        <v>Litefill 1450 HT</v>
      </c>
      <c r="C65" s="6">
        <f>'Base Blend Property Calculation'!BN70</f>
        <v>0</v>
      </c>
      <c r="D65" s="7">
        <f>'Base Blend Property Calculation'!BG70</f>
        <v>1.2094553278200157</v>
      </c>
      <c r="E65" s="7">
        <f>'Base Blend Property Calculation'!BH70</f>
        <v>1.5237622950482868</v>
      </c>
      <c r="F65" s="8">
        <f>'Base Blend Property Calculation'!BI70</f>
        <v>1450</v>
      </c>
      <c r="G65" s="7">
        <f>'Base Blend Property Calculation'!BJ70</f>
        <v>3.1816030322793711</v>
      </c>
      <c r="H65" s="8" t="str">
        <f>'Base Blend Property Calculation'!BK70</f>
        <v>N</v>
      </c>
      <c r="I65" s="5">
        <f>'Base Blend Property Calculation'!BL70</f>
        <v>42</v>
      </c>
      <c r="J65" s="5">
        <f>'Base Blend Property Calculation'!BM70</f>
        <v>0</v>
      </c>
      <c r="K65" s="5">
        <f>'Base Blend Property Calculation'!BO70</f>
        <v>1000</v>
      </c>
    </row>
    <row r="66" spans="1:11" x14ac:dyDescent="0.25">
      <c r="A66" s="5" t="str">
        <f>'Base Blend Property Calculation'!A71</f>
        <v>Litefill 1450 LT</v>
      </c>
      <c r="B66" s="5" t="str">
        <f>'Base Blend Property Calculation'!B71</f>
        <v>Litefill 1450 LT</v>
      </c>
      <c r="C66" s="6">
        <f>'Base Blend Property Calculation'!BN71</f>
        <v>0</v>
      </c>
      <c r="D66" s="7">
        <f>'Base Blend Property Calculation'!BG71</f>
        <v>1.2076269105457333</v>
      </c>
      <c r="E66" s="7">
        <f>'Base Blend Property Calculation'!BH71</f>
        <v>1.5225013176177471</v>
      </c>
      <c r="F66" s="8">
        <f>'Base Blend Property Calculation'!BI71</f>
        <v>1450</v>
      </c>
      <c r="G66" s="7">
        <f>'Base Blend Property Calculation'!BJ71</f>
        <v>3.17586941821948</v>
      </c>
      <c r="H66" s="8" t="str">
        <f>'Base Blend Property Calculation'!BK71</f>
        <v>N</v>
      </c>
      <c r="I66" s="5">
        <f>'Base Blend Property Calculation'!BL71</f>
        <v>42</v>
      </c>
      <c r="J66" s="5">
        <f>'Base Blend Property Calculation'!BM71</f>
        <v>0</v>
      </c>
      <c r="K66" s="5">
        <f>'Base Blend Property Calculation'!BO71</f>
        <v>1000</v>
      </c>
    </row>
    <row r="67" spans="1:11" x14ac:dyDescent="0.25">
      <c r="A67" s="5" t="str">
        <f>'Base Blend Property Calculation'!A72</f>
        <v>Litefill 1450 MT</v>
      </c>
      <c r="B67" s="5" t="str">
        <f>'Base Blend Property Calculation'!B72</f>
        <v>Litefill 1450 MT</v>
      </c>
      <c r="C67" s="6">
        <f>'Base Blend Property Calculation'!BN72</f>
        <v>0</v>
      </c>
      <c r="D67" s="7">
        <f>'Base Blend Property Calculation'!BG72</f>
        <v>1.208845855395255</v>
      </c>
      <c r="E67" s="7">
        <f>'Base Blend Property Calculation'!BH72</f>
        <v>1.5233419692381069</v>
      </c>
      <c r="F67" s="8">
        <f>'Base Blend Property Calculation'!BI72</f>
        <v>1450</v>
      </c>
      <c r="G67" s="7">
        <f>'Base Blend Property Calculation'!BJ72</f>
        <v>3.1796895286905902</v>
      </c>
      <c r="H67" s="8" t="str">
        <f>'Base Blend Property Calculation'!BK72</f>
        <v>N</v>
      </c>
      <c r="I67" s="5">
        <f>'Base Blend Property Calculation'!BL72</f>
        <v>42</v>
      </c>
      <c r="J67" s="5">
        <f>'Base Blend Property Calculation'!BM72</f>
        <v>0</v>
      </c>
      <c r="K67" s="5">
        <f>'Base Blend Property Calculation'!BO72</f>
        <v>1000</v>
      </c>
    </row>
    <row r="68" spans="1:11" x14ac:dyDescent="0.25">
      <c r="A68" s="5" t="str">
        <f>'Base Blend Property Calculation'!A73</f>
        <v>Litefill 1500 HT</v>
      </c>
      <c r="B68" s="5" t="str">
        <f>'Base Blend Property Calculation'!B73</f>
        <v>Litefill 1500 HT</v>
      </c>
      <c r="C68" s="6">
        <f>'Base Blend Property Calculation'!BN73</f>
        <v>0</v>
      </c>
      <c r="D68" s="7">
        <f>'Base Blend Property Calculation'!BG73</f>
        <v>1.0570790983151872</v>
      </c>
      <c r="E68" s="7">
        <f>'Base Blend Property Calculation'!BH73</f>
        <v>1.3713860655434582</v>
      </c>
      <c r="F68" s="8">
        <f>'Base Blend Property Calculation'!BI73</f>
        <v>1500</v>
      </c>
      <c r="G68" s="7">
        <f>'Base Blend Property Calculation'!BJ73</f>
        <v>3.1816030322793711</v>
      </c>
      <c r="H68" s="8" t="str">
        <f>'Base Blend Property Calculation'!BK73</f>
        <v>N</v>
      </c>
      <c r="I68" s="5">
        <f>'Base Blend Property Calculation'!BL73</f>
        <v>42</v>
      </c>
      <c r="J68" s="5">
        <f>'Base Blend Property Calculation'!BM73</f>
        <v>0</v>
      </c>
      <c r="K68" s="5">
        <f>'Base Blend Property Calculation'!BO73</f>
        <v>1000</v>
      </c>
    </row>
    <row r="69" spans="1:11" x14ac:dyDescent="0.25">
      <c r="A69" s="5" t="str">
        <f>'Base Blend Property Calculation'!A74</f>
        <v>Litefill 1500 LT</v>
      </c>
      <c r="B69" s="5" t="str">
        <f>'Base Blend Property Calculation'!B74</f>
        <v>Litefill 1500 LT</v>
      </c>
      <c r="C69" s="6">
        <f>'Base Blend Property Calculation'!BN74</f>
        <v>0</v>
      </c>
      <c r="D69" s="7">
        <f>'Base Blend Property Calculation'!BG74</f>
        <v>1.0553767787839585</v>
      </c>
      <c r="E69" s="7">
        <f>'Base Blend Property Calculation'!BH74</f>
        <v>1.3702511858559723</v>
      </c>
      <c r="F69" s="8">
        <f>'Base Blend Property Calculation'!BI74</f>
        <v>1500</v>
      </c>
      <c r="G69" s="7">
        <f>'Base Blend Property Calculation'!BJ74</f>
        <v>3.17586941821948</v>
      </c>
      <c r="H69" s="8" t="str">
        <f>'Base Blend Property Calculation'!BK74</f>
        <v>N</v>
      </c>
      <c r="I69" s="5">
        <f>'Base Blend Property Calculation'!BL74</f>
        <v>42</v>
      </c>
      <c r="J69" s="5">
        <f>'Base Blend Property Calculation'!BM74</f>
        <v>0</v>
      </c>
      <c r="K69" s="5">
        <f>'Base Blend Property Calculation'!BO74</f>
        <v>1000</v>
      </c>
    </row>
    <row r="70" spans="1:11" x14ac:dyDescent="0.25">
      <c r="A70" s="5" t="str">
        <f>'Base Blend Property Calculation'!A75</f>
        <v>Litefill 1500 MT</v>
      </c>
      <c r="B70" s="5" t="str">
        <f>'Base Blend Property Calculation'!B75</f>
        <v>Litefill 1500 MT</v>
      </c>
      <c r="C70" s="6">
        <f>'Base Blend Property Calculation'!BN75</f>
        <v>0</v>
      </c>
      <c r="D70" s="7">
        <f>'Base Blend Property Calculation'!BG75</f>
        <v>1.0565116584714442</v>
      </c>
      <c r="E70" s="7">
        <f>'Base Blend Property Calculation'!BH75</f>
        <v>1.3710077723142962</v>
      </c>
      <c r="F70" s="8">
        <f>'Base Blend Property Calculation'!BI75</f>
        <v>1500</v>
      </c>
      <c r="G70" s="7">
        <f>'Base Blend Property Calculation'!BJ75</f>
        <v>3.1796895286905902</v>
      </c>
      <c r="H70" s="8" t="str">
        <f>'Base Blend Property Calculation'!BK75</f>
        <v>N</v>
      </c>
      <c r="I70" s="5">
        <f>'Base Blend Property Calculation'!BL75</f>
        <v>42</v>
      </c>
      <c r="J70" s="5">
        <f>'Base Blend Property Calculation'!BM75</f>
        <v>0</v>
      </c>
      <c r="K70" s="5">
        <f>'Base Blend Property Calculation'!BO75</f>
        <v>1000</v>
      </c>
    </row>
    <row r="71" spans="1:11" x14ac:dyDescent="0.25">
      <c r="A71" s="5" t="str">
        <f>'Base Blend Property Calculation'!A76</f>
        <v>Litefill 1550 HT</v>
      </c>
      <c r="B71" s="5" t="str">
        <f>'Base Blend Property Calculation'!B76</f>
        <v>Litefill 1550 HT</v>
      </c>
      <c r="C71" s="6">
        <f>'Base Blend Property Calculation'!BN76</f>
        <v>0</v>
      </c>
      <c r="D71" s="7">
        <f>'Base Blend Property Calculation'!BG76</f>
        <v>0.93240763781123648</v>
      </c>
      <c r="E71" s="7">
        <f>'Base Blend Property Calculation'!BH76</f>
        <v>1.2467146050395075</v>
      </c>
      <c r="F71" s="8">
        <f>'Base Blend Property Calculation'!BI76</f>
        <v>1550</v>
      </c>
      <c r="G71" s="7">
        <f>'Base Blend Property Calculation'!BJ76</f>
        <v>3.1816030322793711</v>
      </c>
      <c r="H71" s="8" t="str">
        <f>'Base Blend Property Calculation'!BK76</f>
        <v>N</v>
      </c>
      <c r="I71" s="5">
        <f>'Base Blend Property Calculation'!BL76</f>
        <v>42</v>
      </c>
      <c r="J71" s="5">
        <f>'Base Blend Property Calculation'!BM76</f>
        <v>0</v>
      </c>
      <c r="K71" s="5">
        <f>'Base Blend Property Calculation'!BO76</f>
        <v>1000</v>
      </c>
    </row>
    <row r="72" spans="1:11" x14ac:dyDescent="0.25">
      <c r="A72" s="5" t="str">
        <f>'Base Blend Property Calculation'!A77</f>
        <v>Litefill 1550 LT</v>
      </c>
      <c r="B72" s="5" t="str">
        <f>'Base Blend Property Calculation'!B77</f>
        <v>Litefill 1550 LT</v>
      </c>
      <c r="C72" s="6">
        <f>'Base Blend Property Calculation'!BN77</f>
        <v>0</v>
      </c>
      <c r="D72" s="7">
        <f>'Base Blend Property Calculation'!BG77</f>
        <v>0.93080848916068826</v>
      </c>
      <c r="E72" s="7">
        <f>'Base Blend Property Calculation'!BH77</f>
        <v>1.245682896232702</v>
      </c>
      <c r="F72" s="8">
        <f>'Base Blend Property Calculation'!BI77</f>
        <v>1550</v>
      </c>
      <c r="G72" s="7">
        <f>'Base Blend Property Calculation'!BJ77</f>
        <v>3.17586941821948</v>
      </c>
      <c r="H72" s="8" t="str">
        <f>'Base Blend Property Calculation'!BK77</f>
        <v>N</v>
      </c>
      <c r="I72" s="5">
        <f>'Base Blend Property Calculation'!BL77</f>
        <v>42</v>
      </c>
      <c r="J72" s="5">
        <f>'Base Blend Property Calculation'!BM77</f>
        <v>0</v>
      </c>
      <c r="K72" s="5">
        <f>'Base Blend Property Calculation'!BO77</f>
        <v>1000</v>
      </c>
    </row>
    <row r="73" spans="1:11" x14ac:dyDescent="0.25">
      <c r="A73" s="5" t="str">
        <f>'Base Blend Property Calculation'!A78</f>
        <v>Litefill 1550 MT</v>
      </c>
      <c r="B73" s="5" t="str">
        <f>'Base Blend Property Calculation'!B78</f>
        <v>Litefill 1550 MT</v>
      </c>
      <c r="C73" s="6">
        <f>'Base Blend Property Calculation'!BN78</f>
        <v>0</v>
      </c>
      <c r="D73" s="7">
        <f>'Base Blend Property Calculation'!BG78</f>
        <v>0.93187458826105363</v>
      </c>
      <c r="E73" s="7">
        <f>'Base Blend Property Calculation'!BH78</f>
        <v>1.2463707021039054</v>
      </c>
      <c r="F73" s="8">
        <f>'Base Blend Property Calculation'!BI78</f>
        <v>1550</v>
      </c>
      <c r="G73" s="7">
        <f>'Base Blend Property Calculation'!BJ78</f>
        <v>3.1796895286905911</v>
      </c>
      <c r="H73" s="8" t="str">
        <f>'Base Blend Property Calculation'!BK78</f>
        <v>N</v>
      </c>
      <c r="I73" s="5">
        <f>'Base Blend Property Calculation'!BL78</f>
        <v>42</v>
      </c>
      <c r="J73" s="5">
        <f>'Base Blend Property Calculation'!BM78</f>
        <v>0</v>
      </c>
      <c r="K73" s="5">
        <f>'Base Blend Property Calculation'!BO78</f>
        <v>1000</v>
      </c>
    </row>
    <row r="74" spans="1:11" x14ac:dyDescent="0.25">
      <c r="A74" s="5" t="str">
        <f>'Base Blend Property Calculation'!A79</f>
        <v>LITEmix 1325 (AB)</v>
      </c>
      <c r="B74" s="5" t="str">
        <f>'Base Blend Property Calculation'!B79</f>
        <v>LITEmix 1325 (AB)</v>
      </c>
      <c r="C74" s="6">
        <f>'Base Blend Property Calculation'!BN79</f>
        <v>0</v>
      </c>
      <c r="D74" s="7">
        <f>'Base Blend Property Calculation'!BG79</f>
        <v>1.5759612067847217</v>
      </c>
      <c r="E74" s="7">
        <f>'Base Blend Property Calculation'!BH79</f>
        <v>1.9441216654979032</v>
      </c>
      <c r="F74" s="8">
        <f>'Base Blend Property Calculation'!BI79</f>
        <v>1325</v>
      </c>
      <c r="G74" s="7">
        <f>'Base Blend Property Calculation'!BJ79</f>
        <v>2.7162069590397224</v>
      </c>
      <c r="H74" s="8" t="str">
        <f>'Base Blend Property Calculation'!BK79</f>
        <v>N</v>
      </c>
      <c r="I74" s="5">
        <f>'Base Blend Property Calculation'!BL79</f>
        <v>42</v>
      </c>
      <c r="J74" s="5">
        <f>'Base Blend Property Calculation'!BM79</f>
        <v>0</v>
      </c>
      <c r="K74" s="5">
        <f>'Base Blend Property Calculation'!BO79</f>
        <v>1000</v>
      </c>
    </row>
    <row r="75" spans="1:11" x14ac:dyDescent="0.25">
      <c r="A75" s="5" t="str">
        <f>'Base Blend Property Calculation'!A80</f>
        <v>LITEmix 1325 (SK)</v>
      </c>
      <c r="B75" s="5" t="str">
        <f>'Base Blend Property Calculation'!B80</f>
        <v>LITEmix 1325 (SK)</v>
      </c>
      <c r="C75" s="6">
        <f>'Base Blend Property Calculation'!BN80</f>
        <v>0</v>
      </c>
      <c r="D75" s="7">
        <f>'Base Blend Property Calculation'!BG80</f>
        <v>1.6703991885200751</v>
      </c>
      <c r="E75" s="7">
        <f>'Base Blend Property Calculation'!BH80</f>
        <v>2.0153956139774154</v>
      </c>
      <c r="F75" s="8">
        <f>'Base Blend Property Calculation'!BI80</f>
        <v>1325</v>
      </c>
      <c r="G75" s="7">
        <f>'Base Blend Property Calculation'!BJ80</f>
        <v>2.89858075681324</v>
      </c>
      <c r="H75" s="8" t="str">
        <f>'Base Blend Property Calculation'!BK80</f>
        <v>N</v>
      </c>
      <c r="I75" s="5">
        <f>'Base Blend Property Calculation'!BL80</f>
        <v>42</v>
      </c>
      <c r="J75" s="5">
        <f>'Base Blend Property Calculation'!BM80</f>
        <v>0</v>
      </c>
      <c r="K75" s="5">
        <f>'Base Blend Property Calculation'!BO80</f>
        <v>1000</v>
      </c>
    </row>
    <row r="76" spans="1:11" x14ac:dyDescent="0.25">
      <c r="A76" s="5" t="str">
        <f>'Base Blend Property Calculation'!A81</f>
        <v>LITEmix 1400 (AB)</v>
      </c>
      <c r="B76" s="5" t="str">
        <f>'Base Blend Property Calculation'!B81</f>
        <v>LITEmix 1400 (AB)</v>
      </c>
      <c r="C76" s="6">
        <f>'Base Blend Property Calculation'!BN81</f>
        <v>0</v>
      </c>
      <c r="D76" s="7">
        <f>'Base Blend Property Calculation'!BG81</f>
        <v>1.1759808123539981</v>
      </c>
      <c r="E76" s="7">
        <f>'Base Blend Property Calculation'!BH81</f>
        <v>1.5542720088242845</v>
      </c>
      <c r="F76" s="8">
        <f>'Base Blend Property Calculation'!BI81</f>
        <v>1400</v>
      </c>
      <c r="G76" s="7">
        <f>'Base Blend Property Calculation'!BJ81</f>
        <v>2.6434662221343732</v>
      </c>
      <c r="H76" s="8" t="str">
        <f>'Base Blend Property Calculation'!BK81</f>
        <v>N</v>
      </c>
      <c r="I76" s="5">
        <f>'Base Blend Property Calculation'!BL81</f>
        <v>42</v>
      </c>
      <c r="J76" s="5">
        <f>'Base Blend Property Calculation'!BM81</f>
        <v>0</v>
      </c>
      <c r="K76" s="5">
        <f>'Base Blend Property Calculation'!BO81</f>
        <v>1000</v>
      </c>
    </row>
    <row r="77" spans="1:11" x14ac:dyDescent="0.25">
      <c r="A77" s="5" t="str">
        <f>'Base Blend Property Calculation'!A82</f>
        <v>LITEmix 1400 (SK)</v>
      </c>
      <c r="B77" s="5" t="str">
        <f>'Base Blend Property Calculation'!B82</f>
        <v>LITEmix 1400 (SK)</v>
      </c>
      <c r="C77" s="6">
        <f>'Base Blend Property Calculation'!BN82</f>
        <v>0</v>
      </c>
      <c r="D77" s="7">
        <f>'Base Blend Property Calculation'!BG82</f>
        <v>1.2635173583171959</v>
      </c>
      <c r="E77" s="7">
        <f>'Base Blend Property Calculation'!BH82</f>
        <v>1.6167981130837115</v>
      </c>
      <c r="F77" s="8">
        <f>'Base Blend Property Calculation'!BI82</f>
        <v>1400</v>
      </c>
      <c r="G77" s="7">
        <f>'Base Blend Property Calculation'!BJ82</f>
        <v>2.8306098945607818</v>
      </c>
      <c r="H77" s="8" t="str">
        <f>'Base Blend Property Calculation'!BK82</f>
        <v>N</v>
      </c>
      <c r="I77" s="5">
        <f>'Base Blend Property Calculation'!BL82</f>
        <v>42</v>
      </c>
      <c r="J77" s="5">
        <f>'Base Blend Property Calculation'!BM82</f>
        <v>0</v>
      </c>
      <c r="K77" s="5">
        <f>'Base Blend Property Calculation'!BO82</f>
        <v>1000</v>
      </c>
    </row>
    <row r="78" spans="1:11" x14ac:dyDescent="0.25">
      <c r="A78" s="5" t="str">
        <f>'Base Blend Property Calculation'!A83</f>
        <v>LITEmix EC</v>
      </c>
      <c r="B78" s="5" t="str">
        <f>'Base Blend Property Calculation'!B83</f>
        <v>LITEmix EC</v>
      </c>
      <c r="C78" s="6">
        <f>'Base Blend Property Calculation'!BN83</f>
        <v>0</v>
      </c>
      <c r="D78" s="7">
        <f>'Base Blend Property Calculation'!BG83</f>
        <v>1.0589999999999999</v>
      </c>
      <c r="E78" s="7">
        <f>'Base Blend Property Calculation'!BH83</f>
        <v>1.373</v>
      </c>
      <c r="F78" s="8">
        <f>'Base Blend Property Calculation'!BI83</f>
        <v>1500</v>
      </c>
      <c r="G78" s="7">
        <f>'Base Blend Property Calculation'!BJ83</f>
        <v>3.1880000000000002</v>
      </c>
      <c r="H78" s="8" t="str">
        <f>'Base Blend Property Calculation'!BK83</f>
        <v>N</v>
      </c>
      <c r="I78" s="5">
        <f>'Base Blend Property Calculation'!BL83</f>
        <v>42</v>
      </c>
      <c r="J78" s="5">
        <f>'Base Blend Property Calculation'!BM83</f>
        <v>0</v>
      </c>
      <c r="K78" s="5">
        <f>'Base Blend Property Calculation'!BO83</f>
        <v>1000</v>
      </c>
    </row>
    <row r="79" spans="1:11" x14ac:dyDescent="0.25">
      <c r="A79" s="5" t="str">
        <f>'Base Blend Property Calculation'!A84</f>
        <v>PRODUCTIONmix 1500 PRO (LDP-C-3515)</v>
      </c>
      <c r="B79" s="5" t="str">
        <f>'Base Blend Property Calculation'!B84</f>
        <v>PRODUCTIONmix 1500 PRO (LDP-C-3515)</v>
      </c>
      <c r="C79" s="6">
        <f>'Base Blend Property Calculation'!BN84</f>
        <v>0</v>
      </c>
      <c r="D79" s="7">
        <f>'Base Blend Property Calculation'!BG84</f>
        <v>0.86844498606891374</v>
      </c>
      <c r="E79" s="7">
        <f>'Base Blend Property Calculation'!BH84</f>
        <v>1.2456299907126092</v>
      </c>
      <c r="F79" s="8">
        <f>'Base Blend Property Calculation'!BI84</f>
        <v>1500</v>
      </c>
      <c r="G79" s="7">
        <f>'Base Blend Property Calculation'!BJ84</f>
        <v>2.6512188652479476</v>
      </c>
      <c r="H79" s="8" t="str">
        <f>'Base Blend Property Calculation'!BK84</f>
        <v>N</v>
      </c>
      <c r="I79" s="5">
        <f>'Base Blend Property Calculation'!BL84</f>
        <v>42</v>
      </c>
      <c r="J79" s="5">
        <f>'Base Blend Property Calculation'!BM84</f>
        <v>0</v>
      </c>
      <c r="K79" s="5">
        <f>'Base Blend Property Calculation'!BO84</f>
        <v>1000</v>
      </c>
    </row>
    <row r="80" spans="1:11" x14ac:dyDescent="0.25">
      <c r="A80" s="5" t="str">
        <f>'Base Blend Property Calculation'!A85</f>
        <v>PRODUCTIONmix 1600</v>
      </c>
      <c r="B80" s="5" t="str">
        <f>'Base Blend Property Calculation'!B85</f>
        <v>PRODUCTIONmix 1600</v>
      </c>
      <c r="C80" s="6">
        <f>'Base Blend Property Calculation'!BN85</f>
        <v>0</v>
      </c>
      <c r="D80" s="7">
        <f>'Base Blend Property Calculation'!BG85</f>
        <v>0.66200000000000003</v>
      </c>
      <c r="E80" s="7">
        <f>'Base Blend Property Calculation'!BH85</f>
        <v>1.0389999999999999</v>
      </c>
      <c r="F80" s="8">
        <f>'Base Blend Property Calculation'!BI85</f>
        <v>1600</v>
      </c>
      <c r="G80" s="7">
        <f>'Base Blend Property Calculation'!BJ85</f>
        <v>2.6525198938992052</v>
      </c>
      <c r="H80" s="8" t="str">
        <f>'Base Blend Property Calculation'!BK85</f>
        <v>N</v>
      </c>
      <c r="I80" s="5">
        <f>'Base Blend Property Calculation'!BL85</f>
        <v>42</v>
      </c>
      <c r="J80" s="5">
        <f>'Base Blend Property Calculation'!BM85</f>
        <v>0</v>
      </c>
      <c r="K80" s="5">
        <f>'Base Blend Property Calculation'!BO85</f>
        <v>1000</v>
      </c>
    </row>
    <row r="81" spans="1:11" x14ac:dyDescent="0.25">
      <c r="A81" s="5" t="str">
        <f>'Base Blend Property Calculation'!A86</f>
        <v>PRODUCTIONmix 1600 (SK)</v>
      </c>
      <c r="B81" s="5" t="str">
        <f>'Base Blend Property Calculation'!B86</f>
        <v>PRODUCTIONmix 1600 (SK)</v>
      </c>
      <c r="C81" s="6">
        <f>'Base Blend Property Calculation'!BN86</f>
        <v>0</v>
      </c>
      <c r="D81" s="7">
        <f>'Base Blend Property Calculation'!BG86</f>
        <v>0.7</v>
      </c>
      <c r="E81" s="7">
        <f>'Base Blend Property Calculation'!BH86</f>
        <v>1.0629999999999999</v>
      </c>
      <c r="F81" s="8">
        <f>'Base Blend Property Calculation'!BI86</f>
        <v>1600</v>
      </c>
      <c r="G81" s="7">
        <f>'Base Blend Property Calculation'!BJ86</f>
        <v>2.7589999999999999</v>
      </c>
      <c r="H81" s="8" t="str">
        <f>'Base Blend Property Calculation'!BK86</f>
        <v>N</v>
      </c>
      <c r="I81" s="5">
        <f>'Base Blend Property Calculation'!BL86</f>
        <v>42</v>
      </c>
      <c r="J81" s="5">
        <f>'Base Blend Property Calculation'!BM86</f>
        <v>0</v>
      </c>
      <c r="K81" s="5">
        <f>'Base Blend Property Calculation'!BO86</f>
        <v>1000</v>
      </c>
    </row>
    <row r="82" spans="1:11" x14ac:dyDescent="0.25">
      <c r="A82" s="5" t="e">
        <f>'Base Blend Property Calculation'!#REF!</f>
        <v>#REF!</v>
      </c>
      <c r="B82" s="5" t="e">
        <f>'Base Blend Property Calculation'!#REF!</f>
        <v>#REF!</v>
      </c>
      <c r="C82" s="6" t="e">
        <f>'Base Blend Property Calculation'!#REF!</f>
        <v>#REF!</v>
      </c>
      <c r="D82" s="7" t="e">
        <f>'Base Blend Property Calculation'!#REF!</f>
        <v>#REF!</v>
      </c>
      <c r="E82" s="7" t="e">
        <f>'Base Blend Property Calculation'!#REF!</f>
        <v>#REF!</v>
      </c>
      <c r="F82" s="8" t="e">
        <f>'Base Blend Property Calculation'!#REF!</f>
        <v>#REF!</v>
      </c>
      <c r="G82" s="7" t="e">
        <f>'Base Blend Property Calculation'!#REF!</f>
        <v>#REF!</v>
      </c>
      <c r="H82" s="8" t="e">
        <f>'Base Blend Property Calculation'!#REF!</f>
        <v>#REF!</v>
      </c>
      <c r="I82" s="5" t="e">
        <f>'Base Blend Property Calculation'!#REF!</f>
        <v>#REF!</v>
      </c>
      <c r="J82" s="5" t="e">
        <f>'Base Blend Property Calculation'!#REF!</f>
        <v>#REF!</v>
      </c>
      <c r="K82" s="5" t="e">
        <f>'Base Blend Property Calculation'!#REF!</f>
        <v>#REF!</v>
      </c>
    </row>
    <row r="83" spans="1:11" x14ac:dyDescent="0.25">
      <c r="A83" s="5" t="e">
        <f>'Base Blend Property Calculation'!#REF!</f>
        <v>#REF!</v>
      </c>
      <c r="B83" s="5" t="e">
        <f>'Base Blend Property Calculation'!#REF!</f>
        <v>#REF!</v>
      </c>
      <c r="C83" s="6" t="e">
        <f>'Base Blend Property Calculation'!#REF!</f>
        <v>#REF!</v>
      </c>
      <c r="D83" s="7" t="e">
        <f>'Base Blend Property Calculation'!#REF!</f>
        <v>#REF!</v>
      </c>
      <c r="E83" s="7" t="e">
        <f>'Base Blend Property Calculation'!#REF!</f>
        <v>#REF!</v>
      </c>
      <c r="F83" s="8" t="e">
        <f>'Base Blend Property Calculation'!#REF!</f>
        <v>#REF!</v>
      </c>
      <c r="G83" s="7" t="e">
        <f>'Base Blend Property Calculation'!#REF!</f>
        <v>#REF!</v>
      </c>
      <c r="H83" s="8" t="e">
        <f>'Base Blend Property Calculation'!#REF!</f>
        <v>#REF!</v>
      </c>
      <c r="I83" s="5" t="e">
        <f>'Base Blend Property Calculation'!#REF!</f>
        <v>#REF!</v>
      </c>
      <c r="J83" s="5" t="e">
        <f>'Base Blend Property Calculation'!#REF!</f>
        <v>#REF!</v>
      </c>
      <c r="K83" s="5" t="e">
        <f>'Base Blend Property Calculation'!#REF!</f>
        <v>#REF!</v>
      </c>
    </row>
    <row r="84" spans="1:11" x14ac:dyDescent="0.25">
      <c r="A84" s="5" t="str">
        <f>'Base Blend Property Calculation'!A87</f>
        <v>PRODUCTIONmix 1725</v>
      </c>
      <c r="B84" s="5" t="str">
        <f>'Base Blend Property Calculation'!B87</f>
        <v>PRODUCTIONmix 1725</v>
      </c>
      <c r="C84" s="6">
        <f>'Base Blend Property Calculation'!BN87</f>
        <v>0</v>
      </c>
      <c r="D84" s="7">
        <f>'Base Blend Property Calculation'!BG87</f>
        <v>0.61299999999999999</v>
      </c>
      <c r="E84" s="7">
        <f>'Base Blend Property Calculation'!BH87</f>
        <v>0.93500000000000005</v>
      </c>
      <c r="F84" s="8">
        <f>'Base Blend Property Calculation'!BI87</f>
        <v>1725</v>
      </c>
      <c r="G84" s="7">
        <f>'Base Blend Property Calculation'!BJ87</f>
        <v>3.1055900621118004</v>
      </c>
      <c r="H84" s="8" t="str">
        <f>'Base Blend Property Calculation'!BK87</f>
        <v>N</v>
      </c>
      <c r="I84" s="5">
        <f>'Base Blend Property Calculation'!BL87</f>
        <v>31</v>
      </c>
      <c r="J84" s="5">
        <f>'Base Blend Property Calculation'!BM87</f>
        <v>0</v>
      </c>
      <c r="K84" s="5">
        <f>'Base Blend Property Calculation'!BO87</f>
        <v>1000</v>
      </c>
    </row>
    <row r="85" spans="1:11" x14ac:dyDescent="0.25">
      <c r="A85" s="5" t="e">
        <f>'Base Blend Property Calculation'!#REF!</f>
        <v>#REF!</v>
      </c>
      <c r="B85" s="5" t="e">
        <f>'Base Blend Property Calculation'!#REF!</f>
        <v>#REF!</v>
      </c>
      <c r="C85" s="6" t="e">
        <f>'Base Blend Property Calculation'!#REF!</f>
        <v>#REF!</v>
      </c>
      <c r="D85" s="7" t="e">
        <f>'Base Blend Property Calculation'!#REF!</f>
        <v>#REF!</v>
      </c>
      <c r="E85" s="7" t="e">
        <f>'Base Blend Property Calculation'!#REF!</f>
        <v>#REF!</v>
      </c>
      <c r="F85" s="8" t="e">
        <f>'Base Blend Property Calculation'!#REF!</f>
        <v>#REF!</v>
      </c>
      <c r="G85" s="7" t="e">
        <f>'Base Blend Property Calculation'!#REF!</f>
        <v>#REF!</v>
      </c>
      <c r="H85" s="8" t="e">
        <f>'Base Blend Property Calculation'!#REF!</f>
        <v>#REF!</v>
      </c>
      <c r="I85" s="5" t="e">
        <f>'Base Blend Property Calculation'!#REF!</f>
        <v>#REF!</v>
      </c>
      <c r="J85" s="5" t="e">
        <f>'Base Blend Property Calculation'!#REF!</f>
        <v>#REF!</v>
      </c>
      <c r="K85" s="5" t="e">
        <f>'Base Blend Property Calculation'!#REF!</f>
        <v>#REF!</v>
      </c>
    </row>
    <row r="86" spans="1:11" x14ac:dyDescent="0.25">
      <c r="A86" s="5" t="str">
        <f>'Base Blend Property Calculation'!A88</f>
        <v>PRODUCTIONmix EC</v>
      </c>
      <c r="B86" s="5" t="str">
        <f>'Base Blend Property Calculation'!B88</f>
        <v>PRODUCTIONmix EC</v>
      </c>
      <c r="C86" s="6">
        <f>'Base Blend Property Calculation'!BN88</f>
        <v>0</v>
      </c>
      <c r="D86" s="7">
        <f>'Base Blend Property Calculation'!BG88</f>
        <v>0.58399999999999996</v>
      </c>
      <c r="E86" s="7">
        <f>'Base Blend Property Calculation'!BH88</f>
        <v>0.96599999999999997</v>
      </c>
      <c r="F86" s="8">
        <f>'Base Blend Property Calculation'!BI88</f>
        <v>1640</v>
      </c>
      <c r="G86" s="7">
        <f>'Base Blend Property Calculation'!BJ88</f>
        <v>2.6179999999999999</v>
      </c>
      <c r="H86" s="8" t="str">
        <f>'Base Blend Property Calculation'!BK88</f>
        <v>N</v>
      </c>
      <c r="I86" s="5">
        <f>'Base Blend Property Calculation'!BL88</f>
        <v>3</v>
      </c>
      <c r="J86" s="5">
        <f>'Base Blend Property Calculation'!BM88</f>
        <v>0</v>
      </c>
      <c r="K86" s="5">
        <f>'Base Blend Property Calculation'!BO88</f>
        <v>1000</v>
      </c>
    </row>
    <row r="87" spans="1:11" x14ac:dyDescent="0.25">
      <c r="A87" s="5" t="str">
        <f>'Base Blend Property Calculation'!A89</f>
        <v>PRODUCTIONmix EC (SK)</v>
      </c>
      <c r="B87" s="5" t="str">
        <f>'Base Blend Property Calculation'!B89</f>
        <v>PRODUCTIONmix EC (SK)</v>
      </c>
      <c r="C87" s="6">
        <f>'Base Blend Property Calculation'!BN89</f>
        <v>0</v>
      </c>
      <c r="D87" s="7">
        <f>'Base Blend Property Calculation'!BG89</f>
        <v>0.65500000000000003</v>
      </c>
      <c r="E87" s="7">
        <f>'Base Blend Property Calculation'!BH89</f>
        <v>1.0089999999999999</v>
      </c>
      <c r="F87" s="8">
        <f>'Base Blend Property Calculation'!BI89</f>
        <v>1640</v>
      </c>
      <c r="G87" s="7">
        <f>'Base Blend Property Calculation'!BJ89</f>
        <v>2.8250000000000002</v>
      </c>
      <c r="H87" s="8" t="str">
        <f>'Base Blend Property Calculation'!BK89</f>
        <v>N</v>
      </c>
      <c r="I87" s="5">
        <f>'Base Blend Property Calculation'!BL89</f>
        <v>3</v>
      </c>
      <c r="J87" s="5">
        <f>'Base Blend Property Calculation'!BM89</f>
        <v>0</v>
      </c>
      <c r="K87" s="5">
        <f>'Base Blend Property Calculation'!BO89</f>
        <v>1000</v>
      </c>
    </row>
    <row r="88" spans="1:11" x14ac:dyDescent="0.25">
      <c r="A88" s="5" t="str">
        <f>'Base Blend Property Calculation'!A90</f>
        <v>PRODUCTIONmix HZ</v>
      </c>
      <c r="B88" s="5" t="str">
        <f>'Base Blend Property Calculation'!B90</f>
        <v>PRODUCTIONmix HZ</v>
      </c>
      <c r="C88" s="6">
        <f>'Base Blend Property Calculation'!BN90</f>
        <v>0</v>
      </c>
      <c r="D88" s="7">
        <f>'Base Blend Property Calculation'!BG90</f>
        <v>0.8</v>
      </c>
      <c r="E88" s="7">
        <f>'Base Blend Property Calculation'!BH90</f>
        <v>1.2050000000000001</v>
      </c>
      <c r="F88" s="8">
        <f>'Base Blend Property Calculation'!BI90</f>
        <v>1494</v>
      </c>
      <c r="G88" s="7">
        <f>'Base Blend Property Calculation'!BJ90</f>
        <v>2.4700000000000002</v>
      </c>
      <c r="H88" s="8" t="str">
        <f>'Base Blend Property Calculation'!BK90</f>
        <v>N</v>
      </c>
      <c r="I88" s="5">
        <f>'Base Blend Property Calculation'!BL90</f>
        <v>4</v>
      </c>
      <c r="J88" s="5">
        <f>'Base Blend Property Calculation'!BM90</f>
        <v>0</v>
      </c>
      <c r="K88" s="5">
        <f>'Base Blend Property Calculation'!BO90</f>
        <v>1000</v>
      </c>
    </row>
    <row r="89" spans="1:11" x14ac:dyDescent="0.25">
      <c r="A89" s="5" t="str">
        <f>'Base Blend Property Calculation'!A91</f>
        <v>PRODUCTIONmix LW</v>
      </c>
      <c r="B89" s="5" t="str">
        <f>'Base Blend Property Calculation'!B91</f>
        <v>PRODUCTIONmix LW</v>
      </c>
      <c r="C89" s="6">
        <f>'Base Blend Property Calculation'!BN91</f>
        <v>0</v>
      </c>
      <c r="D89" s="7">
        <f>'Base Blend Property Calculation'!BG91</f>
        <v>0.89100000000000001</v>
      </c>
      <c r="E89" s="7">
        <f>'Base Blend Property Calculation'!BH91</f>
        <v>1.2609999999999999</v>
      </c>
      <c r="F89" s="8">
        <f>'Base Blend Property Calculation'!BI91</f>
        <v>1500</v>
      </c>
      <c r="G89" s="7">
        <f>'Base Blend Property Calculation'!BJ91</f>
        <v>2.7050000000000001</v>
      </c>
      <c r="H89" s="8" t="str">
        <f>'Base Blend Property Calculation'!BK91</f>
        <v>N</v>
      </c>
      <c r="I89" s="5">
        <f>'Base Blend Property Calculation'!BL91</f>
        <v>31</v>
      </c>
      <c r="J89" s="5">
        <f>'Base Blend Property Calculation'!BM91</f>
        <v>0</v>
      </c>
      <c r="K89" s="5">
        <f>'Base Blend Property Calculation'!BO91</f>
        <v>1000</v>
      </c>
    </row>
    <row r="90" spans="1:11" x14ac:dyDescent="0.25">
      <c r="A90" s="5" t="str">
        <f>'Base Blend Property Calculation'!A92</f>
        <v>PRODUCTIONmix LW (SK)</v>
      </c>
      <c r="B90" s="5" t="str">
        <f>'Base Blend Property Calculation'!B92</f>
        <v>PRODUCTIONmix LW (SK)</v>
      </c>
      <c r="C90" s="6">
        <f>'Base Blend Property Calculation'!BN92</f>
        <v>0</v>
      </c>
      <c r="D90" s="7">
        <f>'Base Blend Property Calculation'!BG92</f>
        <v>0.95599999999999996</v>
      </c>
      <c r="E90" s="7">
        <f>'Base Blend Property Calculation'!BH92</f>
        <v>1.034</v>
      </c>
      <c r="F90" s="8">
        <f>'Base Blend Property Calculation'!BI92</f>
        <v>1500</v>
      </c>
      <c r="G90" s="7">
        <f>'Base Blend Property Calculation'!BJ92</f>
        <v>2.8730000000000002</v>
      </c>
      <c r="H90" s="8" t="str">
        <f>'Base Blend Property Calculation'!BK92</f>
        <v>N</v>
      </c>
      <c r="I90" s="5">
        <f>'Base Blend Property Calculation'!BL92</f>
        <v>31</v>
      </c>
      <c r="J90" s="5">
        <f>'Base Blend Property Calculation'!BM92</f>
        <v>0</v>
      </c>
      <c r="K90" s="5">
        <f>'Base Blend Property Calculation'!BO92</f>
        <v>1000</v>
      </c>
    </row>
    <row r="91" spans="1:11" x14ac:dyDescent="0.25">
      <c r="A91" s="5" t="str">
        <f>'Base Blend Property Calculation'!A93</f>
        <v>PRODUCTIONmix LW PRO</v>
      </c>
      <c r="B91" s="5" t="str">
        <f>'Base Blend Property Calculation'!B93</f>
        <v>PRODUCTIONmix LW PRO</v>
      </c>
      <c r="C91" s="6">
        <f>'Base Blend Property Calculation'!BN93</f>
        <v>0</v>
      </c>
      <c r="D91" s="7">
        <f>'Base Blend Property Calculation'!BG93</f>
        <v>0.86</v>
      </c>
      <c r="E91" s="7">
        <f>'Base Blend Property Calculation'!BH93</f>
        <v>1.24</v>
      </c>
      <c r="F91" s="8">
        <f>'Base Blend Property Calculation'!BI93</f>
        <v>1500</v>
      </c>
      <c r="G91" s="7">
        <f>'Base Blend Property Calculation'!BJ93</f>
        <v>2.6315789473684212</v>
      </c>
      <c r="H91" s="8" t="str">
        <f>'Base Blend Property Calculation'!BK93</f>
        <v>T</v>
      </c>
      <c r="I91" s="5">
        <f>'Base Blend Property Calculation'!BL93</f>
        <v>31</v>
      </c>
      <c r="J91" s="5">
        <f>'Base Blend Property Calculation'!BM93</f>
        <v>0</v>
      </c>
      <c r="K91" s="5">
        <f>'Base Blend Property Calculation'!BO93</f>
        <v>1000</v>
      </c>
    </row>
    <row r="92" spans="1:11" x14ac:dyDescent="0.25">
      <c r="A92" s="5" t="str">
        <f>'Base Blend Property Calculation'!A94</f>
        <v>PRODUCTIONmix THX</v>
      </c>
      <c r="B92" s="5" t="str">
        <f>'Base Blend Property Calculation'!B94</f>
        <v>PRODUCTIONmix THX</v>
      </c>
      <c r="C92" s="6">
        <f>'Base Blend Property Calculation'!BN94</f>
        <v>0</v>
      </c>
      <c r="D92" s="7">
        <f>'Base Blend Property Calculation'!BG94</f>
        <v>0.748</v>
      </c>
      <c r="E92" s="7">
        <f>'Base Blend Property Calculation'!BH94</f>
        <v>1.127</v>
      </c>
      <c r="F92" s="8">
        <f>'Base Blend Property Calculation'!BI94</f>
        <v>1550</v>
      </c>
      <c r="G92" s="7">
        <f>'Base Blend Property Calculation'!BJ94</f>
        <v>2.6749999999999998</v>
      </c>
      <c r="H92" s="8" t="str">
        <f>'Base Blend Property Calculation'!BK94</f>
        <v>Y</v>
      </c>
      <c r="I92" s="5">
        <f>'Base Blend Property Calculation'!BL94</f>
        <v>4</v>
      </c>
      <c r="J92" s="5">
        <f>'Base Blend Property Calculation'!BM94</f>
        <v>0</v>
      </c>
      <c r="K92" s="5">
        <f>'Base Blend Property Calculation'!BO94</f>
        <v>1000</v>
      </c>
    </row>
    <row r="93" spans="1:11" x14ac:dyDescent="0.25">
      <c r="A93" s="5" t="str">
        <f>'Base Blend Property Calculation'!A95</f>
        <v>Prolite 13</v>
      </c>
      <c r="B93" s="5" t="str">
        <f>'Base Blend Property Calculation'!B95</f>
        <v>Prolite 13</v>
      </c>
      <c r="C93" s="6">
        <f>'Base Blend Property Calculation'!BN95</f>
        <v>0</v>
      </c>
      <c r="D93" s="7">
        <f>'Base Blend Property Calculation'!BG95</f>
        <v>1.7437033200254455</v>
      </c>
      <c r="E93" s="7">
        <f>'Base Blend Property Calculation'!BH95</f>
        <v>2.1105410154041886</v>
      </c>
      <c r="F93" s="8">
        <f>'Base Blend Property Calculation'!BI95</f>
        <v>1300</v>
      </c>
      <c r="G93" s="7">
        <f>'Base Blend Property Calculation'!BJ95</f>
        <v>2.7260012059762446</v>
      </c>
      <c r="H93" s="8" t="str">
        <f>'Base Blend Property Calculation'!BK95</f>
        <v>Y</v>
      </c>
      <c r="I93" s="5">
        <f>'Base Blend Property Calculation'!BL95</f>
        <v>42</v>
      </c>
      <c r="J93" s="5">
        <f>'Base Blend Property Calculation'!BM95</f>
        <v>0</v>
      </c>
      <c r="K93" s="5">
        <f>'Base Blend Property Calculation'!BO95</f>
        <v>1000</v>
      </c>
    </row>
    <row r="94" spans="1:11" x14ac:dyDescent="0.25">
      <c r="A94" s="5" t="str">
        <f>'Base Blend Property Calculation'!A96</f>
        <v>Prolite 14</v>
      </c>
      <c r="B94" s="5" t="str">
        <f>'Base Blend Property Calculation'!B96</f>
        <v>Prolite 14</v>
      </c>
      <c r="C94" s="6">
        <f>'Base Blend Property Calculation'!BN96</f>
        <v>0</v>
      </c>
      <c r="D94" s="7">
        <f>'Base Blend Property Calculation'!BG96</f>
        <v>1.2557064521087646</v>
      </c>
      <c r="E94" s="7">
        <f>'Base Blend Property Calculation'!BH96</f>
        <v>1.6112188943634034</v>
      </c>
      <c r="F94" s="8">
        <f>'Base Blend Property Calculation'!BI96</f>
        <v>1400</v>
      </c>
      <c r="G94" s="7">
        <f>'Base Blend Property Calculation'!BJ96</f>
        <v>2.8128410743040653</v>
      </c>
      <c r="H94" s="8" t="str">
        <f>'Base Blend Property Calculation'!BK96</f>
        <v>Y</v>
      </c>
      <c r="I94" s="5">
        <f>'Base Blend Property Calculation'!BL96</f>
        <v>42</v>
      </c>
      <c r="J94" s="5">
        <f>'Base Blend Property Calculation'!BM96</f>
        <v>0</v>
      </c>
      <c r="K94" s="5">
        <f>'Base Blend Property Calculation'!BO96</f>
        <v>1000</v>
      </c>
    </row>
    <row r="95" spans="1:11" x14ac:dyDescent="0.25">
      <c r="A95" s="5" t="str">
        <f>'Base Blend Property Calculation'!A97</f>
        <v>Proteus Core</v>
      </c>
      <c r="B95" s="5" t="str">
        <f>'Base Blend Property Calculation'!B97</f>
        <v>Proteus Core</v>
      </c>
      <c r="C95" s="6">
        <f>'Base Blend Property Calculation'!BN97</f>
        <v>0</v>
      </c>
      <c r="D95" s="7">
        <f>'Base Blend Property Calculation'!BG97</f>
        <v>0.57721375858361923</v>
      </c>
      <c r="E95" s="7">
        <f>'Base Blend Property Calculation'!BH97</f>
        <v>0.92777279916683486</v>
      </c>
      <c r="F95" s="8">
        <f>'Base Blend Property Calculation'!BI97</f>
        <v>1700</v>
      </c>
      <c r="G95" s="7">
        <f>'Base Blend Property Calculation'!BJ97</f>
        <v>2.8525865381658022</v>
      </c>
      <c r="H95" s="8" t="str">
        <f>'Base Blend Property Calculation'!BK97</f>
        <v>Y</v>
      </c>
      <c r="I95" s="5">
        <f>'Base Blend Property Calculation'!BL97</f>
        <v>31</v>
      </c>
      <c r="J95" s="5">
        <f>'Base Blend Property Calculation'!BM97</f>
        <v>0</v>
      </c>
      <c r="K95" s="5">
        <f>'Base Blend Property Calculation'!BO97</f>
        <v>1000</v>
      </c>
    </row>
    <row r="96" spans="1:11" x14ac:dyDescent="0.25">
      <c r="A96" s="5" t="str">
        <f>'Base Blend Property Calculation'!A98</f>
        <v>Proteus GLS @ 1300</v>
      </c>
      <c r="B96" s="5" t="str">
        <f>'Base Blend Property Calculation'!B98</f>
        <v>Proteus GLS @ 1300</v>
      </c>
      <c r="C96" s="6">
        <f>'Base Blend Property Calculation'!BN98</f>
        <v>0</v>
      </c>
      <c r="D96" s="7">
        <f>'Base Blend Property Calculation'!BG98</f>
        <v>0.68433687461651316</v>
      </c>
      <c r="E96" s="7">
        <f>'Base Blend Property Calculation'!BH98</f>
        <v>1.2956437497050102</v>
      </c>
      <c r="F96" s="8">
        <f>'Base Blend Property Calculation'!BI98</f>
        <v>1300</v>
      </c>
      <c r="G96" s="7">
        <f>'Base Blend Property Calculation'!BJ98</f>
        <v>1.6358396097790215</v>
      </c>
      <c r="H96" s="8" t="str">
        <f>'Base Blend Property Calculation'!BK98</f>
        <v>Y</v>
      </c>
      <c r="I96" s="5">
        <f>'Base Blend Property Calculation'!BL98</f>
        <v>31</v>
      </c>
      <c r="J96" s="5">
        <f>'Base Blend Property Calculation'!BM98</f>
        <v>0</v>
      </c>
      <c r="K96" s="5">
        <f>'Base Blend Property Calculation'!BO98</f>
        <v>1000</v>
      </c>
    </row>
    <row r="97" spans="1:11" x14ac:dyDescent="0.25">
      <c r="A97" s="5" t="str">
        <f>'Base Blend Property Calculation'!A99</f>
        <v>Proteus GLS @ 1350</v>
      </c>
      <c r="B97" s="5" t="str">
        <f>'Base Blend Property Calculation'!B99</f>
        <v>Proteus GLS @ 1350</v>
      </c>
      <c r="C97" s="6">
        <f>'Base Blend Property Calculation'!BN99</f>
        <v>0</v>
      </c>
      <c r="D97" s="7">
        <f>'Base Blend Property Calculation'!BG99</f>
        <v>0.64895073068048903</v>
      </c>
      <c r="E97" s="7">
        <f>'Base Blend Property Calculation'!BH99</f>
        <v>1.2214449856892511</v>
      </c>
      <c r="F97" s="8">
        <f>'Base Blend Property Calculation'!BI99</f>
        <v>1350</v>
      </c>
      <c r="G97" s="7">
        <f>'Base Blend Property Calculation'!BJ99</f>
        <v>1.7467424192487224</v>
      </c>
      <c r="H97" s="8" t="str">
        <f>'Base Blend Property Calculation'!BK99</f>
        <v>N</v>
      </c>
      <c r="I97" s="5">
        <f>'Base Blend Property Calculation'!BL99</f>
        <v>42</v>
      </c>
      <c r="J97" s="5" t="s">
        <v>36</v>
      </c>
      <c r="K97" s="5">
        <f>'Base Blend Property Calculation'!BO99</f>
        <v>1000</v>
      </c>
    </row>
    <row r="98" spans="1:11" x14ac:dyDescent="0.25">
      <c r="A98" s="5" t="str">
        <f>'Base Blend Property Calculation'!A100</f>
        <v>Proteus GLS @ 1400</v>
      </c>
      <c r="B98" s="5" t="str">
        <f>'Base Blend Property Calculation'!B100</f>
        <v>Proteus GLS @ 1400</v>
      </c>
      <c r="C98" s="6">
        <f>'Base Blend Property Calculation'!BN100</f>
        <v>0</v>
      </c>
      <c r="D98" s="7">
        <f>'Base Blend Property Calculation'!BG100</f>
        <v>0.54484375466841428</v>
      </c>
      <c r="E98" s="7">
        <f>'Base Blend Property Calculation'!BH100</f>
        <v>1.1034598247631531</v>
      </c>
      <c r="F98" s="8">
        <f>'Base Blend Property Calculation'!BI100</f>
        <v>1400</v>
      </c>
      <c r="G98" s="7">
        <f>'Base Blend Property Calculation'!BJ100</f>
        <v>1.7901382604879312</v>
      </c>
      <c r="H98" s="8" t="str">
        <f>'Base Blend Property Calculation'!BK100</f>
        <v>N</v>
      </c>
      <c r="I98" s="5">
        <f>'Base Blend Property Calculation'!BL100</f>
        <v>42</v>
      </c>
      <c r="J98" s="5" t="s">
        <v>36</v>
      </c>
      <c r="K98" s="5">
        <f>'Base Blend Property Calculation'!BO100</f>
        <v>1000</v>
      </c>
    </row>
    <row r="99" spans="1:11" x14ac:dyDescent="0.25">
      <c r="A99" s="5" t="str">
        <f>'Base Blend Property Calculation'!A101</f>
        <v>Proteus GLS @ 1400 (CDM-5)</v>
      </c>
      <c r="B99" s="5" t="str">
        <f>'Base Blend Property Calculation'!B101</f>
        <v>Proteus GLS @ 1400 (CDM-5)</v>
      </c>
      <c r="C99" s="6">
        <f>'Base Blend Property Calculation'!BN101</f>
        <v>0</v>
      </c>
      <c r="D99" s="7">
        <f>'Base Blend Property Calculation'!BG101</f>
        <v>0.59448922342814614</v>
      </c>
      <c r="E99" s="7">
        <f>'Base Blend Property Calculation'!BH101</f>
        <v>1.1389208738772472</v>
      </c>
      <c r="F99" s="8">
        <f>'Base Blend Property Calculation'!BI101</f>
        <v>1400</v>
      </c>
      <c r="G99" s="7">
        <f>'Base Blend Property Calculation'!BJ101</f>
        <v>1.8367778566420618</v>
      </c>
      <c r="H99" s="8" t="str">
        <f>'Base Blend Property Calculation'!BK101</f>
        <v>N</v>
      </c>
      <c r="I99" s="5">
        <f>'Base Blend Property Calculation'!BL101</f>
        <v>30</v>
      </c>
      <c r="J99" s="5">
        <f>'Base Blend Property Calculation'!BM101</f>
        <v>0</v>
      </c>
      <c r="K99" s="5">
        <f>'Base Blend Property Calculation'!BO101</f>
        <v>1000</v>
      </c>
    </row>
    <row r="100" spans="1:11" x14ac:dyDescent="0.25">
      <c r="A100" s="5" t="str">
        <f>'Base Blend Property Calculation'!A102</f>
        <v>Proteus LCS</v>
      </c>
      <c r="B100" s="5" t="str">
        <f>'Base Blend Property Calculation'!B102</f>
        <v>Proteus LCS</v>
      </c>
      <c r="C100" s="6">
        <f>'Base Blend Property Calculation'!BN102</f>
        <v>0</v>
      </c>
      <c r="D100" s="7">
        <f>'Base Blend Property Calculation'!BG102</f>
        <v>0.51488614910821584</v>
      </c>
      <c r="E100" s="7">
        <f>'Base Blend Property Calculation'!BH102</f>
        <v>0.86564922806183764</v>
      </c>
      <c r="F100" s="8">
        <f>'Base Blend Property Calculation'!BI102</f>
        <v>1750</v>
      </c>
      <c r="G100" s="7">
        <f>'Base Blend Property Calculation'!BJ102</f>
        <v>2.8509271927454511</v>
      </c>
      <c r="H100" s="8" t="str">
        <f>'Base Blend Property Calculation'!BK102</f>
        <v>N</v>
      </c>
      <c r="I100" s="5">
        <f>'Base Blend Property Calculation'!BL102</f>
        <v>30</v>
      </c>
      <c r="J100" s="5">
        <f>'Base Blend Property Calculation'!BM102</f>
        <v>0</v>
      </c>
      <c r="K100" s="5">
        <f>'Base Blend Property Calculation'!BO102</f>
        <v>1000</v>
      </c>
    </row>
    <row r="101" spans="1:11" x14ac:dyDescent="0.25">
      <c r="A101" s="5" t="str">
        <f>'Base Blend Property Calculation'!A103</f>
        <v>Proteus Pro</v>
      </c>
      <c r="B101" s="5" t="str">
        <f>'Base Blend Property Calculation'!B103</f>
        <v>Proteus Pro</v>
      </c>
      <c r="C101" s="6">
        <f>'Base Blend Property Calculation'!BN103</f>
        <v>0</v>
      </c>
      <c r="D101" s="7">
        <f>'Base Blend Property Calculation'!BG103</f>
        <v>0.54518896754408719</v>
      </c>
      <c r="E101" s="7">
        <f>'Base Blend Property Calculation'!BH103</f>
        <v>0.8957617203154129</v>
      </c>
      <c r="F101" s="8">
        <f>'Base Blend Property Calculation'!BI103</f>
        <v>1725</v>
      </c>
      <c r="G101" s="7">
        <f>'Base Blend Property Calculation'!BJ103</f>
        <v>2.8524749630279671</v>
      </c>
      <c r="H101" s="8" t="str">
        <f>'Base Blend Property Calculation'!BK103</f>
        <v>N</v>
      </c>
      <c r="I101" s="5">
        <f>'Base Blend Property Calculation'!BL103</f>
        <v>30</v>
      </c>
      <c r="J101" s="5">
        <f>'Base Blend Property Calculation'!BM103</f>
        <v>0</v>
      </c>
      <c r="K101" s="5">
        <f>'Base Blend Property Calculation'!BO103</f>
        <v>1000</v>
      </c>
    </row>
    <row r="102" spans="1:11" x14ac:dyDescent="0.25">
      <c r="A102" s="5" t="str">
        <f>'Base Blend Property Calculation'!A104</f>
        <v>RAS II</v>
      </c>
      <c r="B102" s="5" t="str">
        <f>'Base Blend Property Calculation'!B104</f>
        <v>RAS II</v>
      </c>
      <c r="C102" s="6">
        <f>'Base Blend Property Calculation'!BN104</f>
        <v>0</v>
      </c>
      <c r="D102" s="7">
        <f>'Base Blend Property Calculation'!BG104</f>
        <v>0.5289588286670871</v>
      </c>
      <c r="E102" s="7">
        <f>'Base Blend Property Calculation'!BH104</f>
        <v>0.87871197049832594</v>
      </c>
      <c r="F102" s="8">
        <f>'Base Blend Property Calculation'!BI104</f>
        <v>1740</v>
      </c>
      <c r="G102" s="7">
        <f>'Base Blend Property Calculation'!BJ104</f>
        <v>2.8591594481873592</v>
      </c>
      <c r="H102" s="8" t="str">
        <f>'Base Blend Property Calculation'!BK104</f>
        <v>N</v>
      </c>
      <c r="I102" s="5">
        <f>'Base Blend Property Calculation'!BL104</f>
        <v>30</v>
      </c>
      <c r="J102" s="5">
        <f>'Base Blend Property Calculation'!BM104</f>
        <v>0</v>
      </c>
      <c r="K102" s="5">
        <f>'Base Blend Property Calculation'!BO104</f>
        <v>1000</v>
      </c>
    </row>
    <row r="103" spans="1:11" x14ac:dyDescent="0.25">
      <c r="A103" s="5" t="str">
        <f>'Base Blend Property Calculation'!A105</f>
        <v>SanSeal</v>
      </c>
      <c r="B103" s="5" t="str">
        <f>'Base Blend Property Calculation'!B105</f>
        <v>SanSeal</v>
      </c>
      <c r="C103" s="6">
        <f>'Base Blend Property Calculation'!BN105</f>
        <v>0</v>
      </c>
      <c r="D103" s="7">
        <f>'Base Blend Property Calculation'!BG105</f>
        <v>0.69371560220145911</v>
      </c>
      <c r="E103" s="7">
        <f>'Base Blend Property Calculation'!BH105</f>
        <v>1.0264943043645207</v>
      </c>
      <c r="F103" s="8">
        <f>'Base Blend Property Calculation'!BI105</f>
        <v>1650</v>
      </c>
      <c r="G103" s="7">
        <f>'Base Blend Property Calculation'!BJ105</f>
        <v>3.0049999999999994</v>
      </c>
      <c r="H103" s="8" t="str">
        <f>'Base Blend Property Calculation'!BK105</f>
        <v>Y</v>
      </c>
      <c r="I103" s="5">
        <f>'Base Blend Property Calculation'!BL105</f>
        <v>30</v>
      </c>
      <c r="J103" s="5">
        <f>'Base Blend Property Calculation'!BM105</f>
        <v>0</v>
      </c>
      <c r="K103" s="5">
        <f>'Base Blend Property Calculation'!BO105</f>
        <v>1000</v>
      </c>
    </row>
    <row r="104" spans="1:11" x14ac:dyDescent="0.25">
      <c r="A104" s="5" t="str">
        <f>'Base Blend Property Calculation'!A106</f>
        <v>SanSeal HT</v>
      </c>
      <c r="B104" s="5" t="str">
        <f>'Base Blend Property Calculation'!B106</f>
        <v>SanSeal HT</v>
      </c>
      <c r="C104" s="6">
        <f>'Base Blend Property Calculation'!BN106</f>
        <v>0</v>
      </c>
      <c r="D104" s="7">
        <f>'Base Blend Property Calculation'!BG106</f>
        <v>0.95292716691983692</v>
      </c>
      <c r="E104" s="7">
        <f>'Base Blend Property Calculation'!BH106</f>
        <v>1.3019514446132245</v>
      </c>
      <c r="F104" s="8">
        <f>'Base Blend Property Calculation'!BI106</f>
        <v>1500</v>
      </c>
      <c r="G104" s="7">
        <f>'Base Blend Property Calculation'!BJ106</f>
        <v>2.8651302041472437</v>
      </c>
      <c r="H104" s="8" t="str">
        <f>'Base Blend Property Calculation'!BK106</f>
        <v>Y</v>
      </c>
      <c r="I104" s="5">
        <f>'Base Blend Property Calculation'!BL106</f>
        <v>30</v>
      </c>
      <c r="J104" s="5">
        <f>'Base Blend Property Calculation'!BM106</f>
        <v>0</v>
      </c>
      <c r="K104" s="5">
        <f>'Base Blend Property Calculation'!BO106</f>
        <v>1000</v>
      </c>
    </row>
    <row r="105" spans="1:11" x14ac:dyDescent="0.25">
      <c r="A105" s="5" t="str">
        <f>'Base Blend Property Calculation'!A108</f>
        <v>SSi</v>
      </c>
      <c r="B105" s="5" t="str">
        <f>'Base Blend Property Calculation'!B108</f>
        <v>SSi</v>
      </c>
      <c r="C105" s="6">
        <f>'Base Blend Property Calculation'!BN108</f>
        <v>0</v>
      </c>
      <c r="D105" s="7">
        <f>'Base Blend Property Calculation'!BG108</f>
        <v>0.53615761302812903</v>
      </c>
      <c r="E105" s="7">
        <f>'Base Blend Property Calculation'!BH108</f>
        <v>0.87780435030178805</v>
      </c>
      <c r="F105" s="8">
        <f>'Base Blend Property Calculation'!BI108</f>
        <v>1750</v>
      </c>
      <c r="G105" s="7">
        <f>'Base Blend Property Calculation'!BJ108</f>
        <v>2.927</v>
      </c>
      <c r="H105" s="8" t="str">
        <f>'Base Blend Property Calculation'!BK108</f>
        <v>Y</v>
      </c>
      <c r="I105" s="5">
        <f>'Base Blend Property Calculation'!BL108</f>
        <v>31</v>
      </c>
      <c r="J105" s="5">
        <f>'Base Blend Property Calculation'!BM108</f>
        <v>0</v>
      </c>
      <c r="K105" s="5">
        <f>'Base Blend Property Calculation'!BO108</f>
        <v>1000</v>
      </c>
    </row>
    <row r="106" spans="1:11" x14ac:dyDescent="0.25">
      <c r="A106" s="5" t="str">
        <f>'Base Blend Property Calculation'!A109</f>
        <v>Superlite 13</v>
      </c>
      <c r="B106" s="5" t="str">
        <f>'Base Blend Property Calculation'!B109</f>
        <v>Superlite 13</v>
      </c>
      <c r="C106" s="6">
        <f>'Base Blend Property Calculation'!BN109</f>
        <v>0</v>
      </c>
      <c r="D106" s="7">
        <f>'Base Blend Property Calculation'!BG109</f>
        <v>0.89286946494656971</v>
      </c>
      <c r="E106" s="7">
        <f>'Base Blend Property Calculation'!BH109</f>
        <v>1.4560534345742844</v>
      </c>
      <c r="F106" s="8">
        <f>'Base Blend Property Calculation'!BI109</f>
        <v>1300</v>
      </c>
      <c r="G106" s="7">
        <f>'Base Blend Property Calculation'!BJ109</f>
        <v>1.7756187212875338</v>
      </c>
      <c r="H106" s="8" t="str">
        <f>'Base Blend Property Calculation'!BK109</f>
        <v>Y</v>
      </c>
      <c r="I106" s="5">
        <f>'Base Blend Property Calculation'!BL109</f>
        <v>42</v>
      </c>
      <c r="J106" s="5">
        <f>'Base Blend Property Calculation'!BM109</f>
        <v>0</v>
      </c>
      <c r="K106" s="5">
        <f>'Base Blend Property Calculation'!BO109</f>
        <v>1000</v>
      </c>
    </row>
    <row r="107" spans="1:11" x14ac:dyDescent="0.25">
      <c r="A107" s="5" t="str">
        <f>'Base Blend Property Calculation'!A110</f>
        <v>Superlite 13 (CDM-5)</v>
      </c>
      <c r="B107" s="5" t="str">
        <f>'Base Blend Property Calculation'!B110</f>
        <v>Superlite 13 (CDM-5)</v>
      </c>
      <c r="C107" s="6">
        <f>'Base Blend Property Calculation'!BN110</f>
        <v>0</v>
      </c>
      <c r="D107" s="7">
        <f>'Base Blend Property Calculation'!BG110</f>
        <v>0.89633277178434267</v>
      </c>
      <c r="E107" s="7">
        <f>'Base Blend Property Calculation'!BH110</f>
        <v>1.4587175167571866</v>
      </c>
      <c r="F107" s="8">
        <f>'Base Blend Property Calculation'!BI110</f>
        <v>1300</v>
      </c>
      <c r="G107" s="7">
        <f>'Base Blend Property Calculation'!BJ110</f>
        <v>1.7781421152316059</v>
      </c>
      <c r="H107" s="8" t="str">
        <f>'Base Blend Property Calculation'!BK110</f>
        <v>Y</v>
      </c>
      <c r="I107" s="5" t="str">
        <f>'Base Blend Property Calculation'!BL110</f>
        <v>01</v>
      </c>
      <c r="J107" s="5">
        <f>'Base Blend Property Calculation'!BM110</f>
        <v>0</v>
      </c>
      <c r="K107" s="5">
        <f>'Base Blend Property Calculation'!BO110</f>
        <v>1000</v>
      </c>
    </row>
    <row r="108" spans="1:11" x14ac:dyDescent="0.25">
      <c r="A108" s="5" t="str">
        <f>'Base Blend Property Calculation'!A111</f>
        <v>SUPERLITEmix 1100X</v>
      </c>
      <c r="B108" s="5" t="str">
        <f>'Base Blend Property Calculation'!B111</f>
        <v>SUPERLITEmix 1100X</v>
      </c>
      <c r="C108" s="6">
        <f>'Base Blend Property Calculation'!BN111</f>
        <v>0</v>
      </c>
      <c r="D108" s="7">
        <f>'Base Blend Property Calculation'!BG111</f>
        <v>0.79400000000000004</v>
      </c>
      <c r="E108" s="7">
        <f>'Base Blend Property Calculation'!BH111</f>
        <v>1.631</v>
      </c>
      <c r="F108" s="8">
        <f>'Base Blend Property Calculation'!BI110</f>
        <v>1300</v>
      </c>
      <c r="G108" s="7">
        <f>'Base Blend Property Calculation'!BJ111</f>
        <v>1.1950000000000001</v>
      </c>
      <c r="H108" s="8" t="str">
        <f>'Base Blend Property Calculation'!BK111</f>
        <v>N</v>
      </c>
      <c r="I108" s="5" t="str">
        <f>'Base Blend Property Calculation'!BL111</f>
        <v>?</v>
      </c>
      <c r="J108" s="5">
        <f>'Base Blend Property Calculation'!BM111</f>
        <v>0</v>
      </c>
      <c r="K108" s="5">
        <f>'Base Blend Property Calculation'!BO111</f>
        <v>1000</v>
      </c>
    </row>
    <row r="109" spans="1:11" x14ac:dyDescent="0.25">
      <c r="A109" s="5" t="str">
        <f>'Base Blend Property Calculation'!A112</f>
        <v>SUPERLITEmix 1160</v>
      </c>
      <c r="B109" s="5" t="str">
        <f>'Base Blend Property Calculation'!B112</f>
        <v>SUPERLITEmix 1160</v>
      </c>
      <c r="C109" s="6">
        <f>'Base Blend Property Calculation'!BN112</f>
        <v>0</v>
      </c>
      <c r="D109" s="7">
        <f>'Base Blend Property Calculation'!BG112</f>
        <v>2.1600793650793659</v>
      </c>
      <c r="E109" s="7">
        <f>'Base Blend Property Calculation'!BH112</f>
        <v>2.7242063492063502</v>
      </c>
      <c r="F109" s="8">
        <f>'Base Blend Property Calculation'!BI111</f>
        <v>1100</v>
      </c>
      <c r="G109" s="7">
        <f>'Base Blend Property Calculation'!BJ112</f>
        <v>1.772650534608891</v>
      </c>
      <c r="H109" s="8" t="str">
        <f>'Base Blend Property Calculation'!BK112</f>
        <v>Y</v>
      </c>
      <c r="I109" s="5">
        <f>'Base Blend Property Calculation'!BL112</f>
        <v>31</v>
      </c>
      <c r="J109" s="5">
        <f>'Base Blend Property Calculation'!BM112</f>
        <v>0</v>
      </c>
      <c r="K109" s="5">
        <f>'Base Blend Property Calculation'!BO112</f>
        <v>1000</v>
      </c>
    </row>
    <row r="110" spans="1:11" x14ac:dyDescent="0.25">
      <c r="A110" s="5" t="str">
        <f>'Base Blend Property Calculation'!A113</f>
        <v>SUPERLITEmix 1160 (CDM-5)</v>
      </c>
      <c r="B110" s="5" t="str">
        <f>'Base Blend Property Calculation'!B113</f>
        <v>SUPERLITEmix 1160 (CDM-5)</v>
      </c>
      <c r="C110" s="6">
        <f>'Base Blend Property Calculation'!BN113</f>
        <v>0</v>
      </c>
      <c r="D110" s="7">
        <f>'Base Blend Property Calculation'!BG113</f>
        <v>2.2147723475355061</v>
      </c>
      <c r="E110" s="7">
        <f>'Base Blend Property Calculation'!BH113</f>
        <v>2.7713554720133677</v>
      </c>
      <c r="F110" s="8">
        <f>'Base Blend Property Calculation'!BI112</f>
        <v>1160</v>
      </c>
      <c r="G110" s="7">
        <f>'Base Blend Property Calculation'!BJ113</f>
        <v>1.7966768233192731</v>
      </c>
      <c r="H110" s="8" t="str">
        <f>'Base Blend Property Calculation'!BK113</f>
        <v>N</v>
      </c>
      <c r="I110" s="5">
        <f>'Base Blend Property Calculation'!BL113</f>
        <v>42</v>
      </c>
      <c r="J110" s="5">
        <f>'Base Blend Property Calculation'!BM113</f>
        <v>0</v>
      </c>
      <c r="K110" s="5">
        <f>'Base Blend Property Calculation'!BO113</f>
        <v>1000</v>
      </c>
    </row>
    <row r="111" spans="1:11" x14ac:dyDescent="0.25">
      <c r="A111" s="5" t="str">
        <f>'Base Blend Property Calculation'!A114</f>
        <v>SUPERLITEmix 1160 C</v>
      </c>
      <c r="B111" s="5" t="str">
        <f>'Base Blend Property Calculation'!B114</f>
        <v>SUPERLITEmix 1160 C</v>
      </c>
      <c r="C111" s="6">
        <f>'Base Blend Property Calculation'!BN114</f>
        <v>0</v>
      </c>
      <c r="D111" s="7">
        <f>'Base Blend Property Calculation'!BG114</f>
        <v>0</v>
      </c>
      <c r="E111" s="7">
        <f>'Base Blend Property Calculation'!BH114</f>
        <v>0</v>
      </c>
      <c r="F111" s="8">
        <f>'Base Blend Property Calculation'!BI113</f>
        <v>1160</v>
      </c>
      <c r="G111" s="7">
        <f>'Base Blend Property Calculation'!BJ114</f>
        <v>0</v>
      </c>
      <c r="H111" s="8">
        <f>'Base Blend Property Calculation'!BK114</f>
        <v>0</v>
      </c>
      <c r="I111" s="5">
        <f>'Base Blend Property Calculation'!BL114</f>
        <v>0</v>
      </c>
      <c r="J111" s="5">
        <f>'Base Blend Property Calculation'!BM114</f>
        <v>0</v>
      </c>
      <c r="K111" s="5">
        <f>'Base Blend Property Calculation'!BO114</f>
        <v>1000</v>
      </c>
    </row>
    <row r="112" spans="1:11" x14ac:dyDescent="0.25">
      <c r="A112" s="5" t="str">
        <f>'Base Blend Property Calculation'!A115</f>
        <v>SUPERLITEmix 1160X</v>
      </c>
      <c r="B112" s="5" t="str">
        <f>'Base Blend Property Calculation'!B115</f>
        <v>SUPERLITEmix 1160X</v>
      </c>
      <c r="C112" s="6">
        <f>'Base Blend Property Calculation'!BN115</f>
        <v>0</v>
      </c>
      <c r="D112" s="7">
        <f>'Base Blend Property Calculation'!BG115</f>
        <v>1.363</v>
      </c>
      <c r="E112" s="7">
        <f>'Base Blend Property Calculation'!BH115</f>
        <v>2.0369999999999999</v>
      </c>
      <c r="F112" s="8">
        <f>'Base Blend Property Calculation'!BI114</f>
        <v>0</v>
      </c>
      <c r="G112" s="7">
        <f>'Base Blend Property Calculation'!BJ115</f>
        <v>1.4637</v>
      </c>
      <c r="H112" s="8" t="str">
        <f>'Base Blend Property Calculation'!BK115</f>
        <v>N</v>
      </c>
      <c r="I112" s="5">
        <f>'Base Blend Property Calculation'!BL115</f>
        <v>42</v>
      </c>
      <c r="J112" s="5">
        <f>'Base Blend Property Calculation'!BM115</f>
        <v>0</v>
      </c>
      <c r="K112" s="5">
        <f>'Base Blend Property Calculation'!BO115</f>
        <v>1000</v>
      </c>
    </row>
    <row r="113" spans="1:11" x14ac:dyDescent="0.25">
      <c r="A113" s="5" t="str">
        <f>'Base Blend Property Calculation'!A116</f>
        <v>SUPERLITEmix PRO</v>
      </c>
      <c r="B113" s="5" t="str">
        <f>'Base Blend Property Calculation'!B116</f>
        <v>SUPERLITEmix PRO</v>
      </c>
      <c r="C113" s="6">
        <f>'Base Blend Property Calculation'!BN116</f>
        <v>0</v>
      </c>
      <c r="D113" s="7">
        <f>'Base Blend Property Calculation'!BG116</f>
        <v>1</v>
      </c>
      <c r="E113" s="7">
        <f>'Base Blend Property Calculation'!BH116</f>
        <v>1.702</v>
      </c>
      <c r="F113" s="8">
        <f>'Base Blend Property Calculation'!BI115</f>
        <v>1160</v>
      </c>
      <c r="G113" s="7">
        <f>'Base Blend Property Calculation'!BJ116</f>
        <v>1.4239999999999999</v>
      </c>
      <c r="H113" s="8" t="str">
        <f>'Base Blend Property Calculation'!BK116</f>
        <v>N</v>
      </c>
      <c r="I113" s="5">
        <f>'Base Blend Property Calculation'!BL116</f>
        <v>42</v>
      </c>
      <c r="J113" s="5">
        <f>'Base Blend Property Calculation'!BM116</f>
        <v>0</v>
      </c>
      <c r="K113" s="5">
        <f>'Base Blend Property Calculation'!BO116</f>
        <v>1000</v>
      </c>
    </row>
    <row r="114" spans="1:11" x14ac:dyDescent="0.25">
      <c r="A114" s="5" t="str">
        <f>'Base Blend Property Calculation'!A117</f>
        <v>SUPERLITEmix PRO (CDM-2)</v>
      </c>
      <c r="B114" s="5" t="str">
        <f>'Base Blend Property Calculation'!B117</f>
        <v>SUPERLITEmix PRO (CDM-2)</v>
      </c>
      <c r="C114" s="6">
        <f>'Base Blend Property Calculation'!BN117</f>
        <v>0</v>
      </c>
      <c r="D114" s="7">
        <f>'Base Blend Property Calculation'!BG117</f>
        <v>0.78900000000000003</v>
      </c>
      <c r="E114" s="7">
        <f>'Base Blend Property Calculation'!BH117</f>
        <v>1.4910000000000001</v>
      </c>
      <c r="F114" s="8">
        <f>'Base Blend Property Calculation'!BI116</f>
        <v>1175</v>
      </c>
      <c r="G114" s="7">
        <f>'Base Blend Property Calculation'!BJ117</f>
        <v>1.425</v>
      </c>
      <c r="H114" s="8" t="str">
        <f>'Base Blend Property Calculation'!BK117</f>
        <v>N</v>
      </c>
      <c r="I114" s="5">
        <f>'Base Blend Property Calculation'!BL117</f>
        <v>42</v>
      </c>
      <c r="J114" s="5">
        <f>'Base Blend Property Calculation'!BM117</f>
        <v>0</v>
      </c>
      <c r="K114" s="5">
        <f>'Base Blend Property Calculation'!BO117</f>
        <v>1000</v>
      </c>
    </row>
    <row r="115" spans="1:11" x14ac:dyDescent="0.25">
      <c r="A115" s="5" t="str">
        <f>'Base Blend Property Calculation'!A118</f>
        <v>SUPERLITEmix PRO (LDP-C-3215)</v>
      </c>
      <c r="B115" s="5" t="str">
        <f>'Base Blend Property Calculation'!B118</f>
        <v>SUPERLITEmix PRO (LDP-C-3215)</v>
      </c>
      <c r="C115" s="6">
        <f>'Base Blend Property Calculation'!BN118</f>
        <v>0</v>
      </c>
      <c r="D115" s="7">
        <f>'Base Blend Property Calculation'!BG118</f>
        <v>1.1729366001143005</v>
      </c>
      <c r="E115" s="7">
        <f>'Base Blend Property Calculation'!BH118</f>
        <v>1.8493077447781281</v>
      </c>
      <c r="F115" s="8">
        <f>'Base Blend Property Calculation'!BI117</f>
        <v>1200</v>
      </c>
      <c r="G115" s="7">
        <f>'Base Blend Property Calculation'!BJ118</f>
        <v>1.4784782110966954</v>
      </c>
      <c r="H115" s="8" t="str">
        <f>'Base Blend Property Calculation'!BK118</f>
        <v>N</v>
      </c>
      <c r="I115" s="5">
        <f>'Base Blend Property Calculation'!BL118</f>
        <v>42</v>
      </c>
      <c r="J115" s="5">
        <f>'Base Blend Property Calculation'!BM118</f>
        <v>0</v>
      </c>
      <c r="K115" s="5">
        <f>'Base Blend Property Calculation'!BO118</f>
        <v>1000</v>
      </c>
    </row>
    <row r="116" spans="1:11" x14ac:dyDescent="0.25">
      <c r="A116" s="5" t="str">
        <f>'Base Blend Property Calculation'!A119</f>
        <v>SUPERLITEmix PRO HT</v>
      </c>
      <c r="B116" s="5" t="str">
        <f>'Base Blend Property Calculation'!B119</f>
        <v>SUPERLITEmix PRO HT</v>
      </c>
      <c r="C116" s="6">
        <f>'Base Blend Property Calculation'!BN119</f>
        <v>0</v>
      </c>
      <c r="D116" s="7">
        <f>'Base Blend Property Calculation'!BG119</f>
        <v>1.0775686248797982</v>
      </c>
      <c r="E116" s="7">
        <f>'Base Blend Property Calculation'!BH119</f>
        <v>1.7313071873998318</v>
      </c>
      <c r="F116" s="8">
        <f>'Base Blend Property Calculation'!BI118</f>
        <v>1175</v>
      </c>
      <c r="G116" s="7">
        <f>'Base Blend Property Calculation'!BJ119</f>
        <v>1.5296634730330068</v>
      </c>
      <c r="H116" s="8" t="str">
        <f>'Base Blend Property Calculation'!BK119</f>
        <v>N</v>
      </c>
      <c r="I116" s="5">
        <f>'Base Blend Property Calculation'!BL119</f>
        <v>42</v>
      </c>
      <c r="J116" s="5">
        <f>'Base Blend Property Calculation'!BM119</f>
        <v>0</v>
      </c>
      <c r="K116" s="5">
        <f>'Base Blend Property Calculation'!BO119</f>
        <v>1000</v>
      </c>
    </row>
    <row r="117" spans="1:11" x14ac:dyDescent="0.25">
      <c r="A117" s="5" t="str">
        <f>'Base Blend Property Calculation'!A120</f>
        <v>SUPERLITEmix PROX</v>
      </c>
      <c r="B117" s="5" t="str">
        <f>'Base Blend Property Calculation'!B120</f>
        <v>SUPERLITEmix PROX</v>
      </c>
      <c r="C117" s="6">
        <f>'Base Blend Property Calculation'!BN120</f>
        <v>0</v>
      </c>
      <c r="D117" s="7">
        <f>'Base Blend Property Calculation'!BG120</f>
        <v>0.81</v>
      </c>
      <c r="E117" s="7">
        <f>'Base Blend Property Calculation'!BH120</f>
        <v>1.5089999999999999</v>
      </c>
      <c r="F117" s="8">
        <f>'Base Blend Property Calculation'!BI119</f>
        <v>1200</v>
      </c>
      <c r="G117" s="7">
        <f>'Base Blend Property Calculation'!BJ120</f>
        <v>1.4634</v>
      </c>
      <c r="H117" s="8" t="str">
        <f>'Base Blend Property Calculation'!BK120</f>
        <v>N</v>
      </c>
      <c r="I117" s="5">
        <f>'Base Blend Property Calculation'!BL120</f>
        <v>42</v>
      </c>
      <c r="J117" s="5">
        <f>'Base Blend Property Calculation'!BM120</f>
        <v>0</v>
      </c>
      <c r="K117" s="5">
        <f>'Base Blend Property Calculation'!BO120</f>
        <v>1000</v>
      </c>
    </row>
    <row r="118" spans="1:11" x14ac:dyDescent="0.25">
      <c r="A118" s="5" t="str">
        <f>'Base Blend Property Calculation'!A121</f>
        <v>SURFACEmix LW (AB)</v>
      </c>
      <c r="B118" s="5" t="str">
        <f>'Base Blend Property Calculation'!B121</f>
        <v>SURFACEmix LW (AB)</v>
      </c>
      <c r="C118" s="6">
        <f>'Base Blend Property Calculation'!BN121</f>
        <v>0</v>
      </c>
      <c r="D118" s="7">
        <f>'Base Blend Property Calculation'!BG121</f>
        <v>0.66014635855853254</v>
      </c>
      <c r="E118" s="7">
        <f>'Base Blend Property Calculation'!BH121</f>
        <v>1.0375914740990828</v>
      </c>
      <c r="F118" s="8">
        <f>'Base Blend Property Calculation'!BI120</f>
        <v>1200</v>
      </c>
      <c r="G118" s="7">
        <f>'Base Blend Property Calculation'!BJ121</f>
        <v>2.6493918157289453</v>
      </c>
      <c r="H118" s="8" t="str">
        <f>'Base Blend Property Calculation'!BK121</f>
        <v>N</v>
      </c>
      <c r="I118" s="5">
        <f>'Base Blend Property Calculation'!BL121</f>
        <v>42</v>
      </c>
      <c r="J118" s="5">
        <f>'Base Blend Property Calculation'!BM121</f>
        <v>0</v>
      </c>
      <c r="K118" s="5">
        <f>'Base Blend Property Calculation'!BO121</f>
        <v>1000</v>
      </c>
    </row>
    <row r="119" spans="1:11" x14ac:dyDescent="0.25">
      <c r="A119" s="5" t="str">
        <f>'Base Blend Property Calculation'!A122</f>
        <v>SURFACEmix LW (SK)</v>
      </c>
      <c r="B119" s="5" t="str">
        <f>'Base Blend Property Calculation'!B122</f>
        <v>SURFACEmix LW (SK)</v>
      </c>
      <c r="C119" s="6">
        <f>'Base Blend Property Calculation'!BN122</f>
        <v>0</v>
      </c>
      <c r="D119" s="7">
        <f>'Base Blend Property Calculation'!BG122</f>
        <v>0.70804107466239796</v>
      </c>
      <c r="E119" s="7">
        <f>'Base Blend Property Calculation'!BH122</f>
        <v>1.0675256716639987</v>
      </c>
      <c r="F119" s="8">
        <f>'Base Blend Property Calculation'!BI121</f>
        <v>1600</v>
      </c>
      <c r="G119" s="7">
        <f>'Base Blend Property Calculation'!BJ122</f>
        <v>2.7817603545209675</v>
      </c>
      <c r="H119" s="8" t="str">
        <f>'Base Blend Property Calculation'!BK122</f>
        <v>N</v>
      </c>
      <c r="I119" s="5">
        <f>'Base Blend Property Calculation'!BL122</f>
        <v>42</v>
      </c>
      <c r="J119" s="5">
        <f>'Base Blend Property Calculation'!BM122</f>
        <v>0</v>
      </c>
      <c r="K119" s="5">
        <f>'Base Blend Property Calculation'!BO122</f>
        <v>1000</v>
      </c>
    </row>
    <row r="120" spans="1:11" x14ac:dyDescent="0.25">
      <c r="A120" s="5" t="str">
        <f>'Base Blend Property Calculation'!A123</f>
        <v>SURFACEmix LW PRO</v>
      </c>
      <c r="B120" s="5" t="str">
        <f>'Base Blend Property Calculation'!B123</f>
        <v>SURFACEmix LW PRO</v>
      </c>
      <c r="C120" s="6">
        <f>'Base Blend Property Calculation'!BN123</f>
        <v>0</v>
      </c>
      <c r="D120" s="7">
        <f>'Base Blend Property Calculation'!BG123</f>
        <v>0.77700000000000002</v>
      </c>
      <c r="E120" s="7">
        <f>'Base Blend Property Calculation'!BH123</f>
        <v>1.1459999999999999</v>
      </c>
      <c r="F120" s="8">
        <f>'Base Blend Property Calculation'!BI122</f>
        <v>1600</v>
      </c>
      <c r="G120" s="7">
        <f>'Base Blend Property Calculation'!BJ123</f>
        <v>2.7100271002710037</v>
      </c>
      <c r="H120" s="8" t="str">
        <f>'Base Blend Property Calculation'!BK123</f>
        <v>Y</v>
      </c>
      <c r="I120" s="5">
        <f>'Base Blend Property Calculation'!BL123</f>
        <v>3</v>
      </c>
      <c r="J120" s="5">
        <f>'Base Blend Property Calculation'!BM123</f>
        <v>0</v>
      </c>
      <c r="K120" s="5">
        <f>'Base Blend Property Calculation'!BO123</f>
        <v>1000</v>
      </c>
    </row>
    <row r="121" spans="1:11" x14ac:dyDescent="0.25">
      <c r="A121" s="5" t="str">
        <f>'Base Blend Property Calculation'!A124</f>
        <v>SURFACEmix LW PRO (SK)</v>
      </c>
      <c r="B121" s="5" t="str">
        <f>'Base Blend Property Calculation'!B124</f>
        <v>SURFACEmix LW PRO (SK)</v>
      </c>
      <c r="C121" s="6">
        <f>'Base Blend Property Calculation'!BN124</f>
        <v>0</v>
      </c>
      <c r="D121" s="7">
        <f>'Base Blend Property Calculation'!BG124</f>
        <v>0.83699999999999997</v>
      </c>
      <c r="E121" s="7">
        <f>'Base Blend Property Calculation'!BH124</f>
        <v>1.1850000000000001</v>
      </c>
      <c r="F121" s="8">
        <f>'Base Blend Property Calculation'!BI123</f>
        <v>1550</v>
      </c>
      <c r="G121" s="7">
        <f>'Base Blend Property Calculation'!BJ124</f>
        <v>2.873563218390804</v>
      </c>
      <c r="H121" s="8" t="str">
        <f>'Base Blend Property Calculation'!BK124</f>
        <v>Y</v>
      </c>
      <c r="I121" s="5">
        <f>'Base Blend Property Calculation'!BL124</f>
        <v>3</v>
      </c>
      <c r="J121" s="5">
        <f>'Base Blend Property Calculation'!BM124</f>
        <v>0</v>
      </c>
      <c r="K121" s="5">
        <f>'Base Blend Property Calculation'!BO124</f>
        <v>1000</v>
      </c>
    </row>
    <row r="122" spans="1:11" x14ac:dyDescent="0.25">
      <c r="A122" s="5" t="str">
        <f>'Base Blend Property Calculation'!A125</f>
        <v>SURFACEmix LW PRO ED</v>
      </c>
      <c r="B122" s="5" t="str">
        <f>'Base Blend Property Calculation'!B125</f>
        <v>SURFACEmix LW PRO ED</v>
      </c>
      <c r="C122" s="6">
        <f>'Base Blend Property Calculation'!BN125</f>
        <v>0</v>
      </c>
      <c r="D122" s="7">
        <f>'Base Blend Property Calculation'!BG125</f>
        <v>0.81</v>
      </c>
      <c r="E122" s="7">
        <f>'Base Blend Property Calculation'!BH125</f>
        <v>1.1679999999999999</v>
      </c>
      <c r="F122" s="8">
        <f>'Base Blend Property Calculation'!BI124</f>
        <v>1550</v>
      </c>
      <c r="G122" s="7">
        <f>'Base Blend Property Calculation'!BJ125</f>
        <v>2.7932960893854757</v>
      </c>
      <c r="H122" s="8" t="str">
        <f>'Base Blend Property Calculation'!BK125</f>
        <v>N</v>
      </c>
      <c r="I122" s="5">
        <f>'Base Blend Property Calculation'!BL125</f>
        <v>3</v>
      </c>
      <c r="J122" s="5">
        <f>'Base Blend Property Calculation'!BM125</f>
        <v>0</v>
      </c>
      <c r="K122" s="5">
        <f>'Base Blend Property Calculation'!BO125</f>
        <v>1000</v>
      </c>
    </row>
    <row r="123" spans="1:11" x14ac:dyDescent="0.25">
      <c r="A123" s="5" t="str">
        <f>'Base Blend Property Calculation'!A127</f>
        <v>SURFACEmix LW PRO GP</v>
      </c>
      <c r="B123" s="5" t="str">
        <f>'Base Blend Property Calculation'!B127</f>
        <v>SURFACEmix LW PRO GP</v>
      </c>
      <c r="C123" s="6">
        <f>'Base Blend Property Calculation'!BN127</f>
        <v>0</v>
      </c>
      <c r="D123" s="7">
        <f>'Base Blend Property Calculation'!BG127</f>
        <v>0.81</v>
      </c>
      <c r="E123" s="7">
        <f>'Base Blend Property Calculation'!BH127</f>
        <v>1.1679999999999999</v>
      </c>
      <c r="F123" s="8">
        <f>'Base Blend Property Calculation'!BI125</f>
        <v>1550</v>
      </c>
      <c r="G123" s="7">
        <f>'Base Blend Property Calculation'!BJ127</f>
        <v>2.7932960893854757</v>
      </c>
      <c r="H123" s="8" t="str">
        <f>'Base Blend Property Calculation'!BK127</f>
        <v>N</v>
      </c>
      <c r="I123" s="5">
        <f>'Base Blend Property Calculation'!BL127</f>
        <v>3</v>
      </c>
      <c r="J123" s="5">
        <f>'Base Blend Property Calculation'!BM127</f>
        <v>0</v>
      </c>
      <c r="K123" s="5">
        <f>'Base Blend Property Calculation'!BO127</f>
        <v>1000</v>
      </c>
    </row>
    <row r="124" spans="1:11" x14ac:dyDescent="0.25">
      <c r="A124" s="5" t="str">
        <f>'Base Blend Property Calculation'!A128</f>
        <v>SURFACEmix LW PRO LLD</v>
      </c>
      <c r="B124" s="5" t="str">
        <f>'Base Blend Property Calculation'!B128</f>
        <v>SURFACEmix LW PRO LLD</v>
      </c>
      <c r="C124" s="6">
        <f>'Base Blend Property Calculation'!BN128</f>
        <v>0</v>
      </c>
      <c r="D124" s="7">
        <f>'Base Blend Property Calculation'!BG128</f>
        <v>0.77600000000000002</v>
      </c>
      <c r="E124" s="7">
        <f>'Base Blend Property Calculation'!BH128</f>
        <v>1.1459999999999999</v>
      </c>
      <c r="F124" s="8">
        <f>'Base Blend Property Calculation'!BI127</f>
        <v>1550</v>
      </c>
      <c r="G124" s="7">
        <f>'Base Blend Property Calculation'!BJ128</f>
        <v>2.7040000000000002</v>
      </c>
      <c r="H124" s="8" t="str">
        <f>'Base Blend Property Calculation'!BK128</f>
        <v>N</v>
      </c>
      <c r="I124" s="5">
        <f>'Base Blend Property Calculation'!BL128</f>
        <v>3</v>
      </c>
      <c r="J124" s="5">
        <f>'Base Blend Property Calculation'!BM128</f>
        <v>0</v>
      </c>
      <c r="K124" s="5">
        <f>'Base Blend Property Calculation'!BO128</f>
        <v>1000</v>
      </c>
    </row>
    <row r="125" spans="1:11" x14ac:dyDescent="0.25">
      <c r="A125" s="5" t="str">
        <f>'Base Blend Property Calculation'!A129</f>
        <v>SURFACEmix LW PRO RD</v>
      </c>
      <c r="B125" s="5" t="str">
        <f>'Base Blend Property Calculation'!B129</f>
        <v>SURFACEmix LW PRO RD</v>
      </c>
      <c r="C125" s="6">
        <f>'Base Blend Property Calculation'!BN129</f>
        <v>0</v>
      </c>
      <c r="D125" s="7">
        <f>'Base Blend Property Calculation'!BG129</f>
        <v>0.81</v>
      </c>
      <c r="E125" s="7">
        <f>'Base Blend Property Calculation'!BH129</f>
        <v>1.1679999999999999</v>
      </c>
      <c r="F125" s="8">
        <f>'Base Blend Property Calculation'!BI128</f>
        <v>1550</v>
      </c>
      <c r="G125" s="7">
        <f>'Base Blend Property Calculation'!BJ129</f>
        <v>2.7930000000000001</v>
      </c>
      <c r="H125" s="8" t="str">
        <f>'Base Blend Property Calculation'!BK129</f>
        <v>N</v>
      </c>
      <c r="I125" s="5">
        <f>'Base Blend Property Calculation'!BL129</f>
        <v>3</v>
      </c>
      <c r="J125" s="5">
        <f>'Base Blend Property Calculation'!BM129</f>
        <v>0</v>
      </c>
      <c r="K125" s="5">
        <f>'Base Blend Property Calculation'!BO129</f>
        <v>1000</v>
      </c>
    </row>
    <row r="126" spans="1:11" x14ac:dyDescent="0.25">
      <c r="A126" s="5" t="e">
        <f>'Base Blend Property Calculation'!#REF!</f>
        <v>#REF!</v>
      </c>
      <c r="B126" s="5" t="e">
        <f>'Base Blend Property Calculation'!#REF!</f>
        <v>#REF!</v>
      </c>
      <c r="C126" s="6" t="e">
        <f>'Base Blend Property Calculation'!#REF!</f>
        <v>#REF!</v>
      </c>
      <c r="D126" s="7" t="e">
        <f>'Base Blend Property Calculation'!#REF!</f>
        <v>#REF!</v>
      </c>
      <c r="E126" s="7" t="e">
        <f>'Base Blend Property Calculation'!#REF!</f>
        <v>#REF!</v>
      </c>
      <c r="F126" s="8">
        <f>'Base Blend Property Calculation'!BI129</f>
        <v>1550</v>
      </c>
      <c r="G126" s="7" t="e">
        <f>'Base Blend Property Calculation'!#REF!</f>
        <v>#REF!</v>
      </c>
      <c r="H126" s="8" t="e">
        <f>'Base Blend Property Calculation'!#REF!</f>
        <v>#REF!</v>
      </c>
      <c r="I126" s="5" t="e">
        <f>'Base Blend Property Calculation'!#REF!</f>
        <v>#REF!</v>
      </c>
      <c r="J126" s="5" t="e">
        <f>'Base Blend Property Calculation'!#REF!</f>
        <v>#REF!</v>
      </c>
      <c r="K126" s="5" t="e">
        <f>'Base Blend Property Calculation'!#REF!</f>
        <v>#REF!</v>
      </c>
    </row>
    <row r="127" spans="1:11" x14ac:dyDescent="0.25">
      <c r="A127" s="5" t="e">
        <f>'Base Blend Property Calculation'!#REF!</f>
        <v>#REF!</v>
      </c>
      <c r="B127" s="5" t="e">
        <f>'Base Blend Property Calculation'!#REF!</f>
        <v>#REF!</v>
      </c>
      <c r="C127" s="6" t="e">
        <f>'Base Blend Property Calculation'!#REF!</f>
        <v>#REF!</v>
      </c>
      <c r="D127" s="7" t="e">
        <f>'Base Blend Property Calculation'!#REF!</f>
        <v>#REF!</v>
      </c>
      <c r="E127" s="7" t="e">
        <f>'Base Blend Property Calculation'!#REF!</f>
        <v>#REF!</v>
      </c>
      <c r="F127" s="8" t="e">
        <f>'Base Blend Property Calculation'!#REF!</f>
        <v>#REF!</v>
      </c>
      <c r="G127" s="7" t="e">
        <f>'Base Blend Property Calculation'!#REF!</f>
        <v>#REF!</v>
      </c>
      <c r="H127" s="8" t="e">
        <f>'Base Blend Property Calculation'!#REF!</f>
        <v>#REF!</v>
      </c>
      <c r="I127" s="5" t="e">
        <f>'Base Blend Property Calculation'!#REF!</f>
        <v>#REF!</v>
      </c>
      <c r="J127" s="5" t="e">
        <f>'Base Blend Property Calculation'!#REF!</f>
        <v>#REF!</v>
      </c>
      <c r="K127" s="5" t="e">
        <f>'Base Blend Property Calculation'!#REF!</f>
        <v>#REF!</v>
      </c>
    </row>
    <row r="128" spans="1:11" x14ac:dyDescent="0.25">
      <c r="A128" s="5" t="e">
        <f>'Base Blend Property Calculation'!#REF!</f>
        <v>#REF!</v>
      </c>
      <c r="B128" s="5" t="e">
        <f>'Base Blend Property Calculation'!#REF!</f>
        <v>#REF!</v>
      </c>
      <c r="C128" s="6" t="e">
        <f>'Base Blend Property Calculation'!#REF!</f>
        <v>#REF!</v>
      </c>
      <c r="D128" s="7" t="e">
        <f>'Base Blend Property Calculation'!#REF!</f>
        <v>#REF!</v>
      </c>
      <c r="E128" s="7" t="e">
        <f>'Base Blend Property Calculation'!#REF!</f>
        <v>#REF!</v>
      </c>
      <c r="F128" s="8" t="e">
        <f>'Base Blend Property Calculation'!#REF!</f>
        <v>#REF!</v>
      </c>
      <c r="G128" s="7" t="e">
        <f>'Base Blend Property Calculation'!#REF!</f>
        <v>#REF!</v>
      </c>
      <c r="H128" s="8" t="e">
        <f>'Base Blend Property Calculation'!#REF!</f>
        <v>#REF!</v>
      </c>
      <c r="I128" s="5" t="e">
        <f>'Base Blend Property Calculation'!#REF!</f>
        <v>#REF!</v>
      </c>
      <c r="J128" s="5" t="e">
        <f>'Base Blend Property Calculation'!#REF!</f>
        <v>#REF!</v>
      </c>
      <c r="K128" s="5" t="e">
        <f>'Base Blend Property Calculation'!#REF!</f>
        <v>#REF!</v>
      </c>
    </row>
    <row r="129" spans="1:11" x14ac:dyDescent="0.25">
      <c r="A129" s="5" t="e">
        <f>'Base Blend Property Calculation'!#REF!</f>
        <v>#REF!</v>
      </c>
      <c r="B129" s="5" t="e">
        <f>'Base Blend Property Calculation'!#REF!</f>
        <v>#REF!</v>
      </c>
      <c r="C129" s="6" t="e">
        <f>'Base Blend Property Calculation'!#REF!</f>
        <v>#REF!</v>
      </c>
      <c r="D129" s="7" t="e">
        <f>'Base Blend Property Calculation'!#REF!</f>
        <v>#REF!</v>
      </c>
      <c r="E129" s="7" t="e">
        <f>'Base Blend Property Calculation'!#REF!</f>
        <v>#REF!</v>
      </c>
      <c r="F129" s="8" t="e">
        <f>'Base Blend Property Calculation'!#REF!</f>
        <v>#REF!</v>
      </c>
      <c r="G129" s="7" t="e">
        <f>'Base Blend Property Calculation'!#REF!</f>
        <v>#REF!</v>
      </c>
      <c r="H129" s="8" t="e">
        <f>'Base Blend Property Calculation'!#REF!</f>
        <v>#REF!</v>
      </c>
      <c r="I129" s="5" t="e">
        <f>'Base Blend Property Calculation'!#REF!</f>
        <v>#REF!</v>
      </c>
      <c r="J129" s="5" t="e">
        <f>'Base Blend Property Calculation'!#REF!</f>
        <v>#REF!</v>
      </c>
      <c r="K129" s="5" t="e">
        <f>'Base Blend Property Calculation'!#REF!</f>
        <v>#REF!</v>
      </c>
    </row>
    <row r="130" spans="1:11" x14ac:dyDescent="0.25">
      <c r="A130" s="5" t="str">
        <f>'Base Blend Property Calculation'!A131</f>
        <v>SURFACEmix SLW</v>
      </c>
      <c r="B130" s="5" t="str">
        <f>'Base Blend Property Calculation'!B131</f>
        <v>SURFACEmix SLW</v>
      </c>
      <c r="C130" s="6">
        <f>'Base Blend Property Calculation'!BN131</f>
        <v>0</v>
      </c>
      <c r="D130" s="7">
        <f>'Base Blend Property Calculation'!BG131</f>
        <v>0.610290205986595</v>
      </c>
      <c r="E130" s="7">
        <f>'Base Blend Property Calculation'!BH131</f>
        <v>1.3419085049888291</v>
      </c>
      <c r="F130" s="8" t="e">
        <f>'Base Blend Property Calculation'!#REF!</f>
        <v>#REF!</v>
      </c>
      <c r="G130" s="7">
        <f>'Base Blend Property Calculation'!BJ131</f>
        <v>1.3668329528714349</v>
      </c>
      <c r="H130" s="8" t="str">
        <f>'Base Blend Property Calculation'!BK131</f>
        <v>Y</v>
      </c>
      <c r="I130" s="5">
        <f>'Base Blend Property Calculation'!BL131</f>
        <v>31</v>
      </c>
      <c r="J130" s="5">
        <f>'Base Blend Property Calculation'!BM131</f>
        <v>0</v>
      </c>
      <c r="K130" s="5">
        <f>'Base Blend Property Calculation'!BO131</f>
        <v>1000</v>
      </c>
    </row>
    <row r="131" spans="1:11" x14ac:dyDescent="0.25">
      <c r="A131" s="5" t="str">
        <f>'Base Blend Property Calculation'!A132</f>
        <v>SURFACEmix THX</v>
      </c>
      <c r="B131" s="5" t="str">
        <f>'Base Blend Property Calculation'!B132</f>
        <v>SURFACEmix THX</v>
      </c>
      <c r="C131" s="6">
        <f>'Base Blend Property Calculation'!BN132</f>
        <v>0</v>
      </c>
      <c r="D131" s="7">
        <f>'Base Blend Property Calculation'!BG132</f>
        <v>0.61299999999999999</v>
      </c>
      <c r="E131" s="7">
        <f>'Base Blend Property Calculation'!BH132</f>
        <v>0.93500000000000005</v>
      </c>
      <c r="F131" s="8">
        <f>'Base Blend Property Calculation'!BI131</f>
        <v>1200</v>
      </c>
      <c r="G131" s="7">
        <f>'Base Blend Property Calculation'!BJ132</f>
        <v>3.1055900621118004</v>
      </c>
      <c r="H131" s="8" t="str">
        <f>'Base Blend Property Calculation'!BK132</f>
        <v>N</v>
      </c>
      <c r="I131" s="5">
        <f>'Base Blend Property Calculation'!BL132</f>
        <v>31</v>
      </c>
      <c r="J131" s="5">
        <f>'Base Blend Property Calculation'!BM132</f>
        <v>0</v>
      </c>
      <c r="K131" s="5">
        <f>'Base Blend Property Calculation'!BO132</f>
        <v>1000</v>
      </c>
    </row>
    <row r="132" spans="1:11" x14ac:dyDescent="0.25">
      <c r="A132" s="5" t="str">
        <f>'Base Blend Property Calculation'!A133</f>
        <v>SurfLite</v>
      </c>
      <c r="B132" s="5" t="str">
        <f>'Base Blend Property Calculation'!B133</f>
        <v>SurfLite</v>
      </c>
      <c r="C132" s="6">
        <f>'Base Blend Property Calculation'!BN133</f>
        <v>0</v>
      </c>
      <c r="D132" s="7">
        <f>'Base Blend Property Calculation'!BG133</f>
        <v>0.49139078687344068</v>
      </c>
      <c r="E132" s="7">
        <f>'Base Blend Property Calculation'!BH133</f>
        <v>0.86207559934880962</v>
      </c>
      <c r="F132" s="8">
        <f>'Base Blend Property Calculation'!BI132</f>
        <v>1725</v>
      </c>
      <c r="G132" s="7">
        <f>'Base Blend Property Calculation'!BJ133</f>
        <v>2.6977096615374481</v>
      </c>
      <c r="H132" s="8" t="str">
        <f>'Base Blend Property Calculation'!BK133</f>
        <v>Y</v>
      </c>
      <c r="I132" s="5">
        <f>'Base Blend Property Calculation'!BL133</f>
        <v>42</v>
      </c>
      <c r="J132" s="5">
        <f>'Base Blend Property Calculation'!BM133</f>
        <v>0</v>
      </c>
      <c r="K132" s="5">
        <f>'Base Blend Property Calculation'!BO133</f>
        <v>1000</v>
      </c>
    </row>
    <row r="133" spans="1:11" x14ac:dyDescent="0.25">
      <c r="A133" s="5" t="str">
        <f>'Base Blend Property Calculation'!A134</f>
        <v>SurfLite (SK)</v>
      </c>
      <c r="B133" s="5" t="str">
        <f>'Base Blend Property Calculation'!B134</f>
        <v>SurfLite (SK)</v>
      </c>
      <c r="C133" s="6">
        <f>'Base Blend Property Calculation'!BN134</f>
        <v>0</v>
      </c>
      <c r="D133" s="7">
        <f>'Base Blend Property Calculation'!BG134</f>
        <v>0.55603232795988544</v>
      </c>
      <c r="E133" s="7">
        <f>'Base Blend Property Calculation'!BH134</f>
        <v>0.89944065199993384</v>
      </c>
      <c r="F133" s="8">
        <f>'Base Blend Property Calculation'!BI133</f>
        <v>1730</v>
      </c>
      <c r="G133" s="7">
        <f>'Base Blend Property Calculation'!BJ134</f>
        <v>2.9119853247453014</v>
      </c>
      <c r="H133" s="8" t="str">
        <f>'Base Blend Property Calculation'!BK134</f>
        <v>N</v>
      </c>
      <c r="I133" s="5" t="str">
        <f>'Base Blend Property Calculation'!BL134</f>
        <v>03</v>
      </c>
      <c r="J133" s="5">
        <f>'Base Blend Property Calculation'!BM134</f>
        <v>0</v>
      </c>
      <c r="K133" s="5">
        <f>'Base Blend Property Calculation'!BO134</f>
        <v>1000</v>
      </c>
    </row>
    <row r="134" spans="1:11" x14ac:dyDescent="0.25">
      <c r="A134" s="5" t="str">
        <f>'Base Blend Property Calculation'!A135</f>
        <v>Thermal 40</v>
      </c>
      <c r="B134" s="5" t="str">
        <f>'Base Blend Property Calculation'!B135</f>
        <v>Thermal 40</v>
      </c>
      <c r="C134" s="6">
        <f>'Base Blend Property Calculation'!BN135</f>
        <v>0</v>
      </c>
      <c r="D134" s="7">
        <f>'Base Blend Property Calculation'!BG135</f>
        <v>0.42307862613048064</v>
      </c>
      <c r="E134" s="7">
        <f>'Base Blend Property Calculation'!BH135</f>
        <v>0.75494887327876958</v>
      </c>
      <c r="F134" s="8">
        <f>'Base Blend Property Calculation'!BI134</f>
        <v>1730</v>
      </c>
      <c r="G134" s="7">
        <f>'Base Blend Property Calculation'!BJ135</f>
        <v>3.0132258272407646</v>
      </c>
      <c r="H134" s="8" t="str">
        <f>'Base Blend Property Calculation'!BK135</f>
        <v>Y</v>
      </c>
      <c r="I134" s="5" t="str">
        <f>'Base Blend Property Calculation'!BL135</f>
        <v>04</v>
      </c>
      <c r="J134" s="5">
        <f>'Base Blend Property Calculation'!BM135</f>
        <v>0</v>
      </c>
      <c r="K134" s="5">
        <f>'Base Blend Property Calculation'!BO135</f>
        <v>1000</v>
      </c>
    </row>
    <row r="135" spans="1:11" x14ac:dyDescent="0.25">
      <c r="A135" s="5" t="str">
        <f>'Base Blend Property Calculation'!A136</f>
        <v>Thermal 40 EXP</v>
      </c>
      <c r="B135" s="5" t="str">
        <f>'Base Blend Property Calculation'!B136</f>
        <v>Thermal 40 EXP</v>
      </c>
      <c r="C135" s="6">
        <f>'Base Blend Property Calculation'!BN136</f>
        <v>0</v>
      </c>
      <c r="D135" s="7">
        <f>'Base Blend Property Calculation'!BG136</f>
        <v>0.48065043419161008</v>
      </c>
      <c r="E135" s="7">
        <f>'Base Blend Property Calculation'!BH136</f>
        <v>0.81354419461077476</v>
      </c>
      <c r="F135" s="8">
        <f>'Base Blend Property Calculation'!BI135</f>
        <v>1885</v>
      </c>
      <c r="G135" s="7">
        <f>'Base Blend Property Calculation'!BJ136</f>
        <v>3.003961380173799</v>
      </c>
      <c r="H135" s="8" t="str">
        <f>'Base Blend Property Calculation'!BK136</f>
        <v>Y</v>
      </c>
      <c r="I135" s="5" t="str">
        <f>'Base Blend Property Calculation'!BL136</f>
        <v>04</v>
      </c>
      <c r="J135" s="5">
        <f>'Base Blend Property Calculation'!BM136</f>
        <v>0</v>
      </c>
      <c r="K135" s="5">
        <f>'Base Blend Property Calculation'!BO136</f>
        <v>1000</v>
      </c>
    </row>
    <row r="136" spans="1:11" x14ac:dyDescent="0.25">
      <c r="A136" s="5" t="str">
        <f>'Base Blend Property Calculation'!A137</f>
        <v>Thermal 40 Lite</v>
      </c>
      <c r="B136" s="5" t="str">
        <f>'Base Blend Property Calculation'!B137</f>
        <v>Thermal 40 Lite</v>
      </c>
      <c r="C136" s="6">
        <f>'Base Blend Property Calculation'!BN137</f>
        <v>0</v>
      </c>
      <c r="D136" s="7">
        <f>'Base Blend Property Calculation'!BG137</f>
        <v>0.88142911416711645</v>
      </c>
      <c r="E136" s="7">
        <f>'Base Blend Property Calculation'!BH137</f>
        <v>1.2138252349465266</v>
      </c>
      <c r="F136" s="8">
        <f>'Base Blend Property Calculation'!BI136</f>
        <v>1820</v>
      </c>
      <c r="G136" s="7">
        <f>'Base Blend Property Calculation'!BJ137</f>
        <v>3.0084586957729131</v>
      </c>
      <c r="H136" s="8" t="str">
        <f>'Base Blend Property Calculation'!BK137</f>
        <v>N</v>
      </c>
      <c r="I136" s="5">
        <f>'Base Blend Property Calculation'!BL137</f>
        <v>30</v>
      </c>
      <c r="J136" s="5">
        <f>'Base Blend Property Calculation'!BM137</f>
        <v>0</v>
      </c>
      <c r="K136" s="5">
        <f>'Base Blend Property Calculation'!BO137</f>
        <v>1000</v>
      </c>
    </row>
    <row r="137" spans="1:11" x14ac:dyDescent="0.25">
      <c r="A137" s="5" t="str">
        <f>'Base Blend Property Calculation'!A138</f>
        <v>THERMAmix EC</v>
      </c>
      <c r="B137" s="5" t="str">
        <f>'Base Blend Property Calculation'!B138</f>
        <v>THERMAmix EC</v>
      </c>
      <c r="C137" s="6">
        <f>'Base Blend Property Calculation'!BN138</f>
        <v>0</v>
      </c>
      <c r="D137" s="7">
        <f>'Base Blend Property Calculation'!BG138</f>
        <v>0.44829506901295252</v>
      </c>
      <c r="E137" s="7">
        <f>'Base Blend Property Calculation'!BH138</f>
        <v>0.82759718229311574</v>
      </c>
      <c r="F137" s="8">
        <f>'Base Blend Property Calculation'!BI137</f>
        <v>1550</v>
      </c>
      <c r="G137" s="7">
        <f>'Base Blend Property Calculation'!BJ138</f>
        <v>2.6364208502613109</v>
      </c>
      <c r="H137" s="8" t="str">
        <f>'Base Blend Property Calculation'!BK138</f>
        <v>Y</v>
      </c>
      <c r="I137" s="5">
        <f>'Base Blend Property Calculation'!BL138</f>
        <v>30</v>
      </c>
      <c r="J137" s="5">
        <f>'Base Blend Property Calculation'!BM138</f>
        <v>0</v>
      </c>
      <c r="K137" s="5">
        <f>'Base Blend Property Calculation'!BO138</f>
        <v>1000</v>
      </c>
    </row>
    <row r="138" spans="1:11" x14ac:dyDescent="0.25">
      <c r="A138" s="5" t="str">
        <f>'Base Blend Property Calculation'!A139</f>
        <v>THERMAmix EC EXP</v>
      </c>
      <c r="B138" s="5" t="str">
        <f>'Base Blend Property Calculation'!B139</f>
        <v>THERMAmix EC EXP</v>
      </c>
      <c r="C138" s="6">
        <f>'Base Blend Property Calculation'!BN139</f>
        <v>0</v>
      </c>
      <c r="D138" s="7">
        <f>'Base Blend Property Calculation'!BG139</f>
        <v>0.52900000000000003</v>
      </c>
      <c r="E138" s="7">
        <f>'Base Blend Property Calculation'!BH139</f>
        <v>0.91300000000000003</v>
      </c>
      <c r="F138" s="8">
        <f>'Base Blend Property Calculation'!BI138</f>
        <v>1750</v>
      </c>
      <c r="G138" s="7">
        <f>'Base Blend Property Calculation'!BJ139</f>
        <v>2.6469999999999998</v>
      </c>
      <c r="H138" s="8" t="str">
        <f>'Base Blend Property Calculation'!BK139</f>
        <v>Y</v>
      </c>
      <c r="I138" s="5">
        <f>'Base Blend Property Calculation'!BL139</f>
        <v>30</v>
      </c>
      <c r="J138" s="5">
        <f>'Base Blend Property Calculation'!BM139</f>
        <v>0</v>
      </c>
      <c r="K138" s="5">
        <f>'Base Blend Property Calculation'!BO139</f>
        <v>1000</v>
      </c>
    </row>
    <row r="139" spans="1:11" x14ac:dyDescent="0.25">
      <c r="A139" s="5" t="str">
        <f>'Base Blend Property Calculation'!A140</f>
        <v>THERMAmix LT</v>
      </c>
      <c r="B139" s="5" t="str">
        <f>'Base Blend Property Calculation'!B140</f>
        <v>THERMAmix LT</v>
      </c>
      <c r="C139" s="6">
        <f>'Base Blend Property Calculation'!BN140</f>
        <v>0</v>
      </c>
      <c r="D139" s="7">
        <f>'Base Blend Property Calculation'!BG140</f>
        <v>0.43005347060886301</v>
      </c>
      <c r="E139" s="7">
        <f>'Base Blend Property Calculation'!BH140</f>
        <v>0.77720297315699072</v>
      </c>
      <c r="F139" s="8">
        <f>'Base Blend Property Calculation'!BI139</f>
        <v>1675</v>
      </c>
      <c r="G139" s="7">
        <f>'Base Blend Property Calculation'!BJ140</f>
        <v>2.8806032924139453</v>
      </c>
      <c r="H139" s="8" t="str">
        <f>'Base Blend Property Calculation'!BK140</f>
        <v>N</v>
      </c>
      <c r="I139" s="5">
        <f>'Base Blend Property Calculation'!BL140</f>
        <v>30</v>
      </c>
      <c r="J139" s="5">
        <f>'Base Blend Property Calculation'!BM140</f>
        <v>0</v>
      </c>
      <c r="K139" s="5">
        <f>'Base Blend Property Calculation'!BO140</f>
        <v>1000</v>
      </c>
    </row>
    <row r="140" spans="1:11" x14ac:dyDescent="0.25">
      <c r="A140" s="5" t="str">
        <f>'Base Blend Property Calculation'!A141</f>
        <v>THERMAmix PRO</v>
      </c>
      <c r="B140" s="5" t="str">
        <f>'Base Blend Property Calculation'!B141</f>
        <v>THERMAmix PRO</v>
      </c>
      <c r="C140" s="6">
        <f>'Base Blend Property Calculation'!BN141</f>
        <v>0</v>
      </c>
      <c r="D140" s="7">
        <f>'Base Blend Property Calculation'!BG141</f>
        <v>0.56000000000000005</v>
      </c>
      <c r="E140" s="7">
        <f>'Base Blend Property Calculation'!BH141</f>
        <v>0.91800000000000004</v>
      </c>
      <c r="F140" s="8">
        <f>'Base Blend Property Calculation'!BI140</f>
        <v>1840</v>
      </c>
      <c r="G140" s="7">
        <f>'Base Blend Property Calculation'!BJ141</f>
        <v>2.7949999999999999</v>
      </c>
      <c r="H140" s="8" t="str">
        <f>'Base Blend Property Calculation'!BK141</f>
        <v>N</v>
      </c>
      <c r="I140" s="5">
        <f>'Base Blend Property Calculation'!BL141</f>
        <v>30</v>
      </c>
      <c r="J140" s="5">
        <f>'Base Blend Property Calculation'!BM141</f>
        <v>0</v>
      </c>
      <c r="K140" s="5">
        <f>'Base Blend Property Calculation'!BO141</f>
        <v>1000</v>
      </c>
    </row>
    <row r="141" spans="1:11" x14ac:dyDescent="0.25">
      <c r="A141" s="5" t="str">
        <f>'Base Blend Property Calculation'!A142</f>
        <v>THERMAmix SLW</v>
      </c>
      <c r="B141" s="5" t="str">
        <f>'Base Blend Property Calculation'!B142</f>
        <v>THERMAmix SLW</v>
      </c>
      <c r="C141" s="6">
        <f>'Base Blend Property Calculation'!BN142</f>
        <v>0</v>
      </c>
      <c r="D141" s="7">
        <f>'Base Blend Property Calculation'!BG142</f>
        <v>0.65100000000000002</v>
      </c>
      <c r="E141" s="7">
        <f>'Base Blend Property Calculation'!BH142</f>
        <v>1.2230000000000001</v>
      </c>
      <c r="F141" s="8">
        <f>'Base Blend Property Calculation'!BI141</f>
        <v>1700</v>
      </c>
      <c r="G141" s="7">
        <f>'Base Blend Property Calculation'!BJ142</f>
        <v>1.748</v>
      </c>
      <c r="H141" s="8" t="str">
        <f>'Base Blend Property Calculation'!BK142</f>
        <v>N</v>
      </c>
      <c r="I141" s="5">
        <f>'Base Blend Property Calculation'!BL142</f>
        <v>30</v>
      </c>
      <c r="J141" s="5">
        <f>'Base Blend Property Calculation'!BM142</f>
        <v>0</v>
      </c>
      <c r="K141" s="5">
        <f>'Base Blend Property Calculation'!BO142</f>
        <v>1000</v>
      </c>
    </row>
    <row r="142" spans="1:11" x14ac:dyDescent="0.25">
      <c r="A142" s="5" t="str">
        <f>'Base Blend Property Calculation'!A143</f>
        <v>THERMAmix THX</v>
      </c>
      <c r="B142" s="5" t="str">
        <f>'Base Blend Property Calculation'!B143</f>
        <v>THERMAmix THX</v>
      </c>
      <c r="C142" s="6">
        <f>'Base Blend Property Calculation'!BN143</f>
        <v>0</v>
      </c>
      <c r="D142" s="7">
        <f>'Base Blend Property Calculation'!BG143</f>
        <v>0.434</v>
      </c>
      <c r="E142" s="7">
        <f>'Base Blend Property Calculation'!BH143</f>
        <v>0.77900000000000003</v>
      </c>
      <c r="F142" s="8">
        <f>'Base Blend Property Calculation'!BI142</f>
        <v>1350</v>
      </c>
      <c r="G142" s="7">
        <f>'Base Blend Property Calculation'!BJ143</f>
        <v>2.899</v>
      </c>
      <c r="H142" s="8" t="str">
        <f>'Base Blend Property Calculation'!BK143</f>
        <v>Y</v>
      </c>
      <c r="I142" s="5">
        <f>'Base Blend Property Calculation'!BL143</f>
        <v>30</v>
      </c>
      <c r="J142" s="5">
        <f>'Base Blend Property Calculation'!BM143</f>
        <v>0</v>
      </c>
      <c r="K142" s="5">
        <f>'Base Blend Property Calculation'!BO143</f>
        <v>1000</v>
      </c>
    </row>
    <row r="143" spans="1:11" x14ac:dyDescent="0.25">
      <c r="A143" s="5" t="str">
        <f>'Base Blend Property Calculation'!A144</f>
        <v>ThixLite HT (AB)</v>
      </c>
      <c r="B143" s="5" t="str">
        <f>'Base Blend Property Calculation'!B144</f>
        <v>ThixLite HT (AB)</v>
      </c>
      <c r="C143" s="6">
        <f>'Base Blend Property Calculation'!BN144</f>
        <v>0</v>
      </c>
      <c r="D143" s="7">
        <f>'Base Blend Property Calculation'!BG144</f>
        <v>0.86476456267792645</v>
      </c>
      <c r="E143" s="7">
        <f>'Base Blend Property Calculation'!BH144</f>
        <v>1.2431763751186176</v>
      </c>
      <c r="F143" s="8">
        <f>'Base Blend Property Calculation'!BI143</f>
        <v>1840</v>
      </c>
      <c r="G143" s="7">
        <f>'Base Blend Property Calculation'!BJ144</f>
        <v>2.6426236367997396</v>
      </c>
      <c r="H143" s="8" t="str">
        <f>'Base Blend Property Calculation'!BK144</f>
        <v>N</v>
      </c>
      <c r="I143" s="5">
        <f>'Base Blend Property Calculation'!BL144</f>
        <v>30</v>
      </c>
      <c r="J143" s="5">
        <f>'Base Blend Property Calculation'!BM144</f>
        <v>0</v>
      </c>
      <c r="K143" s="5">
        <f>'Base Blend Property Calculation'!BO144</f>
        <v>1000</v>
      </c>
    </row>
    <row r="144" spans="1:11" x14ac:dyDescent="0.25">
      <c r="A144" s="5" t="str">
        <f>'Base Blend Property Calculation'!A145</f>
        <v>ThixLite HT (SK)</v>
      </c>
      <c r="B144" s="5" t="str">
        <f>'Base Blend Property Calculation'!B145</f>
        <v>ThixLite HT (SK)</v>
      </c>
      <c r="C144" s="6">
        <f>'Base Blend Property Calculation'!BN145</f>
        <v>0</v>
      </c>
      <c r="D144" s="7">
        <f>'Base Blend Property Calculation'!BG145</f>
        <v>0.93878875590855027</v>
      </c>
      <c r="E144" s="7">
        <f>'Base Blend Property Calculation'!BH145</f>
        <v>1.2925258372723669</v>
      </c>
      <c r="F144" s="8">
        <f>'Base Blend Property Calculation'!BI144</f>
        <v>1500</v>
      </c>
      <c r="G144" s="7">
        <f>'Base Blend Property Calculation'!BJ145</f>
        <v>2.8269583616864455</v>
      </c>
      <c r="H144" s="8" t="str">
        <f>'Base Blend Property Calculation'!BK145</f>
        <v>N</v>
      </c>
      <c r="I144" s="5">
        <f>'Base Blend Property Calculation'!BL145</f>
        <v>36</v>
      </c>
      <c r="J144" s="5">
        <f>'Base Blend Property Calculation'!BM145</f>
        <v>0</v>
      </c>
      <c r="K144" s="5">
        <f>'Base Blend Property Calculation'!BO145</f>
        <v>1000</v>
      </c>
    </row>
    <row r="145" spans="1:11" x14ac:dyDescent="0.25">
      <c r="A145" s="5" t="str">
        <f>'Base Blend Property Calculation'!A146</f>
        <v>Sanseal Thermal</v>
      </c>
      <c r="B145" s="5" t="str">
        <f>'Base Blend Property Calculation'!B146</f>
        <v>Sanseal Thermal</v>
      </c>
      <c r="C145" s="6">
        <f>'Base Blend Property Calculation'!BN146</f>
        <v>0</v>
      </c>
      <c r="D145" s="7">
        <f>'Base Blend Property Calculation'!BG146</f>
        <v>0.66600000000000004</v>
      </c>
      <c r="E145" s="7">
        <f>'Base Blend Property Calculation'!BH146</f>
        <v>1.01</v>
      </c>
      <c r="F145" s="8">
        <f>'Base Blend Property Calculation'!BI145</f>
        <v>1500</v>
      </c>
      <c r="G145" s="7">
        <f>'Base Blend Property Calculation'!BJ146</f>
        <v>2.9069767441860468</v>
      </c>
      <c r="H145" s="8" t="str">
        <f>'Base Blend Property Calculation'!BK146</f>
        <v>N</v>
      </c>
      <c r="I145" s="5">
        <f>'Base Blend Property Calculation'!BL146</f>
        <v>30</v>
      </c>
      <c r="J145" s="5">
        <f>'Base Blend Property Calculation'!BM146</f>
        <v>0</v>
      </c>
      <c r="K145" s="5">
        <f>'Base Blend Property Calculation'!BO146</f>
        <v>1000</v>
      </c>
    </row>
    <row r="146" spans="1:11" x14ac:dyDescent="0.25">
      <c r="A146" s="5" t="str">
        <f>'Base Blend Property Calculation'!A147</f>
        <v>LDP-C-0119</v>
      </c>
      <c r="B146" s="5" t="str">
        <f>'Base Blend Property Calculation'!B147</f>
        <v>LDP-C-0119</v>
      </c>
      <c r="C146" s="6">
        <f>'Base Blend Property Calculation'!BN147</f>
        <v>0</v>
      </c>
      <c r="D146" s="7">
        <f>'Base Blend Property Calculation'!BG147</f>
        <v>1.2569999999999999</v>
      </c>
      <c r="E146" s="7">
        <f>'Base Blend Property Calculation'!BH147</f>
        <v>1.6719999999999999</v>
      </c>
      <c r="F146" s="8">
        <f>'Base Blend Property Calculation'!BI146</f>
        <v>1650</v>
      </c>
      <c r="G146" s="7">
        <f>'Base Blend Property Calculation'!BJ147</f>
        <v>2.4096385542168672</v>
      </c>
      <c r="H146" s="8" t="str">
        <f>'Base Blend Property Calculation'!BK147</f>
        <v>N</v>
      </c>
      <c r="I146" s="5">
        <f>'Base Blend Property Calculation'!BL147</f>
        <v>0</v>
      </c>
      <c r="J146" s="5">
        <f>'Base Blend Property Calculation'!BM147</f>
        <v>0</v>
      </c>
      <c r="K146" s="5">
        <f>'Base Blend Property Calculation'!BO147</f>
        <v>1000</v>
      </c>
    </row>
    <row r="147" spans="1:11" x14ac:dyDescent="0.25">
      <c r="A147" s="5">
        <f>'Base Blend Property Calculation'!A148</f>
        <v>0</v>
      </c>
      <c r="B147" s="5">
        <f>'Base Blend Property Calculation'!B148</f>
        <v>0</v>
      </c>
      <c r="C147" s="6">
        <f>'Base Blend Property Calculation'!BN148</f>
        <v>0</v>
      </c>
      <c r="D147" s="7">
        <f>'Base Blend Property Calculation'!BG148</f>
        <v>0</v>
      </c>
      <c r="E147" s="7">
        <f>'Base Blend Property Calculation'!BH148</f>
        <v>0</v>
      </c>
      <c r="F147" s="8">
        <f>'Base Blend Property Calculation'!BI147</f>
        <v>1350</v>
      </c>
      <c r="G147" s="7">
        <f>'Base Blend Property Calculation'!BJ148</f>
        <v>0</v>
      </c>
      <c r="H147" s="8">
        <f>'Base Blend Property Calculation'!BK148</f>
        <v>0</v>
      </c>
      <c r="I147" s="5">
        <f>'Base Blend Property Calculation'!BL148</f>
        <v>0</v>
      </c>
      <c r="J147" s="5">
        <f>'Base Blend Property Calculation'!BM148</f>
        <v>0</v>
      </c>
      <c r="K147" s="5">
        <f>'Base Blend Property Calculation'!BO148</f>
        <v>0</v>
      </c>
    </row>
    <row r="148" spans="1:11" x14ac:dyDescent="0.25">
      <c r="A148" s="5">
        <f>'Base Blend Property Calculation'!A149</f>
        <v>0</v>
      </c>
      <c r="B148" s="5">
        <f>'Base Blend Property Calculation'!B149</f>
        <v>0</v>
      </c>
      <c r="C148" s="6">
        <f>'Base Blend Property Calculation'!BN149</f>
        <v>0</v>
      </c>
      <c r="D148" s="7">
        <f>'Base Blend Property Calculation'!BG149</f>
        <v>0</v>
      </c>
      <c r="E148" s="7">
        <f>'Base Blend Property Calculation'!BH149</f>
        <v>0</v>
      </c>
      <c r="F148" s="8">
        <f>'Base Blend Property Calculation'!BI148</f>
        <v>0</v>
      </c>
      <c r="G148" s="7">
        <f>'Base Blend Property Calculation'!BJ149</f>
        <v>0</v>
      </c>
      <c r="H148" s="8">
        <f>'Base Blend Property Calculation'!BK149</f>
        <v>0</v>
      </c>
      <c r="I148" s="5">
        <f>'Base Blend Property Calculation'!BL149</f>
        <v>0</v>
      </c>
      <c r="J148" s="5">
        <f>'Base Blend Property Calculation'!BM149</f>
        <v>0</v>
      </c>
      <c r="K148" s="5">
        <f>'Base Blend Property Calculation'!BO149</f>
        <v>0</v>
      </c>
    </row>
    <row r="149" spans="1:11" x14ac:dyDescent="0.25">
      <c r="A149" s="5">
        <f>'Base Blend Property Calculation'!A150</f>
        <v>0</v>
      </c>
      <c r="B149" s="5">
        <f>'Base Blend Property Calculation'!B150</f>
        <v>0</v>
      </c>
      <c r="C149" s="6">
        <f>'Base Blend Property Calculation'!BN150</f>
        <v>0</v>
      </c>
      <c r="D149" s="7">
        <f>'Base Blend Property Calculation'!BG150</f>
        <v>0</v>
      </c>
      <c r="E149" s="7">
        <f>'Base Blend Property Calculation'!BH150</f>
        <v>0</v>
      </c>
      <c r="F149" s="8">
        <f>'Base Blend Property Calculation'!BI149</f>
        <v>0</v>
      </c>
      <c r="G149" s="7">
        <f>'Base Blend Property Calculation'!BJ150</f>
        <v>0</v>
      </c>
      <c r="H149" s="8">
        <f>'Base Blend Property Calculation'!BK150</f>
        <v>0</v>
      </c>
      <c r="I149" s="5">
        <f>'Base Blend Property Calculation'!BL150</f>
        <v>0</v>
      </c>
      <c r="J149" s="5">
        <f>'Base Blend Property Calculation'!BM150</f>
        <v>0</v>
      </c>
      <c r="K149" s="5">
        <f>'Base Blend Property Calculation'!BO150</f>
        <v>0</v>
      </c>
    </row>
    <row r="150" spans="1:11" x14ac:dyDescent="0.25">
      <c r="A150" s="5">
        <f>'Base Blend Property Calculation'!A151</f>
        <v>0</v>
      </c>
      <c r="B150" s="5">
        <f>'Base Blend Property Calculation'!B151</f>
        <v>0</v>
      </c>
      <c r="C150" s="6">
        <f>'Base Blend Property Calculation'!BN151</f>
        <v>0</v>
      </c>
      <c r="D150" s="7">
        <f>'Base Blend Property Calculation'!BG151</f>
        <v>0</v>
      </c>
      <c r="E150" s="7">
        <f>'Base Blend Property Calculation'!BH151</f>
        <v>0</v>
      </c>
      <c r="F150" s="8">
        <f>'Base Blend Property Calculation'!BI150</f>
        <v>0</v>
      </c>
      <c r="G150" s="7">
        <f>'Base Blend Property Calculation'!BJ151</f>
        <v>0</v>
      </c>
      <c r="H150" s="8">
        <f>'Base Blend Property Calculation'!BK151</f>
        <v>0</v>
      </c>
      <c r="I150" s="5">
        <f>'Base Blend Property Calculation'!BL151</f>
        <v>0</v>
      </c>
      <c r="J150" s="5">
        <f>'Base Blend Property Calculation'!BM151</f>
        <v>0</v>
      </c>
      <c r="K150" s="5">
        <f>'Base Blend Property Calculation'!BO151</f>
        <v>0</v>
      </c>
    </row>
    <row r="151" spans="1:11" x14ac:dyDescent="0.25">
      <c r="A151" s="5" t="str">
        <f>'Base Blend Property Calculation'!A152</f>
        <v>PROJECT</v>
      </c>
      <c r="B151" s="5" t="str">
        <f>'Base Blend Property Calculation'!B152</f>
        <v>PROJECT</v>
      </c>
      <c r="C151" s="6">
        <f>'Base Blend Property Calculation'!BN152</f>
        <v>0</v>
      </c>
      <c r="D151" s="7" t="e">
        <f>'Base Blend Property Calculation'!BG152</f>
        <v>#REF!</v>
      </c>
      <c r="E151" s="7" t="e">
        <f>'Base Blend Property Calculation'!BH152</f>
        <v>#REF!</v>
      </c>
      <c r="F151" s="8">
        <f>'Base Blend Property Calculation'!BI151</f>
        <v>0</v>
      </c>
      <c r="G151" s="7" t="e">
        <f>'Base Blend Property Calculation'!BJ152</f>
        <v>#REF!</v>
      </c>
      <c r="H151" s="8">
        <f>'Base Blend Property Calculation'!BK152</f>
        <v>0</v>
      </c>
      <c r="I151" s="5">
        <f>'Base Blend Property Calculation'!BL152</f>
        <v>0</v>
      </c>
      <c r="J151" s="5">
        <f>'Base Blend Property Calculation'!BM152</f>
        <v>0</v>
      </c>
      <c r="K151" s="5" t="e">
        <f>'Base Blend Property Calculation'!BO152</f>
        <v>#REF!</v>
      </c>
    </row>
  </sheetData>
  <mergeCells count="2">
    <mergeCell ref="A2:K2"/>
    <mergeCell ref="A1:K1"/>
  </mergeCells>
  <conditionalFormatting sqref="L1:XFD1 A1 A2:XFD1048576">
    <cfRule type="cellIs" dxfId="107" priority="1" operator="equal">
      <formula>0</formula>
    </cfRule>
  </conditionalFormatting>
  <pageMargins left="0.7" right="0.7" top="0.75" bottom="0.75" header="0.3" footer="0.3"/>
  <pageSetup orientation="portrait" r:id="rId1"/>
  <headerFooter>
    <oddFooter>&amp;L&amp;F
Sheet Printed: &amp;T &amp;D
PRIVATE AND CONFIDENTIAL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"/>
  <dimension ref="A1:BZ152"/>
  <sheetViews>
    <sheetView topLeftCell="A4" zoomScale="85" zoomScaleNormal="85" workbookViewId="0">
      <pane xSplit="2" ySplit="3" topLeftCell="BB132" activePane="bottomRight" state="frozen"/>
      <selection activeCell="E19" sqref="E19"/>
      <selection pane="topRight" activeCell="E19" sqref="E19"/>
      <selection pane="bottomLeft" activeCell="E19" sqref="E19"/>
      <selection pane="bottomRight" activeCell="BS148" sqref="BS148"/>
    </sheetView>
  </sheetViews>
  <sheetFormatPr defaultRowHeight="15.75" x14ac:dyDescent="0.25"/>
  <cols>
    <col min="1" max="1" width="46.85546875" style="9" bestFit="1" customWidth="1"/>
    <col min="2" max="2" width="46.85546875" style="1" bestFit="1" customWidth="1"/>
    <col min="3" max="9" width="9.140625" style="1" customWidth="1"/>
    <col min="10" max="11" width="9.5703125" style="1" customWidth="1"/>
    <col min="12" max="12" width="12.28515625" style="1" customWidth="1"/>
    <col min="13" max="27" width="9.140625" style="1" customWidth="1"/>
    <col min="28" max="28" width="8.28515625" style="1" customWidth="1"/>
    <col min="29" max="36" width="9.140625" style="1" customWidth="1"/>
    <col min="37" max="37" width="14.5703125" style="1" customWidth="1"/>
    <col min="38" max="38" width="9.7109375" style="1" customWidth="1"/>
    <col min="39" max="39" width="14.42578125" style="1" customWidth="1"/>
    <col min="40" max="49" width="9.140625" style="1" customWidth="1"/>
    <col min="50" max="50" width="9.140625" style="253" customWidth="1"/>
    <col min="51" max="58" width="9.140625" style="1" customWidth="1"/>
    <col min="59" max="68" width="10.7109375" style="1" customWidth="1"/>
    <col min="69" max="69" width="9.140625" style="1"/>
    <col min="70" max="70" width="10.85546875" style="1" bestFit="1" customWidth="1"/>
    <col min="71" max="73" width="9.140625" style="1"/>
    <col min="74" max="74" width="46.42578125" style="1" customWidth="1"/>
    <col min="75" max="76" width="9.140625" style="1"/>
    <col min="77" max="77" width="11.85546875" style="1" customWidth="1"/>
    <col min="78" max="16384" width="9.140625" style="1"/>
  </cols>
  <sheetData>
    <row r="1" spans="1:78" ht="50.25" customHeight="1" x14ac:dyDescent="0.4">
      <c r="A1" s="522" t="s">
        <v>193</v>
      </c>
      <c r="B1" s="522"/>
      <c r="C1" s="522"/>
      <c r="D1" s="522"/>
      <c r="E1" s="522"/>
      <c r="F1" s="522"/>
      <c r="G1" s="522"/>
      <c r="H1" s="522"/>
      <c r="I1" s="522"/>
      <c r="J1" s="522"/>
      <c r="K1" s="522"/>
      <c r="L1" s="522"/>
      <c r="M1" s="522"/>
      <c r="N1" s="522"/>
      <c r="O1" s="522"/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2"/>
      <c r="AA1" s="522"/>
      <c r="AB1" s="522"/>
      <c r="AC1" s="522"/>
      <c r="AD1" s="522"/>
      <c r="AE1" s="522"/>
      <c r="AF1" s="522"/>
      <c r="AG1" s="522"/>
      <c r="AH1" s="522"/>
      <c r="AI1" s="522"/>
      <c r="AJ1" s="522"/>
      <c r="AK1" s="522"/>
      <c r="AL1" s="522"/>
      <c r="AM1" s="522"/>
      <c r="AN1" s="522"/>
      <c r="AO1" s="522"/>
      <c r="AP1" s="522"/>
      <c r="AQ1" s="522"/>
      <c r="AR1" s="522"/>
      <c r="AS1" s="522"/>
      <c r="AT1" s="522"/>
      <c r="AU1" s="522"/>
      <c r="AV1" s="522"/>
      <c r="AW1" s="522"/>
      <c r="AX1" s="522"/>
      <c r="AY1" s="522"/>
      <c r="AZ1" s="522"/>
      <c r="BA1" s="522"/>
      <c r="BB1" s="522"/>
      <c r="BC1" s="522"/>
      <c r="BD1" s="522"/>
      <c r="BE1" s="522"/>
      <c r="BF1" s="522"/>
      <c r="BG1" s="522"/>
      <c r="BH1" s="522"/>
      <c r="BI1" s="522"/>
      <c r="BJ1" s="522"/>
      <c r="BK1" s="522"/>
      <c r="BL1" s="522"/>
      <c r="BM1" s="522"/>
      <c r="BN1" s="522"/>
      <c r="BO1" s="522"/>
      <c r="BP1" s="53"/>
    </row>
    <row r="2" spans="1:78" ht="15" x14ac:dyDescent="0.25">
      <c r="A2" s="525"/>
      <c r="B2" s="526"/>
      <c r="C2" s="526" t="s">
        <v>136</v>
      </c>
      <c r="D2" s="526"/>
      <c r="E2" s="526"/>
      <c r="F2" s="526"/>
      <c r="G2" s="526"/>
      <c r="H2" s="526"/>
      <c r="I2" s="526"/>
      <c r="J2" s="526"/>
      <c r="K2" s="526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26"/>
      <c r="X2" s="526"/>
      <c r="Y2" s="526"/>
      <c r="Z2" s="526"/>
      <c r="AA2" s="526"/>
      <c r="AB2" s="526"/>
      <c r="AC2" s="526"/>
      <c r="AD2" s="526"/>
      <c r="AE2" s="526"/>
      <c r="AF2" s="526"/>
      <c r="AG2" s="526"/>
      <c r="AH2" s="526"/>
      <c r="AI2" s="526"/>
      <c r="AJ2" s="526"/>
      <c r="AK2" s="526"/>
      <c r="AL2" s="526"/>
      <c r="AM2" s="526"/>
      <c r="AN2" s="526"/>
      <c r="AO2" s="526"/>
      <c r="AP2" s="526"/>
      <c r="AQ2" s="526"/>
      <c r="AR2" s="526"/>
      <c r="AS2" s="526"/>
      <c r="AT2" s="526"/>
      <c r="AU2" s="526"/>
      <c r="AV2" s="526"/>
      <c r="AW2" s="526"/>
      <c r="AX2" s="526"/>
      <c r="AY2" s="526"/>
      <c r="AZ2" s="526"/>
      <c r="BA2" s="526"/>
      <c r="BB2" s="526"/>
      <c r="BC2" s="526"/>
      <c r="BD2" s="526"/>
      <c r="BE2" s="526"/>
      <c r="BF2" s="528"/>
      <c r="BG2" s="481" t="s">
        <v>141</v>
      </c>
      <c r="BH2" s="481"/>
      <c r="BI2" s="481"/>
      <c r="BJ2" s="481"/>
      <c r="BK2" s="481"/>
      <c r="BL2" s="481"/>
      <c r="BM2" s="481"/>
      <c r="BN2" s="481"/>
      <c r="BO2" s="481"/>
      <c r="BP2" s="54"/>
    </row>
    <row r="3" spans="1:78" ht="15" x14ac:dyDescent="0.25">
      <c r="A3" s="50"/>
      <c r="B3" s="51"/>
      <c r="C3" s="51">
        <v>1</v>
      </c>
      <c r="D3" s="51">
        <f>C3+1</f>
        <v>2</v>
      </c>
      <c r="E3" s="51">
        <f t="shared" ref="E3:BF3" si="0">D3+1</f>
        <v>3</v>
      </c>
      <c r="F3" s="51">
        <f t="shared" si="0"/>
        <v>4</v>
      </c>
      <c r="G3" s="51">
        <f t="shared" si="0"/>
        <v>5</v>
      </c>
      <c r="H3" s="51">
        <f t="shared" si="0"/>
        <v>6</v>
      </c>
      <c r="I3" s="51">
        <f t="shared" si="0"/>
        <v>7</v>
      </c>
      <c r="J3" s="51">
        <f t="shared" si="0"/>
        <v>8</v>
      </c>
      <c r="K3" s="51"/>
      <c r="L3" s="51">
        <f>J3+1</f>
        <v>9</v>
      </c>
      <c r="M3" s="51">
        <f t="shared" si="0"/>
        <v>10</v>
      </c>
      <c r="N3" s="51">
        <f t="shared" si="0"/>
        <v>11</v>
      </c>
      <c r="O3" s="51">
        <f t="shared" si="0"/>
        <v>12</v>
      </c>
      <c r="P3" s="51">
        <f t="shared" si="0"/>
        <v>13</v>
      </c>
      <c r="Q3" s="51">
        <f t="shared" si="0"/>
        <v>14</v>
      </c>
      <c r="R3" s="51">
        <f t="shared" si="0"/>
        <v>15</v>
      </c>
      <c r="S3" s="51">
        <f t="shared" si="0"/>
        <v>16</v>
      </c>
      <c r="T3" s="51">
        <f t="shared" si="0"/>
        <v>17</v>
      </c>
      <c r="U3" s="51">
        <f t="shared" si="0"/>
        <v>18</v>
      </c>
      <c r="V3" s="51">
        <f t="shared" si="0"/>
        <v>19</v>
      </c>
      <c r="W3" s="51">
        <f t="shared" si="0"/>
        <v>20</v>
      </c>
      <c r="X3" s="51">
        <f t="shared" si="0"/>
        <v>21</v>
      </c>
      <c r="Y3" s="51">
        <f t="shared" si="0"/>
        <v>22</v>
      </c>
      <c r="Z3" s="51">
        <f t="shared" si="0"/>
        <v>23</v>
      </c>
      <c r="AA3" s="51">
        <f t="shared" si="0"/>
        <v>24</v>
      </c>
      <c r="AB3" s="51">
        <f t="shared" si="0"/>
        <v>25</v>
      </c>
      <c r="AC3" s="51">
        <f t="shared" si="0"/>
        <v>26</v>
      </c>
      <c r="AD3" s="51">
        <f t="shared" si="0"/>
        <v>27</v>
      </c>
      <c r="AE3" s="51">
        <f t="shared" si="0"/>
        <v>28</v>
      </c>
      <c r="AF3" s="51">
        <f>AE3+1</f>
        <v>29</v>
      </c>
      <c r="AG3" s="51">
        <f t="shared" si="0"/>
        <v>30</v>
      </c>
      <c r="AH3" s="51">
        <f t="shared" si="0"/>
        <v>31</v>
      </c>
      <c r="AI3" s="51">
        <f t="shared" si="0"/>
        <v>32</v>
      </c>
      <c r="AJ3" s="51">
        <f t="shared" si="0"/>
        <v>33</v>
      </c>
      <c r="AK3" s="51">
        <f t="shared" si="0"/>
        <v>34</v>
      </c>
      <c r="AL3" s="51">
        <f t="shared" si="0"/>
        <v>35</v>
      </c>
      <c r="AM3" s="51">
        <f t="shared" si="0"/>
        <v>36</v>
      </c>
      <c r="AN3" s="51">
        <f t="shared" si="0"/>
        <v>37</v>
      </c>
      <c r="AO3" s="51">
        <f t="shared" si="0"/>
        <v>38</v>
      </c>
      <c r="AP3" s="51">
        <f t="shared" si="0"/>
        <v>39</v>
      </c>
      <c r="AQ3" s="51">
        <f t="shared" si="0"/>
        <v>40</v>
      </c>
      <c r="AR3" s="51">
        <f t="shared" si="0"/>
        <v>41</v>
      </c>
      <c r="AS3" s="51">
        <f t="shared" si="0"/>
        <v>42</v>
      </c>
      <c r="AT3" s="51">
        <f t="shared" si="0"/>
        <v>43</v>
      </c>
      <c r="AU3" s="51">
        <f t="shared" si="0"/>
        <v>44</v>
      </c>
      <c r="AV3" s="51">
        <f t="shared" si="0"/>
        <v>45</v>
      </c>
      <c r="AW3" s="51">
        <f t="shared" si="0"/>
        <v>46</v>
      </c>
      <c r="AX3" s="380">
        <f t="shared" si="0"/>
        <v>47</v>
      </c>
      <c r="AY3" s="51">
        <f t="shared" si="0"/>
        <v>48</v>
      </c>
      <c r="AZ3" s="51">
        <f t="shared" si="0"/>
        <v>49</v>
      </c>
      <c r="BA3" s="51">
        <f t="shared" si="0"/>
        <v>50</v>
      </c>
      <c r="BB3" s="51">
        <f t="shared" si="0"/>
        <v>51</v>
      </c>
      <c r="BC3" s="51">
        <f t="shared" si="0"/>
        <v>52</v>
      </c>
      <c r="BD3" s="51">
        <f t="shared" si="0"/>
        <v>53</v>
      </c>
      <c r="BE3" s="51">
        <f t="shared" si="0"/>
        <v>54</v>
      </c>
      <c r="BF3" s="51">
        <f t="shared" si="0"/>
        <v>55</v>
      </c>
      <c r="BG3" s="12"/>
      <c r="BH3" s="12"/>
      <c r="BI3" s="12"/>
      <c r="BJ3" s="12"/>
      <c r="BK3" s="12"/>
      <c r="BL3" s="12"/>
      <c r="BM3" s="12"/>
      <c r="BN3" s="12"/>
      <c r="BO3" s="12"/>
      <c r="BP3" s="12"/>
    </row>
    <row r="4" spans="1:78" ht="15" x14ac:dyDescent="0.25">
      <c r="A4" s="523" t="s">
        <v>172</v>
      </c>
      <c r="B4" s="524"/>
      <c r="C4" s="29">
        <f>VLOOKUP(C6,'SPECIFIC GRAVITIES'!$A$4:$B$138,2,FALSE)</f>
        <v>3.15</v>
      </c>
      <c r="D4" s="29">
        <f>VLOOKUP(D6,'SPECIFIC GRAVITIES'!$A$4:$B$138,2,FALSE)</f>
        <v>3.15</v>
      </c>
      <c r="E4" s="29">
        <f>VLOOKUP(E6,'SPECIFIC GRAVITIES'!$A$4:$B$138,2,FALSE)</f>
        <v>3.2</v>
      </c>
      <c r="F4" s="29">
        <f>VLOOKUP(F6,'SPECIFIC GRAVITIES'!$A$4:$B$138,2,FALSE)</f>
        <v>1</v>
      </c>
      <c r="G4" s="29">
        <f>VLOOKUP(G6,'SPECIFIC GRAVITIES'!$A$4:$B$138,2,FALSE)</f>
        <v>2.927</v>
      </c>
      <c r="H4" s="29">
        <f>VLOOKUP(H6,'SPECIFIC GRAVITIES'!$A$4:$B$138,2,FALSE)</f>
        <v>3.0049999999999999</v>
      </c>
      <c r="I4" s="29">
        <f>VLOOKUP(I6,'SPECIFIC GRAVITIES'!$A$4:$B$138,2,FALSE)</f>
        <v>2.0499999999999998</v>
      </c>
      <c r="J4" s="29">
        <f>VLOOKUP(J6,'SPECIFIC GRAVITIES'!$A$4:$B$138,2,FALSE)</f>
        <v>2.476</v>
      </c>
      <c r="K4" s="29">
        <f>VLOOKUP(K6,'SPECIFIC GRAVITIES'!$A$4:$B$138,2,FALSE)</f>
        <v>2.5</v>
      </c>
      <c r="L4" s="29">
        <f>VLOOKUP(L6,'SPECIFIC GRAVITIES'!$A$4:$B$138,2,FALSE)</f>
        <v>2.5</v>
      </c>
      <c r="M4" s="29">
        <f>VLOOKUP(M6,'SPECIFIC GRAVITIES'!$A$4:$B$138,2,FALSE)</f>
        <v>2.4047999999999998</v>
      </c>
      <c r="N4" s="29">
        <f>VLOOKUP(N6,'SPECIFIC GRAVITIES'!$A$4:$B$138,2,FALSE)</f>
        <v>2.63</v>
      </c>
      <c r="O4" s="29">
        <f>VLOOKUP(O6,'SPECIFIC GRAVITIES'!$A$4:$B$138,2,FALSE)</f>
        <v>2.5419999999999998</v>
      </c>
      <c r="P4" s="29">
        <f>VLOOKUP(P6,'SPECIFIC GRAVITIES'!$A$4:$B$138,2,FALSE)</f>
        <v>2.7850000000000001</v>
      </c>
      <c r="Q4" s="29">
        <f>VLOOKUP(Q6,'SPECIFIC GRAVITIES'!$A$4:$B$138,2,FALSE)</f>
        <v>5.0199999999999996</v>
      </c>
      <c r="R4" s="29">
        <f>VLOOKUP(R6,'SPECIFIC GRAVITIES'!$A$4:$B$138,2,FALSE)</f>
        <v>0.54</v>
      </c>
      <c r="S4" s="29">
        <f>VLOOKUP(S6,'SPECIFIC GRAVITIES'!$A$4:$B$138,2,FALSE)</f>
        <v>0.54</v>
      </c>
      <c r="T4" s="29">
        <f>VLOOKUP(T6,'SPECIFIC GRAVITIES'!$A$4:$B$138,2,FALSE)</f>
        <v>0.32</v>
      </c>
      <c r="U4" s="29">
        <f>VLOOKUP(U6,'SPECIFIC GRAVITIES'!$A$4:$B$138,2,FALSE)</f>
        <v>0.38</v>
      </c>
      <c r="V4" s="29">
        <f>VLOOKUP(V6,'SPECIFIC GRAVITIES'!$A$4:$B$138,2,FALSE)</f>
        <v>1.2</v>
      </c>
      <c r="W4" s="29">
        <f>VLOOKUP(W6,'SPECIFIC GRAVITIES'!$A$4:$B$138,2,FALSE)</f>
        <v>0.58209999999999995</v>
      </c>
      <c r="X4" s="29">
        <f>VLOOKUP(X6,'SPECIFIC GRAVITIES'!$A$4:$B$138,2,FALSE)</f>
        <v>1.377</v>
      </c>
      <c r="Y4" s="29">
        <f>VLOOKUP(Y6,'SPECIFIC GRAVITIES'!$A$4:$B$138,2,FALSE)</f>
        <v>1.38</v>
      </c>
      <c r="Z4" s="29">
        <f>VLOOKUP(Z6,'SPECIFIC GRAVITIES'!$A$4:$B$138,2,FALSE)</f>
        <v>1.0149999999999999</v>
      </c>
      <c r="AA4" s="29">
        <f>VLOOKUP(AA6,'SPECIFIC GRAVITIES'!$A$4:$B$138,2,FALSE)</f>
        <v>1.2869999999999999</v>
      </c>
      <c r="AB4" s="29">
        <f>VLOOKUP(AB6,'SPECIFIC GRAVITIES'!$A$4:$B$138,2,FALSE)</f>
        <v>1.4</v>
      </c>
      <c r="AC4" s="29">
        <f>VLOOKUP(AC6,'SPECIFIC GRAVITIES'!$A$4:$B$138,2,FALSE)</f>
        <v>1.288</v>
      </c>
      <c r="AD4" s="29">
        <f>VLOOKUP(AD6,'SPECIFIC GRAVITIES'!$A$4:$B$138,2,FALSE)</f>
        <v>1.5820000000000001</v>
      </c>
      <c r="AE4" s="29">
        <f>VLOOKUP(AE6,'SPECIFIC GRAVITIES'!$A$4:$B$138,2,FALSE)</f>
        <v>2.1909999999999998</v>
      </c>
      <c r="AF4" s="29">
        <f>VLOOKUP(AF6,'SPECIFIC GRAVITIES'!$A$4:$B$138,2,FALSE)</f>
        <v>2.319</v>
      </c>
      <c r="AG4" s="29">
        <f>VLOOKUP(AG6,'SPECIFIC GRAVITIES'!$A$4:$B$138,2,FALSE)</f>
        <v>2.677</v>
      </c>
      <c r="AH4" s="29">
        <f>VLOOKUP(AH6,'SPECIFIC GRAVITIES'!$A$4:$B$138,2,FALSE)</f>
        <v>2.4064000000000001</v>
      </c>
      <c r="AI4" s="29">
        <f>VLOOKUP(AI6,'SPECIFIC GRAVITIES'!$A$4:$B$138,2,FALSE)</f>
        <v>2.3530000000000002</v>
      </c>
      <c r="AJ4" s="29">
        <f>VLOOKUP(AJ6,'SPECIFIC GRAVITIES'!$A$4:$B$138,2,FALSE)</f>
        <v>1.8301000000000001</v>
      </c>
      <c r="AK4" s="29">
        <f>VLOOKUP(AK6,'SPECIFIC GRAVITIES'!$A$4:$B$138,2,FALSE)</f>
        <v>2.1579999999999999</v>
      </c>
      <c r="AL4" s="29">
        <f>VLOOKUP(AL6,'SPECIFIC GRAVITIES'!$A$4:$B$138,2,FALSE)</f>
        <v>2.770083102493075</v>
      </c>
      <c r="AM4" s="29">
        <f>VLOOKUP(AM6,'SPECIFIC GRAVITIES'!$A$4:$B$138,2,FALSE)</f>
        <v>3.75</v>
      </c>
      <c r="AN4" s="29">
        <f>VLOOKUP(AN6,'SPECIFIC GRAVITIES'!$A$4:$B$138,2,FALSE)</f>
        <v>3.0539999999999998</v>
      </c>
      <c r="AO4" s="29">
        <f>VLOOKUP(AO6,'SPECIFIC GRAVITIES'!$A$4:$B$138,2,FALSE)</f>
        <v>2.7644000000000002</v>
      </c>
      <c r="AP4" s="29">
        <f>VLOOKUP(AP6,'SPECIFIC GRAVITIES'!$A$4:$B$138,2,FALSE)</f>
        <v>3.03</v>
      </c>
      <c r="AQ4" s="29">
        <f>VLOOKUP(AQ6,'SPECIFIC GRAVITIES'!$A$4:$B$138,2,FALSE)</f>
        <v>2.7688000000000001</v>
      </c>
      <c r="AR4" s="29">
        <f>VLOOKUP(AR6,'SPECIFIC GRAVITIES'!$A$4:$B$138,2,FALSE)</f>
        <v>1.109</v>
      </c>
      <c r="AS4" s="29">
        <f>VLOOKUP(AS6,'SPECIFIC GRAVITIES'!$A$4:$B$138,2,FALSE)</f>
        <v>1.978</v>
      </c>
      <c r="AT4" s="29">
        <f>VLOOKUP(AT6,'SPECIFIC GRAVITIES'!$A$4:$B$138,2,FALSE)</f>
        <v>2.5190000000000001</v>
      </c>
      <c r="AU4" s="29">
        <f>VLOOKUP(AU6,'SPECIFIC GRAVITIES'!$A$4:$B$138,2,FALSE)</f>
        <v>3.2</v>
      </c>
      <c r="AV4" s="29">
        <f>VLOOKUP(AV6,'SPECIFIC GRAVITIES'!$A$4:$B$138,2,FALSE)</f>
        <v>1.504</v>
      </c>
      <c r="AW4" s="29">
        <f>VLOOKUP(AW6,'SPECIFIC GRAVITIES'!$A$4:$B$138,2,FALSE)</f>
        <v>0.27139999999999997</v>
      </c>
      <c r="AX4" s="381">
        <f>VLOOKUP(AX6,'SPECIFIC GRAVITIES'!$A$4:$B$138,2,FALSE)</f>
        <v>2.7494999999999998</v>
      </c>
      <c r="AY4" s="29">
        <f>VLOOKUP(AW6,'SPECIFIC GRAVITIES'!$A$4:$B$138,2,FALSE)</f>
        <v>0.27139999999999997</v>
      </c>
      <c r="AZ4" s="394">
        <v>1</v>
      </c>
      <c r="BA4" s="29">
        <f>VLOOKUP(BA6,'SPECIFIC GRAVITIES'!$A$4:$B$138,2,FALSE)</f>
        <v>0</v>
      </c>
      <c r="BB4" s="29">
        <f>VLOOKUP(BB6,'SPECIFIC GRAVITIES'!$A$4:$B$138,2,FALSE)</f>
        <v>0</v>
      </c>
      <c r="BC4" s="29">
        <f>VLOOKUP(BC6,'SPECIFIC GRAVITIES'!$A$4:$B$138,2,FALSE)</f>
        <v>0</v>
      </c>
      <c r="BD4" s="29">
        <f>VLOOKUP(BD6,'SPECIFIC GRAVITIES'!$A$4:$B$138,2,FALSE)</f>
        <v>0</v>
      </c>
      <c r="BE4" s="29">
        <f>VLOOKUP(BE6,'SPECIFIC GRAVITIES'!$A$4:$B$138,2,FALSE)</f>
        <v>0</v>
      </c>
      <c r="BF4" s="29">
        <f>VLOOKUP(BF6,'SPECIFIC GRAVITIES'!$A$4:$B$138,2,FALSE)</f>
        <v>0</v>
      </c>
      <c r="BG4" s="12"/>
      <c r="BH4" s="12"/>
      <c r="BI4" s="12"/>
      <c r="BJ4" s="12"/>
      <c r="BK4" s="2"/>
      <c r="BL4" s="3"/>
      <c r="BM4" s="3"/>
      <c r="BN4" s="3"/>
      <c r="BO4" s="4"/>
      <c r="BP4" s="4"/>
    </row>
    <row r="5" spans="1:78" ht="15" x14ac:dyDescent="0.25">
      <c r="A5" s="527" t="s">
        <v>174</v>
      </c>
      <c r="B5" s="527"/>
      <c r="C5" s="28">
        <f>IF(C4=0,0,1/C4)</f>
        <v>0.31746031746031744</v>
      </c>
      <c r="D5" s="28">
        <f>IF(D4=0,0,1/D4)</f>
        <v>0.31746031746031744</v>
      </c>
      <c r="E5" s="28">
        <f t="shared" ref="E5:BF5" si="1">IF(E4=0,0,1/E4)</f>
        <v>0.3125</v>
      </c>
      <c r="F5" s="28">
        <f t="shared" si="1"/>
        <v>1</v>
      </c>
      <c r="G5" s="28">
        <f t="shared" si="1"/>
        <v>0.34164673727365902</v>
      </c>
      <c r="H5" s="28">
        <f t="shared" si="1"/>
        <v>0.3327787021630616</v>
      </c>
      <c r="I5" s="28">
        <f t="shared" si="1"/>
        <v>0.48780487804878053</v>
      </c>
      <c r="J5" s="28">
        <f t="shared" si="1"/>
        <v>0.40387722132471732</v>
      </c>
      <c r="K5" s="28">
        <f>IF(K4=0,0,1/K4)</f>
        <v>0.4</v>
      </c>
      <c r="L5" s="28">
        <f t="shared" si="1"/>
        <v>0.4</v>
      </c>
      <c r="M5" s="28">
        <f t="shared" si="1"/>
        <v>0.41583499667332008</v>
      </c>
      <c r="N5" s="28">
        <f t="shared" si="1"/>
        <v>0.38022813688212931</v>
      </c>
      <c r="O5" s="28">
        <f t="shared" si="1"/>
        <v>0.39339103068450043</v>
      </c>
      <c r="P5" s="28">
        <f t="shared" si="1"/>
        <v>0.35906642728904847</v>
      </c>
      <c r="Q5" s="28">
        <f t="shared" si="1"/>
        <v>0.19920318725099603</v>
      </c>
      <c r="R5" s="28">
        <f t="shared" si="1"/>
        <v>1.8518518518518516</v>
      </c>
      <c r="S5" s="28">
        <f t="shared" si="1"/>
        <v>1.8518518518518516</v>
      </c>
      <c r="T5" s="28">
        <f t="shared" si="1"/>
        <v>3.125</v>
      </c>
      <c r="U5" s="28">
        <f t="shared" si="1"/>
        <v>2.6315789473684212</v>
      </c>
      <c r="V5" s="28">
        <f t="shared" si="1"/>
        <v>0.83333333333333337</v>
      </c>
      <c r="W5" s="28">
        <f t="shared" si="1"/>
        <v>1.7179178835251676</v>
      </c>
      <c r="X5" s="28">
        <f t="shared" si="1"/>
        <v>0.72621641249092228</v>
      </c>
      <c r="Y5" s="28">
        <f t="shared" si="1"/>
        <v>0.7246376811594204</v>
      </c>
      <c r="Z5" s="28">
        <f t="shared" si="1"/>
        <v>0.98522167487684742</v>
      </c>
      <c r="AA5" s="28">
        <f t="shared" si="1"/>
        <v>0.77700077700077708</v>
      </c>
      <c r="AB5" s="28">
        <f t="shared" si="1"/>
        <v>0.7142857142857143</v>
      </c>
      <c r="AC5" s="28">
        <f t="shared" si="1"/>
        <v>0.77639751552795033</v>
      </c>
      <c r="AD5" s="28">
        <f t="shared" si="1"/>
        <v>0.63211125158027814</v>
      </c>
      <c r="AE5" s="28">
        <f t="shared" si="1"/>
        <v>0.45641259698767689</v>
      </c>
      <c r="AF5" s="28">
        <f t="shared" si="1"/>
        <v>0.43122035360068994</v>
      </c>
      <c r="AG5" s="28">
        <f t="shared" si="1"/>
        <v>0.37355248412401942</v>
      </c>
      <c r="AH5" s="28">
        <f t="shared" si="1"/>
        <v>0.41555851063829785</v>
      </c>
      <c r="AI5" s="28">
        <f t="shared" si="1"/>
        <v>0.42498937526561831</v>
      </c>
      <c r="AJ5" s="28">
        <f t="shared" si="1"/>
        <v>0.5464182285121032</v>
      </c>
      <c r="AK5" s="28">
        <f t="shared" si="1"/>
        <v>0.46339202965708992</v>
      </c>
      <c r="AL5" s="28">
        <f t="shared" si="1"/>
        <v>0.36099999999999999</v>
      </c>
      <c r="AM5" s="28">
        <f t="shared" si="1"/>
        <v>0.26666666666666666</v>
      </c>
      <c r="AN5" s="28">
        <f t="shared" si="1"/>
        <v>0.32743942370661427</v>
      </c>
      <c r="AO5" s="28">
        <f t="shared" si="1"/>
        <v>0.36174215019534073</v>
      </c>
      <c r="AP5" s="28">
        <f t="shared" si="1"/>
        <v>0.33003300330033003</v>
      </c>
      <c r="AQ5" s="28">
        <f t="shared" si="1"/>
        <v>0.361167292689974</v>
      </c>
      <c r="AR5" s="28">
        <f t="shared" si="1"/>
        <v>0.90171325518485124</v>
      </c>
      <c r="AS5" s="28">
        <f t="shared" si="1"/>
        <v>0.50556117290192115</v>
      </c>
      <c r="AT5" s="28">
        <f t="shared" si="1"/>
        <v>0.39698292973402144</v>
      </c>
      <c r="AU5" s="28">
        <f>IF(AU4=0,0,1/AU4)</f>
        <v>0.3125</v>
      </c>
      <c r="AV5" s="28">
        <f t="shared" si="1"/>
        <v>0.66489361702127658</v>
      </c>
      <c r="AW5" s="28">
        <f>IF(AW4=0,0,1/AW4)</f>
        <v>3.6845983787767138</v>
      </c>
      <c r="AX5" s="382">
        <f t="shared" si="1"/>
        <v>0.36370249136206584</v>
      </c>
      <c r="AY5" s="28">
        <f>IF(AY4=0,0,1/AY4)</f>
        <v>3.6845983787767138</v>
      </c>
      <c r="AZ5" s="395">
        <v>1</v>
      </c>
      <c r="BA5" s="28">
        <f t="shared" si="1"/>
        <v>0</v>
      </c>
      <c r="BB5" s="28">
        <f t="shared" si="1"/>
        <v>0</v>
      </c>
      <c r="BC5" s="28">
        <f t="shared" si="1"/>
        <v>0</v>
      </c>
      <c r="BD5" s="28">
        <f t="shared" si="1"/>
        <v>0</v>
      </c>
      <c r="BE5" s="28">
        <f t="shared" si="1"/>
        <v>0</v>
      </c>
      <c r="BF5" s="28">
        <f t="shared" si="1"/>
        <v>0</v>
      </c>
      <c r="BG5" s="12"/>
      <c r="BH5" s="12"/>
      <c r="BI5" s="12"/>
      <c r="BJ5" s="12"/>
      <c r="BK5" s="2"/>
      <c r="BL5" s="3"/>
      <c r="BM5" s="3"/>
      <c r="BN5" s="3"/>
      <c r="BO5" s="4"/>
      <c r="BP5" s="4"/>
    </row>
    <row r="6" spans="1:78" ht="45" x14ac:dyDescent="0.25">
      <c r="A6" s="525" t="s">
        <v>173</v>
      </c>
      <c r="B6" s="526"/>
      <c r="C6" s="20" t="s">
        <v>95</v>
      </c>
      <c r="D6" s="22" t="s">
        <v>96</v>
      </c>
      <c r="E6" s="22" t="s">
        <v>97</v>
      </c>
      <c r="F6" s="22" t="s">
        <v>98</v>
      </c>
      <c r="G6" s="22" t="s">
        <v>99</v>
      </c>
      <c r="H6" s="22" t="s">
        <v>100</v>
      </c>
      <c r="I6" s="22" t="s">
        <v>101</v>
      </c>
      <c r="J6" s="22" t="s">
        <v>102</v>
      </c>
      <c r="K6" s="22" t="s">
        <v>103</v>
      </c>
      <c r="L6" s="22" t="s">
        <v>389</v>
      </c>
      <c r="M6" s="22" t="s">
        <v>104</v>
      </c>
      <c r="N6" s="22" t="s">
        <v>105</v>
      </c>
      <c r="O6" s="22" t="s">
        <v>106</v>
      </c>
      <c r="P6" s="22" t="s">
        <v>107</v>
      </c>
      <c r="Q6" s="22" t="s">
        <v>108</v>
      </c>
      <c r="R6" s="22" t="s">
        <v>1771</v>
      </c>
      <c r="S6" s="22" t="s">
        <v>110</v>
      </c>
      <c r="T6" s="22" t="s">
        <v>111</v>
      </c>
      <c r="U6" s="22" t="s">
        <v>112</v>
      </c>
      <c r="V6" s="22" t="s">
        <v>179</v>
      </c>
      <c r="W6" s="22" t="s">
        <v>113</v>
      </c>
      <c r="X6" s="22" t="s">
        <v>114</v>
      </c>
      <c r="Y6" s="22" t="s">
        <v>115</v>
      </c>
      <c r="Z6" s="22" t="s">
        <v>116</v>
      </c>
      <c r="AA6" s="22" t="s">
        <v>117</v>
      </c>
      <c r="AB6" s="22" t="s">
        <v>118</v>
      </c>
      <c r="AC6" s="22" t="s">
        <v>119</v>
      </c>
      <c r="AD6" s="22" t="s">
        <v>120</v>
      </c>
      <c r="AE6" s="22" t="s">
        <v>121</v>
      </c>
      <c r="AF6" s="22" t="s">
        <v>122</v>
      </c>
      <c r="AG6" s="22" t="s">
        <v>123</v>
      </c>
      <c r="AH6" s="22" t="s">
        <v>124</v>
      </c>
      <c r="AI6" s="22" t="s">
        <v>125</v>
      </c>
      <c r="AJ6" s="22" t="s">
        <v>1769</v>
      </c>
      <c r="AK6" s="22" t="s">
        <v>127</v>
      </c>
      <c r="AL6" s="22" t="s">
        <v>128</v>
      </c>
      <c r="AM6" s="22" t="s">
        <v>1782</v>
      </c>
      <c r="AN6" s="22" t="s">
        <v>1783</v>
      </c>
      <c r="AO6" s="22" t="s">
        <v>131</v>
      </c>
      <c r="AP6" s="22" t="s">
        <v>132</v>
      </c>
      <c r="AQ6" s="22" t="s">
        <v>133</v>
      </c>
      <c r="AR6" s="22" t="s">
        <v>134</v>
      </c>
      <c r="AS6" s="22" t="s">
        <v>427</v>
      </c>
      <c r="AT6" s="22" t="s">
        <v>145</v>
      </c>
      <c r="AU6" s="22" t="s">
        <v>49</v>
      </c>
      <c r="AV6" s="22" t="s">
        <v>294</v>
      </c>
      <c r="AW6" s="22" t="s">
        <v>1779</v>
      </c>
      <c r="AX6" s="383" t="s">
        <v>1809</v>
      </c>
      <c r="AY6" s="22" t="s">
        <v>1826</v>
      </c>
      <c r="AZ6" s="396" t="s">
        <v>1917</v>
      </c>
      <c r="BA6" s="22" t="s">
        <v>135</v>
      </c>
      <c r="BB6" s="22" t="s">
        <v>135</v>
      </c>
      <c r="BC6" s="22" t="s">
        <v>135</v>
      </c>
      <c r="BD6" s="22" t="s">
        <v>135</v>
      </c>
      <c r="BE6" s="22" t="s">
        <v>135</v>
      </c>
      <c r="BF6" s="22" t="s">
        <v>135</v>
      </c>
      <c r="BG6" s="12" t="s">
        <v>3</v>
      </c>
      <c r="BH6" s="12" t="s">
        <v>4</v>
      </c>
      <c r="BI6" s="12" t="s">
        <v>5</v>
      </c>
      <c r="BJ6" s="12" t="s">
        <v>140</v>
      </c>
      <c r="BK6" s="2" t="s">
        <v>7</v>
      </c>
      <c r="BL6" s="3" t="s">
        <v>8</v>
      </c>
      <c r="BM6" s="3" t="s">
        <v>9</v>
      </c>
      <c r="BN6" s="3" t="s">
        <v>142</v>
      </c>
      <c r="BO6" s="4" t="s">
        <v>10</v>
      </c>
      <c r="BP6" s="4" t="s">
        <v>209</v>
      </c>
      <c r="BR6" s="17" t="s">
        <v>176</v>
      </c>
      <c r="BS6" s="15" t="s">
        <v>175</v>
      </c>
      <c r="BT6" s="17" t="s">
        <v>205</v>
      </c>
      <c r="BV6" s="15" t="s">
        <v>365</v>
      </c>
    </row>
    <row r="7" spans="1:78" x14ac:dyDescent="0.25">
      <c r="A7" s="121" t="s">
        <v>11</v>
      </c>
      <c r="B7" s="121" t="s">
        <v>11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252"/>
      <c r="AY7" s="15"/>
      <c r="AZ7" s="15"/>
      <c r="BA7" s="15"/>
      <c r="BB7" s="15"/>
      <c r="BC7" s="15"/>
      <c r="BD7" s="15"/>
      <c r="BE7" s="15"/>
      <c r="BF7" s="15"/>
      <c r="BG7" s="26"/>
      <c r="BH7" s="26"/>
      <c r="BI7" s="21"/>
      <c r="BJ7" s="15"/>
      <c r="BK7" s="15"/>
      <c r="BL7" s="15"/>
      <c r="BM7" s="15"/>
      <c r="BN7" s="15">
        <v>0</v>
      </c>
      <c r="BO7" s="15">
        <f t="shared" ref="BO7" si="2">SUM(C7:BF7)</f>
        <v>0</v>
      </c>
      <c r="BP7" s="15">
        <v>0</v>
      </c>
      <c r="BR7" s="26">
        <f t="shared" ref="BR7" si="3">((C7*C$5+D7*D$5+E7*E$5+F7*F$5+G7*G$5+H7*H$5+I7*I$5+J7*J$5+L7*L$5+M7*M$5+N7*N$5+O7*O$5+P7*P$5+Q7*Q$5+R7*R$5+S7*S$5+T7*T$5+U7*U$5+V7*V$5+W7*W$5+X7*X$5+Y7*Y$5+Z7*Z$5+AA7*AA$5+AB7*AB$5+AC7*AC$5+AD7*AD$5+AE7*AE$5+AF7*AF$5+AG7*AG$5+AH7*AH$5+AI7*AI$5+AJ7*AJ$5+AK7*AK$5+AL7*AL$5+AM7*AM$5+AN7*AN$5+AO7*AO$5+AP7*AP$5+AQ7*AQ$5+AR7*AR$5+AS7*AS$5+AT7*AT$5+AU7*AU$5+AV7*AV$5+AW7*AW$5+AX7*AX$5+AY7*AY$5+AZ7*AZ$5+BA7*BA$5+BB7*BB$5+BC7*BC$5+BD7*BD$5+BE7*BE$5+BF7*BF$5)/1000)</f>
        <v>0</v>
      </c>
      <c r="BS7" s="15">
        <f t="shared" ref="BS7" si="4">BI7/1000-1</f>
        <v>-1</v>
      </c>
      <c r="BT7" s="12">
        <v>1</v>
      </c>
      <c r="BV7" s="379"/>
    </row>
    <row r="8" spans="1:78" x14ac:dyDescent="0.25">
      <c r="A8" s="121" t="s">
        <v>137</v>
      </c>
      <c r="B8" s="121" t="s">
        <v>137</v>
      </c>
      <c r="C8" s="15">
        <v>1000</v>
      </c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252"/>
      <c r="AY8" s="15"/>
      <c r="AZ8" s="15"/>
      <c r="BA8" s="15"/>
      <c r="BB8" s="15"/>
      <c r="BC8" s="15"/>
      <c r="BD8" s="15"/>
      <c r="BE8" s="15"/>
      <c r="BF8" s="15"/>
      <c r="BG8" s="26">
        <f t="shared" ref="BG8:BG46" si="5">((BO8-(BI8*BR8))/BS8)/1000</f>
        <v>0.45815295815295831</v>
      </c>
      <c r="BH8" s="26">
        <f t="shared" ref="BH8:BH46" si="6">BR8+BG8</f>
        <v>0.77561327561327575</v>
      </c>
      <c r="BI8" s="15">
        <v>1880</v>
      </c>
      <c r="BJ8" s="26">
        <f t="shared" ref="BJ8:BJ46" si="7">1/(BH8-BG8)</f>
        <v>3.1500000000000004</v>
      </c>
      <c r="BK8" s="15" t="s">
        <v>13</v>
      </c>
      <c r="BL8" s="21" t="s">
        <v>54</v>
      </c>
      <c r="BM8" s="15" t="s">
        <v>36</v>
      </c>
      <c r="BN8" s="15">
        <v>0</v>
      </c>
      <c r="BO8" s="15">
        <f t="shared" ref="BO8:BO39" si="8">SUM(C8:BF8)</f>
        <v>1000</v>
      </c>
      <c r="BP8" s="15">
        <v>1.44</v>
      </c>
      <c r="BR8" s="26">
        <f t="shared" ref="BR8:BR39" si="9">((C8*C$5+D8*D$5+E8*E$5+F8*F$5+G8*G$5+H8*H$5+I8*I$5+J8*J$5+L8*L$5+M8*M$5+N8*N$5+O8*O$5+P8*P$5+Q8*Q$5+R8*R$5+S8*S$5+T8*T$5+U8*U$5+V8*V$5+W8*W$5+X8*X$5+Y8*Y$5+Z8*Z$5+AA8*AA$5+AB8*AB$5+AC8*AC$5+AD8*AD$5+AE8*AE$5+AF8*AF$5+AG8*AG$5+AH8*AH$5+AI8*AI$5+AJ8*AJ$5+AK8*AK$5+AL8*AL$5+AM8*AM$5+AN8*AN$5+AO8*AO$5+AP8*AP$5+AQ8*AQ$5+AR8*AR$5+AS8*AS$5+AT8*AT$5+AU8*AU$5+AV8*AV$5+AW8*AW$5+AX8*AX$5+AY8*AY$5+AZ8*AZ$5+BA8*BA$5+BB8*BB$5+BC8*BC$5+BD8*BD$5+BE8*BE$5+BF8*BF$5)/1000)</f>
        <v>0.31746031746031744</v>
      </c>
      <c r="BS8" s="15">
        <f t="shared" ref="BS8:BS39" si="10">BI8/1000-1</f>
        <v>0.87999999999999989</v>
      </c>
      <c r="BT8" s="12">
        <f t="shared" ref="BT8:BT39" si="11">BT7+1</f>
        <v>2</v>
      </c>
      <c r="BV8" s="98"/>
      <c r="BW8" s="398"/>
      <c r="BX8" s="398"/>
      <c r="BY8" s="398"/>
      <c r="BZ8" s="398"/>
    </row>
    <row r="9" spans="1:78" x14ac:dyDescent="0.25">
      <c r="A9" s="121" t="s">
        <v>138</v>
      </c>
      <c r="B9" s="121" t="s">
        <v>138</v>
      </c>
      <c r="C9" s="15"/>
      <c r="D9" s="15">
        <v>1000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252"/>
      <c r="AY9" s="15"/>
      <c r="AZ9" s="15"/>
      <c r="BA9" s="15"/>
      <c r="BB9" s="15"/>
      <c r="BC9" s="15"/>
      <c r="BD9" s="15"/>
      <c r="BE9" s="15"/>
      <c r="BF9" s="15"/>
      <c r="BG9" s="26">
        <f t="shared" si="5"/>
        <v>0.55759055759055765</v>
      </c>
      <c r="BH9" s="26">
        <f t="shared" si="6"/>
        <v>0.87505087505087509</v>
      </c>
      <c r="BI9" s="15">
        <v>1780</v>
      </c>
      <c r="BJ9" s="26">
        <f t="shared" si="7"/>
        <v>3.1500000000000004</v>
      </c>
      <c r="BK9" s="15" t="s">
        <v>13</v>
      </c>
      <c r="BL9" s="21" t="s">
        <v>86</v>
      </c>
      <c r="BM9" s="15" t="s">
        <v>36</v>
      </c>
      <c r="BN9" s="15">
        <v>0</v>
      </c>
      <c r="BO9" s="15">
        <f t="shared" si="8"/>
        <v>1000</v>
      </c>
      <c r="BP9" s="15">
        <v>1.51</v>
      </c>
      <c r="BR9" s="26">
        <f t="shared" si="9"/>
        <v>0.31746031746031744</v>
      </c>
      <c r="BS9" s="15">
        <f t="shared" si="10"/>
        <v>0.78</v>
      </c>
      <c r="BT9" s="12">
        <f t="shared" si="11"/>
        <v>3</v>
      </c>
      <c r="BV9" s="98"/>
      <c r="BW9" s="398"/>
      <c r="BX9" s="398"/>
      <c r="BY9" s="398"/>
      <c r="BZ9" s="398"/>
    </row>
    <row r="10" spans="1:78" x14ac:dyDescent="0.25">
      <c r="A10" s="121" t="s">
        <v>12</v>
      </c>
      <c r="B10" s="121" t="s">
        <v>12</v>
      </c>
      <c r="C10" s="15"/>
      <c r="D10" s="15"/>
      <c r="E10" s="15">
        <v>1000</v>
      </c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252"/>
      <c r="AY10" s="15"/>
      <c r="AZ10" s="15"/>
      <c r="BA10" s="15"/>
      <c r="BB10" s="15"/>
      <c r="BC10" s="15"/>
      <c r="BD10" s="15"/>
      <c r="BE10" s="15"/>
      <c r="BF10" s="15"/>
      <c r="BG10" s="26">
        <f t="shared" si="5"/>
        <v>0.45054106548279688</v>
      </c>
      <c r="BH10" s="26">
        <f t="shared" si="6"/>
        <v>0.76304106548279682</v>
      </c>
      <c r="BI10" s="15">
        <v>1901</v>
      </c>
      <c r="BJ10" s="26">
        <f t="shared" si="7"/>
        <v>3.2000000000000006</v>
      </c>
      <c r="BK10" s="15" t="s">
        <v>13</v>
      </c>
      <c r="BL10" s="21" t="s">
        <v>14</v>
      </c>
      <c r="BM10" s="15">
        <v>3000</v>
      </c>
      <c r="BN10" s="15">
        <v>0</v>
      </c>
      <c r="BO10" s="15">
        <f t="shared" si="8"/>
        <v>1000</v>
      </c>
      <c r="BP10" s="15">
        <v>1.44</v>
      </c>
      <c r="BR10" s="26">
        <f t="shared" si="9"/>
        <v>0.3125</v>
      </c>
      <c r="BS10" s="15">
        <f t="shared" si="10"/>
        <v>0.90100000000000002</v>
      </c>
      <c r="BT10" s="12">
        <f t="shared" si="11"/>
        <v>4</v>
      </c>
      <c r="BV10" s="98"/>
      <c r="BW10" s="398"/>
      <c r="BX10" s="398"/>
      <c r="BY10" s="398"/>
      <c r="BZ10" s="398"/>
    </row>
    <row r="11" spans="1:78" x14ac:dyDescent="0.25">
      <c r="A11" s="121" t="s">
        <v>20</v>
      </c>
      <c r="B11" s="121" t="s">
        <v>12</v>
      </c>
      <c r="C11" s="15"/>
      <c r="D11" s="15"/>
      <c r="E11" s="15">
        <v>1000</v>
      </c>
      <c r="F11" s="15"/>
      <c r="G11" s="15"/>
      <c r="H11" s="15"/>
      <c r="I11" s="15"/>
      <c r="J11" s="15"/>
      <c r="K11" s="15"/>
      <c r="L11" s="15"/>
      <c r="M11" s="15"/>
      <c r="N11" s="15"/>
      <c r="O11" s="15">
        <v>120</v>
      </c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252"/>
      <c r="AY11" s="15"/>
      <c r="AZ11" s="15"/>
      <c r="BA11" s="15"/>
      <c r="BB11" s="15"/>
      <c r="BC11" s="15"/>
      <c r="BD11" s="15"/>
      <c r="BE11" s="15"/>
      <c r="BF11" s="15"/>
      <c r="BG11" s="26">
        <f t="shared" si="5"/>
        <v>1.0884703645423555</v>
      </c>
      <c r="BH11" s="26">
        <f t="shared" si="6"/>
        <v>1.4481772882244954</v>
      </c>
      <c r="BI11" s="15">
        <v>1525</v>
      </c>
      <c r="BJ11" s="26">
        <f t="shared" si="7"/>
        <v>2.7800410116199594</v>
      </c>
      <c r="BK11" s="15" t="s">
        <v>18</v>
      </c>
      <c r="BL11" s="21" t="s">
        <v>14</v>
      </c>
      <c r="BM11" s="15">
        <v>3000</v>
      </c>
      <c r="BN11" s="15">
        <v>12</v>
      </c>
      <c r="BO11" s="15">
        <f t="shared" si="8"/>
        <v>1120</v>
      </c>
      <c r="BP11" s="15">
        <v>1.44</v>
      </c>
      <c r="BR11" s="26">
        <f t="shared" si="9"/>
        <v>0.35970692368214002</v>
      </c>
      <c r="BS11" s="15">
        <f t="shared" si="10"/>
        <v>0.52499999999999991</v>
      </c>
      <c r="BT11" s="12">
        <f t="shared" si="11"/>
        <v>5</v>
      </c>
      <c r="BV11" s="98"/>
      <c r="BW11" s="398"/>
      <c r="BX11" s="398"/>
      <c r="BY11" s="398"/>
      <c r="BZ11" s="398"/>
    </row>
    <row r="12" spans="1:78" x14ac:dyDescent="0.25">
      <c r="A12" s="121" t="s">
        <v>15</v>
      </c>
      <c r="B12" s="121" t="s">
        <v>12</v>
      </c>
      <c r="C12" s="15"/>
      <c r="D12" s="15"/>
      <c r="E12" s="15">
        <v>1000</v>
      </c>
      <c r="F12" s="15"/>
      <c r="G12" s="15"/>
      <c r="H12" s="15"/>
      <c r="I12" s="15"/>
      <c r="J12" s="15"/>
      <c r="K12" s="15"/>
      <c r="L12" s="15"/>
      <c r="M12" s="15"/>
      <c r="N12" s="15"/>
      <c r="O12" s="15">
        <v>20</v>
      </c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252"/>
      <c r="AY12" s="15"/>
      <c r="AZ12" s="15"/>
      <c r="BA12" s="15"/>
      <c r="BB12" s="15"/>
      <c r="BC12" s="15"/>
      <c r="BD12" s="15"/>
      <c r="BE12" s="15"/>
      <c r="BF12" s="15"/>
      <c r="BG12" s="26">
        <f t="shared" si="5"/>
        <v>0.55856707811283002</v>
      </c>
      <c r="BH12" s="26">
        <f t="shared" si="6"/>
        <v>0.87893489872651998</v>
      </c>
      <c r="BI12" s="15">
        <v>1796</v>
      </c>
      <c r="BJ12" s="26">
        <f t="shared" si="7"/>
        <v>3.1214121258633925</v>
      </c>
      <c r="BK12" s="15" t="s">
        <v>13</v>
      </c>
      <c r="BL12" s="21" t="s">
        <v>14</v>
      </c>
      <c r="BM12" s="15">
        <v>3000</v>
      </c>
      <c r="BN12" s="15">
        <v>2</v>
      </c>
      <c r="BO12" s="15">
        <f t="shared" si="8"/>
        <v>1020</v>
      </c>
      <c r="BP12" s="15">
        <v>1.44</v>
      </c>
      <c r="BR12" s="26">
        <f t="shared" si="9"/>
        <v>0.32036782061369001</v>
      </c>
      <c r="BS12" s="15">
        <f t="shared" si="10"/>
        <v>0.79600000000000004</v>
      </c>
      <c r="BT12" s="12">
        <f t="shared" si="11"/>
        <v>6</v>
      </c>
      <c r="BV12" s="98"/>
      <c r="BW12" s="398"/>
      <c r="BX12" s="398"/>
      <c r="BY12" s="398"/>
      <c r="BZ12" s="398"/>
    </row>
    <row r="13" spans="1:78" x14ac:dyDescent="0.25">
      <c r="A13" s="121" t="s">
        <v>16</v>
      </c>
      <c r="B13" s="121" t="s">
        <v>12</v>
      </c>
      <c r="C13" s="15"/>
      <c r="D13" s="15"/>
      <c r="E13" s="15">
        <v>1000</v>
      </c>
      <c r="F13" s="15"/>
      <c r="G13" s="15"/>
      <c r="H13" s="15"/>
      <c r="I13" s="15"/>
      <c r="J13" s="15"/>
      <c r="K13" s="15"/>
      <c r="L13" s="15"/>
      <c r="M13" s="15"/>
      <c r="N13" s="15"/>
      <c r="O13" s="15">
        <v>40</v>
      </c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252"/>
      <c r="AY13" s="15"/>
      <c r="AZ13" s="15"/>
      <c r="BA13" s="15"/>
      <c r="BB13" s="15"/>
      <c r="BC13" s="15"/>
      <c r="BD13" s="15"/>
      <c r="BE13" s="15"/>
      <c r="BF13" s="15"/>
      <c r="BG13" s="26">
        <f t="shared" si="5"/>
        <v>0.66307962168713253</v>
      </c>
      <c r="BH13" s="26">
        <f t="shared" si="6"/>
        <v>0.99131526291451255</v>
      </c>
      <c r="BI13" s="15">
        <v>1718</v>
      </c>
      <c r="BJ13" s="26">
        <f t="shared" si="7"/>
        <v>3.0465917602996253</v>
      </c>
      <c r="BK13" s="15" t="s">
        <v>13</v>
      </c>
      <c r="BL13" s="21" t="s">
        <v>14</v>
      </c>
      <c r="BM13" s="15">
        <v>3000</v>
      </c>
      <c r="BN13" s="15">
        <v>4</v>
      </c>
      <c r="BO13" s="15">
        <f t="shared" si="8"/>
        <v>1040</v>
      </c>
      <c r="BP13" s="15">
        <v>1.44</v>
      </c>
      <c r="BR13" s="26">
        <f t="shared" si="9"/>
        <v>0.32823564122738003</v>
      </c>
      <c r="BS13" s="15">
        <f t="shared" si="10"/>
        <v>0.71799999999999997</v>
      </c>
      <c r="BT13" s="12">
        <f t="shared" si="11"/>
        <v>7</v>
      </c>
      <c r="BV13" s="98"/>
      <c r="BW13" s="398"/>
      <c r="BX13" s="398"/>
      <c r="BY13" s="398"/>
      <c r="BZ13" s="398"/>
    </row>
    <row r="14" spans="1:78" x14ac:dyDescent="0.25">
      <c r="A14" s="121" t="s">
        <v>17</v>
      </c>
      <c r="B14" s="121" t="s">
        <v>12</v>
      </c>
      <c r="C14" s="15"/>
      <c r="D14" s="15"/>
      <c r="E14" s="15">
        <v>1000</v>
      </c>
      <c r="F14" s="15"/>
      <c r="G14" s="15"/>
      <c r="H14" s="15"/>
      <c r="I14" s="15"/>
      <c r="J14" s="15"/>
      <c r="K14" s="15"/>
      <c r="L14" s="15"/>
      <c r="M14" s="15"/>
      <c r="N14" s="15"/>
      <c r="O14" s="15">
        <v>60</v>
      </c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252"/>
      <c r="AY14" s="15"/>
      <c r="AZ14" s="15"/>
      <c r="BA14" s="15"/>
      <c r="BB14" s="15"/>
      <c r="BC14" s="15"/>
      <c r="BD14" s="15"/>
      <c r="BE14" s="15"/>
      <c r="BF14" s="15"/>
      <c r="BG14" s="26">
        <f t="shared" si="5"/>
        <v>0.75082827713630229</v>
      </c>
      <c r="BH14" s="26">
        <f t="shared" si="6"/>
        <v>1.0869317389773723</v>
      </c>
      <c r="BI14" s="15">
        <v>1666</v>
      </c>
      <c r="BJ14" s="26">
        <f t="shared" si="7"/>
        <v>2.9752743233357721</v>
      </c>
      <c r="BK14" s="15" t="s">
        <v>18</v>
      </c>
      <c r="BL14" s="21" t="s">
        <v>14</v>
      </c>
      <c r="BM14" s="15">
        <v>3000</v>
      </c>
      <c r="BN14" s="15">
        <v>6</v>
      </c>
      <c r="BO14" s="15">
        <f t="shared" si="8"/>
        <v>1060</v>
      </c>
      <c r="BP14" s="15">
        <v>1.44</v>
      </c>
      <c r="BR14" s="26">
        <f t="shared" si="9"/>
        <v>0.33610346184107004</v>
      </c>
      <c r="BS14" s="15">
        <f t="shared" si="10"/>
        <v>0.66599999999999993</v>
      </c>
      <c r="BT14" s="12">
        <f t="shared" si="11"/>
        <v>8</v>
      </c>
      <c r="BV14" s="98"/>
      <c r="BW14" s="398"/>
      <c r="BX14" s="398"/>
      <c r="BY14" s="398"/>
      <c r="BZ14" s="398"/>
    </row>
    <row r="15" spans="1:78" x14ac:dyDescent="0.25">
      <c r="A15" s="121" t="s">
        <v>19</v>
      </c>
      <c r="B15" s="121" t="s">
        <v>12</v>
      </c>
      <c r="C15" s="15"/>
      <c r="D15" s="15"/>
      <c r="E15" s="15">
        <v>1000</v>
      </c>
      <c r="F15" s="15"/>
      <c r="G15" s="15"/>
      <c r="H15" s="15"/>
      <c r="I15" s="15"/>
      <c r="J15" s="15"/>
      <c r="K15" s="15"/>
      <c r="L15" s="15"/>
      <c r="M15" s="15"/>
      <c r="N15" s="15"/>
      <c r="O15" s="15">
        <v>80</v>
      </c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252"/>
      <c r="AY15" s="15"/>
      <c r="AZ15" s="15"/>
      <c r="BA15" s="15"/>
      <c r="BB15" s="15"/>
      <c r="BC15" s="15"/>
      <c r="BD15" s="15"/>
      <c r="BE15" s="15"/>
      <c r="BF15" s="15"/>
      <c r="BG15" s="26">
        <f t="shared" si="5"/>
        <v>0.87664018942789323</v>
      </c>
      <c r="BH15" s="26">
        <f t="shared" si="6"/>
        <v>1.2206114718826533</v>
      </c>
      <c r="BI15" s="15">
        <v>1603</v>
      </c>
      <c r="BJ15" s="26">
        <f t="shared" si="7"/>
        <v>2.9072194424588989</v>
      </c>
      <c r="BK15" s="15" t="s">
        <v>18</v>
      </c>
      <c r="BL15" s="21" t="s">
        <v>14</v>
      </c>
      <c r="BM15" s="15">
        <v>3000</v>
      </c>
      <c r="BN15" s="15">
        <v>8</v>
      </c>
      <c r="BO15" s="15">
        <f t="shared" si="8"/>
        <v>1080</v>
      </c>
      <c r="BP15" s="15">
        <v>1.44</v>
      </c>
      <c r="BR15" s="26">
        <f t="shared" si="9"/>
        <v>0.34397128245476005</v>
      </c>
      <c r="BS15" s="15">
        <f t="shared" si="10"/>
        <v>0.60299999999999998</v>
      </c>
      <c r="BT15" s="12">
        <f t="shared" si="11"/>
        <v>9</v>
      </c>
      <c r="BV15" s="98"/>
      <c r="BW15" s="398"/>
      <c r="BX15" s="398"/>
      <c r="BY15" s="398"/>
      <c r="BZ15" s="398"/>
    </row>
    <row r="16" spans="1:78" x14ac:dyDescent="0.25">
      <c r="A16" s="121" t="s">
        <v>21</v>
      </c>
      <c r="B16" s="121" t="s">
        <v>21</v>
      </c>
      <c r="C16" s="15"/>
      <c r="D16" s="15"/>
      <c r="E16" s="15">
        <v>620</v>
      </c>
      <c r="F16" s="15"/>
      <c r="G16" s="15"/>
      <c r="H16" s="15"/>
      <c r="I16" s="15">
        <v>380</v>
      </c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252"/>
      <c r="AY16" s="15"/>
      <c r="AZ16" s="15"/>
      <c r="BA16" s="15"/>
      <c r="BB16" s="15"/>
      <c r="BC16" s="15"/>
      <c r="BD16" s="15"/>
      <c r="BE16" s="15"/>
      <c r="BF16" s="15"/>
      <c r="BG16" s="26">
        <f t="shared" si="5"/>
        <v>0.4832232384823848</v>
      </c>
      <c r="BH16" s="26">
        <f t="shared" si="6"/>
        <v>0.86233909214092141</v>
      </c>
      <c r="BI16" s="15">
        <v>1720</v>
      </c>
      <c r="BJ16" s="26">
        <f t="shared" si="7"/>
        <v>2.6377161238439886</v>
      </c>
      <c r="BK16" s="15" t="s">
        <v>13</v>
      </c>
      <c r="BL16" s="21" t="s">
        <v>14</v>
      </c>
      <c r="BM16" s="15">
        <v>3002</v>
      </c>
      <c r="BN16" s="15">
        <v>0</v>
      </c>
      <c r="BO16" s="15">
        <f t="shared" si="8"/>
        <v>1000</v>
      </c>
      <c r="BP16" s="15">
        <v>1.29</v>
      </c>
      <c r="BR16" s="26">
        <f t="shared" si="9"/>
        <v>0.37911585365853662</v>
      </c>
      <c r="BS16" s="15">
        <f t="shared" si="10"/>
        <v>0.72</v>
      </c>
      <c r="BT16" s="12">
        <f t="shared" si="11"/>
        <v>10</v>
      </c>
      <c r="BV16" s="98"/>
      <c r="BW16" s="398"/>
      <c r="BX16" s="398"/>
      <c r="BY16" s="398"/>
      <c r="BZ16" s="398"/>
    </row>
    <row r="17" spans="1:78" x14ac:dyDescent="0.25">
      <c r="A17" s="121" t="s">
        <v>22</v>
      </c>
      <c r="B17" s="121" t="s">
        <v>21</v>
      </c>
      <c r="C17" s="15"/>
      <c r="D17" s="15"/>
      <c r="E17" s="15">
        <v>566</v>
      </c>
      <c r="F17" s="15"/>
      <c r="G17" s="15"/>
      <c r="H17" s="15"/>
      <c r="I17" s="15"/>
      <c r="J17" s="15">
        <v>434</v>
      </c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252"/>
      <c r="AY17" s="15"/>
      <c r="AZ17" s="15"/>
      <c r="BA17" s="15"/>
      <c r="BB17" s="15"/>
      <c r="BC17" s="15"/>
      <c r="BD17" s="15"/>
      <c r="BE17" s="15"/>
      <c r="BF17" s="15"/>
      <c r="BG17" s="26">
        <f t="shared" si="5"/>
        <v>0.54762323864656248</v>
      </c>
      <c r="BH17" s="26">
        <f t="shared" si="6"/>
        <v>0.89978095270148972</v>
      </c>
      <c r="BI17" s="15">
        <v>1720</v>
      </c>
      <c r="BJ17" s="26">
        <f t="shared" si="7"/>
        <v>2.8396367879762718</v>
      </c>
      <c r="BK17" s="15" t="s">
        <v>13</v>
      </c>
      <c r="BL17" s="21" t="s">
        <v>14</v>
      </c>
      <c r="BM17" s="15">
        <v>3002</v>
      </c>
      <c r="BN17" s="15">
        <v>0</v>
      </c>
      <c r="BO17" s="15">
        <f t="shared" si="8"/>
        <v>1000</v>
      </c>
      <c r="BP17" s="15">
        <v>1.35</v>
      </c>
      <c r="BR17" s="26">
        <f t="shared" si="9"/>
        <v>0.3521577140549273</v>
      </c>
      <c r="BS17" s="15">
        <f t="shared" si="10"/>
        <v>0.72</v>
      </c>
      <c r="BT17" s="12">
        <f t="shared" si="11"/>
        <v>11</v>
      </c>
      <c r="BV17" s="98"/>
      <c r="BW17" s="398"/>
      <c r="BX17" s="398"/>
      <c r="BY17" s="398"/>
      <c r="BZ17" s="398"/>
    </row>
    <row r="18" spans="1:78" x14ac:dyDescent="0.25">
      <c r="A18" s="121" t="s">
        <v>33</v>
      </c>
      <c r="B18" s="121" t="s">
        <v>21</v>
      </c>
      <c r="C18" s="15"/>
      <c r="D18" s="15"/>
      <c r="E18" s="15">
        <v>620</v>
      </c>
      <c r="F18" s="15"/>
      <c r="G18" s="15"/>
      <c r="H18" s="15"/>
      <c r="I18" s="15">
        <v>380</v>
      </c>
      <c r="J18" s="15"/>
      <c r="K18" s="15"/>
      <c r="L18" s="15"/>
      <c r="M18" s="15"/>
      <c r="N18" s="15"/>
      <c r="O18" s="15">
        <v>120</v>
      </c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252"/>
      <c r="AY18" s="15"/>
      <c r="AZ18" s="15"/>
      <c r="BA18" s="15"/>
      <c r="BB18" s="15"/>
      <c r="BC18" s="15"/>
      <c r="BD18" s="15"/>
      <c r="BE18" s="15"/>
      <c r="BF18" s="15"/>
      <c r="BG18" s="26">
        <f t="shared" si="5"/>
        <v>1.1290073183080305</v>
      </c>
      <c r="BH18" s="26">
        <f t="shared" si="6"/>
        <v>1.5553300956487071</v>
      </c>
      <c r="BI18" s="15">
        <v>1446</v>
      </c>
      <c r="BJ18" s="26">
        <f t="shared" si="7"/>
        <v>2.3456405642640461</v>
      </c>
      <c r="BK18" s="15" t="s">
        <v>18</v>
      </c>
      <c r="BL18" s="21" t="s">
        <v>14</v>
      </c>
      <c r="BM18" s="15">
        <v>3002</v>
      </c>
      <c r="BN18" s="15">
        <v>12</v>
      </c>
      <c r="BO18" s="15">
        <f t="shared" si="8"/>
        <v>1120</v>
      </c>
      <c r="BP18" s="15">
        <v>1.29</v>
      </c>
      <c r="BR18" s="26">
        <f t="shared" si="9"/>
        <v>0.42632277734067664</v>
      </c>
      <c r="BS18" s="15">
        <f t="shared" si="10"/>
        <v>0.44599999999999995</v>
      </c>
      <c r="BT18" s="12">
        <f t="shared" si="11"/>
        <v>12</v>
      </c>
      <c r="BV18" s="98"/>
      <c r="BW18" s="398"/>
      <c r="BX18" s="398"/>
      <c r="BY18" s="398"/>
      <c r="BZ18" s="398"/>
    </row>
    <row r="19" spans="1:78" x14ac:dyDescent="0.25">
      <c r="A19" s="121" t="s">
        <v>34</v>
      </c>
      <c r="B19" s="121" t="s">
        <v>21</v>
      </c>
      <c r="C19" s="15"/>
      <c r="D19" s="15"/>
      <c r="E19" s="15">
        <v>566</v>
      </c>
      <c r="F19" s="15"/>
      <c r="G19" s="15"/>
      <c r="H19" s="15"/>
      <c r="I19" s="15"/>
      <c r="J19" s="15">
        <v>434</v>
      </c>
      <c r="K19" s="15"/>
      <c r="L19" s="15"/>
      <c r="M19" s="15"/>
      <c r="N19" s="15"/>
      <c r="O19" s="15">
        <v>120</v>
      </c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252"/>
      <c r="AY19" s="15"/>
      <c r="AZ19" s="15"/>
      <c r="BA19" s="15"/>
      <c r="BB19" s="15"/>
      <c r="BC19" s="15"/>
      <c r="BD19" s="15"/>
      <c r="BE19" s="15"/>
      <c r="BF19" s="15"/>
      <c r="BG19" s="26">
        <f t="shared" si="5"/>
        <v>1.2164097171125574</v>
      </c>
      <c r="BH19" s="26">
        <f t="shared" si="6"/>
        <v>1.6157743548496248</v>
      </c>
      <c r="BI19" s="15">
        <v>1446</v>
      </c>
      <c r="BJ19" s="26">
        <f t="shared" si="7"/>
        <v>2.5039773317595966</v>
      </c>
      <c r="BK19" s="15" t="s">
        <v>18</v>
      </c>
      <c r="BL19" s="21" t="s">
        <v>14</v>
      </c>
      <c r="BM19" s="15">
        <v>3002</v>
      </c>
      <c r="BN19" s="15">
        <v>12</v>
      </c>
      <c r="BO19" s="15">
        <f t="shared" si="8"/>
        <v>1120</v>
      </c>
      <c r="BP19" s="15">
        <v>1.35</v>
      </c>
      <c r="BR19" s="26">
        <f t="shared" si="9"/>
        <v>0.39936463773706732</v>
      </c>
      <c r="BS19" s="15">
        <f t="shared" si="10"/>
        <v>0.44599999999999995</v>
      </c>
      <c r="BT19" s="12">
        <f t="shared" si="11"/>
        <v>13</v>
      </c>
      <c r="BV19" s="98"/>
      <c r="BW19" s="398"/>
      <c r="BX19" s="398"/>
      <c r="BY19" s="398"/>
      <c r="BZ19" s="398"/>
    </row>
    <row r="20" spans="1:78" x14ac:dyDescent="0.25">
      <c r="A20" s="121" t="s">
        <v>23</v>
      </c>
      <c r="B20" s="121" t="s">
        <v>21</v>
      </c>
      <c r="C20" s="15"/>
      <c r="D20" s="15"/>
      <c r="E20" s="15">
        <v>620</v>
      </c>
      <c r="F20" s="15"/>
      <c r="G20" s="15"/>
      <c r="H20" s="15"/>
      <c r="I20" s="15">
        <v>380</v>
      </c>
      <c r="J20" s="15"/>
      <c r="K20" s="15"/>
      <c r="L20" s="15"/>
      <c r="M20" s="15"/>
      <c r="N20" s="15"/>
      <c r="O20" s="15">
        <v>20</v>
      </c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252"/>
      <c r="AY20" s="15"/>
      <c r="AZ20" s="15"/>
      <c r="BA20" s="15"/>
      <c r="BB20" s="15"/>
      <c r="BC20" s="15"/>
      <c r="BD20" s="15"/>
      <c r="BE20" s="15"/>
      <c r="BF20" s="15"/>
      <c r="BG20" s="26">
        <f t="shared" si="5"/>
        <v>0.59291775874290253</v>
      </c>
      <c r="BH20" s="26">
        <f t="shared" si="6"/>
        <v>0.97990143301512922</v>
      </c>
      <c r="BI20" s="15">
        <v>1646</v>
      </c>
      <c r="BJ20" s="26">
        <f t="shared" si="7"/>
        <v>2.5840883388185056</v>
      </c>
      <c r="BK20" s="15" t="s">
        <v>13</v>
      </c>
      <c r="BL20" s="21" t="s">
        <v>24</v>
      </c>
      <c r="BM20" s="15">
        <v>3002</v>
      </c>
      <c r="BN20" s="15">
        <v>2</v>
      </c>
      <c r="BO20" s="15">
        <f t="shared" si="8"/>
        <v>1020</v>
      </c>
      <c r="BP20" s="15">
        <v>1.29</v>
      </c>
      <c r="BR20" s="26">
        <f t="shared" si="9"/>
        <v>0.38698367427222663</v>
      </c>
      <c r="BS20" s="15">
        <f t="shared" si="10"/>
        <v>0.64599999999999991</v>
      </c>
      <c r="BT20" s="12">
        <f t="shared" si="11"/>
        <v>14</v>
      </c>
      <c r="BV20" s="98"/>
      <c r="BW20" s="398"/>
      <c r="BX20" s="398"/>
      <c r="BY20" s="398"/>
      <c r="BZ20" s="398"/>
    </row>
    <row r="21" spans="1:78" x14ac:dyDescent="0.25">
      <c r="A21" s="121" t="s">
        <v>25</v>
      </c>
      <c r="B21" s="121" t="s">
        <v>21</v>
      </c>
      <c r="C21" s="15"/>
      <c r="D21" s="15"/>
      <c r="E21" s="15">
        <v>566</v>
      </c>
      <c r="F21" s="15"/>
      <c r="G21" s="15"/>
      <c r="H21" s="15"/>
      <c r="I21" s="15"/>
      <c r="J21" s="15">
        <v>434</v>
      </c>
      <c r="K21" s="15"/>
      <c r="L21" s="15"/>
      <c r="M21" s="15"/>
      <c r="N21" s="15"/>
      <c r="O21" s="15">
        <v>20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252"/>
      <c r="AY21" s="15"/>
      <c r="AZ21" s="15"/>
      <c r="BA21" s="15"/>
      <c r="BB21" s="15"/>
      <c r="BC21" s="15"/>
      <c r="BD21" s="15"/>
      <c r="BE21" s="15"/>
      <c r="BF21" s="15"/>
      <c r="BG21" s="26">
        <f t="shared" si="5"/>
        <v>0.6616067646059689</v>
      </c>
      <c r="BH21" s="26">
        <f t="shared" si="6"/>
        <v>1.0216322992745863</v>
      </c>
      <c r="BI21" s="15">
        <v>1646</v>
      </c>
      <c r="BJ21" s="26">
        <f t="shared" si="7"/>
        <v>2.7775807649877997</v>
      </c>
      <c r="BK21" s="15" t="s">
        <v>13</v>
      </c>
      <c r="BL21" s="21" t="s">
        <v>24</v>
      </c>
      <c r="BM21" s="15">
        <v>3002</v>
      </c>
      <c r="BN21" s="15">
        <v>2</v>
      </c>
      <c r="BO21" s="15">
        <f t="shared" si="8"/>
        <v>1020</v>
      </c>
      <c r="BP21" s="15">
        <v>1.35</v>
      </c>
      <c r="BR21" s="26">
        <f t="shared" si="9"/>
        <v>0.36002553466861731</v>
      </c>
      <c r="BS21" s="15">
        <f t="shared" si="10"/>
        <v>0.64599999999999991</v>
      </c>
      <c r="BT21" s="12">
        <f t="shared" si="11"/>
        <v>15</v>
      </c>
      <c r="BV21" s="98"/>
      <c r="BW21" s="398"/>
      <c r="BX21" s="398"/>
      <c r="BY21" s="398"/>
      <c r="BZ21" s="398"/>
    </row>
    <row r="22" spans="1:78" x14ac:dyDescent="0.25">
      <c r="A22" s="121" t="s">
        <v>26</v>
      </c>
      <c r="B22" s="121" t="s">
        <v>21</v>
      </c>
      <c r="C22" s="15"/>
      <c r="D22" s="15"/>
      <c r="E22" s="15">
        <v>620</v>
      </c>
      <c r="F22" s="15"/>
      <c r="G22" s="15"/>
      <c r="H22" s="15"/>
      <c r="I22" s="15">
        <v>380</v>
      </c>
      <c r="J22" s="15"/>
      <c r="K22" s="15"/>
      <c r="L22" s="15"/>
      <c r="M22" s="15"/>
      <c r="N22" s="15"/>
      <c r="O22" s="15">
        <v>40</v>
      </c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252"/>
      <c r="AY22" s="15"/>
      <c r="AZ22" s="15"/>
      <c r="BA22" s="15"/>
      <c r="BB22" s="15"/>
      <c r="BC22" s="15"/>
      <c r="BD22" s="15"/>
      <c r="BE22" s="15"/>
      <c r="BF22" s="15"/>
      <c r="BG22" s="26">
        <f t="shared" si="5"/>
        <v>0.69862054768032611</v>
      </c>
      <c r="BH22" s="26">
        <f t="shared" si="6"/>
        <v>1.0934720425662428</v>
      </c>
      <c r="BI22" s="15">
        <v>1590</v>
      </c>
      <c r="BJ22" s="26">
        <f t="shared" si="7"/>
        <v>2.5325977309239445</v>
      </c>
      <c r="BK22" s="15" t="s">
        <v>13</v>
      </c>
      <c r="BL22" s="21" t="s">
        <v>27</v>
      </c>
      <c r="BM22" s="15">
        <v>3002</v>
      </c>
      <c r="BN22" s="15">
        <v>4</v>
      </c>
      <c r="BO22" s="15">
        <f t="shared" si="8"/>
        <v>1040</v>
      </c>
      <c r="BP22" s="15">
        <v>1.29</v>
      </c>
      <c r="BR22" s="26">
        <f t="shared" si="9"/>
        <v>0.39485149488591664</v>
      </c>
      <c r="BS22" s="15">
        <f t="shared" si="10"/>
        <v>0.59000000000000008</v>
      </c>
      <c r="BT22" s="12">
        <f t="shared" si="11"/>
        <v>16</v>
      </c>
      <c r="BV22" s="98"/>
      <c r="BW22" s="398"/>
      <c r="BX22" s="398"/>
      <c r="BY22" s="398"/>
      <c r="BZ22" s="398"/>
    </row>
    <row r="23" spans="1:78" x14ac:dyDescent="0.25">
      <c r="A23" s="121" t="s">
        <v>28</v>
      </c>
      <c r="B23" s="121" t="s">
        <v>21</v>
      </c>
      <c r="C23" s="15"/>
      <c r="D23" s="15"/>
      <c r="E23" s="15">
        <v>566</v>
      </c>
      <c r="F23" s="15"/>
      <c r="G23" s="15"/>
      <c r="H23" s="15"/>
      <c r="I23" s="15"/>
      <c r="J23" s="15">
        <v>434</v>
      </c>
      <c r="K23" s="15"/>
      <c r="L23" s="15"/>
      <c r="M23" s="15"/>
      <c r="N23" s="15"/>
      <c r="O23" s="15">
        <v>40</v>
      </c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252"/>
      <c r="AY23" s="15"/>
      <c r="AZ23" s="15"/>
      <c r="BA23" s="15"/>
      <c r="BB23" s="15"/>
      <c r="BC23" s="15"/>
      <c r="BD23" s="15"/>
      <c r="BE23" s="15"/>
      <c r="BF23" s="15"/>
      <c r="BG23" s="26">
        <f t="shared" si="5"/>
        <v>0.77127044932395139</v>
      </c>
      <c r="BH23" s="26">
        <f t="shared" si="6"/>
        <v>1.1391638046062587</v>
      </c>
      <c r="BI23" s="15">
        <v>1590</v>
      </c>
      <c r="BJ23" s="26">
        <f t="shared" si="7"/>
        <v>2.7181790202017599</v>
      </c>
      <c r="BK23" s="15" t="s">
        <v>13</v>
      </c>
      <c r="BL23" s="21" t="s">
        <v>27</v>
      </c>
      <c r="BM23" s="15">
        <v>3002</v>
      </c>
      <c r="BN23" s="15">
        <v>4</v>
      </c>
      <c r="BO23" s="15">
        <f t="shared" si="8"/>
        <v>1040</v>
      </c>
      <c r="BP23" s="15">
        <v>1.35</v>
      </c>
      <c r="BR23" s="26">
        <f t="shared" si="9"/>
        <v>0.36789335528230732</v>
      </c>
      <c r="BS23" s="15">
        <f t="shared" si="10"/>
        <v>0.59000000000000008</v>
      </c>
      <c r="BT23" s="12">
        <f t="shared" si="11"/>
        <v>17</v>
      </c>
      <c r="BV23" s="98"/>
      <c r="BW23" s="398"/>
      <c r="BX23" s="398"/>
      <c r="BY23" s="398"/>
      <c r="BZ23" s="398"/>
    </row>
    <row r="24" spans="1:78" x14ac:dyDescent="0.25">
      <c r="A24" s="121" t="s">
        <v>29</v>
      </c>
      <c r="B24" s="121" t="s">
        <v>21</v>
      </c>
      <c r="C24" s="15"/>
      <c r="D24" s="15"/>
      <c r="E24" s="15">
        <v>620</v>
      </c>
      <c r="F24" s="15"/>
      <c r="G24" s="15"/>
      <c r="H24" s="15"/>
      <c r="I24" s="15">
        <v>380</v>
      </c>
      <c r="J24" s="15"/>
      <c r="K24" s="15"/>
      <c r="L24" s="15"/>
      <c r="M24" s="15"/>
      <c r="N24" s="15"/>
      <c r="O24" s="15">
        <v>60</v>
      </c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252"/>
      <c r="AY24" s="15"/>
      <c r="AZ24" s="15"/>
      <c r="BA24" s="15"/>
      <c r="BB24" s="15"/>
      <c r="BC24" s="15"/>
      <c r="BD24" s="15"/>
      <c r="BE24" s="15"/>
      <c r="BF24" s="15"/>
      <c r="BG24" s="26">
        <f t="shared" si="5"/>
        <v>0.78800656221849719</v>
      </c>
      <c r="BH24" s="26">
        <f t="shared" si="6"/>
        <v>1.1907258777181038</v>
      </c>
      <c r="BI24" s="15">
        <v>1552</v>
      </c>
      <c r="BJ24" s="26">
        <f t="shared" si="7"/>
        <v>2.4831190397694667</v>
      </c>
      <c r="BK24" s="15" t="s">
        <v>13</v>
      </c>
      <c r="BL24" s="21" t="s">
        <v>14</v>
      </c>
      <c r="BM24" s="15">
        <v>3002</v>
      </c>
      <c r="BN24" s="15">
        <v>6</v>
      </c>
      <c r="BO24" s="15">
        <f t="shared" si="8"/>
        <v>1060</v>
      </c>
      <c r="BP24" s="15">
        <v>1.29</v>
      </c>
      <c r="BR24" s="26">
        <f t="shared" si="9"/>
        <v>0.40271931549960666</v>
      </c>
      <c r="BS24" s="15">
        <f t="shared" si="10"/>
        <v>0.55200000000000005</v>
      </c>
      <c r="BT24" s="12">
        <f t="shared" si="11"/>
        <v>18</v>
      </c>
      <c r="BV24" s="98"/>
      <c r="BW24" s="398"/>
      <c r="BX24" s="398"/>
      <c r="BY24" s="398"/>
      <c r="BZ24" s="398"/>
    </row>
    <row r="25" spans="1:78" x14ac:dyDescent="0.25">
      <c r="A25" s="121" t="s">
        <v>30</v>
      </c>
      <c r="B25" s="121" t="s">
        <v>21</v>
      </c>
      <c r="C25" s="15"/>
      <c r="D25" s="15"/>
      <c r="E25" s="15">
        <v>566</v>
      </c>
      <c r="F25" s="15"/>
      <c r="G25" s="15"/>
      <c r="H25" s="15"/>
      <c r="I25" s="15"/>
      <c r="J25" s="15">
        <v>434</v>
      </c>
      <c r="K25" s="15"/>
      <c r="L25" s="15"/>
      <c r="M25" s="15"/>
      <c r="N25" s="15"/>
      <c r="O25" s="15">
        <v>60</v>
      </c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252"/>
      <c r="AY25" s="15"/>
      <c r="AZ25" s="15"/>
      <c r="BA25" s="15"/>
      <c r="BB25" s="15"/>
      <c r="BC25" s="15"/>
      <c r="BD25" s="15"/>
      <c r="BE25" s="15"/>
      <c r="BF25" s="15"/>
      <c r="BG25" s="26">
        <f t="shared" si="5"/>
        <v>0.86380191124893502</v>
      </c>
      <c r="BH25" s="26">
        <f t="shared" si="6"/>
        <v>1.2395630871449324</v>
      </c>
      <c r="BI25" s="15">
        <v>1552</v>
      </c>
      <c r="BJ25" s="26">
        <f t="shared" si="7"/>
        <v>2.6612648249663202</v>
      </c>
      <c r="BK25" s="15" t="s">
        <v>13</v>
      </c>
      <c r="BL25" s="21" t="s">
        <v>14</v>
      </c>
      <c r="BM25" s="15">
        <v>3002</v>
      </c>
      <c r="BN25" s="15">
        <v>6</v>
      </c>
      <c r="BO25" s="15">
        <f t="shared" si="8"/>
        <v>1060</v>
      </c>
      <c r="BP25" s="15">
        <v>1.35</v>
      </c>
      <c r="BR25" s="26">
        <f t="shared" si="9"/>
        <v>0.37576117589599733</v>
      </c>
      <c r="BS25" s="15">
        <f t="shared" si="10"/>
        <v>0.55200000000000005</v>
      </c>
      <c r="BT25" s="12">
        <f t="shared" si="11"/>
        <v>19</v>
      </c>
      <c r="BV25" s="98"/>
      <c r="BW25" s="398"/>
      <c r="BX25" s="398"/>
      <c r="BY25" s="398"/>
      <c r="BZ25" s="398"/>
    </row>
    <row r="26" spans="1:78" x14ac:dyDescent="0.25">
      <c r="A26" s="121" t="s">
        <v>31</v>
      </c>
      <c r="B26" s="121" t="s">
        <v>21</v>
      </c>
      <c r="C26" s="15"/>
      <c r="D26" s="15"/>
      <c r="E26" s="15">
        <v>620</v>
      </c>
      <c r="F26" s="15"/>
      <c r="G26" s="15"/>
      <c r="H26" s="15"/>
      <c r="I26" s="15">
        <v>380</v>
      </c>
      <c r="J26" s="15"/>
      <c r="K26" s="15"/>
      <c r="L26" s="15"/>
      <c r="M26" s="15"/>
      <c r="N26" s="15"/>
      <c r="O26" s="15">
        <v>80</v>
      </c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252"/>
      <c r="AY26" s="15"/>
      <c r="AZ26" s="15"/>
      <c r="BA26" s="15"/>
      <c r="BB26" s="15"/>
      <c r="BC26" s="15"/>
      <c r="BD26" s="15"/>
      <c r="BE26" s="15"/>
      <c r="BF26" s="15"/>
      <c r="BG26" s="26">
        <f t="shared" si="5"/>
        <v>0.91498289138512612</v>
      </c>
      <c r="BH26" s="26">
        <f t="shared" si="6"/>
        <v>1.3255700274984228</v>
      </c>
      <c r="BI26" s="15">
        <v>1505</v>
      </c>
      <c r="BJ26" s="26">
        <f t="shared" si="7"/>
        <v>2.4355366061056083</v>
      </c>
      <c r="BK26" s="15" t="s">
        <v>18</v>
      </c>
      <c r="BL26" s="21" t="s">
        <v>14</v>
      </c>
      <c r="BM26" s="15">
        <v>3002</v>
      </c>
      <c r="BN26" s="15">
        <v>8</v>
      </c>
      <c r="BO26" s="15">
        <f t="shared" si="8"/>
        <v>1080</v>
      </c>
      <c r="BP26" s="15">
        <v>1.29</v>
      </c>
      <c r="BR26" s="26">
        <f t="shared" si="9"/>
        <v>0.41058713611329667</v>
      </c>
      <c r="BS26" s="15">
        <f t="shared" si="10"/>
        <v>0.50499999999999989</v>
      </c>
      <c r="BT26" s="12">
        <f t="shared" si="11"/>
        <v>20</v>
      </c>
      <c r="BV26" s="98"/>
      <c r="BW26" s="398"/>
      <c r="BX26" s="398"/>
      <c r="BY26" s="398"/>
      <c r="BZ26" s="398"/>
    </row>
    <row r="27" spans="1:78" x14ac:dyDescent="0.25">
      <c r="A27" s="121" t="s">
        <v>32</v>
      </c>
      <c r="B27" s="121" t="s">
        <v>21</v>
      </c>
      <c r="C27" s="15"/>
      <c r="D27" s="15"/>
      <c r="E27" s="15">
        <v>566</v>
      </c>
      <c r="F27" s="15"/>
      <c r="G27" s="15"/>
      <c r="H27" s="15"/>
      <c r="I27" s="15"/>
      <c r="J27" s="15">
        <v>434</v>
      </c>
      <c r="K27" s="15"/>
      <c r="L27" s="15"/>
      <c r="M27" s="15"/>
      <c r="N27" s="15"/>
      <c r="O27" s="15">
        <v>80</v>
      </c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252"/>
      <c r="AY27" s="15"/>
      <c r="AZ27" s="15"/>
      <c r="BA27" s="15"/>
      <c r="BB27" s="15"/>
      <c r="BC27" s="15"/>
      <c r="BD27" s="15"/>
      <c r="BE27" s="15"/>
      <c r="BF27" s="15"/>
      <c r="BG27" s="26">
        <f t="shared" si="5"/>
        <v>0.99532348564934769</v>
      </c>
      <c r="BH27" s="26">
        <f t="shared" si="6"/>
        <v>1.3789524821590351</v>
      </c>
      <c r="BI27" s="15">
        <v>1505</v>
      </c>
      <c r="BJ27" s="26">
        <f t="shared" si="7"/>
        <v>2.6066851283353083</v>
      </c>
      <c r="BK27" s="15" t="s">
        <v>18</v>
      </c>
      <c r="BL27" s="21" t="s">
        <v>14</v>
      </c>
      <c r="BM27" s="15">
        <v>3002</v>
      </c>
      <c r="BN27" s="15">
        <v>8</v>
      </c>
      <c r="BO27" s="15">
        <f t="shared" si="8"/>
        <v>1080</v>
      </c>
      <c r="BP27" s="15">
        <v>1.35</v>
      </c>
      <c r="BR27" s="26">
        <f t="shared" si="9"/>
        <v>0.38362899650968735</v>
      </c>
      <c r="BS27" s="15">
        <f t="shared" si="10"/>
        <v>0.50499999999999989</v>
      </c>
      <c r="BT27" s="12">
        <f t="shared" si="11"/>
        <v>21</v>
      </c>
      <c r="BV27" s="98"/>
      <c r="BW27" s="398"/>
      <c r="BX27" s="398"/>
      <c r="BY27" s="398"/>
      <c r="BZ27" s="398"/>
    </row>
    <row r="28" spans="1:78" x14ac:dyDescent="0.25">
      <c r="A28" s="121" t="s">
        <v>35</v>
      </c>
      <c r="B28" s="121" t="s">
        <v>35</v>
      </c>
      <c r="C28" s="15"/>
      <c r="D28" s="15"/>
      <c r="E28" s="15">
        <v>435</v>
      </c>
      <c r="F28" s="15"/>
      <c r="G28" s="15"/>
      <c r="H28" s="15"/>
      <c r="I28" s="15">
        <v>565</v>
      </c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252"/>
      <c r="AY28" s="15"/>
      <c r="AZ28" s="15"/>
      <c r="BA28" s="15"/>
      <c r="BB28" s="15"/>
      <c r="BC28" s="15"/>
      <c r="BD28" s="15"/>
      <c r="BE28" s="15"/>
      <c r="BF28" s="15"/>
      <c r="BG28" s="26">
        <f t="shared" si="5"/>
        <v>0.49515959120974096</v>
      </c>
      <c r="BH28" s="26">
        <f t="shared" si="6"/>
        <v>0.90670684730730189</v>
      </c>
      <c r="BI28" s="15">
        <v>1649</v>
      </c>
      <c r="BJ28" s="26">
        <f t="shared" si="7"/>
        <v>2.4298546161681638</v>
      </c>
      <c r="BK28" s="15" t="s">
        <v>13</v>
      </c>
      <c r="BL28" s="21" t="s">
        <v>14</v>
      </c>
      <c r="BM28" s="15" t="s">
        <v>36</v>
      </c>
      <c r="BN28" s="15">
        <v>0</v>
      </c>
      <c r="BO28" s="15">
        <f t="shared" si="8"/>
        <v>1000</v>
      </c>
      <c r="BP28" s="15">
        <v>1.1599999999999999</v>
      </c>
      <c r="BR28" s="26">
        <f t="shared" si="9"/>
        <v>0.41154725609756099</v>
      </c>
      <c r="BS28" s="15">
        <f t="shared" si="10"/>
        <v>0.64900000000000002</v>
      </c>
      <c r="BT28" s="12">
        <f t="shared" si="11"/>
        <v>22</v>
      </c>
      <c r="BV28" s="98"/>
      <c r="BW28" s="398"/>
      <c r="BX28" s="398"/>
      <c r="BY28" s="398"/>
      <c r="BZ28" s="398"/>
    </row>
    <row r="29" spans="1:78" x14ac:dyDescent="0.25">
      <c r="A29" s="121" t="s">
        <v>37</v>
      </c>
      <c r="B29" s="121" t="s">
        <v>35</v>
      </c>
      <c r="C29" s="15"/>
      <c r="D29" s="15"/>
      <c r="E29" s="15">
        <v>392</v>
      </c>
      <c r="F29" s="15"/>
      <c r="G29" s="15"/>
      <c r="H29" s="15"/>
      <c r="I29" s="15"/>
      <c r="J29" s="15">
        <v>608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252"/>
      <c r="AY29" s="15"/>
      <c r="AZ29" s="15"/>
      <c r="BA29" s="15"/>
      <c r="BB29" s="15"/>
      <c r="BC29" s="15"/>
      <c r="BD29" s="15"/>
      <c r="BE29" s="15"/>
      <c r="BF29" s="15"/>
      <c r="BG29" s="26">
        <f t="shared" si="5"/>
        <v>0.60566013700710175</v>
      </c>
      <c r="BH29" s="26">
        <f t="shared" si="6"/>
        <v>0.97371748757252985</v>
      </c>
      <c r="BI29" s="15">
        <v>1649</v>
      </c>
      <c r="BJ29" s="26">
        <f t="shared" si="7"/>
        <v>2.7169678814014988</v>
      </c>
      <c r="BK29" s="15" t="s">
        <v>13</v>
      </c>
      <c r="BL29" s="21" t="s">
        <v>14</v>
      </c>
      <c r="BM29" s="15" t="s">
        <v>36</v>
      </c>
      <c r="BN29" s="15">
        <v>0</v>
      </c>
      <c r="BO29" s="15">
        <f t="shared" si="8"/>
        <v>1000</v>
      </c>
      <c r="BP29" s="15">
        <v>1.36</v>
      </c>
      <c r="BR29" s="26">
        <f t="shared" si="9"/>
        <v>0.3680573505654281</v>
      </c>
      <c r="BS29" s="15">
        <f t="shared" si="10"/>
        <v>0.64900000000000002</v>
      </c>
      <c r="BT29" s="12">
        <f t="shared" si="11"/>
        <v>23</v>
      </c>
      <c r="BV29" s="98"/>
      <c r="BW29" s="398"/>
      <c r="BX29" s="398"/>
      <c r="BY29" s="398"/>
      <c r="BZ29" s="398"/>
    </row>
    <row r="30" spans="1:78" x14ac:dyDescent="0.25">
      <c r="A30" s="121" t="s">
        <v>46</v>
      </c>
      <c r="B30" s="121" t="s">
        <v>35</v>
      </c>
      <c r="C30" s="15"/>
      <c r="D30" s="15"/>
      <c r="E30" s="15">
        <v>435</v>
      </c>
      <c r="F30" s="15"/>
      <c r="G30" s="15"/>
      <c r="H30" s="15"/>
      <c r="I30" s="15">
        <v>565</v>
      </c>
      <c r="J30" s="15"/>
      <c r="K30" s="15"/>
      <c r="L30" s="15"/>
      <c r="M30" s="15"/>
      <c r="N30" s="15"/>
      <c r="O30" s="15">
        <v>120</v>
      </c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252"/>
      <c r="AY30" s="15"/>
      <c r="AZ30" s="15"/>
      <c r="BA30" s="15"/>
      <c r="BB30" s="15"/>
      <c r="BC30" s="15"/>
      <c r="BD30" s="15"/>
      <c r="BE30" s="15"/>
      <c r="BF30" s="15"/>
      <c r="BG30" s="26">
        <f t="shared" si="5"/>
        <v>1.142325288066059</v>
      </c>
      <c r="BH30" s="26">
        <f t="shared" si="6"/>
        <v>1.6010794678457601</v>
      </c>
      <c r="BI30" s="15">
        <v>1413</v>
      </c>
      <c r="BJ30" s="26">
        <f t="shared" si="7"/>
        <v>2.1798166514367487</v>
      </c>
      <c r="BK30" s="15" t="s">
        <v>18</v>
      </c>
      <c r="BL30" s="21" t="s">
        <v>14</v>
      </c>
      <c r="BM30" s="15" t="s">
        <v>36</v>
      </c>
      <c r="BN30" s="15">
        <v>12</v>
      </c>
      <c r="BO30" s="15">
        <f t="shared" si="8"/>
        <v>1120</v>
      </c>
      <c r="BP30" s="15">
        <v>1.1599999999999999</v>
      </c>
      <c r="BR30" s="26">
        <f t="shared" si="9"/>
        <v>0.45875417977970101</v>
      </c>
      <c r="BS30" s="15">
        <f t="shared" si="10"/>
        <v>0.41300000000000003</v>
      </c>
      <c r="BT30" s="12">
        <f t="shared" si="11"/>
        <v>24</v>
      </c>
      <c r="BV30" s="98"/>
      <c r="BW30" s="398"/>
      <c r="BX30" s="398"/>
      <c r="BY30" s="398"/>
      <c r="BZ30" s="398"/>
    </row>
    <row r="31" spans="1:78" x14ac:dyDescent="0.25">
      <c r="A31" s="121" t="s">
        <v>47</v>
      </c>
      <c r="B31" s="121" t="s">
        <v>35</v>
      </c>
      <c r="C31" s="15"/>
      <c r="D31" s="15"/>
      <c r="E31" s="15">
        <v>392</v>
      </c>
      <c r="F31" s="15"/>
      <c r="G31" s="15"/>
      <c r="H31" s="15"/>
      <c r="I31" s="15"/>
      <c r="J31" s="15">
        <v>608</v>
      </c>
      <c r="K31" s="15"/>
      <c r="L31" s="15"/>
      <c r="M31" s="15"/>
      <c r="N31" s="15"/>
      <c r="O31" s="15">
        <v>120</v>
      </c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252"/>
      <c r="AY31" s="15"/>
      <c r="AZ31" s="15"/>
      <c r="BA31" s="15"/>
      <c r="BB31" s="15"/>
      <c r="BC31" s="15"/>
      <c r="BD31" s="15"/>
      <c r="BE31" s="15"/>
      <c r="BF31" s="15"/>
      <c r="BG31" s="26">
        <f t="shared" si="5"/>
        <v>1.2911176283006929</v>
      </c>
      <c r="BH31" s="26">
        <f t="shared" si="6"/>
        <v>1.7063819025482609</v>
      </c>
      <c r="BI31" s="15">
        <v>1413</v>
      </c>
      <c r="BJ31" s="26">
        <f t="shared" si="7"/>
        <v>2.4081050598728608</v>
      </c>
      <c r="BK31" s="15" t="s">
        <v>18</v>
      </c>
      <c r="BL31" s="21" t="s">
        <v>14</v>
      </c>
      <c r="BM31" s="15" t="s">
        <v>36</v>
      </c>
      <c r="BN31" s="15">
        <v>12</v>
      </c>
      <c r="BO31" s="15">
        <f t="shared" si="8"/>
        <v>1120</v>
      </c>
      <c r="BP31" s="15">
        <v>1.36</v>
      </c>
      <c r="BR31" s="26">
        <f t="shared" si="9"/>
        <v>0.41526427424756818</v>
      </c>
      <c r="BS31" s="15">
        <f t="shared" si="10"/>
        <v>0.41300000000000003</v>
      </c>
      <c r="BT31" s="12">
        <f t="shared" si="11"/>
        <v>25</v>
      </c>
      <c r="BV31" s="98"/>
      <c r="BW31" s="398"/>
      <c r="BX31" s="398"/>
      <c r="BY31" s="398"/>
      <c r="BZ31" s="398"/>
    </row>
    <row r="32" spans="1:78" x14ac:dyDescent="0.25">
      <c r="A32" s="121" t="s">
        <v>38</v>
      </c>
      <c r="B32" s="121" t="s">
        <v>35</v>
      </c>
      <c r="C32" s="15"/>
      <c r="D32" s="15"/>
      <c r="E32" s="15">
        <v>435</v>
      </c>
      <c r="F32" s="15"/>
      <c r="G32" s="15"/>
      <c r="H32" s="15"/>
      <c r="I32" s="15">
        <v>565</v>
      </c>
      <c r="J32" s="15"/>
      <c r="K32" s="15"/>
      <c r="L32" s="15"/>
      <c r="M32" s="15"/>
      <c r="N32" s="15"/>
      <c r="O32" s="15">
        <v>20</v>
      </c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252"/>
      <c r="AY32" s="15"/>
      <c r="AZ32" s="15"/>
      <c r="BA32" s="15"/>
      <c r="BB32" s="15"/>
      <c r="BC32" s="15"/>
      <c r="BD32" s="15"/>
      <c r="BE32" s="15"/>
      <c r="BF32" s="15"/>
      <c r="BG32" s="26">
        <f t="shared" si="5"/>
        <v>0.60547387088047078</v>
      </c>
      <c r="BH32" s="26">
        <f t="shared" si="6"/>
        <v>1.0248889475917218</v>
      </c>
      <c r="BI32" s="15">
        <v>1586</v>
      </c>
      <c r="BJ32" s="26">
        <f t="shared" si="7"/>
        <v>2.384272897009986</v>
      </c>
      <c r="BK32" s="15" t="s">
        <v>13</v>
      </c>
      <c r="BL32" s="21" t="s">
        <v>14</v>
      </c>
      <c r="BM32" s="15" t="s">
        <v>36</v>
      </c>
      <c r="BN32" s="15">
        <v>2</v>
      </c>
      <c r="BO32" s="15">
        <f t="shared" si="8"/>
        <v>1020</v>
      </c>
      <c r="BP32" s="15">
        <v>1.1599999999999999</v>
      </c>
      <c r="BR32" s="26">
        <f t="shared" si="9"/>
        <v>0.419415076711251</v>
      </c>
      <c r="BS32" s="15">
        <f t="shared" si="10"/>
        <v>0.58600000000000008</v>
      </c>
      <c r="BT32" s="12">
        <f t="shared" si="11"/>
        <v>26</v>
      </c>
      <c r="BV32" s="98"/>
      <c r="BW32" s="398"/>
      <c r="BX32" s="398"/>
      <c r="BY32" s="398"/>
      <c r="BZ32" s="398"/>
    </row>
    <row r="33" spans="1:78" x14ac:dyDescent="0.25">
      <c r="A33" s="121" t="s">
        <v>39</v>
      </c>
      <c r="B33" s="121" t="s">
        <v>35</v>
      </c>
      <c r="C33" s="15"/>
      <c r="D33" s="15"/>
      <c r="E33" s="15">
        <v>392</v>
      </c>
      <c r="F33" s="15"/>
      <c r="G33" s="15"/>
      <c r="H33" s="15"/>
      <c r="I33" s="15"/>
      <c r="J33" s="15">
        <v>608</v>
      </c>
      <c r="K33" s="15"/>
      <c r="L33" s="15"/>
      <c r="M33" s="15"/>
      <c r="N33" s="15"/>
      <c r="O33" s="15">
        <v>20</v>
      </c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252"/>
      <c r="AY33" s="15"/>
      <c r="AZ33" s="15"/>
      <c r="BA33" s="15"/>
      <c r="BB33" s="15"/>
      <c r="BC33" s="15"/>
      <c r="BD33" s="15"/>
      <c r="BE33" s="15"/>
      <c r="BF33" s="15"/>
      <c r="BG33" s="26">
        <f t="shared" si="5"/>
        <v>0.72317863226948575</v>
      </c>
      <c r="BH33" s="26">
        <f t="shared" si="6"/>
        <v>1.0991038034486038</v>
      </c>
      <c r="BI33" s="15">
        <v>1586</v>
      </c>
      <c r="BJ33" s="26">
        <f t="shared" si="7"/>
        <v>2.6601038628603226</v>
      </c>
      <c r="BK33" s="15" t="s">
        <v>13</v>
      </c>
      <c r="BL33" s="21" t="s">
        <v>14</v>
      </c>
      <c r="BM33" s="15" t="s">
        <v>36</v>
      </c>
      <c r="BN33" s="15">
        <v>2</v>
      </c>
      <c r="BO33" s="15">
        <f t="shared" si="8"/>
        <v>1020</v>
      </c>
      <c r="BP33" s="15">
        <v>1.36</v>
      </c>
      <c r="BR33" s="26">
        <f t="shared" si="9"/>
        <v>0.37592517117911811</v>
      </c>
      <c r="BS33" s="15">
        <f t="shared" si="10"/>
        <v>0.58600000000000008</v>
      </c>
      <c r="BT33" s="12">
        <f t="shared" si="11"/>
        <v>27</v>
      </c>
      <c r="BV33" s="98"/>
      <c r="BW33" s="398"/>
      <c r="BX33" s="398"/>
      <c r="BY33" s="398"/>
      <c r="BZ33" s="398"/>
    </row>
    <row r="34" spans="1:78" x14ac:dyDescent="0.25">
      <c r="A34" s="121" t="s">
        <v>40</v>
      </c>
      <c r="B34" s="121" t="s">
        <v>35</v>
      </c>
      <c r="C34" s="15"/>
      <c r="D34" s="15"/>
      <c r="E34" s="15">
        <v>435</v>
      </c>
      <c r="F34" s="15"/>
      <c r="G34" s="15"/>
      <c r="H34" s="15"/>
      <c r="I34" s="15">
        <v>565</v>
      </c>
      <c r="J34" s="15"/>
      <c r="K34" s="15"/>
      <c r="L34" s="15"/>
      <c r="M34" s="15"/>
      <c r="N34" s="15"/>
      <c r="O34" s="15">
        <v>40</v>
      </c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252"/>
      <c r="AY34" s="15"/>
      <c r="AZ34" s="15"/>
      <c r="BA34" s="15"/>
      <c r="BB34" s="15"/>
      <c r="BC34" s="15"/>
      <c r="BD34" s="15"/>
      <c r="BE34" s="15"/>
      <c r="BF34" s="15"/>
      <c r="BG34" s="26">
        <f t="shared" si="5"/>
        <v>0.71159647567702733</v>
      </c>
      <c r="BH34" s="26">
        <f t="shared" si="6"/>
        <v>1.1388793730019684</v>
      </c>
      <c r="BI34" s="15">
        <v>1538</v>
      </c>
      <c r="BJ34" s="26">
        <f t="shared" si="7"/>
        <v>2.340369825847529</v>
      </c>
      <c r="BK34" s="15" t="s">
        <v>18</v>
      </c>
      <c r="BL34" s="21" t="s">
        <v>14</v>
      </c>
      <c r="BM34" s="15" t="s">
        <v>36</v>
      </c>
      <c r="BN34" s="15">
        <v>4</v>
      </c>
      <c r="BO34" s="15">
        <f t="shared" si="8"/>
        <v>1040</v>
      </c>
      <c r="BP34" s="15">
        <v>1.1599999999999999</v>
      </c>
      <c r="BR34" s="26">
        <f t="shared" si="9"/>
        <v>0.42728289732494101</v>
      </c>
      <c r="BS34" s="15">
        <f t="shared" si="10"/>
        <v>0.53800000000000003</v>
      </c>
      <c r="BT34" s="12">
        <f t="shared" si="11"/>
        <v>28</v>
      </c>
      <c r="BV34" s="98"/>
      <c r="BW34" s="398"/>
      <c r="BX34" s="398"/>
      <c r="BY34" s="398"/>
      <c r="BZ34" s="398"/>
    </row>
    <row r="35" spans="1:78" x14ac:dyDescent="0.25">
      <c r="A35" s="121" t="s">
        <v>41</v>
      </c>
      <c r="B35" s="121" t="s">
        <v>35</v>
      </c>
      <c r="C35" s="15"/>
      <c r="D35" s="15"/>
      <c r="E35" s="15">
        <v>392</v>
      </c>
      <c r="F35" s="15"/>
      <c r="G35" s="15"/>
      <c r="H35" s="15"/>
      <c r="I35" s="15"/>
      <c r="J35" s="15">
        <v>608</v>
      </c>
      <c r="K35" s="15"/>
      <c r="L35" s="15"/>
      <c r="M35" s="15"/>
      <c r="N35" s="15"/>
      <c r="O35" s="15">
        <v>40</v>
      </c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252"/>
      <c r="AY35" s="15"/>
      <c r="AZ35" s="15"/>
      <c r="BA35" s="15"/>
      <c r="BB35" s="15"/>
      <c r="BC35" s="15"/>
      <c r="BD35" s="15"/>
      <c r="BE35" s="15"/>
      <c r="BF35" s="15"/>
      <c r="BG35" s="26">
        <f t="shared" si="5"/>
        <v>0.83592263684509482</v>
      </c>
      <c r="BH35" s="26">
        <f t="shared" si="6"/>
        <v>1.2197156286379029</v>
      </c>
      <c r="BI35" s="15">
        <v>1538</v>
      </c>
      <c r="BJ35" s="26">
        <f t="shared" si="7"/>
        <v>2.6055712881277757</v>
      </c>
      <c r="BK35" s="15" t="s">
        <v>18</v>
      </c>
      <c r="BL35" s="21" t="s">
        <v>14</v>
      </c>
      <c r="BM35" s="15" t="s">
        <v>36</v>
      </c>
      <c r="BN35" s="15">
        <v>4</v>
      </c>
      <c r="BO35" s="15">
        <f t="shared" si="8"/>
        <v>1040</v>
      </c>
      <c r="BP35" s="15">
        <v>1.36</v>
      </c>
      <c r="BR35" s="26">
        <f t="shared" si="9"/>
        <v>0.38379299179280812</v>
      </c>
      <c r="BS35" s="15">
        <f t="shared" si="10"/>
        <v>0.53800000000000003</v>
      </c>
      <c r="BT35" s="12">
        <f t="shared" si="11"/>
        <v>29</v>
      </c>
      <c r="BV35" s="98"/>
      <c r="BW35" s="398"/>
      <c r="BX35" s="398"/>
      <c r="BY35" s="398"/>
      <c r="BZ35" s="398"/>
    </row>
    <row r="36" spans="1:78" x14ac:dyDescent="0.25">
      <c r="A36" s="121" t="s">
        <v>42</v>
      </c>
      <c r="B36" s="121" t="s">
        <v>35</v>
      </c>
      <c r="C36" s="15"/>
      <c r="D36" s="15"/>
      <c r="E36" s="15">
        <v>435</v>
      </c>
      <c r="F36" s="15"/>
      <c r="G36" s="15"/>
      <c r="H36" s="15"/>
      <c r="I36" s="15">
        <v>565</v>
      </c>
      <c r="J36" s="15"/>
      <c r="K36" s="15"/>
      <c r="L36" s="15"/>
      <c r="M36" s="15"/>
      <c r="N36" s="15"/>
      <c r="O36" s="15">
        <v>60</v>
      </c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252"/>
      <c r="AY36" s="15"/>
      <c r="AZ36" s="15"/>
      <c r="BA36" s="15"/>
      <c r="BB36" s="15"/>
      <c r="BC36" s="15"/>
      <c r="BD36" s="15"/>
      <c r="BE36" s="15"/>
      <c r="BF36" s="15"/>
      <c r="BG36" s="26">
        <f t="shared" si="5"/>
        <v>0.82972637125442361</v>
      </c>
      <c r="BH36" s="26">
        <f t="shared" si="6"/>
        <v>1.2648770891930545</v>
      </c>
      <c r="BI36" s="15">
        <v>1494</v>
      </c>
      <c r="BJ36" s="26">
        <f t="shared" si="7"/>
        <v>2.2980543493921788</v>
      </c>
      <c r="BK36" s="15" t="s">
        <v>18</v>
      </c>
      <c r="BL36" s="21" t="s">
        <v>14</v>
      </c>
      <c r="BM36" s="15" t="s">
        <v>36</v>
      </c>
      <c r="BN36" s="15">
        <v>6</v>
      </c>
      <c r="BO36" s="15">
        <f t="shared" si="8"/>
        <v>1060</v>
      </c>
      <c r="BP36" s="15">
        <v>1.1599999999999999</v>
      </c>
      <c r="BR36" s="26">
        <f t="shared" si="9"/>
        <v>0.43515071793863103</v>
      </c>
      <c r="BS36" s="15">
        <f t="shared" si="10"/>
        <v>0.49399999999999999</v>
      </c>
      <c r="BT36" s="12">
        <f t="shared" si="11"/>
        <v>30</v>
      </c>
      <c r="BV36" s="98"/>
      <c r="BW36" s="398"/>
      <c r="BX36" s="398"/>
      <c r="BY36" s="398"/>
      <c r="BZ36" s="398"/>
    </row>
    <row r="37" spans="1:78" x14ac:dyDescent="0.25">
      <c r="A37" s="121" t="s">
        <v>43</v>
      </c>
      <c r="B37" s="121" t="s">
        <v>35</v>
      </c>
      <c r="C37" s="15"/>
      <c r="D37" s="15"/>
      <c r="E37" s="15">
        <v>392</v>
      </c>
      <c r="F37" s="15"/>
      <c r="G37" s="15"/>
      <c r="H37" s="15"/>
      <c r="I37" s="15"/>
      <c r="J37" s="15">
        <v>608</v>
      </c>
      <c r="K37" s="15"/>
      <c r="L37" s="15"/>
      <c r="M37" s="15"/>
      <c r="N37" s="15"/>
      <c r="O37" s="15">
        <v>60</v>
      </c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252"/>
      <c r="AY37" s="15"/>
      <c r="AZ37" s="15"/>
      <c r="BA37" s="15"/>
      <c r="BB37" s="15"/>
      <c r="BC37" s="15"/>
      <c r="BD37" s="15"/>
      <c r="BE37" s="15"/>
      <c r="BF37" s="15"/>
      <c r="BG37" s="26">
        <f t="shared" si="5"/>
        <v>0.96125252280301965</v>
      </c>
      <c r="BH37" s="26">
        <f t="shared" si="6"/>
        <v>1.352913335209518</v>
      </c>
      <c r="BI37" s="15">
        <v>1494</v>
      </c>
      <c r="BJ37" s="26">
        <f t="shared" si="7"/>
        <v>2.5532296526059302</v>
      </c>
      <c r="BK37" s="15" t="s">
        <v>18</v>
      </c>
      <c r="BL37" s="21" t="s">
        <v>14</v>
      </c>
      <c r="BM37" s="15" t="s">
        <v>36</v>
      </c>
      <c r="BN37" s="15">
        <v>6</v>
      </c>
      <c r="BO37" s="15">
        <f t="shared" si="8"/>
        <v>1060</v>
      </c>
      <c r="BP37" s="15">
        <v>1.36</v>
      </c>
      <c r="BR37" s="26">
        <f t="shared" si="9"/>
        <v>0.39166081240649819</v>
      </c>
      <c r="BS37" s="15">
        <f t="shared" si="10"/>
        <v>0.49399999999999999</v>
      </c>
      <c r="BT37" s="12">
        <f t="shared" si="11"/>
        <v>31</v>
      </c>
      <c r="BV37" s="98"/>
      <c r="BW37" s="398"/>
      <c r="BX37" s="398"/>
      <c r="BY37" s="398"/>
      <c r="BZ37" s="398"/>
    </row>
    <row r="38" spans="1:78" x14ac:dyDescent="0.25">
      <c r="A38" s="121" t="s">
        <v>44</v>
      </c>
      <c r="B38" s="121" t="s">
        <v>35</v>
      </c>
      <c r="C38" s="15"/>
      <c r="D38" s="15"/>
      <c r="E38" s="15">
        <v>435</v>
      </c>
      <c r="F38" s="15"/>
      <c r="G38" s="15"/>
      <c r="H38" s="15"/>
      <c r="I38" s="15">
        <v>565</v>
      </c>
      <c r="J38" s="15"/>
      <c r="K38" s="15"/>
      <c r="L38" s="15"/>
      <c r="M38" s="15"/>
      <c r="N38" s="15"/>
      <c r="O38" s="15">
        <v>80</v>
      </c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252"/>
      <c r="AY38" s="15"/>
      <c r="AZ38" s="15"/>
      <c r="BA38" s="15"/>
      <c r="BB38" s="15"/>
      <c r="BC38" s="15"/>
      <c r="BD38" s="15"/>
      <c r="BE38" s="15"/>
      <c r="BF38" s="15"/>
      <c r="BG38" s="26">
        <f t="shared" si="5"/>
        <v>0.9297863352573319</v>
      </c>
      <c r="BH38" s="26">
        <f t="shared" si="6"/>
        <v>1.372804873809653</v>
      </c>
      <c r="BI38" s="15">
        <v>1464</v>
      </c>
      <c r="BJ38" s="26">
        <f t="shared" si="7"/>
        <v>2.2572418826258636</v>
      </c>
      <c r="BK38" s="15" t="s">
        <v>18</v>
      </c>
      <c r="BL38" s="21" t="s">
        <v>14</v>
      </c>
      <c r="BM38" s="15" t="s">
        <v>36</v>
      </c>
      <c r="BN38" s="15">
        <v>8</v>
      </c>
      <c r="BO38" s="15">
        <f t="shared" si="8"/>
        <v>1080</v>
      </c>
      <c r="BP38" s="15">
        <v>1.1599999999999999</v>
      </c>
      <c r="BR38" s="26">
        <f t="shared" si="9"/>
        <v>0.44301853855232104</v>
      </c>
      <c r="BS38" s="15">
        <f t="shared" si="10"/>
        <v>0.46399999999999997</v>
      </c>
      <c r="BT38" s="12">
        <f t="shared" si="11"/>
        <v>32</v>
      </c>
      <c r="BV38" s="98"/>
      <c r="BW38" s="398"/>
      <c r="BX38" s="398"/>
      <c r="BY38" s="398"/>
      <c r="BZ38" s="398"/>
    </row>
    <row r="39" spans="1:78" x14ac:dyDescent="0.25">
      <c r="A39" s="121" t="s">
        <v>45</v>
      </c>
      <c r="B39" s="121" t="s">
        <v>35</v>
      </c>
      <c r="C39" s="15"/>
      <c r="D39" s="15"/>
      <c r="E39" s="15">
        <v>392</v>
      </c>
      <c r="F39" s="15"/>
      <c r="G39" s="15"/>
      <c r="H39" s="15"/>
      <c r="I39" s="15"/>
      <c r="J39" s="15">
        <v>608</v>
      </c>
      <c r="K39" s="15"/>
      <c r="L39" s="15"/>
      <c r="M39" s="15"/>
      <c r="N39" s="15"/>
      <c r="O39" s="15">
        <v>80</v>
      </c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252"/>
      <c r="AY39" s="15"/>
      <c r="AZ39" s="15"/>
      <c r="BA39" s="15"/>
      <c r="BB39" s="15"/>
      <c r="BC39" s="15"/>
      <c r="BD39" s="15"/>
      <c r="BE39" s="15"/>
      <c r="BF39" s="15"/>
      <c r="BG39" s="26">
        <f t="shared" si="5"/>
        <v>1.0670044854707856</v>
      </c>
      <c r="BH39" s="26">
        <f t="shared" si="6"/>
        <v>1.4665331184909738</v>
      </c>
      <c r="BI39" s="15">
        <v>1464</v>
      </c>
      <c r="BJ39" s="26">
        <f t="shared" si="7"/>
        <v>2.5029495193889395</v>
      </c>
      <c r="BK39" s="15" t="s">
        <v>18</v>
      </c>
      <c r="BL39" s="21" t="s">
        <v>14</v>
      </c>
      <c r="BM39" s="15" t="s">
        <v>36</v>
      </c>
      <c r="BN39" s="15">
        <v>8</v>
      </c>
      <c r="BO39" s="15">
        <f t="shared" si="8"/>
        <v>1080</v>
      </c>
      <c r="BP39" s="15">
        <v>1.36</v>
      </c>
      <c r="BR39" s="26">
        <f t="shared" si="9"/>
        <v>0.39952863302018821</v>
      </c>
      <c r="BS39" s="15">
        <f t="shared" si="10"/>
        <v>0.46399999999999997</v>
      </c>
      <c r="BT39" s="12">
        <f t="shared" si="11"/>
        <v>33</v>
      </c>
      <c r="BV39" s="98"/>
      <c r="BW39" s="398"/>
      <c r="BX39" s="398"/>
      <c r="BY39" s="398"/>
      <c r="BZ39" s="398"/>
    </row>
    <row r="40" spans="1:78" x14ac:dyDescent="0.25">
      <c r="A40" s="121" t="s">
        <v>48</v>
      </c>
      <c r="B40" s="121" t="s">
        <v>48</v>
      </c>
      <c r="C40" s="15"/>
      <c r="D40" s="15"/>
      <c r="E40" s="15">
        <v>618</v>
      </c>
      <c r="F40" s="15"/>
      <c r="G40" s="15"/>
      <c r="H40" s="15"/>
      <c r="I40" s="15">
        <v>62</v>
      </c>
      <c r="J40" s="15"/>
      <c r="K40" s="15">
        <v>62</v>
      </c>
      <c r="L40" s="15"/>
      <c r="M40" s="15"/>
      <c r="N40" s="15">
        <v>248</v>
      </c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>
        <v>5</v>
      </c>
      <c r="Z40" s="15"/>
      <c r="AA40" s="15">
        <v>5</v>
      </c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252"/>
      <c r="AY40" s="15"/>
      <c r="AZ40" s="15"/>
      <c r="BA40" s="15"/>
      <c r="BB40" s="15"/>
      <c r="BC40" s="15"/>
      <c r="BD40" s="15"/>
      <c r="BE40" s="15"/>
      <c r="BF40" s="15"/>
      <c r="BG40" s="26">
        <f t="shared" si="5"/>
        <v>0.56863603238752114</v>
      </c>
      <c r="BH40" s="26">
        <f t="shared" si="6"/>
        <v>0.89380970506411461</v>
      </c>
      <c r="BI40" s="15">
        <v>1755</v>
      </c>
      <c r="BJ40" s="26">
        <f t="shared" si="7"/>
        <v>3.075279716739447</v>
      </c>
      <c r="BK40" s="15" t="s">
        <v>13</v>
      </c>
      <c r="BL40" s="21" t="s">
        <v>14</v>
      </c>
      <c r="BM40" s="15"/>
      <c r="BN40" s="15">
        <v>0</v>
      </c>
      <c r="BO40" s="15">
        <f t="shared" ref="BO40:BO73" si="12">SUM(C40:BF40)</f>
        <v>1000</v>
      </c>
      <c r="BP40" s="151">
        <v>1.17</v>
      </c>
      <c r="BR40" s="26">
        <f t="shared" ref="BR40:BR73" si="13">((C40*C$5+D40*D$5+E40*E$5+F40*F$5+G40*G$5+H40*H$5+I40*I$5+J40*J$5+L40*L$5+M40*M$5+N40*N$5+O40*O$5+P40*P$5+Q40*Q$5+R40*R$5+S40*S$5+T40*T$5+U40*U$5+V40*V$5+W40*W$5+X40*X$5+Y40*Y$5+Z40*Z$5+AA40*AA$5+AB40*AB$5+AC40*AC$5+AD40*AD$5+AE40*AE$5+AF40*AF$5+AG40*AG$5+AH40*AH$5+AI40*AI$5+AJ40*AJ$5+AK40*AK$5+AL40*AL$5+AM40*AM$5+AN40*AN$5+AO40*AO$5+AP40*AP$5+AQ40*AQ$5+AR40*AR$5+AS40*AS$5+AT40*AT$5+AU40*AU$5+AV40*AV$5+AW40*AW$5+AX40*AX$5+AY40*AY$5+AZ40*AZ$5+BA40*BA$5+BB40*BB$5+BC40*BC$5+BD40*BD$5+BE40*BE$5+BF40*BF$5)/1000)</f>
        <v>0.32517367267659347</v>
      </c>
      <c r="BS40" s="15">
        <f t="shared" ref="BS40:BS73" si="14">BI40/1000-1</f>
        <v>0.75499999999999989</v>
      </c>
      <c r="BT40" s="12">
        <f t="shared" ref="BT40:BT103" si="15">BT39+1</f>
        <v>34</v>
      </c>
      <c r="BV40" s="98" t="s">
        <v>114</v>
      </c>
      <c r="BW40" s="398"/>
      <c r="BX40" s="398"/>
      <c r="BY40" s="398"/>
      <c r="BZ40" s="398"/>
    </row>
    <row r="41" spans="1:78" x14ac:dyDescent="0.25">
      <c r="A41" s="121" t="s">
        <v>93</v>
      </c>
      <c r="B41" s="121" t="s">
        <v>93</v>
      </c>
      <c r="C41" s="15"/>
      <c r="D41" s="15"/>
      <c r="E41" s="15">
        <v>500</v>
      </c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>
        <v>125</v>
      </c>
      <c r="AP41" s="15"/>
      <c r="AQ41" s="15">
        <v>375</v>
      </c>
      <c r="AR41" s="15"/>
      <c r="AS41" s="15"/>
      <c r="AT41" s="15"/>
      <c r="AU41" s="15"/>
      <c r="AV41" s="15"/>
      <c r="AW41" s="15"/>
      <c r="AX41" s="252"/>
      <c r="AY41" s="15"/>
      <c r="AZ41" s="15"/>
      <c r="BA41" s="15"/>
      <c r="BB41" s="15"/>
      <c r="BC41" s="15"/>
      <c r="BD41" s="15"/>
      <c r="BE41" s="15"/>
      <c r="BF41" s="15"/>
      <c r="BG41" s="26">
        <f t="shared" si="5"/>
        <v>0.5472204917559651</v>
      </c>
      <c r="BH41" s="26">
        <f t="shared" si="6"/>
        <v>0.88412599528912295</v>
      </c>
      <c r="BI41" s="15">
        <v>1750</v>
      </c>
      <c r="BJ41" s="26">
        <f t="shared" si="7"/>
        <v>2.9681913459795446</v>
      </c>
      <c r="BK41" s="15" t="s">
        <v>13</v>
      </c>
      <c r="BL41" s="21" t="s">
        <v>14</v>
      </c>
      <c r="BM41" s="15"/>
      <c r="BN41" s="15">
        <v>0</v>
      </c>
      <c r="BO41" s="15">
        <f t="shared" si="12"/>
        <v>1000</v>
      </c>
      <c r="BP41" s="151">
        <v>1.35</v>
      </c>
      <c r="BR41" s="26">
        <f t="shared" si="13"/>
        <v>0.33690550353315785</v>
      </c>
      <c r="BS41" s="15">
        <f t="shared" si="14"/>
        <v>0.75</v>
      </c>
      <c r="BT41" s="12">
        <f t="shared" si="15"/>
        <v>35</v>
      </c>
      <c r="BV41" s="98"/>
      <c r="BW41" s="398"/>
      <c r="BX41" s="398"/>
      <c r="BY41" s="398"/>
      <c r="BZ41" s="398"/>
    </row>
    <row r="42" spans="1:78" x14ac:dyDescent="0.25">
      <c r="A42" s="378" t="s">
        <v>537</v>
      </c>
      <c r="B42" s="378" t="s">
        <v>537</v>
      </c>
      <c r="C42" s="15">
        <v>350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>
        <v>125</v>
      </c>
      <c r="O42" s="15"/>
      <c r="P42" s="15">
        <v>525</v>
      </c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252"/>
      <c r="AY42" s="15"/>
      <c r="AZ42" s="15"/>
      <c r="BA42" s="15"/>
      <c r="BB42" s="15"/>
      <c r="BC42" s="15"/>
      <c r="BD42" s="15"/>
      <c r="BE42" s="15"/>
      <c r="BF42" s="15"/>
      <c r="BG42" s="26">
        <f t="shared" si="5"/>
        <v>0.43005347060886301</v>
      </c>
      <c r="BH42" s="26">
        <f t="shared" si="6"/>
        <v>0.77720297315699072</v>
      </c>
      <c r="BI42" s="15">
        <v>1840</v>
      </c>
      <c r="BJ42" s="26">
        <f t="shared" si="7"/>
        <v>2.8806032924139453</v>
      </c>
      <c r="BK42" s="15" t="s">
        <v>13</v>
      </c>
      <c r="BL42" s="15">
        <v>30</v>
      </c>
      <c r="BM42" s="15"/>
      <c r="BN42" s="15">
        <v>0</v>
      </c>
      <c r="BO42" s="15">
        <f t="shared" si="12"/>
        <v>1000</v>
      </c>
      <c r="BP42" s="151">
        <v>1.21</v>
      </c>
      <c r="BR42" s="26">
        <f t="shared" si="13"/>
        <v>0.34714950254812771</v>
      </c>
      <c r="BS42" s="15">
        <f t="shared" si="14"/>
        <v>0.84000000000000008</v>
      </c>
      <c r="BT42" s="12">
        <f t="shared" si="15"/>
        <v>36</v>
      </c>
      <c r="BV42" s="98"/>
      <c r="BW42" s="398"/>
      <c r="BX42" s="398"/>
      <c r="BY42" s="398"/>
      <c r="BZ42" s="398"/>
    </row>
    <row r="43" spans="1:78" x14ac:dyDescent="0.25">
      <c r="A43" s="121" t="s">
        <v>50</v>
      </c>
      <c r="B43" s="121" t="s">
        <v>50</v>
      </c>
      <c r="C43" s="15"/>
      <c r="D43" s="15"/>
      <c r="E43" s="15">
        <v>918</v>
      </c>
      <c r="F43" s="15"/>
      <c r="G43" s="15"/>
      <c r="H43" s="15"/>
      <c r="I43" s="15"/>
      <c r="J43" s="15"/>
      <c r="K43" s="15"/>
      <c r="L43" s="15"/>
      <c r="M43" s="15"/>
      <c r="N43" s="15"/>
      <c r="O43" s="15">
        <v>18</v>
      </c>
      <c r="P43" s="15">
        <v>55</v>
      </c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>
        <v>9</v>
      </c>
      <c r="AO43" s="15"/>
      <c r="AP43" s="15"/>
      <c r="AQ43" s="15"/>
      <c r="AR43" s="15"/>
      <c r="AS43" s="15"/>
      <c r="AT43" s="15"/>
      <c r="AU43" s="15"/>
      <c r="AV43" s="15"/>
      <c r="AW43" s="15"/>
      <c r="AX43" s="252"/>
      <c r="AY43" s="15"/>
      <c r="AZ43" s="15"/>
      <c r="BA43" s="15"/>
      <c r="BB43" s="15"/>
      <c r="BC43" s="15"/>
      <c r="BD43" s="15"/>
      <c r="BE43" s="15"/>
      <c r="BF43" s="15"/>
      <c r="BG43" s="26">
        <f t="shared" si="5"/>
        <v>0.57081374681319053</v>
      </c>
      <c r="BH43" s="26">
        <f t="shared" si="6"/>
        <v>0.88746539367976873</v>
      </c>
      <c r="BI43" s="15">
        <v>1770</v>
      </c>
      <c r="BJ43" s="26">
        <f t="shared" si="7"/>
        <v>3.1580445258866821</v>
      </c>
      <c r="BK43" s="15" t="s">
        <v>13</v>
      </c>
      <c r="BL43" s="15">
        <v>30</v>
      </c>
      <c r="BM43" s="15"/>
      <c r="BN43" s="15">
        <v>0</v>
      </c>
      <c r="BO43" s="15">
        <f t="shared" si="12"/>
        <v>1000</v>
      </c>
      <c r="BP43" s="151">
        <v>1.42</v>
      </c>
      <c r="BR43" s="26">
        <f t="shared" si="13"/>
        <v>0.31665164686657815</v>
      </c>
      <c r="BS43" s="15">
        <f t="shared" si="14"/>
        <v>0.77</v>
      </c>
      <c r="BT43" s="12">
        <f t="shared" si="15"/>
        <v>37</v>
      </c>
      <c r="BV43" s="98"/>
      <c r="BW43" s="398"/>
      <c r="BX43" s="398"/>
      <c r="BY43" s="398"/>
      <c r="BZ43" s="398"/>
    </row>
    <row r="44" spans="1:78" x14ac:dyDescent="0.25">
      <c r="A44" s="121" t="s">
        <v>51</v>
      </c>
      <c r="B44" s="121" t="s">
        <v>51</v>
      </c>
      <c r="C44" s="15"/>
      <c r="D44" s="15"/>
      <c r="E44" s="15">
        <v>593</v>
      </c>
      <c r="F44" s="15"/>
      <c r="G44" s="15"/>
      <c r="H44" s="15"/>
      <c r="I44" s="15">
        <v>327</v>
      </c>
      <c r="J44" s="15"/>
      <c r="K44" s="15">
        <v>30</v>
      </c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>
        <v>5</v>
      </c>
      <c r="Z44" s="15"/>
      <c r="AA44" s="15">
        <v>5</v>
      </c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>
        <v>40</v>
      </c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252"/>
      <c r="AY44" s="15"/>
      <c r="AZ44" s="15"/>
      <c r="BA44" s="15"/>
      <c r="BB44" s="15"/>
      <c r="BC44" s="15"/>
      <c r="BD44" s="15"/>
      <c r="BE44" s="15"/>
      <c r="BF44" s="15"/>
      <c r="BG44" s="26">
        <f t="shared" si="5"/>
        <v>0.45366768428030058</v>
      </c>
      <c r="BH44" s="26">
        <f t="shared" si="6"/>
        <v>0.81666723835971944</v>
      </c>
      <c r="BI44" s="15">
        <v>1780</v>
      </c>
      <c r="BJ44" s="26">
        <f t="shared" si="7"/>
        <v>2.7548243207516863</v>
      </c>
      <c r="BK44" s="15" t="s">
        <v>13</v>
      </c>
      <c r="BL44" s="21">
        <v>30</v>
      </c>
      <c r="BM44" s="15"/>
      <c r="BN44" s="15">
        <v>0</v>
      </c>
      <c r="BO44" s="15">
        <f t="shared" si="12"/>
        <v>1000</v>
      </c>
      <c r="BP44" s="151">
        <v>1.22</v>
      </c>
      <c r="BR44" s="26">
        <f t="shared" si="13"/>
        <v>0.36299955407941886</v>
      </c>
      <c r="BS44" s="15">
        <f t="shared" si="14"/>
        <v>0.78</v>
      </c>
      <c r="BT44" s="12">
        <f t="shared" si="15"/>
        <v>38</v>
      </c>
      <c r="BV44" s="98" t="s">
        <v>114</v>
      </c>
      <c r="BW44" s="398"/>
      <c r="BX44" s="398"/>
      <c r="BY44" s="398"/>
      <c r="BZ44" s="398"/>
    </row>
    <row r="45" spans="1:78" x14ac:dyDescent="0.25">
      <c r="A45" s="121" t="s">
        <v>428</v>
      </c>
      <c r="B45" s="121" t="s">
        <v>428</v>
      </c>
      <c r="C45" s="15"/>
      <c r="D45" s="15"/>
      <c r="E45" s="15">
        <v>593</v>
      </c>
      <c r="F45" s="15"/>
      <c r="G45" s="15"/>
      <c r="H45" s="15"/>
      <c r="I45" s="15"/>
      <c r="J45" s="15">
        <v>327</v>
      </c>
      <c r="K45" s="15">
        <v>30</v>
      </c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>
        <v>5</v>
      </c>
      <c r="Z45" s="15"/>
      <c r="AA45" s="15">
        <v>5</v>
      </c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>
        <v>40</v>
      </c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252"/>
      <c r="AY45" s="15"/>
      <c r="AZ45" s="15"/>
      <c r="BA45" s="15"/>
      <c r="BB45" s="15"/>
      <c r="BC45" s="15"/>
      <c r="BD45" s="15"/>
      <c r="BE45" s="15"/>
      <c r="BF45" s="15"/>
      <c r="BG45" s="26">
        <f t="shared" si="5"/>
        <v>0.51629708411723418</v>
      </c>
      <c r="BH45" s="26">
        <f t="shared" si="6"/>
        <v>0.85185229444788435</v>
      </c>
      <c r="BI45" s="15">
        <v>1780</v>
      </c>
      <c r="BJ45" s="26">
        <f t="shared" si="7"/>
        <v>2.9801355163420578</v>
      </c>
      <c r="BK45" s="15" t="s">
        <v>18</v>
      </c>
      <c r="BL45" s="15">
        <v>31</v>
      </c>
      <c r="BM45" s="15"/>
      <c r="BN45" s="15">
        <v>0</v>
      </c>
      <c r="BO45" s="15">
        <f t="shared" si="12"/>
        <v>1000</v>
      </c>
      <c r="BP45" s="151">
        <v>1.28</v>
      </c>
      <c r="BR45" s="26">
        <f t="shared" si="13"/>
        <v>0.33555521033065022</v>
      </c>
      <c r="BS45" s="15">
        <f t="shared" si="14"/>
        <v>0.78</v>
      </c>
      <c r="BT45" s="12">
        <f t="shared" si="15"/>
        <v>39</v>
      </c>
      <c r="BV45" s="98" t="s">
        <v>114</v>
      </c>
      <c r="BW45" s="398"/>
      <c r="BX45" s="398"/>
      <c r="BY45" s="398"/>
      <c r="BZ45" s="398"/>
    </row>
    <row r="46" spans="1:78" x14ac:dyDescent="0.25">
      <c r="A46" s="121" t="s">
        <v>53</v>
      </c>
      <c r="B46" s="121" t="s">
        <v>53</v>
      </c>
      <c r="C46" s="15"/>
      <c r="D46" s="15"/>
      <c r="E46" s="15">
        <v>915.5</v>
      </c>
      <c r="F46" s="15"/>
      <c r="G46" s="15"/>
      <c r="H46" s="15"/>
      <c r="I46" s="15"/>
      <c r="J46" s="15"/>
      <c r="K46" s="15"/>
      <c r="L46" s="15"/>
      <c r="M46" s="15"/>
      <c r="N46" s="15"/>
      <c r="O46" s="15">
        <v>18</v>
      </c>
      <c r="P46" s="15">
        <v>55</v>
      </c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>
        <v>2.5</v>
      </c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>
        <v>9</v>
      </c>
      <c r="AO46" s="15"/>
      <c r="AP46" s="15"/>
      <c r="AQ46" s="15"/>
      <c r="AR46" s="15"/>
      <c r="AS46" s="15"/>
      <c r="AT46" s="15"/>
      <c r="AU46" s="15"/>
      <c r="AV46" s="15"/>
      <c r="AW46" s="15"/>
      <c r="AX46" s="252"/>
      <c r="AY46" s="15"/>
      <c r="AZ46" s="15"/>
      <c r="BA46" s="15"/>
      <c r="BB46" s="15"/>
      <c r="BC46" s="15"/>
      <c r="BD46" s="15"/>
      <c r="BE46" s="15"/>
      <c r="BF46" s="15"/>
      <c r="BG46" s="26">
        <f t="shared" si="5"/>
        <v>0.56814437546484176</v>
      </c>
      <c r="BH46" s="26">
        <f t="shared" si="6"/>
        <v>0.8859572742739219</v>
      </c>
      <c r="BI46" s="15">
        <v>1770</v>
      </c>
      <c r="BJ46" s="26">
        <f t="shared" si="7"/>
        <v>3.1465053927868749</v>
      </c>
      <c r="BK46" s="15" t="s">
        <v>13</v>
      </c>
      <c r="BL46" s="21" t="s">
        <v>14</v>
      </c>
      <c r="BM46" s="15"/>
      <c r="BN46" s="15">
        <v>0</v>
      </c>
      <c r="BO46" s="15">
        <f t="shared" si="12"/>
        <v>1000</v>
      </c>
      <c r="BP46" s="151">
        <v>1.42</v>
      </c>
      <c r="BR46" s="26">
        <f t="shared" si="13"/>
        <v>0.31781289880908015</v>
      </c>
      <c r="BS46" s="15">
        <f t="shared" si="14"/>
        <v>0.77</v>
      </c>
      <c r="BT46" s="12">
        <f t="shared" si="15"/>
        <v>40</v>
      </c>
      <c r="BV46" s="98" t="s">
        <v>114</v>
      </c>
      <c r="BW46" s="398"/>
      <c r="BX46" s="398"/>
      <c r="BY46" s="398"/>
      <c r="BZ46" s="398"/>
    </row>
    <row r="47" spans="1:78" x14ac:dyDescent="0.25">
      <c r="A47" s="121" t="s">
        <v>1784</v>
      </c>
      <c r="B47" s="121" t="s">
        <v>1784</v>
      </c>
      <c r="C47" s="15"/>
      <c r="D47" s="15"/>
      <c r="E47" s="15">
        <v>520</v>
      </c>
      <c r="F47" s="15"/>
      <c r="G47" s="15"/>
      <c r="H47" s="15"/>
      <c r="I47" s="15">
        <v>315</v>
      </c>
      <c r="J47" s="15"/>
      <c r="K47" s="15">
        <v>100</v>
      </c>
      <c r="L47" s="15"/>
      <c r="M47" s="15"/>
      <c r="N47" s="15"/>
      <c r="O47" s="15">
        <v>21</v>
      </c>
      <c r="P47" s="15">
        <v>14</v>
      </c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>
        <v>30</v>
      </c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252"/>
      <c r="AY47" s="15"/>
      <c r="AZ47" s="15"/>
      <c r="BA47" s="15"/>
      <c r="BB47" s="15"/>
      <c r="BC47" s="15"/>
      <c r="BD47" s="15"/>
      <c r="BE47" s="15"/>
      <c r="BF47" s="15"/>
      <c r="BG47" s="26">
        <v>0.66800000000000004</v>
      </c>
      <c r="BH47" s="26">
        <v>1.0429999999999999</v>
      </c>
      <c r="BI47" s="15">
        <v>1600</v>
      </c>
      <c r="BJ47" s="15">
        <v>2.6230000000000002</v>
      </c>
      <c r="BK47" s="15" t="s">
        <v>13</v>
      </c>
      <c r="BL47" s="15">
        <v>4</v>
      </c>
      <c r="BM47" s="15"/>
      <c r="BN47" s="15">
        <v>0</v>
      </c>
      <c r="BO47" s="15">
        <f t="shared" si="12"/>
        <v>1000</v>
      </c>
      <c r="BP47" s="15">
        <v>0.92</v>
      </c>
      <c r="BR47" s="26">
        <f t="shared" si="13"/>
        <v>0.33744667821178703</v>
      </c>
      <c r="BS47" s="15">
        <f t="shared" si="14"/>
        <v>0.60000000000000009</v>
      </c>
      <c r="BT47" s="12">
        <f t="shared" si="15"/>
        <v>41</v>
      </c>
      <c r="BV47" s="98"/>
      <c r="BW47" s="398"/>
      <c r="BX47" s="398"/>
      <c r="BY47" s="398"/>
      <c r="BZ47" s="398"/>
    </row>
    <row r="48" spans="1:78" x14ac:dyDescent="0.25">
      <c r="A48" s="121" t="s">
        <v>1785</v>
      </c>
      <c r="B48" s="121" t="s">
        <v>1785</v>
      </c>
      <c r="C48" s="15"/>
      <c r="D48" s="15"/>
      <c r="E48" s="15">
        <v>530</v>
      </c>
      <c r="F48" s="15"/>
      <c r="G48" s="15"/>
      <c r="H48" s="15"/>
      <c r="I48" s="15">
        <v>325</v>
      </c>
      <c r="J48" s="15"/>
      <c r="K48" s="15">
        <v>100</v>
      </c>
      <c r="L48" s="15"/>
      <c r="M48" s="15"/>
      <c r="N48" s="15"/>
      <c r="O48" s="15">
        <v>21</v>
      </c>
      <c r="P48" s="15">
        <v>14</v>
      </c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>
        <v>10</v>
      </c>
      <c r="AO48" s="15"/>
      <c r="AP48" s="15"/>
      <c r="AQ48" s="15"/>
      <c r="AR48" s="15"/>
      <c r="AS48" s="15"/>
      <c r="AT48" s="15"/>
      <c r="AU48" s="15"/>
      <c r="AV48" s="15"/>
      <c r="AW48" s="15"/>
      <c r="AX48" s="252"/>
      <c r="AY48" s="15"/>
      <c r="AZ48" s="15"/>
      <c r="BA48" s="15"/>
      <c r="BB48" s="15"/>
      <c r="BC48" s="15"/>
      <c r="BD48" s="15"/>
      <c r="BE48" s="15"/>
      <c r="BF48" s="15"/>
      <c r="BG48" s="26">
        <v>0.66</v>
      </c>
      <c r="BH48" s="26">
        <v>1.0369999999999999</v>
      </c>
      <c r="BI48" s="15">
        <v>1600</v>
      </c>
      <c r="BJ48" s="15">
        <v>2.6</v>
      </c>
      <c r="BK48" s="15" t="s">
        <v>13</v>
      </c>
      <c r="BL48" s="15">
        <v>4</v>
      </c>
      <c r="BM48" s="15"/>
      <c r="BN48" s="15">
        <v>0</v>
      </c>
      <c r="BO48" s="15">
        <f t="shared" si="12"/>
        <v>1000</v>
      </c>
      <c r="BP48" s="15">
        <v>0.92</v>
      </c>
      <c r="BR48" s="26">
        <f t="shared" si="13"/>
        <v>0.34072412122934098</v>
      </c>
      <c r="BS48" s="15">
        <f t="shared" si="14"/>
        <v>0.60000000000000009</v>
      </c>
      <c r="BT48" s="12">
        <f t="shared" si="15"/>
        <v>42</v>
      </c>
      <c r="BV48" s="98"/>
      <c r="BW48" s="398"/>
      <c r="BX48" s="398"/>
      <c r="BY48" s="398"/>
      <c r="BZ48" s="398"/>
    </row>
    <row r="49" spans="1:78" s="253" customFormat="1" x14ac:dyDescent="0.25">
      <c r="A49" s="385" t="s">
        <v>1831</v>
      </c>
      <c r="B49" s="385" t="s">
        <v>1831</v>
      </c>
      <c r="C49" s="252"/>
      <c r="D49" s="252"/>
      <c r="E49" s="252">
        <v>520</v>
      </c>
      <c r="F49" s="252"/>
      <c r="G49" s="252"/>
      <c r="H49" s="252"/>
      <c r="I49" s="252">
        <v>315</v>
      </c>
      <c r="J49" s="252"/>
      <c r="K49" s="252">
        <v>100</v>
      </c>
      <c r="L49" s="252"/>
      <c r="M49" s="252"/>
      <c r="N49" s="252"/>
      <c r="O49" s="252">
        <v>21</v>
      </c>
      <c r="P49" s="252">
        <v>14</v>
      </c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>
        <v>30</v>
      </c>
      <c r="AN49" s="252"/>
      <c r="AO49" s="252"/>
      <c r="AP49" s="252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386">
        <v>0.72399999999999998</v>
      </c>
      <c r="BH49" s="386">
        <v>1.0780000000000001</v>
      </c>
      <c r="BI49" s="252">
        <v>1600</v>
      </c>
      <c r="BJ49" s="252">
        <v>2.8290000000000002</v>
      </c>
      <c r="BK49" s="252" t="s">
        <v>13</v>
      </c>
      <c r="BL49" s="252">
        <v>4</v>
      </c>
      <c r="BM49" s="252"/>
      <c r="BN49" s="252">
        <v>0</v>
      </c>
      <c r="BO49" s="252">
        <f t="shared" ref="BO49:BO50" si="16">SUM(C49:BF49)</f>
        <v>1000</v>
      </c>
      <c r="BP49" s="252">
        <v>0.9</v>
      </c>
      <c r="BR49" s="386">
        <f t="shared" ref="BR49:BR50" si="17">((C49*C$5+D49*D$5+E49*E$5+F49*F$5+G49*G$5+H49*H$5+I49*I$5+J49*J$5+L49*L$5+M49*M$5+N49*N$5+O49*O$5+P49*P$5+Q49*Q$5+R49*R$5+S49*S$5+T49*T$5+U49*U$5+V49*V$5+W49*W$5+X49*X$5+Y49*Y$5+Z49*Z$5+AA49*AA$5+AB49*AB$5+AC49*AC$5+AD49*AD$5+AE49*AE$5+AF49*AF$5+AG49*AG$5+AH49*AH$5+AI49*AI$5+AJ49*AJ$5+AK49*AK$5+AL49*AL$5+AM49*AM$5+AN49*AN$5+AO49*AO$5+AP49*AP$5+AQ49*AQ$5+AR49*AR$5+AS49*AS$5+AT49*AT$5+AU49*AU$5+AV49*AV$5+AW49*AW$5+AX49*AX$5+AY49*AY$5+AZ49*AZ$5+BA49*BA$5+BB49*BB$5+BC49*BC$5+BD49*BD$5+BE49*BE$5+BF49*BF$5)/1000)</f>
        <v>0.33744667821178703</v>
      </c>
      <c r="BS49" s="252">
        <f t="shared" ref="BS49:BS50" si="18">BI49/1000-1</f>
        <v>0.60000000000000009</v>
      </c>
      <c r="BT49" s="387">
        <f t="shared" si="15"/>
        <v>43</v>
      </c>
      <c r="BV49" s="401"/>
      <c r="BW49" s="252"/>
      <c r="BX49" s="252"/>
      <c r="BY49" s="252"/>
      <c r="BZ49" s="252"/>
    </row>
    <row r="50" spans="1:78" s="253" customFormat="1" x14ac:dyDescent="0.25">
      <c r="A50" s="385" t="s">
        <v>1832</v>
      </c>
      <c r="B50" s="385" t="s">
        <v>1832</v>
      </c>
      <c r="C50" s="252"/>
      <c r="D50" s="252"/>
      <c r="E50" s="252">
        <v>530</v>
      </c>
      <c r="F50" s="252"/>
      <c r="G50" s="252"/>
      <c r="H50" s="252"/>
      <c r="I50" s="252">
        <v>325</v>
      </c>
      <c r="J50" s="252"/>
      <c r="K50" s="252">
        <v>100</v>
      </c>
      <c r="L50" s="252"/>
      <c r="M50" s="252"/>
      <c r="N50" s="252"/>
      <c r="O50" s="252">
        <v>21</v>
      </c>
      <c r="P50" s="252">
        <v>14</v>
      </c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>
        <v>10</v>
      </c>
      <c r="AO50" s="252"/>
      <c r="AP50" s="252"/>
      <c r="AQ50" s="252"/>
      <c r="AR50" s="252"/>
      <c r="AS50" s="252"/>
      <c r="AT50" s="252"/>
      <c r="AU50" s="252"/>
      <c r="AV50" s="252"/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386">
        <v>0.71699999999999997</v>
      </c>
      <c r="BH50" s="386">
        <v>1.073</v>
      </c>
      <c r="BI50" s="252">
        <v>1600</v>
      </c>
      <c r="BJ50" s="252">
        <v>2.8090000000000002</v>
      </c>
      <c r="BK50" s="252" t="s">
        <v>13</v>
      </c>
      <c r="BL50" s="252">
        <v>4</v>
      </c>
      <c r="BM50" s="252"/>
      <c r="BN50" s="252">
        <v>0</v>
      </c>
      <c r="BO50" s="252">
        <f t="shared" si="16"/>
        <v>1000</v>
      </c>
      <c r="BP50" s="252">
        <v>0.9</v>
      </c>
      <c r="BR50" s="386">
        <f t="shared" si="17"/>
        <v>0.34072412122934098</v>
      </c>
      <c r="BS50" s="252">
        <f t="shared" si="18"/>
        <v>0.60000000000000009</v>
      </c>
      <c r="BT50" s="387">
        <f t="shared" si="15"/>
        <v>44</v>
      </c>
      <c r="BV50" s="401"/>
      <c r="BW50" s="252"/>
      <c r="BX50" s="252"/>
      <c r="BY50" s="252"/>
      <c r="BZ50" s="252"/>
    </row>
    <row r="51" spans="1:78" x14ac:dyDescent="0.25">
      <c r="A51" s="121" t="s">
        <v>227</v>
      </c>
      <c r="B51" s="121" t="s">
        <v>227</v>
      </c>
      <c r="C51" s="15"/>
      <c r="D51" s="15"/>
      <c r="E51" s="15">
        <v>369</v>
      </c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>
        <v>582</v>
      </c>
      <c r="Q51" s="15"/>
      <c r="R51" s="15"/>
      <c r="S51" s="15"/>
      <c r="T51" s="15"/>
      <c r="U51" s="15"/>
      <c r="V51" s="15"/>
      <c r="W51" s="15"/>
      <c r="X51" s="15">
        <v>5</v>
      </c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>
        <v>1</v>
      </c>
      <c r="AK51" s="15">
        <v>43</v>
      </c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252"/>
      <c r="AY51" s="15"/>
      <c r="AZ51" s="15"/>
      <c r="BA51" s="15"/>
      <c r="BB51" s="15"/>
      <c r="BC51" s="15"/>
      <c r="BD51" s="15"/>
      <c r="BE51" s="15"/>
      <c r="BF51" s="15"/>
      <c r="BG51" s="26">
        <f t="shared" ref="BG51:BG60" si="19">((BO51-(BI51*BR51))/BS51)/1000</f>
        <v>0.41820451910631951</v>
      </c>
      <c r="BH51" s="26">
        <f t="shared" ref="BH51:BH60" si="20">BR51+BG51</f>
        <v>0.76659703735476725</v>
      </c>
      <c r="BI51" s="15">
        <v>1850</v>
      </c>
      <c r="BJ51" s="26">
        <f t="shared" ref="BJ51:BJ60" si="21">1/(BH51-BG51)</f>
        <v>2.8703257033977807</v>
      </c>
      <c r="BK51" s="15" t="s">
        <v>13</v>
      </c>
      <c r="BL51" s="21" t="s">
        <v>14</v>
      </c>
      <c r="BM51" s="15"/>
      <c r="BN51" s="15">
        <v>0</v>
      </c>
      <c r="BO51" s="15">
        <f t="shared" si="12"/>
        <v>1000</v>
      </c>
      <c r="BP51" s="151">
        <v>1.52</v>
      </c>
      <c r="BR51" s="26">
        <f t="shared" si="13"/>
        <v>0.3483925182484478</v>
      </c>
      <c r="BS51" s="15">
        <f t="shared" si="14"/>
        <v>0.85000000000000009</v>
      </c>
      <c r="BT51" s="12">
        <f t="shared" si="15"/>
        <v>45</v>
      </c>
      <c r="BV51" s="98" t="s">
        <v>147</v>
      </c>
      <c r="BW51" s="98" t="s">
        <v>121</v>
      </c>
      <c r="BX51" s="98" t="s">
        <v>117</v>
      </c>
      <c r="BY51" s="98" t="s">
        <v>154</v>
      </c>
      <c r="BZ51" s="98" t="s">
        <v>119</v>
      </c>
    </row>
    <row r="52" spans="1:78" x14ac:dyDescent="0.25">
      <c r="A52" s="121" t="s">
        <v>1776</v>
      </c>
      <c r="B52" s="121" t="s">
        <v>1776</v>
      </c>
      <c r="C52" s="15"/>
      <c r="D52" s="15"/>
      <c r="E52" s="15"/>
      <c r="F52" s="15"/>
      <c r="G52" s="15">
        <v>979</v>
      </c>
      <c r="H52" s="15"/>
      <c r="I52" s="15"/>
      <c r="J52" s="15"/>
      <c r="K52" s="15"/>
      <c r="L52" s="15"/>
      <c r="M52" s="15"/>
      <c r="N52" s="15"/>
      <c r="O52" s="15"/>
      <c r="P52" s="15">
        <v>10</v>
      </c>
      <c r="Q52" s="15"/>
      <c r="R52" s="15"/>
      <c r="S52" s="15"/>
      <c r="T52" s="15"/>
      <c r="U52" s="15"/>
      <c r="V52" s="15"/>
      <c r="W52" s="15"/>
      <c r="X52" s="15"/>
      <c r="Y52" s="15"/>
      <c r="Z52" s="15">
        <v>1</v>
      </c>
      <c r="AA52" s="15">
        <v>3</v>
      </c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>
        <v>7</v>
      </c>
      <c r="AO52" s="15"/>
      <c r="AP52" s="15"/>
      <c r="AQ52" s="15"/>
      <c r="AR52" s="15"/>
      <c r="AS52" s="15"/>
      <c r="AT52" s="15"/>
      <c r="AU52" s="15"/>
      <c r="AV52" s="15"/>
      <c r="AW52" s="15"/>
      <c r="AX52" s="252"/>
      <c r="AY52" s="15"/>
      <c r="AZ52" s="15"/>
      <c r="BA52" s="15"/>
      <c r="BB52" s="15"/>
      <c r="BC52" s="15"/>
      <c r="BD52" s="15"/>
      <c r="BE52" s="15"/>
      <c r="BF52" s="15"/>
      <c r="BG52" s="26">
        <f t="shared" si="19"/>
        <v>0.49777616196997676</v>
      </c>
      <c r="BH52" s="26">
        <f t="shared" si="20"/>
        <v>0.84144728200560492</v>
      </c>
      <c r="BI52" s="15">
        <v>1780</v>
      </c>
      <c r="BJ52" s="26">
        <f t="shared" si="21"/>
        <v>2.909758608451972</v>
      </c>
      <c r="BK52" s="15" t="s">
        <v>18</v>
      </c>
      <c r="BL52" s="15">
        <v>31</v>
      </c>
      <c r="BM52" s="15"/>
      <c r="BN52" s="15">
        <v>0</v>
      </c>
      <c r="BO52" s="15">
        <f t="shared" si="12"/>
        <v>1000</v>
      </c>
      <c r="BP52" s="151">
        <v>1.24</v>
      </c>
      <c r="BR52" s="26">
        <f t="shared" si="13"/>
        <v>0.34367112003562811</v>
      </c>
      <c r="BS52" s="15">
        <f t="shared" si="14"/>
        <v>0.78</v>
      </c>
      <c r="BT52" s="12">
        <f t="shared" si="15"/>
        <v>46</v>
      </c>
      <c r="BV52" s="98" t="s">
        <v>114</v>
      </c>
      <c r="BW52" s="398"/>
      <c r="BX52" s="398"/>
      <c r="BY52" s="398"/>
      <c r="BZ52" s="398"/>
    </row>
    <row r="53" spans="1:78" x14ac:dyDescent="0.25">
      <c r="A53" s="121" t="s">
        <v>429</v>
      </c>
      <c r="B53" s="121" t="s">
        <v>429</v>
      </c>
      <c r="C53" s="15"/>
      <c r="D53" s="15"/>
      <c r="E53" s="15"/>
      <c r="F53" s="15"/>
      <c r="G53" s="15">
        <v>758</v>
      </c>
      <c r="H53" s="15"/>
      <c r="I53" s="15"/>
      <c r="J53" s="15">
        <v>197.5</v>
      </c>
      <c r="K53" s="15"/>
      <c r="L53" s="15"/>
      <c r="M53" s="15"/>
      <c r="N53" s="15"/>
      <c r="O53" s="15">
        <v>11</v>
      </c>
      <c r="P53" s="15">
        <v>11</v>
      </c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>
        <v>22.5</v>
      </c>
      <c r="AT53" s="15"/>
      <c r="AU53" s="15"/>
      <c r="AV53" s="15"/>
      <c r="AW53" s="15"/>
      <c r="AX53" s="252"/>
      <c r="AY53" s="15"/>
      <c r="AZ53" s="15"/>
      <c r="BA53" s="15"/>
      <c r="BB53" s="15"/>
      <c r="BC53" s="15"/>
      <c r="BD53" s="15"/>
      <c r="BE53" s="15"/>
      <c r="BF53" s="15"/>
      <c r="BG53" s="26">
        <f t="shared" si="19"/>
        <v>0.92484159052079762</v>
      </c>
      <c r="BH53" s="26">
        <f t="shared" si="20"/>
        <v>1.283227727013865</v>
      </c>
      <c r="BI53" s="15">
        <v>1500</v>
      </c>
      <c r="BJ53" s="26">
        <f t="shared" si="21"/>
        <v>2.7902865043423462</v>
      </c>
      <c r="BK53" s="15" t="s">
        <v>13</v>
      </c>
      <c r="BL53" s="21" t="s">
        <v>54</v>
      </c>
      <c r="BM53" s="15"/>
      <c r="BN53" s="15">
        <v>0</v>
      </c>
      <c r="BO53" s="15">
        <f t="shared" si="12"/>
        <v>1000</v>
      </c>
      <c r="BP53" s="151">
        <v>1.2</v>
      </c>
      <c r="BR53" s="26">
        <f t="shared" si="13"/>
        <v>0.35838613649306744</v>
      </c>
      <c r="BS53" s="15">
        <f t="shared" si="14"/>
        <v>0.5</v>
      </c>
      <c r="BT53" s="12">
        <f t="shared" si="15"/>
        <v>47</v>
      </c>
      <c r="BV53" s="98" t="s">
        <v>114</v>
      </c>
      <c r="BW53" s="398"/>
      <c r="BX53" s="398"/>
      <c r="BY53" s="398"/>
      <c r="BZ53" s="398"/>
    </row>
    <row r="54" spans="1:78" x14ac:dyDescent="0.25">
      <c r="A54" s="378" t="s">
        <v>231</v>
      </c>
      <c r="B54" s="378" t="s">
        <v>231</v>
      </c>
      <c r="C54" s="15"/>
      <c r="D54" s="15"/>
      <c r="E54" s="15"/>
      <c r="F54" s="15"/>
      <c r="G54" s="15">
        <v>727.5</v>
      </c>
      <c r="H54" s="15"/>
      <c r="I54" s="15">
        <v>218</v>
      </c>
      <c r="J54" s="15"/>
      <c r="K54" s="15"/>
      <c r="L54" s="15"/>
      <c r="M54" s="15"/>
      <c r="N54" s="15"/>
      <c r="O54" s="15">
        <v>8</v>
      </c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>
        <v>3</v>
      </c>
      <c r="AB54" s="15"/>
      <c r="AC54" s="15"/>
      <c r="AD54" s="15"/>
      <c r="AE54" s="15"/>
      <c r="AF54" s="15">
        <v>14.5</v>
      </c>
      <c r="AG54" s="15"/>
      <c r="AH54" s="15">
        <v>29</v>
      </c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252"/>
      <c r="AY54" s="15"/>
      <c r="AZ54" s="15"/>
      <c r="BA54" s="15"/>
      <c r="BB54" s="15"/>
      <c r="BC54" s="15"/>
      <c r="BD54" s="15"/>
      <c r="BE54" s="15"/>
      <c r="BF54" s="15"/>
      <c r="BG54" s="26">
        <f t="shared" si="19"/>
        <v>0.8639855381197401</v>
      </c>
      <c r="BH54" s="26">
        <f t="shared" si="20"/>
        <v>1.2426570254131601</v>
      </c>
      <c r="BI54" s="15">
        <v>1500</v>
      </c>
      <c r="BJ54" s="26">
        <f t="shared" si="21"/>
        <v>2.640811451497358</v>
      </c>
      <c r="BK54" s="15" t="s">
        <v>13</v>
      </c>
      <c r="BL54" s="21" t="s">
        <v>14</v>
      </c>
      <c r="BM54" s="15"/>
      <c r="BN54" s="15">
        <v>0</v>
      </c>
      <c r="BO54" s="15">
        <f t="shared" si="12"/>
        <v>1000</v>
      </c>
      <c r="BP54" s="151">
        <v>1.29</v>
      </c>
      <c r="BR54" s="26">
        <f t="shared" si="13"/>
        <v>0.37867148729341998</v>
      </c>
      <c r="BS54" s="15">
        <f t="shared" si="14"/>
        <v>0.5</v>
      </c>
      <c r="BT54" s="12">
        <f t="shared" si="15"/>
        <v>48</v>
      </c>
      <c r="BV54" s="98" t="s">
        <v>114</v>
      </c>
      <c r="BW54" s="398"/>
      <c r="BX54" s="398"/>
      <c r="BY54" s="398"/>
      <c r="BZ54" s="398"/>
    </row>
    <row r="55" spans="1:78" x14ac:dyDescent="0.25">
      <c r="A55" s="121" t="s">
        <v>1774</v>
      </c>
      <c r="B55" s="121" t="s">
        <v>1774</v>
      </c>
      <c r="C55" s="15"/>
      <c r="D55" s="15"/>
      <c r="E55" s="15"/>
      <c r="F55" s="15"/>
      <c r="G55" s="15">
        <v>760</v>
      </c>
      <c r="H55" s="15"/>
      <c r="I55" s="15">
        <v>225</v>
      </c>
      <c r="J55" s="15"/>
      <c r="K55" s="15"/>
      <c r="L55" s="15"/>
      <c r="M55" s="15"/>
      <c r="N55" s="15"/>
      <c r="O55" s="15"/>
      <c r="P55" s="15">
        <v>10</v>
      </c>
      <c r="Q55" s="15"/>
      <c r="R55" s="15"/>
      <c r="S55" s="15"/>
      <c r="T55" s="15"/>
      <c r="U55" s="15"/>
      <c r="V55" s="15"/>
      <c r="W55" s="15"/>
      <c r="X55" s="15"/>
      <c r="Y55" s="15"/>
      <c r="Z55" s="15">
        <v>1</v>
      </c>
      <c r="AA55" s="15">
        <v>4</v>
      </c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252"/>
      <c r="AY55" s="15"/>
      <c r="AZ55" s="15"/>
      <c r="BA55" s="15"/>
      <c r="BB55" s="15"/>
      <c r="BC55" s="15"/>
      <c r="BD55" s="15"/>
      <c r="BE55" s="15"/>
      <c r="BF55" s="15"/>
      <c r="BG55" s="26">
        <f t="shared" si="19"/>
        <v>0.86872547916581921</v>
      </c>
      <c r="BH55" s="26">
        <f t="shared" si="20"/>
        <v>1.2458169861105461</v>
      </c>
      <c r="BI55" s="15">
        <v>1500</v>
      </c>
      <c r="BJ55" s="26">
        <f t="shared" si="21"/>
        <v>2.6518762199186239</v>
      </c>
      <c r="BK55" s="15" t="s">
        <v>18</v>
      </c>
      <c r="BL55" s="15">
        <v>42</v>
      </c>
      <c r="BM55" s="15"/>
      <c r="BN55" s="15">
        <v>0</v>
      </c>
      <c r="BO55" s="15">
        <f t="shared" si="12"/>
        <v>1000</v>
      </c>
      <c r="BP55" s="151">
        <v>1.19</v>
      </c>
      <c r="BR55" s="26">
        <f t="shared" si="13"/>
        <v>0.37709150694472693</v>
      </c>
      <c r="BS55" s="15">
        <f t="shared" si="14"/>
        <v>0.5</v>
      </c>
      <c r="BT55" s="12">
        <f t="shared" si="15"/>
        <v>49</v>
      </c>
      <c r="BV55" s="98" t="s">
        <v>114</v>
      </c>
      <c r="BW55" s="398"/>
      <c r="BX55" s="398"/>
      <c r="BY55" s="398"/>
      <c r="BZ55" s="398"/>
    </row>
    <row r="56" spans="1:78" x14ac:dyDescent="0.25">
      <c r="A56" s="121" t="s">
        <v>1775</v>
      </c>
      <c r="B56" s="121" t="s">
        <v>1775</v>
      </c>
      <c r="C56" s="15"/>
      <c r="D56" s="15"/>
      <c r="E56" s="15"/>
      <c r="F56" s="15"/>
      <c r="G56" s="15">
        <v>760</v>
      </c>
      <c r="H56" s="15"/>
      <c r="I56" s="15"/>
      <c r="J56" s="15">
        <v>225</v>
      </c>
      <c r="K56" s="15"/>
      <c r="L56" s="15"/>
      <c r="M56" s="15"/>
      <c r="N56" s="15"/>
      <c r="O56" s="15"/>
      <c r="P56" s="15">
        <v>10</v>
      </c>
      <c r="Q56" s="15"/>
      <c r="R56" s="15"/>
      <c r="S56" s="15"/>
      <c r="T56" s="15"/>
      <c r="U56" s="15"/>
      <c r="V56" s="15"/>
      <c r="W56" s="15"/>
      <c r="X56" s="15"/>
      <c r="Y56" s="15"/>
      <c r="Z56" s="15">
        <v>1</v>
      </c>
      <c r="AA56" s="15">
        <v>4</v>
      </c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252"/>
      <c r="AY56" s="15"/>
      <c r="AZ56" s="15"/>
      <c r="BA56" s="15"/>
      <c r="BB56" s="15"/>
      <c r="BC56" s="15"/>
      <c r="BD56" s="15"/>
      <c r="BE56" s="15"/>
      <c r="BF56" s="15"/>
      <c r="BG56" s="26">
        <f t="shared" si="19"/>
        <v>0.92537664745456183</v>
      </c>
      <c r="BH56" s="26">
        <f t="shared" si="20"/>
        <v>1.2835844316363745</v>
      </c>
      <c r="BI56" s="15">
        <v>1500</v>
      </c>
      <c r="BJ56" s="26">
        <f t="shared" si="21"/>
        <v>2.7916757930990075</v>
      </c>
      <c r="BK56" s="15" t="s">
        <v>18</v>
      </c>
      <c r="BL56" s="15">
        <v>42</v>
      </c>
      <c r="BM56" s="15"/>
      <c r="BN56" s="15">
        <v>0</v>
      </c>
      <c r="BO56" s="15">
        <f t="shared" si="12"/>
        <v>1000</v>
      </c>
      <c r="BP56" s="151">
        <v>1.25</v>
      </c>
      <c r="BR56" s="26">
        <f t="shared" si="13"/>
        <v>0.35820778418181271</v>
      </c>
      <c r="BS56" s="15">
        <f t="shared" si="14"/>
        <v>0.5</v>
      </c>
      <c r="BT56" s="12">
        <f t="shared" si="15"/>
        <v>50</v>
      </c>
      <c r="BV56" s="98" t="s">
        <v>114</v>
      </c>
      <c r="BW56" s="398"/>
      <c r="BX56" s="398"/>
      <c r="BY56" s="398"/>
      <c r="BZ56" s="398"/>
    </row>
    <row r="57" spans="1:78" x14ac:dyDescent="0.25">
      <c r="A57" s="121" t="s">
        <v>56</v>
      </c>
      <c r="B57" s="121" t="s">
        <v>56</v>
      </c>
      <c r="C57" s="15"/>
      <c r="D57" s="15"/>
      <c r="E57" s="15"/>
      <c r="F57" s="15"/>
      <c r="G57" s="15">
        <v>972</v>
      </c>
      <c r="H57" s="15"/>
      <c r="I57" s="15"/>
      <c r="J57" s="15"/>
      <c r="K57" s="15"/>
      <c r="L57" s="15"/>
      <c r="M57" s="15"/>
      <c r="N57" s="15"/>
      <c r="O57" s="15">
        <v>14</v>
      </c>
      <c r="P57" s="15">
        <v>14</v>
      </c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252"/>
      <c r="AY57" s="15"/>
      <c r="AZ57" s="15"/>
      <c r="BA57" s="15"/>
      <c r="BB57" s="15"/>
      <c r="BC57" s="15"/>
      <c r="BD57" s="15"/>
      <c r="BE57" s="15"/>
      <c r="BF57" s="15"/>
      <c r="BG57" s="26">
        <f t="shared" si="19"/>
        <v>0.66874645458664106</v>
      </c>
      <c r="BH57" s="26">
        <f t="shared" si="20"/>
        <v>1.0113614876282673</v>
      </c>
      <c r="BI57" s="15">
        <v>1650</v>
      </c>
      <c r="BJ57" s="26">
        <f t="shared" si="21"/>
        <v>2.9187277368489095</v>
      </c>
      <c r="BK57" s="15" t="s">
        <v>13</v>
      </c>
      <c r="BL57" s="15">
        <v>42</v>
      </c>
      <c r="BM57" s="15"/>
      <c r="BN57" s="15">
        <v>0</v>
      </c>
      <c r="BO57" s="15">
        <f t="shared" si="12"/>
        <v>1000</v>
      </c>
      <c r="BP57" s="151">
        <v>1.4</v>
      </c>
      <c r="BR57" s="26">
        <f t="shared" si="13"/>
        <v>0.34261503304162627</v>
      </c>
      <c r="BS57" s="15">
        <f t="shared" si="14"/>
        <v>0.64999999999999991</v>
      </c>
      <c r="BT57" s="12">
        <f t="shared" si="15"/>
        <v>51</v>
      </c>
      <c r="BV57" s="98"/>
      <c r="BW57" s="398"/>
      <c r="BX57" s="398"/>
      <c r="BY57" s="398"/>
      <c r="BZ57" s="398"/>
    </row>
    <row r="58" spans="1:78" x14ac:dyDescent="0.25">
      <c r="A58" s="121" t="s">
        <v>57</v>
      </c>
      <c r="B58" s="121" t="s">
        <v>57</v>
      </c>
      <c r="C58" s="15"/>
      <c r="D58" s="15"/>
      <c r="E58" s="15"/>
      <c r="F58" s="15"/>
      <c r="G58" s="15">
        <v>668</v>
      </c>
      <c r="H58" s="15"/>
      <c r="I58" s="15">
        <v>200.5</v>
      </c>
      <c r="J58" s="15"/>
      <c r="K58" s="15"/>
      <c r="L58" s="15"/>
      <c r="M58" s="15"/>
      <c r="N58" s="15"/>
      <c r="O58" s="15">
        <v>6.5</v>
      </c>
      <c r="P58" s="15"/>
      <c r="Q58" s="15"/>
      <c r="R58" s="15"/>
      <c r="S58" s="15">
        <v>85</v>
      </c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>
        <v>13.5</v>
      </c>
      <c r="AG58" s="15"/>
      <c r="AH58" s="15">
        <v>26.5</v>
      </c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252"/>
      <c r="AY58" s="15"/>
      <c r="AZ58" s="15"/>
      <c r="BA58" s="15"/>
      <c r="BB58" s="15"/>
      <c r="BC58" s="15"/>
      <c r="BD58" s="15"/>
      <c r="BE58" s="15"/>
      <c r="BF58" s="15"/>
      <c r="BG58" s="26">
        <f t="shared" si="19"/>
        <v>0.74011906964012053</v>
      </c>
      <c r="BH58" s="26">
        <f t="shared" si="20"/>
        <v>1.2429421926000861</v>
      </c>
      <c r="BI58" s="15">
        <v>1400</v>
      </c>
      <c r="BJ58" s="26">
        <f t="shared" si="21"/>
        <v>1.9887709103616926</v>
      </c>
      <c r="BK58" s="15" t="s">
        <v>13</v>
      </c>
      <c r="BL58" s="15">
        <v>42</v>
      </c>
      <c r="BM58" s="15"/>
      <c r="BN58" s="15">
        <v>0</v>
      </c>
      <c r="BO58" s="15">
        <f t="shared" si="12"/>
        <v>1000</v>
      </c>
      <c r="BP58" s="151"/>
      <c r="BR58" s="26">
        <f t="shared" si="13"/>
        <v>0.50282312295996556</v>
      </c>
      <c r="BS58" s="15">
        <f t="shared" si="14"/>
        <v>0.39999999999999991</v>
      </c>
      <c r="BT58" s="12">
        <f t="shared" si="15"/>
        <v>52</v>
      </c>
      <c r="BV58" s="98"/>
      <c r="BW58" s="398"/>
      <c r="BX58" s="398"/>
      <c r="BY58" s="398"/>
      <c r="BZ58" s="398"/>
    </row>
    <row r="59" spans="1:78" x14ac:dyDescent="0.25">
      <c r="A59" s="121" t="s">
        <v>58</v>
      </c>
      <c r="B59" s="121" t="s">
        <v>58</v>
      </c>
      <c r="C59" s="15"/>
      <c r="D59" s="15"/>
      <c r="E59" s="15">
        <v>673</v>
      </c>
      <c r="F59" s="15"/>
      <c r="G59" s="15"/>
      <c r="H59" s="15"/>
      <c r="I59" s="15">
        <v>200</v>
      </c>
      <c r="J59" s="15"/>
      <c r="K59" s="15"/>
      <c r="L59" s="15"/>
      <c r="M59" s="15"/>
      <c r="N59" s="15"/>
      <c r="O59" s="15">
        <v>27</v>
      </c>
      <c r="P59" s="15"/>
      <c r="Q59" s="15"/>
      <c r="R59" s="15"/>
      <c r="S59" s="15"/>
      <c r="T59" s="15"/>
      <c r="U59" s="15"/>
      <c r="V59" s="15">
        <v>100</v>
      </c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252"/>
      <c r="AY59" s="15"/>
      <c r="AZ59" s="15"/>
      <c r="BA59" s="15"/>
      <c r="BB59" s="15"/>
      <c r="BC59" s="15"/>
      <c r="BD59" s="15"/>
      <c r="BE59" s="15"/>
      <c r="BF59" s="15"/>
      <c r="BG59" s="26">
        <f t="shared" si="19"/>
        <v>0.59512435527581076</v>
      </c>
      <c r="BH59" s="26">
        <f t="shared" si="20"/>
        <v>0.99695272204738172</v>
      </c>
      <c r="BI59" s="15">
        <v>1600</v>
      </c>
      <c r="BJ59" s="26">
        <f t="shared" si="21"/>
        <v>2.4886247032143305</v>
      </c>
      <c r="BK59" s="15" t="s">
        <v>18</v>
      </c>
      <c r="BL59" s="15">
        <v>31</v>
      </c>
      <c r="BM59" s="15"/>
      <c r="BN59" s="15">
        <v>0</v>
      </c>
      <c r="BO59" s="15">
        <f t="shared" si="12"/>
        <v>1000</v>
      </c>
      <c r="BP59" s="151">
        <v>1.19</v>
      </c>
      <c r="BR59" s="26">
        <f t="shared" si="13"/>
        <v>0.40182836677157091</v>
      </c>
      <c r="BS59" s="15">
        <f t="shared" si="14"/>
        <v>0.60000000000000009</v>
      </c>
      <c r="BT59" s="12">
        <f t="shared" si="15"/>
        <v>53</v>
      </c>
      <c r="BV59" s="98"/>
      <c r="BW59" s="398"/>
      <c r="BX59" s="398"/>
      <c r="BY59" s="398"/>
      <c r="BZ59" s="398"/>
    </row>
    <row r="60" spans="1:78" x14ac:dyDescent="0.25">
      <c r="A60" s="121" t="s">
        <v>59</v>
      </c>
      <c r="B60" s="121" t="s">
        <v>59</v>
      </c>
      <c r="C60" s="15"/>
      <c r="D60" s="15"/>
      <c r="E60" s="15">
        <v>865</v>
      </c>
      <c r="F60" s="15"/>
      <c r="G60" s="15"/>
      <c r="H60" s="15"/>
      <c r="I60" s="15"/>
      <c r="J60" s="15"/>
      <c r="K60" s="15"/>
      <c r="L60" s="15"/>
      <c r="M60" s="15"/>
      <c r="N60" s="15"/>
      <c r="O60" s="15">
        <v>17</v>
      </c>
      <c r="P60" s="15">
        <v>80</v>
      </c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>
        <v>29</v>
      </c>
      <c r="AF60" s="15"/>
      <c r="AG60" s="15"/>
      <c r="AH60" s="15"/>
      <c r="AI60" s="15"/>
      <c r="AJ60" s="15"/>
      <c r="AK60" s="15"/>
      <c r="AL60" s="15"/>
      <c r="AM60" s="15"/>
      <c r="AN60" s="15">
        <v>9</v>
      </c>
      <c r="AO60" s="15"/>
      <c r="AP60" s="15"/>
      <c r="AQ60" s="15"/>
      <c r="AR60" s="15"/>
      <c r="AS60" s="15"/>
      <c r="AT60" s="15"/>
      <c r="AU60" s="15"/>
      <c r="AV60" s="15"/>
      <c r="AW60" s="15"/>
      <c r="AX60" s="252"/>
      <c r="AY60" s="15"/>
      <c r="AZ60" s="15"/>
      <c r="BA60" s="15"/>
      <c r="BB60" s="15"/>
      <c r="BC60" s="15"/>
      <c r="BD60" s="15"/>
      <c r="BE60" s="15"/>
      <c r="BF60" s="15"/>
      <c r="BG60" s="26">
        <f t="shared" si="19"/>
        <v>0.5050326159366002</v>
      </c>
      <c r="BH60" s="26">
        <f t="shared" si="20"/>
        <v>0.82694099776736274</v>
      </c>
      <c r="BI60" s="15">
        <v>1820</v>
      </c>
      <c r="BJ60" s="26">
        <f t="shared" si="21"/>
        <v>3.106473942408035</v>
      </c>
      <c r="BK60" s="15" t="s">
        <v>18</v>
      </c>
      <c r="BL60" s="15">
        <v>31</v>
      </c>
      <c r="BM60" s="15"/>
      <c r="BN60" s="15">
        <v>0</v>
      </c>
      <c r="BO60" s="15">
        <f t="shared" si="12"/>
        <v>1000</v>
      </c>
      <c r="BP60" s="151">
        <v>1.41</v>
      </c>
      <c r="BR60" s="26">
        <f t="shared" si="13"/>
        <v>0.32190838183076254</v>
      </c>
      <c r="BS60" s="15">
        <f t="shared" si="14"/>
        <v>0.82000000000000006</v>
      </c>
      <c r="BT60" s="12">
        <f t="shared" si="15"/>
        <v>54</v>
      </c>
      <c r="BV60" s="98" t="s">
        <v>114</v>
      </c>
      <c r="BW60" s="398"/>
      <c r="BX60" s="398"/>
      <c r="BY60" s="398"/>
      <c r="BZ60" s="398"/>
    </row>
    <row r="61" spans="1:78" x14ac:dyDescent="0.25">
      <c r="A61" s="121" t="s">
        <v>1766</v>
      </c>
      <c r="B61" s="121" t="s">
        <v>1766</v>
      </c>
      <c r="C61" s="15"/>
      <c r="D61" s="15"/>
      <c r="E61" s="15"/>
      <c r="F61" s="15"/>
      <c r="G61" s="15"/>
      <c r="H61" s="15"/>
      <c r="I61" s="15">
        <v>69</v>
      </c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>
        <v>138</v>
      </c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>
        <v>103</v>
      </c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>
        <v>690</v>
      </c>
      <c r="AV61" s="15"/>
      <c r="AW61" s="15"/>
      <c r="AX61" s="252"/>
      <c r="AY61" s="15"/>
      <c r="AZ61" s="15"/>
      <c r="BA61" s="15"/>
      <c r="BB61" s="15"/>
      <c r="BC61" s="15"/>
      <c r="BD61" s="15"/>
      <c r="BE61" s="15"/>
      <c r="BF61" s="15"/>
      <c r="BG61" s="26">
        <v>0.66100000000000003</v>
      </c>
      <c r="BH61" s="26">
        <v>1.3839999999999999</v>
      </c>
      <c r="BI61" s="15">
        <v>1200</v>
      </c>
      <c r="BJ61" s="15">
        <v>1.383</v>
      </c>
      <c r="BK61" s="15" t="s">
        <v>13</v>
      </c>
      <c r="BL61" s="15" t="s">
        <v>1767</v>
      </c>
      <c r="BM61" s="15"/>
      <c r="BN61" s="15">
        <v>0</v>
      </c>
      <c r="BO61" s="15">
        <f t="shared" si="12"/>
        <v>1000</v>
      </c>
      <c r="BP61" s="15">
        <v>1.9990000000000001</v>
      </c>
      <c r="BR61" s="26">
        <f t="shared" si="13"/>
        <v>0.72430744223772459</v>
      </c>
      <c r="BS61" s="15">
        <f t="shared" si="14"/>
        <v>0.19999999999999996</v>
      </c>
      <c r="BT61" s="12">
        <f t="shared" si="15"/>
        <v>55</v>
      </c>
      <c r="BV61" s="98"/>
      <c r="BW61" s="398"/>
      <c r="BX61" s="398"/>
      <c r="BY61" s="398"/>
      <c r="BZ61" s="398"/>
    </row>
    <row r="62" spans="1:78" x14ac:dyDescent="0.25">
      <c r="A62" s="121" t="s">
        <v>1807</v>
      </c>
      <c r="B62" s="121" t="s">
        <v>1807</v>
      </c>
      <c r="C62" s="15"/>
      <c r="D62" s="15">
        <v>617</v>
      </c>
      <c r="E62" s="15"/>
      <c r="F62" s="15"/>
      <c r="G62" s="15"/>
      <c r="H62" s="15"/>
      <c r="I62" s="15"/>
      <c r="J62" s="15"/>
      <c r="K62" s="15"/>
      <c r="L62" s="15"/>
      <c r="M62" s="15"/>
      <c r="N62" s="15">
        <v>304</v>
      </c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>
        <v>79</v>
      </c>
      <c r="AX62" s="252"/>
      <c r="AY62" s="15"/>
      <c r="AZ62" s="15"/>
      <c r="BA62" s="15"/>
      <c r="BB62" s="15"/>
      <c r="BC62" s="15"/>
      <c r="BD62" s="15"/>
      <c r="BE62" s="15"/>
      <c r="BF62" s="15"/>
      <c r="BG62" s="26">
        <v>0.65100000000000002</v>
      </c>
      <c r="BH62" s="26">
        <v>1.2230000000000001</v>
      </c>
      <c r="BI62" s="15">
        <v>1350</v>
      </c>
      <c r="BJ62" s="15">
        <v>1.748</v>
      </c>
      <c r="BK62" s="15" t="s">
        <v>13</v>
      </c>
      <c r="BL62" s="15">
        <v>30</v>
      </c>
      <c r="BM62" s="15"/>
      <c r="BN62" s="15">
        <v>0</v>
      </c>
      <c r="BO62" s="15">
        <f t="shared" si="12"/>
        <v>1000</v>
      </c>
      <c r="BP62" s="15"/>
      <c r="BR62" s="26">
        <f t="shared" si="13"/>
        <v>0.60254564140854361</v>
      </c>
      <c r="BS62" s="15">
        <f t="shared" si="14"/>
        <v>0.35000000000000009</v>
      </c>
      <c r="BT62" s="12">
        <f t="shared" si="15"/>
        <v>56</v>
      </c>
      <c r="BV62" s="98"/>
      <c r="BW62" s="398"/>
      <c r="BX62" s="398"/>
      <c r="BY62" s="398"/>
      <c r="BZ62" s="398"/>
    </row>
    <row r="63" spans="1:78" x14ac:dyDescent="0.25">
      <c r="A63" s="121" t="s">
        <v>599</v>
      </c>
      <c r="B63" s="121" t="s">
        <v>599</v>
      </c>
      <c r="C63" s="15"/>
      <c r="D63" s="15"/>
      <c r="E63" s="15">
        <v>350</v>
      </c>
      <c r="F63" s="15"/>
      <c r="G63" s="15"/>
      <c r="H63" s="15"/>
      <c r="I63" s="15"/>
      <c r="J63" s="15"/>
      <c r="K63" s="15"/>
      <c r="L63" s="15"/>
      <c r="M63" s="15"/>
      <c r="N63" s="15">
        <v>125</v>
      </c>
      <c r="O63" s="15"/>
      <c r="P63" s="15">
        <v>525</v>
      </c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252"/>
      <c r="AY63" s="15"/>
      <c r="AZ63" s="15"/>
      <c r="BA63" s="15"/>
      <c r="BB63" s="15"/>
      <c r="BC63" s="15"/>
      <c r="BD63" s="15"/>
      <c r="BE63" s="15"/>
      <c r="BF63" s="15"/>
      <c r="BG63" s="26">
        <v>0.434</v>
      </c>
      <c r="BH63" s="26">
        <v>0.77900000000000003</v>
      </c>
      <c r="BI63" s="15">
        <v>1840</v>
      </c>
      <c r="BJ63" s="15">
        <v>2.899</v>
      </c>
      <c r="BK63" s="15" t="s">
        <v>18</v>
      </c>
      <c r="BL63" s="15">
        <v>30</v>
      </c>
      <c r="BM63" s="15"/>
      <c r="BN63" s="15">
        <v>0</v>
      </c>
      <c r="BO63" s="15">
        <f t="shared" si="12"/>
        <v>1000</v>
      </c>
      <c r="BP63" s="15">
        <v>1.2270000000000001</v>
      </c>
      <c r="BR63" s="26">
        <f t="shared" si="13"/>
        <v>0.34541339143701655</v>
      </c>
      <c r="BS63" s="15">
        <f t="shared" si="14"/>
        <v>0.84000000000000008</v>
      </c>
      <c r="BT63" s="12">
        <f t="shared" si="15"/>
        <v>57</v>
      </c>
      <c r="BV63" s="98"/>
      <c r="BW63" s="398"/>
      <c r="BX63" s="398"/>
      <c r="BY63" s="398"/>
      <c r="BZ63" s="398"/>
    </row>
    <row r="64" spans="1:78" x14ac:dyDescent="0.25">
      <c r="A64" s="121" t="s">
        <v>1805</v>
      </c>
      <c r="B64" s="121" t="s">
        <v>1805</v>
      </c>
      <c r="C64" s="15"/>
      <c r="D64" s="15"/>
      <c r="E64" s="15"/>
      <c r="F64" s="15"/>
      <c r="G64" s="15">
        <v>622</v>
      </c>
      <c r="H64" s="15"/>
      <c r="I64" s="15"/>
      <c r="J64" s="15"/>
      <c r="K64" s="15"/>
      <c r="L64" s="15"/>
      <c r="M64" s="15"/>
      <c r="N64" s="15">
        <v>309</v>
      </c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>
        <v>69</v>
      </c>
      <c r="AX64" s="252"/>
      <c r="AY64" s="15"/>
      <c r="AZ64" s="15"/>
      <c r="BA64" s="15"/>
      <c r="BB64" s="15"/>
      <c r="BC64" s="15"/>
      <c r="BD64" s="15"/>
      <c r="BE64" s="15"/>
      <c r="BF64" s="15"/>
      <c r="BG64" s="26">
        <v>0.61799999999999999</v>
      </c>
      <c r="BH64" s="26">
        <v>1.198</v>
      </c>
      <c r="BI64" s="15">
        <v>1350</v>
      </c>
      <c r="BJ64" s="15">
        <v>1.722</v>
      </c>
      <c r="BK64" s="15" t="s">
        <v>13</v>
      </c>
      <c r="BL64" s="15">
        <v>30</v>
      </c>
      <c r="BM64" s="15"/>
      <c r="BN64" s="15">
        <v>0</v>
      </c>
      <c r="BO64" s="15">
        <f t="shared" si="12"/>
        <v>1000</v>
      </c>
      <c r="BP64" s="15"/>
      <c r="BR64" s="26">
        <f t="shared" si="13"/>
        <v>0.58423205301638714</v>
      </c>
      <c r="BS64" s="15">
        <f t="shared" si="14"/>
        <v>0.35000000000000009</v>
      </c>
      <c r="BT64" s="12">
        <f t="shared" si="15"/>
        <v>58</v>
      </c>
      <c r="BV64" s="98"/>
      <c r="BW64" s="398"/>
      <c r="BX64" s="398"/>
      <c r="BY64" s="398"/>
      <c r="BZ64" s="398"/>
    </row>
    <row r="65" spans="1:78" x14ac:dyDescent="0.25">
      <c r="A65" s="121" t="s">
        <v>1915</v>
      </c>
      <c r="B65" s="121" t="s">
        <v>1915</v>
      </c>
      <c r="C65" s="15"/>
      <c r="D65" s="15"/>
      <c r="E65" s="15"/>
      <c r="F65" s="15"/>
      <c r="G65" s="15">
        <v>750</v>
      </c>
      <c r="H65" s="15"/>
      <c r="I65" s="15"/>
      <c r="J65" s="15"/>
      <c r="K65" s="15">
        <v>210</v>
      </c>
      <c r="L65" s="15"/>
      <c r="M65" s="15"/>
      <c r="N65" s="15"/>
      <c r="O65" s="15"/>
      <c r="P65" s="15">
        <v>40</v>
      </c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252"/>
      <c r="AY65" s="15"/>
      <c r="AZ65" s="15"/>
      <c r="BA65" s="15"/>
      <c r="BB65" s="15"/>
      <c r="BC65" s="15"/>
      <c r="BD65" s="15"/>
      <c r="BE65" s="15"/>
      <c r="BF65" s="15"/>
      <c r="BG65" s="26">
        <v>1.54</v>
      </c>
      <c r="BH65" s="26">
        <v>1.895</v>
      </c>
      <c r="BI65" s="15">
        <v>1340</v>
      </c>
      <c r="BJ65" s="26">
        <f>1/(BH65-BG65)</f>
        <v>2.8169014084507045</v>
      </c>
      <c r="BK65" s="15" t="s">
        <v>13</v>
      </c>
      <c r="BL65" s="15">
        <v>42</v>
      </c>
      <c r="BM65" s="15"/>
      <c r="BN65" s="15">
        <v>0</v>
      </c>
      <c r="BO65" s="15">
        <f t="shared" si="12"/>
        <v>1000</v>
      </c>
      <c r="BP65" s="15"/>
      <c r="BR65" s="26">
        <f t="shared" si="13"/>
        <v>0.27059771004680616</v>
      </c>
      <c r="BS65" s="15">
        <f t="shared" si="14"/>
        <v>0.34000000000000008</v>
      </c>
      <c r="BT65" s="12">
        <f t="shared" si="15"/>
        <v>59</v>
      </c>
      <c r="BV65" s="98"/>
      <c r="BW65" s="398"/>
      <c r="BX65" s="398"/>
      <c r="BY65" s="398"/>
      <c r="BZ65" s="398"/>
    </row>
    <row r="66" spans="1:78" x14ac:dyDescent="0.25">
      <c r="A66" s="121" t="s">
        <v>1764</v>
      </c>
      <c r="B66" s="121" t="s">
        <v>1764</v>
      </c>
      <c r="C66" s="15"/>
      <c r="D66" s="15"/>
      <c r="E66" s="15">
        <v>535</v>
      </c>
      <c r="F66" s="15"/>
      <c r="G66" s="15"/>
      <c r="H66" s="15"/>
      <c r="I66" s="15">
        <v>325</v>
      </c>
      <c r="J66" s="15"/>
      <c r="K66" s="15">
        <v>105</v>
      </c>
      <c r="L66" s="15"/>
      <c r="M66" s="15"/>
      <c r="N66" s="15"/>
      <c r="O66" s="15">
        <v>21</v>
      </c>
      <c r="P66" s="15">
        <v>14</v>
      </c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252"/>
      <c r="AY66" s="15"/>
      <c r="AZ66" s="15"/>
      <c r="BA66" s="15"/>
      <c r="BB66" s="15"/>
      <c r="BC66" s="15"/>
      <c r="BD66" s="15"/>
      <c r="BE66" s="15"/>
      <c r="BF66" s="15"/>
      <c r="BG66" s="26">
        <v>0.64200000000000002</v>
      </c>
      <c r="BH66" s="26">
        <v>1.026</v>
      </c>
      <c r="BI66" s="15">
        <v>1600</v>
      </c>
      <c r="BJ66" s="15">
        <v>2.6019999999999999</v>
      </c>
      <c r="BK66" s="15" t="s">
        <v>13</v>
      </c>
      <c r="BL66" s="15">
        <v>4</v>
      </c>
      <c r="BM66" s="15"/>
      <c r="BN66" s="15">
        <v>0</v>
      </c>
      <c r="BO66" s="15">
        <f t="shared" si="12"/>
        <v>1000</v>
      </c>
      <c r="BP66" s="15">
        <v>1.9990000000000001</v>
      </c>
      <c r="BR66" s="26">
        <f t="shared" si="13"/>
        <v>0.33901222699227485</v>
      </c>
      <c r="BS66" s="15">
        <f t="shared" si="14"/>
        <v>0.60000000000000009</v>
      </c>
      <c r="BT66" s="12">
        <f t="shared" si="15"/>
        <v>60</v>
      </c>
      <c r="BV66" s="98"/>
      <c r="BW66" s="398"/>
      <c r="BX66" s="398"/>
      <c r="BY66" s="398"/>
      <c r="BZ66" s="398"/>
    </row>
    <row r="67" spans="1:78" x14ac:dyDescent="0.25">
      <c r="A67" s="121" t="s">
        <v>60</v>
      </c>
      <c r="B67" s="121" t="s">
        <v>60</v>
      </c>
      <c r="C67" s="15"/>
      <c r="D67" s="15"/>
      <c r="E67" s="15">
        <v>980</v>
      </c>
      <c r="F67" s="15"/>
      <c r="G67" s="15"/>
      <c r="H67" s="15"/>
      <c r="I67" s="15"/>
      <c r="J67" s="15"/>
      <c r="K67" s="15"/>
      <c r="L67" s="15"/>
      <c r="M67" s="15"/>
      <c r="N67" s="15"/>
      <c r="O67" s="15">
        <v>15</v>
      </c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>
        <v>5</v>
      </c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252"/>
      <c r="AY67" s="15"/>
      <c r="AZ67" s="15"/>
      <c r="BA67" s="15"/>
      <c r="BB67" s="15"/>
      <c r="BC67" s="15"/>
      <c r="BD67" s="15"/>
      <c r="BE67" s="15"/>
      <c r="BF67" s="15"/>
      <c r="BG67" s="26">
        <f t="shared" ref="BG67:BG82" si="22">((BO67-(BI67*BR67))/BS67)/1000</f>
        <v>1.3999256147010519</v>
      </c>
      <c r="BH67" s="26">
        <f t="shared" ref="BH67:BH82" si="23">BR67+BG67</f>
        <v>1.7142325819293229</v>
      </c>
      <c r="BI67" s="15">
        <v>1400</v>
      </c>
      <c r="BJ67" s="26">
        <f t="shared" ref="BJ67:BJ82" si="24">1/(BH67-BG67)</f>
        <v>3.1816030322793711</v>
      </c>
      <c r="BK67" s="15" t="s">
        <v>18</v>
      </c>
      <c r="BL67" s="15">
        <v>31</v>
      </c>
      <c r="BM67" s="15"/>
      <c r="BN67" s="15">
        <v>0</v>
      </c>
      <c r="BO67" s="15">
        <f t="shared" si="12"/>
        <v>1000</v>
      </c>
      <c r="BP67" s="151">
        <v>1.44</v>
      </c>
      <c r="BR67" s="26">
        <f t="shared" si="13"/>
        <v>0.31430696722827095</v>
      </c>
      <c r="BS67" s="15">
        <f t="shared" si="14"/>
        <v>0.39999999999999991</v>
      </c>
      <c r="BT67" s="12">
        <f t="shared" si="15"/>
        <v>61</v>
      </c>
      <c r="BV67" s="98"/>
      <c r="BW67" s="398"/>
      <c r="BX67" s="398"/>
      <c r="BY67" s="398"/>
      <c r="BZ67" s="398"/>
    </row>
    <row r="68" spans="1:78" x14ac:dyDescent="0.25">
      <c r="A68" s="121" t="s">
        <v>61</v>
      </c>
      <c r="B68" s="121" t="s">
        <v>61</v>
      </c>
      <c r="C68" s="15"/>
      <c r="D68" s="15"/>
      <c r="E68" s="15">
        <v>980</v>
      </c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>
        <v>20</v>
      </c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252"/>
      <c r="AY68" s="15"/>
      <c r="AZ68" s="15"/>
      <c r="BA68" s="15"/>
      <c r="BB68" s="15"/>
      <c r="BC68" s="15"/>
      <c r="BD68" s="15"/>
      <c r="BE68" s="15"/>
      <c r="BF68" s="15"/>
      <c r="BG68" s="26">
        <f t="shared" si="22"/>
        <v>1.397939575247952</v>
      </c>
      <c r="BH68" s="26">
        <f t="shared" si="23"/>
        <v>1.7128139823199657</v>
      </c>
      <c r="BI68" s="15">
        <v>1400</v>
      </c>
      <c r="BJ68" s="26">
        <f t="shared" si="24"/>
        <v>3.17586941821948</v>
      </c>
      <c r="BK68" s="15" t="s">
        <v>18</v>
      </c>
      <c r="BL68" s="15">
        <v>31</v>
      </c>
      <c r="BM68" s="15"/>
      <c r="BN68" s="15">
        <v>0</v>
      </c>
      <c r="BO68" s="15">
        <f t="shared" si="12"/>
        <v>1000</v>
      </c>
      <c r="BP68" s="151">
        <v>1.44</v>
      </c>
      <c r="BR68" s="26">
        <f t="shared" si="13"/>
        <v>0.31487440707201381</v>
      </c>
      <c r="BS68" s="15">
        <f t="shared" si="14"/>
        <v>0.39999999999999991</v>
      </c>
      <c r="BT68" s="12">
        <f t="shared" si="15"/>
        <v>62</v>
      </c>
      <c r="BV68" s="98"/>
      <c r="BW68" s="398"/>
      <c r="BX68" s="398"/>
      <c r="BY68" s="398"/>
      <c r="BZ68" s="398"/>
    </row>
    <row r="69" spans="1:78" x14ac:dyDescent="0.25">
      <c r="A69" s="121" t="s">
        <v>62</v>
      </c>
      <c r="B69" s="121" t="s">
        <v>62</v>
      </c>
      <c r="C69" s="15"/>
      <c r="D69" s="15"/>
      <c r="E69" s="15">
        <v>980</v>
      </c>
      <c r="F69" s="15"/>
      <c r="G69" s="15"/>
      <c r="H69" s="15"/>
      <c r="I69" s="15"/>
      <c r="J69" s="15"/>
      <c r="K69" s="15"/>
      <c r="L69" s="15"/>
      <c r="M69" s="15"/>
      <c r="N69" s="15"/>
      <c r="O69" s="15">
        <v>10</v>
      </c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>
        <v>10</v>
      </c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252"/>
      <c r="AY69" s="15"/>
      <c r="AZ69" s="15"/>
      <c r="BA69" s="15"/>
      <c r="BB69" s="15"/>
      <c r="BC69" s="15"/>
      <c r="BD69" s="15"/>
      <c r="BE69" s="15"/>
      <c r="BF69" s="15"/>
      <c r="BG69" s="26">
        <f t="shared" si="22"/>
        <v>1.3992636015500184</v>
      </c>
      <c r="BH69" s="26">
        <f t="shared" si="23"/>
        <v>1.7137597153928703</v>
      </c>
      <c r="BI69" s="15">
        <v>1400</v>
      </c>
      <c r="BJ69" s="26">
        <f t="shared" si="24"/>
        <v>3.1796895286905902</v>
      </c>
      <c r="BK69" s="15" t="s">
        <v>13</v>
      </c>
      <c r="BL69" s="15">
        <v>42</v>
      </c>
      <c r="BM69" s="15"/>
      <c r="BN69" s="15">
        <v>0</v>
      </c>
      <c r="BO69" s="15">
        <f t="shared" si="12"/>
        <v>1000</v>
      </c>
      <c r="BP69" s="151">
        <v>1.44</v>
      </c>
      <c r="BR69" s="26">
        <f t="shared" si="13"/>
        <v>0.31449611384285192</v>
      </c>
      <c r="BS69" s="15">
        <f t="shared" si="14"/>
        <v>0.39999999999999991</v>
      </c>
      <c r="BT69" s="12">
        <f t="shared" si="15"/>
        <v>63</v>
      </c>
      <c r="BV69" s="98"/>
      <c r="BW69" s="398"/>
      <c r="BX69" s="398"/>
      <c r="BY69" s="398"/>
      <c r="BZ69" s="398"/>
    </row>
    <row r="70" spans="1:78" x14ac:dyDescent="0.25">
      <c r="A70" s="121" t="s">
        <v>63</v>
      </c>
      <c r="B70" s="121" t="s">
        <v>63</v>
      </c>
      <c r="C70" s="15"/>
      <c r="D70" s="15"/>
      <c r="E70" s="15">
        <v>980</v>
      </c>
      <c r="F70" s="15"/>
      <c r="G70" s="15"/>
      <c r="H70" s="15"/>
      <c r="I70" s="15"/>
      <c r="J70" s="15"/>
      <c r="K70" s="15"/>
      <c r="L70" s="15"/>
      <c r="M70" s="15"/>
      <c r="N70" s="15"/>
      <c r="O70" s="15">
        <v>15</v>
      </c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>
        <v>5</v>
      </c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252"/>
      <c r="AY70" s="15"/>
      <c r="AZ70" s="15"/>
      <c r="BA70" s="15"/>
      <c r="BB70" s="15"/>
      <c r="BC70" s="15"/>
      <c r="BD70" s="15"/>
      <c r="BE70" s="15"/>
      <c r="BF70" s="15"/>
      <c r="BG70" s="26">
        <f t="shared" si="22"/>
        <v>1.2094553278200157</v>
      </c>
      <c r="BH70" s="26">
        <f t="shared" si="23"/>
        <v>1.5237622950482868</v>
      </c>
      <c r="BI70" s="15">
        <v>1450</v>
      </c>
      <c r="BJ70" s="26">
        <f t="shared" si="24"/>
        <v>3.1816030322793711</v>
      </c>
      <c r="BK70" s="15" t="s">
        <v>13</v>
      </c>
      <c r="BL70" s="15">
        <v>42</v>
      </c>
      <c r="BM70" s="15"/>
      <c r="BN70" s="15">
        <v>0</v>
      </c>
      <c r="BO70" s="15">
        <f t="shared" si="12"/>
        <v>1000</v>
      </c>
      <c r="BP70" s="151">
        <v>1.44</v>
      </c>
      <c r="BR70" s="26">
        <f t="shared" si="13"/>
        <v>0.31430696722827095</v>
      </c>
      <c r="BS70" s="15">
        <f t="shared" si="14"/>
        <v>0.44999999999999996</v>
      </c>
      <c r="BT70" s="12">
        <f t="shared" si="15"/>
        <v>64</v>
      </c>
      <c r="BV70" s="98"/>
      <c r="BW70" s="398"/>
      <c r="BX70" s="398"/>
      <c r="BY70" s="398"/>
      <c r="BZ70" s="398"/>
    </row>
    <row r="71" spans="1:78" x14ac:dyDescent="0.25">
      <c r="A71" s="121" t="s">
        <v>64</v>
      </c>
      <c r="B71" s="121" t="s">
        <v>64</v>
      </c>
      <c r="C71" s="15"/>
      <c r="D71" s="15"/>
      <c r="E71" s="15">
        <v>980</v>
      </c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>
        <v>20</v>
      </c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252"/>
      <c r="AY71" s="15"/>
      <c r="AZ71" s="15"/>
      <c r="BA71" s="15"/>
      <c r="BB71" s="15"/>
      <c r="BC71" s="15"/>
      <c r="BD71" s="15"/>
      <c r="BE71" s="15"/>
      <c r="BF71" s="15"/>
      <c r="BG71" s="26">
        <f t="shared" si="22"/>
        <v>1.2076269105457333</v>
      </c>
      <c r="BH71" s="26">
        <f t="shared" si="23"/>
        <v>1.5225013176177471</v>
      </c>
      <c r="BI71" s="15">
        <v>1450</v>
      </c>
      <c r="BJ71" s="26">
        <f t="shared" si="24"/>
        <v>3.17586941821948</v>
      </c>
      <c r="BK71" s="15" t="s">
        <v>13</v>
      </c>
      <c r="BL71" s="15">
        <v>42</v>
      </c>
      <c r="BM71" s="15"/>
      <c r="BN71" s="15">
        <v>0</v>
      </c>
      <c r="BO71" s="15">
        <f t="shared" si="12"/>
        <v>1000</v>
      </c>
      <c r="BP71" s="151">
        <v>1.44</v>
      </c>
      <c r="BR71" s="26">
        <f t="shared" si="13"/>
        <v>0.31487440707201381</v>
      </c>
      <c r="BS71" s="15">
        <f t="shared" si="14"/>
        <v>0.44999999999999996</v>
      </c>
      <c r="BT71" s="12">
        <f t="shared" si="15"/>
        <v>65</v>
      </c>
      <c r="BV71" s="98"/>
      <c r="BW71" s="398"/>
      <c r="BX71" s="398"/>
      <c r="BY71" s="398"/>
      <c r="BZ71" s="398"/>
    </row>
    <row r="72" spans="1:78" x14ac:dyDescent="0.25">
      <c r="A72" s="121" t="s">
        <v>65</v>
      </c>
      <c r="B72" s="121" t="s">
        <v>65</v>
      </c>
      <c r="C72" s="15"/>
      <c r="D72" s="15"/>
      <c r="E72" s="15">
        <v>980</v>
      </c>
      <c r="F72" s="15"/>
      <c r="G72" s="15"/>
      <c r="H72" s="15"/>
      <c r="I72" s="15"/>
      <c r="J72" s="15"/>
      <c r="K72" s="15"/>
      <c r="L72" s="15"/>
      <c r="M72" s="15"/>
      <c r="N72" s="15"/>
      <c r="O72" s="15">
        <v>10</v>
      </c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>
        <v>10</v>
      </c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252"/>
      <c r="AY72" s="15"/>
      <c r="AZ72" s="15"/>
      <c r="BA72" s="15"/>
      <c r="BB72" s="15"/>
      <c r="BC72" s="15"/>
      <c r="BD72" s="15"/>
      <c r="BE72" s="15"/>
      <c r="BF72" s="15"/>
      <c r="BG72" s="26">
        <f t="shared" si="22"/>
        <v>1.208845855395255</v>
      </c>
      <c r="BH72" s="26">
        <f t="shared" si="23"/>
        <v>1.5233419692381069</v>
      </c>
      <c r="BI72" s="15">
        <v>1450</v>
      </c>
      <c r="BJ72" s="26">
        <f t="shared" si="24"/>
        <v>3.1796895286905902</v>
      </c>
      <c r="BK72" s="15" t="s">
        <v>13</v>
      </c>
      <c r="BL72" s="15">
        <v>42</v>
      </c>
      <c r="BM72" s="15"/>
      <c r="BN72" s="15">
        <v>0</v>
      </c>
      <c r="BO72" s="15">
        <f t="shared" si="12"/>
        <v>1000</v>
      </c>
      <c r="BP72" s="151">
        <v>1.44</v>
      </c>
      <c r="BR72" s="26">
        <f t="shared" si="13"/>
        <v>0.31449611384285192</v>
      </c>
      <c r="BS72" s="15">
        <f t="shared" si="14"/>
        <v>0.44999999999999996</v>
      </c>
      <c r="BT72" s="12">
        <f t="shared" si="15"/>
        <v>66</v>
      </c>
      <c r="BV72" s="98"/>
      <c r="BW72" s="398"/>
      <c r="BX72" s="398"/>
      <c r="BY72" s="398"/>
      <c r="BZ72" s="398"/>
    </row>
    <row r="73" spans="1:78" x14ac:dyDescent="0.25">
      <c r="A73" s="121" t="s">
        <v>66</v>
      </c>
      <c r="B73" s="121" t="s">
        <v>66</v>
      </c>
      <c r="C73" s="15"/>
      <c r="D73" s="15"/>
      <c r="E73" s="15">
        <v>980</v>
      </c>
      <c r="F73" s="15"/>
      <c r="G73" s="15"/>
      <c r="H73" s="15"/>
      <c r="I73" s="15"/>
      <c r="J73" s="15"/>
      <c r="K73" s="15"/>
      <c r="L73" s="15"/>
      <c r="M73" s="15"/>
      <c r="N73" s="15"/>
      <c r="O73" s="15">
        <v>15</v>
      </c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>
        <v>5</v>
      </c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252"/>
      <c r="AY73" s="15"/>
      <c r="AZ73" s="15"/>
      <c r="BA73" s="15"/>
      <c r="BB73" s="15"/>
      <c r="BC73" s="15"/>
      <c r="BD73" s="15"/>
      <c r="BE73" s="15"/>
      <c r="BF73" s="15"/>
      <c r="BG73" s="26">
        <f t="shared" si="22"/>
        <v>1.0570790983151872</v>
      </c>
      <c r="BH73" s="26">
        <f t="shared" si="23"/>
        <v>1.3713860655434582</v>
      </c>
      <c r="BI73" s="15">
        <v>1500</v>
      </c>
      <c r="BJ73" s="26">
        <f t="shared" si="24"/>
        <v>3.1816030322793711</v>
      </c>
      <c r="BK73" s="15" t="s">
        <v>13</v>
      </c>
      <c r="BL73" s="15">
        <v>42</v>
      </c>
      <c r="BM73" s="15"/>
      <c r="BN73" s="15">
        <v>0</v>
      </c>
      <c r="BO73" s="15">
        <f t="shared" si="12"/>
        <v>1000</v>
      </c>
      <c r="BP73" s="151">
        <v>1.44</v>
      </c>
      <c r="BR73" s="26">
        <f t="shared" si="13"/>
        <v>0.31430696722827095</v>
      </c>
      <c r="BS73" s="15">
        <f t="shared" si="14"/>
        <v>0.5</v>
      </c>
      <c r="BT73" s="12">
        <f t="shared" si="15"/>
        <v>67</v>
      </c>
      <c r="BV73" s="98"/>
      <c r="BW73" s="398"/>
      <c r="BX73" s="398"/>
      <c r="BY73" s="398"/>
      <c r="BZ73" s="398"/>
    </row>
    <row r="74" spans="1:78" x14ac:dyDescent="0.25">
      <c r="A74" s="121" t="s">
        <v>67</v>
      </c>
      <c r="B74" s="121" t="s">
        <v>67</v>
      </c>
      <c r="C74" s="15"/>
      <c r="D74" s="15"/>
      <c r="E74" s="15">
        <v>980</v>
      </c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>
        <v>20</v>
      </c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252"/>
      <c r="AY74" s="15"/>
      <c r="AZ74" s="15"/>
      <c r="BA74" s="15"/>
      <c r="BB74" s="15"/>
      <c r="BC74" s="15"/>
      <c r="BD74" s="15"/>
      <c r="BE74" s="15"/>
      <c r="BF74" s="15"/>
      <c r="BG74" s="26">
        <f t="shared" si="22"/>
        <v>1.0553767787839585</v>
      </c>
      <c r="BH74" s="26">
        <f t="shared" si="23"/>
        <v>1.3702511858559723</v>
      </c>
      <c r="BI74" s="15">
        <v>1500</v>
      </c>
      <c r="BJ74" s="26">
        <f t="shared" si="24"/>
        <v>3.17586941821948</v>
      </c>
      <c r="BK74" s="15" t="s">
        <v>13</v>
      </c>
      <c r="BL74" s="15">
        <v>42</v>
      </c>
      <c r="BM74" s="15"/>
      <c r="BN74" s="15">
        <v>0</v>
      </c>
      <c r="BO74" s="15">
        <f t="shared" ref="BO74:BO105" si="25">SUM(C74:BF74)</f>
        <v>1000</v>
      </c>
      <c r="BP74" s="151">
        <v>1.44</v>
      </c>
      <c r="BR74" s="26">
        <f t="shared" ref="BR74:BR89" si="26">((C74*C$5+D74*D$5+E74*E$5+F74*F$5+G74*G$5+H74*H$5+I74*I$5+J74*J$5+L74*L$5+M74*M$5+N74*N$5+O74*O$5+P74*P$5+Q74*Q$5+R74*R$5+S74*S$5+T74*T$5+U74*U$5+V74*V$5+W74*W$5+X74*X$5+Y74*Y$5+Z74*Z$5+AA74*AA$5+AB74*AB$5+AC74*AC$5+AD74*AD$5+AE74*AE$5+AF74*AF$5+AG74*AG$5+AH74*AH$5+AI74*AI$5+AJ74*AJ$5+AK74*AK$5+AL74*AL$5+AM74*AM$5+AN74*AN$5+AO74*AO$5+AP74*AP$5+AQ74*AQ$5+AR74*AR$5+AS74*AS$5+AT74*AT$5+AU74*AU$5+AV74*AV$5+AW74*AW$5+AX74*AX$5+AY74*AY$5+AZ74*AZ$5+BA74*BA$5+BB74*BB$5+BC74*BC$5+BD74*BD$5+BE74*BE$5+BF74*BF$5)/1000)</f>
        <v>0.31487440707201381</v>
      </c>
      <c r="BS74" s="15">
        <f t="shared" ref="BS74:BS89" si="27">BI74/1000-1</f>
        <v>0.5</v>
      </c>
      <c r="BT74" s="12">
        <f t="shared" si="15"/>
        <v>68</v>
      </c>
      <c r="BV74" s="98"/>
      <c r="BW74" s="398"/>
      <c r="BX74" s="398"/>
      <c r="BY74" s="398"/>
      <c r="BZ74" s="398"/>
    </row>
    <row r="75" spans="1:78" x14ac:dyDescent="0.25">
      <c r="A75" s="121" t="s">
        <v>68</v>
      </c>
      <c r="B75" s="121" t="s">
        <v>68</v>
      </c>
      <c r="C75" s="15"/>
      <c r="D75" s="15"/>
      <c r="E75" s="15">
        <v>980</v>
      </c>
      <c r="F75" s="15"/>
      <c r="G75" s="15"/>
      <c r="H75" s="15"/>
      <c r="I75" s="15"/>
      <c r="J75" s="15"/>
      <c r="K75" s="15"/>
      <c r="L75" s="15"/>
      <c r="M75" s="15"/>
      <c r="N75" s="15"/>
      <c r="O75" s="15">
        <v>10</v>
      </c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>
        <v>10</v>
      </c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252"/>
      <c r="AY75" s="15"/>
      <c r="AZ75" s="15"/>
      <c r="BA75" s="15"/>
      <c r="BB75" s="15"/>
      <c r="BC75" s="15"/>
      <c r="BD75" s="15"/>
      <c r="BE75" s="15"/>
      <c r="BF75" s="15"/>
      <c r="BG75" s="26">
        <f t="shared" si="22"/>
        <v>1.0565116584714442</v>
      </c>
      <c r="BH75" s="26">
        <f t="shared" si="23"/>
        <v>1.3710077723142962</v>
      </c>
      <c r="BI75" s="15">
        <v>1500</v>
      </c>
      <c r="BJ75" s="26">
        <f t="shared" si="24"/>
        <v>3.1796895286905902</v>
      </c>
      <c r="BK75" s="15" t="s">
        <v>13</v>
      </c>
      <c r="BL75" s="15">
        <v>42</v>
      </c>
      <c r="BM75" s="15"/>
      <c r="BN75" s="15">
        <v>0</v>
      </c>
      <c r="BO75" s="15">
        <f t="shared" si="25"/>
        <v>1000</v>
      </c>
      <c r="BP75" s="151">
        <v>1.44</v>
      </c>
      <c r="BR75" s="26">
        <f t="shared" si="26"/>
        <v>0.31449611384285192</v>
      </c>
      <c r="BS75" s="15">
        <f t="shared" si="27"/>
        <v>0.5</v>
      </c>
      <c r="BT75" s="12">
        <f t="shared" si="15"/>
        <v>69</v>
      </c>
      <c r="BV75" s="98"/>
      <c r="BW75" s="398"/>
      <c r="BX75" s="398"/>
      <c r="BY75" s="398"/>
      <c r="BZ75" s="398"/>
    </row>
    <row r="76" spans="1:78" x14ac:dyDescent="0.25">
      <c r="A76" s="121" t="s">
        <v>69</v>
      </c>
      <c r="B76" s="121" t="s">
        <v>69</v>
      </c>
      <c r="C76" s="15"/>
      <c r="D76" s="15"/>
      <c r="E76" s="15">
        <v>980</v>
      </c>
      <c r="F76" s="15"/>
      <c r="G76" s="15"/>
      <c r="H76" s="15"/>
      <c r="I76" s="15"/>
      <c r="J76" s="15"/>
      <c r="K76" s="15"/>
      <c r="L76" s="15"/>
      <c r="M76" s="15"/>
      <c r="N76" s="15"/>
      <c r="O76" s="15">
        <v>15</v>
      </c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>
        <v>5</v>
      </c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252"/>
      <c r="AY76" s="15"/>
      <c r="AZ76" s="15"/>
      <c r="BA76" s="15"/>
      <c r="BB76" s="15"/>
      <c r="BC76" s="15"/>
      <c r="BD76" s="15"/>
      <c r="BE76" s="15"/>
      <c r="BF76" s="15"/>
      <c r="BG76" s="26">
        <f t="shared" si="22"/>
        <v>0.93240763781123648</v>
      </c>
      <c r="BH76" s="26">
        <f t="shared" si="23"/>
        <v>1.2467146050395075</v>
      </c>
      <c r="BI76" s="15">
        <v>1550</v>
      </c>
      <c r="BJ76" s="26">
        <f t="shared" si="24"/>
        <v>3.1816030322793711</v>
      </c>
      <c r="BK76" s="15" t="s">
        <v>13</v>
      </c>
      <c r="BL76" s="15">
        <v>42</v>
      </c>
      <c r="BM76" s="15"/>
      <c r="BN76" s="15">
        <v>0</v>
      </c>
      <c r="BO76" s="15">
        <f t="shared" si="25"/>
        <v>1000</v>
      </c>
      <c r="BP76" s="151">
        <v>1.44</v>
      </c>
      <c r="BR76" s="26">
        <f t="shared" si="26"/>
        <v>0.31430696722827095</v>
      </c>
      <c r="BS76" s="15">
        <f t="shared" si="27"/>
        <v>0.55000000000000004</v>
      </c>
      <c r="BT76" s="12">
        <f t="shared" si="15"/>
        <v>70</v>
      </c>
      <c r="BV76" s="98"/>
      <c r="BW76" s="398"/>
      <c r="BX76" s="398"/>
      <c r="BY76" s="398"/>
      <c r="BZ76" s="398"/>
    </row>
    <row r="77" spans="1:78" x14ac:dyDescent="0.25">
      <c r="A77" s="121" t="s">
        <v>70</v>
      </c>
      <c r="B77" s="121" t="s">
        <v>70</v>
      </c>
      <c r="C77" s="15"/>
      <c r="D77" s="15"/>
      <c r="E77" s="15">
        <v>980</v>
      </c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>
        <v>20</v>
      </c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252"/>
      <c r="AY77" s="15"/>
      <c r="AZ77" s="15"/>
      <c r="BA77" s="15"/>
      <c r="BB77" s="15"/>
      <c r="BC77" s="15"/>
      <c r="BD77" s="15"/>
      <c r="BE77" s="15"/>
      <c r="BF77" s="15"/>
      <c r="BG77" s="26">
        <f t="shared" si="22"/>
        <v>0.93080848916068826</v>
      </c>
      <c r="BH77" s="26">
        <f t="shared" si="23"/>
        <v>1.245682896232702</v>
      </c>
      <c r="BI77" s="15">
        <v>1550</v>
      </c>
      <c r="BJ77" s="26">
        <f t="shared" si="24"/>
        <v>3.17586941821948</v>
      </c>
      <c r="BK77" s="15" t="s">
        <v>13</v>
      </c>
      <c r="BL77" s="15">
        <v>42</v>
      </c>
      <c r="BM77" s="15"/>
      <c r="BN77" s="15">
        <v>0</v>
      </c>
      <c r="BO77" s="15">
        <f t="shared" si="25"/>
        <v>1000</v>
      </c>
      <c r="BP77" s="151">
        <v>1.44</v>
      </c>
      <c r="BR77" s="26">
        <f t="shared" si="26"/>
        <v>0.31487440707201381</v>
      </c>
      <c r="BS77" s="15">
        <f t="shared" si="27"/>
        <v>0.55000000000000004</v>
      </c>
      <c r="BT77" s="12">
        <f t="shared" si="15"/>
        <v>71</v>
      </c>
      <c r="BV77" s="98"/>
      <c r="BW77" s="398"/>
      <c r="BX77" s="398"/>
      <c r="BY77" s="398"/>
      <c r="BZ77" s="398"/>
    </row>
    <row r="78" spans="1:78" x14ac:dyDescent="0.25">
      <c r="A78" s="121" t="s">
        <v>71</v>
      </c>
      <c r="B78" s="121" t="s">
        <v>71</v>
      </c>
      <c r="C78" s="15"/>
      <c r="D78" s="15"/>
      <c r="E78" s="15">
        <v>980</v>
      </c>
      <c r="F78" s="15"/>
      <c r="G78" s="15"/>
      <c r="H78" s="15"/>
      <c r="I78" s="15"/>
      <c r="J78" s="15"/>
      <c r="K78" s="15"/>
      <c r="L78" s="15"/>
      <c r="M78" s="15"/>
      <c r="N78" s="15"/>
      <c r="O78" s="15">
        <v>10</v>
      </c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>
        <v>10</v>
      </c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252"/>
      <c r="AY78" s="15"/>
      <c r="AZ78" s="15"/>
      <c r="BA78" s="15"/>
      <c r="BB78" s="15"/>
      <c r="BC78" s="15"/>
      <c r="BD78" s="15"/>
      <c r="BE78" s="15"/>
      <c r="BF78" s="15"/>
      <c r="BG78" s="26">
        <f t="shared" si="22"/>
        <v>0.93187458826105363</v>
      </c>
      <c r="BH78" s="26">
        <f t="shared" si="23"/>
        <v>1.2463707021039054</v>
      </c>
      <c r="BI78" s="15">
        <v>1550</v>
      </c>
      <c r="BJ78" s="26">
        <f t="shared" si="24"/>
        <v>3.1796895286905911</v>
      </c>
      <c r="BK78" s="15" t="s">
        <v>13</v>
      </c>
      <c r="BL78" s="15">
        <v>42</v>
      </c>
      <c r="BM78" s="15"/>
      <c r="BN78" s="15">
        <v>0</v>
      </c>
      <c r="BO78" s="15">
        <f t="shared" si="25"/>
        <v>1000</v>
      </c>
      <c r="BP78" s="151">
        <v>1.44</v>
      </c>
      <c r="BR78" s="26">
        <f t="shared" si="26"/>
        <v>0.31449611384285192</v>
      </c>
      <c r="BS78" s="15">
        <f t="shared" si="27"/>
        <v>0.55000000000000004</v>
      </c>
      <c r="BT78" s="12">
        <f t="shared" si="15"/>
        <v>72</v>
      </c>
      <c r="BV78" s="98"/>
      <c r="BW78" s="398"/>
      <c r="BX78" s="398"/>
      <c r="BY78" s="398"/>
      <c r="BZ78" s="398"/>
    </row>
    <row r="79" spans="1:78" x14ac:dyDescent="0.25">
      <c r="A79" s="121" t="s">
        <v>72</v>
      </c>
      <c r="B79" s="121" t="s">
        <v>72</v>
      </c>
      <c r="C79" s="15"/>
      <c r="D79" s="15"/>
      <c r="E79" s="15"/>
      <c r="F79" s="15"/>
      <c r="G79" s="15">
        <v>553</v>
      </c>
      <c r="H79" s="15"/>
      <c r="I79" s="15">
        <v>276</v>
      </c>
      <c r="J79" s="15"/>
      <c r="K79" s="15">
        <v>56</v>
      </c>
      <c r="L79" s="15"/>
      <c r="M79" s="15"/>
      <c r="N79" s="15"/>
      <c r="O79" s="15">
        <v>17</v>
      </c>
      <c r="P79" s="15">
        <v>41</v>
      </c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>
        <v>19</v>
      </c>
      <c r="AG79" s="15">
        <v>19</v>
      </c>
      <c r="AH79" s="15">
        <v>19</v>
      </c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252"/>
      <c r="AY79" s="15"/>
      <c r="AZ79" s="15"/>
      <c r="BA79" s="15"/>
      <c r="BB79" s="15"/>
      <c r="BC79" s="15"/>
      <c r="BD79" s="15"/>
      <c r="BE79" s="15"/>
      <c r="BF79" s="15"/>
      <c r="BG79" s="26">
        <f t="shared" si="22"/>
        <v>1.5759612067847217</v>
      </c>
      <c r="BH79" s="26">
        <f t="shared" si="23"/>
        <v>1.9441216654979032</v>
      </c>
      <c r="BI79" s="15">
        <v>1325</v>
      </c>
      <c r="BJ79" s="26">
        <f t="shared" si="24"/>
        <v>2.7162069590397224</v>
      </c>
      <c r="BK79" s="15" t="s">
        <v>13</v>
      </c>
      <c r="BL79" s="15">
        <v>42</v>
      </c>
      <c r="BM79" s="15"/>
      <c r="BN79" s="15">
        <v>0</v>
      </c>
      <c r="BO79" s="15">
        <f t="shared" si="25"/>
        <v>1000</v>
      </c>
      <c r="BP79" s="151">
        <v>1.1074999999999999</v>
      </c>
      <c r="BR79" s="26">
        <f t="shared" si="26"/>
        <v>0.36816045871318154</v>
      </c>
      <c r="BS79" s="15">
        <f t="shared" si="27"/>
        <v>0.32499999999999996</v>
      </c>
      <c r="BT79" s="12">
        <f t="shared" si="15"/>
        <v>73</v>
      </c>
      <c r="BV79" s="98"/>
      <c r="BW79" s="398"/>
      <c r="BX79" s="398"/>
      <c r="BY79" s="398"/>
      <c r="BZ79" s="398"/>
    </row>
    <row r="80" spans="1:78" x14ac:dyDescent="0.25">
      <c r="A80" s="121" t="s">
        <v>430</v>
      </c>
      <c r="B80" s="121" t="s">
        <v>430</v>
      </c>
      <c r="C80" s="15"/>
      <c r="D80" s="15"/>
      <c r="E80" s="15"/>
      <c r="F80" s="15"/>
      <c r="G80" s="15">
        <v>553</v>
      </c>
      <c r="H80" s="15"/>
      <c r="I80" s="15"/>
      <c r="J80" s="15">
        <v>276</v>
      </c>
      <c r="K80" s="15">
        <v>56</v>
      </c>
      <c r="L80" s="15"/>
      <c r="M80" s="15"/>
      <c r="N80" s="15"/>
      <c r="O80" s="15">
        <v>17</v>
      </c>
      <c r="P80" s="15">
        <v>41</v>
      </c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>
        <v>19</v>
      </c>
      <c r="AG80" s="15">
        <v>19</v>
      </c>
      <c r="AH80" s="15">
        <v>19</v>
      </c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252"/>
      <c r="AY80" s="15"/>
      <c r="AZ80" s="15"/>
      <c r="BA80" s="15"/>
      <c r="BB80" s="15"/>
      <c r="BC80" s="15"/>
      <c r="BD80" s="15"/>
      <c r="BE80" s="15"/>
      <c r="BF80" s="15"/>
      <c r="BG80" s="26">
        <f t="shared" si="22"/>
        <v>1.6703991885200751</v>
      </c>
      <c r="BH80" s="26">
        <f t="shared" si="23"/>
        <v>2.0153956139774154</v>
      </c>
      <c r="BI80" s="15">
        <v>1325</v>
      </c>
      <c r="BJ80" s="26">
        <f t="shared" si="24"/>
        <v>2.89858075681324</v>
      </c>
      <c r="BK80" s="15" t="s">
        <v>13</v>
      </c>
      <c r="BL80" s="15">
        <v>42</v>
      </c>
      <c r="BM80" s="15"/>
      <c r="BN80" s="15">
        <v>0</v>
      </c>
      <c r="BO80" s="15">
        <f t="shared" si="25"/>
        <v>1000</v>
      </c>
      <c r="BP80" s="151">
        <v>1.0528999999999999</v>
      </c>
      <c r="BR80" s="26">
        <f t="shared" si="26"/>
        <v>0.34499642545734011</v>
      </c>
      <c r="BS80" s="15">
        <f t="shared" si="27"/>
        <v>0.32499999999999996</v>
      </c>
      <c r="BT80" s="12">
        <f t="shared" si="15"/>
        <v>74</v>
      </c>
      <c r="BV80" s="98"/>
      <c r="BW80" s="398"/>
      <c r="BX80" s="398"/>
      <c r="BY80" s="398"/>
      <c r="BZ80" s="398"/>
    </row>
    <row r="81" spans="1:78" x14ac:dyDescent="0.25">
      <c r="A81" s="121" t="s">
        <v>73</v>
      </c>
      <c r="B81" s="121" t="s">
        <v>73</v>
      </c>
      <c r="C81" s="15"/>
      <c r="D81" s="15"/>
      <c r="E81" s="15"/>
      <c r="F81" s="15"/>
      <c r="G81" s="15">
        <v>596</v>
      </c>
      <c r="H81" s="15"/>
      <c r="I81" s="15">
        <v>298</v>
      </c>
      <c r="J81" s="15"/>
      <c r="K81" s="15">
        <v>30</v>
      </c>
      <c r="L81" s="15"/>
      <c r="M81" s="15"/>
      <c r="N81" s="15"/>
      <c r="O81" s="15">
        <v>17</v>
      </c>
      <c r="P81" s="15">
        <v>29</v>
      </c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>
        <v>10</v>
      </c>
      <c r="AG81" s="15">
        <v>10</v>
      </c>
      <c r="AH81" s="15">
        <v>10</v>
      </c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252"/>
      <c r="AY81" s="15"/>
      <c r="AZ81" s="15"/>
      <c r="BA81" s="15"/>
      <c r="BB81" s="15"/>
      <c r="BC81" s="15"/>
      <c r="BD81" s="15"/>
      <c r="BE81" s="15"/>
      <c r="BF81" s="15"/>
      <c r="BG81" s="26">
        <f t="shared" si="22"/>
        <v>1.1759808123539981</v>
      </c>
      <c r="BH81" s="26">
        <f t="shared" si="23"/>
        <v>1.5542720088242845</v>
      </c>
      <c r="BI81" s="15">
        <v>1400</v>
      </c>
      <c r="BJ81" s="26">
        <f t="shared" si="24"/>
        <v>2.6434662221343732</v>
      </c>
      <c r="BK81" s="15" t="s">
        <v>13</v>
      </c>
      <c r="BL81" s="15">
        <v>42</v>
      </c>
      <c r="BM81" s="15"/>
      <c r="BN81" s="15">
        <v>0</v>
      </c>
      <c r="BO81" s="15">
        <f t="shared" si="25"/>
        <v>1000</v>
      </c>
      <c r="BP81" s="151">
        <v>1.1157999999999999</v>
      </c>
      <c r="BR81" s="26">
        <f t="shared" si="26"/>
        <v>0.37829119647028636</v>
      </c>
      <c r="BS81" s="15">
        <f t="shared" si="27"/>
        <v>0.39999999999999991</v>
      </c>
      <c r="BT81" s="12">
        <f t="shared" si="15"/>
        <v>75</v>
      </c>
      <c r="BV81" s="98"/>
      <c r="BW81" s="398"/>
      <c r="BX81" s="398"/>
      <c r="BY81" s="398"/>
      <c r="BZ81" s="398"/>
    </row>
    <row r="82" spans="1:78" x14ac:dyDescent="0.25">
      <c r="A82" s="121" t="s">
        <v>431</v>
      </c>
      <c r="B82" s="121" t="s">
        <v>431</v>
      </c>
      <c r="C82" s="15"/>
      <c r="D82" s="15"/>
      <c r="E82" s="15"/>
      <c r="F82" s="15"/>
      <c r="G82" s="15">
        <v>596</v>
      </c>
      <c r="H82" s="15"/>
      <c r="I82" s="15"/>
      <c r="J82" s="15">
        <v>298</v>
      </c>
      <c r="K82" s="15">
        <v>30</v>
      </c>
      <c r="L82" s="15"/>
      <c r="M82" s="15"/>
      <c r="N82" s="15"/>
      <c r="O82" s="15">
        <v>17</v>
      </c>
      <c r="P82" s="15">
        <v>29</v>
      </c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>
        <v>10</v>
      </c>
      <c r="AG82" s="15">
        <v>10</v>
      </c>
      <c r="AH82" s="15">
        <v>10</v>
      </c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252"/>
      <c r="AY82" s="15"/>
      <c r="AZ82" s="15"/>
      <c r="BA82" s="15"/>
      <c r="BB82" s="15"/>
      <c r="BC82" s="15"/>
      <c r="BD82" s="15"/>
      <c r="BE82" s="15"/>
      <c r="BF82" s="15"/>
      <c r="BG82" s="26">
        <f t="shared" si="22"/>
        <v>1.2635173583171959</v>
      </c>
      <c r="BH82" s="26">
        <f t="shared" si="23"/>
        <v>1.6167981130837115</v>
      </c>
      <c r="BI82" s="15">
        <v>1400</v>
      </c>
      <c r="BJ82" s="26">
        <f t="shared" si="24"/>
        <v>2.8306098945607818</v>
      </c>
      <c r="BK82" s="15" t="s">
        <v>13</v>
      </c>
      <c r="BL82" s="15">
        <v>42</v>
      </c>
      <c r="BM82" s="15"/>
      <c r="BN82" s="15">
        <v>0</v>
      </c>
      <c r="BO82" s="15">
        <f t="shared" si="25"/>
        <v>1000</v>
      </c>
      <c r="BP82" s="151">
        <v>1.1284000000000001</v>
      </c>
      <c r="BR82" s="26">
        <f t="shared" si="26"/>
        <v>0.35328075476651555</v>
      </c>
      <c r="BS82" s="15">
        <f t="shared" si="27"/>
        <v>0.39999999999999991</v>
      </c>
      <c r="BT82" s="12">
        <f t="shared" si="15"/>
        <v>76</v>
      </c>
      <c r="BV82" s="98"/>
      <c r="BW82" s="398"/>
      <c r="BX82" s="398"/>
      <c r="BY82" s="398"/>
      <c r="BZ82" s="398"/>
    </row>
    <row r="83" spans="1:78" x14ac:dyDescent="0.25">
      <c r="A83" s="121" t="s">
        <v>1802</v>
      </c>
      <c r="B83" s="121" t="s">
        <v>1802</v>
      </c>
      <c r="C83" s="15"/>
      <c r="D83" s="15"/>
      <c r="E83" s="15">
        <v>1000</v>
      </c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252"/>
      <c r="AY83" s="15"/>
      <c r="AZ83" s="15"/>
      <c r="BA83" s="15"/>
      <c r="BB83" s="15"/>
      <c r="BC83" s="15"/>
      <c r="BD83" s="15"/>
      <c r="BE83" s="15"/>
      <c r="BF83" s="15"/>
      <c r="BG83" s="26">
        <v>1.0589999999999999</v>
      </c>
      <c r="BH83" s="26">
        <v>1.373</v>
      </c>
      <c r="BI83" s="15">
        <v>1500</v>
      </c>
      <c r="BJ83" s="15">
        <v>3.1880000000000002</v>
      </c>
      <c r="BK83" s="15" t="s">
        <v>13</v>
      </c>
      <c r="BL83" s="15">
        <v>42</v>
      </c>
      <c r="BM83" s="15"/>
      <c r="BN83" s="15">
        <v>0</v>
      </c>
      <c r="BO83" s="15">
        <f t="shared" si="25"/>
        <v>1000</v>
      </c>
      <c r="BP83" s="15">
        <v>1.44</v>
      </c>
      <c r="BR83" s="26">
        <f t="shared" si="26"/>
        <v>0.3125</v>
      </c>
      <c r="BS83" s="15">
        <f t="shared" si="27"/>
        <v>0.5</v>
      </c>
      <c r="BT83" s="12">
        <f t="shared" si="15"/>
        <v>77</v>
      </c>
      <c r="BV83" s="98"/>
      <c r="BW83" s="398"/>
      <c r="BX83" s="398"/>
      <c r="BY83" s="398"/>
      <c r="BZ83" s="398"/>
    </row>
    <row r="84" spans="1:78" x14ac:dyDescent="0.25">
      <c r="A84" s="121" t="s">
        <v>432</v>
      </c>
      <c r="B84" s="121" t="s">
        <v>432</v>
      </c>
      <c r="C84" s="15"/>
      <c r="D84" s="15">
        <v>634.5</v>
      </c>
      <c r="E84" s="15"/>
      <c r="F84" s="15"/>
      <c r="G84" s="15"/>
      <c r="H84" s="15"/>
      <c r="I84" s="15">
        <v>317</v>
      </c>
      <c r="J84" s="15"/>
      <c r="K84" s="15"/>
      <c r="L84" s="15"/>
      <c r="M84" s="15"/>
      <c r="N84" s="15"/>
      <c r="O84" s="15">
        <v>7</v>
      </c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>
        <v>2.5</v>
      </c>
      <c r="AB84" s="15"/>
      <c r="AC84" s="15"/>
      <c r="AD84" s="15"/>
      <c r="AE84" s="15"/>
      <c r="AF84" s="15">
        <v>14</v>
      </c>
      <c r="AG84" s="15"/>
      <c r="AH84" s="15">
        <v>25</v>
      </c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26">
        <f>((BO84-(BI84*BR84))/BS84)/1000</f>
        <v>0.86844498606891374</v>
      </c>
      <c r="BH84" s="26">
        <f>BR84+BG84</f>
        <v>1.2456299907126092</v>
      </c>
      <c r="BI84" s="15">
        <v>1500</v>
      </c>
      <c r="BJ84" s="26">
        <f>1/(BH84-BG84)</f>
        <v>2.6512188652479476</v>
      </c>
      <c r="BK84" s="15" t="s">
        <v>13</v>
      </c>
      <c r="BL84" s="15">
        <v>42</v>
      </c>
      <c r="BM84" s="15"/>
      <c r="BN84" s="15">
        <v>0</v>
      </c>
      <c r="BO84" s="15">
        <f t="shared" si="25"/>
        <v>1000</v>
      </c>
      <c r="BP84" s="151">
        <v>1.2170000000000001</v>
      </c>
      <c r="BR84" s="26">
        <f t="shared" si="26"/>
        <v>0.37718500464369542</v>
      </c>
      <c r="BS84" s="15">
        <f t="shared" si="27"/>
        <v>0.5</v>
      </c>
      <c r="BT84" s="12">
        <f t="shared" si="15"/>
        <v>78</v>
      </c>
      <c r="BV84" s="98" t="s">
        <v>114</v>
      </c>
      <c r="BW84" s="398"/>
      <c r="BX84" s="398"/>
      <c r="BY84" s="398"/>
      <c r="BZ84" s="398"/>
    </row>
    <row r="85" spans="1:78" x14ac:dyDescent="0.25">
      <c r="A85" s="378" t="s">
        <v>433</v>
      </c>
      <c r="B85" s="378" t="s">
        <v>433</v>
      </c>
      <c r="C85" s="15"/>
      <c r="D85" s="15"/>
      <c r="E85" s="15"/>
      <c r="F85" s="15"/>
      <c r="G85" s="15">
        <v>724</v>
      </c>
      <c r="H85" s="15"/>
      <c r="I85" s="15">
        <v>226</v>
      </c>
      <c r="J85" s="15"/>
      <c r="K85" s="15"/>
      <c r="L85" s="15"/>
      <c r="M85" s="15"/>
      <c r="N85" s="15"/>
      <c r="O85" s="15">
        <v>8</v>
      </c>
      <c r="P85" s="15">
        <v>15</v>
      </c>
      <c r="Q85" s="15"/>
      <c r="R85" s="15"/>
      <c r="S85" s="15"/>
      <c r="T85" s="15"/>
      <c r="U85" s="15"/>
      <c r="V85" s="15"/>
      <c r="W85" s="15"/>
      <c r="X85" s="15"/>
      <c r="Y85" s="15">
        <v>2.5</v>
      </c>
      <c r="Z85" s="15"/>
      <c r="AA85" s="15">
        <v>5</v>
      </c>
      <c r="AB85" s="15"/>
      <c r="AC85" s="15"/>
      <c r="AD85" s="15"/>
      <c r="AE85" s="15"/>
      <c r="AF85" s="15"/>
      <c r="AG85" s="15">
        <v>4.5</v>
      </c>
      <c r="AH85" s="15"/>
      <c r="AI85" s="15"/>
      <c r="AJ85" s="15"/>
      <c r="AK85" s="15"/>
      <c r="AL85" s="15"/>
      <c r="AM85" s="15"/>
      <c r="AN85" s="15">
        <v>15</v>
      </c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26">
        <v>0.66200000000000003</v>
      </c>
      <c r="BH85" s="26">
        <v>1.0389999999999999</v>
      </c>
      <c r="BI85" s="15">
        <v>1600</v>
      </c>
      <c r="BJ85" s="26">
        <f>1/(BH85-BG85)</f>
        <v>2.6525198938992052</v>
      </c>
      <c r="BK85" s="15" t="s">
        <v>13</v>
      </c>
      <c r="BL85" s="15">
        <v>42</v>
      </c>
      <c r="BM85" s="15"/>
      <c r="BN85" s="15">
        <v>0</v>
      </c>
      <c r="BO85" s="15">
        <f>SUM(C85:BF85)</f>
        <v>1000</v>
      </c>
      <c r="BP85" s="151">
        <v>1.1633</v>
      </c>
      <c r="BR85" s="26">
        <f t="shared" si="26"/>
        <v>0.378418440502025</v>
      </c>
      <c r="BS85" s="15">
        <f t="shared" si="27"/>
        <v>0.60000000000000009</v>
      </c>
      <c r="BT85" s="12">
        <f t="shared" si="15"/>
        <v>79</v>
      </c>
      <c r="BV85" s="98" t="s">
        <v>114</v>
      </c>
      <c r="BW85" s="398"/>
      <c r="BX85" s="398"/>
      <c r="BY85" s="398"/>
      <c r="BZ85" s="398"/>
    </row>
    <row r="86" spans="1:78" x14ac:dyDescent="0.25">
      <c r="A86" s="378" t="s">
        <v>434</v>
      </c>
      <c r="B86" s="378" t="s">
        <v>434</v>
      </c>
      <c r="C86" s="15"/>
      <c r="D86" s="15"/>
      <c r="E86" s="15"/>
      <c r="F86" s="15"/>
      <c r="G86" s="15">
        <v>713</v>
      </c>
      <c r="H86" s="15"/>
      <c r="I86" s="15"/>
      <c r="J86" s="15">
        <v>237</v>
      </c>
      <c r="K86" s="15"/>
      <c r="L86" s="15"/>
      <c r="M86" s="15"/>
      <c r="N86" s="15"/>
      <c r="O86" s="15">
        <v>8</v>
      </c>
      <c r="P86" s="15">
        <v>15</v>
      </c>
      <c r="Q86" s="15"/>
      <c r="R86" s="15"/>
      <c r="S86" s="15"/>
      <c r="T86" s="15"/>
      <c r="U86" s="15"/>
      <c r="V86" s="15"/>
      <c r="W86" s="15"/>
      <c r="X86" s="15"/>
      <c r="Y86" s="15">
        <v>2.5</v>
      </c>
      <c r="Z86" s="15"/>
      <c r="AA86" s="15">
        <v>5</v>
      </c>
      <c r="AB86" s="15"/>
      <c r="AC86" s="15"/>
      <c r="AD86" s="15"/>
      <c r="AE86" s="15"/>
      <c r="AF86" s="15"/>
      <c r="AG86" s="15">
        <v>4.5</v>
      </c>
      <c r="AH86" s="15"/>
      <c r="AI86" s="15"/>
      <c r="AJ86" s="15"/>
      <c r="AK86" s="15"/>
      <c r="AL86" s="15"/>
      <c r="AM86" s="15"/>
      <c r="AN86" s="15">
        <v>15</v>
      </c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26">
        <v>0.7</v>
      </c>
      <c r="BH86" s="26">
        <v>1.0629999999999999</v>
      </c>
      <c r="BI86" s="15">
        <v>1600</v>
      </c>
      <c r="BJ86" s="26">
        <v>2.7589999999999999</v>
      </c>
      <c r="BK86" s="15" t="s">
        <v>13</v>
      </c>
      <c r="BL86" s="15">
        <v>42</v>
      </c>
      <c r="BM86" s="15"/>
      <c r="BN86" s="15">
        <v>0</v>
      </c>
      <c r="BO86" s="15">
        <f t="shared" si="25"/>
        <v>1000</v>
      </c>
      <c r="BP86" s="151">
        <v>1.1771</v>
      </c>
      <c r="BR86" s="26">
        <f t="shared" si="26"/>
        <v>0.36013532540694837</v>
      </c>
      <c r="BS86" s="15">
        <f t="shared" si="27"/>
        <v>0.60000000000000009</v>
      </c>
      <c r="BT86" s="12">
        <f t="shared" si="15"/>
        <v>80</v>
      </c>
      <c r="BV86" s="98" t="s">
        <v>114</v>
      </c>
      <c r="BW86" s="398"/>
      <c r="BX86" s="398"/>
      <c r="BY86" s="398"/>
      <c r="BZ86" s="398"/>
    </row>
    <row r="87" spans="1:78" x14ac:dyDescent="0.25">
      <c r="A87" s="121" t="s">
        <v>597</v>
      </c>
      <c r="B87" s="121" t="s">
        <v>597</v>
      </c>
      <c r="C87" s="15"/>
      <c r="D87" s="15">
        <v>930</v>
      </c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>
        <v>56</v>
      </c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>
        <v>5</v>
      </c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>
        <v>9</v>
      </c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26">
        <v>0.61299999999999999</v>
      </c>
      <c r="BH87" s="26">
        <v>0.93500000000000005</v>
      </c>
      <c r="BI87" s="15">
        <v>1725</v>
      </c>
      <c r="BJ87" s="26">
        <f>1/(BH87-BG87)</f>
        <v>3.1055900621118004</v>
      </c>
      <c r="BK87" s="15" t="s">
        <v>13</v>
      </c>
      <c r="BL87" s="15">
        <v>31</v>
      </c>
      <c r="BM87" s="15"/>
      <c r="BN87" s="15">
        <v>0</v>
      </c>
      <c r="BO87" s="15">
        <f t="shared" si="25"/>
        <v>1000</v>
      </c>
      <c r="BP87" s="151">
        <v>1.1659999999999999</v>
      </c>
      <c r="BR87" s="26">
        <f t="shared" si="26"/>
        <v>0.32217777386464536</v>
      </c>
      <c r="BS87" s="15">
        <f t="shared" si="27"/>
        <v>0.72500000000000009</v>
      </c>
      <c r="BT87" s="12">
        <f t="shared" si="15"/>
        <v>81</v>
      </c>
      <c r="BV87" s="98" t="s">
        <v>114</v>
      </c>
      <c r="BW87" s="398"/>
      <c r="BX87" s="398"/>
      <c r="BY87" s="398"/>
      <c r="BZ87" s="398"/>
    </row>
    <row r="88" spans="1:78" x14ac:dyDescent="0.25">
      <c r="A88" s="121" t="s">
        <v>1798</v>
      </c>
      <c r="B88" s="121" t="s">
        <v>1798</v>
      </c>
      <c r="C88" s="15"/>
      <c r="D88" s="15">
        <v>578</v>
      </c>
      <c r="E88" s="15"/>
      <c r="F88" s="15"/>
      <c r="G88" s="15"/>
      <c r="H88" s="15"/>
      <c r="I88" s="15">
        <v>422</v>
      </c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26">
        <v>0.58399999999999996</v>
      </c>
      <c r="BH88" s="26">
        <v>0.96599999999999997</v>
      </c>
      <c r="BI88" s="15">
        <v>1640</v>
      </c>
      <c r="BJ88" s="15">
        <v>2.6179999999999999</v>
      </c>
      <c r="BK88" s="15" t="s">
        <v>13</v>
      </c>
      <c r="BL88" s="15">
        <v>3</v>
      </c>
      <c r="BM88" s="15"/>
      <c r="BN88" s="15">
        <v>0</v>
      </c>
      <c r="BO88" s="15">
        <f t="shared" si="25"/>
        <v>1000</v>
      </c>
      <c r="BP88" s="15">
        <v>1.125</v>
      </c>
      <c r="BR88" s="26">
        <f t="shared" si="26"/>
        <v>0.38934572202864887</v>
      </c>
      <c r="BS88" s="15">
        <f t="shared" si="27"/>
        <v>0.6399999999999999</v>
      </c>
      <c r="BT88" s="12">
        <f t="shared" si="15"/>
        <v>82</v>
      </c>
      <c r="BV88" s="98"/>
      <c r="BW88" s="398"/>
      <c r="BX88" s="398"/>
      <c r="BY88" s="398"/>
      <c r="BZ88" s="398"/>
    </row>
    <row r="89" spans="1:78" x14ac:dyDescent="0.25">
      <c r="A89" s="121" t="s">
        <v>1803</v>
      </c>
      <c r="B89" s="121" t="s">
        <v>1803</v>
      </c>
      <c r="C89" s="15"/>
      <c r="D89" s="15">
        <v>578</v>
      </c>
      <c r="E89" s="15"/>
      <c r="F89" s="15"/>
      <c r="G89" s="15"/>
      <c r="H89" s="15"/>
      <c r="I89" s="15"/>
      <c r="J89" s="15">
        <v>422</v>
      </c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26">
        <v>0.65500000000000003</v>
      </c>
      <c r="BH89" s="26">
        <v>1.0089999999999999</v>
      </c>
      <c r="BI89" s="15">
        <v>1640</v>
      </c>
      <c r="BJ89" s="15">
        <v>2.8250000000000002</v>
      </c>
      <c r="BK89" s="15" t="s">
        <v>13</v>
      </c>
      <c r="BL89" s="15">
        <v>3</v>
      </c>
      <c r="BM89" s="15"/>
      <c r="BN89" s="15">
        <v>0</v>
      </c>
      <c r="BO89" s="15">
        <f t="shared" si="25"/>
        <v>1000</v>
      </c>
      <c r="BP89" s="15">
        <v>1.125</v>
      </c>
      <c r="BR89" s="26">
        <f t="shared" si="26"/>
        <v>0.3539282508910942</v>
      </c>
      <c r="BS89" s="15">
        <f t="shared" si="27"/>
        <v>0.6399999999999999</v>
      </c>
      <c r="BT89" s="12">
        <f t="shared" si="15"/>
        <v>83</v>
      </c>
      <c r="BV89" s="98"/>
      <c r="BW89" s="398"/>
      <c r="BX89" s="398"/>
      <c r="BY89" s="398"/>
      <c r="BZ89" s="398"/>
    </row>
    <row r="90" spans="1:78" x14ac:dyDescent="0.25">
      <c r="A90" s="121" t="s">
        <v>1824</v>
      </c>
      <c r="B90" s="121" t="s">
        <v>1824</v>
      </c>
      <c r="C90" s="15"/>
      <c r="D90" s="15"/>
      <c r="E90" s="15">
        <v>410</v>
      </c>
      <c r="F90" s="15"/>
      <c r="G90" s="15"/>
      <c r="H90" s="15"/>
      <c r="I90" s="15">
        <v>533</v>
      </c>
      <c r="J90" s="15"/>
      <c r="K90" s="15"/>
      <c r="L90" s="15"/>
      <c r="M90" s="15"/>
      <c r="N90" s="15"/>
      <c r="O90" s="15">
        <v>57</v>
      </c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26">
        <v>0.8</v>
      </c>
      <c r="BH90" s="26">
        <v>1.2050000000000001</v>
      </c>
      <c r="BI90" s="15">
        <v>1494</v>
      </c>
      <c r="BJ90" s="15">
        <v>2.4700000000000002</v>
      </c>
      <c r="BK90" s="15" t="s">
        <v>13</v>
      </c>
      <c r="BL90" s="15">
        <v>4</v>
      </c>
      <c r="BM90" s="15"/>
      <c r="BN90" s="15">
        <v>0</v>
      </c>
      <c r="BO90" s="15">
        <f t="shared" si="25"/>
        <v>1000</v>
      </c>
      <c r="BP90" s="15"/>
      <c r="BR90" s="26"/>
      <c r="BS90" s="15"/>
      <c r="BT90" s="12">
        <f t="shared" si="15"/>
        <v>84</v>
      </c>
      <c r="BV90" s="98"/>
      <c r="BW90" s="398"/>
      <c r="BX90" s="398"/>
      <c r="BY90" s="398"/>
      <c r="BZ90" s="398"/>
    </row>
    <row r="91" spans="1:78" x14ac:dyDescent="0.25">
      <c r="A91" s="121" t="s">
        <v>1790</v>
      </c>
      <c r="B91" s="121" t="s">
        <v>1790</v>
      </c>
      <c r="C91" s="15"/>
      <c r="D91" s="15">
        <v>647</v>
      </c>
      <c r="E91" s="15"/>
      <c r="F91" s="15"/>
      <c r="G91" s="15"/>
      <c r="H91" s="15"/>
      <c r="I91" s="15">
        <v>333</v>
      </c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>
        <v>15</v>
      </c>
      <c r="AG91" s="15">
        <v>5</v>
      </c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26">
        <v>0.89100000000000001</v>
      </c>
      <c r="BH91" s="26">
        <v>1.2609999999999999</v>
      </c>
      <c r="BI91" s="15">
        <v>1500</v>
      </c>
      <c r="BJ91" s="15">
        <v>2.7050000000000001</v>
      </c>
      <c r="BK91" s="15" t="s">
        <v>13</v>
      </c>
      <c r="BL91" s="15">
        <v>31</v>
      </c>
      <c r="BM91" s="15"/>
      <c r="BN91" s="15">
        <v>0</v>
      </c>
      <c r="BO91" s="15">
        <f t="shared" si="25"/>
        <v>1000</v>
      </c>
      <c r="BP91" s="15">
        <v>1.19</v>
      </c>
      <c r="BR91" s="26">
        <f t="shared" ref="BR91:BR113" si="28">((C91*C$5+D91*D$5+E91*E$5+F91*F$5+G91*G$5+H91*H$5+I91*I$5+J91*J$5+L91*L$5+M91*M$5+N91*N$5+O91*O$5+P91*P$5+Q91*Q$5+R91*R$5+S91*S$5+T91*T$5+U91*U$5+V91*V$5+W91*W$5+X91*X$5+Y91*Y$5+Z91*Z$5+AA91*AA$5+AB91*AB$5+AC91*AC$5+AD91*AD$5+AE91*AE$5+AF91*AF$5+AG91*AG$5+AH91*AH$5+AI91*AI$5+AJ91*AJ$5+AK91*AK$5+AL91*AL$5+AM91*AM$5+AN91*AN$5+AO91*AO$5+AP91*AP$5+AQ91*AQ$5+AR91*AR$5+AS91*AS$5+AT91*AT$5+AU91*AU$5+AV91*AV$5+AW91*AW$5+AX91*AX$5+AY91*AY$5+AZ91*AZ$5+BA91*BA$5+BB91*BB$5+BC91*BC$5+BD91*BD$5+BE91*BE$5+BF91*BF$5)/1000)</f>
        <v>0.37617191751169982</v>
      </c>
      <c r="BS91" s="15">
        <f t="shared" ref="BS91:BS113" si="29">BI91/1000-1</f>
        <v>0.5</v>
      </c>
      <c r="BT91" s="12">
        <f t="shared" si="15"/>
        <v>85</v>
      </c>
      <c r="BV91" s="98"/>
      <c r="BW91" s="398"/>
      <c r="BX91" s="398"/>
      <c r="BY91" s="398"/>
      <c r="BZ91" s="398"/>
    </row>
    <row r="92" spans="1:78" x14ac:dyDescent="0.25">
      <c r="A92" s="121" t="s">
        <v>1816</v>
      </c>
      <c r="B92" s="121" t="s">
        <v>1816</v>
      </c>
      <c r="C92" s="15"/>
      <c r="D92" s="15">
        <v>641</v>
      </c>
      <c r="E92" s="15"/>
      <c r="F92" s="15"/>
      <c r="G92" s="15"/>
      <c r="H92" s="15"/>
      <c r="I92" s="15"/>
      <c r="J92" s="15">
        <v>339</v>
      </c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>
        <v>15</v>
      </c>
      <c r="AG92" s="15"/>
      <c r="AH92" s="15">
        <v>5</v>
      </c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26">
        <v>0.95599999999999996</v>
      </c>
      <c r="BH92" s="26">
        <v>1.034</v>
      </c>
      <c r="BI92" s="15">
        <v>1500</v>
      </c>
      <c r="BJ92" s="15">
        <v>2.8730000000000002</v>
      </c>
      <c r="BK92" s="15" t="s">
        <v>13</v>
      </c>
      <c r="BL92" s="15">
        <v>31</v>
      </c>
      <c r="BM92" s="15"/>
      <c r="BN92" s="15">
        <v>0</v>
      </c>
      <c r="BO92" s="15">
        <f t="shared" si="25"/>
        <v>1000</v>
      </c>
      <c r="BP92" s="15">
        <v>1.19</v>
      </c>
      <c r="BR92" s="26">
        <f t="shared" si="28"/>
        <v>0.34895253937834453</v>
      </c>
      <c r="BS92" s="15">
        <f t="shared" si="29"/>
        <v>0.5</v>
      </c>
      <c r="BT92" s="12">
        <f t="shared" si="15"/>
        <v>86</v>
      </c>
      <c r="BV92" s="98"/>
      <c r="BW92" s="398"/>
      <c r="BX92" s="398"/>
      <c r="BY92" s="398"/>
      <c r="BZ92" s="398"/>
    </row>
    <row r="93" spans="1:78" x14ac:dyDescent="0.25">
      <c r="A93" s="121" t="s">
        <v>538</v>
      </c>
      <c r="B93" s="121" t="s">
        <v>538</v>
      </c>
      <c r="C93" s="15"/>
      <c r="D93" s="15">
        <v>641</v>
      </c>
      <c r="E93" s="15"/>
      <c r="F93" s="15"/>
      <c r="G93" s="15"/>
      <c r="H93" s="15"/>
      <c r="I93" s="15">
        <v>320</v>
      </c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>
        <v>14</v>
      </c>
      <c r="AG93" s="15"/>
      <c r="AH93" s="15">
        <v>25</v>
      </c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252"/>
      <c r="AY93" s="15"/>
      <c r="AZ93" s="15"/>
      <c r="BA93" s="15"/>
      <c r="BB93" s="15"/>
      <c r="BC93" s="15"/>
      <c r="BD93" s="15"/>
      <c r="BE93" s="15"/>
      <c r="BF93" s="15"/>
      <c r="BG93" s="26">
        <v>0.86</v>
      </c>
      <c r="BH93" s="26">
        <v>1.24</v>
      </c>
      <c r="BI93" s="15">
        <v>1500</v>
      </c>
      <c r="BJ93" s="26">
        <f>1/(BH93-BG93)</f>
        <v>2.6315789473684212</v>
      </c>
      <c r="BK93" s="15" t="s">
        <v>539</v>
      </c>
      <c r="BL93" s="15">
        <v>31</v>
      </c>
      <c r="BM93" s="15"/>
      <c r="BN93" s="15">
        <v>0</v>
      </c>
      <c r="BO93" s="15">
        <f t="shared" si="25"/>
        <v>1000</v>
      </c>
      <c r="BP93" s="151">
        <v>1.1911</v>
      </c>
      <c r="BR93" s="26">
        <f t="shared" si="28"/>
        <v>0.37601567218404042</v>
      </c>
      <c r="BS93" s="15">
        <f t="shared" si="29"/>
        <v>0.5</v>
      </c>
      <c r="BT93" s="12">
        <f t="shared" si="15"/>
        <v>87</v>
      </c>
      <c r="BV93" s="98"/>
      <c r="BW93" s="398"/>
      <c r="BX93" s="398"/>
      <c r="BY93" s="398"/>
      <c r="BZ93" s="398"/>
    </row>
    <row r="94" spans="1:78" x14ac:dyDescent="0.25">
      <c r="A94" s="121" t="s">
        <v>598</v>
      </c>
      <c r="B94" s="121" t="s">
        <v>598</v>
      </c>
      <c r="C94" s="15"/>
      <c r="D94" s="15"/>
      <c r="E94" s="15">
        <v>569</v>
      </c>
      <c r="F94" s="15"/>
      <c r="G94" s="15"/>
      <c r="H94" s="15"/>
      <c r="I94" s="15">
        <v>285</v>
      </c>
      <c r="J94" s="15"/>
      <c r="K94" s="15">
        <v>103</v>
      </c>
      <c r="L94" s="15"/>
      <c r="M94" s="15"/>
      <c r="N94" s="15"/>
      <c r="O94" s="15">
        <v>20</v>
      </c>
      <c r="P94" s="15">
        <v>15</v>
      </c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>
        <v>5</v>
      </c>
      <c r="AB94" s="15"/>
      <c r="AC94" s="15"/>
      <c r="AD94" s="15"/>
      <c r="AE94" s="15"/>
      <c r="AF94" s="15">
        <v>3</v>
      </c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252"/>
      <c r="AY94" s="15"/>
      <c r="AZ94" s="15"/>
      <c r="BA94" s="15"/>
      <c r="BB94" s="15"/>
      <c r="BC94" s="15"/>
      <c r="BD94" s="15"/>
      <c r="BE94" s="15"/>
      <c r="BF94" s="15"/>
      <c r="BG94" s="26">
        <v>0.748</v>
      </c>
      <c r="BH94" s="26">
        <v>1.127</v>
      </c>
      <c r="BI94" s="15">
        <v>1550</v>
      </c>
      <c r="BJ94" s="15">
        <v>2.6749999999999998</v>
      </c>
      <c r="BK94" s="15" t="s">
        <v>18</v>
      </c>
      <c r="BL94" s="15">
        <v>4</v>
      </c>
      <c r="BM94" s="15"/>
      <c r="BN94" s="15">
        <v>0</v>
      </c>
      <c r="BO94" s="15">
        <f t="shared" si="25"/>
        <v>1000</v>
      </c>
      <c r="BP94" s="15">
        <v>1.091</v>
      </c>
      <c r="BR94" s="26">
        <f t="shared" si="28"/>
        <v>0.33526937221273412</v>
      </c>
      <c r="BS94" s="15">
        <f t="shared" si="29"/>
        <v>0.55000000000000004</v>
      </c>
      <c r="BT94" s="12">
        <f t="shared" si="15"/>
        <v>88</v>
      </c>
      <c r="BV94" s="98" t="s">
        <v>114</v>
      </c>
      <c r="BW94" s="398"/>
      <c r="BX94" s="398"/>
      <c r="BY94" s="398"/>
      <c r="BZ94" s="398"/>
    </row>
    <row r="95" spans="1:78" x14ac:dyDescent="0.25">
      <c r="A95" s="121" t="s">
        <v>435</v>
      </c>
      <c r="B95" s="121" t="s">
        <v>435</v>
      </c>
      <c r="C95" s="15"/>
      <c r="D95" s="15"/>
      <c r="E95" s="15"/>
      <c r="F95" s="15"/>
      <c r="G95" s="15">
        <v>655</v>
      </c>
      <c r="H95" s="15"/>
      <c r="I95" s="15"/>
      <c r="J95" s="15"/>
      <c r="K95" s="15"/>
      <c r="L95" s="15"/>
      <c r="M95" s="15">
        <v>327</v>
      </c>
      <c r="N95" s="15"/>
      <c r="O95" s="15">
        <v>18</v>
      </c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252"/>
      <c r="AY95" s="15"/>
      <c r="AZ95" s="15"/>
      <c r="BA95" s="15"/>
      <c r="BB95" s="15"/>
      <c r="BC95" s="15"/>
      <c r="BD95" s="15"/>
      <c r="BE95" s="15"/>
      <c r="BF95" s="15"/>
      <c r="BG95" s="26">
        <f t="shared" ref="BG95:BG110" si="30">((BO95-(BI95*BR95))/BS95)/1000</f>
        <v>1.7437033200254455</v>
      </c>
      <c r="BH95" s="26">
        <f t="shared" ref="BH95:BH110" si="31">BR95+BG95</f>
        <v>2.1105410154041886</v>
      </c>
      <c r="BI95" s="15">
        <v>1300</v>
      </c>
      <c r="BJ95" s="26">
        <f t="shared" ref="BJ95:BJ110" si="32">1/(BH95-BG95)</f>
        <v>2.7260012059762446</v>
      </c>
      <c r="BK95" s="15" t="s">
        <v>18</v>
      </c>
      <c r="BL95" s="15">
        <v>42</v>
      </c>
      <c r="BM95" s="15"/>
      <c r="BN95" s="15">
        <v>0</v>
      </c>
      <c r="BO95" s="15">
        <f t="shared" si="25"/>
        <v>1000</v>
      </c>
      <c r="BP95" s="151">
        <v>1.3</v>
      </c>
      <c r="BR95" s="26">
        <f t="shared" si="28"/>
        <v>0.36683769537874333</v>
      </c>
      <c r="BS95" s="15">
        <f t="shared" si="29"/>
        <v>0.30000000000000004</v>
      </c>
      <c r="BT95" s="12">
        <f t="shared" si="15"/>
        <v>89</v>
      </c>
      <c r="BV95" s="98"/>
      <c r="BW95" s="398"/>
      <c r="BX95" s="398"/>
      <c r="BY95" s="398"/>
      <c r="BZ95" s="398"/>
    </row>
    <row r="96" spans="1:78" x14ac:dyDescent="0.25">
      <c r="A96" s="121" t="s">
        <v>436</v>
      </c>
      <c r="B96" s="121" t="s">
        <v>436</v>
      </c>
      <c r="C96" s="15"/>
      <c r="D96" s="15"/>
      <c r="E96" s="15"/>
      <c r="F96" s="15"/>
      <c r="G96" s="15">
        <v>801</v>
      </c>
      <c r="H96" s="15"/>
      <c r="I96" s="15"/>
      <c r="J96" s="15"/>
      <c r="K96" s="15"/>
      <c r="L96" s="15"/>
      <c r="M96" s="15">
        <v>159</v>
      </c>
      <c r="N96" s="15"/>
      <c r="O96" s="15">
        <v>40</v>
      </c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252"/>
      <c r="AY96" s="15"/>
      <c r="AZ96" s="15"/>
      <c r="BA96" s="15"/>
      <c r="BB96" s="15"/>
      <c r="BC96" s="15"/>
      <c r="BD96" s="15"/>
      <c r="BE96" s="15"/>
      <c r="BF96" s="15"/>
      <c r="BG96" s="26">
        <f t="shared" si="30"/>
        <v>1.2557064521087646</v>
      </c>
      <c r="BH96" s="26">
        <f t="shared" si="31"/>
        <v>1.6112188943634034</v>
      </c>
      <c r="BI96" s="15">
        <v>1400</v>
      </c>
      <c r="BJ96" s="26">
        <f t="shared" si="32"/>
        <v>2.8128410743040653</v>
      </c>
      <c r="BK96" s="15" t="s">
        <v>18</v>
      </c>
      <c r="BL96" s="15">
        <v>42</v>
      </c>
      <c r="BM96" s="15"/>
      <c r="BN96" s="15">
        <v>0</v>
      </c>
      <c r="BO96" s="15">
        <f t="shared" si="25"/>
        <v>1000</v>
      </c>
      <c r="BP96" s="151">
        <v>1.32</v>
      </c>
      <c r="BR96" s="26">
        <f t="shared" si="28"/>
        <v>0.35551244225463879</v>
      </c>
      <c r="BS96" s="15">
        <f t="shared" si="29"/>
        <v>0.39999999999999991</v>
      </c>
      <c r="BT96" s="12">
        <f t="shared" si="15"/>
        <v>90</v>
      </c>
      <c r="BV96" s="98"/>
      <c r="BW96" s="398"/>
      <c r="BX96" s="398"/>
      <c r="BY96" s="398"/>
      <c r="BZ96" s="398"/>
    </row>
    <row r="97" spans="1:78" x14ac:dyDescent="0.25">
      <c r="A97" s="121" t="s">
        <v>437</v>
      </c>
      <c r="B97" s="121" t="s">
        <v>437</v>
      </c>
      <c r="C97" s="15"/>
      <c r="D97" s="15"/>
      <c r="E97" s="15"/>
      <c r="F97" s="15"/>
      <c r="G97" s="15">
        <v>769</v>
      </c>
      <c r="H97" s="15"/>
      <c r="I97" s="15"/>
      <c r="J97" s="15"/>
      <c r="K97" s="15"/>
      <c r="L97" s="15"/>
      <c r="M97" s="15"/>
      <c r="N97" s="15">
        <v>231</v>
      </c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252"/>
      <c r="AY97" s="15"/>
      <c r="AZ97" s="15"/>
      <c r="BA97" s="15"/>
      <c r="BB97" s="15"/>
      <c r="BC97" s="15"/>
      <c r="BD97" s="15"/>
      <c r="BE97" s="15"/>
      <c r="BF97" s="15"/>
      <c r="BG97" s="26">
        <f t="shared" si="30"/>
        <v>0.57721375858361923</v>
      </c>
      <c r="BH97" s="26">
        <f t="shared" si="31"/>
        <v>0.92777279916683486</v>
      </c>
      <c r="BI97" s="15">
        <v>1700</v>
      </c>
      <c r="BJ97" s="26">
        <f t="shared" si="32"/>
        <v>2.8525865381658022</v>
      </c>
      <c r="BK97" s="15" t="s">
        <v>18</v>
      </c>
      <c r="BL97" s="15">
        <v>31</v>
      </c>
      <c r="BM97" s="15"/>
      <c r="BN97" s="15">
        <v>0</v>
      </c>
      <c r="BO97" s="15">
        <f t="shared" si="25"/>
        <v>1000</v>
      </c>
      <c r="BP97" s="151">
        <v>1.33</v>
      </c>
      <c r="BR97" s="26">
        <f t="shared" si="28"/>
        <v>0.35055904058321563</v>
      </c>
      <c r="BS97" s="15">
        <f t="shared" si="29"/>
        <v>0.7</v>
      </c>
      <c r="BT97" s="12">
        <f t="shared" si="15"/>
        <v>91</v>
      </c>
      <c r="BV97" s="98"/>
      <c r="BW97" s="398"/>
      <c r="BX97" s="398"/>
      <c r="BY97" s="398"/>
      <c r="BZ97" s="398"/>
    </row>
    <row r="98" spans="1:78" x14ac:dyDescent="0.25">
      <c r="A98" s="121" t="s">
        <v>438</v>
      </c>
      <c r="B98" s="121" t="s">
        <v>438</v>
      </c>
      <c r="C98" s="15"/>
      <c r="D98" s="15"/>
      <c r="E98" s="15"/>
      <c r="F98" s="15"/>
      <c r="G98" s="15">
        <v>698</v>
      </c>
      <c r="H98" s="15"/>
      <c r="I98" s="15"/>
      <c r="J98" s="15"/>
      <c r="K98" s="15"/>
      <c r="L98" s="15"/>
      <c r="M98" s="15"/>
      <c r="N98" s="15">
        <v>208</v>
      </c>
      <c r="O98" s="15"/>
      <c r="P98" s="15"/>
      <c r="Q98" s="15"/>
      <c r="R98" s="15"/>
      <c r="S98" s="15"/>
      <c r="T98" s="15">
        <v>94</v>
      </c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252"/>
      <c r="AY98" s="15"/>
      <c r="AZ98" s="15"/>
      <c r="BA98" s="15"/>
      <c r="BB98" s="15"/>
      <c r="BC98" s="15"/>
      <c r="BD98" s="15"/>
      <c r="BE98" s="15"/>
      <c r="BF98" s="15"/>
      <c r="BG98" s="26">
        <f t="shared" si="30"/>
        <v>0.68433687461651316</v>
      </c>
      <c r="BH98" s="26">
        <f t="shared" si="31"/>
        <v>1.2956437497050102</v>
      </c>
      <c r="BI98" s="15">
        <v>1300</v>
      </c>
      <c r="BJ98" s="26">
        <f t="shared" si="32"/>
        <v>1.6358396097790215</v>
      </c>
      <c r="BK98" s="15" t="s">
        <v>18</v>
      </c>
      <c r="BL98" s="15">
        <v>31</v>
      </c>
      <c r="BM98" s="15"/>
      <c r="BN98" s="15">
        <v>0</v>
      </c>
      <c r="BO98" s="15">
        <f t="shared" si="25"/>
        <v>1000</v>
      </c>
      <c r="BP98" s="151">
        <v>0.87480000000000002</v>
      </c>
      <c r="BR98" s="26">
        <f t="shared" si="28"/>
        <v>0.6113068750884969</v>
      </c>
      <c r="BS98" s="15">
        <f t="shared" si="29"/>
        <v>0.30000000000000004</v>
      </c>
      <c r="BT98" s="12">
        <f t="shared" si="15"/>
        <v>92</v>
      </c>
      <c r="BV98" s="98"/>
      <c r="BW98" s="398"/>
      <c r="BX98" s="398"/>
      <c r="BY98" s="398"/>
      <c r="BZ98" s="398"/>
    </row>
    <row r="99" spans="1:78" x14ac:dyDescent="0.25">
      <c r="A99" s="121" t="s">
        <v>439</v>
      </c>
      <c r="B99" s="121" t="s">
        <v>439</v>
      </c>
      <c r="C99" s="15"/>
      <c r="D99" s="15"/>
      <c r="E99" s="15"/>
      <c r="F99" s="15"/>
      <c r="G99" s="15">
        <v>708</v>
      </c>
      <c r="H99" s="15"/>
      <c r="I99" s="15"/>
      <c r="J99" s="15"/>
      <c r="K99" s="15"/>
      <c r="L99" s="15"/>
      <c r="M99" s="15"/>
      <c r="N99" s="15">
        <v>212</v>
      </c>
      <c r="O99" s="15"/>
      <c r="P99" s="15"/>
      <c r="Q99" s="15"/>
      <c r="R99" s="15"/>
      <c r="S99" s="15"/>
      <c r="T99" s="15">
        <v>80</v>
      </c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252"/>
      <c r="AY99" s="15"/>
      <c r="AZ99" s="15"/>
      <c r="BA99" s="15"/>
      <c r="BB99" s="15"/>
      <c r="BC99" s="15"/>
      <c r="BD99" s="15"/>
      <c r="BE99" s="15"/>
      <c r="BF99" s="15"/>
      <c r="BG99" s="26">
        <f t="shared" si="30"/>
        <v>0.64895073068048903</v>
      </c>
      <c r="BH99" s="26">
        <f t="shared" si="31"/>
        <v>1.2214449856892511</v>
      </c>
      <c r="BI99" s="15">
        <v>1350</v>
      </c>
      <c r="BJ99" s="26">
        <f t="shared" si="32"/>
        <v>1.7467424192487224</v>
      </c>
      <c r="BK99" s="15" t="s">
        <v>13</v>
      </c>
      <c r="BL99" s="15">
        <v>42</v>
      </c>
      <c r="BM99" s="15"/>
      <c r="BN99" s="15">
        <v>0</v>
      </c>
      <c r="BO99" s="15">
        <f t="shared" si="25"/>
        <v>1000</v>
      </c>
      <c r="BP99" s="151">
        <v>0.88529999999999998</v>
      </c>
      <c r="BR99" s="26">
        <f t="shared" si="28"/>
        <v>0.57249425500876205</v>
      </c>
      <c r="BS99" s="15">
        <f t="shared" si="29"/>
        <v>0.35000000000000009</v>
      </c>
      <c r="BT99" s="12">
        <f t="shared" si="15"/>
        <v>93</v>
      </c>
      <c r="BV99" s="98"/>
      <c r="BW99" s="398"/>
      <c r="BX99" s="398"/>
      <c r="BY99" s="398"/>
      <c r="BZ99" s="398"/>
    </row>
    <row r="100" spans="1:78" x14ac:dyDescent="0.25">
      <c r="A100" s="121" t="s">
        <v>440</v>
      </c>
      <c r="B100" s="121" t="s">
        <v>440</v>
      </c>
      <c r="C100" s="15"/>
      <c r="D100" s="15"/>
      <c r="E100" s="15"/>
      <c r="F100" s="15"/>
      <c r="G100" s="15">
        <v>712</v>
      </c>
      <c r="H100" s="15"/>
      <c r="I100" s="15"/>
      <c r="J100" s="15"/>
      <c r="K100" s="15"/>
      <c r="L100" s="15"/>
      <c r="M100" s="15"/>
      <c r="N100" s="15">
        <v>213</v>
      </c>
      <c r="O100" s="15"/>
      <c r="P100" s="15"/>
      <c r="Q100" s="15"/>
      <c r="R100" s="15"/>
      <c r="S100" s="15"/>
      <c r="T100" s="15">
        <v>75</v>
      </c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252"/>
      <c r="AY100" s="15"/>
      <c r="AZ100" s="15"/>
      <c r="BA100" s="15"/>
      <c r="BB100" s="15"/>
      <c r="BC100" s="15"/>
      <c r="BD100" s="15"/>
      <c r="BE100" s="15"/>
      <c r="BF100" s="15"/>
      <c r="BG100" s="26">
        <f t="shared" si="30"/>
        <v>0.54484375466841428</v>
      </c>
      <c r="BH100" s="26">
        <f t="shared" si="31"/>
        <v>1.1034598247631531</v>
      </c>
      <c r="BI100" s="15">
        <v>1400</v>
      </c>
      <c r="BJ100" s="26">
        <f t="shared" si="32"/>
        <v>1.7901382604879312</v>
      </c>
      <c r="BK100" s="15" t="s">
        <v>13</v>
      </c>
      <c r="BL100" s="15">
        <v>42</v>
      </c>
      <c r="BM100" s="15"/>
      <c r="BN100" s="15">
        <v>0</v>
      </c>
      <c r="BO100" s="15">
        <f t="shared" si="25"/>
        <v>1000</v>
      </c>
      <c r="BP100" s="151">
        <v>0.89229999999999998</v>
      </c>
      <c r="BR100" s="26">
        <f t="shared" si="28"/>
        <v>0.55861607009473879</v>
      </c>
      <c r="BS100" s="15">
        <f t="shared" si="29"/>
        <v>0.39999999999999991</v>
      </c>
      <c r="BT100" s="12">
        <f t="shared" si="15"/>
        <v>94</v>
      </c>
      <c r="BV100" s="98"/>
      <c r="BW100" s="398"/>
      <c r="BX100" s="398"/>
      <c r="BY100" s="398"/>
      <c r="BZ100" s="398"/>
    </row>
    <row r="101" spans="1:78" x14ac:dyDescent="0.25">
      <c r="A101" s="121" t="s">
        <v>139</v>
      </c>
      <c r="B101" s="121" t="s">
        <v>139</v>
      </c>
      <c r="C101" s="15"/>
      <c r="D101" s="15"/>
      <c r="E101" s="15"/>
      <c r="F101" s="15"/>
      <c r="G101" s="15">
        <v>704</v>
      </c>
      <c r="H101" s="15"/>
      <c r="I101" s="15"/>
      <c r="J101" s="15"/>
      <c r="K101" s="15"/>
      <c r="L101" s="15"/>
      <c r="M101" s="15"/>
      <c r="N101" s="15">
        <v>211</v>
      </c>
      <c r="O101" s="15"/>
      <c r="P101" s="15"/>
      <c r="Q101" s="15"/>
      <c r="R101" s="15"/>
      <c r="S101" s="15"/>
      <c r="T101" s="15"/>
      <c r="U101" s="15">
        <v>85</v>
      </c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252"/>
      <c r="AY101" s="15"/>
      <c r="AZ101" s="15"/>
      <c r="BA101" s="15"/>
      <c r="BB101" s="15"/>
      <c r="BC101" s="15"/>
      <c r="BD101" s="15"/>
      <c r="BE101" s="15"/>
      <c r="BF101" s="15"/>
      <c r="BG101" s="26">
        <f t="shared" si="30"/>
        <v>0.59448922342814614</v>
      </c>
      <c r="BH101" s="26">
        <f t="shared" si="31"/>
        <v>1.1389208738772472</v>
      </c>
      <c r="BI101" s="15">
        <v>1400</v>
      </c>
      <c r="BJ101" s="26">
        <f t="shared" si="32"/>
        <v>1.8367778566420618</v>
      </c>
      <c r="BK101" s="15" t="s">
        <v>13</v>
      </c>
      <c r="BL101" s="15">
        <v>30</v>
      </c>
      <c r="BM101" s="15"/>
      <c r="BN101" s="15">
        <v>0</v>
      </c>
      <c r="BO101" s="15">
        <f t="shared" si="25"/>
        <v>1000</v>
      </c>
      <c r="BP101" s="151">
        <v>0.92049999999999998</v>
      </c>
      <c r="BR101" s="26">
        <f t="shared" si="28"/>
        <v>0.54443165044910113</v>
      </c>
      <c r="BS101" s="15">
        <f t="shared" si="29"/>
        <v>0.39999999999999991</v>
      </c>
      <c r="BT101" s="12">
        <f t="shared" si="15"/>
        <v>95</v>
      </c>
      <c r="BV101" s="98"/>
      <c r="BW101" s="398"/>
      <c r="BX101" s="398"/>
      <c r="BY101" s="398"/>
      <c r="BZ101" s="398"/>
    </row>
    <row r="102" spans="1:78" x14ac:dyDescent="0.25">
      <c r="A102" s="121" t="s">
        <v>74</v>
      </c>
      <c r="B102" s="121" t="s">
        <v>74</v>
      </c>
      <c r="C102" s="15"/>
      <c r="D102" s="15"/>
      <c r="E102" s="15"/>
      <c r="F102" s="15"/>
      <c r="G102" s="15">
        <v>730</v>
      </c>
      <c r="H102" s="15"/>
      <c r="I102" s="15"/>
      <c r="J102" s="15"/>
      <c r="K102" s="15"/>
      <c r="L102" s="15"/>
      <c r="M102" s="15"/>
      <c r="N102" s="15">
        <v>219</v>
      </c>
      <c r="O102" s="15"/>
      <c r="P102" s="15">
        <v>44</v>
      </c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>
        <v>7</v>
      </c>
      <c r="AO102" s="15"/>
      <c r="AP102" s="15"/>
      <c r="AQ102" s="15"/>
      <c r="AR102" s="15"/>
      <c r="AS102" s="15"/>
      <c r="AT102" s="15"/>
      <c r="AU102" s="15"/>
      <c r="AV102" s="15"/>
      <c r="AW102" s="15"/>
      <c r="AX102" s="252"/>
      <c r="AY102" s="15"/>
      <c r="AZ102" s="15"/>
      <c r="BA102" s="15"/>
      <c r="BB102" s="15"/>
      <c r="BC102" s="15"/>
      <c r="BD102" s="15"/>
      <c r="BE102" s="15"/>
      <c r="BF102" s="15"/>
      <c r="BG102" s="26">
        <f t="shared" si="30"/>
        <v>0.51488614910821584</v>
      </c>
      <c r="BH102" s="26">
        <f t="shared" si="31"/>
        <v>0.86564922806183764</v>
      </c>
      <c r="BI102" s="15">
        <v>1750</v>
      </c>
      <c r="BJ102" s="26">
        <f t="shared" si="32"/>
        <v>2.8509271927454511</v>
      </c>
      <c r="BK102" s="15" t="s">
        <v>13</v>
      </c>
      <c r="BL102" s="15">
        <v>30</v>
      </c>
      <c r="BM102" s="15"/>
      <c r="BN102" s="15">
        <v>0</v>
      </c>
      <c r="BO102" s="15">
        <f t="shared" si="25"/>
        <v>1000</v>
      </c>
      <c r="BP102" s="151">
        <v>1.32</v>
      </c>
      <c r="BR102" s="26">
        <f t="shared" si="28"/>
        <v>0.3507630789536218</v>
      </c>
      <c r="BS102" s="15">
        <f t="shared" si="29"/>
        <v>0.75</v>
      </c>
      <c r="BT102" s="12">
        <f t="shared" si="15"/>
        <v>96</v>
      </c>
      <c r="BV102" s="98"/>
      <c r="BW102" s="398"/>
      <c r="BX102" s="398"/>
      <c r="BY102" s="398"/>
      <c r="BZ102" s="398"/>
    </row>
    <row r="103" spans="1:78" x14ac:dyDescent="0.25">
      <c r="A103" s="121" t="s">
        <v>441</v>
      </c>
      <c r="B103" s="121" t="s">
        <v>441</v>
      </c>
      <c r="C103" s="15"/>
      <c r="D103" s="15"/>
      <c r="E103" s="15"/>
      <c r="F103" s="15"/>
      <c r="G103" s="15">
        <v>747</v>
      </c>
      <c r="H103" s="15"/>
      <c r="I103" s="15"/>
      <c r="J103" s="15"/>
      <c r="K103" s="15"/>
      <c r="L103" s="15"/>
      <c r="M103" s="15"/>
      <c r="N103" s="15">
        <v>224</v>
      </c>
      <c r="O103" s="15"/>
      <c r="P103" s="15">
        <v>22</v>
      </c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>
        <v>7</v>
      </c>
      <c r="AO103" s="15"/>
      <c r="AP103" s="15"/>
      <c r="AQ103" s="15"/>
      <c r="AR103" s="15"/>
      <c r="AS103" s="15"/>
      <c r="AT103" s="15"/>
      <c r="AU103" s="15"/>
      <c r="AV103" s="15"/>
      <c r="AW103" s="15"/>
      <c r="AX103" s="252"/>
      <c r="AY103" s="15"/>
      <c r="AZ103" s="15"/>
      <c r="BA103" s="15"/>
      <c r="BB103" s="15"/>
      <c r="BC103" s="15"/>
      <c r="BD103" s="15"/>
      <c r="BE103" s="15"/>
      <c r="BF103" s="15"/>
      <c r="BG103" s="26">
        <f t="shared" si="30"/>
        <v>0.54518896754408719</v>
      </c>
      <c r="BH103" s="26">
        <f t="shared" si="31"/>
        <v>0.8957617203154129</v>
      </c>
      <c r="BI103" s="15">
        <v>1725</v>
      </c>
      <c r="BJ103" s="26">
        <f t="shared" si="32"/>
        <v>2.8524749630279671</v>
      </c>
      <c r="BK103" s="15" t="s">
        <v>13</v>
      </c>
      <c r="BL103" s="15">
        <v>30</v>
      </c>
      <c r="BM103" s="15"/>
      <c r="BN103" s="15">
        <v>0</v>
      </c>
      <c r="BO103" s="15">
        <f t="shared" si="25"/>
        <v>1000</v>
      </c>
      <c r="BP103" s="151">
        <v>1.33</v>
      </c>
      <c r="BR103" s="26">
        <f t="shared" si="28"/>
        <v>0.35057275277132566</v>
      </c>
      <c r="BS103" s="15">
        <f t="shared" si="29"/>
        <v>0.72500000000000009</v>
      </c>
      <c r="BT103" s="12">
        <f t="shared" si="15"/>
        <v>97</v>
      </c>
      <c r="BV103" s="98"/>
      <c r="BW103" s="398"/>
      <c r="BX103" s="398"/>
      <c r="BY103" s="398"/>
      <c r="BZ103" s="398"/>
    </row>
    <row r="104" spans="1:78" x14ac:dyDescent="0.25">
      <c r="A104" s="121" t="s">
        <v>75</v>
      </c>
      <c r="B104" s="121" t="s">
        <v>75</v>
      </c>
      <c r="C104" s="15"/>
      <c r="D104" s="15"/>
      <c r="E104" s="15">
        <v>200</v>
      </c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>
        <v>800</v>
      </c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252"/>
      <c r="AY104" s="15"/>
      <c r="AZ104" s="15"/>
      <c r="BA104" s="15"/>
      <c r="BB104" s="15"/>
      <c r="BC104" s="15"/>
      <c r="BD104" s="15"/>
      <c r="BE104" s="15"/>
      <c r="BF104" s="15"/>
      <c r="BG104" s="26">
        <f t="shared" si="30"/>
        <v>0.5289588286670871</v>
      </c>
      <c r="BH104" s="26">
        <f t="shared" si="31"/>
        <v>0.87871197049832594</v>
      </c>
      <c r="BI104" s="15">
        <v>1740</v>
      </c>
      <c r="BJ104" s="26">
        <f t="shared" si="32"/>
        <v>2.8591594481873592</v>
      </c>
      <c r="BK104" s="15" t="s">
        <v>13</v>
      </c>
      <c r="BL104" s="15">
        <v>30</v>
      </c>
      <c r="BM104" s="15"/>
      <c r="BN104" s="15">
        <v>0</v>
      </c>
      <c r="BO104" s="15">
        <f t="shared" si="25"/>
        <v>1000</v>
      </c>
      <c r="BP104" s="151">
        <v>1.25</v>
      </c>
      <c r="BR104" s="26">
        <f t="shared" si="28"/>
        <v>0.34975314183123879</v>
      </c>
      <c r="BS104" s="15">
        <f t="shared" si="29"/>
        <v>0.74</v>
      </c>
      <c r="BT104" s="12">
        <f t="shared" ref="BT104:BT152" si="33">BT103+1</f>
        <v>98</v>
      </c>
      <c r="BV104" s="98"/>
      <c r="BW104" s="398"/>
      <c r="BX104" s="398"/>
      <c r="BY104" s="398"/>
      <c r="BZ104" s="398"/>
    </row>
    <row r="105" spans="1:78" x14ac:dyDescent="0.25">
      <c r="A105" s="121" t="s">
        <v>76</v>
      </c>
      <c r="B105" s="121" t="s">
        <v>76</v>
      </c>
      <c r="C105" s="15"/>
      <c r="D105" s="15"/>
      <c r="E105" s="15"/>
      <c r="F105" s="15"/>
      <c r="G105" s="15"/>
      <c r="H105" s="15">
        <v>1000</v>
      </c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252"/>
      <c r="AY105" s="15"/>
      <c r="AZ105" s="15"/>
      <c r="BA105" s="15"/>
      <c r="BB105" s="15"/>
      <c r="BC105" s="15"/>
      <c r="BD105" s="15"/>
      <c r="BE105" s="15"/>
      <c r="BF105" s="15"/>
      <c r="BG105" s="26">
        <f t="shared" si="30"/>
        <v>0.69371560220145911</v>
      </c>
      <c r="BH105" s="26">
        <f t="shared" si="31"/>
        <v>1.0264943043645207</v>
      </c>
      <c r="BI105" s="15">
        <v>1650</v>
      </c>
      <c r="BJ105" s="26">
        <f t="shared" si="32"/>
        <v>3.0049999999999994</v>
      </c>
      <c r="BK105" s="15" t="s">
        <v>18</v>
      </c>
      <c r="BL105" s="15">
        <v>30</v>
      </c>
      <c r="BM105" s="15"/>
      <c r="BN105" s="15">
        <v>0</v>
      </c>
      <c r="BO105" s="15">
        <f t="shared" si="25"/>
        <v>1000</v>
      </c>
      <c r="BP105" s="151">
        <v>1.01</v>
      </c>
      <c r="BR105" s="26">
        <f t="shared" si="28"/>
        <v>0.3327787021630616</v>
      </c>
      <c r="BS105" s="15">
        <f t="shared" si="29"/>
        <v>0.64999999999999991</v>
      </c>
      <c r="BT105" s="12">
        <f t="shared" si="33"/>
        <v>99</v>
      </c>
      <c r="BV105" s="98"/>
      <c r="BW105" s="398"/>
      <c r="BX105" s="398"/>
      <c r="BY105" s="398"/>
      <c r="BZ105" s="398"/>
    </row>
    <row r="106" spans="1:78" x14ac:dyDescent="0.25">
      <c r="A106" s="121" t="s">
        <v>77</v>
      </c>
      <c r="B106" s="121" t="s">
        <v>77</v>
      </c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>
        <v>200</v>
      </c>
      <c r="AJ106" s="15"/>
      <c r="AK106" s="15"/>
      <c r="AL106" s="15"/>
      <c r="AM106" s="15"/>
      <c r="AN106" s="15"/>
      <c r="AO106" s="15"/>
      <c r="AP106" s="15">
        <v>800</v>
      </c>
      <c r="AQ106" s="15"/>
      <c r="AR106" s="15"/>
      <c r="AS106" s="15"/>
      <c r="AT106" s="15"/>
      <c r="AU106" s="15"/>
      <c r="AV106" s="15"/>
      <c r="AW106" s="15"/>
      <c r="AX106" s="252"/>
      <c r="AY106" s="15"/>
      <c r="AZ106" s="15"/>
      <c r="BA106" s="15"/>
      <c r="BB106" s="15"/>
      <c r="BC106" s="15"/>
      <c r="BD106" s="15"/>
      <c r="BE106" s="15"/>
      <c r="BF106" s="15"/>
      <c r="BG106" s="26">
        <f t="shared" si="30"/>
        <v>0.95292716691983692</v>
      </c>
      <c r="BH106" s="26">
        <f t="shared" si="31"/>
        <v>1.3019514446132245</v>
      </c>
      <c r="BI106" s="15">
        <v>1500</v>
      </c>
      <c r="BJ106" s="26">
        <f t="shared" si="32"/>
        <v>2.8651302041472437</v>
      </c>
      <c r="BK106" s="15" t="s">
        <v>18</v>
      </c>
      <c r="BL106" s="15">
        <v>30</v>
      </c>
      <c r="BM106" s="15"/>
      <c r="BN106" s="15">
        <v>0</v>
      </c>
      <c r="BO106" s="15">
        <f t="shared" ref="BO106:BO131" si="34">SUM(C106:BF106)</f>
        <v>1000</v>
      </c>
      <c r="BP106" s="151">
        <v>0.72</v>
      </c>
      <c r="BR106" s="26">
        <f t="shared" si="28"/>
        <v>0.34902427769338767</v>
      </c>
      <c r="BS106" s="15">
        <f t="shared" si="29"/>
        <v>0.5</v>
      </c>
      <c r="BT106" s="12">
        <f t="shared" si="33"/>
        <v>100</v>
      </c>
      <c r="BV106" s="98"/>
      <c r="BW106" s="398"/>
      <c r="BX106" s="398"/>
      <c r="BY106" s="398"/>
      <c r="BZ106" s="398"/>
    </row>
    <row r="107" spans="1:78" x14ac:dyDescent="0.25">
      <c r="A107" s="121" t="s">
        <v>442</v>
      </c>
      <c r="B107" s="121" t="s">
        <v>442</v>
      </c>
      <c r="C107" s="15">
        <v>667</v>
      </c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>
        <v>267</v>
      </c>
      <c r="O107" s="15"/>
      <c r="P107" s="15"/>
      <c r="Q107" s="15"/>
      <c r="R107" s="15"/>
      <c r="S107" s="15">
        <v>66</v>
      </c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252"/>
      <c r="AY107" s="15"/>
      <c r="AZ107" s="15"/>
      <c r="BA107" s="15"/>
      <c r="BB107" s="15"/>
      <c r="BC107" s="15"/>
      <c r="BD107" s="15"/>
      <c r="BE107" s="15"/>
      <c r="BF107" s="15"/>
      <c r="BG107" s="26">
        <f t="shared" si="30"/>
        <v>0.46772816705896547</v>
      </c>
      <c r="BH107" s="26">
        <f t="shared" si="31"/>
        <v>0.90321733357474798</v>
      </c>
      <c r="BI107" s="15">
        <v>1625</v>
      </c>
      <c r="BJ107" s="26">
        <f t="shared" si="32"/>
        <v>2.2962683733345157</v>
      </c>
      <c r="BK107" s="15" t="s">
        <v>13</v>
      </c>
      <c r="BL107" s="15">
        <v>40</v>
      </c>
      <c r="BM107" s="15"/>
      <c r="BN107" s="15">
        <v>0</v>
      </c>
      <c r="BO107" s="15">
        <f t="shared" si="34"/>
        <v>1000</v>
      </c>
      <c r="BP107" s="151">
        <v>1.1000000000000001</v>
      </c>
      <c r="BR107" s="26">
        <f t="shared" si="28"/>
        <v>0.43548916651578251</v>
      </c>
      <c r="BS107" s="15">
        <f t="shared" si="29"/>
        <v>0.625</v>
      </c>
      <c r="BT107" s="12">
        <f t="shared" si="33"/>
        <v>101</v>
      </c>
      <c r="BV107" s="98"/>
      <c r="BW107" s="398"/>
      <c r="BX107" s="398"/>
      <c r="BY107" s="398"/>
      <c r="BZ107" s="398"/>
    </row>
    <row r="108" spans="1:78" x14ac:dyDescent="0.25">
      <c r="A108" s="121" t="s">
        <v>78</v>
      </c>
      <c r="B108" s="121" t="s">
        <v>78</v>
      </c>
      <c r="C108" s="15"/>
      <c r="D108" s="15"/>
      <c r="E108" s="15"/>
      <c r="F108" s="15"/>
      <c r="G108" s="15">
        <v>1000</v>
      </c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252"/>
      <c r="AY108" s="15"/>
      <c r="AZ108" s="15"/>
      <c r="BA108" s="15"/>
      <c r="BB108" s="15"/>
      <c r="BC108" s="15"/>
      <c r="BD108" s="15"/>
      <c r="BE108" s="15"/>
      <c r="BF108" s="15"/>
      <c r="BG108" s="26">
        <f t="shared" si="30"/>
        <v>0.53615761302812903</v>
      </c>
      <c r="BH108" s="26">
        <f t="shared" si="31"/>
        <v>0.87780435030178805</v>
      </c>
      <c r="BI108" s="15">
        <v>1750</v>
      </c>
      <c r="BJ108" s="26">
        <f t="shared" si="32"/>
        <v>2.927</v>
      </c>
      <c r="BK108" s="15" t="s">
        <v>18</v>
      </c>
      <c r="BL108" s="15">
        <v>31</v>
      </c>
      <c r="BM108" s="15"/>
      <c r="BN108" s="15">
        <v>0</v>
      </c>
      <c r="BO108" s="15">
        <f t="shared" si="34"/>
        <v>1000</v>
      </c>
      <c r="BP108" s="151">
        <v>1.41</v>
      </c>
      <c r="BR108" s="26">
        <f t="shared" si="28"/>
        <v>0.34164673727365902</v>
      </c>
      <c r="BS108" s="15">
        <f t="shared" si="29"/>
        <v>0.75</v>
      </c>
      <c r="BT108" s="12">
        <f t="shared" si="33"/>
        <v>102</v>
      </c>
      <c r="BV108" s="98"/>
      <c r="BW108" s="398"/>
      <c r="BX108" s="398"/>
      <c r="BY108" s="398"/>
      <c r="BZ108" s="398"/>
    </row>
    <row r="109" spans="1:78" x14ac:dyDescent="0.25">
      <c r="A109" s="121" t="s">
        <v>79</v>
      </c>
      <c r="B109" s="121" t="s">
        <v>79</v>
      </c>
      <c r="C109" s="15"/>
      <c r="D109" s="15">
        <v>533</v>
      </c>
      <c r="E109" s="15"/>
      <c r="F109" s="15"/>
      <c r="G109" s="15"/>
      <c r="H109" s="15"/>
      <c r="I109" s="15">
        <v>327</v>
      </c>
      <c r="J109" s="15"/>
      <c r="K109" s="15"/>
      <c r="L109" s="15"/>
      <c r="M109" s="15"/>
      <c r="N109" s="15"/>
      <c r="O109" s="15">
        <v>17</v>
      </c>
      <c r="P109" s="15"/>
      <c r="Q109" s="15"/>
      <c r="R109" s="15"/>
      <c r="S109" s="15">
        <v>123</v>
      </c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252"/>
      <c r="AY109" s="15"/>
      <c r="AZ109" s="15"/>
      <c r="BA109" s="15"/>
      <c r="BB109" s="15"/>
      <c r="BC109" s="15"/>
      <c r="BD109" s="15"/>
      <c r="BE109" s="15"/>
      <c r="BF109" s="15"/>
      <c r="BG109" s="26">
        <f t="shared" si="30"/>
        <v>0.89286946494656971</v>
      </c>
      <c r="BH109" s="26">
        <f t="shared" si="31"/>
        <v>1.4560534345742844</v>
      </c>
      <c r="BI109" s="15">
        <v>1300</v>
      </c>
      <c r="BJ109" s="26">
        <f t="shared" si="32"/>
        <v>1.7756187212875338</v>
      </c>
      <c r="BK109" s="15" t="s">
        <v>18</v>
      </c>
      <c r="BL109" s="15">
        <v>42</v>
      </c>
      <c r="BM109" s="15"/>
      <c r="BN109" s="15">
        <v>0</v>
      </c>
      <c r="BO109" s="15">
        <f t="shared" si="34"/>
        <v>1000</v>
      </c>
      <c r="BP109" s="151">
        <v>0.93479999999999996</v>
      </c>
      <c r="BR109" s="26">
        <f t="shared" si="28"/>
        <v>0.56318396962771466</v>
      </c>
      <c r="BS109" s="15">
        <f t="shared" si="29"/>
        <v>0.30000000000000004</v>
      </c>
      <c r="BT109" s="12">
        <f t="shared" si="33"/>
        <v>103</v>
      </c>
      <c r="BV109" s="98"/>
      <c r="BW109" s="398"/>
      <c r="BX109" s="398"/>
      <c r="BY109" s="398"/>
      <c r="BZ109" s="398"/>
    </row>
    <row r="110" spans="1:78" s="253" customFormat="1" x14ac:dyDescent="0.25">
      <c r="A110" s="121" t="s">
        <v>80</v>
      </c>
      <c r="B110" s="121" t="s">
        <v>80</v>
      </c>
      <c r="C110" s="15"/>
      <c r="D110" s="15">
        <v>559</v>
      </c>
      <c r="E110" s="15"/>
      <c r="F110" s="15"/>
      <c r="G110" s="15"/>
      <c r="H110" s="15"/>
      <c r="I110" s="15">
        <v>343</v>
      </c>
      <c r="J110" s="15"/>
      <c r="K110" s="15"/>
      <c r="L110" s="15"/>
      <c r="M110" s="15"/>
      <c r="N110" s="15"/>
      <c r="O110" s="15">
        <v>18</v>
      </c>
      <c r="P110" s="15"/>
      <c r="Q110" s="15"/>
      <c r="R110" s="15"/>
      <c r="S110" s="15"/>
      <c r="T110" s="15"/>
      <c r="U110" s="15">
        <v>80</v>
      </c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252"/>
      <c r="AY110" s="15"/>
      <c r="AZ110" s="15"/>
      <c r="BA110" s="15"/>
      <c r="BB110" s="15"/>
      <c r="BC110" s="15"/>
      <c r="BD110" s="15"/>
      <c r="BE110" s="15"/>
      <c r="BF110" s="15"/>
      <c r="BG110" s="26">
        <f t="shared" si="30"/>
        <v>0.89633277178434267</v>
      </c>
      <c r="BH110" s="26">
        <f t="shared" si="31"/>
        <v>1.4587175167571866</v>
      </c>
      <c r="BI110" s="15">
        <v>1300</v>
      </c>
      <c r="BJ110" s="26">
        <f t="shared" si="32"/>
        <v>1.7781421152316059</v>
      </c>
      <c r="BK110" s="15" t="s">
        <v>18</v>
      </c>
      <c r="BL110" s="21" t="s">
        <v>54</v>
      </c>
      <c r="BM110" s="15"/>
      <c r="BN110" s="15">
        <v>0</v>
      </c>
      <c r="BO110" s="15">
        <f t="shared" si="34"/>
        <v>1000</v>
      </c>
      <c r="BP110" s="151">
        <v>0.89559999999999995</v>
      </c>
      <c r="BQ110" s="1"/>
      <c r="BR110" s="26">
        <f t="shared" si="28"/>
        <v>0.56238474497284396</v>
      </c>
      <c r="BS110" s="15">
        <f t="shared" si="29"/>
        <v>0.30000000000000004</v>
      </c>
      <c r="BT110" s="12">
        <f t="shared" si="33"/>
        <v>104</v>
      </c>
      <c r="BU110" s="1"/>
      <c r="BV110" s="98"/>
      <c r="BW110" s="252"/>
      <c r="BX110" s="252"/>
      <c r="BY110" s="252"/>
      <c r="BZ110" s="252"/>
    </row>
    <row r="111" spans="1:78" x14ac:dyDescent="0.25">
      <c r="A111" s="121" t="s">
        <v>1817</v>
      </c>
      <c r="B111" s="121" t="s">
        <v>1817</v>
      </c>
      <c r="C111" s="15"/>
      <c r="D111" s="15"/>
      <c r="E111" s="15"/>
      <c r="F111" s="15"/>
      <c r="G111" s="15">
        <v>529</v>
      </c>
      <c r="H111" s="15"/>
      <c r="I111" s="15">
        <v>210</v>
      </c>
      <c r="J111" s="15"/>
      <c r="K111" s="15">
        <v>121</v>
      </c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>
        <v>140</v>
      </c>
      <c r="AX111" s="252"/>
      <c r="AY111" s="15"/>
      <c r="AZ111" s="15"/>
      <c r="BA111" s="15"/>
      <c r="BB111" s="15"/>
      <c r="BC111" s="15"/>
      <c r="BD111" s="15"/>
      <c r="BE111" s="15"/>
      <c r="BF111" s="15"/>
      <c r="BG111" s="26">
        <v>0.79400000000000004</v>
      </c>
      <c r="BH111" s="26">
        <v>1.631</v>
      </c>
      <c r="BI111" s="15">
        <v>1100</v>
      </c>
      <c r="BJ111" s="15">
        <v>1.1950000000000001</v>
      </c>
      <c r="BK111" s="15" t="s">
        <v>13</v>
      </c>
      <c r="BL111" s="15" t="s">
        <v>1799</v>
      </c>
      <c r="BM111" s="15"/>
      <c r="BN111" s="15">
        <v>0</v>
      </c>
      <c r="BO111" s="15">
        <f t="shared" si="34"/>
        <v>1000</v>
      </c>
      <c r="BP111" s="15">
        <v>0.503</v>
      </c>
      <c r="BR111" s="26">
        <f t="shared" si="28"/>
        <v>0.79901392143674954</v>
      </c>
      <c r="BS111" s="15">
        <f t="shared" si="29"/>
        <v>0.10000000000000009</v>
      </c>
      <c r="BT111" s="12">
        <f t="shared" si="33"/>
        <v>105</v>
      </c>
      <c r="BV111" s="98"/>
      <c r="BW111" s="398"/>
      <c r="BX111" s="398"/>
      <c r="BY111" s="398"/>
      <c r="BZ111" s="398"/>
    </row>
    <row r="112" spans="1:78" s="253" customFormat="1" x14ac:dyDescent="0.25">
      <c r="A112" s="378" t="s">
        <v>81</v>
      </c>
      <c r="B112" s="378" t="s">
        <v>81</v>
      </c>
      <c r="C112" s="15"/>
      <c r="D112" s="15">
        <v>552</v>
      </c>
      <c r="E112" s="15"/>
      <c r="F112" s="15"/>
      <c r="G112" s="15"/>
      <c r="H112" s="15"/>
      <c r="I112" s="15"/>
      <c r="J112" s="15"/>
      <c r="K112" s="15">
        <v>238</v>
      </c>
      <c r="L112" s="15"/>
      <c r="M112" s="15"/>
      <c r="N112" s="15"/>
      <c r="O112" s="15"/>
      <c r="P112" s="15"/>
      <c r="Q112" s="15"/>
      <c r="R112" s="15"/>
      <c r="S112" s="15">
        <v>210</v>
      </c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252"/>
      <c r="AY112" s="15"/>
      <c r="AZ112" s="15"/>
      <c r="BA112" s="15"/>
      <c r="BB112" s="15"/>
      <c r="BC112" s="15"/>
      <c r="BD112" s="15"/>
      <c r="BE112" s="15"/>
      <c r="BF112" s="15"/>
      <c r="BG112" s="26">
        <f>((BO112-(BI112*BR112))/BS112)/1000</f>
        <v>2.1600793650793659</v>
      </c>
      <c r="BH112" s="26">
        <f>BR112+BG112</f>
        <v>2.7242063492063502</v>
      </c>
      <c r="BI112" s="15">
        <v>1160</v>
      </c>
      <c r="BJ112" s="26">
        <f>1/(BH112-BG112)</f>
        <v>1.772650534608891</v>
      </c>
      <c r="BK112" s="15" t="s">
        <v>18</v>
      </c>
      <c r="BL112" s="15">
        <v>31</v>
      </c>
      <c r="BM112" s="15"/>
      <c r="BN112" s="15">
        <v>0</v>
      </c>
      <c r="BO112" s="15">
        <f t="shared" si="34"/>
        <v>1000</v>
      </c>
      <c r="BP112" s="151">
        <v>0.74490000000000001</v>
      </c>
      <c r="BQ112" s="1"/>
      <c r="BR112" s="26">
        <f t="shared" si="28"/>
        <v>0.56412698412698414</v>
      </c>
      <c r="BS112" s="15">
        <f t="shared" si="29"/>
        <v>0.15999999999999992</v>
      </c>
      <c r="BT112" s="12">
        <f t="shared" si="33"/>
        <v>106</v>
      </c>
      <c r="BU112" s="1"/>
      <c r="BV112" s="98"/>
      <c r="BW112" s="252"/>
      <c r="BX112" s="252"/>
      <c r="BY112" s="252"/>
      <c r="BZ112" s="252"/>
    </row>
    <row r="113" spans="1:78" x14ac:dyDescent="0.25">
      <c r="A113" s="378" t="s">
        <v>82</v>
      </c>
      <c r="B113" s="378" t="s">
        <v>82</v>
      </c>
      <c r="C113" s="15"/>
      <c r="D113" s="15">
        <v>601</v>
      </c>
      <c r="E113" s="15"/>
      <c r="F113" s="15"/>
      <c r="G113" s="15"/>
      <c r="H113" s="15"/>
      <c r="I113" s="15"/>
      <c r="J113" s="15"/>
      <c r="K113" s="15">
        <v>260</v>
      </c>
      <c r="L113" s="15"/>
      <c r="M113" s="15"/>
      <c r="N113" s="15"/>
      <c r="O113" s="15"/>
      <c r="P113" s="15"/>
      <c r="Q113" s="15"/>
      <c r="R113" s="15"/>
      <c r="S113" s="15"/>
      <c r="T113" s="15"/>
      <c r="U113" s="15">
        <v>139</v>
      </c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252"/>
      <c r="AY113" s="15"/>
      <c r="AZ113" s="15"/>
      <c r="BA113" s="15"/>
      <c r="BB113" s="15"/>
      <c r="BC113" s="15"/>
      <c r="BD113" s="15"/>
      <c r="BE113" s="15"/>
      <c r="BF113" s="15"/>
      <c r="BG113" s="26">
        <f>((BO113-(BI113*BR113))/BS113)/1000</f>
        <v>2.2147723475355061</v>
      </c>
      <c r="BH113" s="26">
        <f>BR113+BG113</f>
        <v>2.7713554720133677</v>
      </c>
      <c r="BI113" s="15">
        <v>1160</v>
      </c>
      <c r="BJ113" s="26">
        <f>1/(BH113-BG113)</f>
        <v>1.7966768233192731</v>
      </c>
      <c r="BK113" s="15" t="s">
        <v>13</v>
      </c>
      <c r="BL113" s="15">
        <v>42</v>
      </c>
      <c r="BM113" s="15"/>
      <c r="BN113" s="15">
        <v>0</v>
      </c>
      <c r="BO113" s="15">
        <f t="shared" si="34"/>
        <v>1000</v>
      </c>
      <c r="BP113" s="151">
        <v>0.74960000000000004</v>
      </c>
      <c r="BR113" s="26">
        <f t="shared" si="28"/>
        <v>0.5565831244778614</v>
      </c>
      <c r="BS113" s="15">
        <f t="shared" si="29"/>
        <v>0.15999999999999992</v>
      </c>
      <c r="BT113" s="12">
        <f t="shared" si="33"/>
        <v>107</v>
      </c>
      <c r="BV113" s="98"/>
      <c r="BW113" s="398"/>
      <c r="BX113" s="398"/>
      <c r="BY113" s="398"/>
      <c r="BZ113" s="398"/>
    </row>
    <row r="114" spans="1:78" x14ac:dyDescent="0.25">
      <c r="A114" s="121" t="s">
        <v>1825</v>
      </c>
      <c r="B114" s="121" t="s">
        <v>1825</v>
      </c>
      <c r="C114" s="15"/>
      <c r="D114" s="15">
        <v>627</v>
      </c>
      <c r="E114" s="15"/>
      <c r="F114" s="15"/>
      <c r="G114" s="15"/>
      <c r="H114" s="15"/>
      <c r="I114" s="15"/>
      <c r="J114" s="15"/>
      <c r="K114" s="15">
        <v>271</v>
      </c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>
        <v>76</v>
      </c>
      <c r="AX114" s="252"/>
      <c r="AY114" s="15">
        <v>26</v>
      </c>
      <c r="AZ114" s="15"/>
      <c r="BA114" s="15"/>
      <c r="BB114" s="15"/>
      <c r="BC114" s="15"/>
      <c r="BD114" s="15"/>
      <c r="BE114" s="15"/>
      <c r="BF114" s="15"/>
      <c r="BG114" s="26"/>
      <c r="BH114" s="26"/>
      <c r="BI114" s="15"/>
      <c r="BJ114" s="15"/>
      <c r="BK114" s="15"/>
      <c r="BL114" s="15"/>
      <c r="BM114" s="15"/>
      <c r="BN114" s="15"/>
      <c r="BO114" s="15">
        <f t="shared" si="34"/>
        <v>1000</v>
      </c>
      <c r="BP114" s="15"/>
      <c r="BR114" s="26"/>
      <c r="BS114" s="15"/>
      <c r="BT114" s="12">
        <f t="shared" si="33"/>
        <v>108</v>
      </c>
      <c r="BV114" s="98"/>
      <c r="BW114" s="398"/>
      <c r="BX114" s="398"/>
      <c r="BY114" s="398"/>
      <c r="BZ114" s="398"/>
    </row>
    <row r="115" spans="1:78" x14ac:dyDescent="0.25">
      <c r="A115" s="121" t="s">
        <v>1818</v>
      </c>
      <c r="B115" s="121" t="s">
        <v>1818</v>
      </c>
      <c r="C115" s="15"/>
      <c r="D115" s="15">
        <v>627</v>
      </c>
      <c r="E115" s="15"/>
      <c r="F115" s="15"/>
      <c r="G115" s="15"/>
      <c r="H115" s="15"/>
      <c r="I115" s="15"/>
      <c r="J115" s="15"/>
      <c r="K115" s="15">
        <v>271</v>
      </c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>
        <v>102</v>
      </c>
      <c r="AX115" s="252"/>
      <c r="AY115" s="15"/>
      <c r="AZ115" s="15"/>
      <c r="BA115" s="15"/>
      <c r="BB115" s="15"/>
      <c r="BC115" s="15"/>
      <c r="BD115" s="15"/>
      <c r="BE115" s="15"/>
      <c r="BF115" s="15"/>
      <c r="BG115" s="26">
        <v>1.363</v>
      </c>
      <c r="BH115" s="26">
        <v>2.0369999999999999</v>
      </c>
      <c r="BI115" s="15">
        <v>1160</v>
      </c>
      <c r="BJ115" s="15">
        <v>1.4637</v>
      </c>
      <c r="BK115" s="15" t="s">
        <v>13</v>
      </c>
      <c r="BL115" s="15">
        <v>42</v>
      </c>
      <c r="BM115" s="15"/>
      <c r="BN115" s="15">
        <v>0</v>
      </c>
      <c r="BO115" s="15">
        <f t="shared" si="34"/>
        <v>1000</v>
      </c>
      <c r="BP115" s="15">
        <v>0.57699999999999996</v>
      </c>
      <c r="BR115" s="26">
        <f t="shared" ref="BR115:BR147" si="35">((C115*C$5+D115*D$5+E115*E$5+F115*F$5+G115*G$5+H115*H$5+I115*I$5+J115*J$5+L115*L$5+M115*M$5+N115*N$5+O115*O$5+P115*P$5+Q115*Q$5+R115*R$5+S115*S$5+T115*T$5+U115*U$5+V115*V$5+W115*W$5+X115*X$5+Y115*Y$5+Z115*Z$5+AA115*AA$5+AB115*AB$5+AC115*AC$5+AD115*AD$5+AE115*AE$5+AF115*AF$5+AG115*AG$5+AH115*AH$5+AI115*AI$5+AJ115*AJ$5+AK115*AK$5+AL115*AL$5+AM115*AM$5+AN115*AN$5+AO115*AO$5+AP115*AP$5+AQ115*AQ$5+AR115*AR$5+AS115*AS$5+AT115*AT$5+AU115*AU$5+AV115*AV$5+AW115*AW$5+AX115*AX$5+AY115*AY$5+AZ115*AZ$5+BA115*BA$5+BB115*BB$5+BC115*BC$5+BD115*BD$5+BE115*BE$5+BF115*BF$5)/1000)</f>
        <v>0.57487665368284391</v>
      </c>
      <c r="BS115" s="15">
        <f t="shared" ref="BS115:BS147" si="36">BI115/1000-1</f>
        <v>0.15999999999999992</v>
      </c>
      <c r="BT115" s="12">
        <f t="shared" si="33"/>
        <v>109</v>
      </c>
      <c r="BV115" s="98"/>
      <c r="BW115" s="398"/>
      <c r="BX115" s="398"/>
      <c r="BY115" s="398"/>
      <c r="BZ115" s="398"/>
    </row>
    <row r="116" spans="1:78" x14ac:dyDescent="0.25">
      <c r="A116" s="121" t="s">
        <v>1804</v>
      </c>
      <c r="B116" s="121" t="s">
        <v>1804</v>
      </c>
      <c r="C116" s="15"/>
      <c r="D116" s="15">
        <v>520</v>
      </c>
      <c r="E116" s="15"/>
      <c r="F116" s="15"/>
      <c r="G116" s="15"/>
      <c r="H116" s="15"/>
      <c r="I116" s="15">
        <v>175</v>
      </c>
      <c r="J116" s="15"/>
      <c r="K116" s="15">
        <v>75</v>
      </c>
      <c r="L116" s="15"/>
      <c r="M116" s="15"/>
      <c r="N116" s="15"/>
      <c r="O116" s="15"/>
      <c r="P116" s="15"/>
      <c r="Q116" s="15"/>
      <c r="R116" s="15">
        <v>230</v>
      </c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252"/>
      <c r="AY116" s="15"/>
      <c r="AZ116" s="15"/>
      <c r="BA116" s="15"/>
      <c r="BB116" s="15"/>
      <c r="BC116" s="15"/>
      <c r="BD116" s="15"/>
      <c r="BE116" s="15"/>
      <c r="BF116" s="15"/>
      <c r="BG116" s="26">
        <v>1</v>
      </c>
      <c r="BH116" s="26">
        <v>1.702</v>
      </c>
      <c r="BI116" s="15">
        <v>1175</v>
      </c>
      <c r="BJ116" s="15">
        <v>1.4239999999999999</v>
      </c>
      <c r="BK116" s="15" t="s">
        <v>13</v>
      </c>
      <c r="BL116" s="15">
        <v>42</v>
      </c>
      <c r="BM116" s="15"/>
      <c r="BN116" s="15">
        <v>0</v>
      </c>
      <c r="BO116" s="15">
        <f t="shared" si="34"/>
        <v>1000</v>
      </c>
      <c r="BP116" s="15">
        <v>0.73</v>
      </c>
      <c r="BR116" s="26">
        <f t="shared" si="35"/>
        <v>0.67637114466382753</v>
      </c>
      <c r="BS116" s="15">
        <f t="shared" si="36"/>
        <v>0.17500000000000004</v>
      </c>
      <c r="BT116" s="12">
        <f t="shared" si="33"/>
        <v>110</v>
      </c>
      <c r="BV116" s="98"/>
      <c r="BW116" s="398"/>
      <c r="BX116" s="398"/>
      <c r="BY116" s="398"/>
      <c r="BZ116" s="398"/>
    </row>
    <row r="117" spans="1:78" x14ac:dyDescent="0.25">
      <c r="A117" s="121" t="s">
        <v>1800</v>
      </c>
      <c r="B117" s="121" t="s">
        <v>1800</v>
      </c>
      <c r="C117" s="15"/>
      <c r="D117" s="15">
        <v>591</v>
      </c>
      <c r="E117" s="15"/>
      <c r="F117" s="15"/>
      <c r="G117" s="15"/>
      <c r="H117" s="15"/>
      <c r="I117" s="15">
        <v>200</v>
      </c>
      <c r="J117" s="15"/>
      <c r="K117" s="15">
        <v>85</v>
      </c>
      <c r="L117" s="15"/>
      <c r="M117" s="15"/>
      <c r="N117" s="15"/>
      <c r="O117" s="15"/>
      <c r="P117" s="15"/>
      <c r="Q117" s="15"/>
      <c r="R117" s="15"/>
      <c r="S117" s="15"/>
      <c r="T117" s="15">
        <v>124</v>
      </c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252"/>
      <c r="AY117" s="15"/>
      <c r="AZ117" s="15"/>
      <c r="BA117" s="15"/>
      <c r="BB117" s="15"/>
      <c r="BC117" s="15"/>
      <c r="BD117" s="15"/>
      <c r="BE117" s="15"/>
      <c r="BF117" s="15"/>
      <c r="BG117" s="26">
        <v>0.78900000000000003</v>
      </c>
      <c r="BH117" s="26">
        <v>1.4910000000000001</v>
      </c>
      <c r="BI117" s="15">
        <v>1200</v>
      </c>
      <c r="BJ117" s="15">
        <v>1.425</v>
      </c>
      <c r="BK117" s="15" t="s">
        <v>13</v>
      </c>
      <c r="BL117" s="15">
        <v>42</v>
      </c>
      <c r="BM117" s="15"/>
      <c r="BN117" s="15">
        <v>0</v>
      </c>
      <c r="BO117" s="15">
        <f t="shared" si="34"/>
        <v>1000</v>
      </c>
      <c r="BP117" s="15">
        <v>0.625</v>
      </c>
      <c r="BR117" s="26">
        <f t="shared" si="35"/>
        <v>0.67268002322880371</v>
      </c>
      <c r="BS117" s="15">
        <f t="shared" si="36"/>
        <v>0.19999999999999996</v>
      </c>
      <c r="BT117" s="12">
        <f t="shared" si="33"/>
        <v>111</v>
      </c>
      <c r="BV117" s="98"/>
      <c r="BW117" s="398"/>
      <c r="BX117" s="398"/>
      <c r="BY117" s="398"/>
      <c r="BZ117" s="398"/>
    </row>
    <row r="118" spans="1:78" x14ac:dyDescent="0.25">
      <c r="A118" s="378" t="s">
        <v>364</v>
      </c>
      <c r="B118" s="378" t="s">
        <v>364</v>
      </c>
      <c r="C118" s="15"/>
      <c r="D118" s="15">
        <v>520</v>
      </c>
      <c r="E118" s="15"/>
      <c r="F118" s="15"/>
      <c r="G118" s="15"/>
      <c r="H118" s="15"/>
      <c r="I118" s="15">
        <v>175</v>
      </c>
      <c r="J118" s="15"/>
      <c r="K118" s="15">
        <v>75</v>
      </c>
      <c r="L118" s="15"/>
      <c r="M118" s="15"/>
      <c r="N118" s="15"/>
      <c r="O118" s="15"/>
      <c r="P118" s="15"/>
      <c r="Q118" s="15"/>
      <c r="R118" s="15"/>
      <c r="S118" s="15">
        <v>230</v>
      </c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252"/>
      <c r="AY118" s="15"/>
      <c r="AZ118" s="15"/>
      <c r="BA118" s="15"/>
      <c r="BB118" s="15"/>
      <c r="BC118" s="15"/>
      <c r="BD118" s="15"/>
      <c r="BE118" s="15"/>
      <c r="BF118" s="15"/>
      <c r="BG118" s="26">
        <f>((BO118-(BI118*BR118))/BS118)/1000</f>
        <v>1.1729366001143005</v>
      </c>
      <c r="BH118" s="26">
        <f>BR118+BG118</f>
        <v>1.8493077447781281</v>
      </c>
      <c r="BI118" s="15">
        <v>1175</v>
      </c>
      <c r="BJ118" s="26">
        <f>1/(BH118-BG118)</f>
        <v>1.4784782110966954</v>
      </c>
      <c r="BK118" s="15" t="s">
        <v>13</v>
      </c>
      <c r="BL118" s="15">
        <v>42</v>
      </c>
      <c r="BM118" s="15"/>
      <c r="BN118" s="15">
        <v>0</v>
      </c>
      <c r="BO118" s="15">
        <f t="shared" si="34"/>
        <v>1000</v>
      </c>
      <c r="BP118" s="151">
        <v>0.73</v>
      </c>
      <c r="BR118" s="26">
        <f t="shared" si="35"/>
        <v>0.67637114466382753</v>
      </c>
      <c r="BS118" s="15">
        <f t="shared" si="36"/>
        <v>0.17500000000000004</v>
      </c>
      <c r="BT118" s="12">
        <f t="shared" si="33"/>
        <v>112</v>
      </c>
      <c r="BV118" s="98"/>
      <c r="BW118" s="398"/>
      <c r="BX118" s="398"/>
      <c r="BY118" s="398"/>
      <c r="BZ118" s="398"/>
    </row>
    <row r="119" spans="1:78" x14ac:dyDescent="0.25">
      <c r="A119" s="378" t="s">
        <v>1772</v>
      </c>
      <c r="B119" s="378" t="s">
        <v>1772</v>
      </c>
      <c r="C119" s="15"/>
      <c r="D119" s="15"/>
      <c r="E119" s="15">
        <v>484</v>
      </c>
      <c r="F119" s="15"/>
      <c r="G119" s="15"/>
      <c r="H119" s="15"/>
      <c r="I119" s="15">
        <v>240</v>
      </c>
      <c r="J119" s="15"/>
      <c r="K119" s="15">
        <v>60</v>
      </c>
      <c r="L119" s="15"/>
      <c r="M119" s="15"/>
      <c r="N119" s="15"/>
      <c r="O119" s="15">
        <v>10</v>
      </c>
      <c r="P119" s="15"/>
      <c r="Q119" s="15"/>
      <c r="R119" s="15">
        <v>206</v>
      </c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252"/>
      <c r="AY119" s="15"/>
      <c r="AZ119" s="15"/>
      <c r="BA119" s="15"/>
      <c r="BB119" s="15"/>
      <c r="BC119" s="15"/>
      <c r="BD119" s="15"/>
      <c r="BE119" s="15"/>
      <c r="BF119" s="15"/>
      <c r="BG119" s="26">
        <f>((BO119-(BI119*BR119))/BS119)/1000</f>
        <v>1.0775686248797982</v>
      </c>
      <c r="BH119" s="26">
        <f>BR119+BG119</f>
        <v>1.7313071873998318</v>
      </c>
      <c r="BI119" s="15">
        <v>1200</v>
      </c>
      <c r="BJ119" s="26">
        <f>1/(BH119-BG119)</f>
        <v>1.5296634730330068</v>
      </c>
      <c r="BK119" s="15" t="s">
        <v>13</v>
      </c>
      <c r="BL119" s="15">
        <v>42</v>
      </c>
      <c r="BM119" s="15"/>
      <c r="BN119" s="15">
        <v>0</v>
      </c>
      <c r="BO119" s="15">
        <f t="shared" si="34"/>
        <v>1000</v>
      </c>
      <c r="BP119" s="151">
        <v>0.78700000000000003</v>
      </c>
      <c r="BR119" s="26">
        <f t="shared" si="35"/>
        <v>0.65373856252003371</v>
      </c>
      <c r="BS119" s="15">
        <f t="shared" si="36"/>
        <v>0.19999999999999996</v>
      </c>
      <c r="BT119" s="12">
        <f t="shared" si="33"/>
        <v>113</v>
      </c>
      <c r="BV119" s="98"/>
      <c r="BW119" s="398"/>
      <c r="BX119" s="398"/>
      <c r="BY119" s="398"/>
      <c r="BZ119" s="398"/>
    </row>
    <row r="120" spans="1:78" s="253" customFormat="1" x14ac:dyDescent="0.25">
      <c r="A120" s="121" t="s">
        <v>1819</v>
      </c>
      <c r="B120" s="121" t="s">
        <v>1819</v>
      </c>
      <c r="C120" s="15"/>
      <c r="D120" s="15">
        <v>604</v>
      </c>
      <c r="E120" s="15"/>
      <c r="F120" s="15"/>
      <c r="G120" s="15"/>
      <c r="H120" s="15"/>
      <c r="I120" s="15">
        <v>204</v>
      </c>
      <c r="J120" s="15"/>
      <c r="K120" s="15">
        <v>88</v>
      </c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>
        <v>104</v>
      </c>
      <c r="AX120" s="252"/>
      <c r="AY120" s="15"/>
      <c r="AZ120" s="15"/>
      <c r="BA120" s="15"/>
      <c r="BB120" s="15"/>
      <c r="BC120" s="15"/>
      <c r="BD120" s="15"/>
      <c r="BE120" s="15"/>
      <c r="BF120" s="15"/>
      <c r="BG120" s="26">
        <v>0.81</v>
      </c>
      <c r="BH120" s="26">
        <v>1.5089999999999999</v>
      </c>
      <c r="BI120" s="15">
        <v>1200</v>
      </c>
      <c r="BJ120" s="15">
        <v>1.4634</v>
      </c>
      <c r="BK120" s="15" t="s">
        <v>13</v>
      </c>
      <c r="BL120" s="15">
        <v>42</v>
      </c>
      <c r="BM120" s="15"/>
      <c r="BN120" s="15">
        <v>0</v>
      </c>
      <c r="BO120" s="15">
        <f t="shared" si="34"/>
        <v>1000</v>
      </c>
      <c r="BP120" s="15">
        <v>0.57099999999999995</v>
      </c>
      <c r="BQ120" s="1"/>
      <c r="BR120" s="26">
        <f t="shared" si="35"/>
        <v>0.67445645826076106</v>
      </c>
      <c r="BS120" s="15">
        <f t="shared" si="36"/>
        <v>0.19999999999999996</v>
      </c>
      <c r="BT120" s="12">
        <f t="shared" si="33"/>
        <v>114</v>
      </c>
      <c r="BU120" s="1"/>
      <c r="BV120" s="98"/>
      <c r="BW120" s="252"/>
      <c r="BX120" s="252"/>
      <c r="BY120" s="252"/>
      <c r="BZ120" s="252"/>
    </row>
    <row r="121" spans="1:78" s="253" customFormat="1" x14ac:dyDescent="0.25">
      <c r="A121" s="378" t="s">
        <v>83</v>
      </c>
      <c r="B121" s="378" t="s">
        <v>83</v>
      </c>
      <c r="C121" s="15"/>
      <c r="D121" s="15"/>
      <c r="E121" s="15"/>
      <c r="F121" s="15"/>
      <c r="G121" s="15">
        <v>714</v>
      </c>
      <c r="H121" s="15"/>
      <c r="I121" s="15">
        <v>214</v>
      </c>
      <c r="J121" s="15"/>
      <c r="K121" s="15"/>
      <c r="L121" s="15"/>
      <c r="M121" s="15"/>
      <c r="N121" s="15"/>
      <c r="O121" s="15">
        <v>8</v>
      </c>
      <c r="P121" s="15">
        <v>15</v>
      </c>
      <c r="Q121" s="15"/>
      <c r="R121" s="15"/>
      <c r="S121" s="15"/>
      <c r="T121" s="15"/>
      <c r="U121" s="15"/>
      <c r="V121" s="15"/>
      <c r="W121" s="15"/>
      <c r="X121" s="15"/>
      <c r="Y121" s="15">
        <v>5</v>
      </c>
      <c r="Z121" s="15"/>
      <c r="AA121" s="15"/>
      <c r="AB121" s="15"/>
      <c r="AC121" s="15"/>
      <c r="AD121" s="15"/>
      <c r="AE121" s="15"/>
      <c r="AF121" s="15"/>
      <c r="AG121" s="15"/>
      <c r="AH121" s="15">
        <v>29</v>
      </c>
      <c r="AI121" s="15"/>
      <c r="AJ121" s="15"/>
      <c r="AK121" s="15"/>
      <c r="AL121" s="15"/>
      <c r="AM121" s="15"/>
      <c r="AN121" s="15">
        <v>15</v>
      </c>
      <c r="AO121" s="15"/>
      <c r="AP121" s="15"/>
      <c r="AQ121" s="15"/>
      <c r="AR121" s="15"/>
      <c r="AS121" s="15"/>
      <c r="AT121" s="15"/>
      <c r="AU121" s="15"/>
      <c r="AV121" s="15"/>
      <c r="AW121" s="15"/>
      <c r="AX121" s="252"/>
      <c r="AY121" s="15"/>
      <c r="AZ121" s="15"/>
      <c r="BA121" s="15"/>
      <c r="BB121" s="15"/>
      <c r="BC121" s="15"/>
      <c r="BD121" s="15"/>
      <c r="BE121" s="15"/>
      <c r="BF121" s="15"/>
      <c r="BG121" s="26">
        <f>((BO121-(BI121*BR121))/BS121)/1000</f>
        <v>0.66014635855853254</v>
      </c>
      <c r="BH121" s="26">
        <f>BR121+BG121</f>
        <v>1.0375914740990828</v>
      </c>
      <c r="BI121" s="15">
        <v>1600</v>
      </c>
      <c r="BJ121" s="26">
        <f t="shared" ref="BJ121:BJ127" si="37">1/(BH121-BG121)</f>
        <v>2.6493918157289453</v>
      </c>
      <c r="BK121" s="15" t="s">
        <v>13</v>
      </c>
      <c r="BL121" s="15">
        <v>42</v>
      </c>
      <c r="BM121" s="15"/>
      <c r="BN121" s="15">
        <v>0</v>
      </c>
      <c r="BO121" s="15">
        <f t="shared" si="34"/>
        <v>1000</v>
      </c>
      <c r="BP121" s="151">
        <v>1.1499999999999999</v>
      </c>
      <c r="BQ121" s="1"/>
      <c r="BR121" s="26">
        <f t="shared" si="35"/>
        <v>0.37744511554055027</v>
      </c>
      <c r="BS121" s="15">
        <f t="shared" si="36"/>
        <v>0.60000000000000009</v>
      </c>
      <c r="BT121" s="12">
        <f t="shared" si="33"/>
        <v>115</v>
      </c>
      <c r="BU121" s="1"/>
      <c r="BV121" s="98"/>
      <c r="BW121" s="252"/>
      <c r="BX121" s="252"/>
      <c r="BY121" s="252"/>
      <c r="BZ121" s="252"/>
    </row>
    <row r="122" spans="1:78" x14ac:dyDescent="0.25">
      <c r="A122" s="378" t="s">
        <v>363</v>
      </c>
      <c r="B122" s="378" t="s">
        <v>363</v>
      </c>
      <c r="C122" s="15"/>
      <c r="D122" s="15"/>
      <c r="E122" s="15"/>
      <c r="F122" s="15"/>
      <c r="G122" s="15">
        <v>714</v>
      </c>
      <c r="H122" s="15"/>
      <c r="I122" s="15"/>
      <c r="J122" s="15">
        <v>214</v>
      </c>
      <c r="K122" s="15"/>
      <c r="L122" s="15"/>
      <c r="M122" s="15"/>
      <c r="N122" s="15"/>
      <c r="O122" s="15">
        <v>8</v>
      </c>
      <c r="P122" s="15">
        <v>15</v>
      </c>
      <c r="Q122" s="15"/>
      <c r="R122" s="15"/>
      <c r="S122" s="15"/>
      <c r="T122" s="15"/>
      <c r="U122" s="15"/>
      <c r="V122" s="15"/>
      <c r="W122" s="15"/>
      <c r="X122" s="15"/>
      <c r="Y122" s="15">
        <v>5</v>
      </c>
      <c r="Z122" s="15"/>
      <c r="AA122" s="15"/>
      <c r="AB122" s="15"/>
      <c r="AC122" s="15"/>
      <c r="AD122" s="15"/>
      <c r="AE122" s="15"/>
      <c r="AF122" s="15"/>
      <c r="AG122" s="15"/>
      <c r="AH122" s="15">
        <v>29</v>
      </c>
      <c r="AI122" s="15"/>
      <c r="AJ122" s="15"/>
      <c r="AK122" s="15"/>
      <c r="AL122" s="15"/>
      <c r="AM122" s="15"/>
      <c r="AN122" s="15">
        <v>15</v>
      </c>
      <c r="AO122" s="15"/>
      <c r="AP122" s="15"/>
      <c r="AQ122" s="15"/>
      <c r="AR122" s="15"/>
      <c r="AS122" s="15"/>
      <c r="AT122" s="15"/>
      <c r="AU122" s="15"/>
      <c r="AV122" s="15"/>
      <c r="AW122" s="15"/>
      <c r="AX122" s="252"/>
      <c r="AY122" s="15"/>
      <c r="AZ122" s="15"/>
      <c r="BA122" s="15"/>
      <c r="BB122" s="15"/>
      <c r="BC122" s="15"/>
      <c r="BD122" s="15"/>
      <c r="BE122" s="15"/>
      <c r="BF122" s="15"/>
      <c r="BG122" s="26">
        <f>((BO122-(BI122*BR122))/BS122)/1000</f>
        <v>0.70804107466239796</v>
      </c>
      <c r="BH122" s="26">
        <f>BR122+BG122</f>
        <v>1.0675256716639987</v>
      </c>
      <c r="BI122" s="15">
        <v>1600</v>
      </c>
      <c r="BJ122" s="26">
        <f t="shared" si="37"/>
        <v>2.7817603545209675</v>
      </c>
      <c r="BK122" s="15" t="s">
        <v>13</v>
      </c>
      <c r="BL122" s="15">
        <v>42</v>
      </c>
      <c r="BM122" s="15"/>
      <c r="BN122" s="15">
        <v>0</v>
      </c>
      <c r="BO122" s="15">
        <f t="shared" si="34"/>
        <v>1000</v>
      </c>
      <c r="BP122" s="151">
        <v>1.17</v>
      </c>
      <c r="BR122" s="26">
        <f t="shared" si="35"/>
        <v>0.35948459700160074</v>
      </c>
      <c r="BS122" s="15">
        <f t="shared" si="36"/>
        <v>0.60000000000000009</v>
      </c>
      <c r="BT122" s="12">
        <f t="shared" si="33"/>
        <v>116</v>
      </c>
      <c r="BV122" s="98"/>
      <c r="BW122" s="398"/>
      <c r="BX122" s="398"/>
      <c r="BY122" s="398"/>
      <c r="BZ122" s="398"/>
    </row>
    <row r="123" spans="1:78" x14ac:dyDescent="0.25">
      <c r="A123" s="378" t="s">
        <v>1829</v>
      </c>
      <c r="B123" s="378" t="s">
        <v>1829</v>
      </c>
      <c r="C123" s="15"/>
      <c r="D123" s="15">
        <v>647</v>
      </c>
      <c r="E123" s="15"/>
      <c r="F123" s="15"/>
      <c r="G123" s="15"/>
      <c r="H123" s="15"/>
      <c r="I123" s="15">
        <v>333</v>
      </c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>
        <v>15</v>
      </c>
      <c r="AG123" s="15">
        <v>5</v>
      </c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26">
        <v>0.77700000000000002</v>
      </c>
      <c r="BH123" s="26">
        <v>1.1459999999999999</v>
      </c>
      <c r="BI123" s="15">
        <v>1550</v>
      </c>
      <c r="BJ123" s="26">
        <f t="shared" si="37"/>
        <v>2.7100271002710037</v>
      </c>
      <c r="BK123" s="15" t="s">
        <v>18</v>
      </c>
      <c r="BL123" s="15">
        <v>3</v>
      </c>
      <c r="BM123" s="15"/>
      <c r="BN123" s="15">
        <v>0</v>
      </c>
      <c r="BO123" s="15">
        <f t="shared" si="34"/>
        <v>1000</v>
      </c>
      <c r="BP123" s="151">
        <v>1.1904999999999999</v>
      </c>
      <c r="BR123" s="26">
        <f t="shared" si="35"/>
        <v>0.37617191751169982</v>
      </c>
      <c r="BS123" s="15">
        <f t="shared" si="36"/>
        <v>0.55000000000000004</v>
      </c>
      <c r="BT123" s="12">
        <f t="shared" si="33"/>
        <v>117</v>
      </c>
      <c r="BV123" s="98"/>
      <c r="BW123" s="398"/>
      <c r="BX123" s="398"/>
      <c r="BY123" s="398"/>
      <c r="BZ123" s="398"/>
    </row>
    <row r="124" spans="1:78" x14ac:dyDescent="0.25">
      <c r="A124" s="378" t="s">
        <v>1830</v>
      </c>
      <c r="B124" s="378" t="s">
        <v>1830</v>
      </c>
      <c r="C124" s="15"/>
      <c r="D124" s="15">
        <v>641</v>
      </c>
      <c r="E124" s="15"/>
      <c r="F124" s="15"/>
      <c r="G124" s="15"/>
      <c r="H124" s="15"/>
      <c r="I124" s="15"/>
      <c r="J124" s="15">
        <v>339</v>
      </c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>
        <v>15</v>
      </c>
      <c r="AG124" s="15">
        <v>5</v>
      </c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26">
        <v>0.83699999999999997</v>
      </c>
      <c r="BH124" s="26">
        <v>1.1850000000000001</v>
      </c>
      <c r="BI124" s="15">
        <v>1550</v>
      </c>
      <c r="BJ124" s="26">
        <f t="shared" si="37"/>
        <v>2.873563218390804</v>
      </c>
      <c r="BK124" s="15" t="s">
        <v>18</v>
      </c>
      <c r="BL124" s="15">
        <v>3</v>
      </c>
      <c r="BM124" s="15"/>
      <c r="BN124" s="15">
        <v>0</v>
      </c>
      <c r="BO124" s="15">
        <f t="shared" si="34"/>
        <v>1000</v>
      </c>
      <c r="BP124" s="151">
        <v>1.2</v>
      </c>
      <c r="BR124" s="26">
        <f t="shared" si="35"/>
        <v>0.34874250924577316</v>
      </c>
      <c r="BS124" s="15">
        <f t="shared" si="36"/>
        <v>0.55000000000000004</v>
      </c>
      <c r="BT124" s="12">
        <f t="shared" si="33"/>
        <v>118</v>
      </c>
      <c r="BV124" s="98"/>
      <c r="BW124" s="398"/>
      <c r="BX124" s="398"/>
      <c r="BY124" s="398"/>
      <c r="BZ124" s="398"/>
    </row>
    <row r="125" spans="1:78" x14ac:dyDescent="0.25">
      <c r="A125" s="121" t="s">
        <v>1822</v>
      </c>
      <c r="B125" s="121" t="s">
        <v>1822</v>
      </c>
      <c r="C125" s="15"/>
      <c r="D125" s="15">
        <v>613</v>
      </c>
      <c r="E125" s="15"/>
      <c r="F125" s="15"/>
      <c r="G125" s="15"/>
      <c r="H125" s="15"/>
      <c r="I125" s="15">
        <v>117</v>
      </c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>
        <v>1.5</v>
      </c>
      <c r="Z125" s="15"/>
      <c r="AA125" s="15"/>
      <c r="AB125" s="15"/>
      <c r="AC125" s="15"/>
      <c r="AD125" s="15"/>
      <c r="AE125" s="15"/>
      <c r="AF125" s="15">
        <v>14</v>
      </c>
      <c r="AG125" s="15">
        <v>4.5</v>
      </c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>
        <v>250</v>
      </c>
      <c r="AY125" s="15"/>
      <c r="AZ125" s="15"/>
      <c r="BA125" s="15"/>
      <c r="BB125" s="15"/>
      <c r="BC125" s="15"/>
      <c r="BD125" s="15"/>
      <c r="BE125" s="15"/>
      <c r="BF125" s="15"/>
      <c r="BG125" s="26">
        <v>0.81</v>
      </c>
      <c r="BH125" s="26">
        <v>1.1679999999999999</v>
      </c>
      <c r="BI125" s="15">
        <v>1550</v>
      </c>
      <c r="BJ125" s="26">
        <f t="shared" si="37"/>
        <v>2.7932960893854757</v>
      </c>
      <c r="BK125" s="15" t="s">
        <v>13</v>
      </c>
      <c r="BL125" s="15">
        <v>3</v>
      </c>
      <c r="BM125" s="15"/>
      <c r="BN125" s="15">
        <v>0</v>
      </c>
      <c r="BO125" s="15">
        <f t="shared" si="34"/>
        <v>1000</v>
      </c>
      <c r="BP125" s="15">
        <v>0.97</v>
      </c>
      <c r="BR125" s="26">
        <f t="shared" si="35"/>
        <v>0.35140699582610524</v>
      </c>
      <c r="BS125" s="15">
        <f t="shared" si="36"/>
        <v>0.55000000000000004</v>
      </c>
      <c r="BT125" s="400">
        <f t="shared" si="33"/>
        <v>119</v>
      </c>
      <c r="BV125" s="98"/>
      <c r="BW125" s="398"/>
      <c r="BX125" s="398"/>
      <c r="BY125" s="398"/>
      <c r="BZ125" s="398"/>
    </row>
    <row r="126" spans="1:78" s="384" customFormat="1" x14ac:dyDescent="0.25">
      <c r="A126" s="403" t="s">
        <v>1925</v>
      </c>
      <c r="B126" s="403" t="s">
        <v>1925</v>
      </c>
      <c r="C126" s="237"/>
      <c r="D126" s="237">
        <v>613</v>
      </c>
      <c r="E126" s="237"/>
      <c r="F126" s="237"/>
      <c r="G126" s="237"/>
      <c r="H126" s="237"/>
      <c r="I126" s="237">
        <v>117</v>
      </c>
      <c r="J126" s="237"/>
      <c r="K126" s="237"/>
      <c r="L126" s="237"/>
      <c r="M126" s="237"/>
      <c r="N126" s="237"/>
      <c r="O126" s="237"/>
      <c r="P126" s="237"/>
      <c r="Q126" s="237"/>
      <c r="R126" s="237"/>
      <c r="S126" s="237"/>
      <c r="T126" s="237"/>
      <c r="U126" s="237"/>
      <c r="V126" s="237"/>
      <c r="W126" s="237"/>
      <c r="X126" s="237"/>
      <c r="Y126" s="237">
        <v>1.5</v>
      </c>
      <c r="Z126" s="237"/>
      <c r="AA126" s="237"/>
      <c r="AB126" s="237"/>
      <c r="AC126" s="237"/>
      <c r="AD126" s="237"/>
      <c r="AE126" s="237"/>
      <c r="AF126" s="237">
        <v>14</v>
      </c>
      <c r="AG126" s="237">
        <v>4.5</v>
      </c>
      <c r="AH126" s="237"/>
      <c r="AI126" s="237"/>
      <c r="AJ126" s="237"/>
      <c r="AK126" s="237"/>
      <c r="AL126" s="237"/>
      <c r="AM126" s="237"/>
      <c r="AN126" s="237"/>
      <c r="AO126" s="237"/>
      <c r="AP126" s="237"/>
      <c r="AQ126" s="237"/>
      <c r="AR126" s="237"/>
      <c r="AS126" s="237"/>
      <c r="AT126" s="237"/>
      <c r="AU126" s="237"/>
      <c r="AV126" s="237"/>
      <c r="AW126" s="237"/>
      <c r="AX126" s="237">
        <v>250</v>
      </c>
      <c r="AY126" s="237"/>
      <c r="AZ126" s="237"/>
      <c r="BA126" s="237"/>
      <c r="BB126" s="237"/>
      <c r="BC126" s="237"/>
      <c r="BD126" s="237"/>
      <c r="BE126" s="237"/>
      <c r="BF126" s="237"/>
      <c r="BG126" s="404">
        <v>0.80900000000000005</v>
      </c>
      <c r="BH126" s="404">
        <v>1.167</v>
      </c>
      <c r="BI126" s="237">
        <v>1550</v>
      </c>
      <c r="BJ126" s="404">
        <f t="shared" si="37"/>
        <v>2.7932960893854748</v>
      </c>
      <c r="BK126" s="237" t="s">
        <v>13</v>
      </c>
      <c r="BL126" s="237">
        <v>3</v>
      </c>
      <c r="BM126" s="237"/>
      <c r="BN126" s="237"/>
      <c r="BO126" s="237">
        <f t="shared" si="34"/>
        <v>1000</v>
      </c>
      <c r="BP126" s="237">
        <v>0.97</v>
      </c>
      <c r="BR126" s="404"/>
      <c r="BS126" s="237">
        <f t="shared" si="36"/>
        <v>0.55000000000000004</v>
      </c>
      <c r="BT126" s="405">
        <f t="shared" si="33"/>
        <v>120</v>
      </c>
      <c r="BV126" s="406"/>
      <c r="BW126" s="237"/>
      <c r="BX126" s="237"/>
      <c r="BY126" s="237"/>
      <c r="BZ126" s="237"/>
    </row>
    <row r="127" spans="1:78" x14ac:dyDescent="0.25">
      <c r="A127" s="121" t="s">
        <v>1821</v>
      </c>
      <c r="B127" s="121" t="s">
        <v>1821</v>
      </c>
      <c r="C127" s="15"/>
      <c r="D127" s="15">
        <v>613</v>
      </c>
      <c r="E127" s="15"/>
      <c r="F127" s="15"/>
      <c r="G127" s="15"/>
      <c r="H127" s="15"/>
      <c r="I127" s="15">
        <v>117</v>
      </c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>
        <v>1.5</v>
      </c>
      <c r="Z127" s="15"/>
      <c r="AA127" s="15"/>
      <c r="AB127" s="15"/>
      <c r="AC127" s="15"/>
      <c r="AD127" s="15"/>
      <c r="AE127" s="15"/>
      <c r="AF127" s="15">
        <v>14</v>
      </c>
      <c r="AG127" s="15">
        <v>4.5</v>
      </c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>
        <v>250</v>
      </c>
      <c r="AY127" s="15"/>
      <c r="AZ127" s="15"/>
      <c r="BA127" s="15"/>
      <c r="BB127" s="15"/>
      <c r="BC127" s="15"/>
      <c r="BD127" s="15"/>
      <c r="BE127" s="15"/>
      <c r="BF127" s="15"/>
      <c r="BG127" s="26">
        <v>0.81</v>
      </c>
      <c r="BH127" s="26">
        <v>1.1679999999999999</v>
      </c>
      <c r="BI127" s="15">
        <v>1550</v>
      </c>
      <c r="BJ127" s="26">
        <f t="shared" si="37"/>
        <v>2.7932960893854757</v>
      </c>
      <c r="BK127" s="15" t="s">
        <v>13</v>
      </c>
      <c r="BL127" s="15">
        <v>3</v>
      </c>
      <c r="BM127" s="15"/>
      <c r="BN127" s="15">
        <v>0</v>
      </c>
      <c r="BO127" s="15">
        <f t="shared" si="34"/>
        <v>1000</v>
      </c>
      <c r="BP127" s="399">
        <v>0.97</v>
      </c>
      <c r="BR127" s="26">
        <f t="shared" si="35"/>
        <v>0.35140699582610524</v>
      </c>
      <c r="BS127" s="15">
        <f t="shared" si="36"/>
        <v>0.55000000000000004</v>
      </c>
      <c r="BT127" s="400">
        <f t="shared" si="33"/>
        <v>121</v>
      </c>
      <c r="BV127" s="98"/>
      <c r="BW127" s="398"/>
      <c r="BX127" s="398"/>
      <c r="BY127" s="398"/>
      <c r="BZ127" s="398"/>
    </row>
    <row r="128" spans="1:78" x14ac:dyDescent="0.25">
      <c r="A128" s="121" t="s">
        <v>1823</v>
      </c>
      <c r="B128" s="121" t="s">
        <v>1823</v>
      </c>
      <c r="C128" s="15">
        <v>200</v>
      </c>
      <c r="D128" s="15">
        <v>450</v>
      </c>
      <c r="E128" s="15"/>
      <c r="F128" s="15"/>
      <c r="G128" s="15"/>
      <c r="H128" s="15"/>
      <c r="I128" s="15">
        <v>325</v>
      </c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>
        <v>15</v>
      </c>
      <c r="AG128" s="15"/>
      <c r="AH128" s="15">
        <v>10</v>
      </c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26">
        <v>0.77600000000000002</v>
      </c>
      <c r="BH128" s="26">
        <v>1.1459999999999999</v>
      </c>
      <c r="BI128" s="15">
        <v>1550</v>
      </c>
      <c r="BJ128" s="26">
        <v>2.7040000000000002</v>
      </c>
      <c r="BK128" s="15" t="s">
        <v>13</v>
      </c>
      <c r="BL128" s="15">
        <v>3</v>
      </c>
      <c r="BM128" s="15"/>
      <c r="BN128" s="15">
        <v>0</v>
      </c>
      <c r="BO128" s="15">
        <f t="shared" si="34"/>
        <v>1000</v>
      </c>
      <c r="BP128" s="399">
        <v>0.97</v>
      </c>
      <c r="BR128" s="26">
        <f t="shared" si="35"/>
        <v>0.37550968212545338</v>
      </c>
      <c r="BS128" s="15">
        <f t="shared" si="36"/>
        <v>0.55000000000000004</v>
      </c>
      <c r="BT128" s="400">
        <f t="shared" si="33"/>
        <v>122</v>
      </c>
      <c r="BV128" s="98"/>
      <c r="BW128" s="398"/>
      <c r="BX128" s="398"/>
      <c r="BY128" s="398"/>
      <c r="BZ128" s="398"/>
    </row>
    <row r="129" spans="1:78" x14ac:dyDescent="0.25">
      <c r="A129" s="121" t="s">
        <v>1820</v>
      </c>
      <c r="B129" s="121" t="s">
        <v>1820</v>
      </c>
      <c r="C129" s="15"/>
      <c r="D129" s="15">
        <v>613</v>
      </c>
      <c r="E129" s="15"/>
      <c r="F129" s="15"/>
      <c r="G129" s="15"/>
      <c r="H129" s="15"/>
      <c r="I129" s="15">
        <v>117</v>
      </c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>
        <v>1.5</v>
      </c>
      <c r="Z129" s="15"/>
      <c r="AA129" s="15"/>
      <c r="AB129" s="15"/>
      <c r="AC129" s="15"/>
      <c r="AD129" s="15"/>
      <c r="AE129" s="15"/>
      <c r="AF129" s="15">
        <v>14</v>
      </c>
      <c r="AG129" s="15">
        <v>4.5</v>
      </c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>
        <v>250</v>
      </c>
      <c r="AY129" s="15"/>
      <c r="AZ129" s="15"/>
      <c r="BA129" s="15"/>
      <c r="BB129" s="15"/>
      <c r="BC129" s="15"/>
      <c r="BD129" s="15"/>
      <c r="BE129" s="15"/>
      <c r="BF129" s="15"/>
      <c r="BG129" s="26">
        <v>0.81</v>
      </c>
      <c r="BH129" s="26">
        <v>1.1679999999999999</v>
      </c>
      <c r="BI129" s="15">
        <v>1550</v>
      </c>
      <c r="BJ129" s="15">
        <v>2.7930000000000001</v>
      </c>
      <c r="BK129" s="15" t="s">
        <v>13</v>
      </c>
      <c r="BL129" s="15">
        <v>3</v>
      </c>
      <c r="BM129" s="15"/>
      <c r="BN129" s="15">
        <v>0</v>
      </c>
      <c r="BO129" s="15">
        <f t="shared" si="34"/>
        <v>1000</v>
      </c>
      <c r="BP129" s="399">
        <v>0.97</v>
      </c>
      <c r="BR129" s="26">
        <f t="shared" si="35"/>
        <v>0.35140699582610524</v>
      </c>
      <c r="BS129" s="15">
        <f t="shared" si="36"/>
        <v>0.55000000000000004</v>
      </c>
      <c r="BT129" s="400">
        <f t="shared" si="33"/>
        <v>123</v>
      </c>
      <c r="BV129" s="98"/>
      <c r="BW129" s="398"/>
      <c r="BX129" s="398"/>
      <c r="BY129" s="398"/>
      <c r="BZ129" s="398"/>
    </row>
    <row r="130" spans="1:78" x14ac:dyDescent="0.25">
      <c r="A130" s="378" t="s">
        <v>85</v>
      </c>
      <c r="B130" s="378" t="s">
        <v>85</v>
      </c>
      <c r="C130" s="15"/>
      <c r="D130" s="15">
        <v>996</v>
      </c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>
        <v>4</v>
      </c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26">
        <v>0.66800000000000004</v>
      </c>
      <c r="BH130" s="26">
        <v>0.98099999999999998</v>
      </c>
      <c r="BI130" s="15">
        <v>1700</v>
      </c>
      <c r="BJ130" s="26">
        <v>3.1909999999999998</v>
      </c>
      <c r="BK130" s="15" t="s">
        <v>18</v>
      </c>
      <c r="BL130" s="15">
        <v>3</v>
      </c>
      <c r="BM130" s="15"/>
      <c r="BN130" s="15">
        <v>0</v>
      </c>
      <c r="BO130" s="15">
        <f t="shared" si="34"/>
        <v>1000</v>
      </c>
      <c r="BP130" s="151">
        <v>1.22</v>
      </c>
      <c r="BR130" s="26">
        <f t="shared" si="35"/>
        <v>0.31750023388530257</v>
      </c>
      <c r="BS130" s="15">
        <f t="shared" si="36"/>
        <v>0.7</v>
      </c>
      <c r="BT130" s="400">
        <f t="shared" si="33"/>
        <v>124</v>
      </c>
      <c r="BV130" s="98"/>
      <c r="BW130" s="398"/>
      <c r="BX130" s="398"/>
      <c r="BY130" s="398"/>
      <c r="BZ130" s="398"/>
    </row>
    <row r="131" spans="1:78" x14ac:dyDescent="0.25">
      <c r="A131" s="378" t="s">
        <v>84</v>
      </c>
      <c r="B131" s="378" t="s">
        <v>84</v>
      </c>
      <c r="C131" s="15"/>
      <c r="D131" s="15">
        <v>877</v>
      </c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>
        <v>123</v>
      </c>
      <c r="AX131" s="15"/>
      <c r="AY131" s="15"/>
      <c r="AZ131" s="15"/>
      <c r="BA131" s="15"/>
      <c r="BB131" s="15"/>
      <c r="BC131" s="15"/>
      <c r="BD131" s="15"/>
      <c r="BE131" s="15"/>
      <c r="BF131" s="15"/>
      <c r="BG131" s="26">
        <f>((BO131-(BI131*BR131))/BS131)/1000</f>
        <v>0.610290205986595</v>
      </c>
      <c r="BH131" s="26">
        <f>BR131+BG131</f>
        <v>1.3419085049888291</v>
      </c>
      <c r="BI131" s="15">
        <v>1200</v>
      </c>
      <c r="BJ131" s="26">
        <f t="shared" ref="BJ131:BJ138" si="38">1/(BH131-BG131)</f>
        <v>1.3668329528714349</v>
      </c>
      <c r="BK131" s="15" t="s">
        <v>18</v>
      </c>
      <c r="BL131" s="15">
        <v>31</v>
      </c>
      <c r="BM131" s="15"/>
      <c r="BN131" s="15">
        <v>0</v>
      </c>
      <c r="BO131" s="15">
        <f t="shared" si="34"/>
        <v>1000</v>
      </c>
      <c r="BP131" s="151">
        <v>0.71050000000000002</v>
      </c>
      <c r="BR131" s="26">
        <f t="shared" si="35"/>
        <v>0.73161829900223418</v>
      </c>
      <c r="BS131" s="15">
        <f t="shared" si="36"/>
        <v>0.19999999999999996</v>
      </c>
      <c r="BT131" s="400">
        <f t="shared" si="33"/>
        <v>125</v>
      </c>
      <c r="BV131" s="98"/>
      <c r="BW131" s="398"/>
      <c r="BX131" s="398"/>
      <c r="BY131" s="398"/>
      <c r="BZ131" s="398"/>
    </row>
    <row r="132" spans="1:78" x14ac:dyDescent="0.25">
      <c r="A132" s="121" t="s">
        <v>1814</v>
      </c>
      <c r="B132" s="121" t="s">
        <v>1814</v>
      </c>
      <c r="C132" s="15"/>
      <c r="D132" s="15">
        <v>930</v>
      </c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>
        <v>56</v>
      </c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>
        <v>5</v>
      </c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>
        <v>9</v>
      </c>
      <c r="AO132" s="15"/>
      <c r="AP132" s="15"/>
      <c r="AQ132" s="15"/>
      <c r="AR132" s="15"/>
      <c r="AS132" s="15"/>
      <c r="AT132" s="15"/>
      <c r="AU132" s="15"/>
      <c r="AV132" s="15"/>
      <c r="AW132" s="15"/>
      <c r="AX132" s="252"/>
      <c r="AY132" s="15"/>
      <c r="AZ132" s="15"/>
      <c r="BA132" s="15"/>
      <c r="BB132" s="15"/>
      <c r="BC132" s="15"/>
      <c r="BD132" s="15"/>
      <c r="BE132" s="15"/>
      <c r="BF132" s="15"/>
      <c r="BG132" s="26">
        <v>0.61299999999999999</v>
      </c>
      <c r="BH132" s="26">
        <v>0.93500000000000005</v>
      </c>
      <c r="BI132" s="15">
        <v>1725</v>
      </c>
      <c r="BJ132" s="26">
        <f t="shared" si="38"/>
        <v>3.1055900621118004</v>
      </c>
      <c r="BK132" s="15" t="s">
        <v>13</v>
      </c>
      <c r="BL132" s="15">
        <v>31</v>
      </c>
      <c r="BM132" s="15"/>
      <c r="BN132" s="15">
        <v>0</v>
      </c>
      <c r="BO132" s="15">
        <f t="shared" ref="BO132:BO147" si="39">SUM(C132:BF132)</f>
        <v>1000</v>
      </c>
      <c r="BP132" s="151">
        <v>1.1659999999999999</v>
      </c>
      <c r="BR132" s="26">
        <f t="shared" si="35"/>
        <v>0.32217777386464536</v>
      </c>
      <c r="BS132" s="15">
        <f t="shared" si="36"/>
        <v>0.72500000000000009</v>
      </c>
      <c r="BT132" s="400">
        <f t="shared" si="33"/>
        <v>126</v>
      </c>
      <c r="BV132" s="98" t="s">
        <v>114</v>
      </c>
      <c r="BW132" s="398"/>
      <c r="BX132" s="398"/>
      <c r="BY132" s="398"/>
      <c r="BZ132" s="398"/>
    </row>
    <row r="133" spans="1:78" x14ac:dyDescent="0.25">
      <c r="A133" s="121" t="s">
        <v>443</v>
      </c>
      <c r="B133" s="121" t="s">
        <v>443</v>
      </c>
      <c r="C133" s="15"/>
      <c r="D133" s="15"/>
      <c r="E133" s="15">
        <v>649</v>
      </c>
      <c r="F133" s="15"/>
      <c r="G133" s="15"/>
      <c r="H133" s="15"/>
      <c r="I133" s="15">
        <v>325</v>
      </c>
      <c r="J133" s="15"/>
      <c r="K133" s="15"/>
      <c r="L133" s="15"/>
      <c r="M133" s="15"/>
      <c r="N133" s="15"/>
      <c r="O133" s="15"/>
      <c r="P133" s="15">
        <v>26</v>
      </c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252"/>
      <c r="AY133" s="15"/>
      <c r="AZ133" s="15"/>
      <c r="BA133" s="15"/>
      <c r="BB133" s="15"/>
      <c r="BC133" s="15"/>
      <c r="BD133" s="15"/>
      <c r="BE133" s="15"/>
      <c r="BF133" s="15"/>
      <c r="BG133" s="26">
        <f t="shared" ref="BG133:BG138" si="40">((BO133-(BI133*BR133))/BS133)/1000</f>
        <v>0.49139078687344068</v>
      </c>
      <c r="BH133" s="26">
        <f t="shared" ref="BH133:BH138" si="41">BR133+BG133</f>
        <v>0.86207559934880962</v>
      </c>
      <c r="BI133" s="15">
        <v>1730</v>
      </c>
      <c r="BJ133" s="26">
        <f t="shared" si="38"/>
        <v>2.6977096615374481</v>
      </c>
      <c r="BK133" s="15" t="s">
        <v>18</v>
      </c>
      <c r="BL133" s="15">
        <v>42</v>
      </c>
      <c r="BM133" s="15"/>
      <c r="BN133" s="15">
        <v>0</v>
      </c>
      <c r="BO133" s="15">
        <f t="shared" si="39"/>
        <v>1000</v>
      </c>
      <c r="BP133" s="151">
        <v>1.254</v>
      </c>
      <c r="BR133" s="26">
        <f t="shared" si="35"/>
        <v>0.370684812475369</v>
      </c>
      <c r="BS133" s="15">
        <f t="shared" si="36"/>
        <v>0.73</v>
      </c>
      <c r="BT133" s="400">
        <f t="shared" si="33"/>
        <v>127</v>
      </c>
      <c r="BV133" s="98"/>
      <c r="BW133" s="398"/>
      <c r="BX133" s="398"/>
      <c r="BY133" s="398"/>
      <c r="BZ133" s="398"/>
    </row>
    <row r="134" spans="1:78" x14ac:dyDescent="0.25">
      <c r="A134" s="121" t="s">
        <v>444</v>
      </c>
      <c r="B134" s="121" t="s">
        <v>444</v>
      </c>
      <c r="C134" s="15"/>
      <c r="D134" s="15"/>
      <c r="E134" s="15">
        <v>649</v>
      </c>
      <c r="F134" s="15"/>
      <c r="G134" s="15"/>
      <c r="H134" s="15"/>
      <c r="I134" s="15"/>
      <c r="J134" s="15">
        <v>325</v>
      </c>
      <c r="K134" s="15"/>
      <c r="L134" s="15"/>
      <c r="M134" s="15"/>
      <c r="N134" s="15"/>
      <c r="O134" s="15"/>
      <c r="P134" s="15">
        <v>26</v>
      </c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252"/>
      <c r="AY134" s="15"/>
      <c r="AZ134" s="15"/>
      <c r="BA134" s="15"/>
      <c r="BB134" s="15"/>
      <c r="BC134" s="15"/>
      <c r="BD134" s="15"/>
      <c r="BE134" s="15"/>
      <c r="BF134" s="15"/>
      <c r="BG134" s="26">
        <f t="shared" si="40"/>
        <v>0.55603232795988544</v>
      </c>
      <c r="BH134" s="26">
        <f t="shared" si="41"/>
        <v>0.89944065199993384</v>
      </c>
      <c r="BI134" s="15">
        <v>1730</v>
      </c>
      <c r="BJ134" s="26">
        <f t="shared" si="38"/>
        <v>2.9119853247453014</v>
      </c>
      <c r="BK134" s="15" t="s">
        <v>13</v>
      </c>
      <c r="BL134" s="21" t="s">
        <v>86</v>
      </c>
      <c r="BM134" s="15"/>
      <c r="BN134" s="15">
        <v>0</v>
      </c>
      <c r="BO134" s="15">
        <f t="shared" si="39"/>
        <v>1000</v>
      </c>
      <c r="BP134" s="151">
        <v>1.37</v>
      </c>
      <c r="BR134" s="26">
        <f t="shared" si="35"/>
        <v>0.34340832404004834</v>
      </c>
      <c r="BS134" s="15">
        <f t="shared" si="36"/>
        <v>0.73</v>
      </c>
      <c r="BT134" s="400">
        <f t="shared" si="33"/>
        <v>128</v>
      </c>
      <c r="BV134" s="98"/>
      <c r="BW134" s="398"/>
      <c r="BX134" s="398"/>
      <c r="BY134" s="398"/>
      <c r="BZ134" s="398"/>
    </row>
    <row r="135" spans="1:78" s="384" customFormat="1" x14ac:dyDescent="0.25">
      <c r="A135" s="121" t="s">
        <v>87</v>
      </c>
      <c r="B135" s="121" t="s">
        <v>87</v>
      </c>
      <c r="C135" s="15"/>
      <c r="D135" s="15"/>
      <c r="E135" s="15">
        <v>714</v>
      </c>
      <c r="F135" s="15"/>
      <c r="G135" s="15"/>
      <c r="H135" s="15"/>
      <c r="I135" s="15"/>
      <c r="J135" s="15"/>
      <c r="K135" s="15"/>
      <c r="L135" s="15"/>
      <c r="M135" s="15"/>
      <c r="N135" s="15">
        <v>286</v>
      </c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252"/>
      <c r="AY135" s="15"/>
      <c r="AZ135" s="15"/>
      <c r="BA135" s="15"/>
      <c r="BB135" s="15"/>
      <c r="BC135" s="15"/>
      <c r="BD135" s="15"/>
      <c r="BE135" s="15"/>
      <c r="BF135" s="15"/>
      <c r="BG135" s="26">
        <f t="shared" si="40"/>
        <v>0.42307862613048064</v>
      </c>
      <c r="BH135" s="26">
        <f t="shared" si="41"/>
        <v>0.75494887327876958</v>
      </c>
      <c r="BI135" s="15">
        <v>1885</v>
      </c>
      <c r="BJ135" s="26">
        <f t="shared" si="38"/>
        <v>3.0132258272407646</v>
      </c>
      <c r="BK135" s="15" t="s">
        <v>18</v>
      </c>
      <c r="BL135" s="21" t="s">
        <v>14</v>
      </c>
      <c r="BM135" s="15"/>
      <c r="BN135" s="15">
        <v>0</v>
      </c>
      <c r="BO135" s="15">
        <f t="shared" si="39"/>
        <v>1000</v>
      </c>
      <c r="BP135" s="151">
        <v>1.35</v>
      </c>
      <c r="BQ135" s="1"/>
      <c r="BR135" s="26">
        <f t="shared" si="35"/>
        <v>0.33187024714828894</v>
      </c>
      <c r="BS135" s="15">
        <f t="shared" si="36"/>
        <v>0.88500000000000001</v>
      </c>
      <c r="BT135" s="400">
        <f t="shared" si="33"/>
        <v>129</v>
      </c>
      <c r="BU135" s="1"/>
      <c r="BV135" s="98"/>
      <c r="BW135" s="237"/>
      <c r="BX135" s="237"/>
      <c r="BY135" s="237"/>
      <c r="BZ135" s="237"/>
    </row>
    <row r="136" spans="1:78" s="384" customFormat="1" x14ac:dyDescent="0.25">
      <c r="A136" s="121" t="s">
        <v>88</v>
      </c>
      <c r="B136" s="121" t="s">
        <v>88</v>
      </c>
      <c r="C136" s="15"/>
      <c r="D136" s="15"/>
      <c r="E136" s="15">
        <v>680</v>
      </c>
      <c r="F136" s="15"/>
      <c r="G136" s="15"/>
      <c r="H136" s="15"/>
      <c r="I136" s="15"/>
      <c r="J136" s="15"/>
      <c r="K136" s="15"/>
      <c r="L136" s="15"/>
      <c r="M136" s="15"/>
      <c r="N136" s="15">
        <v>273</v>
      </c>
      <c r="O136" s="15"/>
      <c r="P136" s="15">
        <v>38</v>
      </c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>
        <v>9</v>
      </c>
      <c r="AO136" s="15"/>
      <c r="AP136" s="15"/>
      <c r="AQ136" s="15"/>
      <c r="AR136" s="15"/>
      <c r="AS136" s="15"/>
      <c r="AT136" s="15"/>
      <c r="AU136" s="15"/>
      <c r="AV136" s="15"/>
      <c r="AW136" s="15"/>
      <c r="AX136" s="252"/>
      <c r="AY136" s="15"/>
      <c r="AZ136" s="15"/>
      <c r="BA136" s="15"/>
      <c r="BB136" s="15"/>
      <c r="BC136" s="15"/>
      <c r="BD136" s="15"/>
      <c r="BE136" s="15"/>
      <c r="BF136" s="15"/>
      <c r="BG136" s="26">
        <f t="shared" si="40"/>
        <v>0.48065043419161008</v>
      </c>
      <c r="BH136" s="26">
        <f t="shared" si="41"/>
        <v>0.81354419461077476</v>
      </c>
      <c r="BI136" s="15">
        <v>1820</v>
      </c>
      <c r="BJ136" s="26">
        <f t="shared" si="38"/>
        <v>3.003961380173799</v>
      </c>
      <c r="BK136" s="15" t="s">
        <v>18</v>
      </c>
      <c r="BL136" s="21" t="s">
        <v>14</v>
      </c>
      <c r="BM136" s="15"/>
      <c r="BN136" s="15">
        <v>0</v>
      </c>
      <c r="BO136" s="15">
        <f t="shared" si="39"/>
        <v>1000</v>
      </c>
      <c r="BP136" s="151">
        <v>1.34</v>
      </c>
      <c r="BQ136" s="1"/>
      <c r="BR136" s="26">
        <f t="shared" si="35"/>
        <v>0.33289376041916469</v>
      </c>
      <c r="BS136" s="15">
        <f t="shared" si="36"/>
        <v>0.82000000000000006</v>
      </c>
      <c r="BT136" s="400">
        <f t="shared" si="33"/>
        <v>130</v>
      </c>
      <c r="BU136" s="1"/>
      <c r="BV136" s="98"/>
      <c r="BW136" s="237"/>
      <c r="BX136" s="237"/>
      <c r="BY136" s="237"/>
      <c r="BZ136" s="237"/>
    </row>
    <row r="137" spans="1:78" s="253" customFormat="1" x14ac:dyDescent="0.25">
      <c r="A137" s="121" t="s">
        <v>89</v>
      </c>
      <c r="B137" s="121" t="s">
        <v>89</v>
      </c>
      <c r="C137" s="15"/>
      <c r="D137" s="15"/>
      <c r="E137" s="15">
        <v>710</v>
      </c>
      <c r="F137" s="15"/>
      <c r="G137" s="15"/>
      <c r="H137" s="15"/>
      <c r="I137" s="15"/>
      <c r="J137" s="15"/>
      <c r="K137" s="15"/>
      <c r="L137" s="15"/>
      <c r="M137" s="15"/>
      <c r="N137" s="15">
        <v>285</v>
      </c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>
        <v>5</v>
      </c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252"/>
      <c r="AY137" s="15"/>
      <c r="AZ137" s="15"/>
      <c r="BA137" s="15"/>
      <c r="BB137" s="15"/>
      <c r="BC137" s="15"/>
      <c r="BD137" s="15"/>
      <c r="BE137" s="15"/>
      <c r="BF137" s="15"/>
      <c r="BG137" s="26">
        <f t="shared" si="40"/>
        <v>0.88142911416711645</v>
      </c>
      <c r="BH137" s="26">
        <f t="shared" si="41"/>
        <v>1.2138252349465266</v>
      </c>
      <c r="BI137" s="15">
        <v>1550</v>
      </c>
      <c r="BJ137" s="26">
        <f t="shared" si="38"/>
        <v>3.0084586957729131</v>
      </c>
      <c r="BK137" s="15" t="s">
        <v>13</v>
      </c>
      <c r="BL137" s="15">
        <v>30</v>
      </c>
      <c r="BM137" s="15"/>
      <c r="BN137" s="15">
        <v>0</v>
      </c>
      <c r="BO137" s="15">
        <f t="shared" si="39"/>
        <v>1000</v>
      </c>
      <c r="BP137" s="151">
        <v>1.35</v>
      </c>
      <c r="BQ137" s="1"/>
      <c r="BR137" s="26">
        <f t="shared" si="35"/>
        <v>0.33239612077941028</v>
      </c>
      <c r="BS137" s="15">
        <f t="shared" si="36"/>
        <v>0.55000000000000004</v>
      </c>
      <c r="BT137" s="400">
        <f t="shared" si="33"/>
        <v>131</v>
      </c>
      <c r="BU137" s="1"/>
      <c r="BV137" s="98"/>
      <c r="BW137" s="252"/>
      <c r="BX137" s="252"/>
      <c r="BY137" s="252"/>
      <c r="BZ137" s="252"/>
    </row>
    <row r="138" spans="1:78" s="253" customFormat="1" x14ac:dyDescent="0.25">
      <c r="A138" s="378" t="s">
        <v>90</v>
      </c>
      <c r="B138" s="378" t="s">
        <v>90</v>
      </c>
      <c r="C138" s="15"/>
      <c r="D138" s="15"/>
      <c r="E138" s="15">
        <v>433</v>
      </c>
      <c r="F138" s="15"/>
      <c r="G138" s="15"/>
      <c r="H138" s="15"/>
      <c r="I138" s="15">
        <v>264</v>
      </c>
      <c r="J138" s="15"/>
      <c r="K138" s="15"/>
      <c r="L138" s="15"/>
      <c r="M138" s="15"/>
      <c r="N138" s="15">
        <v>303</v>
      </c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252"/>
      <c r="AY138" s="15"/>
      <c r="AZ138" s="15"/>
      <c r="BA138" s="15"/>
      <c r="BB138" s="15"/>
      <c r="BC138" s="15"/>
      <c r="BD138" s="15"/>
      <c r="BE138" s="15"/>
      <c r="BF138" s="15"/>
      <c r="BG138" s="26">
        <f t="shared" si="40"/>
        <v>0.44829506901295252</v>
      </c>
      <c r="BH138" s="26">
        <f t="shared" si="41"/>
        <v>0.82759718229311574</v>
      </c>
      <c r="BI138" s="15">
        <v>1750</v>
      </c>
      <c r="BJ138" s="26">
        <f t="shared" si="38"/>
        <v>2.6364208502613109</v>
      </c>
      <c r="BK138" s="15" t="s">
        <v>18</v>
      </c>
      <c r="BL138" s="15">
        <v>30</v>
      </c>
      <c r="BM138" s="15"/>
      <c r="BN138" s="15">
        <v>0</v>
      </c>
      <c r="BO138" s="15">
        <f t="shared" si="39"/>
        <v>1000</v>
      </c>
      <c r="BP138" s="151">
        <v>1.29</v>
      </c>
      <c r="BQ138" s="1"/>
      <c r="BR138" s="26">
        <f t="shared" si="35"/>
        <v>0.37930211328016322</v>
      </c>
      <c r="BS138" s="15">
        <f t="shared" si="36"/>
        <v>0.75</v>
      </c>
      <c r="BT138" s="400">
        <f t="shared" si="33"/>
        <v>132</v>
      </c>
      <c r="BU138" s="1"/>
      <c r="BV138" s="98"/>
      <c r="BW138" s="252"/>
      <c r="BX138" s="252"/>
      <c r="BY138" s="252"/>
      <c r="BZ138" s="252"/>
    </row>
    <row r="139" spans="1:78" s="253" customFormat="1" x14ac:dyDescent="0.25">
      <c r="A139" s="121" t="s">
        <v>600</v>
      </c>
      <c r="B139" s="121" t="s">
        <v>600</v>
      </c>
      <c r="C139" s="15"/>
      <c r="D139" s="15">
        <v>482</v>
      </c>
      <c r="E139" s="15"/>
      <c r="F139" s="15"/>
      <c r="G139" s="15"/>
      <c r="H139" s="15"/>
      <c r="I139" s="15">
        <v>290</v>
      </c>
      <c r="J139" s="15"/>
      <c r="K139" s="15"/>
      <c r="L139" s="15"/>
      <c r="M139" s="15"/>
      <c r="N139" s="15">
        <v>195</v>
      </c>
      <c r="O139" s="15"/>
      <c r="P139" s="15">
        <v>27</v>
      </c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>
        <v>6</v>
      </c>
      <c r="AO139" s="15"/>
      <c r="AP139" s="15"/>
      <c r="AQ139" s="15"/>
      <c r="AR139" s="15"/>
      <c r="AS139" s="15"/>
      <c r="AT139" s="15"/>
      <c r="AU139" s="15"/>
      <c r="AV139" s="15"/>
      <c r="AW139" s="15"/>
      <c r="AX139" s="252"/>
      <c r="AY139" s="15"/>
      <c r="AZ139" s="15"/>
      <c r="BA139" s="15"/>
      <c r="BB139" s="15"/>
      <c r="BC139" s="15"/>
      <c r="BD139" s="15"/>
      <c r="BE139" s="15"/>
      <c r="BF139" s="15"/>
      <c r="BG139" s="26">
        <v>0.52900000000000003</v>
      </c>
      <c r="BH139" s="26">
        <v>0.91300000000000003</v>
      </c>
      <c r="BI139" s="15">
        <v>1675</v>
      </c>
      <c r="BJ139" s="15">
        <v>2.6469999999999998</v>
      </c>
      <c r="BK139" s="15" t="s">
        <v>18</v>
      </c>
      <c r="BL139" s="15">
        <v>30</v>
      </c>
      <c r="BM139" s="15"/>
      <c r="BN139" s="15">
        <v>0</v>
      </c>
      <c r="BO139" s="15">
        <f t="shared" si="39"/>
        <v>1000</v>
      </c>
      <c r="BP139" s="15">
        <v>1.105</v>
      </c>
      <c r="BQ139" s="1"/>
      <c r="BR139" s="26">
        <f t="shared" si="35"/>
        <v>0.3802832044210786</v>
      </c>
      <c r="BS139" s="15">
        <f t="shared" si="36"/>
        <v>0.67500000000000004</v>
      </c>
      <c r="BT139" s="400">
        <f t="shared" si="33"/>
        <v>133</v>
      </c>
      <c r="BU139" s="1"/>
      <c r="BV139" s="98"/>
      <c r="BW139" s="252"/>
      <c r="BX139" s="252"/>
      <c r="BY139" s="252"/>
      <c r="BZ139" s="252"/>
    </row>
    <row r="140" spans="1:78" s="384" customFormat="1" x14ac:dyDescent="0.25">
      <c r="A140" s="378" t="s">
        <v>534</v>
      </c>
      <c r="B140" s="378" t="s">
        <v>534</v>
      </c>
      <c r="C140" s="15">
        <v>350</v>
      </c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>
        <v>125</v>
      </c>
      <c r="O140" s="15"/>
      <c r="P140" s="15">
        <v>525</v>
      </c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252"/>
      <c r="AY140" s="15"/>
      <c r="AZ140" s="15"/>
      <c r="BA140" s="15"/>
      <c r="BB140" s="15"/>
      <c r="BC140" s="15"/>
      <c r="BD140" s="15"/>
      <c r="BE140" s="15"/>
      <c r="BF140" s="15"/>
      <c r="BG140" s="26">
        <f>((BO140-(BI140*BR140))/BS140)/1000</f>
        <v>0.43005347060886301</v>
      </c>
      <c r="BH140" s="26">
        <f>BR140+BG140</f>
        <v>0.77720297315699072</v>
      </c>
      <c r="BI140" s="15">
        <v>1840</v>
      </c>
      <c r="BJ140" s="26">
        <f>1/(BH140-BG140)</f>
        <v>2.8806032924139453</v>
      </c>
      <c r="BK140" s="15" t="s">
        <v>13</v>
      </c>
      <c r="BL140" s="15">
        <v>30</v>
      </c>
      <c r="BM140" s="15"/>
      <c r="BN140" s="15">
        <v>0</v>
      </c>
      <c r="BO140" s="15">
        <f t="shared" si="39"/>
        <v>1000</v>
      </c>
      <c r="BP140" s="151">
        <v>1.21</v>
      </c>
      <c r="BQ140" s="1"/>
      <c r="BR140" s="26">
        <f t="shared" si="35"/>
        <v>0.34714950254812771</v>
      </c>
      <c r="BS140" s="15">
        <f t="shared" si="36"/>
        <v>0.84000000000000008</v>
      </c>
      <c r="BT140" s="400">
        <f t="shared" si="33"/>
        <v>134</v>
      </c>
      <c r="BU140" s="1"/>
      <c r="BV140" s="98"/>
      <c r="BW140" s="237"/>
      <c r="BX140" s="237"/>
      <c r="BY140" s="237"/>
      <c r="BZ140" s="237"/>
    </row>
    <row r="141" spans="1:78" s="384" customFormat="1" x14ac:dyDescent="0.25">
      <c r="A141" s="121" t="s">
        <v>1806</v>
      </c>
      <c r="B141" s="121" t="s">
        <v>1806</v>
      </c>
      <c r="C141" s="15"/>
      <c r="D141" s="15">
        <v>569</v>
      </c>
      <c r="E141" s="15"/>
      <c r="F141" s="15"/>
      <c r="G141" s="15"/>
      <c r="H141" s="15"/>
      <c r="I141" s="15">
        <v>172</v>
      </c>
      <c r="J141" s="15"/>
      <c r="K141" s="15"/>
      <c r="L141" s="15"/>
      <c r="M141" s="15"/>
      <c r="N141" s="15">
        <v>228</v>
      </c>
      <c r="O141" s="15"/>
      <c r="P141" s="15">
        <v>23</v>
      </c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>
        <v>8</v>
      </c>
      <c r="AO141" s="15"/>
      <c r="AP141" s="15"/>
      <c r="AQ141" s="15"/>
      <c r="AR141" s="15"/>
      <c r="AS141" s="15"/>
      <c r="AT141" s="15"/>
      <c r="AU141" s="15"/>
      <c r="AV141" s="15"/>
      <c r="AW141" s="15"/>
      <c r="AX141" s="252"/>
      <c r="AY141" s="15"/>
      <c r="AZ141" s="15"/>
      <c r="BA141" s="15"/>
      <c r="BB141" s="15"/>
      <c r="BC141" s="15"/>
      <c r="BD141" s="15"/>
      <c r="BE141" s="15"/>
      <c r="BF141" s="15"/>
      <c r="BG141" s="26">
        <v>0.56000000000000005</v>
      </c>
      <c r="BH141" s="26">
        <v>0.91800000000000004</v>
      </c>
      <c r="BI141" s="15">
        <v>1700</v>
      </c>
      <c r="BJ141" s="15">
        <v>2.7949999999999999</v>
      </c>
      <c r="BK141" s="15" t="s">
        <v>13</v>
      </c>
      <c r="BL141" s="15">
        <v>30</v>
      </c>
      <c r="BM141" s="15"/>
      <c r="BN141" s="15">
        <v>0</v>
      </c>
      <c r="BO141" s="15">
        <f t="shared" si="39"/>
        <v>1000</v>
      </c>
      <c r="BP141" s="15"/>
      <c r="BQ141" s="1"/>
      <c r="BR141" s="26">
        <f t="shared" si="35"/>
        <v>0.36210741808573738</v>
      </c>
      <c r="BS141" s="15">
        <f t="shared" si="36"/>
        <v>0.7</v>
      </c>
      <c r="BT141" s="400">
        <f t="shared" si="33"/>
        <v>135</v>
      </c>
      <c r="BU141" s="1"/>
      <c r="BV141" s="98"/>
      <c r="BW141" s="237"/>
      <c r="BX141" s="237"/>
      <c r="BY141" s="237"/>
      <c r="BZ141" s="237"/>
    </row>
    <row r="142" spans="1:78" s="253" customFormat="1" x14ac:dyDescent="0.25">
      <c r="A142" s="121" t="s">
        <v>1813</v>
      </c>
      <c r="B142" s="121" t="s">
        <v>1813</v>
      </c>
      <c r="C142" s="15"/>
      <c r="D142" s="15">
        <v>617</v>
      </c>
      <c r="E142" s="15"/>
      <c r="F142" s="15"/>
      <c r="G142" s="15"/>
      <c r="H142" s="15"/>
      <c r="I142" s="15"/>
      <c r="J142" s="15"/>
      <c r="K142" s="15"/>
      <c r="L142" s="15"/>
      <c r="M142" s="15"/>
      <c r="N142" s="15">
        <v>304</v>
      </c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>
        <v>79</v>
      </c>
      <c r="AX142" s="252"/>
      <c r="AY142" s="15"/>
      <c r="AZ142" s="15"/>
      <c r="BA142" s="15"/>
      <c r="BB142" s="15"/>
      <c r="BC142" s="15"/>
      <c r="BD142" s="15"/>
      <c r="BE142" s="15"/>
      <c r="BF142" s="15"/>
      <c r="BG142" s="26">
        <v>0.65100000000000002</v>
      </c>
      <c r="BH142" s="26">
        <v>1.2230000000000001</v>
      </c>
      <c r="BI142" s="15">
        <v>1350</v>
      </c>
      <c r="BJ142" s="15">
        <v>1.748</v>
      </c>
      <c r="BK142" s="15" t="s">
        <v>13</v>
      </c>
      <c r="BL142" s="15">
        <v>30</v>
      </c>
      <c r="BM142" s="15"/>
      <c r="BN142" s="15">
        <v>0</v>
      </c>
      <c r="BO142" s="15">
        <f t="shared" si="39"/>
        <v>1000</v>
      </c>
      <c r="BP142" s="15"/>
      <c r="BQ142" s="1"/>
      <c r="BR142" s="26">
        <f t="shared" si="35"/>
        <v>0.60254564140854361</v>
      </c>
      <c r="BS142" s="15">
        <f t="shared" si="36"/>
        <v>0.35000000000000009</v>
      </c>
      <c r="BT142" s="400">
        <f t="shared" si="33"/>
        <v>136</v>
      </c>
      <c r="BU142" s="1"/>
      <c r="BV142" s="98"/>
      <c r="BW142" s="252"/>
      <c r="BX142" s="252"/>
      <c r="BY142" s="252"/>
      <c r="BZ142" s="252"/>
    </row>
    <row r="143" spans="1:78" x14ac:dyDescent="0.25">
      <c r="A143" s="121" t="s">
        <v>1815</v>
      </c>
      <c r="B143" s="121" t="s">
        <v>1815</v>
      </c>
      <c r="C143" s="15"/>
      <c r="D143" s="15"/>
      <c r="E143" s="15">
        <v>350</v>
      </c>
      <c r="F143" s="15"/>
      <c r="G143" s="15"/>
      <c r="H143" s="15"/>
      <c r="I143" s="15"/>
      <c r="J143" s="15"/>
      <c r="K143" s="15"/>
      <c r="L143" s="15"/>
      <c r="M143" s="15"/>
      <c r="N143" s="15">
        <v>125</v>
      </c>
      <c r="O143" s="15"/>
      <c r="P143" s="15">
        <v>525</v>
      </c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252"/>
      <c r="AY143" s="15"/>
      <c r="AZ143" s="15"/>
      <c r="BA143" s="15"/>
      <c r="BB143" s="15"/>
      <c r="BC143" s="15"/>
      <c r="BD143" s="15"/>
      <c r="BE143" s="15"/>
      <c r="BF143" s="15"/>
      <c r="BG143" s="26">
        <v>0.434</v>
      </c>
      <c r="BH143" s="26">
        <v>0.77900000000000003</v>
      </c>
      <c r="BI143" s="15">
        <v>1840</v>
      </c>
      <c r="BJ143" s="15">
        <v>2.899</v>
      </c>
      <c r="BK143" s="15" t="s">
        <v>18</v>
      </c>
      <c r="BL143" s="15">
        <v>30</v>
      </c>
      <c r="BM143" s="15"/>
      <c r="BN143" s="15">
        <v>0</v>
      </c>
      <c r="BO143" s="15">
        <f t="shared" si="39"/>
        <v>1000</v>
      </c>
      <c r="BP143" s="15">
        <v>1.2270000000000001</v>
      </c>
      <c r="BR143" s="26">
        <f t="shared" si="35"/>
        <v>0.34541339143701655</v>
      </c>
      <c r="BS143" s="15">
        <f t="shared" si="36"/>
        <v>0.84000000000000008</v>
      </c>
      <c r="BT143" s="400">
        <f t="shared" si="33"/>
        <v>137</v>
      </c>
      <c r="BV143" s="98"/>
      <c r="BW143" s="398"/>
      <c r="BX143" s="398"/>
      <c r="BY143" s="398"/>
      <c r="BZ143" s="398"/>
    </row>
    <row r="144" spans="1:78" x14ac:dyDescent="0.25">
      <c r="A144" s="121" t="s">
        <v>91</v>
      </c>
      <c r="B144" s="121" t="s">
        <v>91</v>
      </c>
      <c r="C144" s="15"/>
      <c r="D144" s="15"/>
      <c r="E144" s="15">
        <v>586</v>
      </c>
      <c r="F144" s="15"/>
      <c r="G144" s="15"/>
      <c r="H144" s="15"/>
      <c r="I144" s="15">
        <v>294</v>
      </c>
      <c r="J144" s="15"/>
      <c r="K144" s="15"/>
      <c r="L144" s="15"/>
      <c r="M144" s="15"/>
      <c r="N144" s="15"/>
      <c r="O144" s="15">
        <v>12</v>
      </c>
      <c r="P144" s="15">
        <v>24</v>
      </c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>
        <v>8</v>
      </c>
      <c r="AB144" s="15"/>
      <c r="AC144" s="15"/>
      <c r="AD144" s="15"/>
      <c r="AE144" s="15"/>
      <c r="AF144" s="15">
        <v>3</v>
      </c>
      <c r="AG144" s="15"/>
      <c r="AH144" s="15"/>
      <c r="AI144" s="15">
        <v>73</v>
      </c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252"/>
      <c r="AY144" s="15"/>
      <c r="AZ144" s="15"/>
      <c r="BA144" s="15"/>
      <c r="BB144" s="15"/>
      <c r="BC144" s="15"/>
      <c r="BD144" s="15"/>
      <c r="BE144" s="15"/>
      <c r="BF144" s="15"/>
      <c r="BG144" s="26">
        <f>((BO144-(BI144*BR144))/BS144)/1000</f>
        <v>0.86476456267792645</v>
      </c>
      <c r="BH144" s="26">
        <f>BR144+BG144</f>
        <v>1.2431763751186176</v>
      </c>
      <c r="BI144" s="15">
        <v>1500</v>
      </c>
      <c r="BJ144" s="26">
        <f>1/(BH144-BG144)</f>
        <v>2.6426236367997396</v>
      </c>
      <c r="BK144" s="15" t="s">
        <v>13</v>
      </c>
      <c r="BL144" s="15">
        <v>30</v>
      </c>
      <c r="BM144" s="15"/>
      <c r="BN144" s="15">
        <v>0</v>
      </c>
      <c r="BO144" s="15">
        <f t="shared" si="39"/>
        <v>1000</v>
      </c>
      <c r="BP144" s="151">
        <v>1.1100000000000001</v>
      </c>
      <c r="BR144" s="26">
        <f t="shared" si="35"/>
        <v>0.37841181244069116</v>
      </c>
      <c r="BS144" s="15">
        <f t="shared" si="36"/>
        <v>0.5</v>
      </c>
      <c r="BT144" s="400">
        <f t="shared" si="33"/>
        <v>138</v>
      </c>
      <c r="BV144" s="98" t="s">
        <v>114</v>
      </c>
      <c r="BW144" s="398"/>
      <c r="BX144" s="398"/>
      <c r="BY144" s="398"/>
      <c r="BZ144" s="398"/>
    </row>
    <row r="145" spans="1:78" x14ac:dyDescent="0.25">
      <c r="A145" s="121" t="s">
        <v>445</v>
      </c>
      <c r="B145" s="121" t="s">
        <v>445</v>
      </c>
      <c r="C145" s="15"/>
      <c r="D145" s="15"/>
      <c r="E145" s="15">
        <v>586</v>
      </c>
      <c r="F145" s="15"/>
      <c r="G145" s="15"/>
      <c r="H145" s="15"/>
      <c r="I145" s="15"/>
      <c r="J145" s="15">
        <v>294</v>
      </c>
      <c r="K145" s="15"/>
      <c r="L145" s="15"/>
      <c r="M145" s="15"/>
      <c r="N145" s="15"/>
      <c r="O145" s="15">
        <v>12</v>
      </c>
      <c r="P145" s="15">
        <v>24</v>
      </c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>
        <v>8</v>
      </c>
      <c r="AB145" s="15"/>
      <c r="AC145" s="15"/>
      <c r="AD145" s="15"/>
      <c r="AE145" s="15"/>
      <c r="AF145" s="15">
        <v>3</v>
      </c>
      <c r="AG145" s="15"/>
      <c r="AH145" s="15"/>
      <c r="AI145" s="15">
        <v>73</v>
      </c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252"/>
      <c r="AY145" s="15"/>
      <c r="AZ145" s="15"/>
      <c r="BA145" s="15"/>
      <c r="BB145" s="15"/>
      <c r="BC145" s="15"/>
      <c r="BD145" s="15"/>
      <c r="BE145" s="15"/>
      <c r="BF145" s="15"/>
      <c r="BG145" s="26">
        <f>((BO145-(BI145*BR145))/BS145)/1000</f>
        <v>0.93878875590855027</v>
      </c>
      <c r="BH145" s="26">
        <f>BR145+BG145</f>
        <v>1.2925258372723669</v>
      </c>
      <c r="BI145" s="15">
        <v>1500</v>
      </c>
      <c r="BJ145" s="26">
        <f>1/(BH145-BG145)</f>
        <v>2.8269583616864455</v>
      </c>
      <c r="BK145" s="15" t="s">
        <v>13</v>
      </c>
      <c r="BL145" s="15">
        <v>36</v>
      </c>
      <c r="BM145" s="15"/>
      <c r="BN145" s="15">
        <v>0</v>
      </c>
      <c r="BO145" s="15">
        <f t="shared" si="39"/>
        <v>1000</v>
      </c>
      <c r="BP145" s="151">
        <v>1.26</v>
      </c>
      <c r="BR145" s="26">
        <f t="shared" si="35"/>
        <v>0.3537370813638166</v>
      </c>
      <c r="BS145" s="15">
        <f t="shared" si="36"/>
        <v>0.5</v>
      </c>
      <c r="BT145" s="400">
        <f t="shared" si="33"/>
        <v>139</v>
      </c>
      <c r="BV145" s="98" t="s">
        <v>114</v>
      </c>
      <c r="BW145" s="398"/>
      <c r="BX145" s="398"/>
      <c r="BY145" s="398"/>
      <c r="BZ145" s="398"/>
    </row>
    <row r="146" spans="1:78" x14ac:dyDescent="0.25">
      <c r="A146" s="121" t="s">
        <v>1916</v>
      </c>
      <c r="B146" s="121" t="s">
        <v>1916</v>
      </c>
      <c r="C146" s="15"/>
      <c r="D146" s="15"/>
      <c r="E146" s="15"/>
      <c r="F146" s="15"/>
      <c r="G146" s="15"/>
      <c r="H146" s="15">
        <v>714</v>
      </c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252"/>
      <c r="AY146" s="15"/>
      <c r="AZ146" s="15">
        <v>286</v>
      </c>
      <c r="BA146" s="15"/>
      <c r="BB146" s="15"/>
      <c r="BC146" s="15"/>
      <c r="BD146" s="15"/>
      <c r="BE146" s="15"/>
      <c r="BF146" s="15"/>
      <c r="BG146" s="26">
        <v>0.66600000000000004</v>
      </c>
      <c r="BH146" s="26">
        <v>1.01</v>
      </c>
      <c r="BI146" s="15">
        <v>1650</v>
      </c>
      <c r="BJ146" s="26">
        <f>1/(BH146-BG146)</f>
        <v>2.9069767441860468</v>
      </c>
      <c r="BK146" s="15" t="s">
        <v>13</v>
      </c>
      <c r="BL146" s="15">
        <v>30</v>
      </c>
      <c r="BM146" s="15"/>
      <c r="BN146" s="15">
        <v>0</v>
      </c>
      <c r="BO146" s="15">
        <f t="shared" si="39"/>
        <v>1000</v>
      </c>
      <c r="BP146" s="15" t="s">
        <v>1810</v>
      </c>
      <c r="BR146" s="26">
        <f t="shared" si="35"/>
        <v>0.52360399334442609</v>
      </c>
      <c r="BS146" s="15">
        <f t="shared" si="36"/>
        <v>0.64999999999999991</v>
      </c>
      <c r="BT146" s="400">
        <f t="shared" si="33"/>
        <v>140</v>
      </c>
      <c r="BV146" s="98"/>
      <c r="BW146" s="398"/>
      <c r="BX146" s="398"/>
      <c r="BY146" s="398"/>
      <c r="BZ146" s="398"/>
    </row>
    <row r="147" spans="1:78" x14ac:dyDescent="0.25">
      <c r="A147" s="121" t="s">
        <v>1926</v>
      </c>
      <c r="B147" s="121" t="s">
        <v>1926</v>
      </c>
      <c r="C147" s="15"/>
      <c r="D147" s="15"/>
      <c r="E147" s="15"/>
      <c r="F147" s="15"/>
      <c r="G147" s="15">
        <v>393</v>
      </c>
      <c r="H147" s="15"/>
      <c r="I147" s="15">
        <v>500</v>
      </c>
      <c r="J147" s="15"/>
      <c r="K147" s="15"/>
      <c r="L147" s="15"/>
      <c r="M147" s="15"/>
      <c r="N147" s="15"/>
      <c r="O147" s="15">
        <v>107</v>
      </c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252"/>
      <c r="AY147" s="15"/>
      <c r="AZ147" s="15"/>
      <c r="BA147" s="15"/>
      <c r="BB147" s="15"/>
      <c r="BC147" s="15"/>
      <c r="BD147" s="15"/>
      <c r="BE147" s="15"/>
      <c r="BF147" s="15"/>
      <c r="BG147" s="26">
        <v>1.2569999999999999</v>
      </c>
      <c r="BH147" s="26">
        <v>1.6719999999999999</v>
      </c>
      <c r="BI147" s="15">
        <v>1350</v>
      </c>
      <c r="BJ147" s="26">
        <f>1/(BH147-BG147)</f>
        <v>2.4096385542168672</v>
      </c>
      <c r="BK147" s="402" t="s">
        <v>13</v>
      </c>
      <c r="BL147" s="15"/>
      <c r="BM147" s="15"/>
      <c r="BN147" s="402">
        <v>0</v>
      </c>
      <c r="BO147" s="402">
        <f t="shared" si="39"/>
        <v>1000</v>
      </c>
      <c r="BP147" s="15">
        <v>0.995</v>
      </c>
      <c r="BR147" s="26">
        <f t="shared" si="35"/>
        <v>0.42026244705617977</v>
      </c>
      <c r="BS147" s="15">
        <f t="shared" si="36"/>
        <v>0.35000000000000009</v>
      </c>
      <c r="BT147" s="400">
        <f t="shared" si="33"/>
        <v>141</v>
      </c>
      <c r="BV147" s="98"/>
      <c r="BW147" s="398"/>
      <c r="BX147" s="398"/>
      <c r="BY147" s="398"/>
      <c r="BZ147" s="398"/>
    </row>
    <row r="148" spans="1:78" x14ac:dyDescent="0.25">
      <c r="A148" s="10"/>
      <c r="B148" s="10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252"/>
      <c r="AY148" s="15"/>
      <c r="AZ148" s="15"/>
      <c r="BA148" s="15"/>
      <c r="BB148" s="15"/>
      <c r="BC148" s="15"/>
      <c r="BD148" s="15"/>
      <c r="BE148" s="15"/>
      <c r="BF148" s="15"/>
      <c r="BG148" s="26"/>
      <c r="BH148" s="26"/>
      <c r="BI148" s="15"/>
      <c r="BJ148" s="15"/>
      <c r="BK148" s="15"/>
      <c r="BL148" s="15"/>
      <c r="BM148" s="15"/>
      <c r="BN148" s="15"/>
      <c r="BO148" s="15"/>
      <c r="BP148" s="15"/>
      <c r="BR148" s="26"/>
      <c r="BS148" s="15"/>
      <c r="BT148" s="400">
        <f t="shared" si="33"/>
        <v>142</v>
      </c>
      <c r="BV148" s="98"/>
      <c r="BW148" s="398"/>
      <c r="BX148" s="398"/>
      <c r="BY148" s="398"/>
      <c r="BZ148" s="398"/>
    </row>
    <row r="149" spans="1:78" x14ac:dyDescent="0.25">
      <c r="A149" s="10"/>
      <c r="B149" s="10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252"/>
      <c r="AY149" s="15"/>
      <c r="AZ149" s="15"/>
      <c r="BA149" s="15"/>
      <c r="BB149" s="15"/>
      <c r="BC149" s="15"/>
      <c r="BD149" s="15"/>
      <c r="BE149" s="15"/>
      <c r="BF149" s="15"/>
      <c r="BG149" s="26"/>
      <c r="BH149" s="26"/>
      <c r="BI149" s="15"/>
      <c r="BJ149" s="15"/>
      <c r="BK149" s="15"/>
      <c r="BL149" s="15"/>
      <c r="BM149" s="15"/>
      <c r="BN149" s="15"/>
      <c r="BO149" s="15"/>
      <c r="BP149" s="15"/>
      <c r="BR149" s="26"/>
      <c r="BS149" s="15"/>
      <c r="BT149" s="400">
        <f t="shared" si="33"/>
        <v>143</v>
      </c>
      <c r="BV149" s="98"/>
      <c r="BW149" s="398"/>
      <c r="BX149" s="398"/>
      <c r="BY149" s="398"/>
      <c r="BZ149" s="398"/>
    </row>
    <row r="150" spans="1:78" ht="15" x14ac:dyDescent="0.25">
      <c r="A150" s="10"/>
      <c r="B150" s="10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252"/>
      <c r="AY150" s="15"/>
      <c r="AZ150" s="15"/>
      <c r="BA150" s="15"/>
      <c r="BB150" s="15"/>
      <c r="BC150" s="15"/>
      <c r="BD150" s="15"/>
      <c r="BE150" s="15"/>
      <c r="BF150" s="15"/>
      <c r="BG150" s="26"/>
      <c r="BH150" s="26"/>
      <c r="BI150" s="15"/>
      <c r="BJ150" s="15"/>
      <c r="BK150" s="15"/>
      <c r="BL150" s="15"/>
      <c r="BM150" s="15"/>
      <c r="BN150" s="15"/>
      <c r="BO150" s="15"/>
      <c r="BP150" s="15"/>
      <c r="BR150" s="26"/>
      <c r="BS150" s="15"/>
      <c r="BT150" s="400">
        <f t="shared" si="33"/>
        <v>144</v>
      </c>
    </row>
    <row r="151" spans="1:78" ht="15" x14ac:dyDescent="0.25">
      <c r="A151" s="10"/>
      <c r="B151" s="10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252"/>
      <c r="AY151" s="15"/>
      <c r="AZ151" s="15"/>
      <c r="BA151" s="15"/>
      <c r="BB151" s="15"/>
      <c r="BC151" s="15"/>
      <c r="BD151" s="15"/>
      <c r="BE151" s="15"/>
      <c r="BF151" s="15"/>
      <c r="BG151" s="26"/>
      <c r="BH151" s="26"/>
      <c r="BI151" s="15"/>
      <c r="BJ151" s="15"/>
      <c r="BK151" s="15"/>
      <c r="BL151" s="15"/>
      <c r="BM151" s="15"/>
      <c r="BN151" s="15"/>
      <c r="BO151" s="15"/>
      <c r="BP151" s="15"/>
      <c r="BR151" s="26"/>
      <c r="BS151" s="15"/>
      <c r="BT151" s="400">
        <f t="shared" si="33"/>
        <v>145</v>
      </c>
    </row>
    <row r="152" spans="1:78" ht="15" x14ac:dyDescent="0.25">
      <c r="A152" s="10" t="s">
        <v>488</v>
      </c>
      <c r="B152" s="10" t="s">
        <v>488</v>
      </c>
      <c r="C152" s="15" t="e">
        <f>#REF!</f>
        <v>#REF!</v>
      </c>
      <c r="D152" s="15" t="e">
        <f>#REF!</f>
        <v>#REF!</v>
      </c>
      <c r="E152" s="15" t="e">
        <f>#REF!</f>
        <v>#REF!</v>
      </c>
      <c r="F152" s="15" t="e">
        <f>#REF!</f>
        <v>#REF!</v>
      </c>
      <c r="G152" s="15" t="e">
        <f>#REF!</f>
        <v>#REF!</v>
      </c>
      <c r="H152" s="15" t="e">
        <f>#REF!</f>
        <v>#REF!</v>
      </c>
      <c r="I152" s="15" t="e">
        <f>#REF!</f>
        <v>#REF!</v>
      </c>
      <c r="J152" s="15" t="e">
        <f>#REF!</f>
        <v>#REF!</v>
      </c>
      <c r="K152" s="15"/>
      <c r="L152" s="15" t="e">
        <f>#REF!</f>
        <v>#REF!</v>
      </c>
      <c r="M152" s="15" t="e">
        <f>#REF!</f>
        <v>#REF!</v>
      </c>
      <c r="N152" s="15" t="e">
        <f>#REF!</f>
        <v>#REF!</v>
      </c>
      <c r="O152" s="15" t="e">
        <f>#REF!</f>
        <v>#REF!</v>
      </c>
      <c r="P152" s="15" t="e">
        <f>#REF!</f>
        <v>#REF!</v>
      </c>
      <c r="Q152" s="15" t="e">
        <f>#REF!</f>
        <v>#REF!</v>
      </c>
      <c r="R152" s="15" t="e">
        <f>#REF!</f>
        <v>#REF!</v>
      </c>
      <c r="S152" s="15" t="e">
        <f>#REF!</f>
        <v>#REF!</v>
      </c>
      <c r="T152" s="15" t="e">
        <f>#REF!</f>
        <v>#REF!</v>
      </c>
      <c r="U152" s="15" t="e">
        <f>#REF!</f>
        <v>#REF!</v>
      </c>
      <c r="V152" s="15" t="e">
        <f>#REF!</f>
        <v>#REF!</v>
      </c>
      <c r="W152" s="15" t="e">
        <f>#REF!</f>
        <v>#REF!</v>
      </c>
      <c r="X152" s="15" t="e">
        <f>#REF!</f>
        <v>#REF!</v>
      </c>
      <c r="Y152" s="15" t="e">
        <f>#REF!</f>
        <v>#REF!</v>
      </c>
      <c r="Z152" s="15" t="e">
        <f>#REF!</f>
        <v>#REF!</v>
      </c>
      <c r="AA152" s="15" t="e">
        <f>#REF!</f>
        <v>#REF!</v>
      </c>
      <c r="AB152" s="15" t="e">
        <f>#REF!</f>
        <v>#REF!</v>
      </c>
      <c r="AC152" s="15" t="e">
        <f>#REF!</f>
        <v>#REF!</v>
      </c>
      <c r="AD152" s="15" t="e">
        <f>#REF!</f>
        <v>#REF!</v>
      </c>
      <c r="AE152" s="15" t="e">
        <f>#REF!</f>
        <v>#REF!</v>
      </c>
      <c r="AF152" s="15" t="e">
        <f>#REF!</f>
        <v>#REF!</v>
      </c>
      <c r="AG152" s="15" t="e">
        <f>#REF!</f>
        <v>#REF!</v>
      </c>
      <c r="AH152" s="15" t="e">
        <f>#REF!</f>
        <v>#REF!</v>
      </c>
      <c r="AI152" s="15" t="e">
        <f>#REF!</f>
        <v>#REF!</v>
      </c>
      <c r="AJ152" s="15" t="e">
        <f>#REF!</f>
        <v>#REF!</v>
      </c>
      <c r="AK152" s="15" t="e">
        <f>#REF!</f>
        <v>#REF!</v>
      </c>
      <c r="AL152" s="15" t="e">
        <f>#REF!</f>
        <v>#REF!</v>
      </c>
      <c r="AM152" s="15" t="e">
        <f>#REF!</f>
        <v>#REF!</v>
      </c>
      <c r="AN152" s="15" t="e">
        <f>#REF!</f>
        <v>#REF!</v>
      </c>
      <c r="AO152" s="15" t="e">
        <f>#REF!</f>
        <v>#REF!</v>
      </c>
      <c r="AP152" s="15" t="e">
        <f>#REF!</f>
        <v>#REF!</v>
      </c>
      <c r="AQ152" s="15" t="e">
        <f>#REF!</f>
        <v>#REF!</v>
      </c>
      <c r="AR152" s="15" t="e">
        <f>#REF!</f>
        <v>#REF!</v>
      </c>
      <c r="AS152" s="15" t="e">
        <f>#REF!</f>
        <v>#REF!</v>
      </c>
      <c r="AT152" s="15" t="e">
        <f>#REF!</f>
        <v>#REF!</v>
      </c>
      <c r="AU152" s="15" t="e">
        <f>#REF!</f>
        <v>#REF!</v>
      </c>
      <c r="AV152" s="15" t="e">
        <f>#REF!</f>
        <v>#REF!</v>
      </c>
      <c r="AW152" s="15" t="e">
        <f>#REF!</f>
        <v>#REF!</v>
      </c>
      <c r="AX152" s="252" t="e">
        <f>#REF!</f>
        <v>#REF!</v>
      </c>
      <c r="AY152" s="15" t="e">
        <f>#REF!</f>
        <v>#REF!</v>
      </c>
      <c r="AZ152" s="15" t="e">
        <f>#REF!</f>
        <v>#REF!</v>
      </c>
      <c r="BA152" s="15" t="e">
        <f>#REF!</f>
        <v>#REF!</v>
      </c>
      <c r="BB152" s="15" t="e">
        <f>#REF!</f>
        <v>#REF!</v>
      </c>
      <c r="BC152" s="15" t="e">
        <f>#REF!</f>
        <v>#REF!</v>
      </c>
      <c r="BD152" s="15" t="e">
        <f>#REF!</f>
        <v>#REF!</v>
      </c>
      <c r="BE152" s="15" t="e">
        <f>#REF!</f>
        <v>#REF!</v>
      </c>
      <c r="BF152" s="15" t="e">
        <f>#REF!</f>
        <v>#REF!</v>
      </c>
      <c r="BG152" s="26" t="e">
        <f>#REF!</f>
        <v>#REF!</v>
      </c>
      <c r="BH152" s="26" t="e">
        <f>#REF!</f>
        <v>#REF!</v>
      </c>
      <c r="BI152" s="128" t="e">
        <f>#REF!</f>
        <v>#REF!</v>
      </c>
      <c r="BJ152" s="26" t="e">
        <f>1/(BH152-BG152)</f>
        <v>#REF!</v>
      </c>
      <c r="BK152" s="15"/>
      <c r="BL152" s="15"/>
      <c r="BM152" s="15"/>
      <c r="BN152" s="15">
        <v>0</v>
      </c>
      <c r="BO152" s="15" t="e">
        <f>#REF!</f>
        <v>#REF!</v>
      </c>
      <c r="BP152" s="15"/>
      <c r="BR152" s="26" t="e">
        <f>((C152*C$5+D152*D$5+E152*E$5+F152*F$5+G152*G$5+H152*H$5+I152*I$5+J152*J$5+L152*L$5+M152*M$5+N152*N$5+O152*O$5+P152*P$5+Q152*Q$5+R152*R$5+S152*S$5+T152*T$5+U152*U$5+V152*V$5+W152*W$5+X152*X$5+Y152*Y$5+Z152*Z$5+AA152*AA$5+AB152*AB$5+AC152*AC$5+AD152*AD$5+AE152*AE$5+AF152*AF$5+AG152*AG$5+AH152*AH$5+AI152*AI$5+AJ152*AJ$5+AK152*AK$5+AL152*AL$5+AM152*AM$5+AN152*AN$5+AO152*AO$5+AP152*AP$5+AQ152*AQ$5+AR152*AR$5+AS152*AS$5+AT152*AT$5+AU152*AU$5+AV152*AV$5+AW152*AW$5+AX152*AX$5+AY152*AY$5+AZ152*AZ$5+BA152*BA$5+BB152*BB$5+BC152*BC$5+BD152*BD$5+BE152*BE$5+BF152*BF$5)/1000)</f>
        <v>#REF!</v>
      </c>
      <c r="BS152" s="15" t="e">
        <f>BI152/1000-1</f>
        <v>#REF!</v>
      </c>
      <c r="BT152" s="400">
        <f t="shared" si="33"/>
        <v>146</v>
      </c>
    </row>
  </sheetData>
  <sheetProtection selectLockedCells="1" selectUnlockedCells="1"/>
  <autoFilter ref="A7:BV7" xr:uid="{00000000-0009-0000-0000-000012000000}">
    <sortState xmlns:xlrd2="http://schemas.microsoft.com/office/spreadsheetml/2017/richdata2" ref="A8:BV145">
      <sortCondition ref="A7"/>
    </sortState>
  </autoFilter>
  <sortState xmlns:xlrd2="http://schemas.microsoft.com/office/spreadsheetml/2017/richdata2" ref="A8:BV123">
    <sortCondition ref="A8:A123"/>
  </sortState>
  <mergeCells count="7">
    <mergeCell ref="A1:BO1"/>
    <mergeCell ref="BG2:BO2"/>
    <mergeCell ref="A4:B4"/>
    <mergeCell ref="A6:B6"/>
    <mergeCell ref="A5:B5"/>
    <mergeCell ref="A2:B2"/>
    <mergeCell ref="C2:BF2"/>
  </mergeCells>
  <conditionalFormatting sqref="A4:A5 A1 BG2:BG3 A2:C3 BQ153:XFD1048576 BQ7:BS7 BQ1:XFD6 A6:B6 C100 A40:A48 C97:BF99 BQ97:BQ109 A153:BH1048576 BH11:BH17 C8:BF77 BH8:BO10 BG8:BG17 C101:BF109 BM107:BN107 BJ107 BI108:BN113 BI114:BO118 BQ110:BS118 A94:A109 BI119:BN120 BM121:BN121 C121:BF121 A120:A121 A122:BG123 BS119:BS129 C124:BG126 BU135:XFD152 BW133:XFD134 C80:BF95 BQ8:BQ95 A64:A92 BP80:BP95 A110:BG119 BQ135:BQ140 BI140:BN140 BQ141:BR141 BI141:BO141 BI142 BK142:BO142 BI135:BM139 C120:BG120 C4:BO7 BI122:BN124 C127:BF127 BI125:BI127 BK125:BN127 A51:A62 BO51:BO113 BI51:BN106 BP4:BP77 BI11:BO50 BG18:BH109 BR8:BS109 B64:B109 C128:BN130 BU7:XFD132 BP120:BQ130 BT7:BT152 A148:BG152 C135:BG147 BI148:BO1048576 BI143:BN147 BQ142:BS152">
    <cfRule type="cellIs" dxfId="106" priority="156" operator="equal">
      <formula>0</formula>
    </cfRule>
  </conditionalFormatting>
  <conditionalFormatting sqref="BH110:BH120 BH122:BH126 BH135:BH152">
    <cfRule type="cellIs" dxfId="105" priority="153" operator="equal">
      <formula>0</formula>
    </cfRule>
  </conditionalFormatting>
  <conditionalFormatting sqref="BP97:BP118 BP135:BP1048576">
    <cfRule type="cellIs" dxfId="104" priority="151" operator="equal">
      <formula>0</formula>
    </cfRule>
  </conditionalFormatting>
  <conditionalFormatting sqref="C96:BF96 BQ96">
    <cfRule type="cellIs" dxfId="103" priority="150" operator="equal">
      <formula>0</formula>
    </cfRule>
  </conditionalFormatting>
  <conditionalFormatting sqref="BP96">
    <cfRule type="cellIs" dxfId="102" priority="148" operator="equal">
      <formula>0</formula>
    </cfRule>
  </conditionalFormatting>
  <conditionalFormatting sqref="C78:BF78">
    <cfRule type="cellIs" dxfId="101" priority="147" operator="equal">
      <formula>0</formula>
    </cfRule>
  </conditionalFormatting>
  <conditionalFormatting sqref="BP78">
    <cfRule type="cellIs" dxfId="100" priority="145" operator="equal">
      <formula>0</formula>
    </cfRule>
  </conditionalFormatting>
  <conditionalFormatting sqref="C79:BF79">
    <cfRule type="cellIs" dxfId="99" priority="144" operator="equal">
      <formula>0</formula>
    </cfRule>
  </conditionalFormatting>
  <conditionalFormatting sqref="BP79">
    <cfRule type="cellIs" dxfId="98" priority="142" operator="equal">
      <formula>0</formula>
    </cfRule>
  </conditionalFormatting>
  <conditionalFormatting sqref="D100:BF100">
    <cfRule type="cellIs" dxfId="97" priority="141" operator="equal">
      <formula>0</formula>
    </cfRule>
  </conditionalFormatting>
  <conditionalFormatting sqref="B40:B47 B55:B62">
    <cfRule type="cellIs" dxfId="96" priority="139" operator="equal">
      <formula>0</formula>
    </cfRule>
  </conditionalFormatting>
  <conditionalFormatting sqref="BI107 BK107:BL107">
    <cfRule type="cellIs" dxfId="95" priority="138" operator="equal">
      <formula>0</formula>
    </cfRule>
  </conditionalFormatting>
  <conditionalFormatting sqref="BO119 BQ119:BR119 BR120:BR123">
    <cfRule type="cellIs" dxfId="94" priority="137" operator="equal">
      <formula>0</formula>
    </cfRule>
  </conditionalFormatting>
  <conditionalFormatting sqref="BP119">
    <cfRule type="cellIs" dxfId="93" priority="136" operator="equal">
      <formula>0</formula>
    </cfRule>
  </conditionalFormatting>
  <conditionalFormatting sqref="A93">
    <cfRule type="cellIs" dxfId="92" priority="135" operator="equal">
      <formula>0</formula>
    </cfRule>
  </conditionalFormatting>
  <conditionalFormatting sqref="B48 B51:B54">
    <cfRule type="cellIs" dxfId="91" priority="134" operator="equal">
      <formula>0</formula>
    </cfRule>
  </conditionalFormatting>
  <conditionalFormatting sqref="BO120">
    <cfRule type="cellIs" dxfId="90" priority="133" operator="equal">
      <formula>0</formula>
    </cfRule>
  </conditionalFormatting>
  <conditionalFormatting sqref="BG121 BI121:BL121">
    <cfRule type="cellIs" dxfId="89" priority="132" operator="equal">
      <formula>0</formula>
    </cfRule>
  </conditionalFormatting>
  <conditionalFormatting sqref="BH121">
    <cfRule type="cellIs" dxfId="88" priority="131" operator="equal">
      <formula>0</formula>
    </cfRule>
  </conditionalFormatting>
  <conditionalFormatting sqref="BO121">
    <cfRule type="cellIs" dxfId="87" priority="130" operator="equal">
      <formula>0</formula>
    </cfRule>
  </conditionalFormatting>
  <conditionalFormatting sqref="B120:B121">
    <cfRule type="cellIs" dxfId="86" priority="129" operator="equal">
      <formula>0</formula>
    </cfRule>
  </conditionalFormatting>
  <conditionalFormatting sqref="BO122">
    <cfRule type="cellIs" dxfId="85" priority="128" operator="equal">
      <formula>0</formula>
    </cfRule>
  </conditionalFormatting>
  <conditionalFormatting sqref="BO123">
    <cfRule type="cellIs" dxfId="84" priority="127" operator="equal">
      <formula>0</formula>
    </cfRule>
  </conditionalFormatting>
  <conditionalFormatting sqref="A124:B126">
    <cfRule type="cellIs" dxfId="83" priority="126" operator="equal">
      <formula>0</formula>
    </cfRule>
  </conditionalFormatting>
  <conditionalFormatting sqref="BO124">
    <cfRule type="cellIs" dxfId="82" priority="125" operator="equal">
      <formula>0</formula>
    </cfRule>
  </conditionalFormatting>
  <conditionalFormatting sqref="BO125:BO126">
    <cfRule type="cellIs" dxfId="81" priority="124" operator="equal">
      <formula>0</formula>
    </cfRule>
  </conditionalFormatting>
  <conditionalFormatting sqref="BR124">
    <cfRule type="cellIs" dxfId="80" priority="123" operator="equal">
      <formula>0</formula>
    </cfRule>
  </conditionalFormatting>
  <conditionalFormatting sqref="BR125:BR126">
    <cfRule type="cellIs" dxfId="79" priority="122" operator="equal">
      <formula>0</formula>
    </cfRule>
  </conditionalFormatting>
  <conditionalFormatting sqref="A127:B127">
    <cfRule type="cellIs" dxfId="78" priority="121" operator="equal">
      <formula>0</formula>
    </cfRule>
  </conditionalFormatting>
  <conditionalFormatting sqref="BO127">
    <cfRule type="cellIs" dxfId="77" priority="120" operator="equal">
      <formula>0</formula>
    </cfRule>
  </conditionalFormatting>
  <conditionalFormatting sqref="BR127">
    <cfRule type="cellIs" dxfId="76" priority="119" operator="equal">
      <formula>0</formula>
    </cfRule>
  </conditionalFormatting>
  <conditionalFormatting sqref="A128:B128">
    <cfRule type="cellIs" dxfId="75" priority="118" operator="equal">
      <formula>0</formula>
    </cfRule>
  </conditionalFormatting>
  <conditionalFormatting sqref="BO128">
    <cfRule type="cellIs" dxfId="74" priority="117" operator="equal">
      <formula>0</formula>
    </cfRule>
  </conditionalFormatting>
  <conditionalFormatting sqref="BR128">
    <cfRule type="cellIs" dxfId="73" priority="116" operator="equal">
      <formula>0</formula>
    </cfRule>
  </conditionalFormatting>
  <conditionalFormatting sqref="A129:B129">
    <cfRule type="cellIs" dxfId="72" priority="115" operator="equal">
      <formula>0</formula>
    </cfRule>
  </conditionalFormatting>
  <conditionalFormatting sqref="BO129">
    <cfRule type="cellIs" dxfId="71" priority="114" operator="equal">
      <formula>0</formula>
    </cfRule>
  </conditionalFormatting>
  <conditionalFormatting sqref="BR129">
    <cfRule type="cellIs" dxfId="70" priority="113" operator="equal">
      <formula>0</formula>
    </cfRule>
  </conditionalFormatting>
  <conditionalFormatting sqref="A130:B130">
    <cfRule type="cellIs" dxfId="69" priority="105" operator="equal">
      <formula>0</formula>
    </cfRule>
  </conditionalFormatting>
  <conditionalFormatting sqref="BO130">
    <cfRule type="cellIs" dxfId="68" priority="102" operator="equal">
      <formula>0</formula>
    </cfRule>
  </conditionalFormatting>
  <conditionalFormatting sqref="BS130">
    <cfRule type="cellIs" dxfId="67" priority="100" operator="equal">
      <formula>0</formula>
    </cfRule>
  </conditionalFormatting>
  <conditionalFormatting sqref="BR130">
    <cfRule type="cellIs" dxfId="66" priority="99" operator="equal">
      <formula>0</formula>
    </cfRule>
  </conditionalFormatting>
  <conditionalFormatting sqref="A63:B63">
    <cfRule type="cellIs" dxfId="65" priority="75" operator="equal">
      <formula>0</formula>
    </cfRule>
  </conditionalFormatting>
  <conditionalFormatting sqref="BI131:BO131 BQ131:BS131 A131:BG131">
    <cfRule type="cellIs" dxfId="64" priority="74" operator="equal">
      <formula>0</formula>
    </cfRule>
  </conditionalFormatting>
  <conditionalFormatting sqref="BH131">
    <cfRule type="cellIs" dxfId="63" priority="73" operator="equal">
      <formula>0</formula>
    </cfRule>
  </conditionalFormatting>
  <conditionalFormatting sqref="BP131">
    <cfRule type="cellIs" dxfId="62" priority="71" operator="equal">
      <formula>0</formula>
    </cfRule>
  </conditionalFormatting>
  <conditionalFormatting sqref="BI132:BN132 BQ132 C132:BG132">
    <cfRule type="cellIs" dxfId="61" priority="70" operator="equal">
      <formula>0</formula>
    </cfRule>
  </conditionalFormatting>
  <conditionalFormatting sqref="BH132">
    <cfRule type="cellIs" dxfId="60" priority="69" operator="equal">
      <formula>0</formula>
    </cfRule>
  </conditionalFormatting>
  <conditionalFormatting sqref="BP132">
    <cfRule type="cellIs" dxfId="59" priority="67" operator="equal">
      <formula>0</formula>
    </cfRule>
  </conditionalFormatting>
  <conditionalFormatting sqref="A132">
    <cfRule type="cellIs" dxfId="58" priority="66" operator="equal">
      <formula>0</formula>
    </cfRule>
  </conditionalFormatting>
  <conditionalFormatting sqref="B132">
    <cfRule type="cellIs" dxfId="57" priority="65" operator="equal">
      <formula>0</formula>
    </cfRule>
  </conditionalFormatting>
  <conditionalFormatting sqref="BO132">
    <cfRule type="cellIs" dxfId="56" priority="64" operator="equal">
      <formula>0</formula>
    </cfRule>
  </conditionalFormatting>
  <conditionalFormatting sqref="BS132">
    <cfRule type="cellIs" dxfId="55" priority="63" operator="equal">
      <formula>0</formula>
    </cfRule>
  </conditionalFormatting>
  <conditionalFormatting sqref="BR132">
    <cfRule type="cellIs" dxfId="54" priority="62" operator="equal">
      <formula>0</formula>
    </cfRule>
  </conditionalFormatting>
  <conditionalFormatting sqref="BQ133:BS133 BU133:BV133 C133:BO133 A133">
    <cfRule type="cellIs" dxfId="53" priority="61" operator="equal">
      <formula>0</formula>
    </cfRule>
  </conditionalFormatting>
  <conditionalFormatting sqref="BP133">
    <cfRule type="cellIs" dxfId="52" priority="59" operator="equal">
      <formula>0</formula>
    </cfRule>
  </conditionalFormatting>
  <conditionalFormatting sqref="B133">
    <cfRule type="cellIs" dxfId="51" priority="58" operator="equal">
      <formula>0</formula>
    </cfRule>
  </conditionalFormatting>
  <conditionalFormatting sqref="A134 BU134:BV134 C134:BS134 BR135:BS140 BO135:BO140 BN135:BN139">
    <cfRule type="cellIs" dxfId="50" priority="57" operator="equal">
      <formula>0</formula>
    </cfRule>
  </conditionalFormatting>
  <conditionalFormatting sqref="B134">
    <cfRule type="cellIs" dxfId="49" priority="55" operator="equal">
      <formula>0</formula>
    </cfRule>
  </conditionalFormatting>
  <conditionalFormatting sqref="A7:B39">
    <cfRule type="cellIs" dxfId="48" priority="54" operator="equal">
      <formula>0</formula>
    </cfRule>
  </conditionalFormatting>
  <conditionalFormatting sqref="A135">
    <cfRule type="cellIs" dxfId="47" priority="53" operator="equal">
      <formula>0</formula>
    </cfRule>
  </conditionalFormatting>
  <conditionalFormatting sqref="A136">
    <cfRule type="cellIs" dxfId="46" priority="52" operator="equal">
      <formula>0</formula>
    </cfRule>
  </conditionalFormatting>
  <conditionalFormatting sqref="A137">
    <cfRule type="cellIs" dxfId="45" priority="51" operator="equal">
      <formula>0</formula>
    </cfRule>
  </conditionalFormatting>
  <conditionalFormatting sqref="A138">
    <cfRule type="cellIs" dxfId="44" priority="50" operator="equal">
      <formula>0</formula>
    </cfRule>
  </conditionalFormatting>
  <conditionalFormatting sqref="BI139:BL139 BG139">
    <cfRule type="cellIs" dxfId="43" priority="47" operator="equal">
      <formula>0</formula>
    </cfRule>
  </conditionalFormatting>
  <conditionalFormatting sqref="BH139">
    <cfRule type="cellIs" dxfId="42" priority="46" operator="equal">
      <formula>0</formula>
    </cfRule>
  </conditionalFormatting>
  <conditionalFormatting sqref="BI137:BL137 BG137">
    <cfRule type="cellIs" dxfId="41" priority="45" operator="equal">
      <formula>0</formula>
    </cfRule>
  </conditionalFormatting>
  <conditionalFormatting sqref="BH137">
    <cfRule type="cellIs" dxfId="40" priority="44" operator="equal">
      <formula>0</formula>
    </cfRule>
  </conditionalFormatting>
  <conditionalFormatting sqref="A139">
    <cfRule type="cellIs" dxfId="39" priority="43" operator="equal">
      <formula>0</formula>
    </cfRule>
  </conditionalFormatting>
  <conditionalFormatting sqref="BI138:BL138 BG138">
    <cfRule type="cellIs" dxfId="38" priority="41" operator="equal">
      <formula>0</formula>
    </cfRule>
  </conditionalFormatting>
  <conditionalFormatting sqref="BH138">
    <cfRule type="cellIs" dxfId="37" priority="40" operator="equal">
      <formula>0</formula>
    </cfRule>
  </conditionalFormatting>
  <conditionalFormatting sqref="BI136:BL136 BG136">
    <cfRule type="cellIs" dxfId="36" priority="39" operator="equal">
      <formula>0</formula>
    </cfRule>
  </conditionalFormatting>
  <conditionalFormatting sqref="BH136">
    <cfRule type="cellIs" dxfId="35" priority="38" operator="equal">
      <formula>0</formula>
    </cfRule>
  </conditionalFormatting>
  <conditionalFormatting sqref="A140">
    <cfRule type="cellIs" dxfId="34" priority="36" operator="equal">
      <formula>0</formula>
    </cfRule>
  </conditionalFormatting>
  <conditionalFormatting sqref="B135">
    <cfRule type="cellIs" dxfId="33" priority="35" operator="equal">
      <formula>0</formula>
    </cfRule>
  </conditionalFormatting>
  <conditionalFormatting sqref="B136">
    <cfRule type="cellIs" dxfId="32" priority="34" operator="equal">
      <formula>0</formula>
    </cfRule>
  </conditionalFormatting>
  <conditionalFormatting sqref="B137">
    <cfRule type="cellIs" dxfId="31" priority="33" operator="equal">
      <formula>0</formula>
    </cfRule>
  </conditionalFormatting>
  <conditionalFormatting sqref="B138">
    <cfRule type="cellIs" dxfId="30" priority="32" operator="equal">
      <formula>0</formula>
    </cfRule>
  </conditionalFormatting>
  <conditionalFormatting sqref="B139">
    <cfRule type="cellIs" dxfId="29" priority="31" operator="equal">
      <formula>0</formula>
    </cfRule>
  </conditionalFormatting>
  <conditionalFormatting sqref="B140">
    <cfRule type="cellIs" dxfId="28" priority="30" operator="equal">
      <formula>0</formula>
    </cfRule>
  </conditionalFormatting>
  <conditionalFormatting sqref="A141">
    <cfRule type="cellIs" dxfId="27" priority="29" operator="equal">
      <formula>0</formula>
    </cfRule>
  </conditionalFormatting>
  <conditionalFormatting sqref="B141">
    <cfRule type="cellIs" dxfId="26" priority="27" operator="equal">
      <formula>0</formula>
    </cfRule>
  </conditionalFormatting>
  <conditionalFormatting sqref="BS141">
    <cfRule type="cellIs" dxfId="25" priority="26" operator="equal">
      <formula>0</formula>
    </cfRule>
  </conditionalFormatting>
  <conditionalFormatting sqref="A142:B142">
    <cfRule type="cellIs" dxfId="24" priority="25" operator="equal">
      <formula>0</formula>
    </cfRule>
  </conditionalFormatting>
  <conditionalFormatting sqref="BJ142">
    <cfRule type="cellIs" dxfId="23" priority="24" operator="equal">
      <formula>0</formula>
    </cfRule>
  </conditionalFormatting>
  <conditionalFormatting sqref="BG138">
    <cfRule type="cellIs" dxfId="22" priority="23" operator="equal">
      <formula>0</formula>
    </cfRule>
  </conditionalFormatting>
  <conditionalFormatting sqref="BG137">
    <cfRule type="cellIs" dxfId="21" priority="22" operator="equal">
      <formula>0</formula>
    </cfRule>
  </conditionalFormatting>
  <conditionalFormatting sqref="BH138">
    <cfRule type="cellIs" dxfId="20" priority="21" operator="equal">
      <formula>0</formula>
    </cfRule>
  </conditionalFormatting>
  <conditionalFormatting sqref="BH139">
    <cfRule type="cellIs" dxfId="19" priority="20" operator="equal">
      <formula>0</formula>
    </cfRule>
  </conditionalFormatting>
  <conditionalFormatting sqref="BJ138">
    <cfRule type="cellIs" dxfId="18" priority="19" operator="equal">
      <formula>0</formula>
    </cfRule>
  </conditionalFormatting>
  <conditionalFormatting sqref="BJ137">
    <cfRule type="cellIs" dxfId="17" priority="18" operator="equal">
      <formula>0</formula>
    </cfRule>
  </conditionalFormatting>
  <conditionalFormatting sqref="A143:B143">
    <cfRule type="cellIs" dxfId="16" priority="17" operator="equal">
      <formula>0</formula>
    </cfRule>
  </conditionalFormatting>
  <conditionalFormatting sqref="A144:B144">
    <cfRule type="cellIs" dxfId="15" priority="16" operator="equal">
      <formula>0</formula>
    </cfRule>
  </conditionalFormatting>
  <conditionalFormatting sqref="BO143">
    <cfRule type="cellIs" dxfId="14" priority="15" operator="equal">
      <formula>0</formula>
    </cfRule>
  </conditionalFormatting>
  <conditionalFormatting sqref="BO144">
    <cfRule type="cellIs" dxfId="13" priority="14" operator="equal">
      <formula>0</formula>
    </cfRule>
  </conditionalFormatting>
  <conditionalFormatting sqref="A145:B145">
    <cfRule type="cellIs" dxfId="12" priority="13" operator="equal">
      <formula>0</formula>
    </cfRule>
  </conditionalFormatting>
  <conditionalFormatting sqref="BO145">
    <cfRule type="cellIs" dxfId="11" priority="12" operator="equal">
      <formula>0</formula>
    </cfRule>
  </conditionalFormatting>
  <conditionalFormatting sqref="BG127">
    <cfRule type="cellIs" dxfId="10" priority="11" operator="equal">
      <formula>0</formula>
    </cfRule>
  </conditionalFormatting>
  <conditionalFormatting sqref="BH127">
    <cfRule type="cellIs" dxfId="9" priority="10" operator="equal">
      <formula>0</formula>
    </cfRule>
  </conditionalFormatting>
  <conditionalFormatting sqref="BJ125:BJ127">
    <cfRule type="cellIs" dxfId="8" priority="9" operator="equal">
      <formula>0</formula>
    </cfRule>
  </conditionalFormatting>
  <conditionalFormatting sqref="A49:A50">
    <cfRule type="cellIs" dxfId="7" priority="8" operator="equal">
      <formula>0</formula>
    </cfRule>
  </conditionalFormatting>
  <conditionalFormatting sqref="B49">
    <cfRule type="cellIs" dxfId="6" priority="7" operator="equal">
      <formula>0</formula>
    </cfRule>
  </conditionalFormatting>
  <conditionalFormatting sqref="B50">
    <cfRule type="cellIs" dxfId="5" priority="6" operator="equal">
      <formula>0</formula>
    </cfRule>
  </conditionalFormatting>
  <conditionalFormatting sqref="A146">
    <cfRule type="cellIs" dxfId="4" priority="5" operator="equal">
      <formula>0</formula>
    </cfRule>
  </conditionalFormatting>
  <conditionalFormatting sqref="B146">
    <cfRule type="cellIs" dxfId="3" priority="4" operator="equal">
      <formula>0</formula>
    </cfRule>
  </conditionalFormatting>
  <conditionalFormatting sqref="BO146">
    <cfRule type="cellIs" dxfId="2" priority="3" operator="equal">
      <formula>0</formula>
    </cfRule>
  </conditionalFormatting>
  <conditionalFormatting sqref="A147:B147">
    <cfRule type="cellIs" dxfId="1" priority="2" operator="equal">
      <formula>0</formula>
    </cfRule>
  </conditionalFormatting>
  <conditionalFormatting sqref="BO147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headerFooter>
    <oddFooter>&amp;L&amp;F
Sheet Printed: &amp;T &amp;D
PRIVATE AND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C278BD5-EF81-4EEE-BE1B-A1DA0CCF9127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Bulk Plant Input</vt:lpstr>
      <vt:lpstr>Bulk Plant Loading</vt:lpstr>
      <vt:lpstr>Management Sheet</vt:lpstr>
      <vt:lpstr>BLEND INCOMPATIBILITIES</vt:lpstr>
      <vt:lpstr>ADDITIVE INCOMPATIBILITIES</vt:lpstr>
      <vt:lpstr>ADDITIVE NAME CROSS-REFERENCE</vt:lpstr>
      <vt:lpstr>Job Type Mapping</vt:lpstr>
      <vt:lpstr>Sheet1</vt:lpstr>
      <vt:lpstr>BagSize</vt:lpstr>
      <vt:lpstr>Client_List</vt:lpstr>
      <vt:lpstr>'ADDITIVE INCOMPATIBILITIES'!Print_Area</vt:lpstr>
      <vt:lpstr>'Bulk Plant Batch Loading'!Print_Area</vt:lpstr>
      <vt:lpstr>'Bulk Plant Loading'!Print_Area</vt:lpstr>
      <vt:lpstr>'MTS Sheet'!Print_Area</vt:lpstr>
      <vt:lpstr>SiloSize</vt:lpstr>
    </vt:vector>
  </TitlesOfParts>
  <Company>Sanjel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Schneider</dc:creator>
  <cp:lastModifiedBy>Adam Wang</cp:lastModifiedBy>
  <cp:lastPrinted>2019-02-04T20:54:57Z</cp:lastPrinted>
  <dcterms:created xsi:type="dcterms:W3CDTF">2015-01-08T22:49:14Z</dcterms:created>
  <dcterms:modified xsi:type="dcterms:W3CDTF">2020-04-08T20:22:49Z</dcterms:modified>
</cp:coreProperties>
</file>