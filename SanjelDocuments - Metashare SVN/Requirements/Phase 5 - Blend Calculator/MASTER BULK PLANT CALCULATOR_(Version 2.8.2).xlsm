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Engineering\Engineering Applications\Apps\Bulk Plant Calculator\"/>
    </mc:Choice>
  </mc:AlternateContent>
  <bookViews>
    <workbookView xWindow="480" yWindow="1350" windowWidth="11010" windowHeight="5880" tabRatio="933" activeTab="17"/>
  </bookViews>
  <sheets>
    <sheet name="Bulk Plant Input" sheetId="6" r:id="rId1"/>
    <sheet name="Blend Assembly" sheetId="36" state="veryHidden" r:id="rId2"/>
    <sheet name="Silo Sizes" sheetId="32" state="veryHidden" r:id="rId3"/>
    <sheet name="Bulk Plant Loading" sheetId="7" r:id="rId4"/>
    <sheet name="Bulk Plant Batch Loading" sheetId="33" state="veryHidden" r:id="rId5"/>
    <sheet name="MTS Sheet" sheetId="35" state="veryHidden" r:id="rId6"/>
    <sheet name="Management Sheet" sheetId="34" r:id="rId7"/>
    <sheet name="Max Add &amp; Blend Densities" sheetId="31" state="veryHidden" r:id="rId8"/>
    <sheet name="BLEND INCOMPATIBILITIES" sheetId="9" r:id="rId9"/>
    <sheet name="ADDITIVE INCOMPATIBILITIES" sheetId="10" r:id="rId10"/>
    <sheet name="ADDITIVE NAME CROSS-REFERENCE" sheetId="12" r:id="rId11"/>
    <sheet name="Update Tracker" sheetId="37" state="veryHidden" r:id="rId12"/>
    <sheet name="Client List (AX) - 161208" sheetId="38" state="veryHidden" r:id="rId13"/>
    <sheet name="Bulk Plant Version Changes" sheetId="30" state="veryHidden" r:id="rId14"/>
    <sheet name="Base Blend Compatibility Test" sheetId="8" state="veryHidden" r:id="rId15"/>
    <sheet name="SPECIFIC GRAVITIES" sheetId="3" state="veryHidden" r:id="rId16"/>
    <sheet name="Blend Prop (For Template)" sheetId="1" state="veryHidden" r:id="rId17"/>
    <sheet name="Base Blend Property Calculation" sheetId="2" r:id="rId18"/>
  </sheets>
  <definedNames>
    <definedName name="BagSize">'Silo Sizes'!$C$2:$C$6</definedName>
    <definedName name="Client_List">'Client List (AX) - 161208'!$B$2:$B$410</definedName>
    <definedName name="_xlnm.Print_Area" localSheetId="9">'ADDITIVE INCOMPATIBILITIES'!$A$1:$E$18</definedName>
    <definedName name="_xlnm.Print_Area" localSheetId="4">'Bulk Plant Batch Loading'!$A$1:$K$423</definedName>
    <definedName name="_xlnm.Print_Area" localSheetId="3">'Bulk Plant Loading'!$A$1:$K$101</definedName>
    <definedName name="_xlnm.Print_Area" localSheetId="5">'MTS Sheet'!$A$1:$H$202</definedName>
    <definedName name="SiloSize">'Silo Sizes'!$E$2:$G$9</definedName>
  </definedNames>
  <calcPr calcId="171027"/>
</workbook>
</file>

<file path=xl/calcChain.xml><?xml version="1.0" encoding="utf-8"?>
<calcChain xmlns="http://schemas.openxmlformats.org/spreadsheetml/2006/main">
  <c r="BR130" i="2" l="1"/>
  <c r="BO130" i="2"/>
  <c r="BS130" i="2"/>
  <c r="BR129" i="2" l="1"/>
  <c r="BO129" i="2"/>
  <c r="BS129" i="2"/>
  <c r="BR128" i="2"/>
  <c r="BO128" i="2"/>
  <c r="BS128" i="2"/>
  <c r="BR127" i="2" l="1"/>
  <c r="BO127" i="2"/>
  <c r="BS127" i="2"/>
  <c r="BO126" i="2" l="1"/>
  <c r="BO125" i="2"/>
  <c r="BS126" i="2"/>
  <c r="BS125" i="2"/>
  <c r="K111" i="31" l="1"/>
  <c r="K112" i="31"/>
  <c r="K113" i="31"/>
  <c r="K114" i="31"/>
  <c r="K115" i="31"/>
  <c r="K116" i="31"/>
  <c r="K117" i="31"/>
  <c r="K118" i="31"/>
  <c r="K119" i="31"/>
  <c r="K120" i="31"/>
  <c r="J111" i="31"/>
  <c r="J112" i="31"/>
  <c r="J113" i="31"/>
  <c r="J114" i="31"/>
  <c r="J115" i="31"/>
  <c r="J116" i="31"/>
  <c r="J117" i="31"/>
  <c r="J118" i="31"/>
  <c r="J119" i="31"/>
  <c r="J120" i="31"/>
  <c r="BT8" i="2" l="1"/>
  <c r="BS84" i="2"/>
  <c r="BO84" i="2"/>
  <c r="BO83" i="2"/>
  <c r="BS83" i="2"/>
  <c r="BS48" i="2" l="1"/>
  <c r="BO48" i="2"/>
  <c r="BO47" i="2"/>
  <c r="BO59" i="2"/>
  <c r="BS47" i="2"/>
  <c r="F26" i="6" l="1"/>
  <c r="F37" i="6"/>
  <c r="F36" i="6"/>
  <c r="F35" i="6"/>
  <c r="F34" i="6"/>
  <c r="F33" i="6"/>
  <c r="F32" i="6"/>
  <c r="F31" i="6"/>
  <c r="F30" i="6"/>
  <c r="F29" i="6"/>
  <c r="F28" i="6"/>
  <c r="F27" i="6"/>
  <c r="F25" i="6"/>
  <c r="F24" i="6"/>
  <c r="F23" i="6"/>
  <c r="C11" i="7" l="1"/>
  <c r="C12" i="7"/>
  <c r="C13" i="7"/>
  <c r="C14" i="7"/>
  <c r="C25" i="6" l="1"/>
  <c r="C26" i="6"/>
  <c r="C27" i="6"/>
  <c r="C28" i="6"/>
  <c r="C29" i="6"/>
  <c r="C30" i="6"/>
  <c r="C31" i="6"/>
  <c r="C32" i="6"/>
  <c r="C33" i="6"/>
  <c r="C34" i="6"/>
  <c r="C35" i="6"/>
  <c r="C36" i="6"/>
  <c r="C37" i="6"/>
  <c r="BO62" i="2" l="1"/>
  <c r="BS59" i="2" l="1"/>
  <c r="BS62" i="2" l="1"/>
  <c r="H5" i="7" l="1"/>
  <c r="H4" i="7"/>
  <c r="H2" i="7"/>
  <c r="H3" i="7"/>
  <c r="A1" i="7" l="1"/>
  <c r="D27" i="6" l="1"/>
  <c r="K4" i="2" l="1"/>
  <c r="K5" i="2" s="1"/>
  <c r="BO111" i="2" l="1"/>
  <c r="BS111" i="2"/>
  <c r="BO113" i="2" l="1"/>
  <c r="BS113" i="2"/>
  <c r="BO121" i="2" l="1"/>
  <c r="BS121" i="2"/>
  <c r="BO40" i="2" l="1"/>
  <c r="BO41" i="2"/>
  <c r="BO42" i="2"/>
  <c r="BO43" i="2"/>
  <c r="BO44" i="2"/>
  <c r="BO45" i="2"/>
  <c r="BO46" i="2"/>
  <c r="BO49" i="2"/>
  <c r="BO50" i="2"/>
  <c r="BO52" i="2"/>
  <c r="BO51" i="2"/>
  <c r="BO53" i="2"/>
  <c r="BO54" i="2"/>
  <c r="BO55" i="2"/>
  <c r="BO56" i="2"/>
  <c r="BO57" i="2"/>
  <c r="BO58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O87" i="2"/>
  <c r="BO88" i="2"/>
  <c r="BO89" i="2"/>
  <c r="BO90" i="2"/>
  <c r="BO91" i="2"/>
  <c r="BO92" i="2"/>
  <c r="BO93" i="2"/>
  <c r="BO94" i="2"/>
  <c r="BO95" i="2"/>
  <c r="BO96" i="2"/>
  <c r="BO97" i="2"/>
  <c r="BO98" i="2"/>
  <c r="BO99" i="2"/>
  <c r="BO100" i="2"/>
  <c r="BO101" i="2"/>
  <c r="BO102" i="2"/>
  <c r="BO103" i="2"/>
  <c r="BO104" i="2"/>
  <c r="BO106" i="2"/>
  <c r="BO105" i="2"/>
  <c r="BO107" i="2"/>
  <c r="BO108" i="2"/>
  <c r="BO109" i="2"/>
  <c r="BO110" i="2"/>
  <c r="BO112" i="2"/>
  <c r="BO114" i="2"/>
  <c r="BO115" i="2"/>
  <c r="BO116" i="2"/>
  <c r="BO117" i="2"/>
  <c r="BO118" i="2"/>
  <c r="BO119" i="2"/>
  <c r="BO120" i="2"/>
  <c r="BO122" i="2"/>
  <c r="BO123" i="2"/>
  <c r="BO124" i="2"/>
  <c r="BO85" i="2"/>
  <c r="BO82" i="2"/>
  <c r="BO86" i="2"/>
  <c r="BO61" i="2"/>
  <c r="BO60" i="2"/>
  <c r="BS60" i="2"/>
  <c r="B16" i="6" l="1"/>
  <c r="B14" i="6"/>
  <c r="B6" i="6"/>
  <c r="G104" i="31" l="1"/>
  <c r="K104" i="31" l="1"/>
  <c r="J104" i="31"/>
  <c r="BS61" i="2"/>
  <c r="BS86" i="2"/>
  <c r="BS82" i="2"/>
  <c r="BJ82" i="2"/>
  <c r="B4" i="7" l="1"/>
  <c r="B2" i="7"/>
  <c r="B48" i="6"/>
  <c r="F19" i="6" s="1"/>
  <c r="B3" i="7"/>
  <c r="A7" i="7"/>
  <c r="F5" i="35"/>
  <c r="F2" i="35"/>
  <c r="F1" i="35"/>
  <c r="F55" i="35"/>
  <c r="F52" i="35"/>
  <c r="F51" i="35"/>
  <c r="F156" i="35"/>
  <c r="F153" i="35"/>
  <c r="F152" i="35"/>
  <c r="F102" i="35"/>
  <c r="F106" i="35"/>
  <c r="F103" i="35"/>
  <c r="D10" i="35"/>
  <c r="D8" i="35"/>
  <c r="D7" i="35"/>
  <c r="D60" i="35"/>
  <c r="D58" i="35"/>
  <c r="D57" i="35"/>
  <c r="D111" i="35"/>
  <c r="D109" i="35"/>
  <c r="D108" i="35"/>
  <c r="D162" i="35"/>
  <c r="D160" i="35"/>
  <c r="D159" i="35"/>
  <c r="I8" i="6"/>
  <c r="I7" i="6"/>
  <c r="I10" i="6" s="1"/>
  <c r="I11" i="6" s="1"/>
  <c r="I6" i="6"/>
  <c r="F189" i="35"/>
  <c r="F188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73" i="35"/>
  <c r="F122" i="35"/>
  <c r="D173" i="35" l="1"/>
  <c r="C173" i="35"/>
  <c r="F169" i="35"/>
  <c r="C169" i="35"/>
  <c r="F168" i="35"/>
  <c r="C168" i="35"/>
  <c r="F167" i="35"/>
  <c r="C167" i="35"/>
  <c r="F138" i="35"/>
  <c r="F137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D122" i="35"/>
  <c r="C122" i="35"/>
  <c r="E123" i="35" s="1"/>
  <c r="C118" i="35"/>
  <c r="F117" i="35"/>
  <c r="C117" i="35"/>
  <c r="C116" i="35"/>
  <c r="F71" i="35"/>
  <c r="F87" i="35"/>
  <c r="F86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D71" i="35"/>
  <c r="C71" i="35"/>
  <c r="C15" i="35"/>
  <c r="C16" i="35"/>
  <c r="C17" i="35"/>
  <c r="C67" i="35"/>
  <c r="C66" i="35"/>
  <c r="C65" i="35"/>
  <c r="E184" i="35" l="1"/>
  <c r="E136" i="35"/>
  <c r="E132" i="35"/>
  <c r="E128" i="35"/>
  <c r="E124" i="35"/>
  <c r="E176" i="35"/>
  <c r="E180" i="35"/>
  <c r="E174" i="35"/>
  <c r="E178" i="35"/>
  <c r="E182" i="35"/>
  <c r="E186" i="35"/>
  <c r="E175" i="35"/>
  <c r="E179" i="35"/>
  <c r="E183" i="35"/>
  <c r="E187" i="35"/>
  <c r="E188" i="35"/>
  <c r="E173" i="35"/>
  <c r="E177" i="35"/>
  <c r="E181" i="35"/>
  <c r="E190" i="35" s="1"/>
  <c r="E185" i="35"/>
  <c r="E189" i="35"/>
  <c r="E86" i="35"/>
  <c r="E82" i="35"/>
  <c r="E78" i="35"/>
  <c r="E84" i="35"/>
  <c r="E80" i="35"/>
  <c r="E76" i="35"/>
  <c r="E87" i="35"/>
  <c r="E83" i="35"/>
  <c r="E79" i="35"/>
  <c r="E85" i="35"/>
  <c r="E81" i="35"/>
  <c r="E77" i="35"/>
  <c r="E138" i="35"/>
  <c r="E134" i="35"/>
  <c r="E130" i="35"/>
  <c r="E126" i="35"/>
  <c r="E137" i="35"/>
  <c r="E133" i="35"/>
  <c r="E129" i="35"/>
  <c r="E125" i="35"/>
  <c r="E122" i="35"/>
  <c r="E135" i="35"/>
  <c r="E131" i="35"/>
  <c r="E127" i="35"/>
  <c r="F21" i="35"/>
  <c r="C21" i="35"/>
  <c r="F37" i="35"/>
  <c r="F36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D21" i="35"/>
  <c r="C6" i="36"/>
  <c r="C7" i="36"/>
  <c r="C8" i="36"/>
  <c r="C9" i="36"/>
  <c r="C10" i="36"/>
  <c r="C11" i="36"/>
  <c r="E11" i="36" s="1"/>
  <c r="C12" i="36"/>
  <c r="E12" i="36" s="1"/>
  <c r="C13" i="36"/>
  <c r="E13" i="36" s="1"/>
  <c r="C14" i="36"/>
  <c r="E14" i="36" s="1"/>
  <c r="C15" i="36"/>
  <c r="E15" i="36" s="1"/>
  <c r="C16" i="36"/>
  <c r="E16" i="36" s="1"/>
  <c r="C17" i="36"/>
  <c r="E17" i="36" s="1"/>
  <c r="C18" i="36"/>
  <c r="E18" i="36" s="1"/>
  <c r="C5" i="36"/>
  <c r="C4" i="36"/>
  <c r="E4" i="36" s="1"/>
  <c r="E9" i="36" l="1"/>
  <c r="E10" i="36"/>
  <c r="E7" i="36"/>
  <c r="E8" i="36"/>
  <c r="E35" i="35"/>
  <c r="E31" i="35"/>
  <c r="E27" i="35"/>
  <c r="E34" i="35"/>
  <c r="E29" i="35"/>
  <c r="E32" i="35"/>
  <c r="E28" i="35"/>
  <c r="E37" i="35"/>
  <c r="E26" i="35"/>
  <c r="E30" i="35"/>
  <c r="E33" i="35"/>
  <c r="E36" i="35"/>
  <c r="E139" i="35"/>
  <c r="E5" i="36"/>
  <c r="E6" i="36"/>
  <c r="E21" i="36" l="1"/>
  <c r="F66" i="35" s="1"/>
  <c r="F118" i="35"/>
  <c r="F116" i="35"/>
  <c r="F16" i="35"/>
  <c r="F15" i="35" l="1"/>
  <c r="F65" i="35"/>
  <c r="F67" i="35"/>
  <c r="F17" i="35"/>
  <c r="D21" i="33"/>
  <c r="D79" i="33"/>
  <c r="D101" i="33"/>
  <c r="D159" i="33"/>
  <c r="G101" i="33"/>
  <c r="E101" i="33"/>
  <c r="B101" i="33"/>
  <c r="B100" i="33"/>
  <c r="G79" i="33"/>
  <c r="E79" i="33"/>
  <c r="B79" i="33"/>
  <c r="G21" i="33"/>
  <c r="E21" i="33"/>
  <c r="B21" i="33"/>
  <c r="B20" i="33"/>
  <c r="D23" i="6" l="1"/>
  <c r="D18" i="33"/>
  <c r="B78" i="33"/>
  <c r="B398" i="33"/>
  <c r="B340" i="33"/>
  <c r="B260" i="33"/>
  <c r="B158" i="33"/>
  <c r="B180" i="33"/>
  <c r="B238" i="33"/>
  <c r="B318" i="33"/>
  <c r="B262" i="33"/>
  <c r="B416" i="33"/>
  <c r="B415" i="33"/>
  <c r="B401" i="33"/>
  <c r="B402" i="33"/>
  <c r="B403" i="33"/>
  <c r="B404" i="33"/>
  <c r="B405" i="33"/>
  <c r="B406" i="33"/>
  <c r="B407" i="33"/>
  <c r="B408" i="33"/>
  <c r="B409" i="33"/>
  <c r="B410" i="33"/>
  <c r="B411" i="33"/>
  <c r="B412" i="33"/>
  <c r="B413" i="33"/>
  <c r="B414" i="33"/>
  <c r="B400" i="33"/>
  <c r="B320" i="33"/>
  <c r="B342" i="33"/>
  <c r="B336" i="33"/>
  <c r="B335" i="33"/>
  <c r="B321" i="33"/>
  <c r="B322" i="33"/>
  <c r="B323" i="33"/>
  <c r="B324" i="33"/>
  <c r="B325" i="33"/>
  <c r="B326" i="33"/>
  <c r="B327" i="33"/>
  <c r="B328" i="33"/>
  <c r="B329" i="33"/>
  <c r="B330" i="33"/>
  <c r="B331" i="33"/>
  <c r="B332" i="33"/>
  <c r="B333" i="33"/>
  <c r="B334" i="33"/>
  <c r="B240" i="33"/>
  <c r="B256" i="33"/>
  <c r="B255" i="33"/>
  <c r="B241" i="33"/>
  <c r="B242" i="33"/>
  <c r="B243" i="33"/>
  <c r="B244" i="33"/>
  <c r="B245" i="33"/>
  <c r="B246" i="33"/>
  <c r="B247" i="33"/>
  <c r="B248" i="33"/>
  <c r="B249" i="33"/>
  <c r="B250" i="33"/>
  <c r="B251" i="33"/>
  <c r="B252" i="33"/>
  <c r="B253" i="33"/>
  <c r="B254" i="33"/>
  <c r="B80" i="33"/>
  <c r="B182" i="33"/>
  <c r="B102" i="33"/>
  <c r="B22" i="33"/>
  <c r="B176" i="33"/>
  <c r="D176" i="33" s="1"/>
  <c r="B175" i="33"/>
  <c r="B161" i="33"/>
  <c r="B162" i="33"/>
  <c r="B163" i="33"/>
  <c r="B164" i="33"/>
  <c r="B165" i="33"/>
  <c r="B166" i="33"/>
  <c r="B167" i="33"/>
  <c r="D167" i="33" s="1"/>
  <c r="B168" i="33"/>
  <c r="D168" i="33" s="1"/>
  <c r="B169" i="33"/>
  <c r="D169" i="33" s="1"/>
  <c r="B170" i="33"/>
  <c r="D170" i="33" s="1"/>
  <c r="B171" i="33"/>
  <c r="D251" i="33" s="1"/>
  <c r="B172" i="33"/>
  <c r="D172" i="33" s="1"/>
  <c r="B173" i="33"/>
  <c r="D173" i="33" s="1"/>
  <c r="B174" i="33"/>
  <c r="B160" i="33"/>
  <c r="B96" i="33"/>
  <c r="D96" i="33" s="1"/>
  <c r="B95" i="33"/>
  <c r="B94" i="33"/>
  <c r="B93" i="33"/>
  <c r="D93" i="33" s="1"/>
  <c r="B92" i="33"/>
  <c r="D92" i="33" s="1"/>
  <c r="B91" i="33"/>
  <c r="D91" i="33" s="1"/>
  <c r="B90" i="33"/>
  <c r="D90" i="33" s="1"/>
  <c r="B89" i="33"/>
  <c r="D89" i="33" s="1"/>
  <c r="B88" i="33"/>
  <c r="D88" i="33" s="1"/>
  <c r="B87" i="33"/>
  <c r="D87" i="33" s="1"/>
  <c r="B86" i="33"/>
  <c r="B85" i="33"/>
  <c r="B84" i="33"/>
  <c r="B83" i="33"/>
  <c r="B82" i="33"/>
  <c r="B81" i="33"/>
  <c r="J17" i="33"/>
  <c r="G16" i="33"/>
  <c r="D16" i="33"/>
  <c r="J14" i="33"/>
  <c r="C14" i="33"/>
  <c r="B14" i="33"/>
  <c r="D14" i="33" s="1"/>
  <c r="I13" i="33"/>
  <c r="H13" i="33"/>
  <c r="J13" i="33" s="1"/>
  <c r="C13" i="33"/>
  <c r="B13" i="33"/>
  <c r="D13" i="33" s="1"/>
  <c r="I12" i="33"/>
  <c r="H12" i="33"/>
  <c r="J12" i="33" s="1"/>
  <c r="F12" i="33"/>
  <c r="E12" i="33"/>
  <c r="G12" i="33" s="1"/>
  <c r="C12" i="33"/>
  <c r="B12" i="33"/>
  <c r="D12" i="33" s="1"/>
  <c r="F11" i="33"/>
  <c r="E11" i="33"/>
  <c r="G11" i="33" s="1"/>
  <c r="C11" i="33"/>
  <c r="B11" i="33"/>
  <c r="D11" i="33" s="1"/>
  <c r="F10" i="33"/>
  <c r="E10" i="33"/>
  <c r="G10" i="33" s="1"/>
  <c r="C10" i="33"/>
  <c r="B10" i="33"/>
  <c r="D10" i="33" s="1"/>
  <c r="F9" i="33"/>
  <c r="E9" i="33"/>
  <c r="G9" i="33" s="1"/>
  <c r="C9" i="33"/>
  <c r="B9" i="33"/>
  <c r="D9" i="33" s="1"/>
  <c r="A7" i="33"/>
  <c r="H4" i="33"/>
  <c r="B4" i="33"/>
  <c r="H2" i="33"/>
  <c r="D416" i="33" l="1"/>
  <c r="D412" i="33"/>
  <c r="D408" i="33"/>
  <c r="D411" i="33"/>
  <c r="D407" i="33"/>
  <c r="D410" i="33"/>
  <c r="D413" i="33"/>
  <c r="D409" i="33"/>
  <c r="D332" i="33"/>
  <c r="D328" i="33"/>
  <c r="D336" i="33"/>
  <c r="D331" i="33"/>
  <c r="D327" i="33"/>
  <c r="D330" i="33"/>
  <c r="D333" i="33"/>
  <c r="D329" i="33"/>
  <c r="D171" i="33"/>
  <c r="D252" i="33"/>
  <c r="D250" i="33"/>
  <c r="D248" i="33"/>
  <c r="D256" i="33"/>
  <c r="D247" i="33"/>
  <c r="D253" i="33"/>
  <c r="D249" i="33"/>
  <c r="BJ85" i="2" l="1"/>
  <c r="BS85" i="2"/>
  <c r="H42" i="1" l="1"/>
  <c r="D104" i="8" l="1"/>
  <c r="E104" i="8"/>
  <c r="F104" i="8"/>
  <c r="G104" i="8"/>
  <c r="H104" i="8"/>
  <c r="I104" i="8"/>
  <c r="J104" i="8"/>
  <c r="K104" i="8"/>
  <c r="L104" i="8"/>
  <c r="M104" i="8"/>
  <c r="N104" i="8"/>
  <c r="O104" i="8"/>
  <c r="P104" i="8"/>
  <c r="Q104" i="8"/>
  <c r="R104" i="8"/>
  <c r="BS122" i="2"/>
  <c r="D16" i="7" l="1"/>
  <c r="J17" i="7" l="1"/>
  <c r="C51" i="6" l="1"/>
  <c r="L28" i="31" s="1"/>
  <c r="C50" i="6"/>
  <c r="L27" i="31" s="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12" i="31"/>
  <c r="G150" i="31"/>
  <c r="G149" i="31"/>
  <c r="G148" i="31"/>
  <c r="G147" i="31"/>
  <c r="G146" i="31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E4" i="31"/>
  <c r="G4" i="31" s="1"/>
  <c r="E5" i="31"/>
  <c r="G5" i="31" s="1"/>
  <c r="E6" i="31"/>
  <c r="G6" i="31" s="1"/>
  <c r="E7" i="31"/>
  <c r="G7" i="31" s="1"/>
  <c r="E8" i="31"/>
  <c r="G8" i="31" s="1"/>
  <c r="E9" i="31"/>
  <c r="G9" i="31" s="1"/>
  <c r="E10" i="31"/>
  <c r="G10" i="31" s="1"/>
  <c r="E11" i="31"/>
  <c r="G11" i="31" s="1"/>
  <c r="E12" i="31"/>
  <c r="G12" i="31" s="1"/>
  <c r="E13" i="31"/>
  <c r="G13" i="31" s="1"/>
  <c r="E14" i="31"/>
  <c r="G14" i="31" s="1"/>
  <c r="E15" i="31"/>
  <c r="G15" i="31" s="1"/>
  <c r="E16" i="31"/>
  <c r="G16" i="31" s="1"/>
  <c r="E17" i="31"/>
  <c r="G17" i="31" s="1"/>
  <c r="E18" i="31"/>
  <c r="G18" i="31" s="1"/>
  <c r="E19" i="31"/>
  <c r="G19" i="31" s="1"/>
  <c r="E20" i="31"/>
  <c r="G20" i="31" s="1"/>
  <c r="E21" i="31"/>
  <c r="G21" i="31" s="1"/>
  <c r="E22" i="31"/>
  <c r="G22" i="31" s="1"/>
  <c r="E23" i="31"/>
  <c r="G23" i="31" s="1"/>
  <c r="E24" i="31"/>
  <c r="G24" i="31" s="1"/>
  <c r="E25" i="31"/>
  <c r="G25" i="31" s="1"/>
  <c r="E26" i="31"/>
  <c r="G26" i="31" s="1"/>
  <c r="E27" i="31"/>
  <c r="G27" i="31" s="1"/>
  <c r="E28" i="31"/>
  <c r="G28" i="31" s="1"/>
  <c r="E29" i="31"/>
  <c r="G29" i="31" s="1"/>
  <c r="E30" i="31"/>
  <c r="G30" i="31" s="1"/>
  <c r="E31" i="31"/>
  <c r="G31" i="31" s="1"/>
  <c r="E32" i="31"/>
  <c r="G32" i="31" s="1"/>
  <c r="E33" i="31"/>
  <c r="G33" i="31" s="1"/>
  <c r="E34" i="31"/>
  <c r="G34" i="31" s="1"/>
  <c r="E35" i="31"/>
  <c r="G35" i="31" s="1"/>
  <c r="E36" i="31"/>
  <c r="G36" i="31" s="1"/>
  <c r="E37" i="31"/>
  <c r="G37" i="31" s="1"/>
  <c r="E38" i="31"/>
  <c r="G38" i="31" s="1"/>
  <c r="E39" i="31"/>
  <c r="G39" i="31" s="1"/>
  <c r="E40" i="31"/>
  <c r="G40" i="31" s="1"/>
  <c r="E41" i="31"/>
  <c r="G41" i="31" s="1"/>
  <c r="E42" i="31"/>
  <c r="G42" i="31" s="1"/>
  <c r="E43" i="31"/>
  <c r="G43" i="31" s="1"/>
  <c r="E44" i="31"/>
  <c r="G44" i="31" s="1"/>
  <c r="E45" i="31"/>
  <c r="G45" i="31" s="1"/>
  <c r="E46" i="31"/>
  <c r="G46" i="31" s="1"/>
  <c r="E47" i="31"/>
  <c r="G47" i="31" s="1"/>
  <c r="E48" i="31"/>
  <c r="G48" i="31" s="1"/>
  <c r="E49" i="31"/>
  <c r="G49" i="31" s="1"/>
  <c r="E50" i="31"/>
  <c r="G50" i="31" s="1"/>
  <c r="E51" i="31"/>
  <c r="G51" i="31" s="1"/>
  <c r="E52" i="31"/>
  <c r="G52" i="31" s="1"/>
  <c r="E53" i="31"/>
  <c r="G53" i="31" s="1"/>
  <c r="E54" i="31"/>
  <c r="G54" i="31" s="1"/>
  <c r="E55" i="31"/>
  <c r="G55" i="31" s="1"/>
  <c r="E56" i="31"/>
  <c r="G56" i="31" s="1"/>
  <c r="E57" i="31"/>
  <c r="G57" i="31" s="1"/>
  <c r="E58" i="31"/>
  <c r="G58" i="31" s="1"/>
  <c r="E59" i="31"/>
  <c r="G59" i="31" s="1"/>
  <c r="K59" i="31" s="1"/>
  <c r="E60" i="31"/>
  <c r="G60" i="31" s="1"/>
  <c r="K60" i="31" s="1"/>
  <c r="E61" i="31"/>
  <c r="G61" i="31" s="1"/>
  <c r="K61" i="31" s="1"/>
  <c r="E62" i="31"/>
  <c r="G62" i="31" s="1"/>
  <c r="K62" i="31" s="1"/>
  <c r="E63" i="31"/>
  <c r="G63" i="31" s="1"/>
  <c r="K63" i="31" s="1"/>
  <c r="E64" i="31"/>
  <c r="G64" i="31" s="1"/>
  <c r="K64" i="31" s="1"/>
  <c r="E65" i="31"/>
  <c r="G65" i="31" s="1"/>
  <c r="E66" i="31"/>
  <c r="G66" i="31" s="1"/>
  <c r="E67" i="31"/>
  <c r="G67" i="31" s="1"/>
  <c r="E68" i="31"/>
  <c r="G68" i="31" s="1"/>
  <c r="E69" i="31"/>
  <c r="G69" i="31" s="1"/>
  <c r="E70" i="31"/>
  <c r="G70" i="31" s="1"/>
  <c r="E71" i="31"/>
  <c r="G71" i="31" s="1"/>
  <c r="E72" i="31"/>
  <c r="G72" i="31" s="1"/>
  <c r="E73" i="31"/>
  <c r="G73" i="31" s="1"/>
  <c r="E74" i="31"/>
  <c r="G74" i="31" s="1"/>
  <c r="E75" i="31"/>
  <c r="G75" i="31" s="1"/>
  <c r="E76" i="31"/>
  <c r="G76" i="31" s="1"/>
  <c r="E77" i="31"/>
  <c r="G77" i="31" s="1"/>
  <c r="E78" i="31"/>
  <c r="G78" i="31" s="1"/>
  <c r="E79" i="31"/>
  <c r="G79" i="31" s="1"/>
  <c r="E80" i="31"/>
  <c r="G80" i="31" s="1"/>
  <c r="E81" i="31"/>
  <c r="G81" i="31" s="1"/>
  <c r="E82" i="31"/>
  <c r="G82" i="31" s="1"/>
  <c r="E83" i="31"/>
  <c r="G83" i="31" s="1"/>
  <c r="E84" i="31"/>
  <c r="G84" i="31" s="1"/>
  <c r="E85" i="31"/>
  <c r="G85" i="31" s="1"/>
  <c r="E86" i="31"/>
  <c r="G86" i="31" s="1"/>
  <c r="E87" i="31"/>
  <c r="G87" i="31" s="1"/>
  <c r="E88" i="31"/>
  <c r="G88" i="31" s="1"/>
  <c r="E89" i="31"/>
  <c r="G89" i="31" s="1"/>
  <c r="E90" i="31"/>
  <c r="G90" i="31" s="1"/>
  <c r="E91" i="31"/>
  <c r="G91" i="31" s="1"/>
  <c r="E92" i="31"/>
  <c r="G92" i="31" s="1"/>
  <c r="E93" i="31"/>
  <c r="G93" i="31" s="1"/>
  <c r="E94" i="31"/>
  <c r="G94" i="31" s="1"/>
  <c r="E95" i="31"/>
  <c r="G95" i="31" s="1"/>
  <c r="E96" i="31"/>
  <c r="G96" i="31" s="1"/>
  <c r="E97" i="31"/>
  <c r="G97" i="31" s="1"/>
  <c r="E98" i="31"/>
  <c r="G98" i="31" s="1"/>
  <c r="E99" i="31"/>
  <c r="G99" i="31" s="1"/>
  <c r="E100" i="31"/>
  <c r="G100" i="31" s="1"/>
  <c r="E101" i="31"/>
  <c r="G101" i="31" s="1"/>
  <c r="E102" i="31"/>
  <c r="G102" i="31" s="1"/>
  <c r="E103" i="31"/>
  <c r="G103" i="31" s="1"/>
  <c r="E105" i="31"/>
  <c r="G105" i="31" s="1"/>
  <c r="E106" i="31"/>
  <c r="G106" i="31" s="1"/>
  <c r="E107" i="31"/>
  <c r="G107" i="31" s="1"/>
  <c r="E108" i="31"/>
  <c r="G108" i="31" s="1"/>
  <c r="E109" i="31"/>
  <c r="G109" i="31" s="1"/>
  <c r="E110" i="31"/>
  <c r="G110" i="31" s="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E124" i="31"/>
  <c r="E125" i="31"/>
  <c r="E126" i="31"/>
  <c r="E127" i="31"/>
  <c r="E128" i="31"/>
  <c r="E129" i="31"/>
  <c r="E130" i="31"/>
  <c r="E131" i="31"/>
  <c r="E132" i="31"/>
  <c r="E133" i="31"/>
  <c r="E134" i="31"/>
  <c r="E135" i="31"/>
  <c r="E136" i="31"/>
  <c r="E137" i="31"/>
  <c r="E138" i="31"/>
  <c r="E139" i="31"/>
  <c r="E140" i="31"/>
  <c r="E141" i="31"/>
  <c r="E142" i="31"/>
  <c r="E143" i="31"/>
  <c r="E144" i="31"/>
  <c r="E145" i="31"/>
  <c r="E146" i="31"/>
  <c r="E147" i="31"/>
  <c r="E148" i="31"/>
  <c r="E149" i="31"/>
  <c r="E150" i="31"/>
  <c r="E3" i="31"/>
  <c r="K107" i="31" l="1"/>
  <c r="J107" i="31"/>
  <c r="K94" i="31"/>
  <c r="J94" i="31"/>
  <c r="K86" i="31"/>
  <c r="J86" i="31"/>
  <c r="K74" i="31"/>
  <c r="J74" i="31"/>
  <c r="K50" i="31"/>
  <c r="J50" i="31"/>
  <c r="K38" i="31"/>
  <c r="J38" i="31"/>
  <c r="K18" i="31"/>
  <c r="J18" i="31"/>
  <c r="K6" i="31"/>
  <c r="J6" i="31"/>
  <c r="K126" i="31"/>
  <c r="J126" i="31"/>
  <c r="K138" i="31"/>
  <c r="J138" i="31"/>
  <c r="K110" i="31"/>
  <c r="J110" i="31"/>
  <c r="J97" i="31"/>
  <c r="K97" i="31"/>
  <c r="J85" i="31"/>
  <c r="K85" i="31"/>
  <c r="J73" i="31"/>
  <c r="K73" i="31"/>
  <c r="J65" i="31"/>
  <c r="K65" i="31"/>
  <c r="J41" i="31"/>
  <c r="K41" i="31"/>
  <c r="K21" i="31"/>
  <c r="J21" i="31"/>
  <c r="J139" i="31"/>
  <c r="K139" i="31"/>
  <c r="K147" i="31"/>
  <c r="J147" i="31"/>
  <c r="K100" i="31"/>
  <c r="J100" i="31"/>
  <c r="K88" i="31"/>
  <c r="J88" i="31"/>
  <c r="K80" i="31"/>
  <c r="J80" i="31"/>
  <c r="K76" i="31"/>
  <c r="J76" i="31"/>
  <c r="K72" i="31"/>
  <c r="J72" i="31"/>
  <c r="K68" i="31"/>
  <c r="J68" i="31"/>
  <c r="K52" i="31"/>
  <c r="J52" i="31"/>
  <c r="K48" i="31"/>
  <c r="J48" i="31"/>
  <c r="K44" i="31"/>
  <c r="J44" i="31"/>
  <c r="K40" i="31"/>
  <c r="J40" i="31"/>
  <c r="K36" i="31"/>
  <c r="J36" i="31"/>
  <c r="K20" i="31"/>
  <c r="J20" i="31"/>
  <c r="K16" i="31"/>
  <c r="J16" i="31"/>
  <c r="K12" i="31"/>
  <c r="J12" i="31"/>
  <c r="K124" i="31"/>
  <c r="J124" i="31"/>
  <c r="K128" i="31"/>
  <c r="J128" i="31"/>
  <c r="K132" i="31"/>
  <c r="J132" i="31"/>
  <c r="K136" i="31"/>
  <c r="J136" i="31"/>
  <c r="K140" i="31"/>
  <c r="J140" i="31"/>
  <c r="K144" i="31"/>
  <c r="J144" i="31"/>
  <c r="K148" i="31"/>
  <c r="J148" i="31"/>
  <c r="K102" i="31"/>
  <c r="J102" i="31"/>
  <c r="K98" i="31"/>
  <c r="J98" i="31"/>
  <c r="K90" i="31"/>
  <c r="J90" i="31"/>
  <c r="K82" i="31"/>
  <c r="J82" i="31"/>
  <c r="K78" i="31"/>
  <c r="J78" i="31"/>
  <c r="K70" i="31"/>
  <c r="J70" i="31"/>
  <c r="K66" i="31"/>
  <c r="J66" i="31"/>
  <c r="K46" i="31"/>
  <c r="J46" i="31"/>
  <c r="K42" i="31"/>
  <c r="J42" i="31"/>
  <c r="K22" i="31"/>
  <c r="J22" i="31"/>
  <c r="K14" i="31"/>
  <c r="J14" i="31"/>
  <c r="K122" i="31"/>
  <c r="J122" i="31"/>
  <c r="K130" i="31"/>
  <c r="J130" i="31"/>
  <c r="K134" i="31"/>
  <c r="J134" i="31"/>
  <c r="K142" i="31"/>
  <c r="J142" i="31"/>
  <c r="K146" i="31"/>
  <c r="J146" i="31"/>
  <c r="K150" i="31"/>
  <c r="J150" i="31"/>
  <c r="K106" i="31"/>
  <c r="J106" i="31"/>
  <c r="J101" i="31"/>
  <c r="K101" i="31"/>
  <c r="J93" i="31"/>
  <c r="K93" i="31"/>
  <c r="J89" i="31"/>
  <c r="K89" i="31"/>
  <c r="J81" i="31"/>
  <c r="K81" i="31"/>
  <c r="J77" i="31"/>
  <c r="K77" i="31"/>
  <c r="K69" i="31"/>
  <c r="J69" i="31"/>
  <c r="J49" i="31"/>
  <c r="K49" i="31"/>
  <c r="K45" i="31"/>
  <c r="J45" i="31"/>
  <c r="K37" i="31"/>
  <c r="J37" i="31"/>
  <c r="J17" i="31"/>
  <c r="K17" i="31"/>
  <c r="K13" i="31"/>
  <c r="J13" i="31"/>
  <c r="J123" i="31"/>
  <c r="K123" i="31"/>
  <c r="J127" i="31"/>
  <c r="K127" i="31"/>
  <c r="K131" i="31"/>
  <c r="J131" i="31"/>
  <c r="J135" i="31"/>
  <c r="K135" i="31"/>
  <c r="J143" i="31"/>
  <c r="K143" i="31"/>
  <c r="K109" i="31"/>
  <c r="J109" i="31"/>
  <c r="J105" i="31"/>
  <c r="K105" i="31"/>
  <c r="K96" i="31"/>
  <c r="J96" i="31"/>
  <c r="K92" i="31"/>
  <c r="J92" i="31"/>
  <c r="K84" i="31"/>
  <c r="J84" i="31"/>
  <c r="K108" i="31"/>
  <c r="J108" i="31"/>
  <c r="K103" i="31"/>
  <c r="J103" i="31"/>
  <c r="J99" i="31"/>
  <c r="K99" i="31"/>
  <c r="K95" i="31"/>
  <c r="J95" i="31"/>
  <c r="K91" i="31"/>
  <c r="J91" i="31"/>
  <c r="K87" i="31"/>
  <c r="J87" i="31"/>
  <c r="K83" i="31"/>
  <c r="J83" i="31"/>
  <c r="K79" i="31"/>
  <c r="J79" i="31"/>
  <c r="K75" i="31"/>
  <c r="J75" i="31"/>
  <c r="K71" i="31"/>
  <c r="J71" i="31"/>
  <c r="K67" i="31"/>
  <c r="J67" i="31"/>
  <c r="K51" i="31"/>
  <c r="J51" i="31"/>
  <c r="K47" i="31"/>
  <c r="J47" i="31"/>
  <c r="K43" i="31"/>
  <c r="J43" i="31"/>
  <c r="K39" i="31"/>
  <c r="J39" i="31"/>
  <c r="K23" i="31"/>
  <c r="J23" i="31"/>
  <c r="K19" i="31"/>
  <c r="J19" i="31"/>
  <c r="K15" i="31"/>
  <c r="J15" i="31"/>
  <c r="J121" i="31"/>
  <c r="K121" i="31"/>
  <c r="K125" i="31"/>
  <c r="J125" i="31"/>
  <c r="K129" i="31"/>
  <c r="J129" i="31"/>
  <c r="K133" i="31"/>
  <c r="J133" i="31"/>
  <c r="J137" i="31"/>
  <c r="K137" i="31"/>
  <c r="K141" i="31"/>
  <c r="J141" i="31"/>
  <c r="J145" i="31"/>
  <c r="K145" i="31"/>
  <c r="K149" i="31"/>
  <c r="J149" i="31"/>
  <c r="B12" i="6"/>
  <c r="L30" i="31"/>
  <c r="G3" i="31"/>
  <c r="N5" i="31"/>
  <c r="N3" i="31"/>
  <c r="N4" i="31"/>
  <c r="K3" i="31" l="1"/>
  <c r="J3" i="31"/>
  <c r="C10" i="6"/>
  <c r="L20" i="7"/>
  <c r="L20" i="33"/>
  <c r="L16" i="7" l="1"/>
  <c r="L16" i="33"/>
  <c r="E159" i="2" l="1"/>
  <c r="P159" i="2" l="1"/>
  <c r="O159" i="2"/>
  <c r="AQ159" i="2"/>
  <c r="W159" i="2"/>
  <c r="H159" i="2"/>
  <c r="AO159" i="2"/>
  <c r="AW159" i="2"/>
  <c r="F159" i="2"/>
  <c r="AE159" i="2"/>
  <c r="AY159" i="2"/>
  <c r="Y159" i="2"/>
  <c r="J159" i="2"/>
  <c r="S159" i="2"/>
  <c r="AA159" i="2"/>
  <c r="AK159" i="2"/>
  <c r="AS159" i="2"/>
  <c r="BA159" i="2"/>
  <c r="Q159" i="2"/>
  <c r="AG159" i="2"/>
  <c r="C159" i="2"/>
  <c r="M159" i="2"/>
  <c r="U159" i="2"/>
  <c r="AC159" i="2"/>
  <c r="AM159" i="2"/>
  <c r="AU159" i="2"/>
  <c r="BE159" i="2"/>
  <c r="BC159" i="2"/>
  <c r="L159" i="2"/>
  <c r="T159" i="2"/>
  <c r="X159" i="2"/>
  <c r="AB159" i="2"/>
  <c r="AF159" i="2"/>
  <c r="AJ159" i="2"/>
  <c r="AN159" i="2"/>
  <c r="AR159" i="2"/>
  <c r="AV159" i="2"/>
  <c r="AZ159" i="2"/>
  <c r="BD159" i="2"/>
  <c r="D159" i="2"/>
  <c r="R159" i="2"/>
  <c r="V159" i="2"/>
  <c r="Z159" i="2"/>
  <c r="AD159" i="2"/>
  <c r="AH159" i="2"/>
  <c r="AL159" i="2"/>
  <c r="AP159" i="2"/>
  <c r="AT159" i="2"/>
  <c r="AX159" i="2"/>
  <c r="BB159" i="2"/>
  <c r="BF159" i="2"/>
  <c r="C44" i="6"/>
  <c r="C43" i="6"/>
  <c r="G159" i="2" l="1"/>
  <c r="I159" i="2"/>
  <c r="BO159" i="2"/>
  <c r="AI159" i="2"/>
  <c r="BG159" i="2"/>
  <c r="N159" i="2"/>
  <c r="G16" i="7" l="1"/>
  <c r="I13" i="7"/>
  <c r="H13" i="7"/>
  <c r="J13" i="7" s="1"/>
  <c r="J14" i="7"/>
  <c r="B22" i="7" l="1"/>
  <c r="U3" i="8" l="1"/>
  <c r="U6" i="8" s="1"/>
  <c r="X10" i="8" s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D4" i="2"/>
  <c r="E4" i="2"/>
  <c r="F4" i="2"/>
  <c r="G4" i="2"/>
  <c r="H4" i="2"/>
  <c r="I4" i="2"/>
  <c r="J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U5" i="2" s="1"/>
  <c r="AW4" i="2"/>
  <c r="AX4" i="2"/>
  <c r="AY4" i="2"/>
  <c r="AZ4" i="2"/>
  <c r="BA4" i="2"/>
  <c r="BB4" i="2"/>
  <c r="BC4" i="2"/>
  <c r="BD4" i="2"/>
  <c r="BE4" i="2"/>
  <c r="BF4" i="2"/>
  <c r="BS8" i="2"/>
  <c r="BS9" i="2"/>
  <c r="BS10" i="2"/>
  <c r="BS12" i="2"/>
  <c r="BS13" i="2"/>
  <c r="BS14" i="2"/>
  <c r="BS15" i="2"/>
  <c r="BS11" i="2"/>
  <c r="BS16" i="2"/>
  <c r="BS17" i="2"/>
  <c r="BS20" i="2"/>
  <c r="BS21" i="2"/>
  <c r="BS22" i="2"/>
  <c r="BS23" i="2"/>
  <c r="BS24" i="2"/>
  <c r="BS25" i="2"/>
  <c r="BS26" i="2"/>
  <c r="BS27" i="2"/>
  <c r="BS18" i="2"/>
  <c r="BS19" i="2"/>
  <c r="BS28" i="2"/>
  <c r="BS29" i="2"/>
  <c r="BS32" i="2"/>
  <c r="BS33" i="2"/>
  <c r="BS34" i="2"/>
  <c r="BS35" i="2"/>
  <c r="BS36" i="2"/>
  <c r="BS37" i="2"/>
  <c r="BS38" i="2"/>
  <c r="BS39" i="2"/>
  <c r="BS30" i="2"/>
  <c r="BS31" i="2"/>
  <c r="BS40" i="2"/>
  <c r="BS41" i="2"/>
  <c r="BS42" i="2"/>
  <c r="BS43" i="2"/>
  <c r="BS44" i="2"/>
  <c r="BS45" i="2"/>
  <c r="BS46" i="2"/>
  <c r="BS49" i="2"/>
  <c r="BS50" i="2"/>
  <c r="BS52" i="2"/>
  <c r="BS51" i="2"/>
  <c r="BS53" i="2"/>
  <c r="BS54" i="2"/>
  <c r="BS55" i="2"/>
  <c r="BS56" i="2"/>
  <c r="BS57" i="2"/>
  <c r="BS58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S87" i="2"/>
  <c r="BS88" i="2"/>
  <c r="BS89" i="2"/>
  <c r="BS90" i="2"/>
  <c r="BS91" i="2"/>
  <c r="BS92" i="2"/>
  <c r="BS93" i="2"/>
  <c r="BS94" i="2"/>
  <c r="BS95" i="2"/>
  <c r="BS96" i="2"/>
  <c r="BS97" i="2"/>
  <c r="BS98" i="2"/>
  <c r="BS99" i="2"/>
  <c r="BS100" i="2"/>
  <c r="BS101" i="2"/>
  <c r="BS102" i="2"/>
  <c r="BS103" i="2"/>
  <c r="BS104" i="2"/>
  <c r="BS106" i="2"/>
  <c r="BS105" i="2"/>
  <c r="BS107" i="2"/>
  <c r="BS108" i="2"/>
  <c r="BS109" i="2"/>
  <c r="BS110" i="2"/>
  <c r="BS112" i="2"/>
  <c r="BS114" i="2"/>
  <c r="BS115" i="2"/>
  <c r="BS116" i="2"/>
  <c r="BS117" i="2"/>
  <c r="BS118" i="2"/>
  <c r="BS119" i="2"/>
  <c r="BS120" i="2"/>
  <c r="BS123" i="2"/>
  <c r="BS124" i="2"/>
  <c r="A86" i="3" l="1"/>
  <c r="AV4" i="2" s="1"/>
  <c r="B86" i="3"/>
  <c r="BI159" i="2" l="1"/>
  <c r="L4" i="2"/>
  <c r="B343" i="33" l="1"/>
  <c r="B183" i="33"/>
  <c r="B23" i="33"/>
  <c r="B263" i="33"/>
  <c r="B103" i="33"/>
  <c r="BT9" i="2"/>
  <c r="B23" i="7"/>
  <c r="BS159" i="2"/>
  <c r="X3" i="8"/>
  <c r="B24" i="7" l="1"/>
  <c r="BT10" i="2"/>
  <c r="BT11" i="2" s="1"/>
  <c r="BT12" i="2" s="1"/>
  <c r="BT13" i="2" s="1"/>
  <c r="BT14" i="2" s="1"/>
  <c r="BT15" i="2" s="1"/>
  <c r="BT16" i="2" s="1"/>
  <c r="BT17" i="2" s="1"/>
  <c r="BT18" i="2" s="1"/>
  <c r="BT19" i="2" s="1"/>
  <c r="BT20" i="2" s="1"/>
  <c r="BT21" i="2" s="1"/>
  <c r="BT22" i="2" s="1"/>
  <c r="BT23" i="2" s="1"/>
  <c r="BT24" i="2" s="1"/>
  <c r="BT25" i="2" s="1"/>
  <c r="BT26" i="2" s="1"/>
  <c r="BT27" i="2" s="1"/>
  <c r="BT28" i="2" s="1"/>
  <c r="BT29" i="2" s="1"/>
  <c r="BT30" i="2" s="1"/>
  <c r="BT31" i="2" s="1"/>
  <c r="BT32" i="2" s="1"/>
  <c r="BT33" i="2" s="1"/>
  <c r="BT34" i="2" s="1"/>
  <c r="BT35" i="2" s="1"/>
  <c r="BT36" i="2" s="1"/>
  <c r="BT37" i="2" s="1"/>
  <c r="BT38" i="2" s="1"/>
  <c r="BT39" i="2" s="1"/>
  <c r="BT40" i="2" s="1"/>
  <c r="BT41" i="2" s="1"/>
  <c r="BT42" i="2" s="1"/>
  <c r="BT43" i="2" s="1"/>
  <c r="BT44" i="2" s="1"/>
  <c r="BT45" i="2" s="1"/>
  <c r="BT46" i="2" s="1"/>
  <c r="BT47" i="2" s="1"/>
  <c r="BT48" i="2" s="1"/>
  <c r="BT49" i="2" s="1"/>
  <c r="BT50" i="2" s="1"/>
  <c r="BT51" i="2" s="1"/>
  <c r="BT52" i="2" s="1"/>
  <c r="BT53" i="2" s="1"/>
  <c r="BT54" i="2" s="1"/>
  <c r="BT55" i="2" s="1"/>
  <c r="BT56" i="2" s="1"/>
  <c r="BT57" i="2" s="1"/>
  <c r="BT58" i="2" s="1"/>
  <c r="BT59" i="2" s="1"/>
  <c r="BT60" i="2" s="1"/>
  <c r="BT61" i="2" s="1"/>
  <c r="BT62" i="2" s="1"/>
  <c r="BT63" i="2" s="1"/>
  <c r="BT64" i="2" s="1"/>
  <c r="BT65" i="2" s="1"/>
  <c r="BT66" i="2" s="1"/>
  <c r="BT67" i="2" s="1"/>
  <c r="BT68" i="2" s="1"/>
  <c r="BT69" i="2" s="1"/>
  <c r="BT70" i="2" s="1"/>
  <c r="BT71" i="2" s="1"/>
  <c r="BT72" i="2" s="1"/>
  <c r="BT73" i="2" s="1"/>
  <c r="BT74" i="2" s="1"/>
  <c r="BT75" i="2" s="1"/>
  <c r="BT76" i="2" s="1"/>
  <c r="BT77" i="2" s="1"/>
  <c r="BT78" i="2" s="1"/>
  <c r="BT79" i="2" s="1"/>
  <c r="BT80" i="2" s="1"/>
  <c r="BT81" i="2" s="1"/>
  <c r="BT82" i="2" s="1"/>
  <c r="BT83" i="2" s="1"/>
  <c r="BT84" i="2" s="1"/>
  <c r="BT85" i="2" s="1"/>
  <c r="BT86" i="2" s="1"/>
  <c r="BT87" i="2" s="1"/>
  <c r="BT88" i="2" s="1"/>
  <c r="BT89" i="2" s="1"/>
  <c r="BT90" i="2" s="1"/>
  <c r="BT91" i="2" s="1"/>
  <c r="BT92" i="2" s="1"/>
  <c r="BT93" i="2" s="1"/>
  <c r="BT94" i="2" s="1"/>
  <c r="BT95" i="2" s="1"/>
  <c r="BT96" i="2" s="1"/>
  <c r="BT97" i="2" s="1"/>
  <c r="BT98" i="2" s="1"/>
  <c r="BT99" i="2" s="1"/>
  <c r="BT100" i="2" s="1"/>
  <c r="BT101" i="2" s="1"/>
  <c r="BT102" i="2" s="1"/>
  <c r="BT103" i="2" s="1"/>
  <c r="BT104" i="2" s="1"/>
  <c r="BT105" i="2" s="1"/>
  <c r="BT106" i="2" s="1"/>
  <c r="BT107" i="2" s="1"/>
  <c r="BT108" i="2" s="1"/>
  <c r="BT109" i="2" s="1"/>
  <c r="BT110" i="2" s="1"/>
  <c r="BT111" i="2" s="1"/>
  <c r="BT112" i="2" s="1"/>
  <c r="BT113" i="2" s="1"/>
  <c r="BT114" i="2" s="1"/>
  <c r="BT115" i="2" s="1"/>
  <c r="BT116" i="2" s="1"/>
  <c r="BT117" i="2" s="1"/>
  <c r="BT118" i="2" s="1"/>
  <c r="BT119" i="2" s="1"/>
  <c r="BT120" i="2" s="1"/>
  <c r="BT121" i="2" s="1"/>
  <c r="BT122" i="2" s="1"/>
  <c r="BT123" i="2" s="1"/>
  <c r="BT124" i="2" s="1"/>
  <c r="BT125" i="2" s="1"/>
  <c r="BT126" i="2" s="1"/>
  <c r="BT127" i="2" s="1"/>
  <c r="BT128" i="2" s="1"/>
  <c r="BT129" i="2" s="1"/>
  <c r="BT130" i="2" s="1"/>
  <c r="BT131" i="2" s="1"/>
  <c r="BT132" i="2" s="1"/>
  <c r="BT133" i="2" s="1"/>
  <c r="BT134" i="2" s="1"/>
  <c r="BT135" i="2" s="1"/>
  <c r="BT136" i="2" s="1"/>
  <c r="BT137" i="2" s="1"/>
  <c r="BT138" i="2" s="1"/>
  <c r="BT139" i="2" s="1"/>
  <c r="BT140" i="2" s="1"/>
  <c r="BT141" i="2" s="1"/>
  <c r="BT142" i="2" s="1"/>
  <c r="BT143" i="2" s="1"/>
  <c r="BT144" i="2" s="1"/>
  <c r="BT145" i="2" s="1"/>
  <c r="BT146" i="2" s="1"/>
  <c r="BT147" i="2" s="1"/>
  <c r="BT148" i="2" s="1"/>
  <c r="BT149" i="2" s="1"/>
  <c r="BT150" i="2" s="1"/>
  <c r="BT151" i="2" s="1"/>
  <c r="BT152" i="2" s="1"/>
  <c r="BT153" i="2" s="1"/>
  <c r="BT154" i="2" s="1"/>
  <c r="BT155" i="2" s="1"/>
  <c r="BT156" i="2" s="1"/>
  <c r="BT157" i="2" s="1"/>
  <c r="BT158" i="2" s="1"/>
  <c r="BT159" i="2" s="1"/>
  <c r="D22" i="7"/>
  <c r="J22" i="7" s="1"/>
  <c r="B185" i="33"/>
  <c r="B184" i="33"/>
  <c r="B104" i="33"/>
  <c r="B264" i="33"/>
  <c r="B344" i="33"/>
  <c r="B24" i="33"/>
  <c r="D23" i="7"/>
  <c r="J23" i="7" s="1"/>
  <c r="BH159" i="2"/>
  <c r="BJ159" i="2" s="1"/>
  <c r="A4" i="8"/>
  <c r="C4" i="8"/>
  <c r="B4" i="8" s="1"/>
  <c r="A5" i="8"/>
  <c r="C5" i="8"/>
  <c r="B5" i="8" s="1"/>
  <c r="A6" i="8"/>
  <c r="C6" i="8"/>
  <c r="B6" i="8" s="1"/>
  <c r="A7" i="8"/>
  <c r="C7" i="8"/>
  <c r="B7" i="8" s="1"/>
  <c r="A8" i="8"/>
  <c r="C8" i="8"/>
  <c r="B8" i="8" s="1"/>
  <c r="A9" i="8"/>
  <c r="C9" i="8"/>
  <c r="B9" i="8" s="1"/>
  <c r="A10" i="8"/>
  <c r="C10" i="8"/>
  <c r="B10" i="8" s="1"/>
  <c r="A11" i="8"/>
  <c r="C11" i="8"/>
  <c r="B11" i="8" s="1"/>
  <c r="A12" i="8"/>
  <c r="C12" i="8"/>
  <c r="B12" i="8" s="1"/>
  <c r="A13" i="8"/>
  <c r="C13" i="8"/>
  <c r="B13" i="8" s="1"/>
  <c r="A14" i="8"/>
  <c r="C14" i="8"/>
  <c r="B14" i="8" s="1"/>
  <c r="A15" i="8"/>
  <c r="C15" i="8"/>
  <c r="B15" i="8" s="1"/>
  <c r="A16" i="8"/>
  <c r="C16" i="8"/>
  <c r="B16" i="8" s="1"/>
  <c r="A17" i="8"/>
  <c r="C17" i="8"/>
  <c r="B17" i="8" s="1"/>
  <c r="A18" i="8"/>
  <c r="C18" i="8"/>
  <c r="B18" i="8" s="1"/>
  <c r="A19" i="8"/>
  <c r="C19" i="8"/>
  <c r="B19" i="8" s="1"/>
  <c r="A20" i="8"/>
  <c r="C20" i="8"/>
  <c r="B20" i="8" s="1"/>
  <c r="A21" i="8"/>
  <c r="C21" i="8"/>
  <c r="B21" i="8" s="1"/>
  <c r="A22" i="8"/>
  <c r="C22" i="8"/>
  <c r="B22" i="8" s="1"/>
  <c r="A23" i="8"/>
  <c r="C23" i="8"/>
  <c r="B23" i="8" s="1"/>
  <c r="A24" i="8"/>
  <c r="C24" i="8"/>
  <c r="B24" i="8" s="1"/>
  <c r="A25" i="8"/>
  <c r="C25" i="8"/>
  <c r="B25" i="8" s="1"/>
  <c r="A26" i="8"/>
  <c r="C26" i="8"/>
  <c r="B26" i="8" s="1"/>
  <c r="A27" i="8"/>
  <c r="C27" i="8"/>
  <c r="B27" i="8" s="1"/>
  <c r="A28" i="8"/>
  <c r="C28" i="8"/>
  <c r="B28" i="8" s="1"/>
  <c r="A29" i="8"/>
  <c r="C29" i="8"/>
  <c r="B29" i="8" s="1"/>
  <c r="A30" i="8"/>
  <c r="C30" i="8"/>
  <c r="B30" i="8" s="1"/>
  <c r="A31" i="8"/>
  <c r="C31" i="8"/>
  <c r="B31" i="8" s="1"/>
  <c r="A32" i="8"/>
  <c r="C32" i="8"/>
  <c r="B32" i="8" s="1"/>
  <c r="A33" i="8"/>
  <c r="C33" i="8"/>
  <c r="B33" i="8" s="1"/>
  <c r="A34" i="8"/>
  <c r="C34" i="8"/>
  <c r="B34" i="8" s="1"/>
  <c r="A35" i="8"/>
  <c r="C35" i="8"/>
  <c r="B35" i="8" s="1"/>
  <c r="A36" i="8"/>
  <c r="C36" i="8"/>
  <c r="B36" i="8" s="1"/>
  <c r="A37" i="8"/>
  <c r="C37" i="8"/>
  <c r="B37" i="8" s="1"/>
  <c r="A38" i="8"/>
  <c r="C38" i="8"/>
  <c r="B38" i="8" s="1"/>
  <c r="A39" i="8"/>
  <c r="C39" i="8"/>
  <c r="B39" i="8" s="1"/>
  <c r="A40" i="8"/>
  <c r="C40" i="8"/>
  <c r="B40" i="8" s="1"/>
  <c r="A41" i="8"/>
  <c r="C41" i="8"/>
  <c r="B41" i="8" s="1"/>
  <c r="A42" i="8"/>
  <c r="C42" i="8"/>
  <c r="B42" i="8" s="1"/>
  <c r="A43" i="8"/>
  <c r="C43" i="8"/>
  <c r="B43" i="8" s="1"/>
  <c r="A44" i="8"/>
  <c r="C44" i="8"/>
  <c r="B44" i="8" s="1"/>
  <c r="A45" i="8"/>
  <c r="C45" i="8"/>
  <c r="B45" i="8" s="1"/>
  <c r="A46" i="8"/>
  <c r="C46" i="8"/>
  <c r="B46" i="8" s="1"/>
  <c r="A47" i="8"/>
  <c r="C47" i="8"/>
  <c r="B47" i="8" s="1"/>
  <c r="A48" i="8"/>
  <c r="C48" i="8"/>
  <c r="B48" i="8" s="1"/>
  <c r="A49" i="8"/>
  <c r="C49" i="8"/>
  <c r="B49" i="8" s="1"/>
  <c r="A50" i="8"/>
  <c r="C50" i="8"/>
  <c r="B50" i="8" s="1"/>
  <c r="A51" i="8"/>
  <c r="C51" i="8"/>
  <c r="B51" i="8" s="1"/>
  <c r="A52" i="8"/>
  <c r="C52" i="8"/>
  <c r="B52" i="8" s="1"/>
  <c r="A53" i="8"/>
  <c r="C53" i="8"/>
  <c r="B53" i="8" s="1"/>
  <c r="A54" i="8"/>
  <c r="C54" i="8"/>
  <c r="B54" i="8" s="1"/>
  <c r="A55" i="8"/>
  <c r="C55" i="8"/>
  <c r="B55" i="8" s="1"/>
  <c r="A56" i="8"/>
  <c r="C56" i="8"/>
  <c r="B56" i="8" s="1"/>
  <c r="A57" i="8"/>
  <c r="C57" i="8"/>
  <c r="B57" i="8" s="1"/>
  <c r="A58" i="8"/>
  <c r="C58" i="8"/>
  <c r="B58" i="8" s="1"/>
  <c r="A59" i="8"/>
  <c r="C59" i="8"/>
  <c r="B59" i="8" s="1"/>
  <c r="A60" i="8"/>
  <c r="C60" i="8"/>
  <c r="B60" i="8" s="1"/>
  <c r="A61" i="8"/>
  <c r="C61" i="8"/>
  <c r="B61" i="8" s="1"/>
  <c r="A62" i="8"/>
  <c r="C62" i="8"/>
  <c r="B62" i="8" s="1"/>
  <c r="A63" i="8"/>
  <c r="C63" i="8"/>
  <c r="B63" i="8" s="1"/>
  <c r="A64" i="8"/>
  <c r="C64" i="8"/>
  <c r="B64" i="8" s="1"/>
  <c r="A65" i="8"/>
  <c r="C65" i="8"/>
  <c r="B65" i="8" s="1"/>
  <c r="A66" i="8"/>
  <c r="C66" i="8"/>
  <c r="B66" i="8" s="1"/>
  <c r="A67" i="8"/>
  <c r="C67" i="8"/>
  <c r="B67" i="8" s="1"/>
  <c r="A68" i="8"/>
  <c r="C68" i="8"/>
  <c r="B68" i="8" s="1"/>
  <c r="A69" i="8"/>
  <c r="C69" i="8"/>
  <c r="B69" i="8" s="1"/>
  <c r="A70" i="8"/>
  <c r="C70" i="8"/>
  <c r="B70" i="8" s="1"/>
  <c r="A71" i="8"/>
  <c r="C71" i="8"/>
  <c r="B71" i="8" s="1"/>
  <c r="A72" i="8"/>
  <c r="C72" i="8"/>
  <c r="B72" i="8" s="1"/>
  <c r="A73" i="8"/>
  <c r="C73" i="8"/>
  <c r="B73" i="8" s="1"/>
  <c r="A74" i="8"/>
  <c r="C74" i="8"/>
  <c r="B74" i="8" s="1"/>
  <c r="A75" i="8"/>
  <c r="C75" i="8"/>
  <c r="B75" i="8" s="1"/>
  <c r="A76" i="8"/>
  <c r="C76" i="8"/>
  <c r="B76" i="8" s="1"/>
  <c r="A77" i="8"/>
  <c r="C77" i="8"/>
  <c r="B77" i="8" s="1"/>
  <c r="A78" i="8"/>
  <c r="C78" i="8"/>
  <c r="B78" i="8" s="1"/>
  <c r="A79" i="8"/>
  <c r="C79" i="8"/>
  <c r="B79" i="8" s="1"/>
  <c r="A80" i="8"/>
  <c r="C80" i="8"/>
  <c r="B80" i="8" s="1"/>
  <c r="A81" i="8"/>
  <c r="C81" i="8"/>
  <c r="B81" i="8" s="1"/>
  <c r="A82" i="8"/>
  <c r="C82" i="8"/>
  <c r="B82" i="8" s="1"/>
  <c r="A83" i="8"/>
  <c r="C83" i="8"/>
  <c r="B83" i="8" s="1"/>
  <c r="A84" i="8"/>
  <c r="C84" i="8"/>
  <c r="B84" i="8" s="1"/>
  <c r="A85" i="8"/>
  <c r="C85" i="8"/>
  <c r="B85" i="8" s="1"/>
  <c r="A86" i="8"/>
  <c r="C86" i="8"/>
  <c r="B86" i="8" s="1"/>
  <c r="A87" i="8"/>
  <c r="C87" i="8"/>
  <c r="B87" i="8" s="1"/>
  <c r="A88" i="8"/>
  <c r="C88" i="8"/>
  <c r="B88" i="8" s="1"/>
  <c r="A89" i="8"/>
  <c r="C89" i="8"/>
  <c r="B89" i="8" s="1"/>
  <c r="A90" i="8"/>
  <c r="C90" i="8"/>
  <c r="B90" i="8" s="1"/>
  <c r="A91" i="8"/>
  <c r="C91" i="8"/>
  <c r="B91" i="8" s="1"/>
  <c r="A92" i="8"/>
  <c r="C92" i="8"/>
  <c r="B92" i="8" s="1"/>
  <c r="A93" i="8"/>
  <c r="C93" i="8"/>
  <c r="B93" i="8" s="1"/>
  <c r="A94" i="8"/>
  <c r="C94" i="8"/>
  <c r="B94" i="8" s="1"/>
  <c r="A95" i="8"/>
  <c r="C95" i="8"/>
  <c r="B95" i="8" s="1"/>
  <c r="A96" i="8"/>
  <c r="C96" i="8"/>
  <c r="B96" i="8" s="1"/>
  <c r="A97" i="8"/>
  <c r="C97" i="8"/>
  <c r="B97" i="8" s="1"/>
  <c r="A98" i="8"/>
  <c r="C98" i="8"/>
  <c r="B98" i="8" s="1"/>
  <c r="A99" i="8"/>
  <c r="C99" i="8"/>
  <c r="B99" i="8" s="1"/>
  <c r="A100" i="8"/>
  <c r="C100" i="8"/>
  <c r="B100" i="8" s="1"/>
  <c r="A101" i="8"/>
  <c r="C101" i="8"/>
  <c r="B101" i="8" s="1"/>
  <c r="A102" i="8"/>
  <c r="C102" i="8"/>
  <c r="B102" i="8" s="1"/>
  <c r="A103" i="8"/>
  <c r="C103" i="8"/>
  <c r="B103" i="8" s="1"/>
  <c r="A105" i="8"/>
  <c r="C105" i="8"/>
  <c r="B105" i="8" s="1"/>
  <c r="A106" i="8"/>
  <c r="C106" i="8"/>
  <c r="B106" i="8" s="1"/>
  <c r="A107" i="8"/>
  <c r="C107" i="8"/>
  <c r="B107" i="8" s="1"/>
  <c r="A108" i="8"/>
  <c r="C108" i="8"/>
  <c r="B108" i="8" s="1"/>
  <c r="A109" i="8"/>
  <c r="C109" i="8"/>
  <c r="B109" i="8" s="1"/>
  <c r="A110" i="8"/>
  <c r="C110" i="8"/>
  <c r="B110" i="8" s="1"/>
  <c r="A111" i="8"/>
  <c r="C111" i="8"/>
  <c r="B111" i="8" s="1"/>
  <c r="A112" i="8"/>
  <c r="C112" i="8"/>
  <c r="B112" i="8" s="1"/>
  <c r="A113" i="8"/>
  <c r="C113" i="8"/>
  <c r="B113" i="8" s="1"/>
  <c r="A114" i="8"/>
  <c r="C114" i="8"/>
  <c r="B114" i="8" s="1"/>
  <c r="A115" i="8"/>
  <c r="C115" i="8"/>
  <c r="B115" i="8" s="1"/>
  <c r="A116" i="8"/>
  <c r="C116" i="8"/>
  <c r="B116" i="8" s="1"/>
  <c r="A117" i="8"/>
  <c r="C117" i="8"/>
  <c r="B117" i="8" s="1"/>
  <c r="A118" i="8"/>
  <c r="C118" i="8"/>
  <c r="B118" i="8" s="1"/>
  <c r="A119" i="8"/>
  <c r="C119" i="8"/>
  <c r="B119" i="8" s="1"/>
  <c r="A120" i="8"/>
  <c r="C120" i="8"/>
  <c r="B120" i="8" s="1"/>
  <c r="A121" i="8"/>
  <c r="C121" i="8"/>
  <c r="B121" i="8" s="1"/>
  <c r="A122" i="8"/>
  <c r="C122" i="8"/>
  <c r="B122" i="8" s="1"/>
  <c r="A123" i="8"/>
  <c r="C123" i="8"/>
  <c r="B123" i="8" s="1"/>
  <c r="A124" i="8"/>
  <c r="C124" i="8"/>
  <c r="B124" i="8" s="1"/>
  <c r="A125" i="8"/>
  <c r="C125" i="8"/>
  <c r="B125" i="8" s="1"/>
  <c r="A126" i="8"/>
  <c r="C126" i="8"/>
  <c r="B126" i="8" s="1"/>
  <c r="A127" i="8"/>
  <c r="C127" i="8"/>
  <c r="B127" i="8" s="1"/>
  <c r="A128" i="8"/>
  <c r="C128" i="8"/>
  <c r="B128" i="8" s="1"/>
  <c r="A129" i="8"/>
  <c r="C129" i="8"/>
  <c r="B129" i="8" s="1"/>
  <c r="A130" i="8"/>
  <c r="C130" i="8"/>
  <c r="B130" i="8" s="1"/>
  <c r="A131" i="8"/>
  <c r="C131" i="8"/>
  <c r="B131" i="8" s="1"/>
  <c r="A132" i="8"/>
  <c r="C132" i="8"/>
  <c r="B132" i="8" s="1"/>
  <c r="A133" i="8"/>
  <c r="C133" i="8"/>
  <c r="B133" i="8" s="1"/>
  <c r="A134" i="8"/>
  <c r="C134" i="8"/>
  <c r="B134" i="8" s="1"/>
  <c r="A135" i="8"/>
  <c r="C135" i="8"/>
  <c r="B135" i="8" s="1"/>
  <c r="A136" i="8"/>
  <c r="C136" i="8"/>
  <c r="B136" i="8" s="1"/>
  <c r="A137" i="8"/>
  <c r="C137" i="8"/>
  <c r="B137" i="8" s="1"/>
  <c r="A138" i="8"/>
  <c r="C138" i="8"/>
  <c r="B138" i="8" s="1"/>
  <c r="A139" i="8"/>
  <c r="C139" i="8"/>
  <c r="B139" i="8" s="1"/>
  <c r="A140" i="8"/>
  <c r="C140" i="8"/>
  <c r="B140" i="8" s="1"/>
  <c r="A141" i="8"/>
  <c r="C141" i="8"/>
  <c r="B141" i="8" s="1"/>
  <c r="A142" i="8"/>
  <c r="C142" i="8"/>
  <c r="B142" i="8" s="1"/>
  <c r="A143" i="8"/>
  <c r="C143" i="8"/>
  <c r="B143" i="8" s="1"/>
  <c r="A144" i="8"/>
  <c r="C144" i="8"/>
  <c r="B144" i="8" s="1"/>
  <c r="A3" i="8"/>
  <c r="C3" i="8"/>
  <c r="B3" i="8" s="1"/>
  <c r="A5" i="1"/>
  <c r="B5" i="1"/>
  <c r="C5" i="1"/>
  <c r="F5" i="1"/>
  <c r="H5" i="1"/>
  <c r="I5" i="1"/>
  <c r="J5" i="1"/>
  <c r="A6" i="1"/>
  <c r="B6" i="1"/>
  <c r="C6" i="1"/>
  <c r="H6" i="1"/>
  <c r="I6" i="1"/>
  <c r="J6" i="1"/>
  <c r="A7" i="1"/>
  <c r="B7" i="1"/>
  <c r="C7" i="1"/>
  <c r="H7" i="1"/>
  <c r="I7" i="1"/>
  <c r="J7" i="1"/>
  <c r="A8" i="1"/>
  <c r="B8" i="1"/>
  <c r="C8" i="1"/>
  <c r="H8" i="1"/>
  <c r="I8" i="1"/>
  <c r="J8" i="1"/>
  <c r="A9" i="1"/>
  <c r="B9" i="1"/>
  <c r="C9" i="1"/>
  <c r="H9" i="1"/>
  <c r="I9" i="1"/>
  <c r="J9" i="1"/>
  <c r="A10" i="1"/>
  <c r="B10" i="1"/>
  <c r="C10" i="1"/>
  <c r="H10" i="1"/>
  <c r="I10" i="1"/>
  <c r="J10" i="1"/>
  <c r="A11" i="1"/>
  <c r="B11" i="1"/>
  <c r="C11" i="1"/>
  <c r="H11" i="1"/>
  <c r="I11" i="1"/>
  <c r="J11" i="1"/>
  <c r="A12" i="1"/>
  <c r="B12" i="1"/>
  <c r="C12" i="1"/>
  <c r="H12" i="1"/>
  <c r="I12" i="1"/>
  <c r="J12" i="1"/>
  <c r="A13" i="1"/>
  <c r="B13" i="1"/>
  <c r="C13" i="1"/>
  <c r="H13" i="1"/>
  <c r="I13" i="1"/>
  <c r="J13" i="1"/>
  <c r="A14" i="1"/>
  <c r="B14" i="1"/>
  <c r="C14" i="1"/>
  <c r="H14" i="1"/>
  <c r="I14" i="1"/>
  <c r="J14" i="1"/>
  <c r="A15" i="1"/>
  <c r="B15" i="1"/>
  <c r="C15" i="1"/>
  <c r="H15" i="1"/>
  <c r="I15" i="1"/>
  <c r="J15" i="1"/>
  <c r="A16" i="1"/>
  <c r="B16" i="1"/>
  <c r="C16" i="1"/>
  <c r="H16" i="1"/>
  <c r="I16" i="1"/>
  <c r="J16" i="1"/>
  <c r="A17" i="1"/>
  <c r="B17" i="1"/>
  <c r="C17" i="1"/>
  <c r="H17" i="1"/>
  <c r="I17" i="1"/>
  <c r="J17" i="1"/>
  <c r="A18" i="1"/>
  <c r="B18" i="1"/>
  <c r="C18" i="1"/>
  <c r="H18" i="1"/>
  <c r="I18" i="1"/>
  <c r="J18" i="1"/>
  <c r="A19" i="1"/>
  <c r="B19" i="1"/>
  <c r="C19" i="1"/>
  <c r="H19" i="1"/>
  <c r="I19" i="1"/>
  <c r="J19" i="1"/>
  <c r="A20" i="1"/>
  <c r="B20" i="1"/>
  <c r="C20" i="1"/>
  <c r="H20" i="1"/>
  <c r="I20" i="1"/>
  <c r="J20" i="1"/>
  <c r="A21" i="1"/>
  <c r="B21" i="1"/>
  <c r="C21" i="1"/>
  <c r="H21" i="1"/>
  <c r="I21" i="1"/>
  <c r="J21" i="1"/>
  <c r="A22" i="1"/>
  <c r="B22" i="1"/>
  <c r="C22" i="1"/>
  <c r="H22" i="1"/>
  <c r="I22" i="1"/>
  <c r="J22" i="1"/>
  <c r="A23" i="1"/>
  <c r="B23" i="1"/>
  <c r="C23" i="1"/>
  <c r="H23" i="1"/>
  <c r="I23" i="1"/>
  <c r="J23" i="1"/>
  <c r="A24" i="1"/>
  <c r="B24" i="1"/>
  <c r="C24" i="1"/>
  <c r="H24" i="1"/>
  <c r="I24" i="1"/>
  <c r="J24" i="1"/>
  <c r="A25" i="1"/>
  <c r="B25" i="1"/>
  <c r="C25" i="1"/>
  <c r="H25" i="1"/>
  <c r="I25" i="1"/>
  <c r="J25" i="1"/>
  <c r="A26" i="1"/>
  <c r="B26" i="1"/>
  <c r="C26" i="1"/>
  <c r="H26" i="1"/>
  <c r="I26" i="1"/>
  <c r="J26" i="1"/>
  <c r="A27" i="1"/>
  <c r="B27" i="1"/>
  <c r="C27" i="1"/>
  <c r="H27" i="1"/>
  <c r="I27" i="1"/>
  <c r="J27" i="1"/>
  <c r="A28" i="1"/>
  <c r="B28" i="1"/>
  <c r="C28" i="1"/>
  <c r="H28" i="1"/>
  <c r="I28" i="1"/>
  <c r="J28" i="1"/>
  <c r="A29" i="1"/>
  <c r="B29" i="1"/>
  <c r="C29" i="1"/>
  <c r="H29" i="1"/>
  <c r="I29" i="1"/>
  <c r="J29" i="1"/>
  <c r="A30" i="1"/>
  <c r="B30" i="1"/>
  <c r="C30" i="1"/>
  <c r="H30" i="1"/>
  <c r="I30" i="1"/>
  <c r="J30" i="1"/>
  <c r="A31" i="1"/>
  <c r="B31" i="1"/>
  <c r="C31" i="1"/>
  <c r="H31" i="1"/>
  <c r="I31" i="1"/>
  <c r="J31" i="1"/>
  <c r="A32" i="1"/>
  <c r="B32" i="1"/>
  <c r="C32" i="1"/>
  <c r="H32" i="1"/>
  <c r="I32" i="1"/>
  <c r="J32" i="1"/>
  <c r="A33" i="1"/>
  <c r="B33" i="1"/>
  <c r="C33" i="1"/>
  <c r="H33" i="1"/>
  <c r="I33" i="1"/>
  <c r="J33" i="1"/>
  <c r="A34" i="1"/>
  <c r="B34" i="1"/>
  <c r="C34" i="1"/>
  <c r="H34" i="1"/>
  <c r="I34" i="1"/>
  <c r="J34" i="1"/>
  <c r="A35" i="1"/>
  <c r="B35" i="1"/>
  <c r="C35" i="1"/>
  <c r="H35" i="1"/>
  <c r="I35" i="1"/>
  <c r="J35" i="1"/>
  <c r="A36" i="1"/>
  <c r="B36" i="1"/>
  <c r="C36" i="1"/>
  <c r="H36" i="1"/>
  <c r="I36" i="1"/>
  <c r="J36" i="1"/>
  <c r="A37" i="1"/>
  <c r="B37" i="1"/>
  <c r="C37" i="1"/>
  <c r="H37" i="1"/>
  <c r="I37" i="1"/>
  <c r="J37" i="1"/>
  <c r="A38" i="1"/>
  <c r="B38" i="1"/>
  <c r="C38" i="1"/>
  <c r="H38" i="1"/>
  <c r="I38" i="1"/>
  <c r="J38" i="1"/>
  <c r="A39" i="1"/>
  <c r="B39" i="1"/>
  <c r="C39" i="1"/>
  <c r="H39" i="1"/>
  <c r="I39" i="1"/>
  <c r="J39" i="1"/>
  <c r="A40" i="1"/>
  <c r="B40" i="1"/>
  <c r="C40" i="1"/>
  <c r="H40" i="1"/>
  <c r="I40" i="1"/>
  <c r="J40" i="1"/>
  <c r="A41" i="1"/>
  <c r="B41" i="1"/>
  <c r="C41" i="1"/>
  <c r="H41" i="1"/>
  <c r="I41" i="1"/>
  <c r="J41" i="1"/>
  <c r="A42" i="1"/>
  <c r="B42" i="1"/>
  <c r="C42" i="1"/>
  <c r="I42" i="1"/>
  <c r="J42" i="1"/>
  <c r="A43" i="1"/>
  <c r="B43" i="1"/>
  <c r="C43" i="1"/>
  <c r="H43" i="1"/>
  <c r="I43" i="1"/>
  <c r="J43" i="1"/>
  <c r="A44" i="1"/>
  <c r="B44" i="1"/>
  <c r="C44" i="1"/>
  <c r="H44" i="1"/>
  <c r="I44" i="1"/>
  <c r="J44" i="1"/>
  <c r="A45" i="1"/>
  <c r="B45" i="1"/>
  <c r="C45" i="1"/>
  <c r="H45" i="1"/>
  <c r="I45" i="1"/>
  <c r="J45" i="1"/>
  <c r="A46" i="1"/>
  <c r="B46" i="1"/>
  <c r="C46" i="1"/>
  <c r="H46" i="1"/>
  <c r="I46" i="1"/>
  <c r="J46" i="1"/>
  <c r="A47" i="1"/>
  <c r="B47" i="1"/>
  <c r="C47" i="1"/>
  <c r="H47" i="1"/>
  <c r="I47" i="1"/>
  <c r="J47" i="1"/>
  <c r="A48" i="1"/>
  <c r="B48" i="1"/>
  <c r="C48" i="1"/>
  <c r="H48" i="1"/>
  <c r="I48" i="1"/>
  <c r="J48" i="1"/>
  <c r="A49" i="1"/>
  <c r="B49" i="1"/>
  <c r="C49" i="1"/>
  <c r="H49" i="1"/>
  <c r="I49" i="1"/>
  <c r="J49" i="1"/>
  <c r="A50" i="1"/>
  <c r="B50" i="1"/>
  <c r="C50" i="1"/>
  <c r="H50" i="1"/>
  <c r="I50" i="1"/>
  <c r="J50" i="1"/>
  <c r="A51" i="1"/>
  <c r="B51" i="1"/>
  <c r="C51" i="1"/>
  <c r="H51" i="1"/>
  <c r="I51" i="1"/>
  <c r="J51" i="1"/>
  <c r="A52" i="1"/>
  <c r="B52" i="1"/>
  <c r="C52" i="1"/>
  <c r="H52" i="1"/>
  <c r="I52" i="1"/>
  <c r="J52" i="1"/>
  <c r="A53" i="1"/>
  <c r="B53" i="1"/>
  <c r="C53" i="1"/>
  <c r="H53" i="1"/>
  <c r="I53" i="1"/>
  <c r="J53" i="1"/>
  <c r="A54" i="1"/>
  <c r="B54" i="1"/>
  <c r="C54" i="1"/>
  <c r="H54" i="1"/>
  <c r="I54" i="1"/>
  <c r="J54" i="1"/>
  <c r="A55" i="1"/>
  <c r="B55" i="1"/>
  <c r="C55" i="1"/>
  <c r="H55" i="1"/>
  <c r="I55" i="1"/>
  <c r="J55" i="1"/>
  <c r="A56" i="1"/>
  <c r="B56" i="1"/>
  <c r="C56" i="1"/>
  <c r="H56" i="1"/>
  <c r="I56" i="1"/>
  <c r="J56" i="1"/>
  <c r="K56" i="1"/>
  <c r="A57" i="1"/>
  <c r="B57" i="1"/>
  <c r="C57" i="1"/>
  <c r="H57" i="1"/>
  <c r="I57" i="1"/>
  <c r="J57" i="1"/>
  <c r="A58" i="1"/>
  <c r="B58" i="1"/>
  <c r="C58" i="1"/>
  <c r="H58" i="1"/>
  <c r="I58" i="1"/>
  <c r="J58" i="1"/>
  <c r="A59" i="1"/>
  <c r="B59" i="1"/>
  <c r="C59" i="1"/>
  <c r="H59" i="1"/>
  <c r="I59" i="1"/>
  <c r="J59" i="1"/>
  <c r="A60" i="1"/>
  <c r="B60" i="1"/>
  <c r="C60" i="1"/>
  <c r="H60" i="1"/>
  <c r="I60" i="1"/>
  <c r="J60" i="1"/>
  <c r="A61" i="1"/>
  <c r="B61" i="1"/>
  <c r="C61" i="1"/>
  <c r="H61" i="1"/>
  <c r="I61" i="1"/>
  <c r="J61" i="1"/>
  <c r="A62" i="1"/>
  <c r="B62" i="1"/>
  <c r="C62" i="1"/>
  <c r="H62" i="1"/>
  <c r="I62" i="1"/>
  <c r="J62" i="1"/>
  <c r="A63" i="1"/>
  <c r="B63" i="1"/>
  <c r="C63" i="1"/>
  <c r="H63" i="1"/>
  <c r="I63" i="1"/>
  <c r="J63" i="1"/>
  <c r="A64" i="1"/>
  <c r="B64" i="1"/>
  <c r="C64" i="1"/>
  <c r="H64" i="1"/>
  <c r="I64" i="1"/>
  <c r="J64" i="1"/>
  <c r="A65" i="1"/>
  <c r="B65" i="1"/>
  <c r="C65" i="1"/>
  <c r="H65" i="1"/>
  <c r="I65" i="1"/>
  <c r="J65" i="1"/>
  <c r="A66" i="1"/>
  <c r="B66" i="1"/>
  <c r="C66" i="1"/>
  <c r="H66" i="1"/>
  <c r="I66" i="1"/>
  <c r="J66" i="1"/>
  <c r="A67" i="1"/>
  <c r="B67" i="1"/>
  <c r="C67" i="1"/>
  <c r="H67" i="1"/>
  <c r="I67" i="1"/>
  <c r="J67" i="1"/>
  <c r="A68" i="1"/>
  <c r="B68" i="1"/>
  <c r="C68" i="1"/>
  <c r="H68" i="1"/>
  <c r="I68" i="1"/>
  <c r="J68" i="1"/>
  <c r="A69" i="1"/>
  <c r="B69" i="1"/>
  <c r="C69" i="1"/>
  <c r="H69" i="1"/>
  <c r="I69" i="1"/>
  <c r="J69" i="1"/>
  <c r="A70" i="1"/>
  <c r="B70" i="1"/>
  <c r="C70" i="1"/>
  <c r="H70" i="1"/>
  <c r="I70" i="1"/>
  <c r="J70" i="1"/>
  <c r="A71" i="1"/>
  <c r="B71" i="1"/>
  <c r="C71" i="1"/>
  <c r="H71" i="1"/>
  <c r="I71" i="1"/>
  <c r="J71" i="1"/>
  <c r="A72" i="1"/>
  <c r="B72" i="1"/>
  <c r="C72" i="1"/>
  <c r="H72" i="1"/>
  <c r="I72" i="1"/>
  <c r="J72" i="1"/>
  <c r="A73" i="1"/>
  <c r="B73" i="1"/>
  <c r="C73" i="1"/>
  <c r="H73" i="1"/>
  <c r="I73" i="1"/>
  <c r="J73" i="1"/>
  <c r="A74" i="1"/>
  <c r="B74" i="1"/>
  <c r="C74" i="1"/>
  <c r="H74" i="1"/>
  <c r="I74" i="1"/>
  <c r="J74" i="1"/>
  <c r="K74" i="1"/>
  <c r="A75" i="1"/>
  <c r="B75" i="1"/>
  <c r="C75" i="1"/>
  <c r="H75" i="1"/>
  <c r="I75" i="1"/>
  <c r="J75" i="1"/>
  <c r="A76" i="1"/>
  <c r="B76" i="1"/>
  <c r="C76" i="1"/>
  <c r="H76" i="1"/>
  <c r="I76" i="1"/>
  <c r="J76" i="1"/>
  <c r="A77" i="1"/>
  <c r="B77" i="1"/>
  <c r="C77" i="1"/>
  <c r="H77" i="1"/>
  <c r="I77" i="1"/>
  <c r="J77" i="1"/>
  <c r="A78" i="1"/>
  <c r="B78" i="1"/>
  <c r="C78" i="1"/>
  <c r="H78" i="1"/>
  <c r="I78" i="1"/>
  <c r="J78" i="1"/>
  <c r="A79" i="1"/>
  <c r="B79" i="1"/>
  <c r="C79" i="1"/>
  <c r="H79" i="1"/>
  <c r="I79" i="1"/>
  <c r="J79" i="1"/>
  <c r="A80" i="1"/>
  <c r="B80" i="1"/>
  <c r="C80" i="1"/>
  <c r="H80" i="1"/>
  <c r="I80" i="1"/>
  <c r="J80" i="1"/>
  <c r="A81" i="1"/>
  <c r="B81" i="1"/>
  <c r="C81" i="1"/>
  <c r="H81" i="1"/>
  <c r="I81" i="1"/>
  <c r="J81" i="1"/>
  <c r="A82" i="1"/>
  <c r="B82" i="1"/>
  <c r="C82" i="1"/>
  <c r="H82" i="1"/>
  <c r="I82" i="1"/>
  <c r="J82" i="1"/>
  <c r="A83" i="1"/>
  <c r="B83" i="1"/>
  <c r="C83" i="1"/>
  <c r="H83" i="1"/>
  <c r="I83" i="1"/>
  <c r="J83" i="1"/>
  <c r="A84" i="1"/>
  <c r="B84" i="1"/>
  <c r="C84" i="1"/>
  <c r="H84" i="1"/>
  <c r="I84" i="1"/>
  <c r="J84" i="1"/>
  <c r="A85" i="1"/>
  <c r="B85" i="1"/>
  <c r="C85" i="1"/>
  <c r="H85" i="1"/>
  <c r="I85" i="1"/>
  <c r="J85" i="1"/>
  <c r="A86" i="1"/>
  <c r="B86" i="1"/>
  <c r="C86" i="1"/>
  <c r="H86" i="1"/>
  <c r="I86" i="1"/>
  <c r="J86" i="1"/>
  <c r="A87" i="1"/>
  <c r="B87" i="1"/>
  <c r="C87" i="1"/>
  <c r="H87" i="1"/>
  <c r="I87" i="1"/>
  <c r="J87" i="1"/>
  <c r="A88" i="1"/>
  <c r="B88" i="1"/>
  <c r="C88" i="1"/>
  <c r="H88" i="1"/>
  <c r="I88" i="1"/>
  <c r="J88" i="1"/>
  <c r="A89" i="1"/>
  <c r="B89" i="1"/>
  <c r="C89" i="1"/>
  <c r="H89" i="1"/>
  <c r="I89" i="1"/>
  <c r="J89" i="1"/>
  <c r="A90" i="1"/>
  <c r="B90" i="1"/>
  <c r="C90" i="1"/>
  <c r="H90" i="1"/>
  <c r="I90" i="1"/>
  <c r="J90" i="1"/>
  <c r="A91" i="1"/>
  <c r="B91" i="1"/>
  <c r="C91" i="1"/>
  <c r="H91" i="1"/>
  <c r="I91" i="1"/>
  <c r="J91" i="1"/>
  <c r="A92" i="1"/>
  <c r="B92" i="1"/>
  <c r="C92" i="1"/>
  <c r="H92" i="1"/>
  <c r="I92" i="1"/>
  <c r="J92" i="1"/>
  <c r="A93" i="1"/>
  <c r="B93" i="1"/>
  <c r="C93" i="1"/>
  <c r="H93" i="1"/>
  <c r="I93" i="1"/>
  <c r="J93" i="1"/>
  <c r="A94" i="1"/>
  <c r="B94" i="1"/>
  <c r="C94" i="1"/>
  <c r="H94" i="1"/>
  <c r="I94" i="1"/>
  <c r="J94" i="1"/>
  <c r="A95" i="1"/>
  <c r="B95" i="1"/>
  <c r="C95" i="1"/>
  <c r="H95" i="1"/>
  <c r="I95" i="1"/>
  <c r="J95" i="1"/>
  <c r="A96" i="1"/>
  <c r="B96" i="1"/>
  <c r="C96" i="1"/>
  <c r="H96" i="1"/>
  <c r="I96" i="1"/>
  <c r="J96" i="1"/>
  <c r="A97" i="1"/>
  <c r="B97" i="1"/>
  <c r="C97" i="1"/>
  <c r="H97" i="1"/>
  <c r="I97" i="1"/>
  <c r="K97" i="1"/>
  <c r="A98" i="1"/>
  <c r="B98" i="1"/>
  <c r="C98" i="1"/>
  <c r="H98" i="1"/>
  <c r="I98" i="1"/>
  <c r="K98" i="1"/>
  <c r="A99" i="1"/>
  <c r="B99" i="1"/>
  <c r="C99" i="1"/>
  <c r="H99" i="1"/>
  <c r="I99" i="1"/>
  <c r="J99" i="1"/>
  <c r="A100" i="1"/>
  <c r="B100" i="1"/>
  <c r="C100" i="1"/>
  <c r="H100" i="1"/>
  <c r="I100" i="1"/>
  <c r="J100" i="1"/>
  <c r="A101" i="1"/>
  <c r="B101" i="1"/>
  <c r="C101" i="1"/>
  <c r="H101" i="1"/>
  <c r="I101" i="1"/>
  <c r="J101" i="1"/>
  <c r="A102" i="1"/>
  <c r="B102" i="1"/>
  <c r="C102" i="1"/>
  <c r="H102" i="1"/>
  <c r="I102" i="1"/>
  <c r="J102" i="1"/>
  <c r="A103" i="1"/>
  <c r="B103" i="1"/>
  <c r="C103" i="1"/>
  <c r="H103" i="1"/>
  <c r="I103" i="1"/>
  <c r="J103" i="1"/>
  <c r="A104" i="1"/>
  <c r="B104" i="1"/>
  <c r="C104" i="1"/>
  <c r="H104" i="1"/>
  <c r="I104" i="1"/>
  <c r="J104" i="1"/>
  <c r="A105" i="1"/>
  <c r="B105" i="1"/>
  <c r="C105" i="1"/>
  <c r="H105" i="1"/>
  <c r="I105" i="1"/>
  <c r="J105" i="1"/>
  <c r="A106" i="1"/>
  <c r="B106" i="1"/>
  <c r="C106" i="1"/>
  <c r="H106" i="1"/>
  <c r="I106" i="1"/>
  <c r="J106" i="1"/>
  <c r="A107" i="1"/>
  <c r="B107" i="1"/>
  <c r="C107" i="1"/>
  <c r="H107" i="1"/>
  <c r="I107" i="1"/>
  <c r="J107" i="1"/>
  <c r="A108" i="1"/>
  <c r="B108" i="1"/>
  <c r="C108" i="1"/>
  <c r="F108" i="1"/>
  <c r="H108" i="1"/>
  <c r="I108" i="1"/>
  <c r="J108" i="1"/>
  <c r="A109" i="1"/>
  <c r="B109" i="1"/>
  <c r="C109" i="1"/>
  <c r="D109" i="1"/>
  <c r="E109" i="1"/>
  <c r="F109" i="1"/>
  <c r="G109" i="1"/>
  <c r="H109" i="1"/>
  <c r="I109" i="1"/>
  <c r="J109" i="1"/>
  <c r="K109" i="1"/>
  <c r="A110" i="1"/>
  <c r="B110" i="1"/>
  <c r="C110" i="1"/>
  <c r="F110" i="1"/>
  <c r="H110" i="1"/>
  <c r="I110" i="1"/>
  <c r="J110" i="1"/>
  <c r="K110" i="1"/>
  <c r="A111" i="1"/>
  <c r="B111" i="1"/>
  <c r="C111" i="1"/>
  <c r="F111" i="1"/>
  <c r="H111" i="1"/>
  <c r="I111" i="1"/>
  <c r="J111" i="1"/>
  <c r="K111" i="1"/>
  <c r="A112" i="1"/>
  <c r="B112" i="1"/>
  <c r="C112" i="1"/>
  <c r="F112" i="1"/>
  <c r="H112" i="1"/>
  <c r="I112" i="1"/>
  <c r="J112" i="1"/>
  <c r="K112" i="1"/>
  <c r="A113" i="1"/>
  <c r="B113" i="1"/>
  <c r="C113" i="1"/>
  <c r="F113" i="1"/>
  <c r="H113" i="1"/>
  <c r="I113" i="1"/>
  <c r="J113" i="1"/>
  <c r="K113" i="1"/>
  <c r="A114" i="1"/>
  <c r="B114" i="1"/>
  <c r="C114" i="1"/>
  <c r="F114" i="1"/>
  <c r="H114" i="1"/>
  <c r="I114" i="1"/>
  <c r="J114" i="1"/>
  <c r="K114" i="1"/>
  <c r="A115" i="1"/>
  <c r="B115" i="1"/>
  <c r="C115" i="1"/>
  <c r="F115" i="1"/>
  <c r="H115" i="1"/>
  <c r="I115" i="1"/>
  <c r="J115" i="1"/>
  <c r="K115" i="1"/>
  <c r="A116" i="1"/>
  <c r="B116" i="1"/>
  <c r="C116" i="1"/>
  <c r="F116" i="1"/>
  <c r="H116" i="1"/>
  <c r="I116" i="1"/>
  <c r="J116" i="1"/>
  <c r="K116" i="1"/>
  <c r="A117" i="1"/>
  <c r="B117" i="1"/>
  <c r="C117" i="1"/>
  <c r="D117" i="1"/>
  <c r="E117" i="1"/>
  <c r="F117" i="1"/>
  <c r="G117" i="1"/>
  <c r="H117" i="1"/>
  <c r="I117" i="1"/>
  <c r="J117" i="1"/>
  <c r="K117" i="1"/>
  <c r="A118" i="1"/>
  <c r="B118" i="1"/>
  <c r="C118" i="1"/>
  <c r="F118" i="1"/>
  <c r="H118" i="1"/>
  <c r="I118" i="1"/>
  <c r="J118" i="1"/>
  <c r="K118" i="1"/>
  <c r="A119" i="1"/>
  <c r="B119" i="1"/>
  <c r="C119" i="1"/>
  <c r="F119" i="1"/>
  <c r="H119" i="1"/>
  <c r="I119" i="1"/>
  <c r="J119" i="1"/>
  <c r="K119" i="1"/>
  <c r="A120" i="1"/>
  <c r="B120" i="1"/>
  <c r="C120" i="1"/>
  <c r="F120" i="1"/>
  <c r="H120" i="1"/>
  <c r="I120" i="1"/>
  <c r="J120" i="1"/>
  <c r="K120" i="1"/>
  <c r="A121" i="1"/>
  <c r="B121" i="1"/>
  <c r="C121" i="1"/>
  <c r="D121" i="1"/>
  <c r="E121" i="1"/>
  <c r="F121" i="1"/>
  <c r="G121" i="1"/>
  <c r="H121" i="1"/>
  <c r="I121" i="1"/>
  <c r="J121" i="1"/>
  <c r="K121" i="1"/>
  <c r="A122" i="1"/>
  <c r="B122" i="1"/>
  <c r="C122" i="1"/>
  <c r="D122" i="1"/>
  <c r="E122" i="1"/>
  <c r="F122" i="1"/>
  <c r="G122" i="1"/>
  <c r="H122" i="1"/>
  <c r="I122" i="1"/>
  <c r="J122" i="1"/>
  <c r="K122" i="1"/>
  <c r="A123" i="1"/>
  <c r="B123" i="1"/>
  <c r="C123" i="1"/>
  <c r="D123" i="1"/>
  <c r="E123" i="1"/>
  <c r="F123" i="1"/>
  <c r="G123" i="1"/>
  <c r="H123" i="1"/>
  <c r="I123" i="1"/>
  <c r="J123" i="1"/>
  <c r="K123" i="1"/>
  <c r="A124" i="1"/>
  <c r="B124" i="1"/>
  <c r="C124" i="1"/>
  <c r="D124" i="1"/>
  <c r="E124" i="1"/>
  <c r="F124" i="1"/>
  <c r="G124" i="1"/>
  <c r="H124" i="1"/>
  <c r="I124" i="1"/>
  <c r="J124" i="1"/>
  <c r="K124" i="1"/>
  <c r="A125" i="1"/>
  <c r="B125" i="1"/>
  <c r="C125" i="1"/>
  <c r="D125" i="1"/>
  <c r="E125" i="1"/>
  <c r="F125" i="1"/>
  <c r="G125" i="1"/>
  <c r="H125" i="1"/>
  <c r="I125" i="1"/>
  <c r="J125" i="1"/>
  <c r="K125" i="1"/>
  <c r="A126" i="1"/>
  <c r="B126" i="1"/>
  <c r="C126" i="1"/>
  <c r="D126" i="1"/>
  <c r="E126" i="1"/>
  <c r="F126" i="1"/>
  <c r="G126" i="1"/>
  <c r="H126" i="1"/>
  <c r="I126" i="1"/>
  <c r="J126" i="1"/>
  <c r="K126" i="1"/>
  <c r="A127" i="1"/>
  <c r="B127" i="1"/>
  <c r="C127" i="1"/>
  <c r="D127" i="1"/>
  <c r="E127" i="1"/>
  <c r="F127" i="1"/>
  <c r="G127" i="1"/>
  <c r="H127" i="1"/>
  <c r="I127" i="1"/>
  <c r="J127" i="1"/>
  <c r="K127" i="1"/>
  <c r="K73" i="1"/>
  <c r="B345" i="33" l="1"/>
  <c r="B105" i="33"/>
  <c r="B265" i="33"/>
  <c r="B25" i="7"/>
  <c r="B25" i="33"/>
  <c r="K94" i="1"/>
  <c r="D44" i="6" l="1"/>
  <c r="D34" i="6" l="1"/>
  <c r="D35" i="6"/>
  <c r="F14" i="33" l="1"/>
  <c r="E14" i="33"/>
  <c r="G14" i="33" s="1"/>
  <c r="H9" i="33"/>
  <c r="J9" i="33" s="1"/>
  <c r="I9" i="33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D83" i="8"/>
  <c r="E83" i="8"/>
  <c r="F83" i="8"/>
  <c r="G83" i="8"/>
  <c r="H83" i="8"/>
  <c r="I83" i="8"/>
  <c r="J83" i="8"/>
  <c r="K83" i="8"/>
  <c r="L83" i="8"/>
  <c r="M83" i="8"/>
  <c r="N83" i="8"/>
  <c r="O83" i="8"/>
  <c r="P83" i="8"/>
  <c r="Q83" i="8"/>
  <c r="R83" i="8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D87" i="8"/>
  <c r="E87" i="8"/>
  <c r="F87" i="8"/>
  <c r="G87" i="8"/>
  <c r="H87" i="8"/>
  <c r="I87" i="8"/>
  <c r="J87" i="8"/>
  <c r="K87" i="8"/>
  <c r="L87" i="8"/>
  <c r="M87" i="8"/>
  <c r="N87" i="8"/>
  <c r="O87" i="8"/>
  <c r="P87" i="8"/>
  <c r="Q87" i="8"/>
  <c r="R87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D89" i="8"/>
  <c r="E89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D90" i="8"/>
  <c r="E90" i="8"/>
  <c r="F90" i="8"/>
  <c r="G90" i="8"/>
  <c r="H90" i="8"/>
  <c r="I90" i="8"/>
  <c r="J90" i="8"/>
  <c r="K90" i="8"/>
  <c r="L90" i="8"/>
  <c r="M90" i="8"/>
  <c r="N90" i="8"/>
  <c r="O90" i="8"/>
  <c r="P90" i="8"/>
  <c r="Q90" i="8"/>
  <c r="R90" i="8"/>
  <c r="D91" i="8"/>
  <c r="E91" i="8"/>
  <c r="F91" i="8"/>
  <c r="G91" i="8"/>
  <c r="H91" i="8"/>
  <c r="I91" i="8"/>
  <c r="J91" i="8"/>
  <c r="K91" i="8"/>
  <c r="L91" i="8"/>
  <c r="M91" i="8"/>
  <c r="N91" i="8"/>
  <c r="O91" i="8"/>
  <c r="P91" i="8"/>
  <c r="Q91" i="8"/>
  <c r="R91" i="8"/>
  <c r="D92" i="8"/>
  <c r="E92" i="8"/>
  <c r="F92" i="8"/>
  <c r="G92" i="8"/>
  <c r="H92" i="8"/>
  <c r="I92" i="8"/>
  <c r="J92" i="8"/>
  <c r="K92" i="8"/>
  <c r="L92" i="8"/>
  <c r="M92" i="8"/>
  <c r="N92" i="8"/>
  <c r="O92" i="8"/>
  <c r="P92" i="8"/>
  <c r="Q92" i="8"/>
  <c r="R92" i="8"/>
  <c r="D93" i="8"/>
  <c r="E93" i="8"/>
  <c r="F93" i="8"/>
  <c r="G93" i="8"/>
  <c r="H93" i="8"/>
  <c r="I93" i="8"/>
  <c r="J93" i="8"/>
  <c r="K93" i="8"/>
  <c r="L93" i="8"/>
  <c r="M93" i="8"/>
  <c r="N93" i="8"/>
  <c r="O93" i="8"/>
  <c r="P93" i="8"/>
  <c r="Q93" i="8"/>
  <c r="R93" i="8"/>
  <c r="D94" i="8"/>
  <c r="E94" i="8"/>
  <c r="F94" i="8"/>
  <c r="G94" i="8"/>
  <c r="H94" i="8"/>
  <c r="I94" i="8"/>
  <c r="J94" i="8"/>
  <c r="K94" i="8"/>
  <c r="L94" i="8"/>
  <c r="M94" i="8"/>
  <c r="N94" i="8"/>
  <c r="O94" i="8"/>
  <c r="P94" i="8"/>
  <c r="Q94" i="8"/>
  <c r="R94" i="8"/>
  <c r="D95" i="8"/>
  <c r="E95" i="8"/>
  <c r="F95" i="8"/>
  <c r="G95" i="8"/>
  <c r="H95" i="8"/>
  <c r="I95" i="8"/>
  <c r="J95" i="8"/>
  <c r="K95" i="8"/>
  <c r="L95" i="8"/>
  <c r="M95" i="8"/>
  <c r="N95" i="8"/>
  <c r="O95" i="8"/>
  <c r="P95" i="8"/>
  <c r="Q95" i="8"/>
  <c r="R95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D97" i="8"/>
  <c r="E97" i="8"/>
  <c r="F97" i="8"/>
  <c r="G97" i="8"/>
  <c r="H97" i="8"/>
  <c r="I97" i="8"/>
  <c r="J97" i="8"/>
  <c r="K97" i="8"/>
  <c r="L97" i="8"/>
  <c r="M97" i="8"/>
  <c r="N97" i="8"/>
  <c r="O97" i="8"/>
  <c r="P97" i="8"/>
  <c r="Q97" i="8"/>
  <c r="R97" i="8"/>
  <c r="D98" i="8"/>
  <c r="E98" i="8"/>
  <c r="F98" i="8"/>
  <c r="G98" i="8"/>
  <c r="H98" i="8"/>
  <c r="I98" i="8"/>
  <c r="J98" i="8"/>
  <c r="K98" i="8"/>
  <c r="L98" i="8"/>
  <c r="M98" i="8"/>
  <c r="N98" i="8"/>
  <c r="O98" i="8"/>
  <c r="P98" i="8"/>
  <c r="Q98" i="8"/>
  <c r="R98" i="8"/>
  <c r="D99" i="8"/>
  <c r="E99" i="8"/>
  <c r="F99" i="8"/>
  <c r="G99" i="8"/>
  <c r="H99" i="8"/>
  <c r="I99" i="8"/>
  <c r="J99" i="8"/>
  <c r="K99" i="8"/>
  <c r="L99" i="8"/>
  <c r="M99" i="8"/>
  <c r="N99" i="8"/>
  <c r="O99" i="8"/>
  <c r="P99" i="8"/>
  <c r="Q99" i="8"/>
  <c r="R99" i="8"/>
  <c r="D100" i="8"/>
  <c r="E100" i="8"/>
  <c r="F100" i="8"/>
  <c r="G100" i="8"/>
  <c r="H100" i="8"/>
  <c r="I100" i="8"/>
  <c r="J100" i="8"/>
  <c r="K100" i="8"/>
  <c r="L100" i="8"/>
  <c r="M100" i="8"/>
  <c r="N100" i="8"/>
  <c r="O100" i="8"/>
  <c r="P100" i="8"/>
  <c r="Q100" i="8"/>
  <c r="R100" i="8"/>
  <c r="D101" i="8"/>
  <c r="E101" i="8"/>
  <c r="F101" i="8"/>
  <c r="G101" i="8"/>
  <c r="H101" i="8"/>
  <c r="I101" i="8"/>
  <c r="J101" i="8"/>
  <c r="K101" i="8"/>
  <c r="L101" i="8"/>
  <c r="M101" i="8"/>
  <c r="N101" i="8"/>
  <c r="O101" i="8"/>
  <c r="P101" i="8"/>
  <c r="Q101" i="8"/>
  <c r="R101" i="8"/>
  <c r="D105" i="8"/>
  <c r="E105" i="8"/>
  <c r="F105" i="8"/>
  <c r="G105" i="8"/>
  <c r="H105" i="8"/>
  <c r="I105" i="8"/>
  <c r="J105" i="8"/>
  <c r="K105" i="8"/>
  <c r="L105" i="8"/>
  <c r="M105" i="8"/>
  <c r="N105" i="8"/>
  <c r="O105" i="8"/>
  <c r="P105" i="8"/>
  <c r="Q105" i="8"/>
  <c r="R105" i="8"/>
  <c r="D106" i="8"/>
  <c r="E106" i="8"/>
  <c r="F106" i="8"/>
  <c r="G106" i="8"/>
  <c r="H106" i="8"/>
  <c r="I106" i="8"/>
  <c r="J106" i="8"/>
  <c r="K106" i="8"/>
  <c r="L106" i="8"/>
  <c r="M106" i="8"/>
  <c r="N106" i="8"/>
  <c r="O106" i="8"/>
  <c r="P106" i="8"/>
  <c r="Q106" i="8"/>
  <c r="R106" i="8"/>
  <c r="D107" i="8"/>
  <c r="E107" i="8"/>
  <c r="F107" i="8"/>
  <c r="G107" i="8"/>
  <c r="H107" i="8"/>
  <c r="I107" i="8"/>
  <c r="J107" i="8"/>
  <c r="K107" i="8"/>
  <c r="L107" i="8"/>
  <c r="M107" i="8"/>
  <c r="N107" i="8"/>
  <c r="O107" i="8"/>
  <c r="P107" i="8"/>
  <c r="Q107" i="8"/>
  <c r="R107" i="8"/>
  <c r="D108" i="8"/>
  <c r="E108" i="8"/>
  <c r="F108" i="8"/>
  <c r="G108" i="8"/>
  <c r="H108" i="8"/>
  <c r="I108" i="8"/>
  <c r="J108" i="8"/>
  <c r="K108" i="8"/>
  <c r="L108" i="8"/>
  <c r="M108" i="8"/>
  <c r="N108" i="8"/>
  <c r="O108" i="8"/>
  <c r="P108" i="8"/>
  <c r="Q108" i="8"/>
  <c r="R108" i="8"/>
  <c r="D109" i="8"/>
  <c r="E109" i="8"/>
  <c r="F109" i="8"/>
  <c r="G109" i="8"/>
  <c r="H109" i="8"/>
  <c r="I109" i="8"/>
  <c r="J109" i="8"/>
  <c r="K109" i="8"/>
  <c r="L109" i="8"/>
  <c r="M109" i="8"/>
  <c r="N109" i="8"/>
  <c r="O109" i="8"/>
  <c r="P109" i="8"/>
  <c r="Q109" i="8"/>
  <c r="R109" i="8"/>
  <c r="D110" i="8"/>
  <c r="E110" i="8"/>
  <c r="F110" i="8"/>
  <c r="G110" i="8"/>
  <c r="H110" i="8"/>
  <c r="I110" i="8"/>
  <c r="J110" i="8"/>
  <c r="K110" i="8"/>
  <c r="L110" i="8"/>
  <c r="M110" i="8"/>
  <c r="N110" i="8"/>
  <c r="O110" i="8"/>
  <c r="P110" i="8"/>
  <c r="Q110" i="8"/>
  <c r="R110" i="8"/>
  <c r="D111" i="8"/>
  <c r="E111" i="8"/>
  <c r="F111" i="8"/>
  <c r="G111" i="8"/>
  <c r="H111" i="8"/>
  <c r="I111" i="8"/>
  <c r="J111" i="8"/>
  <c r="K111" i="8"/>
  <c r="L111" i="8"/>
  <c r="M111" i="8"/>
  <c r="N111" i="8"/>
  <c r="O111" i="8"/>
  <c r="P111" i="8"/>
  <c r="Q111" i="8"/>
  <c r="R111" i="8"/>
  <c r="D112" i="8"/>
  <c r="E112" i="8"/>
  <c r="F112" i="8"/>
  <c r="G112" i="8"/>
  <c r="H112" i="8"/>
  <c r="I112" i="8"/>
  <c r="J112" i="8"/>
  <c r="K112" i="8"/>
  <c r="L112" i="8"/>
  <c r="M112" i="8"/>
  <c r="N112" i="8"/>
  <c r="O112" i="8"/>
  <c r="P112" i="8"/>
  <c r="Q112" i="8"/>
  <c r="R112" i="8"/>
  <c r="D113" i="8"/>
  <c r="E113" i="8"/>
  <c r="F113" i="8"/>
  <c r="G113" i="8"/>
  <c r="H113" i="8"/>
  <c r="I113" i="8"/>
  <c r="J113" i="8"/>
  <c r="K113" i="8"/>
  <c r="L113" i="8"/>
  <c r="M113" i="8"/>
  <c r="N113" i="8"/>
  <c r="O113" i="8"/>
  <c r="P113" i="8"/>
  <c r="Q113" i="8"/>
  <c r="R113" i="8"/>
  <c r="D114" i="8"/>
  <c r="E114" i="8"/>
  <c r="F114" i="8"/>
  <c r="G114" i="8"/>
  <c r="H114" i="8"/>
  <c r="I114" i="8"/>
  <c r="J114" i="8"/>
  <c r="K114" i="8"/>
  <c r="L114" i="8"/>
  <c r="M114" i="8"/>
  <c r="N114" i="8"/>
  <c r="O114" i="8"/>
  <c r="P114" i="8"/>
  <c r="Q114" i="8"/>
  <c r="R114" i="8"/>
  <c r="D115" i="8"/>
  <c r="E115" i="8"/>
  <c r="F115" i="8"/>
  <c r="G115" i="8"/>
  <c r="H115" i="8"/>
  <c r="I115" i="8"/>
  <c r="J115" i="8"/>
  <c r="K115" i="8"/>
  <c r="L115" i="8"/>
  <c r="M115" i="8"/>
  <c r="N115" i="8"/>
  <c r="O115" i="8"/>
  <c r="P115" i="8"/>
  <c r="Q115" i="8"/>
  <c r="R115" i="8"/>
  <c r="D116" i="8"/>
  <c r="E116" i="8"/>
  <c r="F116" i="8"/>
  <c r="G116" i="8"/>
  <c r="H116" i="8"/>
  <c r="I116" i="8"/>
  <c r="J116" i="8"/>
  <c r="K116" i="8"/>
  <c r="L116" i="8"/>
  <c r="M116" i="8"/>
  <c r="N116" i="8"/>
  <c r="O116" i="8"/>
  <c r="P116" i="8"/>
  <c r="Q116" i="8"/>
  <c r="R116" i="8"/>
  <c r="D117" i="8"/>
  <c r="E117" i="8"/>
  <c r="F117" i="8"/>
  <c r="G117" i="8"/>
  <c r="H117" i="8"/>
  <c r="I117" i="8"/>
  <c r="J117" i="8"/>
  <c r="K117" i="8"/>
  <c r="L117" i="8"/>
  <c r="M117" i="8"/>
  <c r="N117" i="8"/>
  <c r="O117" i="8"/>
  <c r="P117" i="8"/>
  <c r="Q117" i="8"/>
  <c r="R117" i="8"/>
  <c r="D118" i="8"/>
  <c r="E118" i="8"/>
  <c r="F118" i="8"/>
  <c r="G118" i="8"/>
  <c r="H118" i="8"/>
  <c r="I118" i="8"/>
  <c r="J118" i="8"/>
  <c r="K118" i="8"/>
  <c r="L118" i="8"/>
  <c r="M118" i="8"/>
  <c r="N118" i="8"/>
  <c r="O118" i="8"/>
  <c r="P118" i="8"/>
  <c r="Q118" i="8"/>
  <c r="R118" i="8"/>
  <c r="D119" i="8"/>
  <c r="E119" i="8"/>
  <c r="F119" i="8"/>
  <c r="G119" i="8"/>
  <c r="H119" i="8"/>
  <c r="I119" i="8"/>
  <c r="J119" i="8"/>
  <c r="K119" i="8"/>
  <c r="L119" i="8"/>
  <c r="M119" i="8"/>
  <c r="N119" i="8"/>
  <c r="O119" i="8"/>
  <c r="P119" i="8"/>
  <c r="Q119" i="8"/>
  <c r="R119" i="8"/>
  <c r="D120" i="8"/>
  <c r="E120" i="8"/>
  <c r="F120" i="8"/>
  <c r="G120" i="8"/>
  <c r="H120" i="8"/>
  <c r="I120" i="8"/>
  <c r="J120" i="8"/>
  <c r="K120" i="8"/>
  <c r="L120" i="8"/>
  <c r="M120" i="8"/>
  <c r="N120" i="8"/>
  <c r="O120" i="8"/>
  <c r="P120" i="8"/>
  <c r="Q120" i="8"/>
  <c r="R120" i="8"/>
  <c r="D121" i="8"/>
  <c r="E121" i="8"/>
  <c r="F121" i="8"/>
  <c r="G121" i="8"/>
  <c r="H121" i="8"/>
  <c r="I121" i="8"/>
  <c r="J121" i="8"/>
  <c r="K121" i="8"/>
  <c r="L121" i="8"/>
  <c r="M121" i="8"/>
  <c r="N121" i="8"/>
  <c r="O121" i="8"/>
  <c r="P121" i="8"/>
  <c r="Q121" i="8"/>
  <c r="R121" i="8"/>
  <c r="D122" i="8"/>
  <c r="E122" i="8"/>
  <c r="F122" i="8"/>
  <c r="G122" i="8"/>
  <c r="H122" i="8"/>
  <c r="I122" i="8"/>
  <c r="J122" i="8"/>
  <c r="K122" i="8"/>
  <c r="L122" i="8"/>
  <c r="M122" i="8"/>
  <c r="N122" i="8"/>
  <c r="O122" i="8"/>
  <c r="P122" i="8"/>
  <c r="Q122" i="8"/>
  <c r="R122" i="8"/>
  <c r="D123" i="8"/>
  <c r="E123" i="8"/>
  <c r="F123" i="8"/>
  <c r="G123" i="8"/>
  <c r="H123" i="8"/>
  <c r="I123" i="8"/>
  <c r="J123" i="8"/>
  <c r="K123" i="8"/>
  <c r="L123" i="8"/>
  <c r="M123" i="8"/>
  <c r="N123" i="8"/>
  <c r="O123" i="8"/>
  <c r="P123" i="8"/>
  <c r="Q123" i="8"/>
  <c r="R123" i="8"/>
  <c r="D124" i="8"/>
  <c r="E124" i="8"/>
  <c r="F124" i="8"/>
  <c r="G124" i="8"/>
  <c r="H124" i="8"/>
  <c r="I124" i="8"/>
  <c r="J124" i="8"/>
  <c r="K124" i="8"/>
  <c r="L124" i="8"/>
  <c r="M124" i="8"/>
  <c r="N124" i="8"/>
  <c r="O124" i="8"/>
  <c r="P124" i="8"/>
  <c r="Q124" i="8"/>
  <c r="R124" i="8"/>
  <c r="D125" i="8"/>
  <c r="E125" i="8"/>
  <c r="F125" i="8"/>
  <c r="G125" i="8"/>
  <c r="H125" i="8"/>
  <c r="I125" i="8"/>
  <c r="J125" i="8"/>
  <c r="K125" i="8"/>
  <c r="L125" i="8"/>
  <c r="M125" i="8"/>
  <c r="N125" i="8"/>
  <c r="O125" i="8"/>
  <c r="P125" i="8"/>
  <c r="Q125" i="8"/>
  <c r="R125" i="8"/>
  <c r="D126" i="8"/>
  <c r="E126" i="8"/>
  <c r="F126" i="8"/>
  <c r="G126" i="8"/>
  <c r="H126" i="8"/>
  <c r="I126" i="8"/>
  <c r="J126" i="8"/>
  <c r="K126" i="8"/>
  <c r="L126" i="8"/>
  <c r="M126" i="8"/>
  <c r="N126" i="8"/>
  <c r="O126" i="8"/>
  <c r="P126" i="8"/>
  <c r="Q126" i="8"/>
  <c r="R126" i="8"/>
  <c r="D127" i="8"/>
  <c r="E127" i="8"/>
  <c r="F127" i="8"/>
  <c r="G127" i="8"/>
  <c r="H127" i="8"/>
  <c r="I127" i="8"/>
  <c r="J127" i="8"/>
  <c r="K127" i="8"/>
  <c r="L127" i="8"/>
  <c r="M127" i="8"/>
  <c r="N127" i="8"/>
  <c r="O127" i="8"/>
  <c r="P127" i="8"/>
  <c r="Q127" i="8"/>
  <c r="R127" i="8"/>
  <c r="D128" i="8"/>
  <c r="E128" i="8"/>
  <c r="F128" i="8"/>
  <c r="G128" i="8"/>
  <c r="H128" i="8"/>
  <c r="I128" i="8"/>
  <c r="J128" i="8"/>
  <c r="K128" i="8"/>
  <c r="L128" i="8"/>
  <c r="M128" i="8"/>
  <c r="N128" i="8"/>
  <c r="O128" i="8"/>
  <c r="P128" i="8"/>
  <c r="Q128" i="8"/>
  <c r="R128" i="8"/>
  <c r="D129" i="8"/>
  <c r="E129" i="8"/>
  <c r="F129" i="8"/>
  <c r="G129" i="8"/>
  <c r="H129" i="8"/>
  <c r="I129" i="8"/>
  <c r="J129" i="8"/>
  <c r="K129" i="8"/>
  <c r="L129" i="8"/>
  <c r="M129" i="8"/>
  <c r="N129" i="8"/>
  <c r="O129" i="8"/>
  <c r="P129" i="8"/>
  <c r="Q129" i="8"/>
  <c r="R129" i="8"/>
  <c r="D130" i="8"/>
  <c r="E130" i="8"/>
  <c r="F130" i="8"/>
  <c r="G130" i="8"/>
  <c r="H130" i="8"/>
  <c r="I130" i="8"/>
  <c r="J130" i="8"/>
  <c r="K130" i="8"/>
  <c r="L130" i="8"/>
  <c r="M130" i="8"/>
  <c r="N130" i="8"/>
  <c r="O130" i="8"/>
  <c r="P130" i="8"/>
  <c r="Q130" i="8"/>
  <c r="R130" i="8"/>
  <c r="D131" i="8"/>
  <c r="E131" i="8"/>
  <c r="F131" i="8"/>
  <c r="G131" i="8"/>
  <c r="H131" i="8"/>
  <c r="I131" i="8"/>
  <c r="J131" i="8"/>
  <c r="K131" i="8"/>
  <c r="L131" i="8"/>
  <c r="M131" i="8"/>
  <c r="N131" i="8"/>
  <c r="O131" i="8"/>
  <c r="P131" i="8"/>
  <c r="Q131" i="8"/>
  <c r="R131" i="8"/>
  <c r="D132" i="8"/>
  <c r="E132" i="8"/>
  <c r="F132" i="8"/>
  <c r="G132" i="8"/>
  <c r="H132" i="8"/>
  <c r="I132" i="8"/>
  <c r="J132" i="8"/>
  <c r="K132" i="8"/>
  <c r="L132" i="8"/>
  <c r="M132" i="8"/>
  <c r="N132" i="8"/>
  <c r="O132" i="8"/>
  <c r="P132" i="8"/>
  <c r="Q132" i="8"/>
  <c r="R132" i="8"/>
  <c r="D133" i="8"/>
  <c r="E133" i="8"/>
  <c r="F133" i="8"/>
  <c r="G133" i="8"/>
  <c r="H133" i="8"/>
  <c r="I133" i="8"/>
  <c r="J133" i="8"/>
  <c r="K133" i="8"/>
  <c r="L133" i="8"/>
  <c r="M133" i="8"/>
  <c r="N133" i="8"/>
  <c r="O133" i="8"/>
  <c r="P133" i="8"/>
  <c r="Q133" i="8"/>
  <c r="R133" i="8"/>
  <c r="D134" i="8"/>
  <c r="E134" i="8"/>
  <c r="F134" i="8"/>
  <c r="G134" i="8"/>
  <c r="H134" i="8"/>
  <c r="I134" i="8"/>
  <c r="J134" i="8"/>
  <c r="K134" i="8"/>
  <c r="L134" i="8"/>
  <c r="M134" i="8"/>
  <c r="N134" i="8"/>
  <c r="O134" i="8"/>
  <c r="P134" i="8"/>
  <c r="Q134" i="8"/>
  <c r="R134" i="8"/>
  <c r="D135" i="8"/>
  <c r="E135" i="8"/>
  <c r="F135" i="8"/>
  <c r="G135" i="8"/>
  <c r="H135" i="8"/>
  <c r="I135" i="8"/>
  <c r="J135" i="8"/>
  <c r="K135" i="8"/>
  <c r="L135" i="8"/>
  <c r="M135" i="8"/>
  <c r="N135" i="8"/>
  <c r="O135" i="8"/>
  <c r="P135" i="8"/>
  <c r="Q135" i="8"/>
  <c r="R135" i="8"/>
  <c r="D136" i="8"/>
  <c r="E136" i="8"/>
  <c r="F136" i="8"/>
  <c r="G136" i="8"/>
  <c r="H136" i="8"/>
  <c r="I136" i="8"/>
  <c r="J136" i="8"/>
  <c r="K136" i="8"/>
  <c r="L136" i="8"/>
  <c r="M136" i="8"/>
  <c r="N136" i="8"/>
  <c r="O136" i="8"/>
  <c r="P136" i="8"/>
  <c r="Q136" i="8"/>
  <c r="R136" i="8"/>
  <c r="D137" i="8"/>
  <c r="E137" i="8"/>
  <c r="F137" i="8"/>
  <c r="G137" i="8"/>
  <c r="H137" i="8"/>
  <c r="I137" i="8"/>
  <c r="J137" i="8"/>
  <c r="K137" i="8"/>
  <c r="L137" i="8"/>
  <c r="M137" i="8"/>
  <c r="N137" i="8"/>
  <c r="O137" i="8"/>
  <c r="P137" i="8"/>
  <c r="Q137" i="8"/>
  <c r="R137" i="8"/>
  <c r="D138" i="8"/>
  <c r="E138" i="8"/>
  <c r="F138" i="8"/>
  <c r="G138" i="8"/>
  <c r="H138" i="8"/>
  <c r="I138" i="8"/>
  <c r="J138" i="8"/>
  <c r="K138" i="8"/>
  <c r="L138" i="8"/>
  <c r="M138" i="8"/>
  <c r="N138" i="8"/>
  <c r="O138" i="8"/>
  <c r="P138" i="8"/>
  <c r="Q138" i="8"/>
  <c r="R138" i="8"/>
  <c r="D139" i="8"/>
  <c r="E139" i="8"/>
  <c r="F139" i="8"/>
  <c r="G139" i="8"/>
  <c r="H139" i="8"/>
  <c r="I139" i="8"/>
  <c r="J139" i="8"/>
  <c r="K139" i="8"/>
  <c r="L139" i="8"/>
  <c r="M139" i="8"/>
  <c r="N139" i="8"/>
  <c r="O139" i="8"/>
  <c r="P139" i="8"/>
  <c r="Q139" i="8"/>
  <c r="R139" i="8"/>
  <c r="D140" i="8"/>
  <c r="E140" i="8"/>
  <c r="F140" i="8"/>
  <c r="G140" i="8"/>
  <c r="H140" i="8"/>
  <c r="I140" i="8"/>
  <c r="J140" i="8"/>
  <c r="K140" i="8"/>
  <c r="L140" i="8"/>
  <c r="M140" i="8"/>
  <c r="N140" i="8"/>
  <c r="O140" i="8"/>
  <c r="P140" i="8"/>
  <c r="Q140" i="8"/>
  <c r="R140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R141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R142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R143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R144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R145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R146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R147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R148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R149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R150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R151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R152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A145" i="8"/>
  <c r="A146" i="8"/>
  <c r="A147" i="8"/>
  <c r="A148" i="8"/>
  <c r="A149" i="8"/>
  <c r="A150" i="8"/>
  <c r="A151" i="8"/>
  <c r="A152" i="8"/>
  <c r="Z3" i="8"/>
  <c r="Y3" i="8"/>
  <c r="W3" i="8"/>
  <c r="V3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D102" i="8"/>
  <c r="E102" i="8"/>
  <c r="F102" i="8"/>
  <c r="G102" i="8"/>
  <c r="H102" i="8"/>
  <c r="I102" i="8"/>
  <c r="J102" i="8"/>
  <c r="K102" i="8"/>
  <c r="L102" i="8"/>
  <c r="M102" i="8"/>
  <c r="N102" i="8"/>
  <c r="O102" i="8"/>
  <c r="P102" i="8"/>
  <c r="Q102" i="8"/>
  <c r="R102" i="8"/>
  <c r="D103" i="8"/>
  <c r="E103" i="8"/>
  <c r="F103" i="8"/>
  <c r="G103" i="8"/>
  <c r="H103" i="8"/>
  <c r="I103" i="8"/>
  <c r="J103" i="8"/>
  <c r="K103" i="8"/>
  <c r="L103" i="8"/>
  <c r="M103" i="8"/>
  <c r="N103" i="8"/>
  <c r="O103" i="8"/>
  <c r="P103" i="8"/>
  <c r="Q103" i="8"/>
  <c r="R103" i="8"/>
  <c r="B346" i="33" l="1"/>
  <c r="B186" i="33"/>
  <c r="B106" i="33"/>
  <c r="B26" i="33"/>
  <c r="B26" i="7"/>
  <c r="B266" i="33"/>
  <c r="D24" i="7"/>
  <c r="J24" i="7" s="1"/>
  <c r="AA10" i="8"/>
  <c r="AA12" i="8" s="1"/>
  <c r="AA3" i="8"/>
  <c r="V6" i="8" s="1"/>
  <c r="AA5" i="8" s="1"/>
  <c r="B27" i="33" l="1"/>
  <c r="B187" i="33"/>
  <c r="B347" i="33"/>
  <c r="B267" i="33"/>
  <c r="B107" i="33"/>
  <c r="D25" i="7"/>
  <c r="J25" i="7" s="1"/>
  <c r="B27" i="7"/>
  <c r="X15" i="8"/>
  <c r="A20" i="6" s="1"/>
  <c r="I12" i="7"/>
  <c r="H12" i="7"/>
  <c r="J12" i="7" s="1"/>
  <c r="B10" i="7"/>
  <c r="D10" i="7" s="1"/>
  <c r="C10" i="7"/>
  <c r="B11" i="7"/>
  <c r="D11" i="7" s="1"/>
  <c r="B12" i="7"/>
  <c r="D12" i="7" s="1"/>
  <c r="B13" i="7"/>
  <c r="D13" i="7" s="1"/>
  <c r="B14" i="7"/>
  <c r="D14" i="7" s="1"/>
  <c r="E9" i="7"/>
  <c r="G9" i="7" s="1"/>
  <c r="F9" i="7"/>
  <c r="E10" i="7"/>
  <c r="G10" i="7" s="1"/>
  <c r="F10" i="7"/>
  <c r="E11" i="7"/>
  <c r="G11" i="7" s="1"/>
  <c r="F11" i="7"/>
  <c r="E12" i="7"/>
  <c r="G12" i="7" s="1"/>
  <c r="F12" i="7"/>
  <c r="C9" i="7"/>
  <c r="B9" i="7"/>
  <c r="D9" i="7" s="1"/>
  <c r="B96" i="7"/>
  <c r="D96" i="7" s="1"/>
  <c r="J96" i="7" s="1"/>
  <c r="B95" i="7"/>
  <c r="D95" i="7" s="1"/>
  <c r="J95" i="7" s="1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80" i="7"/>
  <c r="D3" i="2"/>
  <c r="E3" i="2" s="1"/>
  <c r="F3" i="2" s="1"/>
  <c r="G3" i="2" s="1"/>
  <c r="H3" i="2" s="1"/>
  <c r="I3" i="2" s="1"/>
  <c r="J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268" i="33" l="1"/>
  <c r="B348" i="33"/>
  <c r="B188" i="33"/>
  <c r="B28" i="33"/>
  <c r="B28" i="7"/>
  <c r="B108" i="33"/>
  <c r="D26" i="7"/>
  <c r="J26" i="7" s="1"/>
  <c r="B2" i="33"/>
  <c r="A19" i="7"/>
  <c r="A19" i="33"/>
  <c r="B269" i="33" l="1"/>
  <c r="B29" i="33"/>
  <c r="B189" i="33"/>
  <c r="B349" i="33"/>
  <c r="D27" i="7"/>
  <c r="J27" i="7" s="1"/>
  <c r="B109" i="33"/>
  <c r="B29" i="7"/>
  <c r="D43" i="6"/>
  <c r="B39" i="6"/>
  <c r="D24" i="6"/>
  <c r="D25" i="6"/>
  <c r="D26" i="6"/>
  <c r="D28" i="6"/>
  <c r="D29" i="6"/>
  <c r="D30" i="6"/>
  <c r="D31" i="6"/>
  <c r="D32" i="6"/>
  <c r="D33" i="6"/>
  <c r="D36" i="6"/>
  <c r="D37" i="6"/>
  <c r="C24" i="6"/>
  <c r="D87" i="7"/>
  <c r="J87" i="7" s="1"/>
  <c r="D88" i="7"/>
  <c r="J88" i="7" s="1"/>
  <c r="D89" i="7"/>
  <c r="J89" i="7" s="1"/>
  <c r="D90" i="7"/>
  <c r="J90" i="7" s="1"/>
  <c r="D91" i="7"/>
  <c r="J91" i="7" s="1"/>
  <c r="D92" i="7"/>
  <c r="J92" i="7" s="1"/>
  <c r="D93" i="7"/>
  <c r="J93" i="7" s="1"/>
  <c r="C23" i="6"/>
  <c r="B350" i="33" l="1"/>
  <c r="B110" i="33"/>
  <c r="B30" i="7"/>
  <c r="B30" i="33"/>
  <c r="B270" i="33"/>
  <c r="D28" i="7"/>
  <c r="J28" i="7" s="1"/>
  <c r="B190" i="33"/>
  <c r="E75" i="35"/>
  <c r="E25" i="35"/>
  <c r="E74" i="35"/>
  <c r="E24" i="35"/>
  <c r="E73" i="35"/>
  <c r="E23" i="35"/>
  <c r="E72" i="35"/>
  <c r="E22" i="35"/>
  <c r="E71" i="35"/>
  <c r="E21" i="35"/>
  <c r="D80" i="7"/>
  <c r="J80" i="7" s="1"/>
  <c r="D94" i="7"/>
  <c r="J94" i="7" s="1"/>
  <c r="D86" i="7"/>
  <c r="J86" i="7" s="1"/>
  <c r="D85" i="7"/>
  <c r="J85" i="7" s="1"/>
  <c r="D84" i="7"/>
  <c r="J84" i="7" s="1"/>
  <c r="D83" i="7"/>
  <c r="J83" i="7" s="1"/>
  <c r="D82" i="7"/>
  <c r="J82" i="7" s="1"/>
  <c r="H10" i="33"/>
  <c r="J10" i="33" s="1"/>
  <c r="I10" i="33"/>
  <c r="E13" i="33"/>
  <c r="G13" i="33" s="1"/>
  <c r="F13" i="33"/>
  <c r="H11" i="33"/>
  <c r="J11" i="33" s="1"/>
  <c r="I11" i="33"/>
  <c r="D81" i="7"/>
  <c r="J81" i="7" s="1"/>
  <c r="E27" i="6"/>
  <c r="E32" i="6"/>
  <c r="E30" i="6"/>
  <c r="E29" i="6"/>
  <c r="E31" i="6"/>
  <c r="E25" i="6"/>
  <c r="I11" i="7"/>
  <c r="H11" i="7"/>
  <c r="J11" i="7" s="1"/>
  <c r="H10" i="7"/>
  <c r="J10" i="7" s="1"/>
  <c r="I10" i="7"/>
  <c r="E36" i="6"/>
  <c r="H9" i="7"/>
  <c r="J9" i="7" s="1"/>
  <c r="I9" i="7"/>
  <c r="E35" i="6"/>
  <c r="E14" i="7"/>
  <c r="G14" i="7" s="1"/>
  <c r="F14" i="7"/>
  <c r="E34" i="6"/>
  <c r="E33" i="6"/>
  <c r="F13" i="7"/>
  <c r="E13" i="7"/>
  <c r="G13" i="7" s="1"/>
  <c r="E28" i="6"/>
  <c r="E26" i="6"/>
  <c r="E24" i="6"/>
  <c r="C39" i="6"/>
  <c r="E23" i="6"/>
  <c r="E37" i="6"/>
  <c r="C128" i="1"/>
  <c r="D128" i="1"/>
  <c r="E128" i="1"/>
  <c r="F128" i="1"/>
  <c r="G128" i="1"/>
  <c r="H128" i="1"/>
  <c r="I128" i="1"/>
  <c r="J128" i="1"/>
  <c r="K128" i="1"/>
  <c r="C129" i="1"/>
  <c r="D129" i="1"/>
  <c r="E129" i="1"/>
  <c r="F129" i="1"/>
  <c r="G129" i="1"/>
  <c r="H129" i="1"/>
  <c r="I129" i="1"/>
  <c r="J129" i="1"/>
  <c r="K129" i="1"/>
  <c r="C130" i="1"/>
  <c r="D130" i="1"/>
  <c r="E130" i="1"/>
  <c r="F130" i="1"/>
  <c r="G130" i="1"/>
  <c r="H130" i="1"/>
  <c r="I130" i="1"/>
  <c r="J130" i="1"/>
  <c r="K130" i="1"/>
  <c r="C131" i="1"/>
  <c r="D131" i="1"/>
  <c r="E131" i="1"/>
  <c r="F131" i="1"/>
  <c r="G131" i="1"/>
  <c r="H131" i="1"/>
  <c r="I131" i="1"/>
  <c r="J131" i="1"/>
  <c r="K131" i="1"/>
  <c r="C132" i="1"/>
  <c r="D132" i="1"/>
  <c r="E132" i="1"/>
  <c r="F132" i="1"/>
  <c r="G132" i="1"/>
  <c r="H132" i="1"/>
  <c r="I132" i="1"/>
  <c r="J132" i="1"/>
  <c r="K132" i="1"/>
  <c r="C133" i="1"/>
  <c r="D133" i="1"/>
  <c r="E133" i="1"/>
  <c r="F133" i="1"/>
  <c r="G133" i="1"/>
  <c r="H133" i="1"/>
  <c r="I133" i="1"/>
  <c r="J133" i="1"/>
  <c r="K133" i="1"/>
  <c r="C134" i="1"/>
  <c r="D134" i="1"/>
  <c r="E134" i="1"/>
  <c r="F134" i="1"/>
  <c r="G134" i="1"/>
  <c r="H134" i="1"/>
  <c r="I134" i="1"/>
  <c r="J134" i="1"/>
  <c r="K134" i="1"/>
  <c r="C135" i="1"/>
  <c r="D135" i="1"/>
  <c r="E135" i="1"/>
  <c r="F135" i="1"/>
  <c r="G135" i="1"/>
  <c r="H135" i="1"/>
  <c r="I135" i="1"/>
  <c r="J135" i="1"/>
  <c r="K135" i="1"/>
  <c r="C136" i="1"/>
  <c r="D136" i="1"/>
  <c r="E136" i="1"/>
  <c r="F136" i="1"/>
  <c r="G136" i="1"/>
  <c r="H136" i="1"/>
  <c r="I136" i="1"/>
  <c r="J136" i="1"/>
  <c r="K136" i="1"/>
  <c r="C137" i="1"/>
  <c r="D137" i="1"/>
  <c r="E137" i="1"/>
  <c r="F137" i="1"/>
  <c r="G137" i="1"/>
  <c r="H137" i="1"/>
  <c r="I137" i="1"/>
  <c r="J137" i="1"/>
  <c r="K137" i="1"/>
  <c r="C138" i="1"/>
  <c r="D138" i="1"/>
  <c r="E138" i="1"/>
  <c r="F138" i="1"/>
  <c r="G138" i="1"/>
  <c r="H138" i="1"/>
  <c r="I138" i="1"/>
  <c r="J138" i="1"/>
  <c r="K138" i="1"/>
  <c r="C139" i="1"/>
  <c r="D139" i="1"/>
  <c r="E139" i="1"/>
  <c r="F139" i="1"/>
  <c r="G139" i="1"/>
  <c r="H139" i="1"/>
  <c r="I139" i="1"/>
  <c r="J139" i="1"/>
  <c r="K139" i="1"/>
  <c r="C140" i="1"/>
  <c r="D140" i="1"/>
  <c r="E140" i="1"/>
  <c r="F140" i="1"/>
  <c r="G140" i="1"/>
  <c r="H140" i="1"/>
  <c r="I140" i="1"/>
  <c r="J140" i="1"/>
  <c r="K140" i="1"/>
  <c r="C141" i="1"/>
  <c r="D141" i="1"/>
  <c r="E141" i="1"/>
  <c r="F141" i="1"/>
  <c r="G141" i="1"/>
  <c r="H141" i="1"/>
  <c r="I141" i="1"/>
  <c r="J141" i="1"/>
  <c r="K141" i="1"/>
  <c r="C142" i="1"/>
  <c r="D142" i="1"/>
  <c r="E142" i="1"/>
  <c r="F142" i="1"/>
  <c r="G142" i="1"/>
  <c r="H142" i="1"/>
  <c r="I142" i="1"/>
  <c r="J142" i="1"/>
  <c r="K142" i="1"/>
  <c r="C143" i="1"/>
  <c r="D143" i="1"/>
  <c r="E143" i="1"/>
  <c r="F143" i="1"/>
  <c r="G143" i="1"/>
  <c r="H143" i="1"/>
  <c r="I143" i="1"/>
  <c r="J143" i="1"/>
  <c r="K143" i="1"/>
  <c r="C144" i="1"/>
  <c r="D144" i="1"/>
  <c r="E144" i="1"/>
  <c r="F144" i="1"/>
  <c r="G144" i="1"/>
  <c r="H144" i="1"/>
  <c r="I144" i="1"/>
  <c r="J144" i="1"/>
  <c r="K144" i="1"/>
  <c r="C145" i="1"/>
  <c r="D145" i="1"/>
  <c r="E145" i="1"/>
  <c r="F145" i="1"/>
  <c r="G145" i="1"/>
  <c r="H145" i="1"/>
  <c r="I145" i="1"/>
  <c r="J145" i="1"/>
  <c r="K145" i="1"/>
  <c r="C146" i="1"/>
  <c r="D146" i="1"/>
  <c r="E146" i="1"/>
  <c r="F146" i="1"/>
  <c r="G146" i="1"/>
  <c r="H146" i="1"/>
  <c r="I146" i="1"/>
  <c r="J146" i="1"/>
  <c r="K146" i="1"/>
  <c r="C147" i="1"/>
  <c r="D147" i="1"/>
  <c r="E147" i="1"/>
  <c r="F147" i="1"/>
  <c r="G147" i="1"/>
  <c r="H147" i="1"/>
  <c r="I147" i="1"/>
  <c r="J147" i="1"/>
  <c r="K147" i="1"/>
  <c r="C148" i="1"/>
  <c r="D148" i="1"/>
  <c r="E148" i="1"/>
  <c r="F148" i="1"/>
  <c r="G148" i="1"/>
  <c r="H148" i="1"/>
  <c r="I148" i="1"/>
  <c r="J148" i="1"/>
  <c r="K148" i="1"/>
  <c r="C149" i="1"/>
  <c r="D149" i="1"/>
  <c r="E149" i="1"/>
  <c r="F149" i="1"/>
  <c r="G149" i="1"/>
  <c r="H149" i="1"/>
  <c r="I149" i="1"/>
  <c r="J149" i="1"/>
  <c r="K149" i="1"/>
  <c r="C150" i="1"/>
  <c r="D150" i="1"/>
  <c r="E150" i="1"/>
  <c r="F150" i="1"/>
  <c r="G150" i="1"/>
  <c r="H150" i="1"/>
  <c r="I150" i="1"/>
  <c r="J150" i="1"/>
  <c r="K150" i="1"/>
  <c r="C151" i="1"/>
  <c r="D151" i="1"/>
  <c r="E151" i="1"/>
  <c r="F151" i="1"/>
  <c r="G151" i="1"/>
  <c r="H151" i="1"/>
  <c r="I151" i="1"/>
  <c r="J151" i="1"/>
  <c r="K151" i="1"/>
  <c r="B31" i="33" l="1"/>
  <c r="B191" i="33"/>
  <c r="B31" i="7"/>
  <c r="B351" i="33"/>
  <c r="B271" i="33"/>
  <c r="B111" i="33"/>
  <c r="D29" i="7"/>
  <c r="J29" i="7" s="1"/>
  <c r="E88" i="35"/>
  <c r="E38" i="35"/>
  <c r="E39" i="6"/>
  <c r="J4" i="1"/>
  <c r="I4" i="1"/>
  <c r="B32" i="33" l="1"/>
  <c r="B272" i="33"/>
  <c r="B352" i="33"/>
  <c r="D30" i="7"/>
  <c r="J30" i="7" s="1"/>
  <c r="B192" i="33"/>
  <c r="B32" i="7"/>
  <c r="B112" i="33"/>
  <c r="G4" i="1"/>
  <c r="BS7" i="2"/>
  <c r="D5" i="2"/>
  <c r="E5" i="2"/>
  <c r="F5" i="2"/>
  <c r="G5" i="2"/>
  <c r="H5" i="2"/>
  <c r="I5" i="2"/>
  <c r="J5" i="2"/>
  <c r="L5" i="2"/>
  <c r="M5" i="2"/>
  <c r="N5" i="2"/>
  <c r="O5" i="2"/>
  <c r="P5" i="2"/>
  <c r="Q5" i="2"/>
  <c r="T5" i="2"/>
  <c r="R5" i="2"/>
  <c r="S5" i="2"/>
  <c r="U5" i="2"/>
  <c r="V5" i="2"/>
  <c r="W5" i="2"/>
  <c r="X5" i="2"/>
  <c r="Y5" i="2"/>
  <c r="Z5" i="2"/>
  <c r="AA5" i="2"/>
  <c r="AB5" i="2"/>
  <c r="AD5" i="2"/>
  <c r="AE5" i="2"/>
  <c r="AC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V5" i="2"/>
  <c r="AW5" i="2"/>
  <c r="AX5" i="2"/>
  <c r="AY5" i="2"/>
  <c r="AZ5" i="2"/>
  <c r="BA5" i="2"/>
  <c r="BB5" i="2"/>
  <c r="BC5" i="2"/>
  <c r="BD5" i="2"/>
  <c r="BE5" i="2"/>
  <c r="BF5" i="2"/>
  <c r="C4" i="2"/>
  <c r="C5" i="2" s="1"/>
  <c r="BO8" i="2"/>
  <c r="K5" i="1" s="1"/>
  <c r="BO9" i="2"/>
  <c r="K6" i="1" s="1"/>
  <c r="BO10" i="2"/>
  <c r="B13" i="6" s="1"/>
  <c r="BO12" i="2"/>
  <c r="BO13" i="2"/>
  <c r="BO14" i="2"/>
  <c r="BO15" i="2"/>
  <c r="BO11" i="2"/>
  <c r="BO16" i="2"/>
  <c r="K13" i="1" s="1"/>
  <c r="BO17" i="2"/>
  <c r="K14" i="1" s="1"/>
  <c r="BO20" i="2"/>
  <c r="BO21" i="2"/>
  <c r="BO22" i="2"/>
  <c r="BO23" i="2"/>
  <c r="K18" i="1" s="1"/>
  <c r="BO24" i="2"/>
  <c r="K19" i="1" s="1"/>
  <c r="BO25" i="2"/>
  <c r="BO26" i="2"/>
  <c r="BO27" i="2"/>
  <c r="K22" i="1" s="1"/>
  <c r="BO18" i="2"/>
  <c r="K23" i="1" s="1"/>
  <c r="BO19" i="2"/>
  <c r="BO28" i="2"/>
  <c r="K25" i="1" s="1"/>
  <c r="BO29" i="2"/>
  <c r="K26" i="1" s="1"/>
  <c r="BO32" i="2"/>
  <c r="BO33" i="2"/>
  <c r="BO34" i="2"/>
  <c r="BO35" i="2"/>
  <c r="K30" i="1" s="1"/>
  <c r="BO36" i="2"/>
  <c r="K31" i="1" s="1"/>
  <c r="BO37" i="2"/>
  <c r="BO38" i="2"/>
  <c r="BO39" i="2"/>
  <c r="K34" i="1" s="1"/>
  <c r="BO30" i="2"/>
  <c r="K35" i="1" s="1"/>
  <c r="BO31" i="2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5" i="1"/>
  <c r="K96" i="1"/>
  <c r="K99" i="1"/>
  <c r="K100" i="1"/>
  <c r="K101" i="1"/>
  <c r="K102" i="1"/>
  <c r="K103" i="1"/>
  <c r="K104" i="1"/>
  <c r="K105" i="1"/>
  <c r="K106" i="1"/>
  <c r="K107" i="1"/>
  <c r="K108" i="1"/>
  <c r="BO7" i="2"/>
  <c r="K4" i="1" s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H4" i="1"/>
  <c r="F4" i="1"/>
  <c r="C4" i="1"/>
  <c r="B4" i="1"/>
  <c r="A4" i="1"/>
  <c r="BR125" i="2" l="1"/>
  <c r="BR126" i="2"/>
  <c r="BR84" i="2"/>
  <c r="BR83" i="2"/>
  <c r="BR47" i="2"/>
  <c r="BR48" i="2"/>
  <c r="K27" i="1"/>
  <c r="K15" i="1"/>
  <c r="K33" i="1"/>
  <c r="K29" i="1"/>
  <c r="K21" i="1"/>
  <c r="K36" i="1"/>
  <c r="K32" i="1"/>
  <c r="K28" i="1"/>
  <c r="K24" i="1"/>
  <c r="K20" i="1"/>
  <c r="K16" i="1"/>
  <c r="B15" i="6"/>
  <c r="B17" i="6" s="1"/>
  <c r="D335" i="33"/>
  <c r="D95" i="33"/>
  <c r="D255" i="33"/>
  <c r="D415" i="33"/>
  <c r="D175" i="33"/>
  <c r="BR86" i="2"/>
  <c r="BR59" i="2"/>
  <c r="BR7" i="2"/>
  <c r="BR62" i="2"/>
  <c r="BR111" i="2"/>
  <c r="BR113" i="2"/>
  <c r="BR121" i="2"/>
  <c r="BR60" i="2"/>
  <c r="BR61" i="2"/>
  <c r="BR82" i="2"/>
  <c r="BR85" i="2"/>
  <c r="BR124" i="2"/>
  <c r="BG124" i="2" s="1"/>
  <c r="D120" i="1" s="1"/>
  <c r="BR122" i="2"/>
  <c r="K7" i="1"/>
  <c r="BR159" i="2"/>
  <c r="K17" i="1"/>
  <c r="K12" i="1"/>
  <c r="K11" i="1"/>
  <c r="K10" i="1"/>
  <c r="K9" i="1"/>
  <c r="K8" i="1"/>
  <c r="BR77" i="2"/>
  <c r="BG77" i="2" s="1"/>
  <c r="BR79" i="2"/>
  <c r="BG79" i="2" s="1"/>
  <c r="BR78" i="2"/>
  <c r="BG78" i="2" s="1"/>
  <c r="BR75" i="2"/>
  <c r="BG75" i="2" s="1"/>
  <c r="BR76" i="2"/>
  <c r="BG76" i="2" s="1"/>
  <c r="BR80" i="2"/>
  <c r="BG80" i="2" s="1"/>
  <c r="BR8" i="2"/>
  <c r="BG8" i="2" s="1"/>
  <c r="BR26" i="2"/>
  <c r="BG26" i="2" s="1"/>
  <c r="BR40" i="2"/>
  <c r="BG40" i="2" s="1"/>
  <c r="BR50" i="2"/>
  <c r="BG50" i="2" s="1"/>
  <c r="BR58" i="2"/>
  <c r="BG58" i="2" s="1"/>
  <c r="BR74" i="2"/>
  <c r="BG74" i="2" s="1"/>
  <c r="BR87" i="2"/>
  <c r="BR99" i="2"/>
  <c r="BR112" i="2"/>
  <c r="BR117" i="2"/>
  <c r="BR9" i="2"/>
  <c r="BG9" i="2" s="1"/>
  <c r="BR14" i="2"/>
  <c r="BG14" i="2" s="1"/>
  <c r="BR17" i="2"/>
  <c r="BG17" i="2" s="1"/>
  <c r="BR23" i="2"/>
  <c r="BG23" i="2" s="1"/>
  <c r="BR27" i="2"/>
  <c r="BG27" i="2" s="1"/>
  <c r="BR35" i="2"/>
  <c r="BG35" i="2" s="1"/>
  <c r="BR41" i="2"/>
  <c r="BG41" i="2" s="1"/>
  <c r="BR55" i="2"/>
  <c r="BG55" i="2" s="1"/>
  <c r="BR67" i="2"/>
  <c r="BG67" i="2" s="1"/>
  <c r="BR71" i="2"/>
  <c r="BG71" i="2" s="1"/>
  <c r="BR96" i="2"/>
  <c r="BG96" i="2" s="1"/>
  <c r="BR104" i="2"/>
  <c r="BG104" i="2" s="1"/>
  <c r="BR114" i="2"/>
  <c r="BG114" i="2" s="1"/>
  <c r="D110" i="1" s="1"/>
  <c r="BR24" i="2"/>
  <c r="BG24" i="2" s="1"/>
  <c r="BR30" i="2"/>
  <c r="BG30" i="2" s="1"/>
  <c r="BR46" i="2"/>
  <c r="BG46" i="2" s="1"/>
  <c r="BR56" i="2"/>
  <c r="BG56" i="2" s="1"/>
  <c r="BR68" i="2"/>
  <c r="BG68" i="2" s="1"/>
  <c r="BR89" i="2"/>
  <c r="BG89" i="2" s="1"/>
  <c r="BR97" i="2"/>
  <c r="BG97" i="2" s="1"/>
  <c r="BR101" i="2"/>
  <c r="BR109" i="2"/>
  <c r="BR119" i="2"/>
  <c r="BR12" i="2"/>
  <c r="BG12" i="2" s="1"/>
  <c r="BR11" i="2"/>
  <c r="BG11" i="2" s="1"/>
  <c r="BR21" i="2"/>
  <c r="BG21" i="2" s="1"/>
  <c r="BR25" i="2"/>
  <c r="BG25" i="2" s="1"/>
  <c r="BR19" i="2"/>
  <c r="BG19" i="2" s="1"/>
  <c r="BR33" i="2"/>
  <c r="BG33" i="2" s="1"/>
  <c r="BR37" i="2"/>
  <c r="BG37" i="2" s="1"/>
  <c r="BR31" i="2"/>
  <c r="BG31" i="2" s="1"/>
  <c r="BR43" i="2"/>
  <c r="BG43" i="2" s="1"/>
  <c r="BR49" i="2"/>
  <c r="BG49" i="2" s="1"/>
  <c r="BR53" i="2"/>
  <c r="BG53" i="2" s="1"/>
  <c r="BR57" i="2"/>
  <c r="BG57" i="2" s="1"/>
  <c r="BR65" i="2"/>
  <c r="BG65" i="2" s="1"/>
  <c r="BR69" i="2"/>
  <c r="BG69" i="2" s="1"/>
  <c r="BR73" i="2"/>
  <c r="BG73" i="2" s="1"/>
  <c r="BR81" i="2"/>
  <c r="BG81" i="2" s="1"/>
  <c r="BR90" i="2"/>
  <c r="BG90" i="2" s="1"/>
  <c r="BR94" i="2"/>
  <c r="BG94" i="2" s="1"/>
  <c r="BR98" i="2"/>
  <c r="BG98" i="2" s="1"/>
  <c r="BR102" i="2"/>
  <c r="BG102" i="2" s="1"/>
  <c r="BR105" i="2"/>
  <c r="BG105" i="2" s="1"/>
  <c r="BR110" i="2"/>
  <c r="BG110" i="2" s="1"/>
  <c r="BR116" i="2"/>
  <c r="BG116" i="2" s="1"/>
  <c r="D112" i="1" s="1"/>
  <c r="BR120" i="2"/>
  <c r="BG120" i="2" s="1"/>
  <c r="D116" i="1" s="1"/>
  <c r="BR13" i="2"/>
  <c r="BG13" i="2" s="1"/>
  <c r="BR16" i="2"/>
  <c r="BG16" i="2" s="1"/>
  <c r="BR22" i="2"/>
  <c r="BR28" i="2"/>
  <c r="BG28" i="2" s="1"/>
  <c r="BR34" i="2"/>
  <c r="BG34" i="2" s="1"/>
  <c r="BR38" i="2"/>
  <c r="BG38" i="2" s="1"/>
  <c r="BR44" i="2"/>
  <c r="BG44" i="2" s="1"/>
  <c r="BR54" i="2"/>
  <c r="BG54" i="2" s="1"/>
  <c r="BR66" i="2"/>
  <c r="BG66" i="2" s="1"/>
  <c r="BR70" i="2"/>
  <c r="BG70" i="2" s="1"/>
  <c r="BR91" i="2"/>
  <c r="BG91" i="2" s="1"/>
  <c r="BR95" i="2"/>
  <c r="BG95" i="2" s="1"/>
  <c r="BR103" i="2"/>
  <c r="BR107" i="2"/>
  <c r="BR123" i="2"/>
  <c r="BR29" i="2"/>
  <c r="BG29" i="2" s="1"/>
  <c r="BR39" i="2"/>
  <c r="BG39" i="2" s="1"/>
  <c r="BR45" i="2"/>
  <c r="BG45" i="2" s="1"/>
  <c r="BR52" i="2"/>
  <c r="BG52" i="2" s="1"/>
  <c r="BR63" i="2"/>
  <c r="BG63" i="2" s="1"/>
  <c r="BR88" i="2"/>
  <c r="BG88" i="2" s="1"/>
  <c r="BR92" i="2"/>
  <c r="BG92" i="2" s="1"/>
  <c r="BR100" i="2"/>
  <c r="BG100" i="2" s="1"/>
  <c r="BR108" i="2"/>
  <c r="BG108" i="2" s="1"/>
  <c r="BR118" i="2"/>
  <c r="BG118" i="2" s="1"/>
  <c r="D114" i="1" s="1"/>
  <c r="BR10" i="2"/>
  <c r="BG10" i="2" s="1"/>
  <c r="BR15" i="2"/>
  <c r="BG15" i="2" s="1"/>
  <c r="BR20" i="2"/>
  <c r="BG20" i="2" s="1"/>
  <c r="BR18" i="2"/>
  <c r="BG18" i="2" s="1"/>
  <c r="BR32" i="2"/>
  <c r="BG32" i="2" s="1"/>
  <c r="BR36" i="2"/>
  <c r="BG36" i="2" s="1"/>
  <c r="BR42" i="2"/>
  <c r="BG42" i="2" s="1"/>
  <c r="BR51" i="2"/>
  <c r="BG51" i="2" s="1"/>
  <c r="BR64" i="2"/>
  <c r="BG64" i="2" s="1"/>
  <c r="BR72" i="2"/>
  <c r="BG72" i="2" s="1"/>
  <c r="BR93" i="2"/>
  <c r="BG93" i="2" s="1"/>
  <c r="BR106" i="2"/>
  <c r="BR115" i="2"/>
  <c r="E4" i="1"/>
  <c r="D4" i="1"/>
  <c r="D254" i="33" l="1"/>
  <c r="D414" i="33"/>
  <c r="D94" i="33"/>
  <c r="D174" i="33"/>
  <c r="D334" i="33"/>
  <c r="D86" i="33"/>
  <c r="D166" i="33"/>
  <c r="D406" i="33"/>
  <c r="D326" i="33"/>
  <c r="D246" i="33"/>
  <c r="D165" i="33"/>
  <c r="D85" i="33"/>
  <c r="D245" i="33"/>
  <c r="D325" i="33"/>
  <c r="D405" i="33"/>
  <c r="I17" i="6"/>
  <c r="I18" i="6" s="1"/>
  <c r="D244" i="33"/>
  <c r="D164" i="33"/>
  <c r="D84" i="33"/>
  <c r="D324" i="33"/>
  <c r="D404" i="33"/>
  <c r="D403" i="33"/>
  <c r="D83" i="33"/>
  <c r="D163" i="33"/>
  <c r="D323" i="33"/>
  <c r="D243" i="33"/>
  <c r="D162" i="33"/>
  <c r="D322" i="33"/>
  <c r="D82" i="33"/>
  <c r="D402" i="33"/>
  <c r="D242" i="33"/>
  <c r="D343" i="33"/>
  <c r="D347" i="33"/>
  <c r="D263" i="33"/>
  <c r="D267" i="33"/>
  <c r="D186" i="33"/>
  <c r="D190" i="33"/>
  <c r="D22" i="33"/>
  <c r="D320" i="33"/>
  <c r="D344" i="33"/>
  <c r="D348" i="33"/>
  <c r="D264" i="33"/>
  <c r="D268" i="33"/>
  <c r="D183" i="33"/>
  <c r="D187" i="33"/>
  <c r="D345" i="33"/>
  <c r="D349" i="33"/>
  <c r="D342" i="33"/>
  <c r="D265" i="33"/>
  <c r="D269" i="33"/>
  <c r="D182" i="33"/>
  <c r="D184" i="33"/>
  <c r="D188" i="33"/>
  <c r="D346" i="33"/>
  <c r="D350" i="33"/>
  <c r="D262" i="33"/>
  <c r="D266" i="33"/>
  <c r="D270" i="33"/>
  <c r="D185" i="33"/>
  <c r="D189" i="33"/>
  <c r="D400" i="33"/>
  <c r="D160" i="33"/>
  <c r="D241" i="33"/>
  <c r="D401" i="33"/>
  <c r="D240" i="33"/>
  <c r="D321" i="33"/>
  <c r="D161" i="33"/>
  <c r="D107" i="33"/>
  <c r="D104" i="33"/>
  <c r="D25" i="33"/>
  <c r="D29" i="33"/>
  <c r="D108" i="33"/>
  <c r="D81" i="33"/>
  <c r="D26" i="33"/>
  <c r="D30" i="33"/>
  <c r="D105" i="33"/>
  <c r="D109" i="33"/>
  <c r="D102" i="33"/>
  <c r="D27" i="33"/>
  <c r="D23" i="33"/>
  <c r="D106" i="33"/>
  <c r="D110" i="33"/>
  <c r="D103" i="33"/>
  <c r="D28" i="33"/>
  <c r="D24" i="33"/>
  <c r="D80" i="33"/>
  <c r="D17" i="33"/>
  <c r="BG122" i="2"/>
  <c r="BG22" i="2"/>
  <c r="D17" i="1" s="1"/>
  <c r="BG115" i="2"/>
  <c r="BG106" i="2"/>
  <c r="BH106" i="2" s="1"/>
  <c r="BG103" i="2"/>
  <c r="BH103" i="2" s="1"/>
  <c r="BG87" i="2"/>
  <c r="D73" i="1" s="1"/>
  <c r="BG107" i="2"/>
  <c r="BH107" i="2" s="1"/>
  <c r="BG119" i="2"/>
  <c r="BG117" i="2"/>
  <c r="BG101" i="2"/>
  <c r="D87" i="1" s="1"/>
  <c r="BG99" i="2"/>
  <c r="BH99" i="2" s="1"/>
  <c r="BG123" i="2"/>
  <c r="BG109" i="2"/>
  <c r="BH109" i="2" s="1"/>
  <c r="BG112" i="2"/>
  <c r="D97" i="1" s="1"/>
  <c r="BH42" i="2"/>
  <c r="BH108" i="2"/>
  <c r="BH29" i="2"/>
  <c r="D49" i="1"/>
  <c r="BH120" i="2"/>
  <c r="E116" i="1" s="1"/>
  <c r="D72" i="1"/>
  <c r="BH31" i="2"/>
  <c r="D20" i="1"/>
  <c r="BH89" i="2"/>
  <c r="BH104" i="2"/>
  <c r="D18" i="1"/>
  <c r="D21" i="1"/>
  <c r="D31" i="1"/>
  <c r="BH100" i="2"/>
  <c r="D41" i="1"/>
  <c r="BH116" i="2"/>
  <c r="E112" i="1" s="1"/>
  <c r="D64" i="1"/>
  <c r="BH53" i="2"/>
  <c r="BH21" i="2"/>
  <c r="BH68" i="2"/>
  <c r="BH96" i="2"/>
  <c r="BH17" i="2"/>
  <c r="BH58" i="2"/>
  <c r="BH78" i="2"/>
  <c r="BH64" i="2"/>
  <c r="D27" i="1"/>
  <c r="BH92" i="2"/>
  <c r="BH45" i="2"/>
  <c r="BH70" i="2"/>
  <c r="D33" i="1"/>
  <c r="BH16" i="2"/>
  <c r="BH94" i="2"/>
  <c r="D60" i="1"/>
  <c r="BH49" i="2"/>
  <c r="D28" i="1"/>
  <c r="D12" i="1"/>
  <c r="BH56" i="2"/>
  <c r="D106" i="1"/>
  <c r="BH71" i="2"/>
  <c r="D30" i="1"/>
  <c r="D10" i="1"/>
  <c r="BH50" i="2"/>
  <c r="BH80" i="2"/>
  <c r="BH79" i="2"/>
  <c r="D79" i="1"/>
  <c r="D15" i="1"/>
  <c r="BH63" i="2"/>
  <c r="BH95" i="2"/>
  <c r="BH28" i="2"/>
  <c r="BH102" i="2"/>
  <c r="BH57" i="2"/>
  <c r="D35" i="1"/>
  <c r="BH55" i="2"/>
  <c r="D65" i="1"/>
  <c r="BH75" i="2"/>
  <c r="D63" i="1"/>
  <c r="D11" i="1"/>
  <c r="BH52" i="2"/>
  <c r="BH91" i="2"/>
  <c r="BH98" i="2"/>
  <c r="BH37" i="2"/>
  <c r="BH24" i="2"/>
  <c r="BH41" i="2"/>
  <c r="BH51" i="2"/>
  <c r="D23" i="1"/>
  <c r="BH118" i="2"/>
  <c r="E114" i="1" s="1"/>
  <c r="BH88" i="2"/>
  <c r="D34" i="1"/>
  <c r="BH66" i="2"/>
  <c r="D29" i="1"/>
  <c r="D92" i="1"/>
  <c r="BH90" i="2"/>
  <c r="BH65" i="2"/>
  <c r="BH43" i="2"/>
  <c r="D24" i="1"/>
  <c r="BH12" i="2"/>
  <c r="BH97" i="2"/>
  <c r="BH46" i="2"/>
  <c r="BH114" i="2"/>
  <c r="E110" i="1" s="1"/>
  <c r="BH67" i="2"/>
  <c r="BH27" i="2"/>
  <c r="D37" i="1"/>
  <c r="BH76" i="2"/>
  <c r="BH77" i="2"/>
  <c r="D108" i="1"/>
  <c r="D82" i="1"/>
  <c r="D69" i="1"/>
  <c r="D6" i="1"/>
  <c r="D5" i="1"/>
  <c r="D107" i="1"/>
  <c r="BH117" i="2" l="1"/>
  <c r="E113" i="1" s="1"/>
  <c r="D113" i="1"/>
  <c r="BH115" i="2"/>
  <c r="E111" i="1" s="1"/>
  <c r="D111" i="1"/>
  <c r="D96" i="1"/>
  <c r="BH122" i="2"/>
  <c r="D118" i="1"/>
  <c r="BH123" i="2"/>
  <c r="E119" i="1" s="1"/>
  <c r="D119" i="1"/>
  <c r="BH119" i="2"/>
  <c r="E115" i="1" s="1"/>
  <c r="D115" i="1"/>
  <c r="BJ97" i="2"/>
  <c r="BJ66" i="2"/>
  <c r="BJ55" i="2"/>
  <c r="BJ56" i="2"/>
  <c r="BJ57" i="2"/>
  <c r="BJ63" i="2"/>
  <c r="BJ71" i="2"/>
  <c r="BJ45" i="2"/>
  <c r="BJ78" i="2"/>
  <c r="BJ116" i="2"/>
  <c r="G112" i="1" s="1"/>
  <c r="BJ46" i="2"/>
  <c r="BJ43" i="2"/>
  <c r="BJ118" i="2"/>
  <c r="G114" i="1" s="1"/>
  <c r="BJ52" i="2"/>
  <c r="BJ102" i="2"/>
  <c r="BJ50" i="2"/>
  <c r="BJ49" i="2"/>
  <c r="BJ92" i="2"/>
  <c r="BJ58" i="2"/>
  <c r="F35" i="31"/>
  <c r="J35" i="31" s="1"/>
  <c r="H35" i="31"/>
  <c r="K35" i="31" s="1"/>
  <c r="F25" i="31"/>
  <c r="J25" i="31" s="1"/>
  <c r="H25" i="31"/>
  <c r="K25" i="31" s="1"/>
  <c r="BJ109" i="2"/>
  <c r="BJ117" i="2"/>
  <c r="G113" i="1" s="1"/>
  <c r="BJ103" i="2"/>
  <c r="H55" i="31"/>
  <c r="K55" i="31" s="1"/>
  <c r="F55" i="31"/>
  <c r="J55" i="31" s="1"/>
  <c r="F24" i="31"/>
  <c r="J24" i="31" s="1"/>
  <c r="H24" i="31"/>
  <c r="K24" i="31" s="1"/>
  <c r="BJ53" i="2"/>
  <c r="BJ100" i="2"/>
  <c r="BJ108" i="2"/>
  <c r="G94" i="1" s="1"/>
  <c r="BJ106" i="2"/>
  <c r="BJ77" i="2"/>
  <c r="BJ67" i="2"/>
  <c r="F7" i="31"/>
  <c r="J7" i="31" s="1"/>
  <c r="H7" i="31"/>
  <c r="K7" i="31" s="1"/>
  <c r="BJ90" i="2"/>
  <c r="BJ51" i="2"/>
  <c r="BJ98" i="2"/>
  <c r="BJ95" i="2"/>
  <c r="BJ79" i="2"/>
  <c r="BJ94" i="2"/>
  <c r="BJ70" i="2"/>
  <c r="BJ64" i="2"/>
  <c r="BJ96" i="2"/>
  <c r="BJ89" i="2"/>
  <c r="BJ120" i="2"/>
  <c r="G116" i="1" s="1"/>
  <c r="BJ42" i="2"/>
  <c r="BJ99" i="2"/>
  <c r="BJ115" i="2"/>
  <c r="G111" i="1" s="1"/>
  <c r="BJ104" i="2"/>
  <c r="BJ76" i="2"/>
  <c r="BJ114" i="2"/>
  <c r="BJ88" i="2"/>
  <c r="BJ41" i="2"/>
  <c r="BJ91" i="2"/>
  <c r="BJ80" i="2"/>
  <c r="BJ68" i="2"/>
  <c r="BJ27" i="2"/>
  <c r="D85" i="1"/>
  <c r="D99" i="1"/>
  <c r="D93" i="1"/>
  <c r="D101" i="1"/>
  <c r="D91" i="1"/>
  <c r="D103" i="1"/>
  <c r="D95" i="1"/>
  <c r="D105" i="1"/>
  <c r="D89" i="1"/>
  <c r="E93" i="1"/>
  <c r="BJ107" i="2"/>
  <c r="BH112" i="2"/>
  <c r="E108" i="1" s="1"/>
  <c r="BH101" i="2"/>
  <c r="BH87" i="2"/>
  <c r="E84" i="1" s="1"/>
  <c r="D9" i="1"/>
  <c r="D7" i="1"/>
  <c r="D52" i="1"/>
  <c r="BH40" i="2"/>
  <c r="BH74" i="2"/>
  <c r="BH35" i="2"/>
  <c r="E32" i="1" s="1"/>
  <c r="D44" i="1"/>
  <c r="D25" i="1"/>
  <c r="BH34" i="2"/>
  <c r="BH110" i="2"/>
  <c r="D48" i="1"/>
  <c r="D14" i="1"/>
  <c r="BH73" i="2"/>
  <c r="BH81" i="2"/>
  <c r="E78" i="1" s="1"/>
  <c r="BH39" i="2"/>
  <c r="BH18" i="2"/>
  <c r="BH38" i="2"/>
  <c r="D43" i="1"/>
  <c r="D62" i="1"/>
  <c r="D90" i="1"/>
  <c r="D98" i="1"/>
  <c r="BH19" i="2"/>
  <c r="E16" i="1" s="1"/>
  <c r="BH54" i="2"/>
  <c r="D58" i="1"/>
  <c r="D76" i="1"/>
  <c r="D38" i="1"/>
  <c r="D13" i="1"/>
  <c r="D40" i="1"/>
  <c r="BH23" i="2"/>
  <c r="D77" i="1"/>
  <c r="D68" i="1"/>
  <c r="D54" i="1"/>
  <c r="D56" i="1"/>
  <c r="D104" i="1"/>
  <c r="D80" i="1"/>
  <c r="BH72" i="2"/>
  <c r="E69" i="1" s="1"/>
  <c r="BH69" i="2"/>
  <c r="BH36" i="2"/>
  <c r="BH25" i="2"/>
  <c r="E22" i="1" s="1"/>
  <c r="D67" i="1"/>
  <c r="BH13" i="2"/>
  <c r="BH124" i="2"/>
  <c r="E120" i="1" s="1"/>
  <c r="BH33" i="2"/>
  <c r="BH44" i="2"/>
  <c r="D50" i="1"/>
  <c r="D100" i="1"/>
  <c r="D81" i="1"/>
  <c r="D94" i="1"/>
  <c r="D66" i="1"/>
  <c r="D32" i="1"/>
  <c r="D36" i="1"/>
  <c r="D70" i="1"/>
  <c r="D78" i="1"/>
  <c r="BH93" i="2"/>
  <c r="E90" i="1" s="1"/>
  <c r="D39" i="1"/>
  <c r="D26" i="1"/>
  <c r="D8" i="1"/>
  <c r="D75" i="1"/>
  <c r="BH15" i="2"/>
  <c r="BH20" i="2"/>
  <c r="BH11" i="2"/>
  <c r="BH32" i="2"/>
  <c r="D22" i="1"/>
  <c r="BH105" i="2"/>
  <c r="E102" i="1" s="1"/>
  <c r="D19" i="1"/>
  <c r="BH30" i="2"/>
  <c r="D16" i="1"/>
  <c r="D71" i="1"/>
  <c r="D84" i="1"/>
  <c r="D102" i="1"/>
  <c r="D61" i="1"/>
  <c r="D47" i="1"/>
  <c r="D53" i="1"/>
  <c r="BH22" i="2"/>
  <c r="E19" i="1" s="1"/>
  <c r="BH14" i="2"/>
  <c r="BH26" i="2"/>
  <c r="E56" i="1"/>
  <c r="BJ65" i="2"/>
  <c r="G56" i="1" s="1"/>
  <c r="D42" i="1"/>
  <c r="D86" i="1"/>
  <c r="D46" i="1"/>
  <c r="BJ75" i="2"/>
  <c r="D83" i="1"/>
  <c r="D55" i="1"/>
  <c r="D51" i="1"/>
  <c r="D88" i="1"/>
  <c r="D59" i="1"/>
  <c r="D45" i="1"/>
  <c r="D57" i="1"/>
  <c r="D74" i="1"/>
  <c r="E94" i="1"/>
  <c r="E74" i="1"/>
  <c r="BJ21" i="2"/>
  <c r="BJ24" i="2"/>
  <c r="BJ37" i="2"/>
  <c r="BH10" i="2"/>
  <c r="E55" i="1"/>
  <c r="E47" i="1"/>
  <c r="E43" i="1"/>
  <c r="E68" i="1"/>
  <c r="E99" i="1"/>
  <c r="BH9" i="2"/>
  <c r="E52" i="1"/>
  <c r="E38" i="1"/>
  <c r="E107" i="1"/>
  <c r="E42" i="1"/>
  <c r="E39" i="1"/>
  <c r="E75" i="1"/>
  <c r="E103" i="1"/>
  <c r="E53" i="1"/>
  <c r="E70" i="1"/>
  <c r="E25" i="1"/>
  <c r="E58" i="1"/>
  <c r="E80" i="1"/>
  <c r="E8" i="1"/>
  <c r="E62" i="1"/>
  <c r="E83" i="1"/>
  <c r="E95" i="1"/>
  <c r="E71" i="1"/>
  <c r="BH8" i="2"/>
  <c r="E105" i="1"/>
  <c r="E45" i="1"/>
  <c r="E26" i="1"/>
  <c r="E13" i="1"/>
  <c r="E89" i="1"/>
  <c r="E50" i="1"/>
  <c r="E61" i="1"/>
  <c r="E101" i="1"/>
  <c r="E91" i="1"/>
  <c r="E86" i="1"/>
  <c r="E76" i="1"/>
  <c r="E100" i="1"/>
  <c r="E51" i="1"/>
  <c r="E44" i="1"/>
  <c r="E36" i="1"/>
  <c r="E48" i="1"/>
  <c r="E81" i="1"/>
  <c r="E82" i="1"/>
  <c r="E57" i="1"/>
  <c r="E14" i="1"/>
  <c r="E77" i="1"/>
  <c r="E88" i="1"/>
  <c r="E85" i="1"/>
  <c r="E66" i="1"/>
  <c r="E54" i="1"/>
  <c r="E59" i="1"/>
  <c r="E104" i="1"/>
  <c r="E40" i="1"/>
  <c r="E46" i="1"/>
  <c r="E67" i="1"/>
  <c r="BJ119" i="2" l="1"/>
  <c r="G115" i="1" s="1"/>
  <c r="BJ122" i="2"/>
  <c r="G118" i="1" s="1"/>
  <c r="E118" i="1"/>
  <c r="G110" i="1"/>
  <c r="G93" i="1"/>
  <c r="G74" i="1"/>
  <c r="BJ123" i="2"/>
  <c r="G119" i="1" s="1"/>
  <c r="H58" i="31"/>
  <c r="K58" i="31" s="1"/>
  <c r="F58" i="31"/>
  <c r="J58" i="31" s="1"/>
  <c r="F61" i="31"/>
  <c r="J61" i="31" s="1"/>
  <c r="F56" i="31"/>
  <c r="J56" i="31" s="1"/>
  <c r="H56" i="31"/>
  <c r="K56" i="31" s="1"/>
  <c r="H4" i="31"/>
  <c r="K4" i="31" s="1"/>
  <c r="F4" i="31"/>
  <c r="J4" i="31" s="1"/>
  <c r="E12" i="1"/>
  <c r="F8" i="31"/>
  <c r="J8" i="31" s="1"/>
  <c r="H8" i="31"/>
  <c r="K8" i="31" s="1"/>
  <c r="BJ69" i="2"/>
  <c r="G60" i="1" s="1"/>
  <c r="E18" i="1"/>
  <c r="E21" i="1"/>
  <c r="BJ105" i="2"/>
  <c r="G92" i="1" s="1"/>
  <c r="E15" i="1"/>
  <c r="BJ44" i="2"/>
  <c r="G41" i="1" s="1"/>
  <c r="BJ72" i="2"/>
  <c r="G63" i="1" s="1"/>
  <c r="E23" i="1"/>
  <c r="BJ40" i="2"/>
  <c r="G37" i="1" s="1"/>
  <c r="BJ87" i="2"/>
  <c r="G73" i="1" s="1"/>
  <c r="E10" i="1"/>
  <c r="E28" i="1"/>
  <c r="F60" i="31"/>
  <c r="J60" i="31" s="1"/>
  <c r="H57" i="31"/>
  <c r="K57" i="31" s="1"/>
  <c r="F57" i="31"/>
  <c r="J57" i="31" s="1"/>
  <c r="F53" i="31"/>
  <c r="J53" i="31" s="1"/>
  <c r="H53" i="31"/>
  <c r="K53" i="31" s="1"/>
  <c r="H31" i="31"/>
  <c r="K31" i="31" s="1"/>
  <c r="F31" i="31"/>
  <c r="J31" i="31" s="1"/>
  <c r="E33" i="1"/>
  <c r="BJ73" i="2"/>
  <c r="G64" i="1" s="1"/>
  <c r="E29" i="1"/>
  <c r="BJ74" i="2"/>
  <c r="G65" i="1" s="1"/>
  <c r="H54" i="31"/>
  <c r="K54" i="31" s="1"/>
  <c r="F54" i="31"/>
  <c r="J54" i="31" s="1"/>
  <c r="E11" i="1"/>
  <c r="E20" i="1"/>
  <c r="BJ54" i="2"/>
  <c r="G49" i="1" s="1"/>
  <c r="E34" i="1"/>
  <c r="BJ101" i="2"/>
  <c r="G87" i="1" s="1"/>
  <c r="E6" i="1"/>
  <c r="E17" i="1"/>
  <c r="E35" i="1"/>
  <c r="E27" i="1"/>
  <c r="BJ93" i="2"/>
  <c r="G79" i="1" s="1"/>
  <c r="BJ124" i="2"/>
  <c r="E31" i="1"/>
  <c r="E24" i="1"/>
  <c r="BJ81" i="2"/>
  <c r="G72" i="1" s="1"/>
  <c r="BJ110" i="2"/>
  <c r="G96" i="1" s="1"/>
  <c r="E30" i="1"/>
  <c r="BJ112" i="2"/>
  <c r="G97" i="1" s="1"/>
  <c r="H13" i="6"/>
  <c r="H16" i="6"/>
  <c r="H14" i="6"/>
  <c r="H15" i="6"/>
  <c r="H12" i="6"/>
  <c r="E97" i="1"/>
  <c r="E87" i="1"/>
  <c r="E9" i="1"/>
  <c r="E7" i="1"/>
  <c r="E37" i="1"/>
  <c r="E49" i="1"/>
  <c r="E96" i="1"/>
  <c r="E65" i="1"/>
  <c r="E60" i="1"/>
  <c r="BJ38" i="2"/>
  <c r="BJ18" i="2"/>
  <c r="E64" i="1"/>
  <c r="BJ34" i="2"/>
  <c r="BJ14" i="2"/>
  <c r="BJ39" i="2"/>
  <c r="G34" i="1" s="1"/>
  <c r="BJ35" i="2"/>
  <c r="E72" i="1"/>
  <c r="BJ19" i="2"/>
  <c r="G24" i="1" s="1"/>
  <c r="BJ23" i="2"/>
  <c r="G18" i="1" s="1"/>
  <c r="BJ26" i="2"/>
  <c r="G21" i="1" s="1"/>
  <c r="BJ20" i="2"/>
  <c r="E92" i="1"/>
  <c r="E41" i="1"/>
  <c r="BJ25" i="2"/>
  <c r="G22" i="1" s="1"/>
  <c r="E63" i="1"/>
  <c r="BJ15" i="2"/>
  <c r="G11" i="1" s="1"/>
  <c r="BJ36" i="2"/>
  <c r="E106" i="1"/>
  <c r="BJ13" i="2"/>
  <c r="BJ22" i="2"/>
  <c r="G19" i="1" s="1"/>
  <c r="E79" i="1"/>
  <c r="BJ32" i="2"/>
  <c r="BJ11" i="2"/>
  <c r="E98" i="1"/>
  <c r="BJ8" i="2"/>
  <c r="G5" i="1" s="1"/>
  <c r="E5" i="1"/>
  <c r="E73" i="1"/>
  <c r="G58" i="1"/>
  <c r="G105" i="1"/>
  <c r="G83" i="1"/>
  <c r="BJ16" i="2"/>
  <c r="G13" i="1" s="1"/>
  <c r="BJ30" i="2"/>
  <c r="G35" i="1" s="1"/>
  <c r="G55" i="1"/>
  <c r="G89" i="1"/>
  <c r="G39" i="1"/>
  <c r="G53" i="1"/>
  <c r="BJ29" i="2"/>
  <c r="G26" i="1" s="1"/>
  <c r="G38" i="1"/>
  <c r="G47" i="1"/>
  <c r="BJ10" i="2"/>
  <c r="G45" i="1"/>
  <c r="G62" i="1"/>
  <c r="G103" i="1"/>
  <c r="G107" i="1"/>
  <c r="G52" i="1"/>
  <c r="G101" i="1"/>
  <c r="G95" i="1"/>
  <c r="G68" i="1"/>
  <c r="G80" i="1"/>
  <c r="G43" i="1"/>
  <c r="BJ9" i="2"/>
  <c r="G6" i="1" s="1"/>
  <c r="G99" i="1"/>
  <c r="G75" i="1"/>
  <c r="G42" i="1"/>
  <c r="BJ28" i="2"/>
  <c r="G25" i="1" s="1"/>
  <c r="G50" i="1"/>
  <c r="G84" i="1"/>
  <c r="G61" i="1"/>
  <c r="BJ33" i="2"/>
  <c r="BJ12" i="2"/>
  <c r="G88" i="1"/>
  <c r="G57" i="1"/>
  <c r="BJ31" i="2"/>
  <c r="G77" i="1"/>
  <c r="G44" i="1"/>
  <c r="G67" i="1"/>
  <c r="G40" i="1"/>
  <c r="G66" i="1"/>
  <c r="G82" i="1"/>
  <c r="G76" i="1"/>
  <c r="G86" i="1"/>
  <c r="G59" i="1"/>
  <c r="G54" i="1"/>
  <c r="G100" i="1"/>
  <c r="G46" i="1"/>
  <c r="G104" i="1"/>
  <c r="G85" i="1"/>
  <c r="BJ17" i="2"/>
  <c r="G14" i="1" s="1"/>
  <c r="G81" i="1"/>
  <c r="G48" i="1"/>
  <c r="G91" i="1"/>
  <c r="G31" i="1" l="1"/>
  <c r="G23" i="1"/>
  <c r="G12" i="1"/>
  <c r="G29" i="1"/>
  <c r="G51" i="1"/>
  <c r="G108" i="1"/>
  <c r="G69" i="1"/>
  <c r="G78" i="1"/>
  <c r="G36" i="1"/>
  <c r="G28" i="1"/>
  <c r="G71" i="1"/>
  <c r="G15" i="1"/>
  <c r="G16" i="1"/>
  <c r="G70" i="1"/>
  <c r="G90" i="1"/>
  <c r="G27" i="1"/>
  <c r="G20" i="1"/>
  <c r="G30" i="1"/>
  <c r="G106" i="1"/>
  <c r="G120" i="1"/>
  <c r="G98" i="1"/>
  <c r="G8" i="1"/>
  <c r="G102" i="1"/>
  <c r="G17" i="1"/>
  <c r="G10" i="1"/>
  <c r="G33" i="1"/>
  <c r="B273" i="33"/>
  <c r="B193" i="33"/>
  <c r="B33" i="33"/>
  <c r="D31" i="7"/>
  <c r="J31" i="7" s="1"/>
  <c r="B33" i="7"/>
  <c r="B353" i="33"/>
  <c r="B113" i="33"/>
  <c r="D351" i="33"/>
  <c r="D271" i="33"/>
  <c r="D191" i="33"/>
  <c r="D111" i="33"/>
  <c r="D31" i="33"/>
  <c r="G32" i="1"/>
  <c r="F64" i="31"/>
  <c r="J64" i="31" s="1"/>
  <c r="F63" i="31"/>
  <c r="J63" i="31" s="1"/>
  <c r="F27" i="31"/>
  <c r="J27" i="31" s="1"/>
  <c r="H27" i="31"/>
  <c r="K27" i="31" s="1"/>
  <c r="F29" i="31"/>
  <c r="J29" i="31" s="1"/>
  <c r="H29" i="31"/>
  <c r="K29" i="31" s="1"/>
  <c r="H30" i="31"/>
  <c r="K30" i="31" s="1"/>
  <c r="F30" i="31"/>
  <c r="J30" i="31" s="1"/>
  <c r="H34" i="31"/>
  <c r="K34" i="31" s="1"/>
  <c r="F34" i="31"/>
  <c r="J34" i="31" s="1"/>
  <c r="H33" i="31"/>
  <c r="K33" i="31" s="1"/>
  <c r="F33" i="31"/>
  <c r="J33" i="31" s="1"/>
  <c r="H28" i="31"/>
  <c r="K28" i="31" s="1"/>
  <c r="F28" i="31"/>
  <c r="J28" i="31" s="1"/>
  <c r="H32" i="31"/>
  <c r="K32" i="31" s="1"/>
  <c r="F32" i="31"/>
  <c r="J32" i="31" s="1"/>
  <c r="F9" i="31"/>
  <c r="J9" i="31" s="1"/>
  <c r="H9" i="31"/>
  <c r="K9" i="31" s="1"/>
  <c r="F62" i="31"/>
  <c r="J62" i="31" s="1"/>
  <c r="F59" i="31"/>
  <c r="J59" i="31" s="1"/>
  <c r="H11" i="31"/>
  <c r="K11" i="31" s="1"/>
  <c r="F11" i="31"/>
  <c r="J11" i="31" s="1"/>
  <c r="H26" i="31"/>
  <c r="K26" i="31" s="1"/>
  <c r="F26" i="31"/>
  <c r="J26" i="31" s="1"/>
  <c r="F10" i="31"/>
  <c r="J10" i="31" s="1"/>
  <c r="H10" i="31"/>
  <c r="K10" i="31" s="1"/>
  <c r="F5" i="31"/>
  <c r="J5" i="31" s="1"/>
  <c r="H5" i="31"/>
  <c r="K5" i="31" s="1"/>
  <c r="G9" i="1"/>
  <c r="G7" i="1"/>
  <c r="E43" i="6"/>
  <c r="E44" i="6"/>
  <c r="B194" i="33" l="1"/>
  <c r="B274" i="33"/>
  <c r="B114" i="33"/>
  <c r="D32" i="7"/>
  <c r="J32" i="7" s="1"/>
  <c r="B354" i="33"/>
  <c r="B34" i="33"/>
  <c r="B34" i="7"/>
  <c r="D32" i="33"/>
  <c r="D192" i="33"/>
  <c r="D112" i="33"/>
  <c r="D352" i="33"/>
  <c r="D272" i="33"/>
  <c r="D17" i="7"/>
  <c r="B195" i="33" l="1"/>
  <c r="D33" i="7"/>
  <c r="J33" i="7" s="1"/>
  <c r="B35" i="33"/>
  <c r="B115" i="33"/>
  <c r="B355" i="33"/>
  <c r="B275" i="33"/>
  <c r="B35" i="7"/>
  <c r="D33" i="33"/>
  <c r="D353" i="33"/>
  <c r="D273" i="33"/>
  <c r="D113" i="33"/>
  <c r="D193" i="33"/>
  <c r="B196" i="33" l="1"/>
  <c r="B116" i="33"/>
  <c r="B356" i="33"/>
  <c r="B36" i="7"/>
  <c r="B276" i="33"/>
  <c r="B36" i="33"/>
  <c r="D34" i="7"/>
  <c r="J34" i="7" s="1"/>
  <c r="D194" i="33"/>
  <c r="D354" i="33"/>
  <c r="D274" i="33"/>
  <c r="D114" i="33"/>
  <c r="D34" i="33"/>
  <c r="G17" i="33"/>
  <c r="G17" i="7"/>
  <c r="B117" i="33" l="1"/>
  <c r="D35" i="7"/>
  <c r="J35" i="7" s="1"/>
  <c r="B37" i="33"/>
  <c r="B37" i="7"/>
  <c r="B197" i="33"/>
  <c r="B277" i="33"/>
  <c r="B357" i="33"/>
  <c r="D115" i="33"/>
  <c r="D195" i="33"/>
  <c r="D35" i="33"/>
  <c r="D355" i="33"/>
  <c r="D275" i="33"/>
  <c r="J16" i="33"/>
  <c r="J16" i="7"/>
  <c r="B278" i="33" l="1"/>
  <c r="D356" i="33"/>
  <c r="D276" i="33"/>
  <c r="D36" i="7"/>
  <c r="J36" i="7" s="1"/>
  <c r="B358" i="33"/>
  <c r="B198" i="33"/>
  <c r="B38" i="33"/>
  <c r="D36" i="33"/>
  <c r="B118" i="33"/>
  <c r="D196" i="33"/>
  <c r="D116" i="33"/>
  <c r="B38" i="7"/>
  <c r="B199" i="33" l="1"/>
  <c r="D277" i="33"/>
  <c r="D37" i="7"/>
  <c r="J37" i="7" s="1"/>
  <c r="B279" i="33"/>
  <c r="D117" i="33"/>
  <c r="D197" i="33"/>
  <c r="B359" i="33"/>
  <c r="D37" i="33"/>
  <c r="B39" i="33"/>
  <c r="B119" i="33"/>
  <c r="B39" i="7"/>
  <c r="B120" i="33" l="1"/>
  <c r="D198" i="33"/>
  <c r="D38" i="7"/>
  <c r="J38" i="7" s="1"/>
  <c r="B280" i="33"/>
  <c r="B40" i="33"/>
  <c r="D118" i="33"/>
  <c r="B40" i="7"/>
  <c r="B200" i="33"/>
  <c r="D358" i="33"/>
  <c r="D278" i="33"/>
  <c r="B360" i="33"/>
  <c r="D38" i="33"/>
  <c r="D357" i="33" l="1"/>
  <c r="B281" i="33"/>
  <c r="B121" i="33"/>
  <c r="D279" i="33"/>
  <c r="B41" i="7"/>
  <c r="D359" i="33"/>
  <c r="B361" i="33"/>
  <c r="D199" i="33"/>
  <c r="B41" i="33"/>
  <c r="D119" i="33"/>
  <c r="D39" i="7"/>
  <c r="J39" i="7" s="1"/>
  <c r="B201" i="33"/>
  <c r="D39" i="33"/>
  <c r="B122" i="33" l="1"/>
  <c r="D200" i="33"/>
  <c r="D40" i="33"/>
  <c r="B282" i="33"/>
  <c r="D120" i="33"/>
  <c r="B42" i="33"/>
  <c r="D280" i="33"/>
  <c r="D40" i="7"/>
  <c r="J40" i="7" s="1"/>
  <c r="B362" i="33"/>
  <c r="B202" i="33"/>
  <c r="D360" i="33"/>
  <c r="B42" i="7"/>
  <c r="B123" i="33" l="1"/>
  <c r="D121" i="33"/>
  <c r="D41" i="33"/>
  <c r="B283" i="33"/>
  <c r="D281" i="33"/>
  <c r="B363" i="33"/>
  <c r="D201" i="33"/>
  <c r="D41" i="7"/>
  <c r="J41" i="7" s="1"/>
  <c r="B43" i="33"/>
  <c r="B203" i="33"/>
  <c r="D361" i="33"/>
  <c r="B43" i="7"/>
  <c r="B204" i="33" l="1"/>
  <c r="D202" i="33"/>
  <c r="D362" i="33"/>
  <c r="B44" i="7"/>
  <c r="B124" i="33"/>
  <c r="D42" i="33"/>
  <c r="B364" i="33"/>
  <c r="D122" i="33"/>
  <c r="B284" i="33"/>
  <c r="B44" i="33"/>
  <c r="D282" i="33"/>
  <c r="D42" i="7"/>
  <c r="J42" i="7" s="1"/>
  <c r="B205" i="33" l="1"/>
  <c r="D283" i="33"/>
  <c r="D123" i="33"/>
  <c r="D43" i="7"/>
  <c r="J43" i="7" s="1"/>
  <c r="B365" i="33"/>
  <c r="D43" i="33"/>
  <c r="B45" i="7"/>
  <c r="B125" i="33"/>
  <c r="D363" i="33"/>
  <c r="B285" i="33"/>
  <c r="B45" i="33"/>
  <c r="D203" i="33"/>
  <c r="B206" i="33" l="1"/>
  <c r="D364" i="33"/>
  <c r="D124" i="33"/>
  <c r="B46" i="33"/>
  <c r="D44" i="33"/>
  <c r="B286" i="33"/>
  <c r="D284" i="33"/>
  <c r="D44" i="7"/>
  <c r="J44" i="7" s="1"/>
  <c r="B366" i="33"/>
  <c r="B126" i="33"/>
  <c r="D204" i="33"/>
  <c r="B46" i="7"/>
  <c r="B127" i="33" l="1"/>
  <c r="D365" i="33"/>
  <c r="B367" i="33"/>
  <c r="D125" i="33"/>
  <c r="D45" i="7"/>
  <c r="J45" i="7" s="1"/>
  <c r="B47" i="33"/>
  <c r="B207" i="33"/>
  <c r="D45" i="33"/>
  <c r="B47" i="7"/>
  <c r="B287" i="33"/>
  <c r="D205" i="33"/>
  <c r="D285" i="33"/>
  <c r="B208" i="33" l="1"/>
  <c r="D286" i="33"/>
  <c r="D366" i="33"/>
  <c r="B128" i="33"/>
  <c r="D206" i="33"/>
  <c r="B48" i="33"/>
  <c r="D46" i="33"/>
  <c r="D46" i="7"/>
  <c r="J46" i="7" s="1"/>
  <c r="B288" i="33"/>
  <c r="B368" i="33"/>
  <c r="D126" i="33"/>
  <c r="B48" i="7"/>
  <c r="B289" i="33" l="1"/>
  <c r="B209" i="33"/>
  <c r="D127" i="33"/>
  <c r="B49" i="7"/>
  <c r="B369" i="33"/>
  <c r="D287" i="33"/>
  <c r="D207" i="33"/>
  <c r="B49" i="33"/>
  <c r="D47" i="33"/>
  <c r="B129" i="33"/>
  <c r="D367" i="33"/>
  <c r="D47" i="7"/>
  <c r="J47" i="7" s="1"/>
  <c r="B210" i="33" l="1"/>
  <c r="D48" i="33"/>
  <c r="D128" i="33"/>
  <c r="B290" i="33"/>
  <c r="D288" i="33"/>
  <c r="B130" i="33"/>
  <c r="D368" i="33"/>
  <c r="D48" i="7"/>
  <c r="J48" i="7" s="1"/>
  <c r="B370" i="33"/>
  <c r="B50" i="33"/>
  <c r="D208" i="33"/>
  <c r="B50" i="7"/>
  <c r="B371" i="33" l="1"/>
  <c r="D289" i="33"/>
  <c r="D129" i="33"/>
  <c r="B211" i="33"/>
  <c r="D49" i="33"/>
  <c r="B291" i="33"/>
  <c r="D209" i="33"/>
  <c r="D49" i="7"/>
  <c r="J49" i="7" s="1"/>
  <c r="B51" i="33"/>
  <c r="B131" i="33"/>
  <c r="D369" i="33"/>
  <c r="B51" i="7"/>
  <c r="B132" i="33" l="1"/>
  <c r="D290" i="33"/>
  <c r="B372" i="33"/>
  <c r="D50" i="33"/>
  <c r="D50" i="7"/>
  <c r="J50" i="7" s="1"/>
  <c r="B292" i="33"/>
  <c r="B52" i="33"/>
  <c r="D130" i="33"/>
  <c r="B52" i="7"/>
  <c r="B212" i="33"/>
  <c r="D370" i="33"/>
  <c r="D210" i="33"/>
  <c r="B53" i="33" l="1"/>
  <c r="D371" i="33"/>
  <c r="B213" i="33"/>
  <c r="D211" i="33"/>
  <c r="D51" i="7"/>
  <c r="J51" i="7" s="1"/>
  <c r="B293" i="33"/>
  <c r="B373" i="33"/>
  <c r="D291" i="33"/>
  <c r="B53" i="7"/>
  <c r="B133" i="33"/>
  <c r="D131" i="33"/>
  <c r="D51" i="33"/>
  <c r="B54" i="33" l="1"/>
  <c r="D292" i="33"/>
  <c r="D52" i="33"/>
  <c r="B134" i="33"/>
  <c r="D212" i="33"/>
  <c r="B294" i="33"/>
  <c r="D132" i="33"/>
  <c r="D52" i="7"/>
  <c r="J52" i="7" s="1"/>
  <c r="B374" i="33"/>
  <c r="B214" i="33"/>
  <c r="D372" i="33"/>
  <c r="B54" i="7"/>
  <c r="B295" i="33" l="1"/>
  <c r="D293" i="33"/>
  <c r="D373" i="33"/>
  <c r="B375" i="33"/>
  <c r="D53" i="33"/>
  <c r="B215" i="33"/>
  <c r="D213" i="33"/>
  <c r="D53" i="7"/>
  <c r="J53" i="7" s="1"/>
  <c r="B55" i="33"/>
  <c r="B135" i="33"/>
  <c r="D133" i="33"/>
  <c r="B55" i="7"/>
  <c r="B216" i="33" l="1"/>
  <c r="D374" i="33"/>
  <c r="D294" i="33"/>
  <c r="B136" i="33"/>
  <c r="D214" i="33"/>
  <c r="B376" i="33"/>
  <c r="D54" i="33"/>
  <c r="D54" i="7"/>
  <c r="J54" i="7" s="1"/>
  <c r="B296" i="33"/>
  <c r="B56" i="33"/>
  <c r="D134" i="33"/>
  <c r="B56" i="7"/>
  <c r="B217" i="33" l="1"/>
  <c r="D375" i="33"/>
  <c r="D295" i="33"/>
  <c r="B377" i="33"/>
  <c r="D215" i="33"/>
  <c r="B57" i="33"/>
  <c r="D55" i="33"/>
  <c r="D55" i="7"/>
  <c r="J55" i="7" s="1"/>
  <c r="B297" i="33"/>
  <c r="B137" i="33"/>
  <c r="D135" i="33"/>
  <c r="B57" i="7"/>
  <c r="B138" i="33" l="1"/>
  <c r="D216" i="33"/>
  <c r="D296" i="33"/>
  <c r="B298" i="33"/>
  <c r="D136" i="33"/>
  <c r="B58" i="33"/>
  <c r="D376" i="33"/>
  <c r="D56" i="7"/>
  <c r="J56" i="7" s="1"/>
  <c r="B378" i="33"/>
  <c r="B218" i="33"/>
  <c r="D56" i="33"/>
  <c r="B58" i="7"/>
  <c r="B59" i="33" l="1"/>
  <c r="B219" i="33"/>
  <c r="B59" i="7"/>
  <c r="B139" i="33"/>
  <c r="D137" i="33"/>
  <c r="D57" i="33"/>
  <c r="B299" i="33"/>
  <c r="D297" i="33"/>
  <c r="B379" i="33"/>
  <c r="D217" i="33"/>
  <c r="D57" i="7"/>
  <c r="J57" i="7" s="1"/>
  <c r="D377" i="33"/>
  <c r="B60" i="7" l="1"/>
  <c r="B220" i="33"/>
  <c r="D218" i="33"/>
  <c r="D378" i="33"/>
  <c r="B140" i="33"/>
  <c r="D298" i="33"/>
  <c r="B380" i="33"/>
  <c r="D58" i="33"/>
  <c r="D58" i="7"/>
  <c r="J58" i="7" s="1"/>
  <c r="B300" i="33"/>
  <c r="B60" i="33"/>
  <c r="D138" i="33"/>
  <c r="B141" i="33" l="1"/>
  <c r="D379" i="33"/>
  <c r="B301" i="33"/>
  <c r="B61" i="7"/>
  <c r="B221" i="33"/>
  <c r="D219" i="33"/>
  <c r="D139" i="33"/>
  <c r="B381" i="33"/>
  <c r="D299" i="33"/>
  <c r="D59" i="7"/>
  <c r="J59" i="7" s="1"/>
  <c r="B61" i="33"/>
  <c r="D59" i="33"/>
  <c r="D74" i="33" l="1"/>
  <c r="D74" i="7"/>
  <c r="J74" i="7" s="1"/>
  <c r="D314" i="33"/>
  <c r="B396" i="33"/>
  <c r="D394" i="33"/>
  <c r="B156" i="33"/>
  <c r="D234" i="33"/>
  <c r="B236" i="33"/>
  <c r="B76" i="7"/>
  <c r="D154" i="33"/>
  <c r="B76" i="33"/>
  <c r="B316" i="33"/>
  <c r="D313" i="33"/>
  <c r="D73" i="7"/>
  <c r="J73" i="7" s="1"/>
  <c r="D393" i="33"/>
  <c r="B395" i="33"/>
  <c r="D233" i="33"/>
  <c r="B315" i="33"/>
  <c r="D153" i="33"/>
  <c r="B155" i="33"/>
  <c r="B75" i="7"/>
  <c r="D73" i="33"/>
  <c r="B235" i="33"/>
  <c r="B75" i="33"/>
  <c r="D392" i="33"/>
  <c r="D72" i="7"/>
  <c r="J72" i="7" s="1"/>
  <c r="D312" i="33"/>
  <c r="B74" i="33"/>
  <c r="D152" i="33"/>
  <c r="B314" i="33"/>
  <c r="D232" i="33"/>
  <c r="B154" i="33"/>
  <c r="B74" i="7"/>
  <c r="D72" i="33"/>
  <c r="B234" i="33"/>
  <c r="B394" i="33"/>
  <c r="D151" i="33"/>
  <c r="D71" i="7"/>
  <c r="J71" i="7" s="1"/>
  <c r="D71" i="33"/>
  <c r="B73" i="33"/>
  <c r="D231" i="33"/>
  <c r="B393" i="33"/>
  <c r="D391" i="33"/>
  <c r="B233" i="33"/>
  <c r="B73" i="7"/>
  <c r="D311" i="33"/>
  <c r="B153" i="33"/>
  <c r="B313" i="33"/>
  <c r="D236" i="33"/>
  <c r="D156" i="33"/>
  <c r="D76" i="7"/>
  <c r="J76" i="7" s="1"/>
  <c r="D316" i="33"/>
  <c r="D76" i="33"/>
  <c r="D396" i="33"/>
  <c r="D315" i="33"/>
  <c r="D75" i="33"/>
  <c r="D75" i="7"/>
  <c r="J75" i="7" s="1"/>
  <c r="D235" i="33"/>
  <c r="D155" i="33"/>
  <c r="D395" i="33"/>
  <c r="D310" i="33"/>
  <c r="D70" i="7"/>
  <c r="J70" i="7" s="1"/>
  <c r="D150" i="33"/>
  <c r="B392" i="33"/>
  <c r="D230" i="33"/>
  <c r="B152" i="33"/>
  <c r="D390" i="33"/>
  <c r="B232" i="33"/>
  <c r="B72" i="7"/>
  <c r="D70" i="33"/>
  <c r="B72" i="33"/>
  <c r="B312" i="33"/>
  <c r="D389" i="33"/>
  <c r="D69" i="7"/>
  <c r="J69" i="7" s="1"/>
  <c r="D229" i="33"/>
  <c r="B231" i="33"/>
  <c r="D149" i="33"/>
  <c r="B391" i="33"/>
  <c r="D309" i="33"/>
  <c r="B311" i="33"/>
  <c r="B71" i="7"/>
  <c r="D69" i="33"/>
  <c r="B151" i="33"/>
  <c r="B71" i="33"/>
  <c r="D148" i="33"/>
  <c r="D68" i="7"/>
  <c r="J68" i="7" s="1"/>
  <c r="D388" i="33"/>
  <c r="B310" i="33"/>
  <c r="D68" i="33"/>
  <c r="B150" i="33"/>
  <c r="D308" i="33"/>
  <c r="B70" i="33"/>
  <c r="B70" i="7"/>
  <c r="D228" i="33"/>
  <c r="B230" i="33"/>
  <c r="B390" i="33"/>
  <c r="D67" i="33"/>
  <c r="D147" i="33"/>
  <c r="B149" i="33"/>
  <c r="D67" i="7"/>
  <c r="J67" i="7" s="1"/>
  <c r="D387" i="33"/>
  <c r="B229" i="33"/>
  <c r="D307" i="33"/>
  <c r="B69" i="33"/>
  <c r="B69" i="7"/>
  <c r="D227" i="33"/>
  <c r="B389" i="33"/>
  <c r="B309" i="33"/>
  <c r="D226" i="33"/>
  <c r="B68" i="33"/>
  <c r="B308" i="33"/>
  <c r="D66" i="7"/>
  <c r="J66" i="7" s="1"/>
  <c r="D306" i="33"/>
  <c r="B148" i="33"/>
  <c r="D146" i="33"/>
  <c r="D66" i="33"/>
  <c r="B228" i="33"/>
  <c r="B68" i="7"/>
  <c r="D386" i="33"/>
  <c r="B388" i="33"/>
  <c r="D305" i="33"/>
  <c r="B147" i="33"/>
  <c r="B67" i="33"/>
  <c r="D385" i="33"/>
  <c r="B227" i="33"/>
  <c r="D145" i="33"/>
  <c r="D225" i="33"/>
  <c r="B387" i="33"/>
  <c r="B67" i="7"/>
  <c r="D65" i="7"/>
  <c r="J65" i="7" s="1"/>
  <c r="D65" i="33"/>
  <c r="B307" i="33"/>
  <c r="D223" i="33"/>
  <c r="B65" i="7"/>
  <c r="B225" i="33"/>
  <c r="B305" i="33"/>
  <c r="D383" i="33"/>
  <c r="B65" i="33"/>
  <c r="D303" i="33"/>
  <c r="B385" i="33"/>
  <c r="D63" i="33"/>
  <c r="D63" i="7"/>
  <c r="J63" i="7" s="1"/>
  <c r="D143" i="33"/>
  <c r="B145" i="33"/>
  <c r="D64" i="33"/>
  <c r="B66" i="33"/>
  <c r="B386" i="33"/>
  <c r="D64" i="7"/>
  <c r="J64" i="7" s="1"/>
  <c r="D224" i="33"/>
  <c r="B306" i="33"/>
  <c r="D144" i="33"/>
  <c r="D384" i="33"/>
  <c r="B226" i="33"/>
  <c r="B66" i="7"/>
  <c r="D304" i="33"/>
  <c r="B146" i="33"/>
  <c r="B64" i="7"/>
  <c r="B384" i="33"/>
  <c r="D222" i="33"/>
  <c r="B144" i="33"/>
  <c r="D382" i="33"/>
  <c r="D302" i="33"/>
  <c r="B224" i="33"/>
  <c r="D62" i="33"/>
  <c r="B304" i="33"/>
  <c r="D62" i="7"/>
  <c r="J62" i="7" s="1"/>
  <c r="D142" i="33"/>
  <c r="B64" i="33"/>
  <c r="D300" i="33"/>
  <c r="B142" i="33"/>
  <c r="B382" i="33"/>
  <c r="D60" i="7"/>
  <c r="J60" i="7" s="1"/>
  <c r="D140" i="33"/>
  <c r="B62" i="33"/>
  <c r="D60" i="33"/>
  <c r="D380" i="33"/>
  <c r="B222" i="33"/>
  <c r="B62" i="7"/>
  <c r="D220" i="33"/>
  <c r="B302" i="33"/>
  <c r="D141" i="33"/>
  <c r="B223" i="33"/>
  <c r="B63" i="33"/>
  <c r="D61" i="7"/>
  <c r="J61" i="7" s="1"/>
  <c r="D381" i="33"/>
  <c r="B143" i="33"/>
  <c r="D301" i="33"/>
  <c r="D221" i="33"/>
  <c r="B303" i="33"/>
  <c r="B63" i="7"/>
  <c r="D61" i="33"/>
  <c r="B383" i="33"/>
</calcChain>
</file>

<file path=xl/comments1.xml><?xml version="1.0" encoding="utf-8"?>
<comments xmlns="http://schemas.openxmlformats.org/spreadsheetml/2006/main">
  <authors>
    <author>Niels Hansen</author>
  </authors>
  <commentList>
    <comment ref="D16" authorId="0" shapeId="0">
      <text>
        <r>
          <rPr>
            <b/>
            <sz val="9"/>
            <color indexed="81"/>
            <rFont val="Tahoma"/>
            <family val="2"/>
          </rPr>
          <t>Niels Hansen:</t>
        </r>
        <r>
          <rPr>
            <sz val="9"/>
            <color indexed="81"/>
            <rFont val="Tahoma"/>
            <family val="2"/>
          </rPr>
          <t xml:space="preserve">
Must be entered for salt blend calculations</t>
        </r>
      </text>
    </comment>
  </commentList>
</comments>
</file>

<file path=xl/comments2.xml><?xml version="1.0" encoding="utf-8"?>
<comments xmlns="http://schemas.openxmlformats.org/spreadsheetml/2006/main">
  <authors>
    <author>Niels Hansen</author>
  </authors>
  <commentList>
    <comment ref="D16" authorId="0" shapeId="0">
      <text>
        <r>
          <rPr>
            <b/>
            <sz val="9"/>
            <color indexed="81"/>
            <rFont val="Tahoma"/>
            <family val="2"/>
          </rPr>
          <t>Niels Hansen:</t>
        </r>
        <r>
          <rPr>
            <sz val="9"/>
            <color indexed="81"/>
            <rFont val="Tahoma"/>
            <family val="2"/>
          </rPr>
          <t xml:space="preserve">
Must be entered for salt blend calculations</t>
        </r>
      </text>
    </comment>
  </commentList>
</comments>
</file>

<file path=xl/sharedStrings.xml><?xml version="1.0" encoding="utf-8"?>
<sst xmlns="http://schemas.openxmlformats.org/spreadsheetml/2006/main" count="4730" uniqueCount="1815">
  <si>
    <t>Name</t>
  </si>
  <si>
    <t>Base</t>
  </si>
  <si>
    <t>Gel (%)</t>
  </si>
  <si>
    <t>Water</t>
  </si>
  <si>
    <t>Yield</t>
  </si>
  <si>
    <t>Density</t>
  </si>
  <si>
    <t>S.G.</t>
  </si>
  <si>
    <t>Thixotropic</t>
  </si>
  <si>
    <t>AER Code</t>
  </si>
  <si>
    <t>Price code</t>
  </si>
  <si>
    <t>Sack Weight (kg)</t>
  </si>
  <si>
    <t>No Cement</t>
  </si>
  <si>
    <t>0:1:0 'G'</t>
  </si>
  <si>
    <t>N</t>
  </si>
  <si>
    <t>04</t>
  </si>
  <si>
    <t>0:1:2 'G'</t>
  </si>
  <si>
    <t>0:1:4 'G'</t>
  </si>
  <si>
    <t>0:1:6 'G'</t>
  </si>
  <si>
    <t>Y</t>
  </si>
  <si>
    <t>0:1:8 'G'</t>
  </si>
  <si>
    <t>0:1:12 'G'</t>
  </si>
  <si>
    <t>1:1:0 'G'</t>
  </si>
  <si>
    <t>1:1:0 'G' (Sask)</t>
  </si>
  <si>
    <t>1:1:2 'G'</t>
  </si>
  <si>
    <t>06</t>
  </si>
  <si>
    <t>1:1:2 'G' (Sask)</t>
  </si>
  <si>
    <t>1:1:4 'G'</t>
  </si>
  <si>
    <t>07</t>
  </si>
  <si>
    <t>1:1:4 'G' (Sask)</t>
  </si>
  <si>
    <t>1:1:6 'G'</t>
  </si>
  <si>
    <t>1:1:6 'G' (Sask)</t>
  </si>
  <si>
    <t>1:1:8 'G'</t>
  </si>
  <si>
    <t>1:1:8 'G' (Sask)</t>
  </si>
  <si>
    <t>1:1:12 'G'</t>
  </si>
  <si>
    <t>1:1:12 'G' (Sask)</t>
  </si>
  <si>
    <t>2:1:0 'G'</t>
  </si>
  <si>
    <t>POR</t>
  </si>
  <si>
    <t>2:1:0 'G' (Sask)</t>
  </si>
  <si>
    <t>2:1:2 'G'</t>
  </si>
  <si>
    <t>2:1:2 'G' (Sask)</t>
  </si>
  <si>
    <t>2:1:4 'G'</t>
  </si>
  <si>
    <t>2:1:4 'G' (Sask)</t>
  </si>
  <si>
    <t>2:1:6 'G'</t>
  </si>
  <si>
    <t>2:1:6 'G' (Sask)</t>
  </si>
  <si>
    <t>2:1:8 'G'</t>
  </si>
  <si>
    <t>2:1:8 'G' (Sask)</t>
  </si>
  <si>
    <t>2:1:12 'G'</t>
  </si>
  <si>
    <t>2:1:12 'G' (Sask)</t>
  </si>
  <si>
    <t>ARC</t>
  </si>
  <si>
    <t>Ciment Fondu</t>
  </si>
  <si>
    <t>Expandomix</t>
  </si>
  <si>
    <t>Expandomix HT</t>
  </si>
  <si>
    <t>Expandomix HT (Sask)</t>
  </si>
  <si>
    <t>Expandomix LWL</t>
  </si>
  <si>
    <t>01</t>
  </si>
  <si>
    <t>iGain (Sask)</t>
  </si>
  <si>
    <t>iThix</t>
  </si>
  <si>
    <t>iZone</t>
  </si>
  <si>
    <t>LCS 1600</t>
  </si>
  <si>
    <t>LCS 1820</t>
  </si>
  <si>
    <t>Litefill 1400 HT</t>
  </si>
  <si>
    <t>Litefill 1400 LT</t>
  </si>
  <si>
    <t>Litefill 1400 MT</t>
  </si>
  <si>
    <t>Litefill 1450 HT</t>
  </si>
  <si>
    <t>Litefill 1450 LT</t>
  </si>
  <si>
    <t>Litefill 1450 MT</t>
  </si>
  <si>
    <t>Litefill 1500 HT</t>
  </si>
  <si>
    <t>Litefill 1500 LT</t>
  </si>
  <si>
    <t>Litefill 1500 MT</t>
  </si>
  <si>
    <t>Litefill 1550 HT</t>
  </si>
  <si>
    <t>Litefill 1550 LT</t>
  </si>
  <si>
    <t>Litefill 1550 MT</t>
  </si>
  <si>
    <t>LITEmix 1325 (AB)</t>
  </si>
  <si>
    <t>LITEmix 1400 (AB)</t>
  </si>
  <si>
    <t>Proteus LCS</t>
  </si>
  <si>
    <t>RAS II</t>
  </si>
  <si>
    <t>SanSeal</t>
  </si>
  <si>
    <t>SanSeal HT</t>
  </si>
  <si>
    <t>SSi</t>
  </si>
  <si>
    <t>Superlite 13</t>
  </si>
  <si>
    <t>Superlite 13 (CDM-5)</t>
  </si>
  <si>
    <t>SUPERLITEmix 1160</t>
  </si>
  <si>
    <t>SUPERLITEmix 1160 (CDM-5)</t>
  </si>
  <si>
    <t>SURFACEmix LW (AB)</t>
  </si>
  <si>
    <t>SURFACEmix SLW</t>
  </si>
  <si>
    <t>SURFACEmix PRO</t>
  </si>
  <si>
    <t>03</t>
  </si>
  <si>
    <t>Thermal 40</t>
  </si>
  <si>
    <t>Thermal 40 EXP</t>
  </si>
  <si>
    <t>Thermal 40 Lite</t>
  </si>
  <si>
    <t>THERMAmix EC</t>
  </si>
  <si>
    <t>ThixLite HT (AB)</t>
  </si>
  <si>
    <t>ThixLite HT (Sask)</t>
  </si>
  <si>
    <t>ASC (IV)</t>
  </si>
  <si>
    <t>CEMENT BLEND PROPERTIES</t>
  </si>
  <si>
    <t>Class A</t>
  </si>
  <si>
    <t>Class C</t>
  </si>
  <si>
    <t>Class G</t>
  </si>
  <si>
    <t>Class H</t>
  </si>
  <si>
    <t>Intercem</t>
  </si>
  <si>
    <t>Colloid SQ-A</t>
  </si>
  <si>
    <t>Flyash</t>
  </si>
  <si>
    <t>Flyash (Sask)</t>
  </si>
  <si>
    <t>Densified Fume</t>
  </si>
  <si>
    <t>Sanlite</t>
  </si>
  <si>
    <t>Silica Flour</t>
  </si>
  <si>
    <t>Gel</t>
  </si>
  <si>
    <t>SCA-1</t>
  </si>
  <si>
    <t>Hematite</t>
  </si>
  <si>
    <t>ONG 42</t>
  </si>
  <si>
    <t>CDM-6</t>
  </si>
  <si>
    <t>CDM-2</t>
  </si>
  <si>
    <t>CDM-5</t>
  </si>
  <si>
    <t>CDM-10</t>
  </si>
  <si>
    <t>CFR</t>
  </si>
  <si>
    <t>CFR-2</t>
  </si>
  <si>
    <t>CFR-5</t>
  </si>
  <si>
    <t>CFL-3</t>
  </si>
  <si>
    <t>CFL-4</t>
  </si>
  <si>
    <t>CFL-6</t>
  </si>
  <si>
    <t>CFL-7</t>
  </si>
  <si>
    <t>CaCl2</t>
  </si>
  <si>
    <t>SCA-6</t>
  </si>
  <si>
    <t>SCA-7</t>
  </si>
  <si>
    <t>SCA-5</t>
  </si>
  <si>
    <t>FWC-2</t>
  </si>
  <si>
    <t>Sodium Citrate</t>
  </si>
  <si>
    <t>NaCl</t>
  </si>
  <si>
    <t>KCl</t>
  </si>
  <si>
    <t>SEA-1</t>
  </si>
  <si>
    <t>SEA-3</t>
  </si>
  <si>
    <t>LCG-2</t>
  </si>
  <si>
    <t>Micromix</t>
  </si>
  <si>
    <t>LCG-1</t>
  </si>
  <si>
    <t>Gilsonite</t>
  </si>
  <si>
    <t>None</t>
  </si>
  <si>
    <t>Base Blend Components</t>
  </si>
  <si>
    <t>0:1:0 'A'</t>
  </si>
  <si>
    <t>0:1:0 'C'</t>
  </si>
  <si>
    <t>Proteus GLS @ 1400 (CDM-5)</t>
  </si>
  <si>
    <t>SG</t>
  </si>
  <si>
    <t>Properties</t>
  </si>
  <si>
    <t>% Gel</t>
  </si>
  <si>
    <t>Component</t>
  </si>
  <si>
    <t>Sp. Gravity</t>
  </si>
  <si>
    <t>ASM-3</t>
  </si>
  <si>
    <t>ASM-4</t>
  </si>
  <si>
    <t>ASM-5</t>
  </si>
  <si>
    <t>Barite</t>
  </si>
  <si>
    <t>CaCO3</t>
  </si>
  <si>
    <t>CDF-4P</t>
  </si>
  <si>
    <t>CFL-1</t>
  </si>
  <si>
    <t>CFL-2</t>
  </si>
  <si>
    <t>CFL-300D</t>
  </si>
  <si>
    <t>CFL-3L</t>
  </si>
  <si>
    <t>CR-2</t>
  </si>
  <si>
    <t>FWC-1</t>
  </si>
  <si>
    <t>GCA-1</t>
  </si>
  <si>
    <t>Graphite</t>
  </si>
  <si>
    <t>HTR</t>
  </si>
  <si>
    <t>HTR-2</t>
  </si>
  <si>
    <t>HTR-3</t>
  </si>
  <si>
    <t>HTR-3A</t>
  </si>
  <si>
    <t>ISA-1</t>
  </si>
  <si>
    <t>LCC-1</t>
  </si>
  <si>
    <t>LCG-5</t>
  </si>
  <si>
    <t>LTR</t>
  </si>
  <si>
    <t>MCR-5</t>
  </si>
  <si>
    <t>QSR-II</t>
  </si>
  <si>
    <t>SPC-II</t>
  </si>
  <si>
    <t xml:space="preserve">PRODUCT SPECIFIC GRAVITY DATA </t>
  </si>
  <si>
    <t>LAST UPDATE:</t>
  </si>
  <si>
    <t>BASE COMPONENT SPECIFIC GRAVITIES:</t>
  </si>
  <si>
    <t>Base Blend Name</t>
  </si>
  <si>
    <t>BASE COMPONENT ABSOLUTE VOLUMES:</t>
  </si>
  <si>
    <t>aX</t>
  </si>
  <si>
    <t>Solids Volume</t>
  </si>
  <si>
    <t>m³/t</t>
  </si>
  <si>
    <t>Ciment Fondue</t>
  </si>
  <si>
    <t>CDM-C</t>
  </si>
  <si>
    <t>Dryblended BWOC Additives</t>
  </si>
  <si>
    <t>Additive Drop Down</t>
  </si>
  <si>
    <t>% Loading (BWOB)</t>
  </si>
  <si>
    <t>Specific Gravity</t>
  </si>
  <si>
    <t>Absolute Volume (L)</t>
  </si>
  <si>
    <t>Mix Water (m³/t):</t>
  </si>
  <si>
    <t>Density (kg/m³):</t>
  </si>
  <si>
    <t>Total</t>
  </si>
  <si>
    <t>Salts</t>
  </si>
  <si>
    <t>% BWOW</t>
  </si>
  <si>
    <t>Absolute Volume</t>
  </si>
  <si>
    <t>Volume (L)</t>
  </si>
  <si>
    <t>Salt Drop Down</t>
  </si>
  <si>
    <t>ENTER BASE BLEND RECIPES HERE</t>
  </si>
  <si>
    <t>COPY AND PASTE TABLE FOR PROGRAMMING TEMPLATE</t>
  </si>
  <si>
    <t>Salt Drop Down List</t>
  </si>
  <si>
    <t>Date:</t>
  </si>
  <si>
    <t>MTS #:</t>
  </si>
  <si>
    <t/>
  </si>
  <si>
    <t>Material</t>
  </si>
  <si>
    <t>Lot #</t>
  </si>
  <si>
    <t>Additive Name</t>
  </si>
  <si>
    <t>BP Op #1:</t>
  </si>
  <si>
    <t>Disp:</t>
  </si>
  <si>
    <t>BP Op #2:</t>
  </si>
  <si>
    <t>Index Number</t>
  </si>
  <si>
    <t>Required (kg)</t>
  </si>
  <si>
    <t>Loaded                      (kg)</t>
  </si>
  <si>
    <t xml:space="preserve">Absolute Volumes of Salt by Loading (%BWOW) </t>
  </si>
  <si>
    <t>Bulk Density</t>
  </si>
  <si>
    <t>Total Blend Weight (t):</t>
  </si>
  <si>
    <t>Total Bulk Volume (m³):</t>
  </si>
  <si>
    <t>Edson</t>
  </si>
  <si>
    <t>Estevan</t>
  </si>
  <si>
    <t>Fort St. John</t>
  </si>
  <si>
    <t>Grande Prairie</t>
  </si>
  <si>
    <t>Lac La Biche</t>
  </si>
  <si>
    <t>Peace River</t>
  </si>
  <si>
    <t>Red Deer</t>
  </si>
  <si>
    <t>Swift Current</t>
  </si>
  <si>
    <t>Last Update:  Oct 21, 2015</t>
  </si>
  <si>
    <t>Blend Name</t>
  </si>
  <si>
    <t>Incompatible With</t>
  </si>
  <si>
    <t>Reason</t>
  </si>
  <si>
    <t>Blend contains CFL-3</t>
  </si>
  <si>
    <t>Any Portland Based Cement</t>
  </si>
  <si>
    <t>Will cause flash set if combined</t>
  </si>
  <si>
    <t>Glacial Mix</t>
  </si>
  <si>
    <t>ASM-5, CFL-3, CFL-3L, CFL-6</t>
  </si>
  <si>
    <t>Blend contains CFR</t>
  </si>
  <si>
    <r>
      <t>iBond-</t>
    </r>
    <r>
      <rPr>
        <sz val="12"/>
        <rFont val="Calibri"/>
        <family val="2"/>
      </rPr>
      <t>Ω</t>
    </r>
  </si>
  <si>
    <t>iGain(AB)</t>
  </si>
  <si>
    <r>
      <t>iPrime-</t>
    </r>
    <r>
      <rPr>
        <sz val="12"/>
        <color theme="1"/>
        <rFont val="Calibri"/>
        <family val="2"/>
      </rPr>
      <t>Ω</t>
    </r>
  </si>
  <si>
    <r>
      <t>iPrime (Sask)-</t>
    </r>
    <r>
      <rPr>
        <sz val="12"/>
        <color theme="1"/>
        <rFont val="Calibri"/>
        <family val="2"/>
      </rPr>
      <t>Ω</t>
    </r>
  </si>
  <si>
    <r>
      <t>Blend contains CaCl</t>
    </r>
    <r>
      <rPr>
        <sz val="8"/>
        <color rgb="FF000000"/>
        <rFont val="Arial"/>
        <family val="2"/>
      </rPr>
      <t>2</t>
    </r>
  </si>
  <si>
    <t>ProductionMix 1600</t>
  </si>
  <si>
    <t>ProductionMix 1600 (Sask)</t>
  </si>
  <si>
    <t>Cement Additive Incompatibilities</t>
  </si>
  <si>
    <r>
      <rPr>
        <b/>
        <sz val="9"/>
        <rFont val="Calibri"/>
        <family val="2"/>
      </rPr>
      <t xml:space="preserve">Product
</t>
    </r>
    <r>
      <rPr>
        <b/>
        <sz val="9"/>
        <rFont val="Calibri"/>
        <family val="2"/>
      </rPr>
      <t>Name</t>
    </r>
  </si>
  <si>
    <t>True Incompatibility</t>
  </si>
  <si>
    <t>Not Recommended For Use With:</t>
  </si>
  <si>
    <t>Comments</t>
  </si>
  <si>
    <r>
      <rPr>
        <b/>
        <sz val="9"/>
        <rFont val="Calibri"/>
        <family val="2"/>
      </rPr>
      <t>Accelerators</t>
    </r>
  </si>
  <si>
    <r>
      <t>CaCl</t>
    </r>
    <r>
      <rPr>
        <sz val="8"/>
        <rFont val="Arial"/>
        <family val="2"/>
      </rPr>
      <t>2</t>
    </r>
  </si>
  <si>
    <t>-</t>
  </si>
  <si>
    <r>
      <t>CFR interacts with CaCl</t>
    </r>
    <r>
      <rPr>
        <sz val="8"/>
        <color rgb="FF000000"/>
        <rFont val="Arial"/>
        <family val="2"/>
      </rPr>
      <t>2</t>
    </r>
    <r>
      <rPr>
        <sz val="10"/>
        <color rgb="FF000000"/>
        <rFont val="Arial"/>
        <family val="2"/>
      </rPr>
      <t xml:space="preserve"> to increase viscosity - mixing or placement issues may occur</t>
    </r>
  </si>
  <si>
    <r>
      <t>Elevated Loadings of CaCl</t>
    </r>
    <r>
      <rPr>
        <sz val="8"/>
        <rFont val="Arial"/>
        <family val="2"/>
      </rPr>
      <t>2</t>
    </r>
  </si>
  <si>
    <t>Activity of both additives is impaired when used together</t>
  </si>
  <si>
    <t>CFL-3, CFL-3L, &amp; CFL-6 when using &gt;5% salt (BWOW)</t>
  </si>
  <si>
    <t>CFL-3 cannot control fluid loss when dealing with &gt; 5% (BWOW) salt content</t>
  </si>
  <si>
    <r>
      <rPr>
        <b/>
        <sz val="9"/>
        <rFont val="Calibri"/>
        <family val="2"/>
      </rPr>
      <t>Fluid Loss</t>
    </r>
  </si>
  <si>
    <t>Salt &gt; 5%</t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</si>
  <si>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CFL-3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</si>
  <si>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CFL-3L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</si>
  <si>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CFL-6</t>
    </r>
  </si>
  <si>
    <r>
      <rPr>
        <b/>
        <sz val="9"/>
        <rFont val="Calibri"/>
        <family val="2"/>
      </rPr>
      <t>Dispersants</t>
    </r>
  </si>
  <si>
    <r>
      <t>CFL-3, CFL-3L, CFL-6, ASM-5, CaCl</t>
    </r>
    <r>
      <rPr>
        <sz val="8"/>
        <rFont val="Arial"/>
        <family val="2"/>
      </rPr>
      <t>2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</si>
  <si>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</t>
    </r>
  </si>
  <si>
    <t>Free Water Control</t>
  </si>
  <si>
    <t>Incompatibility resulting in placement or mixing issues may occur</t>
  </si>
  <si>
    <t>FWC-1 or Bentonite Gel</t>
  </si>
  <si>
    <t>High Salt Loadings (can be used together but product performance is compromised)</t>
  </si>
  <si>
    <t>Retarders</t>
  </si>
  <si>
    <r>
      <t>Slurries intended for placement across zones less than 90</t>
    </r>
    <r>
      <rPr>
        <sz val="10"/>
        <color rgb="FF000000"/>
        <rFont val="Calibri"/>
        <family val="2"/>
      </rPr>
      <t>˚</t>
    </r>
    <r>
      <rPr>
        <sz val="10"/>
        <color rgb="FF000000"/>
        <rFont val="Arial"/>
        <family val="2"/>
      </rPr>
      <t>C (static temperature)</t>
    </r>
  </si>
  <si>
    <r>
      <t>Cements typically will not set for extended periods of time when cured at temperatures below 90</t>
    </r>
    <r>
      <rPr>
        <sz val="10"/>
        <color rgb="FF000000"/>
        <rFont val="Calibri"/>
        <family val="2"/>
      </rPr>
      <t>˚</t>
    </r>
    <r>
      <rPr>
        <sz val="10"/>
        <color rgb="FF000000"/>
        <rFont val="Arial"/>
        <family val="2"/>
      </rPr>
      <t>C</t>
    </r>
  </si>
  <si>
    <t>Any blend other than RAS II</t>
  </si>
  <si>
    <t>Blend Incompatiblities</t>
  </si>
  <si>
    <t>This table checks for incompatibility between base blends and additives</t>
  </si>
  <si>
    <t>BLEND</t>
  </si>
  <si>
    <t>Incompatibilities (Yes = 1 , No = 0)</t>
  </si>
  <si>
    <t>Incompatible Additives</t>
  </si>
  <si>
    <t>PROGRAMMED ADDITIVES (Salt not included)</t>
  </si>
  <si>
    <t>ASM-5, CaCl2, CFL-3, CFL-3L, CFL-6</t>
  </si>
  <si>
    <t>Pozmix Blend Gel Loading</t>
  </si>
  <si>
    <t>Cementing Additive Name Change Quick Reference Guide</t>
  </si>
  <si>
    <t>CATEGORY</t>
  </si>
  <si>
    <t>LEGACY NAME</t>
  </si>
  <si>
    <t>NEW NAME</t>
  </si>
  <si>
    <t>ACRONYM DEFINITION</t>
  </si>
  <si>
    <t>Accelerators</t>
  </si>
  <si>
    <t>OGC-60 (Gypsum)</t>
  </si>
  <si>
    <t>Sanjel Cement Accelerator</t>
  </si>
  <si>
    <t>PA-1</t>
  </si>
  <si>
    <t>SMS</t>
  </si>
  <si>
    <t>LWA</t>
  </si>
  <si>
    <t>Density Modifiers</t>
  </si>
  <si>
    <t>HGS 2000</t>
  </si>
  <si>
    <t>Cement Density Modifier</t>
  </si>
  <si>
    <t>HGS 5000</t>
  </si>
  <si>
    <t>HGS 10000</t>
  </si>
  <si>
    <t>Ceramic Spheres</t>
  </si>
  <si>
    <t>Expansion Additives</t>
  </si>
  <si>
    <t>Set Expansion Additive</t>
  </si>
  <si>
    <t>Fluid Loss</t>
  </si>
  <si>
    <t>LDP-C-0613</t>
  </si>
  <si>
    <t>CFL-10</t>
  </si>
  <si>
    <t>Cement Fluid Loss</t>
  </si>
  <si>
    <t>Foamers &amp; Defoamers</t>
  </si>
  <si>
    <t>DF-3</t>
  </si>
  <si>
    <t>CDF-3L</t>
  </si>
  <si>
    <t>Cement Defoamer ("L" - Liquid)</t>
  </si>
  <si>
    <t>LDP-C-2115</t>
  </si>
  <si>
    <t>CDF-6P</t>
  </si>
  <si>
    <t>Cement Defoamer ("P" - Powder)</t>
  </si>
  <si>
    <t>LDP-C-0414</t>
  </si>
  <si>
    <t>FA-3</t>
  </si>
  <si>
    <t>Foaming Agent</t>
  </si>
  <si>
    <t>LDP-C-1115</t>
  </si>
  <si>
    <t>FS-1</t>
  </si>
  <si>
    <t>Foam Stabilizer</t>
  </si>
  <si>
    <t>Free Water and Stability</t>
  </si>
  <si>
    <t>AS-3</t>
  </si>
  <si>
    <t>Anti-Settling Material</t>
  </si>
  <si>
    <t>FMC</t>
  </si>
  <si>
    <t>AS-1 (LDP-C-1212)</t>
  </si>
  <si>
    <t>ASM-6</t>
  </si>
  <si>
    <t>FWCA-H</t>
  </si>
  <si>
    <t>Gas Migration Control</t>
  </si>
  <si>
    <t>Lost Circulation Materials</t>
  </si>
  <si>
    <t>Cal Carb "O" - Dicorp</t>
  </si>
  <si>
    <t>Lost Circulation, Granular</t>
  </si>
  <si>
    <t>Cal Carb 325 - DiCorp or Calcarb 3HX - Univar</t>
  </si>
  <si>
    <t>Cal Carb Poultry Grit - Dicorp</t>
  </si>
  <si>
    <t>LCG-4</t>
  </si>
  <si>
    <t>Cal Carb - Supercal / GLSRK - Dicorp</t>
  </si>
  <si>
    <t>40/70 Silica Sand</t>
  </si>
  <si>
    <t>LCG-8</t>
  </si>
  <si>
    <t>100 Mesh Silica Sand</t>
  </si>
  <si>
    <t>LCG-12</t>
  </si>
  <si>
    <t>LCF-6</t>
  </si>
  <si>
    <t>LDP-C-0215 (3.0 mm fibers)</t>
  </si>
  <si>
    <t>LCF-7</t>
  </si>
  <si>
    <t>SAGD LCM</t>
  </si>
  <si>
    <t>LCC-9</t>
  </si>
  <si>
    <t>Lost Cirulation, Composite</t>
  </si>
  <si>
    <t>Polyflake</t>
  </si>
  <si>
    <t>LCL-7</t>
  </si>
  <si>
    <t>Lost Circulation, Lamellar</t>
  </si>
  <si>
    <t>PS Flake</t>
  </si>
  <si>
    <t>LCL-11</t>
  </si>
  <si>
    <t>Preflush and Spacer Additives</t>
  </si>
  <si>
    <t>WWS-1L</t>
  </si>
  <si>
    <t>Water Wetting Surfactant</t>
  </si>
  <si>
    <t>Oilsperse-G</t>
  </si>
  <si>
    <t>WWS-2L</t>
  </si>
  <si>
    <t>WS-30</t>
  </si>
  <si>
    <t>WWS-3L</t>
  </si>
  <si>
    <t>WG-1</t>
  </si>
  <si>
    <t>WG-4P</t>
  </si>
  <si>
    <t>Water Gellant ("P"-Powder)</t>
  </si>
  <si>
    <t>LDP-C-2713</t>
  </si>
  <si>
    <t>Yellow Dye</t>
  </si>
  <si>
    <t>Dye</t>
  </si>
  <si>
    <t>LDP-C-0513</t>
  </si>
  <si>
    <t>High Temperature Retarder</t>
  </si>
  <si>
    <t>LDP-C-0612</t>
  </si>
  <si>
    <t>LDP-C-0712</t>
  </si>
  <si>
    <t>Tensile Strength Enhancer</t>
  </si>
  <si>
    <t>LDP-C-0115 (1.8 mm fibers)</t>
  </si>
  <si>
    <t>WIE-1</t>
  </si>
  <si>
    <t>Well Integrity Enhancer</t>
  </si>
  <si>
    <t>LDP-C-0912 (ONG 52P)</t>
  </si>
  <si>
    <t>ONG-52B</t>
  </si>
  <si>
    <t>LDP-C-4615</t>
  </si>
  <si>
    <t>SURFACEmix LW (SK)</t>
  </si>
  <si>
    <t>SUPERLITEmix PRO (LDP-C-3215)</t>
  </si>
  <si>
    <t>Incompatibilities</t>
  </si>
  <si>
    <t>IIN023131</t>
  </si>
  <si>
    <t>IIN023234</t>
  </si>
  <si>
    <t>IIN023019</t>
  </si>
  <si>
    <t>IIN023054</t>
  </si>
  <si>
    <t>IIN023056</t>
  </si>
  <si>
    <t>IIN023058</t>
  </si>
  <si>
    <t>IIN023036</t>
  </si>
  <si>
    <t>IIN023037</t>
  </si>
  <si>
    <t>IIN023167</t>
  </si>
  <si>
    <t>IIN023059</t>
  </si>
  <si>
    <t>IIN023060</t>
  </si>
  <si>
    <t>IIN023061</t>
  </si>
  <si>
    <t>IIN023062</t>
  </si>
  <si>
    <t>IIN023063</t>
  </si>
  <si>
    <t>IIN023064</t>
  </si>
  <si>
    <t>IIN023067</t>
  </si>
  <si>
    <t>IIN023068</t>
  </si>
  <si>
    <t>IIN032465</t>
  </si>
  <si>
    <t>IIN023072</t>
  </si>
  <si>
    <t>IIN023073</t>
  </si>
  <si>
    <t>IIN023074</t>
  </si>
  <si>
    <t>IIN023192</t>
  </si>
  <si>
    <t>IIN023078</t>
  </si>
  <si>
    <t>Silica Fume - Semi-Densified</t>
  </si>
  <si>
    <t>IIN023098</t>
  </si>
  <si>
    <t>IIN023099</t>
  </si>
  <si>
    <t>IIN023088</t>
  </si>
  <si>
    <t>IIN023091</t>
  </si>
  <si>
    <t>IIN023022</t>
  </si>
  <si>
    <t>IIN023100</t>
  </si>
  <si>
    <t>IIN023101</t>
  </si>
  <si>
    <t>IIN023105</t>
  </si>
  <si>
    <t>CDM-8</t>
  </si>
  <si>
    <t>IIN023109</t>
  </si>
  <si>
    <t>IIN041176</t>
  </si>
  <si>
    <t>IIN023130</t>
  </si>
  <si>
    <t>IIN023129</t>
  </si>
  <si>
    <t>IIN023116</t>
  </si>
  <si>
    <t>IIN023071</t>
  </si>
  <si>
    <t>IIN023119</t>
  </si>
  <si>
    <t>IIN023122</t>
  </si>
  <si>
    <t>IIN023049</t>
  </si>
  <si>
    <t>IIN023050</t>
  </si>
  <si>
    <t>IIN023052</t>
  </si>
  <si>
    <t>IIN023146</t>
  </si>
  <si>
    <t>IIN023051</t>
  </si>
  <si>
    <t>IIN023110</t>
  </si>
  <si>
    <t>IIN023153</t>
  </si>
  <si>
    <t>IIN023188</t>
  </si>
  <si>
    <t>IIN053761</t>
  </si>
  <si>
    <t>IIN023190</t>
  </si>
  <si>
    <t>IIN023102</t>
  </si>
  <si>
    <t>IIN023171</t>
  </si>
  <si>
    <t>IIN023207</t>
  </si>
  <si>
    <t>IIN023147</t>
  </si>
  <si>
    <t>IIN023221</t>
  </si>
  <si>
    <t>IIN023222</t>
  </si>
  <si>
    <t>IIN023200</t>
  </si>
  <si>
    <t>IIN023206</t>
  </si>
  <si>
    <t>IIN023178</t>
  </si>
  <si>
    <t>Sand</t>
  </si>
  <si>
    <t>SG1500</t>
  </si>
  <si>
    <t>Expandomix HT (SK)</t>
  </si>
  <si>
    <t>iGain (SK)</t>
  </si>
  <si>
    <t>LITEmix 1325 (SK)</t>
  </si>
  <si>
    <t>LITEmix 1400 (SK)</t>
  </si>
  <si>
    <t>PRODUCTIONmix 1500 PRO (LDP-C-3515)</t>
  </si>
  <si>
    <t>PRODUCTIONmix 1600</t>
  </si>
  <si>
    <t>PRODUCTIONmix 1600 (SK)</t>
  </si>
  <si>
    <t>Prolite 13</t>
  </si>
  <si>
    <t>Prolite 14</t>
  </si>
  <si>
    <t>Proteus Core</t>
  </si>
  <si>
    <t>Proteus GLS @ 1300</t>
  </si>
  <si>
    <t>Proteus GLS @ 1350</t>
  </si>
  <si>
    <t>Proteus GLS @ 1400</t>
  </si>
  <si>
    <t>Proteus Pro</t>
  </si>
  <si>
    <t>SCC10 Thermal</t>
  </si>
  <si>
    <t>SURFACEmix LW PRO (LDP-C-4715)</t>
  </si>
  <si>
    <t>SURFACEmix LW PRO (SK) (LDP-C-4715)</t>
  </si>
  <si>
    <t>SurfLite</t>
  </si>
  <si>
    <t>SurfLite (SK)</t>
  </si>
  <si>
    <t>ThixLite HT (SK)</t>
  </si>
  <si>
    <t>Any CFR Added?</t>
  </si>
  <si>
    <t>Incomp. Adds?</t>
  </si>
  <si>
    <t>Additives Compatible?</t>
  </si>
  <si>
    <t>(Are there any known incompatiblities between external additives?)</t>
  </si>
  <si>
    <t>Blend Score</t>
  </si>
  <si>
    <t>Test for incomp. between base blends and additives:</t>
  </si>
  <si>
    <t>CFR Added?</t>
  </si>
  <si>
    <t>Blend Score:</t>
  </si>
  <si>
    <t>OVERALL COMPATIBILITY:</t>
  </si>
  <si>
    <t>kg/t</t>
  </si>
  <si>
    <t>%</t>
  </si>
  <si>
    <t>Units</t>
  </si>
  <si>
    <t>ADDITIVES</t>
  </si>
  <si>
    <t>BASE BLEND</t>
  </si>
  <si>
    <t>L/m³</t>
  </si>
  <si>
    <t>% (BWOW)</t>
  </si>
  <si>
    <t>FA-1</t>
  </si>
  <si>
    <t>Surfactant Drop Down List</t>
  </si>
  <si>
    <t>Total Water Requirement (m³):</t>
  </si>
  <si>
    <t>Sack Weight (kg/t):</t>
  </si>
  <si>
    <t>Bulk Density (t/m³):</t>
  </si>
  <si>
    <t>Enter Base Blend Tonnage (t):</t>
  </si>
  <si>
    <t>Base Blend (t):</t>
  </si>
  <si>
    <t>Total Weight (t):</t>
  </si>
  <si>
    <t>Bulk Volume (m³):</t>
  </si>
  <si>
    <t>ADDITIVE DROP DOWN LIST</t>
  </si>
  <si>
    <t>BULK PLANT</t>
  </si>
  <si>
    <t>BULK PLANT CALCULATOR</t>
  </si>
  <si>
    <t>Cement Source</t>
  </si>
  <si>
    <t>Lab</t>
  </si>
  <si>
    <t>Bulk Plant</t>
  </si>
  <si>
    <t>Bin</t>
  </si>
  <si>
    <t>Bulker</t>
  </si>
  <si>
    <t>Slurry</t>
  </si>
  <si>
    <t>Water Source</t>
  </si>
  <si>
    <t>Tap</t>
  </si>
  <si>
    <t>Field Fresh</t>
  </si>
  <si>
    <t>Field PH</t>
  </si>
  <si>
    <t>CONTENT MUST BE ENABLED FOR THE SPREADSHEET TO WORK!</t>
  </si>
  <si>
    <t>Enter Mix Water (m³/t):</t>
  </si>
  <si>
    <t>Enter Date:</t>
  </si>
  <si>
    <t>Enter MTS#:</t>
  </si>
  <si>
    <t>PROJECT</t>
  </si>
  <si>
    <t>District</t>
  </si>
  <si>
    <t>Item Number</t>
  </si>
  <si>
    <t>LAB / COSTING</t>
  </si>
  <si>
    <t>IIN038098</t>
  </si>
  <si>
    <t>IIN023212</t>
  </si>
  <si>
    <t>IIN051265</t>
  </si>
  <si>
    <t>IIN023087</t>
  </si>
  <si>
    <t>IIN049713</t>
  </si>
  <si>
    <t>IIN052225</t>
  </si>
  <si>
    <t>IIN023065</t>
  </si>
  <si>
    <t>IIN054152</t>
  </si>
  <si>
    <t>IIN023092</t>
  </si>
  <si>
    <t>IIN023209</t>
  </si>
  <si>
    <t>Client:</t>
  </si>
  <si>
    <t>Location:</t>
  </si>
  <si>
    <t>SALT CONCENTRATIONS ARE ADDED AS %(BWOW).</t>
  </si>
  <si>
    <t>FOR ALL SALT BLENDS.</t>
  </si>
  <si>
    <t>YOU MUST ENTER THE WATER REQUIREMENT IN CELL B9</t>
  </si>
  <si>
    <t>MUST ENTER WEIGHT FOR OUTPUT ON LOADING PAGE</t>
  </si>
  <si>
    <t>MUST ENTER MIX WATER FOR SALT BLENDS</t>
  </si>
  <si>
    <t>Loaded                        (kg)</t>
  </si>
  <si>
    <t>Version</t>
  </si>
  <si>
    <t>Date</t>
  </si>
  <si>
    <t>Author</t>
  </si>
  <si>
    <t>Change Notes</t>
  </si>
  <si>
    <t>Niels Hansen</t>
  </si>
  <si>
    <t>Increased row height on 'Bulk Plant Loading Page', Added LCG-8 and LCG-12 to additive list</t>
  </si>
  <si>
    <t>Template release</t>
  </si>
  <si>
    <t>Maximum Loading</t>
  </si>
  <si>
    <t>Min Density (kg/m³)</t>
  </si>
  <si>
    <t>Max Density (kg/m³)</t>
  </si>
  <si>
    <t>Std Density (kg/m³):</t>
  </si>
  <si>
    <t>Max Salt Blend Density (kg/m³)</t>
  </si>
  <si>
    <t>n/a</t>
  </si>
  <si>
    <t>Std Density (kg/m³)</t>
  </si>
  <si>
    <t>Maximum Density (kg/m³):</t>
  </si>
  <si>
    <t>Minimum Density (kg/m³):</t>
  </si>
  <si>
    <t>Maximum Density With Salt (kg/m³):</t>
  </si>
  <si>
    <t>Enter Programmed Density (kg/m³)</t>
  </si>
  <si>
    <t>Added blend density and additive boundary condition flagging</t>
  </si>
  <si>
    <t>Error message classification</t>
  </si>
  <si>
    <t>CFL-8</t>
  </si>
  <si>
    <t>PRODUCTIONmix 1500 PRO</t>
  </si>
  <si>
    <t>Last Update:  April 2016</t>
  </si>
  <si>
    <t>Elevated salt loadings compromise the ability of FWC-1 to take up free water and stabilize the slurry.  Additional stabililizing components (FWC-2, ASM-3, ASM-5, CFL-4, etc…) required</t>
  </si>
  <si>
    <t>THERMAmix LT</t>
  </si>
  <si>
    <t>Corrected costing spreadsheet sack weight calculation (affecting pozmix blends with gel added)</t>
  </si>
  <si>
    <t>Changed CNRL CHOPS TH name to THERMAmix LT / Revised PROLITE 14 recipe as recommended by lab</t>
  </si>
  <si>
    <t>CNRL CHOPS TH</t>
  </si>
  <si>
    <t>PRODUCTIONmix LW PRO</t>
  </si>
  <si>
    <t>T</t>
  </si>
  <si>
    <t>Jason Schneider</t>
  </si>
  <si>
    <t>Updated bulk densities, added PRODUCTIONmix LW PRO</t>
  </si>
  <si>
    <t>Weigh Silo Size (m3)</t>
  </si>
  <si>
    <t>Number of Required Batches</t>
  </si>
  <si>
    <t>Maximum Usable Volume (m3)</t>
  </si>
  <si>
    <t>Maximum Allowable Tonnage</t>
  </si>
  <si>
    <t>Required Blend Tonnage</t>
  </si>
  <si>
    <t>Tonnage Remaining to Blend</t>
  </si>
  <si>
    <t>Average Batch Size (Tonnes)</t>
  </si>
  <si>
    <t>Silo Size (m3):</t>
  </si>
  <si>
    <t>Section Used If "Per Batch" Loading Desired</t>
  </si>
  <si>
    <t xml:space="preserve">Edson </t>
  </si>
  <si>
    <t xml:space="preserve">Fort St John </t>
  </si>
  <si>
    <t xml:space="preserve">Grande Prairie </t>
  </si>
  <si>
    <t xml:space="preserve">Swift Current </t>
  </si>
  <si>
    <t xml:space="preserve">Red Deer </t>
  </si>
  <si>
    <t xml:space="preserve">LIoydminster </t>
  </si>
  <si>
    <t xml:space="preserve">Lac La Biche </t>
  </si>
  <si>
    <t>m3</t>
  </si>
  <si>
    <t xml:space="preserve"> </t>
  </si>
  <si>
    <t>Silo Size</t>
  </si>
  <si>
    <t>Added per batch capabilities - needing confirmation of blend bulk densities</t>
  </si>
  <si>
    <t>Unit No.</t>
  </si>
  <si>
    <t>Driver</t>
  </si>
  <si>
    <t>Station</t>
  </si>
  <si>
    <t>Serv. TKT #</t>
  </si>
  <si>
    <t>Customer / District</t>
  </si>
  <si>
    <t>Customer Representative</t>
  </si>
  <si>
    <t>Rig / Hauling Company</t>
  </si>
  <si>
    <t>Location No.</t>
  </si>
  <si>
    <t>Inter-Company Product Haul</t>
  </si>
  <si>
    <t>Tonne</t>
  </si>
  <si>
    <t>Blend</t>
  </si>
  <si>
    <t>Blend Type</t>
  </si>
  <si>
    <t>kg.</t>
  </si>
  <si>
    <t>Additives</t>
  </si>
  <si>
    <t>Temp (°C)</t>
  </si>
  <si>
    <t>Lead</t>
  </si>
  <si>
    <t>Tail</t>
  </si>
  <si>
    <t>Fill</t>
  </si>
  <si>
    <t>Blend Assembly</t>
  </si>
  <si>
    <t>FRONT</t>
  </si>
  <si>
    <t>MIDDLE</t>
  </si>
  <si>
    <t>BACK</t>
  </si>
  <si>
    <t>Product</t>
  </si>
  <si>
    <t>kgs</t>
  </si>
  <si>
    <t>Blended / Loaded By:</t>
  </si>
  <si>
    <t>Dispatched By:</t>
  </si>
  <si>
    <t>Blending Area:</t>
  </si>
  <si>
    <t>Totals:</t>
  </si>
  <si>
    <t>Load #1</t>
  </si>
  <si>
    <t>Load #2</t>
  </si>
  <si>
    <t>Load #3</t>
  </si>
  <si>
    <t>Required Number of Loads</t>
  </si>
  <si>
    <t>Load #4</t>
  </si>
  <si>
    <t>MTS #</t>
  </si>
  <si>
    <t>Customer Representative:</t>
  </si>
  <si>
    <t>PRODUCTIONmix 1725</t>
  </si>
  <si>
    <t>PRODUCTIONmix THX</t>
  </si>
  <si>
    <t>LDP-C-1316</t>
  </si>
  <si>
    <t>LDP-C-0516</t>
  </si>
  <si>
    <t>THERMAmix EC EXP</t>
  </si>
  <si>
    <t>SURFACEmix PRO SL</t>
  </si>
  <si>
    <t>SURFACEmix LW PRO SL</t>
  </si>
  <si>
    <t>Modification</t>
  </si>
  <si>
    <t>Addition of SURFACEmix LW PRO SL</t>
  </si>
  <si>
    <t>Addition of Update tracker</t>
  </si>
  <si>
    <t>Tweak of blends. Moving FWC-2 to densified fume litemix and expandomix blends</t>
  </si>
  <si>
    <t>Tweak of SUPERLITE blends from semi-densified fume to densified fume</t>
  </si>
  <si>
    <t>IIN054776</t>
  </si>
  <si>
    <t>IIN049712</t>
  </si>
  <si>
    <t>MCR-7</t>
  </si>
  <si>
    <t>Addition of MCR-7 to the additive sheet</t>
  </si>
  <si>
    <t>Worked on some performance enhancements</t>
  </si>
  <si>
    <t>Tweaked MCR-7 additive so that it works properly</t>
  </si>
  <si>
    <t>Added version number to "Bulk Plant Loading" sheet</t>
  </si>
  <si>
    <t>Unit #</t>
  </si>
  <si>
    <t>Journal Movement #</t>
  </si>
  <si>
    <t>Blend Temp</t>
  </si>
  <si>
    <t>ID</t>
  </si>
  <si>
    <t>NAME</t>
  </si>
  <si>
    <t>ADDRESS_STREET</t>
  </si>
  <si>
    <t>ADDRESS_STREET2</t>
  </si>
  <si>
    <t>ADDRESS_STREET3</t>
  </si>
  <si>
    <t>ADDRESS_STREET4</t>
  </si>
  <si>
    <t>ADDRESS_CITY</t>
  </si>
  <si>
    <t>ADDRESS_POSTAL_ZIP</t>
  </si>
  <si>
    <t>ADDRESS_PROV_STATE_ID</t>
  </si>
  <si>
    <t>BILLING_ADDRESS_STREET</t>
  </si>
  <si>
    <t>BILLING_ADDRESS_STREET2</t>
  </si>
  <si>
    <t>BILLING_ADDRESS_STREET3</t>
  </si>
  <si>
    <t>BILLING_ADDRESS_STREET4</t>
  </si>
  <si>
    <t>BILLING_ADDRESS_CITY</t>
  </si>
  <si>
    <t>BILLING_ADDRESS_POSTAL_ZIP</t>
  </si>
  <si>
    <t>BILLING_ADDRESS_PROV_STATE_ID</t>
  </si>
  <si>
    <t>RIG_PREFIX</t>
  </si>
  <si>
    <t>VERSION</t>
  </si>
  <si>
    <t>LAST_MODIFIED_USER_ID</t>
  </si>
  <si>
    <t>LAST_MODIFIED_USER_NAME</t>
  </si>
  <si>
    <t>LAST_MODIFIED_DATE_TIME</t>
  </si>
  <si>
    <t>LAST_OPERATION_TYPE</t>
  </si>
  <si>
    <t>EFFECTIVE_START_DATE_TIME</t>
  </si>
  <si>
    <t>EFFECTIVE_END_DATE_TIME</t>
  </si>
  <si>
    <t>IS_COD_CUSTOMER</t>
  </si>
  <si>
    <t>SANJEL_COMPANY_ID</t>
  </si>
  <si>
    <t>1316751 Alberta Ltd.</t>
  </si>
  <si>
    <t>#340 1414 - 8th Street S.W.</t>
  </si>
  <si>
    <t>Calgary</t>
  </si>
  <si>
    <t>T2R 1J6</t>
  </si>
  <si>
    <t>07-OCT-16 05.11.01.000000000 PM</t>
  </si>
  <si>
    <t>1764821 Alberta Ltd.</t>
  </si>
  <si>
    <t>Suite 3900, 350 - 7th Avenue SW</t>
  </si>
  <si>
    <t>T2P 3N9</t>
  </si>
  <si>
    <t>24-JUN-16 03.46.14.000000000 PM</t>
  </si>
  <si>
    <t>1894078 Alberta Ltd</t>
  </si>
  <si>
    <t>4500, 855 2nd Street SW,</t>
  </si>
  <si>
    <t>T2P 4K7</t>
  </si>
  <si>
    <t>Abandonrite Enviro Services</t>
  </si>
  <si>
    <t>2800, 500 - 4th Avenue SW</t>
  </si>
  <si>
    <t>T2P 2V6</t>
  </si>
  <si>
    <t>Advance Drilling Ltd.</t>
  </si>
  <si>
    <t>1001 505 - 3 Street SW</t>
  </si>
  <si>
    <t>T2P 3E6</t>
  </si>
  <si>
    <t>awang</t>
  </si>
  <si>
    <t>26-OCT-16 03.57.24.000000000 PM</t>
  </si>
  <si>
    <t>Advantage Oil &amp; Gas Ltd.</t>
  </si>
  <si>
    <t>300, 440 - 2 Ave SW</t>
  </si>
  <si>
    <t>T2P 5E9</t>
  </si>
  <si>
    <t>18-NOV-16 10.38.02.000000000 AM</t>
  </si>
  <si>
    <t>Akita Drilling Ltd.</t>
  </si>
  <si>
    <t>26-OCT-16 03.59.54.000000000 PM</t>
  </si>
  <si>
    <t>Alberta Oilsands Inc.</t>
  </si>
  <si>
    <t>800, 350 - 7th Avenue SW</t>
  </si>
  <si>
    <t>Alder Ridge Resources Ltd.</t>
  </si>
  <si>
    <t>Suite 650, 635 - 8 Ave SW</t>
  </si>
  <si>
    <t>T2P 3M3</t>
  </si>
  <si>
    <t>27-JUL-16 03.47.57.000000000 PM</t>
  </si>
  <si>
    <t>Aldon Oils Ltd.</t>
  </si>
  <si>
    <t>1150 Railway Avenue</t>
  </si>
  <si>
    <t>Weyburn</t>
  </si>
  <si>
    <t>S4H 0B3</t>
  </si>
  <si>
    <t>Alliance Drilling And Oilfield Service Ltd</t>
  </si>
  <si>
    <t>477 Devonian St</t>
  </si>
  <si>
    <t>S4A 2A5</t>
  </si>
  <si>
    <t>26-OCT-16 04.08.00.000000000 PM</t>
  </si>
  <si>
    <t>Altabras Energy Services Corp.</t>
  </si>
  <si>
    <t>PO box 6563, Station D</t>
  </si>
  <si>
    <t>T2P 2E4</t>
  </si>
  <si>
    <t>Altagas Extraction and Transmission LP</t>
  </si>
  <si>
    <t>RR2, Site 2. Box 24</t>
  </si>
  <si>
    <t>Lacombe</t>
  </si>
  <si>
    <t>T4L 2N2</t>
  </si>
  <si>
    <t>AltaGas Ltd.</t>
  </si>
  <si>
    <t>1700 355 - 4th Avenue SW</t>
  </si>
  <si>
    <t>T2P 0J1</t>
  </si>
  <si>
    <t>27-OCT-16 10.49.01.000000000 AM</t>
  </si>
  <si>
    <t>Altura Energy Inc.</t>
  </si>
  <si>
    <t>200, 640 5th Ave SW</t>
  </si>
  <si>
    <t>T2P 3G4</t>
  </si>
  <si>
    <t>30-SEP-16 06.32.52.000000000 PM</t>
  </si>
  <si>
    <t>Anderson Energy Inc.</t>
  </si>
  <si>
    <t>1000,555 4th Avenue S.W.</t>
  </si>
  <si>
    <t>T2P 3E7</t>
  </si>
  <si>
    <t>Andora Energy Corporation</t>
  </si>
  <si>
    <t>1505, 505-3rd st SW</t>
  </si>
  <si>
    <t>AOC Grande Prairie Partnership</t>
  </si>
  <si>
    <t>1200, 215 - 9 Ave SW</t>
  </si>
  <si>
    <t>T2P 1K3</t>
  </si>
  <si>
    <t>AOC Hangingstone Partnership</t>
  </si>
  <si>
    <t>Bow Valley Square 4
2000, 250 - 6th Avenue SW
Attenetion:  Cost Controller</t>
  </si>
  <si>
    <t>T2P 3H7</t>
  </si>
  <si>
    <t>AOC Kaybob Partnership</t>
  </si>
  <si>
    <t>1200, 215- 9th Avenue, S.W. Calgary</t>
  </si>
  <si>
    <t>AOC Simonette Partnership</t>
  </si>
  <si>
    <t>1200, 215 - 9th Ave SW</t>
  </si>
  <si>
    <t>Apache Canada Ltd.</t>
  </si>
  <si>
    <t>Suite 2800, 421 - 7 Avenue SW</t>
  </si>
  <si>
    <t>T2P 4K9</t>
  </si>
  <si>
    <t>Apache Canada Ltd. (Zama)</t>
  </si>
  <si>
    <t>Box 25</t>
  </si>
  <si>
    <t>Zama City</t>
  </si>
  <si>
    <t>T0H 4E0</t>
  </si>
  <si>
    <t>Aqua North Water Systems Ltd.</t>
  </si>
  <si>
    <t>8819 - 101 Street</t>
  </si>
  <si>
    <t>V1J 5K4</t>
  </si>
  <si>
    <t>Arc Resources Ltd.</t>
  </si>
  <si>
    <t>1200, 308 - 4 Avenue SW</t>
  </si>
  <si>
    <t>T2P 0H7</t>
  </si>
  <si>
    <t>Arsenal Energy Inc.</t>
  </si>
  <si>
    <t>1900, 639 - 5th Avenue SW</t>
  </si>
  <si>
    <t>T2P 0M9</t>
  </si>
  <si>
    <t>Artisan Consulting Services Ltd.</t>
  </si>
  <si>
    <t>505 7th Street E</t>
  </si>
  <si>
    <t>Carlyle</t>
  </si>
  <si>
    <t>S0C 0R0</t>
  </si>
  <si>
    <t>Artisan Energy Corporation</t>
  </si>
  <si>
    <t>1350 734 7 Ave SW</t>
  </si>
  <si>
    <t>T2P 3P8</t>
  </si>
  <si>
    <t>Aspenleaf Energy Limited</t>
  </si>
  <si>
    <t>Suite 2100, 240 – 4th Avenue SW</t>
  </si>
  <si>
    <t>T2P 4H4</t>
  </si>
  <si>
    <t>27-JUL-16 03.47.04.000000000 PM</t>
  </si>
  <si>
    <t>Atco Energy Solutions Ltd.</t>
  </si>
  <si>
    <t xml:space="preserve">Box 370
</t>
  </si>
  <si>
    <t>Carbon</t>
  </si>
  <si>
    <t>Athabasca Oil Corporation</t>
  </si>
  <si>
    <t>1200, 215- 9th Avenue, S.W.</t>
  </si>
  <si>
    <t>Athena Resources Ltd.</t>
  </si>
  <si>
    <t>1410, 396 - 11th Avenue SW</t>
  </si>
  <si>
    <t>T2R 0C5</t>
  </si>
  <si>
    <t>Audax Investments</t>
  </si>
  <si>
    <t>Box 1565</t>
  </si>
  <si>
    <t>S4A 2L7</t>
  </si>
  <si>
    <t xml:space="preserve">Box 1565 </t>
  </si>
  <si>
    <t>20-JUL-16 01.42.44.000000000 PM</t>
  </si>
  <si>
    <t>Avalon Oil and Gas Ltd</t>
  </si>
  <si>
    <t>1120, 833 - 4th Ave SW</t>
  </si>
  <si>
    <t>T2P 3T5</t>
  </si>
  <si>
    <t>07-OCT-16 11.51.17.000000000 AM</t>
  </si>
  <si>
    <t>Baccalieu Energy Inc.</t>
  </si>
  <si>
    <t>635 8 Ave Sw Suite 500</t>
  </si>
  <si>
    <t>Barnwell of Canada, Limited</t>
  </si>
  <si>
    <t>c/o The Barlon Engineering Group Ltd.
1110, 340 - 12th Avenue SW</t>
  </si>
  <si>
    <t>T2R 1L5</t>
  </si>
  <si>
    <t>Baytech Energy Investment Inc.</t>
  </si>
  <si>
    <t>Suite 1580, 727 – 7th Avenue SW</t>
  </si>
  <si>
    <t>T2P 0Z5</t>
  </si>
  <si>
    <t>Baytex Energy Ltd.</t>
  </si>
  <si>
    <t>2800, 520 - 3rd Avenue SW</t>
  </si>
  <si>
    <t>T2P 0R3</t>
  </si>
  <si>
    <t>BDJ Energy Inc.</t>
  </si>
  <si>
    <t>Suite 2000, 300-5th Avenue SW</t>
  </si>
  <si>
    <t>T2P 3C4</t>
  </si>
  <si>
    <t>Beaumont Energy Inc.</t>
  </si>
  <si>
    <t>100-1601 Westmount Road NW</t>
  </si>
  <si>
    <t>T2N 3M2</t>
  </si>
  <si>
    <t>Beaver Drilling Ltd.</t>
  </si>
  <si>
    <t>26-OCT-16 04.01.08.000000000 PM</t>
  </si>
  <si>
    <t>Benchmark Engineering Inc.</t>
  </si>
  <si>
    <t>810, 396 - 11th Avenue SW</t>
  </si>
  <si>
    <t>27-JUL-16 02.01.36.000000000 PM</t>
  </si>
  <si>
    <t>Bering Exploration Company</t>
  </si>
  <si>
    <t>140, 630 – 4th Avenue SW</t>
  </si>
  <si>
    <t>T2P 0J9</t>
  </si>
  <si>
    <t>Beringer Energy Inc.</t>
  </si>
  <si>
    <t>Suite 1900, 444-5th Avenue SW</t>
  </si>
  <si>
    <t>T2P 2T8</t>
  </si>
  <si>
    <t>Bernum Petroleum</t>
  </si>
  <si>
    <t>203, 2303 - 4th Street SW</t>
  </si>
  <si>
    <t>T2S 2S7</t>
  </si>
  <si>
    <t>27-OCT-16 11.27.31.000000000 AM</t>
  </si>
  <si>
    <t>Bertram Drilling Corp.</t>
  </si>
  <si>
    <t>PO Box 100</t>
  </si>
  <si>
    <t>T0M 0L0</t>
  </si>
  <si>
    <t>05-DEC-16 04.27.01.000000000 PM</t>
  </si>
  <si>
    <t>Betts Drilling Ltd.</t>
  </si>
  <si>
    <t>26-OCT-16 04.30.06.000000000 PM</t>
  </si>
  <si>
    <t>Birchcliff Energy Ltd.</t>
  </si>
  <si>
    <t>500, 630 - 4th Avenue SW</t>
  </si>
  <si>
    <t>Birchill Canada Limited Partnership</t>
  </si>
  <si>
    <t>820 815 8 Ave SW</t>
  </si>
  <si>
    <t>T2P 3P2</t>
  </si>
  <si>
    <t>11-OCT-16 04.34.31.000000000 PM</t>
  </si>
  <si>
    <t>Birchill Exploration Limited Partnership</t>
  </si>
  <si>
    <t>820, 815 – 8th Avenue SW</t>
  </si>
  <si>
    <t>Black Swan Energy Limited</t>
  </si>
  <si>
    <t>1200, 255-5th Avenue SW</t>
  </si>
  <si>
    <t>T2P 3G6</t>
  </si>
  <si>
    <t>Blackbird Energy Inc.</t>
  </si>
  <si>
    <t>400, 444 - 5th Ave SW</t>
  </si>
  <si>
    <t>24-OCT-16 04.43.01.000000000 PM</t>
  </si>
  <si>
    <t>BlackPearl Resources Inc.</t>
  </si>
  <si>
    <t>700, 444-7th Avenue S.W.</t>
  </si>
  <si>
    <t>T2P 0X8</t>
  </si>
  <si>
    <t>Blackspur Oil Corporation</t>
  </si>
  <si>
    <t>1200, 707-7th Avenue SW</t>
  </si>
  <si>
    <t>T2P 3H6</t>
  </si>
  <si>
    <t>Blaze Energy Ltd.</t>
  </si>
  <si>
    <t>Suite 1010, 900 - 6th Ave SW</t>
  </si>
  <si>
    <t>T2P 3K2</t>
  </si>
  <si>
    <t>BLZ Energy Ltd.</t>
  </si>
  <si>
    <t>2200, 605 - 5th Avenue SW</t>
  </si>
  <si>
    <t>T2P 3H5</t>
  </si>
  <si>
    <t>Bonanza Drilling Inc.</t>
  </si>
  <si>
    <t>Box 537</t>
  </si>
  <si>
    <t>29 Martin Way</t>
  </si>
  <si>
    <t>Brooks</t>
  </si>
  <si>
    <t>T1R 1B5</t>
  </si>
  <si>
    <t>26-OCT-16 03.54.01.000000000 PM</t>
  </si>
  <si>
    <t>Bonavista Energy Corporation</t>
  </si>
  <si>
    <t>1500, 525 - 8th Avenue SW</t>
  </si>
  <si>
    <t>T2P 1G1</t>
  </si>
  <si>
    <t>Bonterra Energy Corp.</t>
  </si>
  <si>
    <t>901, 1015 - 4th St. S.W.</t>
  </si>
  <si>
    <t>T2R 1J4</t>
  </si>
  <si>
    <t>Border Paving Ltd.</t>
  </si>
  <si>
    <t>PO Box 2270</t>
  </si>
  <si>
    <t>Stony Plain</t>
  </si>
  <si>
    <t>T7Z 1X7</t>
  </si>
  <si>
    <t>14-NOV-16 11.46.31.000000000 AM</t>
  </si>
  <si>
    <t>Boulder Energy Ltd</t>
  </si>
  <si>
    <t>540, 222 - 3rd Ave SW</t>
  </si>
  <si>
    <t>T2P0B4</t>
  </si>
  <si>
    <t>22-JUL-16 03.46.22.000000000 PM</t>
  </si>
  <si>
    <t>Bounty Developments Ltd.</t>
  </si>
  <si>
    <t>1250, 340 - 12th Avenue SW</t>
  </si>
  <si>
    <t>Brion Energy Corporation</t>
  </si>
  <si>
    <t>ATTN: Accounts Payable Department
Suite 1000, 150 - 9th Avenue SW</t>
  </si>
  <si>
    <t>T2P 3H9</t>
  </si>
  <si>
    <t>Broadview Energy Ltd.</t>
  </si>
  <si>
    <t>201, 1100 - 8th Avenue SW</t>
  </si>
  <si>
    <t>T2P 3T8</t>
  </si>
  <si>
    <t>Brownstone Resources Ltd.</t>
  </si>
  <si>
    <t>Bruin Oil and Gas</t>
  </si>
  <si>
    <t>Suite 600, 703 - 6th Avenue SW</t>
  </si>
  <si>
    <t>T2P 0T9</t>
  </si>
  <si>
    <t>CaiTerra International Energy Corp.</t>
  </si>
  <si>
    <t>200, 1414 – 8th Street SW</t>
  </si>
  <si>
    <t>Caltex Resources Ltd.</t>
  </si>
  <si>
    <t>Suite 1500, 17 - 7th Avenue SW</t>
  </si>
  <si>
    <t>T2P 0Z3</t>
  </si>
  <si>
    <t>Cameco Corporation</t>
  </si>
  <si>
    <t>2121 - 11th Street West</t>
  </si>
  <si>
    <t>Saskatoon</t>
  </si>
  <si>
    <t>S7M 1J3</t>
  </si>
  <si>
    <t>kbozkir</t>
  </si>
  <si>
    <t>Canada Capital Energy Corporation</t>
  </si>
  <si>
    <t>Sunlife Plaza
2600, 140 - 4th Avenue SW</t>
  </si>
  <si>
    <t>T2P 3N3</t>
  </si>
  <si>
    <t>Canadian Coastal Resources Ltd.</t>
  </si>
  <si>
    <t>900, 202 - 6th Avenue SW</t>
  </si>
  <si>
    <t>T2P 2R9</t>
  </si>
  <si>
    <t>Canadian Coyote Energy Ltd.</t>
  </si>
  <si>
    <t xml:space="preserve">430, 910 7th Avenue SW
</t>
  </si>
  <si>
    <t>T2P 3N8</t>
  </si>
  <si>
    <t>Canadian Natural Resources Ltd.</t>
  </si>
  <si>
    <t>2500, 855 - 2nd Street SW</t>
  </si>
  <si>
    <t>T2P 4J8</t>
  </si>
  <si>
    <t>Canadian Quantum Energy Corporation</t>
  </si>
  <si>
    <t>Suite 500, 1414 8th St. SW</t>
  </si>
  <si>
    <t>Canexus Corporation</t>
  </si>
  <si>
    <t>2100, 144 - 4th Ave SW</t>
  </si>
  <si>
    <t>T2P 3N4</t>
  </si>
  <si>
    <t>02-DEC-16 12.00.33.000000000 PM</t>
  </si>
  <si>
    <t>Cansearch Resources Ltd.</t>
  </si>
  <si>
    <t>900, 736 - 6th Avenue SW</t>
  </si>
  <si>
    <t>T2P 3T7</t>
  </si>
  <si>
    <t>Canyon Technical Services Ltd.</t>
  </si>
  <si>
    <t>2900, 255 - 5 Ave SW</t>
  </si>
  <si>
    <t>Caprice Resources Inc.</t>
  </si>
  <si>
    <t>P.O. Box 848</t>
  </si>
  <si>
    <t>S4H 2L1</t>
  </si>
  <si>
    <t>Caprock Resources Inc.</t>
  </si>
  <si>
    <t>2230 Queen Street</t>
  </si>
  <si>
    <t>Regina</t>
  </si>
  <si>
    <t>S4T 4C5</t>
  </si>
  <si>
    <t>Cardinal Energy Ltd.</t>
  </si>
  <si>
    <t>600, 400 - 3 Ave SW</t>
  </si>
  <si>
    <t>T2P 4H2</t>
  </si>
  <si>
    <t>Catapult Environmental Inc.</t>
  </si>
  <si>
    <t>600, 800 - 6 Ave SW</t>
  </si>
  <si>
    <t>T2P 3G3</t>
  </si>
  <si>
    <t>Cenovus Energy Inc.</t>
  </si>
  <si>
    <t>500 Centre Street SE
PO Box 766</t>
  </si>
  <si>
    <t>T2P 0M5</t>
  </si>
  <si>
    <t>Cenovus FCCL Ltd. as Operator for FCCL Partnership</t>
  </si>
  <si>
    <t>500 Centre Street SE  P.O. Box 766</t>
  </si>
  <si>
    <t>Centrica Canada Ltd.</t>
  </si>
  <si>
    <t>1000, 111 - 5th Avenue SW</t>
  </si>
  <si>
    <t>T2P 3Y6</t>
  </si>
  <si>
    <t>Cequence Energy Ltd.</t>
  </si>
  <si>
    <t>3100, 525 - 8 Ave SW</t>
  </si>
  <si>
    <t>Chinook Drilling</t>
  </si>
  <si>
    <t>26-OCT-16 03.53.29.000000000 PM</t>
  </si>
  <si>
    <t>Chinook Energy Inc.</t>
  </si>
  <si>
    <t>1000, 517 - 10 Ave SW</t>
  </si>
  <si>
    <t>T2R 0A8</t>
  </si>
  <si>
    <t>Citadel Drilling Ltd.</t>
  </si>
  <si>
    <t>26-OCT-16 04.31.37.000000000 PM</t>
  </si>
  <si>
    <t>City of Medicine Hat</t>
  </si>
  <si>
    <t>364 Kippling Street SE</t>
  </si>
  <si>
    <t>Attn: Glenn Baumback</t>
  </si>
  <si>
    <t>Medicine Hat</t>
  </si>
  <si>
    <t>T1A 1Y4</t>
  </si>
  <si>
    <t>03-NOV-16 03.05.01.000000000 PM</t>
  </si>
  <si>
    <t>Coastal Resources Ltd.</t>
  </si>
  <si>
    <t>1400, 520 - 5th Ave S.W.</t>
  </si>
  <si>
    <t>T2P 3R7</t>
  </si>
  <si>
    <t>Coda Petroleum Inc.</t>
  </si>
  <si>
    <t>ATT: Accounts Payable
SunLife Plaza, North Tower
Suite 1440, 140 - 4th Avenue SW</t>
  </si>
  <si>
    <t>Connaught Oil &amp; Gas Ltd.</t>
  </si>
  <si>
    <t>1300, 530 - 8th Avenue SW</t>
  </si>
  <si>
    <t>T2P 3S8</t>
  </si>
  <si>
    <t>ConocoPhillips Canada</t>
  </si>
  <si>
    <t>Attn: Accounts Payable
P.O. Box 2566, Stn M</t>
  </si>
  <si>
    <t>T2P 2H7</t>
  </si>
  <si>
    <t>Conserve Oil Corporation</t>
  </si>
  <si>
    <t>500, 340 - 12th Avenue SW</t>
  </si>
  <si>
    <t>Consumers Co-operative Refineries Ltd.</t>
  </si>
  <si>
    <t>P.O. Box 260</t>
  </si>
  <si>
    <t>S4P 3A1</t>
  </si>
  <si>
    <t>Cordy Environmental</t>
  </si>
  <si>
    <t>Box 479</t>
  </si>
  <si>
    <t>Stettler</t>
  </si>
  <si>
    <t>T0C 2L0</t>
  </si>
  <si>
    <t>Corex Resources Ltd.</t>
  </si>
  <si>
    <t>3200, 700 - 2 St SW</t>
  </si>
  <si>
    <t>T2P 2W2</t>
  </si>
  <si>
    <t>Corval Energy Ltd.</t>
  </si>
  <si>
    <t xml:space="preserve">Suite 2400, 500-4th Avenue SW
</t>
  </si>
  <si>
    <t>CQ Energy Resources Canada Partnership</t>
  </si>
  <si>
    <t>Suite 1200, 525 8th Avenue SW</t>
  </si>
  <si>
    <t>Craft Oil Ltd.</t>
  </si>
  <si>
    <t>Suite 1010, 639 - 5th Avenue SW</t>
  </si>
  <si>
    <t>07-OCT-16 01.21.42.000000000 PM</t>
  </si>
  <si>
    <t>Crescent Point Energy Corp.</t>
  </si>
  <si>
    <t>2000, 585 - 8 Ave SW</t>
  </si>
  <si>
    <t>28-NOV-16 03.04.01.000000000 PM</t>
  </si>
  <si>
    <t>Crew Energy Inc.</t>
  </si>
  <si>
    <t>800, 250 - 5th Street SW</t>
  </si>
  <si>
    <t>T2P 0R4</t>
  </si>
  <si>
    <t>Crocotta Energy Inc.</t>
  </si>
  <si>
    <t>700, 639-5th Avenue SW</t>
  </si>
  <si>
    <t>Cross Borders Consulting Ltd.</t>
  </si>
  <si>
    <t>Box 509</t>
  </si>
  <si>
    <t>Pilot Butte</t>
  </si>
  <si>
    <t>S0G 3Z0</t>
  </si>
  <si>
    <t>Croverro Energy Ltd.</t>
  </si>
  <si>
    <t>1600, 840 - 7th Avenue SW</t>
  </si>
  <si>
    <t>T2P 3G2</t>
  </si>
  <si>
    <t>Crusader Drilling</t>
  </si>
  <si>
    <t>Suite 5-76 Seventh Ave S</t>
  </si>
  <si>
    <t>Yorkton</t>
  </si>
  <si>
    <t>S3N3V2</t>
  </si>
  <si>
    <t>26-OCT-16 04.03.11.000000000 PM</t>
  </si>
  <si>
    <t>CWC Ironhand Drilling</t>
  </si>
  <si>
    <t>26-OCT-16 04.24.56.000000000 PM</t>
  </si>
  <si>
    <t>D2 Drilling Inc.</t>
  </si>
  <si>
    <t>26-OCT-16 04.31.17.000000000 PM</t>
  </si>
  <si>
    <t>Dark Warrior Resources Ltd.</t>
  </si>
  <si>
    <t>1100, 630 - 6 Ave SW</t>
  </si>
  <si>
    <t>T2P 0S8</t>
  </si>
  <si>
    <t>DC Drilling Inc.</t>
  </si>
  <si>
    <t>513 Tanner Dr SE</t>
  </si>
  <si>
    <t>Airdrie</t>
  </si>
  <si>
    <t>T4A2E7</t>
  </si>
  <si>
    <t>26-OCT-16 04.05.28.000000000 PM</t>
  </si>
  <si>
    <t>DCP Oil Corp.</t>
  </si>
  <si>
    <t>1900, 520 - 3rd Avenue SW</t>
  </si>
  <si>
    <t>30-SEP-16 06.38.40.000000000 PM</t>
  </si>
  <si>
    <t>Delphi Energy Corp.</t>
  </si>
  <si>
    <t>300, 500 - 4th Ave SW</t>
  </si>
  <si>
    <t>Deltastream Energy Corp.</t>
  </si>
  <si>
    <t>Suite 1950 – 633 6th Ave SW</t>
  </si>
  <si>
    <t>T2P 2Y5</t>
  </si>
  <si>
    <t>02-AUG-16 02.45.11.000000000 PM</t>
  </si>
  <si>
    <t>Devon Canada</t>
  </si>
  <si>
    <t>2000, 400 - 3rd Avenue SW</t>
  </si>
  <si>
    <t>Direct Energy Marketing Ltd.</t>
  </si>
  <si>
    <t>1200, 525 - 8th Avenue SW</t>
  </si>
  <si>
    <t>Direct Energy Resources</t>
  </si>
  <si>
    <t>Dragonfountain Ltd.</t>
  </si>
  <si>
    <t>Suite 710 - 2nd Street SW</t>
  </si>
  <si>
    <t>T2P 2Y3</t>
  </si>
  <si>
    <t>Dreco Energy Services ULC - Downhole Canada</t>
  </si>
  <si>
    <t>1507 - 4th St</t>
  </si>
  <si>
    <t>Nisku</t>
  </si>
  <si>
    <t>T9E 7M9</t>
  </si>
  <si>
    <t>Duracon Concrete Corp.</t>
  </si>
  <si>
    <t>Edge Resources Inc.</t>
  </si>
  <si>
    <t>1400, 717-7 Ave SW</t>
  </si>
  <si>
    <t>Edmonton Exchanger &amp; Manufacturing Ltd.</t>
  </si>
  <si>
    <t xml:space="preserve">5545 – 89 Street
</t>
  </si>
  <si>
    <t>Edmonton</t>
  </si>
  <si>
    <t>T6E 5W9</t>
  </si>
  <si>
    <t>27-JUL-16 03.48.20.000000000 PM</t>
  </si>
  <si>
    <t>Elcano Exploration</t>
  </si>
  <si>
    <t>Suite 420, 550 - 6th Ave SW</t>
  </si>
  <si>
    <t>T2P 0S2</t>
  </si>
  <si>
    <t>Ember Resources Inc.</t>
  </si>
  <si>
    <t>2400, 300 - 5th Avenue SW</t>
  </si>
  <si>
    <t>EnCana Corporation</t>
  </si>
  <si>
    <t>Encore Coring &amp; Drilling</t>
  </si>
  <si>
    <t>1345 Highfield Crescent S.E.</t>
  </si>
  <si>
    <t>T2G 5N2</t>
  </si>
  <si>
    <t>Endurance Energy Ltd.</t>
  </si>
  <si>
    <t>Suite 800, 215 - 9th Avenue SW</t>
  </si>
  <si>
    <t>Enerplus Partnership</t>
  </si>
  <si>
    <t>The Dome Tower
3000, 333 - 7th Avenue SW</t>
  </si>
  <si>
    <t>T2P 2Z1</t>
  </si>
  <si>
    <t>Enhance Energy Inc.</t>
  </si>
  <si>
    <t>Suite 900, 333 5 Ave SW</t>
  </si>
  <si>
    <t>T2P 3B6</t>
  </si>
  <si>
    <t>Ensign Drilling Inc.</t>
  </si>
  <si>
    <t>26-OCT-16 03.51.33.000000000 PM</t>
  </si>
  <si>
    <t>Envolve Energy Services Corp.</t>
  </si>
  <si>
    <t>PO Box 1270 Stn Main</t>
  </si>
  <si>
    <t>T8V 4Z1</t>
  </si>
  <si>
    <t>EOG Resources Canada Inc.</t>
  </si>
  <si>
    <t>1300, 700 - 9th Avenue SW</t>
  </si>
  <si>
    <t>T2P 3V4</t>
  </si>
  <si>
    <t>ERCO Worldwide</t>
  </si>
  <si>
    <t>440, 736 - 8th Ave SW</t>
  </si>
  <si>
    <t>T2P 1H4</t>
  </si>
  <si>
    <t>EverGro Energy Corporation</t>
  </si>
  <si>
    <t>2866 Sunninghill Cres.</t>
  </si>
  <si>
    <t>S4V 0N2</t>
  </si>
  <si>
    <t>Excalibur Drilling Ltd.</t>
  </si>
  <si>
    <t>26-OCT-16 03.52.27.000000000 PM</t>
  </si>
  <si>
    <t>ExxonMobil Canada Energy</t>
  </si>
  <si>
    <t>Attn: AP PO Box 2480 STN M</t>
  </si>
  <si>
    <t>T2P 3M9</t>
  </si>
  <si>
    <t>07-OCT-16 05.26.01.000000000 PM</t>
  </si>
  <si>
    <t>Fire Creek Resources Ltd.</t>
  </si>
  <si>
    <t>206 - 11th Avenue SE</t>
  </si>
  <si>
    <t>T2G 0X8</t>
  </si>
  <si>
    <t>27-JUL-16 02.04.56.000000000 PM</t>
  </si>
  <si>
    <t>Flushing Energy Corporation</t>
  </si>
  <si>
    <t>303 - 1933A 10th Ave SW</t>
  </si>
  <si>
    <t>T3C 0K3</t>
  </si>
  <si>
    <t>Forge Oil &amp; Gas Limited</t>
  </si>
  <si>
    <t>Suite 2000, 840 – 7th Avenue S.W.</t>
  </si>
  <si>
    <t>AB T2P 3G2</t>
  </si>
  <si>
    <t>Fort Calgary Resources Ltd.</t>
  </si>
  <si>
    <t>2820, 700-9th Ave SW</t>
  </si>
  <si>
    <t>30-SEP-16 06.39.01.000000000 PM</t>
  </si>
  <si>
    <t>Fortis Corporation</t>
  </si>
  <si>
    <t>802, 57th Street East</t>
  </si>
  <si>
    <t>S7K 5Z1</t>
  </si>
  <si>
    <t>Four Winds Midstream Solutions</t>
  </si>
  <si>
    <t>105, 10136-128 Avenue</t>
  </si>
  <si>
    <t>T8V 1E9</t>
  </si>
  <si>
    <t>Fox Drilling Inc</t>
  </si>
  <si>
    <t>2-3710 18 Ave N</t>
  </si>
  <si>
    <t>Lethbridge</t>
  </si>
  <si>
    <t>T1H 5S7</t>
  </si>
  <si>
    <t>26-OCT-16 04.07.03.000000000 PM</t>
  </si>
  <si>
    <t>Freehold Royalties Partnership</t>
  </si>
  <si>
    <t>400, 144 - 4th Ave SW</t>
  </si>
  <si>
    <t>Freemont Resources Ltd</t>
  </si>
  <si>
    <t>Suite 200 - 1518 - 7th Street SW</t>
  </si>
  <si>
    <t>T2R 1A7</t>
  </si>
  <si>
    <t>Frontier Project Management Ltd.</t>
  </si>
  <si>
    <t>300, 1601 Westmount Rd. NW</t>
  </si>
  <si>
    <t>Galaxy Energy Ltd.</t>
  </si>
  <si>
    <t>1202, 1100 8th Ave SW</t>
  </si>
  <si>
    <t xml:space="preserve">Calgary </t>
  </si>
  <si>
    <t>T2P 3T9</t>
  </si>
  <si>
    <t>Gambit Oil Corp</t>
  </si>
  <si>
    <t>PO Box 20082</t>
  </si>
  <si>
    <t>T2P 4J2</t>
  </si>
  <si>
    <t>07-NOV-16 01.25.02.000000000 PM</t>
  </si>
  <si>
    <t>Gear Energy Ltd.</t>
  </si>
  <si>
    <t>Suite 2600, 500 - 4th Avenue SW</t>
  </si>
  <si>
    <t>Gensource Potash Corporation</t>
  </si>
  <si>
    <t>1100, 201 - 1st Ave South</t>
  </si>
  <si>
    <t>S7K 1J5</t>
  </si>
  <si>
    <t>22-NOV-16 04.15.01.000000000 PM</t>
  </si>
  <si>
    <t>Gibson Energy Inc.</t>
  </si>
  <si>
    <t>1700, 440 – 2nd Avenue SW</t>
  </si>
  <si>
    <t>27-JUL-16 03.48.52.000000000 PM</t>
  </si>
  <si>
    <t>Glenogle Energy Inc.</t>
  </si>
  <si>
    <t>1400, 444 - 5 Ave SW</t>
  </si>
  <si>
    <t>08-NOV-16 10.33.31.000000000 AM</t>
  </si>
  <si>
    <t>Goldenkey Oil Inc.</t>
  </si>
  <si>
    <t>1580 - 727 7 Avenue SW</t>
  </si>
  <si>
    <t>07-JUL-16 05.18.03.000000000 PM</t>
  </si>
  <si>
    <t>GP Masonry Supply</t>
  </si>
  <si>
    <t>9728 132 Ave</t>
  </si>
  <si>
    <t>T8V 4J6</t>
  </si>
  <si>
    <t>07-JUL-16 04.26.42.000000000 PM</t>
  </si>
  <si>
    <t>Grandview Exploration Inc.</t>
  </si>
  <si>
    <t>Suite 300, 2509 Dieppe Ave SW</t>
  </si>
  <si>
    <t>T3E 7J9</t>
  </si>
  <si>
    <t>Granite Oil Corp.</t>
  </si>
  <si>
    <t>432, 222 - 3rd Ave SW</t>
  </si>
  <si>
    <t>T2P 0B4</t>
  </si>
  <si>
    <t>Grassy Hill Hutterian Brethren Ltd.</t>
  </si>
  <si>
    <t>P.O. Box 510</t>
  </si>
  <si>
    <t>Gull Lake</t>
  </si>
  <si>
    <t>S0N 1A0</t>
  </si>
  <si>
    <t>Grizzly Oil Sands ULC</t>
  </si>
  <si>
    <t>2700, 605 - 5th Avenue SW</t>
  </si>
  <si>
    <t>Grizzly Resources Ltd.</t>
  </si>
  <si>
    <t>1000, 324 - 8th Avenue SW</t>
  </si>
  <si>
    <t>T2P 2Z2</t>
  </si>
  <si>
    <t>GroundForce geoDrilling Solutions</t>
  </si>
  <si>
    <t>650, 910 - 7th Avenue SW</t>
  </si>
  <si>
    <t>Groundstar Resources Limited</t>
  </si>
  <si>
    <t>2300, 144 - 4th Ave SW</t>
  </si>
  <si>
    <t>Gryphon Petroleum Corp.</t>
  </si>
  <si>
    <t>Suite 1210,707 - 7th Avenue SW</t>
  </si>
  <si>
    <t>Halo Exploration Ltd.</t>
  </si>
  <si>
    <t>400, 1333 - 8th Street SW</t>
  </si>
  <si>
    <t>T2R 1M6</t>
  </si>
  <si>
    <t>Hanna Oil &amp; Gas Company - Canada ULC</t>
  </si>
  <si>
    <t>Suite 200, 615 - 3rd Avenue SW</t>
  </si>
  <si>
    <t>T2P 0G6</t>
  </si>
  <si>
    <t>Harvest Operations Corp.</t>
  </si>
  <si>
    <t>Suite 1500 700 – 2nd Street SW</t>
  </si>
  <si>
    <t>T2P 2W1</t>
  </si>
  <si>
    <t>11-OCT-16 04.52.31.000000000 PM</t>
  </si>
  <si>
    <t>Hawk Exploration Ltd.</t>
  </si>
  <si>
    <t>1320 - 396, 11 Ave SW</t>
  </si>
  <si>
    <t>28-JUL-16 10.08.54.000000000 AM</t>
  </si>
  <si>
    <t>Hemisphere Energy Corporation</t>
  </si>
  <si>
    <t>2000, 1055 West Hastings St.</t>
  </si>
  <si>
    <t>Vancouver</t>
  </si>
  <si>
    <t>V6E 2E9</t>
  </si>
  <si>
    <t>23-JUL-16 09.00.05.000000000 AM</t>
  </si>
  <si>
    <t>HESC Energy Limited Partnership</t>
  </si>
  <si>
    <t>800, 903 8th AVE SW</t>
  </si>
  <si>
    <t>T2P 0P7</t>
  </si>
  <si>
    <t>Highmark Exploration Inc.</t>
  </si>
  <si>
    <t>1560-2002 Victoria Avenue</t>
  </si>
  <si>
    <t>S4P 0R7</t>
  </si>
  <si>
    <t>Hitic Energy Ltd.</t>
  </si>
  <si>
    <t>218, 404 - 6th Avenue SW</t>
  </si>
  <si>
    <t>T2P 0R9</t>
  </si>
  <si>
    <t>Horizon Drilling Inc.</t>
  </si>
  <si>
    <t>26-OCT-16 03.55.57.000000000 PM</t>
  </si>
  <si>
    <t>Hummingbird Energy Inc.</t>
  </si>
  <si>
    <t>2063 Indian Fort Dr.</t>
  </si>
  <si>
    <t>Surrey</t>
  </si>
  <si>
    <t>V4A 3L7</t>
  </si>
  <si>
    <t>30-SEP-16 06.32.24.000000000 PM</t>
  </si>
  <si>
    <t>Husky Oil Operations Limited</t>
  </si>
  <si>
    <t>P.O. Box 4490 Station D</t>
  </si>
  <si>
    <t>T2P 3G7</t>
  </si>
  <si>
    <t>Hyak Energy ULC</t>
  </si>
  <si>
    <t>Suite 110-101 6th St SW
Calgary AB</t>
  </si>
  <si>
    <t>T2P 5K7</t>
  </si>
  <si>
    <t>Ikkuma Resources Corp.</t>
  </si>
  <si>
    <t>Suite 2700, 605 – 5th Avenue SW</t>
  </si>
  <si>
    <t>27-OCT-16 12.19.31.000000000 PM</t>
  </si>
  <si>
    <t>Imperial Oil Resources</t>
  </si>
  <si>
    <t>Drilling &amp; Completion Services
237 - 4th Avenue SW</t>
  </si>
  <si>
    <t>T2P 0H6</t>
  </si>
  <si>
    <t>Inception Exploration Ltd.</t>
  </si>
  <si>
    <t>Suite 300, 808 - 4th Avenue SW</t>
  </si>
  <si>
    <t>T2P 3E8</t>
  </si>
  <si>
    <t>02-DEC-16 08.28.31.000000000 AM</t>
  </si>
  <si>
    <t>Indepth Energy Inc.</t>
  </si>
  <si>
    <t>Suite 950, 717 7 Ave SW</t>
  </si>
  <si>
    <t>27-JUL-16 03.49.21.000000000 PM</t>
  </si>
  <si>
    <t>Inplay Oil Corp.</t>
  </si>
  <si>
    <t>900, 250-5 St SW</t>
  </si>
  <si>
    <t>15-NOV-16 03.06.01.000000000 PM</t>
  </si>
  <si>
    <t>Insignia Energy Ltd.</t>
  </si>
  <si>
    <t>2300, 500 - 4th Avenue SW</t>
  </si>
  <si>
    <t>Integrated Sustainability Consultants Ltd.</t>
  </si>
  <si>
    <t>600, 540 5th Ave SW</t>
  </si>
  <si>
    <t>T2P 0M2</t>
  </si>
  <si>
    <t>Inter Pipeline Ltd.</t>
  </si>
  <si>
    <t>2600, 237 - 4th Avenue SW</t>
  </si>
  <si>
    <t>T2P 4K3</t>
  </si>
  <si>
    <t>ISH Energy Ltd.</t>
  </si>
  <si>
    <t>900 McFarlane Tower
700 -4th Avenue SW</t>
  </si>
  <si>
    <t>T2P 3J4</t>
  </si>
  <si>
    <t>Japan Canada Oil Sands Ltd.</t>
  </si>
  <si>
    <t>2300, 639 - 5th Avenue SW</t>
  </si>
  <si>
    <t>Jarrod Oils Ltd.</t>
  </si>
  <si>
    <t>PO Box 58</t>
  </si>
  <si>
    <t>26-OCT-16 02.11.01.000000000 PM</t>
  </si>
  <si>
    <t>JDM Petroleums Inc.</t>
  </si>
  <si>
    <t>629-5th Street</t>
  </si>
  <si>
    <t>S4A OP8</t>
  </si>
  <si>
    <t>Jomax Drilling (1988) Ltd.</t>
  </si>
  <si>
    <t>26-OCT-16 04.02.02.000000000 PM</t>
  </si>
  <si>
    <t>Jupiter Resources Inc.</t>
  </si>
  <si>
    <t>Suite 1100, 585 - 8 Ave SW</t>
  </si>
  <si>
    <t>K+S Potash Canada GP</t>
  </si>
  <si>
    <t>220 Wall St</t>
  </si>
  <si>
    <t>S7K 3Y3</t>
  </si>
  <si>
    <t>24-NOV-16 10.47.31.000000000 AM</t>
  </si>
  <si>
    <t>Kaiser Exploration Ltd.</t>
  </si>
  <si>
    <t>1200, 700 - 4th Avenue SW</t>
  </si>
  <si>
    <t>T2P 2J4</t>
  </si>
  <si>
    <t>Kasten Energy Inc.</t>
  </si>
  <si>
    <t>200, 407 - 3rd St SW</t>
  </si>
  <si>
    <t>T2P 4Z2</t>
  </si>
  <si>
    <t>Kelt Exploration (LNG) Ltd</t>
  </si>
  <si>
    <t>Suite 300 311 6 Avenue S.W.</t>
  </si>
  <si>
    <t>T2P 3H2</t>
  </si>
  <si>
    <t>08-NOV-16 10.29.02.000000000 AM</t>
  </si>
  <si>
    <t>Kelt Exploration Ltd.</t>
  </si>
  <si>
    <t>08-NOV-16 10.30.31.000000000 AM</t>
  </si>
  <si>
    <t>Keyera Partnership</t>
  </si>
  <si>
    <t>Sun Life Plaza West Tower
Suite 600 144 - 4th Avenue SW
Attention:  Accounts Payable</t>
  </si>
  <si>
    <t>27-OCT-16 10.52.31.000000000 AM</t>
  </si>
  <si>
    <t>Keystone Royalty Corp.</t>
  </si>
  <si>
    <t>1200, 1881 Scarth Street</t>
  </si>
  <si>
    <t>S4P 4K9</t>
  </si>
  <si>
    <t>SaP 4K9</t>
  </si>
  <si>
    <t>FWare</t>
  </si>
  <si>
    <t>Kingsland Energy Corp.</t>
  </si>
  <si>
    <t>1881 Scarth Street Suite 1500</t>
  </si>
  <si>
    <t>Kinwest 2008 Energy Inc.</t>
  </si>
  <si>
    <t>300, 615 - 3rd Avenue Sw</t>
  </si>
  <si>
    <t>Knowledge Energy Inc.</t>
  </si>
  <si>
    <t xml:space="preserve">1620, 734 - 7 Ave SW
</t>
  </si>
  <si>
    <t>Koch Oil Sands GP</t>
  </si>
  <si>
    <t>1500, 111 - 5th Ave SW</t>
  </si>
  <si>
    <t>Komat Drilling</t>
  </si>
  <si>
    <t>328 South Railway St. East</t>
  </si>
  <si>
    <t>T1A 2V4</t>
  </si>
  <si>
    <t>26-OCT-16 04.00.49.000000000 PM</t>
  </si>
  <si>
    <t>Kripa Energy Inc.</t>
  </si>
  <si>
    <t>28 Du Boise</t>
  </si>
  <si>
    <t>Kirkland</t>
  </si>
  <si>
    <t>H9J 4B3</t>
  </si>
  <si>
    <t>Lakeview Energy Inc.</t>
  </si>
  <si>
    <t>Box 20027</t>
  </si>
  <si>
    <t>Lasso Drilling Corporation</t>
  </si>
  <si>
    <t>26-OCT-16 03.53.05.000000000 PM</t>
  </si>
  <si>
    <t>Ledcor Pipeline Limited</t>
  </si>
  <si>
    <t>9910 - 39 Ave NW</t>
  </si>
  <si>
    <t>T6E 5H8</t>
  </si>
  <si>
    <t>Legacy Oil &amp; Gas Inc.</t>
  </si>
  <si>
    <t>4400, 525 - 8 Ave SW</t>
  </si>
  <si>
    <t>Lehigh Inland Cement Ltd</t>
  </si>
  <si>
    <t>C/O Lockbox 310170 PO Box 578 STNM</t>
  </si>
  <si>
    <t xml:space="preserve"> T2P 2J3</t>
  </si>
  <si>
    <t>12-OCT-16 11.00.01.000000000 AM</t>
  </si>
  <si>
    <t>Leucrotta Exploration Ltd.</t>
  </si>
  <si>
    <t>27-OCT-16 12.25.00.000000000 PM</t>
  </si>
  <si>
    <t>Lightstream Resources Ltd.</t>
  </si>
  <si>
    <t>2800, 525 - 8th Avenue SW</t>
  </si>
  <si>
    <t>09-AUG-16 03.09.34.000000000 PM</t>
  </si>
  <si>
    <t>Long Run Exploration Ltd.</t>
  </si>
  <si>
    <t>400, 250 – 2nd Street SW</t>
  </si>
  <si>
    <t>T2P 0C1</t>
  </si>
  <si>
    <t>27-OCT-16 08.18.31.000000000 AM</t>
  </si>
  <si>
    <t>Longview Oil Corp.</t>
  </si>
  <si>
    <t>Canterra Tower
Suite 700, 400 - 3rd Avenue SW</t>
  </si>
  <si>
    <t>Losness Drilling</t>
  </si>
  <si>
    <t>PO Box 145</t>
  </si>
  <si>
    <t>Lougheed</t>
  </si>
  <si>
    <t>T0B 2V0</t>
  </si>
  <si>
    <t>MacBain Properties Ltd.</t>
  </si>
  <si>
    <t>200, 505 - 2nd Street SW</t>
  </si>
  <si>
    <t>T2P 1N8</t>
  </si>
  <si>
    <t>27-JUL-16 03.45.47.000000000 PM</t>
  </si>
  <si>
    <t>MacKay Operating Corp.</t>
  </si>
  <si>
    <t>Suite 1000, 150 - 9th Avenue SW</t>
  </si>
  <si>
    <t>Major Oil and Gas Ltd.</t>
  </si>
  <si>
    <t>1404 - 683, 10 st SW</t>
  </si>
  <si>
    <t>T2P 5G3</t>
  </si>
  <si>
    <t>Mancal Energy Inc.</t>
  </si>
  <si>
    <t>P.O. Box 2526, Station M</t>
  </si>
  <si>
    <t>T2P 5G2</t>
  </si>
  <si>
    <t>Manitok Energy Inc.</t>
  </si>
  <si>
    <t>Suite 2600, 585 8th Ave SW</t>
  </si>
  <si>
    <t>Mapan Energy Ltd.</t>
  </si>
  <si>
    <t>Suite 1910, 605 – 5th Avenue SW</t>
  </si>
  <si>
    <t>T29 3H5</t>
  </si>
  <si>
    <t>Marquee Energy Ltd.</t>
  </si>
  <si>
    <t>1700, 500 - 4th Avenue SW</t>
  </si>
  <si>
    <t>Martin Brower of Canada Co.</t>
  </si>
  <si>
    <t>6990 Creditview Road, Unit #5</t>
  </si>
  <si>
    <t>Mississauga</t>
  </si>
  <si>
    <t>L5N 8R9</t>
  </si>
  <si>
    <t>MEG Energy Corp.</t>
  </si>
  <si>
    <t>1100, 520 - 3rd Avenue SW</t>
  </si>
  <si>
    <t>31-OCT-16 03.57.31.000000000 PM</t>
  </si>
  <si>
    <t>Melita Resources Ltd.</t>
  </si>
  <si>
    <t>Box 457</t>
  </si>
  <si>
    <t>Melita</t>
  </si>
  <si>
    <t>R0M 1L0</t>
  </si>
  <si>
    <t>Midale Petroleums Ltd.</t>
  </si>
  <si>
    <t>P.O. Box 419</t>
  </si>
  <si>
    <t>Midale</t>
  </si>
  <si>
    <t>S0C 1S0</t>
  </si>
  <si>
    <t>Mobius Resources Corp</t>
  </si>
  <si>
    <t>Suite 1800
505 - 3rd Street SW</t>
  </si>
  <si>
    <t>Mosaic Energy Ltd.</t>
  </si>
  <si>
    <t>Suite 900, 606 – 4th Street SW</t>
  </si>
  <si>
    <t>T2P 1T1</t>
  </si>
  <si>
    <t>Mosaic Potash Colonsay</t>
  </si>
  <si>
    <t>Junction Highway 16 &amp; 2</t>
  </si>
  <si>
    <t>Colonsay</t>
  </si>
  <si>
    <t>S0K 0Z0</t>
  </si>
  <si>
    <t>22-NOV-16 04.15.31.000000000 PM</t>
  </si>
  <si>
    <t>Mosaic Potash Esterhazy</t>
  </si>
  <si>
    <t>SK- 637</t>
  </si>
  <si>
    <t>Esterhazy</t>
  </si>
  <si>
    <t>S0A 0X0</t>
  </si>
  <si>
    <t>Mountain Coil Tubing</t>
  </si>
  <si>
    <t>Suite 400, 707 – 7th Ave SW</t>
  </si>
  <si>
    <t>CGaine</t>
  </si>
  <si>
    <t>24-AUG-16 02.48.23.000000000 PM</t>
  </si>
  <si>
    <t>Murphy Oil Company Ltd.</t>
  </si>
  <si>
    <t>Attn: Accounts Payable
P.O. Box 2721, Stn M</t>
  </si>
  <si>
    <t>T2P 3Y3</t>
  </si>
  <si>
    <t>Mutiny Oil &amp; Gas Ltd.</t>
  </si>
  <si>
    <t>801 - 6 Ave SW</t>
  </si>
  <si>
    <t>T2P 3W2</t>
  </si>
  <si>
    <t>Nabors Drilling</t>
  </si>
  <si>
    <t>26-OCT-16 04.01.32.000000000 PM</t>
  </si>
  <si>
    <t>NAL Resources Limited</t>
  </si>
  <si>
    <t>600, 550-6th Ave SW</t>
  </si>
  <si>
    <t>30-NOV-16 11.44.30.000000000 AM</t>
  </si>
  <si>
    <t>NEP Canada ULC</t>
  </si>
  <si>
    <t>1700 250 6 Ave SW</t>
  </si>
  <si>
    <t>New Star Energy Ltd.</t>
  </si>
  <si>
    <t>1500, 444-5th Avenue SW</t>
  </si>
  <si>
    <t>27-JUL-16 02.05.36.000000000 PM</t>
  </si>
  <si>
    <t>Newalta Corp.</t>
  </si>
  <si>
    <t>211 11th Avenue Sw</t>
  </si>
  <si>
    <t>T2R 0C6</t>
  </si>
  <si>
    <t>Nexen Energy ULC</t>
  </si>
  <si>
    <t>2900, 801 - 7th Avenue SW</t>
  </si>
  <si>
    <t>T2P 3P7</t>
  </si>
  <si>
    <t>Nextraction Energy Corp.</t>
  </si>
  <si>
    <t xml:space="preserve">254 – 250 6th Avenue SW,
PO Box 20004 Bow Valley
</t>
  </si>
  <si>
    <t>T2P 4H3</t>
  </si>
  <si>
    <t>Nexxco Energy Ltd.</t>
  </si>
  <si>
    <t>Suite 910, 250-5th Street SW</t>
  </si>
  <si>
    <t>Nordegg Resources Inc.</t>
  </si>
  <si>
    <t>#1700, 444-5th Avenue S.W.</t>
  </si>
  <si>
    <t>North American Helium Inc.</t>
  </si>
  <si>
    <t>101, 750 11 ST SW</t>
  </si>
  <si>
    <t>T2P 3N7</t>
  </si>
  <si>
    <t>20-JUL-16 01.24.24.000000000 PM</t>
  </si>
  <si>
    <t>Northern Blizzard Resources Inc.</t>
  </si>
  <si>
    <t>1900, 421 - 7th Ave SW</t>
  </si>
  <si>
    <t>Northpoint Resources Ltd.</t>
  </si>
  <si>
    <t>700, 505 - 3 St SW</t>
  </si>
  <si>
    <t>28-JUL-16 10.09.58.000000000 AM</t>
  </si>
  <si>
    <t>NOVA Chemicals Corporation</t>
  </si>
  <si>
    <t>1000-7th Ave SW</t>
  </si>
  <si>
    <t>T2P 5C6</t>
  </si>
  <si>
    <t>01-NOV-16 03.46.01.000000000 PM</t>
  </si>
  <si>
    <t>Novus Energy Inc.</t>
  </si>
  <si>
    <t>1700, 700 - 4th Ave SW</t>
  </si>
  <si>
    <t>08-DEC-16 08.27.01.000000000 AM</t>
  </si>
  <si>
    <t>NuVista Energy Ltd.</t>
  </si>
  <si>
    <t>3500, 700 - 2nd Street SW</t>
  </si>
  <si>
    <t>NVP Exploration INC</t>
  </si>
  <si>
    <t>1110, 340 12th Avenue SW</t>
  </si>
  <si>
    <t>Nytis Exploration Co Inc.</t>
  </si>
  <si>
    <t>1520, 700-6th Ave SW</t>
  </si>
  <si>
    <t>T2P 0T8</t>
  </si>
  <si>
    <t>27-OCT-16 12.46.31.000000000 PM</t>
  </si>
  <si>
    <t>Oak Point C/o ProspEx Resource Mgt Ltd.</t>
  </si>
  <si>
    <t>1250, 396-11th Ave SW</t>
  </si>
  <si>
    <t>Octane Engineering</t>
  </si>
  <si>
    <t>Suite 1600, 144 – 4th Ave SW</t>
  </si>
  <si>
    <t>OMERS Energy Inc.</t>
  </si>
  <si>
    <t>Centennial Place - East Tower
30th Floor, 520 - 3rd Avenue SW</t>
  </si>
  <si>
    <t>ORLEN Upstream Canada Ltd.</t>
  </si>
  <si>
    <t>400-850 2nd Street SW</t>
  </si>
  <si>
    <t>T2P0R8</t>
  </si>
  <si>
    <t>OSUM Oil Sands Corp.</t>
  </si>
  <si>
    <t>Suite 1900, 255-5th Avenue SW</t>
  </si>
  <si>
    <t>31-OCT-16 03.24.38.000000000 PM</t>
  </si>
  <si>
    <t>Ouro Preto Resources Inc.</t>
  </si>
  <si>
    <t xml:space="preserve">1000, 640 – 8th Avenue SW
</t>
  </si>
  <si>
    <t>T2P 1G7</t>
  </si>
  <si>
    <t>Painted Pony Petroleum Ltd.</t>
  </si>
  <si>
    <t>1800 - 736 6th Avenue SW</t>
  </si>
  <si>
    <t>Palliser Oil and Gas Corporation</t>
  </si>
  <si>
    <t>600, 255-5th Avenue SW
Bow Valley Square III</t>
  </si>
  <si>
    <t>Panther Drilling Corp.</t>
  </si>
  <si>
    <t>26-OCT-16 04.10.42.000000000 PM</t>
  </si>
  <si>
    <t>Paradise Petroleums Ltd.</t>
  </si>
  <si>
    <t>10801 Bonaventure Drive SE</t>
  </si>
  <si>
    <t>T2J 6Z8</t>
  </si>
  <si>
    <t>Paramount Resources Ltd.</t>
  </si>
  <si>
    <t>4700, 888 - 3rd Street SW</t>
  </si>
  <si>
    <t>T2P 5C5</t>
  </si>
  <si>
    <t>Patterson-UTI Drilling</t>
  </si>
  <si>
    <t>26-OCT-16 04.04.05.000000000 PM</t>
  </si>
  <si>
    <t>Peaceland Farms Ltd.</t>
  </si>
  <si>
    <t>PO Box 6051</t>
  </si>
  <si>
    <t>V1J 4H6</t>
  </si>
  <si>
    <t>Peaceland Oilfield Services Ltd.</t>
  </si>
  <si>
    <t>P.O.BOX 6132</t>
  </si>
  <si>
    <t>14-SEP-16 01.52.42.000000000 PM</t>
  </si>
  <si>
    <t>Pembina Pipeline Corp.</t>
  </si>
  <si>
    <t>8111 – 110 Street</t>
  </si>
  <si>
    <t>T8W 6T2</t>
  </si>
  <si>
    <t>Pengrowth Corporation</t>
  </si>
  <si>
    <t>2100, 222 - 3rd Avenue SW</t>
  </si>
  <si>
    <t>T2P 0B6</t>
  </si>
  <si>
    <t>Penn West Petroleum Ltd.</t>
  </si>
  <si>
    <t>200, 207 - 9th Avenue SW</t>
  </si>
  <si>
    <t>Perpetual Energy Inc.</t>
  </si>
  <si>
    <t>3200, 605 - 5th Avenue SW</t>
  </si>
  <si>
    <t>Petrex Energy Ltd.</t>
  </si>
  <si>
    <t>#300, 1601 Westmount Road NW</t>
  </si>
  <si>
    <t>Petrus Resources Ltd.</t>
  </si>
  <si>
    <t>2400, 240 - 4th Avenue SW</t>
  </si>
  <si>
    <t>Peyto Exploration &amp; Development Corp.</t>
  </si>
  <si>
    <t>300, 600 - 3rd Ave SW</t>
  </si>
  <si>
    <t>T2P 0G5</t>
  </si>
  <si>
    <t>Pinecrest Energy Inc.</t>
  </si>
  <si>
    <t>500, 255 - 5th Avenue SW</t>
  </si>
  <si>
    <t>Plains Midstream Canada</t>
  </si>
  <si>
    <t>1400, 607 - 8th Avenue SW</t>
  </si>
  <si>
    <t>T2P 0A7</t>
  </si>
  <si>
    <t>Polar Star Canadian Oil and Gas, Inc.</t>
  </si>
  <si>
    <t>1900, 700 - 4th Ave SW</t>
  </si>
  <si>
    <t>24-AUG-16 02.50.38.000000000 PM</t>
  </si>
  <si>
    <t>Postell Energy Co. Ltd.</t>
  </si>
  <si>
    <t>Suite 720, 903 8th Ave SW</t>
  </si>
  <si>
    <t>Potash Corp</t>
  </si>
  <si>
    <t>Suite 500
122-1st Avenue South</t>
  </si>
  <si>
    <t>S7K 7G3</t>
  </si>
  <si>
    <t>Potts Petroleum Inc.</t>
  </si>
  <si>
    <t>500, 540 - 5th Avenue SW</t>
  </si>
  <si>
    <t>Prairie Provident Resources Canada Ltd.</t>
  </si>
  <si>
    <t>1100, 640 - 5th Avenue SW</t>
  </si>
  <si>
    <t>01-NOV-16 06.56.31.000000000 AM</t>
  </si>
  <si>
    <t>Praxair Services</t>
  </si>
  <si>
    <t>9020 - 24th Street</t>
  </si>
  <si>
    <t>T6P 1X8</t>
  </si>
  <si>
    <t>Precision Drilling</t>
  </si>
  <si>
    <t>800, 525 - 8th Avenue SW</t>
  </si>
  <si>
    <t>26-OCT-16 03.49.19.000000000 PM</t>
  </si>
  <si>
    <t>Predator Drilling Inc.</t>
  </si>
  <si>
    <t>211, 37428 RR273</t>
  </si>
  <si>
    <t>Clearview Industrial Park,</t>
  </si>
  <si>
    <t>T4E 0A1</t>
  </si>
  <si>
    <t>26-OCT-16 03.56.20.000000000 PM</t>
  </si>
  <si>
    <t>Progress Energy Canada Ltd.</t>
  </si>
  <si>
    <t>1200, 205 - 5th Avenue SW</t>
  </si>
  <si>
    <t>T2P 2V7</t>
  </si>
  <si>
    <t>Prosper Petroleum Ltd.</t>
  </si>
  <si>
    <t>Suite 1000,521 - 3rd Avenue SW</t>
  </si>
  <si>
    <t>T2P 3T3</t>
  </si>
  <si>
    <t>Questerre Energy Corporation</t>
  </si>
  <si>
    <t>1650, 801 - 6th Avenue SW</t>
  </si>
  <si>
    <t>Questfire Energy Corporation</t>
  </si>
  <si>
    <t>110, 350 - 7 Ave SW</t>
  </si>
  <si>
    <t>Quinn Drilling Inc.</t>
  </si>
  <si>
    <t>26-OCT-16 04.23.32.000000000 PM</t>
  </si>
  <si>
    <t>Quintera Drilling</t>
  </si>
  <si>
    <t>26-OCT-16 03.50.46.000000000 PM</t>
  </si>
  <si>
    <t>R Batke Oilfield Ltd. NLSD Trade Exposure Centre</t>
  </si>
  <si>
    <t>PO Box 6515</t>
  </si>
  <si>
    <t>Bonnyville</t>
  </si>
  <si>
    <t>T9N 1H1</t>
  </si>
  <si>
    <t>Raging River Exploration Inc.</t>
  </si>
  <si>
    <t>710, 400-5th Avenue SW</t>
  </si>
  <si>
    <t>T2P 0L6</t>
  </si>
  <si>
    <t>Rally Canada Resources Ltd.</t>
  </si>
  <si>
    <t>Suite 520, 815 - 8 Ave SW</t>
  </si>
  <si>
    <t>Rampart Oil Inc.</t>
  </si>
  <si>
    <t>1100, 736 - 8th Ave SW</t>
  </si>
  <si>
    <t>04-OCT-16 03.56.49.000000000 PM</t>
  </si>
  <si>
    <t>Ravens Cross Energy</t>
  </si>
  <si>
    <t>P.O. Box 2500</t>
  </si>
  <si>
    <t>Kindersley</t>
  </si>
  <si>
    <t>S0L 1S0</t>
  </si>
  <si>
    <t>Ravens Cross Energy Ltd.</t>
  </si>
  <si>
    <t>Recem Inc.</t>
  </si>
  <si>
    <t xml:space="preserve"> 10044 - 94 St NW</t>
  </si>
  <si>
    <t>T5H 1Z3</t>
  </si>
  <si>
    <t>Red Dog Drilling Inc.</t>
  </si>
  <si>
    <t>26-OCT-16 04.09.30.000000000 PM</t>
  </si>
  <si>
    <t>Red River Oil Inc.</t>
  </si>
  <si>
    <t>600, 521 - 3rd Avenue SW</t>
  </si>
  <si>
    <t>16-NOV-16 01.25.31.000000000 PM</t>
  </si>
  <si>
    <t>Regco Petroleums Ltd.</t>
  </si>
  <si>
    <t>Box 394 3-11 Bellrose Drive</t>
  </si>
  <si>
    <t>St. Albert</t>
  </si>
  <si>
    <t>T8N 5C9</t>
  </si>
  <si>
    <t>Relentless Resources Ltd.</t>
  </si>
  <si>
    <t>855, 700 - 4th Avenue SW</t>
  </si>
  <si>
    <t>06-DEC-16 01.20.01.000000000 PM</t>
  </si>
  <si>
    <t>Renegade Petroleum Ltd.</t>
  </si>
  <si>
    <t>500, 850 - 2nd Street SW</t>
  </si>
  <si>
    <t>T2P 0R8</t>
  </si>
  <si>
    <t>Repsol Oil &amp; Gas Canada Inc.</t>
  </si>
  <si>
    <t>3400, 888 - 3rd Street SW</t>
  </si>
  <si>
    <t>Resourceful Petroleum Canada Limited</t>
  </si>
  <si>
    <t>#1800, 510-5th Street SW</t>
  </si>
  <si>
    <t>T2P 3S2</t>
  </si>
  <si>
    <t>Response Energy Corporation</t>
  </si>
  <si>
    <t>1200, 521 3 Ave SW</t>
  </si>
  <si>
    <t>27-JUL-16 02.07.39.000000000 PM</t>
  </si>
  <si>
    <t>Ribbon Creek Resources Inc.</t>
  </si>
  <si>
    <t>1100, 521 - 3rd Ave SW</t>
  </si>
  <si>
    <t>27-JUL-16 03.44.04.000000000 PM</t>
  </si>
  <si>
    <t>Rife Resources Ltd.</t>
  </si>
  <si>
    <t>400, 144 - 4th Avenue SW</t>
  </si>
  <si>
    <t>27-JUL-16 03.50.10.000000000 PM</t>
  </si>
  <si>
    <t>Rifleman Exploration Ltd.</t>
  </si>
  <si>
    <t>1705 Montgomery Park SE</t>
  </si>
  <si>
    <t>High River</t>
  </si>
  <si>
    <t>T1V 0B8</t>
  </si>
  <si>
    <t>Rock Energy Inc.</t>
  </si>
  <si>
    <t>2000, 530 - 8 Ave SW</t>
  </si>
  <si>
    <t>RockEast Energy Corporation</t>
  </si>
  <si>
    <t>Suite 780, 815-8th Avenue SW</t>
  </si>
  <si>
    <t>Rocky River Petroleum Ltd.</t>
  </si>
  <si>
    <t>325, 333 - 24th Ave SW</t>
  </si>
  <si>
    <t>T2S 3E6</t>
  </si>
  <si>
    <t>27-JUL-16 03.43.07.000000000 PM</t>
  </si>
  <si>
    <t>Ron Resources Ltd.</t>
  </si>
  <si>
    <t>Box 2169</t>
  </si>
  <si>
    <t>Sundre</t>
  </si>
  <si>
    <t>T0M 1X0</t>
  </si>
  <si>
    <t>Sahara Energy Ltd.</t>
  </si>
  <si>
    <t>Suite 700, 700 4th Avenue S.W.</t>
  </si>
  <si>
    <t>27-JUL-16 02.06.30.000000000 PM</t>
  </si>
  <si>
    <t>Sanjel Corporation</t>
  </si>
  <si>
    <t>200, 505 - 2nd Street S.W.</t>
  </si>
  <si>
    <t>28-JUL-16 10.53.26.000000000 AM</t>
  </si>
  <si>
    <t>Savanna Drilling</t>
  </si>
  <si>
    <t>26-OCT-16 03.50.27.000000000 PM</t>
  </si>
  <si>
    <t>Savanna Well Servicing</t>
  </si>
  <si>
    <t>311 6 Ave SW #800</t>
  </si>
  <si>
    <t>T2P 4M9</t>
  </si>
  <si>
    <t>pdoeleman</t>
  </si>
  <si>
    <t>01-SEP-16 03.19.22.000000000 PM</t>
  </si>
  <si>
    <t>Scavenger Energy GP Inc.</t>
  </si>
  <si>
    <t>400, 900 – 6th Ave SW</t>
  </si>
  <si>
    <t>Second Wave Petroleum Inc.</t>
  </si>
  <si>
    <t>1400, 202 6 Ave SW</t>
  </si>
  <si>
    <t>Secure Energy Services Inc.</t>
  </si>
  <si>
    <t>Bow Valley Square 2
3600, 205 5th Ave SW</t>
  </si>
  <si>
    <t>Serafina Energy Ltd.</t>
  </si>
  <si>
    <t>700, 324 - 8th Avenue SW</t>
  </si>
  <si>
    <t>14-NOV-16 09.40.31.000000000 AM</t>
  </si>
  <si>
    <t>Seven Generations Energy Ltd.</t>
  </si>
  <si>
    <t>Suite 300, 140-8th Avenue SW</t>
  </si>
  <si>
    <t>T2P 1B3</t>
  </si>
  <si>
    <t>16-NOV-16 01.04.01.000000000 PM</t>
  </si>
  <si>
    <t>Shell Canada Energy</t>
  </si>
  <si>
    <t>PO BOX 2247
Station 100</t>
  </si>
  <si>
    <t>T2P 2M6</t>
  </si>
  <si>
    <t>27-OCT-16 10.54.31.000000000 AM</t>
  </si>
  <si>
    <t>Shield Energy Ltd.</t>
  </si>
  <si>
    <t>1260, 840 - 7 Ave SW</t>
  </si>
  <si>
    <t>Shiningstar Energy Ltd.</t>
  </si>
  <si>
    <t>820, 333-5th Avenue SW</t>
  </si>
  <si>
    <t>Sinopec Daylight Energy Ltd.</t>
  </si>
  <si>
    <t>2700, 112-4th Ave SW</t>
  </si>
  <si>
    <t>T2P 0H3</t>
  </si>
  <si>
    <t>27-OCT-16 10.55.30.000000000 AM</t>
  </si>
  <si>
    <t>Sirius Well Manufacturing Services Canada Ltd.</t>
  </si>
  <si>
    <t>355 4th Ave SW, Suite 840</t>
  </si>
  <si>
    <t>26-OCT-16 04.06.33.000000000 PM</t>
  </si>
  <si>
    <t>Sitka Exploration Ltd</t>
  </si>
  <si>
    <t>1500, 505 3St SW</t>
  </si>
  <si>
    <t>27-OCT-16 12.37.01.000000000 PM</t>
  </si>
  <si>
    <t>Southern Pacific Resource Corp.</t>
  </si>
  <si>
    <t>Bow Valley Square II
1700, 205 - 5th Avenue SW</t>
  </si>
  <si>
    <t>Spartan Energy Corp.</t>
  </si>
  <si>
    <t>Suite 500, 850 - 2nd Street SW</t>
  </si>
  <si>
    <t>Spectrum Wireline Services Ltd.</t>
  </si>
  <si>
    <t>420 - 333  5th ave sw</t>
  </si>
  <si>
    <t>Sphere Energy Corp</t>
  </si>
  <si>
    <t>750, 815 - 8th Avenue SW</t>
  </si>
  <si>
    <t>Spry2 Energy Inc.</t>
  </si>
  <si>
    <t>1900, 407 - 2nd Street SW</t>
  </si>
  <si>
    <t>Spur Energy Corporation</t>
  </si>
  <si>
    <t>521, 500 Allen Street</t>
  </si>
  <si>
    <t>T4B 1J6</t>
  </si>
  <si>
    <t>Spur Resources Ltd.</t>
  </si>
  <si>
    <t>1200, 332 - 6th Avenue SW</t>
  </si>
  <si>
    <t>T2P 0B2</t>
  </si>
  <si>
    <t>Spyglass Resources Corp.</t>
  </si>
  <si>
    <t>Livingston Place  |  West Tower
1700, 250 - 2nd Street SW</t>
  </si>
  <si>
    <t>Stampede Drilling Ltd</t>
  </si>
  <si>
    <t>304 Petterson Dr</t>
  </si>
  <si>
    <t>S4A 1N7</t>
  </si>
  <si>
    <t>26-OCT-16 04.09.00.000000000 PM</t>
  </si>
  <si>
    <t>Standard Exploration Ltd.</t>
  </si>
  <si>
    <t>200 816 7 Ave SW</t>
  </si>
  <si>
    <t>T2P1A1</t>
  </si>
  <si>
    <t>Star Valley Drilling Ltd.</t>
  </si>
  <si>
    <t>26-OCT-16 04.31.57.000000000 PM</t>
  </si>
  <si>
    <t>Steel Reef Infrastructure Corp.</t>
  </si>
  <si>
    <t>Suite 515 - 505, 8 Ave SW</t>
  </si>
  <si>
    <t>T2P 1G2</t>
  </si>
  <si>
    <t>STEP Energy Services Ltd.</t>
  </si>
  <si>
    <t>300, 505 - 3rd Street SW</t>
  </si>
  <si>
    <t>01-NOV-16 11.22.05.000000000 AM</t>
  </si>
  <si>
    <t>Steppe Petroleum Inc.</t>
  </si>
  <si>
    <t>450, 440-2nd Ave SW</t>
  </si>
  <si>
    <t>18-NOV-16 10.41.01.000000000 AM</t>
  </si>
  <si>
    <t>Stewart Steel</t>
  </si>
  <si>
    <t>PO Box 1087</t>
  </si>
  <si>
    <t>S4H 2L3</t>
  </si>
  <si>
    <t>05-DEC-16 04.44.01.000000000 PM</t>
  </si>
  <si>
    <t>Strategic Oil &amp; Gas Ltd.</t>
  </si>
  <si>
    <t>Suite 1100, 645 – 7th Avenue SW</t>
  </si>
  <si>
    <t>T2P 4G8</t>
  </si>
  <si>
    <t>Striker Exploration Corp.</t>
  </si>
  <si>
    <t>1250, 645 - 7 Ave SW</t>
  </si>
  <si>
    <t>Success Resources Ltd.</t>
  </si>
  <si>
    <t>Box 1042</t>
  </si>
  <si>
    <t>T1R 1B8</t>
  </si>
  <si>
    <t>Suncor Energy Inc.</t>
  </si>
  <si>
    <t>P.O. Box 38</t>
  </si>
  <si>
    <t>T2P 2V5</t>
  </si>
  <si>
    <t>Suncor Energy Oil Sands Limited Partnership</t>
  </si>
  <si>
    <t>Box 38
112 - 4th Avenue SW</t>
  </si>
  <si>
    <t>Surge Energy Inc.</t>
  </si>
  <si>
    <t>2100, 635 - 8th Avenue SW</t>
  </si>
  <si>
    <t>11-NOV-16 07.26.32.000000000 AM</t>
  </si>
  <si>
    <t>Sydco Energy Inc.</t>
  </si>
  <si>
    <t>400 620 12 Ave SW</t>
  </si>
  <si>
    <t>T2R 0H5</t>
  </si>
  <si>
    <t>Taku Gas Ltd.</t>
  </si>
  <si>
    <t>450, 707 - 7th Avenue SW</t>
  </si>
  <si>
    <t>Tamarack Valley Energy Ltd.</t>
  </si>
  <si>
    <t>3100, 250 - 6th Ave SW</t>
  </si>
  <si>
    <t>Tangle Creek Energy Ltd.</t>
  </si>
  <si>
    <t>1400, 715 - 5th Avenue SW</t>
  </si>
  <si>
    <t>T2P 2X6</t>
  </si>
  <si>
    <t>03-NOV-16 05.50.32.000000000 PM</t>
  </si>
  <si>
    <t>TAQA North Ltd.</t>
  </si>
  <si>
    <t>2100, 308 - 4th Ave SW</t>
  </si>
  <si>
    <t>Teine Energy Ltd.</t>
  </si>
  <si>
    <t>2300, 520 - 3rd Avenue SW</t>
  </si>
  <si>
    <t>Tempco Drilling Company Inc.</t>
  </si>
  <si>
    <t>26-OCT-16 03.57.55.000000000 PM</t>
  </si>
  <si>
    <t>Term Oil Inc.</t>
  </si>
  <si>
    <t>2027 Edgar St</t>
  </si>
  <si>
    <t>S4N 3K5</t>
  </si>
  <si>
    <t>27-JUL-16 03.50.28.000000000 PM</t>
  </si>
  <si>
    <t>Tetonka Resources Inc.</t>
  </si>
  <si>
    <t>2600, 144 - 4th Avenue SW</t>
  </si>
  <si>
    <t>The Crossing Company Incorporated</t>
  </si>
  <si>
    <t>1807 8 Street</t>
  </si>
  <si>
    <t>T9E 7S8</t>
  </si>
  <si>
    <t>Thru Tubing Solutions</t>
  </si>
  <si>
    <t>1210, 540 5th Ave SW</t>
  </si>
  <si>
    <t>Todd Energy Canada Ltd.</t>
  </si>
  <si>
    <t>3100, 500 – 4th Ave SW</t>
  </si>
  <si>
    <t>TORC Oil &amp; Gas Ltd.</t>
  </si>
  <si>
    <t>1800, 525 - 8th Avenue SW</t>
  </si>
  <si>
    <t>Toro Oil and Gas Ltd.</t>
  </si>
  <si>
    <t>2200, 250 5th St SW</t>
  </si>
  <si>
    <t>Tourmaline Oil Corp.</t>
  </si>
  <si>
    <t>3700, 250 - 6th Avenue SW</t>
  </si>
  <si>
    <t>06-DEC-16 02.23.31.000000000 PM</t>
  </si>
  <si>
    <t>Town of Elrose</t>
  </si>
  <si>
    <t>400-441 5 Avenue SW</t>
  </si>
  <si>
    <t>T2P 2V1</t>
  </si>
  <si>
    <t>Treo Drilling Company LP</t>
  </si>
  <si>
    <t>26-OCT-16 03.59.20.000000000 PM</t>
  </si>
  <si>
    <t>Triland Energy Inc.</t>
  </si>
  <si>
    <t>1210-396 11 Avenue SW</t>
  </si>
  <si>
    <t>Trilogy Energy LP</t>
  </si>
  <si>
    <t>1400, 332 - 6th Avenue SW</t>
  </si>
  <si>
    <t>Trinidad Drilling Ltd.</t>
  </si>
  <si>
    <t>1000, 585 8th Ave SW</t>
  </si>
  <si>
    <t>01-SEP-16 03.36.29.000000000 PM</t>
  </si>
  <si>
    <t>Tristar Resource Management Ltd.</t>
  </si>
  <si>
    <t>800, 815 - 8th Avenue SW</t>
  </si>
  <si>
    <t>Tundra Oil &amp; Gas Partnership</t>
  </si>
  <si>
    <t>1700 - one Lombard Place</t>
  </si>
  <si>
    <t>Winnipeg</t>
  </si>
  <si>
    <t>R3B 0X3</t>
  </si>
  <si>
    <t>Turnstone Energy Inc.</t>
  </si>
  <si>
    <t>03-NOV-16 02.48.31.000000000 PM</t>
  </si>
  <si>
    <t>Tuscany Energy Ltd.</t>
  </si>
  <si>
    <t>1800, 633 - 6th Avenue SW</t>
  </si>
  <si>
    <t>Twilight Drilling Ltd.</t>
  </si>
  <si>
    <t>26-OCT-16 04.31.46.000000000 PM</t>
  </si>
  <si>
    <t>Twin Butte Energy Ltd.</t>
  </si>
  <si>
    <t>410, 396 - 11th Avenue SW</t>
  </si>
  <si>
    <t>UGR Blair Creek Ltd.</t>
  </si>
  <si>
    <t>700, 736 - 8th Avenue SW</t>
  </si>
  <si>
    <t>16-NOV-16 03.54.01.000000000 PM</t>
  </si>
  <si>
    <t>Vale Potash Canada Ltd.</t>
  </si>
  <si>
    <t>1874 Scarth St</t>
  </si>
  <si>
    <t>S4P 4B3</t>
  </si>
  <si>
    <t>Velvet Energy Ltd.</t>
  </si>
  <si>
    <t>Suite 1500, 308 - 4th Ave SW</t>
  </si>
  <si>
    <t>Ventura Resources Inc</t>
  </si>
  <si>
    <t>3300, 308 - 4th Avenue SW</t>
  </si>
  <si>
    <t>30-SEP-16 06.39.26.000000000 PM</t>
  </si>
  <si>
    <t>Venturion Oil Limited</t>
  </si>
  <si>
    <t>#1600, 500-4th Ave SW</t>
  </si>
  <si>
    <t>Vermilion Energy Trust</t>
  </si>
  <si>
    <t>Centennial Place
3500, 520 - 3rd Avenue SW</t>
  </si>
  <si>
    <t>Villanova 4 Oil Corp.</t>
  </si>
  <si>
    <t>Box 35</t>
  </si>
  <si>
    <t>Griffin</t>
  </si>
  <si>
    <t xml:space="preserve"> S0C 1G0</t>
  </si>
  <si>
    <t>27-OCT-16 10.56.31.000000000 AM</t>
  </si>
  <si>
    <t>Virginia Hills Oil Corp.</t>
  </si>
  <si>
    <t>1500, 202 - 6th Ave SW</t>
  </si>
  <si>
    <t>Vital Energy Inc.</t>
  </si>
  <si>
    <t>Suite 500, 940 - 6th Avenue SW</t>
  </si>
  <si>
    <t>T2P 3T1</t>
  </si>
  <si>
    <t>Vortex Drilling Ltd.</t>
  </si>
  <si>
    <t>26-OCT-16 04.31.28.000000000 PM</t>
  </si>
  <si>
    <t>WAJAX Power Systems</t>
  </si>
  <si>
    <t xml:space="preserve">4343-114 Avenue SE
</t>
  </si>
  <si>
    <t>T2Z 3M5</t>
  </si>
  <si>
    <t>Westbrick Energy Ltd.</t>
  </si>
  <si>
    <t>2500, 255 - 5th Ave SW</t>
  </si>
  <si>
    <t>27-OCT-16 11.12.01.000000000 AM</t>
  </si>
  <si>
    <t>Western Star North</t>
  </si>
  <si>
    <t>15205 - 112 Avenue NW</t>
  </si>
  <si>
    <t>T5M 2V7</t>
  </si>
  <si>
    <t>Western Union Petro (Canada) Technology Co. Ltd.</t>
  </si>
  <si>
    <t>Suite 115, BP Centre 240 - 4 Avenue SW</t>
  </si>
  <si>
    <t>Whitecap Resources Inc.</t>
  </si>
  <si>
    <t>3800, 525 - 8 Ave SW</t>
  </si>
  <si>
    <t>Wolf Coulee Resources Inc.</t>
  </si>
  <si>
    <t>2410, 500 - 4th Avenue SW</t>
  </si>
  <si>
    <t>WSP Canada Inc.</t>
  </si>
  <si>
    <t>5940 Macleod Trail SW, Suite 900</t>
  </si>
  <si>
    <t>T2H 2G4</t>
  </si>
  <si>
    <t>Wyatt Oil &amp; Gas Inc.</t>
  </si>
  <si>
    <t>XTO Energy Canada</t>
  </si>
  <si>
    <t>Suite 600, 321 6th Avenue SW</t>
  </si>
  <si>
    <t>T2P 3H3</t>
  </si>
  <si>
    <t>Xtreme Coil Drilling Corp.</t>
  </si>
  <si>
    <t>26-OCT-16 04.05.12.000000000 PM</t>
  </si>
  <si>
    <t>Yangarra Resources Ltd.</t>
  </si>
  <si>
    <t>1530, 715 - 5th Avenue SW</t>
  </si>
  <si>
    <t>Yoho Resources Partnership</t>
  </si>
  <si>
    <t>500, 521 - 3rd Avenue SW</t>
  </si>
  <si>
    <t>31-OCT-16 02.55.34.000000000 PM</t>
  </si>
  <si>
    <t>Zargon Oil &amp; Gas Ltd.</t>
  </si>
  <si>
    <t>700, 333 - 5th Avenue SW</t>
  </si>
  <si>
    <t>Added Client list for a drop down on Bulk Plant input</t>
  </si>
  <si>
    <t>Modified formatting on Unit # on Bulk Plant input page</t>
  </si>
  <si>
    <t>LDP-C-1616</t>
  </si>
  <si>
    <t>Addition of LDP-C-1616</t>
  </si>
  <si>
    <t>LDP-C-0117</t>
  </si>
  <si>
    <t>TBD</t>
  </si>
  <si>
    <t>Addition of LDP-C-0117</t>
  </si>
  <si>
    <t>LTR-3</t>
  </si>
  <si>
    <t>IIN037276</t>
  </si>
  <si>
    <t>CDM-6B</t>
  </si>
  <si>
    <t>SUPERLITEmix PRO HT</t>
  </si>
  <si>
    <t>Addition of SUPERLITEmix PRO HT</t>
  </si>
  <si>
    <t>iPrime (AB)</t>
  </si>
  <si>
    <t>iPrime (SK)</t>
  </si>
  <si>
    <t>iBond</t>
  </si>
  <si>
    <t xml:space="preserve">Change iBond  - </t>
  </si>
  <si>
    <t>Call Sheet #</t>
  </si>
  <si>
    <t>CDM-4</t>
  </si>
  <si>
    <t>IIN054779</t>
  </si>
  <si>
    <t>Update CDM-4 as Additive</t>
  </si>
  <si>
    <t>EA-1</t>
  </si>
  <si>
    <t>EA-3</t>
  </si>
  <si>
    <t>EXPANDOmix PRO HT</t>
  </si>
  <si>
    <t>EXPANDOmix PRO LT</t>
  </si>
  <si>
    <t>HGS 4K28</t>
  </si>
  <si>
    <t>GSS-1</t>
  </si>
  <si>
    <t>WWS-4L</t>
  </si>
  <si>
    <t>Last Updated: April 4, 2017</t>
  </si>
  <si>
    <t>Double Click on Dropdown menu to use "Autofill"</t>
  </si>
  <si>
    <t>PRODUCTIONmix LW</t>
  </si>
  <si>
    <t>PRODUCTIONmix LW (Sask)</t>
  </si>
  <si>
    <t>Bag Size</t>
  </si>
  <si>
    <t># of Bags</t>
  </si>
  <si>
    <t>Bag Sizes</t>
  </si>
  <si>
    <t>Select Bag Size and the number of bags should be calculated</t>
  </si>
  <si>
    <t>Bag Size (kg)</t>
  </si>
  <si>
    <t>Min</t>
  </si>
  <si>
    <t>Max</t>
  </si>
  <si>
    <t>PRODUCTIONmix EC</t>
  </si>
  <si>
    <t>PRODUCTIONmix EC (Sask)</t>
  </si>
  <si>
    <t>PRODUCTIONmix EC (SasK)</t>
  </si>
  <si>
    <t>SUPERLITEmix 1100X</t>
  </si>
  <si>
    <t>?</t>
  </si>
  <si>
    <t>SUPERLITEmix PRO (CDM-4)</t>
  </si>
  <si>
    <t>SUPERLITEmix 1160 (CDM-4)</t>
  </si>
  <si>
    <t>SUPERLITEmix PRO (CDM-2)</t>
  </si>
  <si>
    <t>Version 2.8.22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</si>
</sst>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[$-409]mmmm\ d\,\ yyyy;@"/>
    <numFmt numFmtId="169" formatCode="_(* #,##0.0_);_(* \(#,##0.0\);_(* &quot;-&quot;??_);_(@_)"/>
    <numFmt numFmtId="170" formatCode="[$-409]d\-mmm\-yyyy;@"/>
    <numFmt numFmtId="171" formatCode="_-&quot;$&quot;* #,##0.00_-;\-&quot;$&quot;* #,##0.00_-;_-&quot;$&quot;* &quot;-&quot;??_-;_-@_-"/>
    <numFmt numFmtId="172" formatCode="[$-409]d\-mmm;@"/>
    <numFmt numFmtId="173" formatCode="&quot;$&quot;#,##0.00"/>
  </numFmts>
  <fonts count="10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rgb="FF000000"/>
      <name val="Times New Roman"/>
      <family val="1"/>
    </font>
    <font>
      <b/>
      <sz val="10"/>
      <color theme="0"/>
      <name val="Arial"/>
      <family val="2"/>
    </font>
    <font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20"/>
      <name val="Arial"/>
      <family val="2"/>
    </font>
    <font>
      <b/>
      <sz val="10"/>
      <color indexed="9"/>
      <name val="Arial"/>
      <family val="2"/>
    </font>
    <font>
      <b/>
      <sz val="10"/>
      <color indexed="48"/>
      <name val="Arial"/>
      <family val="2"/>
    </font>
    <font>
      <b/>
      <u/>
      <sz val="14"/>
      <name val="Arial"/>
      <family val="2"/>
    </font>
    <font>
      <sz val="10"/>
      <color rgb="FF92D05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u/>
      <sz val="12"/>
      <color theme="1"/>
      <name val="Arial"/>
      <family val="2"/>
    </font>
    <font>
      <sz val="12"/>
      <color rgb="FF92D050"/>
      <name val="Arial"/>
      <family val="2"/>
    </font>
    <font>
      <b/>
      <u/>
      <sz val="12"/>
      <color rgb="FF92D050"/>
      <name val="Arial"/>
      <family val="2"/>
    </font>
    <font>
      <b/>
      <sz val="12"/>
      <color indexed="48"/>
      <name val="Arial"/>
      <family val="2"/>
    </font>
    <font>
      <b/>
      <sz val="24"/>
      <color theme="9"/>
      <name val="Arial"/>
      <family val="2"/>
    </font>
    <font>
      <b/>
      <sz val="24"/>
      <color theme="9"/>
      <name val="Calibri"/>
      <family val="2"/>
      <scheme val="minor"/>
    </font>
    <font>
      <b/>
      <i/>
      <sz val="10"/>
      <name val="Arial"/>
      <family val="2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name val="Calibri"/>
      <family val="2"/>
    </font>
    <font>
      <b/>
      <u/>
      <sz val="12"/>
      <color rgb="FF000000"/>
      <name val="Arial"/>
      <family val="2"/>
    </font>
    <font>
      <b/>
      <u/>
      <sz val="12"/>
      <color rgb="FF000000"/>
      <name val="Times New Roman"/>
      <family val="1"/>
    </font>
    <font>
      <sz val="10"/>
      <color rgb="FF000000"/>
      <name val="Arial"/>
      <family val="2"/>
    </font>
    <font>
      <b/>
      <sz val="9"/>
      <name val="Calibri"/>
      <family val="2"/>
    </font>
    <font>
      <sz val="8"/>
      <name val="Arial"/>
      <family val="2"/>
    </font>
    <font>
      <sz val="8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</font>
    <font>
      <b/>
      <sz val="14"/>
      <name val="Calibri"/>
      <family val="2"/>
    </font>
    <font>
      <sz val="12"/>
      <color theme="1"/>
      <name val="Calibri"/>
      <family val="2"/>
    </font>
    <font>
      <b/>
      <sz val="20"/>
      <color rgb="FFFF0000"/>
      <name val="Arial"/>
      <family val="2"/>
    </font>
    <font>
      <b/>
      <sz val="2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b/>
      <u/>
      <sz val="24"/>
      <name val="Calibri"/>
      <family val="2"/>
      <scheme val="minor"/>
    </font>
    <font>
      <b/>
      <sz val="12"/>
      <color rgb="FFFF0000"/>
      <name val="Arial"/>
      <family val="2"/>
    </font>
    <font>
      <b/>
      <sz val="18"/>
      <color rgb="FFFFFF00"/>
      <name val="Calibri"/>
      <family val="2"/>
      <scheme val="minor"/>
    </font>
    <font>
      <b/>
      <sz val="12"/>
      <color rgb="FFFFFF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indexed="8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sz val="11"/>
      <color theme="0"/>
      <name val="Arial"/>
      <family val="2"/>
    </font>
    <font>
      <b/>
      <sz val="11"/>
      <color indexed="9"/>
      <name val="Arial"/>
      <family val="2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2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/>
      <bottom style="dashed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803">
    <xf numFmtId="0" fontId="0" fillId="0" borderId="0"/>
    <xf numFmtId="0" fontId="3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4" fillId="0" borderId="0"/>
    <xf numFmtId="0" fontId="5" fillId="0" borderId="0"/>
    <xf numFmtId="0" fontId="5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7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  <xf numFmtId="0" fontId="57" fillId="0" borderId="0" applyNumberFormat="0" applyFill="0" applyBorder="0" applyAlignment="0" applyProtection="0"/>
    <xf numFmtId="0" fontId="58" fillId="0" borderId="77" applyNumberFormat="0" applyFill="0" applyAlignment="0" applyProtection="0"/>
    <xf numFmtId="0" fontId="59" fillId="0" borderId="78" applyNumberFormat="0" applyFill="0" applyAlignment="0" applyProtection="0"/>
    <xf numFmtId="0" fontId="60" fillId="0" borderId="79" applyNumberFormat="0" applyFill="0" applyAlignment="0" applyProtection="0"/>
    <xf numFmtId="0" fontId="60" fillId="0" borderId="0" applyNumberFormat="0" applyFill="0" applyBorder="0" applyAlignment="0" applyProtection="0"/>
    <xf numFmtId="0" fontId="61" fillId="9" borderId="0" applyNumberFormat="0" applyBorder="0" applyAlignment="0" applyProtection="0"/>
    <xf numFmtId="0" fontId="62" fillId="10" borderId="0" applyNumberFormat="0" applyBorder="0" applyAlignment="0" applyProtection="0"/>
    <xf numFmtId="0" fontId="63" fillId="11" borderId="0" applyNumberFormat="0" applyBorder="0" applyAlignment="0" applyProtection="0"/>
    <xf numFmtId="0" fontId="64" fillId="12" borderId="80" applyNumberFormat="0" applyAlignment="0" applyProtection="0"/>
    <xf numFmtId="0" fontId="65" fillId="13" borderId="81" applyNumberFormat="0" applyAlignment="0" applyProtection="0"/>
    <xf numFmtId="0" fontId="66" fillId="13" borderId="80" applyNumberFormat="0" applyAlignment="0" applyProtection="0"/>
    <xf numFmtId="0" fontId="67" fillId="0" borderId="82" applyNumberFormat="0" applyFill="0" applyAlignment="0" applyProtection="0"/>
    <xf numFmtId="0" fontId="10" fillId="14" borderId="83" applyNumberFormat="0" applyAlignment="0" applyProtection="0"/>
    <xf numFmtId="0" fontId="68" fillId="0" borderId="0" applyNumberFormat="0" applyFill="0" applyBorder="0" applyAlignment="0" applyProtection="0"/>
    <xf numFmtId="0" fontId="1" fillId="15" borderId="84" applyNumberFormat="0" applyFont="0" applyAlignment="0" applyProtection="0"/>
    <xf numFmtId="0" fontId="69" fillId="0" borderId="0" applyNumberFormat="0" applyFill="0" applyBorder="0" applyAlignment="0" applyProtection="0"/>
    <xf numFmtId="0" fontId="2" fillId="0" borderId="85" applyNumberFormat="0" applyFill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6" fillId="39" borderId="0" applyNumberFormat="0" applyBorder="0" applyAlignment="0" applyProtection="0"/>
    <xf numFmtId="0" fontId="4" fillId="0" borderId="0"/>
    <xf numFmtId="0" fontId="4" fillId="0" borderId="0"/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0" fontId="71" fillId="0" borderId="0"/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4" fillId="0" borderId="0"/>
    <xf numFmtId="0" fontId="4" fillId="0" borderId="0"/>
    <xf numFmtId="0" fontId="4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4" fillId="0" borderId="0"/>
    <xf numFmtId="0" fontId="5" fillId="0" borderId="0"/>
    <xf numFmtId="0" fontId="72" fillId="40" borderId="0" applyNumberFormat="0" applyBorder="0" applyAlignment="0" applyProtection="0"/>
    <xf numFmtId="0" fontId="72" fillId="41" borderId="0" applyNumberFormat="0" applyBorder="0" applyAlignment="0" applyProtection="0"/>
    <xf numFmtId="0" fontId="72" fillId="42" borderId="0" applyNumberFormat="0" applyBorder="0" applyAlignment="0" applyProtection="0"/>
    <xf numFmtId="0" fontId="72" fillId="43" borderId="0" applyNumberFormat="0" applyBorder="0" applyAlignment="0" applyProtection="0"/>
    <xf numFmtId="0" fontId="72" fillId="44" borderId="0" applyNumberFormat="0" applyBorder="0" applyAlignment="0" applyProtection="0"/>
    <xf numFmtId="0" fontId="72" fillId="45" borderId="0" applyNumberFormat="0" applyBorder="0" applyAlignment="0" applyProtection="0"/>
    <xf numFmtId="0" fontId="72" fillId="46" borderId="0" applyNumberFormat="0" applyBorder="0" applyAlignment="0" applyProtection="0"/>
    <xf numFmtId="0" fontId="72" fillId="47" borderId="0" applyNumberFormat="0" applyBorder="0" applyAlignment="0" applyProtection="0"/>
    <xf numFmtId="0" fontId="72" fillId="48" borderId="0" applyNumberFormat="0" applyBorder="0" applyAlignment="0" applyProtection="0"/>
    <xf numFmtId="0" fontId="72" fillId="43" borderId="0" applyNumberFormat="0" applyBorder="0" applyAlignment="0" applyProtection="0"/>
    <xf numFmtId="0" fontId="72" fillId="46" borderId="0" applyNumberFormat="0" applyBorder="0" applyAlignment="0" applyProtection="0"/>
    <xf numFmtId="0" fontId="72" fillId="49" borderId="0" applyNumberFormat="0" applyBorder="0" applyAlignment="0" applyProtection="0"/>
    <xf numFmtId="0" fontId="73" fillId="50" borderId="0" applyNumberFormat="0" applyBorder="0" applyAlignment="0" applyProtection="0"/>
    <xf numFmtId="0" fontId="73" fillId="47" borderId="0" applyNumberFormat="0" applyBorder="0" applyAlignment="0" applyProtection="0"/>
    <xf numFmtId="0" fontId="73" fillId="48" borderId="0" applyNumberFormat="0" applyBorder="0" applyAlignment="0" applyProtection="0"/>
    <xf numFmtId="0" fontId="73" fillId="51" borderId="0" applyNumberFormat="0" applyBorder="0" applyAlignment="0" applyProtection="0"/>
    <xf numFmtId="0" fontId="73" fillId="52" borderId="0" applyNumberFormat="0" applyBorder="0" applyAlignment="0" applyProtection="0"/>
    <xf numFmtId="0" fontId="73" fillId="53" borderId="0" applyNumberFormat="0" applyBorder="0" applyAlignment="0" applyProtection="0"/>
    <xf numFmtId="0" fontId="73" fillId="54" borderId="0" applyNumberFormat="0" applyBorder="0" applyAlignment="0" applyProtection="0"/>
    <xf numFmtId="0" fontId="73" fillId="55" borderId="0" applyNumberFormat="0" applyBorder="0" applyAlignment="0" applyProtection="0"/>
    <xf numFmtId="0" fontId="73" fillId="56" borderId="0" applyNumberFormat="0" applyBorder="0" applyAlignment="0" applyProtection="0"/>
    <xf numFmtId="0" fontId="73" fillId="51" borderId="0" applyNumberFormat="0" applyBorder="0" applyAlignment="0" applyProtection="0"/>
    <xf numFmtId="0" fontId="73" fillId="52" borderId="0" applyNumberFormat="0" applyBorder="0" applyAlignment="0" applyProtection="0"/>
    <xf numFmtId="0" fontId="73" fillId="57" borderId="0" applyNumberFormat="0" applyBorder="0" applyAlignment="0" applyProtection="0"/>
    <xf numFmtId="0" fontId="74" fillId="41" borderId="0" applyNumberFormat="0" applyBorder="0" applyAlignment="0" applyProtection="0"/>
    <xf numFmtId="0" fontId="75" fillId="58" borderId="86" applyNumberFormat="0" applyAlignment="0" applyProtection="0"/>
    <xf numFmtId="0" fontId="75" fillId="58" borderId="86" applyNumberFormat="0" applyAlignment="0" applyProtection="0"/>
    <xf numFmtId="0" fontId="75" fillId="58" borderId="86" applyNumberFormat="0" applyAlignment="0" applyProtection="0"/>
    <xf numFmtId="0" fontId="75" fillId="58" borderId="86" applyNumberFormat="0" applyAlignment="0" applyProtection="0"/>
    <xf numFmtId="0" fontId="76" fillId="59" borderId="87" applyNumberFormat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42" borderId="0" applyNumberFormat="0" applyBorder="0" applyAlignment="0" applyProtection="0"/>
    <xf numFmtId="0" fontId="79" fillId="0" borderId="88" applyNumberFormat="0" applyFill="0" applyAlignment="0" applyProtection="0"/>
    <xf numFmtId="0" fontId="80" fillId="0" borderId="89" applyNumberFormat="0" applyFill="0" applyAlignment="0" applyProtection="0"/>
    <xf numFmtId="0" fontId="81" fillId="0" borderId="90" applyNumberFormat="0" applyFill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0" fontId="83" fillId="45" borderId="86" applyNumberFormat="0" applyAlignment="0" applyProtection="0"/>
    <xf numFmtId="0" fontId="83" fillId="45" borderId="86" applyNumberFormat="0" applyAlignment="0" applyProtection="0"/>
    <xf numFmtId="0" fontId="83" fillId="45" borderId="86" applyNumberFormat="0" applyAlignment="0" applyProtection="0"/>
    <xf numFmtId="0" fontId="83" fillId="45" borderId="86" applyNumberFormat="0" applyAlignment="0" applyProtection="0"/>
    <xf numFmtId="0" fontId="84" fillId="0" borderId="91" applyNumberFormat="0" applyFill="0" applyAlignment="0" applyProtection="0"/>
    <xf numFmtId="0" fontId="85" fillId="60" borderId="0" applyNumberFormat="0" applyBorder="0" applyAlignment="0" applyProtection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0" fontId="70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70" fillId="0" borderId="0">
      <alignment vertical="top"/>
    </xf>
    <xf numFmtId="0" fontId="70" fillId="0" borderId="0">
      <alignment vertical="top"/>
    </xf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4" fillId="61" borderId="92" applyNumberFormat="0" applyFont="0" applyAlignment="0" applyProtection="0"/>
    <xf numFmtId="0" fontId="86" fillId="58" borderId="93" applyNumberFormat="0" applyAlignment="0" applyProtection="0"/>
    <xf numFmtId="0" fontId="86" fillId="58" borderId="93" applyNumberFormat="0" applyAlignment="0" applyProtection="0"/>
    <xf numFmtId="0" fontId="86" fillId="58" borderId="93" applyNumberFormat="0" applyAlignment="0" applyProtection="0"/>
    <xf numFmtId="0" fontId="86" fillId="58" borderId="93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62" borderId="94">
      <alignment horizontal="center" wrapText="1"/>
    </xf>
    <xf numFmtId="173" fontId="2" fillId="63" borderId="95" applyFill="0" applyAlignment="0">
      <alignment horizontal="center" vertical="center"/>
    </xf>
    <xf numFmtId="0" fontId="87" fillId="0" borderId="0" applyNumberFormat="0" applyFill="0" applyBorder="0" applyAlignment="0" applyProtection="0"/>
    <xf numFmtId="0" fontId="88" fillId="0" borderId="96" applyNumberFormat="0" applyFill="0" applyAlignment="0" applyProtection="0"/>
    <xf numFmtId="0" fontId="88" fillId="0" borderId="96" applyNumberFormat="0" applyFill="0" applyAlignment="0" applyProtection="0"/>
    <xf numFmtId="0" fontId="88" fillId="0" borderId="96" applyNumberFormat="0" applyFill="0" applyAlignment="0" applyProtection="0"/>
    <xf numFmtId="0" fontId="88" fillId="0" borderId="96" applyNumberFormat="0" applyFill="0" applyAlignment="0" applyProtection="0"/>
    <xf numFmtId="0" fontId="89" fillId="0" borderId="0" applyNumberFormat="0" applyFill="0" applyBorder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4" fillId="61" borderId="97" applyNumberFormat="0" applyFont="0" applyAlignment="0" applyProtection="0"/>
    <xf numFmtId="0" fontId="86" fillId="58" borderId="98" applyNumberFormat="0" applyAlignment="0" applyProtection="0"/>
    <xf numFmtId="0" fontId="86" fillId="58" borderId="98" applyNumberFormat="0" applyAlignment="0" applyProtection="0"/>
    <xf numFmtId="0" fontId="86" fillId="58" borderId="98" applyNumberFormat="0" applyAlignment="0" applyProtection="0"/>
    <xf numFmtId="0" fontId="86" fillId="58" borderId="98" applyNumberFormat="0" applyAlignment="0" applyProtection="0"/>
    <xf numFmtId="0" fontId="88" fillId="0" borderId="99" applyNumberFormat="0" applyFill="0" applyAlignment="0" applyProtection="0"/>
    <xf numFmtId="0" fontId="88" fillId="0" borderId="99" applyNumberFormat="0" applyFill="0" applyAlignment="0" applyProtection="0"/>
    <xf numFmtId="0" fontId="88" fillId="0" borderId="99" applyNumberFormat="0" applyFill="0" applyAlignment="0" applyProtection="0"/>
    <xf numFmtId="0" fontId="88" fillId="0" borderId="99" applyNumberFormat="0" applyFill="0" applyAlignment="0" applyProtection="0"/>
    <xf numFmtId="0" fontId="88" fillId="0" borderId="103" applyNumberFormat="0" applyFill="0" applyAlignment="0" applyProtection="0"/>
    <xf numFmtId="0" fontId="88" fillId="0" borderId="103" applyNumberFormat="0" applyFill="0" applyAlignment="0" applyProtection="0"/>
    <xf numFmtId="0" fontId="88" fillId="0" borderId="103" applyNumberFormat="0" applyFill="0" applyAlignment="0" applyProtection="0"/>
    <xf numFmtId="0" fontId="88" fillId="0" borderId="103" applyNumberFormat="0" applyFill="0" applyAlignment="0" applyProtection="0"/>
    <xf numFmtId="0" fontId="75" fillId="58" borderId="104" applyNumberFormat="0" applyAlignment="0" applyProtection="0"/>
    <xf numFmtId="0" fontId="75" fillId="58" borderId="104" applyNumberFormat="0" applyAlignment="0" applyProtection="0"/>
    <xf numFmtId="0" fontId="75" fillId="58" borderId="104" applyNumberFormat="0" applyAlignment="0" applyProtection="0"/>
    <xf numFmtId="0" fontId="75" fillId="58" borderId="104" applyNumberFormat="0" applyAlignment="0" applyProtection="0"/>
    <xf numFmtId="0" fontId="86" fillId="58" borderId="109" applyNumberFormat="0" applyAlignment="0" applyProtection="0"/>
    <xf numFmtId="0" fontId="86" fillId="58" borderId="109" applyNumberFormat="0" applyAlignment="0" applyProtection="0"/>
    <xf numFmtId="0" fontId="86" fillId="58" borderId="109" applyNumberFormat="0" applyAlignment="0" applyProtection="0"/>
    <xf numFmtId="0" fontId="86" fillId="58" borderId="109" applyNumberFormat="0" applyAlignment="0" applyProtection="0"/>
    <xf numFmtId="0" fontId="86" fillId="58" borderId="102" applyNumberFormat="0" applyAlignment="0" applyProtection="0"/>
    <xf numFmtId="0" fontId="86" fillId="58" borderId="102" applyNumberFormat="0" applyAlignment="0" applyProtection="0"/>
    <xf numFmtId="0" fontId="86" fillId="58" borderId="102" applyNumberFormat="0" applyAlignment="0" applyProtection="0"/>
    <xf numFmtId="0" fontId="86" fillId="58" borderId="102" applyNumberForma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4" fillId="61" borderId="101" applyNumberFormat="0" applyFont="0" applyAlignment="0" applyProtection="0"/>
    <xf numFmtId="0" fontId="83" fillId="45" borderId="115" applyNumberFormat="0" applyAlignment="0" applyProtection="0"/>
    <xf numFmtId="0" fontId="83" fillId="45" borderId="115" applyNumberFormat="0" applyAlignment="0" applyProtection="0"/>
    <xf numFmtId="0" fontId="83" fillId="45" borderId="115" applyNumberFormat="0" applyAlignment="0" applyProtection="0"/>
    <xf numFmtId="0" fontId="83" fillId="45" borderId="115" applyNumberFormat="0" applyAlignment="0" applyProtection="0"/>
    <xf numFmtId="0" fontId="83" fillId="45" borderId="111" applyNumberFormat="0" applyAlignment="0" applyProtection="0"/>
    <xf numFmtId="0" fontId="83" fillId="45" borderId="111" applyNumberFormat="0" applyAlignment="0" applyProtection="0"/>
    <xf numFmtId="0" fontId="83" fillId="45" borderId="111" applyNumberFormat="0" applyAlignment="0" applyProtection="0"/>
    <xf numFmtId="0" fontId="83" fillId="45" borderId="111" applyNumberFormat="0" applyAlignment="0" applyProtection="0"/>
    <xf numFmtId="0" fontId="83" fillId="45" borderId="104" applyNumberFormat="0" applyAlignment="0" applyProtection="0"/>
    <xf numFmtId="0" fontId="83" fillId="45" borderId="104" applyNumberFormat="0" applyAlignment="0" applyProtection="0"/>
    <xf numFmtId="0" fontId="83" fillId="45" borderId="104" applyNumberFormat="0" applyAlignment="0" applyProtection="0"/>
    <xf numFmtId="0" fontId="83" fillId="45" borderId="104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08" applyNumberFormat="0" applyAlignment="0" applyProtection="0"/>
    <xf numFmtId="0" fontId="83" fillId="45" borderId="100" applyNumberFormat="0" applyAlignment="0" applyProtection="0"/>
    <xf numFmtId="0" fontId="83" fillId="45" borderId="100" applyNumberFormat="0" applyAlignment="0" applyProtection="0"/>
    <xf numFmtId="0" fontId="83" fillId="45" borderId="100" applyNumberFormat="0" applyAlignment="0" applyProtection="0"/>
    <xf numFmtId="0" fontId="83" fillId="45" borderId="100" applyNumberFormat="0" applyAlignment="0" applyProtection="0"/>
    <xf numFmtId="0" fontId="83" fillId="45" borderId="108" applyNumberFormat="0" applyAlignment="0" applyProtection="0"/>
    <xf numFmtId="0" fontId="83" fillId="45" borderId="108" applyNumberForma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12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4" fillId="61" borderId="105" applyNumberFormat="0" applyFont="0" applyAlignment="0" applyProtection="0"/>
    <xf numFmtId="0" fontId="86" fillId="58" borderId="106" applyNumberFormat="0" applyAlignment="0" applyProtection="0"/>
    <xf numFmtId="0" fontId="86" fillId="58" borderId="106" applyNumberFormat="0" applyAlignment="0" applyProtection="0"/>
    <xf numFmtId="0" fontId="86" fillId="58" borderId="106" applyNumberFormat="0" applyAlignment="0" applyProtection="0"/>
    <xf numFmtId="0" fontId="86" fillId="58" borderId="106" applyNumberFormat="0" applyAlignment="0" applyProtection="0"/>
    <xf numFmtId="0" fontId="86" fillId="58" borderId="113" applyNumberFormat="0" applyAlignment="0" applyProtection="0"/>
    <xf numFmtId="0" fontId="86" fillId="58" borderId="113" applyNumberFormat="0" applyAlignment="0" applyProtection="0"/>
    <xf numFmtId="0" fontId="86" fillId="58" borderId="113" applyNumberFormat="0" applyAlignment="0" applyProtection="0"/>
    <xf numFmtId="0" fontId="75" fillId="58" borderId="100" applyNumberFormat="0" applyAlignment="0" applyProtection="0"/>
    <xf numFmtId="0" fontId="75" fillId="58" borderId="100" applyNumberFormat="0" applyAlignment="0" applyProtection="0"/>
    <xf numFmtId="0" fontId="75" fillId="58" borderId="100" applyNumberFormat="0" applyAlignment="0" applyProtection="0"/>
    <xf numFmtId="0" fontId="75" fillId="58" borderId="100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83" fillId="45" borderId="108" applyNumberFormat="0" applyAlignment="0" applyProtection="0"/>
    <xf numFmtId="0" fontId="4" fillId="61" borderId="112" applyNumberFormat="0" applyFont="0" applyAlignment="0" applyProtection="0"/>
    <xf numFmtId="0" fontId="75" fillId="58" borderId="108" applyNumberFormat="0" applyAlignment="0" applyProtection="0"/>
    <xf numFmtId="0" fontId="75" fillId="58" borderId="108" applyNumberFormat="0" applyAlignment="0" applyProtection="0"/>
    <xf numFmtId="0" fontId="75" fillId="58" borderId="108" applyNumberFormat="0" applyAlignment="0" applyProtection="0"/>
    <xf numFmtId="0" fontId="75" fillId="58" borderId="108" applyNumberFormat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07" applyNumberFormat="0" applyFill="0" applyAlignment="0" applyProtection="0"/>
    <xf numFmtId="0" fontId="88" fillId="0" borderId="107" applyNumberFormat="0" applyFill="0" applyAlignment="0" applyProtection="0"/>
    <xf numFmtId="0" fontId="88" fillId="0" borderId="107" applyNumberFormat="0" applyFill="0" applyAlignment="0" applyProtection="0"/>
    <xf numFmtId="0" fontId="88" fillId="0" borderId="107" applyNumberFormat="0" applyFill="0" applyAlignment="0" applyProtection="0"/>
    <xf numFmtId="0" fontId="86" fillId="58" borderId="113" applyNumberFormat="0" applyAlignment="0" applyProtection="0"/>
    <xf numFmtId="0" fontId="75" fillId="58" borderId="111" applyNumberFormat="0" applyAlignment="0" applyProtection="0"/>
    <xf numFmtId="0" fontId="75" fillId="58" borderId="111" applyNumberFormat="0" applyAlignment="0" applyProtection="0"/>
    <xf numFmtId="0" fontId="75" fillId="58" borderId="111" applyNumberFormat="0" applyAlignment="0" applyProtection="0"/>
    <xf numFmtId="0" fontId="75" fillId="58" borderId="111" applyNumberFormat="0" applyAlignment="0" applyProtection="0"/>
    <xf numFmtId="0" fontId="88" fillId="0" borderId="110" applyNumberFormat="0" applyFill="0" applyAlignment="0" applyProtection="0"/>
    <xf numFmtId="0" fontId="88" fillId="0" borderId="110" applyNumberFormat="0" applyFill="0" applyAlignment="0" applyProtection="0"/>
    <xf numFmtId="0" fontId="88" fillId="0" borderId="110" applyNumberFormat="0" applyFill="0" applyAlignment="0" applyProtection="0"/>
    <xf numFmtId="0" fontId="88" fillId="0" borderId="110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4" applyNumberFormat="0" applyFill="0" applyAlignment="0" applyProtection="0"/>
    <xf numFmtId="0" fontId="88" fillId="0" borderId="114" applyNumberFormat="0" applyFill="0" applyAlignment="0" applyProtection="0"/>
    <xf numFmtId="0" fontId="88" fillId="0" borderId="114" applyNumberFormat="0" applyFill="0" applyAlignment="0" applyProtection="0"/>
    <xf numFmtId="0" fontId="88" fillId="0" borderId="114" applyNumberFormat="0" applyFill="0" applyAlignment="0" applyProtection="0"/>
    <xf numFmtId="0" fontId="75" fillId="58" borderId="115" applyNumberFormat="0" applyAlignment="0" applyProtection="0"/>
    <xf numFmtId="0" fontId="75" fillId="58" borderId="115" applyNumberFormat="0" applyAlignment="0" applyProtection="0"/>
    <xf numFmtId="0" fontId="75" fillId="58" borderId="115" applyNumberFormat="0" applyAlignment="0" applyProtection="0"/>
    <xf numFmtId="0" fontId="75" fillId="58" borderId="115" applyNumberForma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83" fillId="45" borderId="119" applyNumberForma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4" fillId="61" borderId="116" applyNumberFormat="0" applyFon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86" fillId="58" borderId="117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83" fillId="45" borderId="119" applyNumberFormat="0" applyAlignment="0" applyProtection="0"/>
    <xf numFmtId="0" fontId="4" fillId="61" borderId="116" applyNumberFormat="0" applyFon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6" fillId="58" borderId="117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88" fillId="0" borderId="118" applyNumberFormat="0" applyFill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  <xf numFmtId="0" fontId="75" fillId="58" borderId="119" applyNumberFormat="0" applyAlignment="0" applyProtection="0"/>
  </cellStyleXfs>
  <cellXfs count="669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6" fillId="0" borderId="4" xfId="1" applyFont="1" applyFill="1" applyBorder="1" applyAlignment="1">
      <alignment horizontal="center"/>
    </xf>
    <xf numFmtId="49" fontId="6" fillId="0" borderId="4" xfId="1" applyNumberFormat="1" applyFont="1" applyFill="1" applyBorder="1" applyAlignment="1">
      <alignment horizontal="center"/>
    </xf>
    <xf numFmtId="49" fontId="6" fillId="0" borderId="4" xfId="1" applyNumberFormat="1" applyFont="1" applyFill="1" applyBorder="1" applyAlignment="1">
      <alignment horizontal="center" wrapText="1"/>
    </xf>
    <xf numFmtId="0" fontId="4" fillId="0" borderId="4" xfId="1" applyFont="1" applyFill="1" applyBorder="1" applyAlignment="1">
      <alignment horizontal="center"/>
    </xf>
    <xf numFmtId="1" fontId="3" fillId="0" borderId="4" xfId="1" applyNumberFormat="1" applyFill="1" applyBorder="1" applyAlignment="1">
      <alignment horizontal="center"/>
    </xf>
    <xf numFmtId="164" fontId="3" fillId="0" borderId="4" xfId="1" applyNumberForma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4" fillId="0" borderId="4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/>
    <xf numFmtId="0" fontId="4" fillId="0" borderId="4" xfId="36" applyFill="1" applyBorder="1" applyAlignment="1" applyProtection="1">
      <protection locked="0"/>
    </xf>
    <xf numFmtId="0" fontId="2" fillId="0" borderId="4" xfId="0" applyFont="1" applyBorder="1" applyAlignment="1">
      <alignment horizontal="center"/>
    </xf>
    <xf numFmtId="0" fontId="2" fillId="0" borderId="0" xfId="0" applyFont="1"/>
    <xf numFmtId="0" fontId="5" fillId="0" borderId="0" xfId="34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15" fontId="2" fillId="0" borderId="0" xfId="0" applyNumberFormat="1" applyFont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5" fillId="0" borderId="0" xfId="34" applyFont="1"/>
    <xf numFmtId="0" fontId="4" fillId="4" borderId="4" xfId="36" applyFont="1" applyFill="1" applyBorder="1" applyAlignment="1" applyProtection="1">
      <protection locked="0"/>
    </xf>
    <xf numFmtId="0" fontId="4" fillId="0" borderId="4" xfId="36" applyFont="1" applyFill="1" applyBorder="1" applyAlignment="1" applyProtection="1">
      <protection locked="0"/>
    </xf>
    <xf numFmtId="0" fontId="6" fillId="0" borderId="4" xfId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2" fillId="0" borderId="3" xfId="0" quotePrefix="1" applyFont="1" applyFill="1" applyBorder="1" applyAlignment="1">
      <alignment horizontal="center" wrapText="1"/>
    </xf>
    <xf numFmtId="0" fontId="0" fillId="0" borderId="4" xfId="0" quotePrefix="1" applyFill="1" applyBorder="1" applyAlignment="1">
      <alignment horizontal="center"/>
    </xf>
    <xf numFmtId="0" fontId="0" fillId="0" borderId="4" xfId="0" applyFill="1" applyBorder="1"/>
    <xf numFmtId="0" fontId="4" fillId="0" borderId="2" xfId="1" applyFont="1" applyFill="1" applyBorder="1" applyAlignment="1">
      <alignment horizontal="center"/>
    </xf>
    <xf numFmtId="0" fontId="3" fillId="0" borderId="2" xfId="1" applyFill="1" applyBorder="1" applyAlignment="1">
      <alignment horizontal="center"/>
    </xf>
    <xf numFmtId="0" fontId="2" fillId="0" borderId="4" xfId="0" applyFont="1" applyFill="1" applyBorder="1" applyAlignment="1">
      <alignment horizontal="center" wrapText="1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4" xfId="34" applyBorder="1"/>
    <xf numFmtId="0" fontId="4" fillId="0" borderId="0" xfId="34" applyFont="1"/>
    <xf numFmtId="2" fontId="4" fillId="0" borderId="0" xfId="34" applyNumberFormat="1" applyFont="1" applyAlignment="1">
      <alignment horizontal="center"/>
    </xf>
    <xf numFmtId="164" fontId="0" fillId="0" borderId="4" xfId="0" applyNumberFormat="1" applyBorder="1" applyAlignment="1">
      <alignment horizontal="center"/>
    </xf>
    <xf numFmtId="0" fontId="4" fillId="2" borderId="4" xfId="36" applyFont="1" applyFill="1" applyBorder="1" applyAlignment="1" applyProtection="1">
      <protection locked="0"/>
    </xf>
    <xf numFmtId="164" fontId="0" fillId="0" borderId="3" xfId="0" quotePrefix="1" applyNumberFormat="1" applyFont="1" applyFill="1" applyBorder="1" applyAlignment="1">
      <alignment horizontal="center" wrapText="1"/>
    </xf>
    <xf numFmtId="164" fontId="0" fillId="0" borderId="4" xfId="0" quotePrefix="1" applyNumberFormat="1" applyFont="1" applyFill="1" applyBorder="1" applyAlignment="1">
      <alignment horizontal="center" wrapText="1"/>
    </xf>
    <xf numFmtId="0" fontId="4" fillId="0" borderId="8" xfId="34" applyFont="1" applyBorder="1" applyAlignment="1">
      <alignment horizontal="center"/>
    </xf>
    <xf numFmtId="164" fontId="4" fillId="0" borderId="9" xfId="34" applyNumberFormat="1" applyFont="1" applyBorder="1" applyAlignment="1">
      <alignment horizontal="center"/>
    </xf>
    <xf numFmtId="0" fontId="0" fillId="5" borderId="9" xfId="0" applyFill="1" applyBorder="1"/>
    <xf numFmtId="0" fontId="4" fillId="0" borderId="10" xfId="34" applyFont="1" applyBorder="1" applyAlignment="1">
      <alignment horizontal="center"/>
    </xf>
    <xf numFmtId="0" fontId="0" fillId="5" borderId="11" xfId="0" applyFill="1" applyBorder="1"/>
    <xf numFmtId="0" fontId="4" fillId="0" borderId="3" xfId="34" applyFont="1" applyBorder="1" applyAlignment="1">
      <alignment horizontal="center"/>
    </xf>
    <xf numFmtId="0" fontId="0" fillId="5" borderId="3" xfId="0" applyFill="1" applyBorder="1"/>
    <xf numFmtId="0" fontId="0" fillId="5" borderId="12" xfId="0" applyFill="1" applyBorder="1"/>
    <xf numFmtId="0" fontId="4" fillId="0" borderId="15" xfId="34" applyFont="1" applyFill="1" applyBorder="1" applyAlignment="1">
      <alignment horizontal="center"/>
    </xf>
    <xf numFmtId="164" fontId="4" fillId="0" borderId="16" xfId="34" applyNumberFormat="1" applyFont="1" applyFill="1" applyBorder="1" applyAlignment="1">
      <alignment horizontal="center"/>
    </xf>
    <xf numFmtId="164" fontId="4" fillId="0" borderId="11" xfId="34" applyNumberFormat="1" applyFont="1" applyBorder="1" applyAlignment="1">
      <alignment horizontal="center"/>
    </xf>
    <xf numFmtId="0" fontId="4" fillId="0" borderId="17" xfId="34" applyFont="1" applyBorder="1" applyAlignment="1">
      <alignment horizontal="center"/>
    </xf>
    <xf numFmtId="164" fontId="4" fillId="0" borderId="18" xfId="34" applyNumberFormat="1" applyFont="1" applyBorder="1" applyAlignment="1">
      <alignment horizontal="center"/>
    </xf>
    <xf numFmtId="0" fontId="4" fillId="0" borderId="19" xfId="34" applyFont="1" applyBorder="1" applyAlignment="1">
      <alignment horizontal="center"/>
    </xf>
    <xf numFmtId="0" fontId="4" fillId="0" borderId="20" xfId="34" applyFont="1" applyFill="1" applyBorder="1" applyAlignment="1">
      <alignment horizontal="center"/>
    </xf>
    <xf numFmtId="164" fontId="4" fillId="0" borderId="21" xfId="34" applyNumberFormat="1" applyFont="1" applyFill="1" applyBorder="1" applyAlignment="1">
      <alignment horizontal="center"/>
    </xf>
    <xf numFmtId="0" fontId="4" fillId="0" borderId="12" xfId="34" applyFont="1" applyFill="1" applyBorder="1" applyAlignment="1">
      <alignment horizontal="center"/>
    </xf>
    <xf numFmtId="164" fontId="4" fillId="0" borderId="11" xfId="34" applyNumberFormat="1" applyFont="1" applyFill="1" applyBorder="1" applyAlignment="1">
      <alignment horizontal="center"/>
    </xf>
    <xf numFmtId="0" fontId="4" fillId="0" borderId="22" xfId="34" applyFont="1" applyFill="1" applyBorder="1" applyAlignment="1">
      <alignment horizontal="center"/>
    </xf>
    <xf numFmtId="0" fontId="4" fillId="0" borderId="0" xfId="47" applyFont="1" applyFill="1" applyBorder="1" applyAlignment="1" applyProtection="1">
      <protection locked="0"/>
    </xf>
    <xf numFmtId="164" fontId="4" fillId="0" borderId="0" xfId="47" applyNumberFormat="1" applyFont="1" applyFill="1" applyBorder="1" applyAlignment="1" applyProtection="1">
      <alignment horizontal="center"/>
      <protection locked="0"/>
    </xf>
    <xf numFmtId="164" fontId="4" fillId="0" borderId="0" xfId="47" applyNumberFormat="1" applyFill="1" applyBorder="1" applyAlignment="1" applyProtection="1">
      <alignment horizontal="center"/>
      <protection locked="0"/>
    </xf>
    <xf numFmtId="165" fontId="4" fillId="0" borderId="0" xfId="47" applyNumberFormat="1" applyFill="1" applyBorder="1" applyAlignment="1" applyProtection="1">
      <alignment horizontal="center"/>
      <protection locked="0"/>
    </xf>
    <xf numFmtId="2" fontId="13" fillId="0" borderId="0" xfId="47" applyNumberFormat="1" applyFont="1" applyFill="1" applyBorder="1" applyAlignment="1" applyProtection="1">
      <alignment horizontal="center"/>
      <protection locked="0"/>
    </xf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0" xfId="0" applyAlignment="1">
      <alignment wrapText="1"/>
    </xf>
    <xf numFmtId="0" fontId="2" fillId="0" borderId="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3" fillId="3" borderId="0" xfId="0" applyFont="1" applyFill="1" applyBorder="1" applyAlignment="1">
      <alignment horizontal="left"/>
    </xf>
    <xf numFmtId="0" fontId="2" fillId="0" borderId="0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/>
    <xf numFmtId="0" fontId="0" fillId="0" borderId="0" xfId="0" applyFill="1" applyBorder="1" applyAlignment="1">
      <alignment horizontal="left" vertical="top"/>
    </xf>
    <xf numFmtId="0" fontId="0" fillId="0" borderId="0" xfId="0" applyFill="1" applyBorder="1" applyAlignment="1">
      <alignment horizontal="center" vertical="center"/>
    </xf>
    <xf numFmtId="0" fontId="39" fillId="0" borderId="0" xfId="0" applyFont="1" applyFill="1" applyBorder="1" applyAlignment="1">
      <alignment vertical="center"/>
    </xf>
    <xf numFmtId="0" fontId="40" fillId="0" borderId="0" xfId="0" applyFont="1" applyFill="1" applyBorder="1" applyAlignment="1">
      <alignment horizontal="right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6" fillId="0" borderId="38" xfId="0" applyFont="1" applyFill="1" applyBorder="1" applyAlignment="1">
      <alignment horizontal="center" vertical="center" wrapText="1"/>
    </xf>
    <xf numFmtId="0" fontId="46" fillId="0" borderId="28" xfId="0" applyFont="1" applyFill="1" applyBorder="1" applyAlignment="1">
      <alignment horizontal="center" vertical="center" wrapText="1"/>
    </xf>
    <xf numFmtId="0" fontId="46" fillId="0" borderId="35" xfId="0" applyFont="1" applyFill="1" applyBorder="1" applyAlignment="1">
      <alignment horizontal="center" vertical="center" wrapText="1"/>
    </xf>
    <xf numFmtId="0" fontId="40" fillId="0" borderId="47" xfId="0" applyFont="1" applyFill="1" applyBorder="1" applyAlignment="1">
      <alignment horizontal="center" vertical="center" wrapText="1"/>
    </xf>
    <xf numFmtId="0" fontId="40" fillId="0" borderId="50" xfId="0" applyFont="1" applyFill="1" applyBorder="1" applyAlignment="1">
      <alignment horizontal="center" vertical="center" wrapText="1"/>
    </xf>
    <xf numFmtId="0" fontId="5" fillId="0" borderId="56" xfId="34" applyFont="1" applyFill="1" applyBorder="1" applyAlignment="1">
      <alignment horizontal="center" vertical="center"/>
    </xf>
    <xf numFmtId="0" fontId="9" fillId="0" borderId="56" xfId="35" applyFont="1" applyBorder="1" applyAlignment="1">
      <alignment horizontal="center" vertical="center"/>
    </xf>
    <xf numFmtId="0" fontId="5" fillId="0" borderId="57" xfId="34" applyFont="1" applyFill="1" applyBorder="1" applyAlignment="1">
      <alignment horizontal="center" vertical="center"/>
    </xf>
    <xf numFmtId="0" fontId="0" fillId="0" borderId="0" xfId="0"/>
    <xf numFmtId="0" fontId="0" fillId="0" borderId="0" xfId="0" applyFill="1" applyBorder="1" applyAlignment="1">
      <alignment horizontal="left" vertical="top"/>
    </xf>
    <xf numFmtId="0" fontId="4" fillId="0" borderId="4" xfId="0" applyFont="1" applyFill="1" applyBorder="1" applyAlignment="1">
      <alignment horizontal="center" vertical="center" wrapText="1"/>
    </xf>
    <xf numFmtId="0" fontId="40" fillId="0" borderId="47" xfId="0" applyFont="1" applyFill="1" applyBorder="1" applyAlignment="1">
      <alignment horizontal="center" vertical="center" wrapText="1"/>
    </xf>
    <xf numFmtId="0" fontId="9" fillId="0" borderId="56" xfId="35" applyFont="1" applyBorder="1" applyAlignment="1">
      <alignment horizontal="center" vertical="center"/>
    </xf>
    <xf numFmtId="0" fontId="0" fillId="0" borderId="0" xfId="0" applyFill="1" applyBorder="1" applyAlignment="1">
      <alignment horizontal="left" vertical="top"/>
    </xf>
    <xf numFmtId="0" fontId="0" fillId="0" borderId="0" xfId="0" applyFill="1" applyBorder="1" applyAlignment="1">
      <alignment horizontal="center" vertical="center"/>
    </xf>
    <xf numFmtId="0" fontId="39" fillId="0" borderId="0" xfId="0" applyFont="1" applyFill="1" applyBorder="1" applyAlignment="1">
      <alignment vertical="center"/>
    </xf>
    <xf numFmtId="0" fontId="40" fillId="0" borderId="0" xfId="0" applyFont="1" applyFill="1" applyBorder="1" applyAlignment="1">
      <alignment horizontal="right" vertical="center"/>
    </xf>
    <xf numFmtId="0" fontId="0" fillId="0" borderId="41" xfId="0" applyFill="1" applyBorder="1" applyAlignment="1">
      <alignment horizontal="center" vertical="top" wrapText="1"/>
    </xf>
    <xf numFmtId="0" fontId="0" fillId="0" borderId="34" xfId="0" applyFill="1" applyBorder="1" applyAlignment="1">
      <alignment horizontal="center" vertical="center" wrapText="1"/>
    </xf>
    <xf numFmtId="0" fontId="41" fillId="0" borderId="28" xfId="0" applyFont="1" applyFill="1" applyBorder="1" applyAlignment="1">
      <alignment horizontal="center" vertical="center" wrapText="1"/>
    </xf>
    <xf numFmtId="0" fontId="41" fillId="0" borderId="35" xfId="0" applyFont="1" applyFill="1" applyBorder="1" applyAlignment="1">
      <alignment horizontal="center" vertical="center" wrapText="1"/>
    </xf>
    <xf numFmtId="0" fontId="4" fillId="0" borderId="43" xfId="0" applyFont="1" applyFill="1" applyBorder="1" applyAlignment="1">
      <alignment horizontal="center" vertical="center" wrapText="1"/>
    </xf>
    <xf numFmtId="0" fontId="4" fillId="0" borderId="44" xfId="0" applyFont="1" applyFill="1" applyBorder="1" applyAlignment="1">
      <alignment horizontal="center" vertical="center" wrapText="1"/>
    </xf>
    <xf numFmtId="0" fontId="4" fillId="0" borderId="44" xfId="0" quotePrefix="1" applyFont="1" applyFill="1" applyBorder="1" applyAlignment="1">
      <alignment horizontal="center" vertical="center" wrapText="1"/>
    </xf>
    <xf numFmtId="0" fontId="40" fillId="0" borderId="45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47" xfId="0" applyFont="1" applyFill="1" applyBorder="1" applyAlignment="1">
      <alignment horizontal="left" vertical="center" wrapText="1"/>
    </xf>
    <xf numFmtId="0" fontId="40" fillId="0" borderId="47" xfId="0" applyFont="1" applyFill="1" applyBorder="1" applyAlignment="1">
      <alignment horizontal="left" vertical="center" wrapText="1"/>
    </xf>
    <xf numFmtId="0" fontId="4" fillId="0" borderId="4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0" fillId="0" borderId="50" xfId="0" applyFont="1" applyFill="1" applyBorder="1" applyAlignment="1">
      <alignment horizontal="left" vertical="center" wrapText="1"/>
    </xf>
    <xf numFmtId="49" fontId="4" fillId="0" borderId="44" xfId="0" applyNumberFormat="1" applyFont="1" applyFill="1" applyBorder="1" applyAlignment="1">
      <alignment horizontal="center" vertical="center" wrapText="1"/>
    </xf>
    <xf numFmtId="0" fontId="41" fillId="0" borderId="51" xfId="0" applyFont="1" applyFill="1" applyBorder="1" applyAlignment="1">
      <alignment horizontal="center" vertical="center" textRotation="90" wrapText="1"/>
    </xf>
    <xf numFmtId="0" fontId="4" fillId="0" borderId="31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>
      <alignment horizontal="center" vertical="center" wrapText="1"/>
    </xf>
    <xf numFmtId="0" fontId="4" fillId="0" borderId="30" xfId="0" quotePrefix="1" applyFont="1" applyFill="1" applyBorder="1" applyAlignment="1">
      <alignment horizontal="center" vertical="center" wrapText="1"/>
    </xf>
    <xf numFmtId="0" fontId="40" fillId="0" borderId="52" xfId="0" applyFont="1" applyFill="1" applyBorder="1" applyAlignment="1">
      <alignment horizontal="left" vertical="center" wrapText="1"/>
    </xf>
    <xf numFmtId="0" fontId="40" fillId="0" borderId="44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 wrapText="1"/>
    </xf>
    <xf numFmtId="0" fontId="4" fillId="0" borderId="27" xfId="0" applyFont="1" applyFill="1" applyBorder="1" applyAlignment="1">
      <alignment horizontal="center" vertical="center" wrapText="1"/>
    </xf>
    <xf numFmtId="0" fontId="40" fillId="0" borderId="27" xfId="0" applyFont="1" applyFill="1" applyBorder="1" applyAlignment="1">
      <alignment horizontal="left" vertical="center" wrapText="1"/>
    </xf>
    <xf numFmtId="0" fontId="40" fillId="0" borderId="54" xfId="0" applyFont="1" applyFill="1" applyBorder="1" applyAlignment="1">
      <alignment horizontal="left" vertical="center" wrapText="1"/>
    </xf>
    <xf numFmtId="0" fontId="40" fillId="0" borderId="44" xfId="0" applyFont="1" applyFill="1" applyBorder="1" applyAlignment="1">
      <alignment horizontal="left" vertical="center" wrapText="1"/>
    </xf>
    <xf numFmtId="0" fontId="4" fillId="0" borderId="39" xfId="0" quotePrefix="1" applyFont="1" applyFill="1" applyBorder="1" applyAlignment="1">
      <alignment horizontal="center" vertical="center" wrapText="1"/>
    </xf>
    <xf numFmtId="0" fontId="40" fillId="0" borderId="50" xfId="0" quotePrefix="1" applyFont="1" applyFill="1" applyBorder="1" applyAlignment="1">
      <alignment horizontal="center" vertical="center" wrapText="1"/>
    </xf>
    <xf numFmtId="0" fontId="0" fillId="0" borderId="0" xfId="0"/>
    <xf numFmtId="0" fontId="2" fillId="0" borderId="4" xfId="0" applyFont="1" applyBorder="1" applyAlignment="1">
      <alignment horizontal="center" wrapText="1"/>
    </xf>
    <xf numFmtId="0" fontId="5" fillId="0" borderId="36" xfId="34" applyFont="1" applyFill="1" applyBorder="1" applyAlignment="1">
      <alignment horizontal="center"/>
    </xf>
    <xf numFmtId="0" fontId="5" fillId="0" borderId="4" xfId="34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0" fillId="0" borderId="0" xfId="0"/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5" fillId="0" borderId="36" xfId="34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0" fillId="0" borderId="4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39" xfId="0" applyFill="1" applyBorder="1" applyAlignment="1">
      <alignment horizontal="left" vertical="center" wrapText="1"/>
    </xf>
    <xf numFmtId="0" fontId="0" fillId="0" borderId="39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0" fillId="0" borderId="36" xfId="0" applyFill="1" applyBorder="1" applyAlignment="1">
      <alignment horizontal="left" vertical="center" wrapText="1"/>
    </xf>
    <xf numFmtId="0" fontId="0" fillId="0" borderId="36" xfId="0" applyFill="1" applyBorder="1" applyAlignment="1">
      <alignment horizontal="center" vertical="center"/>
    </xf>
    <xf numFmtId="0" fontId="0" fillId="0" borderId="30" xfId="0" applyFill="1" applyBorder="1" applyAlignment="1">
      <alignment horizontal="left" vertical="center" wrapText="1"/>
    </xf>
    <xf numFmtId="0" fontId="0" fillId="0" borderId="30" xfId="0" applyFill="1" applyBorder="1" applyAlignment="1">
      <alignment horizontal="center" vertical="center"/>
    </xf>
    <xf numFmtId="0" fontId="0" fillId="0" borderId="65" xfId="0" applyFill="1" applyBorder="1" applyAlignment="1">
      <alignment horizontal="left" vertical="center" wrapText="1"/>
    </xf>
    <xf numFmtId="0" fontId="0" fillId="0" borderId="65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4" borderId="4" xfId="1" applyFill="1" applyBorder="1" applyAlignment="1">
      <alignment horizontal="center"/>
    </xf>
    <xf numFmtId="0" fontId="4" fillId="4" borderId="4" xfId="1" applyFont="1" applyFill="1" applyBorder="1" applyAlignment="1">
      <alignment horizontal="center"/>
    </xf>
    <xf numFmtId="0" fontId="5" fillId="0" borderId="36" xfId="34" applyFont="1" applyFill="1" applyBorder="1" applyAlignment="1">
      <alignment horizontal="center" wrapText="1"/>
    </xf>
    <xf numFmtId="0" fontId="5" fillId="0" borderId="37" xfId="34" applyFont="1" applyFill="1" applyBorder="1" applyAlignment="1">
      <alignment horizontal="center" wrapText="1"/>
    </xf>
    <xf numFmtId="0" fontId="5" fillId="0" borderId="36" xfId="34" applyFont="1" applyFill="1" applyBorder="1" applyAlignment="1">
      <alignment horizontal="left" wrapText="1"/>
    </xf>
    <xf numFmtId="0" fontId="2" fillId="0" borderId="4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4" xfId="34" applyFont="1" applyFill="1" applyBorder="1" applyAlignment="1">
      <alignment horizontal="left"/>
    </xf>
    <xf numFmtId="0" fontId="9" fillId="0" borderId="4" xfId="0" applyFont="1" applyBorder="1" applyAlignment="1">
      <alignment horizontal="left"/>
    </xf>
    <xf numFmtId="0" fontId="5" fillId="0" borderId="4" xfId="34" applyFont="1" applyBorder="1" applyAlignment="1">
      <alignment horizontal="left"/>
    </xf>
    <xf numFmtId="0" fontId="0" fillId="0" borderId="0" xfId="0" applyFill="1" applyAlignment="1">
      <alignment horizontal="center"/>
    </xf>
    <xf numFmtId="2" fontId="0" fillId="0" borderId="4" xfId="0" applyNumberFormat="1" applyBorder="1" applyAlignment="1">
      <alignment horizontal="center"/>
    </xf>
    <xf numFmtId="0" fontId="5" fillId="0" borderId="4" xfId="34" applyFont="1" applyFill="1" applyBorder="1" applyAlignment="1">
      <alignment horizontal="left"/>
    </xf>
    <xf numFmtId="0" fontId="9" fillId="0" borderId="4" xfId="0" applyFont="1" applyBorder="1" applyAlignment="1">
      <alignment horizontal="left"/>
    </xf>
    <xf numFmtId="0" fontId="5" fillId="0" borderId="4" xfId="34" applyFont="1" applyBorder="1" applyAlignment="1">
      <alignment horizontal="left"/>
    </xf>
    <xf numFmtId="0" fontId="5" fillId="2" borderId="4" xfId="34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2" fillId="4" borderId="67" xfId="0" applyFont="1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2" fillId="4" borderId="33" xfId="0" applyFont="1" applyFill="1" applyBorder="1" applyAlignment="1">
      <alignment horizontal="left"/>
    </xf>
    <xf numFmtId="0" fontId="0" fillId="4" borderId="66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/>
    <xf numFmtId="0" fontId="0" fillId="0" borderId="4" xfId="0" applyBorder="1" applyAlignment="1">
      <alignment horizontal="center" wrapText="1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4" xfId="0" applyBorder="1" applyAlignment="1">
      <alignment horizontal="center" vertical="center"/>
    </xf>
    <xf numFmtId="166" fontId="0" fillId="0" borderId="4" xfId="0" applyNumberFormat="1" applyBorder="1" applyAlignment="1">
      <alignment horizontal="center"/>
    </xf>
    <xf numFmtId="0" fontId="0" fillId="0" borderId="0" xfId="0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left"/>
    </xf>
    <xf numFmtId="0" fontId="4" fillId="7" borderId="20" xfId="47" applyFont="1" applyFill="1" applyBorder="1" applyAlignment="1" applyProtection="1">
      <protection locked="0"/>
    </xf>
    <xf numFmtId="164" fontId="4" fillId="7" borderId="26" xfId="47" applyNumberFormat="1" applyFont="1" applyFill="1" applyBorder="1" applyAlignment="1" applyProtection="1">
      <alignment horizontal="center"/>
      <protection locked="0"/>
    </xf>
    <xf numFmtId="164" fontId="4" fillId="7" borderId="26" xfId="47" applyNumberFormat="1" applyFill="1" applyBorder="1" applyAlignment="1" applyProtection="1">
      <alignment horizontal="center"/>
      <protection locked="0"/>
    </xf>
    <xf numFmtId="165" fontId="4" fillId="7" borderId="26" xfId="47" applyNumberFormat="1" applyFill="1" applyBorder="1" applyAlignment="1" applyProtection="1">
      <alignment horizontal="center"/>
      <protection locked="0"/>
    </xf>
    <xf numFmtId="2" fontId="13" fillId="7" borderId="21" xfId="47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Border="1" applyProtection="1"/>
    <xf numFmtId="0" fontId="2" fillId="0" borderId="0" xfId="0" applyFont="1" applyAlignment="1">
      <alignment horizontal="left"/>
    </xf>
    <xf numFmtId="0" fontId="0" fillId="0" borderId="0" xfId="0" applyFont="1"/>
    <xf numFmtId="164" fontId="90" fillId="0" borderId="4" xfId="34" applyNumberFormat="1" applyFont="1" applyBorder="1" applyAlignment="1">
      <alignment horizontal="center"/>
    </xf>
    <xf numFmtId="0" fontId="90" fillId="0" borderId="4" xfId="34" applyFont="1" applyBorder="1"/>
    <xf numFmtId="164" fontId="90" fillId="0" borderId="4" xfId="36" applyNumberFormat="1" applyFont="1" applyFill="1" applyBorder="1" applyAlignment="1" applyProtection="1">
      <alignment horizontal="center"/>
      <protection locked="0"/>
    </xf>
    <xf numFmtId="0" fontId="10" fillId="3" borderId="4" xfId="36" applyFont="1" applyFill="1" applyBorder="1" applyAlignment="1"/>
    <xf numFmtId="0" fontId="90" fillId="2" borderId="4" xfId="36" applyFont="1" applyFill="1" applyBorder="1" applyAlignment="1" applyProtection="1">
      <protection locked="0"/>
    </xf>
    <xf numFmtId="0" fontId="90" fillId="0" borderId="4" xfId="36" applyFont="1" applyFill="1" applyBorder="1" applyAlignment="1" applyProtection="1">
      <protection locked="0"/>
    </xf>
    <xf numFmtId="0" fontId="90" fillId="0" borderId="4" xfId="34" applyFont="1" applyBorder="1" applyAlignment="1">
      <alignment horizontal="center"/>
    </xf>
    <xf numFmtId="0" fontId="10" fillId="3" borderId="0" xfId="36" applyFont="1" applyFill="1" applyBorder="1" applyAlignment="1">
      <alignment horizontal="center"/>
    </xf>
    <xf numFmtId="0" fontId="10" fillId="3" borderId="4" xfId="36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90" fillId="7" borderId="4" xfId="36" applyFont="1" applyFill="1" applyBorder="1" applyAlignment="1" applyProtection="1">
      <protection locked="0"/>
    </xf>
    <xf numFmtId="164" fontId="90" fillId="7" borderId="4" xfId="36" applyNumberFormat="1" applyFont="1" applyFill="1" applyBorder="1" applyAlignment="1" applyProtection="1">
      <alignment horizontal="center"/>
      <protection locked="0"/>
    </xf>
    <xf numFmtId="0" fontId="90" fillId="7" borderId="4" xfId="34" applyFont="1" applyFill="1" applyBorder="1" applyAlignment="1">
      <alignment horizontal="center"/>
    </xf>
    <xf numFmtId="0" fontId="0" fillId="7" borderId="4" xfId="0" applyFont="1" applyFill="1" applyBorder="1" applyAlignment="1">
      <alignment horizontal="center"/>
    </xf>
    <xf numFmtId="0" fontId="55" fillId="7" borderId="0" xfId="0" applyFont="1" applyFill="1" applyAlignment="1" applyProtection="1">
      <alignment wrapText="1"/>
    </xf>
    <xf numFmtId="0" fontId="0" fillId="5" borderId="0" xfId="0" applyFill="1" applyProtection="1"/>
    <xf numFmtId="0" fontId="0" fillId="0" borderId="0" xfId="0" applyProtection="1"/>
    <xf numFmtId="0" fontId="4" fillId="5" borderId="0" xfId="47" applyFill="1" applyProtection="1"/>
    <xf numFmtId="0" fontId="4" fillId="0" borderId="0" xfId="47" applyProtection="1"/>
    <xf numFmtId="0" fontId="11" fillId="5" borderId="0" xfId="47" applyFont="1" applyFill="1" applyProtection="1"/>
    <xf numFmtId="0" fontId="0" fillId="7" borderId="0" xfId="0" applyFill="1" applyProtection="1"/>
    <xf numFmtId="0" fontId="4" fillId="5" borderId="0" xfId="47" applyFont="1" applyFill="1" applyProtection="1"/>
    <xf numFmtId="0" fontId="18" fillId="7" borderId="0" xfId="47" applyFont="1" applyFill="1" applyBorder="1" applyAlignment="1" applyProtection="1">
      <alignment horizontal="right"/>
    </xf>
    <xf numFmtId="1" fontId="18" fillId="7" borderId="0" xfId="47" applyNumberFormat="1" applyFont="1" applyFill="1" applyBorder="1" applyAlignment="1" applyProtection="1">
      <alignment horizontal="center"/>
    </xf>
    <xf numFmtId="0" fontId="18" fillId="7" borderId="0" xfId="47" applyFont="1" applyFill="1" applyBorder="1" applyProtection="1"/>
    <xf numFmtId="0" fontId="4" fillId="7" borderId="0" xfId="47" applyFill="1" applyBorder="1" applyProtection="1"/>
    <xf numFmtId="164" fontId="17" fillId="7" borderId="0" xfId="47" applyNumberFormat="1" applyFont="1" applyFill="1" applyBorder="1" applyAlignment="1" applyProtection="1">
      <alignment horizontal="center"/>
    </xf>
    <xf numFmtId="0" fontId="4" fillId="5" borderId="0" xfId="47" applyFill="1" applyBorder="1" applyProtection="1"/>
    <xf numFmtId="0" fontId="6" fillId="0" borderId="0" xfId="47" applyFont="1" applyFill="1" applyBorder="1" applyAlignment="1" applyProtection="1"/>
    <xf numFmtId="0" fontId="0" fillId="7" borderId="0" xfId="0" applyFill="1" applyBorder="1" applyProtection="1"/>
    <xf numFmtId="0" fontId="4" fillId="7" borderId="0" xfId="47" applyFill="1" applyBorder="1" applyAlignment="1" applyProtection="1">
      <alignment horizontal="center"/>
    </xf>
    <xf numFmtId="2" fontId="4" fillId="0" borderId="0" xfId="47" applyNumberFormat="1" applyFont="1" applyFill="1" applyBorder="1" applyAlignment="1" applyProtection="1">
      <alignment horizontal="center"/>
    </xf>
    <xf numFmtId="0" fontId="6" fillId="7" borderId="0" xfId="47" applyFont="1" applyFill="1" applyBorder="1" applyAlignment="1" applyProtection="1">
      <alignment vertical="center"/>
    </xf>
    <xf numFmtId="0" fontId="15" fillId="0" borderId="0" xfId="47" applyFont="1" applyFill="1" applyBorder="1" applyAlignment="1" applyProtection="1">
      <alignment horizontal="center"/>
    </xf>
    <xf numFmtId="0" fontId="15" fillId="5" borderId="0" xfId="47" applyFont="1" applyFill="1" applyProtection="1"/>
    <xf numFmtId="0" fontId="2" fillId="7" borderId="0" xfId="0" applyFont="1" applyFill="1" applyBorder="1" applyProtection="1"/>
    <xf numFmtId="0" fontId="2" fillId="7" borderId="0" xfId="0" applyFont="1" applyFill="1" applyBorder="1" applyAlignment="1" applyProtection="1">
      <alignment horizontal="left"/>
    </xf>
    <xf numFmtId="0" fontId="6" fillId="7" borderId="0" xfId="4" applyFont="1" applyFill="1" applyBorder="1" applyAlignment="1" applyProtection="1"/>
    <xf numFmtId="164" fontId="6" fillId="7" borderId="0" xfId="4" applyNumberFormat="1" applyFont="1" applyFill="1" applyBorder="1" applyAlignment="1" applyProtection="1">
      <alignment horizontal="center"/>
    </xf>
    <xf numFmtId="164" fontId="6" fillId="7" borderId="0" xfId="47" applyNumberFormat="1" applyFont="1" applyFill="1" applyBorder="1" applyAlignment="1" applyProtection="1">
      <alignment horizontal="left"/>
    </xf>
    <xf numFmtId="0" fontId="2" fillId="7" borderId="0" xfId="0" applyFont="1" applyFill="1" applyBorder="1" applyAlignment="1" applyProtection="1">
      <alignment horizontal="center" vertical="top" wrapText="1"/>
    </xf>
    <xf numFmtId="2" fontId="56" fillId="7" borderId="76" xfId="47" applyNumberFormat="1" applyFont="1" applyFill="1" applyBorder="1" applyAlignment="1" applyProtection="1"/>
    <xf numFmtId="2" fontId="54" fillId="7" borderId="0" xfId="47" applyNumberFormat="1" applyFont="1" applyFill="1" applyBorder="1" applyAlignment="1" applyProtection="1"/>
    <xf numFmtId="164" fontId="4" fillId="7" borderId="0" xfId="47" applyNumberFormat="1" applyFill="1" applyBorder="1" applyAlignment="1" applyProtection="1">
      <alignment horizontal="center"/>
    </xf>
    <xf numFmtId="1" fontId="4" fillId="7" borderId="0" xfId="47" applyNumberFormat="1" applyFill="1" applyBorder="1" applyAlignment="1" applyProtection="1">
      <alignment horizontal="center"/>
    </xf>
    <xf numFmtId="164" fontId="4" fillId="0" borderId="0" xfId="47" applyNumberFormat="1" applyFont="1" applyFill="1" applyBorder="1" applyAlignment="1" applyProtection="1">
      <alignment horizontal="center"/>
    </xf>
    <xf numFmtId="164" fontId="4" fillId="0" borderId="0" xfId="47" applyNumberFormat="1" applyFill="1" applyBorder="1" applyAlignment="1" applyProtection="1">
      <alignment horizontal="center"/>
    </xf>
    <xf numFmtId="1" fontId="4" fillId="0" borderId="0" xfId="47" applyNumberFormat="1" applyFill="1" applyBorder="1" applyAlignment="1" applyProtection="1">
      <alignment horizontal="center"/>
    </xf>
    <xf numFmtId="0" fontId="6" fillId="0" borderId="0" xfId="47" applyFont="1" applyFill="1" applyBorder="1" applyAlignment="1" applyProtection="1">
      <alignment vertical="center"/>
    </xf>
    <xf numFmtId="165" fontId="4" fillId="0" borderId="0" xfId="47" applyNumberFormat="1" applyFill="1" applyBorder="1" applyAlignment="1" applyProtection="1">
      <alignment horizontal="center"/>
    </xf>
    <xf numFmtId="0" fontId="17" fillId="0" borderId="0" xfId="47" applyFont="1" applyFill="1" applyBorder="1" applyAlignment="1" applyProtection="1">
      <alignment horizontal="center" vertical="center"/>
    </xf>
    <xf numFmtId="0" fontId="15" fillId="5" borderId="0" xfId="47" applyFont="1" applyFill="1" applyAlignment="1" applyProtection="1">
      <alignment vertical="center"/>
    </xf>
    <xf numFmtId="167" fontId="4" fillId="0" borderId="0" xfId="47" applyNumberFormat="1" applyFill="1" applyBorder="1" applyAlignment="1" applyProtection="1">
      <alignment horizontal="center"/>
    </xf>
    <xf numFmtId="0" fontId="15" fillId="5" borderId="0" xfId="47" applyFont="1" applyFill="1" applyBorder="1" applyAlignment="1" applyProtection="1">
      <alignment vertical="center"/>
    </xf>
    <xf numFmtId="0" fontId="15" fillId="0" borderId="0" xfId="47" applyFont="1" applyFill="1" applyBorder="1" applyAlignment="1" applyProtection="1">
      <alignment horizontal="center" vertical="center"/>
    </xf>
    <xf numFmtId="0" fontId="15" fillId="0" borderId="0" xfId="47" applyFont="1" applyFill="1" applyBorder="1" applyAlignment="1" applyProtection="1">
      <alignment vertical="center"/>
    </xf>
    <xf numFmtId="0" fontId="15" fillId="5" borderId="0" xfId="47" applyFont="1" applyFill="1" applyBorder="1" applyProtection="1"/>
    <xf numFmtId="0" fontId="6" fillId="0" borderId="0" xfId="47" applyFont="1" applyFill="1" applyBorder="1" applyAlignment="1" applyProtection="1">
      <alignment horizontal="center" vertical="center"/>
    </xf>
    <xf numFmtId="0" fontId="4" fillId="0" borderId="0" xfId="47" applyFill="1" applyBorder="1" applyProtection="1"/>
    <xf numFmtId="0" fontId="6" fillId="0" borderId="0" xfId="47" applyFont="1" applyFill="1" applyBorder="1" applyAlignment="1" applyProtection="1">
      <alignment horizontal="center"/>
    </xf>
    <xf numFmtId="0" fontId="4" fillId="0" borderId="0" xfId="47" applyFill="1" applyBorder="1" applyAlignment="1" applyProtection="1">
      <alignment horizontal="center"/>
    </xf>
    <xf numFmtId="0" fontId="6" fillId="5" borderId="0" xfId="47" applyFont="1" applyFill="1" applyAlignment="1" applyProtection="1">
      <alignment horizontal="left" wrapText="1"/>
    </xf>
    <xf numFmtId="2" fontId="6" fillId="0" borderId="0" xfId="47" applyNumberFormat="1" applyFont="1" applyFill="1" applyBorder="1" applyAlignment="1" applyProtection="1">
      <alignment horizontal="center"/>
    </xf>
    <xf numFmtId="2" fontId="4" fillId="0" borderId="0" xfId="47" applyNumberFormat="1" applyFill="1" applyBorder="1" applyAlignment="1" applyProtection="1">
      <alignment horizontal="center"/>
    </xf>
    <xf numFmtId="0" fontId="6" fillId="5" borderId="0" xfId="47" applyFont="1" applyFill="1" applyAlignment="1" applyProtection="1">
      <alignment horizontal="center" wrapText="1"/>
    </xf>
    <xf numFmtId="164" fontId="6" fillId="0" borderId="0" xfId="47" applyNumberFormat="1" applyFont="1" applyFill="1" applyBorder="1" applyAlignment="1" applyProtection="1">
      <alignment horizontal="center"/>
    </xf>
    <xf numFmtId="0" fontId="4" fillId="0" borderId="0" xfId="47" applyFill="1" applyBorder="1" applyAlignment="1" applyProtection="1"/>
    <xf numFmtId="0" fontId="6" fillId="0" borderId="0" xfId="47" applyFont="1" applyFill="1" applyBorder="1" applyAlignment="1" applyProtection="1">
      <alignment horizontal="left"/>
    </xf>
    <xf numFmtId="0" fontId="6" fillId="0" borderId="0" xfId="47" applyFont="1" applyFill="1" applyBorder="1" applyProtection="1"/>
    <xf numFmtId="0" fontId="4" fillId="5" borderId="0" xfId="47" applyFill="1" applyAlignment="1" applyProtection="1">
      <alignment horizontal="center"/>
    </xf>
    <xf numFmtId="0" fontId="4" fillId="0" borderId="0" xfId="47" applyBorder="1" applyProtection="1"/>
    <xf numFmtId="0" fontId="8" fillId="6" borderId="0" xfId="47" applyFont="1" applyFill="1" applyBorder="1" applyAlignment="1" applyProtection="1">
      <alignment horizontal="left" wrapText="1"/>
    </xf>
    <xf numFmtId="0" fontId="8" fillId="6" borderId="4" xfId="47" applyFont="1" applyFill="1" applyBorder="1" applyAlignment="1" applyProtection="1">
      <alignment horizontal="center" vertical="center" wrapText="1"/>
    </xf>
    <xf numFmtId="164" fontId="25" fillId="7" borderId="0" xfId="47" applyNumberFormat="1" applyFont="1" applyFill="1" applyBorder="1" applyAlignment="1" applyProtection="1">
      <alignment horizontal="left"/>
    </xf>
    <xf numFmtId="164" fontId="4" fillId="7" borderId="0" xfId="47" applyNumberFormat="1" applyFont="1" applyFill="1" applyBorder="1" applyAlignment="1" applyProtection="1">
      <alignment horizontal="center"/>
    </xf>
    <xf numFmtId="2" fontId="6" fillId="7" borderId="0" xfId="4" applyNumberFormat="1" applyFont="1" applyFill="1" applyBorder="1" applyAlignment="1" applyProtection="1">
      <alignment horizontal="center"/>
    </xf>
    <xf numFmtId="164" fontId="5" fillId="7" borderId="0" xfId="47" applyNumberFormat="1" applyFont="1" applyFill="1" applyBorder="1" applyAlignment="1" applyProtection="1">
      <alignment horizontal="right"/>
    </xf>
    <xf numFmtId="166" fontId="5" fillId="7" borderId="0" xfId="47" applyNumberFormat="1" applyFont="1" applyFill="1" applyBorder="1" applyAlignment="1" applyProtection="1">
      <alignment horizontal="center"/>
    </xf>
    <xf numFmtId="164" fontId="5" fillId="7" borderId="0" xfId="47" applyNumberFormat="1" applyFont="1" applyFill="1" applyBorder="1" applyAlignment="1" applyProtection="1">
      <alignment horizontal="center"/>
    </xf>
    <xf numFmtId="1" fontId="5" fillId="7" borderId="0" xfId="47" applyNumberFormat="1" applyFont="1" applyFill="1" applyBorder="1" applyAlignment="1" applyProtection="1">
      <alignment horizontal="center"/>
    </xf>
    <xf numFmtId="0" fontId="5" fillId="7" borderId="0" xfId="47" applyFont="1" applyFill="1" applyBorder="1" applyAlignment="1" applyProtection="1">
      <alignment horizontal="right" vertical="center"/>
    </xf>
    <xf numFmtId="166" fontId="5" fillId="7" borderId="0" xfId="47" applyNumberFormat="1" applyFont="1" applyFill="1" applyBorder="1" applyAlignment="1" applyProtection="1">
      <alignment horizontal="center" vertical="center"/>
    </xf>
    <xf numFmtId="164" fontId="9" fillId="7" borderId="0" xfId="47" applyNumberFormat="1" applyFont="1" applyFill="1" applyBorder="1" applyAlignment="1" applyProtection="1">
      <alignment horizontal="center" vertical="center"/>
    </xf>
    <xf numFmtId="0" fontId="9" fillId="7" borderId="0" xfId="47" applyFont="1" applyFill="1" applyBorder="1" applyAlignment="1" applyProtection="1">
      <alignment horizontal="center" vertical="center"/>
    </xf>
    <xf numFmtId="164" fontId="5" fillId="7" borderId="0" xfId="47" applyNumberFormat="1" applyFont="1" applyFill="1" applyBorder="1" applyAlignment="1" applyProtection="1">
      <alignment horizontal="center" vertical="center"/>
    </xf>
    <xf numFmtId="164" fontId="19" fillId="7" borderId="0" xfId="47" applyNumberFormat="1" applyFont="1" applyFill="1" applyBorder="1" applyAlignment="1" applyProtection="1">
      <alignment horizontal="center" vertical="center"/>
    </xf>
    <xf numFmtId="0" fontId="5" fillId="7" borderId="0" xfId="47" applyFont="1" applyFill="1" applyBorder="1" applyAlignment="1" applyProtection="1">
      <alignment vertical="center"/>
    </xf>
    <xf numFmtId="0" fontId="20" fillId="7" borderId="0" xfId="47" applyFont="1" applyFill="1" applyBorder="1" applyAlignment="1" applyProtection="1">
      <alignment horizontal="center"/>
    </xf>
    <xf numFmtId="0" fontId="21" fillId="7" borderId="0" xfId="47" applyFont="1" applyFill="1" applyBorder="1" applyAlignment="1" applyProtection="1">
      <alignment horizontal="center"/>
    </xf>
    <xf numFmtId="0" fontId="5" fillId="7" borderId="0" xfId="47" applyFont="1" applyFill="1" applyBorder="1" applyAlignment="1" applyProtection="1">
      <alignment horizontal="center"/>
    </xf>
    <xf numFmtId="165" fontId="5" fillId="7" borderId="0" xfId="47" applyNumberFormat="1" applyFont="1" applyFill="1" applyBorder="1" applyAlignment="1" applyProtection="1">
      <alignment horizontal="center"/>
    </xf>
    <xf numFmtId="2" fontId="22" fillId="7" borderId="0" xfId="47" applyNumberFormat="1" applyFont="1" applyFill="1" applyBorder="1" applyAlignment="1" applyProtection="1">
      <alignment horizontal="center"/>
    </xf>
    <xf numFmtId="0" fontId="4" fillId="7" borderId="0" xfId="47" applyFont="1" applyFill="1" applyBorder="1" applyAlignment="1" applyProtection="1"/>
    <xf numFmtId="2" fontId="13" fillId="0" borderId="0" xfId="47" applyNumberFormat="1" applyFont="1" applyFill="1" applyBorder="1" applyAlignment="1" applyProtection="1">
      <alignment horizontal="center"/>
    </xf>
    <xf numFmtId="1" fontId="0" fillId="7" borderId="0" xfId="0" applyNumberFormat="1" applyFill="1" applyBorder="1" applyAlignment="1" applyProtection="1">
      <alignment horizontal="center"/>
    </xf>
    <xf numFmtId="164" fontId="16" fillId="7" borderId="0" xfId="47" applyNumberFormat="1" applyFont="1" applyFill="1" applyBorder="1" applyAlignment="1" applyProtection="1">
      <alignment horizontal="center"/>
    </xf>
    <xf numFmtId="0" fontId="16" fillId="7" borderId="0" xfId="47" applyFont="1" applyFill="1" applyBorder="1" applyProtection="1"/>
    <xf numFmtId="164" fontId="4" fillId="7" borderId="0" xfId="47" applyNumberFormat="1" applyFont="1" applyFill="1" applyBorder="1" applyAlignment="1" applyProtection="1">
      <alignment horizontal="left"/>
    </xf>
    <xf numFmtId="0" fontId="4" fillId="7" borderId="0" xfId="4" applyFill="1" applyBorder="1" applyAlignment="1" applyProtection="1"/>
    <xf numFmtId="164" fontId="4" fillId="7" borderId="0" xfId="4" applyNumberFormat="1" applyFont="1" applyFill="1" applyBorder="1" applyAlignment="1" applyProtection="1">
      <alignment horizontal="center"/>
    </xf>
    <xf numFmtId="0" fontId="4" fillId="7" borderId="0" xfId="47" applyFill="1" applyBorder="1" applyAlignment="1" applyProtection="1"/>
    <xf numFmtId="0" fontId="6" fillId="7" borderId="0" xfId="47" applyFont="1" applyFill="1" applyBorder="1" applyAlignment="1" applyProtection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4" xfId="0" applyBorder="1" applyAlignment="1"/>
    <xf numFmtId="168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164" fontId="5" fillId="7" borderId="0" xfId="47" applyNumberFormat="1" applyFont="1" applyFill="1" applyBorder="1" applyAlignment="1" applyProtection="1">
      <alignment horizontal="left"/>
    </xf>
    <xf numFmtId="0" fontId="5" fillId="7" borderId="0" xfId="47" applyFont="1" applyFill="1" applyBorder="1" applyAlignment="1" applyProtection="1">
      <alignment horizontal="left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94" fillId="7" borderId="0" xfId="47" applyFont="1" applyFill="1" applyProtection="1"/>
    <xf numFmtId="1" fontId="90" fillId="8" borderId="4" xfId="47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/>
    <xf numFmtId="0" fontId="1" fillId="7" borderId="4" xfId="0" applyFont="1" applyFill="1" applyBorder="1" applyAlignment="1" applyProtection="1">
      <alignment horizontal="center"/>
    </xf>
    <xf numFmtId="0" fontId="92" fillId="6" borderId="0" xfId="47" applyFont="1" applyFill="1" applyBorder="1" applyAlignment="1" applyProtection="1">
      <alignment horizontal="left" wrapText="1"/>
    </xf>
    <xf numFmtId="0" fontId="92" fillId="6" borderId="4" xfId="47" applyFont="1" applyFill="1" applyBorder="1" applyAlignment="1" applyProtection="1">
      <alignment horizontal="left" vertical="center" wrapText="1"/>
    </xf>
    <xf numFmtId="0" fontId="51" fillId="7" borderId="0" xfId="47" applyFont="1" applyFill="1" applyProtection="1"/>
    <xf numFmtId="0" fontId="92" fillId="6" borderId="4" xfId="47" applyFont="1" applyFill="1" applyBorder="1" applyAlignment="1" applyProtection="1">
      <alignment vertical="center" wrapText="1"/>
    </xf>
    <xf numFmtId="0" fontId="93" fillId="6" borderId="4" xfId="47" applyFont="1" applyFill="1" applyBorder="1" applyAlignment="1" applyProtection="1">
      <alignment horizontal="left" vertical="center" wrapText="1"/>
    </xf>
    <xf numFmtId="0" fontId="92" fillId="6" borderId="0" xfId="47" applyFont="1" applyFill="1" applyBorder="1" applyAlignment="1" applyProtection="1">
      <alignment vertical="center" wrapText="1"/>
    </xf>
    <xf numFmtId="0" fontId="51" fillId="0" borderId="0" xfId="47" applyFont="1" applyProtection="1"/>
    <xf numFmtId="0" fontId="92" fillId="6" borderId="2" xfId="47" applyFont="1" applyFill="1" applyBorder="1" applyAlignment="1" applyProtection="1">
      <alignment vertical="center" wrapText="1"/>
    </xf>
    <xf numFmtId="2" fontId="52" fillId="8" borderId="4" xfId="47" applyNumberFormat="1" applyFont="1" applyFill="1" applyBorder="1" applyAlignment="1" applyProtection="1">
      <alignment horizontal="center"/>
      <protection locked="0"/>
    </xf>
    <xf numFmtId="0" fontId="52" fillId="8" borderId="4" xfId="47" applyFont="1" applyFill="1" applyBorder="1" applyAlignment="1" applyProtection="1">
      <protection locked="0"/>
    </xf>
    <xf numFmtId="164" fontId="51" fillId="8" borderId="74" xfId="47" applyNumberFormat="1" applyFont="1" applyFill="1" applyBorder="1" applyAlignment="1" applyProtection="1">
      <alignment horizontal="center"/>
      <protection locked="0"/>
    </xf>
    <xf numFmtId="0" fontId="51" fillId="8" borderId="73" xfId="47" applyFont="1" applyFill="1" applyBorder="1" applyAlignment="1" applyProtection="1">
      <alignment horizontal="center"/>
      <protection locked="0"/>
    </xf>
    <xf numFmtId="0" fontId="10" fillId="3" borderId="37" xfId="36" applyFont="1" applyFill="1" applyBorder="1" applyAlignment="1">
      <alignment horizontal="center" wrapText="1"/>
    </xf>
    <xf numFmtId="164" fontId="90" fillId="8" borderId="4" xfId="47" applyNumberFormat="1" applyFont="1" applyFill="1" applyBorder="1" applyAlignment="1" applyProtection="1">
      <alignment horizontal="center"/>
      <protection locked="0"/>
    </xf>
    <xf numFmtId="1" fontId="90" fillId="8" borderId="4" xfId="47" applyNumberFormat="1" applyFont="1" applyFill="1" applyBorder="1" applyAlignment="1" applyProtection="1">
      <alignment horizontal="center" vertical="center"/>
      <protection locked="0"/>
    </xf>
    <xf numFmtId="170" fontId="90" fillId="8" borderId="4" xfId="47" applyNumberFormat="1" applyFont="1" applyFill="1" applyBorder="1" applyAlignment="1" applyProtection="1">
      <alignment horizontal="center"/>
      <protection locked="0"/>
    </xf>
    <xf numFmtId="164" fontId="51" fillId="8" borderId="4" xfId="47" applyNumberFormat="1" applyFont="1" applyFill="1" applyBorder="1" applyAlignment="1" applyProtection="1">
      <alignment horizontal="center"/>
      <protection locked="0"/>
    </xf>
    <xf numFmtId="0" fontId="10" fillId="0" borderId="0" xfId="36" applyFont="1" applyFill="1" applyBorder="1" applyAlignment="1">
      <alignment horizontal="center" wrapText="1"/>
    </xf>
    <xf numFmtId="0" fontId="10" fillId="3" borderId="4" xfId="36" applyFont="1" applyFill="1" applyBorder="1" applyAlignment="1">
      <alignment horizontal="center" wrapText="1"/>
    </xf>
    <xf numFmtId="2" fontId="0" fillId="0" borderId="0" xfId="0" applyNumberFormat="1" applyFill="1" applyBorder="1" applyAlignment="1">
      <alignment horizontal="center"/>
    </xf>
    <xf numFmtId="2" fontId="0" fillId="0" borderId="4" xfId="0" applyNumberFormat="1" applyFill="1" applyBorder="1" applyAlignment="1">
      <alignment horizontal="center"/>
    </xf>
    <xf numFmtId="0" fontId="10" fillId="3" borderId="4" xfId="36" applyFont="1" applyFill="1" applyBorder="1" applyAlignment="1">
      <alignment horizontal="center"/>
    </xf>
    <xf numFmtId="0" fontId="0" fillId="0" borderId="4" xfId="0" applyFill="1" applyBorder="1" applyAlignment="1"/>
    <xf numFmtId="0" fontId="4" fillId="0" borderId="4" xfId="36" applyFill="1" applyBorder="1" applyAlignment="1" applyProtection="1">
      <protection locked="0"/>
    </xf>
    <xf numFmtId="0" fontId="0" fillId="0" borderId="4" xfId="0" applyFill="1" applyBorder="1" applyAlignment="1">
      <alignment horizontal="center"/>
    </xf>
    <xf numFmtId="0" fontId="4" fillId="0" borderId="4" xfId="36" applyFont="1" applyFill="1" applyBorder="1" applyAlignment="1" applyProtection="1">
      <protection locked="0"/>
    </xf>
    <xf numFmtId="0" fontId="4" fillId="2" borderId="4" xfId="36" applyFont="1" applyFill="1" applyBorder="1" applyAlignment="1" applyProtection="1">
      <protection locked="0"/>
    </xf>
    <xf numFmtId="2" fontId="0" fillId="5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164" fontId="5" fillId="8" borderId="4" xfId="47" applyNumberFormat="1" applyFont="1" applyFill="1" applyBorder="1" applyAlignment="1" applyProtection="1">
      <alignment horizontal="center"/>
      <protection locked="0"/>
    </xf>
    <xf numFmtId="0" fontId="12" fillId="6" borderId="2" xfId="47" applyFont="1" applyFill="1" applyBorder="1" applyAlignment="1" applyProtection="1">
      <alignment horizontal="center" vertical="center" wrapText="1"/>
      <protection hidden="1"/>
    </xf>
    <xf numFmtId="0" fontId="12" fillId="6" borderId="72" xfId="47" applyFont="1" applyFill="1" applyBorder="1" applyAlignment="1" applyProtection="1">
      <alignment horizontal="center" vertical="center" wrapText="1"/>
      <protection hidden="1"/>
    </xf>
    <xf numFmtId="164" fontId="52" fillId="7" borderId="4" xfId="47" applyNumberFormat="1" applyFont="1" applyFill="1" applyBorder="1" applyAlignment="1" applyProtection="1">
      <alignment horizontal="center"/>
      <protection hidden="1"/>
    </xf>
    <xf numFmtId="164" fontId="51" fillId="7" borderId="4" xfId="47" applyNumberFormat="1" applyFont="1" applyFill="1" applyBorder="1" applyAlignment="1" applyProtection="1">
      <alignment horizontal="center"/>
      <protection hidden="1"/>
    </xf>
    <xf numFmtId="2" fontId="52" fillId="7" borderId="72" xfId="47" applyNumberFormat="1" applyFont="1" applyFill="1" applyBorder="1" applyAlignment="1" applyProtection="1">
      <alignment horizontal="center"/>
      <protection hidden="1"/>
    </xf>
    <xf numFmtId="164" fontId="51" fillId="7" borderId="74" xfId="47" applyNumberFormat="1" applyFont="1" applyFill="1" applyBorder="1" applyAlignment="1" applyProtection="1">
      <alignment horizontal="center"/>
      <protection hidden="1"/>
    </xf>
    <xf numFmtId="2" fontId="52" fillId="7" borderId="75" xfId="47" applyNumberFormat="1" applyFont="1" applyFill="1" applyBorder="1" applyAlignment="1" applyProtection="1">
      <alignment horizontal="center"/>
      <protection hidden="1"/>
    </xf>
    <xf numFmtId="0" fontId="1" fillId="7" borderId="4" xfId="0" applyFont="1" applyFill="1" applyBorder="1" applyAlignment="1" applyProtection="1">
      <alignment horizontal="center"/>
      <protection hidden="1"/>
    </xf>
    <xf numFmtId="166" fontId="90" fillId="7" borderId="4" xfId="47" applyNumberFormat="1" applyFont="1" applyFill="1" applyBorder="1" applyAlignment="1" applyProtection="1">
      <alignment horizontal="center"/>
      <protection hidden="1"/>
    </xf>
    <xf numFmtId="164" fontId="90" fillId="7" borderId="4" xfId="47" applyNumberFormat="1" applyFont="1" applyFill="1" applyBorder="1" applyAlignment="1" applyProtection="1">
      <alignment horizontal="center"/>
      <protection hidden="1"/>
    </xf>
    <xf numFmtId="169" fontId="0" fillId="0" borderId="4" xfId="52" applyNumberFormat="1" applyFont="1" applyBorder="1" applyAlignment="1" applyProtection="1">
      <alignment horizontal="center"/>
      <protection hidden="1"/>
    </xf>
    <xf numFmtId="166" fontId="0" fillId="0" borderId="0" xfId="0" quotePrefix="1" applyNumberFormat="1" applyAlignment="1" applyProtection="1">
      <alignment horizontal="center"/>
      <protection hidden="1"/>
    </xf>
    <xf numFmtId="166" fontId="2" fillId="0" borderId="4" xfId="0" applyNumberFormat="1" applyFont="1" applyBorder="1" applyAlignment="1" applyProtection="1">
      <alignment horizontal="center" wrapText="1"/>
      <protection hidden="1"/>
    </xf>
    <xf numFmtId="169" fontId="0" fillId="0" borderId="0" xfId="52" quotePrefix="1" applyNumberFormat="1" applyFont="1" applyBorder="1" applyAlignment="1" applyProtection="1">
      <alignment horizontal="center"/>
      <protection hidden="1"/>
    </xf>
    <xf numFmtId="0" fontId="0" fillId="7" borderId="0" xfId="0" quotePrefix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0" fillId="0" borderId="0" xfId="0" quotePrefix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0" xfId="0" quotePrefix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169" fontId="0" fillId="0" borderId="0" xfId="52" applyNumberFormat="1" applyFont="1" applyBorder="1" applyAlignment="1" applyProtection="1">
      <alignment horizontal="center"/>
      <protection hidden="1"/>
    </xf>
    <xf numFmtId="169" fontId="0" fillId="0" borderId="4" xfId="52" applyNumberFormat="1" applyFont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 wrapText="1"/>
      <protection hidden="1"/>
    </xf>
    <xf numFmtId="0" fontId="0" fillId="0" borderId="0" xfId="0" applyFill="1" applyProtection="1">
      <protection hidden="1"/>
    </xf>
    <xf numFmtId="0" fontId="0" fillId="0" borderId="0" xfId="0" applyAlignment="1" applyProtection="1">
      <alignment horizontal="right"/>
      <protection hidden="1"/>
    </xf>
    <xf numFmtId="168" fontId="0" fillId="0" borderId="0" xfId="0" applyNumberFormat="1" applyBorder="1" applyAlignment="1" applyProtection="1">
      <alignment horizontal="center"/>
      <protection hidden="1"/>
    </xf>
    <xf numFmtId="1" fontId="0" fillId="0" borderId="0" xfId="0" applyNumberFormat="1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0" fillId="0" borderId="29" xfId="0" applyBorder="1" applyProtection="1">
      <protection hidden="1"/>
    </xf>
    <xf numFmtId="0" fontId="31" fillId="0" borderId="0" xfId="0" applyFont="1" applyFill="1" applyProtection="1">
      <protection hidden="1"/>
    </xf>
    <xf numFmtId="0" fontId="31" fillId="0" borderId="0" xfId="0" applyFont="1" applyFill="1" applyAlignment="1" applyProtection="1">
      <alignment horizontal="right"/>
      <protection hidden="1"/>
    </xf>
    <xf numFmtId="0" fontId="30" fillId="0" borderId="0" xfId="0" applyFont="1" applyFill="1" applyProtection="1">
      <protection hidden="1"/>
    </xf>
    <xf numFmtId="0" fontId="34" fillId="0" borderId="0" xfId="0" applyFont="1" applyFill="1" applyProtection="1">
      <protection hidden="1"/>
    </xf>
    <xf numFmtId="0" fontId="35" fillId="0" borderId="0" xfId="0" applyFont="1" applyFill="1" applyAlignment="1" applyProtection="1">
      <alignment horizontal="right"/>
      <protection hidden="1"/>
    </xf>
    <xf numFmtId="0" fontId="29" fillId="0" borderId="0" xfId="0" applyFont="1" applyAlignment="1" applyProtection="1">
      <alignment horizontal="right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26" fillId="0" borderId="0" xfId="0" applyFont="1" applyFill="1" applyProtection="1">
      <protection hidden="1"/>
    </xf>
    <xf numFmtId="0" fontId="29" fillId="0" borderId="0" xfId="0" applyFont="1" applyFill="1" applyAlignment="1" applyProtection="1">
      <alignment horizontal="right"/>
      <protection hidden="1"/>
    </xf>
    <xf numFmtId="0" fontId="0" fillId="0" borderId="0" xfId="0" applyNumberFormat="1" applyFont="1" applyBorder="1" applyAlignment="1" applyProtection="1">
      <alignment horizontal="center" vertical="center" wrapText="1"/>
      <protection hidden="1"/>
    </xf>
    <xf numFmtId="2" fontId="0" fillId="0" borderId="5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NumberFormat="1" applyFont="1" applyBorder="1" applyAlignment="1" applyProtection="1">
      <alignment horizontal="left" vertical="center" wrapText="1"/>
      <protection hidden="1"/>
    </xf>
    <xf numFmtId="2" fontId="0" fillId="0" borderId="1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Border="1" applyProtection="1">
      <protection hidden="1"/>
    </xf>
    <xf numFmtId="2" fontId="31" fillId="0" borderId="0" xfId="0" applyNumberFormat="1" applyFont="1" applyFill="1" applyAlignment="1" applyProtection="1">
      <alignment horizontal="right"/>
      <protection hidden="1"/>
    </xf>
    <xf numFmtId="164" fontId="0" fillId="0" borderId="0" xfId="0" applyNumberFormat="1" applyBorder="1" applyAlignment="1" applyProtection="1">
      <alignment horizontal="center"/>
      <protection hidden="1"/>
    </xf>
    <xf numFmtId="1" fontId="0" fillId="0" borderId="0" xfId="0" applyNumberFormat="1" applyBorder="1" applyAlignment="1" applyProtection="1">
      <protection hidden="1"/>
    </xf>
    <xf numFmtId="2" fontId="0" fillId="0" borderId="5" xfId="0" applyNumberFormat="1" applyBorder="1" applyAlignment="1" applyProtection="1">
      <alignment horizontal="center"/>
      <protection hidden="1"/>
    </xf>
    <xf numFmtId="166" fontId="0" fillId="0" borderId="1" xfId="0" applyNumberFormat="1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0" fontId="29" fillId="0" borderId="0" xfId="0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/>
      <protection hidden="1"/>
    </xf>
    <xf numFmtId="0" fontId="36" fillId="0" borderId="0" xfId="0" quotePrefix="1" applyFont="1" applyAlignment="1" applyProtection="1">
      <protection hidden="1"/>
    </xf>
    <xf numFmtId="0" fontId="36" fillId="0" borderId="0" xfId="0" applyFont="1" applyAlignment="1" applyProtection="1"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32" fillId="0" borderId="0" xfId="0" applyFont="1" applyProtection="1">
      <protection hidden="1"/>
    </xf>
    <xf numFmtId="166" fontId="33" fillId="0" borderId="0" xfId="0" applyNumberFormat="1" applyFont="1" applyBorder="1" applyAlignment="1" applyProtection="1">
      <alignment horizontal="center" vertical="center"/>
      <protection hidden="1"/>
    </xf>
    <xf numFmtId="166" fontId="27" fillId="0" borderId="0" xfId="0" applyNumberFormat="1" applyFont="1" applyBorder="1" applyAlignment="1" applyProtection="1">
      <alignment vertic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0" fontId="29" fillId="0" borderId="5" xfId="0" quotePrefix="1" applyFont="1" applyBorder="1" applyAlignment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7" borderId="0" xfId="0" applyFill="1" applyProtection="1"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5" fillId="7" borderId="4" xfId="47" applyFont="1" applyFill="1" applyBorder="1" applyAlignment="1" applyProtection="1">
      <alignment horizontal="center" vertical="center"/>
      <protection hidden="1"/>
    </xf>
    <xf numFmtId="2" fontId="5" fillId="7" borderId="4" xfId="47" applyNumberFormat="1" applyFont="1" applyFill="1" applyBorder="1" applyAlignment="1" applyProtection="1">
      <alignment horizontal="center" vertical="center"/>
      <protection hidden="1"/>
    </xf>
    <xf numFmtId="164" fontId="5" fillId="7" borderId="4" xfId="47" applyNumberFormat="1" applyFont="1" applyFill="1" applyBorder="1" applyAlignment="1" applyProtection="1">
      <alignment horizontal="center" vertical="center"/>
      <protection hidden="1"/>
    </xf>
    <xf numFmtId="0" fontId="12" fillId="6" borderId="71" xfId="47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92" fillId="6" borderId="8" xfId="47" applyFont="1" applyFill="1" applyBorder="1" applyAlignment="1" applyProtection="1">
      <alignment vertical="center" wrapText="1"/>
      <protection hidden="1"/>
    </xf>
    <xf numFmtId="0" fontId="4" fillId="5" borderId="124" xfId="47" applyFill="1" applyBorder="1" applyProtection="1"/>
    <xf numFmtId="0" fontId="92" fillId="6" borderId="10" xfId="47" applyFont="1" applyFill="1" applyBorder="1" applyAlignment="1" applyProtection="1">
      <alignment vertical="center" wrapText="1"/>
      <protection hidden="1"/>
    </xf>
    <xf numFmtId="164" fontId="5" fillId="8" borderId="125" xfId="47" applyNumberFormat="1" applyFont="1" applyFill="1" applyBorder="1" applyAlignment="1" applyProtection="1">
      <alignment horizontal="center" vertical="center"/>
      <protection hidden="1"/>
    </xf>
    <xf numFmtId="0" fontId="4" fillId="5" borderId="29" xfId="47" applyFill="1" applyBorder="1" applyProtection="1"/>
    <xf numFmtId="0" fontId="4" fillId="5" borderId="126" xfId="47" applyFill="1" applyBorder="1" applyProtection="1"/>
    <xf numFmtId="0" fontId="55" fillId="7" borderId="0" xfId="0" applyFont="1" applyFill="1" applyBorder="1" applyAlignment="1" applyProtection="1">
      <alignment wrapText="1"/>
    </xf>
    <xf numFmtId="0" fontId="92" fillId="6" borderId="17" xfId="47" applyFont="1" applyFill="1" applyBorder="1" applyAlignment="1" applyProtection="1">
      <alignment vertical="center" wrapText="1"/>
      <protection hidden="1"/>
    </xf>
    <xf numFmtId="166" fontId="26" fillId="0" borderId="0" xfId="0" quotePrefix="1" applyNumberFormat="1" applyFont="1" applyAlignment="1" applyProtection="1">
      <alignment horizontal="center"/>
      <protection hidden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vertical="center" wrapText="1"/>
    </xf>
    <xf numFmtId="0" fontId="2" fillId="0" borderId="4" xfId="0" applyFont="1" applyBorder="1" applyAlignment="1">
      <alignment vertical="center"/>
    </xf>
    <xf numFmtId="166" fontId="2" fillId="0" borderId="4" xfId="0" applyNumberFormat="1" applyFont="1" applyBorder="1" applyAlignment="1">
      <alignment vertical="center" wrapText="1"/>
    </xf>
    <xf numFmtId="0" fontId="0" fillId="7" borderId="0" xfId="0" applyFill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3" fillId="0" borderId="4" xfId="36" applyFont="1" applyFill="1" applyBorder="1" applyAlignment="1" applyProtection="1">
      <protection locked="0"/>
    </xf>
    <xf numFmtId="164" fontId="90" fillId="0" borderId="4" xfId="34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 textRotation="90"/>
    </xf>
    <xf numFmtId="0" fontId="0" fillId="0" borderId="4" xfId="0" applyBorder="1" applyAlignment="1">
      <alignment vertical="center"/>
    </xf>
    <xf numFmtId="0" fontId="0" fillId="0" borderId="29" xfId="0" applyBorder="1"/>
    <xf numFmtId="0" fontId="0" fillId="0" borderId="25" xfId="0" applyBorder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/>
    <xf numFmtId="0" fontId="2" fillId="0" borderId="2" xfId="0" applyFont="1" applyBorder="1" applyAlignment="1">
      <alignment horizontal="center"/>
    </xf>
    <xf numFmtId="0" fontId="98" fillId="5" borderId="127" xfId="47" applyFont="1" applyFill="1" applyBorder="1" applyAlignment="1" applyProtection="1">
      <alignment vertical="center" wrapText="1"/>
    </xf>
    <xf numFmtId="0" fontId="98" fillId="5" borderId="29" xfId="47" applyFont="1" applyFill="1" applyBorder="1" applyAlignment="1" applyProtection="1">
      <alignment vertical="center" wrapText="1"/>
    </xf>
    <xf numFmtId="0" fontId="98" fillId="5" borderId="126" xfId="47" applyFont="1" applyFill="1" applyBorder="1" applyAlignment="1" applyProtection="1">
      <alignment vertical="center" wrapText="1"/>
    </xf>
    <xf numFmtId="2" fontId="5" fillId="8" borderId="36" xfId="47" applyNumberFormat="1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0" xfId="0" applyNumberFormat="1" applyAlignment="1">
      <alignment horizontal="center"/>
    </xf>
    <xf numFmtId="0" fontId="3" fillId="7" borderId="0" xfId="47" applyFont="1" applyFill="1" applyProtection="1"/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left" vertical="center"/>
      <protection hidden="1"/>
    </xf>
    <xf numFmtId="0" fontId="92" fillId="6" borderId="2" xfId="47" applyFont="1" applyFill="1" applyBorder="1" applyAlignment="1" applyProtection="1">
      <alignment horizontal="right" vertical="center" wrapText="1"/>
    </xf>
    <xf numFmtId="0" fontId="0" fillId="0" borderId="29" xfId="0" applyBorder="1" applyAlignment="1" applyProtection="1">
      <alignment horizontal="right"/>
      <protection hidden="1"/>
    </xf>
    <xf numFmtId="15" fontId="0" fillId="0" borderId="0" xfId="0" applyNumberFormat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4" borderId="4" xfId="36" applyFont="1" applyFill="1" applyBorder="1" applyAlignment="1" applyProtection="1">
      <protection locked="0"/>
    </xf>
    <xf numFmtId="0" fontId="90" fillId="4" borderId="4" xfId="36" applyFont="1" applyFill="1" applyBorder="1" applyAlignment="1" applyProtection="1">
      <protection locked="0"/>
    </xf>
    <xf numFmtId="164" fontId="90" fillId="4" borderId="4" xfId="36" applyNumberFormat="1" applyFont="1" applyFill="1" applyBorder="1" applyAlignment="1" applyProtection="1">
      <alignment horizontal="center"/>
      <protection locked="0"/>
    </xf>
    <xf numFmtId="0" fontId="90" fillId="4" borderId="4" xfId="34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 wrapText="1"/>
    </xf>
    <xf numFmtId="0" fontId="0" fillId="0" borderId="62" xfId="0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 applyAlignment="1" applyProtection="1">
      <alignment horizontal="center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166" fontId="27" fillId="0" borderId="4" xfId="0" applyNumberFormat="1" applyFont="1" applyBorder="1" applyAlignment="1" applyProtection="1">
      <alignment horizontal="center" vertical="center"/>
      <protection hidden="1"/>
    </xf>
    <xf numFmtId="166" fontId="27" fillId="0" borderId="4" xfId="0" applyNumberFormat="1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9" fillId="0" borderId="0" xfId="0" applyFont="1" applyFill="1" applyAlignment="1" applyProtection="1">
      <alignment vertical="center"/>
      <protection hidden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4" borderId="4" xfId="34" applyFont="1" applyFill="1" applyBorder="1" applyAlignment="1">
      <alignment horizontal="left"/>
    </xf>
    <xf numFmtId="0" fontId="0" fillId="4" borderId="4" xfId="0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4" borderId="36" xfId="34" applyFont="1" applyFill="1" applyBorder="1" applyAlignment="1">
      <alignment horizontal="center" wrapText="1"/>
    </xf>
    <xf numFmtId="0" fontId="53" fillId="7" borderId="0" xfId="0" applyFont="1" applyFill="1" applyAlignment="1" applyProtection="1">
      <alignment horizontal="center"/>
    </xf>
    <xf numFmtId="1" fontId="51" fillId="8" borderId="4" xfId="47" applyNumberFormat="1" applyFont="1" applyFill="1" applyBorder="1" applyAlignment="1" applyProtection="1">
      <alignment horizontal="center" vertical="center"/>
      <protection locked="0"/>
    </xf>
    <xf numFmtId="0" fontId="56" fillId="7" borderId="0" xfId="47" applyFont="1" applyFill="1" applyBorder="1" applyAlignment="1" applyProtection="1">
      <alignment horizontal="left" vertical="center" wrapText="1"/>
    </xf>
    <xf numFmtId="0" fontId="55" fillId="7" borderId="76" xfId="0" applyFont="1" applyFill="1" applyBorder="1" applyAlignment="1" applyProtection="1">
      <alignment horizontal="center" wrapText="1"/>
    </xf>
    <xf numFmtId="0" fontId="55" fillId="7" borderId="0" xfId="0" applyFont="1" applyFill="1" applyBorder="1" applyAlignment="1" applyProtection="1">
      <alignment horizontal="center" wrapText="1"/>
    </xf>
    <xf numFmtId="0" fontId="98" fillId="5" borderId="13" xfId="47" applyFont="1" applyFill="1" applyBorder="1" applyAlignment="1" applyProtection="1">
      <alignment horizontal="center" vertical="center" wrapText="1"/>
    </xf>
    <xf numFmtId="0" fontId="98" fillId="5" borderId="14" xfId="47" applyFont="1" applyFill="1" applyBorder="1" applyAlignment="1" applyProtection="1">
      <alignment horizontal="center" vertical="center" wrapText="1"/>
    </xf>
    <xf numFmtId="0" fontId="98" fillId="5" borderId="122" xfId="47" applyFont="1" applyFill="1" applyBorder="1" applyAlignment="1" applyProtection="1">
      <alignment horizontal="center" vertical="center" wrapText="1"/>
    </xf>
    <xf numFmtId="0" fontId="98" fillId="5" borderId="123" xfId="47" applyFont="1" applyFill="1" applyBorder="1" applyAlignment="1" applyProtection="1">
      <alignment horizontal="center" vertical="center" wrapText="1"/>
    </xf>
    <xf numFmtId="0" fontId="98" fillId="5" borderId="0" xfId="47" applyFont="1" applyFill="1" applyBorder="1" applyAlignment="1" applyProtection="1">
      <alignment horizontal="center" vertical="center" wrapText="1"/>
    </xf>
    <xf numFmtId="0" fontId="98" fillId="5" borderId="124" xfId="47" applyFont="1" applyFill="1" applyBorder="1" applyAlignment="1" applyProtection="1">
      <alignment horizontal="center" vertical="center" wrapText="1"/>
    </xf>
    <xf numFmtId="0" fontId="56" fillId="7" borderId="0" xfId="47" applyFont="1" applyFill="1" applyBorder="1" applyAlignment="1" applyProtection="1">
      <alignment horizontal="center" vertical="center" wrapText="1"/>
    </xf>
    <xf numFmtId="0" fontId="56" fillId="7" borderId="29" xfId="47" applyFont="1" applyFill="1" applyBorder="1" applyAlignment="1" applyProtection="1">
      <alignment horizontal="center" vertical="center" wrapText="1"/>
    </xf>
    <xf numFmtId="164" fontId="14" fillId="7" borderId="0" xfId="47" applyNumberFormat="1" applyFont="1" applyFill="1" applyBorder="1" applyAlignment="1" applyProtection="1">
      <alignment horizontal="center"/>
    </xf>
    <xf numFmtId="0" fontId="12" fillId="6" borderId="68" xfId="47" applyFont="1" applyFill="1" applyBorder="1" applyAlignment="1" applyProtection="1">
      <alignment horizontal="center"/>
      <protection hidden="1"/>
    </xf>
    <xf numFmtId="0" fontId="12" fillId="6" borderId="69" xfId="47" applyFont="1" applyFill="1" applyBorder="1" applyAlignment="1" applyProtection="1">
      <alignment horizontal="center"/>
      <protection hidden="1"/>
    </xf>
    <xf numFmtId="0" fontId="12" fillId="6" borderId="70" xfId="47" applyFont="1" applyFill="1" applyBorder="1" applyAlignment="1" applyProtection="1">
      <alignment horizontal="center"/>
      <protection hidden="1"/>
    </xf>
    <xf numFmtId="0" fontId="4" fillId="7" borderId="0" xfId="47" applyFont="1" applyFill="1" applyBorder="1" applyAlignment="1" applyProtection="1">
      <alignment horizontal="left" wrapText="1"/>
    </xf>
    <xf numFmtId="0" fontId="11" fillId="8" borderId="24" xfId="47" applyFont="1" applyFill="1" applyBorder="1" applyAlignment="1" applyProtection="1">
      <alignment horizontal="center" vertical="center"/>
      <protection locked="0"/>
    </xf>
    <xf numFmtId="0" fontId="11" fillId="8" borderId="25" xfId="47" applyFont="1" applyFill="1" applyBorder="1" applyAlignment="1" applyProtection="1">
      <alignment horizontal="center" vertical="center"/>
      <protection locked="0"/>
    </xf>
    <xf numFmtId="0" fontId="11" fillId="8" borderId="23" xfId="47" applyFont="1" applyFill="1" applyBorder="1" applyAlignment="1" applyProtection="1">
      <alignment horizontal="center" vertical="center"/>
      <protection locked="0"/>
    </xf>
    <xf numFmtId="0" fontId="48" fillId="7" borderId="14" xfId="47" applyFont="1" applyFill="1" applyBorder="1" applyAlignment="1" applyProtection="1">
      <alignment horizontal="center" vertical="center"/>
    </xf>
    <xf numFmtId="0" fontId="8" fillId="6" borderId="4" xfId="47" applyFont="1" applyFill="1" applyBorder="1" applyAlignment="1" applyProtection="1">
      <alignment horizontal="center" wrapText="1"/>
      <protection locked="0"/>
    </xf>
    <xf numFmtId="0" fontId="5" fillId="7" borderId="0" xfId="47" applyFont="1" applyFill="1" applyBorder="1" applyAlignment="1" applyProtection="1">
      <alignment horizontal="center"/>
    </xf>
    <xf numFmtId="0" fontId="91" fillId="7" borderId="0" xfId="47" applyFont="1" applyFill="1" applyBorder="1" applyAlignment="1" applyProtection="1">
      <alignment horizontal="left"/>
    </xf>
    <xf numFmtId="0" fontId="91" fillId="7" borderId="120" xfId="47" applyFont="1" applyFill="1" applyBorder="1" applyAlignment="1" applyProtection="1">
      <alignment horizontal="left"/>
      <protection hidden="1"/>
    </xf>
    <xf numFmtId="0" fontId="91" fillId="7" borderId="0" xfId="47" applyFont="1" applyFill="1" applyBorder="1" applyAlignment="1" applyProtection="1">
      <alignment horizontal="left"/>
      <protection hidden="1"/>
    </xf>
    <xf numFmtId="0" fontId="0" fillId="0" borderId="4" xfId="0" applyBorder="1" applyAlignment="1">
      <alignment horizontal="center"/>
    </xf>
    <xf numFmtId="0" fontId="95" fillId="7" borderId="0" xfId="0" applyFont="1" applyFill="1" applyAlignment="1" applyProtection="1">
      <alignment horizontal="center" vertical="center" wrapText="1"/>
      <protection hidden="1"/>
    </xf>
    <xf numFmtId="1" fontId="0" fillId="0" borderId="5" xfId="0" applyNumberFormat="1" applyBorder="1" applyAlignment="1" applyProtection="1">
      <alignment horizontal="center"/>
      <protection hidden="1"/>
    </xf>
    <xf numFmtId="0" fontId="0" fillId="0" borderId="5" xfId="0" applyNumberFormat="1" applyBorder="1" applyAlignment="1" applyProtection="1">
      <alignment horizontal="center"/>
      <protection hidden="1"/>
    </xf>
    <xf numFmtId="0" fontId="0" fillId="0" borderId="2" xfId="0" quotePrefix="1" applyFont="1" applyFill="1" applyBorder="1" applyAlignment="1" applyProtection="1">
      <alignment horizontal="center" wrapText="1"/>
      <protection hidden="1"/>
    </xf>
    <xf numFmtId="0" fontId="0" fillId="0" borderId="3" xfId="0" quotePrefix="1" applyFont="1" applyFill="1" applyBorder="1" applyAlignment="1" applyProtection="1">
      <alignment horizontal="center" wrapTex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2" xfId="0" quotePrefix="1" applyFont="1" applyFill="1" applyBorder="1" applyAlignment="1" applyProtection="1">
      <alignment horizontal="center" wrapText="1"/>
      <protection hidden="1"/>
    </xf>
    <xf numFmtId="0" fontId="2" fillId="0" borderId="3" xfId="0" quotePrefix="1" applyFont="1" applyFill="1" applyBorder="1" applyAlignment="1" applyProtection="1">
      <alignment horizontal="center" wrapText="1"/>
      <protection hidden="1"/>
    </xf>
    <xf numFmtId="0" fontId="33" fillId="0" borderId="0" xfId="0" applyFont="1" applyBorder="1" applyAlignment="1" applyProtection="1">
      <alignment horizontal="center"/>
      <protection hidden="1"/>
    </xf>
    <xf numFmtId="0" fontId="49" fillId="0" borderId="0" xfId="0" applyFont="1" applyFill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168" fontId="0" fillId="0" borderId="5" xfId="0" applyNumberFormat="1" applyBorder="1" applyAlignment="1" applyProtection="1">
      <alignment horizontal="center"/>
      <protection hidden="1"/>
    </xf>
    <xf numFmtId="0" fontId="0" fillId="0" borderId="4" xfId="0" applyFill="1" applyBorder="1" applyAlignment="1" applyProtection="1">
      <alignment horizontal="center"/>
      <protection hidden="1"/>
    </xf>
    <xf numFmtId="0" fontId="29" fillId="0" borderId="0" xfId="0" applyFont="1" applyAlignment="1" applyProtection="1">
      <alignment horizontal="left"/>
      <protection hidden="1"/>
    </xf>
    <xf numFmtId="0" fontId="0" fillId="0" borderId="4" xfId="0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1" fontId="0" fillId="0" borderId="0" xfId="0" applyNumberFormat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29" fillId="0" borderId="0" xfId="0" applyFont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121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 wrapText="1"/>
      <protection hidden="1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99" fillId="0" borderId="0" xfId="0" applyFont="1" applyAlignment="1">
      <alignment horizontal="center"/>
    </xf>
    <xf numFmtId="0" fontId="92" fillId="6" borderId="2" xfId="47" applyFont="1" applyFill="1" applyBorder="1" applyAlignment="1" applyProtection="1">
      <alignment horizontal="center" vertical="center" wrapText="1"/>
    </xf>
    <xf numFmtId="0" fontId="92" fillId="6" borderId="3" xfId="47" applyFont="1" applyFill="1" applyBorder="1" applyAlignment="1" applyProtection="1">
      <alignment horizontal="center" vertical="center" wrapText="1"/>
    </xf>
    <xf numFmtId="0" fontId="38" fillId="0" borderId="0" xfId="0" applyFont="1" applyFill="1" applyBorder="1" applyAlignment="1">
      <alignment horizontal="center" vertical="center"/>
    </xf>
    <xf numFmtId="0" fontId="41" fillId="0" borderId="42" xfId="0" applyFont="1" applyFill="1" applyBorder="1" applyAlignment="1">
      <alignment horizontal="center" vertical="center" textRotation="90" wrapText="1"/>
    </xf>
    <xf numFmtId="0" fontId="41" fillId="0" borderId="46" xfId="0" applyFont="1" applyFill="1" applyBorder="1" applyAlignment="1">
      <alignment horizontal="center" vertical="center" textRotation="90" wrapText="1"/>
    </xf>
    <xf numFmtId="0" fontId="41" fillId="0" borderId="48" xfId="0" applyFont="1" applyFill="1" applyBorder="1" applyAlignment="1">
      <alignment horizontal="center" vertical="center" textRotation="90" wrapText="1"/>
    </xf>
    <xf numFmtId="0" fontId="41" fillId="0" borderId="53" xfId="0" applyFont="1" applyFill="1" applyBorder="1" applyAlignment="1">
      <alignment horizontal="center" vertical="center" textRotation="90" wrapText="1"/>
    </xf>
    <xf numFmtId="0" fontId="41" fillId="0" borderId="55" xfId="0" applyFont="1" applyFill="1" applyBorder="1" applyAlignment="1">
      <alignment horizontal="center" vertical="center" textRotation="90" wrapText="1"/>
    </xf>
    <xf numFmtId="0" fontId="41" fillId="0" borderId="51" xfId="0" applyFont="1" applyFill="1" applyBorder="1" applyAlignment="1">
      <alignment horizontal="center" vertical="center" textRotation="90" wrapText="1"/>
    </xf>
    <xf numFmtId="0" fontId="50" fillId="0" borderId="0" xfId="0" applyFont="1" applyFill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60" xfId="0" applyFill="1" applyBorder="1" applyAlignment="1">
      <alignment horizontal="center" vertical="center"/>
    </xf>
    <xf numFmtId="0" fontId="0" fillId="0" borderId="62" xfId="0" applyFill="1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0" fillId="0" borderId="63" xfId="0" applyFill="1" applyBorder="1" applyAlignment="1">
      <alignment horizontal="center" vertical="center" wrapText="1"/>
    </xf>
    <xf numFmtId="0" fontId="0" fillId="0" borderId="56" xfId="0" applyFill="1" applyBorder="1" applyAlignment="1">
      <alignment horizontal="center" vertical="center" wrapText="1"/>
    </xf>
    <xf numFmtId="0" fontId="0" fillId="0" borderId="57" xfId="0" applyFill="1" applyBorder="1" applyAlignment="1">
      <alignment horizontal="center" vertical="center" wrapText="1"/>
    </xf>
    <xf numFmtId="0" fontId="0" fillId="0" borderId="50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 wrapText="1"/>
    </xf>
    <xf numFmtId="0" fontId="0" fillId="0" borderId="60" xfId="0" applyFill="1" applyBorder="1" applyAlignment="1">
      <alignment horizontal="center" vertical="center" wrapText="1"/>
    </xf>
    <xf numFmtId="0" fontId="0" fillId="0" borderId="62" xfId="0" applyFill="1" applyBorder="1" applyAlignment="1">
      <alignment horizontal="center" vertical="center" wrapText="1"/>
    </xf>
    <xf numFmtId="0" fontId="0" fillId="0" borderId="64" xfId="0" applyFill="1" applyBorder="1" applyAlignment="1">
      <alignment horizontal="center" vertical="center" wrapText="1"/>
    </xf>
    <xf numFmtId="0" fontId="0" fillId="0" borderId="52" xfId="0" applyFill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0" fillId="3" borderId="13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left"/>
    </xf>
    <xf numFmtId="0" fontId="23" fillId="3" borderId="5" xfId="0" applyFont="1" applyFill="1" applyBorder="1" applyAlignment="1">
      <alignment horizontal="left"/>
    </xf>
    <xf numFmtId="0" fontId="6" fillId="0" borderId="2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6" fillId="0" borderId="4" xfId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3803">
    <cellStyle name="20% - Accent1" xfId="75" builtinId="30" customBuiltin="1"/>
    <cellStyle name="20% - Accent1 2" xfId="121"/>
    <cellStyle name="20% - Accent2" xfId="79" builtinId="34" customBuiltin="1"/>
    <cellStyle name="20% - Accent2 2" xfId="122"/>
    <cellStyle name="20% - Accent3" xfId="83" builtinId="38" customBuiltin="1"/>
    <cellStyle name="20% - Accent3 2" xfId="123"/>
    <cellStyle name="20% - Accent4" xfId="87" builtinId="42" customBuiltin="1"/>
    <cellStyle name="20% - Accent4 2" xfId="124"/>
    <cellStyle name="20% - Accent5" xfId="91" builtinId="46" customBuiltin="1"/>
    <cellStyle name="20% - Accent5 2" xfId="125"/>
    <cellStyle name="20% - Accent6" xfId="95" builtinId="50" customBuiltin="1"/>
    <cellStyle name="20% - Accent6 2" xfId="126"/>
    <cellStyle name="40% - Accent1" xfId="76" builtinId="31" customBuiltin="1"/>
    <cellStyle name="40% - Accent1 2" xfId="127"/>
    <cellStyle name="40% - Accent2" xfId="80" builtinId="35" customBuiltin="1"/>
    <cellStyle name="40% - Accent2 2" xfId="128"/>
    <cellStyle name="40% - Accent3" xfId="84" builtinId="39" customBuiltin="1"/>
    <cellStyle name="40% - Accent3 2" xfId="129"/>
    <cellStyle name="40% - Accent4" xfId="88" builtinId="43" customBuiltin="1"/>
    <cellStyle name="40% - Accent4 2" xfId="130"/>
    <cellStyle name="40% - Accent5" xfId="92" builtinId="47" customBuiltin="1"/>
    <cellStyle name="40% - Accent5 2" xfId="131"/>
    <cellStyle name="40% - Accent6" xfId="96" builtinId="51" customBuiltin="1"/>
    <cellStyle name="40% - Accent6 2" xfId="132"/>
    <cellStyle name="60% - Accent1" xfId="77" builtinId="32" customBuiltin="1"/>
    <cellStyle name="60% - Accent1 2" xfId="133"/>
    <cellStyle name="60% - Accent2" xfId="81" builtinId="36" customBuiltin="1"/>
    <cellStyle name="60% - Accent2 2" xfId="134"/>
    <cellStyle name="60% - Accent3" xfId="85" builtinId="40" customBuiltin="1"/>
    <cellStyle name="60% - Accent3 2" xfId="135"/>
    <cellStyle name="60% - Accent4" xfId="89" builtinId="44" customBuiltin="1"/>
    <cellStyle name="60% - Accent4 2" xfId="136"/>
    <cellStyle name="60% - Accent5" xfId="93" builtinId="48" customBuiltin="1"/>
    <cellStyle name="60% - Accent5 2" xfId="137"/>
    <cellStyle name="60% - Accent6" xfId="97" builtinId="52" customBuiltin="1"/>
    <cellStyle name="60% - Accent6 2" xfId="138"/>
    <cellStyle name="Accent1" xfId="74" builtinId="29" customBuiltin="1"/>
    <cellStyle name="Accent1 2" xfId="139"/>
    <cellStyle name="Accent2" xfId="78" builtinId="33" customBuiltin="1"/>
    <cellStyle name="Accent2 2" xfId="140"/>
    <cellStyle name="Accent3" xfId="82" builtinId="37" customBuiltin="1"/>
    <cellStyle name="Accent3 2" xfId="141"/>
    <cellStyle name="Accent4" xfId="86" builtinId="41" customBuiltin="1"/>
    <cellStyle name="Accent4 2" xfId="142"/>
    <cellStyle name="Accent5" xfId="90" builtinId="45" customBuiltin="1"/>
    <cellStyle name="Accent5 2" xfId="143"/>
    <cellStyle name="Accent6" xfId="94" builtinId="49" customBuiltin="1"/>
    <cellStyle name="Accent6 2" xfId="144"/>
    <cellStyle name="Bad" xfId="63" builtinId="27" customBuiltin="1"/>
    <cellStyle name="Bad 2" xfId="145"/>
    <cellStyle name="Calculation" xfId="67" builtinId="22" customBuiltin="1"/>
    <cellStyle name="Calculation 2" xfId="146"/>
    <cellStyle name="Calculation 2 10" xfId="3595"/>
    <cellStyle name="Calculation 2 2" xfId="147"/>
    <cellStyle name="Calculation 2 2 2" xfId="3590"/>
    <cellStyle name="Calculation 2 2 2 2" xfId="3774"/>
    <cellStyle name="Calculation 2 2 3" xfId="3448"/>
    <cellStyle name="Calculation 2 2 3 2" xfId="3664"/>
    <cellStyle name="Calculation 2 2 4" xfId="3600"/>
    <cellStyle name="Calculation 2 2 4 2" xfId="3780"/>
    <cellStyle name="Calculation 2 2 5" xfId="3611"/>
    <cellStyle name="Calculation 2 2 5 2" xfId="3789"/>
    <cellStyle name="Calculation 2 2 6" xfId="3625"/>
    <cellStyle name="Calculation 2 2 6 2" xfId="3801"/>
    <cellStyle name="Calculation 2 2 7" xfId="3594"/>
    <cellStyle name="Calculation 2 3" xfId="148"/>
    <cellStyle name="Calculation 2 3 2" xfId="3589"/>
    <cellStyle name="Calculation 2 3 2 2" xfId="3773"/>
    <cellStyle name="Calculation 2 3 3" xfId="3449"/>
    <cellStyle name="Calculation 2 3 3 2" xfId="3665"/>
    <cellStyle name="Calculation 2 3 4" xfId="3599"/>
    <cellStyle name="Calculation 2 3 4 2" xfId="3779"/>
    <cellStyle name="Calculation 2 3 5" xfId="3610"/>
    <cellStyle name="Calculation 2 3 5 2" xfId="3788"/>
    <cellStyle name="Calculation 2 3 6" xfId="3624"/>
    <cellStyle name="Calculation 2 3 6 2" xfId="3800"/>
    <cellStyle name="Calculation 2 3 7" xfId="3593"/>
    <cellStyle name="Calculation 2 4" xfId="149"/>
    <cellStyle name="Calculation 2 4 2" xfId="3588"/>
    <cellStyle name="Calculation 2 4 2 2" xfId="3772"/>
    <cellStyle name="Calculation 2 4 3" xfId="3450"/>
    <cellStyle name="Calculation 2 4 3 2" xfId="3666"/>
    <cellStyle name="Calculation 2 4 4" xfId="3598"/>
    <cellStyle name="Calculation 2 4 4 2" xfId="3778"/>
    <cellStyle name="Calculation 2 4 5" xfId="3609"/>
    <cellStyle name="Calculation 2 4 5 2" xfId="3787"/>
    <cellStyle name="Calculation 2 4 6" xfId="3623"/>
    <cellStyle name="Calculation 2 4 6 2" xfId="3799"/>
    <cellStyle name="Calculation 2 4 7" xfId="3592"/>
    <cellStyle name="Calculation 2 5" xfId="3591"/>
    <cellStyle name="Calculation 2 5 2" xfId="3775"/>
    <cellStyle name="Calculation 2 6" xfId="3447"/>
    <cellStyle name="Calculation 2 6 2" xfId="3663"/>
    <cellStyle name="Calculation 2 7" xfId="3601"/>
    <cellStyle name="Calculation 2 7 2" xfId="3781"/>
    <cellStyle name="Calculation 2 8" xfId="3612"/>
    <cellStyle name="Calculation 2 8 2" xfId="3790"/>
    <cellStyle name="Calculation 2 9" xfId="3626"/>
    <cellStyle name="Calculation 2 9 2" xfId="3802"/>
    <cellStyle name="Check Cell" xfId="69" builtinId="23" customBuiltin="1"/>
    <cellStyle name="Check Cell 2" xfId="150"/>
    <cellStyle name="Comma" xfId="52" builtinId="3"/>
    <cellStyle name="Comma 10" xfId="151"/>
    <cellStyle name="Comma 2" xfId="39"/>
    <cellStyle name="Comma 2 10" xfId="153"/>
    <cellStyle name="Comma 2 10 2" xfId="154"/>
    <cellStyle name="Comma 2 11" xfId="155"/>
    <cellStyle name="Comma 2 11 2" xfId="156"/>
    <cellStyle name="Comma 2 12" xfId="157"/>
    <cellStyle name="Comma 2 12 2" xfId="158"/>
    <cellStyle name="Comma 2 13" xfId="159"/>
    <cellStyle name="Comma 2 14" xfId="152"/>
    <cellStyle name="Comma 2 2" xfId="160"/>
    <cellStyle name="Comma 2 2 10" xfId="161"/>
    <cellStyle name="Comma 2 2 10 2" xfId="162"/>
    <cellStyle name="Comma 2 2 11" xfId="163"/>
    <cellStyle name="Comma 2 2 2" xfId="164"/>
    <cellStyle name="Comma 2 2 2 2" xfId="165"/>
    <cellStyle name="Comma 2 2 2 2 2" xfId="166"/>
    <cellStyle name="Comma 2 2 2 2 2 2" xfId="167"/>
    <cellStyle name="Comma 2 2 2 2 3" xfId="168"/>
    <cellStyle name="Comma 2 2 2 3" xfId="169"/>
    <cellStyle name="Comma 2 2 2 3 2" xfId="170"/>
    <cellStyle name="Comma 2 2 2 3 2 2" xfId="171"/>
    <cellStyle name="Comma 2 2 2 3 3" xfId="172"/>
    <cellStyle name="Comma 2 2 2 4" xfId="173"/>
    <cellStyle name="Comma 2 2 2 4 2" xfId="174"/>
    <cellStyle name="Comma 2 2 2 4 2 2" xfId="175"/>
    <cellStyle name="Comma 2 2 2 4 3" xfId="176"/>
    <cellStyle name="Comma 2 2 2 5" xfId="177"/>
    <cellStyle name="Comma 2 2 2 5 2" xfId="178"/>
    <cellStyle name="Comma 2 2 2 5 2 2" xfId="179"/>
    <cellStyle name="Comma 2 2 2 5 3" xfId="180"/>
    <cellStyle name="Comma 2 2 2 6" xfId="181"/>
    <cellStyle name="Comma 2 2 2 6 2" xfId="182"/>
    <cellStyle name="Comma 2 2 2 7" xfId="183"/>
    <cellStyle name="Comma 2 2 2 7 2" xfId="184"/>
    <cellStyle name="Comma 2 2 2 8" xfId="185"/>
    <cellStyle name="Comma 2 2 2 8 2" xfId="186"/>
    <cellStyle name="Comma 2 2 2 9" xfId="187"/>
    <cellStyle name="Comma 2 2 3" xfId="188"/>
    <cellStyle name="Comma 2 2 3 2" xfId="189"/>
    <cellStyle name="Comma 2 2 3 2 2" xfId="190"/>
    <cellStyle name="Comma 2 2 3 2 2 2" xfId="191"/>
    <cellStyle name="Comma 2 2 3 2 3" xfId="192"/>
    <cellStyle name="Comma 2 2 3 3" xfId="193"/>
    <cellStyle name="Comma 2 2 3 3 2" xfId="194"/>
    <cellStyle name="Comma 2 2 3 3 2 2" xfId="195"/>
    <cellStyle name="Comma 2 2 3 3 3" xfId="196"/>
    <cellStyle name="Comma 2 2 3 4" xfId="197"/>
    <cellStyle name="Comma 2 2 3 4 2" xfId="198"/>
    <cellStyle name="Comma 2 2 3 4 2 2" xfId="199"/>
    <cellStyle name="Comma 2 2 3 4 3" xfId="200"/>
    <cellStyle name="Comma 2 2 3 5" xfId="201"/>
    <cellStyle name="Comma 2 2 3 5 2" xfId="202"/>
    <cellStyle name="Comma 2 2 3 5 2 2" xfId="203"/>
    <cellStyle name="Comma 2 2 3 5 3" xfId="204"/>
    <cellStyle name="Comma 2 2 3 6" xfId="205"/>
    <cellStyle name="Comma 2 2 3 6 2" xfId="206"/>
    <cellStyle name="Comma 2 2 3 7" xfId="207"/>
    <cellStyle name="Comma 2 2 3 7 2" xfId="208"/>
    <cellStyle name="Comma 2 2 3 8" xfId="209"/>
    <cellStyle name="Comma 2 2 3 8 2" xfId="210"/>
    <cellStyle name="Comma 2 2 3 9" xfId="211"/>
    <cellStyle name="Comma 2 2 4" xfId="212"/>
    <cellStyle name="Comma 2 2 4 2" xfId="213"/>
    <cellStyle name="Comma 2 2 4 2 2" xfId="214"/>
    <cellStyle name="Comma 2 2 4 3" xfId="215"/>
    <cellStyle name="Comma 2 2 5" xfId="216"/>
    <cellStyle name="Comma 2 2 5 2" xfId="217"/>
    <cellStyle name="Comma 2 2 5 2 2" xfId="218"/>
    <cellStyle name="Comma 2 2 5 3" xfId="219"/>
    <cellStyle name="Comma 2 2 6" xfId="220"/>
    <cellStyle name="Comma 2 2 6 2" xfId="221"/>
    <cellStyle name="Comma 2 2 6 2 2" xfId="222"/>
    <cellStyle name="Comma 2 2 6 3" xfId="223"/>
    <cellStyle name="Comma 2 2 7" xfId="224"/>
    <cellStyle name="Comma 2 2 7 2" xfId="225"/>
    <cellStyle name="Comma 2 2 7 2 2" xfId="226"/>
    <cellStyle name="Comma 2 2 7 3" xfId="227"/>
    <cellStyle name="Comma 2 2 8" xfId="228"/>
    <cellStyle name="Comma 2 2 8 2" xfId="229"/>
    <cellStyle name="Comma 2 2 9" xfId="230"/>
    <cellStyle name="Comma 2 2 9 2" xfId="231"/>
    <cellStyle name="Comma 2 3" xfId="232"/>
    <cellStyle name="Comma 2 3 2" xfId="233"/>
    <cellStyle name="Comma 2 3 2 2" xfId="234"/>
    <cellStyle name="Comma 2 3 2 2 2" xfId="235"/>
    <cellStyle name="Comma 2 3 2 3" xfId="236"/>
    <cellStyle name="Comma 2 3 3" xfId="237"/>
    <cellStyle name="Comma 2 3 3 2" xfId="238"/>
    <cellStyle name="Comma 2 3 3 2 2" xfId="239"/>
    <cellStyle name="Comma 2 3 3 3" xfId="240"/>
    <cellStyle name="Comma 2 3 4" xfId="241"/>
    <cellStyle name="Comma 2 3 4 2" xfId="242"/>
    <cellStyle name="Comma 2 3 4 2 2" xfId="243"/>
    <cellStyle name="Comma 2 3 4 3" xfId="244"/>
    <cellStyle name="Comma 2 3 5" xfId="245"/>
    <cellStyle name="Comma 2 3 5 2" xfId="246"/>
    <cellStyle name="Comma 2 3 5 2 2" xfId="247"/>
    <cellStyle name="Comma 2 3 5 3" xfId="248"/>
    <cellStyle name="Comma 2 3 6" xfId="249"/>
    <cellStyle name="Comma 2 3 6 2" xfId="250"/>
    <cellStyle name="Comma 2 3 7" xfId="251"/>
    <cellStyle name="Comma 2 3 7 2" xfId="252"/>
    <cellStyle name="Comma 2 3 8" xfId="253"/>
    <cellStyle name="Comma 2 3 8 2" xfId="254"/>
    <cellStyle name="Comma 2 3 9" xfId="255"/>
    <cellStyle name="Comma 2 4" xfId="256"/>
    <cellStyle name="Comma 2 4 2" xfId="257"/>
    <cellStyle name="Comma 2 4 2 2" xfId="258"/>
    <cellStyle name="Comma 2 4 2 2 2" xfId="259"/>
    <cellStyle name="Comma 2 4 2 3" xfId="260"/>
    <cellStyle name="Comma 2 4 3" xfId="261"/>
    <cellStyle name="Comma 2 4 3 2" xfId="262"/>
    <cellStyle name="Comma 2 4 3 2 2" xfId="263"/>
    <cellStyle name="Comma 2 4 3 3" xfId="264"/>
    <cellStyle name="Comma 2 4 4" xfId="265"/>
    <cellStyle name="Comma 2 4 4 2" xfId="266"/>
    <cellStyle name="Comma 2 4 4 2 2" xfId="267"/>
    <cellStyle name="Comma 2 4 4 3" xfId="268"/>
    <cellStyle name="Comma 2 4 5" xfId="269"/>
    <cellStyle name="Comma 2 4 5 2" xfId="270"/>
    <cellStyle name="Comma 2 4 5 2 2" xfId="271"/>
    <cellStyle name="Comma 2 4 5 3" xfId="272"/>
    <cellStyle name="Comma 2 4 6" xfId="273"/>
    <cellStyle name="Comma 2 4 6 2" xfId="274"/>
    <cellStyle name="Comma 2 4 7" xfId="275"/>
    <cellStyle name="Comma 2 4 7 2" xfId="276"/>
    <cellStyle name="Comma 2 4 8" xfId="277"/>
    <cellStyle name="Comma 2 4 8 2" xfId="278"/>
    <cellStyle name="Comma 2 4 9" xfId="279"/>
    <cellStyle name="Comma 2 5" xfId="280"/>
    <cellStyle name="Comma 2 5 2" xfId="281"/>
    <cellStyle name="Comma 2 5 2 2" xfId="282"/>
    <cellStyle name="Comma 2 5 2 2 2" xfId="283"/>
    <cellStyle name="Comma 2 5 2 3" xfId="284"/>
    <cellStyle name="Comma 2 5 3" xfId="285"/>
    <cellStyle name="Comma 2 5 3 2" xfId="286"/>
    <cellStyle name="Comma 2 5 3 2 2" xfId="287"/>
    <cellStyle name="Comma 2 5 3 3" xfId="288"/>
    <cellStyle name="Comma 2 5 4" xfId="289"/>
    <cellStyle name="Comma 2 5 4 2" xfId="290"/>
    <cellStyle name="Comma 2 5 4 2 2" xfId="291"/>
    <cellStyle name="Comma 2 5 4 3" xfId="292"/>
    <cellStyle name="Comma 2 5 5" xfId="293"/>
    <cellStyle name="Comma 2 5 5 2" xfId="294"/>
    <cellStyle name="Comma 2 5 5 2 2" xfId="295"/>
    <cellStyle name="Comma 2 5 5 3" xfId="296"/>
    <cellStyle name="Comma 2 5 6" xfId="297"/>
    <cellStyle name="Comma 2 5 6 2" xfId="298"/>
    <cellStyle name="Comma 2 5 7" xfId="299"/>
    <cellStyle name="Comma 2 5 7 2" xfId="300"/>
    <cellStyle name="Comma 2 5 8" xfId="301"/>
    <cellStyle name="Comma 2 5 8 2" xfId="302"/>
    <cellStyle name="Comma 2 5 9" xfId="303"/>
    <cellStyle name="Comma 2 6" xfId="304"/>
    <cellStyle name="Comma 2 6 2" xfId="305"/>
    <cellStyle name="Comma 2 6 2 2" xfId="306"/>
    <cellStyle name="Comma 2 6 3" xfId="307"/>
    <cellStyle name="Comma 2 7" xfId="308"/>
    <cellStyle name="Comma 2 7 2" xfId="309"/>
    <cellStyle name="Comma 2 7 2 2" xfId="310"/>
    <cellStyle name="Comma 2 7 3" xfId="311"/>
    <cellStyle name="Comma 2 8" xfId="312"/>
    <cellStyle name="Comma 2 8 2" xfId="313"/>
    <cellStyle name="Comma 2 8 2 2" xfId="314"/>
    <cellStyle name="Comma 2 8 3" xfId="315"/>
    <cellStyle name="Comma 2 9" xfId="316"/>
    <cellStyle name="Comma 2 9 2" xfId="317"/>
    <cellStyle name="Comma 2 9 2 2" xfId="318"/>
    <cellStyle name="Comma 2 9 3" xfId="319"/>
    <cellStyle name="Comma 3" xfId="2"/>
    <cellStyle name="Comma 3 10" xfId="321"/>
    <cellStyle name="Comma 3 10 2" xfId="322"/>
    <cellStyle name="Comma 3 11" xfId="323"/>
    <cellStyle name="Comma 3 11 2" xfId="324"/>
    <cellStyle name="Comma 3 12" xfId="325"/>
    <cellStyle name="Comma 3 12 2" xfId="326"/>
    <cellStyle name="Comma 3 13" xfId="327"/>
    <cellStyle name="Comma 3 14" xfId="320"/>
    <cellStyle name="Comma 3 2" xfId="328"/>
    <cellStyle name="Comma 3 2 10" xfId="329"/>
    <cellStyle name="Comma 3 2 10 2" xfId="330"/>
    <cellStyle name="Comma 3 2 11" xfId="331"/>
    <cellStyle name="Comma 3 2 2" xfId="332"/>
    <cellStyle name="Comma 3 2 2 2" xfId="333"/>
    <cellStyle name="Comma 3 2 2 2 2" xfId="334"/>
    <cellStyle name="Comma 3 2 2 2 2 2" xfId="335"/>
    <cellStyle name="Comma 3 2 2 2 3" xfId="336"/>
    <cellStyle name="Comma 3 2 2 3" xfId="337"/>
    <cellStyle name="Comma 3 2 2 3 2" xfId="338"/>
    <cellStyle name="Comma 3 2 2 3 2 2" xfId="339"/>
    <cellStyle name="Comma 3 2 2 3 3" xfId="340"/>
    <cellStyle name="Comma 3 2 2 4" xfId="341"/>
    <cellStyle name="Comma 3 2 2 4 2" xfId="342"/>
    <cellStyle name="Comma 3 2 2 4 2 2" xfId="343"/>
    <cellStyle name="Comma 3 2 2 4 3" xfId="344"/>
    <cellStyle name="Comma 3 2 2 5" xfId="345"/>
    <cellStyle name="Comma 3 2 2 5 2" xfId="346"/>
    <cellStyle name="Comma 3 2 2 5 2 2" xfId="347"/>
    <cellStyle name="Comma 3 2 2 5 3" xfId="348"/>
    <cellStyle name="Comma 3 2 2 6" xfId="349"/>
    <cellStyle name="Comma 3 2 2 6 2" xfId="350"/>
    <cellStyle name="Comma 3 2 2 7" xfId="351"/>
    <cellStyle name="Comma 3 2 2 7 2" xfId="352"/>
    <cellStyle name="Comma 3 2 2 8" xfId="353"/>
    <cellStyle name="Comma 3 2 2 8 2" xfId="354"/>
    <cellStyle name="Comma 3 2 2 9" xfId="355"/>
    <cellStyle name="Comma 3 2 3" xfId="356"/>
    <cellStyle name="Comma 3 2 3 2" xfId="357"/>
    <cellStyle name="Comma 3 2 3 2 2" xfId="358"/>
    <cellStyle name="Comma 3 2 3 2 2 2" xfId="359"/>
    <cellStyle name="Comma 3 2 3 2 3" xfId="360"/>
    <cellStyle name="Comma 3 2 3 3" xfId="361"/>
    <cellStyle name="Comma 3 2 3 3 2" xfId="362"/>
    <cellStyle name="Comma 3 2 3 3 2 2" xfId="363"/>
    <cellStyle name="Comma 3 2 3 3 3" xfId="364"/>
    <cellStyle name="Comma 3 2 3 4" xfId="365"/>
    <cellStyle name="Comma 3 2 3 4 2" xfId="366"/>
    <cellStyle name="Comma 3 2 3 4 2 2" xfId="367"/>
    <cellStyle name="Comma 3 2 3 4 3" xfId="368"/>
    <cellStyle name="Comma 3 2 3 5" xfId="369"/>
    <cellStyle name="Comma 3 2 3 5 2" xfId="370"/>
    <cellStyle name="Comma 3 2 3 5 2 2" xfId="371"/>
    <cellStyle name="Comma 3 2 3 5 3" xfId="372"/>
    <cellStyle name="Comma 3 2 3 6" xfId="373"/>
    <cellStyle name="Comma 3 2 3 6 2" xfId="374"/>
    <cellStyle name="Comma 3 2 3 7" xfId="375"/>
    <cellStyle name="Comma 3 2 3 7 2" xfId="376"/>
    <cellStyle name="Comma 3 2 3 8" xfId="377"/>
    <cellStyle name="Comma 3 2 3 8 2" xfId="378"/>
    <cellStyle name="Comma 3 2 3 9" xfId="379"/>
    <cellStyle name="Comma 3 2 4" xfId="380"/>
    <cellStyle name="Comma 3 2 4 2" xfId="381"/>
    <cellStyle name="Comma 3 2 4 2 2" xfId="382"/>
    <cellStyle name="Comma 3 2 4 3" xfId="383"/>
    <cellStyle name="Comma 3 2 5" xfId="384"/>
    <cellStyle name="Comma 3 2 5 2" xfId="385"/>
    <cellStyle name="Comma 3 2 5 2 2" xfId="386"/>
    <cellStyle name="Comma 3 2 5 3" xfId="387"/>
    <cellStyle name="Comma 3 2 6" xfId="388"/>
    <cellStyle name="Comma 3 2 6 2" xfId="389"/>
    <cellStyle name="Comma 3 2 6 2 2" xfId="390"/>
    <cellStyle name="Comma 3 2 6 3" xfId="391"/>
    <cellStyle name="Comma 3 2 7" xfId="392"/>
    <cellStyle name="Comma 3 2 7 2" xfId="393"/>
    <cellStyle name="Comma 3 2 7 2 2" xfId="394"/>
    <cellStyle name="Comma 3 2 7 3" xfId="395"/>
    <cellStyle name="Comma 3 2 8" xfId="396"/>
    <cellStyle name="Comma 3 2 8 2" xfId="397"/>
    <cellStyle name="Comma 3 2 9" xfId="398"/>
    <cellStyle name="Comma 3 2 9 2" xfId="399"/>
    <cellStyle name="Comma 3 3" xfId="400"/>
    <cellStyle name="Comma 3 3 2" xfId="401"/>
    <cellStyle name="Comma 3 3 2 2" xfId="402"/>
    <cellStyle name="Comma 3 3 2 2 2" xfId="403"/>
    <cellStyle name="Comma 3 3 2 3" xfId="404"/>
    <cellStyle name="Comma 3 3 3" xfId="405"/>
    <cellStyle name="Comma 3 3 3 2" xfId="406"/>
    <cellStyle name="Comma 3 3 3 2 2" xfId="407"/>
    <cellStyle name="Comma 3 3 3 3" xfId="408"/>
    <cellStyle name="Comma 3 3 4" xfId="409"/>
    <cellStyle name="Comma 3 3 4 2" xfId="410"/>
    <cellStyle name="Comma 3 3 4 2 2" xfId="411"/>
    <cellStyle name="Comma 3 3 4 3" xfId="412"/>
    <cellStyle name="Comma 3 3 5" xfId="413"/>
    <cellStyle name="Comma 3 3 5 2" xfId="414"/>
    <cellStyle name="Comma 3 3 5 2 2" xfId="415"/>
    <cellStyle name="Comma 3 3 5 3" xfId="416"/>
    <cellStyle name="Comma 3 3 6" xfId="417"/>
    <cellStyle name="Comma 3 3 6 2" xfId="418"/>
    <cellStyle name="Comma 3 3 7" xfId="419"/>
    <cellStyle name="Comma 3 3 7 2" xfId="420"/>
    <cellStyle name="Comma 3 3 8" xfId="421"/>
    <cellStyle name="Comma 3 3 8 2" xfId="422"/>
    <cellStyle name="Comma 3 3 9" xfId="423"/>
    <cellStyle name="Comma 3 4" xfId="424"/>
    <cellStyle name="Comma 3 4 2" xfId="425"/>
    <cellStyle name="Comma 3 4 2 2" xfId="426"/>
    <cellStyle name="Comma 3 4 2 2 2" xfId="427"/>
    <cellStyle name="Comma 3 4 2 3" xfId="428"/>
    <cellStyle name="Comma 3 4 3" xfId="429"/>
    <cellStyle name="Comma 3 4 3 2" xfId="430"/>
    <cellStyle name="Comma 3 4 3 2 2" xfId="431"/>
    <cellStyle name="Comma 3 4 3 3" xfId="432"/>
    <cellStyle name="Comma 3 4 4" xfId="433"/>
    <cellStyle name="Comma 3 4 4 2" xfId="434"/>
    <cellStyle name="Comma 3 4 4 2 2" xfId="435"/>
    <cellStyle name="Comma 3 4 4 3" xfId="436"/>
    <cellStyle name="Comma 3 4 5" xfId="437"/>
    <cellStyle name="Comma 3 4 5 2" xfId="438"/>
    <cellStyle name="Comma 3 4 5 2 2" xfId="439"/>
    <cellStyle name="Comma 3 4 5 3" xfId="440"/>
    <cellStyle name="Comma 3 4 6" xfId="441"/>
    <cellStyle name="Comma 3 4 6 2" xfId="442"/>
    <cellStyle name="Comma 3 4 7" xfId="443"/>
    <cellStyle name="Comma 3 4 7 2" xfId="444"/>
    <cellStyle name="Comma 3 4 8" xfId="445"/>
    <cellStyle name="Comma 3 4 8 2" xfId="446"/>
    <cellStyle name="Comma 3 4 9" xfId="447"/>
    <cellStyle name="Comma 3 5" xfId="448"/>
    <cellStyle name="Comma 3 5 2" xfId="449"/>
    <cellStyle name="Comma 3 5 2 2" xfId="450"/>
    <cellStyle name="Comma 3 5 2 2 2" xfId="451"/>
    <cellStyle name="Comma 3 5 2 3" xfId="452"/>
    <cellStyle name="Comma 3 5 3" xfId="453"/>
    <cellStyle name="Comma 3 5 3 2" xfId="454"/>
    <cellStyle name="Comma 3 5 3 2 2" xfId="455"/>
    <cellStyle name="Comma 3 5 3 3" xfId="456"/>
    <cellStyle name="Comma 3 5 4" xfId="457"/>
    <cellStyle name="Comma 3 5 4 2" xfId="458"/>
    <cellStyle name="Comma 3 5 4 2 2" xfId="459"/>
    <cellStyle name="Comma 3 5 4 3" xfId="460"/>
    <cellStyle name="Comma 3 5 5" xfId="461"/>
    <cellStyle name="Comma 3 5 5 2" xfId="462"/>
    <cellStyle name="Comma 3 5 5 2 2" xfId="463"/>
    <cellStyle name="Comma 3 5 5 3" xfId="464"/>
    <cellStyle name="Comma 3 5 6" xfId="465"/>
    <cellStyle name="Comma 3 5 6 2" xfId="466"/>
    <cellStyle name="Comma 3 5 7" xfId="467"/>
    <cellStyle name="Comma 3 5 7 2" xfId="468"/>
    <cellStyle name="Comma 3 5 8" xfId="469"/>
    <cellStyle name="Comma 3 5 8 2" xfId="470"/>
    <cellStyle name="Comma 3 5 9" xfId="471"/>
    <cellStyle name="Comma 3 6" xfId="472"/>
    <cellStyle name="Comma 3 6 2" xfId="473"/>
    <cellStyle name="Comma 3 6 2 2" xfId="474"/>
    <cellStyle name="Comma 3 6 3" xfId="475"/>
    <cellStyle name="Comma 3 7" xfId="476"/>
    <cellStyle name="Comma 3 7 2" xfId="477"/>
    <cellStyle name="Comma 3 7 2 2" xfId="478"/>
    <cellStyle name="Comma 3 7 3" xfId="479"/>
    <cellStyle name="Comma 3 8" xfId="480"/>
    <cellStyle name="Comma 3 8 2" xfId="481"/>
    <cellStyle name="Comma 3 8 2 2" xfId="482"/>
    <cellStyle name="Comma 3 8 3" xfId="483"/>
    <cellStyle name="Comma 3 9" xfId="484"/>
    <cellStyle name="Comma 3 9 2" xfId="485"/>
    <cellStyle name="Comma 3 9 2 2" xfId="486"/>
    <cellStyle name="Comma 3 9 3" xfId="487"/>
    <cellStyle name="Comma 4" xfId="488"/>
    <cellStyle name="Comma 4 10" xfId="489"/>
    <cellStyle name="Comma 4 10 2" xfId="490"/>
    <cellStyle name="Comma 4 11" xfId="491"/>
    <cellStyle name="Comma 4 2" xfId="492"/>
    <cellStyle name="Comma 4 2 2" xfId="493"/>
    <cellStyle name="Comma 4 2 2 2" xfId="494"/>
    <cellStyle name="Comma 4 2 2 2 2" xfId="495"/>
    <cellStyle name="Comma 4 2 2 3" xfId="496"/>
    <cellStyle name="Comma 4 2 3" xfId="497"/>
    <cellStyle name="Comma 4 2 3 2" xfId="498"/>
    <cellStyle name="Comma 4 2 3 2 2" xfId="499"/>
    <cellStyle name="Comma 4 2 3 3" xfId="500"/>
    <cellStyle name="Comma 4 2 4" xfId="501"/>
    <cellStyle name="Comma 4 2 4 2" xfId="502"/>
    <cellStyle name="Comma 4 2 4 2 2" xfId="503"/>
    <cellStyle name="Comma 4 2 4 3" xfId="504"/>
    <cellStyle name="Comma 4 2 5" xfId="505"/>
    <cellStyle name="Comma 4 2 5 2" xfId="506"/>
    <cellStyle name="Comma 4 2 5 2 2" xfId="507"/>
    <cellStyle name="Comma 4 2 5 3" xfId="508"/>
    <cellStyle name="Comma 4 2 6" xfId="509"/>
    <cellStyle name="Comma 4 2 6 2" xfId="510"/>
    <cellStyle name="Comma 4 2 7" xfId="511"/>
    <cellStyle name="Comma 4 2 7 2" xfId="512"/>
    <cellStyle name="Comma 4 2 8" xfId="513"/>
    <cellStyle name="Comma 4 2 8 2" xfId="514"/>
    <cellStyle name="Comma 4 2 9" xfId="515"/>
    <cellStyle name="Comma 4 3" xfId="516"/>
    <cellStyle name="Comma 4 3 2" xfId="517"/>
    <cellStyle name="Comma 4 3 2 2" xfId="518"/>
    <cellStyle name="Comma 4 3 2 2 2" xfId="519"/>
    <cellStyle name="Comma 4 3 2 3" xfId="520"/>
    <cellStyle name="Comma 4 3 3" xfId="521"/>
    <cellStyle name="Comma 4 3 3 2" xfId="522"/>
    <cellStyle name="Comma 4 3 3 2 2" xfId="523"/>
    <cellStyle name="Comma 4 3 3 3" xfId="524"/>
    <cellStyle name="Comma 4 3 4" xfId="525"/>
    <cellStyle name="Comma 4 3 4 2" xfId="526"/>
    <cellStyle name="Comma 4 3 4 2 2" xfId="527"/>
    <cellStyle name="Comma 4 3 4 3" xfId="528"/>
    <cellStyle name="Comma 4 3 5" xfId="529"/>
    <cellStyle name="Comma 4 3 5 2" xfId="530"/>
    <cellStyle name="Comma 4 3 5 2 2" xfId="531"/>
    <cellStyle name="Comma 4 3 5 3" xfId="532"/>
    <cellStyle name="Comma 4 3 6" xfId="533"/>
    <cellStyle name="Comma 4 3 6 2" xfId="534"/>
    <cellStyle name="Comma 4 3 7" xfId="535"/>
    <cellStyle name="Comma 4 3 7 2" xfId="536"/>
    <cellStyle name="Comma 4 3 8" xfId="537"/>
    <cellStyle name="Comma 4 3 8 2" xfId="538"/>
    <cellStyle name="Comma 4 3 9" xfId="539"/>
    <cellStyle name="Comma 4 4" xfId="540"/>
    <cellStyle name="Comma 4 4 2" xfId="541"/>
    <cellStyle name="Comma 4 4 2 2" xfId="542"/>
    <cellStyle name="Comma 4 4 3" xfId="543"/>
    <cellStyle name="Comma 4 5" xfId="544"/>
    <cellStyle name="Comma 4 5 2" xfId="545"/>
    <cellStyle name="Comma 4 5 2 2" xfId="546"/>
    <cellStyle name="Comma 4 5 3" xfId="547"/>
    <cellStyle name="Comma 4 6" xfId="548"/>
    <cellStyle name="Comma 4 6 2" xfId="549"/>
    <cellStyle name="Comma 4 6 2 2" xfId="550"/>
    <cellStyle name="Comma 4 6 3" xfId="551"/>
    <cellStyle name="Comma 4 7" xfId="552"/>
    <cellStyle name="Comma 4 7 2" xfId="553"/>
    <cellStyle name="Comma 4 7 2 2" xfId="554"/>
    <cellStyle name="Comma 4 7 3" xfId="555"/>
    <cellStyle name="Comma 4 8" xfId="556"/>
    <cellStyle name="Comma 4 8 2" xfId="557"/>
    <cellStyle name="Comma 4 9" xfId="558"/>
    <cellStyle name="Comma 4 9 2" xfId="559"/>
    <cellStyle name="Comma 5" xfId="560"/>
    <cellStyle name="Comma 6" xfId="561"/>
    <cellStyle name="Comma 6 2" xfId="562"/>
    <cellStyle name="Comma 6 2 2" xfId="563"/>
    <cellStyle name="Comma 6 2 2 2" xfId="564"/>
    <cellStyle name="Comma 6 2 3" xfId="565"/>
    <cellStyle name="Comma 6 3" xfId="566"/>
    <cellStyle name="Comma 6 3 2" xfId="567"/>
    <cellStyle name="Comma 6 3 2 2" xfId="568"/>
    <cellStyle name="Comma 6 3 3" xfId="569"/>
    <cellStyle name="Comma 6 4" xfId="570"/>
    <cellStyle name="Comma 6 4 2" xfId="571"/>
    <cellStyle name="Comma 6 4 2 2" xfId="572"/>
    <cellStyle name="Comma 6 4 3" xfId="573"/>
    <cellStyle name="Comma 6 5" xfId="574"/>
    <cellStyle name="Comma 6 5 2" xfId="575"/>
    <cellStyle name="Comma 6 5 2 2" xfId="576"/>
    <cellStyle name="Comma 6 5 3" xfId="577"/>
    <cellStyle name="Comma 6 6" xfId="578"/>
    <cellStyle name="Comma 6 6 2" xfId="579"/>
    <cellStyle name="Comma 6 7" xfId="580"/>
    <cellStyle name="Comma 6 7 2" xfId="581"/>
    <cellStyle name="Comma 6 8" xfId="582"/>
    <cellStyle name="Comma 6 8 2" xfId="583"/>
    <cellStyle name="Comma 6 9" xfId="584"/>
    <cellStyle name="Comma 7" xfId="585"/>
    <cellStyle name="Comma 8" xfId="586"/>
    <cellStyle name="Comma 9" xfId="587"/>
    <cellStyle name="Comma 9 2" xfId="588"/>
    <cellStyle name="Comma 9 2 2" xfId="589"/>
    <cellStyle name="Currency 10" xfId="590"/>
    <cellStyle name="Currency 10 2" xfId="591"/>
    <cellStyle name="Currency 10 2 2" xfId="592"/>
    <cellStyle name="Currency 11" xfId="593"/>
    <cellStyle name="Currency 12" xfId="594"/>
    <cellStyle name="Currency 2" xfId="40"/>
    <cellStyle name="Currency 2 10" xfId="596"/>
    <cellStyle name="Currency 2 10 2" xfId="597"/>
    <cellStyle name="Currency 2 10 2 2" xfId="598"/>
    <cellStyle name="Currency 2 10 3" xfId="599"/>
    <cellStyle name="Currency 2 11" xfId="600"/>
    <cellStyle name="Currency 2 11 2" xfId="601"/>
    <cellStyle name="Currency 2 11 2 2" xfId="602"/>
    <cellStyle name="Currency 2 11 3" xfId="603"/>
    <cellStyle name="Currency 2 12" xfId="604"/>
    <cellStyle name="Currency 2 12 2" xfId="605"/>
    <cellStyle name="Currency 2 13" xfId="606"/>
    <cellStyle name="Currency 2 13 2" xfId="607"/>
    <cellStyle name="Currency 2 14" xfId="608"/>
    <cellStyle name="Currency 2 14 2" xfId="609"/>
    <cellStyle name="Currency 2 15" xfId="610"/>
    <cellStyle name="Currency 2 16" xfId="611"/>
    <cellStyle name="Currency 2 17" xfId="595"/>
    <cellStyle name="Currency 2 2" xfId="101"/>
    <cellStyle name="Currency 2 2 10" xfId="613"/>
    <cellStyle name="Currency 2 2 10 2" xfId="614"/>
    <cellStyle name="Currency 2 2 11" xfId="615"/>
    <cellStyle name="Currency 2 2 11 2" xfId="616"/>
    <cellStyle name="Currency 2 2 12" xfId="617"/>
    <cellStyle name="Currency 2 2 12 2" xfId="618"/>
    <cellStyle name="Currency 2 2 13" xfId="619"/>
    <cellStyle name="Currency 2 2 14" xfId="612"/>
    <cellStyle name="Currency 2 2 2" xfId="102"/>
    <cellStyle name="Currency 2 2 2 10" xfId="621"/>
    <cellStyle name="Currency 2 2 2 10 2" xfId="622"/>
    <cellStyle name="Currency 2 2 2 11" xfId="623"/>
    <cellStyle name="Currency 2 2 2 12" xfId="620"/>
    <cellStyle name="Currency 2 2 2 2" xfId="624"/>
    <cellStyle name="Currency 2 2 2 2 2" xfId="625"/>
    <cellStyle name="Currency 2 2 2 2 2 2" xfId="626"/>
    <cellStyle name="Currency 2 2 2 2 2 2 2" xfId="627"/>
    <cellStyle name="Currency 2 2 2 2 2 3" xfId="628"/>
    <cellStyle name="Currency 2 2 2 2 3" xfId="629"/>
    <cellStyle name="Currency 2 2 2 2 3 2" xfId="630"/>
    <cellStyle name="Currency 2 2 2 2 3 2 2" xfId="631"/>
    <cellStyle name="Currency 2 2 2 2 3 3" xfId="632"/>
    <cellStyle name="Currency 2 2 2 2 4" xfId="633"/>
    <cellStyle name="Currency 2 2 2 2 4 2" xfId="634"/>
    <cellStyle name="Currency 2 2 2 2 4 2 2" xfId="635"/>
    <cellStyle name="Currency 2 2 2 2 4 3" xfId="636"/>
    <cellStyle name="Currency 2 2 2 2 5" xfId="637"/>
    <cellStyle name="Currency 2 2 2 2 5 2" xfId="638"/>
    <cellStyle name="Currency 2 2 2 2 5 2 2" xfId="639"/>
    <cellStyle name="Currency 2 2 2 2 5 3" xfId="640"/>
    <cellStyle name="Currency 2 2 2 2 6" xfId="641"/>
    <cellStyle name="Currency 2 2 2 2 6 2" xfId="642"/>
    <cellStyle name="Currency 2 2 2 2 7" xfId="643"/>
    <cellStyle name="Currency 2 2 2 2 7 2" xfId="644"/>
    <cellStyle name="Currency 2 2 2 2 8" xfId="645"/>
    <cellStyle name="Currency 2 2 2 2 8 2" xfId="646"/>
    <cellStyle name="Currency 2 2 2 2 9" xfId="647"/>
    <cellStyle name="Currency 2 2 2 3" xfId="648"/>
    <cellStyle name="Currency 2 2 2 3 2" xfId="649"/>
    <cellStyle name="Currency 2 2 2 3 2 2" xfId="650"/>
    <cellStyle name="Currency 2 2 2 3 2 2 2" xfId="651"/>
    <cellStyle name="Currency 2 2 2 3 2 3" xfId="652"/>
    <cellStyle name="Currency 2 2 2 3 3" xfId="653"/>
    <cellStyle name="Currency 2 2 2 3 3 2" xfId="654"/>
    <cellStyle name="Currency 2 2 2 3 3 2 2" xfId="655"/>
    <cellStyle name="Currency 2 2 2 3 3 3" xfId="656"/>
    <cellStyle name="Currency 2 2 2 3 4" xfId="657"/>
    <cellStyle name="Currency 2 2 2 3 4 2" xfId="658"/>
    <cellStyle name="Currency 2 2 2 3 4 2 2" xfId="659"/>
    <cellStyle name="Currency 2 2 2 3 4 3" xfId="660"/>
    <cellStyle name="Currency 2 2 2 3 5" xfId="661"/>
    <cellStyle name="Currency 2 2 2 3 5 2" xfId="662"/>
    <cellStyle name="Currency 2 2 2 3 5 2 2" xfId="663"/>
    <cellStyle name="Currency 2 2 2 3 5 3" xfId="664"/>
    <cellStyle name="Currency 2 2 2 3 6" xfId="665"/>
    <cellStyle name="Currency 2 2 2 3 6 2" xfId="666"/>
    <cellStyle name="Currency 2 2 2 3 7" xfId="667"/>
    <cellStyle name="Currency 2 2 2 3 7 2" xfId="668"/>
    <cellStyle name="Currency 2 2 2 3 8" xfId="669"/>
    <cellStyle name="Currency 2 2 2 3 8 2" xfId="670"/>
    <cellStyle name="Currency 2 2 2 3 9" xfId="671"/>
    <cellStyle name="Currency 2 2 2 4" xfId="672"/>
    <cellStyle name="Currency 2 2 2 4 2" xfId="673"/>
    <cellStyle name="Currency 2 2 2 4 2 2" xfId="674"/>
    <cellStyle name="Currency 2 2 2 4 3" xfId="675"/>
    <cellStyle name="Currency 2 2 2 5" xfId="676"/>
    <cellStyle name="Currency 2 2 2 5 2" xfId="677"/>
    <cellStyle name="Currency 2 2 2 5 2 2" xfId="678"/>
    <cellStyle name="Currency 2 2 2 5 3" xfId="679"/>
    <cellStyle name="Currency 2 2 2 6" xfId="680"/>
    <cellStyle name="Currency 2 2 2 6 2" xfId="681"/>
    <cellStyle name="Currency 2 2 2 6 2 2" xfId="682"/>
    <cellStyle name="Currency 2 2 2 6 3" xfId="683"/>
    <cellStyle name="Currency 2 2 2 7" xfId="684"/>
    <cellStyle name="Currency 2 2 2 7 2" xfId="685"/>
    <cellStyle name="Currency 2 2 2 7 2 2" xfId="686"/>
    <cellStyle name="Currency 2 2 2 7 3" xfId="687"/>
    <cellStyle name="Currency 2 2 2 8" xfId="688"/>
    <cellStyle name="Currency 2 2 2 8 2" xfId="689"/>
    <cellStyle name="Currency 2 2 2 9" xfId="690"/>
    <cellStyle name="Currency 2 2 2 9 2" xfId="691"/>
    <cellStyle name="Currency 2 2 3" xfId="103"/>
    <cellStyle name="Currency 2 2 3 10" xfId="692"/>
    <cellStyle name="Currency 2 2 3 2" xfId="693"/>
    <cellStyle name="Currency 2 2 3 2 2" xfId="694"/>
    <cellStyle name="Currency 2 2 3 2 2 2" xfId="695"/>
    <cellStyle name="Currency 2 2 3 2 3" xfId="696"/>
    <cellStyle name="Currency 2 2 3 3" xfId="697"/>
    <cellStyle name="Currency 2 2 3 3 2" xfId="698"/>
    <cellStyle name="Currency 2 2 3 3 2 2" xfId="699"/>
    <cellStyle name="Currency 2 2 3 3 3" xfId="700"/>
    <cellStyle name="Currency 2 2 3 4" xfId="701"/>
    <cellStyle name="Currency 2 2 3 4 2" xfId="702"/>
    <cellStyle name="Currency 2 2 3 4 2 2" xfId="703"/>
    <cellStyle name="Currency 2 2 3 4 3" xfId="704"/>
    <cellStyle name="Currency 2 2 3 5" xfId="705"/>
    <cellStyle name="Currency 2 2 3 5 2" xfId="706"/>
    <cellStyle name="Currency 2 2 3 5 2 2" xfId="707"/>
    <cellStyle name="Currency 2 2 3 5 3" xfId="708"/>
    <cellStyle name="Currency 2 2 3 6" xfId="709"/>
    <cellStyle name="Currency 2 2 3 6 2" xfId="710"/>
    <cellStyle name="Currency 2 2 3 7" xfId="711"/>
    <cellStyle name="Currency 2 2 3 7 2" xfId="712"/>
    <cellStyle name="Currency 2 2 3 8" xfId="713"/>
    <cellStyle name="Currency 2 2 3 8 2" xfId="714"/>
    <cellStyle name="Currency 2 2 3 9" xfId="715"/>
    <cellStyle name="Currency 2 2 4" xfId="716"/>
    <cellStyle name="Currency 2 2 4 2" xfId="717"/>
    <cellStyle name="Currency 2 2 4 2 2" xfId="718"/>
    <cellStyle name="Currency 2 2 4 2 2 2" xfId="719"/>
    <cellStyle name="Currency 2 2 4 2 3" xfId="720"/>
    <cellStyle name="Currency 2 2 4 3" xfId="721"/>
    <cellStyle name="Currency 2 2 4 3 2" xfId="722"/>
    <cellStyle name="Currency 2 2 4 3 2 2" xfId="723"/>
    <cellStyle name="Currency 2 2 4 3 3" xfId="724"/>
    <cellStyle name="Currency 2 2 4 4" xfId="725"/>
    <cellStyle name="Currency 2 2 4 4 2" xfId="726"/>
    <cellStyle name="Currency 2 2 4 4 2 2" xfId="727"/>
    <cellStyle name="Currency 2 2 4 4 3" xfId="728"/>
    <cellStyle name="Currency 2 2 4 5" xfId="729"/>
    <cellStyle name="Currency 2 2 4 5 2" xfId="730"/>
    <cellStyle name="Currency 2 2 4 5 2 2" xfId="731"/>
    <cellStyle name="Currency 2 2 4 5 3" xfId="732"/>
    <cellStyle name="Currency 2 2 4 6" xfId="733"/>
    <cellStyle name="Currency 2 2 4 6 2" xfId="734"/>
    <cellStyle name="Currency 2 2 4 7" xfId="735"/>
    <cellStyle name="Currency 2 2 4 7 2" xfId="736"/>
    <cellStyle name="Currency 2 2 4 8" xfId="737"/>
    <cellStyle name="Currency 2 2 4 8 2" xfId="738"/>
    <cellStyle name="Currency 2 2 4 9" xfId="739"/>
    <cellStyle name="Currency 2 2 5" xfId="740"/>
    <cellStyle name="Currency 2 2 5 2" xfId="741"/>
    <cellStyle name="Currency 2 2 5 2 2" xfId="742"/>
    <cellStyle name="Currency 2 2 5 2 2 2" xfId="743"/>
    <cellStyle name="Currency 2 2 5 2 3" xfId="744"/>
    <cellStyle name="Currency 2 2 5 3" xfId="745"/>
    <cellStyle name="Currency 2 2 5 3 2" xfId="746"/>
    <cellStyle name="Currency 2 2 5 3 2 2" xfId="747"/>
    <cellStyle name="Currency 2 2 5 3 3" xfId="748"/>
    <cellStyle name="Currency 2 2 5 4" xfId="749"/>
    <cellStyle name="Currency 2 2 5 4 2" xfId="750"/>
    <cellStyle name="Currency 2 2 5 4 2 2" xfId="751"/>
    <cellStyle name="Currency 2 2 5 4 3" xfId="752"/>
    <cellStyle name="Currency 2 2 5 5" xfId="753"/>
    <cellStyle name="Currency 2 2 5 5 2" xfId="754"/>
    <cellStyle name="Currency 2 2 5 5 2 2" xfId="755"/>
    <cellStyle name="Currency 2 2 5 5 3" xfId="756"/>
    <cellStyle name="Currency 2 2 5 6" xfId="757"/>
    <cellStyle name="Currency 2 2 5 6 2" xfId="758"/>
    <cellStyle name="Currency 2 2 5 7" xfId="759"/>
    <cellStyle name="Currency 2 2 5 7 2" xfId="760"/>
    <cellStyle name="Currency 2 2 5 8" xfId="761"/>
    <cellStyle name="Currency 2 2 5 8 2" xfId="762"/>
    <cellStyle name="Currency 2 2 5 9" xfId="763"/>
    <cellStyle name="Currency 2 2 6" xfId="764"/>
    <cellStyle name="Currency 2 2 6 2" xfId="765"/>
    <cellStyle name="Currency 2 2 6 2 2" xfId="766"/>
    <cellStyle name="Currency 2 2 6 3" xfId="767"/>
    <cellStyle name="Currency 2 2 7" xfId="768"/>
    <cellStyle name="Currency 2 2 7 2" xfId="769"/>
    <cellStyle name="Currency 2 2 7 2 2" xfId="770"/>
    <cellStyle name="Currency 2 2 7 3" xfId="771"/>
    <cellStyle name="Currency 2 2 8" xfId="772"/>
    <cellStyle name="Currency 2 2 8 2" xfId="773"/>
    <cellStyle name="Currency 2 2 8 2 2" xfId="774"/>
    <cellStyle name="Currency 2 2 8 3" xfId="775"/>
    <cellStyle name="Currency 2 2 9" xfId="776"/>
    <cellStyle name="Currency 2 2 9 2" xfId="777"/>
    <cellStyle name="Currency 2 2 9 2 2" xfId="778"/>
    <cellStyle name="Currency 2 2 9 3" xfId="779"/>
    <cellStyle name="Currency 2 3" xfId="100"/>
    <cellStyle name="Currency 2 3 10" xfId="781"/>
    <cellStyle name="Currency 2 3 10 2" xfId="782"/>
    <cellStyle name="Currency 2 3 11" xfId="783"/>
    <cellStyle name="Currency 2 3 11 2" xfId="784"/>
    <cellStyle name="Currency 2 3 12" xfId="785"/>
    <cellStyle name="Currency 2 3 12 2" xfId="786"/>
    <cellStyle name="Currency 2 3 13" xfId="787"/>
    <cellStyle name="Currency 2 3 14" xfId="780"/>
    <cellStyle name="Currency 2 3 2" xfId="788"/>
    <cellStyle name="Currency 2 3 2 10" xfId="789"/>
    <cellStyle name="Currency 2 3 2 10 2" xfId="790"/>
    <cellStyle name="Currency 2 3 2 11" xfId="791"/>
    <cellStyle name="Currency 2 3 2 11 2" xfId="792"/>
    <cellStyle name="Currency 2 3 2 12" xfId="793"/>
    <cellStyle name="Currency 2 3 2 2" xfId="794"/>
    <cellStyle name="Currency 2 3 2 2 2" xfId="795"/>
    <cellStyle name="Currency 2 3 2 2 2 2" xfId="796"/>
    <cellStyle name="Currency 2 3 2 2 2 2 2" xfId="797"/>
    <cellStyle name="Currency 2 3 2 2 2 3" xfId="798"/>
    <cellStyle name="Currency 2 3 2 2 3" xfId="799"/>
    <cellStyle name="Currency 2 3 2 2 3 2" xfId="800"/>
    <cellStyle name="Currency 2 3 2 2 3 2 2" xfId="801"/>
    <cellStyle name="Currency 2 3 2 2 3 3" xfId="802"/>
    <cellStyle name="Currency 2 3 2 2 4" xfId="803"/>
    <cellStyle name="Currency 2 3 2 2 4 2" xfId="804"/>
    <cellStyle name="Currency 2 3 2 2 4 2 2" xfId="805"/>
    <cellStyle name="Currency 2 3 2 2 4 3" xfId="806"/>
    <cellStyle name="Currency 2 3 2 2 5" xfId="807"/>
    <cellStyle name="Currency 2 3 2 2 5 2" xfId="808"/>
    <cellStyle name="Currency 2 3 2 2 5 2 2" xfId="809"/>
    <cellStyle name="Currency 2 3 2 2 5 3" xfId="810"/>
    <cellStyle name="Currency 2 3 2 2 6" xfId="811"/>
    <cellStyle name="Currency 2 3 2 2 6 2" xfId="812"/>
    <cellStyle name="Currency 2 3 2 2 7" xfId="813"/>
    <cellStyle name="Currency 2 3 2 2 7 2" xfId="814"/>
    <cellStyle name="Currency 2 3 2 2 8" xfId="815"/>
    <cellStyle name="Currency 2 3 2 2 8 2" xfId="816"/>
    <cellStyle name="Currency 2 3 2 2 9" xfId="817"/>
    <cellStyle name="Currency 2 3 2 3" xfId="818"/>
    <cellStyle name="Currency 2 3 2 3 2" xfId="819"/>
    <cellStyle name="Currency 2 3 2 3 2 2" xfId="820"/>
    <cellStyle name="Currency 2 3 2 3 2 2 2" xfId="821"/>
    <cellStyle name="Currency 2 3 2 3 2 3" xfId="822"/>
    <cellStyle name="Currency 2 3 2 3 3" xfId="823"/>
    <cellStyle name="Currency 2 3 2 3 3 2" xfId="824"/>
    <cellStyle name="Currency 2 3 2 3 3 2 2" xfId="825"/>
    <cellStyle name="Currency 2 3 2 3 3 3" xfId="826"/>
    <cellStyle name="Currency 2 3 2 3 4" xfId="827"/>
    <cellStyle name="Currency 2 3 2 3 4 2" xfId="828"/>
    <cellStyle name="Currency 2 3 2 3 4 2 2" xfId="829"/>
    <cellStyle name="Currency 2 3 2 3 4 3" xfId="830"/>
    <cellStyle name="Currency 2 3 2 3 5" xfId="831"/>
    <cellStyle name="Currency 2 3 2 3 5 2" xfId="832"/>
    <cellStyle name="Currency 2 3 2 3 5 2 2" xfId="833"/>
    <cellStyle name="Currency 2 3 2 3 5 3" xfId="834"/>
    <cellStyle name="Currency 2 3 2 3 6" xfId="835"/>
    <cellStyle name="Currency 2 3 2 3 6 2" xfId="836"/>
    <cellStyle name="Currency 2 3 2 3 7" xfId="837"/>
    <cellStyle name="Currency 2 3 2 3 7 2" xfId="838"/>
    <cellStyle name="Currency 2 3 2 3 8" xfId="839"/>
    <cellStyle name="Currency 2 3 2 3 8 2" xfId="840"/>
    <cellStyle name="Currency 2 3 2 3 9" xfId="841"/>
    <cellStyle name="Currency 2 3 2 4" xfId="842"/>
    <cellStyle name="Currency 2 3 2 4 2" xfId="843"/>
    <cellStyle name="Currency 2 3 2 4 2 2" xfId="844"/>
    <cellStyle name="Currency 2 3 2 4 2 2 2" xfId="845"/>
    <cellStyle name="Currency 2 3 2 4 2 3" xfId="846"/>
    <cellStyle name="Currency 2 3 2 4 3" xfId="847"/>
    <cellStyle name="Currency 2 3 2 4 3 2" xfId="848"/>
    <cellStyle name="Currency 2 3 2 4 3 2 2" xfId="849"/>
    <cellStyle name="Currency 2 3 2 4 3 3" xfId="850"/>
    <cellStyle name="Currency 2 3 2 4 4" xfId="851"/>
    <cellStyle name="Currency 2 3 2 4 4 2" xfId="852"/>
    <cellStyle name="Currency 2 3 2 4 4 2 2" xfId="853"/>
    <cellStyle name="Currency 2 3 2 4 4 3" xfId="854"/>
    <cellStyle name="Currency 2 3 2 4 5" xfId="855"/>
    <cellStyle name="Currency 2 3 2 4 5 2" xfId="856"/>
    <cellStyle name="Currency 2 3 2 4 5 2 2" xfId="857"/>
    <cellStyle name="Currency 2 3 2 4 5 3" xfId="858"/>
    <cellStyle name="Currency 2 3 2 4 6" xfId="859"/>
    <cellStyle name="Currency 2 3 2 4 6 2" xfId="860"/>
    <cellStyle name="Currency 2 3 2 4 7" xfId="861"/>
    <cellStyle name="Currency 2 3 2 4 7 2" xfId="862"/>
    <cellStyle name="Currency 2 3 2 4 8" xfId="863"/>
    <cellStyle name="Currency 2 3 2 4 8 2" xfId="864"/>
    <cellStyle name="Currency 2 3 2 4 9" xfId="865"/>
    <cellStyle name="Currency 2 3 2 5" xfId="866"/>
    <cellStyle name="Currency 2 3 2 5 2" xfId="867"/>
    <cellStyle name="Currency 2 3 2 5 2 2" xfId="868"/>
    <cellStyle name="Currency 2 3 2 5 3" xfId="869"/>
    <cellStyle name="Currency 2 3 2 6" xfId="870"/>
    <cellStyle name="Currency 2 3 2 6 2" xfId="871"/>
    <cellStyle name="Currency 2 3 2 6 2 2" xfId="872"/>
    <cellStyle name="Currency 2 3 2 6 3" xfId="873"/>
    <cellStyle name="Currency 2 3 2 7" xfId="874"/>
    <cellStyle name="Currency 2 3 2 7 2" xfId="875"/>
    <cellStyle name="Currency 2 3 2 7 2 2" xfId="876"/>
    <cellStyle name="Currency 2 3 2 7 3" xfId="877"/>
    <cellStyle name="Currency 2 3 2 8" xfId="878"/>
    <cellStyle name="Currency 2 3 2 8 2" xfId="879"/>
    <cellStyle name="Currency 2 3 2 8 2 2" xfId="880"/>
    <cellStyle name="Currency 2 3 2 8 3" xfId="881"/>
    <cellStyle name="Currency 2 3 2 9" xfId="882"/>
    <cellStyle name="Currency 2 3 2 9 2" xfId="883"/>
    <cellStyle name="Currency 2 3 3" xfId="884"/>
    <cellStyle name="Currency 2 3 4" xfId="885"/>
    <cellStyle name="Currency 2 3 4 2" xfId="886"/>
    <cellStyle name="Currency 2 3 4 2 2" xfId="887"/>
    <cellStyle name="Currency 2 3 4 2 2 2" xfId="888"/>
    <cellStyle name="Currency 2 3 4 2 3" xfId="889"/>
    <cellStyle name="Currency 2 3 4 3" xfId="890"/>
    <cellStyle name="Currency 2 3 4 3 2" xfId="891"/>
    <cellStyle name="Currency 2 3 4 3 2 2" xfId="892"/>
    <cellStyle name="Currency 2 3 4 3 3" xfId="893"/>
    <cellStyle name="Currency 2 3 4 4" xfId="894"/>
    <cellStyle name="Currency 2 3 4 4 2" xfId="895"/>
    <cellStyle name="Currency 2 3 4 4 2 2" xfId="896"/>
    <cellStyle name="Currency 2 3 4 4 3" xfId="897"/>
    <cellStyle name="Currency 2 3 4 5" xfId="898"/>
    <cellStyle name="Currency 2 3 4 5 2" xfId="899"/>
    <cellStyle name="Currency 2 3 4 5 2 2" xfId="900"/>
    <cellStyle name="Currency 2 3 4 5 3" xfId="901"/>
    <cellStyle name="Currency 2 3 4 6" xfId="902"/>
    <cellStyle name="Currency 2 3 4 6 2" xfId="903"/>
    <cellStyle name="Currency 2 3 4 7" xfId="904"/>
    <cellStyle name="Currency 2 3 4 7 2" xfId="905"/>
    <cellStyle name="Currency 2 3 4 8" xfId="906"/>
    <cellStyle name="Currency 2 3 4 8 2" xfId="907"/>
    <cellStyle name="Currency 2 3 4 9" xfId="908"/>
    <cellStyle name="Currency 2 3 5" xfId="909"/>
    <cellStyle name="Currency 2 3 5 2" xfId="910"/>
    <cellStyle name="Currency 2 3 5 2 2" xfId="911"/>
    <cellStyle name="Currency 2 3 5 2 2 2" xfId="912"/>
    <cellStyle name="Currency 2 3 5 2 3" xfId="913"/>
    <cellStyle name="Currency 2 3 5 3" xfId="914"/>
    <cellStyle name="Currency 2 3 5 3 2" xfId="915"/>
    <cellStyle name="Currency 2 3 5 3 2 2" xfId="916"/>
    <cellStyle name="Currency 2 3 5 3 3" xfId="917"/>
    <cellStyle name="Currency 2 3 5 4" xfId="918"/>
    <cellStyle name="Currency 2 3 5 4 2" xfId="919"/>
    <cellStyle name="Currency 2 3 5 4 2 2" xfId="920"/>
    <cellStyle name="Currency 2 3 5 4 3" xfId="921"/>
    <cellStyle name="Currency 2 3 5 5" xfId="922"/>
    <cellStyle name="Currency 2 3 5 5 2" xfId="923"/>
    <cellStyle name="Currency 2 3 5 5 2 2" xfId="924"/>
    <cellStyle name="Currency 2 3 5 5 3" xfId="925"/>
    <cellStyle name="Currency 2 3 5 6" xfId="926"/>
    <cellStyle name="Currency 2 3 5 6 2" xfId="927"/>
    <cellStyle name="Currency 2 3 5 7" xfId="928"/>
    <cellStyle name="Currency 2 3 5 7 2" xfId="929"/>
    <cellStyle name="Currency 2 3 5 8" xfId="930"/>
    <cellStyle name="Currency 2 3 5 8 2" xfId="931"/>
    <cellStyle name="Currency 2 3 5 9" xfId="932"/>
    <cellStyle name="Currency 2 3 6" xfId="933"/>
    <cellStyle name="Currency 2 3 6 2" xfId="934"/>
    <cellStyle name="Currency 2 3 6 2 2" xfId="935"/>
    <cellStyle name="Currency 2 3 6 3" xfId="936"/>
    <cellStyle name="Currency 2 3 7" xfId="937"/>
    <cellStyle name="Currency 2 3 7 2" xfId="938"/>
    <cellStyle name="Currency 2 3 7 2 2" xfId="939"/>
    <cellStyle name="Currency 2 3 7 3" xfId="940"/>
    <cellStyle name="Currency 2 3 8" xfId="941"/>
    <cellStyle name="Currency 2 3 8 2" xfId="942"/>
    <cellStyle name="Currency 2 3 8 2 2" xfId="943"/>
    <cellStyle name="Currency 2 3 8 3" xfId="944"/>
    <cellStyle name="Currency 2 3 9" xfId="945"/>
    <cellStyle name="Currency 2 3 9 2" xfId="946"/>
    <cellStyle name="Currency 2 3 9 2 2" xfId="947"/>
    <cellStyle name="Currency 2 3 9 3" xfId="948"/>
    <cellStyle name="Currency 2 4" xfId="949"/>
    <cellStyle name="Currency 2 4 2" xfId="950"/>
    <cellStyle name="Currency 2 5" xfId="951"/>
    <cellStyle name="Currency 2 5 10" xfId="952"/>
    <cellStyle name="Currency 2 5 2" xfId="953"/>
    <cellStyle name="Currency 2 5 2 2" xfId="954"/>
    <cellStyle name="Currency 2 5 2 2 2" xfId="955"/>
    <cellStyle name="Currency 2 5 2 2 2 2" xfId="956"/>
    <cellStyle name="Currency 2 5 2 2 3" xfId="957"/>
    <cellStyle name="Currency 2 5 2 3" xfId="958"/>
    <cellStyle name="Currency 2 5 2 3 2" xfId="959"/>
    <cellStyle name="Currency 2 5 2 3 2 2" xfId="960"/>
    <cellStyle name="Currency 2 5 2 3 3" xfId="961"/>
    <cellStyle name="Currency 2 5 2 4" xfId="962"/>
    <cellStyle name="Currency 2 5 2 4 2" xfId="963"/>
    <cellStyle name="Currency 2 5 2 4 2 2" xfId="964"/>
    <cellStyle name="Currency 2 5 2 4 3" xfId="965"/>
    <cellStyle name="Currency 2 5 2 5" xfId="966"/>
    <cellStyle name="Currency 2 5 2 5 2" xfId="967"/>
    <cellStyle name="Currency 2 5 2 5 2 2" xfId="968"/>
    <cellStyle name="Currency 2 5 2 5 3" xfId="969"/>
    <cellStyle name="Currency 2 5 2 6" xfId="970"/>
    <cellStyle name="Currency 2 5 2 6 2" xfId="971"/>
    <cellStyle name="Currency 2 5 2 7" xfId="972"/>
    <cellStyle name="Currency 2 5 2 7 2" xfId="973"/>
    <cellStyle name="Currency 2 5 2 8" xfId="974"/>
    <cellStyle name="Currency 2 5 2 8 2" xfId="975"/>
    <cellStyle name="Currency 2 5 2 9" xfId="976"/>
    <cellStyle name="Currency 2 5 3" xfId="977"/>
    <cellStyle name="Currency 2 5 3 2" xfId="978"/>
    <cellStyle name="Currency 2 5 3 2 2" xfId="979"/>
    <cellStyle name="Currency 2 5 3 3" xfId="980"/>
    <cellStyle name="Currency 2 5 4" xfId="981"/>
    <cellStyle name="Currency 2 5 4 2" xfId="982"/>
    <cellStyle name="Currency 2 5 4 2 2" xfId="983"/>
    <cellStyle name="Currency 2 5 4 3" xfId="984"/>
    <cellStyle name="Currency 2 5 5" xfId="985"/>
    <cellStyle name="Currency 2 5 5 2" xfId="986"/>
    <cellStyle name="Currency 2 5 5 2 2" xfId="987"/>
    <cellStyle name="Currency 2 5 5 3" xfId="988"/>
    <cellStyle name="Currency 2 5 6" xfId="989"/>
    <cellStyle name="Currency 2 5 6 2" xfId="990"/>
    <cellStyle name="Currency 2 5 6 2 2" xfId="991"/>
    <cellStyle name="Currency 2 5 6 3" xfId="992"/>
    <cellStyle name="Currency 2 5 7" xfId="993"/>
    <cellStyle name="Currency 2 5 7 2" xfId="994"/>
    <cellStyle name="Currency 2 5 8" xfId="995"/>
    <cellStyle name="Currency 2 5 8 2" xfId="996"/>
    <cellStyle name="Currency 2 5 9" xfId="997"/>
    <cellStyle name="Currency 2 5 9 2" xfId="998"/>
    <cellStyle name="Currency 2 6" xfId="999"/>
    <cellStyle name="Currency 2 6 2" xfId="1000"/>
    <cellStyle name="Currency 2 6 2 2" xfId="1001"/>
    <cellStyle name="Currency 2 6 2 2 2" xfId="1002"/>
    <cellStyle name="Currency 2 6 2 3" xfId="1003"/>
    <cellStyle name="Currency 2 6 3" xfId="1004"/>
    <cellStyle name="Currency 2 6 3 2" xfId="1005"/>
    <cellStyle name="Currency 2 6 3 2 2" xfId="1006"/>
    <cellStyle name="Currency 2 6 3 3" xfId="1007"/>
    <cellStyle name="Currency 2 6 4" xfId="1008"/>
    <cellStyle name="Currency 2 6 4 2" xfId="1009"/>
    <cellStyle name="Currency 2 6 4 2 2" xfId="1010"/>
    <cellStyle name="Currency 2 6 4 3" xfId="1011"/>
    <cellStyle name="Currency 2 6 5" xfId="1012"/>
    <cellStyle name="Currency 2 6 5 2" xfId="1013"/>
    <cellStyle name="Currency 2 6 5 2 2" xfId="1014"/>
    <cellStyle name="Currency 2 6 5 3" xfId="1015"/>
    <cellStyle name="Currency 2 6 6" xfId="1016"/>
    <cellStyle name="Currency 2 6 6 2" xfId="1017"/>
    <cellStyle name="Currency 2 6 7" xfId="1018"/>
    <cellStyle name="Currency 2 6 7 2" xfId="1019"/>
    <cellStyle name="Currency 2 6 8" xfId="1020"/>
    <cellStyle name="Currency 2 6 8 2" xfId="1021"/>
    <cellStyle name="Currency 2 6 9" xfId="1022"/>
    <cellStyle name="Currency 2 7" xfId="1023"/>
    <cellStyle name="Currency 2 7 2" xfId="1024"/>
    <cellStyle name="Currency 2 7 2 2" xfId="1025"/>
    <cellStyle name="Currency 2 7 2 2 2" xfId="1026"/>
    <cellStyle name="Currency 2 7 2 3" xfId="1027"/>
    <cellStyle name="Currency 2 7 3" xfId="1028"/>
    <cellStyle name="Currency 2 7 3 2" xfId="1029"/>
    <cellStyle name="Currency 2 7 3 2 2" xfId="1030"/>
    <cellStyle name="Currency 2 7 3 3" xfId="1031"/>
    <cellStyle name="Currency 2 7 4" xfId="1032"/>
    <cellStyle name="Currency 2 7 4 2" xfId="1033"/>
    <cellStyle name="Currency 2 7 4 2 2" xfId="1034"/>
    <cellStyle name="Currency 2 7 4 3" xfId="1035"/>
    <cellStyle name="Currency 2 7 5" xfId="1036"/>
    <cellStyle name="Currency 2 7 5 2" xfId="1037"/>
    <cellStyle name="Currency 2 7 5 2 2" xfId="1038"/>
    <cellStyle name="Currency 2 7 5 3" xfId="1039"/>
    <cellStyle name="Currency 2 7 6" xfId="1040"/>
    <cellStyle name="Currency 2 7 6 2" xfId="1041"/>
    <cellStyle name="Currency 2 7 7" xfId="1042"/>
    <cellStyle name="Currency 2 7 7 2" xfId="1043"/>
    <cellStyle name="Currency 2 7 8" xfId="1044"/>
    <cellStyle name="Currency 2 7 8 2" xfId="1045"/>
    <cellStyle name="Currency 2 7 9" xfId="1046"/>
    <cellStyle name="Currency 2 8" xfId="1047"/>
    <cellStyle name="Currency 2 8 2" xfId="1048"/>
    <cellStyle name="Currency 2 8 2 2" xfId="1049"/>
    <cellStyle name="Currency 2 8 3" xfId="1050"/>
    <cellStyle name="Currency 2 9" xfId="1051"/>
    <cellStyle name="Currency 2 9 2" xfId="1052"/>
    <cellStyle name="Currency 2 9 2 2" xfId="1053"/>
    <cellStyle name="Currency 2 9 3" xfId="1054"/>
    <cellStyle name="Currency 3" xfId="3"/>
    <cellStyle name="Currency 3 10" xfId="1056"/>
    <cellStyle name="Currency 3 10 2" xfId="1057"/>
    <cellStyle name="Currency 3 11" xfId="1058"/>
    <cellStyle name="Currency 3 11 2" xfId="1059"/>
    <cellStyle name="Currency 3 12" xfId="1060"/>
    <cellStyle name="Currency 3 12 2" xfId="1061"/>
    <cellStyle name="Currency 3 13" xfId="1062"/>
    <cellStyle name="Currency 3 14" xfId="1055"/>
    <cellStyle name="Currency 3 2" xfId="1063"/>
    <cellStyle name="Currency 3 2 10" xfId="1064"/>
    <cellStyle name="Currency 3 2 10 2" xfId="1065"/>
    <cellStyle name="Currency 3 2 11" xfId="1066"/>
    <cellStyle name="Currency 3 2 11 2" xfId="1067"/>
    <cellStyle name="Currency 3 2 12" xfId="1068"/>
    <cellStyle name="Currency 3 2 2" xfId="1069"/>
    <cellStyle name="Currency 3 2 2 2" xfId="1070"/>
    <cellStyle name="Currency 3 2 2 2 2" xfId="1071"/>
    <cellStyle name="Currency 3 2 2 2 2 2" xfId="1072"/>
    <cellStyle name="Currency 3 2 2 2 3" xfId="1073"/>
    <cellStyle name="Currency 3 2 2 3" xfId="1074"/>
    <cellStyle name="Currency 3 2 2 3 2" xfId="1075"/>
    <cellStyle name="Currency 3 2 2 3 2 2" xfId="1076"/>
    <cellStyle name="Currency 3 2 2 3 3" xfId="1077"/>
    <cellStyle name="Currency 3 2 2 4" xfId="1078"/>
    <cellStyle name="Currency 3 2 2 4 2" xfId="1079"/>
    <cellStyle name="Currency 3 2 2 4 2 2" xfId="1080"/>
    <cellStyle name="Currency 3 2 2 4 3" xfId="1081"/>
    <cellStyle name="Currency 3 2 2 5" xfId="1082"/>
    <cellStyle name="Currency 3 2 2 5 2" xfId="1083"/>
    <cellStyle name="Currency 3 2 2 5 2 2" xfId="1084"/>
    <cellStyle name="Currency 3 2 2 5 3" xfId="1085"/>
    <cellStyle name="Currency 3 2 2 6" xfId="1086"/>
    <cellStyle name="Currency 3 2 2 6 2" xfId="1087"/>
    <cellStyle name="Currency 3 2 2 7" xfId="1088"/>
    <cellStyle name="Currency 3 2 2 7 2" xfId="1089"/>
    <cellStyle name="Currency 3 2 2 8" xfId="1090"/>
    <cellStyle name="Currency 3 2 2 8 2" xfId="1091"/>
    <cellStyle name="Currency 3 2 2 9" xfId="1092"/>
    <cellStyle name="Currency 3 2 3" xfId="1093"/>
    <cellStyle name="Currency 3 2 3 2" xfId="1094"/>
    <cellStyle name="Currency 3 2 3 2 2" xfId="1095"/>
    <cellStyle name="Currency 3 2 3 2 2 2" xfId="1096"/>
    <cellStyle name="Currency 3 2 3 2 3" xfId="1097"/>
    <cellStyle name="Currency 3 2 3 3" xfId="1098"/>
    <cellStyle name="Currency 3 2 3 3 2" xfId="1099"/>
    <cellStyle name="Currency 3 2 3 3 2 2" xfId="1100"/>
    <cellStyle name="Currency 3 2 3 3 3" xfId="1101"/>
    <cellStyle name="Currency 3 2 3 4" xfId="1102"/>
    <cellStyle name="Currency 3 2 3 4 2" xfId="1103"/>
    <cellStyle name="Currency 3 2 3 4 2 2" xfId="1104"/>
    <cellStyle name="Currency 3 2 3 4 3" xfId="1105"/>
    <cellStyle name="Currency 3 2 3 5" xfId="1106"/>
    <cellStyle name="Currency 3 2 3 5 2" xfId="1107"/>
    <cellStyle name="Currency 3 2 3 5 2 2" xfId="1108"/>
    <cellStyle name="Currency 3 2 3 5 3" xfId="1109"/>
    <cellStyle name="Currency 3 2 3 6" xfId="1110"/>
    <cellStyle name="Currency 3 2 3 6 2" xfId="1111"/>
    <cellStyle name="Currency 3 2 3 7" xfId="1112"/>
    <cellStyle name="Currency 3 2 3 7 2" xfId="1113"/>
    <cellStyle name="Currency 3 2 3 8" xfId="1114"/>
    <cellStyle name="Currency 3 2 3 8 2" xfId="1115"/>
    <cellStyle name="Currency 3 2 3 9" xfId="1116"/>
    <cellStyle name="Currency 3 2 4" xfId="1117"/>
    <cellStyle name="Currency 3 2 4 2" xfId="1118"/>
    <cellStyle name="Currency 3 2 4 2 2" xfId="1119"/>
    <cellStyle name="Currency 3 2 4 2 2 2" xfId="1120"/>
    <cellStyle name="Currency 3 2 4 2 3" xfId="1121"/>
    <cellStyle name="Currency 3 2 4 3" xfId="1122"/>
    <cellStyle name="Currency 3 2 4 3 2" xfId="1123"/>
    <cellStyle name="Currency 3 2 4 3 2 2" xfId="1124"/>
    <cellStyle name="Currency 3 2 4 3 3" xfId="1125"/>
    <cellStyle name="Currency 3 2 4 4" xfId="1126"/>
    <cellStyle name="Currency 3 2 4 4 2" xfId="1127"/>
    <cellStyle name="Currency 3 2 4 4 2 2" xfId="1128"/>
    <cellStyle name="Currency 3 2 4 4 3" xfId="1129"/>
    <cellStyle name="Currency 3 2 4 5" xfId="1130"/>
    <cellStyle name="Currency 3 2 4 5 2" xfId="1131"/>
    <cellStyle name="Currency 3 2 4 5 2 2" xfId="1132"/>
    <cellStyle name="Currency 3 2 4 5 3" xfId="1133"/>
    <cellStyle name="Currency 3 2 4 6" xfId="1134"/>
    <cellStyle name="Currency 3 2 4 6 2" xfId="1135"/>
    <cellStyle name="Currency 3 2 4 7" xfId="1136"/>
    <cellStyle name="Currency 3 2 4 7 2" xfId="1137"/>
    <cellStyle name="Currency 3 2 4 8" xfId="1138"/>
    <cellStyle name="Currency 3 2 4 8 2" xfId="1139"/>
    <cellStyle name="Currency 3 2 4 9" xfId="1140"/>
    <cellStyle name="Currency 3 2 5" xfId="1141"/>
    <cellStyle name="Currency 3 2 5 2" xfId="1142"/>
    <cellStyle name="Currency 3 2 5 2 2" xfId="1143"/>
    <cellStyle name="Currency 3 2 5 3" xfId="1144"/>
    <cellStyle name="Currency 3 2 6" xfId="1145"/>
    <cellStyle name="Currency 3 2 6 2" xfId="1146"/>
    <cellStyle name="Currency 3 2 6 2 2" xfId="1147"/>
    <cellStyle name="Currency 3 2 6 3" xfId="1148"/>
    <cellStyle name="Currency 3 2 7" xfId="1149"/>
    <cellStyle name="Currency 3 2 7 2" xfId="1150"/>
    <cellStyle name="Currency 3 2 7 2 2" xfId="1151"/>
    <cellStyle name="Currency 3 2 7 3" xfId="1152"/>
    <cellStyle name="Currency 3 2 8" xfId="1153"/>
    <cellStyle name="Currency 3 2 8 2" xfId="1154"/>
    <cellStyle name="Currency 3 2 8 2 2" xfId="1155"/>
    <cellStyle name="Currency 3 2 8 3" xfId="1156"/>
    <cellStyle name="Currency 3 2 9" xfId="1157"/>
    <cellStyle name="Currency 3 2 9 2" xfId="1158"/>
    <cellStyle name="Currency 3 3" xfId="1159"/>
    <cellStyle name="Currency 3 4" xfId="1160"/>
    <cellStyle name="Currency 3 4 2" xfId="1161"/>
    <cellStyle name="Currency 3 4 2 2" xfId="1162"/>
    <cellStyle name="Currency 3 4 2 2 2" xfId="1163"/>
    <cellStyle name="Currency 3 4 2 3" xfId="1164"/>
    <cellStyle name="Currency 3 4 3" xfId="1165"/>
    <cellStyle name="Currency 3 4 3 2" xfId="1166"/>
    <cellStyle name="Currency 3 4 3 2 2" xfId="1167"/>
    <cellStyle name="Currency 3 4 3 3" xfId="1168"/>
    <cellStyle name="Currency 3 4 4" xfId="1169"/>
    <cellStyle name="Currency 3 4 4 2" xfId="1170"/>
    <cellStyle name="Currency 3 4 4 2 2" xfId="1171"/>
    <cellStyle name="Currency 3 4 4 3" xfId="1172"/>
    <cellStyle name="Currency 3 4 5" xfId="1173"/>
    <cellStyle name="Currency 3 4 5 2" xfId="1174"/>
    <cellStyle name="Currency 3 4 5 2 2" xfId="1175"/>
    <cellStyle name="Currency 3 4 5 3" xfId="1176"/>
    <cellStyle name="Currency 3 4 6" xfId="1177"/>
    <cellStyle name="Currency 3 4 6 2" xfId="1178"/>
    <cellStyle name="Currency 3 4 7" xfId="1179"/>
    <cellStyle name="Currency 3 4 7 2" xfId="1180"/>
    <cellStyle name="Currency 3 4 8" xfId="1181"/>
    <cellStyle name="Currency 3 4 8 2" xfId="1182"/>
    <cellStyle name="Currency 3 4 9" xfId="1183"/>
    <cellStyle name="Currency 3 5" xfId="1184"/>
    <cellStyle name="Currency 3 5 2" xfId="1185"/>
    <cellStyle name="Currency 3 5 2 2" xfId="1186"/>
    <cellStyle name="Currency 3 5 2 2 2" xfId="1187"/>
    <cellStyle name="Currency 3 5 2 3" xfId="1188"/>
    <cellStyle name="Currency 3 5 3" xfId="1189"/>
    <cellStyle name="Currency 3 5 3 2" xfId="1190"/>
    <cellStyle name="Currency 3 5 3 2 2" xfId="1191"/>
    <cellStyle name="Currency 3 5 3 3" xfId="1192"/>
    <cellStyle name="Currency 3 5 4" xfId="1193"/>
    <cellStyle name="Currency 3 5 4 2" xfId="1194"/>
    <cellStyle name="Currency 3 5 4 2 2" xfId="1195"/>
    <cellStyle name="Currency 3 5 4 3" xfId="1196"/>
    <cellStyle name="Currency 3 5 5" xfId="1197"/>
    <cellStyle name="Currency 3 5 5 2" xfId="1198"/>
    <cellStyle name="Currency 3 5 5 2 2" xfId="1199"/>
    <cellStyle name="Currency 3 5 5 3" xfId="1200"/>
    <cellStyle name="Currency 3 5 6" xfId="1201"/>
    <cellStyle name="Currency 3 5 6 2" xfId="1202"/>
    <cellStyle name="Currency 3 5 7" xfId="1203"/>
    <cellStyle name="Currency 3 5 7 2" xfId="1204"/>
    <cellStyle name="Currency 3 5 8" xfId="1205"/>
    <cellStyle name="Currency 3 5 8 2" xfId="1206"/>
    <cellStyle name="Currency 3 5 9" xfId="1207"/>
    <cellStyle name="Currency 3 6" xfId="1208"/>
    <cellStyle name="Currency 3 6 2" xfId="1209"/>
    <cellStyle name="Currency 3 6 2 2" xfId="1210"/>
    <cellStyle name="Currency 3 6 3" xfId="1211"/>
    <cellStyle name="Currency 3 7" xfId="1212"/>
    <cellStyle name="Currency 3 7 2" xfId="1213"/>
    <cellStyle name="Currency 3 7 2 2" xfId="1214"/>
    <cellStyle name="Currency 3 7 3" xfId="1215"/>
    <cellStyle name="Currency 3 8" xfId="1216"/>
    <cellStyle name="Currency 3 8 2" xfId="1217"/>
    <cellStyle name="Currency 3 8 2 2" xfId="1218"/>
    <cellStyle name="Currency 3 8 3" xfId="1219"/>
    <cellStyle name="Currency 3 9" xfId="1220"/>
    <cellStyle name="Currency 3 9 2" xfId="1221"/>
    <cellStyle name="Currency 3 9 2 2" xfId="1222"/>
    <cellStyle name="Currency 3 9 3" xfId="1223"/>
    <cellStyle name="Currency 4" xfId="1224"/>
    <cellStyle name="Currency 4 10" xfId="1225"/>
    <cellStyle name="Currency 4 10 2" xfId="1226"/>
    <cellStyle name="Currency 4 11" xfId="1227"/>
    <cellStyle name="Currency 4 11 2" xfId="1228"/>
    <cellStyle name="Currency 4 12" xfId="1229"/>
    <cellStyle name="Currency 4 12 2" xfId="1230"/>
    <cellStyle name="Currency 4 13" xfId="1231"/>
    <cellStyle name="Currency 4 2" xfId="1232"/>
    <cellStyle name="Currency 4 2 10" xfId="1233"/>
    <cellStyle name="Currency 4 2 10 2" xfId="1234"/>
    <cellStyle name="Currency 4 2 11" xfId="1235"/>
    <cellStyle name="Currency 4 2 11 2" xfId="1236"/>
    <cellStyle name="Currency 4 2 12" xfId="1237"/>
    <cellStyle name="Currency 4 2 2" xfId="1238"/>
    <cellStyle name="Currency 4 2 2 2" xfId="1239"/>
    <cellStyle name="Currency 4 2 2 2 2" xfId="1240"/>
    <cellStyle name="Currency 4 2 2 2 2 2" xfId="1241"/>
    <cellStyle name="Currency 4 2 2 2 3" xfId="1242"/>
    <cellStyle name="Currency 4 2 2 3" xfId="1243"/>
    <cellStyle name="Currency 4 2 2 3 2" xfId="1244"/>
    <cellStyle name="Currency 4 2 2 3 2 2" xfId="1245"/>
    <cellStyle name="Currency 4 2 2 3 3" xfId="1246"/>
    <cellStyle name="Currency 4 2 2 4" xfId="1247"/>
    <cellStyle name="Currency 4 2 2 4 2" xfId="1248"/>
    <cellStyle name="Currency 4 2 2 4 2 2" xfId="1249"/>
    <cellStyle name="Currency 4 2 2 4 3" xfId="1250"/>
    <cellStyle name="Currency 4 2 2 5" xfId="1251"/>
    <cellStyle name="Currency 4 2 2 5 2" xfId="1252"/>
    <cellStyle name="Currency 4 2 2 5 2 2" xfId="1253"/>
    <cellStyle name="Currency 4 2 2 5 3" xfId="1254"/>
    <cellStyle name="Currency 4 2 2 6" xfId="1255"/>
    <cellStyle name="Currency 4 2 2 6 2" xfId="1256"/>
    <cellStyle name="Currency 4 2 2 7" xfId="1257"/>
    <cellStyle name="Currency 4 2 2 7 2" xfId="1258"/>
    <cellStyle name="Currency 4 2 2 8" xfId="1259"/>
    <cellStyle name="Currency 4 2 2 8 2" xfId="1260"/>
    <cellStyle name="Currency 4 2 2 9" xfId="1261"/>
    <cellStyle name="Currency 4 2 3" xfId="1262"/>
    <cellStyle name="Currency 4 2 3 2" xfId="1263"/>
    <cellStyle name="Currency 4 2 3 2 2" xfId="1264"/>
    <cellStyle name="Currency 4 2 3 2 2 2" xfId="1265"/>
    <cellStyle name="Currency 4 2 3 2 3" xfId="1266"/>
    <cellStyle name="Currency 4 2 3 3" xfId="1267"/>
    <cellStyle name="Currency 4 2 3 3 2" xfId="1268"/>
    <cellStyle name="Currency 4 2 3 3 2 2" xfId="1269"/>
    <cellStyle name="Currency 4 2 3 3 3" xfId="1270"/>
    <cellStyle name="Currency 4 2 3 4" xfId="1271"/>
    <cellStyle name="Currency 4 2 3 4 2" xfId="1272"/>
    <cellStyle name="Currency 4 2 3 4 2 2" xfId="1273"/>
    <cellStyle name="Currency 4 2 3 4 3" xfId="1274"/>
    <cellStyle name="Currency 4 2 3 5" xfId="1275"/>
    <cellStyle name="Currency 4 2 3 5 2" xfId="1276"/>
    <cellStyle name="Currency 4 2 3 5 2 2" xfId="1277"/>
    <cellStyle name="Currency 4 2 3 5 3" xfId="1278"/>
    <cellStyle name="Currency 4 2 3 6" xfId="1279"/>
    <cellStyle name="Currency 4 2 3 6 2" xfId="1280"/>
    <cellStyle name="Currency 4 2 3 7" xfId="1281"/>
    <cellStyle name="Currency 4 2 3 7 2" xfId="1282"/>
    <cellStyle name="Currency 4 2 3 8" xfId="1283"/>
    <cellStyle name="Currency 4 2 3 8 2" xfId="1284"/>
    <cellStyle name="Currency 4 2 3 9" xfId="1285"/>
    <cellStyle name="Currency 4 2 4" xfId="1286"/>
    <cellStyle name="Currency 4 2 4 2" xfId="1287"/>
    <cellStyle name="Currency 4 2 4 2 2" xfId="1288"/>
    <cellStyle name="Currency 4 2 4 2 2 2" xfId="1289"/>
    <cellStyle name="Currency 4 2 4 2 3" xfId="1290"/>
    <cellStyle name="Currency 4 2 4 3" xfId="1291"/>
    <cellStyle name="Currency 4 2 4 3 2" xfId="1292"/>
    <cellStyle name="Currency 4 2 4 3 2 2" xfId="1293"/>
    <cellStyle name="Currency 4 2 4 3 3" xfId="1294"/>
    <cellStyle name="Currency 4 2 4 4" xfId="1295"/>
    <cellStyle name="Currency 4 2 4 4 2" xfId="1296"/>
    <cellStyle name="Currency 4 2 4 4 2 2" xfId="1297"/>
    <cellStyle name="Currency 4 2 4 4 3" xfId="1298"/>
    <cellStyle name="Currency 4 2 4 5" xfId="1299"/>
    <cellStyle name="Currency 4 2 4 5 2" xfId="1300"/>
    <cellStyle name="Currency 4 2 4 5 2 2" xfId="1301"/>
    <cellStyle name="Currency 4 2 4 5 3" xfId="1302"/>
    <cellStyle name="Currency 4 2 4 6" xfId="1303"/>
    <cellStyle name="Currency 4 2 4 6 2" xfId="1304"/>
    <cellStyle name="Currency 4 2 4 7" xfId="1305"/>
    <cellStyle name="Currency 4 2 4 7 2" xfId="1306"/>
    <cellStyle name="Currency 4 2 4 8" xfId="1307"/>
    <cellStyle name="Currency 4 2 4 8 2" xfId="1308"/>
    <cellStyle name="Currency 4 2 4 9" xfId="1309"/>
    <cellStyle name="Currency 4 2 5" xfId="1310"/>
    <cellStyle name="Currency 4 2 5 2" xfId="1311"/>
    <cellStyle name="Currency 4 2 5 2 2" xfId="1312"/>
    <cellStyle name="Currency 4 2 5 3" xfId="1313"/>
    <cellStyle name="Currency 4 2 6" xfId="1314"/>
    <cellStyle name="Currency 4 2 6 2" xfId="1315"/>
    <cellStyle name="Currency 4 2 6 2 2" xfId="1316"/>
    <cellStyle name="Currency 4 2 6 3" xfId="1317"/>
    <cellStyle name="Currency 4 2 7" xfId="1318"/>
    <cellStyle name="Currency 4 2 7 2" xfId="1319"/>
    <cellStyle name="Currency 4 2 7 2 2" xfId="1320"/>
    <cellStyle name="Currency 4 2 7 3" xfId="1321"/>
    <cellStyle name="Currency 4 2 8" xfId="1322"/>
    <cellStyle name="Currency 4 2 8 2" xfId="1323"/>
    <cellStyle name="Currency 4 2 8 2 2" xfId="1324"/>
    <cellStyle name="Currency 4 2 8 3" xfId="1325"/>
    <cellStyle name="Currency 4 2 9" xfId="1326"/>
    <cellStyle name="Currency 4 2 9 2" xfId="1327"/>
    <cellStyle name="Currency 4 3" xfId="1328"/>
    <cellStyle name="Currency 4 4" xfId="1329"/>
    <cellStyle name="Currency 4 4 2" xfId="1330"/>
    <cellStyle name="Currency 4 4 2 2" xfId="1331"/>
    <cellStyle name="Currency 4 4 2 2 2" xfId="1332"/>
    <cellStyle name="Currency 4 4 2 3" xfId="1333"/>
    <cellStyle name="Currency 4 4 3" xfId="1334"/>
    <cellStyle name="Currency 4 4 3 2" xfId="1335"/>
    <cellStyle name="Currency 4 4 3 2 2" xfId="1336"/>
    <cellStyle name="Currency 4 4 3 3" xfId="1337"/>
    <cellStyle name="Currency 4 4 4" xfId="1338"/>
    <cellStyle name="Currency 4 4 4 2" xfId="1339"/>
    <cellStyle name="Currency 4 4 4 2 2" xfId="1340"/>
    <cellStyle name="Currency 4 4 4 3" xfId="1341"/>
    <cellStyle name="Currency 4 4 5" xfId="1342"/>
    <cellStyle name="Currency 4 4 5 2" xfId="1343"/>
    <cellStyle name="Currency 4 4 5 2 2" xfId="1344"/>
    <cellStyle name="Currency 4 4 5 3" xfId="1345"/>
    <cellStyle name="Currency 4 4 6" xfId="1346"/>
    <cellStyle name="Currency 4 4 6 2" xfId="1347"/>
    <cellStyle name="Currency 4 4 7" xfId="1348"/>
    <cellStyle name="Currency 4 4 7 2" xfId="1349"/>
    <cellStyle name="Currency 4 4 8" xfId="1350"/>
    <cellStyle name="Currency 4 4 8 2" xfId="1351"/>
    <cellStyle name="Currency 4 4 9" xfId="1352"/>
    <cellStyle name="Currency 4 5" xfId="1353"/>
    <cellStyle name="Currency 4 5 2" xfId="1354"/>
    <cellStyle name="Currency 4 5 2 2" xfId="1355"/>
    <cellStyle name="Currency 4 5 2 2 2" xfId="1356"/>
    <cellStyle name="Currency 4 5 2 3" xfId="1357"/>
    <cellStyle name="Currency 4 5 3" xfId="1358"/>
    <cellStyle name="Currency 4 5 3 2" xfId="1359"/>
    <cellStyle name="Currency 4 5 3 2 2" xfId="1360"/>
    <cellStyle name="Currency 4 5 3 3" xfId="1361"/>
    <cellStyle name="Currency 4 5 4" xfId="1362"/>
    <cellStyle name="Currency 4 5 4 2" xfId="1363"/>
    <cellStyle name="Currency 4 5 4 2 2" xfId="1364"/>
    <cellStyle name="Currency 4 5 4 3" xfId="1365"/>
    <cellStyle name="Currency 4 5 5" xfId="1366"/>
    <cellStyle name="Currency 4 5 5 2" xfId="1367"/>
    <cellStyle name="Currency 4 5 5 2 2" xfId="1368"/>
    <cellStyle name="Currency 4 5 5 3" xfId="1369"/>
    <cellStyle name="Currency 4 5 6" xfId="1370"/>
    <cellStyle name="Currency 4 5 6 2" xfId="1371"/>
    <cellStyle name="Currency 4 5 7" xfId="1372"/>
    <cellStyle name="Currency 4 5 7 2" xfId="1373"/>
    <cellStyle name="Currency 4 5 8" xfId="1374"/>
    <cellStyle name="Currency 4 5 8 2" xfId="1375"/>
    <cellStyle name="Currency 4 5 9" xfId="1376"/>
    <cellStyle name="Currency 4 6" xfId="1377"/>
    <cellStyle name="Currency 4 6 2" xfId="1378"/>
    <cellStyle name="Currency 4 6 2 2" xfId="1379"/>
    <cellStyle name="Currency 4 6 3" xfId="1380"/>
    <cellStyle name="Currency 4 7" xfId="1381"/>
    <cellStyle name="Currency 4 7 2" xfId="1382"/>
    <cellStyle name="Currency 4 7 2 2" xfId="1383"/>
    <cellStyle name="Currency 4 7 3" xfId="1384"/>
    <cellStyle name="Currency 4 8" xfId="1385"/>
    <cellStyle name="Currency 4 8 2" xfId="1386"/>
    <cellStyle name="Currency 4 8 2 2" xfId="1387"/>
    <cellStyle name="Currency 4 8 3" xfId="1388"/>
    <cellStyle name="Currency 4 9" xfId="1389"/>
    <cellStyle name="Currency 4 9 2" xfId="1390"/>
    <cellStyle name="Currency 4 9 2 2" xfId="1391"/>
    <cellStyle name="Currency 4 9 3" xfId="1392"/>
    <cellStyle name="Currency 5" xfId="1393"/>
    <cellStyle name="Currency 5 10" xfId="1394"/>
    <cellStyle name="Currency 5 10 2" xfId="1395"/>
    <cellStyle name="Currency 5 11" xfId="1396"/>
    <cellStyle name="Currency 5 11 2" xfId="1397"/>
    <cellStyle name="Currency 5 12" xfId="1398"/>
    <cellStyle name="Currency 5 12 2" xfId="1399"/>
    <cellStyle name="Currency 5 13" xfId="1400"/>
    <cellStyle name="Currency 5 2" xfId="1401"/>
    <cellStyle name="Currency 5 2 10" xfId="1402"/>
    <cellStyle name="Currency 5 2 10 2" xfId="1403"/>
    <cellStyle name="Currency 5 2 11" xfId="1404"/>
    <cellStyle name="Currency 5 2 2" xfId="1405"/>
    <cellStyle name="Currency 5 2 2 2" xfId="1406"/>
    <cellStyle name="Currency 5 2 2 2 2" xfId="1407"/>
    <cellStyle name="Currency 5 2 2 2 2 2" xfId="1408"/>
    <cellStyle name="Currency 5 2 2 2 3" xfId="1409"/>
    <cellStyle name="Currency 5 2 2 3" xfId="1410"/>
    <cellStyle name="Currency 5 2 2 3 2" xfId="1411"/>
    <cellStyle name="Currency 5 2 2 3 2 2" xfId="1412"/>
    <cellStyle name="Currency 5 2 2 3 3" xfId="1413"/>
    <cellStyle name="Currency 5 2 2 4" xfId="1414"/>
    <cellStyle name="Currency 5 2 2 4 2" xfId="1415"/>
    <cellStyle name="Currency 5 2 2 4 2 2" xfId="1416"/>
    <cellStyle name="Currency 5 2 2 4 3" xfId="1417"/>
    <cellStyle name="Currency 5 2 2 5" xfId="1418"/>
    <cellStyle name="Currency 5 2 2 5 2" xfId="1419"/>
    <cellStyle name="Currency 5 2 2 5 2 2" xfId="1420"/>
    <cellStyle name="Currency 5 2 2 5 3" xfId="1421"/>
    <cellStyle name="Currency 5 2 2 6" xfId="1422"/>
    <cellStyle name="Currency 5 2 2 6 2" xfId="1423"/>
    <cellStyle name="Currency 5 2 2 7" xfId="1424"/>
    <cellStyle name="Currency 5 2 2 7 2" xfId="1425"/>
    <cellStyle name="Currency 5 2 2 8" xfId="1426"/>
    <cellStyle name="Currency 5 2 2 8 2" xfId="1427"/>
    <cellStyle name="Currency 5 2 2 9" xfId="1428"/>
    <cellStyle name="Currency 5 2 3" xfId="1429"/>
    <cellStyle name="Currency 5 2 3 2" xfId="1430"/>
    <cellStyle name="Currency 5 2 3 2 2" xfId="1431"/>
    <cellStyle name="Currency 5 2 3 2 2 2" xfId="1432"/>
    <cellStyle name="Currency 5 2 3 2 3" xfId="1433"/>
    <cellStyle name="Currency 5 2 3 3" xfId="1434"/>
    <cellStyle name="Currency 5 2 3 3 2" xfId="1435"/>
    <cellStyle name="Currency 5 2 3 3 2 2" xfId="1436"/>
    <cellStyle name="Currency 5 2 3 3 3" xfId="1437"/>
    <cellStyle name="Currency 5 2 3 4" xfId="1438"/>
    <cellStyle name="Currency 5 2 3 4 2" xfId="1439"/>
    <cellStyle name="Currency 5 2 3 4 2 2" xfId="1440"/>
    <cellStyle name="Currency 5 2 3 4 3" xfId="1441"/>
    <cellStyle name="Currency 5 2 3 5" xfId="1442"/>
    <cellStyle name="Currency 5 2 3 5 2" xfId="1443"/>
    <cellStyle name="Currency 5 2 3 5 2 2" xfId="1444"/>
    <cellStyle name="Currency 5 2 3 5 3" xfId="1445"/>
    <cellStyle name="Currency 5 2 3 6" xfId="1446"/>
    <cellStyle name="Currency 5 2 3 6 2" xfId="1447"/>
    <cellStyle name="Currency 5 2 3 7" xfId="1448"/>
    <cellStyle name="Currency 5 2 3 7 2" xfId="1449"/>
    <cellStyle name="Currency 5 2 3 8" xfId="1450"/>
    <cellStyle name="Currency 5 2 3 8 2" xfId="1451"/>
    <cellStyle name="Currency 5 2 3 9" xfId="1452"/>
    <cellStyle name="Currency 5 2 4" xfId="1453"/>
    <cellStyle name="Currency 5 2 4 2" xfId="1454"/>
    <cellStyle name="Currency 5 2 4 2 2" xfId="1455"/>
    <cellStyle name="Currency 5 2 4 3" xfId="1456"/>
    <cellStyle name="Currency 5 2 5" xfId="1457"/>
    <cellStyle name="Currency 5 2 5 2" xfId="1458"/>
    <cellStyle name="Currency 5 2 5 2 2" xfId="1459"/>
    <cellStyle name="Currency 5 2 5 3" xfId="1460"/>
    <cellStyle name="Currency 5 2 6" xfId="1461"/>
    <cellStyle name="Currency 5 2 6 2" xfId="1462"/>
    <cellStyle name="Currency 5 2 6 2 2" xfId="1463"/>
    <cellStyle name="Currency 5 2 6 3" xfId="1464"/>
    <cellStyle name="Currency 5 2 7" xfId="1465"/>
    <cellStyle name="Currency 5 2 7 2" xfId="1466"/>
    <cellStyle name="Currency 5 2 7 2 2" xfId="1467"/>
    <cellStyle name="Currency 5 2 7 3" xfId="1468"/>
    <cellStyle name="Currency 5 2 8" xfId="1469"/>
    <cellStyle name="Currency 5 2 8 2" xfId="1470"/>
    <cellStyle name="Currency 5 2 9" xfId="1471"/>
    <cellStyle name="Currency 5 2 9 2" xfId="1472"/>
    <cellStyle name="Currency 5 3" xfId="1473"/>
    <cellStyle name="Currency 5 3 2" xfId="1474"/>
    <cellStyle name="Currency 5 3 2 2" xfId="1475"/>
    <cellStyle name="Currency 5 3 2 2 2" xfId="1476"/>
    <cellStyle name="Currency 5 3 2 3" xfId="1477"/>
    <cellStyle name="Currency 5 3 3" xfId="1478"/>
    <cellStyle name="Currency 5 3 3 2" xfId="1479"/>
    <cellStyle name="Currency 5 3 3 2 2" xfId="1480"/>
    <cellStyle name="Currency 5 3 3 3" xfId="1481"/>
    <cellStyle name="Currency 5 3 4" xfId="1482"/>
    <cellStyle name="Currency 5 3 4 2" xfId="1483"/>
    <cellStyle name="Currency 5 3 4 2 2" xfId="1484"/>
    <cellStyle name="Currency 5 3 4 3" xfId="1485"/>
    <cellStyle name="Currency 5 3 5" xfId="1486"/>
    <cellStyle name="Currency 5 3 5 2" xfId="1487"/>
    <cellStyle name="Currency 5 3 5 2 2" xfId="1488"/>
    <cellStyle name="Currency 5 3 5 3" xfId="1489"/>
    <cellStyle name="Currency 5 3 6" xfId="1490"/>
    <cellStyle name="Currency 5 3 6 2" xfId="1491"/>
    <cellStyle name="Currency 5 3 7" xfId="1492"/>
    <cellStyle name="Currency 5 3 7 2" xfId="1493"/>
    <cellStyle name="Currency 5 3 8" xfId="1494"/>
    <cellStyle name="Currency 5 3 8 2" xfId="1495"/>
    <cellStyle name="Currency 5 3 9" xfId="1496"/>
    <cellStyle name="Currency 5 4" xfId="1497"/>
    <cellStyle name="Currency 5 4 2" xfId="1498"/>
    <cellStyle name="Currency 5 4 2 2" xfId="1499"/>
    <cellStyle name="Currency 5 4 2 2 2" xfId="1500"/>
    <cellStyle name="Currency 5 4 2 3" xfId="1501"/>
    <cellStyle name="Currency 5 4 3" xfId="1502"/>
    <cellStyle name="Currency 5 4 3 2" xfId="1503"/>
    <cellStyle name="Currency 5 4 3 2 2" xfId="1504"/>
    <cellStyle name="Currency 5 4 3 3" xfId="1505"/>
    <cellStyle name="Currency 5 4 4" xfId="1506"/>
    <cellStyle name="Currency 5 4 4 2" xfId="1507"/>
    <cellStyle name="Currency 5 4 4 2 2" xfId="1508"/>
    <cellStyle name="Currency 5 4 4 3" xfId="1509"/>
    <cellStyle name="Currency 5 4 5" xfId="1510"/>
    <cellStyle name="Currency 5 4 5 2" xfId="1511"/>
    <cellStyle name="Currency 5 4 5 2 2" xfId="1512"/>
    <cellStyle name="Currency 5 4 5 3" xfId="1513"/>
    <cellStyle name="Currency 5 4 6" xfId="1514"/>
    <cellStyle name="Currency 5 4 6 2" xfId="1515"/>
    <cellStyle name="Currency 5 4 7" xfId="1516"/>
    <cellStyle name="Currency 5 4 7 2" xfId="1517"/>
    <cellStyle name="Currency 5 4 8" xfId="1518"/>
    <cellStyle name="Currency 5 4 8 2" xfId="1519"/>
    <cellStyle name="Currency 5 4 9" xfId="1520"/>
    <cellStyle name="Currency 5 5" xfId="1521"/>
    <cellStyle name="Currency 5 5 2" xfId="1522"/>
    <cellStyle name="Currency 5 5 2 2" xfId="1523"/>
    <cellStyle name="Currency 5 5 2 2 2" xfId="1524"/>
    <cellStyle name="Currency 5 5 2 3" xfId="1525"/>
    <cellStyle name="Currency 5 5 3" xfId="1526"/>
    <cellStyle name="Currency 5 5 3 2" xfId="1527"/>
    <cellStyle name="Currency 5 5 3 2 2" xfId="1528"/>
    <cellStyle name="Currency 5 5 3 3" xfId="1529"/>
    <cellStyle name="Currency 5 5 4" xfId="1530"/>
    <cellStyle name="Currency 5 5 4 2" xfId="1531"/>
    <cellStyle name="Currency 5 5 4 2 2" xfId="1532"/>
    <cellStyle name="Currency 5 5 4 3" xfId="1533"/>
    <cellStyle name="Currency 5 5 5" xfId="1534"/>
    <cellStyle name="Currency 5 5 5 2" xfId="1535"/>
    <cellStyle name="Currency 5 5 5 2 2" xfId="1536"/>
    <cellStyle name="Currency 5 5 5 3" xfId="1537"/>
    <cellStyle name="Currency 5 5 6" xfId="1538"/>
    <cellStyle name="Currency 5 5 6 2" xfId="1539"/>
    <cellStyle name="Currency 5 5 7" xfId="1540"/>
    <cellStyle name="Currency 5 5 7 2" xfId="1541"/>
    <cellStyle name="Currency 5 5 8" xfId="1542"/>
    <cellStyle name="Currency 5 5 8 2" xfId="1543"/>
    <cellStyle name="Currency 5 5 9" xfId="1544"/>
    <cellStyle name="Currency 5 6" xfId="1545"/>
    <cellStyle name="Currency 5 6 2" xfId="1546"/>
    <cellStyle name="Currency 5 6 2 2" xfId="1547"/>
    <cellStyle name="Currency 5 6 3" xfId="1548"/>
    <cellStyle name="Currency 5 7" xfId="1549"/>
    <cellStyle name="Currency 5 7 2" xfId="1550"/>
    <cellStyle name="Currency 5 7 2 2" xfId="1551"/>
    <cellStyle name="Currency 5 7 3" xfId="1552"/>
    <cellStyle name="Currency 5 8" xfId="1553"/>
    <cellStyle name="Currency 5 8 2" xfId="1554"/>
    <cellStyle name="Currency 5 8 2 2" xfId="1555"/>
    <cellStyle name="Currency 5 8 3" xfId="1556"/>
    <cellStyle name="Currency 5 9" xfId="1557"/>
    <cellStyle name="Currency 5 9 2" xfId="1558"/>
    <cellStyle name="Currency 5 9 2 2" xfId="1559"/>
    <cellStyle name="Currency 5 9 3" xfId="1560"/>
    <cellStyle name="Currency 6" xfId="1561"/>
    <cellStyle name="Currency 6 10" xfId="1562"/>
    <cellStyle name="Currency 6 10 2" xfId="1563"/>
    <cellStyle name="Currency 6 11" xfId="1564"/>
    <cellStyle name="Currency 6 2" xfId="1565"/>
    <cellStyle name="Currency 6 2 2" xfId="1566"/>
    <cellStyle name="Currency 6 2 2 2" xfId="1567"/>
    <cellStyle name="Currency 6 2 2 2 2" xfId="1568"/>
    <cellStyle name="Currency 6 2 2 3" xfId="1569"/>
    <cellStyle name="Currency 6 2 3" xfId="1570"/>
    <cellStyle name="Currency 6 2 3 2" xfId="1571"/>
    <cellStyle name="Currency 6 2 3 2 2" xfId="1572"/>
    <cellStyle name="Currency 6 2 3 3" xfId="1573"/>
    <cellStyle name="Currency 6 2 4" xfId="1574"/>
    <cellStyle name="Currency 6 2 4 2" xfId="1575"/>
    <cellStyle name="Currency 6 2 4 2 2" xfId="1576"/>
    <cellStyle name="Currency 6 2 4 3" xfId="1577"/>
    <cellStyle name="Currency 6 2 5" xfId="1578"/>
    <cellStyle name="Currency 6 2 5 2" xfId="1579"/>
    <cellStyle name="Currency 6 2 5 2 2" xfId="1580"/>
    <cellStyle name="Currency 6 2 5 3" xfId="1581"/>
    <cellStyle name="Currency 6 2 6" xfId="1582"/>
    <cellStyle name="Currency 6 2 6 2" xfId="1583"/>
    <cellStyle name="Currency 6 2 7" xfId="1584"/>
    <cellStyle name="Currency 6 2 7 2" xfId="1585"/>
    <cellStyle name="Currency 6 2 8" xfId="1586"/>
    <cellStyle name="Currency 6 2 8 2" xfId="1587"/>
    <cellStyle name="Currency 6 2 9" xfId="1588"/>
    <cellStyle name="Currency 6 3" xfId="1589"/>
    <cellStyle name="Currency 6 3 2" xfId="1590"/>
    <cellStyle name="Currency 6 3 2 2" xfId="1591"/>
    <cellStyle name="Currency 6 3 2 2 2" xfId="1592"/>
    <cellStyle name="Currency 6 3 2 3" xfId="1593"/>
    <cellStyle name="Currency 6 3 3" xfId="1594"/>
    <cellStyle name="Currency 6 3 3 2" xfId="1595"/>
    <cellStyle name="Currency 6 3 3 2 2" xfId="1596"/>
    <cellStyle name="Currency 6 3 3 3" xfId="1597"/>
    <cellStyle name="Currency 6 3 4" xfId="1598"/>
    <cellStyle name="Currency 6 3 4 2" xfId="1599"/>
    <cellStyle name="Currency 6 3 4 2 2" xfId="1600"/>
    <cellStyle name="Currency 6 3 4 3" xfId="1601"/>
    <cellStyle name="Currency 6 3 5" xfId="1602"/>
    <cellStyle name="Currency 6 3 5 2" xfId="1603"/>
    <cellStyle name="Currency 6 3 5 2 2" xfId="1604"/>
    <cellStyle name="Currency 6 3 5 3" xfId="1605"/>
    <cellStyle name="Currency 6 3 6" xfId="1606"/>
    <cellStyle name="Currency 6 3 6 2" xfId="1607"/>
    <cellStyle name="Currency 6 3 7" xfId="1608"/>
    <cellStyle name="Currency 6 3 7 2" xfId="1609"/>
    <cellStyle name="Currency 6 3 8" xfId="1610"/>
    <cellStyle name="Currency 6 3 8 2" xfId="1611"/>
    <cellStyle name="Currency 6 3 9" xfId="1612"/>
    <cellStyle name="Currency 6 4" xfId="1613"/>
    <cellStyle name="Currency 6 4 2" xfId="1614"/>
    <cellStyle name="Currency 6 4 2 2" xfId="1615"/>
    <cellStyle name="Currency 6 4 3" xfId="1616"/>
    <cellStyle name="Currency 6 5" xfId="1617"/>
    <cellStyle name="Currency 6 5 2" xfId="1618"/>
    <cellStyle name="Currency 6 5 2 2" xfId="1619"/>
    <cellStyle name="Currency 6 5 3" xfId="1620"/>
    <cellStyle name="Currency 6 6" xfId="1621"/>
    <cellStyle name="Currency 6 6 2" xfId="1622"/>
    <cellStyle name="Currency 6 6 2 2" xfId="1623"/>
    <cellStyle name="Currency 6 6 3" xfId="1624"/>
    <cellStyle name="Currency 6 7" xfId="1625"/>
    <cellStyle name="Currency 6 7 2" xfId="1626"/>
    <cellStyle name="Currency 6 7 2 2" xfId="1627"/>
    <cellStyle name="Currency 6 7 3" xfId="1628"/>
    <cellStyle name="Currency 6 8" xfId="1629"/>
    <cellStyle name="Currency 6 8 2" xfId="1630"/>
    <cellStyle name="Currency 6 9" xfId="1631"/>
    <cellStyle name="Currency 6 9 2" xfId="1632"/>
    <cellStyle name="Currency 7" xfId="1633"/>
    <cellStyle name="Currency 8" xfId="1634"/>
    <cellStyle name="Currency 8 2" xfId="1635"/>
    <cellStyle name="Currency 8 2 2" xfId="1636"/>
    <cellStyle name="Currency 8 2 2 2" xfId="1637"/>
    <cellStyle name="Currency 8 2 3" xfId="1638"/>
    <cellStyle name="Currency 8 3" xfId="1639"/>
    <cellStyle name="Currency 8 3 2" xfId="1640"/>
    <cellStyle name="Currency 8 3 2 2" xfId="1641"/>
    <cellStyle name="Currency 8 3 3" xfId="1642"/>
    <cellStyle name="Currency 8 4" xfId="1643"/>
    <cellStyle name="Currency 8 4 2" xfId="1644"/>
    <cellStyle name="Currency 8 4 2 2" xfId="1645"/>
    <cellStyle name="Currency 8 4 3" xfId="1646"/>
    <cellStyle name="Currency 8 5" xfId="1647"/>
    <cellStyle name="Currency 8 5 2" xfId="1648"/>
    <cellStyle name="Currency 8 5 2 2" xfId="1649"/>
    <cellStyle name="Currency 8 5 3" xfId="1650"/>
    <cellStyle name="Currency 8 6" xfId="1651"/>
    <cellStyle name="Currency 8 6 2" xfId="1652"/>
    <cellStyle name="Currency 8 7" xfId="1653"/>
    <cellStyle name="Currency 8 7 2" xfId="1654"/>
    <cellStyle name="Currency 8 8" xfId="1655"/>
    <cellStyle name="Currency 8 8 2" xfId="1656"/>
    <cellStyle name="Currency 8 9" xfId="1657"/>
    <cellStyle name="Currency 9" xfId="1658"/>
    <cellStyle name="Explanatory Text" xfId="72" builtinId="53" customBuiltin="1"/>
    <cellStyle name="Explanatory Text 2" xfId="1659"/>
    <cellStyle name="Good" xfId="62" builtinId="26" customBuiltin="1"/>
    <cellStyle name="Good 2" xfId="1660"/>
    <cellStyle name="Heading 1" xfId="58" builtinId="16" customBuiltin="1"/>
    <cellStyle name="Heading 1 2" xfId="1661"/>
    <cellStyle name="Heading 2" xfId="59" builtinId="17" customBuiltin="1"/>
    <cellStyle name="Heading 2 2" xfId="1662"/>
    <cellStyle name="Heading 3" xfId="60" builtinId="18" customBuiltin="1"/>
    <cellStyle name="Heading 3 2" xfId="1663"/>
    <cellStyle name="Heading 4" xfId="61" builtinId="19" customBuiltin="1"/>
    <cellStyle name="Heading 4 2" xfId="1664"/>
    <cellStyle name="Hyperlink 2" xfId="1665"/>
    <cellStyle name="Input" xfId="65" builtinId="20" customBuiltin="1"/>
    <cellStyle name="Input 2" xfId="1666"/>
    <cellStyle name="Input 2 10" xfId="3498"/>
    <cellStyle name="Input 2 2" xfId="1667"/>
    <cellStyle name="Input 2 2 2" xfId="3502"/>
    <cellStyle name="Input 2 2 2 2" xfId="3714"/>
    <cellStyle name="Input 2 2 3" xfId="3492"/>
    <cellStyle name="Input 2 2 3 2" xfId="3708"/>
    <cellStyle name="Input 2 2 4" xfId="3596"/>
    <cellStyle name="Input 2 2 4 2" xfId="3776"/>
    <cellStyle name="Input 2 2 5" xfId="3488"/>
    <cellStyle name="Input 2 2 5 2" xfId="3704"/>
    <cellStyle name="Input 2 2 6" xfId="3484"/>
    <cellStyle name="Input 2 2 6 2" xfId="3700"/>
    <cellStyle name="Input 2 2 7" xfId="3497"/>
    <cellStyle name="Input 2 3" xfId="1668"/>
    <cellStyle name="Input 2 3 2" xfId="3501"/>
    <cellStyle name="Input 2 3 2 2" xfId="3713"/>
    <cellStyle name="Input 2 3 3" xfId="3493"/>
    <cellStyle name="Input 2 3 3 2" xfId="3709"/>
    <cellStyle name="Input 2 3 4" xfId="3504"/>
    <cellStyle name="Input 2 3 4 2" xfId="3716"/>
    <cellStyle name="Input 2 3 5" xfId="3489"/>
    <cellStyle name="Input 2 3 5 2" xfId="3705"/>
    <cellStyle name="Input 2 3 6" xfId="3485"/>
    <cellStyle name="Input 2 3 6 2" xfId="3701"/>
    <cellStyle name="Input 2 3 7" xfId="3496"/>
    <cellStyle name="Input 2 4" xfId="1669"/>
    <cellStyle name="Input 2 4 2" xfId="3500"/>
    <cellStyle name="Input 2 4 2 2" xfId="3712"/>
    <cellStyle name="Input 2 4 3" xfId="3494"/>
    <cellStyle name="Input 2 4 3 2" xfId="3710"/>
    <cellStyle name="Input 2 4 4" xfId="3499"/>
    <cellStyle name="Input 2 4 4 2" xfId="3711"/>
    <cellStyle name="Input 2 4 5" xfId="3490"/>
    <cellStyle name="Input 2 4 5 2" xfId="3706"/>
    <cellStyle name="Input 2 4 6" xfId="3486"/>
    <cellStyle name="Input 2 4 6 2" xfId="3702"/>
    <cellStyle name="Input 2 4 7" xfId="3495"/>
    <cellStyle name="Input 2 5" xfId="3503"/>
    <cellStyle name="Input 2 5 2" xfId="3715"/>
    <cellStyle name="Input 2 6" xfId="3491"/>
    <cellStyle name="Input 2 6 2" xfId="3707"/>
    <cellStyle name="Input 2 7" xfId="3505"/>
    <cellStyle name="Input 2 7 2" xfId="3717"/>
    <cellStyle name="Input 2 8" xfId="3487"/>
    <cellStyle name="Input 2 8 2" xfId="3703"/>
    <cellStyle name="Input 2 9" xfId="3483"/>
    <cellStyle name="Input 2 9 2" xfId="3699"/>
    <cellStyle name="Linked Cell" xfId="68" builtinId="24" customBuiltin="1"/>
    <cellStyle name="Linked Cell 2" xfId="1670"/>
    <cellStyle name="Neutral" xfId="64" builtinId="28" customBuiltin="1"/>
    <cellStyle name="Neutral 2" xfId="1671"/>
    <cellStyle name="Normal" xfId="0" builtinId="0"/>
    <cellStyle name="Normal 10" xfId="1"/>
    <cellStyle name="Normal 10 10" xfId="1672"/>
    <cellStyle name="Normal 10 2" xfId="47"/>
    <cellStyle name="Normal 10 2 2" xfId="1674"/>
    <cellStyle name="Normal 10 2 2 2" xfId="1675"/>
    <cellStyle name="Normal 10 2 3" xfId="1676"/>
    <cellStyle name="Normal 10 2 4" xfId="1673"/>
    <cellStyle name="Normal 10 3" xfId="1677"/>
    <cellStyle name="Normal 10 3 2" xfId="1678"/>
    <cellStyle name="Normal 10 3 2 2" xfId="1679"/>
    <cellStyle name="Normal 10 3 3" xfId="1680"/>
    <cellStyle name="Normal 10 4" xfId="1681"/>
    <cellStyle name="Normal 10 4 2" xfId="1682"/>
    <cellStyle name="Normal 10 4 2 2" xfId="1683"/>
    <cellStyle name="Normal 10 4 3" xfId="1684"/>
    <cellStyle name="Normal 10 5" xfId="1685"/>
    <cellStyle name="Normal 10 5 2" xfId="1686"/>
    <cellStyle name="Normal 10 5 2 2" xfId="1687"/>
    <cellStyle name="Normal 10 5 3" xfId="1688"/>
    <cellStyle name="Normal 10 6" xfId="1689"/>
    <cellStyle name="Normal 10 6 2" xfId="1690"/>
    <cellStyle name="Normal 10 7" xfId="1691"/>
    <cellStyle name="Normal 10 7 2" xfId="1692"/>
    <cellStyle name="Normal 10 8" xfId="1693"/>
    <cellStyle name="Normal 10 8 2" xfId="1694"/>
    <cellStyle name="Normal 10 9" xfId="1695"/>
    <cellStyle name="Normal 11" xfId="48"/>
    <cellStyle name="Normal 11 10" xfId="1696"/>
    <cellStyle name="Normal 11 2" xfId="1697"/>
    <cellStyle name="Normal 11 2 2" xfId="1698"/>
    <cellStyle name="Normal 11 2 2 2" xfId="1699"/>
    <cellStyle name="Normal 11 2 3" xfId="1700"/>
    <cellStyle name="Normal 11 3" xfId="1701"/>
    <cellStyle name="Normal 11 3 2" xfId="1702"/>
    <cellStyle name="Normal 11 3 2 2" xfId="1703"/>
    <cellStyle name="Normal 11 3 3" xfId="1704"/>
    <cellStyle name="Normal 11 4" xfId="1705"/>
    <cellStyle name="Normal 11 4 2" xfId="1706"/>
    <cellStyle name="Normal 11 4 2 2" xfId="1707"/>
    <cellStyle name="Normal 11 4 3" xfId="1708"/>
    <cellStyle name="Normal 11 5" xfId="1709"/>
    <cellStyle name="Normal 11 5 2" xfId="1710"/>
    <cellStyle name="Normal 11 5 2 2" xfId="1711"/>
    <cellStyle name="Normal 11 5 3" xfId="1712"/>
    <cellStyle name="Normal 11 6" xfId="1713"/>
    <cellStyle name="Normal 11 6 2" xfId="1714"/>
    <cellStyle name="Normal 11 7" xfId="1715"/>
    <cellStyle name="Normal 11 7 2" xfId="1716"/>
    <cellStyle name="Normal 11 8" xfId="1717"/>
    <cellStyle name="Normal 11 8 2" xfId="1718"/>
    <cellStyle name="Normal 11 9" xfId="1719"/>
    <cellStyle name="Normal 12" xfId="1720"/>
    <cellStyle name="Normal 12 2" xfId="1721"/>
    <cellStyle name="Normal 12 2 2" xfId="1722"/>
    <cellStyle name="Normal 12 2 2 2" xfId="1723"/>
    <cellStyle name="Normal 12 2 3" xfId="1724"/>
    <cellStyle name="Normal 12 3" xfId="1725"/>
    <cellStyle name="Normal 12 3 2" xfId="1726"/>
    <cellStyle name="Normal 12 3 2 2" xfId="1727"/>
    <cellStyle name="Normal 12 3 3" xfId="1728"/>
    <cellStyle name="Normal 12 4" xfId="1729"/>
    <cellStyle name="Normal 12 4 2" xfId="1730"/>
    <cellStyle name="Normal 12 4 2 2" xfId="1731"/>
    <cellStyle name="Normal 12 4 3" xfId="1732"/>
    <cellStyle name="Normal 12 5" xfId="1733"/>
    <cellStyle name="Normal 12 5 2" xfId="1734"/>
    <cellStyle name="Normal 12 5 2 2" xfId="1735"/>
    <cellStyle name="Normal 12 5 3" xfId="1736"/>
    <cellStyle name="Normal 12 6" xfId="1737"/>
    <cellStyle name="Normal 12 6 2" xfId="1738"/>
    <cellStyle name="Normal 12 7" xfId="1739"/>
    <cellStyle name="Normal 12 7 2" xfId="1740"/>
    <cellStyle name="Normal 12 8" xfId="1741"/>
    <cellStyle name="Normal 12 8 2" xfId="1742"/>
    <cellStyle name="Normal 12 9" xfId="1743"/>
    <cellStyle name="Normal 13" xfId="9"/>
    <cellStyle name="Normal 13 10" xfId="1744"/>
    <cellStyle name="Normal 13 2" xfId="1745"/>
    <cellStyle name="Normal 13 2 2" xfId="1746"/>
    <cellStyle name="Normal 13 2 2 2" xfId="1747"/>
    <cellStyle name="Normal 13 2 3" xfId="1748"/>
    <cellStyle name="Normal 13 3" xfId="1749"/>
    <cellStyle name="Normal 13 3 2" xfId="1750"/>
    <cellStyle name="Normal 13 3 2 2" xfId="1751"/>
    <cellStyle name="Normal 13 3 3" xfId="1752"/>
    <cellStyle name="Normal 13 4" xfId="1753"/>
    <cellStyle name="Normal 13 4 2" xfId="1754"/>
    <cellStyle name="Normal 13 4 2 2" xfId="1755"/>
    <cellStyle name="Normal 13 4 3" xfId="1756"/>
    <cellStyle name="Normal 13 5" xfId="1757"/>
    <cellStyle name="Normal 13 5 2" xfId="1758"/>
    <cellStyle name="Normal 13 5 2 2" xfId="1759"/>
    <cellStyle name="Normal 13 5 3" xfId="1760"/>
    <cellStyle name="Normal 13 6" xfId="1761"/>
    <cellStyle name="Normal 13 6 2" xfId="1762"/>
    <cellStyle name="Normal 13 7" xfId="1763"/>
    <cellStyle name="Normal 13 7 2" xfId="1764"/>
    <cellStyle name="Normal 13 8" xfId="1765"/>
    <cellStyle name="Normal 13 8 2" xfId="1766"/>
    <cellStyle name="Normal 13 9" xfId="1767"/>
    <cellStyle name="Normal 14" xfId="10"/>
    <cellStyle name="Normal 14 10" xfId="1768"/>
    <cellStyle name="Normal 14 2" xfId="1769"/>
    <cellStyle name="Normal 14 2 2" xfId="1770"/>
    <cellStyle name="Normal 14 2 2 2" xfId="1771"/>
    <cellStyle name="Normal 14 2 3" xfId="1772"/>
    <cellStyle name="Normal 14 3" xfId="1773"/>
    <cellStyle name="Normal 14 3 2" xfId="1774"/>
    <cellStyle name="Normal 14 3 2 2" xfId="1775"/>
    <cellStyle name="Normal 14 3 3" xfId="1776"/>
    <cellStyle name="Normal 14 4" xfId="1777"/>
    <cellStyle name="Normal 14 4 2" xfId="1778"/>
    <cellStyle name="Normal 14 4 2 2" xfId="1779"/>
    <cellStyle name="Normal 14 4 3" xfId="1780"/>
    <cellStyle name="Normal 14 5" xfId="1781"/>
    <cellStyle name="Normal 14 5 2" xfId="1782"/>
    <cellStyle name="Normal 14 5 2 2" xfId="1783"/>
    <cellStyle name="Normal 14 5 3" xfId="1784"/>
    <cellStyle name="Normal 14 6" xfId="1785"/>
    <cellStyle name="Normal 14 6 2" xfId="1786"/>
    <cellStyle name="Normal 14 7" xfId="1787"/>
    <cellStyle name="Normal 14 7 2" xfId="1788"/>
    <cellStyle name="Normal 14 8" xfId="1789"/>
    <cellStyle name="Normal 14 8 2" xfId="1790"/>
    <cellStyle name="Normal 14 9" xfId="1791"/>
    <cellStyle name="Normal 15" xfId="11"/>
    <cellStyle name="Normal 15 10" xfId="1792"/>
    <cellStyle name="Normal 15 2" xfId="1793"/>
    <cellStyle name="Normal 15 2 2" xfId="1794"/>
    <cellStyle name="Normal 15 2 2 2" xfId="1795"/>
    <cellStyle name="Normal 15 2 3" xfId="1796"/>
    <cellStyle name="Normal 15 3" xfId="1797"/>
    <cellStyle name="Normal 15 3 2" xfId="1798"/>
    <cellStyle name="Normal 15 3 2 2" xfId="1799"/>
    <cellStyle name="Normal 15 3 3" xfId="1800"/>
    <cellStyle name="Normal 15 4" xfId="1801"/>
    <cellStyle name="Normal 15 4 2" xfId="1802"/>
    <cellStyle name="Normal 15 4 2 2" xfId="1803"/>
    <cellStyle name="Normal 15 4 3" xfId="1804"/>
    <cellStyle name="Normal 15 5" xfId="1805"/>
    <cellStyle name="Normal 15 5 2" xfId="1806"/>
    <cellStyle name="Normal 15 5 2 2" xfId="1807"/>
    <cellStyle name="Normal 15 5 3" xfId="1808"/>
    <cellStyle name="Normal 15 6" xfId="1809"/>
    <cellStyle name="Normal 15 6 2" xfId="1810"/>
    <cellStyle name="Normal 15 7" xfId="1811"/>
    <cellStyle name="Normal 15 7 2" xfId="1812"/>
    <cellStyle name="Normal 15 8" xfId="1813"/>
    <cellStyle name="Normal 15 8 2" xfId="1814"/>
    <cellStyle name="Normal 15 9" xfId="1815"/>
    <cellStyle name="Normal 16" xfId="13"/>
    <cellStyle name="Normal 16 10" xfId="1816"/>
    <cellStyle name="Normal 16 2" xfId="1817"/>
    <cellStyle name="Normal 16 2 2" xfId="1818"/>
    <cellStyle name="Normal 16 2 2 2" xfId="1819"/>
    <cellStyle name="Normal 16 2 3" xfId="1820"/>
    <cellStyle name="Normal 16 3" xfId="1821"/>
    <cellStyle name="Normal 16 3 2" xfId="1822"/>
    <cellStyle name="Normal 16 3 2 2" xfId="1823"/>
    <cellStyle name="Normal 16 3 3" xfId="1824"/>
    <cellStyle name="Normal 16 4" xfId="1825"/>
    <cellStyle name="Normal 16 4 2" xfId="1826"/>
    <cellStyle name="Normal 16 4 2 2" xfId="1827"/>
    <cellStyle name="Normal 16 4 3" xfId="1828"/>
    <cellStyle name="Normal 16 5" xfId="1829"/>
    <cellStyle name="Normal 16 5 2" xfId="1830"/>
    <cellStyle name="Normal 16 5 2 2" xfId="1831"/>
    <cellStyle name="Normal 16 5 3" xfId="1832"/>
    <cellStyle name="Normal 16 6" xfId="1833"/>
    <cellStyle name="Normal 16 6 2" xfId="1834"/>
    <cellStyle name="Normal 16 7" xfId="1835"/>
    <cellStyle name="Normal 16 7 2" xfId="1836"/>
    <cellStyle name="Normal 16 8" xfId="1837"/>
    <cellStyle name="Normal 16 8 2" xfId="1838"/>
    <cellStyle name="Normal 16 9" xfId="1839"/>
    <cellStyle name="Normal 17" xfId="14"/>
    <cellStyle name="Normal 17 10" xfId="1840"/>
    <cellStyle name="Normal 17 2" xfId="43"/>
    <cellStyle name="Normal 17 2 2" xfId="1842"/>
    <cellStyle name="Normal 17 2 2 2" xfId="1843"/>
    <cellStyle name="Normal 17 2 3" xfId="1844"/>
    <cellStyle name="Normal 17 2 4" xfId="1841"/>
    <cellStyle name="Normal 17 3" xfId="1845"/>
    <cellStyle name="Normal 17 3 2" xfId="1846"/>
    <cellStyle name="Normal 17 3 2 2" xfId="1847"/>
    <cellStyle name="Normal 17 3 3" xfId="1848"/>
    <cellStyle name="Normal 17 4" xfId="1849"/>
    <cellStyle name="Normal 17 4 2" xfId="1850"/>
    <cellStyle name="Normal 17 4 2 2" xfId="1851"/>
    <cellStyle name="Normal 17 4 3" xfId="1852"/>
    <cellStyle name="Normal 17 5" xfId="1853"/>
    <cellStyle name="Normal 17 5 2" xfId="1854"/>
    <cellStyle name="Normal 17 5 2 2" xfId="1855"/>
    <cellStyle name="Normal 17 5 3" xfId="1856"/>
    <cellStyle name="Normal 17 6" xfId="1857"/>
    <cellStyle name="Normal 17 6 2" xfId="1858"/>
    <cellStyle name="Normal 17 7" xfId="1859"/>
    <cellStyle name="Normal 17 7 2" xfId="1860"/>
    <cellStyle name="Normal 17 8" xfId="1861"/>
    <cellStyle name="Normal 17 8 2" xfId="1862"/>
    <cellStyle name="Normal 17 9" xfId="1863"/>
    <cellStyle name="Normal 18" xfId="15"/>
    <cellStyle name="Normal 18 10" xfId="1864"/>
    <cellStyle name="Normal 18 2" xfId="44"/>
    <cellStyle name="Normal 18 2 2" xfId="1866"/>
    <cellStyle name="Normal 18 2 2 2" xfId="1867"/>
    <cellStyle name="Normal 18 2 3" xfId="1868"/>
    <cellStyle name="Normal 18 2 4" xfId="1865"/>
    <cellStyle name="Normal 18 3" xfId="1869"/>
    <cellStyle name="Normal 18 3 2" xfId="1870"/>
    <cellStyle name="Normal 18 3 2 2" xfId="1871"/>
    <cellStyle name="Normal 18 3 3" xfId="1872"/>
    <cellStyle name="Normal 18 4" xfId="1873"/>
    <cellStyle name="Normal 18 4 2" xfId="1874"/>
    <cellStyle name="Normal 18 4 2 2" xfId="1875"/>
    <cellStyle name="Normal 18 4 3" xfId="1876"/>
    <cellStyle name="Normal 18 5" xfId="1877"/>
    <cellStyle name="Normal 18 5 2" xfId="1878"/>
    <cellStyle name="Normal 18 5 2 2" xfId="1879"/>
    <cellStyle name="Normal 18 5 3" xfId="1880"/>
    <cellStyle name="Normal 18 6" xfId="1881"/>
    <cellStyle name="Normal 18 6 2" xfId="1882"/>
    <cellStyle name="Normal 18 7" xfId="1883"/>
    <cellStyle name="Normal 18 7 2" xfId="1884"/>
    <cellStyle name="Normal 18 8" xfId="1885"/>
    <cellStyle name="Normal 18 8 2" xfId="1886"/>
    <cellStyle name="Normal 18 9" xfId="1887"/>
    <cellStyle name="Normal 19" xfId="16"/>
    <cellStyle name="Normal 19 2" xfId="45"/>
    <cellStyle name="Normal 19 3" xfId="1888"/>
    <cellStyle name="Normal 2" xfId="30"/>
    <cellStyle name="Normal 2 10" xfId="1890"/>
    <cellStyle name="Normal 2 10 2" xfId="1891"/>
    <cellStyle name="Normal 2 10 2 2" xfId="1892"/>
    <cellStyle name="Normal 2 10 3" xfId="1893"/>
    <cellStyle name="Normal 2 11" xfId="1894"/>
    <cellStyle name="Normal 2 11 2" xfId="1895"/>
    <cellStyle name="Normal 2 11 2 2" xfId="1896"/>
    <cellStyle name="Normal 2 11 3" xfId="1897"/>
    <cellStyle name="Normal 2 12" xfId="119"/>
    <cellStyle name="Normal 2 12 2" xfId="1898"/>
    <cellStyle name="Normal 2 13" xfId="1899"/>
    <cellStyle name="Normal 2 13 2" xfId="1900"/>
    <cellStyle name="Normal 2 14" xfId="1901"/>
    <cellStyle name="Normal 2 14 2" xfId="1902"/>
    <cellStyle name="Normal 2 15" xfId="1903"/>
    <cellStyle name="Normal 2 15 2" xfId="1904"/>
    <cellStyle name="Normal 2 16" xfId="1905"/>
    <cellStyle name="Normal 2 17" xfId="1889"/>
    <cellStyle name="Normal 2 2" xfId="31"/>
    <cellStyle name="Normal 2 2 2" xfId="34"/>
    <cellStyle name="Normal 2 2 2 2" xfId="117"/>
    <cellStyle name="Normal 2 2 2 3" xfId="98"/>
    <cellStyle name="Normal 2 2 3" xfId="56"/>
    <cellStyle name="Normal 2 2 3 2" xfId="115"/>
    <cellStyle name="Normal 2 2 3 3" xfId="1906"/>
    <cellStyle name="Normal 2 2_Summary" xfId="111"/>
    <cellStyle name="Normal 2 3" xfId="33"/>
    <cellStyle name="Normal 2 3 10" xfId="1908"/>
    <cellStyle name="Normal 2 3 10 2" xfId="1909"/>
    <cellStyle name="Normal 2 3 11" xfId="1910"/>
    <cellStyle name="Normal 2 3 11 2" xfId="1911"/>
    <cellStyle name="Normal 2 3 12" xfId="1912"/>
    <cellStyle name="Normal 2 3 13" xfId="1907"/>
    <cellStyle name="Normal 2 3 2" xfId="116"/>
    <cellStyle name="Normal 2 3 2 10" xfId="1913"/>
    <cellStyle name="Normal 2 3 2 2" xfId="1914"/>
    <cellStyle name="Normal 2 3 2 2 2" xfId="1915"/>
    <cellStyle name="Normal 2 3 2 2 2 2" xfId="1916"/>
    <cellStyle name="Normal 2 3 2 2 3" xfId="1917"/>
    <cellStyle name="Normal 2 3 2 3" xfId="1918"/>
    <cellStyle name="Normal 2 3 2 3 2" xfId="1919"/>
    <cellStyle name="Normal 2 3 2 3 2 2" xfId="1920"/>
    <cellStyle name="Normal 2 3 2 3 3" xfId="1921"/>
    <cellStyle name="Normal 2 3 2 4" xfId="1922"/>
    <cellStyle name="Normal 2 3 2 4 2" xfId="1923"/>
    <cellStyle name="Normal 2 3 2 4 2 2" xfId="1924"/>
    <cellStyle name="Normal 2 3 2 4 3" xfId="1925"/>
    <cellStyle name="Normal 2 3 2 5" xfId="1926"/>
    <cellStyle name="Normal 2 3 2 5 2" xfId="1927"/>
    <cellStyle name="Normal 2 3 2 5 2 2" xfId="1928"/>
    <cellStyle name="Normal 2 3 2 5 3" xfId="1929"/>
    <cellStyle name="Normal 2 3 2 6" xfId="1930"/>
    <cellStyle name="Normal 2 3 2 6 2" xfId="1931"/>
    <cellStyle name="Normal 2 3 2 7" xfId="1932"/>
    <cellStyle name="Normal 2 3 2 7 2" xfId="1933"/>
    <cellStyle name="Normal 2 3 2 8" xfId="1934"/>
    <cellStyle name="Normal 2 3 2 8 2" xfId="1935"/>
    <cellStyle name="Normal 2 3 2 9" xfId="1936"/>
    <cellStyle name="Normal 2 3 3" xfId="104"/>
    <cellStyle name="Normal 2 3 3 10" xfId="1937"/>
    <cellStyle name="Normal 2 3 3 2" xfId="1938"/>
    <cellStyle name="Normal 2 3 3 2 2" xfId="1939"/>
    <cellStyle name="Normal 2 3 3 2 2 2" xfId="1940"/>
    <cellStyle name="Normal 2 3 3 2 3" xfId="1941"/>
    <cellStyle name="Normal 2 3 3 3" xfId="1942"/>
    <cellStyle name="Normal 2 3 3 3 2" xfId="1943"/>
    <cellStyle name="Normal 2 3 3 3 2 2" xfId="1944"/>
    <cellStyle name="Normal 2 3 3 3 3" xfId="1945"/>
    <cellStyle name="Normal 2 3 3 4" xfId="1946"/>
    <cellStyle name="Normal 2 3 3 4 2" xfId="1947"/>
    <cellStyle name="Normal 2 3 3 4 2 2" xfId="1948"/>
    <cellStyle name="Normal 2 3 3 4 3" xfId="1949"/>
    <cellStyle name="Normal 2 3 3 5" xfId="1950"/>
    <cellStyle name="Normal 2 3 3 5 2" xfId="1951"/>
    <cellStyle name="Normal 2 3 3 5 2 2" xfId="1952"/>
    <cellStyle name="Normal 2 3 3 5 3" xfId="1953"/>
    <cellStyle name="Normal 2 3 3 6" xfId="1954"/>
    <cellStyle name="Normal 2 3 3 6 2" xfId="1955"/>
    <cellStyle name="Normal 2 3 3 7" xfId="1956"/>
    <cellStyle name="Normal 2 3 3 7 2" xfId="1957"/>
    <cellStyle name="Normal 2 3 3 8" xfId="1958"/>
    <cellStyle name="Normal 2 3 3 8 2" xfId="1959"/>
    <cellStyle name="Normal 2 3 3 9" xfId="1960"/>
    <cellStyle name="Normal 2 3 4" xfId="1961"/>
    <cellStyle name="Normal 2 3 4 2" xfId="1962"/>
    <cellStyle name="Normal 2 3 4 2 2" xfId="1963"/>
    <cellStyle name="Normal 2 3 4 2 2 2" xfId="1964"/>
    <cellStyle name="Normal 2 3 4 2 3" xfId="1965"/>
    <cellStyle name="Normal 2 3 4 3" xfId="1966"/>
    <cellStyle name="Normal 2 3 4 3 2" xfId="1967"/>
    <cellStyle name="Normal 2 3 4 3 2 2" xfId="1968"/>
    <cellStyle name="Normal 2 3 4 3 3" xfId="1969"/>
    <cellStyle name="Normal 2 3 4 4" xfId="1970"/>
    <cellStyle name="Normal 2 3 4 4 2" xfId="1971"/>
    <cellStyle name="Normal 2 3 4 4 2 2" xfId="1972"/>
    <cellStyle name="Normal 2 3 4 4 3" xfId="1973"/>
    <cellStyle name="Normal 2 3 4 5" xfId="1974"/>
    <cellStyle name="Normal 2 3 4 5 2" xfId="1975"/>
    <cellStyle name="Normal 2 3 4 5 2 2" xfId="1976"/>
    <cellStyle name="Normal 2 3 4 5 3" xfId="1977"/>
    <cellStyle name="Normal 2 3 4 6" xfId="1978"/>
    <cellStyle name="Normal 2 3 4 6 2" xfId="1979"/>
    <cellStyle name="Normal 2 3 4 7" xfId="1980"/>
    <cellStyle name="Normal 2 3 4 7 2" xfId="1981"/>
    <cellStyle name="Normal 2 3 4 8" xfId="1982"/>
    <cellStyle name="Normal 2 3 4 8 2" xfId="1983"/>
    <cellStyle name="Normal 2 3 4 9" xfId="1984"/>
    <cellStyle name="Normal 2 3 5" xfId="1985"/>
    <cellStyle name="Normal 2 3 5 2" xfId="1986"/>
    <cellStyle name="Normal 2 3 5 2 2" xfId="1987"/>
    <cellStyle name="Normal 2 3 5 3" xfId="1988"/>
    <cellStyle name="Normal 2 3 6" xfId="1989"/>
    <cellStyle name="Normal 2 3 6 2" xfId="1990"/>
    <cellStyle name="Normal 2 3 6 2 2" xfId="1991"/>
    <cellStyle name="Normal 2 3 6 3" xfId="1992"/>
    <cellStyle name="Normal 2 3 7" xfId="1993"/>
    <cellStyle name="Normal 2 3 7 2" xfId="1994"/>
    <cellStyle name="Normal 2 3 7 2 2" xfId="1995"/>
    <cellStyle name="Normal 2 3 7 3" xfId="1996"/>
    <cellStyle name="Normal 2 3 8" xfId="1997"/>
    <cellStyle name="Normal 2 3 8 2" xfId="1998"/>
    <cellStyle name="Normal 2 3 8 2 2" xfId="1999"/>
    <cellStyle name="Normal 2 3 8 3" xfId="2000"/>
    <cellStyle name="Normal 2 3 9" xfId="2001"/>
    <cellStyle name="Normal 2 3 9 2" xfId="2002"/>
    <cellStyle name="Normal 2 4" xfId="55"/>
    <cellStyle name="Normal 2 4 2" xfId="110"/>
    <cellStyle name="Normal 2 5" xfId="113"/>
    <cellStyle name="Normal 2 5 2" xfId="2003"/>
    <cellStyle name="Normal 2 6" xfId="2004"/>
    <cellStyle name="Normal 2 6 2" xfId="2005"/>
    <cellStyle name="Normal 2 6 2 2" xfId="2006"/>
    <cellStyle name="Normal 2 6 2 2 2" xfId="2007"/>
    <cellStyle name="Normal 2 6 2 3" xfId="2008"/>
    <cellStyle name="Normal 2 6 3" xfId="2009"/>
    <cellStyle name="Normal 2 6 3 2" xfId="2010"/>
    <cellStyle name="Normal 2 6 3 2 2" xfId="2011"/>
    <cellStyle name="Normal 2 6 3 3" xfId="2012"/>
    <cellStyle name="Normal 2 6 4" xfId="2013"/>
    <cellStyle name="Normal 2 6 4 2" xfId="2014"/>
    <cellStyle name="Normal 2 6 4 2 2" xfId="2015"/>
    <cellStyle name="Normal 2 6 4 3" xfId="2016"/>
    <cellStyle name="Normal 2 6 5" xfId="2017"/>
    <cellStyle name="Normal 2 6 5 2" xfId="2018"/>
    <cellStyle name="Normal 2 6 5 2 2" xfId="2019"/>
    <cellStyle name="Normal 2 6 5 3" xfId="2020"/>
    <cellStyle name="Normal 2 6 6" xfId="2021"/>
    <cellStyle name="Normal 2 6 6 2" xfId="2022"/>
    <cellStyle name="Normal 2 6 7" xfId="2023"/>
    <cellStyle name="Normal 2 6 7 2" xfId="2024"/>
    <cellStyle name="Normal 2 6 8" xfId="2025"/>
    <cellStyle name="Normal 2 6 8 2" xfId="2026"/>
    <cellStyle name="Normal 2 6 9" xfId="2027"/>
    <cellStyle name="Normal 2 7" xfId="2028"/>
    <cellStyle name="Normal 2 7 2" xfId="2029"/>
    <cellStyle name="Normal 2 7 2 2" xfId="2030"/>
    <cellStyle name="Normal 2 7 2 2 2" xfId="2031"/>
    <cellStyle name="Normal 2 7 2 3" xfId="2032"/>
    <cellStyle name="Normal 2 7 3" xfId="2033"/>
    <cellStyle name="Normal 2 7 3 2" xfId="2034"/>
    <cellStyle name="Normal 2 7 3 2 2" xfId="2035"/>
    <cellStyle name="Normal 2 7 3 3" xfId="2036"/>
    <cellStyle name="Normal 2 7 4" xfId="2037"/>
    <cellStyle name="Normal 2 7 4 2" xfId="2038"/>
    <cellStyle name="Normal 2 7 4 2 2" xfId="2039"/>
    <cellStyle name="Normal 2 7 4 3" xfId="2040"/>
    <cellStyle name="Normal 2 7 5" xfId="2041"/>
    <cellStyle name="Normal 2 7 5 2" xfId="2042"/>
    <cellStyle name="Normal 2 7 5 2 2" xfId="2043"/>
    <cellStyle name="Normal 2 7 5 3" xfId="2044"/>
    <cellStyle name="Normal 2 7 6" xfId="2045"/>
    <cellStyle name="Normal 2 7 6 2" xfId="2046"/>
    <cellStyle name="Normal 2 7 7" xfId="2047"/>
    <cellStyle name="Normal 2 7 7 2" xfId="2048"/>
    <cellStyle name="Normal 2 7 8" xfId="2049"/>
    <cellStyle name="Normal 2 7 8 2" xfId="2050"/>
    <cellStyle name="Normal 2 7 9" xfId="2051"/>
    <cellStyle name="Normal 2 8" xfId="2052"/>
    <cellStyle name="Normal 2 8 2" xfId="2053"/>
    <cellStyle name="Normal 2 8 2 2" xfId="2054"/>
    <cellStyle name="Normal 2 8 3" xfId="2055"/>
    <cellStyle name="Normal 2 9" xfId="2056"/>
    <cellStyle name="Normal 2 9 2" xfId="2057"/>
    <cellStyle name="Normal 2 9 2 2" xfId="2058"/>
    <cellStyle name="Normal 2 9 3" xfId="2059"/>
    <cellStyle name="Normal 20" xfId="2060"/>
    <cellStyle name="Normal 21" xfId="2061"/>
    <cellStyle name="Normal 21 2" xfId="2062"/>
    <cellStyle name="Normal 21 3" xfId="2063"/>
    <cellStyle name="Normal 21 4" xfId="2064"/>
    <cellStyle name="Normal 21 5" xfId="2065"/>
    <cellStyle name="Normal 21 6" xfId="2066"/>
    <cellStyle name="Normal 21 7" xfId="2067"/>
    <cellStyle name="Normal 22" xfId="2068"/>
    <cellStyle name="Normal 22 2" xfId="2069"/>
    <cellStyle name="Normal 22 2 2" xfId="2070"/>
    <cellStyle name="Normal 22 2 2 2" xfId="2071"/>
    <cellStyle name="Normal 22 2 3" xfId="2072"/>
    <cellStyle name="Normal 22 3" xfId="2073"/>
    <cellStyle name="Normal 22 3 2" xfId="2074"/>
    <cellStyle name="Normal 22 3 2 2" xfId="2075"/>
    <cellStyle name="Normal 22 3 3" xfId="2076"/>
    <cellStyle name="Normal 22 4" xfId="2077"/>
    <cellStyle name="Normal 22 4 2" xfId="2078"/>
    <cellStyle name="Normal 22 4 2 2" xfId="2079"/>
    <cellStyle name="Normal 22 4 3" xfId="2080"/>
    <cellStyle name="Normal 22 5" xfId="2081"/>
    <cellStyle name="Normal 22 5 2" xfId="2082"/>
    <cellStyle name="Normal 22 5 2 2" xfId="2083"/>
    <cellStyle name="Normal 22 5 3" xfId="2084"/>
    <cellStyle name="Normal 22 6" xfId="2085"/>
    <cellStyle name="Normal 22 6 2" xfId="2086"/>
    <cellStyle name="Normal 22 7" xfId="2087"/>
    <cellStyle name="Normal 22 7 2" xfId="2088"/>
    <cellStyle name="Normal 22 8" xfId="2089"/>
    <cellStyle name="Normal 22 8 2" xfId="2090"/>
    <cellStyle name="Normal 22 9" xfId="2091"/>
    <cellStyle name="Normal 23" xfId="2092"/>
    <cellStyle name="Normal 23 2" xfId="2093"/>
    <cellStyle name="Normal 23 2 2" xfId="2094"/>
    <cellStyle name="Normal 23 2 2 2" xfId="2095"/>
    <cellStyle name="Normal 23 2 3" xfId="2096"/>
    <cellStyle name="Normal 23 3" xfId="2097"/>
    <cellStyle name="Normal 23 3 2" xfId="2098"/>
    <cellStyle name="Normal 24" xfId="2099"/>
    <cellStyle name="Normal 25" xfId="2100"/>
    <cellStyle name="Normal 25 2" xfId="2101"/>
    <cellStyle name="Normal 25 2 2" xfId="2102"/>
    <cellStyle name="Normal 25 3" xfId="2103"/>
    <cellStyle name="Normal 26" xfId="2104"/>
    <cellStyle name="Normal 26 2" xfId="2105"/>
    <cellStyle name="Normal 26 2 2" xfId="2106"/>
    <cellStyle name="Normal 26 3" xfId="2107"/>
    <cellStyle name="Normal 26 4" xfId="2108"/>
    <cellStyle name="Normal 26 4 2" xfId="2109"/>
    <cellStyle name="Normal 26 5" xfId="2110"/>
    <cellStyle name="Normal 27" xfId="2111"/>
    <cellStyle name="Normal 27 2" xfId="2112"/>
    <cellStyle name="Normal 27 3" xfId="2113"/>
    <cellStyle name="Normal 28" xfId="2114"/>
    <cellStyle name="Normal 28 2" xfId="2115"/>
    <cellStyle name="Normal 28 3" xfId="2116"/>
    <cellStyle name="Normal 28 4" xfId="2117"/>
    <cellStyle name="Normal 28 5" xfId="2118"/>
    <cellStyle name="Normal 28 6" xfId="2119"/>
    <cellStyle name="Normal 28 6 2" xfId="2120"/>
    <cellStyle name="Normal 29" xfId="2121"/>
    <cellStyle name="Normal 29 2" xfId="2122"/>
    <cellStyle name="Normal 3" xfId="4"/>
    <cellStyle name="Normal 3 2" xfId="17"/>
    <cellStyle name="Normal 3 2 2" xfId="35"/>
    <cellStyle name="Normal 3 2 2 2" xfId="107"/>
    <cellStyle name="Normal 3 2 2 3" xfId="2123"/>
    <cellStyle name="Normal 3 2 3" xfId="46"/>
    <cellStyle name="Normal 3 2 3 2" xfId="108"/>
    <cellStyle name="Normal 3 2 4" xfId="51"/>
    <cellStyle name="Normal 3 2 4 2" xfId="106"/>
    <cellStyle name="Normal 3 2 5" xfId="118"/>
    <cellStyle name="Normal 3 2 6" xfId="99"/>
    <cellStyle name="Normal 3 3" xfId="53"/>
    <cellStyle name="Normal 3 3 2" xfId="105"/>
    <cellStyle name="Normal 3 4" xfId="114"/>
    <cellStyle name="Normal 3 4 2" xfId="2125"/>
    <cellStyle name="Normal 3 4 3" xfId="2124"/>
    <cellStyle name="Normal 30" xfId="2126"/>
    <cellStyle name="Normal 31" xfId="18"/>
    <cellStyle name="Normal 31 2" xfId="2128"/>
    <cellStyle name="Normal 31 3" xfId="2127"/>
    <cellStyle name="Normal 32" xfId="24"/>
    <cellStyle name="Normal 32 2" xfId="2130"/>
    <cellStyle name="Normal 32 3" xfId="2129"/>
    <cellStyle name="Normal 33" xfId="2131"/>
    <cellStyle name="Normal 33 2" xfId="2132"/>
    <cellStyle name="Normal 34" xfId="23"/>
    <cellStyle name="Normal 35" xfId="25"/>
    <cellStyle name="Normal 35 2" xfId="2133"/>
    <cellStyle name="Normal 36" xfId="19"/>
    <cellStyle name="Normal 36 2" xfId="2134"/>
    <cellStyle name="Normal 37" xfId="21"/>
    <cellStyle name="Normal 37 2" xfId="2135"/>
    <cellStyle name="Normal 38" xfId="27"/>
    <cellStyle name="Normal 39" xfId="22"/>
    <cellStyle name="Normal 4" xfId="36"/>
    <cellStyle name="Normal 4 10" xfId="2137"/>
    <cellStyle name="Normal 4 10 2" xfId="2138"/>
    <cellStyle name="Normal 4 11" xfId="2139"/>
    <cellStyle name="Normal 4 11 2" xfId="2140"/>
    <cellStyle name="Normal 4 12" xfId="2141"/>
    <cellStyle name="Normal 4 12 2" xfId="2142"/>
    <cellStyle name="Normal 4 13" xfId="2143"/>
    <cellStyle name="Normal 4 14" xfId="2136"/>
    <cellStyle name="Normal 4 2" xfId="112"/>
    <cellStyle name="Normal 4 2 10" xfId="2145"/>
    <cellStyle name="Normal 4 2 10 2" xfId="2146"/>
    <cellStyle name="Normal 4 2 11" xfId="2147"/>
    <cellStyle name="Normal 4 2 11 2" xfId="2148"/>
    <cellStyle name="Normal 4 2 12" xfId="2149"/>
    <cellStyle name="Normal 4 2 13" xfId="2144"/>
    <cellStyle name="Normal 4 2 2" xfId="2150"/>
    <cellStyle name="Normal 4 2 2 2" xfId="2151"/>
    <cellStyle name="Normal 4 2 2 2 2" xfId="2152"/>
    <cellStyle name="Normal 4 2 2 2 2 2" xfId="2153"/>
    <cellStyle name="Normal 4 2 2 2 3" xfId="2154"/>
    <cellStyle name="Normal 4 2 2 3" xfId="2155"/>
    <cellStyle name="Normal 4 2 2 3 2" xfId="2156"/>
    <cellStyle name="Normal 4 2 2 3 2 2" xfId="2157"/>
    <cellStyle name="Normal 4 2 2 3 3" xfId="2158"/>
    <cellStyle name="Normal 4 2 2 4" xfId="2159"/>
    <cellStyle name="Normal 4 2 2 4 2" xfId="2160"/>
    <cellStyle name="Normal 4 2 2 4 2 2" xfId="2161"/>
    <cellStyle name="Normal 4 2 2 4 3" xfId="2162"/>
    <cellStyle name="Normal 4 2 2 5" xfId="2163"/>
    <cellStyle name="Normal 4 2 2 5 2" xfId="2164"/>
    <cellStyle name="Normal 4 2 2 5 2 2" xfId="2165"/>
    <cellStyle name="Normal 4 2 2 5 3" xfId="2166"/>
    <cellStyle name="Normal 4 2 2 6" xfId="2167"/>
    <cellStyle name="Normal 4 2 2 6 2" xfId="2168"/>
    <cellStyle name="Normal 4 2 2 7" xfId="2169"/>
    <cellStyle name="Normal 4 2 2 7 2" xfId="2170"/>
    <cellStyle name="Normal 4 2 2 8" xfId="2171"/>
    <cellStyle name="Normal 4 2 2 8 2" xfId="2172"/>
    <cellStyle name="Normal 4 2 2 9" xfId="2173"/>
    <cellStyle name="Normal 4 2 3" xfId="2174"/>
    <cellStyle name="Normal 4 2 3 2" xfId="2175"/>
    <cellStyle name="Normal 4 2 3 2 2" xfId="2176"/>
    <cellStyle name="Normal 4 2 3 2 2 2" xfId="2177"/>
    <cellStyle name="Normal 4 2 3 2 3" xfId="2178"/>
    <cellStyle name="Normal 4 2 3 3" xfId="2179"/>
    <cellStyle name="Normal 4 2 3 3 2" xfId="2180"/>
    <cellStyle name="Normal 4 2 3 3 2 2" xfId="2181"/>
    <cellStyle name="Normal 4 2 3 3 3" xfId="2182"/>
    <cellStyle name="Normal 4 2 3 4" xfId="2183"/>
    <cellStyle name="Normal 4 2 3 4 2" xfId="2184"/>
    <cellStyle name="Normal 4 2 3 4 2 2" xfId="2185"/>
    <cellStyle name="Normal 4 2 3 4 3" xfId="2186"/>
    <cellStyle name="Normal 4 2 3 5" xfId="2187"/>
    <cellStyle name="Normal 4 2 3 5 2" xfId="2188"/>
    <cellStyle name="Normal 4 2 3 5 2 2" xfId="2189"/>
    <cellStyle name="Normal 4 2 3 5 3" xfId="2190"/>
    <cellStyle name="Normal 4 2 3 6" xfId="2191"/>
    <cellStyle name="Normal 4 2 3 6 2" xfId="2192"/>
    <cellStyle name="Normal 4 2 3 7" xfId="2193"/>
    <cellStyle name="Normal 4 2 3 7 2" xfId="2194"/>
    <cellStyle name="Normal 4 2 3 8" xfId="2195"/>
    <cellStyle name="Normal 4 2 3 8 2" xfId="2196"/>
    <cellStyle name="Normal 4 2 3 9" xfId="2197"/>
    <cellStyle name="Normal 4 2 4" xfId="2198"/>
    <cellStyle name="Normal 4 2 4 2" xfId="2199"/>
    <cellStyle name="Normal 4 2 4 2 2" xfId="2200"/>
    <cellStyle name="Normal 4 2 4 2 2 2" xfId="2201"/>
    <cellStyle name="Normal 4 2 4 2 3" xfId="2202"/>
    <cellStyle name="Normal 4 2 4 3" xfId="2203"/>
    <cellStyle name="Normal 4 2 4 3 2" xfId="2204"/>
    <cellStyle name="Normal 4 2 4 3 2 2" xfId="2205"/>
    <cellStyle name="Normal 4 2 4 3 3" xfId="2206"/>
    <cellStyle name="Normal 4 2 4 4" xfId="2207"/>
    <cellStyle name="Normal 4 2 4 4 2" xfId="2208"/>
    <cellStyle name="Normal 4 2 4 4 2 2" xfId="2209"/>
    <cellStyle name="Normal 4 2 4 4 3" xfId="2210"/>
    <cellStyle name="Normal 4 2 4 5" xfId="2211"/>
    <cellStyle name="Normal 4 2 4 5 2" xfId="2212"/>
    <cellStyle name="Normal 4 2 4 5 2 2" xfId="2213"/>
    <cellStyle name="Normal 4 2 4 5 3" xfId="2214"/>
    <cellStyle name="Normal 4 2 4 6" xfId="2215"/>
    <cellStyle name="Normal 4 2 4 6 2" xfId="2216"/>
    <cellStyle name="Normal 4 2 4 7" xfId="2217"/>
    <cellStyle name="Normal 4 2 4 7 2" xfId="2218"/>
    <cellStyle name="Normal 4 2 4 8" xfId="2219"/>
    <cellStyle name="Normal 4 2 4 8 2" xfId="2220"/>
    <cellStyle name="Normal 4 2 4 9" xfId="2221"/>
    <cellStyle name="Normal 4 2 5" xfId="2222"/>
    <cellStyle name="Normal 4 2 5 2" xfId="2223"/>
    <cellStyle name="Normal 4 2 5 2 2" xfId="2224"/>
    <cellStyle name="Normal 4 2 5 3" xfId="2225"/>
    <cellStyle name="Normal 4 2 6" xfId="2226"/>
    <cellStyle name="Normal 4 2 6 2" xfId="2227"/>
    <cellStyle name="Normal 4 2 6 2 2" xfId="2228"/>
    <cellStyle name="Normal 4 2 6 3" xfId="2229"/>
    <cellStyle name="Normal 4 2 7" xfId="2230"/>
    <cellStyle name="Normal 4 2 7 2" xfId="2231"/>
    <cellStyle name="Normal 4 2 7 2 2" xfId="2232"/>
    <cellStyle name="Normal 4 2 7 3" xfId="2233"/>
    <cellStyle name="Normal 4 2 8" xfId="2234"/>
    <cellStyle name="Normal 4 2 8 2" xfId="2235"/>
    <cellStyle name="Normal 4 2 8 2 2" xfId="2236"/>
    <cellStyle name="Normal 4 2 8 3" xfId="2237"/>
    <cellStyle name="Normal 4 2 9" xfId="2238"/>
    <cellStyle name="Normal 4 2 9 2" xfId="2239"/>
    <cellStyle name="Normal 4 3" xfId="109"/>
    <cellStyle name="Normal 4 4" xfId="2240"/>
    <cellStyle name="Normal 4 4 2" xfId="2241"/>
    <cellStyle name="Normal 4 4 2 2" xfId="2242"/>
    <cellStyle name="Normal 4 4 2 2 2" xfId="2243"/>
    <cellStyle name="Normal 4 4 2 3" xfId="2244"/>
    <cellStyle name="Normal 4 4 3" xfId="2245"/>
    <cellStyle name="Normal 4 4 3 2" xfId="2246"/>
    <cellStyle name="Normal 4 4 3 2 2" xfId="2247"/>
    <cellStyle name="Normal 4 4 3 3" xfId="2248"/>
    <cellStyle name="Normal 4 4 4" xfId="2249"/>
    <cellStyle name="Normal 4 4 4 2" xfId="2250"/>
    <cellStyle name="Normal 4 4 4 2 2" xfId="2251"/>
    <cellStyle name="Normal 4 4 4 3" xfId="2252"/>
    <cellStyle name="Normal 4 4 5" xfId="2253"/>
    <cellStyle name="Normal 4 4 5 2" xfId="2254"/>
    <cellStyle name="Normal 4 4 5 2 2" xfId="2255"/>
    <cellStyle name="Normal 4 4 5 3" xfId="2256"/>
    <cellStyle name="Normal 4 4 6" xfId="2257"/>
    <cellStyle name="Normal 4 4 6 2" xfId="2258"/>
    <cellStyle name="Normal 4 4 7" xfId="2259"/>
    <cellStyle name="Normal 4 4 7 2" xfId="2260"/>
    <cellStyle name="Normal 4 4 8" xfId="2261"/>
    <cellStyle name="Normal 4 4 8 2" xfId="2262"/>
    <cellStyle name="Normal 4 4 9" xfId="2263"/>
    <cellStyle name="Normal 4 5" xfId="2264"/>
    <cellStyle name="Normal 4 5 2" xfId="2265"/>
    <cellStyle name="Normal 4 5 2 2" xfId="2266"/>
    <cellStyle name="Normal 4 5 2 2 2" xfId="2267"/>
    <cellStyle name="Normal 4 5 2 3" xfId="2268"/>
    <cellStyle name="Normal 4 5 3" xfId="2269"/>
    <cellStyle name="Normal 4 5 3 2" xfId="2270"/>
    <cellStyle name="Normal 4 5 3 2 2" xfId="2271"/>
    <cellStyle name="Normal 4 5 3 3" xfId="2272"/>
    <cellStyle name="Normal 4 5 4" xfId="2273"/>
    <cellStyle name="Normal 4 5 4 2" xfId="2274"/>
    <cellStyle name="Normal 4 5 4 2 2" xfId="2275"/>
    <cellStyle name="Normal 4 5 4 3" xfId="2276"/>
    <cellStyle name="Normal 4 5 5" xfId="2277"/>
    <cellStyle name="Normal 4 5 5 2" xfId="2278"/>
    <cellStyle name="Normal 4 5 5 2 2" xfId="2279"/>
    <cellStyle name="Normal 4 5 5 3" xfId="2280"/>
    <cellStyle name="Normal 4 5 6" xfId="2281"/>
    <cellStyle name="Normal 4 5 6 2" xfId="2282"/>
    <cellStyle name="Normal 4 5 7" xfId="2283"/>
    <cellStyle name="Normal 4 5 7 2" xfId="2284"/>
    <cellStyle name="Normal 4 5 8" xfId="2285"/>
    <cellStyle name="Normal 4 5 8 2" xfId="2286"/>
    <cellStyle name="Normal 4 5 9" xfId="2287"/>
    <cellStyle name="Normal 4 6" xfId="2288"/>
    <cellStyle name="Normal 4 6 2" xfId="2289"/>
    <cellStyle name="Normal 4 6 2 2" xfId="2290"/>
    <cellStyle name="Normal 4 6 3" xfId="2291"/>
    <cellStyle name="Normal 4 7" xfId="2292"/>
    <cellStyle name="Normal 4 7 2" xfId="2293"/>
    <cellStyle name="Normal 4 7 2 2" xfId="2294"/>
    <cellStyle name="Normal 4 7 3" xfId="2295"/>
    <cellStyle name="Normal 4 8" xfId="2296"/>
    <cellStyle name="Normal 4 8 2" xfId="2297"/>
    <cellStyle name="Normal 4 8 2 2" xfId="2298"/>
    <cellStyle name="Normal 4 8 3" xfId="2299"/>
    <cellStyle name="Normal 4 9" xfId="2300"/>
    <cellStyle name="Normal 4 9 2" xfId="2301"/>
    <cellStyle name="Normal 4 9 2 2" xfId="2302"/>
    <cellStyle name="Normal 4 9 3" xfId="2303"/>
    <cellStyle name="Normal 40" xfId="26"/>
    <cellStyle name="Normal 41" xfId="28"/>
    <cellStyle name="Normal 42" xfId="20"/>
    <cellStyle name="Normal 43" xfId="29"/>
    <cellStyle name="Normal 5" xfId="5"/>
    <cellStyle name="Normal 5 10" xfId="2304"/>
    <cellStyle name="Normal 5 10 2" xfId="2305"/>
    <cellStyle name="Normal 5 11" xfId="2306"/>
    <cellStyle name="Normal 5 11 2" xfId="2307"/>
    <cellStyle name="Normal 5 12" xfId="2308"/>
    <cellStyle name="Normal 5 12 2" xfId="2309"/>
    <cellStyle name="Normal 5 13" xfId="2310"/>
    <cellStyle name="Normal 5 2" xfId="38"/>
    <cellStyle name="Normal 5 2 10" xfId="2312"/>
    <cellStyle name="Normal 5 2 10 2" xfId="2313"/>
    <cellStyle name="Normal 5 2 11" xfId="2314"/>
    <cellStyle name="Normal 5 2 11 2" xfId="2315"/>
    <cellStyle name="Normal 5 2 12" xfId="2316"/>
    <cellStyle name="Normal 5 2 13" xfId="2311"/>
    <cellStyle name="Normal 5 2 2" xfId="2317"/>
    <cellStyle name="Normal 5 2 2 2" xfId="2318"/>
    <cellStyle name="Normal 5 2 2 2 2" xfId="2319"/>
    <cellStyle name="Normal 5 2 2 2 2 2" xfId="2320"/>
    <cellStyle name="Normal 5 2 2 2 3" xfId="2321"/>
    <cellStyle name="Normal 5 2 2 3" xfId="2322"/>
    <cellStyle name="Normal 5 2 2 3 2" xfId="2323"/>
    <cellStyle name="Normal 5 2 2 3 2 2" xfId="2324"/>
    <cellStyle name="Normal 5 2 2 3 3" xfId="2325"/>
    <cellStyle name="Normal 5 2 2 4" xfId="2326"/>
    <cellStyle name="Normal 5 2 2 4 2" xfId="2327"/>
    <cellStyle name="Normal 5 2 2 4 2 2" xfId="2328"/>
    <cellStyle name="Normal 5 2 2 4 3" xfId="2329"/>
    <cellStyle name="Normal 5 2 2 5" xfId="2330"/>
    <cellStyle name="Normal 5 2 2 5 2" xfId="2331"/>
    <cellStyle name="Normal 5 2 2 5 2 2" xfId="2332"/>
    <cellStyle name="Normal 5 2 2 5 3" xfId="2333"/>
    <cellStyle name="Normal 5 2 2 6" xfId="2334"/>
    <cellStyle name="Normal 5 2 2 6 2" xfId="2335"/>
    <cellStyle name="Normal 5 2 2 7" xfId="2336"/>
    <cellStyle name="Normal 5 2 2 7 2" xfId="2337"/>
    <cellStyle name="Normal 5 2 2 8" xfId="2338"/>
    <cellStyle name="Normal 5 2 2 8 2" xfId="2339"/>
    <cellStyle name="Normal 5 2 2 9" xfId="2340"/>
    <cellStyle name="Normal 5 2 3" xfId="2341"/>
    <cellStyle name="Normal 5 2 3 2" xfId="2342"/>
    <cellStyle name="Normal 5 2 3 2 2" xfId="2343"/>
    <cellStyle name="Normal 5 2 3 2 2 2" xfId="2344"/>
    <cellStyle name="Normal 5 2 3 2 3" xfId="2345"/>
    <cellStyle name="Normal 5 2 3 3" xfId="2346"/>
    <cellStyle name="Normal 5 2 3 3 2" xfId="2347"/>
    <cellStyle name="Normal 5 2 3 3 2 2" xfId="2348"/>
    <cellStyle name="Normal 5 2 3 3 3" xfId="2349"/>
    <cellStyle name="Normal 5 2 3 4" xfId="2350"/>
    <cellStyle name="Normal 5 2 3 4 2" xfId="2351"/>
    <cellStyle name="Normal 5 2 3 4 2 2" xfId="2352"/>
    <cellStyle name="Normal 5 2 3 4 3" xfId="2353"/>
    <cellStyle name="Normal 5 2 3 5" xfId="2354"/>
    <cellStyle name="Normal 5 2 3 5 2" xfId="2355"/>
    <cellStyle name="Normal 5 2 3 5 2 2" xfId="2356"/>
    <cellStyle name="Normal 5 2 3 5 3" xfId="2357"/>
    <cellStyle name="Normal 5 2 3 6" xfId="2358"/>
    <cellStyle name="Normal 5 2 3 6 2" xfId="2359"/>
    <cellStyle name="Normal 5 2 3 7" xfId="2360"/>
    <cellStyle name="Normal 5 2 3 7 2" xfId="2361"/>
    <cellStyle name="Normal 5 2 3 8" xfId="2362"/>
    <cellStyle name="Normal 5 2 3 8 2" xfId="2363"/>
    <cellStyle name="Normal 5 2 3 9" xfId="2364"/>
    <cellStyle name="Normal 5 2 4" xfId="2365"/>
    <cellStyle name="Normal 5 2 4 2" xfId="2366"/>
    <cellStyle name="Normal 5 2 4 2 2" xfId="2367"/>
    <cellStyle name="Normal 5 2 4 2 2 2" xfId="2368"/>
    <cellStyle name="Normal 5 2 4 2 3" xfId="2369"/>
    <cellStyle name="Normal 5 2 4 3" xfId="2370"/>
    <cellStyle name="Normal 5 2 4 3 2" xfId="2371"/>
    <cellStyle name="Normal 5 2 4 3 2 2" xfId="2372"/>
    <cellStyle name="Normal 5 2 4 3 3" xfId="2373"/>
    <cellStyle name="Normal 5 2 4 4" xfId="2374"/>
    <cellStyle name="Normal 5 2 4 4 2" xfId="2375"/>
    <cellStyle name="Normal 5 2 4 4 2 2" xfId="2376"/>
    <cellStyle name="Normal 5 2 4 4 3" xfId="2377"/>
    <cellStyle name="Normal 5 2 4 5" xfId="2378"/>
    <cellStyle name="Normal 5 2 4 5 2" xfId="2379"/>
    <cellStyle name="Normal 5 2 4 5 2 2" xfId="2380"/>
    <cellStyle name="Normal 5 2 4 5 3" xfId="2381"/>
    <cellStyle name="Normal 5 2 4 6" xfId="2382"/>
    <cellStyle name="Normal 5 2 4 6 2" xfId="2383"/>
    <cellStyle name="Normal 5 2 4 7" xfId="2384"/>
    <cellStyle name="Normal 5 2 4 7 2" xfId="2385"/>
    <cellStyle name="Normal 5 2 4 8" xfId="2386"/>
    <cellStyle name="Normal 5 2 4 8 2" xfId="2387"/>
    <cellStyle name="Normal 5 2 4 9" xfId="2388"/>
    <cellStyle name="Normal 5 2 5" xfId="2389"/>
    <cellStyle name="Normal 5 2 5 2" xfId="2390"/>
    <cellStyle name="Normal 5 2 5 2 2" xfId="2391"/>
    <cellStyle name="Normal 5 2 5 3" xfId="2392"/>
    <cellStyle name="Normal 5 2 6" xfId="2393"/>
    <cellStyle name="Normal 5 2 6 2" xfId="2394"/>
    <cellStyle name="Normal 5 2 6 2 2" xfId="2395"/>
    <cellStyle name="Normal 5 2 6 3" xfId="2396"/>
    <cellStyle name="Normal 5 2 7" xfId="2397"/>
    <cellStyle name="Normal 5 2 7 2" xfId="2398"/>
    <cellStyle name="Normal 5 2 7 2 2" xfId="2399"/>
    <cellStyle name="Normal 5 2 7 3" xfId="2400"/>
    <cellStyle name="Normal 5 2 8" xfId="2401"/>
    <cellStyle name="Normal 5 2 8 2" xfId="2402"/>
    <cellStyle name="Normal 5 2 8 2 2" xfId="2403"/>
    <cellStyle name="Normal 5 2 8 3" xfId="2404"/>
    <cellStyle name="Normal 5 2 9" xfId="2405"/>
    <cellStyle name="Normal 5 2 9 2" xfId="2406"/>
    <cellStyle name="Normal 5 3" xfId="37"/>
    <cellStyle name="Normal 5 3 2" xfId="2407"/>
    <cellStyle name="Normal 5 4" xfId="41"/>
    <cellStyle name="Normal 5 4 2" xfId="2408"/>
    <cellStyle name="Normal 5 4 2 2" xfId="2409"/>
    <cellStyle name="Normal 5 4 2 2 2" xfId="2410"/>
    <cellStyle name="Normal 5 4 2 3" xfId="2411"/>
    <cellStyle name="Normal 5 4 3" xfId="2412"/>
    <cellStyle name="Normal 5 4 3 2" xfId="2413"/>
    <cellStyle name="Normal 5 4 3 2 2" xfId="2414"/>
    <cellStyle name="Normal 5 4 3 3" xfId="2415"/>
    <cellStyle name="Normal 5 4 4" xfId="2416"/>
    <cellStyle name="Normal 5 4 4 2" xfId="2417"/>
    <cellStyle name="Normal 5 4 4 2 2" xfId="2418"/>
    <cellStyle name="Normal 5 4 4 3" xfId="2419"/>
    <cellStyle name="Normal 5 4 5" xfId="2420"/>
    <cellStyle name="Normal 5 4 5 2" xfId="2421"/>
    <cellStyle name="Normal 5 4 5 2 2" xfId="2422"/>
    <cellStyle name="Normal 5 4 5 3" xfId="2423"/>
    <cellStyle name="Normal 5 4 6" xfId="2424"/>
    <cellStyle name="Normal 5 4 6 2" xfId="2425"/>
    <cellStyle name="Normal 5 4 7" xfId="2426"/>
    <cellStyle name="Normal 5 4 7 2" xfId="2427"/>
    <cellStyle name="Normal 5 4 8" xfId="2428"/>
    <cellStyle name="Normal 5 4 8 2" xfId="2429"/>
    <cellStyle name="Normal 5 4 9" xfId="2430"/>
    <cellStyle name="Normal 5 5" xfId="49"/>
    <cellStyle name="Normal 5 5 2" xfId="2431"/>
    <cellStyle name="Normal 5 5 2 2" xfId="2432"/>
    <cellStyle name="Normal 5 5 2 2 2" xfId="2433"/>
    <cellStyle name="Normal 5 5 2 3" xfId="2434"/>
    <cellStyle name="Normal 5 5 3" xfId="2435"/>
    <cellStyle name="Normal 5 5 3 2" xfId="2436"/>
    <cellStyle name="Normal 5 5 3 2 2" xfId="2437"/>
    <cellStyle name="Normal 5 5 3 3" xfId="2438"/>
    <cellStyle name="Normal 5 5 4" xfId="2439"/>
    <cellStyle name="Normal 5 5 4 2" xfId="2440"/>
    <cellStyle name="Normal 5 5 4 2 2" xfId="2441"/>
    <cellStyle name="Normal 5 5 4 3" xfId="2442"/>
    <cellStyle name="Normal 5 5 5" xfId="2443"/>
    <cellStyle name="Normal 5 5 5 2" xfId="2444"/>
    <cellStyle name="Normal 5 5 5 2 2" xfId="2445"/>
    <cellStyle name="Normal 5 5 5 3" xfId="2446"/>
    <cellStyle name="Normal 5 5 6" xfId="2447"/>
    <cellStyle name="Normal 5 5 6 2" xfId="2448"/>
    <cellStyle name="Normal 5 5 7" xfId="2449"/>
    <cellStyle name="Normal 5 5 7 2" xfId="2450"/>
    <cellStyle name="Normal 5 5 8" xfId="2451"/>
    <cellStyle name="Normal 5 5 8 2" xfId="2452"/>
    <cellStyle name="Normal 5 5 9" xfId="2453"/>
    <cellStyle name="Normal 5 6" xfId="54"/>
    <cellStyle name="Normal 5 6 2" xfId="2454"/>
    <cellStyle name="Normal 5 6 2 2" xfId="2455"/>
    <cellStyle name="Normal 5 6 3" xfId="2456"/>
    <cellStyle name="Normal 5 7" xfId="2457"/>
    <cellStyle name="Normal 5 7 2" xfId="2458"/>
    <cellStyle name="Normal 5 7 2 2" xfId="2459"/>
    <cellStyle name="Normal 5 7 3" xfId="2460"/>
    <cellStyle name="Normal 5 8" xfId="2461"/>
    <cellStyle name="Normal 5 8 2" xfId="2462"/>
    <cellStyle name="Normal 5 8 2 2" xfId="2463"/>
    <cellStyle name="Normal 5 8 3" xfId="2464"/>
    <cellStyle name="Normal 5 9" xfId="2465"/>
    <cellStyle name="Normal 5 9 2" xfId="2466"/>
    <cellStyle name="Normal 5 9 2 2" xfId="2467"/>
    <cellStyle name="Normal 5 9 3" xfId="2468"/>
    <cellStyle name="Normal 6" xfId="6"/>
    <cellStyle name="Normal 6 10" xfId="2469"/>
    <cellStyle name="Normal 6 10 2" xfId="2470"/>
    <cellStyle name="Normal 6 11" xfId="2471"/>
    <cellStyle name="Normal 6 11 2" xfId="2472"/>
    <cellStyle name="Normal 6 12" xfId="2473"/>
    <cellStyle name="Normal 6 12 2" xfId="2474"/>
    <cellStyle name="Normal 6 13" xfId="2475"/>
    <cellStyle name="Normal 6 14" xfId="120"/>
    <cellStyle name="Normal 6 2" xfId="32"/>
    <cellStyle name="Normal 6 2 10" xfId="2476"/>
    <cellStyle name="Normal 6 2 10 2" xfId="2477"/>
    <cellStyle name="Normal 6 2 11" xfId="2478"/>
    <cellStyle name="Normal 6 2 2" xfId="2479"/>
    <cellStyle name="Normal 6 2 2 2" xfId="2480"/>
    <cellStyle name="Normal 6 2 2 2 2" xfId="2481"/>
    <cellStyle name="Normal 6 2 2 2 2 2" xfId="2482"/>
    <cellStyle name="Normal 6 2 2 2 3" xfId="2483"/>
    <cellStyle name="Normal 6 2 2 3" xfId="2484"/>
    <cellStyle name="Normal 6 2 2 3 2" xfId="2485"/>
    <cellStyle name="Normal 6 2 2 3 2 2" xfId="2486"/>
    <cellStyle name="Normal 6 2 2 3 3" xfId="2487"/>
    <cellStyle name="Normal 6 2 2 4" xfId="2488"/>
    <cellStyle name="Normal 6 2 2 4 2" xfId="2489"/>
    <cellStyle name="Normal 6 2 2 4 2 2" xfId="2490"/>
    <cellStyle name="Normal 6 2 2 4 3" xfId="2491"/>
    <cellStyle name="Normal 6 2 2 5" xfId="2492"/>
    <cellStyle name="Normal 6 2 2 5 2" xfId="2493"/>
    <cellStyle name="Normal 6 2 2 5 2 2" xfId="2494"/>
    <cellStyle name="Normal 6 2 2 5 3" xfId="2495"/>
    <cellStyle name="Normal 6 2 2 6" xfId="2496"/>
    <cellStyle name="Normal 6 2 2 6 2" xfId="2497"/>
    <cellStyle name="Normal 6 2 2 7" xfId="2498"/>
    <cellStyle name="Normal 6 2 2 7 2" xfId="2499"/>
    <cellStyle name="Normal 6 2 2 8" xfId="2500"/>
    <cellStyle name="Normal 6 2 2 8 2" xfId="2501"/>
    <cellStyle name="Normal 6 2 2 9" xfId="2502"/>
    <cellStyle name="Normal 6 2 3" xfId="2503"/>
    <cellStyle name="Normal 6 2 3 2" xfId="2504"/>
    <cellStyle name="Normal 6 2 3 2 2" xfId="2505"/>
    <cellStyle name="Normal 6 2 3 2 2 2" xfId="2506"/>
    <cellStyle name="Normal 6 2 3 2 3" xfId="2507"/>
    <cellStyle name="Normal 6 2 3 3" xfId="2508"/>
    <cellStyle name="Normal 6 2 3 3 2" xfId="2509"/>
    <cellStyle name="Normal 6 2 3 3 2 2" xfId="2510"/>
    <cellStyle name="Normal 6 2 3 3 3" xfId="2511"/>
    <cellStyle name="Normal 6 2 3 4" xfId="2512"/>
    <cellStyle name="Normal 6 2 3 4 2" xfId="2513"/>
    <cellStyle name="Normal 6 2 3 4 2 2" xfId="2514"/>
    <cellStyle name="Normal 6 2 3 4 3" xfId="2515"/>
    <cellStyle name="Normal 6 2 3 5" xfId="2516"/>
    <cellStyle name="Normal 6 2 3 5 2" xfId="2517"/>
    <cellStyle name="Normal 6 2 3 5 2 2" xfId="2518"/>
    <cellStyle name="Normal 6 2 3 5 3" xfId="2519"/>
    <cellStyle name="Normal 6 2 3 6" xfId="2520"/>
    <cellStyle name="Normal 6 2 3 6 2" xfId="2521"/>
    <cellStyle name="Normal 6 2 3 7" xfId="2522"/>
    <cellStyle name="Normal 6 2 3 7 2" xfId="2523"/>
    <cellStyle name="Normal 6 2 3 8" xfId="2524"/>
    <cellStyle name="Normal 6 2 3 8 2" xfId="2525"/>
    <cellStyle name="Normal 6 2 3 9" xfId="2526"/>
    <cellStyle name="Normal 6 2 4" xfId="2527"/>
    <cellStyle name="Normal 6 2 4 2" xfId="2528"/>
    <cellStyle name="Normal 6 2 4 2 2" xfId="2529"/>
    <cellStyle name="Normal 6 2 4 3" xfId="2530"/>
    <cellStyle name="Normal 6 2 5" xfId="2531"/>
    <cellStyle name="Normal 6 2 5 2" xfId="2532"/>
    <cellStyle name="Normal 6 2 5 2 2" xfId="2533"/>
    <cellStyle name="Normal 6 2 5 3" xfId="2534"/>
    <cellStyle name="Normal 6 2 6" xfId="2535"/>
    <cellStyle name="Normal 6 2 6 2" xfId="2536"/>
    <cellStyle name="Normal 6 2 6 2 2" xfId="2537"/>
    <cellStyle name="Normal 6 2 6 3" xfId="2538"/>
    <cellStyle name="Normal 6 2 7" xfId="2539"/>
    <cellStyle name="Normal 6 2 7 2" xfId="2540"/>
    <cellStyle name="Normal 6 2 7 2 2" xfId="2541"/>
    <cellStyle name="Normal 6 2 7 3" xfId="2542"/>
    <cellStyle name="Normal 6 2 8" xfId="2543"/>
    <cellStyle name="Normal 6 2 8 2" xfId="2544"/>
    <cellStyle name="Normal 6 2 9" xfId="2545"/>
    <cellStyle name="Normal 6 2 9 2" xfId="2546"/>
    <cellStyle name="Normal 6 3" xfId="42"/>
    <cellStyle name="Normal 6 3 10" xfId="2547"/>
    <cellStyle name="Normal 6 3 2" xfId="2548"/>
    <cellStyle name="Normal 6 3 2 2" xfId="2549"/>
    <cellStyle name="Normal 6 3 2 2 2" xfId="2550"/>
    <cellStyle name="Normal 6 3 2 3" xfId="2551"/>
    <cellStyle name="Normal 6 3 3" xfId="2552"/>
    <cellStyle name="Normal 6 3 3 2" xfId="2553"/>
    <cellStyle name="Normal 6 3 3 2 2" xfId="2554"/>
    <cellStyle name="Normal 6 3 3 3" xfId="2555"/>
    <cellStyle name="Normal 6 3 4" xfId="2556"/>
    <cellStyle name="Normal 6 3 4 2" xfId="2557"/>
    <cellStyle name="Normal 6 3 4 2 2" xfId="2558"/>
    <cellStyle name="Normal 6 3 4 3" xfId="2559"/>
    <cellStyle name="Normal 6 3 5" xfId="2560"/>
    <cellStyle name="Normal 6 3 5 2" xfId="2561"/>
    <cellStyle name="Normal 6 3 5 2 2" xfId="2562"/>
    <cellStyle name="Normal 6 3 5 3" xfId="2563"/>
    <cellStyle name="Normal 6 3 6" xfId="2564"/>
    <cellStyle name="Normal 6 3 6 2" xfId="2565"/>
    <cellStyle name="Normal 6 3 7" xfId="2566"/>
    <cellStyle name="Normal 6 3 7 2" xfId="2567"/>
    <cellStyle name="Normal 6 3 8" xfId="2568"/>
    <cellStyle name="Normal 6 3 8 2" xfId="2569"/>
    <cellStyle name="Normal 6 3 9" xfId="2570"/>
    <cellStyle name="Normal 6 4" xfId="50"/>
    <cellStyle name="Normal 6 4 10" xfId="2571"/>
    <cellStyle name="Normal 6 4 2" xfId="2572"/>
    <cellStyle name="Normal 6 4 2 2" xfId="2573"/>
    <cellStyle name="Normal 6 4 2 2 2" xfId="2574"/>
    <cellStyle name="Normal 6 4 2 3" xfId="2575"/>
    <cellStyle name="Normal 6 4 3" xfId="2576"/>
    <cellStyle name="Normal 6 4 3 2" xfId="2577"/>
    <cellStyle name="Normal 6 4 3 2 2" xfId="2578"/>
    <cellStyle name="Normal 6 4 3 3" xfId="2579"/>
    <cellStyle name="Normal 6 4 4" xfId="2580"/>
    <cellStyle name="Normal 6 4 4 2" xfId="2581"/>
    <cellStyle name="Normal 6 4 4 2 2" xfId="2582"/>
    <cellStyle name="Normal 6 4 4 3" xfId="2583"/>
    <cellStyle name="Normal 6 4 5" xfId="2584"/>
    <cellStyle name="Normal 6 4 5 2" xfId="2585"/>
    <cellStyle name="Normal 6 4 5 2 2" xfId="2586"/>
    <cellStyle name="Normal 6 4 5 3" xfId="2587"/>
    <cellStyle name="Normal 6 4 6" xfId="2588"/>
    <cellStyle name="Normal 6 4 6 2" xfId="2589"/>
    <cellStyle name="Normal 6 4 7" xfId="2590"/>
    <cellStyle name="Normal 6 4 7 2" xfId="2591"/>
    <cellStyle name="Normal 6 4 8" xfId="2592"/>
    <cellStyle name="Normal 6 4 8 2" xfId="2593"/>
    <cellStyle name="Normal 6 4 9" xfId="2594"/>
    <cellStyle name="Normal 6 5" xfId="2595"/>
    <cellStyle name="Normal 6 5 2" xfId="2596"/>
    <cellStyle name="Normal 6 5 2 2" xfId="2597"/>
    <cellStyle name="Normal 6 5 2 2 2" xfId="2598"/>
    <cellStyle name="Normal 6 5 2 3" xfId="2599"/>
    <cellStyle name="Normal 6 5 3" xfId="2600"/>
    <cellStyle name="Normal 6 5 3 2" xfId="2601"/>
    <cellStyle name="Normal 6 5 3 2 2" xfId="2602"/>
    <cellStyle name="Normal 6 5 3 3" xfId="2603"/>
    <cellStyle name="Normal 6 5 4" xfId="2604"/>
    <cellStyle name="Normal 6 5 4 2" xfId="2605"/>
    <cellStyle name="Normal 6 5 4 2 2" xfId="2606"/>
    <cellStyle name="Normal 6 5 4 3" xfId="2607"/>
    <cellStyle name="Normal 6 5 5" xfId="2608"/>
    <cellStyle name="Normal 6 5 5 2" xfId="2609"/>
    <cellStyle name="Normal 6 5 5 2 2" xfId="2610"/>
    <cellStyle name="Normal 6 5 5 3" xfId="2611"/>
    <cellStyle name="Normal 6 5 6" xfId="2612"/>
    <cellStyle name="Normal 6 5 6 2" xfId="2613"/>
    <cellStyle name="Normal 6 5 7" xfId="2614"/>
    <cellStyle name="Normal 6 5 7 2" xfId="2615"/>
    <cellStyle name="Normal 6 5 8" xfId="2616"/>
    <cellStyle name="Normal 6 5 8 2" xfId="2617"/>
    <cellStyle name="Normal 6 5 9" xfId="2618"/>
    <cellStyle name="Normal 6 6" xfId="2619"/>
    <cellStyle name="Normal 6 6 2" xfId="2620"/>
    <cellStyle name="Normal 6 6 2 2" xfId="2621"/>
    <cellStyle name="Normal 6 6 3" xfId="2622"/>
    <cellStyle name="Normal 6 6 3 2" xfId="2623"/>
    <cellStyle name="Normal 6 6 4" xfId="2624"/>
    <cellStyle name="Normal 6 6 4 2" xfId="2625"/>
    <cellStyle name="Normal 6 6 5" xfId="2626"/>
    <cellStyle name="Normal 6 7" xfId="2627"/>
    <cellStyle name="Normal 6 7 2" xfId="2628"/>
    <cellStyle name="Normal 6 7 2 2" xfId="2629"/>
    <cellStyle name="Normal 6 7 3" xfId="2630"/>
    <cellStyle name="Normal 6 8" xfId="2631"/>
    <cellStyle name="Normal 6 8 2" xfId="2632"/>
    <cellStyle name="Normal 6 8 2 2" xfId="2633"/>
    <cellStyle name="Normal 6 8 3" xfId="2634"/>
    <cellStyle name="Normal 6 9" xfId="2635"/>
    <cellStyle name="Normal 6 9 2" xfId="2636"/>
    <cellStyle name="Normal 6 9 2 2" xfId="2637"/>
    <cellStyle name="Normal 6 9 3" xfId="2638"/>
    <cellStyle name="Normal 7" xfId="8"/>
    <cellStyle name="Normal 7 2" xfId="2639"/>
    <cellStyle name="Normal 7 3" xfId="2640"/>
    <cellStyle name="Normal 7 4" xfId="2641"/>
    <cellStyle name="Normal 8" xfId="7"/>
    <cellStyle name="Normal 8 10" xfId="2643"/>
    <cellStyle name="Normal 8 10 2" xfId="2644"/>
    <cellStyle name="Normal 8 11" xfId="2645"/>
    <cellStyle name="Normal 8 12" xfId="2642"/>
    <cellStyle name="Normal 8 2" xfId="2646"/>
    <cellStyle name="Normal 8 2 2" xfId="2647"/>
    <cellStyle name="Normal 8 2 2 2" xfId="2648"/>
    <cellStyle name="Normal 8 2 2 2 2" xfId="2649"/>
    <cellStyle name="Normal 8 2 2 3" xfId="2650"/>
    <cellStyle name="Normal 8 2 3" xfId="2651"/>
    <cellStyle name="Normal 8 2 3 2" xfId="2652"/>
    <cellStyle name="Normal 8 2 3 2 2" xfId="2653"/>
    <cellStyle name="Normal 8 2 3 3" xfId="2654"/>
    <cellStyle name="Normal 8 2 4" xfId="2655"/>
    <cellStyle name="Normal 8 2 4 2" xfId="2656"/>
    <cellStyle name="Normal 8 2 4 2 2" xfId="2657"/>
    <cellStyle name="Normal 8 2 4 3" xfId="2658"/>
    <cellStyle name="Normal 8 2 5" xfId="2659"/>
    <cellStyle name="Normal 8 2 5 2" xfId="2660"/>
    <cellStyle name="Normal 8 2 5 2 2" xfId="2661"/>
    <cellStyle name="Normal 8 2 5 3" xfId="2662"/>
    <cellStyle name="Normal 8 2 6" xfId="2663"/>
    <cellStyle name="Normal 8 2 6 2" xfId="2664"/>
    <cellStyle name="Normal 8 2 7" xfId="2665"/>
    <cellStyle name="Normal 8 2 7 2" xfId="2666"/>
    <cellStyle name="Normal 8 2 8" xfId="2667"/>
    <cellStyle name="Normal 8 2 8 2" xfId="2668"/>
    <cellStyle name="Normal 8 2 9" xfId="2669"/>
    <cellStyle name="Normal 8 3" xfId="2670"/>
    <cellStyle name="Normal 8 3 2" xfId="2671"/>
    <cellStyle name="Normal 8 3 2 2" xfId="2672"/>
    <cellStyle name="Normal 8 3 2 2 2" xfId="2673"/>
    <cellStyle name="Normal 8 3 2 3" xfId="2674"/>
    <cellStyle name="Normal 8 3 3" xfId="2675"/>
    <cellStyle name="Normal 8 3 3 2" xfId="2676"/>
    <cellStyle name="Normal 8 3 3 2 2" xfId="2677"/>
    <cellStyle name="Normal 8 3 3 3" xfId="2678"/>
    <cellStyle name="Normal 8 3 4" xfId="2679"/>
    <cellStyle name="Normal 8 3 4 2" xfId="2680"/>
    <cellStyle name="Normal 8 3 4 2 2" xfId="2681"/>
    <cellStyle name="Normal 8 3 4 3" xfId="2682"/>
    <cellStyle name="Normal 8 3 5" xfId="2683"/>
    <cellStyle name="Normal 8 3 5 2" xfId="2684"/>
    <cellStyle name="Normal 8 3 5 2 2" xfId="2685"/>
    <cellStyle name="Normal 8 3 5 3" xfId="2686"/>
    <cellStyle name="Normal 8 3 6" xfId="2687"/>
    <cellStyle name="Normal 8 3 6 2" xfId="2688"/>
    <cellStyle name="Normal 8 3 7" xfId="2689"/>
    <cellStyle name="Normal 8 3 7 2" xfId="2690"/>
    <cellStyle name="Normal 8 3 8" xfId="2691"/>
    <cellStyle name="Normal 8 3 8 2" xfId="2692"/>
    <cellStyle name="Normal 8 3 9" xfId="2693"/>
    <cellStyle name="Normal 8 4" xfId="2694"/>
    <cellStyle name="Normal 8 4 2" xfId="2695"/>
    <cellStyle name="Normal 8 4 2 2" xfId="2696"/>
    <cellStyle name="Normal 8 4 3" xfId="2697"/>
    <cellStyle name="Normal 8 5" xfId="2698"/>
    <cellStyle name="Normal 8 5 2" xfId="2699"/>
    <cellStyle name="Normal 8 5 2 2" xfId="2700"/>
    <cellStyle name="Normal 8 5 3" xfId="2701"/>
    <cellStyle name="Normal 8 6" xfId="2702"/>
    <cellStyle name="Normal 8 6 2" xfId="2703"/>
    <cellStyle name="Normal 8 6 2 2" xfId="2704"/>
    <cellStyle name="Normal 8 6 3" xfId="2705"/>
    <cellStyle name="Normal 8 7" xfId="2706"/>
    <cellStyle name="Normal 8 7 2" xfId="2707"/>
    <cellStyle name="Normal 8 7 2 2" xfId="2708"/>
    <cellStyle name="Normal 8 7 3" xfId="2709"/>
    <cellStyle name="Normal 8 8" xfId="2710"/>
    <cellStyle name="Normal 8 8 2" xfId="2711"/>
    <cellStyle name="Normal 8 9" xfId="2712"/>
    <cellStyle name="Normal 8 9 2" xfId="2713"/>
    <cellStyle name="Normal 9" xfId="12"/>
    <cellStyle name="Normal 9 10" xfId="2714"/>
    <cellStyle name="Normal 9 2" xfId="2715"/>
    <cellStyle name="Normal 9 2 2" xfId="2716"/>
    <cellStyle name="Normal 9 2 2 2" xfId="2717"/>
    <cellStyle name="Normal 9 2 3" xfId="2718"/>
    <cellStyle name="Normal 9 3" xfId="2719"/>
    <cellStyle name="Normal 9 3 2" xfId="2720"/>
    <cellStyle name="Normal 9 3 2 2" xfId="2721"/>
    <cellStyle name="Normal 9 3 3" xfId="2722"/>
    <cellStyle name="Normal 9 4" xfId="2723"/>
    <cellStyle name="Normal 9 4 2" xfId="2724"/>
    <cellStyle name="Normal 9 4 2 2" xfId="2725"/>
    <cellStyle name="Normal 9 4 3" xfId="2726"/>
    <cellStyle name="Normal 9 5" xfId="2727"/>
    <cellStyle name="Normal 9 5 2" xfId="2728"/>
    <cellStyle name="Normal 9 5 2 2" xfId="2729"/>
    <cellStyle name="Normal 9 5 3" xfId="2730"/>
    <cellStyle name="Normal 9 6" xfId="2731"/>
    <cellStyle name="Normal 9 6 2" xfId="2732"/>
    <cellStyle name="Normal 9 7" xfId="2733"/>
    <cellStyle name="Normal 9 7 2" xfId="2734"/>
    <cellStyle name="Normal 9 8" xfId="2735"/>
    <cellStyle name="Normal 9 8 2" xfId="2736"/>
    <cellStyle name="Normal 9 9" xfId="2737"/>
    <cellStyle name="Note" xfId="71" builtinId="10" customBuiltin="1"/>
    <cellStyle name="Note 2" xfId="2738"/>
    <cellStyle name="Note 2 10" xfId="3534"/>
    <cellStyle name="Note 2 10 2" xfId="3718"/>
    <cellStyle name="Note 2 11" xfId="3506"/>
    <cellStyle name="Note 2 2" xfId="2739"/>
    <cellStyle name="Note 2 2 2" xfId="2740"/>
    <cellStyle name="Note 2 2 2 2" xfId="3413"/>
    <cellStyle name="Note 2 2 2 2 2" xfId="3629"/>
    <cellStyle name="Note 2 2 2 3" xfId="3480"/>
    <cellStyle name="Note 2 2 2 3 2" xfId="3696"/>
    <cellStyle name="Note 2 2 2 4" xfId="3559"/>
    <cellStyle name="Note 2 2 2 4 2" xfId="3743"/>
    <cellStyle name="Note 2 2 2 5" xfId="3536"/>
    <cellStyle name="Note 2 2 2 5 2" xfId="3720"/>
    <cellStyle name="Note 2 2 2 6" xfId="3508"/>
    <cellStyle name="Note 2 2 3" xfId="2741"/>
    <cellStyle name="Note 2 2 3 2" xfId="3414"/>
    <cellStyle name="Note 2 2 3 2 2" xfId="3630"/>
    <cellStyle name="Note 2 2 3 3" xfId="3479"/>
    <cellStyle name="Note 2 2 3 3 2" xfId="3695"/>
    <cellStyle name="Note 2 2 3 4" xfId="3560"/>
    <cellStyle name="Note 2 2 3 4 2" xfId="3744"/>
    <cellStyle name="Note 2 2 3 5" xfId="3537"/>
    <cellStyle name="Note 2 2 3 5 2" xfId="3721"/>
    <cellStyle name="Note 2 2 3 6" xfId="3509"/>
    <cellStyle name="Note 2 2 4" xfId="2742"/>
    <cellStyle name="Note 2 2 4 2" xfId="3415"/>
    <cellStyle name="Note 2 2 4 2 2" xfId="3631"/>
    <cellStyle name="Note 2 2 4 3" xfId="3478"/>
    <cellStyle name="Note 2 2 4 3 2" xfId="3694"/>
    <cellStyle name="Note 2 2 4 4" xfId="3561"/>
    <cellStyle name="Note 2 2 4 4 2" xfId="3745"/>
    <cellStyle name="Note 2 2 4 5" xfId="3538"/>
    <cellStyle name="Note 2 2 4 5 2" xfId="3722"/>
    <cellStyle name="Note 2 2 4 6" xfId="3510"/>
    <cellStyle name="Note 2 2 5" xfId="3412"/>
    <cellStyle name="Note 2 2 5 2" xfId="3628"/>
    <cellStyle name="Note 2 2 6" xfId="3481"/>
    <cellStyle name="Note 2 2 6 2" xfId="3697"/>
    <cellStyle name="Note 2 2 7" xfId="3558"/>
    <cellStyle name="Note 2 2 7 2" xfId="3742"/>
    <cellStyle name="Note 2 2 8" xfId="3535"/>
    <cellStyle name="Note 2 2 8 2" xfId="3719"/>
    <cellStyle name="Note 2 2 9" xfId="3507"/>
    <cellStyle name="Note 2 3" xfId="2743"/>
    <cellStyle name="Note 2 3 2" xfId="2744"/>
    <cellStyle name="Note 2 3 2 2" xfId="3417"/>
    <cellStyle name="Note 2 3 2 2 2" xfId="3633"/>
    <cellStyle name="Note 2 3 2 3" xfId="3476"/>
    <cellStyle name="Note 2 3 2 3 2" xfId="3692"/>
    <cellStyle name="Note 2 3 2 4" xfId="3563"/>
    <cellStyle name="Note 2 3 2 4 2" xfId="3747"/>
    <cellStyle name="Note 2 3 2 5" xfId="3540"/>
    <cellStyle name="Note 2 3 2 5 2" xfId="3724"/>
    <cellStyle name="Note 2 3 2 6" xfId="3512"/>
    <cellStyle name="Note 2 3 3" xfId="2745"/>
    <cellStyle name="Note 2 3 3 2" xfId="3418"/>
    <cellStyle name="Note 2 3 3 2 2" xfId="3634"/>
    <cellStyle name="Note 2 3 3 3" xfId="3475"/>
    <cellStyle name="Note 2 3 3 3 2" xfId="3691"/>
    <cellStyle name="Note 2 3 3 4" xfId="3564"/>
    <cellStyle name="Note 2 3 3 4 2" xfId="3748"/>
    <cellStyle name="Note 2 3 3 5" xfId="3541"/>
    <cellStyle name="Note 2 3 3 5 2" xfId="3725"/>
    <cellStyle name="Note 2 3 3 6" xfId="3513"/>
    <cellStyle name="Note 2 3 4" xfId="2746"/>
    <cellStyle name="Note 2 3 4 2" xfId="3419"/>
    <cellStyle name="Note 2 3 4 2 2" xfId="3635"/>
    <cellStyle name="Note 2 3 4 3" xfId="3474"/>
    <cellStyle name="Note 2 3 4 3 2" xfId="3690"/>
    <cellStyle name="Note 2 3 4 4" xfId="3565"/>
    <cellStyle name="Note 2 3 4 4 2" xfId="3749"/>
    <cellStyle name="Note 2 3 4 5" xfId="3542"/>
    <cellStyle name="Note 2 3 4 5 2" xfId="3726"/>
    <cellStyle name="Note 2 3 4 6" xfId="3514"/>
    <cellStyle name="Note 2 3 5" xfId="3416"/>
    <cellStyle name="Note 2 3 5 2" xfId="3632"/>
    <cellStyle name="Note 2 3 6" xfId="3477"/>
    <cellStyle name="Note 2 3 6 2" xfId="3693"/>
    <cellStyle name="Note 2 3 7" xfId="3562"/>
    <cellStyle name="Note 2 3 7 2" xfId="3746"/>
    <cellStyle name="Note 2 3 8" xfId="3539"/>
    <cellStyle name="Note 2 3 8 2" xfId="3723"/>
    <cellStyle name="Note 2 3 9" xfId="3511"/>
    <cellStyle name="Note 2 4" xfId="2747"/>
    <cellStyle name="Note 2 4 2" xfId="3420"/>
    <cellStyle name="Note 2 4 2 2" xfId="3636"/>
    <cellStyle name="Note 2 4 3" xfId="3473"/>
    <cellStyle name="Note 2 4 3 2" xfId="3689"/>
    <cellStyle name="Note 2 4 4" xfId="3566"/>
    <cellStyle name="Note 2 4 4 2" xfId="3750"/>
    <cellStyle name="Note 2 4 5" xfId="3543"/>
    <cellStyle name="Note 2 4 5 2" xfId="3727"/>
    <cellStyle name="Note 2 4 6" xfId="3515"/>
    <cellStyle name="Note 2 5" xfId="2748"/>
    <cellStyle name="Note 2 5 2" xfId="3421"/>
    <cellStyle name="Note 2 5 2 2" xfId="3637"/>
    <cellStyle name="Note 2 5 3" xfId="3472"/>
    <cellStyle name="Note 2 5 3 2" xfId="3688"/>
    <cellStyle name="Note 2 5 4" xfId="3567"/>
    <cellStyle name="Note 2 5 4 2" xfId="3751"/>
    <cellStyle name="Note 2 5 5" xfId="3544"/>
    <cellStyle name="Note 2 5 5 2" xfId="3728"/>
    <cellStyle name="Note 2 5 6" xfId="3516"/>
    <cellStyle name="Note 2 6" xfId="2749"/>
    <cellStyle name="Note 2 6 2" xfId="3422"/>
    <cellStyle name="Note 2 6 2 2" xfId="3638"/>
    <cellStyle name="Note 2 6 3" xfId="3471"/>
    <cellStyle name="Note 2 6 3 2" xfId="3687"/>
    <cellStyle name="Note 2 6 4" xfId="3568"/>
    <cellStyle name="Note 2 6 4 2" xfId="3752"/>
    <cellStyle name="Note 2 6 5" xfId="3545"/>
    <cellStyle name="Note 2 6 5 2" xfId="3729"/>
    <cellStyle name="Note 2 6 6" xfId="3517"/>
    <cellStyle name="Note 2 7" xfId="3411"/>
    <cellStyle name="Note 2 7 2" xfId="3627"/>
    <cellStyle name="Note 2 8" xfId="3482"/>
    <cellStyle name="Note 2 8 2" xfId="3698"/>
    <cellStyle name="Note 2 9" xfId="3557"/>
    <cellStyle name="Note 2 9 2" xfId="3741"/>
    <cellStyle name="Note 3" xfId="2750"/>
    <cellStyle name="Note 3 2" xfId="2751"/>
    <cellStyle name="Note 3 2 2" xfId="3424"/>
    <cellStyle name="Note 3 2 2 2" xfId="3640"/>
    <cellStyle name="Note 3 2 3" xfId="3469"/>
    <cellStyle name="Note 3 2 3 2" xfId="3685"/>
    <cellStyle name="Note 3 2 4" xfId="3570"/>
    <cellStyle name="Note 3 2 4 2" xfId="3754"/>
    <cellStyle name="Note 3 2 5" xfId="3547"/>
    <cellStyle name="Note 3 2 5 2" xfId="3731"/>
    <cellStyle name="Note 3 2 6" xfId="3519"/>
    <cellStyle name="Note 3 3" xfId="2752"/>
    <cellStyle name="Note 3 3 2" xfId="3425"/>
    <cellStyle name="Note 3 3 2 2" xfId="3641"/>
    <cellStyle name="Note 3 3 3" xfId="3468"/>
    <cellStyle name="Note 3 3 3 2" xfId="3684"/>
    <cellStyle name="Note 3 3 4" xfId="3571"/>
    <cellStyle name="Note 3 3 4 2" xfId="3755"/>
    <cellStyle name="Note 3 3 5" xfId="3548"/>
    <cellStyle name="Note 3 3 5 2" xfId="3732"/>
    <cellStyle name="Note 3 3 6" xfId="3520"/>
    <cellStyle name="Note 3 4" xfId="2753"/>
    <cellStyle name="Note 3 4 2" xfId="3426"/>
    <cellStyle name="Note 3 4 2 2" xfId="3642"/>
    <cellStyle name="Note 3 4 3" xfId="3467"/>
    <cellStyle name="Note 3 4 3 2" xfId="3683"/>
    <cellStyle name="Note 3 4 4" xfId="3572"/>
    <cellStyle name="Note 3 4 4 2" xfId="3756"/>
    <cellStyle name="Note 3 4 5" xfId="3549"/>
    <cellStyle name="Note 3 4 5 2" xfId="3733"/>
    <cellStyle name="Note 3 4 6" xfId="3521"/>
    <cellStyle name="Note 3 5" xfId="3423"/>
    <cellStyle name="Note 3 5 2" xfId="3639"/>
    <cellStyle name="Note 3 6" xfId="3470"/>
    <cellStyle name="Note 3 6 2" xfId="3686"/>
    <cellStyle name="Note 3 7" xfId="3569"/>
    <cellStyle name="Note 3 7 2" xfId="3753"/>
    <cellStyle name="Note 3 8" xfId="3546"/>
    <cellStyle name="Note 3 8 2" xfId="3730"/>
    <cellStyle name="Note 3 9" xfId="3518"/>
    <cellStyle name="Note 4" xfId="2754"/>
    <cellStyle name="Note 4 2" xfId="2755"/>
    <cellStyle name="Note 4 2 2" xfId="3428"/>
    <cellStyle name="Note 4 2 2 2" xfId="3644"/>
    <cellStyle name="Note 4 2 3" xfId="3465"/>
    <cellStyle name="Note 4 2 3 2" xfId="3681"/>
    <cellStyle name="Note 4 2 4" xfId="3574"/>
    <cellStyle name="Note 4 2 4 2" xfId="3758"/>
    <cellStyle name="Note 4 2 5" xfId="3551"/>
    <cellStyle name="Note 4 2 5 2" xfId="3735"/>
    <cellStyle name="Note 4 2 6" xfId="3523"/>
    <cellStyle name="Note 4 3" xfId="2756"/>
    <cellStyle name="Note 4 3 2" xfId="3429"/>
    <cellStyle name="Note 4 3 2 2" xfId="3645"/>
    <cellStyle name="Note 4 3 3" xfId="3464"/>
    <cellStyle name="Note 4 3 3 2" xfId="3680"/>
    <cellStyle name="Note 4 3 4" xfId="3575"/>
    <cellStyle name="Note 4 3 4 2" xfId="3759"/>
    <cellStyle name="Note 4 3 5" xfId="3552"/>
    <cellStyle name="Note 4 3 5 2" xfId="3736"/>
    <cellStyle name="Note 4 3 6" xfId="3524"/>
    <cellStyle name="Note 4 4" xfId="2757"/>
    <cellStyle name="Note 4 4 2" xfId="3430"/>
    <cellStyle name="Note 4 4 2 2" xfId="3646"/>
    <cellStyle name="Note 4 4 3" xfId="3463"/>
    <cellStyle name="Note 4 4 3 2" xfId="3679"/>
    <cellStyle name="Note 4 4 4" xfId="3576"/>
    <cellStyle name="Note 4 4 4 2" xfId="3760"/>
    <cellStyle name="Note 4 4 5" xfId="3553"/>
    <cellStyle name="Note 4 4 5 2" xfId="3737"/>
    <cellStyle name="Note 4 4 6" xfId="3525"/>
    <cellStyle name="Note 4 5" xfId="3427"/>
    <cellStyle name="Note 4 5 2" xfId="3643"/>
    <cellStyle name="Note 4 6" xfId="3466"/>
    <cellStyle name="Note 4 6 2" xfId="3682"/>
    <cellStyle name="Note 4 7" xfId="3573"/>
    <cellStyle name="Note 4 7 2" xfId="3757"/>
    <cellStyle name="Note 4 8" xfId="3550"/>
    <cellStyle name="Note 4 8 2" xfId="3734"/>
    <cellStyle name="Note 4 9" xfId="3522"/>
    <cellStyle name="Note 5" xfId="2758"/>
    <cellStyle name="Note 5 2" xfId="2759"/>
    <cellStyle name="Note 5 2 2" xfId="3432"/>
    <cellStyle name="Note 5 2 2 2" xfId="3648"/>
    <cellStyle name="Note 5 2 3" xfId="3461"/>
    <cellStyle name="Note 5 2 3 2" xfId="3677"/>
    <cellStyle name="Note 5 2 4" xfId="3578"/>
    <cellStyle name="Note 5 2 4 2" xfId="3762"/>
    <cellStyle name="Note 5 2 5" xfId="3554"/>
    <cellStyle name="Note 5 2 5 2" xfId="3738"/>
    <cellStyle name="Note 5 2 6" xfId="3527"/>
    <cellStyle name="Note 5 3" xfId="2760"/>
    <cellStyle name="Note 5 3 2" xfId="3433"/>
    <cellStyle name="Note 5 3 2 2" xfId="3649"/>
    <cellStyle name="Note 5 3 3" xfId="3460"/>
    <cellStyle name="Note 5 3 3 2" xfId="3676"/>
    <cellStyle name="Note 5 3 4" xfId="3579"/>
    <cellStyle name="Note 5 3 4 2" xfId="3763"/>
    <cellStyle name="Note 5 3 5" xfId="3555"/>
    <cellStyle name="Note 5 3 5 2" xfId="3739"/>
    <cellStyle name="Note 5 3 6" xfId="3528"/>
    <cellStyle name="Note 5 4" xfId="2761"/>
    <cellStyle name="Note 5 4 2" xfId="3434"/>
    <cellStyle name="Note 5 4 2 2" xfId="3650"/>
    <cellStyle name="Note 5 4 3" xfId="3459"/>
    <cellStyle name="Note 5 4 3 2" xfId="3675"/>
    <cellStyle name="Note 5 4 4" xfId="3580"/>
    <cellStyle name="Note 5 4 4 2" xfId="3764"/>
    <cellStyle name="Note 5 4 5" xfId="3556"/>
    <cellStyle name="Note 5 4 5 2" xfId="3740"/>
    <cellStyle name="Note 5 4 6" xfId="3529"/>
    <cellStyle name="Note 5 5" xfId="3431"/>
    <cellStyle name="Note 5 5 2" xfId="3647"/>
    <cellStyle name="Note 5 6" xfId="3462"/>
    <cellStyle name="Note 5 6 2" xfId="3678"/>
    <cellStyle name="Note 5 7" xfId="3577"/>
    <cellStyle name="Note 5 7 2" xfId="3761"/>
    <cellStyle name="Note 5 8" xfId="3597"/>
    <cellStyle name="Note 5 8 2" xfId="3777"/>
    <cellStyle name="Note 5 9" xfId="3526"/>
    <cellStyle name="Output" xfId="66" builtinId="21" customBuiltin="1"/>
    <cellStyle name="Output 2" xfId="2762"/>
    <cellStyle name="Output 2 10" xfId="3530"/>
    <cellStyle name="Output 2 2" xfId="2763"/>
    <cellStyle name="Output 2 2 2" xfId="3436"/>
    <cellStyle name="Output 2 2 2 2" xfId="3652"/>
    <cellStyle name="Output 2 2 3" xfId="3457"/>
    <cellStyle name="Output 2 2 3 2" xfId="3673"/>
    <cellStyle name="Output 2 2 4" xfId="3582"/>
    <cellStyle name="Output 2 2 4 2" xfId="3766"/>
    <cellStyle name="Output 2 2 5" xfId="3453"/>
    <cellStyle name="Output 2 2 5 2" xfId="3669"/>
    <cellStyle name="Output 2 2 6" xfId="3585"/>
    <cellStyle name="Output 2 2 6 2" xfId="3769"/>
    <cellStyle name="Output 2 2 7" xfId="3531"/>
    <cellStyle name="Output 2 3" xfId="2764"/>
    <cellStyle name="Output 2 3 2" xfId="3437"/>
    <cellStyle name="Output 2 3 2 2" xfId="3653"/>
    <cellStyle name="Output 2 3 3" xfId="3456"/>
    <cellStyle name="Output 2 3 3 2" xfId="3672"/>
    <cellStyle name="Output 2 3 4" xfId="3583"/>
    <cellStyle name="Output 2 3 4 2" xfId="3767"/>
    <cellStyle name="Output 2 3 5" xfId="3452"/>
    <cellStyle name="Output 2 3 5 2" xfId="3668"/>
    <cellStyle name="Output 2 3 6" xfId="3586"/>
    <cellStyle name="Output 2 3 6 2" xfId="3770"/>
    <cellStyle name="Output 2 3 7" xfId="3532"/>
    <cellStyle name="Output 2 4" xfId="2765"/>
    <cellStyle name="Output 2 4 2" xfId="3438"/>
    <cellStyle name="Output 2 4 2 2" xfId="3654"/>
    <cellStyle name="Output 2 4 3" xfId="3455"/>
    <cellStyle name="Output 2 4 3 2" xfId="3671"/>
    <cellStyle name="Output 2 4 4" xfId="3584"/>
    <cellStyle name="Output 2 4 4 2" xfId="3768"/>
    <cellStyle name="Output 2 4 5" xfId="3451"/>
    <cellStyle name="Output 2 4 5 2" xfId="3667"/>
    <cellStyle name="Output 2 4 6" xfId="3587"/>
    <cellStyle name="Output 2 4 6 2" xfId="3771"/>
    <cellStyle name="Output 2 4 7" xfId="3533"/>
    <cellStyle name="Output 2 5" xfId="3435"/>
    <cellStyle name="Output 2 5 2" xfId="3651"/>
    <cellStyle name="Output 2 6" xfId="3458"/>
    <cellStyle name="Output 2 6 2" xfId="3674"/>
    <cellStyle name="Output 2 7" xfId="3581"/>
    <cellStyle name="Output 2 7 2" xfId="3765"/>
    <cellStyle name="Output 2 8" xfId="3454"/>
    <cellStyle name="Output 2 8 2" xfId="3670"/>
    <cellStyle name="Output 2 9" xfId="3608"/>
    <cellStyle name="Output 2 9 2" xfId="3786"/>
    <cellStyle name="Percent 10" xfId="2766"/>
    <cellStyle name="Percent 10 2" xfId="2767"/>
    <cellStyle name="Percent 11" xfId="2768"/>
    <cellStyle name="Percent 12" xfId="2769"/>
    <cellStyle name="Percent 12 2" xfId="2770"/>
    <cellStyle name="Percent 13" xfId="2771"/>
    <cellStyle name="Percent 14" xfId="2772"/>
    <cellStyle name="Percent 2" xfId="2773"/>
    <cellStyle name="Percent 2 2" xfId="2774"/>
    <cellStyle name="Percent 2 3" xfId="2775"/>
    <cellStyle name="Percent 3" xfId="2776"/>
    <cellStyle name="Percent 3 10" xfId="2777"/>
    <cellStyle name="Percent 3 10 2" xfId="2778"/>
    <cellStyle name="Percent 3 11" xfId="2779"/>
    <cellStyle name="Percent 3 11 2" xfId="2780"/>
    <cellStyle name="Percent 3 12" xfId="2781"/>
    <cellStyle name="Percent 3 12 2" xfId="2782"/>
    <cellStyle name="Percent 3 13" xfId="2783"/>
    <cellStyle name="Percent 3 2" xfId="2784"/>
    <cellStyle name="Percent 3 2 10" xfId="2785"/>
    <cellStyle name="Percent 3 2 10 2" xfId="2786"/>
    <cellStyle name="Percent 3 2 11" xfId="2787"/>
    <cellStyle name="Percent 3 2 11 2" xfId="2788"/>
    <cellStyle name="Percent 3 2 12" xfId="2789"/>
    <cellStyle name="Percent 3 2 2" xfId="2790"/>
    <cellStyle name="Percent 3 2 2 2" xfId="2791"/>
    <cellStyle name="Percent 3 2 2 2 2" xfId="2792"/>
    <cellStyle name="Percent 3 2 2 2 2 2" xfId="2793"/>
    <cellStyle name="Percent 3 2 2 2 3" xfId="2794"/>
    <cellStyle name="Percent 3 2 2 3" xfId="2795"/>
    <cellStyle name="Percent 3 2 2 3 2" xfId="2796"/>
    <cellStyle name="Percent 3 2 2 3 2 2" xfId="2797"/>
    <cellStyle name="Percent 3 2 2 3 3" xfId="2798"/>
    <cellStyle name="Percent 3 2 2 4" xfId="2799"/>
    <cellStyle name="Percent 3 2 2 4 2" xfId="2800"/>
    <cellStyle name="Percent 3 2 2 4 2 2" xfId="2801"/>
    <cellStyle name="Percent 3 2 2 4 3" xfId="2802"/>
    <cellStyle name="Percent 3 2 2 5" xfId="2803"/>
    <cellStyle name="Percent 3 2 2 5 2" xfId="2804"/>
    <cellStyle name="Percent 3 2 2 5 2 2" xfId="2805"/>
    <cellStyle name="Percent 3 2 2 5 3" xfId="2806"/>
    <cellStyle name="Percent 3 2 2 6" xfId="2807"/>
    <cellStyle name="Percent 3 2 2 6 2" xfId="2808"/>
    <cellStyle name="Percent 3 2 2 7" xfId="2809"/>
    <cellStyle name="Percent 3 2 2 7 2" xfId="2810"/>
    <cellStyle name="Percent 3 2 2 8" xfId="2811"/>
    <cellStyle name="Percent 3 2 2 8 2" xfId="2812"/>
    <cellStyle name="Percent 3 2 2 9" xfId="2813"/>
    <cellStyle name="Percent 3 2 3" xfId="2814"/>
    <cellStyle name="Percent 3 2 3 2" xfId="2815"/>
    <cellStyle name="Percent 3 2 3 2 2" xfId="2816"/>
    <cellStyle name="Percent 3 2 3 2 2 2" xfId="2817"/>
    <cellStyle name="Percent 3 2 3 2 3" xfId="2818"/>
    <cellStyle name="Percent 3 2 3 3" xfId="2819"/>
    <cellStyle name="Percent 3 2 3 3 2" xfId="2820"/>
    <cellStyle name="Percent 3 2 3 3 2 2" xfId="2821"/>
    <cellStyle name="Percent 3 2 3 3 3" xfId="2822"/>
    <cellStyle name="Percent 3 2 3 4" xfId="2823"/>
    <cellStyle name="Percent 3 2 3 4 2" xfId="2824"/>
    <cellStyle name="Percent 3 2 3 4 2 2" xfId="2825"/>
    <cellStyle name="Percent 3 2 3 4 3" xfId="2826"/>
    <cellStyle name="Percent 3 2 3 5" xfId="2827"/>
    <cellStyle name="Percent 3 2 3 5 2" xfId="2828"/>
    <cellStyle name="Percent 3 2 3 5 2 2" xfId="2829"/>
    <cellStyle name="Percent 3 2 3 5 3" xfId="2830"/>
    <cellStyle name="Percent 3 2 3 6" xfId="2831"/>
    <cellStyle name="Percent 3 2 3 6 2" xfId="2832"/>
    <cellStyle name="Percent 3 2 3 7" xfId="2833"/>
    <cellStyle name="Percent 3 2 3 7 2" xfId="2834"/>
    <cellStyle name="Percent 3 2 3 8" xfId="2835"/>
    <cellStyle name="Percent 3 2 3 8 2" xfId="2836"/>
    <cellStyle name="Percent 3 2 3 9" xfId="2837"/>
    <cellStyle name="Percent 3 2 4" xfId="2838"/>
    <cellStyle name="Percent 3 2 4 2" xfId="2839"/>
    <cellStyle name="Percent 3 2 4 2 2" xfId="2840"/>
    <cellStyle name="Percent 3 2 4 2 2 2" xfId="2841"/>
    <cellStyle name="Percent 3 2 4 2 3" xfId="2842"/>
    <cellStyle name="Percent 3 2 4 3" xfId="2843"/>
    <cellStyle name="Percent 3 2 4 3 2" xfId="2844"/>
    <cellStyle name="Percent 3 2 4 3 2 2" xfId="2845"/>
    <cellStyle name="Percent 3 2 4 3 3" xfId="2846"/>
    <cellStyle name="Percent 3 2 4 4" xfId="2847"/>
    <cellStyle name="Percent 3 2 4 4 2" xfId="2848"/>
    <cellStyle name="Percent 3 2 4 4 2 2" xfId="2849"/>
    <cellStyle name="Percent 3 2 4 4 3" xfId="2850"/>
    <cellStyle name="Percent 3 2 4 5" xfId="2851"/>
    <cellStyle name="Percent 3 2 4 5 2" xfId="2852"/>
    <cellStyle name="Percent 3 2 4 5 2 2" xfId="2853"/>
    <cellStyle name="Percent 3 2 4 5 3" xfId="2854"/>
    <cellStyle name="Percent 3 2 4 6" xfId="2855"/>
    <cellStyle name="Percent 3 2 4 6 2" xfId="2856"/>
    <cellStyle name="Percent 3 2 4 7" xfId="2857"/>
    <cellStyle name="Percent 3 2 4 7 2" xfId="2858"/>
    <cellStyle name="Percent 3 2 4 8" xfId="2859"/>
    <cellStyle name="Percent 3 2 4 8 2" xfId="2860"/>
    <cellStyle name="Percent 3 2 4 9" xfId="2861"/>
    <cellStyle name="Percent 3 2 5" xfId="2862"/>
    <cellStyle name="Percent 3 2 5 2" xfId="2863"/>
    <cellStyle name="Percent 3 2 5 2 2" xfId="2864"/>
    <cellStyle name="Percent 3 2 5 3" xfId="2865"/>
    <cellStyle name="Percent 3 2 6" xfId="2866"/>
    <cellStyle name="Percent 3 2 6 2" xfId="2867"/>
    <cellStyle name="Percent 3 2 6 2 2" xfId="2868"/>
    <cellStyle name="Percent 3 2 6 3" xfId="2869"/>
    <cellStyle name="Percent 3 2 7" xfId="2870"/>
    <cellStyle name="Percent 3 2 7 2" xfId="2871"/>
    <cellStyle name="Percent 3 2 7 2 2" xfId="2872"/>
    <cellStyle name="Percent 3 2 7 3" xfId="2873"/>
    <cellStyle name="Percent 3 2 8" xfId="2874"/>
    <cellStyle name="Percent 3 2 8 2" xfId="2875"/>
    <cellStyle name="Percent 3 2 8 2 2" xfId="2876"/>
    <cellStyle name="Percent 3 2 8 3" xfId="2877"/>
    <cellStyle name="Percent 3 2 9" xfId="2878"/>
    <cellStyle name="Percent 3 2 9 2" xfId="2879"/>
    <cellStyle name="Percent 3 3" xfId="2880"/>
    <cellStyle name="Percent 3 3 2" xfId="2881"/>
    <cellStyle name="Percent 3 3 2 2" xfId="2882"/>
    <cellStyle name="Percent 3 3 2 2 2" xfId="2883"/>
    <cellStyle name="Percent 3 3 2 3" xfId="2884"/>
    <cellStyle name="Percent 3 3 3" xfId="2885"/>
    <cellStyle name="Percent 3 3 3 2" xfId="2886"/>
    <cellStyle name="Percent 3 3 3 2 2" xfId="2887"/>
    <cellStyle name="Percent 3 3 3 3" xfId="2888"/>
    <cellStyle name="Percent 3 3 4" xfId="2889"/>
    <cellStyle name="Percent 3 3 4 2" xfId="2890"/>
    <cellStyle name="Percent 3 3 4 2 2" xfId="2891"/>
    <cellStyle name="Percent 3 3 4 3" xfId="2892"/>
    <cellStyle name="Percent 3 3 5" xfId="2893"/>
    <cellStyle name="Percent 3 3 5 2" xfId="2894"/>
    <cellStyle name="Percent 3 3 5 2 2" xfId="2895"/>
    <cellStyle name="Percent 3 3 5 3" xfId="2896"/>
    <cellStyle name="Percent 3 3 6" xfId="2897"/>
    <cellStyle name="Percent 3 3 6 2" xfId="2898"/>
    <cellStyle name="Percent 3 3 7" xfId="2899"/>
    <cellStyle name="Percent 3 3 7 2" xfId="2900"/>
    <cellStyle name="Percent 3 3 8" xfId="2901"/>
    <cellStyle name="Percent 3 3 8 2" xfId="2902"/>
    <cellStyle name="Percent 3 3 9" xfId="2903"/>
    <cellStyle name="Percent 3 4" xfId="2904"/>
    <cellStyle name="Percent 3 4 2" xfId="2905"/>
    <cellStyle name="Percent 3 4 2 2" xfId="2906"/>
    <cellStyle name="Percent 3 4 2 2 2" xfId="2907"/>
    <cellStyle name="Percent 3 4 2 3" xfId="2908"/>
    <cellStyle name="Percent 3 4 3" xfId="2909"/>
    <cellStyle name="Percent 3 4 3 2" xfId="2910"/>
    <cellStyle name="Percent 3 4 3 2 2" xfId="2911"/>
    <cellStyle name="Percent 3 4 3 3" xfId="2912"/>
    <cellStyle name="Percent 3 4 4" xfId="2913"/>
    <cellStyle name="Percent 3 4 4 2" xfId="2914"/>
    <cellStyle name="Percent 3 4 4 2 2" xfId="2915"/>
    <cellStyle name="Percent 3 4 4 3" xfId="2916"/>
    <cellStyle name="Percent 3 4 5" xfId="2917"/>
    <cellStyle name="Percent 3 4 5 2" xfId="2918"/>
    <cellStyle name="Percent 3 4 5 2 2" xfId="2919"/>
    <cellStyle name="Percent 3 4 5 3" xfId="2920"/>
    <cellStyle name="Percent 3 4 6" xfId="2921"/>
    <cellStyle name="Percent 3 4 6 2" xfId="2922"/>
    <cellStyle name="Percent 3 4 7" xfId="2923"/>
    <cellStyle name="Percent 3 4 7 2" xfId="2924"/>
    <cellStyle name="Percent 3 4 8" xfId="2925"/>
    <cellStyle name="Percent 3 4 8 2" xfId="2926"/>
    <cellStyle name="Percent 3 4 9" xfId="2927"/>
    <cellStyle name="Percent 3 5" xfId="2928"/>
    <cellStyle name="Percent 3 5 2" xfId="2929"/>
    <cellStyle name="Percent 3 5 2 2" xfId="2930"/>
    <cellStyle name="Percent 3 5 2 2 2" xfId="2931"/>
    <cellStyle name="Percent 3 5 2 3" xfId="2932"/>
    <cellStyle name="Percent 3 5 3" xfId="2933"/>
    <cellStyle name="Percent 3 5 3 2" xfId="2934"/>
    <cellStyle name="Percent 3 5 3 2 2" xfId="2935"/>
    <cellStyle name="Percent 3 5 3 3" xfId="2936"/>
    <cellStyle name="Percent 3 5 4" xfId="2937"/>
    <cellStyle name="Percent 3 5 4 2" xfId="2938"/>
    <cellStyle name="Percent 3 5 4 2 2" xfId="2939"/>
    <cellStyle name="Percent 3 5 4 3" xfId="2940"/>
    <cellStyle name="Percent 3 5 5" xfId="2941"/>
    <cellStyle name="Percent 3 5 5 2" xfId="2942"/>
    <cellStyle name="Percent 3 5 5 2 2" xfId="2943"/>
    <cellStyle name="Percent 3 5 5 3" xfId="2944"/>
    <cellStyle name="Percent 3 5 6" xfId="2945"/>
    <cellStyle name="Percent 3 5 6 2" xfId="2946"/>
    <cellStyle name="Percent 3 5 7" xfId="2947"/>
    <cellStyle name="Percent 3 5 7 2" xfId="2948"/>
    <cellStyle name="Percent 3 5 8" xfId="2949"/>
    <cellStyle name="Percent 3 5 8 2" xfId="2950"/>
    <cellStyle name="Percent 3 5 9" xfId="2951"/>
    <cellStyle name="Percent 3 6" xfId="2952"/>
    <cellStyle name="Percent 3 6 2" xfId="2953"/>
    <cellStyle name="Percent 3 6 2 2" xfId="2954"/>
    <cellStyle name="Percent 3 6 3" xfId="2955"/>
    <cellStyle name="Percent 3 7" xfId="2956"/>
    <cellStyle name="Percent 3 7 2" xfId="2957"/>
    <cellStyle name="Percent 3 7 2 2" xfId="2958"/>
    <cellStyle name="Percent 3 7 3" xfId="2959"/>
    <cellStyle name="Percent 3 8" xfId="2960"/>
    <cellStyle name="Percent 3 8 2" xfId="2961"/>
    <cellStyle name="Percent 3 8 2 2" xfId="2962"/>
    <cellStyle name="Percent 3 8 3" xfId="2963"/>
    <cellStyle name="Percent 3 9" xfId="2964"/>
    <cellStyle name="Percent 3 9 2" xfId="2965"/>
    <cellStyle name="Percent 3 9 2 2" xfId="2966"/>
    <cellStyle name="Percent 3 9 3" xfId="2967"/>
    <cellStyle name="Percent 4" xfId="2968"/>
    <cellStyle name="Percent 4 10" xfId="2969"/>
    <cellStyle name="Percent 4 10 2" xfId="2970"/>
    <cellStyle name="Percent 4 11" xfId="2971"/>
    <cellStyle name="Percent 4 11 2" xfId="2972"/>
    <cellStyle name="Percent 4 12" xfId="2973"/>
    <cellStyle name="Percent 4 12 2" xfId="2974"/>
    <cellStyle name="Percent 4 13" xfId="2975"/>
    <cellStyle name="Percent 4 2" xfId="2976"/>
    <cellStyle name="Percent 4 2 10" xfId="2977"/>
    <cellStyle name="Percent 4 2 10 2" xfId="2978"/>
    <cellStyle name="Percent 4 2 11" xfId="2979"/>
    <cellStyle name="Percent 4 2 11 2" xfId="2980"/>
    <cellStyle name="Percent 4 2 12" xfId="2981"/>
    <cellStyle name="Percent 4 2 2" xfId="2982"/>
    <cellStyle name="Percent 4 2 2 2" xfId="2983"/>
    <cellStyle name="Percent 4 2 2 2 2" xfId="2984"/>
    <cellStyle name="Percent 4 2 2 2 2 2" xfId="2985"/>
    <cellStyle name="Percent 4 2 2 2 3" xfId="2986"/>
    <cellStyle name="Percent 4 2 2 3" xfId="2987"/>
    <cellStyle name="Percent 4 2 2 3 2" xfId="2988"/>
    <cellStyle name="Percent 4 2 2 3 2 2" xfId="2989"/>
    <cellStyle name="Percent 4 2 2 3 3" xfId="2990"/>
    <cellStyle name="Percent 4 2 2 4" xfId="2991"/>
    <cellStyle name="Percent 4 2 2 4 2" xfId="2992"/>
    <cellStyle name="Percent 4 2 2 4 2 2" xfId="2993"/>
    <cellStyle name="Percent 4 2 2 4 3" xfId="2994"/>
    <cellStyle name="Percent 4 2 2 5" xfId="2995"/>
    <cellStyle name="Percent 4 2 2 5 2" xfId="2996"/>
    <cellStyle name="Percent 4 2 2 5 2 2" xfId="2997"/>
    <cellStyle name="Percent 4 2 2 5 3" xfId="2998"/>
    <cellStyle name="Percent 4 2 2 6" xfId="2999"/>
    <cellStyle name="Percent 4 2 2 6 2" xfId="3000"/>
    <cellStyle name="Percent 4 2 2 7" xfId="3001"/>
    <cellStyle name="Percent 4 2 2 7 2" xfId="3002"/>
    <cellStyle name="Percent 4 2 2 8" xfId="3003"/>
    <cellStyle name="Percent 4 2 2 8 2" xfId="3004"/>
    <cellStyle name="Percent 4 2 2 9" xfId="3005"/>
    <cellStyle name="Percent 4 2 3" xfId="3006"/>
    <cellStyle name="Percent 4 2 3 2" xfId="3007"/>
    <cellStyle name="Percent 4 2 3 2 2" xfId="3008"/>
    <cellStyle name="Percent 4 2 3 2 2 2" xfId="3009"/>
    <cellStyle name="Percent 4 2 3 2 3" xfId="3010"/>
    <cellStyle name="Percent 4 2 3 3" xfId="3011"/>
    <cellStyle name="Percent 4 2 3 3 2" xfId="3012"/>
    <cellStyle name="Percent 4 2 3 3 2 2" xfId="3013"/>
    <cellStyle name="Percent 4 2 3 3 3" xfId="3014"/>
    <cellStyle name="Percent 4 2 3 4" xfId="3015"/>
    <cellStyle name="Percent 4 2 3 4 2" xfId="3016"/>
    <cellStyle name="Percent 4 2 3 4 2 2" xfId="3017"/>
    <cellStyle name="Percent 4 2 3 4 3" xfId="3018"/>
    <cellStyle name="Percent 4 2 3 5" xfId="3019"/>
    <cellStyle name="Percent 4 2 3 5 2" xfId="3020"/>
    <cellStyle name="Percent 4 2 3 5 2 2" xfId="3021"/>
    <cellStyle name="Percent 4 2 3 5 3" xfId="3022"/>
    <cellStyle name="Percent 4 2 3 6" xfId="3023"/>
    <cellStyle name="Percent 4 2 3 6 2" xfId="3024"/>
    <cellStyle name="Percent 4 2 3 7" xfId="3025"/>
    <cellStyle name="Percent 4 2 3 7 2" xfId="3026"/>
    <cellStyle name="Percent 4 2 3 8" xfId="3027"/>
    <cellStyle name="Percent 4 2 3 8 2" xfId="3028"/>
    <cellStyle name="Percent 4 2 3 9" xfId="3029"/>
    <cellStyle name="Percent 4 2 4" xfId="3030"/>
    <cellStyle name="Percent 4 2 4 2" xfId="3031"/>
    <cellStyle name="Percent 4 2 4 2 2" xfId="3032"/>
    <cellStyle name="Percent 4 2 4 2 2 2" xfId="3033"/>
    <cellStyle name="Percent 4 2 4 2 3" xfId="3034"/>
    <cellStyle name="Percent 4 2 4 3" xfId="3035"/>
    <cellStyle name="Percent 4 2 4 3 2" xfId="3036"/>
    <cellStyle name="Percent 4 2 4 3 2 2" xfId="3037"/>
    <cellStyle name="Percent 4 2 4 3 3" xfId="3038"/>
    <cellStyle name="Percent 4 2 4 4" xfId="3039"/>
    <cellStyle name="Percent 4 2 4 4 2" xfId="3040"/>
    <cellStyle name="Percent 4 2 4 4 2 2" xfId="3041"/>
    <cellStyle name="Percent 4 2 4 4 3" xfId="3042"/>
    <cellStyle name="Percent 4 2 4 5" xfId="3043"/>
    <cellStyle name="Percent 4 2 4 5 2" xfId="3044"/>
    <cellStyle name="Percent 4 2 4 5 2 2" xfId="3045"/>
    <cellStyle name="Percent 4 2 4 5 3" xfId="3046"/>
    <cellStyle name="Percent 4 2 4 6" xfId="3047"/>
    <cellStyle name="Percent 4 2 4 6 2" xfId="3048"/>
    <cellStyle name="Percent 4 2 4 7" xfId="3049"/>
    <cellStyle name="Percent 4 2 4 7 2" xfId="3050"/>
    <cellStyle name="Percent 4 2 4 8" xfId="3051"/>
    <cellStyle name="Percent 4 2 4 8 2" xfId="3052"/>
    <cellStyle name="Percent 4 2 4 9" xfId="3053"/>
    <cellStyle name="Percent 4 2 5" xfId="3054"/>
    <cellStyle name="Percent 4 2 5 2" xfId="3055"/>
    <cellStyle name="Percent 4 2 5 2 2" xfId="3056"/>
    <cellStyle name="Percent 4 2 5 3" xfId="3057"/>
    <cellStyle name="Percent 4 2 6" xfId="3058"/>
    <cellStyle name="Percent 4 2 6 2" xfId="3059"/>
    <cellStyle name="Percent 4 2 6 2 2" xfId="3060"/>
    <cellStyle name="Percent 4 2 6 3" xfId="3061"/>
    <cellStyle name="Percent 4 2 7" xfId="3062"/>
    <cellStyle name="Percent 4 2 7 2" xfId="3063"/>
    <cellStyle name="Percent 4 2 7 2 2" xfId="3064"/>
    <cellStyle name="Percent 4 2 7 3" xfId="3065"/>
    <cellStyle name="Percent 4 2 8" xfId="3066"/>
    <cellStyle name="Percent 4 2 8 2" xfId="3067"/>
    <cellStyle name="Percent 4 2 8 2 2" xfId="3068"/>
    <cellStyle name="Percent 4 2 8 3" xfId="3069"/>
    <cellStyle name="Percent 4 2 9" xfId="3070"/>
    <cellStyle name="Percent 4 2 9 2" xfId="3071"/>
    <cellStyle name="Percent 4 3" xfId="3072"/>
    <cellStyle name="Percent 4 4" xfId="3073"/>
    <cellStyle name="Percent 4 4 2" xfId="3074"/>
    <cellStyle name="Percent 4 4 2 2" xfId="3075"/>
    <cellStyle name="Percent 4 4 2 2 2" xfId="3076"/>
    <cellStyle name="Percent 4 4 2 3" xfId="3077"/>
    <cellStyle name="Percent 4 4 3" xfId="3078"/>
    <cellStyle name="Percent 4 4 3 2" xfId="3079"/>
    <cellStyle name="Percent 4 4 3 2 2" xfId="3080"/>
    <cellStyle name="Percent 4 4 3 3" xfId="3081"/>
    <cellStyle name="Percent 4 4 4" xfId="3082"/>
    <cellStyle name="Percent 4 4 4 2" xfId="3083"/>
    <cellStyle name="Percent 4 4 4 2 2" xfId="3084"/>
    <cellStyle name="Percent 4 4 4 3" xfId="3085"/>
    <cellStyle name="Percent 4 4 5" xfId="3086"/>
    <cellStyle name="Percent 4 4 5 2" xfId="3087"/>
    <cellStyle name="Percent 4 4 5 2 2" xfId="3088"/>
    <cellStyle name="Percent 4 4 5 3" xfId="3089"/>
    <cellStyle name="Percent 4 4 6" xfId="3090"/>
    <cellStyle name="Percent 4 4 6 2" xfId="3091"/>
    <cellStyle name="Percent 4 4 7" xfId="3092"/>
    <cellStyle name="Percent 4 4 7 2" xfId="3093"/>
    <cellStyle name="Percent 4 4 8" xfId="3094"/>
    <cellStyle name="Percent 4 4 8 2" xfId="3095"/>
    <cellStyle name="Percent 4 4 9" xfId="3096"/>
    <cellStyle name="Percent 4 5" xfId="3097"/>
    <cellStyle name="Percent 4 5 2" xfId="3098"/>
    <cellStyle name="Percent 4 5 2 2" xfId="3099"/>
    <cellStyle name="Percent 4 5 2 2 2" xfId="3100"/>
    <cellStyle name="Percent 4 5 2 3" xfId="3101"/>
    <cellStyle name="Percent 4 5 3" xfId="3102"/>
    <cellStyle name="Percent 4 5 3 2" xfId="3103"/>
    <cellStyle name="Percent 4 5 3 2 2" xfId="3104"/>
    <cellStyle name="Percent 4 5 3 3" xfId="3105"/>
    <cellStyle name="Percent 4 5 4" xfId="3106"/>
    <cellStyle name="Percent 4 5 4 2" xfId="3107"/>
    <cellStyle name="Percent 4 5 4 2 2" xfId="3108"/>
    <cellStyle name="Percent 4 5 4 3" xfId="3109"/>
    <cellStyle name="Percent 4 5 5" xfId="3110"/>
    <cellStyle name="Percent 4 5 5 2" xfId="3111"/>
    <cellStyle name="Percent 4 5 5 2 2" xfId="3112"/>
    <cellStyle name="Percent 4 5 5 3" xfId="3113"/>
    <cellStyle name="Percent 4 5 6" xfId="3114"/>
    <cellStyle name="Percent 4 5 6 2" xfId="3115"/>
    <cellStyle name="Percent 4 5 7" xfId="3116"/>
    <cellStyle name="Percent 4 5 7 2" xfId="3117"/>
    <cellStyle name="Percent 4 5 8" xfId="3118"/>
    <cellStyle name="Percent 4 5 8 2" xfId="3119"/>
    <cellStyle name="Percent 4 5 9" xfId="3120"/>
    <cellStyle name="Percent 4 6" xfId="3121"/>
    <cellStyle name="Percent 4 6 2" xfId="3122"/>
    <cellStyle name="Percent 4 6 2 2" xfId="3123"/>
    <cellStyle name="Percent 4 6 3" xfId="3124"/>
    <cellStyle name="Percent 4 7" xfId="3125"/>
    <cellStyle name="Percent 4 7 2" xfId="3126"/>
    <cellStyle name="Percent 4 7 2 2" xfId="3127"/>
    <cellStyle name="Percent 4 7 3" xfId="3128"/>
    <cellStyle name="Percent 4 8" xfId="3129"/>
    <cellStyle name="Percent 4 8 2" xfId="3130"/>
    <cellStyle name="Percent 4 8 2 2" xfId="3131"/>
    <cellStyle name="Percent 4 8 3" xfId="3132"/>
    <cellStyle name="Percent 4 9" xfId="3133"/>
    <cellStyle name="Percent 4 9 2" xfId="3134"/>
    <cellStyle name="Percent 4 9 2 2" xfId="3135"/>
    <cellStyle name="Percent 4 9 3" xfId="3136"/>
    <cellStyle name="Percent 5" xfId="3137"/>
    <cellStyle name="Percent 5 10" xfId="3138"/>
    <cellStyle name="Percent 5 10 2" xfId="3139"/>
    <cellStyle name="Percent 5 11" xfId="3140"/>
    <cellStyle name="Percent 5 11 2" xfId="3141"/>
    <cellStyle name="Percent 5 12" xfId="3142"/>
    <cellStyle name="Percent 5 12 2" xfId="3143"/>
    <cellStyle name="Percent 5 13" xfId="3144"/>
    <cellStyle name="Percent 5 2" xfId="3145"/>
    <cellStyle name="Percent 5 2 10" xfId="3146"/>
    <cellStyle name="Percent 5 2 10 2" xfId="3147"/>
    <cellStyle name="Percent 5 2 11" xfId="3148"/>
    <cellStyle name="Percent 5 2 2" xfId="3149"/>
    <cellStyle name="Percent 5 2 2 2" xfId="3150"/>
    <cellStyle name="Percent 5 2 2 2 2" xfId="3151"/>
    <cellStyle name="Percent 5 2 2 2 2 2" xfId="3152"/>
    <cellStyle name="Percent 5 2 2 2 3" xfId="3153"/>
    <cellStyle name="Percent 5 2 2 3" xfId="3154"/>
    <cellStyle name="Percent 5 2 2 3 2" xfId="3155"/>
    <cellStyle name="Percent 5 2 2 3 2 2" xfId="3156"/>
    <cellStyle name="Percent 5 2 2 3 3" xfId="3157"/>
    <cellStyle name="Percent 5 2 2 4" xfId="3158"/>
    <cellStyle name="Percent 5 2 2 4 2" xfId="3159"/>
    <cellStyle name="Percent 5 2 2 4 2 2" xfId="3160"/>
    <cellStyle name="Percent 5 2 2 4 3" xfId="3161"/>
    <cellStyle name="Percent 5 2 2 5" xfId="3162"/>
    <cellStyle name="Percent 5 2 2 5 2" xfId="3163"/>
    <cellStyle name="Percent 5 2 2 5 2 2" xfId="3164"/>
    <cellStyle name="Percent 5 2 2 5 3" xfId="3165"/>
    <cellStyle name="Percent 5 2 2 6" xfId="3166"/>
    <cellStyle name="Percent 5 2 2 6 2" xfId="3167"/>
    <cellStyle name="Percent 5 2 2 7" xfId="3168"/>
    <cellStyle name="Percent 5 2 2 7 2" xfId="3169"/>
    <cellStyle name="Percent 5 2 2 8" xfId="3170"/>
    <cellStyle name="Percent 5 2 2 8 2" xfId="3171"/>
    <cellStyle name="Percent 5 2 2 9" xfId="3172"/>
    <cellStyle name="Percent 5 2 3" xfId="3173"/>
    <cellStyle name="Percent 5 2 3 2" xfId="3174"/>
    <cellStyle name="Percent 5 2 3 2 2" xfId="3175"/>
    <cellStyle name="Percent 5 2 3 2 2 2" xfId="3176"/>
    <cellStyle name="Percent 5 2 3 2 3" xfId="3177"/>
    <cellStyle name="Percent 5 2 3 3" xfId="3178"/>
    <cellStyle name="Percent 5 2 3 3 2" xfId="3179"/>
    <cellStyle name="Percent 5 2 3 3 2 2" xfId="3180"/>
    <cellStyle name="Percent 5 2 3 3 3" xfId="3181"/>
    <cellStyle name="Percent 5 2 3 4" xfId="3182"/>
    <cellStyle name="Percent 5 2 3 4 2" xfId="3183"/>
    <cellStyle name="Percent 5 2 3 4 2 2" xfId="3184"/>
    <cellStyle name="Percent 5 2 3 4 3" xfId="3185"/>
    <cellStyle name="Percent 5 2 3 5" xfId="3186"/>
    <cellStyle name="Percent 5 2 3 5 2" xfId="3187"/>
    <cellStyle name="Percent 5 2 3 5 2 2" xfId="3188"/>
    <cellStyle name="Percent 5 2 3 5 3" xfId="3189"/>
    <cellStyle name="Percent 5 2 3 6" xfId="3190"/>
    <cellStyle name="Percent 5 2 3 6 2" xfId="3191"/>
    <cellStyle name="Percent 5 2 3 7" xfId="3192"/>
    <cellStyle name="Percent 5 2 3 7 2" xfId="3193"/>
    <cellStyle name="Percent 5 2 3 8" xfId="3194"/>
    <cellStyle name="Percent 5 2 3 8 2" xfId="3195"/>
    <cellStyle name="Percent 5 2 3 9" xfId="3196"/>
    <cellStyle name="Percent 5 2 4" xfId="3197"/>
    <cellStyle name="Percent 5 2 4 2" xfId="3198"/>
    <cellStyle name="Percent 5 2 4 2 2" xfId="3199"/>
    <cellStyle name="Percent 5 2 4 3" xfId="3200"/>
    <cellStyle name="Percent 5 2 5" xfId="3201"/>
    <cellStyle name="Percent 5 2 5 2" xfId="3202"/>
    <cellStyle name="Percent 5 2 5 2 2" xfId="3203"/>
    <cellStyle name="Percent 5 2 5 3" xfId="3204"/>
    <cellStyle name="Percent 5 2 6" xfId="3205"/>
    <cellStyle name="Percent 5 2 6 2" xfId="3206"/>
    <cellStyle name="Percent 5 2 6 2 2" xfId="3207"/>
    <cellStyle name="Percent 5 2 6 3" xfId="3208"/>
    <cellStyle name="Percent 5 2 7" xfId="3209"/>
    <cellStyle name="Percent 5 2 7 2" xfId="3210"/>
    <cellStyle name="Percent 5 2 7 2 2" xfId="3211"/>
    <cellStyle name="Percent 5 2 7 3" xfId="3212"/>
    <cellStyle name="Percent 5 2 8" xfId="3213"/>
    <cellStyle name="Percent 5 2 8 2" xfId="3214"/>
    <cellStyle name="Percent 5 2 9" xfId="3215"/>
    <cellStyle name="Percent 5 2 9 2" xfId="3216"/>
    <cellStyle name="Percent 5 3" xfId="3217"/>
    <cellStyle name="Percent 5 3 2" xfId="3218"/>
    <cellStyle name="Percent 5 3 2 2" xfId="3219"/>
    <cellStyle name="Percent 5 3 2 2 2" xfId="3220"/>
    <cellStyle name="Percent 5 3 2 3" xfId="3221"/>
    <cellStyle name="Percent 5 3 3" xfId="3222"/>
    <cellStyle name="Percent 5 3 3 2" xfId="3223"/>
    <cellStyle name="Percent 5 3 3 2 2" xfId="3224"/>
    <cellStyle name="Percent 5 3 3 3" xfId="3225"/>
    <cellStyle name="Percent 5 3 4" xfId="3226"/>
    <cellStyle name="Percent 5 3 4 2" xfId="3227"/>
    <cellStyle name="Percent 5 3 4 2 2" xfId="3228"/>
    <cellStyle name="Percent 5 3 4 3" xfId="3229"/>
    <cellStyle name="Percent 5 3 5" xfId="3230"/>
    <cellStyle name="Percent 5 3 5 2" xfId="3231"/>
    <cellStyle name="Percent 5 3 5 2 2" xfId="3232"/>
    <cellStyle name="Percent 5 3 5 3" xfId="3233"/>
    <cellStyle name="Percent 5 3 6" xfId="3234"/>
    <cellStyle name="Percent 5 3 6 2" xfId="3235"/>
    <cellStyle name="Percent 5 3 7" xfId="3236"/>
    <cellStyle name="Percent 5 3 7 2" xfId="3237"/>
    <cellStyle name="Percent 5 3 8" xfId="3238"/>
    <cellStyle name="Percent 5 3 8 2" xfId="3239"/>
    <cellStyle name="Percent 5 3 9" xfId="3240"/>
    <cellStyle name="Percent 5 4" xfId="3241"/>
    <cellStyle name="Percent 5 4 2" xfId="3242"/>
    <cellStyle name="Percent 5 4 2 2" xfId="3243"/>
    <cellStyle name="Percent 5 4 2 2 2" xfId="3244"/>
    <cellStyle name="Percent 5 4 2 3" xfId="3245"/>
    <cellStyle name="Percent 5 4 3" xfId="3246"/>
    <cellStyle name="Percent 5 4 3 2" xfId="3247"/>
    <cellStyle name="Percent 5 4 3 2 2" xfId="3248"/>
    <cellStyle name="Percent 5 4 3 3" xfId="3249"/>
    <cellStyle name="Percent 5 4 4" xfId="3250"/>
    <cellStyle name="Percent 5 4 4 2" xfId="3251"/>
    <cellStyle name="Percent 5 4 4 2 2" xfId="3252"/>
    <cellStyle name="Percent 5 4 4 3" xfId="3253"/>
    <cellStyle name="Percent 5 4 5" xfId="3254"/>
    <cellStyle name="Percent 5 4 5 2" xfId="3255"/>
    <cellStyle name="Percent 5 4 5 2 2" xfId="3256"/>
    <cellStyle name="Percent 5 4 5 3" xfId="3257"/>
    <cellStyle name="Percent 5 4 6" xfId="3258"/>
    <cellStyle name="Percent 5 4 6 2" xfId="3259"/>
    <cellStyle name="Percent 5 4 7" xfId="3260"/>
    <cellStyle name="Percent 5 4 7 2" xfId="3261"/>
    <cellStyle name="Percent 5 4 8" xfId="3262"/>
    <cellStyle name="Percent 5 4 8 2" xfId="3263"/>
    <cellStyle name="Percent 5 4 9" xfId="3264"/>
    <cellStyle name="Percent 5 5" xfId="3265"/>
    <cellStyle name="Percent 5 5 2" xfId="3266"/>
    <cellStyle name="Percent 5 5 2 2" xfId="3267"/>
    <cellStyle name="Percent 5 5 2 2 2" xfId="3268"/>
    <cellStyle name="Percent 5 5 2 3" xfId="3269"/>
    <cellStyle name="Percent 5 5 3" xfId="3270"/>
    <cellStyle name="Percent 5 5 3 2" xfId="3271"/>
    <cellStyle name="Percent 5 5 3 2 2" xfId="3272"/>
    <cellStyle name="Percent 5 5 3 3" xfId="3273"/>
    <cellStyle name="Percent 5 5 4" xfId="3274"/>
    <cellStyle name="Percent 5 5 4 2" xfId="3275"/>
    <cellStyle name="Percent 5 5 4 2 2" xfId="3276"/>
    <cellStyle name="Percent 5 5 4 3" xfId="3277"/>
    <cellStyle name="Percent 5 5 5" xfId="3278"/>
    <cellStyle name="Percent 5 5 5 2" xfId="3279"/>
    <cellStyle name="Percent 5 5 5 2 2" xfId="3280"/>
    <cellStyle name="Percent 5 5 5 3" xfId="3281"/>
    <cellStyle name="Percent 5 5 6" xfId="3282"/>
    <cellStyle name="Percent 5 5 6 2" xfId="3283"/>
    <cellStyle name="Percent 5 5 7" xfId="3284"/>
    <cellStyle name="Percent 5 5 7 2" xfId="3285"/>
    <cellStyle name="Percent 5 5 8" xfId="3286"/>
    <cellStyle name="Percent 5 5 8 2" xfId="3287"/>
    <cellStyle name="Percent 5 5 9" xfId="3288"/>
    <cellStyle name="Percent 5 6" xfId="3289"/>
    <cellStyle name="Percent 5 6 2" xfId="3290"/>
    <cellStyle name="Percent 5 6 2 2" xfId="3291"/>
    <cellStyle name="Percent 5 6 3" xfId="3292"/>
    <cellStyle name="Percent 5 7" xfId="3293"/>
    <cellStyle name="Percent 5 7 2" xfId="3294"/>
    <cellStyle name="Percent 5 7 2 2" xfId="3295"/>
    <cellStyle name="Percent 5 7 3" xfId="3296"/>
    <cellStyle name="Percent 5 8" xfId="3297"/>
    <cellStyle name="Percent 5 8 2" xfId="3298"/>
    <cellStyle name="Percent 5 8 2 2" xfId="3299"/>
    <cellStyle name="Percent 5 8 3" xfId="3300"/>
    <cellStyle name="Percent 5 9" xfId="3301"/>
    <cellStyle name="Percent 5 9 2" xfId="3302"/>
    <cellStyle name="Percent 5 9 2 2" xfId="3303"/>
    <cellStyle name="Percent 5 9 3" xfId="3304"/>
    <cellStyle name="Percent 6" xfId="3305"/>
    <cellStyle name="Percent 6 10" xfId="3306"/>
    <cellStyle name="Percent 6 10 2" xfId="3307"/>
    <cellStyle name="Percent 6 11" xfId="3308"/>
    <cellStyle name="Percent 6 2" xfId="3309"/>
    <cellStyle name="Percent 6 2 2" xfId="3310"/>
    <cellStyle name="Percent 6 2 2 2" xfId="3311"/>
    <cellStyle name="Percent 6 2 2 2 2" xfId="3312"/>
    <cellStyle name="Percent 6 2 2 3" xfId="3313"/>
    <cellStyle name="Percent 6 2 3" xfId="3314"/>
    <cellStyle name="Percent 6 2 3 2" xfId="3315"/>
    <cellStyle name="Percent 6 2 3 2 2" xfId="3316"/>
    <cellStyle name="Percent 6 2 3 3" xfId="3317"/>
    <cellStyle name="Percent 6 2 4" xfId="3318"/>
    <cellStyle name="Percent 6 2 4 2" xfId="3319"/>
    <cellStyle name="Percent 6 2 4 2 2" xfId="3320"/>
    <cellStyle name="Percent 6 2 4 3" xfId="3321"/>
    <cellStyle name="Percent 6 2 5" xfId="3322"/>
    <cellStyle name="Percent 6 2 5 2" xfId="3323"/>
    <cellStyle name="Percent 6 2 5 2 2" xfId="3324"/>
    <cellStyle name="Percent 6 2 5 3" xfId="3325"/>
    <cellStyle name="Percent 6 2 6" xfId="3326"/>
    <cellStyle name="Percent 6 2 6 2" xfId="3327"/>
    <cellStyle name="Percent 6 2 7" xfId="3328"/>
    <cellStyle name="Percent 6 2 7 2" xfId="3329"/>
    <cellStyle name="Percent 6 2 8" xfId="3330"/>
    <cellStyle name="Percent 6 2 8 2" xfId="3331"/>
    <cellStyle name="Percent 6 2 9" xfId="3332"/>
    <cellStyle name="Percent 6 3" xfId="3333"/>
    <cellStyle name="Percent 6 3 2" xfId="3334"/>
    <cellStyle name="Percent 6 3 2 2" xfId="3335"/>
    <cellStyle name="Percent 6 3 2 2 2" xfId="3336"/>
    <cellStyle name="Percent 6 3 2 3" xfId="3337"/>
    <cellStyle name="Percent 6 3 3" xfId="3338"/>
    <cellStyle name="Percent 6 3 3 2" xfId="3339"/>
    <cellStyle name="Percent 6 3 3 2 2" xfId="3340"/>
    <cellStyle name="Percent 6 3 3 3" xfId="3341"/>
    <cellStyle name="Percent 6 3 4" xfId="3342"/>
    <cellStyle name="Percent 6 3 4 2" xfId="3343"/>
    <cellStyle name="Percent 6 3 4 2 2" xfId="3344"/>
    <cellStyle name="Percent 6 3 4 3" xfId="3345"/>
    <cellStyle name="Percent 6 3 5" xfId="3346"/>
    <cellStyle name="Percent 6 3 5 2" xfId="3347"/>
    <cellStyle name="Percent 6 3 5 2 2" xfId="3348"/>
    <cellStyle name="Percent 6 3 5 3" xfId="3349"/>
    <cellStyle name="Percent 6 3 6" xfId="3350"/>
    <cellStyle name="Percent 6 3 6 2" xfId="3351"/>
    <cellStyle name="Percent 6 3 7" xfId="3352"/>
    <cellStyle name="Percent 6 3 7 2" xfId="3353"/>
    <cellStyle name="Percent 6 3 8" xfId="3354"/>
    <cellStyle name="Percent 6 3 8 2" xfId="3355"/>
    <cellStyle name="Percent 6 3 9" xfId="3356"/>
    <cellStyle name="Percent 6 4" xfId="3357"/>
    <cellStyle name="Percent 6 4 2" xfId="3358"/>
    <cellStyle name="Percent 6 4 2 2" xfId="3359"/>
    <cellStyle name="Percent 6 4 3" xfId="3360"/>
    <cellStyle name="Percent 6 5" xfId="3361"/>
    <cellStyle name="Percent 6 5 2" xfId="3362"/>
    <cellStyle name="Percent 6 5 2 2" xfId="3363"/>
    <cellStyle name="Percent 6 5 3" xfId="3364"/>
    <cellStyle name="Percent 6 6" xfId="3365"/>
    <cellStyle name="Percent 6 6 2" xfId="3366"/>
    <cellStyle name="Percent 6 6 2 2" xfId="3367"/>
    <cellStyle name="Percent 6 6 3" xfId="3368"/>
    <cellStyle name="Percent 6 7" xfId="3369"/>
    <cellStyle name="Percent 6 7 2" xfId="3370"/>
    <cellStyle name="Percent 6 7 2 2" xfId="3371"/>
    <cellStyle name="Percent 6 7 3" xfId="3372"/>
    <cellStyle name="Percent 6 8" xfId="3373"/>
    <cellStyle name="Percent 6 8 2" xfId="3374"/>
    <cellStyle name="Percent 6 9" xfId="3375"/>
    <cellStyle name="Percent 6 9 2" xfId="3376"/>
    <cellStyle name="Percent 7" xfId="3377"/>
    <cellStyle name="Percent 8" xfId="3378"/>
    <cellStyle name="Percent 8 2" xfId="3379"/>
    <cellStyle name="Percent 8 2 2" xfId="3380"/>
    <cellStyle name="Percent 8 2 2 2" xfId="3381"/>
    <cellStyle name="Percent 8 2 3" xfId="3382"/>
    <cellStyle name="Percent 8 3" xfId="3383"/>
    <cellStyle name="Percent 8 3 2" xfId="3384"/>
    <cellStyle name="Percent 8 3 2 2" xfId="3385"/>
    <cellStyle name="Percent 8 3 3" xfId="3386"/>
    <cellStyle name="Percent 8 4" xfId="3387"/>
    <cellStyle name="Percent 8 4 2" xfId="3388"/>
    <cellStyle name="Percent 8 4 2 2" xfId="3389"/>
    <cellStyle name="Percent 8 4 3" xfId="3390"/>
    <cellStyle name="Percent 8 5" xfId="3391"/>
    <cellStyle name="Percent 8 5 2" xfId="3392"/>
    <cellStyle name="Percent 8 5 2 2" xfId="3393"/>
    <cellStyle name="Percent 8 5 3" xfId="3394"/>
    <cellStyle name="Percent 8 6" xfId="3395"/>
    <cellStyle name="Percent 8 6 2" xfId="3396"/>
    <cellStyle name="Percent 8 7" xfId="3397"/>
    <cellStyle name="Percent 8 7 2" xfId="3398"/>
    <cellStyle name="Percent 8 8" xfId="3399"/>
    <cellStyle name="Percent 8 8 2" xfId="3400"/>
    <cellStyle name="Percent 8 9" xfId="3401"/>
    <cellStyle name="Percent 9" xfId="3402"/>
    <cellStyle name="Style 1" xfId="3403"/>
    <cellStyle name="Style 2" xfId="3404"/>
    <cellStyle name="Title" xfId="57" builtinId="15" customBuiltin="1"/>
    <cellStyle name="Title 2" xfId="3405"/>
    <cellStyle name="Total" xfId="73" builtinId="25" customBuiltin="1"/>
    <cellStyle name="Total 2" xfId="3406"/>
    <cellStyle name="Total 2 10" xfId="3602"/>
    <cellStyle name="Total 2 2" xfId="3407"/>
    <cellStyle name="Total 2 2 2" xfId="3440"/>
    <cellStyle name="Total 2 2 2 2" xfId="3656"/>
    <cellStyle name="Total 2 2 3" xfId="3445"/>
    <cellStyle name="Total 2 2 3 2" xfId="3661"/>
    <cellStyle name="Total 2 2 4" xfId="3605"/>
    <cellStyle name="Total 2 2 4 2" xfId="3783"/>
    <cellStyle name="Total 2 2 5" xfId="3614"/>
    <cellStyle name="Total 2 2 5 2" xfId="3792"/>
    <cellStyle name="Total 2 2 6" xfId="3620"/>
    <cellStyle name="Total 2 2 6 2" xfId="3796"/>
    <cellStyle name="Total 2 2 7" xfId="3603"/>
    <cellStyle name="Total 2 3" xfId="3408"/>
    <cellStyle name="Total 2 3 2" xfId="3441"/>
    <cellStyle name="Total 2 3 2 2" xfId="3657"/>
    <cellStyle name="Total 2 3 3" xfId="3444"/>
    <cellStyle name="Total 2 3 3 2" xfId="3660"/>
    <cellStyle name="Total 2 3 4" xfId="3606"/>
    <cellStyle name="Total 2 3 4 2" xfId="3784"/>
    <cellStyle name="Total 2 3 5" xfId="3615"/>
    <cellStyle name="Total 2 3 5 2" xfId="3793"/>
    <cellStyle name="Total 2 3 6" xfId="3621"/>
    <cellStyle name="Total 2 3 6 2" xfId="3797"/>
    <cellStyle name="Total 2 3 7" xfId="3617"/>
    <cellStyle name="Total 2 4" xfId="3409"/>
    <cellStyle name="Total 2 4 2" xfId="3442"/>
    <cellStyle name="Total 2 4 2 2" xfId="3658"/>
    <cellStyle name="Total 2 4 3" xfId="3443"/>
    <cellStyle name="Total 2 4 3 2" xfId="3659"/>
    <cellStyle name="Total 2 4 4" xfId="3607"/>
    <cellStyle name="Total 2 4 4 2" xfId="3785"/>
    <cellStyle name="Total 2 4 5" xfId="3616"/>
    <cellStyle name="Total 2 4 5 2" xfId="3794"/>
    <cellStyle name="Total 2 4 6" xfId="3622"/>
    <cellStyle name="Total 2 4 6 2" xfId="3798"/>
    <cellStyle name="Total 2 4 7" xfId="3618"/>
    <cellStyle name="Total 2 5" xfId="3439"/>
    <cellStyle name="Total 2 5 2" xfId="3655"/>
    <cellStyle name="Total 2 6" xfId="3446"/>
    <cellStyle name="Total 2 6 2" xfId="3662"/>
    <cellStyle name="Total 2 7" xfId="3604"/>
    <cellStyle name="Total 2 7 2" xfId="3782"/>
    <cellStyle name="Total 2 8" xfId="3613"/>
    <cellStyle name="Total 2 8 2" xfId="3791"/>
    <cellStyle name="Total 2 9" xfId="3619"/>
    <cellStyle name="Total 2 9 2" xfId="3795"/>
    <cellStyle name="Warning Text" xfId="70" builtinId="11" customBuiltin="1"/>
    <cellStyle name="Warning Text 2" xfId="3410"/>
  </cellStyles>
  <dxfs count="19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if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306798</xdr:colOff>
      <xdr:row>4</xdr:row>
      <xdr:rowOff>16990</xdr:rowOff>
    </xdr:from>
    <xdr:to>
      <xdr:col>12</xdr:col>
      <xdr:colOff>414131</xdr:colOff>
      <xdr:row>17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56323" y="1131415"/>
          <a:ext cx="1926608" cy="31834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133350</xdr:rowOff>
        </xdr:to>
        <xdr:sp macro="" textlink="">
          <xdr:nvSpPr>
            <xdr:cNvPr id="1026" name="Temp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19050</xdr:rowOff>
        </xdr:from>
        <xdr:to>
          <xdr:col>2</xdr:col>
          <xdr:colOff>581025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Base Blend Property Calcs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9525</xdr:rowOff>
        </xdr:from>
        <xdr:to>
          <xdr:col>5</xdr:col>
          <xdr:colOff>152400</xdr:colOff>
          <xdr:row>5</xdr:row>
          <xdr:rowOff>9525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Blend Prop (For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</xdr:row>
          <xdr:rowOff>9525</xdr:rowOff>
        </xdr:from>
        <xdr:to>
          <xdr:col>7</xdr:col>
          <xdr:colOff>390525</xdr:colOff>
          <xdr:row>5</xdr:row>
          <xdr:rowOff>19050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Specific Gravities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</xdr:row>
          <xdr:rowOff>19050</xdr:rowOff>
        </xdr:from>
        <xdr:to>
          <xdr:col>9</xdr:col>
          <xdr:colOff>533400</xdr:colOff>
          <xdr:row>5</xdr:row>
          <xdr:rowOff>9525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Base Blend Compatibility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</xdr:row>
          <xdr:rowOff>0</xdr:rowOff>
        </xdr:from>
        <xdr:to>
          <xdr:col>12</xdr:col>
          <xdr:colOff>104775</xdr:colOff>
          <xdr:row>5</xdr:row>
          <xdr:rowOff>28575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6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Silo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1</xdr:row>
          <xdr:rowOff>9525</xdr:rowOff>
        </xdr:from>
        <xdr:to>
          <xdr:col>14</xdr:col>
          <xdr:colOff>342900</xdr:colOff>
          <xdr:row>5</xdr:row>
          <xdr:rowOff>38100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6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Max and Min Densities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1</xdr:row>
          <xdr:rowOff>9525</xdr:rowOff>
        </xdr:from>
        <xdr:to>
          <xdr:col>17</xdr:col>
          <xdr:colOff>76200</xdr:colOff>
          <xdr:row>5</xdr:row>
          <xdr:rowOff>28575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6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Blend Assembly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0</xdr:row>
      <xdr:rowOff>161925</xdr:rowOff>
    </xdr:from>
    <xdr:to>
      <xdr:col>2</xdr:col>
      <xdr:colOff>2011802</xdr:colOff>
      <xdr:row>0</xdr:row>
      <xdr:rowOff>734999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5350" y="161925"/>
          <a:ext cx="1402202" cy="573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828675</xdr:colOff>
      <xdr:row>0</xdr:row>
      <xdr:rowOff>114300</xdr:rowOff>
    </xdr:from>
    <xdr:to>
      <xdr:col>4</xdr:col>
      <xdr:colOff>1871181</xdr:colOff>
      <xdr:row>1</xdr:row>
      <xdr:rowOff>76240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5375" y="114300"/>
          <a:ext cx="1042506" cy="4572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47625</xdr:rowOff>
    </xdr:from>
    <xdr:to>
      <xdr:col>0</xdr:col>
      <xdr:colOff>1243330</xdr:colOff>
      <xdr:row>2</xdr:row>
      <xdr:rowOff>6350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47625"/>
          <a:ext cx="1138555" cy="434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8"/>
  <sheetViews>
    <sheetView zoomScaleNormal="100" workbookViewId="0">
      <selection activeCell="A2" sqref="A2"/>
    </sheetView>
  </sheetViews>
  <sheetFormatPr defaultRowHeight="15" x14ac:dyDescent="0.25"/>
  <cols>
    <col min="1" max="1" width="36.140625" style="249" customWidth="1"/>
    <col min="2" max="2" width="25.7109375" style="249" customWidth="1"/>
    <col min="3" max="3" width="22.140625" style="249" customWidth="1"/>
    <col min="4" max="4" width="19.5703125" style="249" customWidth="1"/>
    <col min="5" max="5" width="15.7109375" style="249" customWidth="1"/>
    <col min="6" max="6" width="8" style="249" customWidth="1"/>
    <col min="7" max="7" width="29.140625" style="249" customWidth="1"/>
    <col min="8" max="8" width="32.5703125" style="249" bestFit="1" customWidth="1"/>
    <col min="9" max="9" width="30.5703125" style="249" customWidth="1"/>
    <col min="10" max="11" width="9.140625" style="248"/>
    <col min="12" max="12" width="18.140625" style="248" customWidth="1"/>
    <col min="13" max="13" width="13.7109375" style="248" bestFit="1" customWidth="1"/>
    <col min="14" max="14" width="18.5703125" style="248" customWidth="1"/>
    <col min="15" max="26" width="9.140625" style="248"/>
    <col min="27" max="16384" width="9.140625" style="249"/>
  </cols>
  <sheetData>
    <row r="1" spans="1:26" ht="30.75" customHeight="1" thickBot="1" x14ac:dyDescent="0.55000000000000004">
      <c r="A1" s="555" t="s">
        <v>476</v>
      </c>
      <c r="B1" s="555"/>
      <c r="C1" s="555"/>
      <c r="D1" s="555"/>
      <c r="E1" s="555"/>
      <c r="F1" s="247"/>
      <c r="G1" s="247"/>
      <c r="H1" s="247"/>
      <c r="I1" s="247"/>
      <c r="J1" s="247"/>
      <c r="K1" s="247"/>
    </row>
    <row r="2" spans="1:26" ht="15" customHeight="1" x14ac:dyDescent="0.35">
      <c r="A2" s="512" t="s">
        <v>1814</v>
      </c>
      <c r="B2" s="251"/>
      <c r="C2" s="251"/>
      <c r="D2" s="251"/>
      <c r="E2" s="251"/>
      <c r="F2" s="247"/>
      <c r="G2" s="247"/>
      <c r="H2" s="560" t="s">
        <v>553</v>
      </c>
      <c r="I2" s="561"/>
      <c r="J2" s="561"/>
      <c r="K2" s="561"/>
      <c r="L2" s="561"/>
      <c r="M2" s="562"/>
      <c r="N2" s="250"/>
      <c r="O2" s="250"/>
      <c r="P2" s="250"/>
      <c r="Q2" s="250"/>
      <c r="R2" s="250"/>
      <c r="S2" s="250"/>
    </row>
    <row r="3" spans="1:26" ht="21.6" customHeight="1" x14ac:dyDescent="0.25">
      <c r="A3" s="356" t="s">
        <v>505</v>
      </c>
      <c r="B3" s="556"/>
      <c r="C3" s="556"/>
      <c r="D3" s="556"/>
      <c r="E3" s="558" t="s">
        <v>487</v>
      </c>
      <c r="F3" s="559"/>
      <c r="G3" s="559"/>
      <c r="H3" s="563"/>
      <c r="I3" s="564"/>
      <c r="J3" s="564"/>
      <c r="K3" s="564"/>
      <c r="L3" s="564"/>
      <c r="M3" s="565"/>
      <c r="N3" s="250"/>
      <c r="O3" s="250"/>
      <c r="P3" s="250"/>
      <c r="Q3" s="250"/>
      <c r="R3" s="250"/>
      <c r="S3" s="250"/>
    </row>
    <row r="4" spans="1:26" ht="21.6" customHeight="1" thickBot="1" x14ac:dyDescent="0.3">
      <c r="A4" s="356" t="s">
        <v>506</v>
      </c>
      <c r="B4" s="556"/>
      <c r="C4" s="556"/>
      <c r="D4" s="556"/>
      <c r="E4" s="558"/>
      <c r="F4" s="559"/>
      <c r="G4" s="559"/>
      <c r="H4" s="499"/>
      <c r="I4" s="500"/>
      <c r="J4" s="500"/>
      <c r="K4" s="500"/>
      <c r="L4" s="500"/>
      <c r="M4" s="501"/>
      <c r="N4" s="250"/>
      <c r="O4" s="250"/>
      <c r="W4" s="249"/>
      <c r="X4" s="249"/>
      <c r="Y4" s="249"/>
      <c r="Z4" s="249"/>
    </row>
    <row r="5" spans="1:26" ht="21" customHeight="1" x14ac:dyDescent="0.35">
      <c r="A5" s="354" t="s">
        <v>599</v>
      </c>
      <c r="B5" s="363"/>
      <c r="C5" s="354"/>
      <c r="D5" s="354"/>
      <c r="E5" s="354"/>
      <c r="F5" s="469"/>
      <c r="G5" s="469"/>
      <c r="H5" s="470" t="s">
        <v>492</v>
      </c>
      <c r="I5" s="502"/>
      <c r="J5" s="260"/>
      <c r="K5" s="260"/>
      <c r="L5" s="260"/>
      <c r="M5" s="464"/>
      <c r="N5" s="250"/>
      <c r="O5" s="250"/>
      <c r="W5" s="249"/>
      <c r="X5" s="249"/>
      <c r="Y5" s="249"/>
      <c r="Z5" s="249"/>
    </row>
    <row r="6" spans="1:26" ht="20.100000000000001" customHeight="1" x14ac:dyDescent="0.25">
      <c r="A6" s="353" t="s">
        <v>489</v>
      </c>
      <c r="B6" s="364">
        <f ca="1">TODAY()</f>
        <v>42964</v>
      </c>
      <c r="C6" s="355"/>
      <c r="D6" s="355"/>
      <c r="E6" s="355"/>
      <c r="F6" s="253"/>
      <c r="G6" s="253"/>
      <c r="H6" s="470" t="s">
        <v>545</v>
      </c>
      <c r="I6" s="453" t="str">
        <f>IF(I1="","Functionality Coming", IF(I5="","Enter District",VLOOKUP(I5,SiloSize,2,FALSE)))</f>
        <v>Functionality Coming</v>
      </c>
      <c r="J6" s="260"/>
      <c r="K6" s="260"/>
      <c r="L6" s="260"/>
      <c r="M6" s="464"/>
      <c r="N6" s="250"/>
      <c r="O6" s="250"/>
      <c r="W6" s="249"/>
      <c r="X6" s="249"/>
      <c r="Y6" s="249"/>
      <c r="Z6" s="249"/>
    </row>
    <row r="7" spans="1:26" ht="20.100000000000001" customHeight="1" x14ac:dyDescent="0.25">
      <c r="A7" s="352" t="s">
        <v>490</v>
      </c>
      <c r="B7" s="363"/>
      <c r="C7" s="355"/>
      <c r="D7" s="355"/>
      <c r="E7" s="355"/>
      <c r="F7" s="253"/>
      <c r="G7" s="253"/>
      <c r="H7" s="463" t="s">
        <v>547</v>
      </c>
      <c r="I7" s="453" t="str">
        <f>IF(I1="","Functionality Coming",IF(I6="Enter District","Enter District",I6*0.7))</f>
        <v>Functionality Coming</v>
      </c>
      <c r="J7" s="260"/>
      <c r="K7" s="260"/>
      <c r="L7" s="260"/>
      <c r="M7" s="464"/>
      <c r="N7" s="250"/>
      <c r="O7" s="250"/>
      <c r="W7" s="249"/>
      <c r="X7" s="249"/>
      <c r="Y7" s="249"/>
      <c r="Z7" s="249"/>
    </row>
    <row r="8" spans="1:26" ht="20.100000000000001" customHeight="1" x14ac:dyDescent="0.25">
      <c r="A8" s="352" t="s">
        <v>470</v>
      </c>
      <c r="B8" s="362">
        <v>1</v>
      </c>
      <c r="C8" s="351" t="s">
        <v>510</v>
      </c>
      <c r="D8" s="355"/>
      <c r="E8" s="355"/>
      <c r="F8" s="253"/>
      <c r="G8" s="253"/>
      <c r="H8" s="463" t="s">
        <v>548</v>
      </c>
      <c r="I8" s="454" t="str">
        <f>IF(I1="","Functionality Coming",IF(I7="Enter District","Enter District",I7*B14))</f>
        <v>Functionality Coming</v>
      </c>
      <c r="J8" s="260"/>
      <c r="K8" s="260"/>
      <c r="L8" s="260"/>
      <c r="M8" s="464"/>
      <c r="N8" s="250"/>
      <c r="O8" s="250"/>
      <c r="W8" s="249"/>
      <c r="X8" s="249"/>
      <c r="Y8" s="249"/>
      <c r="Z8" s="249"/>
    </row>
    <row r="9" spans="1:26" ht="20.100000000000001" customHeight="1" x14ac:dyDescent="0.25">
      <c r="A9" s="350" t="s">
        <v>488</v>
      </c>
      <c r="B9" s="362">
        <v>1</v>
      </c>
      <c r="C9" s="351" t="s">
        <v>511</v>
      </c>
      <c r="D9" s="355"/>
      <c r="E9" s="355"/>
      <c r="F9" s="355"/>
      <c r="G9" s="355"/>
      <c r="H9" s="463" t="s">
        <v>596</v>
      </c>
      <c r="I9" s="502"/>
      <c r="J9" s="260"/>
      <c r="K9" s="260"/>
      <c r="L9" s="260"/>
      <c r="M9" s="464"/>
      <c r="N9" s="250"/>
      <c r="O9" s="250"/>
      <c r="W9" s="249"/>
      <c r="X9" s="249"/>
      <c r="Y9" s="249"/>
      <c r="Z9" s="249"/>
    </row>
    <row r="10" spans="1:26" ht="19.5" customHeight="1" x14ac:dyDescent="0.3">
      <c r="A10" s="350" t="s">
        <v>530</v>
      </c>
      <c r="B10" s="346">
        <v>1</v>
      </c>
      <c r="C10" s="345" t="str">
        <f>IF(B10="","ENTER PROGRAMMED BLEND DENSITY HERE",IF(B10&lt;'Max Add &amp; Blend Densities'!N3, "BLEND DENSITY OUTSIDE OPTIMAL RANGE - CONFIRM BLEND PRIOR TO LOADING", IF((B43+B44)&gt;0,IF((B10-'Max Add &amp; Blend Densities'!N5)&gt;10,"BLEND DENSITY OUTSIDE OPTIMAL RANGE - CONFIRM DESIGN PRIOR TO LOADING",""),IF(B10-'Max Add &amp; Blend Densities'!N4&gt;10,"BLEND DENSITY OUTSIDE OPTIMAL RANGE - CONFIRM DESIGN PRIOR TO LOADING",IF(B10&lt;'Max Add &amp; Blend Densities'!N3,"BLEND DENSITY IS OUTSIDE OPTIMAL RANGE - CONFIRM DESIGN PRIOR TO LOADING","")))))</f>
        <v>BLEND DENSITY OUTSIDE OPTIMAL RANGE - CONFIRM BLEND PRIOR TO LOADING</v>
      </c>
      <c r="D10" s="355"/>
      <c r="E10" s="355"/>
      <c r="F10" s="355"/>
      <c r="G10" s="355"/>
      <c r="H10" s="463" t="s">
        <v>546</v>
      </c>
      <c r="I10" s="453" t="str">
        <f>IF(I7="Functionality Coming","Functionality Coming",IF(I7="Enter District","Enter District",IF(B17=0,"Enter Base Blend Tonnage",ROUNDUP(B17/I7,0))))</f>
        <v>Functionality Coming</v>
      </c>
      <c r="J10" s="260"/>
      <c r="K10" s="260"/>
      <c r="L10" s="260"/>
      <c r="M10" s="464"/>
      <c r="N10" s="250"/>
      <c r="O10" s="250"/>
      <c r="W10" s="249"/>
      <c r="X10" s="249"/>
      <c r="Y10" s="249"/>
      <c r="Z10" s="249"/>
    </row>
    <row r="11" spans="1:26" ht="19.5" customHeight="1" x14ac:dyDescent="0.25">
      <c r="A11" s="349"/>
      <c r="B11" s="349"/>
      <c r="C11" s="355"/>
      <c r="D11" s="355"/>
      <c r="E11" s="355"/>
      <c r="F11" s="355"/>
      <c r="G11" s="355"/>
      <c r="H11" s="463" t="s">
        <v>551</v>
      </c>
      <c r="I11" s="453" t="str">
        <f>IF(I10="Functionality Coming","Functionality Coming",IF(B17=0,"Enter Base Blend Tonnage",IF(I10="Enter District","Enter District",B17/I10*B14)))</f>
        <v>Functionality Coming</v>
      </c>
      <c r="J11" s="260"/>
      <c r="K11" s="260"/>
      <c r="L11" s="260"/>
      <c r="M11" s="464"/>
      <c r="N11" s="250"/>
      <c r="O11" s="250"/>
      <c r="W11" s="249"/>
      <c r="X11" s="249"/>
      <c r="Y11" s="249"/>
      <c r="Z11" s="249"/>
    </row>
    <row r="12" spans="1:26" ht="18" customHeight="1" x14ac:dyDescent="0.25">
      <c r="A12" s="356" t="s">
        <v>523</v>
      </c>
      <c r="B12" s="390">
        <f>VLOOKUP($A$19,'Max Add &amp; Blend Densities'!$E$3:$H$150,3,FALSE)</f>
        <v>1700</v>
      </c>
      <c r="C12" s="515" t="s">
        <v>619</v>
      </c>
      <c r="D12" s="346"/>
      <c r="E12" s="355"/>
      <c r="F12" s="355"/>
      <c r="G12" s="355"/>
      <c r="H12" s="463" t="str">
        <f>IF(I10="Enter Base Blend Tonnage","","Desired Batch 1 Size (Tonnes)")</f>
        <v>Desired Batch 1 Size (Tonnes)</v>
      </c>
      <c r="I12" s="382"/>
      <c r="J12" s="260"/>
      <c r="K12" s="260"/>
      <c r="L12" s="260"/>
      <c r="M12" s="464"/>
      <c r="N12" s="250"/>
      <c r="O12" s="250"/>
      <c r="W12" s="249"/>
      <c r="X12" s="249"/>
      <c r="Y12" s="249"/>
      <c r="Z12" s="249"/>
    </row>
    <row r="13" spans="1:26" ht="15.75" x14ac:dyDescent="0.25">
      <c r="A13" s="356" t="s">
        <v>468</v>
      </c>
      <c r="B13" s="391">
        <f>IF(A19="","Enter Blend",VLOOKUP(A19,'Base Blend Property Calculation'!A7:BP159,67,FALSE)+C39+C43+C44)</f>
        <v>1000</v>
      </c>
      <c r="C13" s="515" t="s">
        <v>620</v>
      </c>
      <c r="D13" s="362"/>
      <c r="E13" s="355"/>
      <c r="F13" s="355"/>
      <c r="G13" s="253"/>
      <c r="H13" s="463" t="str">
        <f>IF(I10="Enter Base Blend Tonnage","", IF(I10&gt;1,"Desired Batch 2 Size (Tonnes)",""))</f>
        <v>Desired Batch 2 Size (Tonnes)</v>
      </c>
      <c r="I13" s="382"/>
      <c r="J13" s="260"/>
      <c r="K13" s="260"/>
      <c r="L13" s="260"/>
      <c r="M13" s="464"/>
      <c r="N13" s="250"/>
      <c r="O13" s="250"/>
      <c r="W13" s="249"/>
      <c r="X13" s="249"/>
      <c r="Y13" s="249"/>
      <c r="Z13" s="249"/>
    </row>
    <row r="14" spans="1:26" ht="15.75" x14ac:dyDescent="0.25">
      <c r="A14" s="356" t="s">
        <v>469</v>
      </c>
      <c r="B14" s="392">
        <f>IF(A19="","Enter Blend",VLOOKUP(A19,'Base Blend Property Calculation'!A6:BP159,68,FALSE))</f>
        <v>1.0840000000000001</v>
      </c>
      <c r="C14" s="515" t="s">
        <v>1784</v>
      </c>
      <c r="D14" s="346"/>
      <c r="E14" s="355"/>
      <c r="F14" s="355"/>
      <c r="G14" s="253"/>
      <c r="H14" s="463" t="str">
        <f>IF(I10="Enter Base Blend Tonnage","", IF(I10&gt;2,"Desired Batch 3 Size (Tonnes)",""))</f>
        <v>Desired Batch 3 Size (Tonnes)</v>
      </c>
      <c r="I14" s="382"/>
      <c r="J14" s="260"/>
      <c r="K14" s="260"/>
      <c r="L14" s="260"/>
      <c r="M14" s="464"/>
      <c r="N14" s="250"/>
      <c r="O14" s="250"/>
      <c r="W14" s="249"/>
      <c r="X14" s="249"/>
      <c r="Y14" s="249"/>
      <c r="Z14" s="249"/>
    </row>
    <row r="15" spans="1:26" ht="15.75" x14ac:dyDescent="0.25">
      <c r="A15" s="356" t="s">
        <v>210</v>
      </c>
      <c r="B15" s="392">
        <f>IF(B8="","Enter Base Blend Tonnage",IF(A19="","Enter Blend",B8*B13/1000))</f>
        <v>1</v>
      </c>
      <c r="C15" s="347"/>
      <c r="D15" s="351"/>
      <c r="E15" s="355"/>
      <c r="F15" s="355"/>
      <c r="G15" s="253"/>
      <c r="H15" s="463" t="str">
        <f>IF(I10="Enter Base Blend Tonnage","", IF(I10&gt;3,"Desired Batch 4 Size (Tonnes)",""))</f>
        <v>Desired Batch 4 Size (Tonnes)</v>
      </c>
      <c r="I15" s="382"/>
      <c r="J15" s="260"/>
      <c r="K15" s="260"/>
      <c r="L15" s="260"/>
      <c r="M15" s="464"/>
      <c r="N15" s="250"/>
      <c r="O15" s="250"/>
      <c r="W15" s="249"/>
      <c r="X15" s="249"/>
      <c r="Y15" s="249"/>
      <c r="Z15" s="249"/>
    </row>
    <row r="16" spans="1:26" ht="15.75" x14ac:dyDescent="0.25">
      <c r="A16" s="356" t="s">
        <v>467</v>
      </c>
      <c r="B16" s="392">
        <f>IF(B8="","Enter Base Blend Tonnage",IF(B9="","Enter Mix Water",B9*B8))</f>
        <v>1</v>
      </c>
      <c r="C16" s="566" t="s">
        <v>1796</v>
      </c>
      <c r="D16" s="566"/>
      <c r="E16" s="566"/>
      <c r="F16" s="355"/>
      <c r="G16" s="355"/>
      <c r="H16" s="463" t="str">
        <f>IF(I10="Enter Base Blend Tonnage","", IF(I10&gt;4,"Desired Batch 5 Size (Tonnes)",""))</f>
        <v>Desired Batch 5 Size (Tonnes)</v>
      </c>
      <c r="I16" s="382"/>
      <c r="J16" s="260"/>
      <c r="K16" s="260"/>
      <c r="L16" s="260"/>
      <c r="M16" s="464"/>
      <c r="N16" s="250"/>
      <c r="O16" s="250"/>
      <c r="W16" s="249"/>
      <c r="X16" s="249"/>
      <c r="Y16" s="249"/>
      <c r="Z16" s="249"/>
    </row>
    <row r="17" spans="1:26" x14ac:dyDescent="0.25">
      <c r="A17" s="356" t="s">
        <v>211</v>
      </c>
      <c r="B17" s="392">
        <f>IF(B14="","Enter Blend",IF(B9="","Enter Blend",B15/B14))</f>
        <v>0.92250922509225086</v>
      </c>
      <c r="C17" s="566"/>
      <c r="D17" s="566"/>
      <c r="E17" s="566"/>
      <c r="F17" s="355"/>
      <c r="G17" s="355"/>
      <c r="H17" s="463" t="s">
        <v>549</v>
      </c>
      <c r="I17" s="455">
        <f>IF(B15=0,"",B15)</f>
        <v>1</v>
      </c>
      <c r="J17" s="260"/>
      <c r="K17" s="260"/>
      <c r="L17" s="260"/>
      <c r="M17" s="464"/>
      <c r="N17" s="250"/>
      <c r="O17" s="250"/>
      <c r="W17" s="249"/>
      <c r="X17" s="249"/>
      <c r="Y17" s="249"/>
      <c r="Z17" s="249"/>
    </row>
    <row r="18" spans="1:26" ht="19.5" customHeight="1" thickBot="1" x14ac:dyDescent="0.3">
      <c r="A18" s="304"/>
      <c r="B18" s="304"/>
      <c r="C18" s="567"/>
      <c r="D18" s="567"/>
      <c r="E18" s="567"/>
      <c r="F18" s="251"/>
      <c r="G18" s="251"/>
      <c r="H18" s="465" t="s">
        <v>550</v>
      </c>
      <c r="I18" s="466">
        <f>IF(I17="Enter Base Blend Tonnage","",IF(I17="Enter Blend","",IF(I17="","",I17-SUM(I12:I16))))</f>
        <v>1</v>
      </c>
      <c r="J18" s="467"/>
      <c r="K18" s="467"/>
      <c r="L18" s="467"/>
      <c r="M18" s="468"/>
      <c r="N18" s="250"/>
      <c r="O18" s="250"/>
      <c r="W18" s="249"/>
      <c r="X18" s="249"/>
      <c r="Y18" s="249"/>
      <c r="Z18" s="249"/>
    </row>
    <row r="19" spans="1:26" ht="26.25" thickBot="1" x14ac:dyDescent="0.4">
      <c r="A19" s="573" t="s">
        <v>605</v>
      </c>
      <c r="B19" s="574"/>
      <c r="C19" s="574"/>
      <c r="D19" s="574"/>
      <c r="E19" s="575"/>
      <c r="F19" s="557" t="str">
        <f>IF(B48="","",IF(B48=0,"","POZMIX BASE BLEND GEL LOADINGS ARE NOW AUTOMATICALLY ACCOUNTED FOR - ONLY EXTERNAL ADDITIVES MUST BE ADDED ON TOP OF THE BLEND"))</f>
        <v/>
      </c>
      <c r="G19" s="557"/>
      <c r="H19" s="557"/>
      <c r="I19" s="557"/>
      <c r="J19" s="557"/>
      <c r="K19" s="557"/>
      <c r="L19" s="254"/>
      <c r="M19" s="254"/>
      <c r="N19" s="252"/>
      <c r="O19" s="252"/>
      <c r="P19" s="252"/>
      <c r="Q19" s="252"/>
      <c r="R19" s="252"/>
      <c r="S19" s="252"/>
    </row>
    <row r="20" spans="1:26" ht="27" thickBot="1" x14ac:dyDescent="0.3">
      <c r="A20" s="576" t="str">
        <f>IF('Base Blend Compatibility Test'!X15&gt;0, "INCOMPATIBLE BLEND DESIGN", "")</f>
        <v/>
      </c>
      <c r="B20" s="576"/>
      <c r="C20" s="576"/>
      <c r="D20" s="576"/>
      <c r="E20" s="576"/>
      <c r="F20" s="557"/>
      <c r="G20" s="557"/>
      <c r="H20" s="557"/>
      <c r="I20" s="557"/>
      <c r="J20" s="557"/>
      <c r="K20" s="557"/>
      <c r="L20" s="254"/>
      <c r="M20" s="254"/>
      <c r="N20" s="254"/>
      <c r="O20" s="254"/>
      <c r="P20" s="254"/>
      <c r="Q20" s="254"/>
      <c r="R20" s="254"/>
      <c r="S20" s="254"/>
    </row>
    <row r="21" spans="1:26" ht="15.75" thickTop="1" x14ac:dyDescent="0.25">
      <c r="A21" s="569" t="s">
        <v>180</v>
      </c>
      <c r="B21" s="570"/>
      <c r="C21" s="570"/>
      <c r="D21" s="570"/>
      <c r="E21" s="571"/>
      <c r="G21" s="255"/>
      <c r="H21" s="256"/>
      <c r="I21" s="257"/>
      <c r="J21" s="258"/>
      <c r="K21" s="254"/>
      <c r="L21" s="254"/>
      <c r="M21" s="254"/>
      <c r="N21" s="250"/>
      <c r="O21" s="250"/>
      <c r="P21" s="250"/>
      <c r="Q21" s="250"/>
      <c r="R21" s="250"/>
      <c r="S21" s="250"/>
    </row>
    <row r="22" spans="1:26" ht="25.5" x14ac:dyDescent="0.25">
      <c r="A22" s="456" t="s">
        <v>181</v>
      </c>
      <c r="B22" s="383" t="s">
        <v>182</v>
      </c>
      <c r="C22" s="383" t="s">
        <v>458</v>
      </c>
      <c r="D22" s="383" t="s">
        <v>183</v>
      </c>
      <c r="E22" s="384" t="s">
        <v>184</v>
      </c>
      <c r="G22" s="255"/>
      <c r="H22" s="259"/>
      <c r="I22" s="257"/>
      <c r="J22" s="260"/>
      <c r="K22" s="260"/>
      <c r="L22" s="254"/>
      <c r="M22" s="254"/>
      <c r="N22" s="250"/>
      <c r="O22" s="250"/>
      <c r="P22" s="250"/>
      <c r="Q22" s="250"/>
      <c r="R22" s="250"/>
      <c r="S22" s="250"/>
    </row>
    <row r="23" spans="1:26" ht="18" customHeight="1" x14ac:dyDescent="0.25">
      <c r="A23" s="360"/>
      <c r="B23" s="365"/>
      <c r="C23" s="385" t="str">
        <f>IF(A23="","",B23/100*1000)</f>
        <v/>
      </c>
      <c r="D23" s="386" t="str">
        <f>IF(A23="","", VLOOKUP(A23,'SPECIFIC GRAVITIES'!$A$4:$B$138, 2, FALSE))</f>
        <v/>
      </c>
      <c r="E23" s="387" t="str">
        <f>IF(A23="","",C23/D23)</f>
        <v/>
      </c>
      <c r="F23" s="580" t="str">
        <f>IF(A23="","",IF(B23&gt;VLOOKUP('Bulk Plant Input'!A23,'Max Add &amp; Blend Densities'!$B$3:$C$150,2,FALSE),"Abnormal "&amp;A23&amp;" loading - Confirm blend with client solutions",""))</f>
        <v/>
      </c>
      <c r="G23" s="581"/>
      <c r="H23" s="581"/>
      <c r="I23" s="581"/>
      <c r="J23" s="581"/>
      <c r="K23" s="581"/>
      <c r="L23" s="581"/>
      <c r="M23" s="581"/>
      <c r="N23" s="581"/>
      <c r="O23" s="581"/>
      <c r="P23" s="250"/>
      <c r="Q23" s="250"/>
      <c r="R23" s="250"/>
      <c r="S23" s="250"/>
    </row>
    <row r="24" spans="1:26" ht="18" customHeight="1" x14ac:dyDescent="0.25">
      <c r="A24" s="360"/>
      <c r="B24" s="365"/>
      <c r="C24" s="385" t="str">
        <f t="shared" ref="C24:C37" si="0">IF(A24="","",B24/100*1000)</f>
        <v/>
      </c>
      <c r="D24" s="386" t="str">
        <f>IF(A24="","", VLOOKUP(A24,'SPECIFIC GRAVITIES'!$A$4:$B$138, 2, FALSE))</f>
        <v/>
      </c>
      <c r="E24" s="387" t="str">
        <f t="shared" ref="E24:E37" si="1">IF(A24="","",C24/D24)</f>
        <v/>
      </c>
      <c r="F24" s="580" t="str">
        <f>IF(A24="","",IF(B24&gt;VLOOKUP('Bulk Plant Input'!A24,'Max Add &amp; Blend Densities'!$B$3:$C$150,2,FALSE),"Abnormal "&amp;A24&amp;" loading - Confirm blend with client solutions",""))</f>
        <v/>
      </c>
      <c r="G24" s="581"/>
      <c r="H24" s="581"/>
      <c r="I24" s="581"/>
      <c r="J24" s="581"/>
      <c r="K24" s="581"/>
      <c r="L24" s="581"/>
      <c r="M24" s="581"/>
      <c r="N24" s="581"/>
      <c r="O24" s="581"/>
      <c r="P24" s="250"/>
      <c r="Q24" s="250"/>
      <c r="R24" s="250"/>
      <c r="S24" s="250"/>
    </row>
    <row r="25" spans="1:26" ht="18" customHeight="1" x14ac:dyDescent="0.25">
      <c r="A25" s="360"/>
      <c r="B25" s="365"/>
      <c r="C25" s="385" t="str">
        <f t="shared" si="0"/>
        <v/>
      </c>
      <c r="D25" s="386" t="str">
        <f>IF(A25="","", VLOOKUP(A25,'SPECIFIC GRAVITIES'!$A$4:$B$138, 2, FALSE))</f>
        <v/>
      </c>
      <c r="E25" s="387" t="str">
        <f t="shared" si="1"/>
        <v/>
      </c>
      <c r="F25" s="580" t="str">
        <f>IF(A25="","",IF(B25&gt;VLOOKUP('Bulk Plant Input'!A25,'Max Add &amp; Blend Densities'!$B$3:$C$150,2,FALSE),"Abnormal "&amp;A25&amp;" loading - Confirm blend with client solutions",""))</f>
        <v/>
      </c>
      <c r="G25" s="581"/>
      <c r="H25" s="581"/>
      <c r="I25" s="581"/>
      <c r="J25" s="581"/>
      <c r="K25" s="581"/>
      <c r="L25" s="581"/>
      <c r="M25" s="581"/>
      <c r="N25" s="581"/>
      <c r="O25" s="581"/>
      <c r="P25" s="250"/>
      <c r="Q25" s="250"/>
      <c r="R25" s="250"/>
      <c r="S25" s="250"/>
    </row>
    <row r="26" spans="1:26" ht="18" customHeight="1" x14ac:dyDescent="0.25">
      <c r="A26" s="360"/>
      <c r="B26" s="365"/>
      <c r="C26" s="385" t="str">
        <f t="shared" si="0"/>
        <v/>
      </c>
      <c r="D26" s="386" t="str">
        <f>IF(A26="","", VLOOKUP(A26,'SPECIFIC GRAVITIES'!$A$4:$B$138, 2, FALSE))</f>
        <v/>
      </c>
      <c r="E26" s="387" t="str">
        <f t="shared" si="1"/>
        <v/>
      </c>
      <c r="F26" s="580" t="str">
        <f>IF(A26="","",IF(B26&gt;VLOOKUP('Bulk Plant Input'!A26,'Max Add &amp; Blend Densities'!$B$3:$C$150,2,FALSE),"Abnormal "&amp;A26&amp;" loading - Confirm blend with client solutions",""))</f>
        <v/>
      </c>
      <c r="G26" s="581"/>
      <c r="H26" s="581"/>
      <c r="I26" s="581"/>
      <c r="J26" s="581"/>
      <c r="K26" s="581"/>
      <c r="L26" s="581"/>
      <c r="M26" s="581"/>
      <c r="N26" s="581"/>
      <c r="O26" s="581"/>
      <c r="P26" s="250"/>
      <c r="Q26" s="250"/>
      <c r="R26" s="250"/>
      <c r="S26" s="250"/>
    </row>
    <row r="27" spans="1:26" ht="18" customHeight="1" x14ac:dyDescent="0.25">
      <c r="A27" s="360"/>
      <c r="B27" s="365"/>
      <c r="C27" s="385" t="str">
        <f t="shared" si="0"/>
        <v/>
      </c>
      <c r="D27" s="386" t="str">
        <f>IF(A27="","", VLOOKUP(A27,'SPECIFIC GRAVITIES'!$A$4:$B$138, 2, FALSE))</f>
        <v/>
      </c>
      <c r="E27" s="387" t="str">
        <f t="shared" si="1"/>
        <v/>
      </c>
      <c r="F27" s="580" t="str">
        <f>IF(A27="","",IF(B27&gt;VLOOKUP('Bulk Plant Input'!A27,'Max Add &amp; Blend Densities'!$B$3:$C$150,2,FALSE),"Abnormal "&amp;A27&amp;" loading - Confirm blend with client solutions",""))</f>
        <v/>
      </c>
      <c r="G27" s="581"/>
      <c r="H27" s="581"/>
      <c r="I27" s="581"/>
      <c r="J27" s="581"/>
      <c r="K27" s="581"/>
      <c r="L27" s="581"/>
      <c r="M27" s="581"/>
      <c r="N27" s="581"/>
      <c r="O27" s="581"/>
      <c r="P27" s="250"/>
      <c r="Q27" s="250"/>
      <c r="R27" s="250"/>
      <c r="S27" s="250"/>
    </row>
    <row r="28" spans="1:26" ht="18" customHeight="1" x14ac:dyDescent="0.25">
      <c r="A28" s="360"/>
      <c r="B28" s="365"/>
      <c r="C28" s="385" t="str">
        <f t="shared" si="0"/>
        <v/>
      </c>
      <c r="D28" s="386" t="str">
        <f>IF(A28="","", VLOOKUP(A28,'SPECIFIC GRAVITIES'!$A$4:$B$138, 2, FALSE))</f>
        <v/>
      </c>
      <c r="E28" s="387" t="str">
        <f t="shared" si="1"/>
        <v/>
      </c>
      <c r="F28" s="580" t="str">
        <f>IF(A28="","",IF(B28&gt;VLOOKUP('Bulk Plant Input'!A28,'Max Add &amp; Blend Densities'!$B$3:$C$150,2,FALSE),"Abnormal "&amp;A28&amp;" loading - Confirm blend with client solutions",""))</f>
        <v/>
      </c>
      <c r="G28" s="581"/>
      <c r="H28" s="581"/>
      <c r="I28" s="581"/>
      <c r="J28" s="581"/>
      <c r="K28" s="581"/>
      <c r="L28" s="581"/>
      <c r="M28" s="581"/>
      <c r="N28" s="581"/>
      <c r="O28" s="581"/>
      <c r="P28" s="250"/>
      <c r="Q28" s="250"/>
      <c r="R28" s="250"/>
      <c r="S28" s="250"/>
    </row>
    <row r="29" spans="1:26" ht="18" customHeight="1" x14ac:dyDescent="0.25">
      <c r="A29" s="360"/>
      <c r="B29" s="365"/>
      <c r="C29" s="385" t="str">
        <f t="shared" si="0"/>
        <v/>
      </c>
      <c r="D29" s="386" t="str">
        <f>IF(A29="","", VLOOKUP(A29,'SPECIFIC GRAVITIES'!$A$4:$B$138, 2, FALSE))</f>
        <v/>
      </c>
      <c r="E29" s="387" t="str">
        <f t="shared" si="1"/>
        <v/>
      </c>
      <c r="F29" s="580" t="str">
        <f>IF(A29="","",IF(B29&gt;VLOOKUP('Bulk Plant Input'!A29,'Max Add &amp; Blend Densities'!$B$3:$C$150,2,FALSE),"Abnormal "&amp;A29&amp;" loading - Confirm blend with client solutions",""))</f>
        <v/>
      </c>
      <c r="G29" s="581"/>
      <c r="H29" s="581"/>
      <c r="I29" s="581"/>
      <c r="J29" s="581"/>
      <c r="K29" s="581"/>
      <c r="L29" s="581"/>
      <c r="M29" s="581"/>
      <c r="N29" s="581"/>
      <c r="O29" s="581"/>
      <c r="P29" s="267"/>
      <c r="Q29" s="267"/>
      <c r="R29" s="267"/>
      <c r="S29" s="267"/>
    </row>
    <row r="30" spans="1:26" ht="18" customHeight="1" x14ac:dyDescent="0.25">
      <c r="A30" s="360"/>
      <c r="B30" s="365"/>
      <c r="C30" s="385" t="str">
        <f t="shared" si="0"/>
        <v/>
      </c>
      <c r="D30" s="386" t="str">
        <f>IF(A30="","", VLOOKUP(A30,'SPECIFIC GRAVITIES'!$A$4:$B$138, 2, FALSE))</f>
        <v/>
      </c>
      <c r="E30" s="387" t="str">
        <f t="shared" si="1"/>
        <v/>
      </c>
      <c r="F30" s="580" t="str">
        <f>IF(A30="","",IF(B30&gt;VLOOKUP('Bulk Plant Input'!A30,'Max Add &amp; Blend Densities'!$B$3:$C$150,2,FALSE),"Abnormal "&amp;A30&amp;" loading - Confirm blend with client solutions",""))</f>
        <v/>
      </c>
      <c r="G30" s="581"/>
      <c r="H30" s="581"/>
      <c r="I30" s="581"/>
      <c r="J30" s="581"/>
      <c r="K30" s="581"/>
      <c r="L30" s="581"/>
      <c r="M30" s="581"/>
      <c r="N30" s="581"/>
      <c r="O30" s="581"/>
    </row>
    <row r="31" spans="1:26" ht="18" customHeight="1" x14ac:dyDescent="0.25">
      <c r="A31" s="360"/>
      <c r="B31" s="365"/>
      <c r="C31" s="385" t="str">
        <f t="shared" si="0"/>
        <v/>
      </c>
      <c r="D31" s="386" t="str">
        <f>IF(A31="","", VLOOKUP(A31,'SPECIFIC GRAVITIES'!$A$4:$B$138, 2, FALSE))</f>
        <v/>
      </c>
      <c r="E31" s="387" t="str">
        <f t="shared" si="1"/>
        <v/>
      </c>
      <c r="F31" s="580" t="str">
        <f>IF(A31="","",IF(B31&gt;VLOOKUP('Bulk Plant Input'!A31,'Max Add &amp; Blend Densities'!$B$3:$C$150,2,FALSE),"Abnormal "&amp;A31&amp;" loading - Confirm blend with client solutions",""))</f>
        <v/>
      </c>
      <c r="G31" s="581"/>
      <c r="H31" s="581"/>
      <c r="I31" s="581"/>
      <c r="J31" s="581"/>
      <c r="K31" s="581"/>
      <c r="L31" s="581"/>
      <c r="M31" s="581"/>
      <c r="N31" s="581"/>
      <c r="O31" s="581"/>
    </row>
    <row r="32" spans="1:26" ht="18" customHeight="1" x14ac:dyDescent="0.25">
      <c r="A32" s="360"/>
      <c r="B32" s="365"/>
      <c r="C32" s="385" t="str">
        <f t="shared" si="0"/>
        <v/>
      </c>
      <c r="D32" s="386" t="str">
        <f>IF(A32="","", VLOOKUP(A32,'SPECIFIC GRAVITIES'!$A$4:$B$138, 2, FALSE))</f>
        <v/>
      </c>
      <c r="E32" s="387" t="str">
        <f t="shared" si="1"/>
        <v/>
      </c>
      <c r="F32" s="580" t="str">
        <f>IF(A32="","",IF(B32&gt;VLOOKUP('Bulk Plant Input'!A32,'Max Add &amp; Blend Densities'!$B$3:$C$150,2,FALSE),"Abnormal "&amp;A32&amp;" loading - Confirm blend with client solutions",""))</f>
        <v/>
      </c>
      <c r="G32" s="581"/>
      <c r="H32" s="581"/>
      <c r="I32" s="581"/>
      <c r="J32" s="581"/>
      <c r="K32" s="581"/>
      <c r="L32" s="581"/>
      <c r="M32" s="581"/>
      <c r="N32" s="581"/>
      <c r="O32" s="581"/>
    </row>
    <row r="33" spans="1:19" ht="18" customHeight="1" x14ac:dyDescent="0.25">
      <c r="A33" s="360"/>
      <c r="B33" s="365"/>
      <c r="C33" s="385" t="str">
        <f t="shared" si="0"/>
        <v/>
      </c>
      <c r="D33" s="386" t="str">
        <f>IF(A33="","", VLOOKUP(A33,'SPECIFIC GRAVITIES'!$A$4:$B$138, 2, FALSE))</f>
        <v/>
      </c>
      <c r="E33" s="387" t="str">
        <f t="shared" si="1"/>
        <v/>
      </c>
      <c r="F33" s="580" t="str">
        <f>IF(A33="","",IF(B33&gt;VLOOKUP('Bulk Plant Input'!A33,'Max Add &amp; Blend Densities'!$B$3:$C$150,2,FALSE),"Abnormal "&amp;A33&amp;" loading - Confirm blend with client solutions",""))</f>
        <v/>
      </c>
      <c r="G33" s="581"/>
      <c r="H33" s="581"/>
      <c r="I33" s="581"/>
      <c r="J33" s="581"/>
      <c r="K33" s="581"/>
      <c r="L33" s="581"/>
      <c r="M33" s="581"/>
      <c r="N33" s="581"/>
      <c r="O33" s="581"/>
    </row>
    <row r="34" spans="1:19" ht="18" customHeight="1" x14ac:dyDescent="0.25">
      <c r="A34" s="360"/>
      <c r="B34" s="365"/>
      <c r="C34" s="385" t="str">
        <f t="shared" si="0"/>
        <v/>
      </c>
      <c r="D34" s="386" t="str">
        <f>IF(A34="","", VLOOKUP(A34,'SPECIFIC GRAVITIES'!$A$4:$B$138, 2, FALSE))</f>
        <v/>
      </c>
      <c r="E34" s="387" t="str">
        <f t="shared" si="1"/>
        <v/>
      </c>
      <c r="F34" s="580" t="str">
        <f>IF(A34="","",IF(B34&gt;VLOOKUP('Bulk Plant Input'!A34,'Max Add &amp; Blend Densities'!$B$3:$C$150,2,FALSE),"Abnormal "&amp;A34&amp;" loading - Confirm blend with client solutions",""))</f>
        <v/>
      </c>
      <c r="G34" s="581"/>
      <c r="H34" s="581"/>
      <c r="I34" s="581"/>
      <c r="J34" s="581"/>
      <c r="K34" s="581"/>
      <c r="L34" s="581"/>
      <c r="M34" s="581"/>
      <c r="N34" s="581"/>
      <c r="O34" s="581"/>
    </row>
    <row r="35" spans="1:19" ht="18" customHeight="1" x14ac:dyDescent="0.25">
      <c r="A35" s="360"/>
      <c r="B35" s="365"/>
      <c r="C35" s="385" t="str">
        <f t="shared" si="0"/>
        <v/>
      </c>
      <c r="D35" s="386" t="str">
        <f>IF(A35="","", VLOOKUP(A35,'SPECIFIC GRAVITIES'!$A$4:$B$138, 2, FALSE))</f>
        <v/>
      </c>
      <c r="E35" s="387" t="str">
        <f t="shared" si="1"/>
        <v/>
      </c>
      <c r="F35" s="580" t="str">
        <f>IF(A35="","",IF(B35&gt;VLOOKUP('Bulk Plant Input'!A35,'Max Add &amp; Blend Densities'!$B$3:$C$150,2,FALSE),"Abnormal "&amp;A35&amp;" loading - Confirm blend with client solutions",""))</f>
        <v/>
      </c>
      <c r="G35" s="581"/>
      <c r="H35" s="581"/>
      <c r="I35" s="581"/>
      <c r="J35" s="581"/>
      <c r="K35" s="581"/>
      <c r="L35" s="581"/>
      <c r="M35" s="581"/>
      <c r="N35" s="581"/>
      <c r="O35" s="581"/>
    </row>
    <row r="36" spans="1:19" ht="18" customHeight="1" x14ac:dyDescent="0.25">
      <c r="A36" s="360"/>
      <c r="B36" s="365"/>
      <c r="C36" s="385" t="str">
        <f t="shared" si="0"/>
        <v/>
      </c>
      <c r="D36" s="386" t="str">
        <f>IF(A36="","", VLOOKUP(A36,'SPECIFIC GRAVITIES'!$A$4:$B$138, 2, FALSE))</f>
        <v/>
      </c>
      <c r="E36" s="387" t="str">
        <f t="shared" si="1"/>
        <v/>
      </c>
      <c r="F36" s="580" t="str">
        <f>IF(A36="","",IF(B36&gt;VLOOKUP('Bulk Plant Input'!A36,'Max Add &amp; Blend Densities'!$B$3:$C$150,2,FALSE),"Abnormal "&amp;A36&amp;" loading - Confirm blend with client solutions",""))</f>
        <v/>
      </c>
      <c r="G36" s="581"/>
      <c r="H36" s="581"/>
      <c r="I36" s="581"/>
      <c r="J36" s="581"/>
      <c r="K36" s="581"/>
      <c r="L36" s="581"/>
      <c r="M36" s="581"/>
      <c r="N36" s="581"/>
      <c r="O36" s="581"/>
    </row>
    <row r="37" spans="1:19" ht="18" customHeight="1" thickBot="1" x14ac:dyDescent="0.3">
      <c r="A37" s="360"/>
      <c r="B37" s="359"/>
      <c r="C37" s="385" t="str">
        <f t="shared" si="0"/>
        <v/>
      </c>
      <c r="D37" s="388" t="str">
        <f>IF(A37="","", VLOOKUP(A37,'SPECIFIC GRAVITIES'!$A$4:$B$138, 2, FALSE))</f>
        <v/>
      </c>
      <c r="E37" s="389" t="str">
        <f t="shared" si="1"/>
        <v/>
      </c>
      <c r="F37" s="580" t="str">
        <f>IF(A37="","",IF(B37&gt;VLOOKUP('Bulk Plant Input'!A37,'Max Add &amp; Blend Densities'!$B$3:$C$150,2,FALSE),"Abnormal "&amp;A37&amp;" loading - Confirm blend with client solutions",""))</f>
        <v/>
      </c>
      <c r="G37" s="581"/>
      <c r="H37" s="581"/>
      <c r="I37" s="581"/>
      <c r="J37" s="581"/>
      <c r="K37" s="581"/>
      <c r="L37" s="581"/>
      <c r="M37" s="581"/>
      <c r="N37" s="581"/>
      <c r="O37" s="581"/>
    </row>
    <row r="38" spans="1:19" ht="15.75" hidden="1" thickTop="1" x14ac:dyDescent="0.25">
      <c r="A38" s="65"/>
      <c r="B38" s="66"/>
      <c r="C38" s="67"/>
      <c r="D38" s="68"/>
      <c r="E38" s="69"/>
      <c r="F38" s="264"/>
      <c r="G38" s="268"/>
      <c r="H38" s="262"/>
      <c r="I38" s="269"/>
      <c r="J38" s="262"/>
      <c r="K38" s="262"/>
      <c r="L38" s="262"/>
    </row>
    <row r="39" spans="1:19" ht="15" hidden="1" customHeight="1" thickBot="1" x14ac:dyDescent="0.3">
      <c r="A39" s="216" t="s">
        <v>187</v>
      </c>
      <c r="B39" s="217" t="str">
        <f>SUM(B23:B37)&amp;" %"</f>
        <v>0 %</v>
      </c>
      <c r="C39" s="218">
        <f>SUM(C23:C37)</f>
        <v>0</v>
      </c>
      <c r="D39" s="219"/>
      <c r="E39" s="220">
        <f>SUM(E23:E37)</f>
        <v>0</v>
      </c>
      <c r="F39" s="264"/>
      <c r="G39" s="270"/>
      <c r="H39" s="271"/>
      <c r="I39" s="272"/>
      <c r="J39" s="262"/>
      <c r="K39" s="262"/>
      <c r="L39" s="262"/>
    </row>
    <row r="40" spans="1:19" hidden="1" x14ac:dyDescent="0.25">
      <c r="A40" s="65"/>
      <c r="B40" s="66"/>
      <c r="C40" s="67"/>
      <c r="D40" s="68"/>
      <c r="E40" s="69"/>
      <c r="F40" s="266"/>
      <c r="G40" s="270"/>
      <c r="H40" s="271"/>
      <c r="I40" s="272"/>
      <c r="J40" s="273"/>
      <c r="K40" s="273"/>
      <c r="L40" s="273"/>
      <c r="M40" s="273"/>
    </row>
    <row r="41" spans="1:19" ht="15.75" hidden="1" thickTop="1" x14ac:dyDescent="0.25">
      <c r="A41" s="577" t="s">
        <v>188</v>
      </c>
      <c r="B41" s="577"/>
      <c r="C41" s="577"/>
      <c r="D41" s="577"/>
      <c r="E41" s="577"/>
      <c r="F41" s="264"/>
      <c r="G41" s="262"/>
      <c r="H41" s="262"/>
      <c r="I41" s="262"/>
      <c r="J41" s="262"/>
      <c r="K41" s="262"/>
      <c r="L41" s="262"/>
    </row>
    <row r="42" spans="1:19" ht="25.5" customHeight="1" thickTop="1" x14ac:dyDescent="0.25">
      <c r="A42" s="305" t="s">
        <v>192</v>
      </c>
      <c r="B42" s="305" t="s">
        <v>189</v>
      </c>
      <c r="C42" s="305" t="s">
        <v>458</v>
      </c>
      <c r="D42" s="305" t="s">
        <v>190</v>
      </c>
      <c r="E42" s="305" t="s">
        <v>191</v>
      </c>
      <c r="F42" s="274" t="s">
        <v>507</v>
      </c>
      <c r="G42" s="275"/>
      <c r="H42" s="275"/>
      <c r="I42" s="275"/>
      <c r="J42" s="275"/>
      <c r="K42" s="275"/>
      <c r="L42" s="262"/>
    </row>
    <row r="43" spans="1:19" ht="18" customHeight="1" x14ac:dyDescent="0.25">
      <c r="A43" s="358"/>
      <c r="B43" s="357"/>
      <c r="C43" s="385">
        <f>IF(A43="",0,B43/100*$B$9)*1000</f>
        <v>0</v>
      </c>
      <c r="D43" s="386" t="str">
        <f>IF(A43="","", IF(A43="KCl", VLOOKUP(B43, 'SPECIFIC GRAVITIES'!H5:I20, 2, FALSE), VLOOKUP(B43,'SPECIFIC GRAVITIES'!F5:G42,2, FALSE)))</f>
        <v/>
      </c>
      <c r="E43" s="386">
        <f>IF(D43="", 0, D43*C43)</f>
        <v>0</v>
      </c>
      <c r="F43" s="274" t="s">
        <v>509</v>
      </c>
      <c r="G43" s="276"/>
      <c r="H43" s="277"/>
      <c r="I43" s="265"/>
      <c r="J43" s="258"/>
      <c r="K43" s="262"/>
      <c r="L43" s="262"/>
    </row>
    <row r="44" spans="1:19" ht="18" customHeight="1" x14ac:dyDescent="0.25">
      <c r="A44" s="358"/>
      <c r="B44" s="357"/>
      <c r="C44" s="385">
        <f>IF(A44="",0,B44/100*$B$9)*1000</f>
        <v>0</v>
      </c>
      <c r="D44" s="386" t="str">
        <f>IF(A44="","", IF(A44="KCl", VLOOKUP(B44, 'SPECIFIC GRAVITIES'!H5:I20, 2, FALSE), VLOOKUP(B44,'SPECIFIC GRAVITIES'!F5:G42,2, FALSE)))</f>
        <v/>
      </c>
      <c r="E44" s="386">
        <f>IF(D44="", 0, C44*D44)</f>
        <v>0</v>
      </c>
      <c r="F44" s="274" t="s">
        <v>508</v>
      </c>
      <c r="G44" s="276"/>
      <c r="H44" s="277"/>
      <c r="I44" s="265"/>
      <c r="J44" s="258"/>
      <c r="K44" s="262"/>
      <c r="L44" s="262"/>
    </row>
    <row r="45" spans="1:19" x14ac:dyDescent="0.25">
      <c r="A45" s="306"/>
      <c r="B45" s="307"/>
      <c r="C45" s="307"/>
      <c r="D45" s="307"/>
      <c r="E45" s="307"/>
      <c r="F45" s="278"/>
      <c r="G45" s="279"/>
      <c r="H45" s="280"/>
      <c r="I45" s="281"/>
      <c r="J45" s="260"/>
    </row>
    <row r="46" spans="1:19" x14ac:dyDescent="0.25">
      <c r="A46" s="306"/>
      <c r="B46" s="307"/>
      <c r="C46" s="307"/>
      <c r="D46" s="307"/>
      <c r="E46" s="307"/>
      <c r="F46" s="278"/>
      <c r="G46" s="279"/>
      <c r="H46" s="280"/>
      <c r="I46" s="281"/>
      <c r="J46" s="260"/>
    </row>
    <row r="47" spans="1:19" ht="18" x14ac:dyDescent="0.25">
      <c r="A47" s="568"/>
      <c r="B47" s="568"/>
      <c r="C47" s="568"/>
      <c r="D47" s="568"/>
      <c r="E47" s="568"/>
      <c r="F47" s="278"/>
      <c r="G47" s="279"/>
      <c r="H47" s="280"/>
      <c r="I47" s="281"/>
      <c r="J47" s="260"/>
      <c r="L47" s="250"/>
      <c r="M47" s="250"/>
      <c r="N47" s="250"/>
      <c r="O47" s="250"/>
      <c r="P47" s="250"/>
      <c r="Q47" s="250"/>
      <c r="R47" s="250"/>
      <c r="S47" s="250"/>
    </row>
    <row r="48" spans="1:19" ht="12" hidden="1" customHeight="1" x14ac:dyDescent="0.25">
      <c r="A48" s="270" t="s">
        <v>273</v>
      </c>
      <c r="B48" s="308">
        <f>IF(A19="","",VLOOKUP(A19, 'Base Blend Property Calculation'!$A$7:$BP$159,65,FALSE))</f>
        <v>0</v>
      </c>
      <c r="C48" s="278"/>
      <c r="D48" s="278"/>
      <c r="E48" s="278"/>
      <c r="F48" s="278"/>
      <c r="G48" s="279"/>
      <c r="H48" s="280"/>
      <c r="I48" s="281"/>
      <c r="J48" s="260"/>
      <c r="K48" s="250"/>
      <c r="L48" s="250"/>
      <c r="M48" s="250"/>
      <c r="N48" s="250"/>
      <c r="O48" s="250"/>
      <c r="P48" s="250"/>
      <c r="Q48" s="250"/>
      <c r="R48" s="250"/>
      <c r="S48" s="250"/>
    </row>
    <row r="49" spans="1:19" ht="15.75" x14ac:dyDescent="0.25">
      <c r="A49" s="309"/>
      <c r="B49" s="310"/>
      <c r="C49" s="311"/>
      <c r="D49" s="309"/>
      <c r="E49" s="312"/>
      <c r="F49" s="278"/>
      <c r="G49" s="279"/>
      <c r="H49" s="280"/>
      <c r="I49" s="281"/>
      <c r="J49" s="260"/>
      <c r="K49" s="250"/>
      <c r="L49" s="250"/>
      <c r="M49" s="250"/>
      <c r="N49" s="250"/>
      <c r="O49" s="250"/>
      <c r="P49" s="250"/>
      <c r="Q49" s="250"/>
      <c r="R49" s="250"/>
      <c r="S49" s="250"/>
    </row>
    <row r="50" spans="1:19" ht="18" x14ac:dyDescent="0.25">
      <c r="A50" s="341"/>
      <c r="B50" s="311"/>
      <c r="C50" s="579" t="str">
        <f>IF(A43="","",IF(B43&gt;VLOOKUP('Bulk Plant Input'!A43,'Max Add &amp; Blend Densities'!$B$3:$C$150,2,FALSE),"Abnormal "&amp;A43&amp;" loading - Confirm blend with client solutions",""))</f>
        <v/>
      </c>
      <c r="D50" s="579"/>
      <c r="E50" s="579"/>
      <c r="F50" s="579"/>
      <c r="G50" s="579"/>
      <c r="H50" s="579"/>
      <c r="I50" s="579"/>
      <c r="J50" s="579"/>
      <c r="K50" s="579"/>
      <c r="L50" s="579"/>
      <c r="M50" s="250"/>
      <c r="N50" s="250"/>
      <c r="O50" s="250"/>
      <c r="P50" s="250"/>
      <c r="Q50" s="250"/>
      <c r="R50" s="250"/>
      <c r="S50" s="250"/>
    </row>
    <row r="51" spans="1:19" ht="18" x14ac:dyDescent="0.25">
      <c r="A51" s="342"/>
      <c r="B51" s="314"/>
      <c r="C51" s="579" t="str">
        <f>IF(A44="","",IF(B44&gt;VLOOKUP('Bulk Plant Input'!A44,'Max Add &amp; Blend Densities'!$B$3:$C$150,2,FALSE),"Abnormal "&amp;A44&amp;" loading - Confirm blend with client solutions",""))</f>
        <v/>
      </c>
      <c r="D51" s="579"/>
      <c r="E51" s="579"/>
      <c r="F51" s="579"/>
      <c r="G51" s="579"/>
      <c r="H51" s="579"/>
      <c r="I51" s="579"/>
      <c r="J51" s="579"/>
      <c r="K51" s="579"/>
      <c r="L51" s="579"/>
      <c r="M51" s="250"/>
      <c r="N51" s="250"/>
      <c r="O51" s="250"/>
      <c r="P51" s="250"/>
      <c r="Q51" s="250"/>
      <c r="R51" s="250"/>
      <c r="S51" s="250"/>
    </row>
    <row r="52" spans="1:19" ht="15.75" x14ac:dyDescent="0.25">
      <c r="A52" s="342"/>
      <c r="B52" s="317"/>
      <c r="C52" s="315"/>
      <c r="D52" s="316"/>
      <c r="E52" s="318"/>
      <c r="F52" s="278"/>
      <c r="G52" s="279"/>
      <c r="H52" s="282"/>
      <c r="I52" s="281"/>
      <c r="J52" s="260"/>
      <c r="K52" s="250"/>
      <c r="L52" s="250"/>
      <c r="M52" s="250"/>
      <c r="N52" s="250"/>
      <c r="O52" s="250"/>
      <c r="P52" s="250"/>
      <c r="Q52" s="250"/>
      <c r="R52" s="250"/>
      <c r="S52" s="250"/>
    </row>
    <row r="53" spans="1:19" ht="15.75" x14ac:dyDescent="0.25">
      <c r="A53" s="313"/>
      <c r="B53" s="317"/>
      <c r="C53" s="315"/>
      <c r="D53" s="316"/>
      <c r="E53" s="318"/>
      <c r="F53" s="278"/>
      <c r="G53" s="279"/>
      <c r="H53" s="280"/>
      <c r="I53" s="281"/>
      <c r="J53" s="260"/>
      <c r="K53" s="250"/>
      <c r="L53" s="250"/>
      <c r="M53" s="250"/>
      <c r="N53" s="250"/>
      <c r="O53" s="250"/>
      <c r="P53" s="250"/>
      <c r="Q53" s="250"/>
      <c r="R53" s="250"/>
      <c r="S53" s="250"/>
    </row>
    <row r="54" spans="1:19" ht="15.75" x14ac:dyDescent="0.25">
      <c r="A54" s="319"/>
      <c r="B54" s="317"/>
      <c r="C54" s="315"/>
      <c r="D54" s="316"/>
      <c r="E54" s="318"/>
      <c r="F54" s="283"/>
      <c r="G54" s="279"/>
      <c r="H54" s="280"/>
      <c r="I54" s="281"/>
      <c r="J54" s="260"/>
      <c r="K54" s="250"/>
      <c r="L54" s="284"/>
      <c r="M54" s="284"/>
      <c r="N54" s="284"/>
      <c r="O54" s="284"/>
      <c r="P54" s="284"/>
      <c r="Q54" s="284"/>
      <c r="R54" s="284"/>
      <c r="S54" s="284"/>
    </row>
    <row r="55" spans="1:19" ht="15.75" x14ac:dyDescent="0.25">
      <c r="A55" s="578"/>
      <c r="B55" s="578"/>
      <c r="C55" s="320"/>
      <c r="D55" s="320"/>
      <c r="E55" s="321"/>
      <c r="F55" s="283"/>
      <c r="G55" s="279"/>
      <c r="H55" s="285"/>
      <c r="I55" s="281"/>
      <c r="J55" s="286"/>
      <c r="K55" s="284"/>
      <c r="L55" s="284"/>
      <c r="M55" s="284"/>
      <c r="N55" s="284"/>
      <c r="O55" s="284"/>
      <c r="P55" s="284"/>
      <c r="Q55" s="284"/>
      <c r="R55" s="284"/>
      <c r="S55" s="284"/>
    </row>
    <row r="56" spans="1:19" ht="15.75" x14ac:dyDescent="0.25">
      <c r="A56" s="322"/>
      <c r="B56" s="311"/>
      <c r="C56" s="320"/>
      <c r="D56" s="320"/>
      <c r="E56" s="321"/>
      <c r="F56" s="283"/>
      <c r="G56" s="287"/>
      <c r="H56" s="287"/>
      <c r="I56" s="288"/>
      <c r="J56" s="286"/>
      <c r="K56" s="284"/>
      <c r="L56" s="284"/>
      <c r="M56" s="284"/>
      <c r="N56" s="284"/>
      <c r="O56" s="284"/>
      <c r="P56" s="284"/>
      <c r="Q56" s="284"/>
      <c r="R56" s="284"/>
      <c r="S56" s="284"/>
    </row>
    <row r="57" spans="1:19" ht="15.75" x14ac:dyDescent="0.25">
      <c r="A57" s="311"/>
      <c r="B57" s="311"/>
      <c r="C57" s="311"/>
      <c r="D57" s="323"/>
      <c r="E57" s="324"/>
      <c r="F57" s="283"/>
      <c r="G57" s="287"/>
      <c r="H57" s="287"/>
      <c r="I57" s="288"/>
      <c r="J57" s="286"/>
      <c r="K57" s="284"/>
      <c r="L57" s="284"/>
      <c r="M57" s="284"/>
      <c r="N57" s="284"/>
      <c r="O57" s="284"/>
      <c r="P57" s="284"/>
      <c r="Q57" s="284"/>
      <c r="R57" s="284"/>
      <c r="S57" s="284"/>
    </row>
    <row r="58" spans="1:19" x14ac:dyDescent="0.25">
      <c r="A58" s="325"/>
      <c r="B58" s="307"/>
      <c r="C58" s="279"/>
      <c r="D58" s="282"/>
      <c r="E58" s="326"/>
      <c r="F58" s="266"/>
      <c r="G58" s="287"/>
      <c r="H58" s="287"/>
      <c r="I58" s="288"/>
      <c r="J58" s="286"/>
      <c r="K58" s="284"/>
      <c r="L58" s="267"/>
      <c r="M58" s="267"/>
      <c r="N58" s="267"/>
      <c r="O58" s="267"/>
      <c r="P58" s="267"/>
      <c r="Q58" s="267"/>
      <c r="R58" s="267"/>
      <c r="S58" s="267"/>
    </row>
    <row r="59" spans="1:19" x14ac:dyDescent="0.25">
      <c r="A59" s="325"/>
      <c r="B59" s="307"/>
      <c r="C59" s="279"/>
      <c r="D59" s="282"/>
      <c r="E59" s="326"/>
      <c r="F59" s="266"/>
      <c r="J59" s="289"/>
      <c r="K59" s="267"/>
      <c r="L59" s="267"/>
      <c r="M59" s="267"/>
      <c r="N59" s="267"/>
      <c r="O59" s="267"/>
      <c r="P59" s="267"/>
      <c r="Q59" s="267"/>
      <c r="R59" s="267"/>
      <c r="S59" s="267"/>
    </row>
    <row r="60" spans="1:19" x14ac:dyDescent="0.25">
      <c r="A60" s="262"/>
      <c r="B60" s="327"/>
      <c r="C60" s="261"/>
      <c r="D60" s="228"/>
      <c r="E60" s="261"/>
      <c r="F60" s="264"/>
      <c r="J60" s="289"/>
      <c r="K60" s="267"/>
      <c r="L60" s="250"/>
      <c r="M60" s="250"/>
      <c r="N60" s="250"/>
      <c r="O60" s="250"/>
      <c r="P60" s="250"/>
      <c r="Q60" s="250"/>
      <c r="R60" s="250"/>
      <c r="S60" s="250"/>
    </row>
    <row r="61" spans="1:19" x14ac:dyDescent="0.25">
      <c r="A61" s="262"/>
      <c r="B61" s="327"/>
      <c r="C61" s="228"/>
      <c r="D61" s="293"/>
      <c r="E61" s="293"/>
      <c r="F61" s="264"/>
      <c r="J61" s="260"/>
      <c r="K61" s="250"/>
      <c r="L61" s="250"/>
      <c r="M61" s="250"/>
      <c r="N61" s="250"/>
      <c r="O61" s="250"/>
      <c r="P61" s="250"/>
      <c r="Q61" s="250"/>
      <c r="R61" s="250"/>
      <c r="S61" s="250"/>
    </row>
    <row r="62" spans="1:19" x14ac:dyDescent="0.25">
      <c r="A62" s="262"/>
      <c r="B62" s="327"/>
      <c r="C62" s="228"/>
      <c r="D62" s="228"/>
      <c r="E62" s="326"/>
      <c r="F62" s="264"/>
      <c r="J62" s="260"/>
      <c r="K62" s="250"/>
      <c r="L62" s="250"/>
      <c r="M62" s="250"/>
      <c r="N62" s="250"/>
      <c r="O62" s="250"/>
      <c r="P62" s="250"/>
      <c r="Q62" s="250"/>
      <c r="R62" s="250"/>
      <c r="S62" s="250"/>
    </row>
    <row r="63" spans="1:19" ht="15" customHeight="1" x14ac:dyDescent="0.25">
      <c r="A63" s="328"/>
      <c r="B63" s="329"/>
      <c r="C63" s="228"/>
      <c r="D63" s="228"/>
      <c r="E63" s="326"/>
      <c r="F63" s="261"/>
      <c r="G63" s="279"/>
      <c r="H63" s="280"/>
      <c r="I63" s="290"/>
      <c r="J63" s="260"/>
      <c r="K63" s="250"/>
      <c r="L63" s="250"/>
      <c r="M63" s="250"/>
      <c r="N63" s="250"/>
    </row>
    <row r="64" spans="1:19" x14ac:dyDescent="0.25">
      <c r="A64" s="572"/>
      <c r="B64" s="572"/>
      <c r="C64" s="228"/>
      <c r="D64" s="282"/>
      <c r="E64" s="326"/>
      <c r="F64" s="261"/>
      <c r="G64" s="279"/>
      <c r="H64" s="280"/>
      <c r="I64" s="290"/>
      <c r="J64" s="260"/>
      <c r="K64" s="250"/>
      <c r="L64" s="250"/>
      <c r="M64" s="250"/>
      <c r="N64" s="250"/>
    </row>
    <row r="65" spans="1:14" x14ac:dyDescent="0.25">
      <c r="A65" s="330"/>
      <c r="B65" s="276"/>
      <c r="C65" s="228"/>
      <c r="D65" s="282"/>
      <c r="E65" s="326"/>
      <c r="G65" s="279"/>
      <c r="H65" s="280"/>
      <c r="I65" s="290"/>
      <c r="J65" s="250"/>
      <c r="K65" s="250"/>
      <c r="L65" s="250"/>
      <c r="M65" s="250"/>
      <c r="N65" s="250"/>
    </row>
    <row r="66" spans="1:14" x14ac:dyDescent="0.25">
      <c r="A66" s="330"/>
      <c r="B66" s="276"/>
      <c r="C66" s="228"/>
      <c r="D66" s="282"/>
      <c r="E66" s="326"/>
      <c r="I66" s="291"/>
      <c r="J66" s="250"/>
      <c r="K66" s="250"/>
      <c r="L66" s="250"/>
      <c r="M66" s="250"/>
      <c r="N66" s="250"/>
    </row>
    <row r="67" spans="1:14" x14ac:dyDescent="0.25">
      <c r="A67" s="330"/>
      <c r="B67" s="277"/>
      <c r="C67" s="228"/>
      <c r="D67" s="282"/>
      <c r="E67" s="326"/>
      <c r="F67" s="264"/>
      <c r="I67" s="291"/>
      <c r="J67" s="250"/>
      <c r="K67" s="250"/>
      <c r="L67" s="250"/>
      <c r="M67" s="250"/>
      <c r="N67" s="250"/>
    </row>
    <row r="68" spans="1:14" x14ac:dyDescent="0.25">
      <c r="A68" s="330"/>
      <c r="B68" s="276"/>
      <c r="C68" s="279"/>
      <c r="D68" s="282"/>
      <c r="E68" s="326"/>
      <c r="F68" s="264"/>
      <c r="G68" s="279"/>
      <c r="H68" s="280"/>
      <c r="I68" s="291"/>
      <c r="J68" s="250"/>
      <c r="K68" s="250"/>
      <c r="L68" s="250"/>
      <c r="M68" s="250"/>
      <c r="N68" s="250"/>
    </row>
    <row r="69" spans="1:14" x14ac:dyDescent="0.25">
      <c r="A69" s="331"/>
      <c r="B69" s="332"/>
      <c r="C69" s="279"/>
      <c r="D69" s="282"/>
      <c r="E69" s="326"/>
      <c r="F69" s="264"/>
      <c r="G69" s="279"/>
      <c r="H69" s="280"/>
      <c r="I69" s="291"/>
      <c r="J69" s="250"/>
      <c r="K69" s="250"/>
      <c r="L69" s="250"/>
      <c r="M69" s="250"/>
      <c r="N69" s="250"/>
    </row>
    <row r="70" spans="1:14" x14ac:dyDescent="0.25">
      <c r="A70" s="331"/>
      <c r="B70" s="332"/>
      <c r="C70" s="279"/>
      <c r="D70" s="282"/>
      <c r="E70" s="326"/>
      <c r="F70" s="264"/>
      <c r="G70" s="279"/>
      <c r="H70" s="280"/>
      <c r="I70" s="291"/>
      <c r="J70" s="250"/>
      <c r="K70" s="250"/>
      <c r="L70" s="250"/>
      <c r="M70" s="250"/>
      <c r="N70" s="250"/>
    </row>
    <row r="71" spans="1:14" x14ac:dyDescent="0.25">
      <c r="A71" s="331"/>
      <c r="B71" s="332"/>
      <c r="C71" s="279"/>
      <c r="D71" s="282"/>
      <c r="E71" s="326"/>
      <c r="F71" s="264"/>
      <c r="G71" s="279"/>
      <c r="H71" s="280"/>
      <c r="I71" s="291"/>
      <c r="J71" s="250"/>
      <c r="K71" s="250"/>
      <c r="L71" s="250"/>
      <c r="M71" s="250"/>
      <c r="N71" s="250"/>
    </row>
    <row r="72" spans="1:14" x14ac:dyDescent="0.25">
      <c r="A72" s="325"/>
      <c r="B72" s="332"/>
      <c r="C72" s="279"/>
      <c r="D72" s="282"/>
      <c r="E72" s="326"/>
      <c r="F72" s="264"/>
      <c r="G72" s="279"/>
      <c r="H72" s="280"/>
      <c r="I72" s="291"/>
      <c r="J72" s="250"/>
      <c r="K72" s="250"/>
      <c r="L72" s="250"/>
      <c r="M72" s="250"/>
      <c r="N72" s="250"/>
    </row>
    <row r="73" spans="1:14" x14ac:dyDescent="0.25">
      <c r="A73" s="325"/>
      <c r="B73" s="332"/>
      <c r="C73" s="279"/>
      <c r="D73" s="282"/>
      <c r="E73" s="326"/>
      <c r="F73" s="264"/>
      <c r="G73" s="279"/>
      <c r="H73" s="280"/>
      <c r="I73" s="291"/>
      <c r="J73" s="250"/>
      <c r="K73" s="250"/>
      <c r="L73" s="250"/>
      <c r="M73" s="250"/>
      <c r="N73" s="250"/>
    </row>
    <row r="74" spans="1:14" x14ac:dyDescent="0.25">
      <c r="A74" s="331"/>
      <c r="B74" s="332"/>
      <c r="C74" s="279"/>
      <c r="D74" s="282"/>
      <c r="E74" s="326"/>
      <c r="F74" s="264"/>
      <c r="G74" s="279"/>
      <c r="H74" s="280"/>
      <c r="I74" s="291"/>
      <c r="J74" s="250"/>
      <c r="K74" s="250"/>
      <c r="L74" s="250"/>
      <c r="M74" s="250"/>
      <c r="N74" s="250"/>
    </row>
    <row r="75" spans="1:14" x14ac:dyDescent="0.25">
      <c r="A75" s="325"/>
      <c r="B75" s="332"/>
      <c r="C75" s="279"/>
      <c r="D75" s="282"/>
      <c r="E75" s="326"/>
      <c r="F75" s="264"/>
      <c r="G75" s="279"/>
      <c r="H75" s="280"/>
      <c r="I75" s="291"/>
      <c r="J75" s="250"/>
      <c r="K75" s="250"/>
      <c r="L75" s="250"/>
      <c r="M75" s="250"/>
      <c r="N75" s="250"/>
    </row>
    <row r="76" spans="1:14" x14ac:dyDescent="0.25">
      <c r="A76" s="331"/>
      <c r="B76" s="332"/>
      <c r="C76" s="279"/>
      <c r="D76" s="282"/>
      <c r="E76" s="326"/>
      <c r="F76" s="264"/>
      <c r="G76" s="279"/>
      <c r="H76" s="280"/>
      <c r="I76" s="291"/>
      <c r="J76" s="250"/>
      <c r="K76" s="250"/>
      <c r="L76" s="250"/>
      <c r="M76" s="250"/>
      <c r="N76" s="250"/>
    </row>
    <row r="77" spans="1:14" x14ac:dyDescent="0.25">
      <c r="A77" s="331"/>
      <c r="B77" s="332"/>
      <c r="C77" s="279"/>
      <c r="D77" s="282"/>
      <c r="E77" s="326"/>
      <c r="F77" s="264"/>
      <c r="G77" s="279"/>
      <c r="H77" s="280"/>
      <c r="I77" s="291"/>
      <c r="J77" s="250"/>
      <c r="K77" s="250"/>
      <c r="L77" s="250"/>
      <c r="M77" s="250"/>
      <c r="N77" s="250"/>
    </row>
    <row r="78" spans="1:14" x14ac:dyDescent="0.25">
      <c r="A78" s="331"/>
      <c r="B78" s="332"/>
      <c r="C78" s="279"/>
      <c r="D78" s="282"/>
      <c r="E78" s="326"/>
      <c r="F78" s="264"/>
      <c r="G78" s="279"/>
      <c r="H78" s="280"/>
      <c r="I78" s="291"/>
      <c r="J78" s="250"/>
      <c r="K78" s="250"/>
      <c r="L78" s="250"/>
      <c r="M78" s="250"/>
      <c r="N78" s="250"/>
    </row>
    <row r="79" spans="1:14" x14ac:dyDescent="0.25">
      <c r="A79" s="331"/>
      <c r="B79" s="332"/>
      <c r="C79" s="279"/>
      <c r="D79" s="282"/>
      <c r="E79" s="326"/>
      <c r="F79" s="264"/>
      <c r="G79" s="279"/>
      <c r="H79" s="280"/>
      <c r="I79" s="291"/>
      <c r="J79" s="250"/>
      <c r="K79" s="250"/>
      <c r="L79" s="250"/>
      <c r="M79" s="250"/>
      <c r="N79" s="250"/>
    </row>
    <row r="80" spans="1:14" x14ac:dyDescent="0.25">
      <c r="A80" s="331"/>
      <c r="B80" s="332"/>
      <c r="C80" s="279"/>
      <c r="D80" s="282"/>
      <c r="E80" s="326"/>
      <c r="F80" s="264"/>
      <c r="G80" s="279"/>
      <c r="H80" s="280"/>
      <c r="I80" s="291"/>
      <c r="J80" s="250"/>
      <c r="K80" s="250"/>
      <c r="L80" s="250"/>
      <c r="M80" s="250"/>
      <c r="N80" s="250"/>
    </row>
    <row r="81" spans="1:14" x14ac:dyDescent="0.25">
      <c r="A81" s="333"/>
      <c r="B81" s="332"/>
      <c r="C81" s="279"/>
      <c r="D81" s="282"/>
      <c r="E81" s="326"/>
      <c r="F81" s="264"/>
      <c r="G81" s="279"/>
      <c r="H81" s="280"/>
      <c r="I81" s="291"/>
      <c r="J81" s="250"/>
      <c r="K81" s="250"/>
      <c r="L81" s="250"/>
      <c r="M81" s="250"/>
      <c r="N81" s="250"/>
    </row>
    <row r="82" spans="1:14" x14ac:dyDescent="0.25">
      <c r="A82" s="333"/>
      <c r="B82" s="332"/>
      <c r="C82" s="279"/>
      <c r="D82" s="282"/>
      <c r="E82" s="326"/>
      <c r="F82" s="264"/>
      <c r="G82" s="279"/>
      <c r="H82" s="280"/>
      <c r="I82" s="291"/>
      <c r="J82" s="250"/>
      <c r="K82" s="250"/>
      <c r="L82" s="250"/>
      <c r="M82" s="250"/>
      <c r="N82" s="250"/>
    </row>
    <row r="83" spans="1:14" x14ac:dyDescent="0.25">
      <c r="A83" s="333"/>
      <c r="B83" s="332"/>
      <c r="C83" s="279"/>
      <c r="D83" s="282"/>
      <c r="E83" s="326"/>
      <c r="F83" s="264"/>
      <c r="G83" s="279"/>
      <c r="H83" s="280"/>
      <c r="I83" s="291"/>
      <c r="J83" s="250"/>
      <c r="K83" s="250"/>
      <c r="L83" s="250"/>
      <c r="M83" s="250"/>
      <c r="N83" s="250"/>
    </row>
    <row r="84" spans="1:14" x14ac:dyDescent="0.25">
      <c r="A84" s="270"/>
      <c r="B84" s="308"/>
      <c r="C84" s="279"/>
      <c r="D84" s="282"/>
      <c r="E84" s="326"/>
      <c r="F84" s="264"/>
      <c r="G84" s="279"/>
      <c r="H84" s="280"/>
      <c r="I84" s="291"/>
      <c r="J84" s="250"/>
      <c r="K84" s="250"/>
      <c r="L84" s="250"/>
      <c r="M84" s="250"/>
      <c r="N84" s="250"/>
    </row>
    <row r="85" spans="1:14" x14ac:dyDescent="0.25">
      <c r="A85" s="334"/>
      <c r="B85" s="334"/>
      <c r="C85" s="292"/>
      <c r="D85" s="292"/>
      <c r="E85" s="292"/>
      <c r="F85" s="264"/>
      <c r="G85" s="279"/>
      <c r="H85" s="280"/>
      <c r="I85" s="291"/>
      <c r="J85" s="250"/>
      <c r="K85" s="250"/>
      <c r="L85" s="250"/>
      <c r="M85" s="250"/>
      <c r="N85" s="250"/>
    </row>
    <row r="86" spans="1:14" x14ac:dyDescent="0.25">
      <c r="A86" s="333"/>
      <c r="B86" s="263"/>
      <c r="C86" s="293"/>
      <c r="D86" s="293"/>
      <c r="E86" s="293"/>
      <c r="F86" s="264"/>
      <c r="G86" s="279"/>
      <c r="H86" s="280"/>
      <c r="I86" s="291"/>
      <c r="J86" s="250"/>
      <c r="K86" s="250"/>
      <c r="L86" s="250"/>
      <c r="M86" s="250"/>
      <c r="N86" s="250"/>
    </row>
    <row r="87" spans="1:14" x14ac:dyDescent="0.25">
      <c r="A87" s="333"/>
      <c r="B87" s="276"/>
      <c r="C87" s="282"/>
      <c r="D87" s="282"/>
      <c r="E87" s="326"/>
      <c r="F87" s="264"/>
      <c r="G87" s="279"/>
      <c r="H87" s="280"/>
      <c r="I87" s="291"/>
      <c r="J87" s="250"/>
      <c r="K87" s="250"/>
      <c r="L87" s="250"/>
      <c r="M87" s="250"/>
      <c r="N87" s="250"/>
    </row>
    <row r="88" spans="1:14" x14ac:dyDescent="0.25">
      <c r="A88" s="333"/>
      <c r="B88" s="276"/>
      <c r="C88" s="282"/>
      <c r="D88" s="282"/>
      <c r="E88" s="326"/>
      <c r="F88" s="292"/>
      <c r="G88" s="279"/>
      <c r="H88" s="280"/>
      <c r="I88" s="291"/>
      <c r="J88" s="250"/>
      <c r="K88" s="250"/>
      <c r="L88" s="250"/>
      <c r="M88" s="250"/>
      <c r="N88" s="250"/>
    </row>
    <row r="89" spans="1:14" x14ac:dyDescent="0.25">
      <c r="A89" s="334"/>
      <c r="B89" s="334"/>
      <c r="C89" s="292"/>
      <c r="D89" s="292"/>
      <c r="E89" s="292"/>
      <c r="F89" s="293"/>
      <c r="G89" s="279"/>
      <c r="H89" s="280"/>
      <c r="I89" s="291"/>
      <c r="J89" s="250"/>
      <c r="K89" s="250"/>
      <c r="L89" s="250"/>
      <c r="M89" s="250"/>
      <c r="N89" s="250"/>
    </row>
    <row r="90" spans="1:14" x14ac:dyDescent="0.25">
      <c r="A90" s="333"/>
      <c r="B90" s="263"/>
      <c r="C90" s="293"/>
      <c r="D90" s="293"/>
      <c r="E90" s="293"/>
      <c r="F90" s="264"/>
      <c r="G90" s="292"/>
      <c r="H90" s="292"/>
      <c r="I90" s="291"/>
      <c r="J90" s="250"/>
      <c r="K90" s="250"/>
      <c r="L90" s="294"/>
      <c r="M90" s="294"/>
      <c r="N90" s="294"/>
    </row>
    <row r="91" spans="1:14" x14ac:dyDescent="0.25">
      <c r="A91" s="333"/>
      <c r="B91" s="276"/>
      <c r="C91" s="282"/>
      <c r="D91" s="282"/>
      <c r="E91" s="326"/>
      <c r="F91" s="264"/>
      <c r="G91" s="293"/>
      <c r="H91" s="293"/>
      <c r="I91" s="291"/>
      <c r="J91" s="294"/>
      <c r="K91" s="294"/>
      <c r="L91" s="294"/>
      <c r="M91" s="294"/>
      <c r="N91" s="294"/>
    </row>
    <row r="92" spans="1:14" x14ac:dyDescent="0.25">
      <c r="A92" s="333"/>
      <c r="B92" s="276"/>
      <c r="C92" s="282"/>
      <c r="D92" s="282"/>
      <c r="E92" s="326"/>
      <c r="F92" s="292"/>
      <c r="G92" s="279"/>
      <c r="H92" s="280"/>
      <c r="I92" s="291"/>
      <c r="J92" s="294"/>
      <c r="K92" s="294"/>
      <c r="L92" s="250"/>
      <c r="M92" s="250"/>
      <c r="N92" s="250"/>
    </row>
    <row r="93" spans="1:14" x14ac:dyDescent="0.25">
      <c r="A93" s="334"/>
      <c r="B93" s="334"/>
      <c r="C93" s="292"/>
      <c r="D93" s="292"/>
      <c r="E93" s="292"/>
      <c r="F93" s="293"/>
      <c r="G93" s="279"/>
      <c r="H93" s="280"/>
      <c r="I93" s="291"/>
      <c r="J93" s="250"/>
      <c r="K93" s="250"/>
      <c r="L93" s="250"/>
      <c r="M93" s="250"/>
      <c r="N93" s="250"/>
    </row>
    <row r="94" spans="1:14" x14ac:dyDescent="0.25">
      <c r="A94" s="333"/>
      <c r="B94" s="263"/>
      <c r="C94" s="293"/>
      <c r="D94" s="293"/>
      <c r="E94" s="293"/>
      <c r="F94" s="264"/>
      <c r="G94" s="292"/>
      <c r="H94" s="292"/>
      <c r="I94" s="291"/>
      <c r="J94" s="250"/>
      <c r="K94" s="250"/>
      <c r="L94" s="250"/>
      <c r="M94" s="250"/>
      <c r="N94" s="250"/>
    </row>
    <row r="95" spans="1:14" x14ac:dyDescent="0.25">
      <c r="A95" s="333"/>
      <c r="B95" s="277"/>
      <c r="C95" s="282"/>
      <c r="D95" s="282"/>
      <c r="E95" s="326"/>
      <c r="F95" s="264"/>
      <c r="G95" s="293"/>
      <c r="H95" s="293"/>
      <c r="I95" s="291"/>
      <c r="J95" s="250"/>
      <c r="K95" s="250"/>
      <c r="L95" s="250"/>
      <c r="M95" s="250"/>
      <c r="N95" s="250"/>
    </row>
    <row r="96" spans="1:14" x14ac:dyDescent="0.25">
      <c r="A96" s="333"/>
      <c r="B96" s="277"/>
      <c r="C96" s="282"/>
      <c r="D96" s="282"/>
      <c r="E96" s="326"/>
      <c r="F96" s="292"/>
      <c r="G96" s="279"/>
      <c r="H96" s="280"/>
      <c r="I96" s="291"/>
      <c r="J96" s="250"/>
      <c r="K96" s="250"/>
      <c r="L96" s="250"/>
      <c r="M96" s="250"/>
      <c r="N96" s="250"/>
    </row>
    <row r="97" spans="1:14" x14ac:dyDescent="0.25">
      <c r="A97" s="333"/>
      <c r="B97" s="277"/>
      <c r="C97" s="282"/>
      <c r="D97" s="282"/>
      <c r="E97" s="326"/>
      <c r="F97" s="293"/>
      <c r="G97" s="279"/>
      <c r="H97" s="280"/>
      <c r="I97" s="291"/>
      <c r="J97" s="250"/>
      <c r="K97" s="250"/>
      <c r="L97" s="250"/>
      <c r="M97" s="250"/>
      <c r="N97" s="250"/>
    </row>
    <row r="98" spans="1:14" x14ac:dyDescent="0.25">
      <c r="A98" s="333"/>
      <c r="B98" s="277"/>
      <c r="C98" s="282"/>
      <c r="D98" s="282"/>
      <c r="E98" s="326"/>
      <c r="F98" s="264"/>
      <c r="G98" s="292"/>
      <c r="H98" s="292"/>
      <c r="I98" s="291"/>
      <c r="J98" s="250"/>
      <c r="K98" s="250"/>
      <c r="L98" s="250"/>
      <c r="M98" s="250"/>
      <c r="N98" s="250"/>
    </row>
    <row r="99" spans="1:14" x14ac:dyDescent="0.25">
      <c r="A99" s="334"/>
      <c r="B99" s="333"/>
      <c r="C99" s="299"/>
      <c r="D99" s="299"/>
      <c r="E99" s="299"/>
      <c r="F99" s="295"/>
      <c r="G99" s="293"/>
      <c r="H99" s="293"/>
      <c r="I99" s="291"/>
      <c r="J99" s="250"/>
      <c r="K99" s="250"/>
      <c r="L99" s="250"/>
      <c r="M99" s="250"/>
      <c r="N99" s="250"/>
    </row>
    <row r="100" spans="1:14" x14ac:dyDescent="0.25">
      <c r="A100" s="291"/>
      <c r="B100" s="291"/>
      <c r="C100" s="291"/>
      <c r="D100" s="291"/>
      <c r="E100" s="291"/>
      <c r="F100" s="295"/>
      <c r="G100" s="279"/>
      <c r="H100" s="280"/>
      <c r="I100" s="291"/>
      <c r="J100" s="250"/>
      <c r="K100" s="250"/>
      <c r="L100" s="250"/>
      <c r="M100" s="250"/>
      <c r="N100" s="250"/>
    </row>
    <row r="101" spans="1:14" x14ac:dyDescent="0.25">
      <c r="A101" s="292"/>
      <c r="B101" s="292"/>
      <c r="C101" s="291"/>
      <c r="D101" s="291"/>
      <c r="E101" s="291"/>
      <c r="F101" s="295"/>
      <c r="G101" s="296"/>
      <c r="H101" s="296"/>
      <c r="I101" s="291"/>
      <c r="J101" s="250"/>
      <c r="K101" s="250"/>
      <c r="L101" s="250"/>
      <c r="M101" s="250"/>
      <c r="N101" s="250"/>
    </row>
    <row r="102" spans="1:14" x14ac:dyDescent="0.25">
      <c r="A102" s="293"/>
      <c r="B102" s="293"/>
      <c r="C102" s="291"/>
      <c r="D102" s="291"/>
      <c r="E102" s="291"/>
      <c r="F102" s="295"/>
      <c r="G102" s="296"/>
      <c r="H102" s="296"/>
      <c r="I102" s="291"/>
      <c r="J102" s="250"/>
      <c r="K102" s="250"/>
      <c r="L102" s="297"/>
      <c r="M102" s="297"/>
      <c r="N102" s="250"/>
    </row>
    <row r="103" spans="1:14" x14ac:dyDescent="0.25">
      <c r="A103" s="293"/>
      <c r="B103" s="293"/>
      <c r="C103" s="291"/>
      <c r="D103" s="291"/>
      <c r="E103" s="291"/>
      <c r="F103" s="291"/>
      <c r="G103" s="296"/>
      <c r="H103" s="296"/>
      <c r="I103" s="291"/>
      <c r="J103" s="297"/>
      <c r="K103" s="297"/>
      <c r="L103" s="297"/>
      <c r="M103" s="297"/>
      <c r="N103" s="250"/>
    </row>
    <row r="104" spans="1:14" x14ac:dyDescent="0.25">
      <c r="A104" s="293"/>
      <c r="B104" s="293"/>
      <c r="C104" s="291"/>
      <c r="D104" s="291"/>
      <c r="E104" s="291"/>
      <c r="F104" s="291"/>
      <c r="G104" s="298"/>
      <c r="H104" s="299"/>
      <c r="I104" s="291"/>
      <c r="J104" s="297"/>
      <c r="K104" s="297"/>
      <c r="L104" s="250"/>
      <c r="M104" s="250"/>
      <c r="N104" s="250"/>
    </row>
    <row r="105" spans="1:14" x14ac:dyDescent="0.25">
      <c r="A105" s="293"/>
      <c r="B105" s="293"/>
      <c r="C105" s="291"/>
      <c r="D105" s="291"/>
      <c r="E105" s="291"/>
      <c r="F105" s="291"/>
      <c r="G105" s="291"/>
      <c r="H105" s="291"/>
      <c r="I105" s="291"/>
      <c r="J105" s="250"/>
      <c r="K105" s="250"/>
      <c r="L105" s="250"/>
      <c r="M105" s="250"/>
      <c r="N105" s="250"/>
    </row>
    <row r="106" spans="1:14" x14ac:dyDescent="0.25">
      <c r="A106" s="293"/>
      <c r="B106" s="293"/>
      <c r="C106" s="291"/>
      <c r="D106" s="291"/>
      <c r="E106" s="291"/>
      <c r="F106" s="291"/>
      <c r="G106" s="280"/>
      <c r="H106" s="291"/>
      <c r="I106" s="291"/>
      <c r="J106" s="250"/>
      <c r="K106" s="250"/>
      <c r="L106" s="250"/>
      <c r="M106" s="250"/>
      <c r="N106" s="250"/>
    </row>
    <row r="107" spans="1:14" x14ac:dyDescent="0.25">
      <c r="A107" s="293"/>
      <c r="B107" s="293"/>
      <c r="C107" s="291"/>
      <c r="D107" s="291"/>
      <c r="E107" s="291"/>
      <c r="F107" s="291"/>
      <c r="G107" s="291"/>
      <c r="H107" s="291"/>
      <c r="I107" s="291"/>
      <c r="J107" s="250"/>
      <c r="K107" s="250"/>
      <c r="L107" s="250"/>
      <c r="M107" s="250"/>
      <c r="N107" s="250"/>
    </row>
    <row r="108" spans="1:14" x14ac:dyDescent="0.25">
      <c r="A108" s="293"/>
      <c r="B108" s="293"/>
      <c r="C108" s="291"/>
      <c r="D108" s="291"/>
      <c r="E108" s="291"/>
      <c r="F108" s="291"/>
      <c r="G108" s="291"/>
      <c r="H108" s="291"/>
      <c r="I108" s="291"/>
      <c r="J108" s="250"/>
      <c r="K108" s="250"/>
      <c r="L108" s="250"/>
      <c r="M108" s="250"/>
      <c r="N108" s="250"/>
    </row>
    <row r="109" spans="1:14" x14ac:dyDescent="0.25">
      <c r="A109" s="293"/>
      <c r="B109" s="293"/>
      <c r="C109" s="291"/>
      <c r="D109" s="291"/>
      <c r="E109" s="291"/>
      <c r="F109" s="291"/>
      <c r="G109" s="298"/>
      <c r="H109" s="300"/>
      <c r="I109" s="291"/>
      <c r="J109" s="250"/>
      <c r="K109" s="250"/>
      <c r="L109" s="250"/>
      <c r="M109" s="250"/>
      <c r="N109" s="250"/>
    </row>
    <row r="110" spans="1:14" x14ac:dyDescent="0.25">
      <c r="A110" s="293"/>
      <c r="B110" s="293"/>
      <c r="C110" s="291"/>
      <c r="D110" s="291"/>
      <c r="E110" s="291"/>
      <c r="F110" s="291"/>
      <c r="G110" s="298"/>
      <c r="H110" s="301"/>
      <c r="I110" s="291"/>
      <c r="J110" s="250"/>
      <c r="K110" s="250"/>
      <c r="L110" s="250"/>
      <c r="M110" s="250"/>
      <c r="N110" s="250"/>
    </row>
    <row r="111" spans="1:14" x14ac:dyDescent="0.25">
      <c r="A111" s="293"/>
      <c r="B111" s="293"/>
      <c r="C111" s="291"/>
      <c r="D111" s="291"/>
      <c r="E111" s="291"/>
      <c r="F111" s="291"/>
      <c r="G111" s="291"/>
      <c r="H111" s="291"/>
      <c r="I111" s="291"/>
      <c r="J111" s="250"/>
      <c r="K111" s="250"/>
      <c r="L111" s="250"/>
      <c r="M111" s="250"/>
      <c r="N111" s="250"/>
    </row>
    <row r="112" spans="1:14" x14ac:dyDescent="0.25">
      <c r="A112" s="293"/>
      <c r="B112" s="293"/>
      <c r="C112" s="291"/>
      <c r="D112" s="291"/>
      <c r="E112" s="291"/>
      <c r="F112" s="291"/>
      <c r="G112" s="291"/>
      <c r="H112" s="291"/>
      <c r="I112" s="291"/>
      <c r="J112" s="250"/>
      <c r="K112" s="250"/>
      <c r="L112" s="250"/>
      <c r="M112" s="250"/>
      <c r="N112" s="250"/>
    </row>
    <row r="113" spans="1:14" x14ac:dyDescent="0.25">
      <c r="A113" s="293"/>
      <c r="B113" s="293"/>
      <c r="C113" s="291"/>
      <c r="D113" s="291"/>
      <c r="E113" s="291"/>
      <c r="F113" s="291"/>
      <c r="G113" s="291"/>
      <c r="H113" s="291"/>
      <c r="I113" s="291"/>
      <c r="J113" s="250"/>
      <c r="K113" s="250"/>
      <c r="L113" s="250"/>
      <c r="M113" s="250"/>
      <c r="N113" s="250"/>
    </row>
    <row r="114" spans="1:14" x14ac:dyDescent="0.25">
      <c r="A114" s="293"/>
      <c r="B114" s="293"/>
      <c r="C114" s="291"/>
      <c r="D114" s="291"/>
      <c r="E114" s="291"/>
      <c r="F114" s="291"/>
      <c r="G114" s="291"/>
      <c r="H114" s="291"/>
      <c r="I114" s="291"/>
      <c r="J114" s="250"/>
      <c r="K114" s="250"/>
      <c r="L114" s="250"/>
      <c r="M114" s="250"/>
      <c r="N114" s="302"/>
    </row>
    <row r="115" spans="1:14" x14ac:dyDescent="0.25">
      <c r="A115" s="293"/>
      <c r="B115" s="293"/>
      <c r="C115" s="291"/>
      <c r="D115" s="291"/>
      <c r="E115" s="291"/>
      <c r="F115" s="291"/>
      <c r="G115" s="291"/>
      <c r="H115" s="291"/>
      <c r="I115" s="291"/>
      <c r="J115" s="250"/>
      <c r="K115" s="250"/>
      <c r="L115" s="250"/>
      <c r="M115" s="302"/>
      <c r="N115" s="302"/>
    </row>
    <row r="116" spans="1:14" x14ac:dyDescent="0.25">
      <c r="A116" s="293"/>
      <c r="B116" s="293"/>
      <c r="C116" s="291"/>
      <c r="D116" s="291"/>
      <c r="E116" s="291"/>
      <c r="F116" s="291"/>
      <c r="G116" s="291"/>
      <c r="H116" s="291"/>
      <c r="I116" s="291"/>
      <c r="J116" s="250"/>
      <c r="K116" s="250"/>
      <c r="L116" s="250"/>
      <c r="M116" s="302"/>
      <c r="N116" s="302"/>
    </row>
    <row r="117" spans="1:14" x14ac:dyDescent="0.25">
      <c r="A117" s="293"/>
      <c r="B117" s="293"/>
      <c r="C117" s="291"/>
      <c r="D117" s="291"/>
      <c r="E117" s="291"/>
      <c r="F117" s="291"/>
      <c r="G117" s="291"/>
      <c r="H117" s="291"/>
      <c r="I117" s="291"/>
      <c r="J117" s="250"/>
      <c r="K117" s="250"/>
      <c r="L117" s="250"/>
      <c r="M117" s="250"/>
      <c r="N117" s="250"/>
    </row>
    <row r="118" spans="1:14" x14ac:dyDescent="0.25">
      <c r="A118" s="293"/>
      <c r="B118" s="293"/>
      <c r="C118" s="291"/>
      <c r="D118" s="291"/>
      <c r="E118" s="291"/>
      <c r="F118" s="291"/>
      <c r="G118" s="291"/>
      <c r="H118" s="291"/>
      <c r="I118" s="291"/>
      <c r="J118" s="250"/>
      <c r="K118" s="250"/>
      <c r="L118" s="250"/>
      <c r="M118" s="250"/>
      <c r="N118" s="250"/>
    </row>
    <row r="119" spans="1:14" x14ac:dyDescent="0.25">
      <c r="A119" s="293"/>
      <c r="B119" s="293"/>
      <c r="C119" s="291"/>
      <c r="D119" s="291"/>
      <c r="E119" s="291"/>
      <c r="F119" s="291"/>
      <c r="G119" s="291"/>
      <c r="H119" s="291"/>
      <c r="I119" s="291"/>
      <c r="J119" s="250"/>
      <c r="K119" s="250"/>
      <c r="L119" s="250"/>
      <c r="M119" s="250"/>
      <c r="N119" s="250"/>
    </row>
    <row r="120" spans="1:14" x14ac:dyDescent="0.25">
      <c r="A120" s="291"/>
      <c r="B120" s="291"/>
      <c r="C120" s="291"/>
      <c r="D120" s="291"/>
      <c r="E120" s="291"/>
      <c r="F120" s="291"/>
      <c r="G120" s="291"/>
      <c r="H120" s="291"/>
      <c r="I120" s="291"/>
      <c r="J120" s="250"/>
      <c r="K120" s="250"/>
      <c r="L120" s="250"/>
      <c r="M120" s="250"/>
      <c r="N120" s="250"/>
    </row>
    <row r="121" spans="1:14" x14ac:dyDescent="0.25">
      <c r="A121" s="291"/>
      <c r="B121" s="291"/>
      <c r="C121" s="291"/>
      <c r="D121" s="291"/>
      <c r="E121" s="291"/>
      <c r="F121" s="291"/>
      <c r="G121" s="291"/>
      <c r="H121" s="291"/>
      <c r="I121" s="291"/>
      <c r="J121" s="250"/>
      <c r="K121" s="250"/>
      <c r="L121" s="250"/>
      <c r="M121" s="250"/>
      <c r="N121" s="250"/>
    </row>
    <row r="122" spans="1:14" x14ac:dyDescent="0.25">
      <c r="A122" s="291"/>
      <c r="B122" s="291"/>
      <c r="C122" s="291"/>
      <c r="D122" s="291"/>
      <c r="E122" s="291"/>
      <c r="F122" s="291"/>
      <c r="G122" s="291"/>
      <c r="H122" s="291"/>
      <c r="I122" s="291"/>
      <c r="J122" s="250"/>
      <c r="K122" s="250"/>
      <c r="L122" s="250"/>
      <c r="M122" s="250"/>
      <c r="N122" s="250"/>
    </row>
    <row r="123" spans="1:14" x14ac:dyDescent="0.25">
      <c r="A123" s="291"/>
      <c r="B123" s="291"/>
      <c r="C123" s="291"/>
      <c r="D123" s="291"/>
      <c r="E123" s="291"/>
      <c r="F123" s="291"/>
      <c r="G123" s="291"/>
      <c r="H123" s="291"/>
      <c r="I123" s="291"/>
      <c r="J123" s="250"/>
      <c r="K123" s="250"/>
      <c r="L123" s="250"/>
      <c r="M123" s="250"/>
      <c r="N123" s="250"/>
    </row>
    <row r="124" spans="1:14" x14ac:dyDescent="0.25">
      <c r="A124" s="291"/>
      <c r="B124" s="291"/>
      <c r="C124" s="291"/>
      <c r="D124" s="291"/>
      <c r="E124" s="291"/>
      <c r="F124" s="291"/>
      <c r="G124" s="291"/>
      <c r="H124" s="291"/>
      <c r="I124" s="291"/>
      <c r="J124" s="250"/>
      <c r="K124" s="250"/>
      <c r="L124" s="250"/>
      <c r="M124" s="250"/>
      <c r="N124" s="250"/>
    </row>
    <row r="125" spans="1:14" x14ac:dyDescent="0.25">
      <c r="A125" s="291"/>
      <c r="B125" s="293"/>
      <c r="C125" s="291"/>
      <c r="D125" s="291"/>
      <c r="E125" s="291"/>
      <c r="F125" s="291"/>
      <c r="G125" s="291"/>
      <c r="H125" s="291"/>
      <c r="I125" s="291"/>
      <c r="J125" s="250"/>
      <c r="K125" s="250"/>
      <c r="L125" s="250"/>
      <c r="M125" s="250"/>
      <c r="N125" s="250"/>
    </row>
    <row r="126" spans="1:14" x14ac:dyDescent="0.25">
      <c r="A126" s="303"/>
      <c r="B126" s="303"/>
      <c r="C126" s="303"/>
      <c r="D126" s="303"/>
      <c r="E126" s="303"/>
      <c r="F126" s="291"/>
      <c r="G126" s="291"/>
      <c r="H126" s="291"/>
      <c r="I126" s="291"/>
      <c r="J126" s="250"/>
      <c r="K126" s="250"/>
      <c r="L126" s="250"/>
      <c r="M126" s="250"/>
      <c r="N126" s="250"/>
    </row>
    <row r="127" spans="1:14" x14ac:dyDescent="0.25">
      <c r="A127" s="303"/>
      <c r="B127" s="303"/>
      <c r="C127" s="303"/>
      <c r="D127" s="303"/>
      <c r="E127" s="303"/>
      <c r="F127" s="291"/>
      <c r="G127" s="291"/>
      <c r="H127" s="291"/>
      <c r="I127" s="291"/>
      <c r="J127" s="250"/>
      <c r="K127" s="250"/>
      <c r="L127" s="250"/>
      <c r="M127" s="250"/>
      <c r="N127" s="250"/>
    </row>
    <row r="128" spans="1:14" x14ac:dyDescent="0.25">
      <c r="A128" s="303"/>
      <c r="B128" s="303"/>
      <c r="C128" s="303"/>
      <c r="D128" s="303"/>
      <c r="E128" s="303"/>
      <c r="F128" s="291"/>
      <c r="G128" s="291"/>
      <c r="H128" s="291"/>
      <c r="I128" s="291"/>
      <c r="J128" s="250"/>
      <c r="K128" s="250"/>
      <c r="L128" s="250"/>
      <c r="M128" s="250"/>
      <c r="N128" s="250"/>
    </row>
    <row r="129" spans="1:14" x14ac:dyDescent="0.25">
      <c r="A129" s="303"/>
      <c r="B129" s="303"/>
      <c r="C129" s="303"/>
      <c r="D129" s="303"/>
      <c r="E129" s="303"/>
      <c r="F129" s="303"/>
      <c r="G129" s="291"/>
      <c r="H129" s="291"/>
      <c r="I129" s="291"/>
      <c r="J129" s="250"/>
      <c r="K129" s="250"/>
      <c r="L129" s="250"/>
      <c r="M129" s="250"/>
      <c r="N129" s="250"/>
    </row>
    <row r="130" spans="1:14" x14ac:dyDescent="0.25">
      <c r="A130" s="303"/>
      <c r="B130" s="303"/>
      <c r="C130" s="303"/>
      <c r="D130" s="303"/>
      <c r="E130" s="303"/>
      <c r="F130" s="303"/>
      <c r="G130" s="291"/>
      <c r="H130" s="291"/>
      <c r="I130" s="291"/>
      <c r="J130" s="250"/>
      <c r="K130" s="250"/>
      <c r="L130" s="250"/>
      <c r="M130" s="250"/>
      <c r="N130" s="250"/>
    </row>
    <row r="131" spans="1:14" x14ac:dyDescent="0.25">
      <c r="A131" s="303"/>
      <c r="B131" s="303"/>
      <c r="C131" s="303"/>
      <c r="D131" s="303"/>
      <c r="E131" s="303"/>
      <c r="F131" s="303"/>
      <c r="G131" s="303"/>
      <c r="H131" s="303"/>
      <c r="I131" s="303"/>
      <c r="J131" s="250"/>
      <c r="K131" s="250"/>
      <c r="L131" s="250"/>
      <c r="M131" s="250"/>
      <c r="N131" s="250"/>
    </row>
    <row r="132" spans="1:14" x14ac:dyDescent="0.25">
      <c r="A132" s="303"/>
      <c r="B132" s="303"/>
      <c r="C132" s="303"/>
      <c r="D132" s="303"/>
      <c r="E132" s="303"/>
      <c r="F132" s="303"/>
      <c r="G132" s="303"/>
      <c r="H132" s="303"/>
      <c r="I132" s="303"/>
      <c r="J132" s="250"/>
      <c r="K132" s="250"/>
      <c r="L132" s="250"/>
      <c r="M132" s="250"/>
      <c r="N132" s="250"/>
    </row>
    <row r="133" spans="1:14" x14ac:dyDescent="0.25">
      <c r="A133" s="303"/>
      <c r="B133" s="303"/>
      <c r="C133" s="303"/>
      <c r="D133" s="303"/>
      <c r="E133" s="303"/>
      <c r="F133" s="303"/>
      <c r="G133" s="303"/>
      <c r="H133" s="303"/>
      <c r="I133" s="303"/>
      <c r="J133" s="250"/>
      <c r="K133" s="250"/>
      <c r="L133" s="250"/>
      <c r="M133" s="250"/>
      <c r="N133" s="250"/>
    </row>
    <row r="134" spans="1:14" x14ac:dyDescent="0.25">
      <c r="F134" s="303"/>
      <c r="G134" s="303"/>
      <c r="H134" s="303"/>
      <c r="I134" s="303"/>
      <c r="J134" s="250"/>
      <c r="K134" s="250"/>
      <c r="L134" s="250"/>
      <c r="M134" s="250"/>
      <c r="N134" s="250"/>
    </row>
    <row r="135" spans="1:14" x14ac:dyDescent="0.25">
      <c r="F135" s="303"/>
      <c r="G135" s="303"/>
      <c r="H135" s="303"/>
      <c r="I135" s="303"/>
      <c r="J135" s="250"/>
      <c r="K135" s="250"/>
      <c r="L135" s="250"/>
      <c r="M135" s="250"/>
      <c r="N135" s="250"/>
    </row>
    <row r="136" spans="1:14" x14ac:dyDescent="0.25">
      <c r="F136" s="303"/>
      <c r="G136" s="303"/>
      <c r="H136" s="303"/>
      <c r="I136" s="303"/>
      <c r="J136" s="250"/>
      <c r="K136" s="250"/>
      <c r="L136" s="250"/>
      <c r="M136" s="250"/>
      <c r="N136" s="250"/>
    </row>
    <row r="137" spans="1:14" x14ac:dyDescent="0.25">
      <c r="G137" s="303"/>
      <c r="H137" s="303"/>
      <c r="I137" s="303"/>
      <c r="J137" s="250"/>
      <c r="K137" s="250"/>
    </row>
    <row r="138" spans="1:14" x14ac:dyDescent="0.25">
      <c r="G138" s="303"/>
      <c r="H138" s="303"/>
      <c r="I138" s="303"/>
    </row>
  </sheetData>
  <sheetProtection algorithmName="SHA-512" hashValue="Osiit1y8dQqacJF0jokRXsy5TfLRdnN2tTRTkZcDS3ZCxJPEPZJjOarCjCPGfr+CkYpU0QaEZWL3zijL2oSqSA==" saltValue="iDfW8LwXZwvxcCH4sz/osA==" spinCount="100000" sheet="1" objects="1" scenarios="1"/>
  <mergeCells count="31">
    <mergeCell ref="F30:O30"/>
    <mergeCell ref="F31:O31"/>
    <mergeCell ref="F32:O32"/>
    <mergeCell ref="F23:O23"/>
    <mergeCell ref="F24:O24"/>
    <mergeCell ref="F25:O25"/>
    <mergeCell ref="F26:O26"/>
    <mergeCell ref="F27:O27"/>
    <mergeCell ref="A47:E47"/>
    <mergeCell ref="A21:E21"/>
    <mergeCell ref="A64:B64"/>
    <mergeCell ref="A19:E19"/>
    <mergeCell ref="A20:E20"/>
    <mergeCell ref="A41:E41"/>
    <mergeCell ref="A55:B55"/>
    <mergeCell ref="C50:L50"/>
    <mergeCell ref="C51:L51"/>
    <mergeCell ref="F33:O33"/>
    <mergeCell ref="F34:O34"/>
    <mergeCell ref="F35:O35"/>
    <mergeCell ref="F36:O36"/>
    <mergeCell ref="F37:O37"/>
    <mergeCell ref="F28:O28"/>
    <mergeCell ref="F29:O29"/>
    <mergeCell ref="A1:E1"/>
    <mergeCell ref="B3:D3"/>
    <mergeCell ref="B4:D4"/>
    <mergeCell ref="F19:K20"/>
    <mergeCell ref="E3:G4"/>
    <mergeCell ref="H2:M3"/>
    <mergeCell ref="C16:E18"/>
  </mergeCells>
  <conditionalFormatting sqref="A60:B62">
    <cfRule type="cellIs" dxfId="191" priority="166" operator="equal">
      <formula>0</formula>
    </cfRule>
  </conditionalFormatting>
  <conditionalFormatting sqref="A2:E2 A21 G40:J40 M41:XFD41 N38:XFD40 G39:L39 G38 I38:L38 F19 A20:E20 A38:E40 A46:E47 A1 A49:E49 C48:E48 L1:XFD1 L42:XFD42 F45:XFD49 G43:XFD44 A22:H22 A9 M38:M39 P23:XFD37 A52:XFD1048576 A50:B51 M50:XFD51 A12:A13 A18:B18 C6:E10 C11:G11 I7 I10:I11 F21:L21 L19:L20 M19:M21 H2 N19:XFD22 J22:M22 J8:XFD18 N2:XFD7 J5:M7 E12:G12 A3:A7 C23:E37 F23:F43 F16:G18">
    <cfRule type="cellIs" dxfId="190" priority="163" operator="equal">
      <formula>0</formula>
    </cfRule>
    <cfRule type="cellIs" dxfId="189" priority="164" operator="equal">
      <formula>0</formula>
    </cfRule>
  </conditionalFormatting>
  <conditionalFormatting sqref="A42:E42 A41">
    <cfRule type="cellIs" dxfId="188" priority="153" operator="equal">
      <formula>0</formula>
    </cfRule>
    <cfRule type="cellIs" dxfId="187" priority="154" operator="equal">
      <formula>0</formula>
    </cfRule>
  </conditionalFormatting>
  <conditionalFormatting sqref="I22">
    <cfRule type="cellIs" dxfId="186" priority="119" operator="equal">
      <formula>0</formula>
    </cfRule>
    <cfRule type="cellIs" dxfId="185" priority="120" operator="equal">
      <formula>0</formula>
    </cfRule>
  </conditionalFormatting>
  <conditionalFormatting sqref="F9:G10">
    <cfRule type="cellIs" dxfId="184" priority="115" operator="equal">
      <formula>0</formula>
    </cfRule>
    <cfRule type="cellIs" dxfId="183" priority="116" operator="equal">
      <formula>0</formula>
    </cfRule>
  </conditionalFormatting>
  <conditionalFormatting sqref="A45:E45">
    <cfRule type="cellIs" dxfId="182" priority="103" operator="equal">
      <formula>0</formula>
    </cfRule>
    <cfRule type="cellIs" dxfId="181" priority="104" operator="equal">
      <formula>0</formula>
    </cfRule>
  </conditionalFormatting>
  <conditionalFormatting sqref="A8">
    <cfRule type="cellIs" dxfId="180" priority="101" operator="equal">
      <formula>0</formula>
    </cfRule>
    <cfRule type="cellIs" dxfId="179" priority="102" operator="equal">
      <formula>0</formula>
    </cfRule>
  </conditionalFormatting>
  <conditionalFormatting sqref="A48:B48">
    <cfRule type="cellIs" dxfId="178" priority="97" operator="equal">
      <formula>0</formula>
    </cfRule>
    <cfRule type="cellIs" dxfId="177" priority="98" operator="equal">
      <formula>0</formula>
    </cfRule>
  </conditionalFormatting>
  <conditionalFormatting sqref="E3">
    <cfRule type="cellIs" dxfId="176" priority="95" operator="equal">
      <formula>0</formula>
    </cfRule>
    <cfRule type="cellIs" dxfId="175" priority="96" operator="equal">
      <formula>0</formula>
    </cfRule>
  </conditionalFormatting>
  <conditionalFormatting sqref="C5:E5">
    <cfRule type="cellIs" dxfId="174" priority="87" operator="equal">
      <formula>0</formula>
    </cfRule>
    <cfRule type="cellIs" dxfId="173" priority="88" operator="equal">
      <formula>0</formula>
    </cfRule>
  </conditionalFormatting>
  <conditionalFormatting sqref="A11:B11">
    <cfRule type="cellIs" dxfId="172" priority="85" operator="equal">
      <formula>0</formula>
    </cfRule>
    <cfRule type="cellIs" dxfId="171" priority="86" operator="equal">
      <formula>0</formula>
    </cfRule>
  </conditionalFormatting>
  <conditionalFormatting sqref="A14:A17">
    <cfRule type="cellIs" dxfId="170" priority="83" operator="equal">
      <formula>0</formula>
    </cfRule>
    <cfRule type="cellIs" dxfId="169" priority="84" operator="equal">
      <formula>0</formula>
    </cfRule>
  </conditionalFormatting>
  <conditionalFormatting sqref="F44">
    <cfRule type="cellIs" dxfId="168" priority="79" operator="equal">
      <formula>0</formula>
    </cfRule>
    <cfRule type="cellIs" dxfId="167" priority="80" operator="equal">
      <formula>0</formula>
    </cfRule>
  </conditionalFormatting>
  <conditionalFormatting sqref="C50:C51">
    <cfRule type="cellIs" dxfId="166" priority="69" operator="equal">
      <formula>0</formula>
    </cfRule>
    <cfRule type="cellIs" dxfId="165" priority="70" operator="equal">
      <formula>0</formula>
    </cfRule>
  </conditionalFormatting>
  <conditionalFormatting sqref="A10">
    <cfRule type="cellIs" dxfId="164" priority="65" operator="equal">
      <formula>0</formula>
    </cfRule>
    <cfRule type="cellIs" dxfId="163" priority="66" operator="equal">
      <formula>0</formula>
    </cfRule>
  </conditionalFormatting>
  <conditionalFormatting sqref="D15:F15 E13:F14">
    <cfRule type="cellIs" dxfId="162" priority="61" operator="equal">
      <formula>0</formula>
    </cfRule>
    <cfRule type="cellIs" dxfId="161" priority="62" operator="equal">
      <formula>0</formula>
    </cfRule>
  </conditionalFormatting>
  <conditionalFormatting sqref="H6">
    <cfRule type="cellIs" dxfId="160" priority="59" operator="equal">
      <formula>0</formula>
    </cfRule>
    <cfRule type="cellIs" dxfId="159" priority="60" operator="equal">
      <formula>0</formula>
    </cfRule>
  </conditionalFormatting>
  <conditionalFormatting sqref="H7">
    <cfRule type="cellIs" dxfId="158" priority="57" operator="equal">
      <formula>0</formula>
    </cfRule>
    <cfRule type="cellIs" dxfId="157" priority="58" operator="equal">
      <formula>0</formula>
    </cfRule>
  </conditionalFormatting>
  <conditionalFormatting sqref="H10">
    <cfRule type="cellIs" dxfId="156" priority="55" operator="equal">
      <formula>0</formula>
    </cfRule>
    <cfRule type="cellIs" dxfId="155" priority="56" operator="equal">
      <formula>0</formula>
    </cfRule>
  </conditionalFormatting>
  <conditionalFormatting sqref="H11">
    <cfRule type="cellIs" dxfId="154" priority="53" operator="equal">
      <formula>0</formula>
    </cfRule>
    <cfRule type="cellIs" dxfId="153" priority="54" operator="equal">
      <formula>0</formula>
    </cfRule>
  </conditionalFormatting>
  <conditionalFormatting sqref="H12">
    <cfRule type="cellIs" dxfId="152" priority="51" operator="equal">
      <formula>0</formula>
    </cfRule>
    <cfRule type="cellIs" dxfId="151" priority="52" operator="equal">
      <formula>0</formula>
    </cfRule>
  </conditionalFormatting>
  <conditionalFormatting sqref="H13:H16">
    <cfRule type="cellIs" dxfId="150" priority="49" operator="equal">
      <formula>0</formula>
    </cfRule>
    <cfRule type="cellIs" dxfId="149" priority="50" operator="equal">
      <formula>0</formula>
    </cfRule>
  </conditionalFormatting>
  <conditionalFormatting sqref="H8">
    <cfRule type="cellIs" dxfId="148" priority="47" operator="equal">
      <formula>0</formula>
    </cfRule>
    <cfRule type="cellIs" dxfId="147" priority="48" operator="equal">
      <formula>0</formula>
    </cfRule>
  </conditionalFormatting>
  <conditionalFormatting sqref="H18">
    <cfRule type="cellIs" dxfId="146" priority="39" operator="equal">
      <formula>0</formula>
    </cfRule>
    <cfRule type="cellIs" dxfId="145" priority="40" operator="equal">
      <formula>0</formula>
    </cfRule>
  </conditionalFormatting>
  <conditionalFormatting sqref="I8">
    <cfRule type="cellIs" dxfId="144" priority="43" operator="equal">
      <formula>0</formula>
    </cfRule>
    <cfRule type="cellIs" dxfId="143" priority="44" operator="equal">
      <formula>0</formula>
    </cfRule>
  </conditionalFormatting>
  <conditionalFormatting sqref="H17">
    <cfRule type="cellIs" dxfId="142" priority="41" operator="equal">
      <formula>0</formula>
    </cfRule>
    <cfRule type="cellIs" dxfId="141" priority="42" operator="equal">
      <formula>0</formula>
    </cfRule>
  </conditionalFormatting>
  <conditionalFormatting sqref="I18">
    <cfRule type="cellIs" dxfId="140" priority="35" operator="lessThan">
      <formula>0</formula>
    </cfRule>
    <cfRule type="cellIs" dxfId="139" priority="36" operator="greaterThan">
      <formula>0</formula>
    </cfRule>
  </conditionalFormatting>
  <conditionalFormatting sqref="I17">
    <cfRule type="cellIs" dxfId="138" priority="33" operator="equal">
      <formula>0</formula>
    </cfRule>
    <cfRule type="cellIs" dxfId="137" priority="34" operator="equal">
      <formula>0</formula>
    </cfRule>
  </conditionalFormatting>
  <conditionalFormatting sqref="H5">
    <cfRule type="cellIs" dxfId="136" priority="26" operator="equal">
      <formula>0</formula>
    </cfRule>
    <cfRule type="cellIs" dxfId="135" priority="27" operator="equal">
      <formula>0</formula>
    </cfRule>
  </conditionalFormatting>
  <conditionalFormatting sqref="I6">
    <cfRule type="cellIs" dxfId="134" priority="24" operator="equal">
      <formula>0</formula>
    </cfRule>
    <cfRule type="cellIs" dxfId="133" priority="25" operator="equal">
      <formula>0</formula>
    </cfRule>
  </conditionalFormatting>
  <conditionalFormatting sqref="I14">
    <cfRule type="expression" dxfId="132" priority="167">
      <formula>$H$14=""</formula>
    </cfRule>
    <cfRule type="cellIs" dxfId="131" priority="168" operator="greaterThan">
      <formula>$I$8</formula>
    </cfRule>
  </conditionalFormatting>
  <conditionalFormatting sqref="I15">
    <cfRule type="expression" dxfId="130" priority="169">
      <formula>$H$15=""</formula>
    </cfRule>
    <cfRule type="cellIs" dxfId="129" priority="170" operator="greaterThan">
      <formula>$I$8</formula>
    </cfRule>
  </conditionalFormatting>
  <conditionalFormatting sqref="I16">
    <cfRule type="expression" dxfId="128" priority="171">
      <formula>$H$16=""</formula>
    </cfRule>
    <cfRule type="cellIs" dxfId="127" priority="172" operator="greaterThan">
      <formula>$I$8</formula>
    </cfRule>
  </conditionalFormatting>
  <conditionalFormatting sqref="I13">
    <cfRule type="expression" dxfId="126" priority="173">
      <formula>$H$13=""</formula>
    </cfRule>
    <cfRule type="cellIs" dxfId="125" priority="174" operator="greaterThan">
      <formula>$I$8</formula>
    </cfRule>
  </conditionalFormatting>
  <conditionalFormatting sqref="I12">
    <cfRule type="expression" dxfId="124" priority="175">
      <formula>$H$12=""</formula>
    </cfRule>
    <cfRule type="cellIs" dxfId="123" priority="176" operator="greaterThan">
      <formula>$I$8</formula>
    </cfRule>
  </conditionalFormatting>
  <conditionalFormatting sqref="H9">
    <cfRule type="cellIs" dxfId="122" priority="11" operator="equal">
      <formula>0</formula>
    </cfRule>
    <cfRule type="cellIs" dxfId="121" priority="12" operator="equal">
      <formula>0</formula>
    </cfRule>
  </conditionalFormatting>
  <conditionalFormatting sqref="I9">
    <cfRule type="containsBlanks" dxfId="120" priority="8">
      <formula>LEN(TRIM(I9))=0</formula>
    </cfRule>
  </conditionalFormatting>
  <conditionalFormatting sqref="I5">
    <cfRule type="containsBlanks" dxfId="119" priority="7">
      <formula>LEN(TRIM(I5))=0</formula>
    </cfRule>
  </conditionalFormatting>
  <conditionalFormatting sqref="C12:C13">
    <cfRule type="cellIs" dxfId="118" priority="5" operator="equal">
      <formula>0</formula>
    </cfRule>
    <cfRule type="cellIs" dxfId="117" priority="6" operator="equal">
      <formula>0</formula>
    </cfRule>
  </conditionalFormatting>
  <conditionalFormatting sqref="C14">
    <cfRule type="cellIs" dxfId="116" priority="3" operator="equal">
      <formula>0</formula>
    </cfRule>
    <cfRule type="cellIs" dxfId="115" priority="4" operator="equal">
      <formula>0</formula>
    </cfRule>
  </conditionalFormatting>
  <conditionalFormatting sqref="C16">
    <cfRule type="cellIs" dxfId="114" priority="1" operator="equal">
      <formula>0</formula>
    </cfRule>
    <cfRule type="cellIs" dxfId="113" priority="2" operator="equal">
      <formula>0</formula>
    </cfRule>
  </conditionalFormatting>
  <dataValidations count="2">
    <dataValidation errorStyle="warning" allowBlank="1" showInputMessage="1" showErrorMessage="1" error="Have you confirmed the actual Silo Size?_x000a_" sqref="I6"/>
    <dataValidation type="list" allowBlank="1" showInputMessage="1" sqref="B3:D3">
      <formula1>Client_List</formula1>
    </dataValidation>
  </dataValidations>
  <pageMargins left="0.7" right="0.7" top="0.75" bottom="0.75" header="0.3" footer="0.3"/>
  <pageSetup orientation="portrait" r:id="rId1"/>
  <headerFooter>
    <oddFooter>&amp;L&amp;F Sheet Printed: &amp;T &amp;D PRIVATE AND CONFIDENTIAL</oddFooter>
  </headerFooter>
  <drawing r:id="rId2"/>
  <legacyDrawing r:id="rId3"/>
  <controls>
    <mc:AlternateContent xmlns:mc="http://schemas.openxmlformats.org/markup-compatibility/2006">
      <mc:Choice Requires="x14">
        <control shapeId="102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133350</xdr:rowOff>
              </to>
            </anchor>
          </controlPr>
        </control>
      </mc:Choice>
      <mc:Fallback>
        <control shapeId="1026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'SPECIFIC GRAVITIES'!$O$4:$O$5</xm:f>
          </x14:formula1>
          <xm:sqref>A43:A44</xm:sqref>
        </x14:dataValidation>
        <x14:dataValidation type="list" allowBlank="1" showInputMessage="1" showErrorMessage="1">
          <x14:formula1>
            <xm:f>'Base Blend Property Calculation'!$A$8:$A$130</xm:f>
          </x14:formula1>
          <xm:sqref>A19:E19</xm:sqref>
        </x14:dataValidation>
        <x14:dataValidation type="list" allowBlank="1" showInputMessage="1" showErrorMessage="1">
          <x14:formula1>
            <xm:f>'SPECIFIC GRAVITIES'!$L$5:$L$138</xm:f>
          </x14:formula1>
          <xm:sqref>A23:A37</xm:sqref>
        </x14:dataValidation>
        <x14:dataValidation type="list" allowBlank="1" showInputMessage="1" showErrorMessage="1">
          <x14:formula1>
            <xm:f>'Silo Sizes'!$E$2:$E$9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E21"/>
  <sheetViews>
    <sheetView workbookViewId="0">
      <selection activeCell="E19" sqref="E19"/>
    </sheetView>
  </sheetViews>
  <sheetFormatPr defaultRowHeight="15" x14ac:dyDescent="0.25"/>
  <cols>
    <col min="3" max="3" width="12.28515625" bestFit="1" customWidth="1"/>
    <col min="5" max="5" width="54.140625" bestFit="1" customWidth="1"/>
  </cols>
  <sheetData>
    <row r="2" spans="2:5" x14ac:dyDescent="0.25">
      <c r="B2" t="s">
        <v>583</v>
      </c>
    </row>
    <row r="4" spans="2:5" x14ac:dyDescent="0.25">
      <c r="C4" s="15" t="str">
        <f>IF('Bulk Plant Input'!A23="","",'Bulk Plant Input'!B23 &amp; "% " &amp; 'Bulk Plant Input'!A23)</f>
        <v/>
      </c>
      <c r="D4" s="15"/>
      <c r="E4" s="15" t="str">
        <f>IF(C4="","",C4)</f>
        <v/>
      </c>
    </row>
    <row r="5" spans="2:5" x14ac:dyDescent="0.25">
      <c r="C5" s="15" t="str">
        <f>IF('Bulk Plant Input'!A24="",""," + " &amp; 'Bulk Plant Input'!B24 &amp; "% " &amp; 'Bulk Plant Input'!A24)</f>
        <v/>
      </c>
      <c r="D5" s="15"/>
      <c r="E5" s="15" t="str">
        <f>IF(C5="","",C4 &amp;  C5)</f>
        <v/>
      </c>
    </row>
    <row r="6" spans="2:5" x14ac:dyDescent="0.25">
      <c r="C6" s="15" t="str">
        <f>IF('Bulk Plant Input'!A25="",""," + " &amp; 'Bulk Plant Input'!B26 &amp; "% " &amp; 'Bulk Plant Input'!A25)</f>
        <v/>
      </c>
      <c r="D6" s="15"/>
      <c r="E6" s="15" t="str">
        <f>IF(C6="","",C4 &amp; C5 &amp;  C6)</f>
        <v/>
      </c>
    </row>
    <row r="7" spans="2:5" x14ac:dyDescent="0.25">
      <c r="C7" s="15" t="str">
        <f>IF('Bulk Plant Input'!A26="",""," + " &amp; 'Bulk Plant Input'!#REF! &amp; "% " &amp; 'Bulk Plant Input'!A26)</f>
        <v/>
      </c>
      <c r="D7" s="15"/>
      <c r="E7" s="15" t="str">
        <f>IF(C7="","",$C$4 &amp; $C$5 &amp;  $C$6 &amp;  $C$7)</f>
        <v/>
      </c>
    </row>
    <row r="8" spans="2:5" x14ac:dyDescent="0.25">
      <c r="C8" s="15" t="str">
        <f>IF('Bulk Plant Input'!A27="",""," + " &amp; 'Bulk Plant Input'!B27 &amp; "% " &amp; 'Bulk Plant Input'!A27)</f>
        <v/>
      </c>
      <c r="D8" s="15"/>
      <c r="E8" s="15" t="str">
        <f>IF(C8="","",$C$4 &amp;  $C$5  &amp; $C$6 &amp;  $C$7 &amp;  $C$8)</f>
        <v/>
      </c>
    </row>
    <row r="9" spans="2:5" x14ac:dyDescent="0.25">
      <c r="C9" s="15" t="str">
        <f>IF('Bulk Plant Input'!A28="",""," + " &amp; 'Bulk Plant Input'!B28 &amp; "% " &amp; 'Bulk Plant Input'!A28)</f>
        <v/>
      </c>
      <c r="D9" s="15"/>
      <c r="E9" s="15" t="str">
        <f>IF(C9="","",$C$4 &amp;  $C$5 &amp;  $C$6 &amp;  $C$7 &amp;  $C$8&amp; $C$9)</f>
        <v/>
      </c>
    </row>
    <row r="10" spans="2:5" x14ac:dyDescent="0.25">
      <c r="C10" s="15" t="str">
        <f>IF('Bulk Plant Input'!A29="",""," + " &amp; 'Bulk Plant Input'!B29 &amp; "% " &amp; 'Bulk Plant Input'!A29)</f>
        <v/>
      </c>
      <c r="D10" s="15"/>
      <c r="E10" s="15" t="str">
        <f>IF(C10="","",$C$4 &amp; $C$5&amp;$C$6&amp;$C$7&amp;$C$8&amp;$C$9&amp;$C$10)</f>
        <v/>
      </c>
    </row>
    <row r="11" spans="2:5" x14ac:dyDescent="0.25">
      <c r="C11" s="15" t="str">
        <f>IF('Bulk Plant Input'!A30="",""," + " &amp; 'Bulk Plant Input'!B30 &amp; "% " &amp; 'Bulk Plant Input'!A30)</f>
        <v/>
      </c>
      <c r="D11" s="15"/>
      <c r="E11" s="15" t="str">
        <f>IF(C11="","",$C$4 &amp; $C$5&amp;$C$6&amp;$C$7&amp;$C$8&amp;$C$9&amp;$C$10&amp;C11)</f>
        <v/>
      </c>
    </row>
    <row r="12" spans="2:5" x14ac:dyDescent="0.25">
      <c r="C12" s="15" t="str">
        <f>IF('Bulk Plant Input'!A31="",""," + " &amp; 'Bulk Plant Input'!B31 &amp; "% " &amp; 'Bulk Plant Input'!A31)</f>
        <v/>
      </c>
      <c r="D12" s="15"/>
      <c r="E12" s="15" t="str">
        <f>IF(C12="","",$C$4 &amp; $C$5&amp;$C$6&amp;$C$7&amp;$C$8&amp;$C$9&amp;$C$10&amp;$C$11&amp;$C$12)</f>
        <v/>
      </c>
    </row>
    <row r="13" spans="2:5" x14ac:dyDescent="0.25">
      <c r="C13" s="15" t="str">
        <f>IF('Bulk Plant Input'!A32="",""," + " &amp; 'Bulk Plant Input'!B32 &amp; "% " &amp; 'Bulk Plant Input'!A32)</f>
        <v/>
      </c>
      <c r="D13" s="15"/>
      <c r="E13" s="15" t="str">
        <f>IF(C13="","",$C$4 &amp; $C$5&amp;$C$6&amp;$C$7&amp;$C$8&amp;$C$9&amp;$C$10&amp;$C$11&amp;$C$12&amp;$C$13)</f>
        <v/>
      </c>
    </row>
    <row r="14" spans="2:5" x14ac:dyDescent="0.25">
      <c r="C14" s="15" t="str">
        <f>IF('Bulk Plant Input'!A33="",""," + " &amp; 'Bulk Plant Input'!B33 &amp; "% " &amp; 'Bulk Plant Input'!A33)</f>
        <v/>
      </c>
      <c r="D14" s="15"/>
      <c r="E14" s="15" t="str">
        <f>IF(C14="","",$C$4 &amp; $C$5&amp;$C$6&amp;$C$7&amp;$C$8&amp;$C$9&amp;$C$10&amp;$C$11&amp;$C$12&amp;$C$13&amp;$C$14)</f>
        <v/>
      </c>
    </row>
    <row r="15" spans="2:5" x14ac:dyDescent="0.25">
      <c r="C15" s="15" t="str">
        <f>IF('Bulk Plant Input'!A34="",""," + " &amp; 'Bulk Plant Input'!B34 &amp; "% " &amp; 'Bulk Plant Input'!A34)</f>
        <v/>
      </c>
      <c r="D15" s="15"/>
      <c r="E15" s="15" t="str">
        <f>IF(C15="","",$C$4 &amp; $C$5&amp;$C$6&amp;$C$7&amp;$C$8&amp;$C$9&amp;$C$10&amp;$C$11&amp;$C$12&amp;$C$13&amp;$C$14&amp;$C$15)</f>
        <v/>
      </c>
    </row>
    <row r="16" spans="2:5" x14ac:dyDescent="0.25">
      <c r="C16" s="15" t="str">
        <f>IF('Bulk Plant Input'!A35="",""," + " &amp; 'Bulk Plant Input'!B35 &amp; "% " &amp; 'Bulk Plant Input'!A35)</f>
        <v/>
      </c>
      <c r="D16" s="15"/>
      <c r="E16" s="15" t="str">
        <f>IF(C16="","",$C$4 &amp; $C$5&amp;$C$6&amp;$C$7&amp;$C$8&amp;$C$9&amp;$C$10&amp;$C$11&amp;$C$12&amp;$C$13&amp;$C$14&amp;$C$15&amp;$C$16)</f>
        <v/>
      </c>
    </row>
    <row r="17" spans="3:5" x14ac:dyDescent="0.25">
      <c r="C17" s="15" t="str">
        <f>IF('Bulk Plant Input'!A36="",""," + " &amp; 'Bulk Plant Input'!B36 &amp; "% " &amp; 'Bulk Plant Input'!A36)</f>
        <v/>
      </c>
      <c r="D17" s="15"/>
      <c r="E17" s="15" t="str">
        <f>IF(C17="","",$C$4 &amp; $C$5&amp;$C$6&amp;$C$7&amp;$C$8&amp;$C$9&amp;$C$10&amp;$C$11&amp;$C$12&amp;$C$13&amp;$C$14&amp;$C$15&amp;$C$16&amp;$C$17)</f>
        <v/>
      </c>
    </row>
    <row r="18" spans="3:5" x14ac:dyDescent="0.25">
      <c r="C18" s="15" t="str">
        <f>IF('Bulk Plant Input'!A37="",""," + " &amp; 'Bulk Plant Input'!B37 &amp; "% " &amp; 'Bulk Plant Input'!A37)</f>
        <v/>
      </c>
      <c r="D18" s="15"/>
      <c r="E18" s="15" t="str">
        <f>IF(C18="","",$C$4 &amp; $C$5&amp;$C$6&amp;$C$7&amp;$C$8&amp;$C$9&amp;$C$10&amp;$C$11&amp;$C$12&amp;$C$13&amp;$C$14&amp;$C$15&amp;$C$16&amp;$C$17&amp;$C$18)</f>
        <v/>
      </c>
    </row>
    <row r="19" spans="3:5" x14ac:dyDescent="0.25">
      <c r="C19" s="241"/>
    </row>
    <row r="21" spans="3:5" x14ac:dyDescent="0.25">
      <c r="E21" t="str">
        <f>IF(E18&lt;&gt;"",E18,IF(E17&lt;&gt;"",E17,IF(E16&lt;&gt;"",E16,IF(E15&lt;&gt;"",E15,IF(E14&lt;&gt;"",E14,IF(E13&lt;&gt;"",E13,IF(E12&lt;&gt;"",E12,IF(E11&lt;&gt;"",E11,IF(E10&lt;&gt;"",E10,IF(E9&lt;&gt;"",E9,IF(E8&lt;&gt;"",E8,IF(E7&lt;&gt;"",E7,IF(E6&lt;&gt;"",E6,"")))))))))))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J16"/>
  <sheetViews>
    <sheetView workbookViewId="0">
      <selection activeCell="C2" sqref="C2:C6"/>
    </sheetView>
  </sheetViews>
  <sheetFormatPr defaultRowHeight="15" x14ac:dyDescent="0.25"/>
  <cols>
    <col min="5" max="5" width="23.28515625" customWidth="1"/>
  </cols>
  <sheetData>
    <row r="1" spans="3:10" x14ac:dyDescent="0.25">
      <c r="C1" s="241" t="s">
        <v>1801</v>
      </c>
      <c r="E1" s="582" t="s">
        <v>563</v>
      </c>
      <c r="F1" s="582"/>
      <c r="G1" s="582"/>
    </row>
    <row r="2" spans="3:10" ht="15.75" customHeight="1" x14ac:dyDescent="0.25">
      <c r="C2" s="241">
        <v>18.14</v>
      </c>
      <c r="E2" s="473" t="s">
        <v>554</v>
      </c>
      <c r="F2" s="381">
        <v>15.9</v>
      </c>
      <c r="G2" s="15" t="s">
        <v>561</v>
      </c>
      <c r="J2" t="s">
        <v>580</v>
      </c>
    </row>
    <row r="3" spans="3:10" x14ac:dyDescent="0.25">
      <c r="C3" s="241">
        <v>20</v>
      </c>
      <c r="E3" s="473" t="s">
        <v>213</v>
      </c>
      <c r="F3" s="381">
        <v>15.9</v>
      </c>
      <c r="G3" s="15" t="s">
        <v>561</v>
      </c>
      <c r="J3" t="s">
        <v>582</v>
      </c>
    </row>
    <row r="4" spans="3:10" ht="15.75" customHeight="1" x14ac:dyDescent="0.25">
      <c r="C4" s="241">
        <v>22.68</v>
      </c>
      <c r="E4" s="473" t="s">
        <v>555</v>
      </c>
      <c r="F4" s="381">
        <v>15.9</v>
      </c>
      <c r="G4" s="15" t="s">
        <v>561</v>
      </c>
      <c r="J4" t="s">
        <v>581</v>
      </c>
    </row>
    <row r="5" spans="3:10" x14ac:dyDescent="0.25">
      <c r="C5" s="241">
        <v>22.7</v>
      </c>
      <c r="E5" s="473" t="s">
        <v>556</v>
      </c>
      <c r="F5" s="381">
        <v>15.9</v>
      </c>
      <c r="G5" s="15" t="s">
        <v>561</v>
      </c>
    </row>
    <row r="6" spans="3:10" ht="15.75" customHeight="1" x14ac:dyDescent="0.25">
      <c r="C6" s="241">
        <v>25</v>
      </c>
      <c r="E6" s="473" t="s">
        <v>557</v>
      </c>
      <c r="F6" s="381">
        <v>15.9</v>
      </c>
      <c r="G6" s="15" t="s">
        <v>561</v>
      </c>
    </row>
    <row r="7" spans="3:10" x14ac:dyDescent="0.25">
      <c r="E7" s="474" t="s">
        <v>558</v>
      </c>
      <c r="F7" s="381">
        <v>30</v>
      </c>
      <c r="G7" s="15" t="s">
        <v>561</v>
      </c>
    </row>
    <row r="8" spans="3:10" ht="15.75" customHeight="1" x14ac:dyDescent="0.25">
      <c r="E8" s="475" t="s">
        <v>559</v>
      </c>
      <c r="F8" s="381">
        <v>30</v>
      </c>
      <c r="G8" s="15" t="s">
        <v>561</v>
      </c>
    </row>
    <row r="9" spans="3:10" x14ac:dyDescent="0.25">
      <c r="E9" s="475" t="s">
        <v>560</v>
      </c>
      <c r="F9" s="381">
        <v>28.8</v>
      </c>
      <c r="G9" s="15" t="s">
        <v>561</v>
      </c>
    </row>
    <row r="10" spans="3:10" ht="15.75" customHeight="1" x14ac:dyDescent="0.25">
      <c r="G10" s="241" t="s">
        <v>562</v>
      </c>
    </row>
    <row r="14" spans="3:10" ht="15.75" customHeight="1" x14ac:dyDescent="0.25"/>
    <row r="16" spans="3:10" ht="15.75" customHeight="1" x14ac:dyDescent="0.25"/>
  </sheetData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Q102"/>
  <sheetViews>
    <sheetView view="pageBreakPreview" topLeftCell="A7" zoomScale="60" zoomScaleNormal="100" workbookViewId="0">
      <selection activeCell="B68" sqref="B68:C68"/>
    </sheetView>
  </sheetViews>
  <sheetFormatPr defaultRowHeight="15" x14ac:dyDescent="0.25"/>
  <cols>
    <col min="1" max="1" width="11.28515625" style="407" customWidth="1"/>
    <col min="2" max="3" width="9.7109375" style="407" customWidth="1"/>
    <col min="4" max="4" width="12.42578125" style="407" customWidth="1"/>
    <col min="5" max="5" width="9.7109375" style="407" customWidth="1"/>
    <col min="6" max="6" width="11.42578125" style="407" customWidth="1"/>
    <col min="7" max="7" width="10.85546875" style="407" customWidth="1"/>
    <col min="8" max="8" width="9.7109375" style="407" customWidth="1"/>
    <col min="9" max="9" width="13.85546875" style="407" customWidth="1"/>
    <col min="10" max="10" width="10.42578125" style="407" customWidth="1"/>
    <col min="11" max="11" width="9.140625" style="407"/>
    <col min="12" max="13" width="9.140625" style="409"/>
    <col min="14" max="14" width="25.140625" style="409" customWidth="1"/>
    <col min="15" max="16384" width="9.140625" style="409"/>
  </cols>
  <sheetData>
    <row r="1" spans="1:17" x14ac:dyDescent="0.25">
      <c r="A1" s="514" t="str">
        <f>'Bulk Plant Input'!A2</f>
        <v>Version 2.8.22</v>
      </c>
      <c r="F1" s="408"/>
      <c r="G1" s="408"/>
      <c r="H1" s="403"/>
      <c r="I1" s="403"/>
      <c r="J1" s="403"/>
      <c r="K1" s="409"/>
    </row>
    <row r="2" spans="1:17" ht="20.100000000000001" customHeight="1" x14ac:dyDescent="0.25">
      <c r="A2" s="410" t="s">
        <v>196</v>
      </c>
      <c r="B2" s="598">
        <f ca="1">IF('Bulk Plant Input'!B6="","",'Bulk Plant Input'!B6)</f>
        <v>42964</v>
      </c>
      <c r="C2" s="598"/>
      <c r="D2" s="598"/>
      <c r="E2" s="598"/>
      <c r="G2" s="410" t="s">
        <v>197</v>
      </c>
      <c r="H2" s="584" t="str">
        <f>IF('Bulk Plant Input'!B7="","",'Bulk Plant Input'!B7)</f>
        <v/>
      </c>
      <c r="I2" s="585"/>
      <c r="J2" s="585"/>
      <c r="K2" s="585"/>
    </row>
    <row r="3" spans="1:17" ht="20.100000000000001" customHeight="1" x14ac:dyDescent="0.25">
      <c r="A3" s="410" t="s">
        <v>505</v>
      </c>
      <c r="B3" s="584" t="str">
        <f>IF('Bulk Plant Input'!B3="","",'Bulk Plant Input'!B3)</f>
        <v/>
      </c>
      <c r="C3" s="585"/>
      <c r="D3" s="585"/>
      <c r="E3" s="585"/>
      <c r="G3" s="410" t="s">
        <v>619</v>
      </c>
      <c r="H3" s="584" t="str">
        <f>IF('Bulk Plant Input'!D12="","",'Bulk Plant Input'!D12)</f>
        <v/>
      </c>
      <c r="I3" s="585"/>
      <c r="J3" s="585"/>
      <c r="K3" s="585"/>
    </row>
    <row r="4" spans="1:17" ht="20.100000000000001" customHeight="1" x14ac:dyDescent="0.25">
      <c r="A4" s="410" t="s">
        <v>506</v>
      </c>
      <c r="B4" s="584" t="str">
        <f>IF('Bulk Plant Input'!B4="","",'Bulk Plant Input'!B4)</f>
        <v/>
      </c>
      <c r="C4" s="585"/>
      <c r="D4" s="585"/>
      <c r="E4" s="585"/>
      <c r="G4" s="513" t="s">
        <v>620</v>
      </c>
      <c r="H4" s="584" t="str">
        <f>IF('Bulk Plant Input'!D13="","",'Bulk Plant Input'!D13)</f>
        <v/>
      </c>
      <c r="I4" s="585"/>
      <c r="J4" s="585"/>
      <c r="K4" s="585"/>
    </row>
    <row r="5" spans="1:17" ht="20.100000000000001" customHeight="1" thickBot="1" x14ac:dyDescent="0.3">
      <c r="A5" s="414"/>
      <c r="B5" s="414"/>
      <c r="C5" s="414"/>
      <c r="D5" s="414"/>
      <c r="E5" s="414"/>
      <c r="F5" s="414"/>
      <c r="G5" s="516" t="s">
        <v>621</v>
      </c>
      <c r="H5" s="584" t="str">
        <f>IF('Bulk Plant Input'!D14="","",'Bulk Plant Input'!D14)</f>
        <v/>
      </c>
      <c r="I5" s="585"/>
      <c r="J5" s="585"/>
      <c r="K5" s="585"/>
      <c r="N5" s="415"/>
    </row>
    <row r="6" spans="1:17" ht="7.5" customHeight="1" x14ac:dyDescent="0.25">
      <c r="K6" s="409"/>
      <c r="N6" s="415"/>
      <c r="O6" s="416"/>
      <c r="P6" s="415"/>
      <c r="Q6" s="415"/>
    </row>
    <row r="7" spans="1:17" ht="15.75" x14ac:dyDescent="0.25">
      <c r="A7" s="594" t="str">
        <f>IF('Bulk Plant Input'!$A$19="","",'Bulk Plant Input'!$A$19)</f>
        <v>SURFACEmix PRO SL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417"/>
      <c r="M7" s="417"/>
      <c r="N7" s="418"/>
      <c r="O7" s="419"/>
      <c r="Q7" s="415"/>
    </row>
    <row r="8" spans="1:17" ht="7.5" customHeight="1" x14ac:dyDescent="0.25">
      <c r="A8" s="420"/>
      <c r="B8" s="421"/>
      <c r="C8" s="421"/>
      <c r="D8" s="421"/>
      <c r="E8" s="421"/>
      <c r="F8" s="422"/>
      <c r="L8" s="417"/>
      <c r="M8" s="417"/>
      <c r="Q8" s="415"/>
    </row>
    <row r="9" spans="1:17" ht="15.75" customHeight="1" x14ac:dyDescent="0.25">
      <c r="A9" s="423"/>
      <c r="B9" s="424" t="str">
        <f>IF('Bulk Plant Input'!A23="","",'Bulk Plant Input'!$A23)</f>
        <v/>
      </c>
      <c r="C9" s="425" t="str">
        <f>IF('Bulk Plant Input'!A23="","",'Bulk Plant Input'!$B23)</f>
        <v/>
      </c>
      <c r="D9" s="426" t="str">
        <f>IF(B9="","", VLOOKUP(B9,'SPECIFIC GRAVITIES'!$A$4:$C$138,3,FALSE))</f>
        <v/>
      </c>
      <c r="E9" s="424" t="str">
        <f>IF('Bulk Plant Input'!A29="","",'Bulk Plant Input'!$A29)</f>
        <v/>
      </c>
      <c r="F9" s="425" t="str">
        <f>IF('Bulk Plant Input'!A29="","",'Bulk Plant Input'!$B29)</f>
        <v/>
      </c>
      <c r="G9" s="426" t="str">
        <f>IF(E9="","", VLOOKUP(E9,'SPECIFIC GRAVITIES'!$A$4:$C$138,3,FALSE))</f>
        <v/>
      </c>
      <c r="H9" s="424" t="str">
        <f>IF('Bulk Plant Input'!D35="","",'Bulk Plant Input'!$A35)</f>
        <v/>
      </c>
      <c r="I9" s="425" t="str">
        <f>IF('Bulk Plant Input'!D35="","",'Bulk Plant Input'!$B35)</f>
        <v/>
      </c>
      <c r="J9" s="426" t="str">
        <f>IF(H9="","", VLOOKUP(H9,'SPECIFIC GRAVITIES'!$A$4:$C$138,3,FALSE))</f>
        <v/>
      </c>
      <c r="L9" s="417"/>
      <c r="M9" s="417"/>
      <c r="Q9" s="415"/>
    </row>
    <row r="10" spans="1:17" x14ac:dyDescent="0.25">
      <c r="A10" s="417"/>
      <c r="B10" s="424" t="str">
        <f>IF('Bulk Plant Input'!A24="","",'Bulk Plant Input'!$A24)</f>
        <v/>
      </c>
      <c r="C10" s="425" t="str">
        <f>IF('Bulk Plant Input'!A24="","",'Bulk Plant Input'!$B24)</f>
        <v/>
      </c>
      <c r="D10" s="426" t="str">
        <f>IF(B10="","", VLOOKUP(B10,'SPECIFIC GRAVITIES'!$A$4:$C$138,3,FALSE))</f>
        <v/>
      </c>
      <c r="E10" s="424" t="str">
        <f>IF('Bulk Plant Input'!A30="","",'Bulk Plant Input'!$A30)</f>
        <v/>
      </c>
      <c r="F10" s="425" t="str">
        <f>IF('Bulk Plant Input'!A30="","",'Bulk Plant Input'!$B30)</f>
        <v/>
      </c>
      <c r="G10" s="426" t="str">
        <f>IF(E10="","", VLOOKUP(E10,'SPECIFIC GRAVITIES'!$A$4:$C$138,3,FALSE))</f>
        <v/>
      </c>
      <c r="H10" s="424" t="str">
        <f>IF('Bulk Plant Input'!D36="","",'Bulk Plant Input'!$A36)</f>
        <v/>
      </c>
      <c r="I10" s="427" t="str">
        <f>IF('Bulk Plant Input'!D36="","",'Bulk Plant Input'!$B36)</f>
        <v/>
      </c>
      <c r="J10" s="426" t="str">
        <f>IF(H10="","", VLOOKUP(H10,'SPECIFIC GRAVITIES'!$A$4:$C$138,3,FALSE))</f>
        <v/>
      </c>
      <c r="L10" s="417"/>
      <c r="M10" s="417"/>
      <c r="Q10" s="415"/>
    </row>
    <row r="11" spans="1:17" x14ac:dyDescent="0.25">
      <c r="A11" s="417"/>
      <c r="B11" s="424" t="str">
        <f>IF('Bulk Plant Input'!A25="","",'Bulk Plant Input'!$A25)</f>
        <v/>
      </c>
      <c r="C11" s="425" t="str">
        <f>IF('Bulk Plant Input'!A25="","",'Bulk Plant Input'!$B25)</f>
        <v/>
      </c>
      <c r="D11" s="426" t="str">
        <f>IF(B11="","", VLOOKUP(B11,'SPECIFIC GRAVITIES'!$A$4:$C$138,3,FALSE))</f>
        <v/>
      </c>
      <c r="E11" s="424" t="str">
        <f>IF('Bulk Plant Input'!A31="","",'Bulk Plant Input'!$A31)</f>
        <v/>
      </c>
      <c r="F11" s="425" t="str">
        <f>IF('Bulk Plant Input'!A31="","",'Bulk Plant Input'!$B31)</f>
        <v/>
      </c>
      <c r="G11" s="426" t="str">
        <f>IF(E11="","", VLOOKUP(E11,'SPECIFIC GRAVITIES'!$A$4:$C$138,3,FALSE))</f>
        <v/>
      </c>
      <c r="H11" s="424" t="str">
        <f>IF('Bulk Plant Input'!D37="","",'Bulk Plant Input'!$A37)</f>
        <v/>
      </c>
      <c r="I11" s="427" t="str">
        <f>IF('Bulk Plant Input'!D37="","",'Bulk Plant Input'!$B37)</f>
        <v/>
      </c>
      <c r="J11" s="426" t="str">
        <f>IF(H11="","", VLOOKUP(H11,'SPECIFIC GRAVITIES'!$A$4:$C$138,3,FALSE))</f>
        <v/>
      </c>
      <c r="L11" s="417"/>
      <c r="M11" s="417"/>
      <c r="Q11" s="415"/>
    </row>
    <row r="12" spans="1:17" ht="15" customHeight="1" x14ac:dyDescent="0.25">
      <c r="A12" s="417"/>
      <c r="B12" s="424" t="str">
        <f>IF('Bulk Plant Input'!A26="","",'Bulk Plant Input'!$A26)</f>
        <v/>
      </c>
      <c r="C12" s="425" t="str">
        <f>IF('Bulk Plant Input'!A26="","",'Bulk Plant Input'!$B26)</f>
        <v/>
      </c>
      <c r="D12" s="426" t="str">
        <f>IF(B12="","", VLOOKUP(B12,'SPECIFIC GRAVITIES'!$A$4:$C$138,3,FALSE))</f>
        <v/>
      </c>
      <c r="E12" s="424" t="str">
        <f>IF('Bulk Plant Input'!A32="","",'Bulk Plant Input'!$A32)</f>
        <v/>
      </c>
      <c r="F12" s="425" t="str">
        <f>IF('Bulk Plant Input'!A32="","",'Bulk Plant Input'!$B32)</f>
        <v/>
      </c>
      <c r="G12" s="426" t="str">
        <f>IF(E12="","", VLOOKUP(E12,'SPECIFIC GRAVITIES'!$A$4:$C$138,3,FALSE))</f>
        <v/>
      </c>
      <c r="H12" s="424" t="str">
        <f>IF('Bulk Plant Input'!A43="", "",'Bulk Plant Input'!A43)</f>
        <v/>
      </c>
      <c r="I12" s="427" t="str">
        <f>IF('Bulk Plant Input'!A43="","",'Bulk Plant Input'!B43)</f>
        <v/>
      </c>
      <c r="J12" s="424" t="str">
        <f>IF(H12="","", VLOOKUP(H12,'SPECIFIC GRAVITIES'!$A$4:$C$138,3,FALSE))</f>
        <v/>
      </c>
      <c r="L12" s="417"/>
      <c r="M12" s="417"/>
      <c r="Q12" s="415"/>
    </row>
    <row r="13" spans="1:17" x14ac:dyDescent="0.25">
      <c r="A13" s="417"/>
      <c r="B13" s="424" t="str">
        <f>IF('Bulk Plant Input'!A27="","",'Bulk Plant Input'!$A27)</f>
        <v/>
      </c>
      <c r="C13" s="425" t="str">
        <f>IF('Bulk Plant Input'!A27="","",'Bulk Plant Input'!$B27)</f>
        <v/>
      </c>
      <c r="D13" s="426" t="str">
        <f>IF(B13="","", VLOOKUP(B13,'SPECIFIC GRAVITIES'!$A$4:$C$138,3,FALSE))</f>
        <v/>
      </c>
      <c r="E13" s="424" t="str">
        <f>IF('Bulk Plant Input'!D33="","",'Bulk Plant Input'!$A33)</f>
        <v/>
      </c>
      <c r="F13" s="425" t="str">
        <f>IF('Bulk Plant Input'!D33="","",'Bulk Plant Input'!$B33)</f>
        <v/>
      </c>
      <c r="G13" s="426" t="str">
        <f>IF(E13="","", VLOOKUP(E13,'SPECIFIC GRAVITIES'!$A$4:$C$138,3,FALSE))</f>
        <v/>
      </c>
      <c r="H13" s="424" t="str">
        <f>IF('Bulk Plant Input'!A44="", "",'Bulk Plant Input'!A44)</f>
        <v/>
      </c>
      <c r="I13" s="425" t="str">
        <f>IF('Bulk Plant Input'!A44="","",'Bulk Plant Input'!B44)</f>
        <v/>
      </c>
      <c r="J13" s="424" t="str">
        <f>IF(H13="","", VLOOKUP(H13,'SPECIFIC GRAVITIES'!$A$4:$C$138,3,FALSE))</f>
        <v/>
      </c>
      <c r="L13" s="417"/>
      <c r="M13" s="417"/>
      <c r="Q13" s="415"/>
    </row>
    <row r="14" spans="1:17" x14ac:dyDescent="0.25">
      <c r="A14" s="417"/>
      <c r="B14" s="424" t="str">
        <f>IF('Bulk Plant Input'!A28="","",'Bulk Plant Input'!$A28)</f>
        <v/>
      </c>
      <c r="C14" s="425" t="str">
        <f>IF('Bulk Plant Input'!A28="","",'Bulk Plant Input'!$B28)</f>
        <v/>
      </c>
      <c r="D14" s="426" t="str">
        <f>IF(B14="","", VLOOKUP(B14,'SPECIFIC GRAVITIES'!$A$4:$C$138,3,FALSE))</f>
        <v/>
      </c>
      <c r="E14" s="424" t="str">
        <f>IF('Bulk Plant Input'!D34="","",'Bulk Plant Input'!$A34)</f>
        <v/>
      </c>
      <c r="F14" s="425" t="str">
        <f>IF('Bulk Plant Input'!D34="","",'Bulk Plant Input'!$B34)</f>
        <v/>
      </c>
      <c r="G14" s="426" t="str">
        <f>IF(E14="","", VLOOKUP(E14,'SPECIFIC GRAVITIES'!$A$4:$C$138,3,FALSE))</f>
        <v/>
      </c>
      <c r="H14" s="428"/>
      <c r="I14" s="428"/>
      <c r="J14" s="424" t="str">
        <f>IF(I14="","", VLOOKUP(I14,'SPECIFIC GRAVITIES'!$A$4:$C$138,3,FALSE))</f>
        <v/>
      </c>
      <c r="L14" s="417"/>
      <c r="M14" s="417"/>
      <c r="Q14" s="415"/>
    </row>
    <row r="15" spans="1:17" x14ac:dyDescent="0.25">
      <c r="A15" s="417"/>
      <c r="D15" s="424"/>
      <c r="K15" s="417"/>
      <c r="L15" s="417"/>
      <c r="M15" s="417"/>
      <c r="P15" s="429"/>
      <c r="Q15" s="415"/>
    </row>
    <row r="16" spans="1:17" ht="15" customHeight="1" x14ac:dyDescent="0.25">
      <c r="A16" s="417"/>
      <c r="C16" s="410" t="s">
        <v>185</v>
      </c>
      <c r="D16" s="430">
        <f>IF('Bulk Plant Input'!B9="","",'Bulk Plant Input'!B9)</f>
        <v>1</v>
      </c>
      <c r="E16" s="431"/>
      <c r="F16" s="410" t="s">
        <v>471</v>
      </c>
      <c r="G16" s="432">
        <f>'Bulk Plant Input'!B8</f>
        <v>1</v>
      </c>
      <c r="I16" s="410" t="s">
        <v>473</v>
      </c>
      <c r="J16" s="432">
        <f>'Bulk Plant Input'!B17</f>
        <v>0.92250922509225086</v>
      </c>
      <c r="K16" s="417"/>
      <c r="L16" s="583" t="str">
        <f>IF('Bulk Plant Input'!C10 = "ENTER PROGRAMMED BLEND DENSITY HERE", "PROGRAMMED DENSITY WAS NOT ENTERED", 'Bulk Plant Input'!C10)</f>
        <v>BLEND DENSITY OUTSIDE OPTIMAL RANGE - CONFIRM BLEND PRIOR TO LOADING</v>
      </c>
      <c r="M16" s="583"/>
      <c r="N16" s="583"/>
      <c r="O16" s="583"/>
      <c r="P16" s="583"/>
      <c r="Q16" s="583"/>
    </row>
    <row r="17" spans="1:17" ht="15" customHeight="1" x14ac:dyDescent="0.25">
      <c r="A17" s="417"/>
      <c r="C17" s="410" t="s">
        <v>468</v>
      </c>
      <c r="D17" s="433">
        <f>'Bulk Plant Input'!B13</f>
        <v>1000</v>
      </c>
      <c r="E17" s="424"/>
      <c r="F17" s="410" t="s">
        <v>472</v>
      </c>
      <c r="G17" s="434">
        <f>'Bulk Plant Input'!B15</f>
        <v>1</v>
      </c>
      <c r="H17" s="603" t="s">
        <v>186</v>
      </c>
      <c r="I17" s="603"/>
      <c r="J17" s="604" t="str">
        <f>IF('Bulk Plant Input'!B10="","NOT ENTERED", "       "&amp;'Bulk Plant Input'!B10)</f>
        <v xml:space="preserve">       1</v>
      </c>
      <c r="K17" s="604"/>
      <c r="L17" s="583"/>
      <c r="M17" s="583"/>
      <c r="N17" s="583"/>
      <c r="O17" s="583"/>
      <c r="P17" s="583"/>
      <c r="Q17" s="583"/>
    </row>
    <row r="18" spans="1:17" ht="15" customHeight="1" x14ac:dyDescent="0.25">
      <c r="A18" s="417"/>
      <c r="D18" s="424"/>
      <c r="K18" s="417"/>
      <c r="L18" s="583"/>
      <c r="M18" s="583"/>
      <c r="N18" s="583"/>
      <c r="O18" s="583"/>
      <c r="P18" s="583"/>
      <c r="Q18" s="583"/>
    </row>
    <row r="19" spans="1:17" ht="33.75" customHeight="1" x14ac:dyDescent="0.55000000000000004">
      <c r="A19" s="595" t="str">
        <f>'Bulk Plant Input'!A20</f>
        <v/>
      </c>
      <c r="B19" s="595"/>
      <c r="C19" s="595"/>
      <c r="D19" s="595"/>
      <c r="E19" s="595"/>
      <c r="F19" s="595"/>
      <c r="G19" s="595"/>
      <c r="H19" s="595"/>
      <c r="I19" s="595"/>
      <c r="J19" s="595"/>
      <c r="K19" s="595"/>
      <c r="L19" s="583"/>
      <c r="M19" s="583"/>
      <c r="N19" s="583"/>
      <c r="O19" s="583"/>
      <c r="P19" s="583"/>
      <c r="Q19" s="583"/>
    </row>
    <row r="20" spans="1:17" ht="21" x14ac:dyDescent="0.35">
      <c r="B20" s="435" t="s">
        <v>462</v>
      </c>
      <c r="C20" s="436"/>
      <c r="D20" s="437" t="s">
        <v>198</v>
      </c>
      <c r="E20" s="438"/>
      <c r="F20" s="438"/>
      <c r="G20" s="438"/>
      <c r="H20" s="438"/>
      <c r="I20" s="438"/>
      <c r="J20" s="438"/>
      <c r="K20" s="409"/>
      <c r="L20" s="583" t="str">
        <f>IF('Max Add &amp; Blend Densities'!L30=0,"", "ABNORMAL ADDITIVE LOADING - CONFIRM WITH CLIENT SOLUTIONS PRIOR TO BLENDING")</f>
        <v/>
      </c>
      <c r="M20" s="583"/>
      <c r="N20" s="583"/>
      <c r="O20" s="583"/>
      <c r="P20" s="583"/>
      <c r="Q20" s="583"/>
    </row>
    <row r="21" spans="1:17" ht="34.5" customHeight="1" x14ac:dyDescent="0.25">
      <c r="B21" s="592" t="s">
        <v>199</v>
      </c>
      <c r="C21" s="593"/>
      <c r="D21" s="439" t="s">
        <v>206</v>
      </c>
      <c r="E21" s="596" t="s">
        <v>207</v>
      </c>
      <c r="F21" s="597"/>
      <c r="G21" s="590" t="s">
        <v>200</v>
      </c>
      <c r="H21" s="591"/>
      <c r="I21" s="536" t="s">
        <v>1803</v>
      </c>
      <c r="J21" s="439" t="s">
        <v>1800</v>
      </c>
      <c r="K21" s="409"/>
      <c r="L21" s="583"/>
      <c r="M21" s="583"/>
      <c r="N21" s="583"/>
      <c r="O21" s="583"/>
      <c r="P21" s="583"/>
      <c r="Q21" s="583"/>
    </row>
    <row r="22" spans="1:17" ht="34.5" hidden="1" customHeight="1" x14ac:dyDescent="0.3">
      <c r="B22" s="586" t="str">
        <f>INDEX('Base Blend Property Calculation'!$C$6:$BF$6,1,'Base Blend Property Calculation'!BT7)</f>
        <v>Class A</v>
      </c>
      <c r="C22" s="587"/>
      <c r="D22" s="393">
        <f>VLOOKUP('Bulk Plant Input'!$A$19, 'Base Blend Property Calculation'!$A$6:$BF$159,'Base Blend Property Calculation'!BT9,FALSE)*'Bulk Plant Input'!$B$8</f>
        <v>0</v>
      </c>
      <c r="E22" s="588"/>
      <c r="F22" s="589"/>
      <c r="G22" s="588"/>
      <c r="H22" s="589"/>
      <c r="I22" s="537"/>
      <c r="J22" s="541" t="str">
        <f>IF(D22="","",IF(I22="","",D22/I22))</f>
        <v/>
      </c>
    </row>
    <row r="23" spans="1:17" ht="34.5" customHeight="1" x14ac:dyDescent="0.3">
      <c r="B23" s="586" t="str">
        <f>INDEX('Base Blend Property Calculation'!$C$6:$BF$6,1,'Base Blend Property Calculation'!BT8)</f>
        <v>Class C</v>
      </c>
      <c r="C23" s="587"/>
      <c r="D23" s="393">
        <f>VLOOKUP('Bulk Plant Input'!$A$19, 'Base Blend Property Calculation'!$A$6:$BF$159,'Base Blend Property Calculation'!BT10,FALSE)*'Bulk Plant Input'!$B$8</f>
        <v>943</v>
      </c>
      <c r="E23" s="588"/>
      <c r="F23" s="589"/>
      <c r="G23" s="588"/>
      <c r="H23" s="589"/>
      <c r="I23" s="537"/>
      <c r="J23" s="541" t="str">
        <f t="shared" ref="J23:J76" si="0">IF(D23="","",IF(I23="","",D23/I23))</f>
        <v/>
      </c>
    </row>
    <row r="24" spans="1:17" ht="34.5" hidden="1" customHeight="1" x14ac:dyDescent="0.3">
      <c r="B24" s="586" t="str">
        <f>INDEX('Base Blend Property Calculation'!$C$6:$BF$6,1,'Base Blend Property Calculation'!BT9)</f>
        <v>Class G</v>
      </c>
      <c r="C24" s="587"/>
      <c r="D24" s="393">
        <f>VLOOKUP('Bulk Plant Input'!$A$19, 'Base Blend Property Calculation'!$A$6:$BF$159,'Base Blend Property Calculation'!BT11,FALSE)*'Bulk Plant Input'!$B$8</f>
        <v>0</v>
      </c>
      <c r="E24" s="588"/>
      <c r="F24" s="589"/>
      <c r="G24" s="588"/>
      <c r="H24" s="589"/>
      <c r="I24" s="537"/>
      <c r="J24" s="541" t="str">
        <f t="shared" si="0"/>
        <v/>
      </c>
      <c r="M24" s="544" t="s">
        <v>1802</v>
      </c>
    </row>
    <row r="25" spans="1:17" ht="34.5" hidden="1" customHeight="1" x14ac:dyDescent="0.3">
      <c r="B25" s="586" t="str">
        <f>INDEX('Base Blend Property Calculation'!$C$6:$BF$6,1,'Base Blend Property Calculation'!BT10)</f>
        <v>Class H</v>
      </c>
      <c r="C25" s="587"/>
      <c r="D25" s="393">
        <f>VLOOKUP('Bulk Plant Input'!$A$19, 'Base Blend Property Calculation'!$A$6:$BF$159,'Base Blend Property Calculation'!BT12,FALSE)*'Bulk Plant Input'!$B$8</f>
        <v>0</v>
      </c>
      <c r="E25" s="588"/>
      <c r="F25" s="589"/>
      <c r="G25" s="588"/>
      <c r="H25" s="589"/>
      <c r="I25" s="537"/>
      <c r="J25" s="541" t="str">
        <f t="shared" si="0"/>
        <v/>
      </c>
    </row>
    <row r="26" spans="1:17" ht="34.5" hidden="1" customHeight="1" x14ac:dyDescent="0.3">
      <c r="B26" s="586" t="str">
        <f>INDEX('Base Blend Property Calculation'!$C$6:$BF$6,1,'Base Blend Property Calculation'!BT11)</f>
        <v>Intercem</v>
      </c>
      <c r="C26" s="587"/>
      <c r="D26" s="393">
        <f>VLOOKUP('Bulk Plant Input'!$A$19, 'Base Blend Property Calculation'!$A$6:$BF$159,'Base Blend Property Calculation'!BT13,FALSE)*'Bulk Plant Input'!$B$8</f>
        <v>0</v>
      </c>
      <c r="E26" s="588"/>
      <c r="F26" s="589"/>
      <c r="G26" s="588"/>
      <c r="H26" s="589"/>
      <c r="I26" s="537"/>
      <c r="J26" s="541" t="str">
        <f t="shared" si="0"/>
        <v/>
      </c>
    </row>
    <row r="27" spans="1:17" ht="34.5" hidden="1" customHeight="1" x14ac:dyDescent="0.3">
      <c r="B27" s="586" t="str">
        <f>INDEX('Base Blend Property Calculation'!$C$6:$BF$6,1,'Base Blend Property Calculation'!BT12)</f>
        <v>Colloid SQ-A</v>
      </c>
      <c r="C27" s="587"/>
      <c r="D27" s="393">
        <f>VLOOKUP('Bulk Plant Input'!$A$19, 'Base Blend Property Calculation'!$A$6:$BF$159,'Base Blend Property Calculation'!BT14,FALSE)*'Bulk Plant Input'!$B$8</f>
        <v>0</v>
      </c>
      <c r="E27" s="588"/>
      <c r="F27" s="589"/>
      <c r="G27" s="588"/>
      <c r="H27" s="589"/>
      <c r="I27" s="537"/>
      <c r="J27" s="541" t="str">
        <f t="shared" si="0"/>
        <v/>
      </c>
    </row>
    <row r="28" spans="1:17" ht="34.5" hidden="1" customHeight="1" x14ac:dyDescent="0.3">
      <c r="B28" s="586" t="str">
        <f>INDEX('Base Blend Property Calculation'!$C$6:$BF$6,1,'Base Blend Property Calculation'!BT13)</f>
        <v>Flyash</v>
      </c>
      <c r="C28" s="587"/>
      <c r="D28" s="393">
        <f>VLOOKUP('Bulk Plant Input'!$A$19, 'Base Blend Property Calculation'!$A$6:$BF$159,'Base Blend Property Calculation'!BT15,FALSE)*'Bulk Plant Input'!$B$8</f>
        <v>0</v>
      </c>
      <c r="E28" s="588"/>
      <c r="F28" s="589"/>
      <c r="G28" s="588"/>
      <c r="H28" s="589"/>
      <c r="I28" s="537"/>
      <c r="J28" s="541" t="str">
        <f t="shared" si="0"/>
        <v/>
      </c>
    </row>
    <row r="29" spans="1:17" ht="34.5" hidden="1" customHeight="1" x14ac:dyDescent="0.3">
      <c r="B29" s="586" t="str">
        <f>INDEX('Base Blend Property Calculation'!$C$6:$BF$6,1,'Base Blend Property Calculation'!BT14)</f>
        <v>Flyash (Sask)</v>
      </c>
      <c r="C29" s="587"/>
      <c r="D29" s="393">
        <f>VLOOKUP('Bulk Plant Input'!$A$19, 'Base Blend Property Calculation'!$A$6:$BF$159,'Base Blend Property Calculation'!BT16,FALSE)*'Bulk Plant Input'!$B$8</f>
        <v>0</v>
      </c>
      <c r="E29" s="588"/>
      <c r="F29" s="589"/>
      <c r="G29" s="588"/>
      <c r="H29" s="589"/>
      <c r="I29" s="537"/>
      <c r="J29" s="541" t="str">
        <f t="shared" si="0"/>
        <v/>
      </c>
    </row>
    <row r="30" spans="1:17" ht="34.5" hidden="1" customHeight="1" x14ac:dyDescent="0.3">
      <c r="B30" s="586" t="str">
        <f>INDEX('Base Blend Property Calculation'!$C$6:$BF$6,1,'Base Blend Property Calculation'!BT15)</f>
        <v>Densified Fume</v>
      </c>
      <c r="C30" s="587"/>
      <c r="D30" s="393">
        <f>VLOOKUP('Bulk Plant Input'!$A$19, 'Base Blend Property Calculation'!$A$6:$BF$159,'Base Blend Property Calculation'!BT17,FALSE)*'Bulk Plant Input'!$B$8</f>
        <v>0</v>
      </c>
      <c r="E30" s="588"/>
      <c r="F30" s="589"/>
      <c r="G30" s="588"/>
      <c r="H30" s="589"/>
      <c r="I30" s="537"/>
      <c r="J30" s="541" t="str">
        <f t="shared" si="0"/>
        <v/>
      </c>
    </row>
    <row r="31" spans="1:17" ht="34.5" hidden="1" customHeight="1" x14ac:dyDescent="0.3">
      <c r="B31" s="586" t="str">
        <f>INDEX('Base Blend Property Calculation'!$C$6:$BF$6,1,'Base Blend Property Calculation'!BT16)</f>
        <v>Silica Fume - Semi-Densified</v>
      </c>
      <c r="C31" s="587"/>
      <c r="D31" s="393">
        <f>VLOOKUP('Bulk Plant Input'!$A$19, 'Base Blend Property Calculation'!$A$6:$BF$159,'Base Blend Property Calculation'!BT18,FALSE)*'Bulk Plant Input'!$B$8</f>
        <v>0</v>
      </c>
      <c r="E31" s="588"/>
      <c r="F31" s="589"/>
      <c r="G31" s="588"/>
      <c r="H31" s="589"/>
      <c r="I31" s="537"/>
      <c r="J31" s="541" t="str">
        <f t="shared" si="0"/>
        <v/>
      </c>
    </row>
    <row r="32" spans="1:17" ht="34.5" hidden="1" customHeight="1" x14ac:dyDescent="0.3">
      <c r="B32" s="586" t="str">
        <f>INDEX('Base Blend Property Calculation'!$C$6:$BF$6,1,'Base Blend Property Calculation'!BT17)</f>
        <v>Sanlite</v>
      </c>
      <c r="C32" s="587"/>
      <c r="D32" s="393">
        <f>VLOOKUP('Bulk Plant Input'!$A$19, 'Base Blend Property Calculation'!$A$6:$BF$159,'Base Blend Property Calculation'!BT19,FALSE)*'Bulk Plant Input'!$B$8</f>
        <v>0</v>
      </c>
      <c r="E32" s="588"/>
      <c r="F32" s="589"/>
      <c r="G32" s="588"/>
      <c r="H32" s="589"/>
      <c r="I32" s="537"/>
      <c r="J32" s="541" t="str">
        <f t="shared" si="0"/>
        <v/>
      </c>
    </row>
    <row r="33" spans="2:11" ht="34.5" hidden="1" customHeight="1" x14ac:dyDescent="0.3">
      <c r="B33" s="586" t="str">
        <f>INDEX('Base Blend Property Calculation'!$C$6:$BF$6,1,'Base Blend Property Calculation'!BT18)</f>
        <v>Silica Flour</v>
      </c>
      <c r="C33" s="587"/>
      <c r="D33" s="393">
        <f>VLOOKUP('Bulk Plant Input'!$A$19, 'Base Blend Property Calculation'!$A$6:$BF$159,'Base Blend Property Calculation'!BT20,FALSE)*'Bulk Plant Input'!$B$8</f>
        <v>0</v>
      </c>
      <c r="E33" s="588"/>
      <c r="F33" s="589"/>
      <c r="G33" s="588"/>
      <c r="H33" s="589"/>
      <c r="I33" s="537"/>
      <c r="J33" s="541" t="str">
        <f t="shared" si="0"/>
        <v/>
      </c>
    </row>
    <row r="34" spans="2:11" ht="34.5" hidden="1" customHeight="1" x14ac:dyDescent="0.3">
      <c r="B34" s="586" t="str">
        <f>INDEX('Base Blend Property Calculation'!$C$6:$BF$6,1,'Base Blend Property Calculation'!BT19)</f>
        <v>Gel</v>
      </c>
      <c r="C34" s="587"/>
      <c r="D34" s="393">
        <f>VLOOKUP('Bulk Plant Input'!$A$19, 'Base Blend Property Calculation'!$A$6:$BF$159,'Base Blend Property Calculation'!BT21,FALSE)*'Bulk Plant Input'!$B$8</f>
        <v>0</v>
      </c>
      <c r="E34" s="588"/>
      <c r="F34" s="589"/>
      <c r="G34" s="588"/>
      <c r="H34" s="589"/>
      <c r="I34" s="537"/>
      <c r="J34" s="541" t="str">
        <f t="shared" si="0"/>
        <v/>
      </c>
    </row>
    <row r="35" spans="2:11" ht="34.5" hidden="1" customHeight="1" x14ac:dyDescent="0.3">
      <c r="B35" s="586" t="str">
        <f>INDEX('Base Blend Property Calculation'!$C$6:$BF$6,1,'Base Blend Property Calculation'!BT20)</f>
        <v>SCA-1</v>
      </c>
      <c r="C35" s="587"/>
      <c r="D35" s="393">
        <f>VLOOKUP('Bulk Plant Input'!$A$19, 'Base Blend Property Calculation'!$A$6:$BF$159,'Base Blend Property Calculation'!BT22,FALSE)*'Bulk Plant Input'!$B$8</f>
        <v>0</v>
      </c>
      <c r="E35" s="588"/>
      <c r="F35" s="589"/>
      <c r="G35" s="588"/>
      <c r="H35" s="589"/>
      <c r="I35" s="537"/>
      <c r="J35" s="541" t="str">
        <f t="shared" si="0"/>
        <v/>
      </c>
      <c r="K35" s="409"/>
    </row>
    <row r="36" spans="2:11" ht="34.5" hidden="1" customHeight="1" x14ac:dyDescent="0.3">
      <c r="B36" s="586" t="str">
        <f>INDEX('Base Blend Property Calculation'!$C$6:$BF$6,1,'Base Blend Property Calculation'!BT21)</f>
        <v>Hematite</v>
      </c>
      <c r="C36" s="587"/>
      <c r="D36" s="393">
        <f>VLOOKUP('Bulk Plant Input'!$A$19, 'Base Blend Property Calculation'!$A$6:$BF$159,'Base Blend Property Calculation'!BT23,FALSE)*'Bulk Plant Input'!$B$8</f>
        <v>0</v>
      </c>
      <c r="E36" s="588"/>
      <c r="F36" s="589"/>
      <c r="G36" s="588"/>
      <c r="H36" s="589"/>
      <c r="I36" s="537"/>
      <c r="J36" s="541" t="str">
        <f t="shared" si="0"/>
        <v/>
      </c>
      <c r="K36" s="409"/>
    </row>
    <row r="37" spans="2:11" ht="34.5" hidden="1" customHeight="1" x14ac:dyDescent="0.3">
      <c r="B37" s="586" t="str">
        <f>INDEX('Base Blend Property Calculation'!$C$6:$BF$6,1,'Base Blend Property Calculation'!BT22)</f>
        <v>CDM-6B</v>
      </c>
      <c r="C37" s="587"/>
      <c r="D37" s="393">
        <f>VLOOKUP('Bulk Plant Input'!$A$19, 'Base Blend Property Calculation'!$A$6:$BF$159,'Base Blend Property Calculation'!BT24,FALSE)*'Bulk Plant Input'!$B$8</f>
        <v>0</v>
      </c>
      <c r="E37" s="588"/>
      <c r="F37" s="589"/>
      <c r="G37" s="588"/>
      <c r="H37" s="589"/>
      <c r="I37" s="537"/>
      <c r="J37" s="541" t="str">
        <f t="shared" si="0"/>
        <v/>
      </c>
      <c r="K37" s="409"/>
    </row>
    <row r="38" spans="2:11" ht="34.5" hidden="1" customHeight="1" x14ac:dyDescent="0.3">
      <c r="B38" s="586" t="str">
        <f>INDEX('Base Blend Property Calculation'!$C$6:$BF$6,1,'Base Blend Property Calculation'!BT23)</f>
        <v>CDM-6</v>
      </c>
      <c r="C38" s="587"/>
      <c r="D38" s="393">
        <f>VLOOKUP('Bulk Plant Input'!$A$19, 'Base Blend Property Calculation'!$A$6:$BF$159,'Base Blend Property Calculation'!BT25,FALSE)*'Bulk Plant Input'!$B$8</f>
        <v>0</v>
      </c>
      <c r="E38" s="588"/>
      <c r="F38" s="589"/>
      <c r="G38" s="588"/>
      <c r="H38" s="589"/>
      <c r="I38" s="537"/>
      <c r="J38" s="541" t="str">
        <f t="shared" si="0"/>
        <v/>
      </c>
      <c r="K38" s="409"/>
    </row>
    <row r="39" spans="2:11" ht="34.5" hidden="1" customHeight="1" x14ac:dyDescent="0.3">
      <c r="B39" s="586" t="str">
        <f>INDEX('Base Blend Property Calculation'!$C$6:$BF$6,1,'Base Blend Property Calculation'!BT24)</f>
        <v>CDM-2</v>
      </c>
      <c r="C39" s="587"/>
      <c r="D39" s="393">
        <f>VLOOKUP('Bulk Plant Input'!$A$19, 'Base Blend Property Calculation'!$A$6:$BF$159,'Base Blend Property Calculation'!BT26,FALSE)*'Bulk Plant Input'!$B$8</f>
        <v>0</v>
      </c>
      <c r="E39" s="588"/>
      <c r="F39" s="589"/>
      <c r="G39" s="588"/>
      <c r="H39" s="589"/>
      <c r="I39" s="537"/>
      <c r="J39" s="541" t="str">
        <f t="shared" si="0"/>
        <v/>
      </c>
      <c r="K39" s="409"/>
    </row>
    <row r="40" spans="2:11" ht="34.5" hidden="1" customHeight="1" x14ac:dyDescent="0.3">
      <c r="B40" s="586" t="str">
        <f>INDEX('Base Blend Property Calculation'!$C$6:$BF$6,1,'Base Blend Property Calculation'!BT25)</f>
        <v>CDM-5</v>
      </c>
      <c r="C40" s="587"/>
      <c r="D40" s="393">
        <f>VLOOKUP('Bulk Plant Input'!$A$19, 'Base Blend Property Calculation'!$A$6:$BF$159,'Base Blend Property Calculation'!BT27,FALSE)*'Bulk Plant Input'!$B$8</f>
        <v>0</v>
      </c>
      <c r="E40" s="588"/>
      <c r="F40" s="589"/>
      <c r="G40" s="588"/>
      <c r="H40" s="589"/>
      <c r="I40" s="537"/>
      <c r="J40" s="541" t="str">
        <f t="shared" si="0"/>
        <v/>
      </c>
      <c r="K40" s="409"/>
    </row>
    <row r="41" spans="2:11" ht="34.5" customHeight="1" x14ac:dyDescent="0.3">
      <c r="B41" s="586" t="str">
        <f>INDEX('Base Blend Property Calculation'!$C$6:$BF$6,1,'Base Blend Property Calculation'!BT26)</f>
        <v>CDM-C</v>
      </c>
      <c r="C41" s="587"/>
      <c r="D41" s="393">
        <f>VLOOKUP('Bulk Plant Input'!$A$19, 'Base Blend Property Calculation'!$A$6:$BF$159,'Base Blend Property Calculation'!BT28,FALSE)*'Bulk Plant Input'!$B$8</f>
        <v>47</v>
      </c>
      <c r="E41" s="588"/>
      <c r="F41" s="589"/>
      <c r="G41" s="588"/>
      <c r="H41" s="589"/>
      <c r="I41" s="537"/>
      <c r="J41" s="541" t="str">
        <f t="shared" si="0"/>
        <v/>
      </c>
      <c r="K41" s="409"/>
    </row>
    <row r="42" spans="2:11" ht="34.5" hidden="1" customHeight="1" x14ac:dyDescent="0.3">
      <c r="B42" s="586" t="str">
        <f>INDEX('Base Blend Property Calculation'!$C$6:$BF$6,1,'Base Blend Property Calculation'!BT27)</f>
        <v>CDM-10</v>
      </c>
      <c r="C42" s="587"/>
      <c r="D42" s="393">
        <f>VLOOKUP('Bulk Plant Input'!$A$19, 'Base Blend Property Calculation'!$A$6:$BF$159,'Base Blend Property Calculation'!BT29,FALSE)*'Bulk Plant Input'!$B$8</f>
        <v>0</v>
      </c>
      <c r="E42" s="588"/>
      <c r="F42" s="589"/>
      <c r="G42" s="588"/>
      <c r="H42" s="589"/>
      <c r="I42" s="537"/>
      <c r="J42" s="541" t="str">
        <f t="shared" si="0"/>
        <v/>
      </c>
      <c r="K42" s="409"/>
    </row>
    <row r="43" spans="2:11" ht="34.5" hidden="1" customHeight="1" x14ac:dyDescent="0.3">
      <c r="B43" s="586" t="str">
        <f>INDEX('Base Blend Property Calculation'!$C$6:$BF$6,1,'Base Blend Property Calculation'!BT28)</f>
        <v>CFR</v>
      </c>
      <c r="C43" s="587"/>
      <c r="D43" s="393">
        <f>VLOOKUP('Bulk Plant Input'!$A$19, 'Base Blend Property Calculation'!$A$6:$BF$159,'Base Blend Property Calculation'!BT30,FALSE)*'Bulk Plant Input'!$B$8</f>
        <v>0</v>
      </c>
      <c r="E43" s="588"/>
      <c r="F43" s="589"/>
      <c r="G43" s="588"/>
      <c r="H43" s="589"/>
      <c r="I43" s="537"/>
      <c r="J43" s="541" t="str">
        <f t="shared" si="0"/>
        <v/>
      </c>
      <c r="K43" s="409"/>
    </row>
    <row r="44" spans="2:11" ht="34.5" hidden="1" customHeight="1" x14ac:dyDescent="0.3">
      <c r="B44" s="586" t="str">
        <f>INDEX('Base Blend Property Calculation'!$C$6:$BF$6,1,'Base Blend Property Calculation'!BT29)</f>
        <v>CFR-2</v>
      </c>
      <c r="C44" s="587"/>
      <c r="D44" s="393">
        <f>VLOOKUP('Bulk Plant Input'!$A$19, 'Base Blend Property Calculation'!$A$6:$BF$159,'Base Blend Property Calculation'!BT31,FALSE)*'Bulk Plant Input'!$B$8</f>
        <v>0</v>
      </c>
      <c r="E44" s="588"/>
      <c r="F44" s="589"/>
      <c r="G44" s="588"/>
      <c r="H44" s="589"/>
      <c r="I44" s="537"/>
      <c r="J44" s="541" t="str">
        <f t="shared" si="0"/>
        <v/>
      </c>
      <c r="K44" s="409"/>
    </row>
    <row r="45" spans="2:11" ht="34.5" hidden="1" customHeight="1" x14ac:dyDescent="0.3">
      <c r="B45" s="586" t="str">
        <f>INDEX('Base Blend Property Calculation'!$C$6:$BF$6,1,'Base Blend Property Calculation'!BT30)</f>
        <v>CFR-5</v>
      </c>
      <c r="C45" s="587"/>
      <c r="D45" s="393">
        <f>VLOOKUP('Bulk Plant Input'!$A$19, 'Base Blend Property Calculation'!$A$6:$BF$159,'Base Blend Property Calculation'!BT32,FALSE)*'Bulk Plant Input'!$B$8</f>
        <v>0</v>
      </c>
      <c r="E45" s="588"/>
      <c r="F45" s="589"/>
      <c r="G45" s="588"/>
      <c r="H45" s="589"/>
      <c r="I45" s="537"/>
      <c r="J45" s="541" t="str">
        <f t="shared" si="0"/>
        <v/>
      </c>
      <c r="K45" s="409"/>
    </row>
    <row r="46" spans="2:11" ht="34.5" hidden="1" customHeight="1" x14ac:dyDescent="0.3">
      <c r="B46" s="586" t="str">
        <f>INDEX('Base Blend Property Calculation'!$C$6:$BF$6,1,'Base Blend Property Calculation'!BT31)</f>
        <v>CFL-3</v>
      </c>
      <c r="C46" s="587"/>
      <c r="D46" s="393">
        <f>VLOOKUP('Bulk Plant Input'!$A$19, 'Base Blend Property Calculation'!$A$6:$BF$159,'Base Blend Property Calculation'!BT33,FALSE)*'Bulk Plant Input'!$B$8</f>
        <v>0</v>
      </c>
      <c r="E46" s="588"/>
      <c r="F46" s="589"/>
      <c r="G46" s="588"/>
      <c r="H46" s="589"/>
      <c r="I46" s="537"/>
      <c r="J46" s="541" t="str">
        <f t="shared" si="0"/>
        <v/>
      </c>
      <c r="K46" s="409"/>
    </row>
    <row r="47" spans="2:11" ht="34.5" hidden="1" customHeight="1" x14ac:dyDescent="0.3">
      <c r="B47" s="586" t="str">
        <f>INDEX('Base Blend Property Calculation'!$C$6:$BF$6,1,'Base Blend Property Calculation'!BT32)</f>
        <v>CFL-4</v>
      </c>
      <c r="C47" s="587"/>
      <c r="D47" s="393">
        <f>VLOOKUP('Bulk Plant Input'!$A$19, 'Base Blend Property Calculation'!$A$6:$BF$159,'Base Blend Property Calculation'!BT34,FALSE)*'Bulk Plant Input'!$B$8</f>
        <v>0</v>
      </c>
      <c r="E47" s="588"/>
      <c r="F47" s="589"/>
      <c r="G47" s="588"/>
      <c r="H47" s="589"/>
      <c r="I47" s="537"/>
      <c r="J47" s="541" t="str">
        <f t="shared" si="0"/>
        <v/>
      </c>
      <c r="K47" s="409"/>
    </row>
    <row r="48" spans="2:11" ht="34.5" hidden="1" customHeight="1" x14ac:dyDescent="0.3">
      <c r="B48" s="586" t="str">
        <f>INDEX('Base Blend Property Calculation'!$C$6:$BF$6,1,'Base Blend Property Calculation'!BT33)</f>
        <v>CFL-6</v>
      </c>
      <c r="C48" s="587"/>
      <c r="D48" s="393">
        <f>VLOOKUP('Bulk Plant Input'!$A$19, 'Base Blend Property Calculation'!$A$6:$BF$159,'Base Blend Property Calculation'!BT35,FALSE)*'Bulk Plant Input'!$B$8</f>
        <v>0</v>
      </c>
      <c r="E48" s="588"/>
      <c r="F48" s="589"/>
      <c r="G48" s="588"/>
      <c r="H48" s="589"/>
      <c r="I48" s="537"/>
      <c r="J48" s="541" t="str">
        <f t="shared" si="0"/>
        <v/>
      </c>
      <c r="K48" s="409"/>
    </row>
    <row r="49" spans="2:11" ht="34.5" hidden="1" customHeight="1" x14ac:dyDescent="0.3">
      <c r="B49" s="586" t="str">
        <f>INDEX('Base Blend Property Calculation'!$C$6:$BF$6,1,'Base Blend Property Calculation'!BT34)</f>
        <v>CFL-7</v>
      </c>
      <c r="C49" s="587"/>
      <c r="D49" s="393">
        <f>VLOOKUP('Bulk Plant Input'!$A$19, 'Base Blend Property Calculation'!$A$6:$BF$159,'Base Blend Property Calculation'!BT36,FALSE)*'Bulk Plant Input'!$B$8</f>
        <v>0</v>
      </c>
      <c r="E49" s="588"/>
      <c r="F49" s="589"/>
      <c r="G49" s="588"/>
      <c r="H49" s="589"/>
      <c r="I49" s="537"/>
      <c r="J49" s="541" t="str">
        <f t="shared" si="0"/>
        <v/>
      </c>
      <c r="K49" s="409"/>
    </row>
    <row r="50" spans="2:11" ht="34.5" hidden="1" customHeight="1" x14ac:dyDescent="0.3">
      <c r="B50" s="586" t="str">
        <f>INDEX('Base Blend Property Calculation'!$C$6:$BF$6,1,'Base Blend Property Calculation'!BT35)</f>
        <v>CaCl2</v>
      </c>
      <c r="C50" s="587"/>
      <c r="D50" s="393">
        <f>VLOOKUP('Bulk Plant Input'!$A$19, 'Base Blend Property Calculation'!$A$6:$BF$159,'Base Blend Property Calculation'!BT37,FALSE)*'Bulk Plant Input'!$B$8</f>
        <v>0</v>
      </c>
      <c r="E50" s="588"/>
      <c r="F50" s="589"/>
      <c r="G50" s="588"/>
      <c r="H50" s="589"/>
      <c r="I50" s="537"/>
      <c r="J50" s="541" t="str">
        <f t="shared" si="0"/>
        <v/>
      </c>
      <c r="K50" s="409"/>
    </row>
    <row r="51" spans="2:11" ht="34.5" hidden="1" customHeight="1" x14ac:dyDescent="0.3">
      <c r="B51" s="586" t="str">
        <f>INDEX('Base Blend Property Calculation'!$C$6:$BF$6,1,'Base Blend Property Calculation'!BT36)</f>
        <v>SCA-6</v>
      </c>
      <c r="C51" s="587"/>
      <c r="D51" s="393">
        <f>VLOOKUP('Bulk Plant Input'!$A$19, 'Base Blend Property Calculation'!$A$6:$BF$159,'Base Blend Property Calculation'!BT38,FALSE)*'Bulk Plant Input'!$B$8</f>
        <v>0</v>
      </c>
      <c r="E51" s="588"/>
      <c r="F51" s="589"/>
      <c r="G51" s="588"/>
      <c r="H51" s="589"/>
      <c r="I51" s="537"/>
      <c r="J51" s="541" t="str">
        <f t="shared" si="0"/>
        <v/>
      </c>
    </row>
    <row r="52" spans="2:11" ht="34.5" hidden="1" customHeight="1" x14ac:dyDescent="0.3">
      <c r="B52" s="586" t="str">
        <f>INDEX('Base Blend Property Calculation'!$C$6:$BF$6,1,'Base Blend Property Calculation'!BT37)</f>
        <v>SCA-7</v>
      </c>
      <c r="C52" s="587"/>
      <c r="D52" s="393">
        <f>VLOOKUP('Bulk Plant Input'!$A$19, 'Base Blend Property Calculation'!$A$6:$BF$159,'Base Blend Property Calculation'!BT39,FALSE)*'Bulk Plant Input'!$B$8</f>
        <v>0</v>
      </c>
      <c r="E52" s="588"/>
      <c r="F52" s="589"/>
      <c r="G52" s="588"/>
      <c r="H52" s="589"/>
      <c r="I52" s="537"/>
      <c r="J52" s="541" t="str">
        <f t="shared" si="0"/>
        <v/>
      </c>
    </row>
    <row r="53" spans="2:11" ht="34.5" hidden="1" customHeight="1" x14ac:dyDescent="0.3">
      <c r="B53" s="586" t="str">
        <f>INDEX('Base Blend Property Calculation'!$C$6:$BF$6,1,'Base Blend Property Calculation'!BT38)</f>
        <v>SCA-5</v>
      </c>
      <c r="C53" s="587"/>
      <c r="D53" s="393">
        <f>VLOOKUP('Bulk Plant Input'!$A$19, 'Base Blend Property Calculation'!$A$6:$BF$159,'Base Blend Property Calculation'!BT40,FALSE)*'Bulk Plant Input'!$B$8</f>
        <v>0</v>
      </c>
      <c r="E53" s="588"/>
      <c r="F53" s="589"/>
      <c r="G53" s="588"/>
      <c r="H53" s="589"/>
      <c r="I53" s="537"/>
      <c r="J53" s="541" t="str">
        <f t="shared" si="0"/>
        <v/>
      </c>
    </row>
    <row r="54" spans="2:11" ht="34.5" hidden="1" customHeight="1" x14ac:dyDescent="0.3">
      <c r="B54" s="586" t="str">
        <f>INDEX('Base Blend Property Calculation'!$C$6:$BF$6,1,'Base Blend Property Calculation'!BT39)</f>
        <v>FWC-2</v>
      </c>
      <c r="C54" s="587"/>
      <c r="D54" s="393">
        <f>VLOOKUP('Bulk Plant Input'!$A$19, 'Base Blend Property Calculation'!$A$6:$BF$159,'Base Blend Property Calculation'!BT41,FALSE)*'Bulk Plant Input'!$B$8</f>
        <v>0</v>
      </c>
      <c r="E54" s="588"/>
      <c r="F54" s="589"/>
      <c r="G54" s="588"/>
      <c r="H54" s="589"/>
      <c r="I54" s="537"/>
      <c r="J54" s="541" t="str">
        <f t="shared" si="0"/>
        <v/>
      </c>
    </row>
    <row r="55" spans="2:11" ht="34.5" hidden="1" customHeight="1" x14ac:dyDescent="0.3">
      <c r="B55" s="586" t="str">
        <f>INDEX('Base Blend Property Calculation'!$C$6:$BF$6,1,'Base Blend Property Calculation'!BT40)</f>
        <v>LTR-3</v>
      </c>
      <c r="C55" s="587"/>
      <c r="D55" s="393">
        <f>VLOOKUP('Bulk Plant Input'!$A$19, 'Base Blend Property Calculation'!$A$6:$BF$159,'Base Blend Property Calculation'!BT42,FALSE)*'Bulk Plant Input'!$B$8</f>
        <v>0</v>
      </c>
      <c r="E55" s="588"/>
      <c r="F55" s="589"/>
      <c r="G55" s="588"/>
      <c r="H55" s="589"/>
      <c r="I55" s="537"/>
      <c r="J55" s="541" t="str">
        <f t="shared" si="0"/>
        <v/>
      </c>
    </row>
    <row r="56" spans="2:11" ht="34.5" hidden="1" customHeight="1" x14ac:dyDescent="0.3">
      <c r="B56" s="586" t="str">
        <f>INDEX('Base Blend Property Calculation'!$C$6:$BF$6,1,'Base Blend Property Calculation'!BT41)</f>
        <v>NaCl</v>
      </c>
      <c r="C56" s="587"/>
      <c r="D56" s="393">
        <f>VLOOKUP('Bulk Plant Input'!$A$19, 'Base Blend Property Calculation'!$A$6:$BF$159,'Base Blend Property Calculation'!BT43,FALSE)*'Bulk Plant Input'!$B$8</f>
        <v>0</v>
      </c>
      <c r="E56" s="588"/>
      <c r="F56" s="589"/>
      <c r="G56" s="588"/>
      <c r="H56" s="589"/>
      <c r="I56" s="537"/>
      <c r="J56" s="541" t="str">
        <f t="shared" si="0"/>
        <v/>
      </c>
    </row>
    <row r="57" spans="2:11" ht="34.5" hidden="1" customHeight="1" x14ac:dyDescent="0.3">
      <c r="B57" s="586" t="str">
        <f>INDEX('Base Blend Property Calculation'!$C$6:$BF$6,1,'Base Blend Property Calculation'!BT42)</f>
        <v>KCl</v>
      </c>
      <c r="C57" s="587"/>
      <c r="D57" s="393">
        <f>VLOOKUP('Bulk Plant Input'!$A$19, 'Base Blend Property Calculation'!$A$6:$BF$159,'Base Blend Property Calculation'!BT44,FALSE)*'Bulk Plant Input'!$B$8</f>
        <v>0</v>
      </c>
      <c r="E57" s="588"/>
      <c r="F57" s="589"/>
      <c r="G57" s="588"/>
      <c r="H57" s="589"/>
      <c r="I57" s="537"/>
      <c r="J57" s="541" t="str">
        <f t="shared" si="0"/>
        <v/>
      </c>
    </row>
    <row r="58" spans="2:11" ht="34.5" hidden="1" customHeight="1" x14ac:dyDescent="0.3">
      <c r="B58" s="586" t="str">
        <f>INDEX('Base Blend Property Calculation'!$C$6:$BF$6,1,'Base Blend Property Calculation'!BT43)</f>
        <v>EA-1</v>
      </c>
      <c r="C58" s="587"/>
      <c r="D58" s="393">
        <f>VLOOKUP('Bulk Plant Input'!$A$19, 'Base Blend Property Calculation'!$A$6:$BF$159,'Base Blend Property Calculation'!BT45,FALSE)*'Bulk Plant Input'!$B$8</f>
        <v>0</v>
      </c>
      <c r="E58" s="588"/>
      <c r="F58" s="589"/>
      <c r="G58" s="588"/>
      <c r="H58" s="589"/>
      <c r="I58" s="537"/>
      <c r="J58" s="541" t="str">
        <f t="shared" si="0"/>
        <v/>
      </c>
    </row>
    <row r="59" spans="2:11" ht="34.5" customHeight="1" x14ac:dyDescent="0.3">
      <c r="B59" s="586" t="str">
        <f>INDEX('Base Blend Property Calculation'!$C$6:$BF$6,1,'Base Blend Property Calculation'!BT44)</f>
        <v>EA-3</v>
      </c>
      <c r="C59" s="587"/>
      <c r="D59" s="393">
        <f>VLOOKUP('Bulk Plant Input'!$A$19, 'Base Blend Property Calculation'!$A$6:$BF$159,'Base Blend Property Calculation'!BT46,FALSE)*'Bulk Plant Input'!$B$8</f>
        <v>10</v>
      </c>
      <c r="E59" s="588"/>
      <c r="F59" s="589"/>
      <c r="G59" s="588"/>
      <c r="H59" s="589"/>
      <c r="I59" s="537"/>
      <c r="J59" s="541" t="str">
        <f t="shared" si="0"/>
        <v/>
      </c>
    </row>
    <row r="60" spans="2:11" ht="34.5" hidden="1" customHeight="1" x14ac:dyDescent="0.3">
      <c r="B60" s="586" t="str">
        <f>INDEX('Base Blend Property Calculation'!$C$6:$BF$6,1,'Base Blend Property Calculation'!BT45)</f>
        <v>LCG-2</v>
      </c>
      <c r="C60" s="587"/>
      <c r="D60" s="393">
        <f>VLOOKUP('Bulk Plant Input'!$A$19, 'Base Blend Property Calculation'!$A$6:$BF$159,'Base Blend Property Calculation'!BT47,FALSE)*'Bulk Plant Input'!$B$8</f>
        <v>0</v>
      </c>
      <c r="E60" s="588"/>
      <c r="F60" s="589"/>
      <c r="G60" s="588"/>
      <c r="H60" s="589"/>
      <c r="I60" s="537"/>
      <c r="J60" s="541" t="str">
        <f t="shared" si="0"/>
        <v/>
      </c>
    </row>
    <row r="61" spans="2:11" ht="34.5" hidden="1" customHeight="1" x14ac:dyDescent="0.3">
      <c r="B61" s="586" t="str">
        <f>INDEX('Base Blend Property Calculation'!$C$6:$BF$6,1,'Base Blend Property Calculation'!BT46)</f>
        <v>Micromix</v>
      </c>
      <c r="C61" s="587"/>
      <c r="D61" s="393">
        <f>VLOOKUP('Bulk Plant Input'!$A$19, 'Base Blend Property Calculation'!$A$6:$BF$159,'Base Blend Property Calculation'!BT48,FALSE)*'Bulk Plant Input'!$B$8</f>
        <v>0</v>
      </c>
      <c r="E61" s="588"/>
      <c r="F61" s="589"/>
      <c r="G61" s="588"/>
      <c r="H61" s="589"/>
      <c r="I61" s="537"/>
      <c r="J61" s="541" t="str">
        <f t="shared" si="0"/>
        <v/>
      </c>
    </row>
    <row r="62" spans="2:11" ht="34.5" hidden="1" customHeight="1" x14ac:dyDescent="0.3">
      <c r="B62" s="586" t="str">
        <f>INDEX('Base Blend Property Calculation'!$C$6:$BF$6,1,'Base Blend Property Calculation'!BT47)</f>
        <v>LCG-1</v>
      </c>
      <c r="C62" s="587"/>
      <c r="D62" s="393">
        <f>VLOOKUP('Bulk Plant Input'!$A$19, 'Base Blend Property Calculation'!$A$6:$BF$159,'Base Blend Property Calculation'!BT49,FALSE)*'Bulk Plant Input'!$B$8</f>
        <v>0</v>
      </c>
      <c r="E62" s="588"/>
      <c r="F62" s="589"/>
      <c r="G62" s="588"/>
      <c r="H62" s="589"/>
      <c r="I62" s="537"/>
      <c r="J62" s="541" t="str">
        <f t="shared" si="0"/>
        <v/>
      </c>
    </row>
    <row r="63" spans="2:11" ht="34.5" hidden="1" customHeight="1" x14ac:dyDescent="0.3">
      <c r="B63" s="586" t="str">
        <f>INDEX('Base Blend Property Calculation'!$C$6:$BF$6,1,'Base Blend Property Calculation'!BT48)</f>
        <v>Gilsonite</v>
      </c>
      <c r="C63" s="587"/>
      <c r="D63" s="393">
        <f>VLOOKUP('Bulk Plant Input'!$A$19, 'Base Blend Property Calculation'!$A$6:$BF$159,'Base Blend Property Calculation'!BT50,FALSE)*'Bulk Plant Input'!$B$8</f>
        <v>0</v>
      </c>
      <c r="E63" s="588"/>
      <c r="F63" s="589"/>
      <c r="G63" s="588"/>
      <c r="H63" s="589"/>
      <c r="I63" s="537"/>
      <c r="J63" s="541" t="str">
        <f t="shared" si="0"/>
        <v/>
      </c>
    </row>
    <row r="64" spans="2:11" ht="34.5" hidden="1" customHeight="1" x14ac:dyDescent="0.3">
      <c r="B64" s="586" t="str">
        <f>INDEX('Base Blend Property Calculation'!$C$6:$BF$6,1,'Base Blend Property Calculation'!BT49)</f>
        <v>SG1500</v>
      </c>
      <c r="C64" s="587"/>
      <c r="D64" s="393">
        <f>VLOOKUP('Bulk Plant Input'!$A$19, 'Base Blend Property Calculation'!$A$6:$BF$159,'Base Blend Property Calculation'!BT51,FALSE)*'Bulk Plant Input'!$B$8</f>
        <v>0</v>
      </c>
      <c r="E64" s="588"/>
      <c r="F64" s="589"/>
      <c r="G64" s="588"/>
      <c r="H64" s="589"/>
      <c r="I64" s="537"/>
      <c r="J64" s="541" t="str">
        <f t="shared" si="0"/>
        <v/>
      </c>
    </row>
    <row r="65" spans="2:11" ht="34.5" hidden="1" customHeight="1" x14ac:dyDescent="0.3">
      <c r="B65" s="586" t="str">
        <f>INDEX('Base Blend Property Calculation'!$C$6:$BF$6,1,'Base Blend Property Calculation'!BT50)</f>
        <v>ASM-3</v>
      </c>
      <c r="C65" s="587"/>
      <c r="D65" s="393">
        <f>VLOOKUP('Bulk Plant Input'!$A$19, 'Base Blend Property Calculation'!$A$6:$BF$159,'Base Blend Property Calculation'!BT52,FALSE)*'Bulk Plant Input'!$B$8</f>
        <v>0</v>
      </c>
      <c r="E65" s="588"/>
      <c r="F65" s="589"/>
      <c r="G65" s="588"/>
      <c r="H65" s="589"/>
      <c r="I65" s="537"/>
      <c r="J65" s="541" t="str">
        <f t="shared" si="0"/>
        <v/>
      </c>
    </row>
    <row r="66" spans="2:11" ht="34.5" hidden="1" customHeight="1" x14ac:dyDescent="0.3">
      <c r="B66" s="586" t="str">
        <f>INDEX('Base Blend Property Calculation'!$C$6:$BF$6,1,'Base Blend Property Calculation'!BT51)</f>
        <v>Ciment Fondu</v>
      </c>
      <c r="C66" s="587"/>
      <c r="D66" s="393">
        <f>VLOOKUP('Bulk Plant Input'!$A$19, 'Base Blend Property Calculation'!$A$6:$BF$159,'Base Blend Property Calculation'!BT53,FALSE)*'Bulk Plant Input'!$B$8</f>
        <v>0</v>
      </c>
      <c r="E66" s="588"/>
      <c r="F66" s="589"/>
      <c r="G66" s="588"/>
      <c r="H66" s="589"/>
      <c r="I66" s="537"/>
      <c r="J66" s="541" t="str">
        <f t="shared" si="0"/>
        <v/>
      </c>
    </row>
    <row r="67" spans="2:11" ht="34.5" hidden="1" customHeight="1" x14ac:dyDescent="0.3">
      <c r="B67" s="586" t="str">
        <f>INDEX('Base Blend Property Calculation'!$C$6:$BF$6,1,'Base Blend Property Calculation'!BT52)</f>
        <v>CFL-10</v>
      </c>
      <c r="C67" s="587"/>
      <c r="D67" s="393">
        <f>VLOOKUP('Bulk Plant Input'!$A$19, 'Base Blend Property Calculation'!$A$6:$BF$159,'Base Blend Property Calculation'!BT54,FALSE)*'Bulk Plant Input'!$B$8</f>
        <v>0</v>
      </c>
      <c r="E67" s="588"/>
      <c r="F67" s="589"/>
      <c r="G67" s="588"/>
      <c r="H67" s="589"/>
      <c r="I67" s="537"/>
      <c r="J67" s="541" t="str">
        <f t="shared" si="0"/>
        <v/>
      </c>
      <c r="K67" s="409"/>
    </row>
    <row r="68" spans="2:11" ht="34.5" hidden="1" customHeight="1" x14ac:dyDescent="0.3">
      <c r="B68" s="586" t="str">
        <f>INDEX('Base Blend Property Calculation'!$C$6:$BF$6,1,'Base Blend Property Calculation'!BT53)</f>
        <v>CDM-4</v>
      </c>
      <c r="C68" s="587"/>
      <c r="D68" s="393">
        <f>VLOOKUP('Bulk Plant Input'!$A$19, 'Base Blend Property Calculation'!$A$6:$BF$159,'Base Blend Property Calculation'!BT55,FALSE)*'Bulk Plant Input'!$B$8</f>
        <v>0</v>
      </c>
      <c r="E68" s="588"/>
      <c r="F68" s="589"/>
      <c r="G68" s="588"/>
      <c r="H68" s="589"/>
      <c r="I68" s="537"/>
      <c r="J68" s="541" t="str">
        <f t="shared" si="0"/>
        <v/>
      </c>
      <c r="K68" s="409"/>
    </row>
    <row r="69" spans="2:11" ht="34.5" hidden="1" customHeight="1" x14ac:dyDescent="0.3">
      <c r="B69" s="586" t="str">
        <f>INDEX('Base Blend Property Calculation'!$C$6:$BF$6,1,'Base Blend Property Calculation'!BT54)</f>
        <v>None</v>
      </c>
      <c r="C69" s="587"/>
      <c r="D69" s="393">
        <f>VLOOKUP('Bulk Plant Input'!$A$19, 'Base Blend Property Calculation'!$A$6:$BF$159,'Base Blend Property Calculation'!BT56,FALSE)*'Bulk Plant Input'!$B$8</f>
        <v>0</v>
      </c>
      <c r="E69" s="588"/>
      <c r="F69" s="589"/>
      <c r="G69" s="588"/>
      <c r="H69" s="589"/>
      <c r="I69" s="537"/>
      <c r="J69" s="541" t="str">
        <f t="shared" si="0"/>
        <v/>
      </c>
      <c r="K69" s="409"/>
    </row>
    <row r="70" spans="2:11" ht="34.5" hidden="1" customHeight="1" x14ac:dyDescent="0.3">
      <c r="B70" s="586" t="str">
        <f>INDEX('Base Blend Property Calculation'!$C$6:$BF$6,1,'Base Blend Property Calculation'!BT55)</f>
        <v>None</v>
      </c>
      <c r="C70" s="587"/>
      <c r="D70" s="393">
        <f>VLOOKUP('Bulk Plant Input'!$A$19, 'Base Blend Property Calculation'!$A$6:$BF$159,'Base Blend Property Calculation'!BT57,FALSE)*'Bulk Plant Input'!$B$8</f>
        <v>0</v>
      </c>
      <c r="E70" s="588"/>
      <c r="F70" s="589"/>
      <c r="G70" s="588"/>
      <c r="H70" s="589"/>
      <c r="I70" s="537"/>
      <c r="J70" s="541" t="str">
        <f t="shared" si="0"/>
        <v/>
      </c>
      <c r="K70" s="409"/>
    </row>
    <row r="71" spans="2:11" ht="34.5" hidden="1" customHeight="1" x14ac:dyDescent="0.3">
      <c r="B71" s="586" t="str">
        <f>INDEX('Base Blend Property Calculation'!$C$6:$BF$6,1,'Base Blend Property Calculation'!BT56)</f>
        <v>None</v>
      </c>
      <c r="C71" s="587"/>
      <c r="D71" s="393">
        <f>VLOOKUP('Bulk Plant Input'!$A$19, 'Base Blend Property Calculation'!$A$6:$BF$159,'Base Blend Property Calculation'!BT58,FALSE)*'Bulk Plant Input'!$B$8</f>
        <v>0</v>
      </c>
      <c r="E71" s="588"/>
      <c r="F71" s="589"/>
      <c r="G71" s="588"/>
      <c r="H71" s="589"/>
      <c r="I71" s="537"/>
      <c r="J71" s="541" t="str">
        <f t="shared" si="0"/>
        <v/>
      </c>
      <c r="K71" s="409"/>
    </row>
    <row r="72" spans="2:11" ht="34.5" hidden="1" customHeight="1" x14ac:dyDescent="0.3">
      <c r="B72" s="586" t="str">
        <f>INDEX('Base Blend Property Calculation'!$C$6:$BF$6,1,'Base Blend Property Calculation'!BT57)</f>
        <v>None</v>
      </c>
      <c r="C72" s="587"/>
      <c r="D72" s="393">
        <f>VLOOKUP('Bulk Plant Input'!$A$19, 'Base Blend Property Calculation'!$A$6:$BF$159,'Base Blend Property Calculation'!BT59,FALSE)*'Bulk Plant Input'!$B$8</f>
        <v>0</v>
      </c>
      <c r="E72" s="588"/>
      <c r="F72" s="589"/>
      <c r="G72" s="588"/>
      <c r="H72" s="589"/>
      <c r="I72" s="537"/>
      <c r="J72" s="541" t="str">
        <f t="shared" si="0"/>
        <v/>
      </c>
      <c r="K72" s="409"/>
    </row>
    <row r="73" spans="2:11" ht="34.5" hidden="1" customHeight="1" x14ac:dyDescent="0.3">
      <c r="B73" s="586" t="str">
        <f>INDEX('Base Blend Property Calculation'!$C$6:$BF$6,1,'Base Blend Property Calculation'!BT58)</f>
        <v>None</v>
      </c>
      <c r="C73" s="587"/>
      <c r="D73" s="393">
        <f>VLOOKUP('Bulk Plant Input'!$A$19, 'Base Blend Property Calculation'!$A$6:$BF$159,'Base Blend Property Calculation'!BT60,FALSE)*'Bulk Plant Input'!$B$8</f>
        <v>0</v>
      </c>
      <c r="E73" s="588"/>
      <c r="F73" s="589"/>
      <c r="G73" s="588"/>
      <c r="H73" s="589"/>
      <c r="I73" s="537"/>
      <c r="J73" s="541" t="str">
        <f t="shared" si="0"/>
        <v/>
      </c>
      <c r="K73" s="409"/>
    </row>
    <row r="74" spans="2:11" ht="34.5" hidden="1" customHeight="1" x14ac:dyDescent="0.3">
      <c r="B74" s="586" t="str">
        <f>INDEX('Base Blend Property Calculation'!$C$6:$BF$6,1,'Base Blend Property Calculation'!BT59)</f>
        <v>None</v>
      </c>
      <c r="C74" s="587"/>
      <c r="D74" s="393">
        <f>VLOOKUP('Bulk Plant Input'!$A$19, 'Base Blend Property Calculation'!$A$6:$BF$159,'Base Blend Property Calculation'!BT61,FALSE)*'Bulk Plant Input'!$B$8</f>
        <v>0</v>
      </c>
      <c r="E74" s="588"/>
      <c r="F74" s="589"/>
      <c r="G74" s="588"/>
      <c r="H74" s="589"/>
      <c r="I74" s="537"/>
      <c r="J74" s="541" t="str">
        <f t="shared" si="0"/>
        <v/>
      </c>
      <c r="K74" s="409"/>
    </row>
    <row r="75" spans="2:11" ht="34.5" hidden="1" customHeight="1" x14ac:dyDescent="0.3">
      <c r="B75" s="586" t="str">
        <f>INDEX('Base Blend Property Calculation'!$C$6:$BF$6,1,'Base Blend Property Calculation'!BT60)</f>
        <v>None</v>
      </c>
      <c r="C75" s="587"/>
      <c r="D75" s="393">
        <f>VLOOKUP('Bulk Plant Input'!$A$19, 'Base Blend Property Calculation'!$A$6:$BF$159,'Base Blend Property Calculation'!BT62,FALSE)*'Bulk Plant Input'!$B$8</f>
        <v>0</v>
      </c>
      <c r="E75" s="588"/>
      <c r="F75" s="589"/>
      <c r="G75" s="588"/>
      <c r="H75" s="589"/>
      <c r="I75" s="537"/>
      <c r="J75" s="541" t="str">
        <f t="shared" si="0"/>
        <v/>
      </c>
      <c r="K75" s="409"/>
    </row>
    <row r="76" spans="2:11" ht="34.5" hidden="1" customHeight="1" x14ac:dyDescent="0.3">
      <c r="B76" s="586" t="str">
        <f>INDEX('Base Blend Property Calculation'!$C$6:$BF$6,1,'Base Blend Property Calculation'!BT61)</f>
        <v>None</v>
      </c>
      <c r="C76" s="587"/>
      <c r="D76" s="393">
        <f>VLOOKUP('Bulk Plant Input'!$A$19, 'Base Blend Property Calculation'!$A$6:$BF$159,'Base Blend Property Calculation'!BT63,FALSE)*'Bulk Plant Input'!$B$8</f>
        <v>0</v>
      </c>
      <c r="E76" s="588"/>
      <c r="F76" s="589"/>
      <c r="G76" s="588"/>
      <c r="H76" s="589"/>
      <c r="I76" s="537"/>
      <c r="J76" s="541" t="str">
        <f t="shared" si="0"/>
        <v/>
      </c>
      <c r="K76" s="409"/>
    </row>
    <row r="77" spans="2:11" ht="34.5" hidden="1" customHeight="1" x14ac:dyDescent="0.25">
      <c r="D77" s="443"/>
      <c r="I77" s="542"/>
      <c r="J77" s="542"/>
      <c r="K77" s="409"/>
    </row>
    <row r="78" spans="2:11" ht="34.5" customHeight="1" x14ac:dyDescent="0.25">
      <c r="B78" s="600" t="s">
        <v>461</v>
      </c>
      <c r="C78" s="600"/>
      <c r="D78" s="394" t="s">
        <v>198</v>
      </c>
      <c r="I78" s="542"/>
      <c r="J78" s="542"/>
      <c r="K78" s="409"/>
    </row>
    <row r="79" spans="2:11" ht="34.5" customHeight="1" x14ac:dyDescent="0.25">
      <c r="B79" s="590" t="s">
        <v>201</v>
      </c>
      <c r="C79" s="591"/>
      <c r="D79" s="395" t="s">
        <v>206</v>
      </c>
      <c r="E79" s="596" t="s">
        <v>512</v>
      </c>
      <c r="F79" s="597"/>
      <c r="G79" s="602" t="s">
        <v>200</v>
      </c>
      <c r="H79" s="602"/>
      <c r="I79" s="543" t="s">
        <v>1799</v>
      </c>
      <c r="J79" s="538" t="s">
        <v>1800</v>
      </c>
      <c r="K79" s="409"/>
    </row>
    <row r="80" spans="2:11" ht="34.5" hidden="1" customHeight="1" x14ac:dyDescent="0.25">
      <c r="B80" s="588">
        <f>'Bulk Plant Input'!A23</f>
        <v>0</v>
      </c>
      <c r="C80" s="589"/>
      <c r="D80" s="393">
        <f>IF(B80=0,0,'Bulk Plant Input'!C23*'Bulk Plant Input'!$B$8)</f>
        <v>0</v>
      </c>
      <c r="E80" s="601"/>
      <c r="F80" s="601"/>
      <c r="G80" s="601"/>
      <c r="H80" s="601"/>
      <c r="I80" s="539"/>
      <c r="J80" s="540" t="str">
        <f>IF(D80="","",IF(I80="","",D80/I80))</f>
        <v/>
      </c>
      <c r="K80" s="409"/>
    </row>
    <row r="81" spans="2:11" ht="34.5" hidden="1" customHeight="1" x14ac:dyDescent="0.25">
      <c r="B81" s="588">
        <f>'Bulk Plant Input'!A24</f>
        <v>0</v>
      </c>
      <c r="C81" s="589"/>
      <c r="D81" s="393">
        <f>IF(B81=0,0,'Bulk Plant Input'!C24*'Bulk Plant Input'!$B$8)</f>
        <v>0</v>
      </c>
      <c r="E81" s="601"/>
      <c r="F81" s="601"/>
      <c r="G81" s="601"/>
      <c r="H81" s="601"/>
      <c r="I81" s="539"/>
      <c r="J81" s="540" t="str">
        <f t="shared" ref="J81:J96" si="1">IF(D81="","",IF(I81="","",D81/I81))</f>
        <v/>
      </c>
      <c r="K81" s="409"/>
    </row>
    <row r="82" spans="2:11" ht="34.5" hidden="1" customHeight="1" x14ac:dyDescent="0.25">
      <c r="B82" s="588">
        <f>'Bulk Plant Input'!A25</f>
        <v>0</v>
      </c>
      <c r="C82" s="589"/>
      <c r="D82" s="393">
        <f>IF(B82=0,0,'Bulk Plant Input'!C25*'Bulk Plant Input'!$B$8)</f>
        <v>0</v>
      </c>
      <c r="E82" s="601"/>
      <c r="F82" s="601"/>
      <c r="G82" s="601"/>
      <c r="H82" s="601"/>
      <c r="I82" s="539"/>
      <c r="J82" s="540" t="str">
        <f t="shared" si="1"/>
        <v/>
      </c>
      <c r="K82" s="409"/>
    </row>
    <row r="83" spans="2:11" ht="34.5" hidden="1" customHeight="1" x14ac:dyDescent="0.25">
      <c r="B83" s="588">
        <f>'Bulk Plant Input'!A26</f>
        <v>0</v>
      </c>
      <c r="C83" s="589"/>
      <c r="D83" s="393">
        <f>IF(B83=0,0,'Bulk Plant Input'!C26*'Bulk Plant Input'!$B$8)</f>
        <v>0</v>
      </c>
      <c r="E83" s="601"/>
      <c r="F83" s="601"/>
      <c r="G83" s="601"/>
      <c r="H83" s="601"/>
      <c r="I83" s="539"/>
      <c r="J83" s="540" t="str">
        <f t="shared" si="1"/>
        <v/>
      </c>
    </row>
    <row r="84" spans="2:11" ht="34.5" hidden="1" customHeight="1" x14ac:dyDescent="0.25">
      <c r="B84" s="588">
        <f>'Bulk Plant Input'!A27</f>
        <v>0</v>
      </c>
      <c r="C84" s="589"/>
      <c r="D84" s="393">
        <f>IF(B84=0,0,'Bulk Plant Input'!C27*'Bulk Plant Input'!$B$8)</f>
        <v>0</v>
      </c>
      <c r="E84" s="601"/>
      <c r="F84" s="601"/>
      <c r="G84" s="601"/>
      <c r="H84" s="601"/>
      <c r="I84" s="539"/>
      <c r="J84" s="540" t="str">
        <f t="shared" si="1"/>
        <v/>
      </c>
    </row>
    <row r="85" spans="2:11" ht="34.5" hidden="1" customHeight="1" x14ac:dyDescent="0.25">
      <c r="B85" s="588">
        <f>'Bulk Plant Input'!A28</f>
        <v>0</v>
      </c>
      <c r="C85" s="589"/>
      <c r="D85" s="393">
        <f>IF(B85=0,0,'Bulk Plant Input'!C28*'Bulk Plant Input'!$B$8)</f>
        <v>0</v>
      </c>
      <c r="E85" s="601"/>
      <c r="F85" s="601"/>
      <c r="G85" s="601"/>
      <c r="H85" s="601"/>
      <c r="I85" s="539"/>
      <c r="J85" s="540" t="str">
        <f t="shared" si="1"/>
        <v/>
      </c>
    </row>
    <row r="86" spans="2:11" ht="34.5" hidden="1" customHeight="1" x14ac:dyDescent="0.25">
      <c r="B86" s="588">
        <f>'Bulk Plant Input'!A29</f>
        <v>0</v>
      </c>
      <c r="C86" s="589"/>
      <c r="D86" s="393">
        <f>IF(B86=0,0,'Bulk Plant Input'!C29*'Bulk Plant Input'!$B$8)</f>
        <v>0</v>
      </c>
      <c r="E86" s="601"/>
      <c r="F86" s="601"/>
      <c r="G86" s="601"/>
      <c r="H86" s="601"/>
      <c r="I86" s="539"/>
      <c r="J86" s="540" t="str">
        <f t="shared" si="1"/>
        <v/>
      </c>
    </row>
    <row r="87" spans="2:11" ht="34.5" hidden="1" customHeight="1" x14ac:dyDescent="0.25">
      <c r="B87" s="588">
        <f>'Bulk Plant Input'!A30</f>
        <v>0</v>
      </c>
      <c r="C87" s="589"/>
      <c r="D87" s="393">
        <f>IF(B87=0,0,'Bulk Plant Input'!C30*'Bulk Plant Input'!$B$8)</f>
        <v>0</v>
      </c>
      <c r="E87" s="601"/>
      <c r="F87" s="601"/>
      <c r="G87" s="601"/>
      <c r="H87" s="601"/>
      <c r="I87" s="539"/>
      <c r="J87" s="540" t="str">
        <f t="shared" si="1"/>
        <v/>
      </c>
    </row>
    <row r="88" spans="2:11" ht="34.5" hidden="1" customHeight="1" x14ac:dyDescent="0.25">
      <c r="B88" s="588">
        <f>'Bulk Plant Input'!A31</f>
        <v>0</v>
      </c>
      <c r="C88" s="589"/>
      <c r="D88" s="393">
        <f>IF(B88=0,0,'Bulk Plant Input'!C31*'Bulk Plant Input'!$B$8)</f>
        <v>0</v>
      </c>
      <c r="E88" s="601"/>
      <c r="F88" s="601"/>
      <c r="G88" s="601"/>
      <c r="H88" s="601"/>
      <c r="I88" s="539"/>
      <c r="J88" s="540" t="str">
        <f t="shared" si="1"/>
        <v/>
      </c>
    </row>
    <row r="89" spans="2:11" ht="34.5" hidden="1" customHeight="1" x14ac:dyDescent="0.25">
      <c r="B89" s="588">
        <f>'Bulk Plant Input'!A32</f>
        <v>0</v>
      </c>
      <c r="C89" s="589"/>
      <c r="D89" s="393">
        <f>IF(B89=0,0,'Bulk Plant Input'!C32*'Bulk Plant Input'!$B$8)</f>
        <v>0</v>
      </c>
      <c r="E89" s="601"/>
      <c r="F89" s="601"/>
      <c r="G89" s="601"/>
      <c r="H89" s="601"/>
      <c r="I89" s="539"/>
      <c r="J89" s="540" t="str">
        <f t="shared" si="1"/>
        <v/>
      </c>
    </row>
    <row r="90" spans="2:11" ht="34.5" hidden="1" customHeight="1" x14ac:dyDescent="0.25">
      <c r="B90" s="588">
        <f>'Bulk Plant Input'!A33</f>
        <v>0</v>
      </c>
      <c r="C90" s="589"/>
      <c r="D90" s="393">
        <f>IF(B90=0,0,'Bulk Plant Input'!C33*'Bulk Plant Input'!$B$8)</f>
        <v>0</v>
      </c>
      <c r="E90" s="601"/>
      <c r="F90" s="601"/>
      <c r="G90" s="601"/>
      <c r="H90" s="601"/>
      <c r="I90" s="539"/>
      <c r="J90" s="540" t="str">
        <f t="shared" si="1"/>
        <v/>
      </c>
    </row>
    <row r="91" spans="2:11" ht="34.5" hidden="1" customHeight="1" x14ac:dyDescent="0.25">
      <c r="B91" s="588">
        <f>'Bulk Plant Input'!A34</f>
        <v>0</v>
      </c>
      <c r="C91" s="589"/>
      <c r="D91" s="393">
        <f>IF(B91=0,0,'Bulk Plant Input'!C34*'Bulk Plant Input'!$B$8)</f>
        <v>0</v>
      </c>
      <c r="E91" s="601"/>
      <c r="F91" s="601"/>
      <c r="G91" s="601"/>
      <c r="H91" s="601"/>
      <c r="I91" s="539"/>
      <c r="J91" s="540" t="str">
        <f t="shared" si="1"/>
        <v/>
      </c>
    </row>
    <row r="92" spans="2:11" ht="34.5" hidden="1" customHeight="1" x14ac:dyDescent="0.25">
      <c r="B92" s="588">
        <f>'Bulk Plant Input'!A35</f>
        <v>0</v>
      </c>
      <c r="C92" s="589"/>
      <c r="D92" s="393">
        <f>IF(B92=0,0,'Bulk Plant Input'!C35*'Bulk Plant Input'!$B$8)</f>
        <v>0</v>
      </c>
      <c r="E92" s="601"/>
      <c r="F92" s="601"/>
      <c r="G92" s="601"/>
      <c r="H92" s="601"/>
      <c r="I92" s="539"/>
      <c r="J92" s="540" t="str">
        <f t="shared" si="1"/>
        <v/>
      </c>
    </row>
    <row r="93" spans="2:11" ht="34.5" hidden="1" customHeight="1" x14ac:dyDescent="0.25">
      <c r="B93" s="588">
        <f>'Bulk Plant Input'!A36</f>
        <v>0</v>
      </c>
      <c r="C93" s="589"/>
      <c r="D93" s="393">
        <f>IF(B93=0,0,'Bulk Plant Input'!C36*'Bulk Plant Input'!$B$8)</f>
        <v>0</v>
      </c>
      <c r="E93" s="601"/>
      <c r="F93" s="601"/>
      <c r="G93" s="601"/>
      <c r="H93" s="601"/>
      <c r="I93" s="539"/>
      <c r="J93" s="540" t="str">
        <f t="shared" si="1"/>
        <v/>
      </c>
    </row>
    <row r="94" spans="2:11" ht="34.5" hidden="1" customHeight="1" x14ac:dyDescent="0.25">
      <c r="B94" s="601">
        <f>'Bulk Plant Input'!A37</f>
        <v>0</v>
      </c>
      <c r="C94" s="601"/>
      <c r="D94" s="393">
        <f>IF(B94=0,0,'Bulk Plant Input'!C37*'Bulk Plant Input'!$B$8)</f>
        <v>0</v>
      </c>
      <c r="E94" s="601"/>
      <c r="F94" s="601"/>
      <c r="G94" s="601"/>
      <c r="H94" s="601"/>
      <c r="I94" s="539"/>
      <c r="J94" s="540" t="str">
        <f t="shared" si="1"/>
        <v/>
      </c>
    </row>
    <row r="95" spans="2:11" ht="34.5" hidden="1" customHeight="1" x14ac:dyDescent="0.25">
      <c r="B95" s="599">
        <f>'Bulk Plant Input'!A43</f>
        <v>0</v>
      </c>
      <c r="C95" s="599"/>
      <c r="D95" s="393">
        <f>IF(B95=0,0,'Bulk Plant Input'!C43*'Bulk Plant Input'!$B$8)</f>
        <v>0</v>
      </c>
      <c r="E95" s="599"/>
      <c r="F95" s="599"/>
      <c r="G95" s="599"/>
      <c r="H95" s="599"/>
      <c r="I95" s="539"/>
      <c r="J95" s="540" t="str">
        <f t="shared" si="1"/>
        <v/>
      </c>
    </row>
    <row r="96" spans="2:11" ht="34.5" hidden="1" customHeight="1" x14ac:dyDescent="0.25">
      <c r="B96" s="599">
        <f>'Bulk Plant Input'!A44</f>
        <v>0</v>
      </c>
      <c r="C96" s="599"/>
      <c r="D96" s="393">
        <f>IF(B96=0,0,'Bulk Plant Input'!C44*'Bulk Plant Input'!$B$8)</f>
        <v>0</v>
      </c>
      <c r="E96" s="599"/>
      <c r="F96" s="599"/>
      <c r="G96" s="599"/>
      <c r="H96" s="599"/>
      <c r="I96" s="539"/>
      <c r="J96" s="540" t="str">
        <f t="shared" si="1"/>
        <v/>
      </c>
    </row>
    <row r="97" spans="1:11" ht="34.5" customHeight="1" x14ac:dyDescent="0.25">
      <c r="D97" s="444"/>
      <c r="I97" s="542"/>
      <c r="J97" s="542"/>
    </row>
    <row r="98" spans="1:11" x14ac:dyDescent="0.25">
      <c r="D98" s="444"/>
    </row>
    <row r="99" spans="1:11" x14ac:dyDescent="0.25">
      <c r="A99" s="407" t="s">
        <v>202</v>
      </c>
      <c r="B99" s="445"/>
      <c r="C99" s="446"/>
      <c r="D99" s="445"/>
      <c r="E99" s="445"/>
      <c r="F99" s="410" t="s">
        <v>203</v>
      </c>
      <c r="G99" s="445"/>
      <c r="H99" s="445"/>
      <c r="I99" s="445"/>
      <c r="J99" s="445"/>
      <c r="K99" s="409"/>
    </row>
    <row r="100" spans="1:11" x14ac:dyDescent="0.25">
      <c r="C100" s="444"/>
      <c r="K100" s="409"/>
    </row>
    <row r="101" spans="1:11" x14ac:dyDescent="0.25">
      <c r="A101" s="407" t="s">
        <v>204</v>
      </c>
      <c r="B101" s="445"/>
      <c r="C101" s="446"/>
      <c r="D101" s="445"/>
      <c r="E101" s="445"/>
      <c r="K101" s="409"/>
    </row>
    <row r="102" spans="1:11" x14ac:dyDescent="0.25">
      <c r="K102" s="409"/>
    </row>
  </sheetData>
  <mergeCells count="236">
    <mergeCell ref="H3:K3"/>
    <mergeCell ref="H4:K4"/>
    <mergeCell ref="H5:K5"/>
    <mergeCell ref="H17:I17"/>
    <mergeCell ref="J17:K17"/>
    <mergeCell ref="G96:H96"/>
    <mergeCell ref="E95:F95"/>
    <mergeCell ref="E96:F96"/>
    <mergeCell ref="E92:F92"/>
    <mergeCell ref="E93:F93"/>
    <mergeCell ref="E94:F94"/>
    <mergeCell ref="G95:H95"/>
    <mergeCell ref="G92:H92"/>
    <mergeCell ref="G93:H93"/>
    <mergeCell ref="G94:H94"/>
    <mergeCell ref="E89:F89"/>
    <mergeCell ref="E90:F90"/>
    <mergeCell ref="E91:F91"/>
    <mergeCell ref="G87:H87"/>
    <mergeCell ref="G88:H88"/>
    <mergeCell ref="G89:H89"/>
    <mergeCell ref="G90:H90"/>
    <mergeCell ref="G91:H91"/>
    <mergeCell ref="E79:F79"/>
    <mergeCell ref="E80:F80"/>
    <mergeCell ref="E81:F81"/>
    <mergeCell ref="E82:F82"/>
    <mergeCell ref="G79:H79"/>
    <mergeCell ref="G80:H80"/>
    <mergeCell ref="G81:H81"/>
    <mergeCell ref="E88:F88"/>
    <mergeCell ref="G68:H68"/>
    <mergeCell ref="G69:H69"/>
    <mergeCell ref="G70:H70"/>
    <mergeCell ref="G71:H71"/>
    <mergeCell ref="G72:H72"/>
    <mergeCell ref="E83:F83"/>
    <mergeCell ref="E84:F84"/>
    <mergeCell ref="E85:F85"/>
    <mergeCell ref="E86:F86"/>
    <mergeCell ref="E87:F87"/>
    <mergeCell ref="G82:H82"/>
    <mergeCell ref="G83:H83"/>
    <mergeCell ref="G84:H84"/>
    <mergeCell ref="G85:H85"/>
    <mergeCell ref="G86:H86"/>
    <mergeCell ref="G65:H65"/>
    <mergeCell ref="G66:H66"/>
    <mergeCell ref="G67:H67"/>
    <mergeCell ref="G73:H73"/>
    <mergeCell ref="E76:F76"/>
    <mergeCell ref="E65:F65"/>
    <mergeCell ref="E71:F71"/>
    <mergeCell ref="E72:F72"/>
    <mergeCell ref="E73:F73"/>
    <mergeCell ref="E74:F74"/>
    <mergeCell ref="E75:F75"/>
    <mergeCell ref="E66:F66"/>
    <mergeCell ref="E67:F67"/>
    <mergeCell ref="E68:F68"/>
    <mergeCell ref="E69:F69"/>
    <mergeCell ref="G76:H76"/>
    <mergeCell ref="G75:H75"/>
    <mergeCell ref="G74:H74"/>
    <mergeCell ref="G61:H61"/>
    <mergeCell ref="G62:H62"/>
    <mergeCell ref="G63:H63"/>
    <mergeCell ref="G64:H64"/>
    <mergeCell ref="G51:H51"/>
    <mergeCell ref="G52:H52"/>
    <mergeCell ref="G53:H53"/>
    <mergeCell ref="G54:H54"/>
    <mergeCell ref="G55:H55"/>
    <mergeCell ref="G56:H56"/>
    <mergeCell ref="G57:H57"/>
    <mergeCell ref="G59:H59"/>
    <mergeCell ref="G60:H60"/>
    <mergeCell ref="B79:C79"/>
    <mergeCell ref="B80:C80"/>
    <mergeCell ref="B81:C81"/>
    <mergeCell ref="B82:C82"/>
    <mergeCell ref="B83:C83"/>
    <mergeCell ref="E36:F36"/>
    <mergeCell ref="G30:H30"/>
    <mergeCell ref="G31:H31"/>
    <mergeCell ref="G32:H32"/>
    <mergeCell ref="G45:H45"/>
    <mergeCell ref="G33:H33"/>
    <mergeCell ref="G34:H34"/>
    <mergeCell ref="G35:H35"/>
    <mergeCell ref="G36:H36"/>
    <mergeCell ref="G37:H37"/>
    <mergeCell ref="E41:F41"/>
    <mergeCell ref="E42:F42"/>
    <mergeCell ref="E43:F43"/>
    <mergeCell ref="E44:F44"/>
    <mergeCell ref="G38:H38"/>
    <mergeCell ref="G39:H39"/>
    <mergeCell ref="G40:H40"/>
    <mergeCell ref="G41:H41"/>
    <mergeCell ref="G42:H42"/>
    <mergeCell ref="B89:C89"/>
    <mergeCell ref="B90:C90"/>
    <mergeCell ref="B91:C91"/>
    <mergeCell ref="B92:C92"/>
    <mergeCell ref="B93:C93"/>
    <mergeCell ref="B84:C84"/>
    <mergeCell ref="B85:C85"/>
    <mergeCell ref="B86:C86"/>
    <mergeCell ref="B87:C87"/>
    <mergeCell ref="B88:C88"/>
    <mergeCell ref="E22:F22"/>
    <mergeCell ref="E21:F21"/>
    <mergeCell ref="B2:E2"/>
    <mergeCell ref="H2:K2"/>
    <mergeCell ref="B96:C96"/>
    <mergeCell ref="B95:C95"/>
    <mergeCell ref="B78:C78"/>
    <mergeCell ref="B94:C94"/>
    <mergeCell ref="B61:C61"/>
    <mergeCell ref="B62:C62"/>
    <mergeCell ref="B63:C63"/>
    <mergeCell ref="B64:C64"/>
    <mergeCell ref="B65:C65"/>
    <mergeCell ref="B66:C66"/>
    <mergeCell ref="B41:C41"/>
    <mergeCell ref="B54:C54"/>
    <mergeCell ref="B42:C42"/>
    <mergeCell ref="B43:C43"/>
    <mergeCell ref="B44:C44"/>
    <mergeCell ref="B35:C35"/>
    <mergeCell ref="B36:C36"/>
    <mergeCell ref="B37:C37"/>
    <mergeCell ref="B38:C38"/>
    <mergeCell ref="B39:C39"/>
    <mergeCell ref="A19:K19"/>
    <mergeCell ref="B47:C47"/>
    <mergeCell ref="E23:F23"/>
    <mergeCell ref="E24:F24"/>
    <mergeCell ref="E25:F25"/>
    <mergeCell ref="G43:H43"/>
    <mergeCell ref="G44:H44"/>
    <mergeCell ref="E38:F38"/>
    <mergeCell ref="E39:F39"/>
    <mergeCell ref="E40:F40"/>
    <mergeCell ref="G46:H46"/>
    <mergeCell ref="G47:H47"/>
    <mergeCell ref="E45:F45"/>
    <mergeCell ref="E37:F37"/>
    <mergeCell ref="E35:F35"/>
    <mergeCell ref="E34:F34"/>
    <mergeCell ref="E33:F33"/>
    <mergeCell ref="B33:C33"/>
    <mergeCell ref="B32:C32"/>
    <mergeCell ref="B31:C31"/>
    <mergeCell ref="B30:C30"/>
    <mergeCell ref="B22:C22"/>
    <mergeCell ref="G29:H29"/>
    <mergeCell ref="G28:H28"/>
    <mergeCell ref="G27:H27"/>
    <mergeCell ref="G26:H26"/>
    <mergeCell ref="G25:H25"/>
    <mergeCell ref="G24:H24"/>
    <mergeCell ref="G49:H49"/>
    <mergeCell ref="G50:H50"/>
    <mergeCell ref="G58:H58"/>
    <mergeCell ref="B76:C76"/>
    <mergeCell ref="B23:C23"/>
    <mergeCell ref="G48:H48"/>
    <mergeCell ref="B75:C75"/>
    <mergeCell ref="B74:C74"/>
    <mergeCell ref="B49:C49"/>
    <mergeCell ref="B53:C53"/>
    <mergeCell ref="B52:C52"/>
    <mergeCell ref="B51:C51"/>
    <mergeCell ref="B50:C50"/>
    <mergeCell ref="B40:C40"/>
    <mergeCell ref="E32:F32"/>
    <mergeCell ref="E61:F61"/>
    <mergeCell ref="E62:F62"/>
    <mergeCell ref="E63:F63"/>
    <mergeCell ref="E64:F64"/>
    <mergeCell ref="E56:F56"/>
    <mergeCell ref="E57:F57"/>
    <mergeCell ref="E58:F58"/>
    <mergeCell ref="E70:F70"/>
    <mergeCell ref="E30:F30"/>
    <mergeCell ref="E29:F29"/>
    <mergeCell ref="E28:F28"/>
    <mergeCell ref="E59:F59"/>
    <mergeCell ref="B68:C68"/>
    <mergeCell ref="B67:C67"/>
    <mergeCell ref="B60:C60"/>
    <mergeCell ref="B59:C59"/>
    <mergeCell ref="B58:C58"/>
    <mergeCell ref="B57:C57"/>
    <mergeCell ref="B56:C56"/>
    <mergeCell ref="E60:F60"/>
    <mergeCell ref="E27:F27"/>
    <mergeCell ref="E26:F26"/>
    <mergeCell ref="E52:F52"/>
    <mergeCell ref="E53:F53"/>
    <mergeCell ref="E54:F54"/>
    <mergeCell ref="E55:F55"/>
    <mergeCell ref="E46:F46"/>
    <mergeCell ref="E47:F47"/>
    <mergeCell ref="B29:C29"/>
    <mergeCell ref="B34:C34"/>
    <mergeCell ref="B48:C48"/>
    <mergeCell ref="E31:F31"/>
    <mergeCell ref="B45:C45"/>
    <mergeCell ref="B46:C46"/>
    <mergeCell ref="L16:Q19"/>
    <mergeCell ref="L20:Q21"/>
    <mergeCell ref="B4:E4"/>
    <mergeCell ref="B3:E3"/>
    <mergeCell ref="B73:C73"/>
    <mergeCell ref="B72:C72"/>
    <mergeCell ref="B71:C71"/>
    <mergeCell ref="B70:C70"/>
    <mergeCell ref="B69:C69"/>
    <mergeCell ref="E48:F48"/>
    <mergeCell ref="E49:F49"/>
    <mergeCell ref="E50:F50"/>
    <mergeCell ref="E51:F51"/>
    <mergeCell ref="G23:H23"/>
    <mergeCell ref="G22:H22"/>
    <mergeCell ref="G21:H21"/>
    <mergeCell ref="B55:C55"/>
    <mergeCell ref="B28:C28"/>
    <mergeCell ref="B27:C27"/>
    <mergeCell ref="B26:C26"/>
    <mergeCell ref="B25:C25"/>
    <mergeCell ref="B21:C21"/>
    <mergeCell ref="B24:C24"/>
    <mergeCell ref="A7:K7"/>
  </mergeCells>
  <conditionalFormatting sqref="L1:XFD9 L15:XFD15 L10:M14 Q10:XFD14 L22:XFD1048576 L16 R16:XFD21">
    <cfRule type="cellIs" dxfId="112" priority="8" operator="equal">
      <formula>0</formula>
    </cfRule>
  </conditionalFormatting>
  <conditionalFormatting sqref="A125:K1048576">
    <cfRule type="cellIs" dxfId="111" priority="7" operator="equal">
      <formula>0</formula>
    </cfRule>
  </conditionalFormatting>
  <conditionalFormatting sqref="N10:P14">
    <cfRule type="cellIs" dxfId="110" priority="6" operator="equal">
      <formula>0</formula>
    </cfRule>
  </conditionalFormatting>
  <conditionalFormatting sqref="L20">
    <cfRule type="cellIs" dxfId="109" priority="4" operator="equal">
      <formula>0</formula>
    </cfRule>
  </conditionalFormatting>
  <conditionalFormatting sqref="J17:K17">
    <cfRule type="cellIs" dxfId="108" priority="3" operator="equal">
      <formula>"NOT ENTERED"</formula>
    </cfRule>
  </conditionalFormatting>
  <conditionalFormatting sqref="D16:E16">
    <cfRule type="cellIs" dxfId="107" priority="2" operator="equal">
      <formula>"NOT ENTERED"</formula>
    </cfRule>
  </conditionalFormatting>
  <conditionalFormatting sqref="D16">
    <cfRule type="cellIs" dxfId="106" priority="1" operator="equal">
      <formula>""</formula>
    </cfRule>
  </conditionalFormatting>
  <dataValidations count="1">
    <dataValidation type="list" allowBlank="1" showInputMessage="1" showErrorMessage="1" sqref="I22:I76 I80:I96">
      <formula1>BagSize</formula1>
    </dataValidation>
  </dataValidations>
  <pageMargins left="0.7" right="0.7" top="0.75" bottom="0.75" header="0.3" footer="0.3"/>
  <pageSetup scale="76" orientation="portrait" r:id="rId1"/>
  <headerFooter>
    <oddFooter>&amp;L&amp;F
Sheet Printed: &amp;T &amp;D
PRIVATE AND CONFIDENTIAL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7" tint="0.59999389629810485"/>
  </sheetPr>
  <dimension ref="A1:Q549"/>
  <sheetViews>
    <sheetView view="pageBreakPreview" zoomScaleNormal="100" zoomScaleSheetLayoutView="100" workbookViewId="0">
      <selection activeCell="G433" sqref="G433"/>
    </sheetView>
  </sheetViews>
  <sheetFormatPr defaultRowHeight="15" x14ac:dyDescent="0.25"/>
  <cols>
    <col min="1" max="1" width="9.140625" style="407"/>
    <col min="2" max="2" width="14.140625" style="407" customWidth="1"/>
    <col min="3" max="3" width="12.7109375" style="407" customWidth="1"/>
    <col min="4" max="4" width="11" style="407" customWidth="1"/>
    <col min="5" max="9" width="9.7109375" style="407" customWidth="1"/>
    <col min="10" max="10" width="10.42578125" style="407" customWidth="1"/>
    <col min="11" max="11" width="9.140625" style="407"/>
    <col min="12" max="13" width="9.140625" style="409"/>
    <col min="14" max="14" width="25.140625" style="409" customWidth="1"/>
    <col min="15" max="16384" width="9.140625" style="409"/>
  </cols>
  <sheetData>
    <row r="1" spans="1:17" x14ac:dyDescent="0.25">
      <c r="F1" s="408"/>
      <c r="G1" s="408"/>
      <c r="H1" s="403"/>
      <c r="I1" s="403"/>
      <c r="J1" s="403"/>
      <c r="K1" s="409"/>
    </row>
    <row r="2" spans="1:17" x14ac:dyDescent="0.25">
      <c r="A2" s="410" t="s">
        <v>196</v>
      </c>
      <c r="B2" s="598">
        <f ca="1">'Bulk Plant Input'!B6</f>
        <v>42964</v>
      </c>
      <c r="C2" s="598"/>
      <c r="D2" s="598"/>
      <c r="E2" s="598"/>
      <c r="G2" s="410" t="s">
        <v>197</v>
      </c>
      <c r="H2" s="584">
        <f>'Bulk Plant Input'!B7</f>
        <v>0</v>
      </c>
      <c r="I2" s="585"/>
      <c r="J2" s="585"/>
      <c r="K2" s="585"/>
    </row>
    <row r="3" spans="1:17" ht="6.75" customHeight="1" x14ac:dyDescent="0.25">
      <c r="A3" s="410"/>
      <c r="B3" s="411"/>
      <c r="C3" s="411"/>
      <c r="D3" s="411"/>
      <c r="E3" s="411"/>
      <c r="G3" s="410"/>
      <c r="H3" s="412"/>
      <c r="I3" s="413"/>
      <c r="J3" s="413"/>
      <c r="K3" s="413"/>
    </row>
    <row r="4" spans="1:17" x14ac:dyDescent="0.25">
      <c r="A4" s="410" t="s">
        <v>505</v>
      </c>
      <c r="B4" s="584">
        <f>'Bulk Plant Input'!B3</f>
        <v>0</v>
      </c>
      <c r="C4" s="585"/>
      <c r="D4" s="585"/>
      <c r="E4" s="585"/>
      <c r="G4" s="410" t="s">
        <v>506</v>
      </c>
      <c r="H4" s="584">
        <f>'Bulk Plant Input'!B4</f>
        <v>0</v>
      </c>
      <c r="I4" s="585"/>
      <c r="J4" s="585"/>
      <c r="K4" s="585"/>
    </row>
    <row r="5" spans="1:17" ht="7.5" customHeight="1" thickBot="1" x14ac:dyDescent="0.3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N5" s="415"/>
    </row>
    <row r="6" spans="1:17" ht="7.5" customHeight="1" x14ac:dyDescent="0.25">
      <c r="K6" s="409"/>
      <c r="N6" s="415"/>
      <c r="O6" s="416"/>
      <c r="P6" s="415"/>
      <c r="Q6" s="415"/>
    </row>
    <row r="7" spans="1:17" ht="15.75" x14ac:dyDescent="0.25">
      <c r="A7" s="594" t="str">
        <f>'Bulk Plant Input'!$A$19</f>
        <v>SURFACEmix PRO SL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417"/>
      <c r="M7" s="417"/>
      <c r="N7" s="418"/>
      <c r="O7" s="419"/>
      <c r="Q7" s="415"/>
    </row>
    <row r="8" spans="1:17" ht="7.5" customHeight="1" x14ac:dyDescent="0.25">
      <c r="A8" s="420"/>
      <c r="B8" s="421"/>
      <c r="C8" s="421"/>
      <c r="D8" s="421"/>
      <c r="E8" s="421"/>
      <c r="F8" s="422"/>
      <c r="L8" s="417"/>
      <c r="M8" s="417"/>
      <c r="Q8" s="415"/>
    </row>
    <row r="9" spans="1:17" ht="15.75" customHeight="1" x14ac:dyDescent="0.25">
      <c r="A9" s="423"/>
      <c r="B9" s="424" t="str">
        <f>IF('Bulk Plant Input'!A23="","",'Bulk Plant Input'!$A23)</f>
        <v/>
      </c>
      <c r="C9" s="425" t="str">
        <f>IF('Bulk Plant Input'!A23="","",'Bulk Plant Input'!$B23)</f>
        <v/>
      </c>
      <c r="D9" s="426" t="str">
        <f>IF(B9="","", VLOOKUP(B9,'SPECIFIC GRAVITIES'!$A$4:$C$138,3,FALSE))</f>
        <v/>
      </c>
      <c r="E9" s="424" t="str">
        <f>IF('Bulk Plant Input'!A29="","",'Bulk Plant Input'!$A29)</f>
        <v/>
      </c>
      <c r="F9" s="425" t="str">
        <f>IF('Bulk Plant Input'!A29="","",'Bulk Plant Input'!$B29)</f>
        <v/>
      </c>
      <c r="G9" s="426" t="str">
        <f>IF(E9="","", VLOOKUP(E9,'SPECIFIC GRAVITIES'!$A$4:$C$138,3,FALSE))</f>
        <v/>
      </c>
      <c r="H9" s="424" t="str">
        <f>IF('Bulk Plant Input'!D35="","",'Bulk Plant Input'!$A35)</f>
        <v/>
      </c>
      <c r="I9" s="425" t="str">
        <f>IF('Bulk Plant Input'!D35="","",'Bulk Plant Input'!$B35)</f>
        <v/>
      </c>
      <c r="J9" s="426" t="str">
        <f>IF(H9="","", VLOOKUP(H9,'SPECIFIC GRAVITIES'!$A$4:$C$138,3,FALSE))</f>
        <v/>
      </c>
      <c r="L9" s="417"/>
      <c r="M9" s="417"/>
      <c r="Q9" s="415"/>
    </row>
    <row r="10" spans="1:17" x14ac:dyDescent="0.25">
      <c r="A10" s="417"/>
      <c r="B10" s="424" t="str">
        <f>IF('Bulk Plant Input'!A24="","",'Bulk Plant Input'!$A24)</f>
        <v/>
      </c>
      <c r="C10" s="425" t="str">
        <f>IF('Bulk Plant Input'!A24="","",'Bulk Plant Input'!$B24)</f>
        <v/>
      </c>
      <c r="D10" s="426" t="str">
        <f>IF(B10="","", VLOOKUP(B10,'SPECIFIC GRAVITIES'!$A$4:$C$138,3,FALSE))</f>
        <v/>
      </c>
      <c r="E10" s="424" t="str">
        <f>IF('Bulk Plant Input'!A30="","",'Bulk Plant Input'!$A30)</f>
        <v/>
      </c>
      <c r="F10" s="425" t="str">
        <f>IF('Bulk Plant Input'!A30="","",'Bulk Plant Input'!$B30)</f>
        <v/>
      </c>
      <c r="G10" s="426" t="str">
        <f>IF(E10="","", VLOOKUP(E10,'SPECIFIC GRAVITIES'!$A$4:$C$138,3,FALSE))</f>
        <v/>
      </c>
      <c r="H10" s="424" t="str">
        <f>IF('Bulk Plant Input'!D36="","",'Bulk Plant Input'!$A36)</f>
        <v/>
      </c>
      <c r="I10" s="427" t="str">
        <f>IF('Bulk Plant Input'!D36="","",'Bulk Plant Input'!$B36)</f>
        <v/>
      </c>
      <c r="J10" s="426" t="str">
        <f>IF(H10="","", VLOOKUP(H10,'SPECIFIC GRAVITIES'!$A$4:$C$138,3,FALSE))</f>
        <v/>
      </c>
      <c r="L10" s="417"/>
      <c r="M10" s="417"/>
      <c r="Q10" s="415"/>
    </row>
    <row r="11" spans="1:17" x14ac:dyDescent="0.25">
      <c r="A11" s="417"/>
      <c r="B11" s="424" t="str">
        <f>IF('Bulk Plant Input'!A25="","",'Bulk Plant Input'!$A25)</f>
        <v/>
      </c>
      <c r="C11" s="425" t="str">
        <f>IF('Bulk Plant Input'!A25="","",'Bulk Plant Input'!$B26)</f>
        <v/>
      </c>
      <c r="D11" s="426" t="str">
        <f>IF(B11="","", VLOOKUP(B11,'SPECIFIC GRAVITIES'!$A$4:$C$138,3,FALSE))</f>
        <v/>
      </c>
      <c r="E11" s="424" t="str">
        <f>IF('Bulk Plant Input'!A31="","",'Bulk Plant Input'!$A31)</f>
        <v/>
      </c>
      <c r="F11" s="425" t="str">
        <f>IF('Bulk Plant Input'!A31="","",'Bulk Plant Input'!$B31)</f>
        <v/>
      </c>
      <c r="G11" s="426" t="str">
        <f>IF(E11="","", VLOOKUP(E11,'SPECIFIC GRAVITIES'!$A$4:$C$138,3,FALSE))</f>
        <v/>
      </c>
      <c r="H11" s="424" t="str">
        <f>IF('Bulk Plant Input'!D37="","",'Bulk Plant Input'!$A37)</f>
        <v/>
      </c>
      <c r="I11" s="427" t="str">
        <f>IF('Bulk Plant Input'!D37="","",'Bulk Plant Input'!$B37)</f>
        <v/>
      </c>
      <c r="J11" s="426" t="str">
        <f>IF(H11="","", VLOOKUP(H11,'SPECIFIC GRAVITIES'!$A$4:$C$138,3,FALSE))</f>
        <v/>
      </c>
      <c r="L11" s="417"/>
      <c r="M11" s="417"/>
      <c r="Q11" s="415"/>
    </row>
    <row r="12" spans="1:17" ht="15" customHeight="1" x14ac:dyDescent="0.25">
      <c r="A12" s="417"/>
      <c r="B12" s="424" t="str">
        <f>IF('Bulk Plant Input'!A26="","",'Bulk Plant Input'!$A26)</f>
        <v/>
      </c>
      <c r="C12" s="425" t="str">
        <f>IF('Bulk Plant Input'!A26="","",'Bulk Plant Input'!#REF!)</f>
        <v/>
      </c>
      <c r="D12" s="426" t="str">
        <f>IF(B12="","", VLOOKUP(B12,'SPECIFIC GRAVITIES'!$A$4:$C$138,3,FALSE))</f>
        <v/>
      </c>
      <c r="E12" s="424" t="str">
        <f>IF('Bulk Plant Input'!A32="","",'Bulk Plant Input'!$A32)</f>
        <v/>
      </c>
      <c r="F12" s="425" t="str">
        <f>IF('Bulk Plant Input'!A32="","",'Bulk Plant Input'!$B32)</f>
        <v/>
      </c>
      <c r="G12" s="426" t="str">
        <f>IF(E12="","", VLOOKUP(E12,'SPECIFIC GRAVITIES'!$A$4:$C$138,3,FALSE))</f>
        <v/>
      </c>
      <c r="H12" s="424" t="str">
        <f>IF('Bulk Plant Input'!A43="", "",'Bulk Plant Input'!A43)</f>
        <v/>
      </c>
      <c r="I12" s="427" t="str">
        <f>IF('Bulk Plant Input'!A43="","",'Bulk Plant Input'!B43)</f>
        <v/>
      </c>
      <c r="J12" s="424" t="str">
        <f>IF(H12="","", VLOOKUP(H12,'SPECIFIC GRAVITIES'!$A$4:$C$138,3,FALSE))</f>
        <v/>
      </c>
      <c r="L12" s="417"/>
      <c r="M12" s="417"/>
      <c r="Q12" s="415"/>
    </row>
    <row r="13" spans="1:17" x14ac:dyDescent="0.25">
      <c r="A13" s="417"/>
      <c r="B13" s="424" t="str">
        <f>IF('Bulk Plant Input'!A27="","",'Bulk Plant Input'!$A27)</f>
        <v/>
      </c>
      <c r="C13" s="425" t="str">
        <f>IF('Bulk Plant Input'!A27="","",'Bulk Plant Input'!$B27)</f>
        <v/>
      </c>
      <c r="D13" s="426" t="str">
        <f>IF(B13="","", VLOOKUP(B13,'SPECIFIC GRAVITIES'!$A$4:$C$138,3,FALSE))</f>
        <v/>
      </c>
      <c r="E13" s="424" t="str">
        <f>IF('Bulk Plant Input'!D33="","",'Bulk Plant Input'!$A33)</f>
        <v/>
      </c>
      <c r="F13" s="425" t="str">
        <f>IF('Bulk Plant Input'!D33="","",'Bulk Plant Input'!$B33)</f>
        <v/>
      </c>
      <c r="G13" s="426" t="str">
        <f>IF(E13="","", VLOOKUP(E13,'SPECIFIC GRAVITIES'!$A$4:$C$138,3,FALSE))</f>
        <v/>
      </c>
      <c r="H13" s="424" t="str">
        <f>IF('Bulk Plant Input'!A44="", "",'Bulk Plant Input'!A44)</f>
        <v/>
      </c>
      <c r="I13" s="425" t="str">
        <f>IF('Bulk Plant Input'!A44="","",'Bulk Plant Input'!B44)</f>
        <v/>
      </c>
      <c r="J13" s="424" t="str">
        <f>IF(H13="","", VLOOKUP(H13,'SPECIFIC GRAVITIES'!$A$4:$C$138,3,FALSE))</f>
        <v/>
      </c>
      <c r="L13" s="417"/>
      <c r="M13" s="417"/>
      <c r="Q13" s="415"/>
    </row>
    <row r="14" spans="1:17" x14ac:dyDescent="0.25">
      <c r="A14" s="417"/>
      <c r="B14" s="424" t="str">
        <f>IF('Bulk Plant Input'!A28="","",'Bulk Plant Input'!$A28)</f>
        <v/>
      </c>
      <c r="C14" s="425" t="str">
        <f>IF('Bulk Plant Input'!A28="","",'Bulk Plant Input'!$B28)</f>
        <v/>
      </c>
      <c r="D14" s="426" t="str">
        <f>IF(B14="","", VLOOKUP(B14,'SPECIFIC GRAVITIES'!$A$4:$C$138,3,FALSE))</f>
        <v/>
      </c>
      <c r="E14" s="424" t="str">
        <f>IF('Bulk Plant Input'!D34="","",'Bulk Plant Input'!$A34)</f>
        <v/>
      </c>
      <c r="F14" s="425" t="str">
        <f>IF('Bulk Plant Input'!D34="","",'Bulk Plant Input'!$B34)</f>
        <v/>
      </c>
      <c r="G14" s="426" t="str">
        <f>IF(E14="","", VLOOKUP(E14,'SPECIFIC GRAVITIES'!$A$4:$C$138,3,FALSE))</f>
        <v/>
      </c>
      <c r="H14" s="428"/>
      <c r="I14" s="428"/>
      <c r="J14" s="424" t="str">
        <f>IF(I14="","", VLOOKUP(I14,'SPECIFIC GRAVITIES'!$A$4:$C$138,3,FALSE))</f>
        <v/>
      </c>
      <c r="L14" s="417"/>
      <c r="M14" s="417"/>
      <c r="Q14" s="415"/>
    </row>
    <row r="15" spans="1:17" x14ac:dyDescent="0.25">
      <c r="A15" s="417"/>
      <c r="D15" s="424"/>
      <c r="K15" s="417"/>
      <c r="L15" s="417"/>
      <c r="M15" s="417"/>
      <c r="P15" s="429"/>
      <c r="Q15" s="415"/>
    </row>
    <row r="16" spans="1:17" ht="15" customHeight="1" x14ac:dyDescent="0.25">
      <c r="A16" s="417"/>
      <c r="C16" s="410" t="s">
        <v>185</v>
      </c>
      <c r="D16" s="430">
        <f>IF('Bulk Plant Input'!B9="","",'Bulk Plant Input'!B9)</f>
        <v>1</v>
      </c>
      <c r="E16" s="431"/>
      <c r="F16" s="410" t="s">
        <v>471</v>
      </c>
      <c r="G16" s="432">
        <f>'Bulk Plant Input'!B8</f>
        <v>1</v>
      </c>
      <c r="I16" s="410" t="s">
        <v>473</v>
      </c>
      <c r="J16" s="432">
        <f>'Bulk Plant Input'!B17</f>
        <v>0.92250922509225086</v>
      </c>
      <c r="K16" s="417"/>
      <c r="L16" s="583" t="str">
        <f>IF('Bulk Plant Input'!C10 = "ENTER PROGRAMMED BLEND DENSITY HERE", "PROGRAMMED DENSITY WAS NOT ENTERED", 'Bulk Plant Input'!C10)</f>
        <v>BLEND DENSITY OUTSIDE OPTIMAL RANGE - CONFIRM BLEND PRIOR TO LOADING</v>
      </c>
      <c r="M16" s="583"/>
      <c r="N16" s="583"/>
      <c r="O16" s="583"/>
      <c r="P16" s="583"/>
      <c r="Q16" s="583"/>
    </row>
    <row r="17" spans="1:17" ht="15" customHeight="1" x14ac:dyDescent="0.25">
      <c r="A17" s="417"/>
      <c r="C17" s="410" t="s">
        <v>468</v>
      </c>
      <c r="D17" s="433">
        <f>'Bulk Plant Input'!B13</f>
        <v>1000</v>
      </c>
      <c r="E17" s="424"/>
      <c r="F17" s="410" t="s">
        <v>472</v>
      </c>
      <c r="G17" s="434">
        <f>'Bulk Plant Input'!B15</f>
        <v>1</v>
      </c>
      <c r="H17" s="603" t="s">
        <v>186</v>
      </c>
      <c r="I17" s="603"/>
      <c r="J17" s="604" t="str">
        <f>IF('Bulk Plant Input'!B10="","NOT ENTERED", "       "&amp;'Bulk Plant Input'!B10)</f>
        <v xml:space="preserve">       1</v>
      </c>
      <c r="K17" s="604"/>
      <c r="L17" s="583"/>
      <c r="M17" s="583"/>
      <c r="N17" s="583"/>
      <c r="O17" s="583"/>
      <c r="P17" s="583"/>
      <c r="Q17" s="583"/>
    </row>
    <row r="18" spans="1:17" ht="15" customHeight="1" x14ac:dyDescent="0.25">
      <c r="A18" s="417"/>
      <c r="C18" s="410" t="s">
        <v>552</v>
      </c>
      <c r="D18" s="433" t="str">
        <f>IF('Bulk Plant Input'!I6="","",'Bulk Plant Input'!I6)</f>
        <v>Functionality Coming</v>
      </c>
      <c r="K18" s="417"/>
      <c r="L18" s="583"/>
      <c r="M18" s="583"/>
      <c r="N18" s="583"/>
      <c r="O18" s="583"/>
      <c r="P18" s="583"/>
      <c r="Q18" s="583"/>
    </row>
    <row r="19" spans="1:17" ht="33.75" customHeight="1" x14ac:dyDescent="0.55000000000000004">
      <c r="A19" s="595" t="str">
        <f>'Bulk Plant Input'!A20</f>
        <v/>
      </c>
      <c r="B19" s="595"/>
      <c r="C19" s="595"/>
      <c r="D19" s="595"/>
      <c r="E19" s="595"/>
      <c r="F19" s="595"/>
      <c r="G19" s="595"/>
      <c r="H19" s="595"/>
      <c r="I19" s="595"/>
      <c r="J19" s="595"/>
      <c r="K19" s="595"/>
      <c r="L19" s="583"/>
      <c r="M19" s="583"/>
      <c r="N19" s="583"/>
      <c r="O19" s="583"/>
      <c r="P19" s="583"/>
      <c r="Q19" s="583"/>
    </row>
    <row r="20" spans="1:17" ht="21" hidden="1" x14ac:dyDescent="0.35">
      <c r="B20" s="600" t="str">
        <f>IF('Bulk Plant Input'!$I$12="","1st Batch Not Entered","BASE BLEND - Batch 1")</f>
        <v>1st Batch Not Entered</v>
      </c>
      <c r="C20" s="600"/>
      <c r="D20" s="447" t="s">
        <v>198</v>
      </c>
      <c r="E20" s="438"/>
      <c r="F20" s="438"/>
      <c r="G20" s="438"/>
      <c r="H20" s="438"/>
      <c r="I20" s="438"/>
      <c r="J20" s="438"/>
      <c r="K20" s="409"/>
      <c r="L20" s="583" t="str">
        <f>IF('Max Add &amp; Blend Densities'!L30=0,"", "ABNORMAL ADDITIVE LOADING - CONFIRM WITH CLIENT SOLUTIONS PRIOR TO BLENDING")</f>
        <v/>
      </c>
      <c r="M20" s="583"/>
      <c r="N20" s="583"/>
      <c r="O20" s="583"/>
      <c r="P20" s="583"/>
      <c r="Q20" s="583"/>
    </row>
    <row r="21" spans="1:17" ht="42.75" hidden="1" customHeight="1" x14ac:dyDescent="0.25">
      <c r="B21" s="592" t="str">
        <f>IF('Bulk Plant Input'!$I$12="","","Material")</f>
        <v/>
      </c>
      <c r="C21" s="593"/>
      <c r="D21" s="439" t="str">
        <f>IF('Bulk Plant Input'!$I$12="","","Required (kg)")</f>
        <v/>
      </c>
      <c r="E21" s="596" t="str">
        <f>IF('Bulk Plant Input'!$I$12="","","Loaded (kg)")</f>
        <v/>
      </c>
      <c r="F21" s="597"/>
      <c r="G21" s="590" t="str">
        <f>IF('Bulk Plant Input'!$I$12="","","Lot #")</f>
        <v/>
      </c>
      <c r="H21" s="591"/>
      <c r="I21" s="440"/>
      <c r="J21" s="441"/>
      <c r="K21" s="409"/>
      <c r="L21" s="583"/>
      <c r="M21" s="583"/>
      <c r="N21" s="583"/>
      <c r="O21" s="583"/>
      <c r="P21" s="583"/>
      <c r="Q21" s="583"/>
    </row>
    <row r="22" spans="1:17" ht="20.100000000000001" hidden="1" customHeight="1" x14ac:dyDescent="0.25">
      <c r="B22" s="586" t="str">
        <f>INDEX('Base Blend Property Calculation'!$C$6:$BF$6,1,'Base Blend Property Calculation'!BT7)</f>
        <v>Class A</v>
      </c>
      <c r="C22" s="587"/>
      <c r="D22" s="393">
        <f>VLOOKUP('Bulk Plant Input'!$A$19, 'Base Blend Property Calculation'!$A$6:$BF$159,'Base Blend Property Calculation'!BT9,FALSE)*('Bulk Plant Input'!$I$12/('Bulk Plant Input'!$B$13/1000))</f>
        <v>0</v>
      </c>
      <c r="E22" s="588"/>
      <c r="F22" s="589"/>
      <c r="G22" s="588"/>
      <c r="H22" s="589"/>
      <c r="J22" s="442"/>
    </row>
    <row r="23" spans="1:17" ht="20.100000000000001" hidden="1" customHeight="1" x14ac:dyDescent="0.25">
      <c r="B23" s="586" t="str">
        <f>INDEX('Base Blend Property Calculation'!$C$6:$BF$6,1,'Base Blend Property Calculation'!BT8)</f>
        <v>Class C</v>
      </c>
      <c r="C23" s="587"/>
      <c r="D23" s="393">
        <f>VLOOKUP('Bulk Plant Input'!$A$19, 'Base Blend Property Calculation'!$A$6:$BF$159,'Base Blend Property Calculation'!BT10,FALSE)*('Bulk Plant Input'!$I$12/('Bulk Plant Input'!$B$13/1000))</f>
        <v>0</v>
      </c>
      <c r="E23" s="588"/>
      <c r="F23" s="589"/>
      <c r="G23" s="588"/>
      <c r="H23" s="589"/>
    </row>
    <row r="24" spans="1:17" hidden="1" x14ac:dyDescent="0.25">
      <c r="B24" s="586" t="str">
        <f>INDEX('Base Blend Property Calculation'!$C$6:$BF$6,1,'Base Blend Property Calculation'!BT9)</f>
        <v>Class G</v>
      </c>
      <c r="C24" s="587"/>
      <c r="D24" s="393">
        <f>VLOOKUP('Bulk Plant Input'!$A$19, 'Base Blend Property Calculation'!$A$6:$BF$159,'Base Blend Property Calculation'!BT11,FALSE)*('Bulk Plant Input'!$I$12/('Bulk Plant Input'!$B$13/1000))</f>
        <v>0</v>
      </c>
      <c r="E24" s="588"/>
      <c r="F24" s="589"/>
      <c r="G24" s="588"/>
      <c r="H24" s="589"/>
    </row>
    <row r="25" spans="1:17" ht="20.100000000000001" hidden="1" customHeight="1" x14ac:dyDescent="0.25">
      <c r="B25" s="586" t="str">
        <f>INDEX('Base Blend Property Calculation'!$C$6:$BF$6,1,'Base Blend Property Calculation'!BT10)</f>
        <v>Class H</v>
      </c>
      <c r="C25" s="587"/>
      <c r="D25" s="393">
        <f>VLOOKUP('Bulk Plant Input'!$A$19, 'Base Blend Property Calculation'!$A$6:$BF$159,'Base Blend Property Calculation'!BT12,FALSE)*('Bulk Plant Input'!$I$12/('Bulk Plant Input'!$B$13/1000))</f>
        <v>0</v>
      </c>
      <c r="E25" s="588"/>
      <c r="F25" s="589"/>
      <c r="G25" s="588"/>
      <c r="H25" s="589"/>
    </row>
    <row r="26" spans="1:17" ht="20.100000000000001" hidden="1" customHeight="1" x14ac:dyDescent="0.25">
      <c r="B26" s="586" t="str">
        <f>INDEX('Base Blend Property Calculation'!$C$6:$BF$6,1,'Base Blend Property Calculation'!BT11)</f>
        <v>Intercem</v>
      </c>
      <c r="C26" s="587"/>
      <c r="D26" s="393">
        <f>VLOOKUP('Bulk Plant Input'!$A$19, 'Base Blend Property Calculation'!$A$6:$BF$159,'Base Blend Property Calculation'!BT13,FALSE)*('Bulk Plant Input'!$I$12/('Bulk Plant Input'!$B$13/1000))</f>
        <v>0</v>
      </c>
      <c r="E26" s="588"/>
      <c r="F26" s="589"/>
      <c r="G26" s="588"/>
      <c r="H26" s="589"/>
    </row>
    <row r="27" spans="1:17" ht="20.100000000000001" hidden="1" customHeight="1" x14ac:dyDescent="0.25">
      <c r="B27" s="586" t="str">
        <f>INDEX('Base Blend Property Calculation'!$C$6:$BF$6,1,'Base Blend Property Calculation'!BT12)</f>
        <v>Colloid SQ-A</v>
      </c>
      <c r="C27" s="587"/>
      <c r="D27" s="393">
        <f>VLOOKUP('Bulk Plant Input'!$A$19, 'Base Blend Property Calculation'!$A$6:$BF$159,'Base Blend Property Calculation'!BT14,FALSE)*('Bulk Plant Input'!$I$12/('Bulk Plant Input'!$B$13/1000))</f>
        <v>0</v>
      </c>
      <c r="E27" s="588"/>
      <c r="F27" s="589"/>
      <c r="G27" s="588"/>
      <c r="H27" s="589"/>
    </row>
    <row r="28" spans="1:17" ht="20.100000000000001" hidden="1" customHeight="1" x14ac:dyDescent="0.25">
      <c r="B28" s="586" t="str">
        <f>INDEX('Base Blend Property Calculation'!$C$6:$BF$6,1,'Base Blend Property Calculation'!BT13)</f>
        <v>Flyash</v>
      </c>
      <c r="C28" s="587"/>
      <c r="D28" s="393">
        <f>VLOOKUP('Bulk Plant Input'!$A$19, 'Base Blend Property Calculation'!$A$6:$BF$159,'Base Blend Property Calculation'!BT15,FALSE)*('Bulk Plant Input'!$I$12/('Bulk Plant Input'!$B$13/1000))</f>
        <v>0</v>
      </c>
      <c r="E28" s="588"/>
      <c r="F28" s="589"/>
      <c r="G28" s="588"/>
      <c r="H28" s="589"/>
    </row>
    <row r="29" spans="1:17" ht="20.100000000000001" hidden="1" customHeight="1" x14ac:dyDescent="0.25">
      <c r="B29" s="586" t="str">
        <f>INDEX('Base Blend Property Calculation'!$C$6:$BF$6,1,'Base Blend Property Calculation'!BT14)</f>
        <v>Flyash (Sask)</v>
      </c>
      <c r="C29" s="587"/>
      <c r="D29" s="393">
        <f>VLOOKUP('Bulk Plant Input'!$A$19, 'Base Blend Property Calculation'!$A$6:$BF$159,'Base Blend Property Calculation'!BT16,FALSE)*('Bulk Plant Input'!$I$12/('Bulk Plant Input'!$B$13/1000))</f>
        <v>0</v>
      </c>
      <c r="E29" s="588"/>
      <c r="F29" s="589"/>
      <c r="G29" s="588"/>
      <c r="H29" s="589"/>
    </row>
    <row r="30" spans="1:17" ht="30" hidden="1" customHeight="1" x14ac:dyDescent="0.25">
      <c r="B30" s="586" t="str">
        <f>INDEX('Base Blend Property Calculation'!$C$6:$BF$6,1,'Base Blend Property Calculation'!BT15)</f>
        <v>Densified Fume</v>
      </c>
      <c r="C30" s="587"/>
      <c r="D30" s="393">
        <f>VLOOKUP('Bulk Plant Input'!$A$19, 'Base Blend Property Calculation'!$A$6:$BF$159,'Base Blend Property Calculation'!BT17,FALSE)*('Bulk Plant Input'!$I$12/('Bulk Plant Input'!$B$13/1000))</f>
        <v>0</v>
      </c>
      <c r="E30" s="588"/>
      <c r="F30" s="589"/>
      <c r="G30" s="588"/>
      <c r="H30" s="589"/>
    </row>
    <row r="31" spans="1:17" ht="20.100000000000001" hidden="1" customHeight="1" x14ac:dyDescent="0.25">
      <c r="B31" s="586" t="str">
        <f>INDEX('Base Blend Property Calculation'!$C$6:$BF$6,1,'Base Blend Property Calculation'!BT16)</f>
        <v>Silica Fume - Semi-Densified</v>
      </c>
      <c r="C31" s="587"/>
      <c r="D31" s="393">
        <f>VLOOKUP('Bulk Plant Input'!$A$19, 'Base Blend Property Calculation'!$A$6:$BF$159,'Base Blend Property Calculation'!BT18,FALSE)*('Bulk Plant Input'!$I$12/('Bulk Plant Input'!$B$13/1000))</f>
        <v>0</v>
      </c>
      <c r="E31" s="588"/>
      <c r="F31" s="589"/>
      <c r="G31" s="588"/>
      <c r="H31" s="589"/>
    </row>
    <row r="32" spans="1:17" ht="20.100000000000001" hidden="1" customHeight="1" x14ac:dyDescent="0.25">
      <c r="B32" s="586" t="str">
        <f>INDEX('Base Blend Property Calculation'!$C$6:$BF$6,1,'Base Blend Property Calculation'!BT17)</f>
        <v>Sanlite</v>
      </c>
      <c r="C32" s="587"/>
      <c r="D32" s="393">
        <f>VLOOKUP('Bulk Plant Input'!$A$19, 'Base Blend Property Calculation'!$A$6:$BF$159,'Base Blend Property Calculation'!BT19,FALSE)*('Bulk Plant Input'!$I$12/('Bulk Plant Input'!$B$13/1000))</f>
        <v>0</v>
      </c>
      <c r="E32" s="588"/>
      <c r="F32" s="589"/>
      <c r="G32" s="588"/>
      <c r="H32" s="589"/>
    </row>
    <row r="33" spans="2:11" hidden="1" x14ac:dyDescent="0.25">
      <c r="B33" s="586" t="str">
        <f>INDEX('Base Blend Property Calculation'!$C$6:$BF$6,1,'Base Blend Property Calculation'!BT18)</f>
        <v>Silica Flour</v>
      </c>
      <c r="C33" s="587"/>
      <c r="D33" s="393">
        <f>VLOOKUP('Bulk Plant Input'!$A$19, 'Base Blend Property Calculation'!$A$6:$BF$159,'Base Blend Property Calculation'!BT20,FALSE)*('Bulk Plant Input'!$I$12/('Bulk Plant Input'!$B$13/1000))</f>
        <v>0</v>
      </c>
      <c r="E33" s="588"/>
      <c r="F33" s="589"/>
      <c r="G33" s="588"/>
      <c r="H33" s="589"/>
    </row>
    <row r="34" spans="2:11" hidden="1" x14ac:dyDescent="0.25">
      <c r="B34" s="586" t="str">
        <f>INDEX('Base Blend Property Calculation'!$C$6:$BF$6,1,'Base Blend Property Calculation'!BT19)</f>
        <v>Gel</v>
      </c>
      <c r="C34" s="587"/>
      <c r="D34" s="393">
        <f>VLOOKUP('Bulk Plant Input'!$A$19, 'Base Blend Property Calculation'!$A$6:$BF$159,'Base Blend Property Calculation'!BT21,FALSE)*('Bulk Plant Input'!$I$12/('Bulk Plant Input'!$B$13/1000))</f>
        <v>0</v>
      </c>
      <c r="E34" s="588"/>
      <c r="F34" s="589"/>
      <c r="G34" s="588"/>
      <c r="H34" s="589"/>
    </row>
    <row r="35" spans="2:11" ht="20.100000000000001" hidden="1" customHeight="1" x14ac:dyDescent="0.25">
      <c r="B35" s="586" t="str">
        <f>INDEX('Base Blend Property Calculation'!$C$6:$BF$6,1,'Base Blend Property Calculation'!BT20)</f>
        <v>SCA-1</v>
      </c>
      <c r="C35" s="587"/>
      <c r="D35" s="393">
        <f>VLOOKUP('Bulk Plant Input'!$A$19, 'Base Blend Property Calculation'!$A$6:$BF$159,'Base Blend Property Calculation'!BT22,FALSE)*('Bulk Plant Input'!$I$12/('Bulk Plant Input'!$B$13/1000))</f>
        <v>0</v>
      </c>
      <c r="E35" s="588"/>
      <c r="F35" s="589"/>
      <c r="G35" s="588"/>
      <c r="H35" s="589"/>
      <c r="K35" s="409"/>
    </row>
    <row r="36" spans="2:11" ht="20.100000000000001" hidden="1" customHeight="1" x14ac:dyDescent="0.25">
      <c r="B36" s="586" t="str">
        <f>INDEX('Base Blend Property Calculation'!$C$6:$BF$6,1,'Base Blend Property Calculation'!BT21)</f>
        <v>Hematite</v>
      </c>
      <c r="C36" s="587"/>
      <c r="D36" s="393">
        <f>VLOOKUP('Bulk Plant Input'!$A$19, 'Base Blend Property Calculation'!$A$6:$BF$159,'Base Blend Property Calculation'!BT23,FALSE)*('Bulk Plant Input'!$I$12/('Bulk Plant Input'!$B$13/1000))</f>
        <v>0</v>
      </c>
      <c r="E36" s="588"/>
      <c r="F36" s="589"/>
      <c r="G36" s="588"/>
      <c r="H36" s="589"/>
      <c r="K36" s="409"/>
    </row>
    <row r="37" spans="2:11" ht="20.100000000000001" hidden="1" customHeight="1" x14ac:dyDescent="0.25">
      <c r="B37" s="586" t="str">
        <f>INDEX('Base Blend Property Calculation'!$C$6:$BF$6,1,'Base Blend Property Calculation'!BT22)</f>
        <v>CDM-6B</v>
      </c>
      <c r="C37" s="587"/>
      <c r="D37" s="393">
        <f>VLOOKUP('Bulk Plant Input'!$A$19, 'Base Blend Property Calculation'!$A$6:$BF$159,'Base Blend Property Calculation'!BT24,FALSE)*('Bulk Plant Input'!$I$12/('Bulk Plant Input'!$B$13/1000))</f>
        <v>0</v>
      </c>
      <c r="E37" s="588"/>
      <c r="F37" s="589"/>
      <c r="G37" s="588"/>
      <c r="H37" s="589"/>
      <c r="K37" s="409"/>
    </row>
    <row r="38" spans="2:11" ht="20.100000000000001" hidden="1" customHeight="1" x14ac:dyDescent="0.25">
      <c r="B38" s="586" t="str">
        <f>INDEX('Base Blend Property Calculation'!$C$6:$BF$6,1,'Base Blend Property Calculation'!BT23)</f>
        <v>CDM-6</v>
      </c>
      <c r="C38" s="587"/>
      <c r="D38" s="393">
        <f>VLOOKUP('Bulk Plant Input'!$A$19, 'Base Blend Property Calculation'!$A$6:$BF$159,'Base Blend Property Calculation'!BT25,FALSE)*('Bulk Plant Input'!$I$12/('Bulk Plant Input'!$B$13/1000))</f>
        <v>0</v>
      </c>
      <c r="E38" s="588"/>
      <c r="F38" s="589"/>
      <c r="G38" s="588"/>
      <c r="H38" s="589"/>
      <c r="K38" s="409"/>
    </row>
    <row r="39" spans="2:11" ht="20.100000000000001" hidden="1" customHeight="1" x14ac:dyDescent="0.25">
      <c r="B39" s="586" t="str">
        <f>INDEX('Base Blend Property Calculation'!$C$6:$BF$6,1,'Base Blend Property Calculation'!BT24)</f>
        <v>CDM-2</v>
      </c>
      <c r="C39" s="587"/>
      <c r="D39" s="393">
        <f>VLOOKUP('Bulk Plant Input'!$A$19, 'Base Blend Property Calculation'!$A$6:$BF$159,'Base Blend Property Calculation'!BT26,FALSE)*('Bulk Plant Input'!$I$12/('Bulk Plant Input'!$B$13/1000))</f>
        <v>0</v>
      </c>
      <c r="E39" s="588"/>
      <c r="F39" s="589"/>
      <c r="G39" s="588"/>
      <c r="H39" s="589"/>
      <c r="K39" s="409"/>
    </row>
    <row r="40" spans="2:11" ht="20.100000000000001" hidden="1" customHeight="1" x14ac:dyDescent="0.25">
      <c r="B40" s="586" t="str">
        <f>INDEX('Base Blend Property Calculation'!$C$6:$BF$6,1,'Base Blend Property Calculation'!BT25)</f>
        <v>CDM-5</v>
      </c>
      <c r="C40" s="587"/>
      <c r="D40" s="393">
        <f>VLOOKUP('Bulk Plant Input'!$A$19, 'Base Blend Property Calculation'!$A$6:$BF$159,'Base Blend Property Calculation'!BT27,FALSE)*('Bulk Plant Input'!$I$12/('Bulk Plant Input'!$B$13/1000))</f>
        <v>0</v>
      </c>
      <c r="E40" s="588"/>
      <c r="F40" s="589"/>
      <c r="G40" s="588"/>
      <c r="H40" s="589"/>
      <c r="K40" s="409"/>
    </row>
    <row r="41" spans="2:11" ht="20.100000000000001" hidden="1" customHeight="1" x14ac:dyDescent="0.25">
      <c r="B41" s="586" t="str">
        <f>INDEX('Base Blend Property Calculation'!$C$6:$BF$6,1,'Base Blend Property Calculation'!BT26)</f>
        <v>CDM-C</v>
      </c>
      <c r="C41" s="587"/>
      <c r="D41" s="393">
        <f>VLOOKUP('Bulk Plant Input'!$A$19, 'Base Blend Property Calculation'!$A$6:$BF$159,'Base Blend Property Calculation'!BT28,FALSE)*('Bulk Plant Input'!$I$12/('Bulk Plant Input'!$B$13/1000))</f>
        <v>0</v>
      </c>
      <c r="E41" s="588"/>
      <c r="F41" s="589"/>
      <c r="G41" s="588"/>
      <c r="H41" s="589"/>
      <c r="K41" s="409"/>
    </row>
    <row r="42" spans="2:11" ht="20.100000000000001" hidden="1" customHeight="1" x14ac:dyDescent="0.25">
      <c r="B42" s="586" t="str">
        <f>INDEX('Base Blend Property Calculation'!$C$6:$BF$6,1,'Base Blend Property Calculation'!BT27)</f>
        <v>CDM-10</v>
      </c>
      <c r="C42" s="587"/>
      <c r="D42" s="393">
        <f>VLOOKUP('Bulk Plant Input'!$A$19, 'Base Blend Property Calculation'!$A$6:$BF$159,'Base Blend Property Calculation'!BT29,FALSE)*('Bulk Plant Input'!$I$12/('Bulk Plant Input'!$B$13/1000))</f>
        <v>0</v>
      </c>
      <c r="E42" s="588"/>
      <c r="F42" s="589"/>
      <c r="G42" s="588"/>
      <c r="H42" s="589"/>
      <c r="K42" s="409"/>
    </row>
    <row r="43" spans="2:11" ht="20.100000000000001" hidden="1" customHeight="1" x14ac:dyDescent="0.25">
      <c r="B43" s="586" t="str">
        <f>INDEX('Base Blend Property Calculation'!$C$6:$BF$6,1,'Base Blend Property Calculation'!BT28)</f>
        <v>CFR</v>
      </c>
      <c r="C43" s="587"/>
      <c r="D43" s="393">
        <f>VLOOKUP('Bulk Plant Input'!$A$19, 'Base Blend Property Calculation'!$A$6:$BF$159,'Base Blend Property Calculation'!BT30,FALSE)*('Bulk Plant Input'!$I$12/('Bulk Plant Input'!$B$13/1000))</f>
        <v>0</v>
      </c>
      <c r="E43" s="588"/>
      <c r="F43" s="589"/>
      <c r="G43" s="588"/>
      <c r="H43" s="589"/>
      <c r="K43" s="409"/>
    </row>
    <row r="44" spans="2:11" ht="20.100000000000001" hidden="1" customHeight="1" x14ac:dyDescent="0.25">
      <c r="B44" s="586" t="str">
        <f>INDEX('Base Blend Property Calculation'!$C$6:$BF$6,1,'Base Blend Property Calculation'!BT29)</f>
        <v>CFR-2</v>
      </c>
      <c r="C44" s="587"/>
      <c r="D44" s="393">
        <f>VLOOKUP('Bulk Plant Input'!$A$19, 'Base Blend Property Calculation'!$A$6:$BF$159,'Base Blend Property Calculation'!BT31,FALSE)*('Bulk Plant Input'!$I$12/('Bulk Plant Input'!$B$13/1000))</f>
        <v>0</v>
      </c>
      <c r="E44" s="588"/>
      <c r="F44" s="589"/>
      <c r="G44" s="588"/>
      <c r="H44" s="589"/>
      <c r="K44" s="409"/>
    </row>
    <row r="45" spans="2:11" hidden="1" x14ac:dyDescent="0.25">
      <c r="B45" s="586" t="str">
        <f>INDEX('Base Blend Property Calculation'!$C$6:$BF$6,1,'Base Blend Property Calculation'!BT30)</f>
        <v>CFR-5</v>
      </c>
      <c r="C45" s="587"/>
      <c r="D45" s="393">
        <f>VLOOKUP('Bulk Plant Input'!$A$19, 'Base Blend Property Calculation'!$A$6:$BF$159,'Base Blend Property Calculation'!BT32,FALSE)*('Bulk Plant Input'!$I$12/('Bulk Plant Input'!$B$13/1000))</f>
        <v>0</v>
      </c>
      <c r="E45" s="588"/>
      <c r="F45" s="589"/>
      <c r="G45" s="588"/>
      <c r="H45" s="589"/>
      <c r="K45" s="409"/>
    </row>
    <row r="46" spans="2:11" ht="20.100000000000001" hidden="1" customHeight="1" x14ac:dyDescent="0.25">
      <c r="B46" s="586" t="str">
        <f>INDEX('Base Blend Property Calculation'!$C$6:$BF$6,1,'Base Blend Property Calculation'!BT31)</f>
        <v>CFL-3</v>
      </c>
      <c r="C46" s="587"/>
      <c r="D46" s="393">
        <f>VLOOKUP('Bulk Plant Input'!$A$19, 'Base Blend Property Calculation'!$A$6:$BF$159,'Base Blend Property Calculation'!BT33,FALSE)*('Bulk Plant Input'!$I$12/('Bulk Plant Input'!$B$13/1000))</f>
        <v>0</v>
      </c>
      <c r="E46" s="588"/>
      <c r="F46" s="589"/>
      <c r="G46" s="588"/>
      <c r="H46" s="589"/>
      <c r="K46" s="409"/>
    </row>
    <row r="47" spans="2:11" ht="20.100000000000001" hidden="1" customHeight="1" x14ac:dyDescent="0.25">
      <c r="B47" s="586" t="str">
        <f>INDEX('Base Blend Property Calculation'!$C$6:$BF$6,1,'Base Blend Property Calculation'!BT32)</f>
        <v>CFL-4</v>
      </c>
      <c r="C47" s="587"/>
      <c r="D47" s="393">
        <f>VLOOKUP('Bulk Plant Input'!$A$19, 'Base Blend Property Calculation'!$A$6:$BF$159,'Base Blend Property Calculation'!BT34,FALSE)*('Bulk Plant Input'!$I$12/('Bulk Plant Input'!$B$13/1000))</f>
        <v>0</v>
      </c>
      <c r="E47" s="588"/>
      <c r="F47" s="589"/>
      <c r="G47" s="588"/>
      <c r="H47" s="589"/>
      <c r="K47" s="409"/>
    </row>
    <row r="48" spans="2:11" ht="20.100000000000001" hidden="1" customHeight="1" x14ac:dyDescent="0.25">
      <c r="B48" s="586" t="str">
        <f>INDEX('Base Blend Property Calculation'!$C$6:$BF$6,1,'Base Blend Property Calculation'!BT33)</f>
        <v>CFL-6</v>
      </c>
      <c r="C48" s="587"/>
      <c r="D48" s="393">
        <f>VLOOKUP('Bulk Plant Input'!$A$19, 'Base Blend Property Calculation'!$A$6:$BF$159,'Base Blend Property Calculation'!BT35,FALSE)*('Bulk Plant Input'!$I$12/('Bulk Plant Input'!$B$13/1000))</f>
        <v>0</v>
      </c>
      <c r="E48" s="588"/>
      <c r="F48" s="589"/>
      <c r="G48" s="588"/>
      <c r="H48" s="589"/>
      <c r="K48" s="409"/>
    </row>
    <row r="49" spans="2:11" ht="20.100000000000001" hidden="1" customHeight="1" x14ac:dyDescent="0.25">
      <c r="B49" s="586" t="str">
        <f>INDEX('Base Blend Property Calculation'!$C$6:$BF$6,1,'Base Blend Property Calculation'!BT34)</f>
        <v>CFL-7</v>
      </c>
      <c r="C49" s="587"/>
      <c r="D49" s="393">
        <f>VLOOKUP('Bulk Plant Input'!$A$19, 'Base Blend Property Calculation'!$A$6:$BF$159,'Base Blend Property Calculation'!BT36,FALSE)*('Bulk Plant Input'!$I$12/('Bulk Plant Input'!$B$13/1000))</f>
        <v>0</v>
      </c>
      <c r="E49" s="588"/>
      <c r="F49" s="589"/>
      <c r="G49" s="588"/>
      <c r="H49" s="589"/>
      <c r="K49" s="409"/>
    </row>
    <row r="50" spans="2:11" ht="20.100000000000001" hidden="1" customHeight="1" x14ac:dyDescent="0.25">
      <c r="B50" s="586" t="str">
        <f>INDEX('Base Blend Property Calculation'!$C$6:$BF$6,1,'Base Blend Property Calculation'!BT35)</f>
        <v>CaCl2</v>
      </c>
      <c r="C50" s="587"/>
      <c r="D50" s="393">
        <f>VLOOKUP('Bulk Plant Input'!$A$19, 'Base Blend Property Calculation'!$A$6:$BF$159,'Base Blend Property Calculation'!BT37,FALSE)*('Bulk Plant Input'!$I$12/('Bulk Plant Input'!$B$13/1000))</f>
        <v>0</v>
      </c>
      <c r="E50" s="588"/>
      <c r="F50" s="589"/>
      <c r="G50" s="588"/>
      <c r="H50" s="589"/>
      <c r="K50" s="409"/>
    </row>
    <row r="51" spans="2:11" ht="20.100000000000001" hidden="1" customHeight="1" x14ac:dyDescent="0.25">
      <c r="B51" s="586" t="str">
        <f>INDEX('Base Blend Property Calculation'!$C$6:$BF$6,1,'Base Blend Property Calculation'!BT36)</f>
        <v>SCA-6</v>
      </c>
      <c r="C51" s="587"/>
      <c r="D51" s="393">
        <f>VLOOKUP('Bulk Plant Input'!$A$19, 'Base Blend Property Calculation'!$A$6:$BF$159,'Base Blend Property Calculation'!BT38,FALSE)*('Bulk Plant Input'!$I$12/('Bulk Plant Input'!$B$13/1000))</f>
        <v>0</v>
      </c>
      <c r="E51" s="588"/>
      <c r="F51" s="589"/>
      <c r="G51" s="588"/>
      <c r="H51" s="589"/>
    </row>
    <row r="52" spans="2:11" ht="20.100000000000001" hidden="1" customHeight="1" x14ac:dyDescent="0.25">
      <c r="B52" s="586" t="str">
        <f>INDEX('Base Blend Property Calculation'!$C$6:$BF$6,1,'Base Blend Property Calculation'!BT37)</f>
        <v>SCA-7</v>
      </c>
      <c r="C52" s="587"/>
      <c r="D52" s="393">
        <f>VLOOKUP('Bulk Plant Input'!$A$19, 'Base Blend Property Calculation'!$A$6:$BF$159,'Base Blend Property Calculation'!BT39,FALSE)*('Bulk Plant Input'!$I$12/('Bulk Plant Input'!$B$13/1000))</f>
        <v>0</v>
      </c>
      <c r="E52" s="588"/>
      <c r="F52" s="589"/>
      <c r="G52" s="588"/>
      <c r="H52" s="589"/>
    </row>
    <row r="53" spans="2:11" ht="20.100000000000001" hidden="1" customHeight="1" x14ac:dyDescent="0.25">
      <c r="B53" s="586" t="str">
        <f>INDEX('Base Blend Property Calculation'!$C$6:$BF$6,1,'Base Blend Property Calculation'!BT38)</f>
        <v>SCA-5</v>
      </c>
      <c r="C53" s="587"/>
      <c r="D53" s="393">
        <f>VLOOKUP('Bulk Plant Input'!$A$19, 'Base Blend Property Calculation'!$A$6:$BF$159,'Base Blend Property Calculation'!BT40,FALSE)*('Bulk Plant Input'!$I$12/('Bulk Plant Input'!$B$13/1000))</f>
        <v>0</v>
      </c>
      <c r="E53" s="588"/>
      <c r="F53" s="589"/>
      <c r="G53" s="588"/>
      <c r="H53" s="589"/>
    </row>
    <row r="54" spans="2:11" ht="20.100000000000001" hidden="1" customHeight="1" x14ac:dyDescent="0.25">
      <c r="B54" s="586" t="str">
        <f>INDEX('Base Blend Property Calculation'!$C$6:$BF$6,1,'Base Blend Property Calculation'!BT39)</f>
        <v>FWC-2</v>
      </c>
      <c r="C54" s="587"/>
      <c r="D54" s="393">
        <f>VLOOKUP('Bulk Plant Input'!$A$19, 'Base Blend Property Calculation'!$A$6:$BF$159,'Base Blend Property Calculation'!BT41,FALSE)*('Bulk Plant Input'!$I$12/('Bulk Plant Input'!$B$13/1000))</f>
        <v>0</v>
      </c>
      <c r="E54" s="588"/>
      <c r="F54" s="589"/>
      <c r="G54" s="588"/>
      <c r="H54" s="589"/>
    </row>
    <row r="55" spans="2:11" ht="20.100000000000001" hidden="1" customHeight="1" x14ac:dyDescent="0.25">
      <c r="B55" s="586" t="str">
        <f>INDEX('Base Blend Property Calculation'!$C$6:$BF$6,1,'Base Blend Property Calculation'!BT40)</f>
        <v>LTR-3</v>
      </c>
      <c r="C55" s="587"/>
      <c r="D55" s="393">
        <f>VLOOKUP('Bulk Plant Input'!$A$19, 'Base Blend Property Calculation'!$A$6:$BF$159,'Base Blend Property Calculation'!BT42,FALSE)*('Bulk Plant Input'!$I$12/('Bulk Plant Input'!$B$13/1000))</f>
        <v>0</v>
      </c>
      <c r="E55" s="588"/>
      <c r="F55" s="589"/>
      <c r="G55" s="588"/>
      <c r="H55" s="589"/>
    </row>
    <row r="56" spans="2:11" ht="20.100000000000001" hidden="1" customHeight="1" x14ac:dyDescent="0.25">
      <c r="B56" s="586" t="str">
        <f>INDEX('Base Blend Property Calculation'!$C$6:$BF$6,1,'Base Blend Property Calculation'!BT41)</f>
        <v>NaCl</v>
      </c>
      <c r="C56" s="587"/>
      <c r="D56" s="393">
        <f>VLOOKUP('Bulk Plant Input'!$A$19, 'Base Blend Property Calculation'!$A$6:$BF$159,'Base Blend Property Calculation'!BT43,FALSE)*('Bulk Plant Input'!$I$12/('Bulk Plant Input'!$B$13/1000))</f>
        <v>0</v>
      </c>
      <c r="E56" s="588"/>
      <c r="F56" s="589"/>
      <c r="G56" s="588"/>
      <c r="H56" s="589"/>
    </row>
    <row r="57" spans="2:11" ht="20.100000000000001" hidden="1" customHeight="1" x14ac:dyDescent="0.25">
      <c r="B57" s="586" t="str">
        <f>INDEX('Base Blend Property Calculation'!$C$6:$BF$6,1,'Base Blend Property Calculation'!BT42)</f>
        <v>KCl</v>
      </c>
      <c r="C57" s="587"/>
      <c r="D57" s="393">
        <f>VLOOKUP('Bulk Plant Input'!$A$19, 'Base Blend Property Calculation'!$A$6:$BF$159,'Base Blend Property Calculation'!BT44,FALSE)*('Bulk Plant Input'!$I$12/('Bulk Plant Input'!$B$13/1000))</f>
        <v>0</v>
      </c>
      <c r="E57" s="588"/>
      <c r="F57" s="589"/>
      <c r="G57" s="588"/>
      <c r="H57" s="589"/>
    </row>
    <row r="58" spans="2:11" hidden="1" x14ac:dyDescent="0.25">
      <c r="B58" s="586" t="str">
        <f>INDEX('Base Blend Property Calculation'!$C$6:$BF$6,1,'Base Blend Property Calculation'!BT43)</f>
        <v>EA-1</v>
      </c>
      <c r="C58" s="587"/>
      <c r="D58" s="393">
        <f>VLOOKUP('Bulk Plant Input'!$A$19, 'Base Blend Property Calculation'!$A$6:$BF$159,'Base Blend Property Calculation'!BT45,FALSE)*('Bulk Plant Input'!$I$12/('Bulk Plant Input'!$B$13/1000))</f>
        <v>0</v>
      </c>
      <c r="E58" s="588"/>
      <c r="F58" s="589"/>
      <c r="G58" s="588"/>
      <c r="H58" s="589"/>
    </row>
    <row r="59" spans="2:11" ht="20.100000000000001" hidden="1" customHeight="1" x14ac:dyDescent="0.25">
      <c r="B59" s="586" t="str">
        <f>INDEX('Base Blend Property Calculation'!$C$6:$BF$6,1,'Base Blend Property Calculation'!BT44)</f>
        <v>EA-3</v>
      </c>
      <c r="C59" s="587"/>
      <c r="D59" s="393">
        <f>VLOOKUP('Bulk Plant Input'!$A$19, 'Base Blend Property Calculation'!$A$6:$BF$159,'Base Blend Property Calculation'!BT46,FALSE)*('Bulk Plant Input'!$I$12/('Bulk Plant Input'!$B$13/1000))</f>
        <v>0</v>
      </c>
      <c r="E59" s="588"/>
      <c r="F59" s="589"/>
      <c r="G59" s="588"/>
      <c r="H59" s="589"/>
    </row>
    <row r="60" spans="2:11" ht="20.100000000000001" hidden="1" customHeight="1" x14ac:dyDescent="0.25">
      <c r="B60" s="586" t="str">
        <f>INDEX('Base Blend Property Calculation'!$C$6:$BF$6,1,'Base Blend Property Calculation'!BT45)</f>
        <v>LCG-2</v>
      </c>
      <c r="C60" s="587"/>
      <c r="D60" s="393">
        <f>VLOOKUP('Bulk Plant Input'!$A$19, 'Base Blend Property Calculation'!$A$6:$BF$159,'Base Blend Property Calculation'!BT47,FALSE)*('Bulk Plant Input'!$I$12/('Bulk Plant Input'!$B$13/1000))</f>
        <v>0</v>
      </c>
      <c r="E60" s="588"/>
      <c r="F60" s="589"/>
      <c r="G60" s="588"/>
      <c r="H60" s="589"/>
    </row>
    <row r="61" spans="2:11" ht="20.100000000000001" hidden="1" customHeight="1" x14ac:dyDescent="0.25">
      <c r="B61" s="586" t="str">
        <f>INDEX('Base Blend Property Calculation'!$C$6:$BF$6,1,'Base Blend Property Calculation'!BT46)</f>
        <v>Micromix</v>
      </c>
      <c r="C61" s="587"/>
      <c r="D61" s="393">
        <f>VLOOKUP('Bulk Plant Input'!$A$19, 'Base Blend Property Calculation'!$A$6:$BF$159,'Base Blend Property Calculation'!BT48,FALSE)*('Bulk Plant Input'!$I$12/('Bulk Plant Input'!$B$13/1000))</f>
        <v>0</v>
      </c>
      <c r="E61" s="588"/>
      <c r="F61" s="589"/>
      <c r="G61" s="588"/>
      <c r="H61" s="589"/>
    </row>
    <row r="62" spans="2:11" ht="20.100000000000001" hidden="1" customHeight="1" x14ac:dyDescent="0.25">
      <c r="B62" s="586" t="str">
        <f>INDEX('Base Blend Property Calculation'!$C$6:$BF$6,1,'Base Blend Property Calculation'!BT47)</f>
        <v>LCG-1</v>
      </c>
      <c r="C62" s="587"/>
      <c r="D62" s="393">
        <f>VLOOKUP('Bulk Plant Input'!$A$19, 'Base Blend Property Calculation'!$A$6:$BF$159,'Base Blend Property Calculation'!BT49,FALSE)*('Bulk Plant Input'!$I$12/('Bulk Plant Input'!$B$13/1000))</f>
        <v>0</v>
      </c>
      <c r="E62" s="588"/>
      <c r="F62" s="589"/>
      <c r="G62" s="588"/>
      <c r="H62" s="589"/>
    </row>
    <row r="63" spans="2:11" ht="20.100000000000001" hidden="1" customHeight="1" x14ac:dyDescent="0.25">
      <c r="B63" s="586" t="str">
        <f>INDEX('Base Blend Property Calculation'!$C$6:$BF$6,1,'Base Blend Property Calculation'!BT48)</f>
        <v>Gilsonite</v>
      </c>
      <c r="C63" s="587"/>
      <c r="D63" s="393">
        <f>VLOOKUP('Bulk Plant Input'!$A$19, 'Base Blend Property Calculation'!$A$6:$BF$159,'Base Blend Property Calculation'!BT50,FALSE)*('Bulk Plant Input'!$I$12/('Bulk Plant Input'!$B$13/1000))</f>
        <v>0</v>
      </c>
      <c r="E63" s="588"/>
      <c r="F63" s="589"/>
      <c r="G63" s="588"/>
      <c r="H63" s="589"/>
    </row>
    <row r="64" spans="2:11" ht="20.100000000000001" hidden="1" customHeight="1" x14ac:dyDescent="0.25">
      <c r="B64" s="586" t="str">
        <f>INDEX('Base Blend Property Calculation'!$C$6:$BF$6,1,'Base Blend Property Calculation'!BT49)</f>
        <v>SG1500</v>
      </c>
      <c r="C64" s="587"/>
      <c r="D64" s="393">
        <f>VLOOKUP('Bulk Plant Input'!$A$19, 'Base Blend Property Calculation'!$A$6:$BF$159,'Base Blend Property Calculation'!BT51,FALSE)*('Bulk Plant Input'!$I$12/('Bulk Plant Input'!$B$13/1000))</f>
        <v>0</v>
      </c>
      <c r="E64" s="588"/>
      <c r="F64" s="589"/>
      <c r="G64" s="588"/>
      <c r="H64" s="589"/>
    </row>
    <row r="65" spans="2:11" ht="20.100000000000001" hidden="1" customHeight="1" x14ac:dyDescent="0.25">
      <c r="B65" s="586" t="str">
        <f>INDEX('Base Blend Property Calculation'!$C$6:$BF$6,1,'Base Blend Property Calculation'!BT50)</f>
        <v>ASM-3</v>
      </c>
      <c r="C65" s="587"/>
      <c r="D65" s="393">
        <f>VLOOKUP('Bulk Plant Input'!$A$19, 'Base Blend Property Calculation'!$A$6:$BF$159,'Base Blend Property Calculation'!BT52,FALSE)*('Bulk Plant Input'!$I$12/('Bulk Plant Input'!$B$13/1000))</f>
        <v>0</v>
      </c>
      <c r="E65" s="588"/>
      <c r="F65" s="589"/>
      <c r="G65" s="588"/>
      <c r="H65" s="589"/>
    </row>
    <row r="66" spans="2:11" ht="20.100000000000001" hidden="1" customHeight="1" x14ac:dyDescent="0.25">
      <c r="B66" s="586" t="str">
        <f>INDEX('Base Blend Property Calculation'!$C$6:$BF$6,1,'Base Blend Property Calculation'!BT51)</f>
        <v>Ciment Fondu</v>
      </c>
      <c r="C66" s="587"/>
      <c r="D66" s="393">
        <f>VLOOKUP('Bulk Plant Input'!$A$19, 'Base Blend Property Calculation'!$A$6:$BF$159,'Base Blend Property Calculation'!BT53,FALSE)*('Bulk Plant Input'!$I$12/('Bulk Plant Input'!$B$13/1000))</f>
        <v>0</v>
      </c>
      <c r="E66" s="588"/>
      <c r="F66" s="589"/>
      <c r="G66" s="588"/>
      <c r="H66" s="589"/>
    </row>
    <row r="67" spans="2:11" ht="20.100000000000001" hidden="1" customHeight="1" x14ac:dyDescent="0.25">
      <c r="B67" s="586" t="str">
        <f>INDEX('Base Blend Property Calculation'!$C$6:$BF$6,1,'Base Blend Property Calculation'!BT52)</f>
        <v>CFL-10</v>
      </c>
      <c r="C67" s="587"/>
      <c r="D67" s="393">
        <f>VLOOKUP('Bulk Plant Input'!$A$19, 'Base Blend Property Calculation'!$A$6:$BF$159,'Base Blend Property Calculation'!BT54,FALSE)*('Bulk Plant Input'!$I$12/('Bulk Plant Input'!$B$13/1000))</f>
        <v>0</v>
      </c>
      <c r="E67" s="588"/>
      <c r="F67" s="589"/>
      <c r="G67" s="588"/>
      <c r="H67" s="589"/>
      <c r="K67" s="409"/>
    </row>
    <row r="68" spans="2:11" ht="20.100000000000001" hidden="1" customHeight="1" x14ac:dyDescent="0.25">
      <c r="B68" s="586" t="str">
        <f>INDEX('Base Blend Property Calculation'!$C$6:$BF$6,1,'Base Blend Property Calculation'!BT53)</f>
        <v>CDM-4</v>
      </c>
      <c r="C68" s="587"/>
      <c r="D68" s="393">
        <f>VLOOKUP('Bulk Plant Input'!$A$19, 'Base Blend Property Calculation'!$A$6:$BF$159,'Base Blend Property Calculation'!BT55,FALSE)*('Bulk Plant Input'!$I$12/('Bulk Plant Input'!$B$13/1000))</f>
        <v>0</v>
      </c>
      <c r="E68" s="588"/>
      <c r="F68" s="589"/>
      <c r="G68" s="588"/>
      <c r="H68" s="589"/>
      <c r="K68" s="409"/>
    </row>
    <row r="69" spans="2:11" ht="20.100000000000001" hidden="1" customHeight="1" x14ac:dyDescent="0.25">
      <c r="B69" s="586" t="str">
        <f>INDEX('Base Blend Property Calculation'!$C$6:$BF$6,1,'Base Blend Property Calculation'!BT54)</f>
        <v>None</v>
      </c>
      <c r="C69" s="587"/>
      <c r="D69" s="393">
        <f>VLOOKUP('Bulk Plant Input'!$A$19, 'Base Blend Property Calculation'!$A$6:$BF$159,'Base Blend Property Calculation'!BT56,FALSE)*('Bulk Plant Input'!$I$12/('Bulk Plant Input'!$B$13/1000))</f>
        <v>0</v>
      </c>
      <c r="E69" s="588"/>
      <c r="F69" s="589"/>
      <c r="G69" s="588"/>
      <c r="H69" s="589"/>
      <c r="K69" s="409"/>
    </row>
    <row r="70" spans="2:11" ht="20.100000000000001" hidden="1" customHeight="1" x14ac:dyDescent="0.25">
      <c r="B70" s="586" t="str">
        <f>INDEX('Base Blend Property Calculation'!$C$6:$BF$6,1,'Base Blend Property Calculation'!BT55)</f>
        <v>None</v>
      </c>
      <c r="C70" s="587"/>
      <c r="D70" s="393">
        <f>VLOOKUP('Bulk Plant Input'!$A$19, 'Base Blend Property Calculation'!$A$6:$BF$159,'Base Blend Property Calculation'!BT57,FALSE)*('Bulk Plant Input'!$I$12/('Bulk Plant Input'!$B$13/1000))</f>
        <v>0</v>
      </c>
      <c r="E70" s="588"/>
      <c r="F70" s="589"/>
      <c r="G70" s="588"/>
      <c r="H70" s="589"/>
      <c r="K70" s="409"/>
    </row>
    <row r="71" spans="2:11" ht="20.100000000000001" hidden="1" customHeight="1" x14ac:dyDescent="0.25">
      <c r="B71" s="586" t="str">
        <f>INDEX('Base Blend Property Calculation'!$C$6:$BF$6,1,'Base Blend Property Calculation'!BT56)</f>
        <v>None</v>
      </c>
      <c r="C71" s="587"/>
      <c r="D71" s="393">
        <f>VLOOKUP('Bulk Plant Input'!$A$19, 'Base Blend Property Calculation'!$A$6:$BF$159,'Base Blend Property Calculation'!BT58,FALSE)*('Bulk Plant Input'!$I$12/('Bulk Plant Input'!$B$13/1000))</f>
        <v>0</v>
      </c>
      <c r="E71" s="588"/>
      <c r="F71" s="589"/>
      <c r="G71" s="588"/>
      <c r="H71" s="589"/>
      <c r="K71" s="409"/>
    </row>
    <row r="72" spans="2:11" ht="20.100000000000001" hidden="1" customHeight="1" x14ac:dyDescent="0.25">
      <c r="B72" s="586" t="str">
        <f>INDEX('Base Blend Property Calculation'!$C$6:$BF$6,1,'Base Blend Property Calculation'!BT57)</f>
        <v>None</v>
      </c>
      <c r="C72" s="587"/>
      <c r="D72" s="393">
        <f>VLOOKUP('Bulk Plant Input'!$A$19, 'Base Blend Property Calculation'!$A$6:$BF$159,'Base Blend Property Calculation'!BT59,FALSE)*('Bulk Plant Input'!$I$12/('Bulk Plant Input'!$B$13/1000))</f>
        <v>0</v>
      </c>
      <c r="E72" s="588"/>
      <c r="F72" s="589"/>
      <c r="G72" s="588"/>
      <c r="H72" s="589"/>
      <c r="K72" s="409"/>
    </row>
    <row r="73" spans="2:11" ht="20.100000000000001" hidden="1" customHeight="1" x14ac:dyDescent="0.25">
      <c r="B73" s="586" t="str">
        <f>INDEX('Base Blend Property Calculation'!$C$6:$BF$6,1,'Base Blend Property Calculation'!BT58)</f>
        <v>None</v>
      </c>
      <c r="C73" s="587"/>
      <c r="D73" s="393">
        <f>VLOOKUP('Bulk Plant Input'!$A$19, 'Base Blend Property Calculation'!$A$6:$BF$159,'Base Blend Property Calculation'!BT60,FALSE)*('Bulk Plant Input'!$I$12/('Bulk Plant Input'!$B$13/1000))</f>
        <v>0</v>
      </c>
      <c r="E73" s="588"/>
      <c r="F73" s="589"/>
      <c r="G73" s="588"/>
      <c r="H73" s="589"/>
      <c r="K73" s="409"/>
    </row>
    <row r="74" spans="2:11" ht="20.100000000000001" hidden="1" customHeight="1" x14ac:dyDescent="0.25">
      <c r="B74" s="586" t="str">
        <f>INDEX('Base Blend Property Calculation'!$C$6:$BF$6,1,'Base Blend Property Calculation'!BT59)</f>
        <v>None</v>
      </c>
      <c r="C74" s="587"/>
      <c r="D74" s="393">
        <f>VLOOKUP('Bulk Plant Input'!$A$19, 'Base Blend Property Calculation'!$A$6:$BF$159,'Base Blend Property Calculation'!BT61,FALSE)*('Bulk Plant Input'!$I$12/('Bulk Plant Input'!$B$13/1000))</f>
        <v>0</v>
      </c>
      <c r="E74" s="588"/>
      <c r="F74" s="589"/>
      <c r="G74" s="588"/>
      <c r="H74" s="589"/>
      <c r="K74" s="409"/>
    </row>
    <row r="75" spans="2:11" ht="20.100000000000001" hidden="1" customHeight="1" x14ac:dyDescent="0.25">
      <c r="B75" s="586" t="str">
        <f>INDEX('Base Blend Property Calculation'!$C$6:$BF$6,1,'Base Blend Property Calculation'!BT60)</f>
        <v>None</v>
      </c>
      <c r="C75" s="587"/>
      <c r="D75" s="393">
        <f>VLOOKUP('Bulk Plant Input'!$A$19, 'Base Blend Property Calculation'!$A$6:$BF$159,'Base Blend Property Calculation'!BT62,FALSE)*('Bulk Plant Input'!$I$12/('Bulk Plant Input'!$B$13/1000))</f>
        <v>0</v>
      </c>
      <c r="E75" s="588"/>
      <c r="F75" s="589"/>
      <c r="G75" s="588"/>
      <c r="H75" s="589"/>
      <c r="K75" s="409"/>
    </row>
    <row r="76" spans="2:11" ht="20.100000000000001" hidden="1" customHeight="1" x14ac:dyDescent="0.25">
      <c r="B76" s="586" t="str">
        <f>INDEX('Base Blend Property Calculation'!$C$6:$BF$6,1,'Base Blend Property Calculation'!BT61)</f>
        <v>None</v>
      </c>
      <c r="C76" s="587"/>
      <c r="D76" s="393">
        <f>VLOOKUP('Bulk Plant Input'!$A$19, 'Base Blend Property Calculation'!$A$6:$BF$159,'Base Blend Property Calculation'!BT63,FALSE)*('Bulk Plant Input'!$I$12/('Bulk Plant Input'!$B$13/1000))</f>
        <v>0</v>
      </c>
      <c r="E76" s="588"/>
      <c r="F76" s="589"/>
      <c r="G76" s="588"/>
      <c r="H76" s="589"/>
      <c r="K76" s="409"/>
    </row>
    <row r="77" spans="2:11" ht="20.100000000000001" hidden="1" customHeight="1" x14ac:dyDescent="0.25">
      <c r="D77" s="394" t="s">
        <v>198</v>
      </c>
      <c r="K77" s="409"/>
    </row>
    <row r="78" spans="2:11" ht="20.100000000000001" hidden="1" customHeight="1" x14ac:dyDescent="0.25">
      <c r="B78" s="600" t="str">
        <f>IF('Bulk Plant Input'!$I$12="","1st Batch Not Entered","ADDITIVES - Batch 1")</f>
        <v>1st Batch Not Entered</v>
      </c>
      <c r="C78" s="600"/>
      <c r="D78" s="471" t="s">
        <v>198</v>
      </c>
      <c r="K78" s="409"/>
    </row>
    <row r="79" spans="2:11" ht="30" hidden="1" customHeight="1" x14ac:dyDescent="0.25">
      <c r="B79" s="590" t="str">
        <f>IF('Bulk Plant Input'!$I$12="","","Additive Name")</f>
        <v/>
      </c>
      <c r="C79" s="591"/>
      <c r="D79" s="395" t="str">
        <f>IF('Bulk Plant Input'!$I$12="","","Required (kg)")</f>
        <v/>
      </c>
      <c r="E79" s="596" t="str">
        <f>IF('Bulk Plant Input'!$I$12="","","Loaded
 (kg)")</f>
        <v/>
      </c>
      <c r="F79" s="597"/>
      <c r="G79" s="602" t="str">
        <f>IF('Bulk Plant Input'!$I$12="","","Lot #")</f>
        <v/>
      </c>
      <c r="H79" s="602"/>
      <c r="K79" s="409"/>
    </row>
    <row r="80" spans="2:11" hidden="1" x14ac:dyDescent="0.25">
      <c r="B80" s="588">
        <f>'Bulk Plant Input'!A23</f>
        <v>0</v>
      </c>
      <c r="C80" s="589"/>
      <c r="D80" s="393">
        <f>IF(B80=0,0,'Bulk Plant Input'!C23*('Bulk Plant Input'!$I$12/('Bulk Plant Input'!$B$13/1000)))</f>
        <v>0</v>
      </c>
      <c r="E80" s="601"/>
      <c r="F80" s="601"/>
      <c r="G80" s="601"/>
      <c r="H80" s="601"/>
      <c r="K80" s="409"/>
    </row>
    <row r="81" spans="2:11" hidden="1" x14ac:dyDescent="0.25">
      <c r="B81" s="588">
        <f>'Bulk Plant Input'!A24</f>
        <v>0</v>
      </c>
      <c r="C81" s="589"/>
      <c r="D81" s="393">
        <f>IF(B81=0,0,'Bulk Plant Input'!C24*('Bulk Plant Input'!$I$12/('Bulk Plant Input'!$B$13/1000)))</f>
        <v>0</v>
      </c>
      <c r="E81" s="601"/>
      <c r="F81" s="601"/>
      <c r="G81" s="601"/>
      <c r="H81" s="601"/>
      <c r="K81" s="409"/>
    </row>
    <row r="82" spans="2:11" ht="20.100000000000001" hidden="1" customHeight="1" x14ac:dyDescent="0.25">
      <c r="B82" s="588">
        <f>'Bulk Plant Input'!A25</f>
        <v>0</v>
      </c>
      <c r="C82" s="589"/>
      <c r="D82" s="393">
        <f>IF(B82=0,0,'Bulk Plant Input'!C25*('Bulk Plant Input'!$I$12/('Bulk Plant Input'!$B$13/1000)))</f>
        <v>0</v>
      </c>
      <c r="E82" s="601"/>
      <c r="F82" s="601"/>
      <c r="G82" s="601"/>
      <c r="H82" s="601"/>
      <c r="K82" s="409"/>
    </row>
    <row r="83" spans="2:11" ht="20.100000000000001" hidden="1" customHeight="1" x14ac:dyDescent="0.25">
      <c r="B83" s="588">
        <f>'Bulk Plant Input'!A26</f>
        <v>0</v>
      </c>
      <c r="C83" s="589"/>
      <c r="D83" s="393">
        <f>IF(B83=0,0,'Bulk Plant Input'!C26*('Bulk Plant Input'!$I$12/('Bulk Plant Input'!$B$13/1000)))</f>
        <v>0</v>
      </c>
      <c r="E83" s="601"/>
      <c r="F83" s="601"/>
      <c r="G83" s="601"/>
      <c r="H83" s="601"/>
    </row>
    <row r="84" spans="2:11" ht="20.100000000000001" hidden="1" customHeight="1" x14ac:dyDescent="0.25">
      <c r="B84" s="588">
        <f>'Bulk Plant Input'!A27</f>
        <v>0</v>
      </c>
      <c r="C84" s="589"/>
      <c r="D84" s="393">
        <f>IF(B84=0,0,'Bulk Plant Input'!C27*('Bulk Plant Input'!$I$12/('Bulk Plant Input'!$B$13/1000)))</f>
        <v>0</v>
      </c>
      <c r="E84" s="601"/>
      <c r="F84" s="601"/>
      <c r="G84" s="601"/>
      <c r="H84" s="601"/>
    </row>
    <row r="85" spans="2:11" ht="20.100000000000001" hidden="1" customHeight="1" x14ac:dyDescent="0.25">
      <c r="B85" s="588">
        <f>'Bulk Plant Input'!A28</f>
        <v>0</v>
      </c>
      <c r="C85" s="589"/>
      <c r="D85" s="393">
        <f>IF(B85=0,0,'Bulk Plant Input'!C28*('Bulk Plant Input'!$I$12/('Bulk Plant Input'!$B$13/1000)))</f>
        <v>0</v>
      </c>
      <c r="E85" s="601"/>
      <c r="F85" s="601"/>
      <c r="G85" s="601"/>
      <c r="H85" s="601"/>
    </row>
    <row r="86" spans="2:11" ht="20.100000000000001" hidden="1" customHeight="1" x14ac:dyDescent="0.25">
      <c r="B86" s="588">
        <f>'Bulk Plant Input'!A29</f>
        <v>0</v>
      </c>
      <c r="C86" s="589"/>
      <c r="D86" s="393">
        <f>IF(B86=0,0,'Bulk Plant Input'!C29*('Bulk Plant Input'!$I$12/('Bulk Plant Input'!$B$13/1000)))</f>
        <v>0</v>
      </c>
      <c r="E86" s="601"/>
      <c r="F86" s="601"/>
      <c r="G86" s="601"/>
      <c r="H86" s="601"/>
    </row>
    <row r="87" spans="2:11" ht="20.100000000000001" hidden="1" customHeight="1" x14ac:dyDescent="0.25">
      <c r="B87" s="588">
        <f>'Bulk Plant Input'!A30</f>
        <v>0</v>
      </c>
      <c r="C87" s="589"/>
      <c r="D87" s="393">
        <f>IF(B87=0,0,'Bulk Plant Input'!C30*('Bulk Plant Input'!$I$12/('Bulk Plant Input'!$B$13/1000)))</f>
        <v>0</v>
      </c>
      <c r="E87" s="601"/>
      <c r="F87" s="601"/>
      <c r="G87" s="601"/>
      <c r="H87" s="601"/>
    </row>
    <row r="88" spans="2:11" ht="20.100000000000001" hidden="1" customHeight="1" x14ac:dyDescent="0.25">
      <c r="B88" s="588">
        <f>'Bulk Plant Input'!A31</f>
        <v>0</v>
      </c>
      <c r="C88" s="589"/>
      <c r="D88" s="393">
        <f>IF(B88=0,0,'Bulk Plant Input'!C31*('Bulk Plant Input'!$I$12/('Bulk Plant Input'!$B$13/1000)))</f>
        <v>0</v>
      </c>
      <c r="E88" s="601"/>
      <c r="F88" s="601"/>
      <c r="G88" s="601"/>
      <c r="H88" s="601"/>
    </row>
    <row r="89" spans="2:11" ht="20.100000000000001" hidden="1" customHeight="1" x14ac:dyDescent="0.25">
      <c r="B89" s="588">
        <f>'Bulk Plant Input'!A32</f>
        <v>0</v>
      </c>
      <c r="C89" s="589"/>
      <c r="D89" s="393">
        <f>IF(B89=0,0,'Bulk Plant Input'!C32*('Bulk Plant Input'!$I$12/('Bulk Plant Input'!$B$13/1000)))</f>
        <v>0</v>
      </c>
      <c r="E89" s="601"/>
      <c r="F89" s="601"/>
      <c r="G89" s="601"/>
      <c r="H89" s="601"/>
    </row>
    <row r="90" spans="2:11" ht="20.100000000000001" hidden="1" customHeight="1" x14ac:dyDescent="0.25">
      <c r="B90" s="588">
        <f>'Bulk Plant Input'!A33</f>
        <v>0</v>
      </c>
      <c r="C90" s="589"/>
      <c r="D90" s="393">
        <f>IF(B90=0,0,'Bulk Plant Input'!C33*('Bulk Plant Input'!$I$12/('Bulk Plant Input'!$B$13/1000)))</f>
        <v>0</v>
      </c>
      <c r="E90" s="601"/>
      <c r="F90" s="601"/>
      <c r="G90" s="601"/>
      <c r="H90" s="601"/>
    </row>
    <row r="91" spans="2:11" ht="20.100000000000001" hidden="1" customHeight="1" x14ac:dyDescent="0.25">
      <c r="B91" s="588">
        <f>'Bulk Plant Input'!A34</f>
        <v>0</v>
      </c>
      <c r="C91" s="589"/>
      <c r="D91" s="393">
        <f>IF(B91=0,0,'Bulk Plant Input'!C34*('Bulk Plant Input'!$I$12/('Bulk Plant Input'!$B$13/1000)))</f>
        <v>0</v>
      </c>
      <c r="E91" s="601"/>
      <c r="F91" s="601"/>
      <c r="G91" s="601"/>
      <c r="H91" s="601"/>
    </row>
    <row r="92" spans="2:11" ht="20.100000000000001" hidden="1" customHeight="1" x14ac:dyDescent="0.25">
      <c r="B92" s="588">
        <f>'Bulk Plant Input'!A35</f>
        <v>0</v>
      </c>
      <c r="C92" s="589"/>
      <c r="D92" s="393">
        <f>IF(B92=0,0,'Bulk Plant Input'!C35*('Bulk Plant Input'!$I$12/('Bulk Plant Input'!$B$13/1000)))</f>
        <v>0</v>
      </c>
      <c r="E92" s="601"/>
      <c r="F92" s="601"/>
      <c r="G92" s="601"/>
      <c r="H92" s="601"/>
    </row>
    <row r="93" spans="2:11" ht="20.100000000000001" hidden="1" customHeight="1" x14ac:dyDescent="0.25">
      <c r="B93" s="588">
        <f>'Bulk Plant Input'!A36</f>
        <v>0</v>
      </c>
      <c r="C93" s="589"/>
      <c r="D93" s="393">
        <f>IF(B93=0,0,'Bulk Plant Input'!C36*('Bulk Plant Input'!$I$12/('Bulk Plant Input'!$B$13/1000)))</f>
        <v>0</v>
      </c>
      <c r="E93" s="601"/>
      <c r="F93" s="601"/>
      <c r="G93" s="601"/>
      <c r="H93" s="601"/>
    </row>
    <row r="94" spans="2:11" ht="20.100000000000001" hidden="1" customHeight="1" x14ac:dyDescent="0.25">
      <c r="B94" s="601">
        <f>'Bulk Plant Input'!A37</f>
        <v>0</v>
      </c>
      <c r="C94" s="601"/>
      <c r="D94" s="393">
        <f>IF(B94=0,0,'Bulk Plant Input'!C37*('Bulk Plant Input'!$I$12/('Bulk Plant Input'!$B$13/1000)))</f>
        <v>0</v>
      </c>
      <c r="E94" s="601"/>
      <c r="F94" s="601"/>
      <c r="G94" s="601"/>
      <c r="H94" s="601"/>
    </row>
    <row r="95" spans="2:11" ht="20.100000000000001" hidden="1" customHeight="1" x14ac:dyDescent="0.25">
      <c r="B95" s="599">
        <f>'Bulk Plant Input'!A43</f>
        <v>0</v>
      </c>
      <c r="C95" s="599"/>
      <c r="D95" s="393">
        <f>IF(B95=0,0,'Bulk Plant Input'!C38*('Bulk Plant Input'!$I$12/('Bulk Plant Input'!$B$13/1000)))</f>
        <v>0</v>
      </c>
      <c r="E95" s="599"/>
      <c r="F95" s="599"/>
      <c r="G95" s="599"/>
      <c r="H95" s="599"/>
    </row>
    <row r="96" spans="2:11" ht="20.100000000000001" hidden="1" customHeight="1" x14ac:dyDescent="0.25">
      <c r="B96" s="599">
        <f>'Bulk Plant Input'!A44</f>
        <v>0</v>
      </c>
      <c r="C96" s="599"/>
      <c r="D96" s="393">
        <f>IF(B96=0,0,'Bulk Plant Input'!C39*('Bulk Plant Input'!$I$12/('Bulk Plant Input'!$B$13/1000)))</f>
        <v>0</v>
      </c>
      <c r="E96" s="599"/>
      <c r="F96" s="599"/>
      <c r="G96" s="599"/>
      <c r="H96" s="599"/>
    </row>
    <row r="97" spans="1:11" ht="15" customHeight="1" x14ac:dyDescent="0.25">
      <c r="B97" s="448"/>
      <c r="C97" s="448"/>
      <c r="D97" s="396" t="s">
        <v>198</v>
      </c>
      <c r="E97" s="448"/>
      <c r="F97" s="448"/>
      <c r="G97" s="448"/>
      <c r="H97" s="448"/>
    </row>
    <row r="98" spans="1:11" x14ac:dyDescent="0.25">
      <c r="A98" s="449"/>
      <c r="B98" s="449"/>
      <c r="C98" s="449"/>
      <c r="D98" s="397" t="s">
        <v>198</v>
      </c>
      <c r="E98" s="449"/>
      <c r="F98" s="449"/>
      <c r="G98" s="449"/>
      <c r="H98" s="449"/>
      <c r="I98" s="449"/>
      <c r="J98" s="449"/>
      <c r="K98" s="449"/>
    </row>
    <row r="99" spans="1:11" hidden="1" x14ac:dyDescent="0.25">
      <c r="A99" s="409"/>
      <c r="B99" s="409"/>
      <c r="C99" s="409"/>
      <c r="D99" s="398" t="s">
        <v>198</v>
      </c>
      <c r="E99" s="409"/>
      <c r="F99" s="409"/>
      <c r="G99" s="409"/>
      <c r="H99" s="409"/>
      <c r="I99" s="409"/>
      <c r="J99" s="409"/>
      <c r="K99" s="409"/>
    </row>
    <row r="100" spans="1:11" ht="15.75" hidden="1" x14ac:dyDescent="0.25">
      <c r="B100" s="600" t="str">
        <f>IF('Bulk Plant Input'!$I$13="","2nd Batch Not Entered","BASE BLEND - Batch 2")</f>
        <v>2nd Batch Not Entered</v>
      </c>
      <c r="C100" s="600"/>
      <c r="D100" s="399" t="s">
        <v>198</v>
      </c>
      <c r="E100" s="428"/>
      <c r="F100" s="428"/>
      <c r="G100" s="428"/>
      <c r="H100" s="428"/>
    </row>
    <row r="101" spans="1:11" ht="30" hidden="1" customHeight="1" x14ac:dyDescent="0.25">
      <c r="B101" s="605" t="str">
        <f>IF('Bulk Plant Input'!$I$13="","","Material")</f>
        <v/>
      </c>
      <c r="C101" s="605"/>
      <c r="D101" s="400" t="str">
        <f>IF('Bulk Plant Input'!$I$13="","","Required (kg)")</f>
        <v/>
      </c>
      <c r="E101" s="605" t="str">
        <f>IF('Bulk Plant Input'!$I$13="","","Loaded
 (kg)")</f>
        <v/>
      </c>
      <c r="F101" s="605"/>
      <c r="G101" s="605" t="str">
        <f>IF('Bulk Plant Input'!$I$13="","","Lot #")</f>
        <v/>
      </c>
      <c r="H101" s="605"/>
    </row>
    <row r="102" spans="1:11" hidden="1" x14ac:dyDescent="0.25">
      <c r="B102" s="588" t="str">
        <f>INDEX('Base Blend Property Calculation'!$C$6:$BF$6,1,'Base Blend Property Calculation'!BT7)</f>
        <v>Class A</v>
      </c>
      <c r="C102" s="589"/>
      <c r="D102" s="401">
        <f>VLOOKUP('Bulk Plant Input'!$A$19, 'Base Blend Property Calculation'!$A$6:$BF$159,'Base Blend Property Calculation'!BT9,FALSE)*('Bulk Plant Input'!$I$13/('Bulk Plant Input'!$B$13/1000))</f>
        <v>0</v>
      </c>
      <c r="E102" s="601"/>
      <c r="F102" s="601"/>
      <c r="G102" s="601"/>
      <c r="H102" s="601"/>
    </row>
    <row r="103" spans="1:11" hidden="1" x14ac:dyDescent="0.25">
      <c r="B103" s="588" t="str">
        <f>INDEX('Base Blend Property Calculation'!$C$6:$BF$6,1,'Base Blend Property Calculation'!BT8)</f>
        <v>Class C</v>
      </c>
      <c r="C103" s="589"/>
      <c r="D103" s="401">
        <f>VLOOKUP('Bulk Plant Input'!$A$19, 'Base Blend Property Calculation'!$A$6:$BF$159,'Base Blend Property Calculation'!BT10,FALSE)*('Bulk Plant Input'!$I$13/('Bulk Plant Input'!$B$13/1000))</f>
        <v>0</v>
      </c>
      <c r="E103" s="601"/>
      <c r="F103" s="601"/>
      <c r="G103" s="601"/>
      <c r="H103" s="601"/>
    </row>
    <row r="104" spans="1:11" hidden="1" x14ac:dyDescent="0.25">
      <c r="B104" s="588" t="str">
        <f>INDEX('Base Blend Property Calculation'!$C$6:$BF$6,1,'Base Blend Property Calculation'!BT9)</f>
        <v>Class G</v>
      </c>
      <c r="C104" s="589"/>
      <c r="D104" s="393">
        <f>VLOOKUP('Bulk Plant Input'!$A$19, 'Base Blend Property Calculation'!$A$6:$BF$159,'Base Blend Property Calculation'!BT11,FALSE)*('Bulk Plant Input'!$I$13/('Bulk Plant Input'!$B$13/1000))</f>
        <v>0</v>
      </c>
      <c r="E104" s="601"/>
      <c r="F104" s="601"/>
      <c r="G104" s="601"/>
      <c r="H104" s="601"/>
    </row>
    <row r="105" spans="1:11" ht="15" hidden="1" customHeight="1" x14ac:dyDescent="0.25">
      <c r="B105" s="588" t="str">
        <f>INDEX('Base Blend Property Calculation'!$C$6:$BF$6,1,'Base Blend Property Calculation'!BT10)</f>
        <v>Class H</v>
      </c>
      <c r="C105" s="589"/>
      <c r="D105" s="393">
        <f>VLOOKUP('Bulk Plant Input'!$A$19, 'Base Blend Property Calculation'!$A$6:$BF$159,'Base Blend Property Calculation'!BT12,FALSE)*('Bulk Plant Input'!$I$13/('Bulk Plant Input'!$B$13/1000))</f>
        <v>0</v>
      </c>
      <c r="E105" s="601"/>
      <c r="F105" s="601"/>
      <c r="G105" s="601"/>
      <c r="H105" s="601"/>
    </row>
    <row r="106" spans="1:11" ht="15" hidden="1" customHeight="1" x14ac:dyDescent="0.25">
      <c r="B106" s="588" t="str">
        <f>INDEX('Base Blend Property Calculation'!$C$6:$BF$6,1,'Base Blend Property Calculation'!BT11)</f>
        <v>Intercem</v>
      </c>
      <c r="C106" s="589"/>
      <c r="D106" s="393">
        <f>VLOOKUP('Bulk Plant Input'!$A$19, 'Base Blend Property Calculation'!$A$6:$BF$159,'Base Blend Property Calculation'!BT13,FALSE)*('Bulk Plant Input'!$I$13/('Bulk Plant Input'!$B$13/1000))</f>
        <v>0</v>
      </c>
      <c r="E106" s="601"/>
      <c r="F106" s="601"/>
      <c r="G106" s="601"/>
      <c r="H106" s="601"/>
    </row>
    <row r="107" spans="1:11" ht="15" hidden="1" customHeight="1" x14ac:dyDescent="0.25">
      <c r="B107" s="588" t="str">
        <f>INDEX('Base Blend Property Calculation'!$C$6:$BF$6,1,'Base Blend Property Calculation'!BT12)</f>
        <v>Colloid SQ-A</v>
      </c>
      <c r="C107" s="589"/>
      <c r="D107" s="393">
        <f>VLOOKUP('Bulk Plant Input'!$A$19, 'Base Blend Property Calculation'!$A$6:$BF$159,'Base Blend Property Calculation'!BT14,FALSE)*('Bulk Plant Input'!$I$13/('Bulk Plant Input'!$B$13/1000))</f>
        <v>0</v>
      </c>
      <c r="E107" s="601"/>
      <c r="F107" s="601"/>
      <c r="G107" s="601"/>
      <c r="H107" s="601"/>
    </row>
    <row r="108" spans="1:11" ht="15" hidden="1" customHeight="1" x14ac:dyDescent="0.25">
      <c r="B108" s="588" t="str">
        <f>INDEX('Base Blend Property Calculation'!$C$6:$BF$6,1,'Base Blend Property Calculation'!BT13)</f>
        <v>Flyash</v>
      </c>
      <c r="C108" s="589"/>
      <c r="D108" s="393">
        <f>VLOOKUP('Bulk Plant Input'!$A$19, 'Base Blend Property Calculation'!$A$6:$BF$159,'Base Blend Property Calculation'!BT15,FALSE)*('Bulk Plant Input'!$I$13/('Bulk Plant Input'!$B$13/1000))</f>
        <v>0</v>
      </c>
      <c r="E108" s="601"/>
      <c r="F108" s="601"/>
      <c r="G108" s="601"/>
      <c r="H108" s="601"/>
    </row>
    <row r="109" spans="1:11" ht="15" hidden="1" customHeight="1" x14ac:dyDescent="0.25">
      <c r="B109" s="588" t="str">
        <f>INDEX('Base Blend Property Calculation'!$C$6:$BF$6,1,'Base Blend Property Calculation'!BT14)</f>
        <v>Flyash (Sask)</v>
      </c>
      <c r="C109" s="589"/>
      <c r="D109" s="393">
        <f>VLOOKUP('Bulk Plant Input'!$A$19, 'Base Blend Property Calculation'!$A$6:$BF$159,'Base Blend Property Calculation'!BT16,FALSE)*('Bulk Plant Input'!$I$13/('Bulk Plant Input'!$B$13/1000))</f>
        <v>0</v>
      </c>
      <c r="E109" s="601"/>
      <c r="F109" s="601"/>
      <c r="G109" s="601"/>
      <c r="H109" s="601"/>
    </row>
    <row r="110" spans="1:11" ht="30" hidden="1" customHeight="1" x14ac:dyDescent="0.25">
      <c r="B110" s="588" t="str">
        <f>INDEX('Base Blend Property Calculation'!$C$6:$BF$6,1,'Base Blend Property Calculation'!BT15)</f>
        <v>Densified Fume</v>
      </c>
      <c r="C110" s="589"/>
      <c r="D110" s="393">
        <f>VLOOKUP('Bulk Plant Input'!$A$19, 'Base Blend Property Calculation'!$A$6:$BF$159,'Base Blend Property Calculation'!BT17,FALSE)*('Bulk Plant Input'!$I$13/('Bulk Plant Input'!$B$13/1000))</f>
        <v>0</v>
      </c>
      <c r="E110" s="601"/>
      <c r="F110" s="601"/>
      <c r="G110" s="601"/>
      <c r="H110" s="601"/>
    </row>
    <row r="111" spans="1:11" ht="15" hidden="1" customHeight="1" x14ac:dyDescent="0.25">
      <c r="B111" s="588" t="str">
        <f>INDEX('Base Blend Property Calculation'!$C$6:$BF$6,1,'Base Blend Property Calculation'!BT16)</f>
        <v>Silica Fume - Semi-Densified</v>
      </c>
      <c r="C111" s="589"/>
      <c r="D111" s="393">
        <f>VLOOKUP('Bulk Plant Input'!$A$19, 'Base Blend Property Calculation'!$A$6:$BF$159,'Base Blend Property Calculation'!BT18,FALSE)*('Bulk Plant Input'!$I$13/('Bulk Plant Input'!$B$13/1000))</f>
        <v>0</v>
      </c>
      <c r="E111" s="601"/>
      <c r="F111" s="601"/>
      <c r="G111" s="601"/>
      <c r="H111" s="601"/>
    </row>
    <row r="112" spans="1:11" ht="15" hidden="1" customHeight="1" x14ac:dyDescent="0.25">
      <c r="B112" s="588" t="str">
        <f>INDEX('Base Blend Property Calculation'!$C$6:$BF$6,1,'Base Blend Property Calculation'!BT17)</f>
        <v>Sanlite</v>
      </c>
      <c r="C112" s="589"/>
      <c r="D112" s="393">
        <f>VLOOKUP('Bulk Plant Input'!$A$19, 'Base Blend Property Calculation'!$A$6:$BF$159,'Base Blend Property Calculation'!BT19,FALSE)*('Bulk Plant Input'!$I$13/('Bulk Plant Input'!$B$13/1000))</f>
        <v>0</v>
      </c>
      <c r="E112" s="601"/>
      <c r="F112" s="601"/>
      <c r="G112" s="601"/>
      <c r="H112" s="601"/>
    </row>
    <row r="113" spans="2:8" ht="15" hidden="1" customHeight="1" x14ac:dyDescent="0.25">
      <c r="B113" s="588" t="str">
        <f>INDEX('Base Blend Property Calculation'!$C$6:$BF$6,1,'Base Blend Property Calculation'!BT18)</f>
        <v>Silica Flour</v>
      </c>
      <c r="C113" s="589"/>
      <c r="D113" s="393">
        <f>VLOOKUP('Bulk Plant Input'!$A$19, 'Base Blend Property Calculation'!$A$6:$BF$159,'Base Blend Property Calculation'!BT20,FALSE)*('Bulk Plant Input'!$I$13/('Bulk Plant Input'!$B$13/1000))</f>
        <v>0</v>
      </c>
      <c r="E113" s="601"/>
      <c r="F113" s="601"/>
      <c r="G113" s="601"/>
      <c r="H113" s="601"/>
    </row>
    <row r="114" spans="2:8" hidden="1" x14ac:dyDescent="0.25">
      <c r="B114" s="588" t="str">
        <f>INDEX('Base Blend Property Calculation'!$C$6:$BF$6,1,'Base Blend Property Calculation'!BT19)</f>
        <v>Gel</v>
      </c>
      <c r="C114" s="589"/>
      <c r="D114" s="393">
        <f>VLOOKUP('Bulk Plant Input'!$A$19, 'Base Blend Property Calculation'!$A$6:$BF$159,'Base Blend Property Calculation'!BT21,FALSE)*('Bulk Plant Input'!$I$13/('Bulk Plant Input'!$B$13/1000))</f>
        <v>0</v>
      </c>
      <c r="E114" s="601"/>
      <c r="F114" s="601"/>
      <c r="G114" s="601"/>
      <c r="H114" s="601"/>
    </row>
    <row r="115" spans="2:8" ht="15" hidden="1" customHeight="1" x14ac:dyDescent="0.25">
      <c r="B115" s="588" t="str">
        <f>INDEX('Base Blend Property Calculation'!$C$6:$BF$6,1,'Base Blend Property Calculation'!BT20)</f>
        <v>SCA-1</v>
      </c>
      <c r="C115" s="589"/>
      <c r="D115" s="393">
        <f>VLOOKUP('Bulk Plant Input'!$A$19, 'Base Blend Property Calculation'!$A$6:$BF$159,'Base Blend Property Calculation'!BT22,FALSE)*('Bulk Plant Input'!$I$13/('Bulk Plant Input'!$B$13/1000))</f>
        <v>0</v>
      </c>
      <c r="E115" s="601"/>
      <c r="F115" s="601"/>
      <c r="G115" s="601"/>
      <c r="H115" s="601"/>
    </row>
    <row r="116" spans="2:8" ht="15" hidden="1" customHeight="1" x14ac:dyDescent="0.25">
      <c r="B116" s="588" t="str">
        <f>INDEX('Base Blend Property Calculation'!$C$6:$BF$6,1,'Base Blend Property Calculation'!BT21)</f>
        <v>Hematite</v>
      </c>
      <c r="C116" s="589"/>
      <c r="D116" s="393">
        <f>VLOOKUP('Bulk Plant Input'!$A$19, 'Base Blend Property Calculation'!$A$6:$BF$159,'Base Blend Property Calculation'!BT23,FALSE)*('Bulk Plant Input'!$I$13/('Bulk Plant Input'!$B$13/1000))</f>
        <v>0</v>
      </c>
      <c r="E116" s="601"/>
      <c r="F116" s="601"/>
      <c r="G116" s="601"/>
      <c r="H116" s="601"/>
    </row>
    <row r="117" spans="2:8" ht="15" hidden="1" customHeight="1" x14ac:dyDescent="0.25">
      <c r="B117" s="588" t="str">
        <f>INDEX('Base Blend Property Calculation'!$C$6:$BF$6,1,'Base Blend Property Calculation'!BT22)</f>
        <v>CDM-6B</v>
      </c>
      <c r="C117" s="589"/>
      <c r="D117" s="393">
        <f>VLOOKUP('Bulk Plant Input'!$A$19, 'Base Blend Property Calculation'!$A$6:$BF$159,'Base Blend Property Calculation'!BT24,FALSE)*('Bulk Plant Input'!$I$13/('Bulk Plant Input'!$B$13/1000))</f>
        <v>0</v>
      </c>
      <c r="E117" s="601"/>
      <c r="F117" s="601"/>
      <c r="G117" s="601"/>
      <c r="H117" s="601"/>
    </row>
    <row r="118" spans="2:8" ht="15" hidden="1" customHeight="1" x14ac:dyDescent="0.25">
      <c r="B118" s="588" t="str">
        <f>INDEX('Base Blend Property Calculation'!$C$6:$BF$6,1,'Base Blend Property Calculation'!BT23)</f>
        <v>CDM-6</v>
      </c>
      <c r="C118" s="589"/>
      <c r="D118" s="393">
        <f>VLOOKUP('Bulk Plant Input'!$A$19, 'Base Blend Property Calculation'!$A$6:$BF$159,'Base Blend Property Calculation'!BT25,FALSE)*('Bulk Plant Input'!$I$13/('Bulk Plant Input'!$B$13/1000))</f>
        <v>0</v>
      </c>
      <c r="E118" s="601"/>
      <c r="F118" s="601"/>
      <c r="G118" s="601"/>
      <c r="H118" s="601"/>
    </row>
    <row r="119" spans="2:8" ht="15" hidden="1" customHeight="1" x14ac:dyDescent="0.25">
      <c r="B119" s="588" t="str">
        <f>INDEX('Base Blend Property Calculation'!$C$6:$BF$6,1,'Base Blend Property Calculation'!BT24)</f>
        <v>CDM-2</v>
      </c>
      <c r="C119" s="589"/>
      <c r="D119" s="393">
        <f>VLOOKUP('Bulk Plant Input'!$A$19, 'Base Blend Property Calculation'!$A$6:$BF$159,'Base Blend Property Calculation'!BT26,FALSE)*('Bulk Plant Input'!$I$13/('Bulk Plant Input'!$B$13/1000))</f>
        <v>0</v>
      </c>
      <c r="E119" s="601"/>
      <c r="F119" s="601"/>
      <c r="G119" s="601"/>
      <c r="H119" s="601"/>
    </row>
    <row r="120" spans="2:8" ht="15" hidden="1" customHeight="1" x14ac:dyDescent="0.25">
      <c r="B120" s="588" t="str">
        <f>INDEX('Base Blend Property Calculation'!$C$6:$BF$6,1,'Base Blend Property Calculation'!BT25)</f>
        <v>CDM-5</v>
      </c>
      <c r="C120" s="589"/>
      <c r="D120" s="393">
        <f>VLOOKUP('Bulk Plant Input'!$A$19, 'Base Blend Property Calculation'!$A$6:$BF$159,'Base Blend Property Calculation'!BT27,FALSE)*('Bulk Plant Input'!$I$13/('Bulk Plant Input'!$B$13/1000))</f>
        <v>0</v>
      </c>
      <c r="E120" s="601"/>
      <c r="F120" s="601"/>
      <c r="G120" s="601"/>
      <c r="H120" s="601"/>
    </row>
    <row r="121" spans="2:8" ht="15" hidden="1" customHeight="1" x14ac:dyDescent="0.25">
      <c r="B121" s="588" t="str">
        <f>INDEX('Base Blend Property Calculation'!$C$6:$BF$6,1,'Base Blend Property Calculation'!BT26)</f>
        <v>CDM-C</v>
      </c>
      <c r="C121" s="589"/>
      <c r="D121" s="393">
        <f>VLOOKUP('Bulk Plant Input'!$A$19, 'Base Blend Property Calculation'!$A$6:$BF$159,'Base Blend Property Calculation'!BT28,FALSE)*('Bulk Plant Input'!$I$13/('Bulk Plant Input'!$B$13/1000))</f>
        <v>0</v>
      </c>
      <c r="E121" s="601"/>
      <c r="F121" s="601"/>
      <c r="G121" s="601"/>
      <c r="H121" s="601"/>
    </row>
    <row r="122" spans="2:8" hidden="1" x14ac:dyDescent="0.25">
      <c r="B122" s="588" t="str">
        <f>INDEX('Base Blend Property Calculation'!$C$6:$BF$6,1,'Base Blend Property Calculation'!BT27)</f>
        <v>CDM-10</v>
      </c>
      <c r="C122" s="589"/>
      <c r="D122" s="393">
        <f>VLOOKUP('Bulk Plant Input'!$A$19, 'Base Blend Property Calculation'!$A$6:$BF$159,'Base Blend Property Calculation'!BT29,FALSE)*('Bulk Plant Input'!$I$13/('Bulk Plant Input'!$B$13/1000))</f>
        <v>0</v>
      </c>
      <c r="E122" s="601"/>
      <c r="F122" s="601"/>
      <c r="G122" s="601"/>
      <c r="H122" s="601"/>
    </row>
    <row r="123" spans="2:8" ht="15" hidden="1" customHeight="1" x14ac:dyDescent="0.25">
      <c r="B123" s="588" t="str">
        <f>INDEX('Base Blend Property Calculation'!$C$6:$BF$6,1,'Base Blend Property Calculation'!BT28)</f>
        <v>CFR</v>
      </c>
      <c r="C123" s="589"/>
      <c r="D123" s="393">
        <f>VLOOKUP('Bulk Plant Input'!$A$19, 'Base Blend Property Calculation'!$A$6:$BF$159,'Base Blend Property Calculation'!BT30,FALSE)*('Bulk Plant Input'!$I$13/('Bulk Plant Input'!$B$13/1000))</f>
        <v>0</v>
      </c>
      <c r="E123" s="601"/>
      <c r="F123" s="601"/>
      <c r="G123" s="601"/>
      <c r="H123" s="601"/>
    </row>
    <row r="124" spans="2:8" ht="15" hidden="1" customHeight="1" x14ac:dyDescent="0.25">
      <c r="B124" s="588" t="str">
        <f>INDEX('Base Blend Property Calculation'!$C$6:$BF$6,1,'Base Blend Property Calculation'!BT29)</f>
        <v>CFR-2</v>
      </c>
      <c r="C124" s="589"/>
      <c r="D124" s="393">
        <f>VLOOKUP('Bulk Plant Input'!$A$19, 'Base Blend Property Calculation'!$A$6:$BF$159,'Base Blend Property Calculation'!BT31,FALSE)*('Bulk Plant Input'!$I$13/('Bulk Plant Input'!$B$13/1000))</f>
        <v>0</v>
      </c>
      <c r="E124" s="601"/>
      <c r="F124" s="601"/>
      <c r="G124" s="601"/>
      <c r="H124" s="601"/>
    </row>
    <row r="125" spans="2:8" ht="15" hidden="1" customHeight="1" x14ac:dyDescent="0.25">
      <c r="B125" s="588" t="str">
        <f>INDEX('Base Blend Property Calculation'!$C$6:$BF$6,1,'Base Blend Property Calculation'!BT30)</f>
        <v>CFR-5</v>
      </c>
      <c r="C125" s="589"/>
      <c r="D125" s="393">
        <f>VLOOKUP('Bulk Plant Input'!$A$19, 'Base Blend Property Calculation'!$A$6:$BF$159,'Base Blend Property Calculation'!BT32,FALSE)*('Bulk Plant Input'!$I$13/('Bulk Plant Input'!$B$13/1000))</f>
        <v>0</v>
      </c>
      <c r="E125" s="601"/>
      <c r="F125" s="601"/>
      <c r="G125" s="601"/>
      <c r="H125" s="601"/>
    </row>
    <row r="126" spans="2:8" ht="15" hidden="1" customHeight="1" x14ac:dyDescent="0.25">
      <c r="B126" s="588" t="str">
        <f>INDEX('Base Blend Property Calculation'!$C$6:$BF$6,1,'Base Blend Property Calculation'!BT31)</f>
        <v>CFL-3</v>
      </c>
      <c r="C126" s="589"/>
      <c r="D126" s="393">
        <f>VLOOKUP('Bulk Plant Input'!$A$19, 'Base Blend Property Calculation'!$A$6:$BF$159,'Base Blend Property Calculation'!BT33,FALSE)*('Bulk Plant Input'!$I$13/('Bulk Plant Input'!$B$13/1000))</f>
        <v>0</v>
      </c>
      <c r="E126" s="601"/>
      <c r="F126" s="601"/>
      <c r="G126" s="601"/>
      <c r="H126" s="601"/>
    </row>
    <row r="127" spans="2:8" ht="15" hidden="1" customHeight="1" x14ac:dyDescent="0.25">
      <c r="B127" s="588" t="str">
        <f>INDEX('Base Blend Property Calculation'!$C$6:$BF$6,1,'Base Blend Property Calculation'!BT32)</f>
        <v>CFL-4</v>
      </c>
      <c r="C127" s="589"/>
      <c r="D127" s="393">
        <f>VLOOKUP('Bulk Plant Input'!$A$19, 'Base Blend Property Calculation'!$A$6:$BF$159,'Base Blend Property Calculation'!BT34,FALSE)*('Bulk Plant Input'!$I$13/('Bulk Plant Input'!$B$13/1000))</f>
        <v>0</v>
      </c>
      <c r="E127" s="601"/>
      <c r="F127" s="601"/>
      <c r="G127" s="601"/>
      <c r="H127" s="601"/>
    </row>
    <row r="128" spans="2:8" ht="15" hidden="1" customHeight="1" x14ac:dyDescent="0.25">
      <c r="B128" s="588" t="str">
        <f>INDEX('Base Blend Property Calculation'!$C$6:$BF$6,1,'Base Blend Property Calculation'!BT33)</f>
        <v>CFL-6</v>
      </c>
      <c r="C128" s="589"/>
      <c r="D128" s="393">
        <f>VLOOKUP('Bulk Plant Input'!$A$19, 'Base Blend Property Calculation'!$A$6:$BF$159,'Base Blend Property Calculation'!BT35,FALSE)*('Bulk Plant Input'!$I$13/('Bulk Plant Input'!$B$13/1000))</f>
        <v>0</v>
      </c>
      <c r="E128" s="601"/>
      <c r="F128" s="601"/>
      <c r="G128" s="601"/>
      <c r="H128" s="601"/>
    </row>
    <row r="129" spans="2:8" ht="15" hidden="1" customHeight="1" x14ac:dyDescent="0.25">
      <c r="B129" s="588" t="str">
        <f>INDEX('Base Blend Property Calculation'!$C$6:$BF$6,1,'Base Blend Property Calculation'!BT34)</f>
        <v>CFL-7</v>
      </c>
      <c r="C129" s="589"/>
      <c r="D129" s="393">
        <f>VLOOKUP('Bulk Plant Input'!$A$19, 'Base Blend Property Calculation'!$A$6:$BF$159,'Base Blend Property Calculation'!BT36,FALSE)*('Bulk Plant Input'!$I$13/('Bulk Plant Input'!$B$13/1000))</f>
        <v>0</v>
      </c>
      <c r="E129" s="601"/>
      <c r="F129" s="601"/>
      <c r="G129" s="601"/>
      <c r="H129" s="601"/>
    </row>
    <row r="130" spans="2:8" ht="15" hidden="1" customHeight="1" x14ac:dyDescent="0.25">
      <c r="B130" s="588" t="str">
        <f>INDEX('Base Blend Property Calculation'!$C$6:$BF$6,1,'Base Blend Property Calculation'!BT35)</f>
        <v>CaCl2</v>
      </c>
      <c r="C130" s="589"/>
      <c r="D130" s="393">
        <f>VLOOKUP('Bulk Plant Input'!$A$19, 'Base Blend Property Calculation'!$A$6:$BF$159,'Base Blend Property Calculation'!BT37,FALSE)*('Bulk Plant Input'!$I$13/('Bulk Plant Input'!$B$13/1000))</f>
        <v>0</v>
      </c>
      <c r="E130" s="601"/>
      <c r="F130" s="601"/>
      <c r="G130" s="601"/>
      <c r="H130" s="601"/>
    </row>
    <row r="131" spans="2:8" ht="15" hidden="1" customHeight="1" x14ac:dyDescent="0.25">
      <c r="B131" s="588" t="str">
        <f>INDEX('Base Blend Property Calculation'!$C$6:$BF$6,1,'Base Blend Property Calculation'!BT36)</f>
        <v>SCA-6</v>
      </c>
      <c r="C131" s="589"/>
      <c r="D131" s="393">
        <f>VLOOKUP('Bulk Plant Input'!$A$19, 'Base Blend Property Calculation'!$A$6:$BF$159,'Base Blend Property Calculation'!BT38,FALSE)*('Bulk Plant Input'!$I$13/('Bulk Plant Input'!$B$13/1000))</f>
        <v>0</v>
      </c>
      <c r="E131" s="601"/>
      <c r="F131" s="601"/>
      <c r="G131" s="601"/>
      <c r="H131" s="601"/>
    </row>
    <row r="132" spans="2:8" ht="15" hidden="1" customHeight="1" x14ac:dyDescent="0.25">
      <c r="B132" s="588" t="str">
        <f>INDEX('Base Blend Property Calculation'!$C$6:$BF$6,1,'Base Blend Property Calculation'!BT37)</f>
        <v>SCA-7</v>
      </c>
      <c r="C132" s="589"/>
      <c r="D132" s="393">
        <f>VLOOKUP('Bulk Plant Input'!$A$19, 'Base Blend Property Calculation'!$A$6:$BF$159,'Base Blend Property Calculation'!BT39,FALSE)*('Bulk Plant Input'!$I$13/('Bulk Plant Input'!$B$13/1000))</f>
        <v>0</v>
      </c>
      <c r="E132" s="601"/>
      <c r="F132" s="601"/>
      <c r="G132" s="601"/>
      <c r="H132" s="601"/>
    </row>
    <row r="133" spans="2:8" ht="15" hidden="1" customHeight="1" x14ac:dyDescent="0.25">
      <c r="B133" s="588" t="str">
        <f>INDEX('Base Blend Property Calculation'!$C$6:$BF$6,1,'Base Blend Property Calculation'!BT38)</f>
        <v>SCA-5</v>
      </c>
      <c r="C133" s="589"/>
      <c r="D133" s="393">
        <f>VLOOKUP('Bulk Plant Input'!$A$19, 'Base Blend Property Calculation'!$A$6:$BF$159,'Base Blend Property Calculation'!BT40,FALSE)*('Bulk Plant Input'!$I$13/('Bulk Plant Input'!$B$13/1000))</f>
        <v>0</v>
      </c>
      <c r="E133" s="601"/>
      <c r="F133" s="601"/>
      <c r="G133" s="601"/>
      <c r="H133" s="601"/>
    </row>
    <row r="134" spans="2:8" ht="15" hidden="1" customHeight="1" x14ac:dyDescent="0.25">
      <c r="B134" s="588" t="str">
        <f>INDEX('Base Blend Property Calculation'!$C$6:$BF$6,1,'Base Blend Property Calculation'!BT39)</f>
        <v>FWC-2</v>
      </c>
      <c r="C134" s="589"/>
      <c r="D134" s="393">
        <f>VLOOKUP('Bulk Plant Input'!$A$19, 'Base Blend Property Calculation'!$A$6:$BF$159,'Base Blend Property Calculation'!BT41,FALSE)*('Bulk Plant Input'!$I$13/('Bulk Plant Input'!$B$13/1000))</f>
        <v>0</v>
      </c>
      <c r="E134" s="601"/>
      <c r="F134" s="601"/>
      <c r="G134" s="601"/>
      <c r="H134" s="601"/>
    </row>
    <row r="135" spans="2:8" hidden="1" x14ac:dyDescent="0.25">
      <c r="B135" s="588" t="str">
        <f>INDEX('Base Blend Property Calculation'!$C$6:$BF$6,1,'Base Blend Property Calculation'!BT40)</f>
        <v>LTR-3</v>
      </c>
      <c r="C135" s="589"/>
      <c r="D135" s="393">
        <f>VLOOKUP('Bulk Plant Input'!$A$19, 'Base Blend Property Calculation'!$A$6:$BF$159,'Base Blend Property Calculation'!BT42,FALSE)*('Bulk Plant Input'!$I$13/('Bulk Plant Input'!$B$13/1000))</f>
        <v>0</v>
      </c>
      <c r="E135" s="601"/>
      <c r="F135" s="601"/>
      <c r="G135" s="601"/>
      <c r="H135" s="601"/>
    </row>
    <row r="136" spans="2:8" hidden="1" x14ac:dyDescent="0.25">
      <c r="B136" s="588" t="str">
        <f>INDEX('Base Blend Property Calculation'!$C$6:$BF$6,1,'Base Blend Property Calculation'!BT41)</f>
        <v>NaCl</v>
      </c>
      <c r="C136" s="589"/>
      <c r="D136" s="393">
        <f>VLOOKUP('Bulk Plant Input'!$A$19, 'Base Blend Property Calculation'!$A$6:$BF$159,'Base Blend Property Calculation'!BT43,FALSE)*('Bulk Plant Input'!$I$13/('Bulk Plant Input'!$B$13/1000))</f>
        <v>0</v>
      </c>
      <c r="E136" s="601"/>
      <c r="F136" s="601"/>
      <c r="G136" s="601"/>
      <c r="H136" s="601"/>
    </row>
    <row r="137" spans="2:8" hidden="1" x14ac:dyDescent="0.25">
      <c r="B137" s="588" t="str">
        <f>INDEX('Base Blend Property Calculation'!$C$6:$BF$6,1,'Base Blend Property Calculation'!BT42)</f>
        <v>KCl</v>
      </c>
      <c r="C137" s="589"/>
      <c r="D137" s="393">
        <f>VLOOKUP('Bulk Plant Input'!$A$19, 'Base Blend Property Calculation'!$A$6:$BF$159,'Base Blend Property Calculation'!BT44,FALSE)*('Bulk Plant Input'!$I$13/('Bulk Plant Input'!$B$13/1000))</f>
        <v>0</v>
      </c>
      <c r="E137" s="601"/>
      <c r="F137" s="601"/>
      <c r="G137" s="601"/>
      <c r="H137" s="601"/>
    </row>
    <row r="138" spans="2:8" ht="15.75" hidden="1" customHeight="1" x14ac:dyDescent="0.25">
      <c r="B138" s="588" t="str">
        <f>INDEX('Base Blend Property Calculation'!$C$6:$BF$6,1,'Base Blend Property Calculation'!BT43)</f>
        <v>EA-1</v>
      </c>
      <c r="C138" s="589"/>
      <c r="D138" s="393">
        <f>VLOOKUP('Bulk Plant Input'!$A$19, 'Base Blend Property Calculation'!$A$6:$BF$159,'Base Blend Property Calculation'!BT45,FALSE)*('Bulk Plant Input'!$I$13/('Bulk Plant Input'!$B$13/1000))</f>
        <v>0</v>
      </c>
      <c r="E138" s="601"/>
      <c r="F138" s="601"/>
      <c r="G138" s="601"/>
      <c r="H138" s="601"/>
    </row>
    <row r="139" spans="2:8" hidden="1" x14ac:dyDescent="0.25">
      <c r="B139" s="588" t="str">
        <f>INDEX('Base Blend Property Calculation'!$C$6:$BF$6,1,'Base Blend Property Calculation'!BT44)</f>
        <v>EA-3</v>
      </c>
      <c r="C139" s="589"/>
      <c r="D139" s="393">
        <f>VLOOKUP('Bulk Plant Input'!$A$19, 'Base Blend Property Calculation'!$A$6:$BF$159,'Base Blend Property Calculation'!BT46,FALSE)*('Bulk Plant Input'!$I$13/('Bulk Plant Input'!$B$13/1000))</f>
        <v>0</v>
      </c>
      <c r="E139" s="601"/>
      <c r="F139" s="601"/>
      <c r="G139" s="601"/>
      <c r="H139" s="601"/>
    </row>
    <row r="140" spans="2:8" hidden="1" x14ac:dyDescent="0.25">
      <c r="B140" s="588" t="str">
        <f>INDEX('Base Blend Property Calculation'!$C$6:$BF$6,1,'Base Blend Property Calculation'!BT45)</f>
        <v>LCG-2</v>
      </c>
      <c r="C140" s="589"/>
      <c r="D140" s="393">
        <f>VLOOKUP('Bulk Plant Input'!$A$19, 'Base Blend Property Calculation'!$A$6:$BF$159,'Base Blend Property Calculation'!BT47,FALSE)*('Bulk Plant Input'!$I$13/('Bulk Plant Input'!$B$13/1000))</f>
        <v>0</v>
      </c>
      <c r="E140" s="601"/>
      <c r="F140" s="601"/>
      <c r="G140" s="601"/>
      <c r="H140" s="601"/>
    </row>
    <row r="141" spans="2:8" hidden="1" x14ac:dyDescent="0.25">
      <c r="B141" s="588" t="str">
        <f>INDEX('Base Blend Property Calculation'!$C$6:$BF$6,1,'Base Blend Property Calculation'!BT46)</f>
        <v>Micromix</v>
      </c>
      <c r="C141" s="589"/>
      <c r="D141" s="393">
        <f>VLOOKUP('Bulk Plant Input'!$A$19, 'Base Blend Property Calculation'!$A$6:$BF$159,'Base Blend Property Calculation'!BT48,FALSE)*('Bulk Plant Input'!$I$13/('Bulk Plant Input'!$B$13/1000))</f>
        <v>0</v>
      </c>
      <c r="E141" s="601"/>
      <c r="F141" s="601"/>
      <c r="G141" s="601"/>
      <c r="H141" s="601"/>
    </row>
    <row r="142" spans="2:8" hidden="1" x14ac:dyDescent="0.25">
      <c r="B142" s="588" t="str">
        <f>INDEX('Base Blend Property Calculation'!$C$6:$BF$6,1,'Base Blend Property Calculation'!BT47)</f>
        <v>LCG-1</v>
      </c>
      <c r="C142" s="589"/>
      <c r="D142" s="393">
        <f>VLOOKUP('Bulk Plant Input'!$A$19, 'Base Blend Property Calculation'!$A$6:$BF$159,'Base Blend Property Calculation'!BT49,FALSE)*('Bulk Plant Input'!$I$13/('Bulk Plant Input'!$B$13/1000))</f>
        <v>0</v>
      </c>
      <c r="E142" s="601"/>
      <c r="F142" s="601"/>
      <c r="G142" s="601"/>
      <c r="H142" s="601"/>
    </row>
    <row r="143" spans="2:8" hidden="1" x14ac:dyDescent="0.25">
      <c r="B143" s="588" t="str">
        <f>INDEX('Base Blend Property Calculation'!$C$6:$BF$6,1,'Base Blend Property Calculation'!BT48)</f>
        <v>Gilsonite</v>
      </c>
      <c r="C143" s="589"/>
      <c r="D143" s="393">
        <f>VLOOKUP('Bulk Plant Input'!$A$19, 'Base Blend Property Calculation'!$A$6:$BF$159,'Base Blend Property Calculation'!BT50,FALSE)*('Bulk Plant Input'!$I$13/('Bulk Plant Input'!$B$13/1000))</f>
        <v>0</v>
      </c>
      <c r="E143" s="601"/>
      <c r="F143" s="601"/>
      <c r="G143" s="601"/>
      <c r="H143" s="601"/>
    </row>
    <row r="144" spans="2:8" hidden="1" x14ac:dyDescent="0.25">
      <c r="B144" s="588" t="str">
        <f>INDEX('Base Blend Property Calculation'!$C$6:$BF$6,1,'Base Blend Property Calculation'!BT49)</f>
        <v>SG1500</v>
      </c>
      <c r="C144" s="589"/>
      <c r="D144" s="393">
        <f>VLOOKUP('Bulk Plant Input'!$A$19, 'Base Blend Property Calculation'!$A$6:$BF$159,'Base Blend Property Calculation'!BT51,FALSE)*('Bulk Plant Input'!$I$13/('Bulk Plant Input'!$B$13/1000))</f>
        <v>0</v>
      </c>
      <c r="E144" s="601"/>
      <c r="F144" s="601"/>
      <c r="G144" s="601"/>
      <c r="H144" s="601"/>
    </row>
    <row r="145" spans="2:8" hidden="1" x14ac:dyDescent="0.25">
      <c r="B145" s="588" t="str">
        <f>INDEX('Base Blend Property Calculation'!$C$6:$BF$6,1,'Base Blend Property Calculation'!BT50)</f>
        <v>ASM-3</v>
      </c>
      <c r="C145" s="589"/>
      <c r="D145" s="393">
        <f>VLOOKUP('Bulk Plant Input'!$A$19, 'Base Blend Property Calculation'!$A$6:$BF$159,'Base Blend Property Calculation'!BT52,FALSE)*('Bulk Plant Input'!$I$13/('Bulk Plant Input'!$B$13/1000))</f>
        <v>0</v>
      </c>
      <c r="E145" s="601"/>
      <c r="F145" s="601"/>
      <c r="G145" s="601"/>
      <c r="H145" s="601"/>
    </row>
    <row r="146" spans="2:8" hidden="1" x14ac:dyDescent="0.25">
      <c r="B146" s="588" t="str">
        <f>INDEX('Base Blend Property Calculation'!$C$6:$BF$6,1,'Base Blend Property Calculation'!BT51)</f>
        <v>Ciment Fondu</v>
      </c>
      <c r="C146" s="589"/>
      <c r="D146" s="393">
        <f>VLOOKUP('Bulk Plant Input'!$A$19, 'Base Blend Property Calculation'!$A$6:$BF$159,'Base Blend Property Calculation'!BT53,FALSE)*('Bulk Plant Input'!$I$13/('Bulk Plant Input'!$B$13/1000))</f>
        <v>0</v>
      </c>
      <c r="E146" s="601"/>
      <c r="F146" s="601"/>
      <c r="G146" s="601"/>
      <c r="H146" s="601"/>
    </row>
    <row r="147" spans="2:8" hidden="1" x14ac:dyDescent="0.25">
      <c r="B147" s="588" t="str">
        <f>INDEX('Base Blend Property Calculation'!$C$6:$BF$6,1,'Base Blend Property Calculation'!BT52)</f>
        <v>CFL-10</v>
      </c>
      <c r="C147" s="589"/>
      <c r="D147" s="393">
        <f>VLOOKUP('Bulk Plant Input'!$A$19, 'Base Blend Property Calculation'!$A$6:$BF$159,'Base Blend Property Calculation'!BT54,FALSE)*('Bulk Plant Input'!$I$13/('Bulk Plant Input'!$B$13/1000))</f>
        <v>0</v>
      </c>
      <c r="E147" s="601"/>
      <c r="F147" s="601"/>
      <c r="G147" s="601"/>
      <c r="H147" s="601"/>
    </row>
    <row r="148" spans="2:8" hidden="1" x14ac:dyDescent="0.25">
      <c r="B148" s="588" t="str">
        <f>INDEX('Base Blend Property Calculation'!$C$6:$BF$6,1,'Base Blend Property Calculation'!BT53)</f>
        <v>CDM-4</v>
      </c>
      <c r="C148" s="589"/>
      <c r="D148" s="393">
        <f>VLOOKUP('Bulk Plant Input'!$A$19, 'Base Blend Property Calculation'!$A$6:$BF$159,'Base Blend Property Calculation'!BT55,FALSE)*('Bulk Plant Input'!$I$13/('Bulk Plant Input'!$B$13/1000))</f>
        <v>0</v>
      </c>
      <c r="E148" s="601"/>
      <c r="F148" s="601"/>
      <c r="G148" s="601"/>
      <c r="H148" s="601"/>
    </row>
    <row r="149" spans="2:8" hidden="1" x14ac:dyDescent="0.25">
      <c r="B149" s="588" t="str">
        <f>INDEX('Base Blend Property Calculation'!$C$6:$BF$6,1,'Base Blend Property Calculation'!BT54)</f>
        <v>None</v>
      </c>
      <c r="C149" s="589"/>
      <c r="D149" s="393">
        <f>VLOOKUP('Bulk Plant Input'!$A$19, 'Base Blend Property Calculation'!$A$6:$BF$159,'Base Blend Property Calculation'!BT56,FALSE)*('Bulk Plant Input'!$I$13/('Bulk Plant Input'!$B$13/1000))</f>
        <v>0</v>
      </c>
      <c r="E149" s="601"/>
      <c r="F149" s="601"/>
      <c r="G149" s="601"/>
      <c r="H149" s="601"/>
    </row>
    <row r="150" spans="2:8" hidden="1" x14ac:dyDescent="0.25">
      <c r="B150" s="588" t="str">
        <f>INDEX('Base Blend Property Calculation'!$C$6:$BF$6,1,'Base Blend Property Calculation'!BT55)</f>
        <v>None</v>
      </c>
      <c r="C150" s="589"/>
      <c r="D150" s="393">
        <f>VLOOKUP('Bulk Plant Input'!$A$19, 'Base Blend Property Calculation'!$A$6:$BF$159,'Base Blend Property Calculation'!BT57,FALSE)*('Bulk Plant Input'!$I$13/('Bulk Plant Input'!$B$13/1000))</f>
        <v>0</v>
      </c>
      <c r="E150" s="601"/>
      <c r="F150" s="601"/>
      <c r="G150" s="601"/>
      <c r="H150" s="601"/>
    </row>
    <row r="151" spans="2:8" hidden="1" x14ac:dyDescent="0.25">
      <c r="B151" s="588" t="str">
        <f>INDEX('Base Blend Property Calculation'!$C$6:$BF$6,1,'Base Blend Property Calculation'!BT56)</f>
        <v>None</v>
      </c>
      <c r="C151" s="589"/>
      <c r="D151" s="393">
        <f>VLOOKUP('Bulk Plant Input'!$A$19, 'Base Blend Property Calculation'!$A$6:$BF$159,'Base Blend Property Calculation'!BT58,FALSE)*('Bulk Plant Input'!$I$13/('Bulk Plant Input'!$B$13/1000))</f>
        <v>0</v>
      </c>
      <c r="E151" s="601"/>
      <c r="F151" s="601"/>
      <c r="G151" s="601"/>
      <c r="H151" s="601"/>
    </row>
    <row r="152" spans="2:8" hidden="1" x14ac:dyDescent="0.25">
      <c r="B152" s="588" t="str">
        <f>INDEX('Base Blend Property Calculation'!$C$6:$BF$6,1,'Base Blend Property Calculation'!BT57)</f>
        <v>None</v>
      </c>
      <c r="C152" s="589"/>
      <c r="D152" s="393">
        <f>VLOOKUP('Bulk Plant Input'!$A$19, 'Base Blend Property Calculation'!$A$6:$BF$159,'Base Blend Property Calculation'!BT59,FALSE)*('Bulk Plant Input'!$I$13/('Bulk Plant Input'!$B$13/1000))</f>
        <v>0</v>
      </c>
      <c r="E152" s="601"/>
      <c r="F152" s="601"/>
      <c r="G152" s="601"/>
      <c r="H152" s="601"/>
    </row>
    <row r="153" spans="2:8" hidden="1" x14ac:dyDescent="0.25">
      <c r="B153" s="588" t="str">
        <f>INDEX('Base Blend Property Calculation'!$C$6:$BF$6,1,'Base Blend Property Calculation'!BT58)</f>
        <v>None</v>
      </c>
      <c r="C153" s="589"/>
      <c r="D153" s="393">
        <f>VLOOKUP('Bulk Plant Input'!$A$19, 'Base Blend Property Calculation'!$A$6:$BF$159,'Base Blend Property Calculation'!BT60,FALSE)*('Bulk Plant Input'!$I$13/('Bulk Plant Input'!$B$13/1000))</f>
        <v>0</v>
      </c>
      <c r="E153" s="601"/>
      <c r="F153" s="601"/>
      <c r="G153" s="601"/>
      <c r="H153" s="601"/>
    </row>
    <row r="154" spans="2:8" hidden="1" x14ac:dyDescent="0.25">
      <c r="B154" s="588" t="str">
        <f>INDEX('Base Blend Property Calculation'!$C$6:$BF$6,1,'Base Blend Property Calculation'!BT59)</f>
        <v>None</v>
      </c>
      <c r="C154" s="589"/>
      <c r="D154" s="393">
        <f>VLOOKUP('Bulk Plant Input'!$A$19, 'Base Blend Property Calculation'!$A$6:$BF$159,'Base Blend Property Calculation'!BT61,FALSE)*('Bulk Plant Input'!$I$13/('Bulk Plant Input'!$B$13/1000))</f>
        <v>0</v>
      </c>
      <c r="E154" s="601"/>
      <c r="F154" s="601"/>
      <c r="G154" s="601"/>
      <c r="H154" s="601"/>
    </row>
    <row r="155" spans="2:8" hidden="1" x14ac:dyDescent="0.25">
      <c r="B155" s="588" t="str">
        <f>INDEX('Base Blend Property Calculation'!$C$6:$BF$6,1,'Base Blend Property Calculation'!BT60)</f>
        <v>None</v>
      </c>
      <c r="C155" s="589"/>
      <c r="D155" s="393">
        <f>VLOOKUP('Bulk Plant Input'!$A$19, 'Base Blend Property Calculation'!$A$6:$BF$159,'Base Blend Property Calculation'!BT62,FALSE)*('Bulk Plant Input'!$I$13/('Bulk Plant Input'!$B$13/1000))</f>
        <v>0</v>
      </c>
      <c r="E155" s="601"/>
      <c r="F155" s="601"/>
      <c r="G155" s="601"/>
      <c r="H155" s="601"/>
    </row>
    <row r="156" spans="2:8" hidden="1" x14ac:dyDescent="0.25">
      <c r="B156" s="588" t="str">
        <f>INDEX('Base Blend Property Calculation'!$C$6:$BF$6,1,'Base Blend Property Calculation'!BT61)</f>
        <v>None</v>
      </c>
      <c r="C156" s="589"/>
      <c r="D156" s="393">
        <f>VLOOKUP('Bulk Plant Input'!$A$19, 'Base Blend Property Calculation'!$A$6:$BF$159,'Base Blend Property Calculation'!BT63,FALSE)*('Bulk Plant Input'!$I$13/('Bulk Plant Input'!$B$13/1000))</f>
        <v>0</v>
      </c>
      <c r="E156" s="601"/>
      <c r="F156" s="601"/>
      <c r="G156" s="601"/>
      <c r="H156" s="601"/>
    </row>
    <row r="157" spans="2:8" hidden="1" x14ac:dyDescent="0.25">
      <c r="D157" s="402" t="s">
        <v>198</v>
      </c>
    </row>
    <row r="158" spans="2:8" ht="15.75" hidden="1" x14ac:dyDescent="0.25">
      <c r="B158" s="600" t="str">
        <f>IF('Bulk Plant Input'!$I$13="","2nd Batch Not Entered","ADDITIVES - Batch 2")</f>
        <v>2nd Batch Not Entered</v>
      </c>
      <c r="C158" s="600"/>
      <c r="D158" s="394" t="s">
        <v>198</v>
      </c>
    </row>
    <row r="159" spans="2:8" hidden="1" x14ac:dyDescent="0.25">
      <c r="B159" s="590" t="s">
        <v>201</v>
      </c>
      <c r="C159" s="591"/>
      <c r="D159" s="450">
        <f>IF('Bulk Plant Input'!$I$13="",0,"Required (kg)")</f>
        <v>0</v>
      </c>
      <c r="E159" s="596" t="s">
        <v>512</v>
      </c>
      <c r="F159" s="597"/>
      <c r="G159" s="602" t="s">
        <v>200</v>
      </c>
      <c r="H159" s="602"/>
    </row>
    <row r="160" spans="2:8" hidden="1" x14ac:dyDescent="0.25">
      <c r="B160" s="588">
        <f>'Bulk Plant Input'!A23</f>
        <v>0</v>
      </c>
      <c r="C160" s="589"/>
      <c r="D160" s="393">
        <f>IF(B160=0,0,'Bulk Plant Input'!C23*('Bulk Plant Input'!$I$13/('Bulk Plant Input'!$B$13/1000)))</f>
        <v>0</v>
      </c>
      <c r="E160" s="601"/>
      <c r="F160" s="601"/>
      <c r="G160" s="601"/>
      <c r="H160" s="601"/>
    </row>
    <row r="161" spans="2:8" hidden="1" x14ac:dyDescent="0.25">
      <c r="B161" s="588">
        <f>'Bulk Plant Input'!A24</f>
        <v>0</v>
      </c>
      <c r="C161" s="589"/>
      <c r="D161" s="393">
        <f>IF(B161=0,0,'Bulk Plant Input'!C24*('Bulk Plant Input'!$I$13/('Bulk Plant Input'!$B$13/1000)))</f>
        <v>0</v>
      </c>
      <c r="E161" s="601"/>
      <c r="F161" s="601"/>
      <c r="G161" s="601"/>
      <c r="H161" s="601"/>
    </row>
    <row r="162" spans="2:8" hidden="1" x14ac:dyDescent="0.25">
      <c r="B162" s="588">
        <f>'Bulk Plant Input'!A25</f>
        <v>0</v>
      </c>
      <c r="C162" s="589"/>
      <c r="D162" s="393">
        <f>IF(B162=0,0,'Bulk Plant Input'!C25*('Bulk Plant Input'!$I$13/('Bulk Plant Input'!$B$13/1000)))</f>
        <v>0</v>
      </c>
      <c r="E162" s="601"/>
      <c r="F162" s="601"/>
      <c r="G162" s="601"/>
      <c r="H162" s="601"/>
    </row>
    <row r="163" spans="2:8" hidden="1" x14ac:dyDescent="0.25">
      <c r="B163" s="588">
        <f>'Bulk Plant Input'!A26</f>
        <v>0</v>
      </c>
      <c r="C163" s="589"/>
      <c r="D163" s="393">
        <f>IF(B163=0,0,'Bulk Plant Input'!C26*('Bulk Plant Input'!$I$13/('Bulk Plant Input'!$B$13/1000)))</f>
        <v>0</v>
      </c>
      <c r="E163" s="601"/>
      <c r="F163" s="601"/>
      <c r="G163" s="601"/>
      <c r="H163" s="601"/>
    </row>
    <row r="164" spans="2:8" hidden="1" x14ac:dyDescent="0.25">
      <c r="B164" s="588">
        <f>'Bulk Plant Input'!A27</f>
        <v>0</v>
      </c>
      <c r="C164" s="589"/>
      <c r="D164" s="393">
        <f>IF(B164=0,0,'Bulk Plant Input'!C27*('Bulk Plant Input'!$I$13/('Bulk Plant Input'!$B$13/1000)))</f>
        <v>0</v>
      </c>
      <c r="E164" s="601"/>
      <c r="F164" s="601"/>
      <c r="G164" s="601"/>
      <c r="H164" s="601"/>
    </row>
    <row r="165" spans="2:8" hidden="1" x14ac:dyDescent="0.25">
      <c r="B165" s="588">
        <f>'Bulk Plant Input'!A28</f>
        <v>0</v>
      </c>
      <c r="C165" s="589"/>
      <c r="D165" s="393">
        <f>IF(B165=0,0,'Bulk Plant Input'!C28*('Bulk Plant Input'!$I$13/('Bulk Plant Input'!$B$13/1000)))</f>
        <v>0</v>
      </c>
      <c r="E165" s="601"/>
      <c r="F165" s="601"/>
      <c r="G165" s="601"/>
      <c r="H165" s="601"/>
    </row>
    <row r="166" spans="2:8" hidden="1" x14ac:dyDescent="0.25">
      <c r="B166" s="588">
        <f>'Bulk Plant Input'!A29</f>
        <v>0</v>
      </c>
      <c r="C166" s="589"/>
      <c r="D166" s="393">
        <f>IF(B166=0,0,'Bulk Plant Input'!C29*('Bulk Plant Input'!$I$13/('Bulk Plant Input'!$B$13/1000)))</f>
        <v>0</v>
      </c>
      <c r="E166" s="601"/>
      <c r="F166" s="601"/>
      <c r="G166" s="601"/>
      <c r="H166" s="601"/>
    </row>
    <row r="167" spans="2:8" hidden="1" x14ac:dyDescent="0.25">
      <c r="B167" s="588">
        <f>'Bulk Plant Input'!A30</f>
        <v>0</v>
      </c>
      <c r="C167" s="589"/>
      <c r="D167" s="393">
        <f>IF(B167=0,0,'Bulk Plant Input'!C30*('Bulk Plant Input'!$I$13/('Bulk Plant Input'!$B$13/1000)))</f>
        <v>0</v>
      </c>
      <c r="E167" s="601"/>
      <c r="F167" s="601"/>
      <c r="G167" s="601"/>
      <c r="H167" s="601"/>
    </row>
    <row r="168" spans="2:8" hidden="1" x14ac:dyDescent="0.25">
      <c r="B168" s="588">
        <f>'Bulk Plant Input'!A31</f>
        <v>0</v>
      </c>
      <c r="C168" s="589"/>
      <c r="D168" s="393">
        <f>IF(B168=0,0,'Bulk Plant Input'!C31*('Bulk Plant Input'!$I$13/('Bulk Plant Input'!$B$13/1000)))</f>
        <v>0</v>
      </c>
      <c r="E168" s="601"/>
      <c r="F168" s="601"/>
      <c r="G168" s="601"/>
      <c r="H168" s="601"/>
    </row>
    <row r="169" spans="2:8" hidden="1" x14ac:dyDescent="0.25">
      <c r="B169" s="588">
        <f>'Bulk Plant Input'!A32</f>
        <v>0</v>
      </c>
      <c r="C169" s="589"/>
      <c r="D169" s="393">
        <f>IF(B169=0,0,'Bulk Plant Input'!C32*('Bulk Plant Input'!$I$13/('Bulk Plant Input'!$B$13/1000)))</f>
        <v>0</v>
      </c>
      <c r="E169" s="601"/>
      <c r="F169" s="601"/>
      <c r="G169" s="601"/>
      <c r="H169" s="601"/>
    </row>
    <row r="170" spans="2:8" hidden="1" x14ac:dyDescent="0.25">
      <c r="B170" s="588">
        <f>'Bulk Plant Input'!A33</f>
        <v>0</v>
      </c>
      <c r="C170" s="589"/>
      <c r="D170" s="393">
        <f>IF(B170=0,0,'Bulk Plant Input'!C33*('Bulk Plant Input'!$I$13/('Bulk Plant Input'!$B$13/1000)))</f>
        <v>0</v>
      </c>
      <c r="E170" s="601"/>
      <c r="F170" s="601"/>
      <c r="G170" s="601"/>
      <c r="H170" s="601"/>
    </row>
    <row r="171" spans="2:8" hidden="1" x14ac:dyDescent="0.25">
      <c r="B171" s="588">
        <f>'Bulk Plant Input'!A34</f>
        <v>0</v>
      </c>
      <c r="C171" s="589"/>
      <c r="D171" s="393">
        <f>IF(B171=0,0,'Bulk Plant Input'!C34*('Bulk Plant Input'!$I$13/('Bulk Plant Input'!$B$13/1000)))</f>
        <v>0</v>
      </c>
      <c r="E171" s="601"/>
      <c r="F171" s="601"/>
      <c r="G171" s="601"/>
      <c r="H171" s="601"/>
    </row>
    <row r="172" spans="2:8" hidden="1" x14ac:dyDescent="0.25">
      <c r="B172" s="588">
        <f>'Bulk Plant Input'!A35</f>
        <v>0</v>
      </c>
      <c r="C172" s="589"/>
      <c r="D172" s="393">
        <f>IF(B172=0,0,'Bulk Plant Input'!C35*('Bulk Plant Input'!$I$13/('Bulk Plant Input'!$B$13/1000)))</f>
        <v>0</v>
      </c>
      <c r="E172" s="601"/>
      <c r="F172" s="601"/>
      <c r="G172" s="601"/>
      <c r="H172" s="601"/>
    </row>
    <row r="173" spans="2:8" hidden="1" x14ac:dyDescent="0.25">
      <c r="B173" s="588">
        <f>'Bulk Plant Input'!A36</f>
        <v>0</v>
      </c>
      <c r="C173" s="589"/>
      <c r="D173" s="393">
        <f>IF(B173=0,0,'Bulk Plant Input'!C36*('Bulk Plant Input'!$I$13/('Bulk Plant Input'!$B$13/1000)))</f>
        <v>0</v>
      </c>
      <c r="E173" s="601"/>
      <c r="F173" s="601"/>
      <c r="G173" s="601"/>
      <c r="H173" s="601"/>
    </row>
    <row r="174" spans="2:8" hidden="1" x14ac:dyDescent="0.25">
      <c r="B174" s="588">
        <f>'Bulk Plant Input'!A37</f>
        <v>0</v>
      </c>
      <c r="C174" s="589"/>
      <c r="D174" s="393">
        <f>IF(B174=0,0,'Bulk Plant Input'!C37*('Bulk Plant Input'!$I$13/('Bulk Plant Input'!$B$13/1000)))</f>
        <v>0</v>
      </c>
      <c r="E174" s="601"/>
      <c r="F174" s="601"/>
      <c r="G174" s="601"/>
      <c r="H174" s="601"/>
    </row>
    <row r="175" spans="2:8" hidden="1" x14ac:dyDescent="0.25">
      <c r="B175" s="588">
        <f>'Bulk Plant Input'!A43</f>
        <v>0</v>
      </c>
      <c r="C175" s="589"/>
      <c r="D175" s="393">
        <f>IF(B175=0,0,'Bulk Plant Input'!C38*('Bulk Plant Input'!$I$13/('Bulk Plant Input'!$B$13/1000)))</f>
        <v>0</v>
      </c>
      <c r="E175" s="599"/>
      <c r="F175" s="599"/>
      <c r="G175" s="599"/>
      <c r="H175" s="599"/>
    </row>
    <row r="176" spans="2:8" hidden="1" x14ac:dyDescent="0.25">
      <c r="B176" s="588">
        <f>'Bulk Plant Input'!A44</f>
        <v>0</v>
      </c>
      <c r="C176" s="589"/>
      <c r="D176" s="393">
        <f>IF(B176=0,0,'Bulk Plant Input'!C39*('Bulk Plant Input'!$I$13/('Bulk Plant Input'!$B$13/1000)))</f>
        <v>0</v>
      </c>
      <c r="E176" s="599"/>
      <c r="F176" s="599"/>
      <c r="G176" s="599"/>
      <c r="H176" s="599"/>
    </row>
    <row r="177" spans="1:11" x14ac:dyDescent="0.25">
      <c r="B177" s="403"/>
      <c r="C177" s="403"/>
      <c r="D177" s="396"/>
      <c r="E177" s="448"/>
      <c r="F177" s="448"/>
      <c r="G177" s="448"/>
      <c r="H177" s="448"/>
    </row>
    <row r="178" spans="1:11" x14ac:dyDescent="0.25">
      <c r="A178" s="449"/>
      <c r="B178" s="449"/>
      <c r="C178" s="449"/>
      <c r="D178" s="397"/>
      <c r="E178" s="449"/>
      <c r="F178" s="449"/>
      <c r="G178" s="449"/>
      <c r="H178" s="449"/>
      <c r="I178" s="449"/>
      <c r="J178" s="449"/>
      <c r="K178" s="449"/>
    </row>
    <row r="179" spans="1:11" x14ac:dyDescent="0.25">
      <c r="A179" s="409"/>
      <c r="B179" s="409"/>
      <c r="C179" s="409"/>
      <c r="D179" s="398"/>
      <c r="E179" s="409"/>
      <c r="F179" s="409"/>
      <c r="G179" s="409"/>
      <c r="H179" s="409"/>
      <c r="I179" s="409"/>
      <c r="J179" s="409"/>
      <c r="K179" s="409"/>
    </row>
    <row r="180" spans="1:11" ht="15.75" hidden="1" x14ac:dyDescent="0.25">
      <c r="B180" s="606" t="str">
        <f>IF('Bulk Plant Input'!$I$14="","3rd Batch Not Entered","BASE BLEND - Batch 3")</f>
        <v>3rd Batch Not Entered</v>
      </c>
      <c r="C180" s="606"/>
      <c r="D180" s="403" t="s">
        <v>198</v>
      </c>
      <c r="E180" s="428"/>
      <c r="F180" s="428"/>
      <c r="G180" s="428"/>
      <c r="H180" s="428"/>
    </row>
    <row r="181" spans="1:11" ht="30" hidden="1" x14ac:dyDescent="0.25">
      <c r="B181" s="607" t="s">
        <v>199</v>
      </c>
      <c r="C181" s="607"/>
      <c r="D181" s="404" t="s">
        <v>206</v>
      </c>
      <c r="E181" s="608" t="s">
        <v>207</v>
      </c>
      <c r="F181" s="608"/>
      <c r="G181" s="608" t="s">
        <v>200</v>
      </c>
      <c r="H181" s="608"/>
    </row>
    <row r="182" spans="1:11" hidden="1" x14ac:dyDescent="0.25">
      <c r="B182" s="607" t="str">
        <f>INDEX('Base Blend Property Calculation'!$C$6:$BF$6,1,'Base Blend Property Calculation'!BT7)</f>
        <v>Class A</v>
      </c>
      <c r="C182" s="607"/>
      <c r="D182" s="393">
        <f>VLOOKUP('Bulk Plant Input'!$A$19, 'Base Blend Property Calculation'!$A$6:$BF$159,'Base Blend Property Calculation'!BT9,FALSE)*('Bulk Plant Input'!$I$14/('Bulk Plant Input'!$B$13/1000))</f>
        <v>0</v>
      </c>
      <c r="E182" s="451"/>
      <c r="F182" s="452"/>
      <c r="G182" s="588"/>
      <c r="H182" s="589"/>
    </row>
    <row r="183" spans="1:11" hidden="1" x14ac:dyDescent="0.25">
      <c r="B183" s="607" t="str">
        <f>INDEX('Base Blend Property Calculation'!$C$6:$BF$6,1,'Base Blend Property Calculation'!BT8)</f>
        <v>Class C</v>
      </c>
      <c r="C183" s="607"/>
      <c r="D183" s="393">
        <f>VLOOKUP('Bulk Plant Input'!$A$19, 'Base Blend Property Calculation'!$A$6:$BF$159,'Base Blend Property Calculation'!BT10,FALSE)*('Bulk Plant Input'!$I$14/('Bulk Plant Input'!$B$13/1000))</f>
        <v>0</v>
      </c>
      <c r="E183" s="451"/>
      <c r="F183" s="452"/>
      <c r="G183" s="588"/>
      <c r="H183" s="589"/>
    </row>
    <row r="184" spans="1:11" hidden="1" x14ac:dyDescent="0.25">
      <c r="B184" s="607" t="str">
        <f>INDEX('Base Blend Property Calculation'!$C$6:$BF$6,1,'Base Blend Property Calculation'!BT9)</f>
        <v>Class G</v>
      </c>
      <c r="C184" s="607"/>
      <c r="D184" s="393">
        <f>VLOOKUP('Bulk Plant Input'!$A$19, 'Base Blend Property Calculation'!$A$6:$BF$159,'Base Blend Property Calculation'!BT11,FALSE)*('Bulk Plant Input'!$I$14/('Bulk Plant Input'!$B$13/1000))</f>
        <v>0</v>
      </c>
      <c r="E184" s="451"/>
      <c r="F184" s="452"/>
      <c r="G184" s="588"/>
      <c r="H184" s="589"/>
    </row>
    <row r="185" spans="1:11" hidden="1" x14ac:dyDescent="0.25">
      <c r="B185" s="607" t="str">
        <f>INDEX('Base Blend Property Calculation'!$C$6:$BF$6,1,'Base Blend Property Calculation'!BT10)</f>
        <v>Class H</v>
      </c>
      <c r="C185" s="607"/>
      <c r="D185" s="393">
        <f>VLOOKUP('Bulk Plant Input'!$A$19, 'Base Blend Property Calculation'!$A$6:$BF$159,'Base Blend Property Calculation'!BT12,FALSE)*('Bulk Plant Input'!$I$14/('Bulk Plant Input'!$B$13/1000))</f>
        <v>0</v>
      </c>
      <c r="E185" s="451"/>
      <c r="F185" s="452"/>
      <c r="G185" s="588"/>
      <c r="H185" s="589"/>
    </row>
    <row r="186" spans="1:11" hidden="1" x14ac:dyDescent="0.25">
      <c r="B186" s="607" t="str">
        <f>INDEX('Base Blend Property Calculation'!$C$6:$BF$6,1,'Base Blend Property Calculation'!BT11)</f>
        <v>Intercem</v>
      </c>
      <c r="C186" s="607"/>
      <c r="D186" s="393">
        <f>VLOOKUP('Bulk Plant Input'!$A$19, 'Base Blend Property Calculation'!$A$6:$BF$159,'Base Blend Property Calculation'!BT13,FALSE)*('Bulk Plant Input'!$I$14/('Bulk Plant Input'!$B$13/1000))</f>
        <v>0</v>
      </c>
      <c r="E186" s="451"/>
      <c r="F186" s="452"/>
      <c r="G186" s="588"/>
      <c r="H186" s="589"/>
    </row>
    <row r="187" spans="1:11" hidden="1" x14ac:dyDescent="0.25">
      <c r="B187" s="607" t="str">
        <f>INDEX('Base Blend Property Calculation'!$C$6:$BF$6,1,'Base Blend Property Calculation'!BT12)</f>
        <v>Colloid SQ-A</v>
      </c>
      <c r="C187" s="607"/>
      <c r="D187" s="393">
        <f>VLOOKUP('Bulk Plant Input'!$A$19, 'Base Blend Property Calculation'!$A$6:$BF$159,'Base Blend Property Calculation'!BT14,FALSE)*('Bulk Plant Input'!$I$14/('Bulk Plant Input'!$B$13/1000))</f>
        <v>0</v>
      </c>
      <c r="E187" s="451"/>
      <c r="F187" s="452"/>
      <c r="G187" s="588"/>
      <c r="H187" s="589"/>
    </row>
    <row r="188" spans="1:11" hidden="1" x14ac:dyDescent="0.25">
      <c r="B188" s="607" t="str">
        <f>INDEX('Base Blend Property Calculation'!$C$6:$BF$6,1,'Base Blend Property Calculation'!BT13)</f>
        <v>Flyash</v>
      </c>
      <c r="C188" s="607"/>
      <c r="D188" s="393">
        <f>VLOOKUP('Bulk Plant Input'!$A$19, 'Base Blend Property Calculation'!$A$6:$BF$159,'Base Blend Property Calculation'!BT15,FALSE)*('Bulk Plant Input'!$I$14/('Bulk Plant Input'!$B$13/1000))</f>
        <v>0</v>
      </c>
      <c r="E188" s="451"/>
      <c r="F188" s="452"/>
      <c r="G188" s="588"/>
      <c r="H188" s="589"/>
    </row>
    <row r="189" spans="1:11" ht="15" hidden="1" customHeight="1" x14ac:dyDescent="0.25">
      <c r="B189" s="607" t="str">
        <f>INDEX('Base Blend Property Calculation'!$C$6:$BF$6,1,'Base Blend Property Calculation'!BT14)</f>
        <v>Flyash (Sask)</v>
      </c>
      <c r="C189" s="607"/>
      <c r="D189" s="393">
        <f>VLOOKUP('Bulk Plant Input'!$A$19, 'Base Blend Property Calculation'!$A$6:$BF$159,'Base Blend Property Calculation'!BT16,FALSE)*('Bulk Plant Input'!$I$14/('Bulk Plant Input'!$B$13/1000))</f>
        <v>0</v>
      </c>
      <c r="E189" s="451"/>
      <c r="F189" s="452"/>
      <c r="G189" s="588"/>
      <c r="H189" s="589"/>
    </row>
    <row r="190" spans="1:11" ht="27" hidden="1" customHeight="1" x14ac:dyDescent="0.25">
      <c r="B190" s="607" t="str">
        <f>INDEX('Base Blend Property Calculation'!$C$6:$BF$6,1,'Base Blend Property Calculation'!BT15)</f>
        <v>Densified Fume</v>
      </c>
      <c r="C190" s="607"/>
      <c r="D190" s="393">
        <f>VLOOKUP('Bulk Plant Input'!$A$19, 'Base Blend Property Calculation'!$A$6:$BF$159,'Base Blend Property Calculation'!BT17,FALSE)*('Bulk Plant Input'!$I$14/('Bulk Plant Input'!$B$13/1000))</f>
        <v>0</v>
      </c>
      <c r="E190" s="451"/>
      <c r="F190" s="452"/>
      <c r="G190" s="588"/>
      <c r="H190" s="589"/>
    </row>
    <row r="191" spans="1:11" hidden="1" x14ac:dyDescent="0.25">
      <c r="B191" s="607" t="str">
        <f>INDEX('Base Blend Property Calculation'!$C$6:$BF$6,1,'Base Blend Property Calculation'!BT16)</f>
        <v>Silica Fume - Semi-Densified</v>
      </c>
      <c r="C191" s="607"/>
      <c r="D191" s="393">
        <f>VLOOKUP('Bulk Plant Input'!$A$19, 'Base Blend Property Calculation'!$A$6:$BF$159,'Base Blend Property Calculation'!BT18,FALSE)*('Bulk Plant Input'!$I$14/('Bulk Plant Input'!$B$13/1000))</f>
        <v>0</v>
      </c>
      <c r="E191" s="451"/>
      <c r="F191" s="452"/>
      <c r="G191" s="588"/>
      <c r="H191" s="589"/>
    </row>
    <row r="192" spans="1:11" hidden="1" x14ac:dyDescent="0.25">
      <c r="B192" s="607" t="str">
        <f>INDEX('Base Blend Property Calculation'!$C$6:$BF$6,1,'Base Blend Property Calculation'!BT17)</f>
        <v>Sanlite</v>
      </c>
      <c r="C192" s="607"/>
      <c r="D192" s="393">
        <f>VLOOKUP('Bulk Plant Input'!$A$19, 'Base Blend Property Calculation'!$A$6:$BF$159,'Base Blend Property Calculation'!BT19,FALSE)*('Bulk Plant Input'!$I$14/('Bulk Plant Input'!$B$13/1000))</f>
        <v>0</v>
      </c>
      <c r="E192" s="451"/>
      <c r="F192" s="452"/>
      <c r="G192" s="588"/>
      <c r="H192" s="589"/>
    </row>
    <row r="193" spans="2:8" hidden="1" x14ac:dyDescent="0.25">
      <c r="B193" s="607" t="str">
        <f>INDEX('Base Blend Property Calculation'!$C$6:$BF$6,1,'Base Blend Property Calculation'!BT18)</f>
        <v>Silica Flour</v>
      </c>
      <c r="C193" s="607"/>
      <c r="D193" s="393">
        <f>VLOOKUP('Bulk Plant Input'!$A$19, 'Base Blend Property Calculation'!$A$6:$BF$159,'Base Blend Property Calculation'!BT20,FALSE)*('Bulk Plant Input'!$I$14/('Bulk Plant Input'!$B$13/1000))</f>
        <v>0</v>
      </c>
      <c r="E193" s="451"/>
      <c r="F193" s="452"/>
      <c r="G193" s="588"/>
      <c r="H193" s="589"/>
    </row>
    <row r="194" spans="2:8" hidden="1" x14ac:dyDescent="0.25">
      <c r="B194" s="607" t="str">
        <f>INDEX('Base Blend Property Calculation'!$C$6:$BF$6,1,'Base Blend Property Calculation'!BT19)</f>
        <v>Gel</v>
      </c>
      <c r="C194" s="607"/>
      <c r="D194" s="393">
        <f>VLOOKUP('Bulk Plant Input'!$A$19, 'Base Blend Property Calculation'!$A$6:$BF$159,'Base Blend Property Calculation'!BT21,FALSE)*('Bulk Plant Input'!$I$14/('Bulk Plant Input'!$B$13/1000))</f>
        <v>0</v>
      </c>
      <c r="E194" s="451"/>
      <c r="F194" s="452"/>
      <c r="G194" s="588"/>
      <c r="H194" s="589"/>
    </row>
    <row r="195" spans="2:8" hidden="1" x14ac:dyDescent="0.25">
      <c r="B195" s="607" t="str">
        <f>INDEX('Base Blend Property Calculation'!$C$6:$BF$6,1,'Base Blend Property Calculation'!BT20)</f>
        <v>SCA-1</v>
      </c>
      <c r="C195" s="607"/>
      <c r="D195" s="393">
        <f>VLOOKUP('Bulk Plant Input'!$A$19, 'Base Blend Property Calculation'!$A$6:$BF$159,'Base Blend Property Calculation'!BT22,FALSE)*('Bulk Plant Input'!$I$14/('Bulk Plant Input'!$B$13/1000))</f>
        <v>0</v>
      </c>
      <c r="E195" s="451"/>
      <c r="F195" s="452"/>
      <c r="G195" s="588"/>
      <c r="H195" s="589"/>
    </row>
    <row r="196" spans="2:8" hidden="1" x14ac:dyDescent="0.25">
      <c r="B196" s="607" t="str">
        <f>INDEX('Base Blend Property Calculation'!$C$6:$BF$6,1,'Base Blend Property Calculation'!BT21)</f>
        <v>Hematite</v>
      </c>
      <c r="C196" s="607"/>
      <c r="D196" s="393">
        <f>VLOOKUP('Bulk Plant Input'!$A$19, 'Base Blend Property Calculation'!$A$6:$BF$159,'Base Blend Property Calculation'!BT23,FALSE)*('Bulk Plant Input'!$I$14/('Bulk Plant Input'!$B$13/1000))</f>
        <v>0</v>
      </c>
      <c r="E196" s="451"/>
      <c r="F196" s="452"/>
      <c r="G196" s="588"/>
      <c r="H196" s="589"/>
    </row>
    <row r="197" spans="2:8" hidden="1" x14ac:dyDescent="0.25">
      <c r="B197" s="607" t="str">
        <f>INDEX('Base Blend Property Calculation'!$C$6:$BF$6,1,'Base Blend Property Calculation'!BT22)</f>
        <v>CDM-6B</v>
      </c>
      <c r="C197" s="607"/>
      <c r="D197" s="393">
        <f>VLOOKUP('Bulk Plant Input'!$A$19, 'Base Blend Property Calculation'!$A$6:$BF$159,'Base Blend Property Calculation'!BT24,FALSE)*('Bulk Plant Input'!$I$14/('Bulk Plant Input'!$B$13/1000))</f>
        <v>0</v>
      </c>
      <c r="E197" s="451"/>
      <c r="F197" s="452"/>
      <c r="G197" s="588"/>
      <c r="H197" s="589"/>
    </row>
    <row r="198" spans="2:8" hidden="1" x14ac:dyDescent="0.25">
      <c r="B198" s="607" t="str">
        <f>INDEX('Base Blend Property Calculation'!$C$6:$BF$6,1,'Base Blend Property Calculation'!BT23)</f>
        <v>CDM-6</v>
      </c>
      <c r="C198" s="607"/>
      <c r="D198" s="393">
        <f>VLOOKUP('Bulk Plant Input'!$A$19, 'Base Blend Property Calculation'!$A$6:$BF$159,'Base Blend Property Calculation'!BT25,FALSE)*('Bulk Plant Input'!$I$14/('Bulk Plant Input'!$B$13/1000))</f>
        <v>0</v>
      </c>
      <c r="E198" s="451"/>
      <c r="F198" s="452"/>
      <c r="G198" s="588"/>
      <c r="H198" s="589"/>
    </row>
    <row r="199" spans="2:8" hidden="1" x14ac:dyDescent="0.25">
      <c r="B199" s="607" t="str">
        <f>INDEX('Base Blend Property Calculation'!$C$6:$BF$6,1,'Base Blend Property Calculation'!BT24)</f>
        <v>CDM-2</v>
      </c>
      <c r="C199" s="607"/>
      <c r="D199" s="393">
        <f>VLOOKUP('Bulk Plant Input'!$A$19, 'Base Blend Property Calculation'!$A$6:$BF$159,'Base Blend Property Calculation'!BT26,FALSE)*('Bulk Plant Input'!$I$14/('Bulk Plant Input'!$B$13/1000))</f>
        <v>0</v>
      </c>
      <c r="E199" s="451"/>
      <c r="F199" s="452"/>
      <c r="G199" s="588"/>
      <c r="H199" s="589"/>
    </row>
    <row r="200" spans="2:8" hidden="1" x14ac:dyDescent="0.25">
      <c r="B200" s="607" t="str">
        <f>INDEX('Base Blend Property Calculation'!$C$6:$BF$6,1,'Base Blend Property Calculation'!BT25)</f>
        <v>CDM-5</v>
      </c>
      <c r="C200" s="607"/>
      <c r="D200" s="393">
        <f>VLOOKUP('Bulk Plant Input'!$A$19, 'Base Blend Property Calculation'!$A$6:$BF$159,'Base Blend Property Calculation'!BT27,FALSE)*('Bulk Plant Input'!$I$14/('Bulk Plant Input'!$B$13/1000))</f>
        <v>0</v>
      </c>
      <c r="E200" s="451"/>
      <c r="F200" s="452"/>
      <c r="G200" s="588"/>
      <c r="H200" s="589"/>
    </row>
    <row r="201" spans="2:8" hidden="1" x14ac:dyDescent="0.25">
      <c r="B201" s="607" t="str">
        <f>INDEX('Base Blend Property Calculation'!$C$6:$BF$6,1,'Base Blend Property Calculation'!BT26)</f>
        <v>CDM-C</v>
      </c>
      <c r="C201" s="607"/>
      <c r="D201" s="393">
        <f>VLOOKUP('Bulk Plant Input'!$A$19, 'Base Blend Property Calculation'!$A$6:$BF$159,'Base Blend Property Calculation'!BT28,FALSE)*('Bulk Plant Input'!$I$14/('Bulk Plant Input'!$B$13/1000))</f>
        <v>0</v>
      </c>
      <c r="E201" s="451"/>
      <c r="F201" s="452"/>
      <c r="G201" s="588"/>
      <c r="H201" s="589"/>
    </row>
    <row r="202" spans="2:8" hidden="1" x14ac:dyDescent="0.25">
      <c r="B202" s="607" t="str">
        <f>INDEX('Base Blend Property Calculation'!$C$6:$BF$6,1,'Base Blend Property Calculation'!BT27)</f>
        <v>CDM-10</v>
      </c>
      <c r="C202" s="607"/>
      <c r="D202" s="393">
        <f>VLOOKUP('Bulk Plant Input'!$A$19, 'Base Blend Property Calculation'!$A$6:$BF$159,'Base Blend Property Calculation'!BT29,FALSE)*('Bulk Plant Input'!$I$14/('Bulk Plant Input'!$B$13/1000))</f>
        <v>0</v>
      </c>
      <c r="E202" s="451"/>
      <c r="F202" s="452"/>
      <c r="G202" s="588"/>
      <c r="H202" s="589"/>
    </row>
    <row r="203" spans="2:8" hidden="1" x14ac:dyDescent="0.25">
      <c r="B203" s="607" t="str">
        <f>INDEX('Base Blend Property Calculation'!$C$6:$BF$6,1,'Base Blend Property Calculation'!BT28)</f>
        <v>CFR</v>
      </c>
      <c r="C203" s="607"/>
      <c r="D203" s="393">
        <f>VLOOKUP('Bulk Plant Input'!$A$19, 'Base Blend Property Calculation'!$A$6:$BF$159,'Base Blend Property Calculation'!BT30,FALSE)*('Bulk Plant Input'!$I$14/('Bulk Plant Input'!$B$13/1000))</f>
        <v>0</v>
      </c>
      <c r="E203" s="451"/>
      <c r="F203" s="452"/>
      <c r="G203" s="588"/>
      <c r="H203" s="589"/>
    </row>
    <row r="204" spans="2:8" hidden="1" x14ac:dyDescent="0.25">
      <c r="B204" s="607" t="str">
        <f>INDEX('Base Blend Property Calculation'!$C$6:$BF$6,1,'Base Blend Property Calculation'!BT29)</f>
        <v>CFR-2</v>
      </c>
      <c r="C204" s="607"/>
      <c r="D204" s="393">
        <f>VLOOKUP('Bulk Plant Input'!$A$19, 'Base Blend Property Calculation'!$A$6:$BF$159,'Base Blend Property Calculation'!BT31,FALSE)*('Bulk Plant Input'!$I$14/('Bulk Plant Input'!$B$13/1000))</f>
        <v>0</v>
      </c>
      <c r="E204" s="451"/>
      <c r="F204" s="452"/>
      <c r="G204" s="588"/>
      <c r="H204" s="589"/>
    </row>
    <row r="205" spans="2:8" hidden="1" x14ac:dyDescent="0.25">
      <c r="B205" s="607" t="str">
        <f>INDEX('Base Blend Property Calculation'!$C$6:$BF$6,1,'Base Blend Property Calculation'!BT30)</f>
        <v>CFR-5</v>
      </c>
      <c r="C205" s="607"/>
      <c r="D205" s="393">
        <f>VLOOKUP('Bulk Plant Input'!$A$19, 'Base Blend Property Calculation'!$A$6:$BF$159,'Base Blend Property Calculation'!BT32,FALSE)*('Bulk Plant Input'!$I$14/('Bulk Plant Input'!$B$13/1000))</f>
        <v>0</v>
      </c>
      <c r="E205" s="451"/>
      <c r="F205" s="452"/>
      <c r="G205" s="588"/>
      <c r="H205" s="589"/>
    </row>
    <row r="206" spans="2:8" hidden="1" x14ac:dyDescent="0.25">
      <c r="B206" s="607" t="str">
        <f>INDEX('Base Blend Property Calculation'!$C$6:$BF$6,1,'Base Blend Property Calculation'!BT31)</f>
        <v>CFL-3</v>
      </c>
      <c r="C206" s="607"/>
      <c r="D206" s="393">
        <f>VLOOKUP('Bulk Plant Input'!$A$19, 'Base Blend Property Calculation'!$A$6:$BF$159,'Base Blend Property Calculation'!BT33,FALSE)*('Bulk Plant Input'!$I$14/('Bulk Plant Input'!$B$13/1000))</f>
        <v>0</v>
      </c>
      <c r="E206" s="451"/>
      <c r="F206" s="452"/>
      <c r="G206" s="588"/>
      <c r="H206" s="589"/>
    </row>
    <row r="207" spans="2:8" hidden="1" x14ac:dyDescent="0.25">
      <c r="B207" s="607" t="str">
        <f>INDEX('Base Blend Property Calculation'!$C$6:$BF$6,1,'Base Blend Property Calculation'!BT32)</f>
        <v>CFL-4</v>
      </c>
      <c r="C207" s="607"/>
      <c r="D207" s="393">
        <f>VLOOKUP('Bulk Plant Input'!$A$19, 'Base Blend Property Calculation'!$A$6:$BF$159,'Base Blend Property Calculation'!BT34,FALSE)*('Bulk Plant Input'!$I$14/('Bulk Plant Input'!$B$13/1000))</f>
        <v>0</v>
      </c>
      <c r="E207" s="451"/>
      <c r="F207" s="452"/>
      <c r="G207" s="588"/>
      <c r="H207" s="589"/>
    </row>
    <row r="208" spans="2:8" hidden="1" x14ac:dyDescent="0.25">
      <c r="B208" s="607" t="str">
        <f>INDEX('Base Blend Property Calculation'!$C$6:$BF$6,1,'Base Blend Property Calculation'!BT33)</f>
        <v>CFL-6</v>
      </c>
      <c r="C208" s="607"/>
      <c r="D208" s="393">
        <f>VLOOKUP('Bulk Plant Input'!$A$19, 'Base Blend Property Calculation'!$A$6:$BF$159,'Base Blend Property Calculation'!BT35,FALSE)*('Bulk Plant Input'!$I$14/('Bulk Plant Input'!$B$13/1000))</f>
        <v>0</v>
      </c>
      <c r="E208" s="451"/>
      <c r="F208" s="452"/>
      <c r="G208" s="588"/>
      <c r="H208" s="589"/>
    </row>
    <row r="209" spans="2:8" hidden="1" x14ac:dyDescent="0.25">
      <c r="B209" s="607" t="str">
        <f>INDEX('Base Blend Property Calculation'!$C$6:$BF$6,1,'Base Blend Property Calculation'!BT34)</f>
        <v>CFL-7</v>
      </c>
      <c r="C209" s="607"/>
      <c r="D209" s="393">
        <f>VLOOKUP('Bulk Plant Input'!$A$19, 'Base Blend Property Calculation'!$A$6:$BF$159,'Base Blend Property Calculation'!BT36,FALSE)*('Bulk Plant Input'!$I$14/('Bulk Plant Input'!$B$13/1000))</f>
        <v>0</v>
      </c>
      <c r="E209" s="451"/>
      <c r="F209" s="452"/>
      <c r="G209" s="588"/>
      <c r="H209" s="589"/>
    </row>
    <row r="210" spans="2:8" hidden="1" x14ac:dyDescent="0.25">
      <c r="B210" s="607" t="str">
        <f>INDEX('Base Blend Property Calculation'!$C$6:$BF$6,1,'Base Blend Property Calculation'!BT35)</f>
        <v>CaCl2</v>
      </c>
      <c r="C210" s="607"/>
      <c r="D210" s="393">
        <f>VLOOKUP('Bulk Plant Input'!$A$19, 'Base Blend Property Calculation'!$A$6:$BF$159,'Base Blend Property Calculation'!BT37,FALSE)*('Bulk Plant Input'!$I$14/('Bulk Plant Input'!$B$13/1000))</f>
        <v>0</v>
      </c>
      <c r="E210" s="451"/>
      <c r="F210" s="452"/>
      <c r="G210" s="588"/>
      <c r="H210" s="589"/>
    </row>
    <row r="211" spans="2:8" hidden="1" x14ac:dyDescent="0.25">
      <c r="B211" s="607" t="str">
        <f>INDEX('Base Blend Property Calculation'!$C$6:$BF$6,1,'Base Blend Property Calculation'!BT36)</f>
        <v>SCA-6</v>
      </c>
      <c r="C211" s="607"/>
      <c r="D211" s="393">
        <f>VLOOKUP('Bulk Plant Input'!$A$19, 'Base Blend Property Calculation'!$A$6:$BF$159,'Base Blend Property Calculation'!BT38,FALSE)*('Bulk Plant Input'!$I$14/('Bulk Plant Input'!$B$13/1000))</f>
        <v>0</v>
      </c>
      <c r="E211" s="451"/>
      <c r="F211" s="452"/>
      <c r="G211" s="588"/>
      <c r="H211" s="589"/>
    </row>
    <row r="212" spans="2:8" hidden="1" x14ac:dyDescent="0.25">
      <c r="B212" s="607" t="str">
        <f>INDEX('Base Blend Property Calculation'!$C$6:$BF$6,1,'Base Blend Property Calculation'!BT37)</f>
        <v>SCA-7</v>
      </c>
      <c r="C212" s="607"/>
      <c r="D212" s="393">
        <f>VLOOKUP('Bulk Plant Input'!$A$19, 'Base Blend Property Calculation'!$A$6:$BF$159,'Base Blend Property Calculation'!BT39,FALSE)*('Bulk Plant Input'!$I$14/('Bulk Plant Input'!$B$13/1000))</f>
        <v>0</v>
      </c>
      <c r="E212" s="451"/>
      <c r="F212" s="452"/>
      <c r="G212" s="588"/>
      <c r="H212" s="589"/>
    </row>
    <row r="213" spans="2:8" hidden="1" x14ac:dyDescent="0.25">
      <c r="B213" s="607" t="str">
        <f>INDEX('Base Blend Property Calculation'!$C$6:$BF$6,1,'Base Blend Property Calculation'!BT38)</f>
        <v>SCA-5</v>
      </c>
      <c r="C213" s="607"/>
      <c r="D213" s="393">
        <f>VLOOKUP('Bulk Plant Input'!$A$19, 'Base Blend Property Calculation'!$A$6:$BF$159,'Base Blend Property Calculation'!BT40,FALSE)*('Bulk Plant Input'!$I$14/('Bulk Plant Input'!$B$13/1000))</f>
        <v>0</v>
      </c>
      <c r="E213" s="451"/>
      <c r="F213" s="452"/>
      <c r="G213" s="588"/>
      <c r="H213" s="589"/>
    </row>
    <row r="214" spans="2:8" ht="15" hidden="1" customHeight="1" x14ac:dyDescent="0.25">
      <c r="B214" s="607" t="str">
        <f>INDEX('Base Blend Property Calculation'!$C$6:$BF$6,1,'Base Blend Property Calculation'!BT39)</f>
        <v>FWC-2</v>
      </c>
      <c r="C214" s="607"/>
      <c r="D214" s="393">
        <f>VLOOKUP('Bulk Plant Input'!$A$19, 'Base Blend Property Calculation'!$A$6:$BF$159,'Base Blend Property Calculation'!BT41,FALSE)*('Bulk Plant Input'!$I$14/('Bulk Plant Input'!$B$13/1000))</f>
        <v>0</v>
      </c>
      <c r="E214" s="451"/>
      <c r="F214" s="452"/>
      <c r="G214" s="588"/>
      <c r="H214" s="589"/>
    </row>
    <row r="215" spans="2:8" hidden="1" x14ac:dyDescent="0.25">
      <c r="B215" s="607" t="str">
        <f>INDEX('Base Blend Property Calculation'!$C$6:$BF$6,1,'Base Blend Property Calculation'!BT40)</f>
        <v>LTR-3</v>
      </c>
      <c r="C215" s="607"/>
      <c r="D215" s="393">
        <f>VLOOKUP('Bulk Plant Input'!$A$19, 'Base Blend Property Calculation'!$A$6:$BF$159,'Base Blend Property Calculation'!BT42,FALSE)*('Bulk Plant Input'!$I$14/('Bulk Plant Input'!$B$13/1000))</f>
        <v>0</v>
      </c>
      <c r="E215" s="451"/>
      <c r="F215" s="452"/>
      <c r="G215" s="588"/>
      <c r="H215" s="589"/>
    </row>
    <row r="216" spans="2:8" hidden="1" x14ac:dyDescent="0.25">
      <c r="B216" s="607" t="str">
        <f>INDEX('Base Blend Property Calculation'!$C$6:$BF$6,1,'Base Blend Property Calculation'!BT41)</f>
        <v>NaCl</v>
      </c>
      <c r="C216" s="607"/>
      <c r="D216" s="393">
        <f>VLOOKUP('Bulk Plant Input'!$A$19, 'Base Blend Property Calculation'!$A$6:$BF$159,'Base Blend Property Calculation'!BT43,FALSE)*('Bulk Plant Input'!$I$14/('Bulk Plant Input'!$B$13/1000))</f>
        <v>0</v>
      </c>
      <c r="E216" s="451"/>
      <c r="F216" s="452"/>
      <c r="G216" s="588"/>
      <c r="H216" s="589"/>
    </row>
    <row r="217" spans="2:8" hidden="1" x14ac:dyDescent="0.25">
      <c r="B217" s="607" t="str">
        <f>INDEX('Base Blend Property Calculation'!$C$6:$BF$6,1,'Base Blend Property Calculation'!BT42)</f>
        <v>KCl</v>
      </c>
      <c r="C217" s="607"/>
      <c r="D217" s="393">
        <f>VLOOKUP('Bulk Plant Input'!$A$19, 'Base Blend Property Calculation'!$A$6:$BF$159,'Base Blend Property Calculation'!BT44,FALSE)*('Bulk Plant Input'!$I$14/('Bulk Plant Input'!$B$13/1000))</f>
        <v>0</v>
      </c>
      <c r="E217" s="451"/>
      <c r="F217" s="452"/>
      <c r="G217" s="588"/>
      <c r="H217" s="589"/>
    </row>
    <row r="218" spans="2:8" hidden="1" x14ac:dyDescent="0.25">
      <c r="B218" s="607" t="str">
        <f>INDEX('Base Blend Property Calculation'!$C$6:$BF$6,1,'Base Blend Property Calculation'!BT43)</f>
        <v>EA-1</v>
      </c>
      <c r="C218" s="607"/>
      <c r="D218" s="393">
        <f>VLOOKUP('Bulk Plant Input'!$A$19, 'Base Blend Property Calculation'!$A$6:$BF$159,'Base Blend Property Calculation'!BT45,FALSE)*('Bulk Plant Input'!$I$14/('Bulk Plant Input'!$B$13/1000))</f>
        <v>0</v>
      </c>
      <c r="E218" s="451"/>
      <c r="F218" s="452"/>
      <c r="G218" s="588"/>
      <c r="H218" s="589"/>
    </row>
    <row r="219" spans="2:8" hidden="1" x14ac:dyDescent="0.25">
      <c r="B219" s="607" t="str">
        <f>INDEX('Base Blend Property Calculation'!$C$6:$BF$6,1,'Base Blend Property Calculation'!BT44)</f>
        <v>EA-3</v>
      </c>
      <c r="C219" s="607"/>
      <c r="D219" s="393">
        <f>VLOOKUP('Bulk Plant Input'!$A$19, 'Base Blend Property Calculation'!$A$6:$BF$159,'Base Blend Property Calculation'!BT46,FALSE)*('Bulk Plant Input'!$I$14/('Bulk Plant Input'!$B$13/1000))</f>
        <v>0</v>
      </c>
      <c r="E219" s="451"/>
      <c r="F219" s="452"/>
      <c r="G219" s="588"/>
      <c r="H219" s="589"/>
    </row>
    <row r="220" spans="2:8" hidden="1" x14ac:dyDescent="0.25">
      <c r="B220" s="607" t="str">
        <f>INDEX('Base Blend Property Calculation'!$C$6:$BF$6,1,'Base Blend Property Calculation'!BT45)</f>
        <v>LCG-2</v>
      </c>
      <c r="C220" s="607"/>
      <c r="D220" s="393">
        <f>VLOOKUP('Bulk Plant Input'!$A$19, 'Base Blend Property Calculation'!$A$6:$BF$159,'Base Blend Property Calculation'!BT47,FALSE)*('Bulk Plant Input'!$I$14/('Bulk Plant Input'!$B$13/1000))</f>
        <v>0</v>
      </c>
      <c r="E220" s="451"/>
      <c r="F220" s="452"/>
      <c r="G220" s="588"/>
      <c r="H220" s="589"/>
    </row>
    <row r="221" spans="2:8" hidden="1" x14ac:dyDescent="0.25">
      <c r="B221" s="607" t="str">
        <f>INDEX('Base Blend Property Calculation'!$C$6:$BF$6,1,'Base Blend Property Calculation'!BT46)</f>
        <v>Micromix</v>
      </c>
      <c r="C221" s="607"/>
      <c r="D221" s="393">
        <f>VLOOKUP('Bulk Plant Input'!$A$19, 'Base Blend Property Calculation'!$A$6:$BF$159,'Base Blend Property Calculation'!BT48,FALSE)*('Bulk Plant Input'!$I$14/('Bulk Plant Input'!$B$13/1000))</f>
        <v>0</v>
      </c>
      <c r="E221" s="451"/>
      <c r="F221" s="452"/>
      <c r="G221" s="588"/>
      <c r="H221" s="589"/>
    </row>
    <row r="222" spans="2:8" hidden="1" x14ac:dyDescent="0.25">
      <c r="B222" s="607" t="str">
        <f>INDEX('Base Blend Property Calculation'!$C$6:$BF$6,1,'Base Blend Property Calculation'!BT47)</f>
        <v>LCG-1</v>
      </c>
      <c r="C222" s="607"/>
      <c r="D222" s="393">
        <f>VLOOKUP('Bulk Plant Input'!$A$19, 'Base Blend Property Calculation'!$A$6:$BF$159,'Base Blend Property Calculation'!BT49,FALSE)*('Bulk Plant Input'!$I$14/('Bulk Plant Input'!$B$13/1000))</f>
        <v>0</v>
      </c>
      <c r="E222" s="451"/>
      <c r="F222" s="452"/>
      <c r="G222" s="588"/>
      <c r="H222" s="589"/>
    </row>
    <row r="223" spans="2:8" hidden="1" x14ac:dyDescent="0.25">
      <c r="B223" s="607" t="str">
        <f>INDEX('Base Blend Property Calculation'!$C$6:$BF$6,1,'Base Blend Property Calculation'!BT48)</f>
        <v>Gilsonite</v>
      </c>
      <c r="C223" s="607"/>
      <c r="D223" s="393">
        <f>VLOOKUP('Bulk Plant Input'!$A$19, 'Base Blend Property Calculation'!$A$6:$BF$159,'Base Blend Property Calculation'!BT50,FALSE)*('Bulk Plant Input'!$I$14/('Bulk Plant Input'!$B$13/1000))</f>
        <v>0</v>
      </c>
      <c r="E223" s="451"/>
      <c r="F223" s="452"/>
      <c r="G223" s="588"/>
      <c r="H223" s="589"/>
    </row>
    <row r="224" spans="2:8" hidden="1" x14ac:dyDescent="0.25">
      <c r="B224" s="607" t="str">
        <f>INDEX('Base Blend Property Calculation'!$C$6:$BF$6,1,'Base Blend Property Calculation'!BT49)</f>
        <v>SG1500</v>
      </c>
      <c r="C224" s="607"/>
      <c r="D224" s="393">
        <f>VLOOKUP('Bulk Plant Input'!$A$19, 'Base Blend Property Calculation'!$A$6:$BF$159,'Base Blend Property Calculation'!BT51,FALSE)*('Bulk Plant Input'!$I$14/('Bulk Plant Input'!$B$13/1000))</f>
        <v>0</v>
      </c>
      <c r="E224" s="451"/>
      <c r="F224" s="452"/>
      <c r="G224" s="588"/>
      <c r="H224" s="589"/>
    </row>
    <row r="225" spans="2:8" hidden="1" x14ac:dyDescent="0.25">
      <c r="B225" s="607" t="str">
        <f>INDEX('Base Blend Property Calculation'!$C$6:$BF$6,1,'Base Blend Property Calculation'!BT50)</f>
        <v>ASM-3</v>
      </c>
      <c r="C225" s="607"/>
      <c r="D225" s="393">
        <f>VLOOKUP('Bulk Plant Input'!$A$19, 'Base Blend Property Calculation'!$A$6:$BF$159,'Base Blend Property Calculation'!BT52,FALSE)*('Bulk Plant Input'!$I$14/('Bulk Plant Input'!$B$13/1000))</f>
        <v>0</v>
      </c>
      <c r="E225" s="451"/>
      <c r="F225" s="452"/>
      <c r="G225" s="588"/>
      <c r="H225" s="589"/>
    </row>
    <row r="226" spans="2:8" hidden="1" x14ac:dyDescent="0.25">
      <c r="B226" s="607" t="str">
        <f>INDEX('Base Blend Property Calculation'!$C$6:$BF$6,1,'Base Blend Property Calculation'!BT51)</f>
        <v>Ciment Fondu</v>
      </c>
      <c r="C226" s="607"/>
      <c r="D226" s="393">
        <f>VLOOKUP('Bulk Plant Input'!$A$19, 'Base Blend Property Calculation'!$A$6:$BF$159,'Base Blend Property Calculation'!BT53,FALSE)*('Bulk Plant Input'!$I$14/('Bulk Plant Input'!$B$13/1000))</f>
        <v>0</v>
      </c>
      <c r="E226" s="451"/>
      <c r="F226" s="452"/>
      <c r="G226" s="588"/>
      <c r="H226" s="589"/>
    </row>
    <row r="227" spans="2:8" hidden="1" x14ac:dyDescent="0.25">
      <c r="B227" s="607" t="str">
        <f>INDEX('Base Blend Property Calculation'!$C$6:$BF$6,1,'Base Blend Property Calculation'!BT52)</f>
        <v>CFL-10</v>
      </c>
      <c r="C227" s="607"/>
      <c r="D227" s="393">
        <f>VLOOKUP('Bulk Plant Input'!$A$19, 'Base Blend Property Calculation'!$A$6:$BF$159,'Base Blend Property Calculation'!BT54,FALSE)*('Bulk Plant Input'!$I$14/('Bulk Plant Input'!$B$13/1000))</f>
        <v>0</v>
      </c>
      <c r="E227" s="451"/>
      <c r="F227" s="452"/>
      <c r="G227" s="588"/>
      <c r="H227" s="589"/>
    </row>
    <row r="228" spans="2:8" hidden="1" x14ac:dyDescent="0.25">
      <c r="B228" s="607" t="str">
        <f>INDEX('Base Blend Property Calculation'!$C$6:$BF$6,1,'Base Blend Property Calculation'!BT53)</f>
        <v>CDM-4</v>
      </c>
      <c r="C228" s="607"/>
      <c r="D228" s="393">
        <f>VLOOKUP('Bulk Plant Input'!$A$19, 'Base Blend Property Calculation'!$A$6:$BF$159,'Base Blend Property Calculation'!BT55,FALSE)*('Bulk Plant Input'!$I$14/('Bulk Plant Input'!$B$13/1000))</f>
        <v>0</v>
      </c>
      <c r="E228" s="451"/>
      <c r="F228" s="452"/>
      <c r="G228" s="588"/>
      <c r="H228" s="589"/>
    </row>
    <row r="229" spans="2:8" hidden="1" x14ac:dyDescent="0.25">
      <c r="B229" s="607" t="str">
        <f>INDEX('Base Blend Property Calculation'!$C$6:$BF$6,1,'Base Blend Property Calculation'!BT54)</f>
        <v>None</v>
      </c>
      <c r="C229" s="607"/>
      <c r="D229" s="393">
        <f>VLOOKUP('Bulk Plant Input'!$A$19, 'Base Blend Property Calculation'!$A$6:$BF$159,'Base Blend Property Calculation'!BT56,FALSE)*('Bulk Plant Input'!$I$14/('Bulk Plant Input'!$B$13/1000))</f>
        <v>0</v>
      </c>
      <c r="E229" s="451"/>
      <c r="F229" s="452"/>
      <c r="G229" s="588"/>
      <c r="H229" s="589"/>
    </row>
    <row r="230" spans="2:8" hidden="1" x14ac:dyDescent="0.25">
      <c r="B230" s="607" t="str">
        <f>INDEX('Base Blend Property Calculation'!$C$6:$BF$6,1,'Base Blend Property Calculation'!BT55)</f>
        <v>None</v>
      </c>
      <c r="C230" s="607"/>
      <c r="D230" s="393">
        <f>VLOOKUP('Bulk Plant Input'!$A$19, 'Base Blend Property Calculation'!$A$6:$BF$159,'Base Blend Property Calculation'!BT57,FALSE)*('Bulk Plant Input'!$I$14/('Bulk Plant Input'!$B$13/1000))</f>
        <v>0</v>
      </c>
      <c r="E230" s="451"/>
      <c r="F230" s="452"/>
      <c r="G230" s="588"/>
      <c r="H230" s="589"/>
    </row>
    <row r="231" spans="2:8" hidden="1" x14ac:dyDescent="0.25">
      <c r="B231" s="607" t="str">
        <f>INDEX('Base Blend Property Calculation'!$C$6:$BF$6,1,'Base Blend Property Calculation'!BT56)</f>
        <v>None</v>
      </c>
      <c r="C231" s="607"/>
      <c r="D231" s="393">
        <f>VLOOKUP('Bulk Plant Input'!$A$19, 'Base Blend Property Calculation'!$A$6:$BF$159,'Base Blend Property Calculation'!BT58,FALSE)*('Bulk Plant Input'!$I$14/('Bulk Plant Input'!$B$13/1000))</f>
        <v>0</v>
      </c>
      <c r="E231" s="451"/>
      <c r="F231" s="452"/>
      <c r="G231" s="588"/>
      <c r="H231" s="589"/>
    </row>
    <row r="232" spans="2:8" hidden="1" x14ac:dyDescent="0.25">
      <c r="B232" s="607" t="str">
        <f>INDEX('Base Blend Property Calculation'!$C$6:$BF$6,1,'Base Blend Property Calculation'!BT57)</f>
        <v>None</v>
      </c>
      <c r="C232" s="607"/>
      <c r="D232" s="393">
        <f>VLOOKUP('Bulk Plant Input'!$A$19, 'Base Blend Property Calculation'!$A$6:$BF$159,'Base Blend Property Calculation'!BT59,FALSE)*('Bulk Plant Input'!$I$14/('Bulk Plant Input'!$B$13/1000))</f>
        <v>0</v>
      </c>
      <c r="E232" s="451"/>
      <c r="F232" s="452"/>
      <c r="G232" s="588"/>
      <c r="H232" s="589"/>
    </row>
    <row r="233" spans="2:8" hidden="1" x14ac:dyDescent="0.25">
      <c r="B233" s="607" t="str">
        <f>INDEX('Base Blend Property Calculation'!$C$6:$BF$6,1,'Base Blend Property Calculation'!BT58)</f>
        <v>None</v>
      </c>
      <c r="C233" s="607"/>
      <c r="D233" s="393">
        <f>VLOOKUP('Bulk Plant Input'!$A$19, 'Base Blend Property Calculation'!$A$6:$BF$159,'Base Blend Property Calculation'!BT60,FALSE)*('Bulk Plant Input'!$I$14/('Bulk Plant Input'!$B$13/1000))</f>
        <v>0</v>
      </c>
      <c r="E233" s="451"/>
      <c r="F233" s="452"/>
      <c r="G233" s="588"/>
      <c r="H233" s="589"/>
    </row>
    <row r="234" spans="2:8" hidden="1" x14ac:dyDescent="0.25">
      <c r="B234" s="607" t="str">
        <f>INDEX('Base Blend Property Calculation'!$C$6:$BF$6,1,'Base Blend Property Calculation'!BT59)</f>
        <v>None</v>
      </c>
      <c r="C234" s="607"/>
      <c r="D234" s="393">
        <f>VLOOKUP('Bulk Plant Input'!$A$19, 'Base Blend Property Calculation'!$A$6:$BF$159,'Base Blend Property Calculation'!BT61,FALSE)*('Bulk Plant Input'!$I$14/('Bulk Plant Input'!$B$13/1000))</f>
        <v>0</v>
      </c>
      <c r="E234" s="451"/>
      <c r="F234" s="452"/>
      <c r="G234" s="588"/>
      <c r="H234" s="589"/>
    </row>
    <row r="235" spans="2:8" hidden="1" x14ac:dyDescent="0.25">
      <c r="B235" s="607" t="str">
        <f>INDEX('Base Blend Property Calculation'!$C$6:$BF$6,1,'Base Blend Property Calculation'!BT60)</f>
        <v>None</v>
      </c>
      <c r="C235" s="607"/>
      <c r="D235" s="393">
        <f>VLOOKUP('Bulk Plant Input'!$A$19, 'Base Blend Property Calculation'!$A$6:$BF$159,'Base Blend Property Calculation'!BT62,FALSE)*('Bulk Plant Input'!$I$14/('Bulk Plant Input'!$B$13/1000))</f>
        <v>0</v>
      </c>
      <c r="E235" s="451"/>
      <c r="F235" s="452"/>
      <c r="G235" s="588"/>
      <c r="H235" s="589"/>
    </row>
    <row r="236" spans="2:8" hidden="1" x14ac:dyDescent="0.25">
      <c r="B236" s="607" t="str">
        <f>INDEX('Base Blend Property Calculation'!$C$6:$BF$6,1,'Base Blend Property Calculation'!BT61)</f>
        <v>None</v>
      </c>
      <c r="C236" s="607"/>
      <c r="D236" s="393">
        <f>VLOOKUP('Bulk Plant Input'!$A$19, 'Base Blend Property Calculation'!$A$6:$BF$159,'Base Blend Property Calculation'!BT63,FALSE)*('Bulk Plant Input'!$I$14/('Bulk Plant Input'!$B$13/1000))</f>
        <v>0</v>
      </c>
      <c r="E236" s="451"/>
      <c r="F236" s="452"/>
      <c r="G236" s="588"/>
      <c r="H236" s="589"/>
    </row>
    <row r="237" spans="2:8" hidden="1" x14ac:dyDescent="0.25">
      <c r="D237" s="402" t="s">
        <v>198</v>
      </c>
    </row>
    <row r="238" spans="2:8" ht="15.75" hidden="1" x14ac:dyDescent="0.25">
      <c r="B238" s="606" t="str">
        <f>IF('Bulk Plant Input'!$I$14="","3rd Batch Not Entered","ADDITIVES - Batch 3")</f>
        <v>3rd Batch Not Entered</v>
      </c>
      <c r="C238" s="606"/>
      <c r="D238" s="403" t="s">
        <v>198</v>
      </c>
      <c r="E238" s="428"/>
      <c r="F238" s="428"/>
      <c r="G238" s="428"/>
      <c r="H238" s="428"/>
    </row>
    <row r="239" spans="2:8" ht="30" hidden="1" x14ac:dyDescent="0.25">
      <c r="B239" s="608" t="s">
        <v>201</v>
      </c>
      <c r="C239" s="608"/>
      <c r="D239" s="404" t="s">
        <v>206</v>
      </c>
      <c r="E239" s="608" t="s">
        <v>512</v>
      </c>
      <c r="F239" s="608"/>
      <c r="G239" s="608" t="s">
        <v>200</v>
      </c>
      <c r="H239" s="608"/>
    </row>
    <row r="240" spans="2:8" hidden="1" x14ac:dyDescent="0.25">
      <c r="B240" s="609">
        <f>'Bulk Plant Input'!A23</f>
        <v>0</v>
      </c>
      <c r="C240" s="610"/>
      <c r="D240" s="393">
        <f>IF(B160=0,0,'Bulk Plant Input'!C23*('Bulk Plant Input'!$I$14/('Bulk Plant Input'!$B$13/1000)))</f>
        <v>0</v>
      </c>
      <c r="E240" s="609"/>
      <c r="F240" s="610"/>
      <c r="G240" s="609"/>
      <c r="H240" s="610"/>
    </row>
    <row r="241" spans="2:8" hidden="1" x14ac:dyDescent="0.25">
      <c r="B241" s="609">
        <f>'Bulk Plant Input'!A24</f>
        <v>0</v>
      </c>
      <c r="C241" s="610"/>
      <c r="D241" s="393">
        <f>IF(B161=0,0,'Bulk Plant Input'!C24*('Bulk Plant Input'!$I$14/('Bulk Plant Input'!$B$13/1000)))</f>
        <v>0</v>
      </c>
      <c r="E241" s="609"/>
      <c r="F241" s="610"/>
      <c r="G241" s="609"/>
      <c r="H241" s="610"/>
    </row>
    <row r="242" spans="2:8" hidden="1" x14ac:dyDescent="0.25">
      <c r="B242" s="609">
        <f>'Bulk Plant Input'!A25</f>
        <v>0</v>
      </c>
      <c r="C242" s="610"/>
      <c r="D242" s="393">
        <f>IF(B162=0,0,'Bulk Plant Input'!C25*('Bulk Plant Input'!$I$14/('Bulk Plant Input'!$B$13/1000)))</f>
        <v>0</v>
      </c>
      <c r="E242" s="609"/>
      <c r="F242" s="610"/>
      <c r="G242" s="609"/>
      <c r="H242" s="610"/>
    </row>
    <row r="243" spans="2:8" hidden="1" x14ac:dyDescent="0.25">
      <c r="B243" s="609">
        <f>'Bulk Plant Input'!A26</f>
        <v>0</v>
      </c>
      <c r="C243" s="610"/>
      <c r="D243" s="393">
        <f>IF(B163=0,0,'Bulk Plant Input'!C26*('Bulk Plant Input'!$I$14/('Bulk Plant Input'!$B$13/1000)))</f>
        <v>0</v>
      </c>
      <c r="E243" s="609"/>
      <c r="F243" s="610"/>
      <c r="G243" s="609"/>
      <c r="H243" s="610"/>
    </row>
    <row r="244" spans="2:8" hidden="1" x14ac:dyDescent="0.25">
      <c r="B244" s="609">
        <f>'Bulk Plant Input'!A27</f>
        <v>0</v>
      </c>
      <c r="C244" s="610"/>
      <c r="D244" s="393">
        <f>IF(B164=0,0,'Bulk Plant Input'!C27*('Bulk Plant Input'!$I$14/('Bulk Plant Input'!$B$13/1000)))</f>
        <v>0</v>
      </c>
      <c r="E244" s="609"/>
      <c r="F244" s="610"/>
      <c r="G244" s="609"/>
      <c r="H244" s="610"/>
    </row>
    <row r="245" spans="2:8" hidden="1" x14ac:dyDescent="0.25">
      <c r="B245" s="609">
        <f>'Bulk Plant Input'!A28</f>
        <v>0</v>
      </c>
      <c r="C245" s="610"/>
      <c r="D245" s="393">
        <f>IF(B165=0,0,'Bulk Plant Input'!C28*('Bulk Plant Input'!$I$14/('Bulk Plant Input'!$B$13/1000)))</f>
        <v>0</v>
      </c>
      <c r="E245" s="609"/>
      <c r="F245" s="610"/>
      <c r="G245" s="609"/>
      <c r="H245" s="610"/>
    </row>
    <row r="246" spans="2:8" hidden="1" x14ac:dyDescent="0.25">
      <c r="B246" s="609">
        <f>'Bulk Plant Input'!A29</f>
        <v>0</v>
      </c>
      <c r="C246" s="610"/>
      <c r="D246" s="393">
        <f>IF(B166=0,0,'Bulk Plant Input'!C29*('Bulk Plant Input'!$I$14/('Bulk Plant Input'!$B$13/1000)))</f>
        <v>0</v>
      </c>
      <c r="E246" s="609"/>
      <c r="F246" s="610"/>
      <c r="G246" s="609"/>
      <c r="H246" s="610"/>
    </row>
    <row r="247" spans="2:8" hidden="1" x14ac:dyDescent="0.25">
      <c r="B247" s="609">
        <f>'Bulk Plant Input'!A30</f>
        <v>0</v>
      </c>
      <c r="C247" s="610"/>
      <c r="D247" s="393">
        <f>IF(B167=0,0,'Bulk Plant Input'!C30*('Bulk Plant Input'!$I$14/('Bulk Plant Input'!$B$13/1000)))</f>
        <v>0</v>
      </c>
      <c r="E247" s="609"/>
      <c r="F247" s="610"/>
      <c r="G247" s="609"/>
      <c r="H247" s="610"/>
    </row>
    <row r="248" spans="2:8" hidden="1" x14ac:dyDescent="0.25">
      <c r="B248" s="609">
        <f>'Bulk Plant Input'!A31</f>
        <v>0</v>
      </c>
      <c r="C248" s="610"/>
      <c r="D248" s="393">
        <f>IF(B168=0,0,'Bulk Plant Input'!C31*('Bulk Plant Input'!$I$14/('Bulk Plant Input'!$B$13/1000)))</f>
        <v>0</v>
      </c>
      <c r="E248" s="609"/>
      <c r="F248" s="610"/>
      <c r="G248" s="609"/>
      <c r="H248" s="610"/>
    </row>
    <row r="249" spans="2:8" hidden="1" x14ac:dyDescent="0.25">
      <c r="B249" s="609">
        <f>'Bulk Plant Input'!A32</f>
        <v>0</v>
      </c>
      <c r="C249" s="610"/>
      <c r="D249" s="393">
        <f>IF(B169=0,0,'Bulk Plant Input'!C32*('Bulk Plant Input'!$I$14/('Bulk Plant Input'!$B$13/1000)))</f>
        <v>0</v>
      </c>
      <c r="E249" s="609"/>
      <c r="F249" s="610"/>
      <c r="G249" s="609"/>
      <c r="H249" s="610"/>
    </row>
    <row r="250" spans="2:8" hidden="1" x14ac:dyDescent="0.25">
      <c r="B250" s="609">
        <f>'Bulk Plant Input'!A33</f>
        <v>0</v>
      </c>
      <c r="C250" s="610"/>
      <c r="D250" s="393">
        <f>IF(B170=0,0,'Bulk Plant Input'!C33*('Bulk Plant Input'!$I$14/('Bulk Plant Input'!$B$13/1000)))</f>
        <v>0</v>
      </c>
      <c r="E250" s="609"/>
      <c r="F250" s="610"/>
      <c r="G250" s="609"/>
      <c r="H250" s="610"/>
    </row>
    <row r="251" spans="2:8" hidden="1" x14ac:dyDescent="0.25">
      <c r="B251" s="609">
        <f>'Bulk Plant Input'!A34</f>
        <v>0</v>
      </c>
      <c r="C251" s="610"/>
      <c r="D251" s="393">
        <f>IF(B171=0,0,'Bulk Plant Input'!C34*('Bulk Plant Input'!$I$14/('Bulk Plant Input'!$B$13/1000)))</f>
        <v>0</v>
      </c>
      <c r="E251" s="609"/>
      <c r="F251" s="610"/>
      <c r="G251" s="609"/>
      <c r="H251" s="610"/>
    </row>
    <row r="252" spans="2:8" hidden="1" x14ac:dyDescent="0.25">
      <c r="B252" s="609">
        <f>'Bulk Plant Input'!A35</f>
        <v>0</v>
      </c>
      <c r="C252" s="610"/>
      <c r="D252" s="393">
        <f>IF(B172=0,0,'Bulk Plant Input'!C35*('Bulk Plant Input'!$I$14/('Bulk Plant Input'!$B$13/1000)))</f>
        <v>0</v>
      </c>
      <c r="E252" s="609"/>
      <c r="F252" s="610"/>
      <c r="G252" s="609"/>
      <c r="H252" s="610"/>
    </row>
    <row r="253" spans="2:8" hidden="1" x14ac:dyDescent="0.25">
      <c r="B253" s="609">
        <f>'Bulk Plant Input'!A36</f>
        <v>0</v>
      </c>
      <c r="C253" s="610"/>
      <c r="D253" s="393">
        <f>IF(B173=0,0,'Bulk Plant Input'!C36*('Bulk Plant Input'!$I$14/('Bulk Plant Input'!$B$13/1000)))</f>
        <v>0</v>
      </c>
      <c r="E253" s="609"/>
      <c r="F253" s="610"/>
      <c r="G253" s="609"/>
      <c r="H253" s="610"/>
    </row>
    <row r="254" spans="2:8" hidden="1" x14ac:dyDescent="0.25">
      <c r="B254" s="609">
        <f>'Bulk Plant Input'!A37</f>
        <v>0</v>
      </c>
      <c r="C254" s="610"/>
      <c r="D254" s="393">
        <f>IF(B174=0,0,'Bulk Plant Input'!C37*('Bulk Plant Input'!$I$14/('Bulk Plant Input'!$B$13/1000)))</f>
        <v>0</v>
      </c>
      <c r="E254" s="609"/>
      <c r="F254" s="610"/>
      <c r="G254" s="609"/>
      <c r="H254" s="610"/>
    </row>
    <row r="255" spans="2:8" hidden="1" x14ac:dyDescent="0.25">
      <c r="B255" s="609">
        <f>'Bulk Plant Input'!A43</f>
        <v>0</v>
      </c>
      <c r="C255" s="610"/>
      <c r="D255" s="393">
        <f>IF(B175=0,0,'Bulk Plant Input'!C38*('Bulk Plant Input'!$I$14/('Bulk Plant Input'!$B$13/1000)))</f>
        <v>0</v>
      </c>
      <c r="E255" s="609"/>
      <c r="F255" s="610"/>
      <c r="G255" s="609"/>
      <c r="H255" s="610"/>
    </row>
    <row r="256" spans="2:8" hidden="1" x14ac:dyDescent="0.25">
      <c r="B256" s="609">
        <f>'Bulk Plant Input'!A44</f>
        <v>0</v>
      </c>
      <c r="C256" s="610"/>
      <c r="D256" s="393">
        <f>IF(B176=0,0,'Bulk Plant Input'!C39*('Bulk Plant Input'!$I$14/('Bulk Plant Input'!$B$13/1000)))</f>
        <v>0</v>
      </c>
      <c r="E256" s="609"/>
      <c r="F256" s="610"/>
      <c r="G256" s="609"/>
      <c r="H256" s="610"/>
    </row>
    <row r="257" spans="1:11" hidden="1" x14ac:dyDescent="0.25">
      <c r="B257" s="403"/>
      <c r="C257" s="403"/>
      <c r="D257" s="396" t="s">
        <v>198</v>
      </c>
      <c r="E257" s="403"/>
      <c r="F257" s="403"/>
      <c r="G257" s="403"/>
      <c r="H257" s="403"/>
    </row>
    <row r="258" spans="1:11" hidden="1" x14ac:dyDescent="0.25">
      <c r="A258" s="449"/>
      <c r="B258" s="449"/>
      <c r="C258" s="449"/>
      <c r="D258" s="397" t="s">
        <v>198</v>
      </c>
      <c r="E258" s="449"/>
      <c r="F258" s="449"/>
      <c r="G258" s="449"/>
      <c r="H258" s="449"/>
      <c r="I258" s="449"/>
      <c r="J258" s="449"/>
      <c r="K258" s="449"/>
    </row>
    <row r="259" spans="1:11" hidden="1" x14ac:dyDescent="0.25">
      <c r="A259" s="409"/>
      <c r="B259" s="409"/>
      <c r="C259" s="409"/>
      <c r="D259" s="398" t="s">
        <v>198</v>
      </c>
      <c r="E259" s="409"/>
      <c r="F259" s="409"/>
      <c r="G259" s="409"/>
      <c r="H259" s="409"/>
      <c r="I259" s="409"/>
      <c r="J259" s="409"/>
      <c r="K259" s="409"/>
    </row>
    <row r="260" spans="1:11" ht="15.75" hidden="1" x14ac:dyDescent="0.25">
      <c r="B260" s="606" t="str">
        <f>IF('Bulk Plant Input'!$I$15="","4th Batch Not Entered","BASE BLEND - Batch 4")</f>
        <v>4th Batch Not Entered</v>
      </c>
      <c r="C260" s="606"/>
      <c r="D260" s="403" t="s">
        <v>198</v>
      </c>
      <c r="E260" s="428"/>
      <c r="F260" s="428"/>
      <c r="G260" s="428"/>
      <c r="H260" s="428"/>
    </row>
    <row r="261" spans="1:11" ht="30" hidden="1" x14ac:dyDescent="0.25">
      <c r="B261" s="608" t="s">
        <v>199</v>
      </c>
      <c r="C261" s="608"/>
      <c r="D261" s="404" t="s">
        <v>206</v>
      </c>
      <c r="E261" s="608" t="s">
        <v>207</v>
      </c>
      <c r="F261" s="608"/>
      <c r="G261" s="608" t="s">
        <v>200</v>
      </c>
      <c r="H261" s="608"/>
    </row>
    <row r="262" spans="1:11" hidden="1" x14ac:dyDescent="0.25">
      <c r="B262" s="609" t="str">
        <f>INDEX('Base Blend Property Calculation'!$C$6:$BF$6,1,'Base Blend Property Calculation'!BT7)</f>
        <v>Class A</v>
      </c>
      <c r="C262" s="610"/>
      <c r="D262" s="393">
        <f>VLOOKUP('Bulk Plant Input'!$A$19, 'Base Blend Property Calculation'!$A$6:$BF$159,'Base Blend Property Calculation'!BT9,FALSE)*('Bulk Plant Input'!$I$15/('Bulk Plant Input'!$B$13/1000))</f>
        <v>0</v>
      </c>
      <c r="E262" s="609"/>
      <c r="F262" s="610"/>
      <c r="G262" s="609"/>
      <c r="H262" s="610"/>
    </row>
    <row r="263" spans="1:11" hidden="1" x14ac:dyDescent="0.25">
      <c r="B263" s="609" t="str">
        <f>INDEX('Base Blend Property Calculation'!$C$6:$BF$6,1,'Base Blend Property Calculation'!BT8)</f>
        <v>Class C</v>
      </c>
      <c r="C263" s="610"/>
      <c r="D263" s="393">
        <f>VLOOKUP('Bulk Plant Input'!$A$19, 'Base Blend Property Calculation'!$A$6:$BF$159,'Base Blend Property Calculation'!BT10,FALSE)*('Bulk Plant Input'!$I$15/('Bulk Plant Input'!$B$13/1000))</f>
        <v>0</v>
      </c>
      <c r="E263" s="609"/>
      <c r="F263" s="610"/>
      <c r="G263" s="609"/>
      <c r="H263" s="610"/>
    </row>
    <row r="264" spans="1:11" hidden="1" x14ac:dyDescent="0.25">
      <c r="B264" s="609" t="str">
        <f>INDEX('Base Blend Property Calculation'!$C$6:$BF$6,1,'Base Blend Property Calculation'!BT9)</f>
        <v>Class G</v>
      </c>
      <c r="C264" s="610"/>
      <c r="D264" s="393">
        <f>VLOOKUP('Bulk Plant Input'!$A$19, 'Base Blend Property Calculation'!$A$6:$BF$159,'Base Blend Property Calculation'!BT11,FALSE)*('Bulk Plant Input'!$I$15/('Bulk Plant Input'!$B$13/1000))</f>
        <v>0</v>
      </c>
      <c r="E264" s="609"/>
      <c r="F264" s="610"/>
      <c r="G264" s="609"/>
      <c r="H264" s="610"/>
    </row>
    <row r="265" spans="1:11" hidden="1" x14ac:dyDescent="0.25">
      <c r="B265" s="609" t="str">
        <f>INDEX('Base Blend Property Calculation'!$C$6:$BF$6,1,'Base Blend Property Calculation'!BT10)</f>
        <v>Class H</v>
      </c>
      <c r="C265" s="610"/>
      <c r="D265" s="393">
        <f>VLOOKUP('Bulk Plant Input'!$A$19, 'Base Blend Property Calculation'!$A$6:$BF$159,'Base Blend Property Calculation'!BT12,FALSE)*('Bulk Plant Input'!$I$15/('Bulk Plant Input'!$B$13/1000))</f>
        <v>0</v>
      </c>
      <c r="E265" s="609"/>
      <c r="F265" s="610"/>
      <c r="G265" s="609"/>
      <c r="H265" s="610"/>
    </row>
    <row r="266" spans="1:11" hidden="1" x14ac:dyDescent="0.25">
      <c r="B266" s="609" t="str">
        <f>INDEX('Base Blend Property Calculation'!$C$6:$BF$6,1,'Base Blend Property Calculation'!BT11)</f>
        <v>Intercem</v>
      </c>
      <c r="C266" s="610"/>
      <c r="D266" s="393">
        <f>VLOOKUP('Bulk Plant Input'!$A$19, 'Base Blend Property Calculation'!$A$6:$BF$159,'Base Blend Property Calculation'!BT13,FALSE)*('Bulk Plant Input'!$I$15/('Bulk Plant Input'!$B$13/1000))</f>
        <v>0</v>
      </c>
      <c r="E266" s="609"/>
      <c r="F266" s="610"/>
      <c r="G266" s="609"/>
      <c r="H266" s="610"/>
    </row>
    <row r="267" spans="1:11" hidden="1" x14ac:dyDescent="0.25">
      <c r="B267" s="609" t="str">
        <f>INDEX('Base Blend Property Calculation'!$C$6:$BF$6,1,'Base Blend Property Calculation'!BT12)</f>
        <v>Colloid SQ-A</v>
      </c>
      <c r="C267" s="610"/>
      <c r="D267" s="393">
        <f>VLOOKUP('Bulk Plant Input'!$A$19, 'Base Blend Property Calculation'!$A$6:$BF$159,'Base Blend Property Calculation'!BT14,FALSE)*('Bulk Plant Input'!$I$15/('Bulk Plant Input'!$B$13/1000))</f>
        <v>0</v>
      </c>
      <c r="E267" s="609"/>
      <c r="F267" s="610"/>
      <c r="G267" s="609"/>
      <c r="H267" s="610"/>
    </row>
    <row r="268" spans="1:11" hidden="1" x14ac:dyDescent="0.25">
      <c r="B268" s="609" t="str">
        <f>INDEX('Base Blend Property Calculation'!$C$6:$BF$6,1,'Base Blend Property Calculation'!BT13)</f>
        <v>Flyash</v>
      </c>
      <c r="C268" s="610"/>
      <c r="D268" s="393">
        <f>VLOOKUP('Bulk Plant Input'!$A$19, 'Base Blend Property Calculation'!$A$6:$BF$159,'Base Blend Property Calculation'!BT15,FALSE)*('Bulk Plant Input'!$I$15/('Bulk Plant Input'!$B$13/1000))</f>
        <v>0</v>
      </c>
      <c r="E268" s="609"/>
      <c r="F268" s="610"/>
      <c r="G268" s="609"/>
      <c r="H268" s="610"/>
    </row>
    <row r="269" spans="1:11" hidden="1" x14ac:dyDescent="0.25">
      <c r="B269" s="609" t="str">
        <f>INDEX('Base Blend Property Calculation'!$C$6:$BF$6,1,'Base Blend Property Calculation'!BT14)</f>
        <v>Flyash (Sask)</v>
      </c>
      <c r="C269" s="610"/>
      <c r="D269" s="393">
        <f>VLOOKUP('Bulk Plant Input'!$A$19, 'Base Blend Property Calculation'!$A$6:$BF$159,'Base Blend Property Calculation'!BT16,FALSE)*('Bulk Plant Input'!$I$15/('Bulk Plant Input'!$B$13/1000))</f>
        <v>0</v>
      </c>
      <c r="E269" s="609"/>
      <c r="F269" s="610"/>
      <c r="G269" s="609"/>
      <c r="H269" s="610"/>
    </row>
    <row r="270" spans="1:11" hidden="1" x14ac:dyDescent="0.25">
      <c r="B270" s="609" t="str">
        <f>INDEX('Base Blend Property Calculation'!$C$6:$BF$6,1,'Base Blend Property Calculation'!BT15)</f>
        <v>Densified Fume</v>
      </c>
      <c r="C270" s="610"/>
      <c r="D270" s="393">
        <f>VLOOKUP('Bulk Plant Input'!$A$19, 'Base Blend Property Calculation'!$A$6:$BF$159,'Base Blend Property Calculation'!BT17,FALSE)*('Bulk Plant Input'!$I$15/('Bulk Plant Input'!$B$13/1000))</f>
        <v>0</v>
      </c>
      <c r="E270" s="609"/>
      <c r="F270" s="610"/>
      <c r="G270" s="609"/>
      <c r="H270" s="610"/>
    </row>
    <row r="271" spans="1:11" hidden="1" x14ac:dyDescent="0.25">
      <c r="B271" s="609" t="str">
        <f>INDEX('Base Blend Property Calculation'!$C$6:$BF$6,1,'Base Blend Property Calculation'!BT16)</f>
        <v>Silica Fume - Semi-Densified</v>
      </c>
      <c r="C271" s="610"/>
      <c r="D271" s="393">
        <f>VLOOKUP('Bulk Plant Input'!$A$19, 'Base Blend Property Calculation'!$A$6:$BF$159,'Base Blend Property Calculation'!BT18,FALSE)*('Bulk Plant Input'!$I$15/('Bulk Plant Input'!$B$13/1000))</f>
        <v>0</v>
      </c>
      <c r="E271" s="609"/>
      <c r="F271" s="610"/>
      <c r="G271" s="609"/>
      <c r="H271" s="610"/>
    </row>
    <row r="272" spans="1:11" hidden="1" x14ac:dyDescent="0.25">
      <c r="B272" s="609" t="str">
        <f>INDEX('Base Blend Property Calculation'!$C$6:$BF$6,1,'Base Blend Property Calculation'!BT17)</f>
        <v>Sanlite</v>
      </c>
      <c r="C272" s="610"/>
      <c r="D272" s="393">
        <f>VLOOKUP('Bulk Plant Input'!$A$19, 'Base Blend Property Calculation'!$A$6:$BF$159,'Base Blend Property Calculation'!BT19,FALSE)*('Bulk Plant Input'!$I$15/('Bulk Plant Input'!$B$13/1000))</f>
        <v>0</v>
      </c>
      <c r="E272" s="609"/>
      <c r="F272" s="610"/>
      <c r="G272" s="609"/>
      <c r="H272" s="610"/>
    </row>
    <row r="273" spans="2:11" hidden="1" x14ac:dyDescent="0.25">
      <c r="B273" s="609" t="str">
        <f>INDEX('Base Blend Property Calculation'!$C$6:$BF$6,1,'Base Blend Property Calculation'!BT18)</f>
        <v>Silica Flour</v>
      </c>
      <c r="C273" s="610"/>
      <c r="D273" s="393">
        <f>VLOOKUP('Bulk Plant Input'!$A$19, 'Base Blend Property Calculation'!$A$6:$BF$159,'Base Blend Property Calculation'!BT20,FALSE)*('Bulk Plant Input'!$I$15/('Bulk Plant Input'!$B$13/1000))</f>
        <v>0</v>
      </c>
      <c r="E273" s="609"/>
      <c r="F273" s="610"/>
      <c r="G273" s="609"/>
      <c r="H273" s="610"/>
    </row>
    <row r="274" spans="2:11" hidden="1" x14ac:dyDescent="0.25">
      <c r="B274" s="609" t="str">
        <f>INDEX('Base Blend Property Calculation'!$C$6:$BF$6,1,'Base Blend Property Calculation'!BT19)</f>
        <v>Gel</v>
      </c>
      <c r="C274" s="610"/>
      <c r="D274" s="393">
        <f>VLOOKUP('Bulk Plant Input'!$A$19, 'Base Blend Property Calculation'!$A$6:$BF$159,'Base Blend Property Calculation'!BT21,FALSE)*('Bulk Plant Input'!$I$15/('Bulk Plant Input'!$B$13/1000))</f>
        <v>0</v>
      </c>
      <c r="E274" s="609"/>
      <c r="F274" s="610"/>
      <c r="G274" s="609"/>
      <c r="H274" s="610"/>
    </row>
    <row r="275" spans="2:11" hidden="1" x14ac:dyDescent="0.25">
      <c r="B275" s="609" t="str">
        <f>INDEX('Base Blend Property Calculation'!$C$6:$BF$6,1,'Base Blend Property Calculation'!BT20)</f>
        <v>SCA-1</v>
      </c>
      <c r="C275" s="610"/>
      <c r="D275" s="393">
        <f>VLOOKUP('Bulk Plant Input'!$A$19, 'Base Blend Property Calculation'!$A$6:$BF$159,'Base Blend Property Calculation'!BT22,FALSE)*('Bulk Plant Input'!$I$15/('Bulk Plant Input'!$B$13/1000))</f>
        <v>0</v>
      </c>
      <c r="E275" s="609"/>
      <c r="F275" s="610"/>
      <c r="G275" s="609"/>
      <c r="H275" s="610"/>
    </row>
    <row r="276" spans="2:11" hidden="1" x14ac:dyDescent="0.25">
      <c r="B276" s="609" t="str">
        <f>INDEX('Base Blend Property Calculation'!$C$6:$BF$6,1,'Base Blend Property Calculation'!BT21)</f>
        <v>Hematite</v>
      </c>
      <c r="C276" s="610"/>
      <c r="D276" s="393">
        <f>VLOOKUP('Bulk Plant Input'!$A$19, 'Base Blend Property Calculation'!$A$6:$BF$159,'Base Blend Property Calculation'!BT23,FALSE)*('Bulk Plant Input'!$I$15/('Bulk Plant Input'!$B$13/1000))</f>
        <v>0</v>
      </c>
      <c r="E276" s="609"/>
      <c r="F276" s="610"/>
      <c r="G276" s="609"/>
      <c r="H276" s="610"/>
    </row>
    <row r="277" spans="2:11" hidden="1" x14ac:dyDescent="0.25">
      <c r="B277" s="609" t="str">
        <f>INDEX('Base Blend Property Calculation'!$C$6:$BF$6,1,'Base Blend Property Calculation'!BT22)</f>
        <v>CDM-6B</v>
      </c>
      <c r="C277" s="610"/>
      <c r="D277" s="393">
        <f>VLOOKUP('Bulk Plant Input'!$A$19, 'Base Blend Property Calculation'!$A$6:$BF$159,'Base Blend Property Calculation'!BT24,FALSE)*('Bulk Plant Input'!$I$15/('Bulk Plant Input'!$B$13/1000))</f>
        <v>0</v>
      </c>
      <c r="E277" s="609"/>
      <c r="F277" s="610"/>
      <c r="G277" s="609"/>
      <c r="H277" s="610"/>
    </row>
    <row r="278" spans="2:11" hidden="1" x14ac:dyDescent="0.25">
      <c r="B278" s="609" t="str">
        <f>INDEX('Base Blend Property Calculation'!$C$6:$BF$6,1,'Base Blend Property Calculation'!BT23)</f>
        <v>CDM-6</v>
      </c>
      <c r="C278" s="610"/>
      <c r="D278" s="393">
        <f>VLOOKUP('Bulk Plant Input'!$A$19, 'Base Blend Property Calculation'!$A$6:$BF$159,'Base Blend Property Calculation'!BT25,FALSE)*('Bulk Plant Input'!$I$15/('Bulk Plant Input'!$B$13/1000))</f>
        <v>0</v>
      </c>
      <c r="E278" s="609"/>
      <c r="F278" s="610"/>
      <c r="G278" s="609"/>
      <c r="H278" s="610"/>
    </row>
    <row r="279" spans="2:11" hidden="1" x14ac:dyDescent="0.25">
      <c r="B279" s="609" t="str">
        <f>INDEX('Base Blend Property Calculation'!$C$6:$BF$6,1,'Base Blend Property Calculation'!BT24)</f>
        <v>CDM-2</v>
      </c>
      <c r="C279" s="610"/>
      <c r="D279" s="393">
        <f>VLOOKUP('Bulk Plant Input'!$A$19, 'Base Blend Property Calculation'!$A$6:$BF$159,'Base Blend Property Calculation'!BT26,FALSE)*('Bulk Plant Input'!$I$15/('Bulk Plant Input'!$B$13/1000))</f>
        <v>0</v>
      </c>
      <c r="E279" s="609"/>
      <c r="F279" s="610"/>
      <c r="G279" s="609"/>
      <c r="H279" s="610"/>
    </row>
    <row r="280" spans="2:11" hidden="1" x14ac:dyDescent="0.25">
      <c r="B280" s="609" t="str">
        <f>INDEX('Base Blend Property Calculation'!$C$6:$BF$6,1,'Base Blend Property Calculation'!BT25)</f>
        <v>CDM-5</v>
      </c>
      <c r="C280" s="610"/>
      <c r="D280" s="393">
        <f>VLOOKUP('Bulk Plant Input'!$A$19, 'Base Blend Property Calculation'!$A$6:$BF$159,'Base Blend Property Calculation'!BT27,FALSE)*('Bulk Plant Input'!$I$15/('Bulk Plant Input'!$B$13/1000))</f>
        <v>0</v>
      </c>
      <c r="E280" s="609"/>
      <c r="F280" s="610"/>
      <c r="G280" s="609"/>
      <c r="H280" s="610"/>
    </row>
    <row r="281" spans="2:11" hidden="1" x14ac:dyDescent="0.25">
      <c r="B281" s="609" t="str">
        <f>INDEX('Base Blend Property Calculation'!$C$6:$BF$6,1,'Base Blend Property Calculation'!BT26)</f>
        <v>CDM-C</v>
      </c>
      <c r="C281" s="610"/>
      <c r="D281" s="393">
        <f>VLOOKUP('Bulk Plant Input'!$A$19, 'Base Blend Property Calculation'!$A$6:$BF$159,'Base Blend Property Calculation'!BT28,FALSE)*('Bulk Plant Input'!$I$15/('Bulk Plant Input'!$B$13/1000))</f>
        <v>0</v>
      </c>
      <c r="E281" s="609"/>
      <c r="F281" s="610"/>
      <c r="G281" s="609"/>
      <c r="H281" s="610"/>
    </row>
    <row r="282" spans="2:11" hidden="1" x14ac:dyDescent="0.25">
      <c r="B282" s="609" t="str">
        <f>INDEX('Base Blend Property Calculation'!$C$6:$BF$6,1,'Base Blend Property Calculation'!BT27)</f>
        <v>CDM-10</v>
      </c>
      <c r="C282" s="610"/>
      <c r="D282" s="393">
        <f>VLOOKUP('Bulk Plant Input'!$A$19, 'Base Blend Property Calculation'!$A$6:$BF$159,'Base Blend Property Calculation'!BT29,FALSE)*('Bulk Plant Input'!$I$15/('Bulk Plant Input'!$B$13/1000))</f>
        <v>0</v>
      </c>
      <c r="E282" s="609"/>
      <c r="F282" s="610"/>
      <c r="G282" s="601"/>
      <c r="H282" s="601"/>
      <c r="I282" s="428"/>
      <c r="J282" s="428"/>
      <c r="K282" s="409"/>
    </row>
    <row r="283" spans="2:11" hidden="1" x14ac:dyDescent="0.25">
      <c r="B283" s="609" t="str">
        <f>INDEX('Base Blend Property Calculation'!$C$6:$BF$6,1,'Base Blend Property Calculation'!BT28)</f>
        <v>CFR</v>
      </c>
      <c r="C283" s="610"/>
      <c r="D283" s="393">
        <f>VLOOKUP('Bulk Plant Input'!$A$19, 'Base Blend Property Calculation'!$A$6:$BF$159,'Base Blend Property Calculation'!BT30,FALSE)*('Bulk Plant Input'!$I$15/('Bulk Plant Input'!$B$13/1000))</f>
        <v>0</v>
      </c>
      <c r="E283" s="609"/>
      <c r="F283" s="610"/>
      <c r="G283" s="609"/>
      <c r="H283" s="610"/>
      <c r="K283" s="409"/>
    </row>
    <row r="284" spans="2:11" hidden="1" x14ac:dyDescent="0.25">
      <c r="B284" s="609" t="str">
        <f>INDEX('Base Blend Property Calculation'!$C$6:$BF$6,1,'Base Blend Property Calculation'!BT29)</f>
        <v>CFR-2</v>
      </c>
      <c r="C284" s="610"/>
      <c r="D284" s="393">
        <f>VLOOKUP('Bulk Plant Input'!$A$19, 'Base Blend Property Calculation'!$A$6:$BF$159,'Base Blend Property Calculation'!BT31,FALSE)*('Bulk Plant Input'!$I$15/('Bulk Plant Input'!$B$13/1000))</f>
        <v>0</v>
      </c>
      <c r="E284" s="609"/>
      <c r="F284" s="610"/>
      <c r="G284" s="609"/>
      <c r="H284" s="610"/>
      <c r="K284" s="409"/>
    </row>
    <row r="285" spans="2:11" hidden="1" x14ac:dyDescent="0.25">
      <c r="B285" s="609" t="str">
        <f>INDEX('Base Blend Property Calculation'!$C$6:$BF$6,1,'Base Blend Property Calculation'!BT30)</f>
        <v>CFR-5</v>
      </c>
      <c r="C285" s="610"/>
      <c r="D285" s="393">
        <f>VLOOKUP('Bulk Plant Input'!$A$19, 'Base Blend Property Calculation'!$A$6:$BF$159,'Base Blend Property Calculation'!BT32,FALSE)*('Bulk Plant Input'!$I$15/('Bulk Plant Input'!$B$13/1000))</f>
        <v>0</v>
      </c>
      <c r="E285" s="609"/>
      <c r="F285" s="610"/>
      <c r="G285" s="609"/>
      <c r="H285" s="610"/>
      <c r="K285" s="409"/>
    </row>
    <row r="286" spans="2:11" hidden="1" x14ac:dyDescent="0.25">
      <c r="B286" s="609" t="str">
        <f>INDEX('Base Blend Property Calculation'!$C$6:$BF$6,1,'Base Blend Property Calculation'!BT31)</f>
        <v>CFL-3</v>
      </c>
      <c r="C286" s="610"/>
      <c r="D286" s="393">
        <f>VLOOKUP('Bulk Plant Input'!$A$19, 'Base Blend Property Calculation'!$A$6:$BF$159,'Base Blend Property Calculation'!BT33,FALSE)*('Bulk Plant Input'!$I$15/('Bulk Plant Input'!$B$13/1000))</f>
        <v>0</v>
      </c>
      <c r="E286" s="609"/>
      <c r="F286" s="610"/>
      <c r="G286" s="609"/>
      <c r="H286" s="610"/>
    </row>
    <row r="287" spans="2:11" hidden="1" x14ac:dyDescent="0.25">
      <c r="B287" s="609" t="str">
        <f>INDEX('Base Blend Property Calculation'!$C$6:$BF$6,1,'Base Blend Property Calculation'!BT32)</f>
        <v>CFL-4</v>
      </c>
      <c r="C287" s="610"/>
      <c r="D287" s="393">
        <f>VLOOKUP('Bulk Plant Input'!$A$19, 'Base Blend Property Calculation'!$A$6:$BF$159,'Base Blend Property Calculation'!BT34,FALSE)*('Bulk Plant Input'!$I$15/('Bulk Plant Input'!$B$13/1000))</f>
        <v>0</v>
      </c>
      <c r="E287" s="609"/>
      <c r="F287" s="610"/>
      <c r="G287" s="609"/>
      <c r="H287" s="610"/>
    </row>
    <row r="288" spans="2:11" hidden="1" x14ac:dyDescent="0.25">
      <c r="B288" s="609" t="str">
        <f>INDEX('Base Blend Property Calculation'!$C$6:$BF$6,1,'Base Blend Property Calculation'!BT33)</f>
        <v>CFL-6</v>
      </c>
      <c r="C288" s="610"/>
      <c r="D288" s="393">
        <f>VLOOKUP('Bulk Plant Input'!$A$19, 'Base Blend Property Calculation'!$A$6:$BF$159,'Base Blend Property Calculation'!BT35,FALSE)*('Bulk Plant Input'!$I$15/('Bulk Plant Input'!$B$13/1000))</f>
        <v>0</v>
      </c>
      <c r="E288" s="609"/>
      <c r="F288" s="610"/>
      <c r="G288" s="609"/>
      <c r="H288" s="610"/>
    </row>
    <row r="289" spans="2:8" hidden="1" x14ac:dyDescent="0.25">
      <c r="B289" s="609" t="str">
        <f>INDEX('Base Blend Property Calculation'!$C$6:$BF$6,1,'Base Blend Property Calculation'!BT34)</f>
        <v>CFL-7</v>
      </c>
      <c r="C289" s="610"/>
      <c r="D289" s="393">
        <f>VLOOKUP('Bulk Plant Input'!$A$19, 'Base Blend Property Calculation'!$A$6:$BF$159,'Base Blend Property Calculation'!BT36,FALSE)*('Bulk Plant Input'!$I$15/('Bulk Plant Input'!$B$13/1000))</f>
        <v>0</v>
      </c>
      <c r="E289" s="609"/>
      <c r="F289" s="610"/>
      <c r="G289" s="609"/>
      <c r="H289" s="610"/>
    </row>
    <row r="290" spans="2:8" hidden="1" x14ac:dyDescent="0.25">
      <c r="B290" s="609" t="str">
        <f>INDEX('Base Blend Property Calculation'!$C$6:$BF$6,1,'Base Blend Property Calculation'!BT35)</f>
        <v>CaCl2</v>
      </c>
      <c r="C290" s="610"/>
      <c r="D290" s="393">
        <f>VLOOKUP('Bulk Plant Input'!$A$19, 'Base Blend Property Calculation'!$A$6:$BF$159,'Base Blend Property Calculation'!BT37,FALSE)*('Bulk Plant Input'!$I$15/('Bulk Plant Input'!$B$13/1000))</f>
        <v>0</v>
      </c>
      <c r="E290" s="609"/>
      <c r="F290" s="610"/>
      <c r="G290" s="609"/>
      <c r="H290" s="610"/>
    </row>
    <row r="291" spans="2:8" hidden="1" x14ac:dyDescent="0.25">
      <c r="B291" s="609" t="str">
        <f>INDEX('Base Blend Property Calculation'!$C$6:$BF$6,1,'Base Blend Property Calculation'!BT36)</f>
        <v>SCA-6</v>
      </c>
      <c r="C291" s="610"/>
      <c r="D291" s="393">
        <f>VLOOKUP('Bulk Plant Input'!$A$19, 'Base Blend Property Calculation'!$A$6:$BF$159,'Base Blend Property Calculation'!BT38,FALSE)*('Bulk Plant Input'!$I$15/('Bulk Plant Input'!$B$13/1000))</f>
        <v>0</v>
      </c>
      <c r="E291" s="609"/>
      <c r="F291" s="610"/>
      <c r="G291" s="609"/>
      <c r="H291" s="610"/>
    </row>
    <row r="292" spans="2:8" hidden="1" x14ac:dyDescent="0.25">
      <c r="B292" s="609" t="str">
        <f>INDEX('Base Blend Property Calculation'!$C$6:$BF$6,1,'Base Blend Property Calculation'!BT37)</f>
        <v>SCA-7</v>
      </c>
      <c r="C292" s="610"/>
      <c r="D292" s="393">
        <f>VLOOKUP('Bulk Plant Input'!$A$19, 'Base Blend Property Calculation'!$A$6:$BF$159,'Base Blend Property Calculation'!BT39,FALSE)*('Bulk Plant Input'!$I$15/('Bulk Plant Input'!$B$13/1000))</f>
        <v>0</v>
      </c>
      <c r="E292" s="609"/>
      <c r="F292" s="610"/>
      <c r="G292" s="609"/>
      <c r="H292" s="610"/>
    </row>
    <row r="293" spans="2:8" hidden="1" x14ac:dyDescent="0.25">
      <c r="B293" s="609" t="str">
        <f>INDEX('Base Blend Property Calculation'!$C$6:$BF$6,1,'Base Blend Property Calculation'!BT38)</f>
        <v>SCA-5</v>
      </c>
      <c r="C293" s="610"/>
      <c r="D293" s="393">
        <f>VLOOKUP('Bulk Plant Input'!$A$19, 'Base Blend Property Calculation'!$A$6:$BF$159,'Base Blend Property Calculation'!BT40,FALSE)*('Bulk Plant Input'!$I$15/('Bulk Plant Input'!$B$13/1000))</f>
        <v>0</v>
      </c>
      <c r="E293" s="609"/>
      <c r="F293" s="610"/>
      <c r="G293" s="609"/>
      <c r="H293" s="610"/>
    </row>
    <row r="294" spans="2:8" hidden="1" x14ac:dyDescent="0.25">
      <c r="B294" s="609" t="str">
        <f>INDEX('Base Blend Property Calculation'!$C$6:$BF$6,1,'Base Blend Property Calculation'!BT39)</f>
        <v>FWC-2</v>
      </c>
      <c r="C294" s="610"/>
      <c r="D294" s="393">
        <f>VLOOKUP('Bulk Plant Input'!$A$19, 'Base Blend Property Calculation'!$A$6:$BF$159,'Base Blend Property Calculation'!BT41,FALSE)*('Bulk Plant Input'!$I$15/('Bulk Plant Input'!$B$13/1000))</f>
        <v>0</v>
      </c>
      <c r="E294" s="609"/>
      <c r="F294" s="610"/>
      <c r="G294" s="609"/>
      <c r="H294" s="610"/>
    </row>
    <row r="295" spans="2:8" hidden="1" x14ac:dyDescent="0.25">
      <c r="B295" s="609" t="str">
        <f>INDEX('Base Blend Property Calculation'!$C$6:$BF$6,1,'Base Blend Property Calculation'!BT40)</f>
        <v>LTR-3</v>
      </c>
      <c r="C295" s="610"/>
      <c r="D295" s="393">
        <f>VLOOKUP('Bulk Plant Input'!$A$19, 'Base Blend Property Calculation'!$A$6:$BF$159,'Base Blend Property Calculation'!BT42,FALSE)*('Bulk Plant Input'!$I$15/('Bulk Plant Input'!$B$13/1000))</f>
        <v>0</v>
      </c>
      <c r="E295" s="609"/>
      <c r="F295" s="610"/>
      <c r="G295" s="609"/>
      <c r="H295" s="610"/>
    </row>
    <row r="296" spans="2:8" hidden="1" x14ac:dyDescent="0.25">
      <c r="B296" s="609" t="str">
        <f>INDEX('Base Blend Property Calculation'!$C$6:$BF$6,1,'Base Blend Property Calculation'!BT41)</f>
        <v>NaCl</v>
      </c>
      <c r="C296" s="610"/>
      <c r="D296" s="393">
        <f>VLOOKUP('Bulk Plant Input'!$A$19, 'Base Blend Property Calculation'!$A$6:$BF$159,'Base Blend Property Calculation'!BT43,FALSE)*('Bulk Plant Input'!$I$15/('Bulk Plant Input'!$B$13/1000))</f>
        <v>0</v>
      </c>
      <c r="E296" s="609"/>
      <c r="F296" s="610"/>
      <c r="G296" s="609"/>
      <c r="H296" s="610"/>
    </row>
    <row r="297" spans="2:8" hidden="1" x14ac:dyDescent="0.25">
      <c r="B297" s="609" t="str">
        <f>INDEX('Base Blend Property Calculation'!$C$6:$BF$6,1,'Base Blend Property Calculation'!BT42)</f>
        <v>KCl</v>
      </c>
      <c r="C297" s="610"/>
      <c r="D297" s="393">
        <f>VLOOKUP('Bulk Plant Input'!$A$19, 'Base Blend Property Calculation'!$A$6:$BF$159,'Base Blend Property Calculation'!BT44,FALSE)*('Bulk Plant Input'!$I$15/('Bulk Plant Input'!$B$13/1000))</f>
        <v>0</v>
      </c>
      <c r="E297" s="609"/>
      <c r="F297" s="610"/>
      <c r="G297" s="609"/>
      <c r="H297" s="610"/>
    </row>
    <row r="298" spans="2:8" hidden="1" x14ac:dyDescent="0.25">
      <c r="B298" s="609" t="str">
        <f>INDEX('Base Blend Property Calculation'!$C$6:$BF$6,1,'Base Blend Property Calculation'!BT43)</f>
        <v>EA-1</v>
      </c>
      <c r="C298" s="610"/>
      <c r="D298" s="393">
        <f>VLOOKUP('Bulk Plant Input'!$A$19, 'Base Blend Property Calculation'!$A$6:$BF$159,'Base Blend Property Calculation'!BT45,FALSE)*('Bulk Plant Input'!$I$15/('Bulk Plant Input'!$B$13/1000))</f>
        <v>0</v>
      </c>
      <c r="E298" s="609"/>
      <c r="F298" s="610"/>
      <c r="G298" s="609"/>
      <c r="H298" s="610"/>
    </row>
    <row r="299" spans="2:8" hidden="1" x14ac:dyDescent="0.25">
      <c r="B299" s="609" t="str">
        <f>INDEX('Base Blend Property Calculation'!$C$6:$BF$6,1,'Base Blend Property Calculation'!BT44)</f>
        <v>EA-3</v>
      </c>
      <c r="C299" s="610"/>
      <c r="D299" s="393">
        <f>VLOOKUP('Bulk Plant Input'!$A$19, 'Base Blend Property Calculation'!$A$6:$BF$159,'Base Blend Property Calculation'!BT46,FALSE)*('Bulk Plant Input'!$I$15/('Bulk Plant Input'!$B$13/1000))</f>
        <v>0</v>
      </c>
      <c r="E299" s="609"/>
      <c r="F299" s="610"/>
      <c r="G299" s="609"/>
      <c r="H299" s="610"/>
    </row>
    <row r="300" spans="2:8" hidden="1" x14ac:dyDescent="0.25">
      <c r="B300" s="609" t="str">
        <f>INDEX('Base Blend Property Calculation'!$C$6:$BF$6,1,'Base Blend Property Calculation'!BT45)</f>
        <v>LCG-2</v>
      </c>
      <c r="C300" s="610"/>
      <c r="D300" s="393">
        <f>VLOOKUP('Bulk Plant Input'!$A$19, 'Base Blend Property Calculation'!$A$6:$BF$159,'Base Blend Property Calculation'!BT47,FALSE)*('Bulk Plant Input'!$I$15/('Bulk Plant Input'!$B$13/1000))</f>
        <v>0</v>
      </c>
      <c r="E300" s="609"/>
      <c r="F300" s="610"/>
      <c r="G300" s="609"/>
      <c r="H300" s="610"/>
    </row>
    <row r="301" spans="2:8" hidden="1" x14ac:dyDescent="0.25">
      <c r="B301" s="609" t="str">
        <f>INDEX('Base Blend Property Calculation'!$C$6:$BF$6,1,'Base Blend Property Calculation'!BT46)</f>
        <v>Micromix</v>
      </c>
      <c r="C301" s="610"/>
      <c r="D301" s="393">
        <f>VLOOKUP('Bulk Plant Input'!$A$19, 'Base Blend Property Calculation'!$A$6:$BF$159,'Base Blend Property Calculation'!BT48,FALSE)*('Bulk Plant Input'!$I$15/('Bulk Plant Input'!$B$13/1000))</f>
        <v>0</v>
      </c>
      <c r="E301" s="609"/>
      <c r="F301" s="610"/>
      <c r="G301" s="609"/>
      <c r="H301" s="610"/>
    </row>
    <row r="302" spans="2:8" hidden="1" x14ac:dyDescent="0.25">
      <c r="B302" s="609" t="str">
        <f>INDEX('Base Blend Property Calculation'!$C$6:$BF$6,1,'Base Blend Property Calculation'!BT47)</f>
        <v>LCG-1</v>
      </c>
      <c r="C302" s="610"/>
      <c r="D302" s="393">
        <f>VLOOKUP('Bulk Plant Input'!$A$19, 'Base Blend Property Calculation'!$A$6:$BF$159,'Base Blend Property Calculation'!BT49,FALSE)*('Bulk Plant Input'!$I$15/('Bulk Plant Input'!$B$13/1000))</f>
        <v>0</v>
      </c>
      <c r="E302" s="609"/>
      <c r="F302" s="610"/>
      <c r="G302" s="609"/>
      <c r="H302" s="610"/>
    </row>
    <row r="303" spans="2:8" hidden="1" x14ac:dyDescent="0.25">
      <c r="B303" s="609" t="str">
        <f>INDEX('Base Blend Property Calculation'!$C$6:$BF$6,1,'Base Blend Property Calculation'!BT48)</f>
        <v>Gilsonite</v>
      </c>
      <c r="C303" s="610"/>
      <c r="D303" s="393">
        <f>VLOOKUP('Bulk Plant Input'!$A$19, 'Base Blend Property Calculation'!$A$6:$BF$159,'Base Blend Property Calculation'!BT50,FALSE)*('Bulk Plant Input'!$I$15/('Bulk Plant Input'!$B$13/1000))</f>
        <v>0</v>
      </c>
      <c r="E303" s="609"/>
      <c r="F303" s="610"/>
      <c r="G303" s="609"/>
      <c r="H303" s="610"/>
    </row>
    <row r="304" spans="2:8" hidden="1" x14ac:dyDescent="0.25">
      <c r="B304" s="609" t="str">
        <f>INDEX('Base Blend Property Calculation'!$C$6:$BF$6,1,'Base Blend Property Calculation'!BT49)</f>
        <v>SG1500</v>
      </c>
      <c r="C304" s="610"/>
      <c r="D304" s="393">
        <f>VLOOKUP('Bulk Plant Input'!$A$19, 'Base Blend Property Calculation'!$A$6:$BF$159,'Base Blend Property Calculation'!BT51,FALSE)*('Bulk Plant Input'!$I$15/('Bulk Plant Input'!$B$13/1000))</f>
        <v>0</v>
      </c>
      <c r="E304" s="609"/>
      <c r="F304" s="610"/>
      <c r="G304" s="609"/>
      <c r="H304" s="610"/>
    </row>
    <row r="305" spans="2:8" hidden="1" x14ac:dyDescent="0.25">
      <c r="B305" s="609" t="str">
        <f>INDEX('Base Blend Property Calculation'!$C$6:$BF$6,1,'Base Blend Property Calculation'!BT50)</f>
        <v>ASM-3</v>
      </c>
      <c r="C305" s="610"/>
      <c r="D305" s="393">
        <f>VLOOKUP('Bulk Plant Input'!$A$19, 'Base Blend Property Calculation'!$A$6:$BF$159,'Base Blend Property Calculation'!BT52,FALSE)*('Bulk Plant Input'!$I$15/('Bulk Plant Input'!$B$13/1000))</f>
        <v>0</v>
      </c>
      <c r="E305" s="609"/>
      <c r="F305" s="610"/>
      <c r="G305" s="609"/>
      <c r="H305" s="610"/>
    </row>
    <row r="306" spans="2:8" hidden="1" x14ac:dyDescent="0.25">
      <c r="B306" s="609" t="str">
        <f>INDEX('Base Blend Property Calculation'!$C$6:$BF$6,1,'Base Blend Property Calculation'!BT51)</f>
        <v>Ciment Fondu</v>
      </c>
      <c r="C306" s="610"/>
      <c r="D306" s="393">
        <f>VLOOKUP('Bulk Plant Input'!$A$19, 'Base Blend Property Calculation'!$A$6:$BF$159,'Base Blend Property Calculation'!BT53,FALSE)*('Bulk Plant Input'!$I$15/('Bulk Plant Input'!$B$13/1000))</f>
        <v>0</v>
      </c>
      <c r="E306" s="609"/>
      <c r="F306" s="610"/>
      <c r="G306" s="609"/>
      <c r="H306" s="610"/>
    </row>
    <row r="307" spans="2:8" hidden="1" x14ac:dyDescent="0.25">
      <c r="B307" s="609" t="str">
        <f>INDEX('Base Blend Property Calculation'!$C$6:$BF$6,1,'Base Blend Property Calculation'!BT52)</f>
        <v>CFL-10</v>
      </c>
      <c r="C307" s="610"/>
      <c r="D307" s="393">
        <f>VLOOKUP('Bulk Plant Input'!$A$19, 'Base Blend Property Calculation'!$A$6:$BF$159,'Base Blend Property Calculation'!BT54,FALSE)*('Bulk Plant Input'!$I$15/('Bulk Plant Input'!$B$13/1000))</f>
        <v>0</v>
      </c>
      <c r="E307" s="609"/>
      <c r="F307" s="610"/>
      <c r="G307" s="609"/>
      <c r="H307" s="610"/>
    </row>
    <row r="308" spans="2:8" hidden="1" x14ac:dyDescent="0.25">
      <c r="B308" s="609" t="str">
        <f>INDEX('Base Blend Property Calculation'!$C$6:$BF$6,1,'Base Blend Property Calculation'!BT53)</f>
        <v>CDM-4</v>
      </c>
      <c r="C308" s="610"/>
      <c r="D308" s="393">
        <f>VLOOKUP('Bulk Plant Input'!$A$19, 'Base Blend Property Calculation'!$A$6:$BF$159,'Base Blend Property Calculation'!BT55,FALSE)*('Bulk Plant Input'!$I$15/('Bulk Plant Input'!$B$13/1000))</f>
        <v>0</v>
      </c>
      <c r="E308" s="609"/>
      <c r="F308" s="610"/>
      <c r="G308" s="609"/>
      <c r="H308" s="610"/>
    </row>
    <row r="309" spans="2:8" hidden="1" x14ac:dyDescent="0.25">
      <c r="B309" s="609" t="str">
        <f>INDEX('Base Blend Property Calculation'!$C$6:$BF$6,1,'Base Blend Property Calculation'!BT54)</f>
        <v>None</v>
      </c>
      <c r="C309" s="610"/>
      <c r="D309" s="393">
        <f>VLOOKUP('Bulk Plant Input'!$A$19, 'Base Blend Property Calculation'!$A$6:$BF$159,'Base Blend Property Calculation'!BT56,FALSE)*('Bulk Plant Input'!$I$15/('Bulk Plant Input'!$B$13/1000))</f>
        <v>0</v>
      </c>
      <c r="E309" s="609"/>
      <c r="F309" s="610"/>
      <c r="G309" s="609"/>
      <c r="H309" s="610"/>
    </row>
    <row r="310" spans="2:8" hidden="1" x14ac:dyDescent="0.25">
      <c r="B310" s="609" t="str">
        <f>INDEX('Base Blend Property Calculation'!$C$6:$BF$6,1,'Base Blend Property Calculation'!BT55)</f>
        <v>None</v>
      </c>
      <c r="C310" s="610"/>
      <c r="D310" s="393">
        <f>VLOOKUP('Bulk Plant Input'!$A$19, 'Base Blend Property Calculation'!$A$6:$BF$159,'Base Blend Property Calculation'!BT57,FALSE)*('Bulk Plant Input'!$I$15/('Bulk Plant Input'!$B$13/1000))</f>
        <v>0</v>
      </c>
      <c r="E310" s="609"/>
      <c r="F310" s="610"/>
      <c r="G310" s="609"/>
      <c r="H310" s="610"/>
    </row>
    <row r="311" spans="2:8" hidden="1" x14ac:dyDescent="0.25">
      <c r="B311" s="609" t="str">
        <f>INDEX('Base Blend Property Calculation'!$C$6:$BF$6,1,'Base Blend Property Calculation'!BT56)</f>
        <v>None</v>
      </c>
      <c r="C311" s="610"/>
      <c r="D311" s="393">
        <f>VLOOKUP('Bulk Plant Input'!$A$19, 'Base Blend Property Calculation'!$A$6:$BF$159,'Base Blend Property Calculation'!BT58,FALSE)*('Bulk Plant Input'!$I$15/('Bulk Plant Input'!$B$13/1000))</f>
        <v>0</v>
      </c>
      <c r="E311" s="609"/>
      <c r="F311" s="610"/>
      <c r="G311" s="609"/>
      <c r="H311" s="610"/>
    </row>
    <row r="312" spans="2:8" hidden="1" x14ac:dyDescent="0.25">
      <c r="B312" s="609" t="str">
        <f>INDEX('Base Blend Property Calculation'!$C$6:$BF$6,1,'Base Blend Property Calculation'!BT57)</f>
        <v>None</v>
      </c>
      <c r="C312" s="610"/>
      <c r="D312" s="393">
        <f>VLOOKUP('Bulk Plant Input'!$A$19, 'Base Blend Property Calculation'!$A$6:$BF$159,'Base Blend Property Calculation'!BT59,FALSE)*('Bulk Plant Input'!$I$15/('Bulk Plant Input'!$B$13/1000))</f>
        <v>0</v>
      </c>
      <c r="E312" s="609"/>
      <c r="F312" s="610"/>
      <c r="G312" s="609"/>
      <c r="H312" s="610"/>
    </row>
    <row r="313" spans="2:8" hidden="1" x14ac:dyDescent="0.25">
      <c r="B313" s="609" t="str">
        <f>INDEX('Base Blend Property Calculation'!$C$6:$BF$6,1,'Base Blend Property Calculation'!BT58)</f>
        <v>None</v>
      </c>
      <c r="C313" s="610"/>
      <c r="D313" s="393">
        <f>VLOOKUP('Bulk Plant Input'!$A$19, 'Base Blend Property Calculation'!$A$6:$BF$159,'Base Blend Property Calculation'!BT60,FALSE)*('Bulk Plant Input'!$I$15/('Bulk Plant Input'!$B$13/1000))</f>
        <v>0</v>
      </c>
      <c r="E313" s="609"/>
      <c r="F313" s="610"/>
      <c r="G313" s="609"/>
      <c r="H313" s="610"/>
    </row>
    <row r="314" spans="2:8" hidden="1" x14ac:dyDescent="0.25">
      <c r="B314" s="609" t="str">
        <f>INDEX('Base Blend Property Calculation'!$C$6:$BF$6,1,'Base Blend Property Calculation'!BT59)</f>
        <v>None</v>
      </c>
      <c r="C314" s="610"/>
      <c r="D314" s="393">
        <f>VLOOKUP('Bulk Plant Input'!$A$19, 'Base Blend Property Calculation'!$A$6:$BF$159,'Base Blend Property Calculation'!BT61,FALSE)*('Bulk Plant Input'!$I$15/('Bulk Plant Input'!$B$13/1000))</f>
        <v>0</v>
      </c>
      <c r="E314" s="609"/>
      <c r="F314" s="610"/>
      <c r="G314" s="609"/>
      <c r="H314" s="610"/>
    </row>
    <row r="315" spans="2:8" hidden="1" x14ac:dyDescent="0.25">
      <c r="B315" s="609" t="str">
        <f>INDEX('Base Blend Property Calculation'!$C$6:$BF$6,1,'Base Blend Property Calculation'!BT60)</f>
        <v>None</v>
      </c>
      <c r="C315" s="610"/>
      <c r="D315" s="393">
        <f>VLOOKUP('Bulk Plant Input'!$A$19, 'Base Blend Property Calculation'!$A$6:$BF$159,'Base Blend Property Calculation'!BT62,FALSE)*('Bulk Plant Input'!$I$15/('Bulk Plant Input'!$B$13/1000))</f>
        <v>0</v>
      </c>
      <c r="E315" s="609"/>
      <c r="F315" s="610"/>
      <c r="G315" s="609"/>
      <c r="H315" s="610"/>
    </row>
    <row r="316" spans="2:8" hidden="1" x14ac:dyDescent="0.25">
      <c r="B316" s="609" t="str">
        <f>INDEX('Base Blend Property Calculation'!$C$6:$BF$6,1,'Base Blend Property Calculation'!BT61)</f>
        <v>None</v>
      </c>
      <c r="C316" s="610"/>
      <c r="D316" s="393">
        <f>VLOOKUP('Bulk Plant Input'!$A$19, 'Base Blend Property Calculation'!$A$6:$BF$159,'Base Blend Property Calculation'!BT63,FALSE)*('Bulk Plant Input'!$I$15/('Bulk Plant Input'!$B$13/1000))</f>
        <v>0</v>
      </c>
      <c r="E316" s="609"/>
      <c r="F316" s="610"/>
      <c r="G316" s="609"/>
      <c r="H316" s="610"/>
    </row>
    <row r="317" spans="2:8" hidden="1" x14ac:dyDescent="0.25">
      <c r="B317" s="403"/>
      <c r="C317" s="403"/>
      <c r="D317" s="396" t="s">
        <v>198</v>
      </c>
      <c r="E317" s="403"/>
      <c r="F317" s="403"/>
      <c r="G317" s="403"/>
      <c r="H317" s="403"/>
    </row>
    <row r="318" spans="2:8" ht="15.75" hidden="1" x14ac:dyDescent="0.25">
      <c r="B318" s="606" t="str">
        <f>IF('Bulk Plant Input'!$I$15="","4th Batch Not Entered","ADDITIVES - Batch 4")</f>
        <v>4th Batch Not Entered</v>
      </c>
      <c r="C318" s="606"/>
      <c r="D318" s="405" t="s">
        <v>198</v>
      </c>
      <c r="E318" s="403"/>
      <c r="F318" s="403"/>
      <c r="G318" s="403"/>
      <c r="H318" s="403"/>
    </row>
    <row r="319" spans="2:8" ht="30" hidden="1" x14ac:dyDescent="0.25">
      <c r="B319" s="608" t="s">
        <v>201</v>
      </c>
      <c r="C319" s="608"/>
      <c r="D319" s="406" t="s">
        <v>206</v>
      </c>
      <c r="E319" s="608" t="s">
        <v>512</v>
      </c>
      <c r="F319" s="608"/>
      <c r="G319" s="608" t="s">
        <v>200</v>
      </c>
      <c r="H319" s="608"/>
    </row>
    <row r="320" spans="2:8" hidden="1" x14ac:dyDescent="0.25">
      <c r="B320" s="588">
        <f>'Bulk Plant Input'!A23</f>
        <v>0</v>
      </c>
      <c r="C320" s="589"/>
      <c r="D320" s="393">
        <f>IF(B160=0,0,'Bulk Plant Input'!C23*('Bulk Plant Input'!$I$15/('Bulk Plant Input'!$B$13/1000)))</f>
        <v>0</v>
      </c>
      <c r="E320" s="588"/>
      <c r="F320" s="589"/>
      <c r="G320" s="588"/>
      <c r="H320" s="589"/>
    </row>
    <row r="321" spans="2:8" hidden="1" x14ac:dyDescent="0.25">
      <c r="B321" s="588">
        <f>'Bulk Plant Input'!A24</f>
        <v>0</v>
      </c>
      <c r="C321" s="589"/>
      <c r="D321" s="393">
        <f>IF(B161=0,0,'Bulk Plant Input'!C24*('Bulk Plant Input'!$I$15/('Bulk Plant Input'!$B$13/1000)))</f>
        <v>0</v>
      </c>
      <c r="E321" s="588"/>
      <c r="F321" s="589"/>
      <c r="G321" s="588"/>
      <c r="H321" s="589"/>
    </row>
    <row r="322" spans="2:8" hidden="1" x14ac:dyDescent="0.25">
      <c r="B322" s="588">
        <f>'Bulk Plant Input'!A25</f>
        <v>0</v>
      </c>
      <c r="C322" s="589"/>
      <c r="D322" s="393">
        <f>IF(B162=0,0,'Bulk Plant Input'!C25*('Bulk Plant Input'!$I$15/('Bulk Plant Input'!$B$13/1000)))</f>
        <v>0</v>
      </c>
      <c r="E322" s="588"/>
      <c r="F322" s="589"/>
      <c r="G322" s="588"/>
      <c r="H322" s="589"/>
    </row>
    <row r="323" spans="2:8" hidden="1" x14ac:dyDescent="0.25">
      <c r="B323" s="588">
        <f>'Bulk Plant Input'!A26</f>
        <v>0</v>
      </c>
      <c r="C323" s="589"/>
      <c r="D323" s="393">
        <f>IF(B163=0,0,'Bulk Plant Input'!C26*('Bulk Plant Input'!$I$15/('Bulk Plant Input'!$B$13/1000)))</f>
        <v>0</v>
      </c>
      <c r="E323" s="588"/>
      <c r="F323" s="589"/>
      <c r="G323" s="588"/>
      <c r="H323" s="589"/>
    </row>
    <row r="324" spans="2:8" hidden="1" x14ac:dyDescent="0.25">
      <c r="B324" s="588">
        <f>'Bulk Plant Input'!A27</f>
        <v>0</v>
      </c>
      <c r="C324" s="589"/>
      <c r="D324" s="393">
        <f>IF(B164=0,0,'Bulk Plant Input'!C27*('Bulk Plant Input'!$I$15/('Bulk Plant Input'!$B$13/1000)))</f>
        <v>0</v>
      </c>
      <c r="E324" s="588"/>
      <c r="F324" s="589"/>
      <c r="G324" s="588"/>
      <c r="H324" s="589"/>
    </row>
    <row r="325" spans="2:8" hidden="1" x14ac:dyDescent="0.25">
      <c r="B325" s="588">
        <f>'Bulk Plant Input'!A28</f>
        <v>0</v>
      </c>
      <c r="C325" s="589"/>
      <c r="D325" s="393">
        <f>IF(B165=0,0,'Bulk Plant Input'!C28*('Bulk Plant Input'!$I$15/('Bulk Plant Input'!$B$13/1000)))</f>
        <v>0</v>
      </c>
      <c r="E325" s="588"/>
      <c r="F325" s="589"/>
      <c r="G325" s="588"/>
      <c r="H325" s="589"/>
    </row>
    <row r="326" spans="2:8" hidden="1" x14ac:dyDescent="0.25">
      <c r="B326" s="588">
        <f>'Bulk Plant Input'!A29</f>
        <v>0</v>
      </c>
      <c r="C326" s="589"/>
      <c r="D326" s="393">
        <f>IF(B166=0,0,'Bulk Plant Input'!C29*('Bulk Plant Input'!$I$15/('Bulk Plant Input'!$B$13/1000)))</f>
        <v>0</v>
      </c>
      <c r="E326" s="588"/>
      <c r="F326" s="589"/>
      <c r="G326" s="588"/>
      <c r="H326" s="589"/>
    </row>
    <row r="327" spans="2:8" hidden="1" x14ac:dyDescent="0.25">
      <c r="B327" s="588">
        <f>'Bulk Plant Input'!A30</f>
        <v>0</v>
      </c>
      <c r="C327" s="589"/>
      <c r="D327" s="393">
        <f>IF(B167=0,0,'Bulk Plant Input'!C30*('Bulk Plant Input'!$I$15/('Bulk Plant Input'!$B$13/1000)))</f>
        <v>0</v>
      </c>
      <c r="E327" s="588"/>
      <c r="F327" s="589"/>
      <c r="G327" s="588"/>
      <c r="H327" s="589"/>
    </row>
    <row r="328" spans="2:8" hidden="1" x14ac:dyDescent="0.25">
      <c r="B328" s="588">
        <f>'Bulk Plant Input'!A31</f>
        <v>0</v>
      </c>
      <c r="C328" s="589"/>
      <c r="D328" s="393">
        <f>IF(B168=0,0,'Bulk Plant Input'!C31*('Bulk Plant Input'!$I$15/('Bulk Plant Input'!$B$13/1000)))</f>
        <v>0</v>
      </c>
      <c r="E328" s="588"/>
      <c r="F328" s="589"/>
      <c r="G328" s="588"/>
      <c r="H328" s="589"/>
    </row>
    <row r="329" spans="2:8" hidden="1" x14ac:dyDescent="0.25">
      <c r="B329" s="588">
        <f>'Bulk Plant Input'!A32</f>
        <v>0</v>
      </c>
      <c r="C329" s="589"/>
      <c r="D329" s="393">
        <f>IF(B169=0,0,'Bulk Plant Input'!C32*('Bulk Plant Input'!$I$15/('Bulk Plant Input'!$B$13/1000)))</f>
        <v>0</v>
      </c>
      <c r="E329" s="588"/>
      <c r="F329" s="589"/>
      <c r="G329" s="588"/>
      <c r="H329" s="589"/>
    </row>
    <row r="330" spans="2:8" hidden="1" x14ac:dyDescent="0.25">
      <c r="B330" s="588">
        <f>'Bulk Plant Input'!A33</f>
        <v>0</v>
      </c>
      <c r="C330" s="589"/>
      <c r="D330" s="393">
        <f>IF(B170=0,0,'Bulk Plant Input'!C33*('Bulk Plant Input'!$I$15/('Bulk Plant Input'!$B$13/1000)))</f>
        <v>0</v>
      </c>
      <c r="E330" s="588"/>
      <c r="F330" s="589"/>
      <c r="G330" s="588"/>
      <c r="H330" s="589"/>
    </row>
    <row r="331" spans="2:8" hidden="1" x14ac:dyDescent="0.25">
      <c r="B331" s="588">
        <f>'Bulk Plant Input'!A34</f>
        <v>0</v>
      </c>
      <c r="C331" s="589"/>
      <c r="D331" s="393">
        <f>IF(B171=0,0,'Bulk Plant Input'!C34*('Bulk Plant Input'!$I$15/('Bulk Plant Input'!$B$13/1000)))</f>
        <v>0</v>
      </c>
      <c r="E331" s="588"/>
      <c r="F331" s="589"/>
      <c r="G331" s="588"/>
      <c r="H331" s="589"/>
    </row>
    <row r="332" spans="2:8" hidden="1" x14ac:dyDescent="0.25">
      <c r="B332" s="588">
        <f>'Bulk Plant Input'!A35</f>
        <v>0</v>
      </c>
      <c r="C332" s="589"/>
      <c r="D332" s="393">
        <f>IF(B172=0,0,'Bulk Plant Input'!C35*('Bulk Plant Input'!$I$15/('Bulk Plant Input'!$B$13/1000)))</f>
        <v>0</v>
      </c>
      <c r="E332" s="588"/>
      <c r="F332" s="589"/>
      <c r="G332" s="588"/>
      <c r="H332" s="589"/>
    </row>
    <row r="333" spans="2:8" hidden="1" x14ac:dyDescent="0.25">
      <c r="B333" s="588">
        <f>'Bulk Plant Input'!A36</f>
        <v>0</v>
      </c>
      <c r="C333" s="589"/>
      <c r="D333" s="393">
        <f>IF(B173=0,0,'Bulk Plant Input'!C36*('Bulk Plant Input'!$I$15/('Bulk Plant Input'!$B$13/1000)))</f>
        <v>0</v>
      </c>
      <c r="E333" s="588"/>
      <c r="F333" s="589"/>
      <c r="G333" s="588"/>
      <c r="H333" s="589"/>
    </row>
    <row r="334" spans="2:8" hidden="1" x14ac:dyDescent="0.25">
      <c r="B334" s="588">
        <f>'Bulk Plant Input'!A37</f>
        <v>0</v>
      </c>
      <c r="C334" s="589"/>
      <c r="D334" s="393">
        <f>IF(B174=0,0,'Bulk Plant Input'!C37*('Bulk Plant Input'!$I$15/('Bulk Plant Input'!$B$13/1000)))</f>
        <v>0</v>
      </c>
      <c r="E334" s="588"/>
      <c r="F334" s="589"/>
      <c r="G334" s="588"/>
      <c r="H334" s="589"/>
    </row>
    <row r="335" spans="2:8" hidden="1" x14ac:dyDescent="0.25">
      <c r="B335" s="588">
        <f>'Bulk Plant Input'!A43</f>
        <v>0</v>
      </c>
      <c r="C335" s="589"/>
      <c r="D335" s="393">
        <f>IF(B175=0,0,'Bulk Plant Input'!C38*('Bulk Plant Input'!$I$15/('Bulk Plant Input'!$B$13/1000)))</f>
        <v>0</v>
      </c>
      <c r="E335" s="588"/>
      <c r="F335" s="589"/>
      <c r="G335" s="588"/>
      <c r="H335" s="589"/>
    </row>
    <row r="336" spans="2:8" hidden="1" x14ac:dyDescent="0.25">
      <c r="B336" s="588">
        <f>'Bulk Plant Input'!A44</f>
        <v>0</v>
      </c>
      <c r="C336" s="589"/>
      <c r="D336" s="393">
        <f>IF(B176=0,0,'Bulk Plant Input'!C39*('Bulk Plant Input'!$I$15/('Bulk Plant Input'!$B$13/1000)))</f>
        <v>0</v>
      </c>
      <c r="E336" s="588"/>
      <c r="F336" s="589"/>
      <c r="G336" s="588"/>
      <c r="H336" s="589"/>
    </row>
    <row r="337" spans="1:11" hidden="1" x14ac:dyDescent="0.25">
      <c r="B337" s="403"/>
      <c r="C337" s="403"/>
      <c r="D337" s="396" t="s">
        <v>198</v>
      </c>
      <c r="E337" s="403"/>
      <c r="F337" s="403"/>
      <c r="G337" s="403"/>
      <c r="H337" s="403"/>
    </row>
    <row r="338" spans="1:11" x14ac:dyDescent="0.25">
      <c r="A338" s="449"/>
      <c r="B338" s="449"/>
      <c r="C338" s="449"/>
      <c r="D338" s="397" t="s">
        <v>198</v>
      </c>
      <c r="E338" s="449"/>
      <c r="F338" s="449"/>
      <c r="G338" s="449"/>
      <c r="H338" s="449"/>
      <c r="I338" s="449"/>
      <c r="J338" s="449"/>
      <c r="K338" s="449"/>
    </row>
    <row r="339" spans="1:11" hidden="1" x14ac:dyDescent="0.25">
      <c r="B339" s="403"/>
      <c r="C339" s="403"/>
      <c r="D339" s="396" t="s">
        <v>198</v>
      </c>
      <c r="E339" s="403"/>
      <c r="F339" s="403"/>
      <c r="G339" s="403"/>
      <c r="H339" s="403"/>
    </row>
    <row r="340" spans="1:11" ht="15.75" hidden="1" x14ac:dyDescent="0.25">
      <c r="B340" s="606" t="str">
        <f>IF('Bulk Plant Input'!$I$16="","5th Batch Not Entered","BASE BLEND - Batch 5")</f>
        <v>5th Batch Not Entered</v>
      </c>
      <c r="C340" s="606"/>
      <c r="D340" s="405" t="s">
        <v>198</v>
      </c>
      <c r="E340" s="403"/>
      <c r="F340" s="403"/>
      <c r="G340" s="403"/>
      <c r="H340" s="403"/>
    </row>
    <row r="341" spans="1:11" ht="30" hidden="1" x14ac:dyDescent="0.25">
      <c r="B341" s="608" t="s">
        <v>199</v>
      </c>
      <c r="C341" s="608"/>
      <c r="D341" s="406" t="s">
        <v>206</v>
      </c>
      <c r="E341" s="608" t="s">
        <v>207</v>
      </c>
      <c r="F341" s="608"/>
      <c r="G341" s="608" t="s">
        <v>200</v>
      </c>
      <c r="H341" s="608"/>
    </row>
    <row r="342" spans="1:11" hidden="1" x14ac:dyDescent="0.25">
      <c r="B342" s="611" t="str">
        <f>INDEX('Base Blend Property Calculation'!$C$6:$BF$6,1,'Base Blend Property Calculation'!BT7)</f>
        <v>Class A</v>
      </c>
      <c r="C342" s="611"/>
      <c r="D342" s="393">
        <f>VLOOKUP('Bulk Plant Input'!$A$19, 'Base Blend Property Calculation'!$A$6:$BF$159,'Base Blend Property Calculation'!BT9,FALSE)*('Bulk Plant Input'!$I$16/('Bulk Plant Input'!$B$13/1000))</f>
        <v>0</v>
      </c>
      <c r="E342" s="601"/>
      <c r="F342" s="601"/>
      <c r="G342" s="601"/>
      <c r="H342" s="601"/>
    </row>
    <row r="343" spans="1:11" hidden="1" x14ac:dyDescent="0.25">
      <c r="B343" s="611" t="str">
        <f>INDEX('Base Blend Property Calculation'!$C$6:$BF$6,1,'Base Blend Property Calculation'!BT8)</f>
        <v>Class C</v>
      </c>
      <c r="C343" s="611"/>
      <c r="D343" s="393">
        <f>VLOOKUP('Bulk Plant Input'!$A$19, 'Base Blend Property Calculation'!$A$6:$BF$159,'Base Blend Property Calculation'!BT10,FALSE)*('Bulk Plant Input'!$I$16/('Bulk Plant Input'!$B$13/1000))</f>
        <v>0</v>
      </c>
      <c r="E343" s="601"/>
      <c r="F343" s="601"/>
      <c r="G343" s="601"/>
      <c r="H343" s="601"/>
    </row>
    <row r="344" spans="1:11" hidden="1" x14ac:dyDescent="0.25">
      <c r="B344" s="611" t="str">
        <f>INDEX('Base Blend Property Calculation'!$C$6:$BF$6,1,'Base Blend Property Calculation'!BT9)</f>
        <v>Class G</v>
      </c>
      <c r="C344" s="611"/>
      <c r="D344" s="393">
        <f>VLOOKUP('Bulk Plant Input'!$A$19, 'Base Blend Property Calculation'!$A$6:$BF$159,'Base Blend Property Calculation'!BT11,FALSE)*('Bulk Plant Input'!$I$16/('Bulk Plant Input'!$B$13/1000))</f>
        <v>0</v>
      </c>
      <c r="E344" s="601"/>
      <c r="F344" s="601"/>
      <c r="G344" s="601"/>
      <c r="H344" s="601"/>
    </row>
    <row r="345" spans="1:11" hidden="1" x14ac:dyDescent="0.25">
      <c r="B345" s="611" t="str">
        <f>INDEX('Base Blend Property Calculation'!$C$6:$BF$6,1,'Base Blend Property Calculation'!BT10)</f>
        <v>Class H</v>
      </c>
      <c r="C345" s="611"/>
      <c r="D345" s="393">
        <f>VLOOKUP('Bulk Plant Input'!$A$19, 'Base Blend Property Calculation'!$A$6:$BF$159,'Base Blend Property Calculation'!BT12,FALSE)*('Bulk Plant Input'!$I$16/('Bulk Plant Input'!$B$13/1000))</f>
        <v>0</v>
      </c>
      <c r="E345" s="601"/>
      <c r="F345" s="601"/>
      <c r="G345" s="601"/>
      <c r="H345" s="601"/>
    </row>
    <row r="346" spans="1:11" hidden="1" x14ac:dyDescent="0.25">
      <c r="B346" s="611" t="str">
        <f>INDEX('Base Blend Property Calculation'!$C$6:$BF$6,1,'Base Blend Property Calculation'!BT11)</f>
        <v>Intercem</v>
      </c>
      <c r="C346" s="611"/>
      <c r="D346" s="393">
        <f>VLOOKUP('Bulk Plant Input'!$A$19, 'Base Blend Property Calculation'!$A$6:$BF$159,'Base Blend Property Calculation'!BT13,FALSE)*('Bulk Plant Input'!$I$16/('Bulk Plant Input'!$B$13/1000))</f>
        <v>0</v>
      </c>
      <c r="E346" s="601"/>
      <c r="F346" s="601"/>
      <c r="G346" s="601"/>
      <c r="H346" s="601"/>
    </row>
    <row r="347" spans="1:11" hidden="1" x14ac:dyDescent="0.25">
      <c r="B347" s="611" t="str">
        <f>INDEX('Base Blend Property Calculation'!$C$6:$BF$6,1,'Base Blend Property Calculation'!BT12)</f>
        <v>Colloid SQ-A</v>
      </c>
      <c r="C347" s="611"/>
      <c r="D347" s="393">
        <f>VLOOKUP('Bulk Plant Input'!$A$19, 'Base Blend Property Calculation'!$A$6:$BF$159,'Base Blend Property Calculation'!BT14,FALSE)*('Bulk Plant Input'!$I$16/('Bulk Plant Input'!$B$13/1000))</f>
        <v>0</v>
      </c>
      <c r="E347" s="601"/>
      <c r="F347" s="601"/>
      <c r="G347" s="601"/>
      <c r="H347" s="601"/>
    </row>
    <row r="348" spans="1:11" hidden="1" x14ac:dyDescent="0.25">
      <c r="B348" s="611" t="str">
        <f>INDEX('Base Blend Property Calculation'!$C$6:$BF$6,1,'Base Blend Property Calculation'!BT13)</f>
        <v>Flyash</v>
      </c>
      <c r="C348" s="611"/>
      <c r="D348" s="393">
        <f>VLOOKUP('Bulk Plant Input'!$A$19, 'Base Blend Property Calculation'!$A$6:$BF$159,'Base Blend Property Calculation'!BT15,FALSE)*('Bulk Plant Input'!$I$16/('Bulk Plant Input'!$B$13/1000))</f>
        <v>0</v>
      </c>
      <c r="E348" s="601"/>
      <c r="F348" s="601"/>
      <c r="G348" s="601"/>
      <c r="H348" s="601"/>
    </row>
    <row r="349" spans="1:11" hidden="1" x14ac:dyDescent="0.25">
      <c r="B349" s="611" t="str">
        <f>INDEX('Base Blend Property Calculation'!$C$6:$BF$6,1,'Base Blend Property Calculation'!BT14)</f>
        <v>Flyash (Sask)</v>
      </c>
      <c r="C349" s="611"/>
      <c r="D349" s="393">
        <f>VLOOKUP('Bulk Plant Input'!$A$19, 'Base Blend Property Calculation'!$A$6:$BF$159,'Base Blend Property Calculation'!BT16,FALSE)*('Bulk Plant Input'!$I$16/('Bulk Plant Input'!$B$13/1000))</f>
        <v>0</v>
      </c>
      <c r="E349" s="601"/>
      <c r="F349" s="601"/>
      <c r="G349" s="601"/>
      <c r="H349" s="601"/>
    </row>
    <row r="350" spans="1:11" ht="30" hidden="1" customHeight="1" x14ac:dyDescent="0.25">
      <c r="B350" s="611" t="str">
        <f>INDEX('Base Blend Property Calculation'!$C$6:$BF$6,1,'Base Blend Property Calculation'!BT15)</f>
        <v>Densified Fume</v>
      </c>
      <c r="C350" s="611"/>
      <c r="D350" s="393">
        <f>VLOOKUP('Bulk Plant Input'!$A$19, 'Base Blend Property Calculation'!$A$6:$BF$159,'Base Blend Property Calculation'!BT17,FALSE)*('Bulk Plant Input'!$I$16/('Bulk Plant Input'!$B$13/1000))</f>
        <v>0</v>
      </c>
      <c r="E350" s="601"/>
      <c r="F350" s="601"/>
      <c r="G350" s="601"/>
      <c r="H350" s="601"/>
    </row>
    <row r="351" spans="1:11" hidden="1" x14ac:dyDescent="0.25">
      <c r="B351" s="611" t="str">
        <f>INDEX('Base Blend Property Calculation'!$C$6:$BF$6,1,'Base Blend Property Calculation'!BT16)</f>
        <v>Silica Fume - Semi-Densified</v>
      </c>
      <c r="C351" s="611"/>
      <c r="D351" s="393">
        <f>VLOOKUP('Bulk Plant Input'!$A$19, 'Base Blend Property Calculation'!$A$6:$BF$159,'Base Blend Property Calculation'!BT18,FALSE)*('Bulk Plant Input'!$I$16/('Bulk Plant Input'!$B$13/1000))</f>
        <v>0</v>
      </c>
      <c r="E351" s="601"/>
      <c r="F351" s="601"/>
      <c r="G351" s="601"/>
      <c r="H351" s="601"/>
    </row>
    <row r="352" spans="1:11" hidden="1" x14ac:dyDescent="0.25">
      <c r="B352" s="611" t="str">
        <f>INDEX('Base Blend Property Calculation'!$C$6:$BF$6,1,'Base Blend Property Calculation'!BT17)</f>
        <v>Sanlite</v>
      </c>
      <c r="C352" s="611"/>
      <c r="D352" s="393">
        <f>VLOOKUP('Bulk Plant Input'!$A$19, 'Base Blend Property Calculation'!$A$6:$BF$159,'Base Blend Property Calculation'!BT19,FALSE)*('Bulk Plant Input'!$I$16/('Bulk Plant Input'!$B$13/1000))</f>
        <v>0</v>
      </c>
      <c r="E352" s="601"/>
      <c r="F352" s="601"/>
      <c r="G352" s="601"/>
      <c r="H352" s="601"/>
    </row>
    <row r="353" spans="2:8" hidden="1" x14ac:dyDescent="0.25">
      <c r="B353" s="611" t="str">
        <f>INDEX('Base Blend Property Calculation'!$C$6:$BF$6,1,'Base Blend Property Calculation'!BT18)</f>
        <v>Silica Flour</v>
      </c>
      <c r="C353" s="611"/>
      <c r="D353" s="393">
        <f>VLOOKUP('Bulk Plant Input'!$A$19, 'Base Blend Property Calculation'!$A$6:$BF$159,'Base Blend Property Calculation'!BT20,FALSE)*('Bulk Plant Input'!$I$16/('Bulk Plant Input'!$B$13/1000))</f>
        <v>0</v>
      </c>
      <c r="E353" s="601"/>
      <c r="F353" s="601"/>
      <c r="G353" s="601"/>
      <c r="H353" s="601"/>
    </row>
    <row r="354" spans="2:8" hidden="1" x14ac:dyDescent="0.25">
      <c r="B354" s="611" t="str">
        <f>INDEX('Base Blend Property Calculation'!$C$6:$BF$6,1,'Base Blend Property Calculation'!BT19)</f>
        <v>Gel</v>
      </c>
      <c r="C354" s="611"/>
      <c r="D354" s="393">
        <f>VLOOKUP('Bulk Plant Input'!$A$19, 'Base Blend Property Calculation'!$A$6:$BF$159,'Base Blend Property Calculation'!BT21,FALSE)*('Bulk Plant Input'!$I$16/('Bulk Plant Input'!$B$13/1000))</f>
        <v>0</v>
      </c>
      <c r="E354" s="601"/>
      <c r="F354" s="601"/>
      <c r="G354" s="601"/>
      <c r="H354" s="601"/>
    </row>
    <row r="355" spans="2:8" hidden="1" x14ac:dyDescent="0.25">
      <c r="B355" s="611" t="str">
        <f>INDEX('Base Blend Property Calculation'!$C$6:$BF$6,1,'Base Blend Property Calculation'!BT20)</f>
        <v>SCA-1</v>
      </c>
      <c r="C355" s="611"/>
      <c r="D355" s="393">
        <f>VLOOKUP('Bulk Plant Input'!$A$19, 'Base Blend Property Calculation'!$A$6:$BF$159,'Base Blend Property Calculation'!BT22,FALSE)*('Bulk Plant Input'!$I$16/('Bulk Plant Input'!$B$13/1000))</f>
        <v>0</v>
      </c>
      <c r="E355" s="601"/>
      <c r="F355" s="601"/>
      <c r="G355" s="601"/>
      <c r="H355" s="601"/>
    </row>
    <row r="356" spans="2:8" hidden="1" x14ac:dyDescent="0.25">
      <c r="B356" s="611" t="str">
        <f>INDEX('Base Blend Property Calculation'!$C$6:$BF$6,1,'Base Blend Property Calculation'!BT21)</f>
        <v>Hematite</v>
      </c>
      <c r="C356" s="611"/>
      <c r="D356" s="393">
        <f>VLOOKUP('Bulk Plant Input'!$A$19, 'Base Blend Property Calculation'!$A$6:$BF$159,'Base Blend Property Calculation'!BT23,FALSE)*('Bulk Plant Input'!$I$16/('Bulk Plant Input'!$B$13/1000))</f>
        <v>0</v>
      </c>
      <c r="E356" s="601"/>
      <c r="F356" s="601"/>
      <c r="G356" s="601"/>
      <c r="H356" s="601"/>
    </row>
    <row r="357" spans="2:8" hidden="1" x14ac:dyDescent="0.25">
      <c r="B357" s="611" t="str">
        <f>INDEX('Base Blend Property Calculation'!$C$6:$BF$6,1,'Base Blend Property Calculation'!BT22)</f>
        <v>CDM-6B</v>
      </c>
      <c r="C357" s="611"/>
      <c r="D357" s="393">
        <f>VLOOKUP('Bulk Plant Input'!$A$19, 'Base Blend Property Calculation'!$A$6:$BF$159,'Base Blend Property Calculation'!BT24,FALSE)*('Bulk Plant Input'!$I$16/('Bulk Plant Input'!$B$13/1000))</f>
        <v>0</v>
      </c>
      <c r="E357" s="601"/>
      <c r="F357" s="601"/>
      <c r="G357" s="601"/>
      <c r="H357" s="601"/>
    </row>
    <row r="358" spans="2:8" hidden="1" x14ac:dyDescent="0.25">
      <c r="B358" s="611" t="str">
        <f>INDEX('Base Blend Property Calculation'!$C$6:$BF$6,1,'Base Blend Property Calculation'!BT23)</f>
        <v>CDM-6</v>
      </c>
      <c r="C358" s="611"/>
      <c r="D358" s="393">
        <f>VLOOKUP('Bulk Plant Input'!$A$19, 'Base Blend Property Calculation'!$A$6:$BF$159,'Base Blend Property Calculation'!BT25,FALSE)*('Bulk Plant Input'!$I$16/('Bulk Plant Input'!$B$13/1000))</f>
        <v>0</v>
      </c>
      <c r="E358" s="601"/>
      <c r="F358" s="601"/>
      <c r="G358" s="601"/>
      <c r="H358" s="601"/>
    </row>
    <row r="359" spans="2:8" hidden="1" x14ac:dyDescent="0.25">
      <c r="B359" s="611" t="str">
        <f>INDEX('Base Blend Property Calculation'!$C$6:$BF$6,1,'Base Blend Property Calculation'!BT24)</f>
        <v>CDM-2</v>
      </c>
      <c r="C359" s="611"/>
      <c r="D359" s="393">
        <f>VLOOKUP('Bulk Plant Input'!$A$19, 'Base Blend Property Calculation'!$A$6:$BF$159,'Base Blend Property Calculation'!BT26,FALSE)*('Bulk Plant Input'!$I$16/('Bulk Plant Input'!$B$13/1000))</f>
        <v>0</v>
      </c>
      <c r="E359" s="601"/>
      <c r="F359" s="601"/>
      <c r="G359" s="601"/>
      <c r="H359" s="601"/>
    </row>
    <row r="360" spans="2:8" hidden="1" x14ac:dyDescent="0.25">
      <c r="B360" s="611" t="str">
        <f>INDEX('Base Blend Property Calculation'!$C$6:$BF$6,1,'Base Blend Property Calculation'!BT25)</f>
        <v>CDM-5</v>
      </c>
      <c r="C360" s="611"/>
      <c r="D360" s="393">
        <f>VLOOKUP('Bulk Plant Input'!$A$19, 'Base Blend Property Calculation'!$A$6:$BF$159,'Base Blend Property Calculation'!BT27,FALSE)*('Bulk Plant Input'!$I$16/('Bulk Plant Input'!$B$13/1000))</f>
        <v>0</v>
      </c>
      <c r="E360" s="601"/>
      <c r="F360" s="601"/>
      <c r="G360" s="601"/>
      <c r="H360" s="601"/>
    </row>
    <row r="361" spans="2:8" hidden="1" x14ac:dyDescent="0.25">
      <c r="B361" s="611" t="str">
        <f>INDEX('Base Blend Property Calculation'!$C$6:$BF$6,1,'Base Blend Property Calculation'!BT26)</f>
        <v>CDM-C</v>
      </c>
      <c r="C361" s="611"/>
      <c r="D361" s="393">
        <f>VLOOKUP('Bulk Plant Input'!$A$19, 'Base Blend Property Calculation'!$A$6:$BF$159,'Base Blend Property Calculation'!BT28,FALSE)*('Bulk Plant Input'!$I$16/('Bulk Plant Input'!$B$13/1000))</f>
        <v>0</v>
      </c>
      <c r="E361" s="601"/>
      <c r="F361" s="601"/>
      <c r="G361" s="601"/>
      <c r="H361" s="601"/>
    </row>
    <row r="362" spans="2:8" hidden="1" x14ac:dyDescent="0.25">
      <c r="B362" s="611" t="str">
        <f>INDEX('Base Blend Property Calculation'!$C$6:$BF$6,1,'Base Blend Property Calculation'!BT27)</f>
        <v>CDM-10</v>
      </c>
      <c r="C362" s="611"/>
      <c r="D362" s="393">
        <f>VLOOKUP('Bulk Plant Input'!$A$19, 'Base Blend Property Calculation'!$A$6:$BF$159,'Base Blend Property Calculation'!BT29,FALSE)*('Bulk Plant Input'!$I$16/('Bulk Plant Input'!$B$13/1000))</f>
        <v>0</v>
      </c>
      <c r="E362" s="601"/>
      <c r="F362" s="601"/>
      <c r="G362" s="601"/>
      <c r="H362" s="601"/>
    </row>
    <row r="363" spans="2:8" hidden="1" x14ac:dyDescent="0.25">
      <c r="B363" s="611" t="str">
        <f>INDEX('Base Blend Property Calculation'!$C$6:$BF$6,1,'Base Blend Property Calculation'!BT28)</f>
        <v>CFR</v>
      </c>
      <c r="C363" s="611"/>
      <c r="D363" s="393">
        <f>VLOOKUP('Bulk Plant Input'!$A$19, 'Base Blend Property Calculation'!$A$6:$BF$159,'Base Blend Property Calculation'!BT30,FALSE)*('Bulk Plant Input'!$I$16/('Bulk Plant Input'!$B$13/1000))</f>
        <v>0</v>
      </c>
      <c r="E363" s="601"/>
      <c r="F363" s="601"/>
      <c r="G363" s="601"/>
      <c r="H363" s="601"/>
    </row>
    <row r="364" spans="2:8" hidden="1" x14ac:dyDescent="0.25">
      <c r="B364" s="611" t="str">
        <f>INDEX('Base Blend Property Calculation'!$C$6:$BF$6,1,'Base Blend Property Calculation'!BT29)</f>
        <v>CFR-2</v>
      </c>
      <c r="C364" s="611"/>
      <c r="D364" s="393">
        <f>VLOOKUP('Bulk Plant Input'!$A$19, 'Base Blend Property Calculation'!$A$6:$BF$159,'Base Blend Property Calculation'!BT31,FALSE)*('Bulk Plant Input'!$I$16/('Bulk Plant Input'!$B$13/1000))</f>
        <v>0</v>
      </c>
      <c r="E364" s="601"/>
      <c r="F364" s="601"/>
      <c r="G364" s="601"/>
      <c r="H364" s="601"/>
    </row>
    <row r="365" spans="2:8" hidden="1" x14ac:dyDescent="0.25">
      <c r="B365" s="611" t="str">
        <f>INDEX('Base Blend Property Calculation'!$C$6:$BF$6,1,'Base Blend Property Calculation'!BT30)</f>
        <v>CFR-5</v>
      </c>
      <c r="C365" s="611"/>
      <c r="D365" s="393">
        <f>VLOOKUP('Bulk Plant Input'!$A$19, 'Base Blend Property Calculation'!$A$6:$BF$159,'Base Blend Property Calculation'!BT32,FALSE)*('Bulk Plant Input'!$I$16/('Bulk Plant Input'!$B$13/1000))</f>
        <v>0</v>
      </c>
      <c r="E365" s="601"/>
      <c r="F365" s="601"/>
      <c r="G365" s="601"/>
      <c r="H365" s="601"/>
    </row>
    <row r="366" spans="2:8" hidden="1" x14ac:dyDescent="0.25">
      <c r="B366" s="611" t="str">
        <f>INDEX('Base Blend Property Calculation'!$C$6:$BF$6,1,'Base Blend Property Calculation'!BT31)</f>
        <v>CFL-3</v>
      </c>
      <c r="C366" s="611"/>
      <c r="D366" s="393">
        <f>VLOOKUP('Bulk Plant Input'!$A$19, 'Base Blend Property Calculation'!$A$6:$BF$159,'Base Blend Property Calculation'!BT33,FALSE)*('Bulk Plant Input'!$I$16/('Bulk Plant Input'!$B$13/1000))</f>
        <v>0</v>
      </c>
      <c r="E366" s="601"/>
      <c r="F366" s="601"/>
      <c r="G366" s="601"/>
      <c r="H366" s="601"/>
    </row>
    <row r="367" spans="2:8" hidden="1" x14ac:dyDescent="0.25">
      <c r="B367" s="611" t="str">
        <f>INDEX('Base Blend Property Calculation'!$C$6:$BF$6,1,'Base Blend Property Calculation'!BT32)</f>
        <v>CFL-4</v>
      </c>
      <c r="C367" s="611"/>
      <c r="D367" s="393">
        <f>VLOOKUP('Bulk Plant Input'!$A$19, 'Base Blend Property Calculation'!$A$6:$BF$159,'Base Blend Property Calculation'!BT34,FALSE)*('Bulk Plant Input'!$I$16/('Bulk Plant Input'!$B$13/1000))</f>
        <v>0</v>
      </c>
      <c r="E367" s="601"/>
      <c r="F367" s="601"/>
      <c r="G367" s="601"/>
      <c r="H367" s="601"/>
    </row>
    <row r="368" spans="2:8" hidden="1" x14ac:dyDescent="0.25">
      <c r="B368" s="611" t="str">
        <f>INDEX('Base Blend Property Calculation'!$C$6:$BF$6,1,'Base Blend Property Calculation'!BT33)</f>
        <v>CFL-6</v>
      </c>
      <c r="C368" s="611"/>
      <c r="D368" s="393">
        <f>VLOOKUP('Bulk Plant Input'!$A$19, 'Base Blend Property Calculation'!$A$6:$BF$159,'Base Blend Property Calculation'!BT35,FALSE)*('Bulk Plant Input'!$I$16/('Bulk Plant Input'!$B$13/1000))</f>
        <v>0</v>
      </c>
      <c r="E368" s="601"/>
      <c r="F368" s="601"/>
      <c r="G368" s="601"/>
      <c r="H368" s="601"/>
    </row>
    <row r="369" spans="2:8" hidden="1" x14ac:dyDescent="0.25">
      <c r="B369" s="611" t="str">
        <f>INDEX('Base Blend Property Calculation'!$C$6:$BF$6,1,'Base Blend Property Calculation'!BT34)</f>
        <v>CFL-7</v>
      </c>
      <c r="C369" s="611"/>
      <c r="D369" s="393">
        <f>VLOOKUP('Bulk Plant Input'!$A$19, 'Base Blend Property Calculation'!$A$6:$BF$159,'Base Blend Property Calculation'!BT36,FALSE)*('Bulk Plant Input'!$I$16/('Bulk Plant Input'!$B$13/1000))</f>
        <v>0</v>
      </c>
      <c r="E369" s="601"/>
      <c r="F369" s="601"/>
      <c r="G369" s="601"/>
      <c r="H369" s="601"/>
    </row>
    <row r="370" spans="2:8" hidden="1" x14ac:dyDescent="0.25">
      <c r="B370" s="611" t="str">
        <f>INDEX('Base Blend Property Calculation'!$C$6:$BF$6,1,'Base Blend Property Calculation'!BT35)</f>
        <v>CaCl2</v>
      </c>
      <c r="C370" s="611"/>
      <c r="D370" s="393">
        <f>VLOOKUP('Bulk Plant Input'!$A$19, 'Base Blend Property Calculation'!$A$6:$BF$159,'Base Blend Property Calculation'!BT37,FALSE)*('Bulk Plant Input'!$I$16/('Bulk Plant Input'!$B$13/1000))</f>
        <v>0</v>
      </c>
      <c r="E370" s="601"/>
      <c r="F370" s="601"/>
      <c r="G370" s="601"/>
      <c r="H370" s="601"/>
    </row>
    <row r="371" spans="2:8" hidden="1" x14ac:dyDescent="0.25">
      <c r="B371" s="611" t="str">
        <f>INDEX('Base Blend Property Calculation'!$C$6:$BF$6,1,'Base Blend Property Calculation'!BT36)</f>
        <v>SCA-6</v>
      </c>
      <c r="C371" s="611"/>
      <c r="D371" s="393">
        <f>VLOOKUP('Bulk Plant Input'!$A$19, 'Base Blend Property Calculation'!$A$6:$BF$159,'Base Blend Property Calculation'!BT38,FALSE)*('Bulk Plant Input'!$I$16/('Bulk Plant Input'!$B$13/1000))</f>
        <v>0</v>
      </c>
      <c r="E371" s="601"/>
      <c r="F371" s="601"/>
      <c r="G371" s="601"/>
      <c r="H371" s="601"/>
    </row>
    <row r="372" spans="2:8" hidden="1" x14ac:dyDescent="0.25">
      <c r="B372" s="611" t="str">
        <f>INDEX('Base Blend Property Calculation'!$C$6:$BF$6,1,'Base Blend Property Calculation'!BT37)</f>
        <v>SCA-7</v>
      </c>
      <c r="C372" s="611"/>
      <c r="D372" s="393">
        <f>VLOOKUP('Bulk Plant Input'!$A$19, 'Base Blend Property Calculation'!$A$6:$BF$159,'Base Blend Property Calculation'!BT39,FALSE)*('Bulk Plant Input'!$I$16/('Bulk Plant Input'!$B$13/1000))</f>
        <v>0</v>
      </c>
      <c r="E372" s="601"/>
      <c r="F372" s="601"/>
      <c r="G372" s="601"/>
      <c r="H372" s="601"/>
    </row>
    <row r="373" spans="2:8" hidden="1" x14ac:dyDescent="0.25">
      <c r="B373" s="611" t="str">
        <f>INDEX('Base Blend Property Calculation'!$C$6:$BF$6,1,'Base Blend Property Calculation'!BT38)</f>
        <v>SCA-5</v>
      </c>
      <c r="C373" s="611"/>
      <c r="D373" s="393">
        <f>VLOOKUP('Bulk Plant Input'!$A$19, 'Base Blend Property Calculation'!$A$6:$BF$159,'Base Blend Property Calculation'!BT40,FALSE)*('Bulk Plant Input'!$I$16/('Bulk Plant Input'!$B$13/1000))</f>
        <v>0</v>
      </c>
      <c r="E373" s="601"/>
      <c r="F373" s="601"/>
      <c r="G373" s="601"/>
      <c r="H373" s="601"/>
    </row>
    <row r="374" spans="2:8" hidden="1" x14ac:dyDescent="0.25">
      <c r="B374" s="611" t="str">
        <f>INDEX('Base Blend Property Calculation'!$C$6:$BF$6,1,'Base Blend Property Calculation'!BT39)</f>
        <v>FWC-2</v>
      </c>
      <c r="C374" s="611"/>
      <c r="D374" s="393">
        <f>VLOOKUP('Bulk Plant Input'!$A$19, 'Base Blend Property Calculation'!$A$6:$BF$159,'Base Blend Property Calculation'!BT41,FALSE)*('Bulk Plant Input'!$I$16/('Bulk Plant Input'!$B$13/1000))</f>
        <v>0</v>
      </c>
      <c r="E374" s="601"/>
      <c r="F374" s="601"/>
      <c r="G374" s="601"/>
      <c r="H374" s="601"/>
    </row>
    <row r="375" spans="2:8" hidden="1" x14ac:dyDescent="0.25">
      <c r="B375" s="611" t="str">
        <f>INDEX('Base Blend Property Calculation'!$C$6:$BF$6,1,'Base Blend Property Calculation'!BT40)</f>
        <v>LTR-3</v>
      </c>
      <c r="C375" s="611"/>
      <c r="D375" s="393">
        <f>VLOOKUP('Bulk Plant Input'!$A$19, 'Base Blend Property Calculation'!$A$6:$BF$159,'Base Blend Property Calculation'!BT42,FALSE)*('Bulk Plant Input'!$I$16/('Bulk Plant Input'!$B$13/1000))</f>
        <v>0</v>
      </c>
      <c r="E375" s="601"/>
      <c r="F375" s="601"/>
      <c r="G375" s="601"/>
      <c r="H375" s="601"/>
    </row>
    <row r="376" spans="2:8" hidden="1" x14ac:dyDescent="0.25">
      <c r="B376" s="611" t="str">
        <f>INDEX('Base Blend Property Calculation'!$C$6:$BF$6,1,'Base Blend Property Calculation'!BT41)</f>
        <v>NaCl</v>
      </c>
      <c r="C376" s="611"/>
      <c r="D376" s="393">
        <f>VLOOKUP('Bulk Plant Input'!$A$19, 'Base Blend Property Calculation'!$A$6:$BF$159,'Base Blend Property Calculation'!BT43,FALSE)*('Bulk Plant Input'!$I$16/('Bulk Plant Input'!$B$13/1000))</f>
        <v>0</v>
      </c>
      <c r="E376" s="601"/>
      <c r="F376" s="601"/>
      <c r="G376" s="601"/>
      <c r="H376" s="601"/>
    </row>
    <row r="377" spans="2:8" hidden="1" x14ac:dyDescent="0.25">
      <c r="B377" s="611" t="str">
        <f>INDEX('Base Blend Property Calculation'!$C$6:$BF$6,1,'Base Blend Property Calculation'!BT42)</f>
        <v>KCl</v>
      </c>
      <c r="C377" s="611"/>
      <c r="D377" s="393">
        <f>VLOOKUP('Bulk Plant Input'!$A$19, 'Base Blend Property Calculation'!$A$6:$BF$159,'Base Blend Property Calculation'!BT44,FALSE)*('Bulk Plant Input'!$I$16/('Bulk Plant Input'!$B$13/1000))</f>
        <v>0</v>
      </c>
      <c r="E377" s="601"/>
      <c r="F377" s="601"/>
      <c r="G377" s="601"/>
      <c r="H377" s="601"/>
    </row>
    <row r="378" spans="2:8" hidden="1" x14ac:dyDescent="0.25">
      <c r="B378" s="611" t="str">
        <f>INDEX('Base Blend Property Calculation'!$C$6:$BF$6,1,'Base Blend Property Calculation'!BT43)</f>
        <v>EA-1</v>
      </c>
      <c r="C378" s="611"/>
      <c r="D378" s="393">
        <f>VLOOKUP('Bulk Plant Input'!$A$19, 'Base Blend Property Calculation'!$A$6:$BF$159,'Base Blend Property Calculation'!BT45,FALSE)*('Bulk Plant Input'!$I$16/('Bulk Plant Input'!$B$13/1000))</f>
        <v>0</v>
      </c>
      <c r="E378" s="601"/>
      <c r="F378" s="601"/>
      <c r="G378" s="601"/>
      <c r="H378" s="601"/>
    </row>
    <row r="379" spans="2:8" hidden="1" x14ac:dyDescent="0.25">
      <c r="B379" s="611" t="str">
        <f>INDEX('Base Blend Property Calculation'!$C$6:$BF$6,1,'Base Blend Property Calculation'!BT44)</f>
        <v>EA-3</v>
      </c>
      <c r="C379" s="611"/>
      <c r="D379" s="393">
        <f>VLOOKUP('Bulk Plant Input'!$A$19, 'Base Blend Property Calculation'!$A$6:$BF$159,'Base Blend Property Calculation'!BT46,FALSE)*('Bulk Plant Input'!$I$16/('Bulk Plant Input'!$B$13/1000))</f>
        <v>0</v>
      </c>
      <c r="E379" s="601"/>
      <c r="F379" s="601"/>
      <c r="G379" s="601"/>
      <c r="H379" s="601"/>
    </row>
    <row r="380" spans="2:8" hidden="1" x14ac:dyDescent="0.25">
      <c r="B380" s="611" t="str">
        <f>INDEX('Base Blend Property Calculation'!$C$6:$BF$6,1,'Base Blend Property Calculation'!BT45)</f>
        <v>LCG-2</v>
      </c>
      <c r="C380" s="611"/>
      <c r="D380" s="393">
        <f>VLOOKUP('Bulk Plant Input'!$A$19, 'Base Blend Property Calculation'!$A$6:$BF$159,'Base Blend Property Calculation'!BT47,FALSE)*('Bulk Plant Input'!$I$16/('Bulk Plant Input'!$B$13/1000))</f>
        <v>0</v>
      </c>
      <c r="E380" s="601"/>
      <c r="F380" s="601"/>
      <c r="G380" s="601"/>
      <c r="H380" s="601"/>
    </row>
    <row r="381" spans="2:8" hidden="1" x14ac:dyDescent="0.25">
      <c r="B381" s="611" t="str">
        <f>INDEX('Base Blend Property Calculation'!$C$6:$BF$6,1,'Base Blend Property Calculation'!BT46)</f>
        <v>Micromix</v>
      </c>
      <c r="C381" s="611"/>
      <c r="D381" s="393">
        <f>VLOOKUP('Bulk Plant Input'!$A$19, 'Base Blend Property Calculation'!$A$6:$BF$159,'Base Blend Property Calculation'!BT48,FALSE)*('Bulk Plant Input'!$I$16/('Bulk Plant Input'!$B$13/1000))</f>
        <v>0</v>
      </c>
      <c r="E381" s="601"/>
      <c r="F381" s="601"/>
      <c r="G381" s="601"/>
      <c r="H381" s="601"/>
    </row>
    <row r="382" spans="2:8" hidden="1" x14ac:dyDescent="0.25">
      <c r="B382" s="611" t="str">
        <f>INDEX('Base Blend Property Calculation'!$C$6:$BF$6,1,'Base Blend Property Calculation'!BT47)</f>
        <v>LCG-1</v>
      </c>
      <c r="C382" s="611"/>
      <c r="D382" s="393">
        <f>VLOOKUP('Bulk Plant Input'!$A$19, 'Base Blend Property Calculation'!$A$6:$BF$159,'Base Blend Property Calculation'!BT49,FALSE)*('Bulk Plant Input'!$I$16/('Bulk Plant Input'!$B$13/1000))</f>
        <v>0</v>
      </c>
      <c r="E382" s="601"/>
      <c r="F382" s="601"/>
      <c r="G382" s="601"/>
      <c r="H382" s="601"/>
    </row>
    <row r="383" spans="2:8" hidden="1" x14ac:dyDescent="0.25">
      <c r="B383" s="611" t="str">
        <f>INDEX('Base Blend Property Calculation'!$C$6:$BF$6,1,'Base Blend Property Calculation'!BT48)</f>
        <v>Gilsonite</v>
      </c>
      <c r="C383" s="611"/>
      <c r="D383" s="393">
        <f>VLOOKUP('Bulk Plant Input'!$A$19, 'Base Blend Property Calculation'!$A$6:$BF$159,'Base Blend Property Calculation'!BT50,FALSE)*('Bulk Plant Input'!$I$16/('Bulk Plant Input'!$B$13/1000))</f>
        <v>0</v>
      </c>
      <c r="E383" s="601"/>
      <c r="F383" s="601"/>
      <c r="G383" s="601"/>
      <c r="H383" s="601"/>
    </row>
    <row r="384" spans="2:8" hidden="1" x14ac:dyDescent="0.25">
      <c r="B384" s="611" t="str">
        <f>INDEX('Base Blend Property Calculation'!$C$6:$BF$6,1,'Base Blend Property Calculation'!BT49)</f>
        <v>SG1500</v>
      </c>
      <c r="C384" s="611"/>
      <c r="D384" s="393">
        <f>VLOOKUP('Bulk Plant Input'!$A$19, 'Base Blend Property Calculation'!$A$6:$BF$159,'Base Blend Property Calculation'!BT51,FALSE)*('Bulk Plant Input'!$I$16/('Bulk Plant Input'!$B$13/1000))</f>
        <v>0</v>
      </c>
      <c r="E384" s="601"/>
      <c r="F384" s="601"/>
      <c r="G384" s="601"/>
      <c r="H384" s="601"/>
    </row>
    <row r="385" spans="2:8" hidden="1" x14ac:dyDescent="0.25">
      <c r="B385" s="611" t="str">
        <f>INDEX('Base Blend Property Calculation'!$C$6:$BF$6,1,'Base Blend Property Calculation'!BT50)</f>
        <v>ASM-3</v>
      </c>
      <c r="C385" s="611"/>
      <c r="D385" s="393">
        <f>VLOOKUP('Bulk Plant Input'!$A$19, 'Base Blend Property Calculation'!$A$6:$BF$159,'Base Blend Property Calculation'!BT52,FALSE)*('Bulk Plant Input'!$I$16/('Bulk Plant Input'!$B$13/1000))</f>
        <v>0</v>
      </c>
      <c r="E385" s="601"/>
      <c r="F385" s="601"/>
      <c r="G385" s="601"/>
      <c r="H385" s="601"/>
    </row>
    <row r="386" spans="2:8" hidden="1" x14ac:dyDescent="0.25">
      <c r="B386" s="611" t="str">
        <f>INDEX('Base Blend Property Calculation'!$C$6:$BF$6,1,'Base Blend Property Calculation'!BT51)</f>
        <v>Ciment Fondu</v>
      </c>
      <c r="C386" s="611"/>
      <c r="D386" s="393">
        <f>VLOOKUP('Bulk Plant Input'!$A$19, 'Base Blend Property Calculation'!$A$6:$BF$159,'Base Blend Property Calculation'!BT53,FALSE)*('Bulk Plant Input'!$I$16/('Bulk Plant Input'!$B$13/1000))</f>
        <v>0</v>
      </c>
      <c r="E386" s="601"/>
      <c r="F386" s="601"/>
      <c r="G386" s="601"/>
      <c r="H386" s="601"/>
    </row>
    <row r="387" spans="2:8" hidden="1" x14ac:dyDescent="0.25">
      <c r="B387" s="611" t="str">
        <f>INDEX('Base Blend Property Calculation'!$C$6:$BF$6,1,'Base Blend Property Calculation'!BT52)</f>
        <v>CFL-10</v>
      </c>
      <c r="C387" s="611"/>
      <c r="D387" s="393">
        <f>VLOOKUP('Bulk Plant Input'!$A$19, 'Base Blend Property Calculation'!$A$6:$BF$159,'Base Blend Property Calculation'!BT54,FALSE)*('Bulk Plant Input'!$I$16/('Bulk Plant Input'!$B$13/1000))</f>
        <v>0</v>
      </c>
      <c r="E387" s="601"/>
      <c r="F387" s="601"/>
      <c r="G387" s="601"/>
      <c r="H387" s="601"/>
    </row>
    <row r="388" spans="2:8" hidden="1" x14ac:dyDescent="0.25">
      <c r="B388" s="611" t="str">
        <f>INDEX('Base Blend Property Calculation'!$C$6:$BF$6,1,'Base Blend Property Calculation'!BT53)</f>
        <v>CDM-4</v>
      </c>
      <c r="C388" s="611"/>
      <c r="D388" s="393">
        <f>VLOOKUP('Bulk Plant Input'!$A$19, 'Base Blend Property Calculation'!$A$6:$BF$159,'Base Blend Property Calculation'!BT55,FALSE)*('Bulk Plant Input'!$I$16/('Bulk Plant Input'!$B$13/1000))</f>
        <v>0</v>
      </c>
      <c r="E388" s="601"/>
      <c r="F388" s="601"/>
      <c r="G388" s="601"/>
      <c r="H388" s="601"/>
    </row>
    <row r="389" spans="2:8" hidden="1" x14ac:dyDescent="0.25">
      <c r="B389" s="611" t="str">
        <f>INDEX('Base Blend Property Calculation'!$C$6:$BF$6,1,'Base Blend Property Calculation'!BT54)</f>
        <v>None</v>
      </c>
      <c r="C389" s="611"/>
      <c r="D389" s="393">
        <f>VLOOKUP('Bulk Plant Input'!$A$19, 'Base Blend Property Calculation'!$A$6:$BF$159,'Base Blend Property Calculation'!BT56,FALSE)*('Bulk Plant Input'!$I$16/('Bulk Plant Input'!$B$13/1000))</f>
        <v>0</v>
      </c>
      <c r="E389" s="601"/>
      <c r="F389" s="601"/>
      <c r="G389" s="601"/>
      <c r="H389" s="601"/>
    </row>
    <row r="390" spans="2:8" hidden="1" x14ac:dyDescent="0.25">
      <c r="B390" s="611" t="str">
        <f>INDEX('Base Blend Property Calculation'!$C$6:$BF$6,1,'Base Blend Property Calculation'!BT55)</f>
        <v>None</v>
      </c>
      <c r="C390" s="611"/>
      <c r="D390" s="393">
        <f>VLOOKUP('Bulk Plant Input'!$A$19, 'Base Blend Property Calculation'!$A$6:$BF$159,'Base Blend Property Calculation'!BT57,FALSE)*('Bulk Plant Input'!$I$16/('Bulk Plant Input'!$B$13/1000))</f>
        <v>0</v>
      </c>
      <c r="E390" s="601"/>
      <c r="F390" s="601"/>
      <c r="G390" s="601"/>
      <c r="H390" s="601"/>
    </row>
    <row r="391" spans="2:8" hidden="1" x14ac:dyDescent="0.25">
      <c r="B391" s="611" t="str">
        <f>INDEX('Base Blend Property Calculation'!$C$6:$BF$6,1,'Base Blend Property Calculation'!BT56)</f>
        <v>None</v>
      </c>
      <c r="C391" s="611"/>
      <c r="D391" s="393">
        <f>VLOOKUP('Bulk Plant Input'!$A$19, 'Base Blend Property Calculation'!$A$6:$BF$159,'Base Blend Property Calculation'!BT58,FALSE)*('Bulk Plant Input'!$I$16/('Bulk Plant Input'!$B$13/1000))</f>
        <v>0</v>
      </c>
      <c r="E391" s="601"/>
      <c r="F391" s="601"/>
      <c r="G391" s="601"/>
      <c r="H391" s="601"/>
    </row>
    <row r="392" spans="2:8" hidden="1" x14ac:dyDescent="0.25">
      <c r="B392" s="611" t="str">
        <f>INDEX('Base Blend Property Calculation'!$C$6:$BF$6,1,'Base Blend Property Calculation'!BT57)</f>
        <v>None</v>
      </c>
      <c r="C392" s="611"/>
      <c r="D392" s="393">
        <f>VLOOKUP('Bulk Plant Input'!$A$19, 'Base Blend Property Calculation'!$A$6:$BF$159,'Base Blend Property Calculation'!BT59,FALSE)*('Bulk Plant Input'!$I$16/('Bulk Plant Input'!$B$13/1000))</f>
        <v>0</v>
      </c>
      <c r="E392" s="601"/>
      <c r="F392" s="601"/>
      <c r="G392" s="601"/>
      <c r="H392" s="601"/>
    </row>
    <row r="393" spans="2:8" hidden="1" x14ac:dyDescent="0.25">
      <c r="B393" s="611" t="str">
        <f>INDEX('Base Blend Property Calculation'!$C$6:$BF$6,1,'Base Blend Property Calculation'!BT58)</f>
        <v>None</v>
      </c>
      <c r="C393" s="611"/>
      <c r="D393" s="393">
        <f>VLOOKUP('Bulk Plant Input'!$A$19, 'Base Blend Property Calculation'!$A$6:$BF$159,'Base Blend Property Calculation'!BT60,FALSE)*('Bulk Plant Input'!$I$16/('Bulk Plant Input'!$B$13/1000))</f>
        <v>0</v>
      </c>
      <c r="E393" s="601"/>
      <c r="F393" s="601"/>
      <c r="G393" s="601"/>
      <c r="H393" s="601"/>
    </row>
    <row r="394" spans="2:8" hidden="1" x14ac:dyDescent="0.25">
      <c r="B394" s="611" t="str">
        <f>INDEX('Base Blend Property Calculation'!$C$6:$BF$6,1,'Base Blend Property Calculation'!BT59)</f>
        <v>None</v>
      </c>
      <c r="C394" s="611"/>
      <c r="D394" s="393">
        <f>VLOOKUP('Bulk Plant Input'!$A$19, 'Base Blend Property Calculation'!$A$6:$BF$159,'Base Blend Property Calculation'!BT61,FALSE)*('Bulk Plant Input'!$I$16/('Bulk Plant Input'!$B$13/1000))</f>
        <v>0</v>
      </c>
      <c r="E394" s="601"/>
      <c r="F394" s="601"/>
      <c r="G394" s="601"/>
      <c r="H394" s="601"/>
    </row>
    <row r="395" spans="2:8" hidden="1" x14ac:dyDescent="0.25">
      <c r="B395" s="611" t="str">
        <f>INDEX('Base Blend Property Calculation'!$C$6:$BF$6,1,'Base Blend Property Calculation'!BT60)</f>
        <v>None</v>
      </c>
      <c r="C395" s="611"/>
      <c r="D395" s="393">
        <f>VLOOKUP('Bulk Plant Input'!$A$19, 'Base Blend Property Calculation'!$A$6:$BF$159,'Base Blend Property Calculation'!BT62,FALSE)*('Bulk Plant Input'!$I$16/('Bulk Plant Input'!$B$13/1000))</f>
        <v>0</v>
      </c>
      <c r="E395" s="601"/>
      <c r="F395" s="601"/>
      <c r="G395" s="601"/>
      <c r="H395" s="601"/>
    </row>
    <row r="396" spans="2:8" hidden="1" x14ac:dyDescent="0.25">
      <c r="B396" s="611" t="str">
        <f>INDEX('Base Blend Property Calculation'!$C$6:$BF$6,1,'Base Blend Property Calculation'!BT61)</f>
        <v>None</v>
      </c>
      <c r="C396" s="611"/>
      <c r="D396" s="393">
        <f>VLOOKUP('Bulk Plant Input'!$A$19, 'Base Blend Property Calculation'!$A$6:$BF$159,'Base Blend Property Calculation'!BT63,FALSE)*('Bulk Plant Input'!$I$16/('Bulk Plant Input'!$B$13/1000))</f>
        <v>0</v>
      </c>
      <c r="E396" s="601"/>
      <c r="F396" s="601"/>
      <c r="G396" s="601"/>
      <c r="H396" s="601"/>
    </row>
    <row r="397" spans="2:8" hidden="1" x14ac:dyDescent="0.25">
      <c r="B397" s="403"/>
      <c r="C397" s="403"/>
      <c r="D397" s="399" t="s">
        <v>198</v>
      </c>
      <c r="E397" s="403"/>
      <c r="F397" s="403"/>
      <c r="G397" s="403"/>
      <c r="H397" s="403"/>
    </row>
    <row r="398" spans="2:8" ht="15.75" hidden="1" x14ac:dyDescent="0.25">
      <c r="B398" s="606" t="str">
        <f>IF('Bulk Plant Input'!$I$16="","5th Batch Not Entered","ADDITIVES - Batch 5")</f>
        <v>5th Batch Not Entered</v>
      </c>
      <c r="C398" s="606"/>
      <c r="D398" s="405" t="s">
        <v>198</v>
      </c>
      <c r="E398" s="403"/>
      <c r="F398" s="403"/>
      <c r="G398" s="403"/>
      <c r="H398" s="403"/>
    </row>
    <row r="399" spans="2:8" ht="30" hidden="1" x14ac:dyDescent="0.25">
      <c r="B399" s="608" t="s">
        <v>201</v>
      </c>
      <c r="C399" s="608"/>
      <c r="D399" s="406" t="s">
        <v>206</v>
      </c>
      <c r="E399" s="608" t="s">
        <v>512</v>
      </c>
      <c r="F399" s="608"/>
      <c r="G399" s="608" t="s">
        <v>200</v>
      </c>
      <c r="H399" s="608"/>
    </row>
    <row r="400" spans="2:8" hidden="1" x14ac:dyDescent="0.25">
      <c r="B400" s="588">
        <f>'Bulk Plant Input'!A23</f>
        <v>0</v>
      </c>
      <c r="C400" s="589"/>
      <c r="D400" s="393">
        <f>IF(B160=0,0,'Bulk Plant Input'!C23*('Bulk Plant Input'!$I$16/('Bulk Plant Input'!$B$13/1000)))</f>
        <v>0</v>
      </c>
      <c r="E400" s="588"/>
      <c r="F400" s="589"/>
      <c r="G400" s="588"/>
      <c r="H400" s="589"/>
    </row>
    <row r="401" spans="2:8" hidden="1" x14ac:dyDescent="0.25">
      <c r="B401" s="588">
        <f>'Bulk Plant Input'!A24</f>
        <v>0</v>
      </c>
      <c r="C401" s="589"/>
      <c r="D401" s="393">
        <f>IF(B161=0,0,'Bulk Plant Input'!C24*('Bulk Plant Input'!$I$16/('Bulk Plant Input'!$B$13/1000)))</f>
        <v>0</v>
      </c>
      <c r="E401" s="588"/>
      <c r="F401" s="589"/>
      <c r="G401" s="588"/>
      <c r="H401" s="589"/>
    </row>
    <row r="402" spans="2:8" hidden="1" x14ac:dyDescent="0.25">
      <c r="B402" s="588">
        <f>'Bulk Plant Input'!A25</f>
        <v>0</v>
      </c>
      <c r="C402" s="589"/>
      <c r="D402" s="393">
        <f>IF(B162=0,0,'Bulk Plant Input'!C25*('Bulk Plant Input'!$I$16/('Bulk Plant Input'!$B$13/1000)))</f>
        <v>0</v>
      </c>
      <c r="E402" s="588"/>
      <c r="F402" s="589"/>
      <c r="G402" s="588"/>
      <c r="H402" s="589"/>
    </row>
    <row r="403" spans="2:8" hidden="1" x14ac:dyDescent="0.25">
      <c r="B403" s="588">
        <f>'Bulk Plant Input'!A26</f>
        <v>0</v>
      </c>
      <c r="C403" s="589"/>
      <c r="D403" s="393">
        <f>IF(B163=0,0,'Bulk Plant Input'!C26*('Bulk Plant Input'!$I$16/('Bulk Plant Input'!$B$13/1000)))</f>
        <v>0</v>
      </c>
      <c r="E403" s="588"/>
      <c r="F403" s="589"/>
      <c r="G403" s="588"/>
      <c r="H403" s="589"/>
    </row>
    <row r="404" spans="2:8" hidden="1" x14ac:dyDescent="0.25">
      <c r="B404" s="588">
        <f>'Bulk Plant Input'!A27</f>
        <v>0</v>
      </c>
      <c r="C404" s="589"/>
      <c r="D404" s="393">
        <f>IF(B164=0,0,'Bulk Plant Input'!C27*('Bulk Plant Input'!$I$16/('Bulk Plant Input'!$B$13/1000)))</f>
        <v>0</v>
      </c>
      <c r="E404" s="588"/>
      <c r="F404" s="589"/>
      <c r="G404" s="588"/>
      <c r="H404" s="589"/>
    </row>
    <row r="405" spans="2:8" hidden="1" x14ac:dyDescent="0.25">
      <c r="B405" s="588">
        <f>'Bulk Plant Input'!A28</f>
        <v>0</v>
      </c>
      <c r="C405" s="589"/>
      <c r="D405" s="393">
        <f>IF(B165=0,0,'Bulk Plant Input'!C28*('Bulk Plant Input'!$I$16/('Bulk Plant Input'!$B$13/1000)))</f>
        <v>0</v>
      </c>
      <c r="E405" s="588"/>
      <c r="F405" s="589"/>
      <c r="G405" s="588"/>
      <c r="H405" s="589"/>
    </row>
    <row r="406" spans="2:8" hidden="1" x14ac:dyDescent="0.25">
      <c r="B406" s="588">
        <f>'Bulk Plant Input'!A29</f>
        <v>0</v>
      </c>
      <c r="C406" s="589"/>
      <c r="D406" s="393">
        <f>IF(B166=0,0,'Bulk Plant Input'!C29*('Bulk Plant Input'!$I$16/('Bulk Plant Input'!$B$13/1000)))</f>
        <v>0</v>
      </c>
      <c r="E406" s="588"/>
      <c r="F406" s="589"/>
      <c r="G406" s="588"/>
      <c r="H406" s="589"/>
    </row>
    <row r="407" spans="2:8" hidden="1" x14ac:dyDescent="0.25">
      <c r="B407" s="588">
        <f>'Bulk Plant Input'!A30</f>
        <v>0</v>
      </c>
      <c r="C407" s="589"/>
      <c r="D407" s="393">
        <f>IF(B167=0,0,'Bulk Plant Input'!C30*('Bulk Plant Input'!$I$16/('Bulk Plant Input'!$B$13/1000)))</f>
        <v>0</v>
      </c>
      <c r="E407" s="588"/>
      <c r="F407" s="589"/>
      <c r="G407" s="588"/>
      <c r="H407" s="589"/>
    </row>
    <row r="408" spans="2:8" hidden="1" x14ac:dyDescent="0.25">
      <c r="B408" s="588">
        <f>'Bulk Plant Input'!A31</f>
        <v>0</v>
      </c>
      <c r="C408" s="589"/>
      <c r="D408" s="393">
        <f>IF(B168=0,0,'Bulk Plant Input'!C31*('Bulk Plant Input'!$I$16/('Bulk Plant Input'!$B$13/1000)))</f>
        <v>0</v>
      </c>
      <c r="E408" s="588"/>
      <c r="F408" s="589"/>
      <c r="G408" s="588"/>
      <c r="H408" s="589"/>
    </row>
    <row r="409" spans="2:8" hidden="1" x14ac:dyDescent="0.25">
      <c r="B409" s="588">
        <f>'Bulk Plant Input'!A32</f>
        <v>0</v>
      </c>
      <c r="C409" s="589"/>
      <c r="D409" s="393">
        <f>IF(B169=0,0,'Bulk Plant Input'!C32*('Bulk Plant Input'!$I$16/('Bulk Plant Input'!$B$13/1000)))</f>
        <v>0</v>
      </c>
      <c r="E409" s="588"/>
      <c r="F409" s="589"/>
      <c r="G409" s="588"/>
      <c r="H409" s="589"/>
    </row>
    <row r="410" spans="2:8" hidden="1" x14ac:dyDescent="0.25">
      <c r="B410" s="588">
        <f>'Bulk Plant Input'!A33</f>
        <v>0</v>
      </c>
      <c r="C410" s="589"/>
      <c r="D410" s="393">
        <f>IF(B170=0,0,'Bulk Plant Input'!C33*('Bulk Plant Input'!$I$16/('Bulk Plant Input'!$B$13/1000)))</f>
        <v>0</v>
      </c>
      <c r="E410" s="588"/>
      <c r="F410" s="589"/>
      <c r="G410" s="588"/>
      <c r="H410" s="589"/>
    </row>
    <row r="411" spans="2:8" hidden="1" x14ac:dyDescent="0.25">
      <c r="B411" s="588">
        <f>'Bulk Plant Input'!A34</f>
        <v>0</v>
      </c>
      <c r="C411" s="589"/>
      <c r="D411" s="393">
        <f>IF(B171=0,0,'Bulk Plant Input'!C34*('Bulk Plant Input'!$I$16/('Bulk Plant Input'!$B$13/1000)))</f>
        <v>0</v>
      </c>
      <c r="E411" s="588"/>
      <c r="F411" s="589"/>
      <c r="G411" s="588"/>
      <c r="H411" s="589"/>
    </row>
    <row r="412" spans="2:8" hidden="1" x14ac:dyDescent="0.25">
      <c r="B412" s="588">
        <f>'Bulk Plant Input'!A35</f>
        <v>0</v>
      </c>
      <c r="C412" s="589"/>
      <c r="D412" s="393">
        <f>IF(B172=0,0,'Bulk Plant Input'!C35*('Bulk Plant Input'!$I$16/('Bulk Plant Input'!$B$13/1000)))</f>
        <v>0</v>
      </c>
      <c r="E412" s="588"/>
      <c r="F412" s="589"/>
      <c r="G412" s="588"/>
      <c r="H412" s="589"/>
    </row>
    <row r="413" spans="2:8" hidden="1" x14ac:dyDescent="0.25">
      <c r="B413" s="588">
        <f>'Bulk Plant Input'!A36</f>
        <v>0</v>
      </c>
      <c r="C413" s="589"/>
      <c r="D413" s="393">
        <f>IF(B173=0,0,'Bulk Plant Input'!C36*('Bulk Plant Input'!$I$16/('Bulk Plant Input'!$B$13/1000)))</f>
        <v>0</v>
      </c>
      <c r="E413" s="588"/>
      <c r="F413" s="589"/>
      <c r="G413" s="588"/>
      <c r="H413" s="589"/>
    </row>
    <row r="414" spans="2:8" hidden="1" x14ac:dyDescent="0.25">
      <c r="B414" s="588">
        <f>'Bulk Plant Input'!A37</f>
        <v>0</v>
      </c>
      <c r="C414" s="589"/>
      <c r="D414" s="393">
        <f>IF(B174=0,0,'Bulk Plant Input'!C37*('Bulk Plant Input'!$I$16/('Bulk Plant Input'!$B$13/1000)))</f>
        <v>0</v>
      </c>
      <c r="E414" s="588"/>
      <c r="F414" s="589"/>
      <c r="G414" s="588"/>
      <c r="H414" s="589"/>
    </row>
    <row r="415" spans="2:8" hidden="1" x14ac:dyDescent="0.25">
      <c r="B415" s="588">
        <f>'Bulk Plant Input'!A43</f>
        <v>0</v>
      </c>
      <c r="C415" s="589"/>
      <c r="D415" s="393">
        <f>IF(B175=0,0,'Bulk Plant Input'!C38*('Bulk Plant Input'!$I$16/('Bulk Plant Input'!$B$13/1000)))</f>
        <v>0</v>
      </c>
      <c r="E415" s="588"/>
      <c r="F415" s="589"/>
      <c r="G415" s="588"/>
      <c r="H415" s="589"/>
    </row>
    <row r="416" spans="2:8" hidden="1" x14ac:dyDescent="0.25">
      <c r="B416" s="588">
        <f>'Bulk Plant Input'!A44</f>
        <v>0</v>
      </c>
      <c r="C416" s="589"/>
      <c r="D416" s="393">
        <f>IF(B176=0,0,'Bulk Plant Input'!C39*('Bulk Plant Input'!$I$16/('Bulk Plant Input'!$B$13/1000)))</f>
        <v>0</v>
      </c>
      <c r="E416" s="588"/>
      <c r="F416" s="589"/>
      <c r="G416" s="588"/>
      <c r="H416" s="589"/>
    </row>
    <row r="417" spans="1:11" hidden="1" x14ac:dyDescent="0.25">
      <c r="B417" s="403"/>
      <c r="C417" s="403"/>
      <c r="D417" s="403"/>
      <c r="E417" s="403"/>
      <c r="F417" s="403"/>
      <c r="G417" s="403"/>
      <c r="H417" s="403"/>
    </row>
    <row r="418" spans="1:11" x14ac:dyDescent="0.25">
      <c r="A418" s="457"/>
      <c r="B418" s="458"/>
      <c r="C418" s="458"/>
      <c r="D418" s="458"/>
      <c r="E418" s="458"/>
      <c r="F418" s="458"/>
      <c r="G418" s="458"/>
      <c r="H418" s="458"/>
      <c r="I418" s="457"/>
      <c r="J418" s="457"/>
      <c r="K418" s="457"/>
    </row>
    <row r="419" spans="1:11" x14ac:dyDescent="0.25">
      <c r="A419" s="457" t="s">
        <v>202</v>
      </c>
      <c r="B419" s="459"/>
      <c r="C419" s="460"/>
      <c r="D419" s="459"/>
      <c r="E419" s="459"/>
      <c r="F419" s="461" t="s">
        <v>203</v>
      </c>
      <c r="G419" s="459"/>
      <c r="H419" s="459"/>
      <c r="I419" s="459"/>
      <c r="J419" s="459"/>
      <c r="K419" s="457"/>
    </row>
    <row r="420" spans="1:11" x14ac:dyDescent="0.25">
      <c r="A420" s="457"/>
      <c r="B420" s="457"/>
      <c r="C420" s="462"/>
      <c r="D420" s="457"/>
      <c r="E420" s="457"/>
      <c r="F420" s="457"/>
      <c r="G420" s="457"/>
      <c r="H420" s="457"/>
      <c r="I420" s="457"/>
      <c r="J420" s="457"/>
      <c r="K420" s="457"/>
    </row>
    <row r="421" spans="1:11" x14ac:dyDescent="0.25">
      <c r="A421" s="457" t="s">
        <v>204</v>
      </c>
      <c r="B421" s="459"/>
      <c r="C421" s="460"/>
      <c r="D421" s="459"/>
      <c r="E421" s="459"/>
      <c r="F421" s="457"/>
      <c r="G421" s="457"/>
      <c r="H421" s="457"/>
      <c r="I421" s="457"/>
      <c r="J421" s="457"/>
      <c r="K421" s="457"/>
    </row>
    <row r="422" spans="1:11" x14ac:dyDescent="0.25">
      <c r="A422" s="457"/>
      <c r="B422" s="457"/>
      <c r="C422" s="457"/>
      <c r="D422" s="457"/>
      <c r="E422" s="457"/>
      <c r="F422" s="457"/>
      <c r="G422" s="457"/>
      <c r="H422" s="457"/>
      <c r="I422" s="457"/>
      <c r="J422" s="457"/>
      <c r="K422" s="457"/>
    </row>
    <row r="423" spans="1:11" x14ac:dyDescent="0.25">
      <c r="A423" s="457"/>
      <c r="B423" s="458"/>
      <c r="C423" s="458"/>
      <c r="D423" s="458"/>
      <c r="E423" s="458"/>
      <c r="F423" s="458"/>
      <c r="G423" s="458"/>
      <c r="H423" s="458"/>
      <c r="I423" s="457"/>
      <c r="J423" s="457"/>
      <c r="K423" s="457"/>
    </row>
    <row r="424" spans="1:11" x14ac:dyDescent="0.25">
      <c r="B424" s="403"/>
      <c r="C424" s="403"/>
      <c r="D424" s="403"/>
      <c r="E424" s="403"/>
      <c r="F424" s="403"/>
      <c r="G424" s="403"/>
      <c r="H424" s="403"/>
    </row>
    <row r="425" spans="1:11" x14ac:dyDescent="0.25">
      <c r="B425" s="403"/>
      <c r="C425" s="403"/>
      <c r="D425" s="403"/>
      <c r="E425" s="403"/>
      <c r="F425" s="403"/>
      <c r="G425" s="403"/>
      <c r="H425" s="403"/>
    </row>
    <row r="426" spans="1:11" x14ac:dyDescent="0.25">
      <c r="B426" s="403"/>
      <c r="C426" s="403"/>
      <c r="D426" s="403"/>
      <c r="E426" s="403"/>
      <c r="F426" s="403"/>
      <c r="G426" s="403"/>
      <c r="H426" s="403"/>
    </row>
    <row r="427" spans="1:11" x14ac:dyDescent="0.25">
      <c r="B427" s="403"/>
      <c r="C427" s="403"/>
      <c r="D427" s="403"/>
      <c r="E427" s="403"/>
      <c r="F427" s="403"/>
      <c r="G427" s="403"/>
      <c r="H427" s="403"/>
    </row>
    <row r="428" spans="1:11" x14ac:dyDescent="0.25">
      <c r="B428" s="403"/>
      <c r="C428" s="403"/>
      <c r="D428" s="403"/>
      <c r="E428" s="403"/>
      <c r="F428" s="403"/>
      <c r="G428" s="403"/>
      <c r="H428" s="403"/>
    </row>
    <row r="429" spans="1:11" x14ac:dyDescent="0.25">
      <c r="B429" s="403"/>
      <c r="C429" s="403"/>
      <c r="D429" s="403"/>
      <c r="E429" s="403"/>
      <c r="F429" s="403"/>
      <c r="G429" s="403"/>
      <c r="H429" s="403"/>
    </row>
    <row r="430" spans="1:11" x14ac:dyDescent="0.25">
      <c r="B430" s="403"/>
      <c r="C430" s="403"/>
      <c r="D430" s="403"/>
      <c r="E430" s="403"/>
      <c r="F430" s="403"/>
      <c r="G430" s="403"/>
      <c r="H430" s="403"/>
    </row>
    <row r="431" spans="1:11" x14ac:dyDescent="0.25">
      <c r="B431" s="403"/>
      <c r="C431" s="403"/>
      <c r="D431" s="403"/>
      <c r="E431" s="403"/>
      <c r="F431" s="403"/>
      <c r="G431" s="403"/>
      <c r="H431" s="403"/>
    </row>
    <row r="432" spans="1:11" x14ac:dyDescent="0.25">
      <c r="B432" s="403"/>
      <c r="C432" s="403"/>
      <c r="D432" s="403"/>
      <c r="E432" s="403"/>
      <c r="F432" s="403"/>
      <c r="G432" s="403"/>
      <c r="H432" s="403"/>
    </row>
    <row r="433" spans="2:8" x14ac:dyDescent="0.25">
      <c r="B433" s="403"/>
      <c r="C433" s="403"/>
      <c r="D433" s="403"/>
      <c r="E433" s="403"/>
      <c r="F433" s="403"/>
      <c r="G433" s="403"/>
      <c r="H433" s="403"/>
    </row>
    <row r="434" spans="2:8" x14ac:dyDescent="0.25">
      <c r="B434" s="403"/>
      <c r="C434" s="403"/>
      <c r="D434" s="403"/>
      <c r="E434" s="403"/>
      <c r="F434" s="403"/>
      <c r="G434" s="403"/>
      <c r="H434" s="403"/>
    </row>
    <row r="435" spans="2:8" x14ac:dyDescent="0.25">
      <c r="B435" s="403"/>
      <c r="C435" s="403"/>
      <c r="D435" s="403"/>
      <c r="E435" s="403"/>
      <c r="F435" s="403"/>
      <c r="G435" s="403"/>
      <c r="H435" s="403"/>
    </row>
    <row r="436" spans="2:8" x14ac:dyDescent="0.25">
      <c r="B436" s="403"/>
      <c r="C436" s="403"/>
      <c r="D436" s="403"/>
      <c r="E436" s="403"/>
      <c r="F436" s="403"/>
      <c r="G436" s="403"/>
      <c r="H436" s="403"/>
    </row>
    <row r="437" spans="2:8" x14ac:dyDescent="0.25">
      <c r="B437" s="403"/>
      <c r="C437" s="403"/>
      <c r="D437" s="403"/>
      <c r="E437" s="403"/>
      <c r="F437" s="403"/>
      <c r="G437" s="403"/>
      <c r="H437" s="403"/>
    </row>
    <row r="438" spans="2:8" x14ac:dyDescent="0.25">
      <c r="B438" s="403"/>
      <c r="C438" s="403"/>
      <c r="D438" s="403"/>
      <c r="E438" s="403"/>
      <c r="F438" s="403"/>
      <c r="G438" s="403"/>
      <c r="H438" s="403"/>
    </row>
    <row r="439" spans="2:8" x14ac:dyDescent="0.25">
      <c r="B439" s="403"/>
      <c r="C439" s="403"/>
      <c r="D439" s="403"/>
      <c r="E439" s="403"/>
      <c r="F439" s="403"/>
      <c r="G439" s="403"/>
      <c r="H439" s="403"/>
    </row>
    <row r="440" spans="2:8" x14ac:dyDescent="0.25">
      <c r="B440" s="403"/>
      <c r="C440" s="403"/>
      <c r="D440" s="403"/>
      <c r="E440" s="403"/>
      <c r="F440" s="403"/>
      <c r="G440" s="403"/>
      <c r="H440" s="403"/>
    </row>
    <row r="441" spans="2:8" x14ac:dyDescent="0.25">
      <c r="B441" s="403"/>
      <c r="C441" s="403"/>
      <c r="D441" s="403"/>
      <c r="E441" s="403"/>
      <c r="F441" s="403"/>
      <c r="G441" s="403"/>
      <c r="H441" s="403"/>
    </row>
    <row r="442" spans="2:8" x14ac:dyDescent="0.25">
      <c r="B442" s="403"/>
      <c r="C442" s="403"/>
      <c r="D442" s="403"/>
      <c r="E442" s="403"/>
      <c r="F442" s="403"/>
      <c r="G442" s="403"/>
      <c r="H442" s="403"/>
    </row>
    <row r="443" spans="2:8" x14ac:dyDescent="0.25">
      <c r="B443" s="403"/>
      <c r="C443" s="403"/>
      <c r="D443" s="403"/>
      <c r="E443" s="403"/>
      <c r="F443" s="403"/>
      <c r="G443" s="403"/>
      <c r="H443" s="403"/>
    </row>
    <row r="444" spans="2:8" x14ac:dyDescent="0.25">
      <c r="B444" s="403"/>
      <c r="C444" s="403"/>
      <c r="D444" s="403"/>
      <c r="E444" s="403"/>
      <c r="F444" s="403"/>
      <c r="G444" s="403"/>
      <c r="H444" s="403"/>
    </row>
    <row r="445" spans="2:8" x14ac:dyDescent="0.25">
      <c r="B445" s="403"/>
      <c r="C445" s="403"/>
      <c r="D445" s="403"/>
      <c r="E445" s="403"/>
      <c r="F445" s="403"/>
      <c r="G445" s="403"/>
      <c r="H445" s="403"/>
    </row>
    <row r="446" spans="2:8" x14ac:dyDescent="0.25">
      <c r="B446" s="403"/>
      <c r="C446" s="403"/>
      <c r="D446" s="403"/>
      <c r="E446" s="403"/>
      <c r="F446" s="403"/>
      <c r="G446" s="403"/>
      <c r="H446" s="403"/>
    </row>
    <row r="447" spans="2:8" x14ac:dyDescent="0.25">
      <c r="B447" s="403"/>
      <c r="C447" s="403"/>
      <c r="D447" s="403"/>
      <c r="E447" s="403"/>
      <c r="F447" s="403"/>
      <c r="G447" s="403"/>
      <c r="H447" s="403"/>
    </row>
    <row r="448" spans="2:8" x14ac:dyDescent="0.25">
      <c r="B448" s="403"/>
      <c r="C448" s="403"/>
      <c r="D448" s="403"/>
      <c r="E448" s="403"/>
      <c r="F448" s="403"/>
      <c r="G448" s="403"/>
      <c r="H448" s="403"/>
    </row>
    <row r="449" spans="2:8" x14ac:dyDescent="0.25">
      <c r="B449" s="403"/>
      <c r="C449" s="403"/>
      <c r="D449" s="403"/>
      <c r="E449" s="403"/>
      <c r="F449" s="403"/>
      <c r="G449" s="403"/>
      <c r="H449" s="403"/>
    </row>
    <row r="450" spans="2:8" x14ac:dyDescent="0.25">
      <c r="B450" s="403"/>
      <c r="C450" s="403"/>
      <c r="D450" s="403"/>
      <c r="E450" s="403"/>
      <c r="F450" s="403"/>
      <c r="G450" s="403"/>
      <c r="H450" s="403"/>
    </row>
    <row r="451" spans="2:8" x14ac:dyDescent="0.25">
      <c r="B451" s="403"/>
      <c r="C451" s="403"/>
      <c r="D451" s="403"/>
      <c r="E451" s="403"/>
      <c r="F451" s="403"/>
      <c r="G451" s="403"/>
      <c r="H451" s="403"/>
    </row>
    <row r="452" spans="2:8" x14ac:dyDescent="0.25">
      <c r="B452" s="403"/>
      <c r="C452" s="403"/>
      <c r="D452" s="403"/>
      <c r="E452" s="403"/>
      <c r="F452" s="403"/>
      <c r="G452" s="403"/>
      <c r="H452" s="403"/>
    </row>
    <row r="453" spans="2:8" x14ac:dyDescent="0.25">
      <c r="B453" s="403"/>
      <c r="C453" s="403"/>
      <c r="D453" s="403"/>
      <c r="E453" s="403"/>
      <c r="F453" s="403"/>
      <c r="G453" s="403"/>
      <c r="H453" s="403"/>
    </row>
    <row r="454" spans="2:8" x14ac:dyDescent="0.25">
      <c r="B454" s="403"/>
      <c r="C454" s="403"/>
      <c r="D454" s="403"/>
      <c r="E454" s="403"/>
      <c r="F454" s="403"/>
      <c r="G454" s="403"/>
      <c r="H454" s="403"/>
    </row>
    <row r="455" spans="2:8" x14ac:dyDescent="0.25">
      <c r="B455" s="403"/>
      <c r="C455" s="403"/>
      <c r="D455" s="403"/>
      <c r="E455" s="403"/>
      <c r="F455" s="403"/>
      <c r="G455" s="403"/>
      <c r="H455" s="403"/>
    </row>
    <row r="456" spans="2:8" x14ac:dyDescent="0.25">
      <c r="B456" s="403"/>
      <c r="C456" s="403"/>
      <c r="D456" s="403"/>
      <c r="E456" s="403"/>
      <c r="F456" s="403"/>
      <c r="G456" s="403"/>
      <c r="H456" s="403"/>
    </row>
    <row r="457" spans="2:8" x14ac:dyDescent="0.25">
      <c r="B457" s="403"/>
      <c r="C457" s="403"/>
      <c r="D457" s="403"/>
      <c r="E457" s="403"/>
      <c r="F457" s="403"/>
      <c r="G457" s="403"/>
      <c r="H457" s="403"/>
    </row>
    <row r="458" spans="2:8" x14ac:dyDescent="0.25">
      <c r="B458" s="403"/>
      <c r="C458" s="403"/>
      <c r="D458" s="403"/>
      <c r="E458" s="403"/>
      <c r="F458" s="403"/>
      <c r="G458" s="403"/>
      <c r="H458" s="403"/>
    </row>
    <row r="459" spans="2:8" x14ac:dyDescent="0.25">
      <c r="B459" s="403"/>
      <c r="C459" s="403"/>
      <c r="D459" s="403"/>
      <c r="E459" s="403"/>
      <c r="F459" s="403"/>
      <c r="G459" s="403"/>
      <c r="H459" s="403"/>
    </row>
    <row r="460" spans="2:8" x14ac:dyDescent="0.25">
      <c r="B460" s="403"/>
      <c r="C460" s="403"/>
      <c r="D460" s="403"/>
      <c r="E460" s="403"/>
      <c r="F460" s="403"/>
      <c r="G460" s="403"/>
      <c r="H460" s="403"/>
    </row>
    <row r="461" spans="2:8" x14ac:dyDescent="0.25">
      <c r="B461" s="403"/>
      <c r="C461" s="403"/>
      <c r="D461" s="403"/>
      <c r="E461" s="403"/>
      <c r="F461" s="403"/>
      <c r="G461" s="403"/>
      <c r="H461" s="403"/>
    </row>
    <row r="462" spans="2:8" x14ac:dyDescent="0.25">
      <c r="B462" s="403"/>
      <c r="C462" s="403"/>
      <c r="D462" s="403"/>
      <c r="E462" s="403"/>
      <c r="F462" s="403"/>
      <c r="G462" s="403"/>
      <c r="H462" s="403"/>
    </row>
    <row r="463" spans="2:8" x14ac:dyDescent="0.25">
      <c r="B463" s="403"/>
      <c r="C463" s="403"/>
      <c r="D463" s="403"/>
      <c r="E463" s="403"/>
      <c r="F463" s="403"/>
      <c r="G463" s="403"/>
      <c r="H463" s="403"/>
    </row>
    <row r="464" spans="2:8" x14ac:dyDescent="0.25">
      <c r="B464" s="403"/>
      <c r="C464" s="403"/>
      <c r="D464" s="403"/>
      <c r="E464" s="403"/>
      <c r="F464" s="403"/>
      <c r="G464" s="403"/>
      <c r="H464" s="403"/>
    </row>
    <row r="465" spans="2:8" x14ac:dyDescent="0.25">
      <c r="B465" s="403"/>
      <c r="C465" s="403"/>
      <c r="D465" s="403"/>
      <c r="E465" s="403"/>
      <c r="F465" s="403"/>
      <c r="G465" s="403"/>
      <c r="H465" s="403"/>
    </row>
    <row r="466" spans="2:8" x14ac:dyDescent="0.25">
      <c r="B466" s="403"/>
      <c r="C466" s="403"/>
      <c r="D466" s="403"/>
      <c r="E466" s="403"/>
      <c r="F466" s="403"/>
      <c r="G466" s="403"/>
      <c r="H466" s="403"/>
    </row>
    <row r="467" spans="2:8" x14ac:dyDescent="0.25">
      <c r="B467" s="403"/>
      <c r="C467" s="403"/>
      <c r="D467" s="403"/>
      <c r="E467" s="403"/>
      <c r="F467" s="403"/>
      <c r="G467" s="403"/>
      <c r="H467" s="403"/>
    </row>
    <row r="468" spans="2:8" x14ac:dyDescent="0.25">
      <c r="B468" s="403"/>
      <c r="C468" s="403"/>
      <c r="D468" s="403"/>
      <c r="E468" s="403"/>
      <c r="F468" s="403"/>
      <c r="G468" s="403"/>
      <c r="H468" s="403"/>
    </row>
    <row r="469" spans="2:8" x14ac:dyDescent="0.25">
      <c r="B469" s="403"/>
      <c r="C469" s="403"/>
      <c r="D469" s="403"/>
      <c r="E469" s="403"/>
      <c r="F469" s="403"/>
      <c r="G469" s="403"/>
      <c r="H469" s="403"/>
    </row>
    <row r="470" spans="2:8" x14ac:dyDescent="0.25">
      <c r="B470" s="403"/>
      <c r="C470" s="403"/>
      <c r="D470" s="403"/>
      <c r="E470" s="403"/>
      <c r="F470" s="403"/>
      <c r="G470" s="403"/>
      <c r="H470" s="403"/>
    </row>
    <row r="471" spans="2:8" x14ac:dyDescent="0.25">
      <c r="B471" s="403"/>
      <c r="C471" s="403"/>
      <c r="D471" s="403"/>
      <c r="E471" s="403"/>
      <c r="F471" s="403"/>
      <c r="G471" s="403"/>
      <c r="H471" s="403"/>
    </row>
    <row r="472" spans="2:8" x14ac:dyDescent="0.25">
      <c r="B472" s="403"/>
      <c r="C472" s="403"/>
      <c r="D472" s="403"/>
      <c r="E472" s="403"/>
      <c r="F472" s="403"/>
      <c r="G472" s="403"/>
      <c r="H472" s="403"/>
    </row>
    <row r="473" spans="2:8" x14ac:dyDescent="0.25">
      <c r="B473" s="403"/>
      <c r="C473" s="403"/>
      <c r="D473" s="403"/>
      <c r="E473" s="403"/>
      <c r="F473" s="403"/>
      <c r="G473" s="403"/>
      <c r="H473" s="403"/>
    </row>
    <row r="474" spans="2:8" x14ac:dyDescent="0.25">
      <c r="B474" s="403"/>
      <c r="C474" s="403"/>
      <c r="D474" s="403"/>
      <c r="E474" s="403"/>
      <c r="F474" s="403"/>
      <c r="G474" s="403"/>
      <c r="H474" s="403"/>
    </row>
    <row r="475" spans="2:8" x14ac:dyDescent="0.25">
      <c r="B475" s="403"/>
      <c r="C475" s="403"/>
      <c r="D475" s="403"/>
      <c r="E475" s="403"/>
      <c r="F475" s="403"/>
      <c r="G475" s="403"/>
      <c r="H475" s="403"/>
    </row>
    <row r="476" spans="2:8" x14ac:dyDescent="0.25">
      <c r="B476" s="403"/>
      <c r="C476" s="403"/>
      <c r="D476" s="403"/>
      <c r="E476" s="403"/>
      <c r="F476" s="403"/>
      <c r="G476" s="403"/>
      <c r="H476" s="403"/>
    </row>
    <row r="477" spans="2:8" x14ac:dyDescent="0.25">
      <c r="B477" s="403"/>
      <c r="C477" s="403"/>
      <c r="D477" s="403"/>
      <c r="E477" s="403"/>
      <c r="F477" s="403"/>
      <c r="G477" s="403"/>
      <c r="H477" s="403"/>
    </row>
    <row r="478" spans="2:8" x14ac:dyDescent="0.25">
      <c r="B478" s="403"/>
      <c r="C478" s="403"/>
      <c r="D478" s="403"/>
      <c r="E478" s="403"/>
      <c r="F478" s="403"/>
      <c r="G478" s="403"/>
      <c r="H478" s="403"/>
    </row>
    <row r="479" spans="2:8" x14ac:dyDescent="0.25">
      <c r="B479" s="403"/>
      <c r="C479" s="403"/>
      <c r="D479" s="403"/>
      <c r="E479" s="403"/>
      <c r="F479" s="403"/>
      <c r="G479" s="403"/>
      <c r="H479" s="403"/>
    </row>
    <row r="480" spans="2:8" x14ac:dyDescent="0.25">
      <c r="B480" s="403"/>
      <c r="C480" s="403"/>
      <c r="D480" s="403"/>
      <c r="E480" s="403"/>
      <c r="F480" s="403"/>
      <c r="G480" s="403"/>
      <c r="H480" s="403"/>
    </row>
    <row r="481" spans="2:8" x14ac:dyDescent="0.25">
      <c r="B481" s="403"/>
      <c r="C481" s="403"/>
      <c r="D481" s="403"/>
      <c r="E481" s="403"/>
      <c r="F481" s="403"/>
      <c r="G481" s="403"/>
      <c r="H481" s="403"/>
    </row>
    <row r="482" spans="2:8" x14ac:dyDescent="0.25">
      <c r="B482" s="403"/>
      <c r="C482" s="403"/>
      <c r="D482" s="403"/>
      <c r="E482" s="403"/>
      <c r="F482" s="403"/>
      <c r="G482" s="403"/>
      <c r="H482" s="403"/>
    </row>
    <row r="483" spans="2:8" x14ac:dyDescent="0.25">
      <c r="B483" s="403"/>
      <c r="C483" s="403"/>
      <c r="D483" s="403"/>
      <c r="E483" s="403"/>
      <c r="F483" s="403"/>
      <c r="G483" s="403"/>
      <c r="H483" s="403"/>
    </row>
    <row r="484" spans="2:8" x14ac:dyDescent="0.25">
      <c r="B484" s="403"/>
      <c r="C484" s="403"/>
      <c r="D484" s="403"/>
      <c r="E484" s="403"/>
      <c r="F484" s="403"/>
      <c r="G484" s="403"/>
      <c r="H484" s="403"/>
    </row>
    <row r="485" spans="2:8" x14ac:dyDescent="0.25">
      <c r="B485" s="403"/>
      <c r="C485" s="403"/>
      <c r="D485" s="403"/>
      <c r="E485" s="403"/>
      <c r="F485" s="403"/>
      <c r="G485" s="403"/>
      <c r="H485" s="403"/>
    </row>
    <row r="486" spans="2:8" x14ac:dyDescent="0.25">
      <c r="B486" s="403"/>
      <c r="C486" s="403"/>
      <c r="D486" s="403"/>
      <c r="E486" s="403"/>
      <c r="F486" s="403"/>
      <c r="G486" s="403"/>
      <c r="H486" s="403"/>
    </row>
    <row r="487" spans="2:8" x14ac:dyDescent="0.25">
      <c r="B487" s="403"/>
      <c r="C487" s="403"/>
      <c r="D487" s="403"/>
      <c r="E487" s="403"/>
      <c r="F487" s="403"/>
      <c r="G487" s="403"/>
      <c r="H487" s="403"/>
    </row>
    <row r="488" spans="2:8" x14ac:dyDescent="0.25">
      <c r="B488" s="403"/>
      <c r="C488" s="403"/>
      <c r="D488" s="403"/>
      <c r="E488" s="403"/>
      <c r="F488" s="403"/>
      <c r="G488" s="403"/>
      <c r="H488" s="403"/>
    </row>
    <row r="489" spans="2:8" x14ac:dyDescent="0.25">
      <c r="B489" s="403"/>
      <c r="C489" s="403"/>
      <c r="D489" s="403"/>
      <c r="E489" s="403"/>
      <c r="F489" s="403"/>
      <c r="G489" s="403"/>
      <c r="H489" s="403"/>
    </row>
    <row r="490" spans="2:8" x14ac:dyDescent="0.25">
      <c r="B490" s="403"/>
      <c r="C490" s="403"/>
      <c r="D490" s="403"/>
      <c r="E490" s="403"/>
      <c r="F490" s="403"/>
      <c r="G490" s="403"/>
      <c r="H490" s="403"/>
    </row>
    <row r="491" spans="2:8" x14ac:dyDescent="0.25">
      <c r="B491" s="403"/>
      <c r="C491" s="403"/>
      <c r="D491" s="403"/>
      <c r="E491" s="403"/>
      <c r="F491" s="403"/>
      <c r="G491" s="403"/>
      <c r="H491" s="403"/>
    </row>
    <row r="492" spans="2:8" x14ac:dyDescent="0.25">
      <c r="B492" s="403"/>
      <c r="C492" s="403"/>
      <c r="D492" s="403"/>
      <c r="E492" s="403"/>
      <c r="F492" s="403"/>
      <c r="G492" s="403"/>
      <c r="H492" s="403"/>
    </row>
    <row r="493" spans="2:8" x14ac:dyDescent="0.25">
      <c r="B493" s="403"/>
      <c r="C493" s="403"/>
      <c r="D493" s="403"/>
      <c r="E493" s="403"/>
      <c r="F493" s="403"/>
      <c r="G493" s="403"/>
      <c r="H493" s="403"/>
    </row>
    <row r="494" spans="2:8" x14ac:dyDescent="0.25">
      <c r="B494" s="403"/>
      <c r="C494" s="403"/>
      <c r="D494" s="403"/>
      <c r="E494" s="403"/>
      <c r="F494" s="403"/>
      <c r="G494" s="403"/>
      <c r="H494" s="403"/>
    </row>
    <row r="495" spans="2:8" x14ac:dyDescent="0.25">
      <c r="B495" s="403"/>
      <c r="C495" s="403"/>
      <c r="D495" s="403"/>
      <c r="E495" s="403"/>
      <c r="F495" s="403"/>
      <c r="G495" s="403"/>
      <c r="H495" s="403"/>
    </row>
    <row r="496" spans="2:8" x14ac:dyDescent="0.25">
      <c r="B496" s="403"/>
      <c r="C496" s="403"/>
      <c r="D496" s="403"/>
      <c r="E496" s="403"/>
      <c r="F496" s="403"/>
      <c r="G496" s="403"/>
      <c r="H496" s="403"/>
    </row>
    <row r="497" spans="2:8" x14ac:dyDescent="0.25">
      <c r="B497" s="403"/>
      <c r="C497" s="403"/>
      <c r="D497" s="403"/>
      <c r="E497" s="403"/>
      <c r="F497" s="403"/>
      <c r="G497" s="403"/>
      <c r="H497" s="403"/>
    </row>
    <row r="498" spans="2:8" x14ac:dyDescent="0.25">
      <c r="B498" s="403"/>
      <c r="C498" s="403"/>
      <c r="D498" s="403"/>
      <c r="E498" s="403"/>
      <c r="F498" s="403"/>
      <c r="G498" s="403"/>
      <c r="H498" s="403"/>
    </row>
    <row r="499" spans="2:8" x14ac:dyDescent="0.25">
      <c r="B499" s="403"/>
      <c r="C499" s="403"/>
      <c r="D499" s="403"/>
      <c r="E499" s="403"/>
      <c r="F499" s="403"/>
      <c r="G499" s="403"/>
      <c r="H499" s="403"/>
    </row>
    <row r="500" spans="2:8" x14ac:dyDescent="0.25">
      <c r="B500" s="403"/>
      <c r="C500" s="403"/>
      <c r="D500" s="403"/>
      <c r="E500" s="403"/>
      <c r="F500" s="403"/>
      <c r="G500" s="403"/>
      <c r="H500" s="403"/>
    </row>
    <row r="501" spans="2:8" x14ac:dyDescent="0.25">
      <c r="B501" s="403"/>
      <c r="C501" s="403"/>
      <c r="D501" s="403"/>
      <c r="E501" s="403"/>
      <c r="F501" s="403"/>
      <c r="G501" s="403"/>
      <c r="H501" s="403"/>
    </row>
    <row r="502" spans="2:8" x14ac:dyDescent="0.25">
      <c r="B502" s="403"/>
      <c r="C502" s="403"/>
      <c r="D502" s="403"/>
      <c r="E502" s="403"/>
      <c r="F502" s="403"/>
      <c r="G502" s="403"/>
      <c r="H502" s="403"/>
    </row>
    <row r="503" spans="2:8" x14ac:dyDescent="0.25">
      <c r="B503" s="403"/>
      <c r="C503" s="403"/>
      <c r="D503" s="403"/>
      <c r="E503" s="403"/>
      <c r="F503" s="403"/>
      <c r="G503" s="403"/>
      <c r="H503" s="403"/>
    </row>
    <row r="504" spans="2:8" x14ac:dyDescent="0.25">
      <c r="B504" s="403"/>
      <c r="C504" s="403"/>
      <c r="D504" s="403"/>
      <c r="E504" s="403"/>
      <c r="F504" s="403"/>
      <c r="G504" s="403"/>
      <c r="H504" s="403"/>
    </row>
    <row r="505" spans="2:8" x14ac:dyDescent="0.25">
      <c r="B505" s="403"/>
      <c r="C505" s="403"/>
      <c r="D505" s="403"/>
      <c r="E505" s="403"/>
      <c r="F505" s="403"/>
      <c r="G505" s="403"/>
      <c r="H505" s="403"/>
    </row>
    <row r="506" spans="2:8" x14ac:dyDescent="0.25">
      <c r="B506" s="403"/>
      <c r="C506" s="403"/>
      <c r="D506" s="403"/>
      <c r="E506" s="403"/>
      <c r="F506" s="403"/>
      <c r="G506" s="403"/>
      <c r="H506" s="403"/>
    </row>
    <row r="507" spans="2:8" x14ac:dyDescent="0.25">
      <c r="B507" s="403"/>
      <c r="C507" s="403"/>
      <c r="D507" s="403"/>
      <c r="E507" s="403"/>
      <c r="F507" s="403"/>
      <c r="G507" s="403"/>
      <c r="H507" s="403"/>
    </row>
    <row r="508" spans="2:8" x14ac:dyDescent="0.25">
      <c r="B508" s="403"/>
      <c r="C508" s="403"/>
      <c r="D508" s="403"/>
      <c r="E508" s="403"/>
      <c r="F508" s="403"/>
      <c r="G508" s="403"/>
      <c r="H508" s="403"/>
    </row>
    <row r="509" spans="2:8" x14ac:dyDescent="0.25">
      <c r="B509" s="403"/>
      <c r="C509" s="403"/>
      <c r="D509" s="403"/>
      <c r="E509" s="403"/>
      <c r="F509" s="403"/>
      <c r="G509" s="403"/>
      <c r="H509" s="403"/>
    </row>
    <row r="510" spans="2:8" x14ac:dyDescent="0.25">
      <c r="B510" s="403"/>
      <c r="C510" s="403"/>
      <c r="D510" s="403"/>
      <c r="E510" s="403"/>
      <c r="F510" s="403"/>
      <c r="G510" s="403"/>
      <c r="H510" s="403"/>
    </row>
    <row r="511" spans="2:8" x14ac:dyDescent="0.25">
      <c r="B511" s="403"/>
      <c r="C511" s="403"/>
      <c r="D511" s="403"/>
      <c r="E511" s="403"/>
      <c r="F511" s="403"/>
      <c r="G511" s="403"/>
      <c r="H511" s="403"/>
    </row>
    <row r="512" spans="2:8" x14ac:dyDescent="0.25">
      <c r="B512" s="403"/>
      <c r="C512" s="403"/>
      <c r="D512" s="403"/>
      <c r="E512" s="403"/>
      <c r="F512" s="403"/>
      <c r="G512" s="403"/>
      <c r="H512" s="403"/>
    </row>
    <row r="513" spans="2:8" x14ac:dyDescent="0.25">
      <c r="B513" s="403"/>
      <c r="C513" s="403"/>
      <c r="D513" s="403"/>
      <c r="E513" s="403"/>
      <c r="F513" s="403"/>
      <c r="G513" s="403"/>
      <c r="H513" s="403"/>
    </row>
    <row r="514" spans="2:8" x14ac:dyDescent="0.25">
      <c r="B514" s="403"/>
      <c r="C514" s="403"/>
      <c r="D514" s="403"/>
      <c r="E514" s="403"/>
      <c r="F514" s="403"/>
      <c r="G514" s="403"/>
      <c r="H514" s="403"/>
    </row>
    <row r="515" spans="2:8" x14ac:dyDescent="0.25">
      <c r="B515" s="403"/>
      <c r="C515" s="403"/>
      <c r="D515" s="403"/>
      <c r="E515" s="403"/>
      <c r="F515" s="403"/>
      <c r="G515" s="403"/>
      <c r="H515" s="403"/>
    </row>
    <row r="516" spans="2:8" x14ac:dyDescent="0.25">
      <c r="B516" s="403"/>
      <c r="C516" s="403"/>
      <c r="D516" s="403"/>
      <c r="E516" s="403"/>
      <c r="F516" s="403"/>
      <c r="G516" s="403"/>
      <c r="H516" s="403"/>
    </row>
    <row r="517" spans="2:8" x14ac:dyDescent="0.25">
      <c r="B517" s="403"/>
      <c r="C517" s="403"/>
      <c r="D517" s="403"/>
      <c r="E517" s="403"/>
      <c r="F517" s="403"/>
      <c r="G517" s="403"/>
      <c r="H517" s="403"/>
    </row>
    <row r="518" spans="2:8" x14ac:dyDescent="0.25">
      <c r="B518" s="403"/>
      <c r="C518" s="403"/>
      <c r="D518" s="403"/>
      <c r="E518" s="403"/>
      <c r="F518" s="403"/>
      <c r="G518" s="403"/>
      <c r="H518" s="403"/>
    </row>
    <row r="519" spans="2:8" x14ac:dyDescent="0.25">
      <c r="B519" s="403"/>
      <c r="C519" s="403"/>
      <c r="D519" s="403"/>
      <c r="E519" s="403"/>
      <c r="F519" s="403"/>
      <c r="G519" s="403"/>
      <c r="H519" s="403"/>
    </row>
    <row r="520" spans="2:8" x14ac:dyDescent="0.25">
      <c r="B520" s="403"/>
      <c r="C520" s="403"/>
      <c r="D520" s="403"/>
      <c r="E520" s="403"/>
      <c r="F520" s="403"/>
      <c r="G520" s="403"/>
      <c r="H520" s="403"/>
    </row>
    <row r="521" spans="2:8" x14ac:dyDescent="0.25">
      <c r="B521" s="403"/>
      <c r="C521" s="403"/>
      <c r="D521" s="403"/>
      <c r="E521" s="403"/>
      <c r="F521" s="403"/>
      <c r="G521" s="403"/>
      <c r="H521" s="403"/>
    </row>
    <row r="522" spans="2:8" x14ac:dyDescent="0.25">
      <c r="B522" s="403"/>
      <c r="C522" s="403"/>
      <c r="D522" s="403"/>
      <c r="E522" s="403"/>
      <c r="F522" s="403"/>
      <c r="G522" s="403"/>
      <c r="H522" s="403"/>
    </row>
    <row r="523" spans="2:8" x14ac:dyDescent="0.25">
      <c r="B523" s="403"/>
      <c r="C523" s="403"/>
      <c r="D523" s="403"/>
      <c r="E523" s="403"/>
      <c r="F523" s="403"/>
      <c r="G523" s="403"/>
      <c r="H523" s="403"/>
    </row>
    <row r="524" spans="2:8" x14ac:dyDescent="0.25">
      <c r="B524" s="403"/>
      <c r="C524" s="403"/>
      <c r="D524" s="403"/>
      <c r="E524" s="403"/>
      <c r="F524" s="403"/>
      <c r="G524" s="403"/>
      <c r="H524" s="403"/>
    </row>
    <row r="525" spans="2:8" x14ac:dyDescent="0.25">
      <c r="B525" s="403"/>
      <c r="C525" s="403"/>
      <c r="D525" s="403"/>
      <c r="E525" s="403"/>
      <c r="F525" s="403"/>
      <c r="G525" s="403"/>
      <c r="H525" s="403"/>
    </row>
    <row r="526" spans="2:8" x14ac:dyDescent="0.25">
      <c r="B526" s="403"/>
      <c r="C526" s="403"/>
      <c r="D526" s="403"/>
      <c r="E526" s="403"/>
      <c r="F526" s="403"/>
      <c r="G526" s="403"/>
      <c r="H526" s="403"/>
    </row>
    <row r="527" spans="2:8" x14ac:dyDescent="0.25">
      <c r="B527" s="403"/>
      <c r="C527" s="403"/>
      <c r="D527" s="403"/>
      <c r="E527" s="403"/>
      <c r="F527" s="403"/>
      <c r="G527" s="403"/>
      <c r="H527" s="403"/>
    </row>
    <row r="528" spans="2:8" x14ac:dyDescent="0.25">
      <c r="B528" s="403"/>
      <c r="C528" s="403"/>
      <c r="D528" s="403"/>
      <c r="E528" s="403"/>
      <c r="F528" s="403"/>
      <c r="G528" s="403"/>
      <c r="H528" s="403"/>
    </row>
    <row r="529" spans="2:8" x14ac:dyDescent="0.25">
      <c r="B529" s="403"/>
      <c r="C529" s="403"/>
      <c r="D529" s="403"/>
      <c r="E529" s="403"/>
      <c r="F529" s="403"/>
      <c r="G529" s="403"/>
      <c r="H529" s="403"/>
    </row>
    <row r="530" spans="2:8" x14ac:dyDescent="0.25">
      <c r="B530" s="403"/>
      <c r="C530" s="403"/>
      <c r="D530" s="403"/>
      <c r="E530" s="403"/>
      <c r="F530" s="403"/>
      <c r="G530" s="403"/>
      <c r="H530" s="403"/>
    </row>
    <row r="531" spans="2:8" x14ac:dyDescent="0.25">
      <c r="B531" s="403"/>
      <c r="C531" s="403"/>
      <c r="D531" s="403"/>
      <c r="E531" s="403"/>
      <c r="F531" s="403"/>
      <c r="G531" s="403"/>
      <c r="H531" s="403"/>
    </row>
    <row r="532" spans="2:8" x14ac:dyDescent="0.25">
      <c r="B532" s="403"/>
      <c r="C532" s="403"/>
      <c r="D532" s="403"/>
      <c r="E532" s="403"/>
      <c r="F532" s="403"/>
      <c r="G532" s="403"/>
      <c r="H532" s="403"/>
    </row>
    <row r="533" spans="2:8" x14ac:dyDescent="0.25">
      <c r="B533" s="403"/>
      <c r="C533" s="403"/>
      <c r="D533" s="403"/>
      <c r="E533" s="403"/>
      <c r="F533" s="403"/>
      <c r="G533" s="403"/>
      <c r="H533" s="403"/>
    </row>
    <row r="534" spans="2:8" x14ac:dyDescent="0.25">
      <c r="B534" s="403"/>
      <c r="C534" s="403"/>
      <c r="D534" s="403"/>
      <c r="E534" s="403"/>
      <c r="F534" s="403"/>
      <c r="G534" s="403"/>
      <c r="H534" s="403"/>
    </row>
    <row r="535" spans="2:8" x14ac:dyDescent="0.25">
      <c r="B535" s="403"/>
      <c r="C535" s="403"/>
      <c r="D535" s="403"/>
      <c r="E535" s="403"/>
      <c r="F535" s="403"/>
      <c r="G535" s="403"/>
      <c r="H535" s="403"/>
    </row>
    <row r="536" spans="2:8" x14ac:dyDescent="0.25">
      <c r="B536" s="403"/>
      <c r="C536" s="403"/>
      <c r="D536" s="403"/>
      <c r="E536" s="403"/>
      <c r="F536" s="403"/>
      <c r="G536" s="403"/>
      <c r="H536" s="403"/>
    </row>
    <row r="537" spans="2:8" x14ac:dyDescent="0.25">
      <c r="B537" s="403"/>
      <c r="C537" s="403"/>
      <c r="D537" s="403"/>
      <c r="E537" s="403"/>
      <c r="F537" s="403"/>
      <c r="G537" s="403"/>
      <c r="H537" s="403"/>
    </row>
    <row r="538" spans="2:8" x14ac:dyDescent="0.25">
      <c r="B538" s="403"/>
      <c r="C538" s="403"/>
      <c r="D538" s="403"/>
      <c r="E538" s="403"/>
      <c r="F538" s="403"/>
      <c r="G538" s="403"/>
      <c r="H538" s="403"/>
    </row>
    <row r="539" spans="2:8" x14ac:dyDescent="0.25">
      <c r="B539" s="403"/>
      <c r="C539" s="403"/>
      <c r="D539" s="403"/>
      <c r="E539" s="403"/>
      <c r="F539" s="403"/>
      <c r="G539" s="403"/>
      <c r="H539" s="403"/>
    </row>
    <row r="540" spans="2:8" x14ac:dyDescent="0.25">
      <c r="B540" s="403"/>
      <c r="C540" s="403"/>
      <c r="D540" s="403"/>
      <c r="E540" s="403"/>
      <c r="F540" s="403"/>
      <c r="G540" s="403"/>
      <c r="H540" s="403"/>
    </row>
    <row r="541" spans="2:8" x14ac:dyDescent="0.25">
      <c r="B541" s="403"/>
      <c r="C541" s="403"/>
      <c r="D541" s="403"/>
      <c r="E541" s="403"/>
      <c r="F541" s="403"/>
      <c r="G541" s="403"/>
      <c r="H541" s="403"/>
    </row>
    <row r="542" spans="2:8" x14ac:dyDescent="0.25">
      <c r="B542" s="403"/>
      <c r="C542" s="403"/>
      <c r="D542" s="403"/>
      <c r="E542" s="403"/>
      <c r="F542" s="403"/>
      <c r="G542" s="403"/>
      <c r="H542" s="403"/>
    </row>
    <row r="543" spans="2:8" x14ac:dyDescent="0.25">
      <c r="B543" s="403"/>
      <c r="C543" s="403"/>
      <c r="D543" s="403"/>
      <c r="E543" s="403"/>
      <c r="F543" s="403"/>
      <c r="G543" s="403"/>
      <c r="H543" s="403"/>
    </row>
    <row r="544" spans="2:8" x14ac:dyDescent="0.25">
      <c r="B544" s="403"/>
      <c r="C544" s="403"/>
      <c r="D544" s="403"/>
      <c r="E544" s="403"/>
      <c r="F544" s="403"/>
      <c r="G544" s="403"/>
      <c r="H544" s="403"/>
    </row>
    <row r="545" spans="2:8" x14ac:dyDescent="0.25">
      <c r="B545" s="403"/>
      <c r="C545" s="403"/>
      <c r="D545" s="403"/>
      <c r="E545" s="403"/>
      <c r="F545" s="403"/>
      <c r="G545" s="403"/>
      <c r="H545" s="403"/>
    </row>
    <row r="546" spans="2:8" x14ac:dyDescent="0.25">
      <c r="B546" s="403"/>
      <c r="C546" s="403"/>
      <c r="D546" s="403"/>
      <c r="E546" s="403"/>
      <c r="F546" s="403"/>
      <c r="G546" s="403"/>
      <c r="H546" s="403"/>
    </row>
    <row r="547" spans="2:8" x14ac:dyDescent="0.25">
      <c r="B547" s="403"/>
      <c r="C547" s="403"/>
      <c r="D547" s="403"/>
      <c r="E547" s="403"/>
      <c r="F547" s="403"/>
      <c r="G547" s="403"/>
      <c r="H547" s="403"/>
    </row>
    <row r="548" spans="2:8" x14ac:dyDescent="0.25">
      <c r="B548" s="403"/>
      <c r="C548" s="403"/>
      <c r="D548" s="403"/>
      <c r="E548" s="403"/>
      <c r="F548" s="403"/>
      <c r="G548" s="403"/>
      <c r="H548" s="403"/>
    </row>
    <row r="549" spans="2:8" x14ac:dyDescent="0.25">
      <c r="B549" s="403"/>
      <c r="C549" s="403"/>
      <c r="D549" s="403"/>
      <c r="E549" s="403"/>
      <c r="F549" s="403"/>
      <c r="G549" s="403"/>
      <c r="H549" s="403"/>
    </row>
  </sheetData>
  <mergeCells count="1075">
    <mergeCell ref="B415:C415"/>
    <mergeCell ref="E415:F415"/>
    <mergeCell ref="G415:H415"/>
    <mergeCell ref="B416:C416"/>
    <mergeCell ref="E416:F416"/>
    <mergeCell ref="G416:H416"/>
    <mergeCell ref="B413:C413"/>
    <mergeCell ref="E413:F413"/>
    <mergeCell ref="G413:H413"/>
    <mergeCell ref="B414:C414"/>
    <mergeCell ref="E414:F414"/>
    <mergeCell ref="G414:H414"/>
    <mergeCell ref="B411:C411"/>
    <mergeCell ref="E411:F411"/>
    <mergeCell ref="G411:H411"/>
    <mergeCell ref="B412:C412"/>
    <mergeCell ref="E412:F412"/>
    <mergeCell ref="G412:H412"/>
    <mergeCell ref="B409:C409"/>
    <mergeCell ref="E409:F409"/>
    <mergeCell ref="G409:H409"/>
    <mergeCell ref="B410:C410"/>
    <mergeCell ref="E410:F410"/>
    <mergeCell ref="G410:H410"/>
    <mergeCell ref="B407:C407"/>
    <mergeCell ref="E407:F407"/>
    <mergeCell ref="G407:H407"/>
    <mergeCell ref="B408:C408"/>
    <mergeCell ref="E408:F408"/>
    <mergeCell ref="G408:H408"/>
    <mergeCell ref="B405:C405"/>
    <mergeCell ref="E405:F405"/>
    <mergeCell ref="G405:H405"/>
    <mergeCell ref="B406:C406"/>
    <mergeCell ref="E406:F406"/>
    <mergeCell ref="G406:H406"/>
    <mergeCell ref="B403:C403"/>
    <mergeCell ref="E403:F403"/>
    <mergeCell ref="G403:H403"/>
    <mergeCell ref="B404:C404"/>
    <mergeCell ref="E404:F404"/>
    <mergeCell ref="G404:H404"/>
    <mergeCell ref="B401:C401"/>
    <mergeCell ref="E401:F401"/>
    <mergeCell ref="G401:H401"/>
    <mergeCell ref="B402:C402"/>
    <mergeCell ref="E402:F402"/>
    <mergeCell ref="G402:H402"/>
    <mergeCell ref="B399:C399"/>
    <mergeCell ref="E399:F399"/>
    <mergeCell ref="G399:H399"/>
    <mergeCell ref="B400:C400"/>
    <mergeCell ref="E400:F400"/>
    <mergeCell ref="G400:H400"/>
    <mergeCell ref="B398:C398"/>
    <mergeCell ref="G387:H387"/>
    <mergeCell ref="G388:H388"/>
    <mergeCell ref="G389:H389"/>
    <mergeCell ref="G390:H390"/>
    <mergeCell ref="G391:H391"/>
    <mergeCell ref="G392:H392"/>
    <mergeCell ref="G381:H381"/>
    <mergeCell ref="G382:H382"/>
    <mergeCell ref="G383:H383"/>
    <mergeCell ref="G384:H384"/>
    <mergeCell ref="G385:H385"/>
    <mergeCell ref="G386:H386"/>
    <mergeCell ref="G375:H375"/>
    <mergeCell ref="G376:H376"/>
    <mergeCell ref="G377:H377"/>
    <mergeCell ref="G378:H378"/>
    <mergeCell ref="G379:H379"/>
    <mergeCell ref="G380:H380"/>
    <mergeCell ref="E396:F396"/>
    <mergeCell ref="E377:F377"/>
    <mergeCell ref="G396:H396"/>
    <mergeCell ref="E375:F375"/>
    <mergeCell ref="E376:F376"/>
    <mergeCell ref="E392:F392"/>
    <mergeCell ref="E393:F393"/>
    <mergeCell ref="E394:F394"/>
    <mergeCell ref="E395:F395"/>
    <mergeCell ref="B379:C379"/>
    <mergeCell ref="B380:C380"/>
    <mergeCell ref="B393:C393"/>
    <mergeCell ref="B394:C394"/>
    <mergeCell ref="E354:F354"/>
    <mergeCell ref="E355:F355"/>
    <mergeCell ref="G393:H393"/>
    <mergeCell ref="G394:H394"/>
    <mergeCell ref="G395:H395"/>
    <mergeCell ref="E356:F356"/>
    <mergeCell ref="E357:F357"/>
    <mergeCell ref="E358:F358"/>
    <mergeCell ref="G369:H369"/>
    <mergeCell ref="G370:H370"/>
    <mergeCell ref="G371:H371"/>
    <mergeCell ref="G372:H372"/>
    <mergeCell ref="G373:H373"/>
    <mergeCell ref="G374:H374"/>
    <mergeCell ref="G363:H363"/>
    <mergeCell ref="G364:H364"/>
    <mergeCell ref="G368:H368"/>
    <mergeCell ref="E372:F372"/>
    <mergeCell ref="E373:F373"/>
    <mergeCell ref="E374:F374"/>
    <mergeCell ref="G365:H365"/>
    <mergeCell ref="G366:H366"/>
    <mergeCell ref="G367:H367"/>
    <mergeCell ref="G359:H359"/>
    <mergeCell ref="G360:H360"/>
    <mergeCell ref="G361:H361"/>
    <mergeCell ref="G362:H362"/>
    <mergeCell ref="G351:H351"/>
    <mergeCell ref="G352:H352"/>
    <mergeCell ref="G353:H353"/>
    <mergeCell ref="G354:H354"/>
    <mergeCell ref="G355:H355"/>
    <mergeCell ref="G356:H356"/>
    <mergeCell ref="G357:H357"/>
    <mergeCell ref="G358:H358"/>
    <mergeCell ref="E390:F390"/>
    <mergeCell ref="E391:F391"/>
    <mergeCell ref="E384:F384"/>
    <mergeCell ref="E385:F385"/>
    <mergeCell ref="E386:F386"/>
    <mergeCell ref="E387:F387"/>
    <mergeCell ref="E388:F388"/>
    <mergeCell ref="E389:F389"/>
    <mergeCell ref="E378:F378"/>
    <mergeCell ref="E379:F379"/>
    <mergeCell ref="E380:F380"/>
    <mergeCell ref="E381:F381"/>
    <mergeCell ref="E382:F382"/>
    <mergeCell ref="E383:F383"/>
    <mergeCell ref="E359:F359"/>
    <mergeCell ref="E366:F366"/>
    <mergeCell ref="E367:F367"/>
    <mergeCell ref="E351:F351"/>
    <mergeCell ref="E352:F352"/>
    <mergeCell ref="E353:F353"/>
    <mergeCell ref="E362:F362"/>
    <mergeCell ref="E363:F363"/>
    <mergeCell ref="E364:F364"/>
    <mergeCell ref="E365:F365"/>
    <mergeCell ref="B395:C395"/>
    <mergeCell ref="B396:C396"/>
    <mergeCell ref="E342:F342"/>
    <mergeCell ref="E343:F343"/>
    <mergeCell ref="E344:F344"/>
    <mergeCell ref="E345:F345"/>
    <mergeCell ref="E346:F346"/>
    <mergeCell ref="E347:F347"/>
    <mergeCell ref="B387:C387"/>
    <mergeCell ref="B388:C388"/>
    <mergeCell ref="B389:C389"/>
    <mergeCell ref="B390:C390"/>
    <mergeCell ref="B391:C391"/>
    <mergeCell ref="B392:C392"/>
    <mergeCell ref="B381:C381"/>
    <mergeCell ref="B382:C382"/>
    <mergeCell ref="B383:C383"/>
    <mergeCell ref="B384:C384"/>
    <mergeCell ref="B385:C385"/>
    <mergeCell ref="B386:C386"/>
    <mergeCell ref="B375:C375"/>
    <mergeCell ref="B376:C376"/>
    <mergeCell ref="B377:C377"/>
    <mergeCell ref="B378:C378"/>
    <mergeCell ref="E368:F368"/>
    <mergeCell ref="E369:F369"/>
    <mergeCell ref="E370:F370"/>
    <mergeCell ref="E371:F371"/>
    <mergeCell ref="E360:F360"/>
    <mergeCell ref="E361:F361"/>
    <mergeCell ref="B369:C369"/>
    <mergeCell ref="B370:C370"/>
    <mergeCell ref="B371:C371"/>
    <mergeCell ref="B372:C372"/>
    <mergeCell ref="B373:C373"/>
    <mergeCell ref="B374:C374"/>
    <mergeCell ref="B363:C363"/>
    <mergeCell ref="B364:C364"/>
    <mergeCell ref="B365:C365"/>
    <mergeCell ref="B366:C366"/>
    <mergeCell ref="B367:C367"/>
    <mergeCell ref="B368:C368"/>
    <mergeCell ref="B357:C357"/>
    <mergeCell ref="B358:C358"/>
    <mergeCell ref="B359:C359"/>
    <mergeCell ref="B360:C360"/>
    <mergeCell ref="B361:C361"/>
    <mergeCell ref="B362:C362"/>
    <mergeCell ref="B351:C351"/>
    <mergeCell ref="B352:C352"/>
    <mergeCell ref="B353:C353"/>
    <mergeCell ref="B354:C354"/>
    <mergeCell ref="B355:C355"/>
    <mergeCell ref="B356:C356"/>
    <mergeCell ref="B345:C345"/>
    <mergeCell ref="B346:C346"/>
    <mergeCell ref="B347:C347"/>
    <mergeCell ref="B348:C348"/>
    <mergeCell ref="B349:C349"/>
    <mergeCell ref="B350:C350"/>
    <mergeCell ref="B341:C341"/>
    <mergeCell ref="E341:F341"/>
    <mergeCell ref="G341:H341"/>
    <mergeCell ref="B342:C342"/>
    <mergeCell ref="B343:C343"/>
    <mergeCell ref="B344:C344"/>
    <mergeCell ref="G345:H345"/>
    <mergeCell ref="G346:H346"/>
    <mergeCell ref="G347:H347"/>
    <mergeCell ref="G348:H348"/>
    <mergeCell ref="G349:H349"/>
    <mergeCell ref="G350:H350"/>
    <mergeCell ref="E348:F348"/>
    <mergeCell ref="E349:F349"/>
    <mergeCell ref="E350:F350"/>
    <mergeCell ref="B335:C335"/>
    <mergeCell ref="E335:F335"/>
    <mergeCell ref="G335:H335"/>
    <mergeCell ref="B336:C336"/>
    <mergeCell ref="E336:F336"/>
    <mergeCell ref="G336:H336"/>
    <mergeCell ref="B333:C333"/>
    <mergeCell ref="E333:F333"/>
    <mergeCell ref="G333:H333"/>
    <mergeCell ref="B334:C334"/>
    <mergeCell ref="E334:F334"/>
    <mergeCell ref="G334:H334"/>
    <mergeCell ref="G342:H342"/>
    <mergeCell ref="G343:H343"/>
    <mergeCell ref="G344:H344"/>
    <mergeCell ref="B331:C331"/>
    <mergeCell ref="E331:F331"/>
    <mergeCell ref="G331:H331"/>
    <mergeCell ref="B332:C332"/>
    <mergeCell ref="E332:F332"/>
    <mergeCell ref="G332:H332"/>
    <mergeCell ref="B340:C340"/>
    <mergeCell ref="B329:C329"/>
    <mergeCell ref="E329:F329"/>
    <mergeCell ref="G329:H329"/>
    <mergeCell ref="B330:C330"/>
    <mergeCell ref="E330:F330"/>
    <mergeCell ref="G330:H330"/>
    <mergeCell ref="B327:C327"/>
    <mergeCell ref="E327:F327"/>
    <mergeCell ref="G327:H327"/>
    <mergeCell ref="B328:C328"/>
    <mergeCell ref="E328:F328"/>
    <mergeCell ref="G328:H328"/>
    <mergeCell ref="B325:C325"/>
    <mergeCell ref="E325:F325"/>
    <mergeCell ref="G325:H325"/>
    <mergeCell ref="B326:C326"/>
    <mergeCell ref="E326:F326"/>
    <mergeCell ref="G326:H326"/>
    <mergeCell ref="B323:C323"/>
    <mergeCell ref="E323:F323"/>
    <mergeCell ref="G323:H323"/>
    <mergeCell ref="B324:C324"/>
    <mergeCell ref="E324:F324"/>
    <mergeCell ref="G324:H324"/>
    <mergeCell ref="B321:C321"/>
    <mergeCell ref="E321:F321"/>
    <mergeCell ref="G321:H321"/>
    <mergeCell ref="B322:C322"/>
    <mergeCell ref="E322:F322"/>
    <mergeCell ref="G322:H322"/>
    <mergeCell ref="G316:H316"/>
    <mergeCell ref="B318:C318"/>
    <mergeCell ref="B319:C319"/>
    <mergeCell ref="E319:F319"/>
    <mergeCell ref="G319:H319"/>
    <mergeCell ref="B320:C320"/>
    <mergeCell ref="E320:F320"/>
    <mergeCell ref="G320:H320"/>
    <mergeCell ref="G310:H310"/>
    <mergeCell ref="G311:H311"/>
    <mergeCell ref="G312:H312"/>
    <mergeCell ref="G313:H313"/>
    <mergeCell ref="G314:H314"/>
    <mergeCell ref="G315:H315"/>
    <mergeCell ref="G304:H304"/>
    <mergeCell ref="G305:H305"/>
    <mergeCell ref="G306:H306"/>
    <mergeCell ref="G307:H307"/>
    <mergeCell ref="G308:H308"/>
    <mergeCell ref="G309:H309"/>
    <mergeCell ref="E313:F313"/>
    <mergeCell ref="E314:F314"/>
    <mergeCell ref="E315:F315"/>
    <mergeCell ref="E316:F316"/>
    <mergeCell ref="G298:H298"/>
    <mergeCell ref="G299:H299"/>
    <mergeCell ref="G300:H300"/>
    <mergeCell ref="G301:H301"/>
    <mergeCell ref="G302:H302"/>
    <mergeCell ref="G303:H303"/>
    <mergeCell ref="E307:F307"/>
    <mergeCell ref="E308:F308"/>
    <mergeCell ref="E309:F309"/>
    <mergeCell ref="E310:F310"/>
    <mergeCell ref="E311:F311"/>
    <mergeCell ref="E312:F312"/>
    <mergeCell ref="E301:F301"/>
    <mergeCell ref="E302:F302"/>
    <mergeCell ref="E303:F303"/>
    <mergeCell ref="E304:F304"/>
    <mergeCell ref="G292:H292"/>
    <mergeCell ref="G293:H293"/>
    <mergeCell ref="G294:H294"/>
    <mergeCell ref="G295:H295"/>
    <mergeCell ref="G296:H296"/>
    <mergeCell ref="G297:H297"/>
    <mergeCell ref="G286:H286"/>
    <mergeCell ref="G287:H287"/>
    <mergeCell ref="G288:H288"/>
    <mergeCell ref="G289:H289"/>
    <mergeCell ref="G290:H290"/>
    <mergeCell ref="G291:H291"/>
    <mergeCell ref="G280:H280"/>
    <mergeCell ref="G281:H281"/>
    <mergeCell ref="G282:H282"/>
    <mergeCell ref="G283:H283"/>
    <mergeCell ref="G284:H284"/>
    <mergeCell ref="G285:H285"/>
    <mergeCell ref="G274:H274"/>
    <mergeCell ref="G275:H275"/>
    <mergeCell ref="G276:H276"/>
    <mergeCell ref="G277:H277"/>
    <mergeCell ref="G278:H278"/>
    <mergeCell ref="G279:H279"/>
    <mergeCell ref="G268:H268"/>
    <mergeCell ref="G269:H269"/>
    <mergeCell ref="G270:H270"/>
    <mergeCell ref="G271:H271"/>
    <mergeCell ref="G272:H272"/>
    <mergeCell ref="G273:H273"/>
    <mergeCell ref="G262:H262"/>
    <mergeCell ref="G263:H263"/>
    <mergeCell ref="G264:H264"/>
    <mergeCell ref="G265:H265"/>
    <mergeCell ref="G266:H266"/>
    <mergeCell ref="G267:H267"/>
    <mergeCell ref="E305:F305"/>
    <mergeCell ref="E306:F306"/>
    <mergeCell ref="E295:F295"/>
    <mergeCell ref="E296:F296"/>
    <mergeCell ref="E297:F297"/>
    <mergeCell ref="E298:F298"/>
    <mergeCell ref="E299:F299"/>
    <mergeCell ref="E300:F300"/>
    <mergeCell ref="E289:F289"/>
    <mergeCell ref="E290:F290"/>
    <mergeCell ref="E291:F291"/>
    <mergeCell ref="E292:F292"/>
    <mergeCell ref="E293:F293"/>
    <mergeCell ref="E294:F294"/>
    <mergeCell ref="E283:F283"/>
    <mergeCell ref="E284:F284"/>
    <mergeCell ref="E285:F285"/>
    <mergeCell ref="E286:F286"/>
    <mergeCell ref="E287:F287"/>
    <mergeCell ref="E288:F288"/>
    <mergeCell ref="E277:F277"/>
    <mergeCell ref="E278:F278"/>
    <mergeCell ref="E279:F279"/>
    <mergeCell ref="E280:F280"/>
    <mergeCell ref="E281:F281"/>
    <mergeCell ref="E282:F282"/>
    <mergeCell ref="E271:F271"/>
    <mergeCell ref="E272:F272"/>
    <mergeCell ref="E273:F273"/>
    <mergeCell ref="E274:F274"/>
    <mergeCell ref="E275:F275"/>
    <mergeCell ref="E276:F276"/>
    <mergeCell ref="B316:C316"/>
    <mergeCell ref="B297:C297"/>
    <mergeCell ref="B286:C286"/>
    <mergeCell ref="B287:C287"/>
    <mergeCell ref="B288:C288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E262:F262"/>
    <mergeCell ref="E263:F263"/>
    <mergeCell ref="E264:F264"/>
    <mergeCell ref="E265:F265"/>
    <mergeCell ref="E266:F266"/>
    <mergeCell ref="E267:F267"/>
    <mergeCell ref="E268:F268"/>
    <mergeCell ref="E269:F269"/>
    <mergeCell ref="E270:F270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E256:F256"/>
    <mergeCell ref="G256:H256"/>
    <mergeCell ref="B238:C238"/>
    <mergeCell ref="B261:C261"/>
    <mergeCell ref="E261:F261"/>
    <mergeCell ref="G261:H261"/>
    <mergeCell ref="B260:C260"/>
    <mergeCell ref="B254:C254"/>
    <mergeCell ref="E254:F254"/>
    <mergeCell ref="G254:H254"/>
    <mergeCell ref="B255:C255"/>
    <mergeCell ref="E255:F255"/>
    <mergeCell ref="G255:H255"/>
    <mergeCell ref="B252:C252"/>
    <mergeCell ref="E252:F252"/>
    <mergeCell ref="G252:H252"/>
    <mergeCell ref="B253:C253"/>
    <mergeCell ref="E253:F253"/>
    <mergeCell ref="G253:H253"/>
    <mergeCell ref="B250:C250"/>
    <mergeCell ref="E250:F250"/>
    <mergeCell ref="G250:H250"/>
    <mergeCell ref="B251:C251"/>
    <mergeCell ref="E251:F251"/>
    <mergeCell ref="G251:H251"/>
    <mergeCell ref="B248:C248"/>
    <mergeCell ref="E248:F248"/>
    <mergeCell ref="G248:H248"/>
    <mergeCell ref="B249:C249"/>
    <mergeCell ref="E249:F249"/>
    <mergeCell ref="G249:H249"/>
    <mergeCell ref="B246:C246"/>
    <mergeCell ref="E246:F246"/>
    <mergeCell ref="G246:H246"/>
    <mergeCell ref="B247:C247"/>
    <mergeCell ref="E247:F247"/>
    <mergeCell ref="G247:H247"/>
    <mergeCell ref="B244:C244"/>
    <mergeCell ref="E244:F244"/>
    <mergeCell ref="G244:H244"/>
    <mergeCell ref="B245:C245"/>
    <mergeCell ref="E245:F245"/>
    <mergeCell ref="G245:H245"/>
    <mergeCell ref="B242:C242"/>
    <mergeCell ref="E242:F242"/>
    <mergeCell ref="G242:H242"/>
    <mergeCell ref="B243:C243"/>
    <mergeCell ref="E243:F243"/>
    <mergeCell ref="G243:H243"/>
    <mergeCell ref="B240:C240"/>
    <mergeCell ref="E240:F240"/>
    <mergeCell ref="G240:H240"/>
    <mergeCell ref="B241:C241"/>
    <mergeCell ref="E241:F241"/>
    <mergeCell ref="G241:H241"/>
    <mergeCell ref="B236:C236"/>
    <mergeCell ref="G236:H236"/>
    <mergeCell ref="B239:C239"/>
    <mergeCell ref="E239:F239"/>
    <mergeCell ref="G239:H239"/>
    <mergeCell ref="B234:C234"/>
    <mergeCell ref="G234:H234"/>
    <mergeCell ref="B235:C235"/>
    <mergeCell ref="G235:H235"/>
    <mergeCell ref="B232:C232"/>
    <mergeCell ref="G232:H232"/>
    <mergeCell ref="B233:C233"/>
    <mergeCell ref="G233:H233"/>
    <mergeCell ref="B230:C230"/>
    <mergeCell ref="G230:H230"/>
    <mergeCell ref="B231:C231"/>
    <mergeCell ref="G231:H231"/>
    <mergeCell ref="B228:C228"/>
    <mergeCell ref="G228:H228"/>
    <mergeCell ref="B229:C229"/>
    <mergeCell ref="G229:H229"/>
    <mergeCell ref="B226:C226"/>
    <mergeCell ref="G226:H226"/>
    <mergeCell ref="B227:C227"/>
    <mergeCell ref="G227:H227"/>
    <mergeCell ref="B224:C224"/>
    <mergeCell ref="G224:H224"/>
    <mergeCell ref="B225:C225"/>
    <mergeCell ref="G225:H225"/>
    <mergeCell ref="B222:C222"/>
    <mergeCell ref="G222:H222"/>
    <mergeCell ref="B223:C223"/>
    <mergeCell ref="G223:H223"/>
    <mergeCell ref="B220:C220"/>
    <mergeCell ref="G220:H220"/>
    <mergeCell ref="B221:C221"/>
    <mergeCell ref="G221:H221"/>
    <mergeCell ref="B218:C218"/>
    <mergeCell ref="G218:H218"/>
    <mergeCell ref="B219:C219"/>
    <mergeCell ref="G219:H219"/>
    <mergeCell ref="B216:C216"/>
    <mergeCell ref="G216:H216"/>
    <mergeCell ref="B217:C217"/>
    <mergeCell ref="G217:H217"/>
    <mergeCell ref="B214:C214"/>
    <mergeCell ref="G214:H214"/>
    <mergeCell ref="B215:C215"/>
    <mergeCell ref="G215:H215"/>
    <mergeCell ref="B212:C212"/>
    <mergeCell ref="G212:H212"/>
    <mergeCell ref="B213:C213"/>
    <mergeCell ref="G213:H213"/>
    <mergeCell ref="B210:C210"/>
    <mergeCell ref="G210:H210"/>
    <mergeCell ref="B211:C211"/>
    <mergeCell ref="G211:H211"/>
    <mergeCell ref="B208:C208"/>
    <mergeCell ref="G208:H208"/>
    <mergeCell ref="B209:C209"/>
    <mergeCell ref="G209:H209"/>
    <mergeCell ref="B206:C206"/>
    <mergeCell ref="G206:H206"/>
    <mergeCell ref="B207:C207"/>
    <mergeCell ref="G207:H207"/>
    <mergeCell ref="B204:C204"/>
    <mergeCell ref="G204:H204"/>
    <mergeCell ref="B205:C205"/>
    <mergeCell ref="G205:H205"/>
    <mergeCell ref="B202:C202"/>
    <mergeCell ref="G202:H202"/>
    <mergeCell ref="B203:C203"/>
    <mergeCell ref="G203:H203"/>
    <mergeCell ref="B200:C200"/>
    <mergeCell ref="G200:H200"/>
    <mergeCell ref="B201:C201"/>
    <mergeCell ref="G201:H201"/>
    <mergeCell ref="B168:C168"/>
    <mergeCell ref="E168:F168"/>
    <mergeCell ref="G168:H168"/>
    <mergeCell ref="B198:C198"/>
    <mergeCell ref="G198:H198"/>
    <mergeCell ref="B199:C199"/>
    <mergeCell ref="G199:H199"/>
    <mergeCell ref="B196:C196"/>
    <mergeCell ref="G196:H196"/>
    <mergeCell ref="B197:C197"/>
    <mergeCell ref="G197:H197"/>
    <mergeCell ref="B194:C194"/>
    <mergeCell ref="G194:H194"/>
    <mergeCell ref="B195:C195"/>
    <mergeCell ref="G195:H195"/>
    <mergeCell ref="B192:C192"/>
    <mergeCell ref="G192:H192"/>
    <mergeCell ref="B193:C193"/>
    <mergeCell ref="G193:H193"/>
    <mergeCell ref="B190:C190"/>
    <mergeCell ref="G190:H190"/>
    <mergeCell ref="B191:C191"/>
    <mergeCell ref="G191:H191"/>
    <mergeCell ref="E144:F144"/>
    <mergeCell ref="E145:F145"/>
    <mergeCell ref="E146:F146"/>
    <mergeCell ref="B188:C188"/>
    <mergeCell ref="G188:H188"/>
    <mergeCell ref="B189:C189"/>
    <mergeCell ref="G189:H189"/>
    <mergeCell ref="B186:C186"/>
    <mergeCell ref="G186:H186"/>
    <mergeCell ref="B187:C187"/>
    <mergeCell ref="G187:H187"/>
    <mergeCell ref="B184:C184"/>
    <mergeCell ref="G184:H184"/>
    <mergeCell ref="B185:C185"/>
    <mergeCell ref="G185:H185"/>
    <mergeCell ref="B182:C182"/>
    <mergeCell ref="G182:H182"/>
    <mergeCell ref="B183:C183"/>
    <mergeCell ref="G183:H183"/>
    <mergeCell ref="G154:H154"/>
    <mergeCell ref="G155:H155"/>
    <mergeCell ref="G156:H156"/>
    <mergeCell ref="G172:H172"/>
    <mergeCell ref="B169:C169"/>
    <mergeCell ref="E169:F169"/>
    <mergeCell ref="G169:H169"/>
    <mergeCell ref="B170:C170"/>
    <mergeCell ref="E170:F170"/>
    <mergeCell ref="G170:H170"/>
    <mergeCell ref="B167:C167"/>
    <mergeCell ref="E167:F167"/>
    <mergeCell ref="G167:H167"/>
    <mergeCell ref="G118:H118"/>
    <mergeCell ref="G119:H119"/>
    <mergeCell ref="G120:H120"/>
    <mergeCell ref="G121:H121"/>
    <mergeCell ref="G122:H122"/>
    <mergeCell ref="G123:H123"/>
    <mergeCell ref="G112:H112"/>
    <mergeCell ref="G113:H113"/>
    <mergeCell ref="G103:H103"/>
    <mergeCell ref="B180:C180"/>
    <mergeCell ref="B181:C181"/>
    <mergeCell ref="E181:F181"/>
    <mergeCell ref="G181:H181"/>
    <mergeCell ref="G148:H148"/>
    <mergeCell ref="G149:H149"/>
    <mergeCell ref="G150:H150"/>
    <mergeCell ref="G151:H151"/>
    <mergeCell ref="G152:H152"/>
    <mergeCell ref="G153:H153"/>
    <mergeCell ref="G142:H142"/>
    <mergeCell ref="G143:H143"/>
    <mergeCell ref="G144:H144"/>
    <mergeCell ref="G145:H145"/>
    <mergeCell ref="G146:H146"/>
    <mergeCell ref="G147:H147"/>
    <mergeCell ref="G136:H136"/>
    <mergeCell ref="G137:H137"/>
    <mergeCell ref="G138:H138"/>
    <mergeCell ref="G139:H139"/>
    <mergeCell ref="G140:H140"/>
    <mergeCell ref="G141:H141"/>
    <mergeCell ref="E150:F150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G130:H130"/>
    <mergeCell ref="G131:H131"/>
    <mergeCell ref="G132:H132"/>
    <mergeCell ref="G133:H133"/>
    <mergeCell ref="G134:H134"/>
    <mergeCell ref="G135:H135"/>
    <mergeCell ref="G124:H124"/>
    <mergeCell ref="G125:H125"/>
    <mergeCell ref="G126:H126"/>
    <mergeCell ref="G127:H127"/>
    <mergeCell ref="G128:H128"/>
    <mergeCell ref="G129:H129"/>
    <mergeCell ref="G114:H114"/>
    <mergeCell ref="G115:H115"/>
    <mergeCell ref="G116:H116"/>
    <mergeCell ref="G117:H117"/>
    <mergeCell ref="E134:F134"/>
    <mergeCell ref="E135:F135"/>
    <mergeCell ref="G104:H104"/>
    <mergeCell ref="G105:H105"/>
    <mergeCell ref="G106:H106"/>
    <mergeCell ref="G107:H107"/>
    <mergeCell ref="G108:H108"/>
    <mergeCell ref="G109:H109"/>
    <mergeCell ref="G110:H110"/>
    <mergeCell ref="G111:H111"/>
    <mergeCell ref="E128:F128"/>
    <mergeCell ref="E129:F129"/>
    <mergeCell ref="E130:F130"/>
    <mergeCell ref="E131:F131"/>
    <mergeCell ref="E132:F132"/>
    <mergeCell ref="E133:F133"/>
    <mergeCell ref="E122:F12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21:F121"/>
    <mergeCell ref="E110:F110"/>
    <mergeCell ref="E111:F111"/>
    <mergeCell ref="E112:F112"/>
    <mergeCell ref="E113:F113"/>
    <mergeCell ref="E114:F114"/>
    <mergeCell ref="E115:F115"/>
    <mergeCell ref="B176:C176"/>
    <mergeCell ref="E176:F176"/>
    <mergeCell ref="G176:H176"/>
    <mergeCell ref="B20:C20"/>
    <mergeCell ref="E104:F104"/>
    <mergeCell ref="E105:F105"/>
    <mergeCell ref="E106:F106"/>
    <mergeCell ref="E107:F107"/>
    <mergeCell ref="E108:F108"/>
    <mergeCell ref="E109:F109"/>
    <mergeCell ref="B155:C155"/>
    <mergeCell ref="B175:C175"/>
    <mergeCell ref="E175:F175"/>
    <mergeCell ref="G175:H175"/>
    <mergeCell ref="E156:F156"/>
    <mergeCell ref="B173:C173"/>
    <mergeCell ref="E173:F173"/>
    <mergeCell ref="G173:H173"/>
    <mergeCell ref="B174:C174"/>
    <mergeCell ref="E174:F174"/>
    <mergeCell ref="G174:H174"/>
    <mergeCell ref="B171:C171"/>
    <mergeCell ref="E171:F171"/>
    <mergeCell ref="G171:H171"/>
    <mergeCell ref="B172:C172"/>
    <mergeCell ref="E172:F172"/>
    <mergeCell ref="B165:C165"/>
    <mergeCell ref="E165:F165"/>
    <mergeCell ref="G165:H165"/>
    <mergeCell ref="B166:C166"/>
    <mergeCell ref="E166:F166"/>
    <mergeCell ref="G166:H166"/>
    <mergeCell ref="B163:C163"/>
    <mergeCell ref="E163:F163"/>
    <mergeCell ref="G163:H163"/>
    <mergeCell ref="B164:C164"/>
    <mergeCell ref="E164:F164"/>
    <mergeCell ref="G164:H164"/>
    <mergeCell ref="B161:C161"/>
    <mergeCell ref="E161:F161"/>
    <mergeCell ref="G161:H161"/>
    <mergeCell ref="B162:C162"/>
    <mergeCell ref="E162:F162"/>
    <mergeCell ref="G162:H162"/>
    <mergeCell ref="B159:C159"/>
    <mergeCell ref="E159:F159"/>
    <mergeCell ref="G159:H159"/>
    <mergeCell ref="B160:C160"/>
    <mergeCell ref="E160:F160"/>
    <mergeCell ref="G160:H160"/>
    <mergeCell ref="B156:C156"/>
    <mergeCell ref="B158:C158"/>
    <mergeCell ref="B153:C153"/>
    <mergeCell ref="B154:C154"/>
    <mergeCell ref="B151:C151"/>
    <mergeCell ref="B152:C152"/>
    <mergeCell ref="B149:C149"/>
    <mergeCell ref="B150:C150"/>
    <mergeCell ref="B147:C147"/>
    <mergeCell ref="B148:C148"/>
    <mergeCell ref="B145:C145"/>
    <mergeCell ref="B146:C146"/>
    <mergeCell ref="E147:F147"/>
    <mergeCell ref="E148:F148"/>
    <mergeCell ref="E149:F149"/>
    <mergeCell ref="E151:F151"/>
    <mergeCell ref="E152:F152"/>
    <mergeCell ref="E153:F153"/>
    <mergeCell ref="E154:F154"/>
    <mergeCell ref="E155:F155"/>
    <mergeCell ref="B143:C143"/>
    <mergeCell ref="B144:C144"/>
    <mergeCell ref="B141:C141"/>
    <mergeCell ref="B142:C142"/>
    <mergeCell ref="B139:C139"/>
    <mergeCell ref="B140:C140"/>
    <mergeCell ref="B137:C137"/>
    <mergeCell ref="B138:C138"/>
    <mergeCell ref="B135:C135"/>
    <mergeCell ref="B136:C136"/>
    <mergeCell ref="B133:C133"/>
    <mergeCell ref="B134:C134"/>
    <mergeCell ref="B131:C131"/>
    <mergeCell ref="B132:C132"/>
    <mergeCell ref="B129:C129"/>
    <mergeCell ref="B130:C130"/>
    <mergeCell ref="B127:C127"/>
    <mergeCell ref="B128:C128"/>
    <mergeCell ref="B125:C125"/>
    <mergeCell ref="B126:C126"/>
    <mergeCell ref="B123:C123"/>
    <mergeCell ref="B124:C124"/>
    <mergeCell ref="B121:C121"/>
    <mergeCell ref="B122:C122"/>
    <mergeCell ref="B119:C119"/>
    <mergeCell ref="B120:C120"/>
    <mergeCell ref="B117:C117"/>
    <mergeCell ref="B118:C118"/>
    <mergeCell ref="B115:C115"/>
    <mergeCell ref="B116:C116"/>
    <mergeCell ref="B113:C113"/>
    <mergeCell ref="B114:C114"/>
    <mergeCell ref="B111:C111"/>
    <mergeCell ref="B112:C112"/>
    <mergeCell ref="B109:C109"/>
    <mergeCell ref="B110:C110"/>
    <mergeCell ref="B107:C107"/>
    <mergeCell ref="B108:C108"/>
    <mergeCell ref="B105:C105"/>
    <mergeCell ref="B106:C106"/>
    <mergeCell ref="B103:C103"/>
    <mergeCell ref="B104:C104"/>
    <mergeCell ref="B101:C101"/>
    <mergeCell ref="E101:F101"/>
    <mergeCell ref="G101:H101"/>
    <mergeCell ref="B102:C102"/>
    <mergeCell ref="B100:C100"/>
    <mergeCell ref="E102:F102"/>
    <mergeCell ref="G102:H102"/>
    <mergeCell ref="B95:C95"/>
    <mergeCell ref="E95:F95"/>
    <mergeCell ref="G95:H95"/>
    <mergeCell ref="B96:C96"/>
    <mergeCell ref="E96:F96"/>
    <mergeCell ref="G96:H96"/>
    <mergeCell ref="E103:F103"/>
    <mergeCell ref="B93:C93"/>
    <mergeCell ref="E93:F93"/>
    <mergeCell ref="G93:H93"/>
    <mergeCell ref="B94:C94"/>
    <mergeCell ref="E94:F94"/>
    <mergeCell ref="G94:H94"/>
    <mergeCell ref="B91:C91"/>
    <mergeCell ref="E91:F91"/>
    <mergeCell ref="G91:H91"/>
    <mergeCell ref="B92:C92"/>
    <mergeCell ref="E92:F92"/>
    <mergeCell ref="G92:H92"/>
    <mergeCell ref="B89:C89"/>
    <mergeCell ref="E89:F89"/>
    <mergeCell ref="G89:H89"/>
    <mergeCell ref="B90:C90"/>
    <mergeCell ref="E90:F90"/>
    <mergeCell ref="G90:H90"/>
    <mergeCell ref="B87:C87"/>
    <mergeCell ref="E87:F87"/>
    <mergeCell ref="G87:H87"/>
    <mergeCell ref="B88:C88"/>
    <mergeCell ref="E88:F88"/>
    <mergeCell ref="G88:H88"/>
    <mergeCell ref="B85:C85"/>
    <mergeCell ref="E85:F85"/>
    <mergeCell ref="G85:H85"/>
    <mergeCell ref="B86:C86"/>
    <mergeCell ref="E86:F86"/>
    <mergeCell ref="G86:H86"/>
    <mergeCell ref="B83:C83"/>
    <mergeCell ref="E83:F83"/>
    <mergeCell ref="G83:H83"/>
    <mergeCell ref="B84:C84"/>
    <mergeCell ref="E84:F84"/>
    <mergeCell ref="G84:H84"/>
    <mergeCell ref="B81:C81"/>
    <mergeCell ref="E81:F81"/>
    <mergeCell ref="G81:H81"/>
    <mergeCell ref="B82:C82"/>
    <mergeCell ref="E82:F82"/>
    <mergeCell ref="G82:H82"/>
    <mergeCell ref="B78:C78"/>
    <mergeCell ref="B79:C79"/>
    <mergeCell ref="E79:F79"/>
    <mergeCell ref="G79:H79"/>
    <mergeCell ref="B80:C80"/>
    <mergeCell ref="E80:F80"/>
    <mergeCell ref="G80:H80"/>
    <mergeCell ref="B75:C75"/>
    <mergeCell ref="E75:F75"/>
    <mergeCell ref="G75:H75"/>
    <mergeCell ref="B76:C76"/>
    <mergeCell ref="E76:F76"/>
    <mergeCell ref="G76:H76"/>
    <mergeCell ref="B73:C73"/>
    <mergeCell ref="E73:F73"/>
    <mergeCell ref="G73:H73"/>
    <mergeCell ref="B74:C74"/>
    <mergeCell ref="E74:F74"/>
    <mergeCell ref="G74:H74"/>
    <mergeCell ref="B71:C71"/>
    <mergeCell ref="E71:F71"/>
    <mergeCell ref="G71:H71"/>
    <mergeCell ref="B72:C72"/>
    <mergeCell ref="E72:F72"/>
    <mergeCell ref="G72:H72"/>
    <mergeCell ref="B69:C69"/>
    <mergeCell ref="E69:F69"/>
    <mergeCell ref="G69:H69"/>
    <mergeCell ref="B70:C70"/>
    <mergeCell ref="E70:F70"/>
    <mergeCell ref="G70:H70"/>
    <mergeCell ref="B67:C67"/>
    <mergeCell ref="E67:F67"/>
    <mergeCell ref="G67:H67"/>
    <mergeCell ref="B68:C68"/>
    <mergeCell ref="E68:F68"/>
    <mergeCell ref="G68:H68"/>
    <mergeCell ref="B65:C65"/>
    <mergeCell ref="E65:F65"/>
    <mergeCell ref="G65:H65"/>
    <mergeCell ref="B66:C66"/>
    <mergeCell ref="E66:F66"/>
    <mergeCell ref="G66:H66"/>
    <mergeCell ref="B63:C63"/>
    <mergeCell ref="E63:F63"/>
    <mergeCell ref="G63:H63"/>
    <mergeCell ref="B64:C64"/>
    <mergeCell ref="E64:F64"/>
    <mergeCell ref="G64:H64"/>
    <mergeCell ref="B61:C61"/>
    <mergeCell ref="E61:F61"/>
    <mergeCell ref="G61:H61"/>
    <mergeCell ref="B62:C62"/>
    <mergeCell ref="E62:F62"/>
    <mergeCell ref="G62:H62"/>
    <mergeCell ref="B59:C59"/>
    <mergeCell ref="E59:F59"/>
    <mergeCell ref="G59:H59"/>
    <mergeCell ref="B60:C60"/>
    <mergeCell ref="E60:F60"/>
    <mergeCell ref="G60:H60"/>
    <mergeCell ref="B57:C57"/>
    <mergeCell ref="E57:F57"/>
    <mergeCell ref="G57:H57"/>
    <mergeCell ref="B58:C58"/>
    <mergeCell ref="E58:F58"/>
    <mergeCell ref="G58:H58"/>
    <mergeCell ref="B55:C55"/>
    <mergeCell ref="E55:F55"/>
    <mergeCell ref="G55:H55"/>
    <mergeCell ref="B56:C56"/>
    <mergeCell ref="E56:F56"/>
    <mergeCell ref="G56:H56"/>
    <mergeCell ref="B53:C53"/>
    <mergeCell ref="E53:F53"/>
    <mergeCell ref="G53:H53"/>
    <mergeCell ref="B54:C54"/>
    <mergeCell ref="E54:F54"/>
    <mergeCell ref="G54:H54"/>
    <mergeCell ref="B51:C51"/>
    <mergeCell ref="E51:F51"/>
    <mergeCell ref="G51:H51"/>
    <mergeCell ref="B52:C52"/>
    <mergeCell ref="E52:F52"/>
    <mergeCell ref="G52:H52"/>
    <mergeCell ref="B49:C49"/>
    <mergeCell ref="E49:F49"/>
    <mergeCell ref="G49:H49"/>
    <mergeCell ref="B50:C50"/>
    <mergeCell ref="E50:F50"/>
    <mergeCell ref="G50:H50"/>
    <mergeCell ref="B47:C47"/>
    <mergeCell ref="E47:F47"/>
    <mergeCell ref="G47:H47"/>
    <mergeCell ref="B48:C48"/>
    <mergeCell ref="E48:F48"/>
    <mergeCell ref="G48:H48"/>
    <mergeCell ref="B45:C45"/>
    <mergeCell ref="E45:F45"/>
    <mergeCell ref="G45:H45"/>
    <mergeCell ref="B46:C46"/>
    <mergeCell ref="E46:F46"/>
    <mergeCell ref="G46:H46"/>
    <mergeCell ref="B43:C43"/>
    <mergeCell ref="E43:F43"/>
    <mergeCell ref="G43:H43"/>
    <mergeCell ref="B44:C44"/>
    <mergeCell ref="E44:F44"/>
    <mergeCell ref="G44:H44"/>
    <mergeCell ref="B41:C41"/>
    <mergeCell ref="E41:F41"/>
    <mergeCell ref="G41:H41"/>
    <mergeCell ref="B42:C42"/>
    <mergeCell ref="E42:F42"/>
    <mergeCell ref="G42:H42"/>
    <mergeCell ref="B39:C39"/>
    <mergeCell ref="E39:F39"/>
    <mergeCell ref="G39:H39"/>
    <mergeCell ref="B40:C40"/>
    <mergeCell ref="E40:F40"/>
    <mergeCell ref="G40:H40"/>
    <mergeCell ref="B37:C37"/>
    <mergeCell ref="E37:F37"/>
    <mergeCell ref="G37:H37"/>
    <mergeCell ref="B38:C38"/>
    <mergeCell ref="E38:F38"/>
    <mergeCell ref="G38:H38"/>
    <mergeCell ref="B35:C35"/>
    <mergeCell ref="E35:F35"/>
    <mergeCell ref="G35:H35"/>
    <mergeCell ref="B36:C36"/>
    <mergeCell ref="E36:F36"/>
    <mergeCell ref="G36:H36"/>
    <mergeCell ref="B33:C33"/>
    <mergeCell ref="E33:F33"/>
    <mergeCell ref="G33:H33"/>
    <mergeCell ref="B34:C34"/>
    <mergeCell ref="E34:F34"/>
    <mergeCell ref="G34:H34"/>
    <mergeCell ref="B31:C31"/>
    <mergeCell ref="E31:F31"/>
    <mergeCell ref="G31:H31"/>
    <mergeCell ref="B32:C32"/>
    <mergeCell ref="E32:F32"/>
    <mergeCell ref="G32:H32"/>
    <mergeCell ref="B29:C29"/>
    <mergeCell ref="E29:F29"/>
    <mergeCell ref="G29:H29"/>
    <mergeCell ref="B30:C30"/>
    <mergeCell ref="E30:F30"/>
    <mergeCell ref="G30:H30"/>
    <mergeCell ref="B27:C27"/>
    <mergeCell ref="E27:F27"/>
    <mergeCell ref="G27:H27"/>
    <mergeCell ref="B28:C28"/>
    <mergeCell ref="E28:F28"/>
    <mergeCell ref="G28:H28"/>
    <mergeCell ref="B2:E2"/>
    <mergeCell ref="H2:K2"/>
    <mergeCell ref="B4:E4"/>
    <mergeCell ref="H4:K4"/>
    <mergeCell ref="A7:K7"/>
    <mergeCell ref="L16:Q19"/>
    <mergeCell ref="H17:I17"/>
    <mergeCell ref="J17:K17"/>
    <mergeCell ref="A19:K19"/>
    <mergeCell ref="B25:C25"/>
    <mergeCell ref="E25:F25"/>
    <mergeCell ref="G25:H25"/>
    <mergeCell ref="B26:C26"/>
    <mergeCell ref="E26:F26"/>
    <mergeCell ref="G26:H26"/>
    <mergeCell ref="B23:C23"/>
    <mergeCell ref="E23:F23"/>
    <mergeCell ref="G23:H23"/>
    <mergeCell ref="B24:C24"/>
    <mergeCell ref="E24:F24"/>
    <mergeCell ref="G24:H24"/>
    <mergeCell ref="L20:Q21"/>
    <mergeCell ref="B21:C21"/>
    <mergeCell ref="E21:F21"/>
    <mergeCell ref="G21:H21"/>
    <mergeCell ref="B22:C22"/>
    <mergeCell ref="E22:F22"/>
    <mergeCell ref="G22:H22"/>
  </mergeCells>
  <conditionalFormatting sqref="L1:XFD9 L15:XFD15 L10:M14 Q10:XFD14 L16 R16:XFD21 L22:XFD1048576">
    <cfRule type="cellIs" dxfId="105" priority="7" operator="equal">
      <formula>0</formula>
    </cfRule>
  </conditionalFormatting>
  <conditionalFormatting sqref="A550:K1048576">
    <cfRule type="cellIs" dxfId="104" priority="6" operator="equal">
      <formula>0</formula>
    </cfRule>
  </conditionalFormatting>
  <conditionalFormatting sqref="N10:P14">
    <cfRule type="cellIs" dxfId="103" priority="5" operator="equal">
      <formula>0</formula>
    </cfRule>
  </conditionalFormatting>
  <conditionalFormatting sqref="L20">
    <cfRule type="cellIs" dxfId="102" priority="4" operator="equal">
      <formula>0</formula>
    </cfRule>
  </conditionalFormatting>
  <conditionalFormatting sqref="J17:K17">
    <cfRule type="cellIs" dxfId="101" priority="3" operator="equal">
      <formula>"NOT ENTERED"</formula>
    </cfRule>
  </conditionalFormatting>
  <conditionalFormatting sqref="D16:E16">
    <cfRule type="cellIs" dxfId="100" priority="2" operator="equal">
      <formula>"NOT ENTERED"</formula>
    </cfRule>
  </conditionalFormatting>
  <conditionalFormatting sqref="D16">
    <cfRule type="cellIs" dxfId="99" priority="1" operator="equal">
      <formula>""</formula>
    </cfRule>
  </conditionalFormatting>
  <pageMargins left="0.7" right="0.7" top="0.75" bottom="0.75" header="0.3" footer="0.3"/>
  <pageSetup scale="78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59999389629810485"/>
  </sheetPr>
  <dimension ref="A1:H501"/>
  <sheetViews>
    <sheetView view="pageLayout" zoomScale="130" zoomScaleNormal="100" zoomScaleSheetLayoutView="100" zoomScalePageLayoutView="130" workbookViewId="0"/>
  </sheetViews>
  <sheetFormatPr defaultRowHeight="15" x14ac:dyDescent="0.25"/>
  <cols>
    <col min="1" max="1" width="3.7109375" bestFit="1" customWidth="1"/>
    <col min="3" max="3" width="19.28515625" customWidth="1"/>
    <col min="4" max="4" width="26.5703125" bestFit="1" customWidth="1"/>
    <col min="5" max="5" width="10.28515625" customWidth="1"/>
    <col min="6" max="6" width="15.7109375" customWidth="1"/>
    <col min="7" max="7" width="15.7109375" style="241" customWidth="1"/>
    <col min="8" max="8" width="10.42578125" customWidth="1"/>
  </cols>
  <sheetData>
    <row r="1" spans="1:8" ht="18" customHeight="1" x14ac:dyDescent="0.25">
      <c r="E1" s="490" t="s">
        <v>598</v>
      </c>
      <c r="F1" s="620" t="str">
        <f>IF('Bulk Plant Input'!$B$7="","",'Bulk Plant Input'!$B$7)</f>
        <v/>
      </c>
      <c r="G1" s="612"/>
    </row>
    <row r="2" spans="1:8" ht="18" customHeight="1" x14ac:dyDescent="0.25">
      <c r="E2" s="490" t="s">
        <v>514</v>
      </c>
      <c r="F2" s="612">
        <f ca="1">IF('Bulk Plant Input'!$B$6="","",'Bulk Plant Input'!$B$6)</f>
        <v>42964</v>
      </c>
      <c r="G2" s="612"/>
    </row>
    <row r="3" spans="1:8" ht="18" customHeight="1" x14ac:dyDescent="0.25">
      <c r="E3" s="490" t="s">
        <v>565</v>
      </c>
      <c r="F3" s="612"/>
      <c r="G3" s="612"/>
    </row>
    <row r="4" spans="1:8" ht="18" customHeight="1" x14ac:dyDescent="0.25">
      <c r="E4" s="490" t="s">
        <v>566</v>
      </c>
      <c r="F4" s="612"/>
      <c r="G4" s="612"/>
    </row>
    <row r="5" spans="1:8" ht="18" customHeight="1" x14ac:dyDescent="0.25">
      <c r="E5" s="490" t="s">
        <v>567</v>
      </c>
      <c r="F5" s="613" t="str">
        <f>IF('Bulk Plant Input'!$I$5="","",'Bulk Plant Input'!$I$5)</f>
        <v/>
      </c>
      <c r="G5" s="612"/>
    </row>
    <row r="6" spans="1:8" ht="18" customHeight="1" x14ac:dyDescent="0.25">
      <c r="E6" s="490" t="s">
        <v>568</v>
      </c>
      <c r="F6" s="612"/>
      <c r="G6" s="612"/>
    </row>
    <row r="7" spans="1:8" ht="18" customHeight="1" x14ac:dyDescent="0.25">
      <c r="C7" s="490" t="s">
        <v>569</v>
      </c>
      <c r="D7" s="504" t="str">
        <f>IF('Bulk Plant Input'!$B$3="","",'Bulk Plant Input'!$B$3)</f>
        <v/>
      </c>
    </row>
    <row r="8" spans="1:8" ht="18" customHeight="1" x14ac:dyDescent="0.25">
      <c r="C8" s="490" t="s">
        <v>570</v>
      </c>
      <c r="D8" s="504" t="str">
        <f>IF('Bulk Plant Input'!$B$5="","",'Bulk Plant Input'!$B$5)</f>
        <v/>
      </c>
    </row>
    <row r="9" spans="1:8" ht="18" customHeight="1" x14ac:dyDescent="0.25">
      <c r="C9" s="490" t="s">
        <v>571</v>
      </c>
      <c r="D9" s="495"/>
    </row>
    <row r="10" spans="1:8" ht="18" customHeight="1" x14ac:dyDescent="0.25">
      <c r="C10" s="490" t="s">
        <v>572</v>
      </c>
      <c r="D10" s="504" t="str">
        <f>IF('Bulk Plant Input'!$B$4="","",'Bulk Plant Input'!$B$4)</f>
        <v/>
      </c>
    </row>
    <row r="11" spans="1:8" ht="18" customHeight="1" x14ac:dyDescent="0.25">
      <c r="C11" s="490" t="s">
        <v>573</v>
      </c>
      <c r="D11" s="494"/>
    </row>
    <row r="12" spans="1:8" ht="18" customHeight="1" x14ac:dyDescent="0.25"/>
    <row r="13" spans="1:8" ht="18" customHeight="1" x14ac:dyDescent="0.25">
      <c r="B13" s="18" t="s">
        <v>593</v>
      </c>
    </row>
    <row r="14" spans="1:8" s="484" customFormat="1" x14ac:dyDescent="0.25">
      <c r="A14" s="486"/>
      <c r="B14" s="503" t="s">
        <v>574</v>
      </c>
      <c r="C14" s="503" t="s">
        <v>575</v>
      </c>
      <c r="D14" s="503" t="s">
        <v>576</v>
      </c>
      <c r="E14" s="503" t="s">
        <v>577</v>
      </c>
      <c r="F14" s="615" t="s">
        <v>578</v>
      </c>
      <c r="G14" s="616"/>
      <c r="H14" s="503" t="s">
        <v>579</v>
      </c>
    </row>
    <row r="15" spans="1:8" s="484" customFormat="1" ht="50.1" customHeight="1" x14ac:dyDescent="0.25">
      <c r="A15" s="485" t="s">
        <v>584</v>
      </c>
      <c r="B15" s="210">
        <v>5.7</v>
      </c>
      <c r="C15" s="210" t="str">
        <f>IF(B15="","",'Bulk Plant Input'!$A$19)</f>
        <v>SURFACEmix PRO SL</v>
      </c>
      <c r="D15" s="210" t="s">
        <v>580</v>
      </c>
      <c r="E15" s="486"/>
      <c r="F15" s="617" t="str">
        <f>IF(B15="","",'Blend Assembly'!$E$21)</f>
        <v/>
      </c>
      <c r="G15" s="618"/>
      <c r="H15" s="210">
        <v>25</v>
      </c>
    </row>
    <row r="16" spans="1:8" ht="50.1" customHeight="1" x14ac:dyDescent="0.25">
      <c r="A16" s="485" t="s">
        <v>585</v>
      </c>
      <c r="B16" s="210"/>
      <c r="C16" s="210" t="str">
        <f>IF(B16="","",'Bulk Plant Input'!$A$19)</f>
        <v/>
      </c>
      <c r="D16" s="210"/>
      <c r="E16" s="15"/>
      <c r="F16" s="617" t="str">
        <f>IF(B16="","",'Blend Assembly'!$E$21)</f>
        <v/>
      </c>
      <c r="G16" s="618"/>
      <c r="H16" s="210"/>
    </row>
    <row r="17" spans="1:8" ht="50.1" customHeight="1" x14ac:dyDescent="0.25">
      <c r="A17" s="485" t="s">
        <v>586</v>
      </c>
      <c r="B17" s="210">
        <v>5.7</v>
      </c>
      <c r="C17" s="210" t="str">
        <f>IF(B17="","",'Bulk Plant Input'!$A$19)</f>
        <v>SURFACEmix PRO SL</v>
      </c>
      <c r="D17" s="210" t="s">
        <v>580</v>
      </c>
      <c r="E17" s="15"/>
      <c r="F17" s="617" t="str">
        <f>IF(B17="","",'Blend Assembly'!$E$21)</f>
        <v/>
      </c>
      <c r="G17" s="618"/>
      <c r="H17" s="210">
        <v>25</v>
      </c>
    </row>
    <row r="18" spans="1:8" ht="18" customHeight="1" x14ac:dyDescent="0.25"/>
    <row r="19" spans="1:8" ht="18" customHeight="1" x14ac:dyDescent="0.25"/>
    <row r="20" spans="1:8" ht="18" customHeight="1" x14ac:dyDescent="0.25">
      <c r="C20" s="478" t="s">
        <v>574</v>
      </c>
      <c r="D20" s="489" t="s">
        <v>587</v>
      </c>
      <c r="E20" s="478" t="s">
        <v>577</v>
      </c>
      <c r="F20" s="582" t="s">
        <v>578</v>
      </c>
      <c r="G20" s="582"/>
    </row>
    <row r="21" spans="1:8" ht="18" customHeight="1" x14ac:dyDescent="0.25">
      <c r="C21" s="478">
        <f>IF(SUM(B15:B17)=0,"",SUM(B15:B17))</f>
        <v>11.4</v>
      </c>
      <c r="D21" s="479" t="str">
        <f>'Bulk Plant Input'!A19</f>
        <v>SURFACEmix PRO SL</v>
      </c>
      <c r="E21" s="478" t="str">
        <f>IF($C$21="","",IF(F21="","",'Bulk Plant Input'!C23*$C$21))</f>
        <v/>
      </c>
      <c r="F21" s="582" t="str">
        <f>IF('Bulk Plant Input'!A23="","",'Bulk Plant Input'!A23)</f>
        <v/>
      </c>
      <c r="G21" s="582"/>
    </row>
    <row r="22" spans="1:8" ht="18" customHeight="1" x14ac:dyDescent="0.25">
      <c r="C22" s="15"/>
      <c r="D22" s="479"/>
      <c r="E22" s="482" t="str">
        <f>IF($C$21="","",IF(F22="","",'Bulk Plant Input'!C24*$C$21))</f>
        <v/>
      </c>
      <c r="F22" s="582" t="str">
        <f>IF('Bulk Plant Input'!A24="","",'Bulk Plant Input'!A24)</f>
        <v/>
      </c>
      <c r="G22" s="582"/>
    </row>
    <row r="23" spans="1:8" ht="18" customHeight="1" x14ac:dyDescent="0.25">
      <c r="C23" s="15"/>
      <c r="D23" s="479"/>
      <c r="E23" s="482" t="str">
        <f>IF($C$21="","",IF(F23="","",'Bulk Plant Input'!C25*$C$21))</f>
        <v/>
      </c>
      <c r="F23" s="582" t="str">
        <f>IF('Bulk Plant Input'!A25="","",'Bulk Plant Input'!A25)</f>
        <v/>
      </c>
      <c r="G23" s="582"/>
    </row>
    <row r="24" spans="1:8" ht="18" customHeight="1" x14ac:dyDescent="0.25">
      <c r="C24" s="15"/>
      <c r="D24" s="479"/>
      <c r="E24" s="482" t="str">
        <f>IF($C$21="","",IF(F24="","",'Bulk Plant Input'!C26*$C$21))</f>
        <v/>
      </c>
      <c r="F24" s="582" t="str">
        <f>IF('Bulk Plant Input'!A26="","",'Bulk Plant Input'!A26)</f>
        <v/>
      </c>
      <c r="G24" s="582"/>
    </row>
    <row r="25" spans="1:8" ht="18" customHeight="1" x14ac:dyDescent="0.25">
      <c r="C25" s="15"/>
      <c r="D25" s="479"/>
      <c r="E25" s="482" t="str">
        <f>IF($C$21="","",IF(F25="","",'Bulk Plant Input'!C27*$C$21))</f>
        <v/>
      </c>
      <c r="F25" s="582" t="str">
        <f>IF('Bulk Plant Input'!A27="","",'Bulk Plant Input'!A27)</f>
        <v/>
      </c>
      <c r="G25" s="582"/>
    </row>
    <row r="26" spans="1:8" ht="18" customHeight="1" x14ac:dyDescent="0.25">
      <c r="C26" s="15"/>
      <c r="D26" s="479"/>
      <c r="E26" s="482" t="str">
        <f>IF($C$21="","",IF(F26="","",'Bulk Plant Input'!C28*$C$21))</f>
        <v/>
      </c>
      <c r="F26" s="582" t="str">
        <f>IF('Bulk Plant Input'!A28="","",'Bulk Plant Input'!A28)</f>
        <v/>
      </c>
      <c r="G26" s="582"/>
    </row>
    <row r="27" spans="1:8" ht="18" customHeight="1" x14ac:dyDescent="0.25">
      <c r="C27" s="15"/>
      <c r="D27" s="479"/>
      <c r="E27" s="482" t="str">
        <f>IF($C$21="","",IF(F27="","",'Bulk Plant Input'!C29*$C$21))</f>
        <v/>
      </c>
      <c r="F27" s="582" t="str">
        <f>IF('Bulk Plant Input'!A29="","",'Bulk Plant Input'!A29)</f>
        <v/>
      </c>
      <c r="G27" s="582"/>
    </row>
    <row r="28" spans="1:8" ht="18" customHeight="1" x14ac:dyDescent="0.25">
      <c r="C28" s="15"/>
      <c r="D28" s="479"/>
      <c r="E28" s="482" t="str">
        <f>IF($C$21="","",IF(F28="","",'Bulk Plant Input'!C30*$C$21))</f>
        <v/>
      </c>
      <c r="F28" s="582" t="str">
        <f>IF('Bulk Plant Input'!A30="","",'Bulk Plant Input'!A30)</f>
        <v/>
      </c>
      <c r="G28" s="582"/>
    </row>
    <row r="29" spans="1:8" ht="18" customHeight="1" x14ac:dyDescent="0.25">
      <c r="C29" s="15"/>
      <c r="D29" s="479"/>
      <c r="E29" s="482" t="str">
        <f>IF($C$21="","",IF(F29="","",'Bulk Plant Input'!C31*$C$21))</f>
        <v/>
      </c>
      <c r="F29" s="582" t="str">
        <f>IF('Bulk Plant Input'!A31="","",'Bulk Plant Input'!A31)</f>
        <v/>
      </c>
      <c r="G29" s="582"/>
    </row>
    <row r="30" spans="1:8" ht="18" customHeight="1" x14ac:dyDescent="0.25">
      <c r="C30" s="15"/>
      <c r="D30" s="479"/>
      <c r="E30" s="482" t="str">
        <f>IF($C$21="","",IF(F30="","",'Bulk Plant Input'!C32*$C$21))</f>
        <v/>
      </c>
      <c r="F30" s="582" t="str">
        <f>IF('Bulk Plant Input'!A32="","",'Bulk Plant Input'!A32)</f>
        <v/>
      </c>
      <c r="G30" s="582"/>
    </row>
    <row r="31" spans="1:8" ht="18" customHeight="1" x14ac:dyDescent="0.25">
      <c r="C31" s="15"/>
      <c r="D31" s="479"/>
      <c r="E31" s="482" t="str">
        <f>IF($C$21="","",IF(F31="","",'Bulk Plant Input'!C33*$C$21))</f>
        <v/>
      </c>
      <c r="F31" s="582" t="str">
        <f>IF('Bulk Plant Input'!A33="","",'Bulk Plant Input'!A33)</f>
        <v/>
      </c>
      <c r="G31" s="582"/>
    </row>
    <row r="32" spans="1:8" ht="18" customHeight="1" x14ac:dyDescent="0.25">
      <c r="C32" s="15"/>
      <c r="D32" s="479"/>
      <c r="E32" s="482" t="str">
        <f>IF($C$21="","",IF(F32="","",'Bulk Plant Input'!C34*$C$21))</f>
        <v/>
      </c>
      <c r="F32" s="582" t="str">
        <f>IF('Bulk Plant Input'!A34="","",'Bulk Plant Input'!A34)</f>
        <v/>
      </c>
      <c r="G32" s="582"/>
    </row>
    <row r="33" spans="3:8" ht="18" customHeight="1" x14ac:dyDescent="0.25">
      <c r="C33" s="15"/>
      <c r="D33" s="479"/>
      <c r="E33" s="482" t="str">
        <f>IF($C$21="","",IF(F33="","",'Bulk Plant Input'!C35*$C$21))</f>
        <v/>
      </c>
      <c r="F33" s="582" t="str">
        <f>IF('Bulk Plant Input'!A35="","",'Bulk Plant Input'!A35)</f>
        <v/>
      </c>
      <c r="G33" s="582"/>
    </row>
    <row r="34" spans="3:8" ht="18" customHeight="1" x14ac:dyDescent="0.25">
      <c r="C34" s="15"/>
      <c r="D34" s="479"/>
      <c r="E34" s="482" t="str">
        <f>IF($C$21="","",IF(F34="","",'Bulk Plant Input'!C36*$C$21))</f>
        <v/>
      </c>
      <c r="F34" s="582" t="str">
        <f>IF('Bulk Plant Input'!A36="","",'Bulk Plant Input'!A36)</f>
        <v/>
      </c>
      <c r="G34" s="582"/>
    </row>
    <row r="35" spans="3:8" ht="18" customHeight="1" x14ac:dyDescent="0.25">
      <c r="C35" s="15"/>
      <c r="D35" s="479"/>
      <c r="E35" s="482" t="str">
        <f>IF($C$21="","",IF(F35="","",'Bulk Plant Input'!C37*$C$21))</f>
        <v/>
      </c>
      <c r="F35" s="582" t="str">
        <f>IF('Bulk Plant Input'!A37="","",'Bulk Plant Input'!A37)</f>
        <v/>
      </c>
      <c r="G35" s="582"/>
    </row>
    <row r="36" spans="3:8" ht="18" customHeight="1" x14ac:dyDescent="0.25">
      <c r="C36" s="15"/>
      <c r="D36" s="479"/>
      <c r="E36" s="482" t="str">
        <f>IF($C$21="","",IF(F36="","",'Bulk Plant Input'!C38*$C$21))</f>
        <v/>
      </c>
      <c r="F36" s="582" t="str">
        <f>IF('Bulk Plant Input'!A43="","",'Bulk Plant Input'!A43)</f>
        <v/>
      </c>
      <c r="G36" s="582"/>
    </row>
    <row r="37" spans="3:8" ht="18" customHeight="1" x14ac:dyDescent="0.25">
      <c r="C37" s="15"/>
      <c r="D37" s="479"/>
      <c r="E37" s="482" t="str">
        <f>IF($C$21="","",IF(F37="","",'Bulk Plant Input'!C39*$C$21))</f>
        <v/>
      </c>
      <c r="F37" s="582" t="str">
        <f>IF('Bulk Plant Input'!A44="","",'Bulk Plant Input'!A44)</f>
        <v/>
      </c>
      <c r="G37" s="582"/>
    </row>
    <row r="38" spans="3:8" x14ac:dyDescent="0.25">
      <c r="C38" s="493" t="s">
        <v>592</v>
      </c>
      <c r="E38" s="491">
        <f>IF(C21="","Enter Pod Tonnage",SUM(E21:E37)+(C21*1000))</f>
        <v>11400</v>
      </c>
      <c r="F38" s="492" t="s">
        <v>588</v>
      </c>
    </row>
    <row r="39" spans="3:8" ht="18" customHeight="1" x14ac:dyDescent="0.25">
      <c r="C39" s="490" t="s">
        <v>591</v>
      </c>
      <c r="F39" s="241"/>
    </row>
    <row r="40" spans="3:8" ht="18" customHeight="1" thickBot="1" x14ac:dyDescent="0.3">
      <c r="C40" s="490" t="s">
        <v>589</v>
      </c>
      <c r="D40" s="487"/>
      <c r="F40" s="490" t="s">
        <v>590</v>
      </c>
      <c r="G40" s="614"/>
      <c r="H40" s="614"/>
    </row>
    <row r="41" spans="3:8" ht="18" customHeight="1" thickBot="1" x14ac:dyDescent="0.3">
      <c r="D41" s="488"/>
      <c r="G41" s="614"/>
      <c r="H41" s="614"/>
    </row>
    <row r="42" spans="3:8" ht="18" customHeight="1" thickBot="1" x14ac:dyDescent="0.3">
      <c r="D42" s="488"/>
      <c r="G42" s="614"/>
      <c r="H42" s="614"/>
    </row>
    <row r="43" spans="3:8" ht="18" customHeight="1" x14ac:dyDescent="0.25"/>
    <row r="44" spans="3:8" ht="18" customHeight="1" x14ac:dyDescent="0.25"/>
    <row r="45" spans="3:8" ht="18" customHeight="1" x14ac:dyDescent="0.25"/>
    <row r="46" spans="3:8" s="241" customFormat="1" ht="18" customHeight="1" x14ac:dyDescent="0.25"/>
    <row r="47" spans="3:8" s="241" customFormat="1" ht="18" customHeight="1" x14ac:dyDescent="0.25"/>
    <row r="48" spans="3:8" s="241" customFormat="1" ht="18" customHeight="1" x14ac:dyDescent="0.25"/>
    <row r="49" spans="1:8" ht="18" customHeight="1" x14ac:dyDescent="0.35">
      <c r="A49" s="241"/>
      <c r="B49" s="241"/>
      <c r="C49" s="241"/>
      <c r="D49" s="621"/>
      <c r="E49" s="621"/>
      <c r="F49" s="621"/>
      <c r="G49" s="621"/>
      <c r="H49" s="621"/>
    </row>
    <row r="50" spans="1:8" ht="18" customHeight="1" x14ac:dyDescent="0.25">
      <c r="A50" s="241"/>
      <c r="B50" s="241"/>
      <c r="C50" s="241"/>
      <c r="D50" s="241"/>
      <c r="H50" s="241"/>
    </row>
    <row r="51" spans="1:8" s="241" customFormat="1" ht="18" customHeight="1" x14ac:dyDescent="0.25">
      <c r="E51" s="490" t="s">
        <v>598</v>
      </c>
      <c r="F51" s="620" t="str">
        <f>IF('Bulk Plant Input'!$B$7="","",'Bulk Plant Input'!$B$7)</f>
        <v/>
      </c>
      <c r="G51" s="612"/>
    </row>
    <row r="52" spans="1:8" ht="18" customHeight="1" x14ac:dyDescent="0.25">
      <c r="A52" s="241"/>
      <c r="B52" s="241"/>
      <c r="C52" s="241"/>
      <c r="D52" s="241"/>
      <c r="E52" s="490" t="s">
        <v>514</v>
      </c>
      <c r="F52" s="612">
        <f ca="1">IF('Bulk Plant Input'!$B$6="","",'Bulk Plant Input'!$B$6)</f>
        <v>42964</v>
      </c>
      <c r="G52" s="612"/>
      <c r="H52" s="241"/>
    </row>
    <row r="53" spans="1:8" ht="18" customHeight="1" x14ac:dyDescent="0.25">
      <c r="A53" s="241"/>
      <c r="B53" s="241"/>
      <c r="C53" s="241"/>
      <c r="D53" s="241"/>
      <c r="E53" s="490" t="s">
        <v>565</v>
      </c>
      <c r="F53" s="612"/>
      <c r="G53" s="612"/>
      <c r="H53" s="241"/>
    </row>
    <row r="54" spans="1:8" ht="18" customHeight="1" x14ac:dyDescent="0.25">
      <c r="A54" s="241"/>
      <c r="B54" s="241"/>
      <c r="C54" s="241"/>
      <c r="D54" s="241"/>
      <c r="E54" s="490" t="s">
        <v>566</v>
      </c>
      <c r="F54" s="612"/>
      <c r="G54" s="612"/>
      <c r="H54" s="241"/>
    </row>
    <row r="55" spans="1:8" ht="18" customHeight="1" x14ac:dyDescent="0.25">
      <c r="A55" s="241"/>
      <c r="B55" s="241"/>
      <c r="C55" s="241"/>
      <c r="D55" s="241"/>
      <c r="E55" s="490" t="s">
        <v>567</v>
      </c>
      <c r="F55" s="613" t="str">
        <f>IF('Bulk Plant Input'!$I$5="","",'Bulk Plant Input'!$I$5)</f>
        <v/>
      </c>
      <c r="G55" s="612"/>
      <c r="H55" s="241"/>
    </row>
    <row r="56" spans="1:8" ht="18" customHeight="1" x14ac:dyDescent="0.25">
      <c r="A56" s="241"/>
      <c r="B56" s="241"/>
      <c r="C56" s="241"/>
      <c r="D56" s="241"/>
      <c r="E56" s="490" t="s">
        <v>568</v>
      </c>
      <c r="F56" s="612"/>
      <c r="G56" s="612"/>
      <c r="H56" s="241"/>
    </row>
    <row r="57" spans="1:8" ht="18" customHeight="1" x14ac:dyDescent="0.25">
      <c r="A57" s="241"/>
      <c r="B57" s="241"/>
      <c r="C57" s="490" t="s">
        <v>569</v>
      </c>
      <c r="D57" s="504" t="str">
        <f>IF('Bulk Plant Input'!$B$3="","",'Bulk Plant Input'!$B$3)</f>
        <v/>
      </c>
      <c r="E57" s="241"/>
      <c r="F57" s="241"/>
      <c r="H57" s="241"/>
    </row>
    <row r="58" spans="1:8" ht="18" customHeight="1" x14ac:dyDescent="0.25">
      <c r="A58" s="241"/>
      <c r="B58" s="241"/>
      <c r="C58" s="490" t="s">
        <v>570</v>
      </c>
      <c r="D58" s="504" t="str">
        <f>IF('Bulk Plant Input'!$B$5="","",'Bulk Plant Input'!$B$5)</f>
        <v/>
      </c>
      <c r="E58" s="241"/>
      <c r="F58" s="241"/>
      <c r="H58" s="241"/>
    </row>
    <row r="59" spans="1:8" ht="18" customHeight="1" x14ac:dyDescent="0.25">
      <c r="A59" s="241"/>
      <c r="B59" s="241"/>
      <c r="C59" s="490" t="s">
        <v>571</v>
      </c>
      <c r="D59" s="495"/>
      <c r="E59" s="241"/>
      <c r="F59" s="241"/>
      <c r="H59" s="241"/>
    </row>
    <row r="60" spans="1:8" ht="18" customHeight="1" x14ac:dyDescent="0.25">
      <c r="A60" s="241"/>
      <c r="B60" s="241"/>
      <c r="C60" s="490" t="s">
        <v>572</v>
      </c>
      <c r="D60" s="504" t="str">
        <f>IF('Bulk Plant Input'!$B$4="","",'Bulk Plant Input'!$B$4)</f>
        <v/>
      </c>
      <c r="E60" s="241"/>
      <c r="F60" s="241"/>
      <c r="H60" s="241"/>
    </row>
    <row r="61" spans="1:8" ht="18" customHeight="1" x14ac:dyDescent="0.25">
      <c r="A61" s="241"/>
      <c r="B61" s="241"/>
      <c r="C61" s="490" t="s">
        <v>573</v>
      </c>
      <c r="D61" s="495"/>
      <c r="E61" s="241"/>
      <c r="F61" s="241"/>
      <c r="H61" s="241"/>
    </row>
    <row r="62" spans="1:8" ht="18" customHeight="1" x14ac:dyDescent="0.25">
      <c r="A62" s="241"/>
      <c r="B62" s="241"/>
      <c r="C62" s="241"/>
      <c r="D62" s="241"/>
      <c r="E62" s="241"/>
      <c r="F62" s="241"/>
      <c r="H62" s="241"/>
    </row>
    <row r="63" spans="1:8" ht="18" customHeight="1" x14ac:dyDescent="0.25">
      <c r="A63" s="241"/>
      <c r="B63" s="18" t="s">
        <v>594</v>
      </c>
      <c r="C63" s="241"/>
      <c r="D63" s="241"/>
      <c r="E63" s="241"/>
      <c r="F63" s="241"/>
      <c r="H63" s="241"/>
    </row>
    <row r="64" spans="1:8" ht="18" customHeight="1" x14ac:dyDescent="0.25">
      <c r="A64" s="486"/>
      <c r="B64" s="503" t="s">
        <v>574</v>
      </c>
      <c r="C64" s="503" t="s">
        <v>575</v>
      </c>
      <c r="D64" s="503" t="s">
        <v>576</v>
      </c>
      <c r="E64" s="503" t="s">
        <v>577</v>
      </c>
      <c r="F64" s="615" t="s">
        <v>578</v>
      </c>
      <c r="G64" s="616"/>
      <c r="H64" s="503" t="s">
        <v>579</v>
      </c>
    </row>
    <row r="65" spans="1:8" ht="45" customHeight="1" x14ac:dyDescent="0.25">
      <c r="A65" s="485" t="s">
        <v>584</v>
      </c>
      <c r="B65" s="210">
        <v>4.91</v>
      </c>
      <c r="C65" s="210" t="str">
        <f>IF(B65="","",'Bulk Plant Input'!$A$19)</f>
        <v>SURFACEmix PRO SL</v>
      </c>
      <c r="D65" s="210" t="s">
        <v>580</v>
      </c>
      <c r="E65" s="486"/>
      <c r="F65" s="617" t="str">
        <f>IF(B65="","",'Blend Assembly'!$E$21)</f>
        <v/>
      </c>
      <c r="G65" s="618"/>
      <c r="H65" s="486"/>
    </row>
    <row r="66" spans="1:8" ht="45" customHeight="1" x14ac:dyDescent="0.25">
      <c r="A66" s="485" t="s">
        <v>585</v>
      </c>
      <c r="B66" s="210">
        <v>4.91</v>
      </c>
      <c r="C66" s="210" t="str">
        <f>IF(B66="","",'Bulk Plant Input'!$A$19)</f>
        <v>SURFACEmix PRO SL</v>
      </c>
      <c r="D66" s="210" t="s">
        <v>580</v>
      </c>
      <c r="E66" s="15"/>
      <c r="F66" s="617" t="str">
        <f>IF(B66="","",'Blend Assembly'!$E$21)</f>
        <v/>
      </c>
      <c r="G66" s="618"/>
      <c r="H66" s="15"/>
    </row>
    <row r="67" spans="1:8" ht="45" customHeight="1" x14ac:dyDescent="0.25">
      <c r="A67" s="485" t="s">
        <v>586</v>
      </c>
      <c r="B67" s="210">
        <v>4.91</v>
      </c>
      <c r="C67" s="210" t="str">
        <f>IF(B67="","",'Bulk Plant Input'!$A$19)</f>
        <v>SURFACEmix PRO SL</v>
      </c>
      <c r="D67" s="210" t="s">
        <v>580</v>
      </c>
      <c r="E67" s="15"/>
      <c r="F67" s="617" t="str">
        <f>IF(B67="","",'Blend Assembly'!$E$21)</f>
        <v/>
      </c>
      <c r="G67" s="618"/>
      <c r="H67" s="15"/>
    </row>
    <row r="68" spans="1:8" ht="18" customHeight="1" x14ac:dyDescent="0.25">
      <c r="A68" s="241"/>
      <c r="B68" s="241"/>
      <c r="C68" s="241"/>
      <c r="D68" s="241"/>
      <c r="E68" s="241"/>
      <c r="F68" s="241"/>
      <c r="H68" s="241"/>
    </row>
    <row r="69" spans="1:8" ht="18" customHeight="1" x14ac:dyDescent="0.25">
      <c r="A69" s="241"/>
      <c r="B69" s="241"/>
      <c r="C69" s="241"/>
      <c r="D69" s="241"/>
      <c r="E69" s="241"/>
      <c r="F69" s="241"/>
      <c r="H69" s="241"/>
    </row>
    <row r="70" spans="1:8" ht="18" customHeight="1" x14ac:dyDescent="0.25">
      <c r="A70" s="241"/>
      <c r="B70" s="241"/>
      <c r="C70" s="483" t="s">
        <v>574</v>
      </c>
      <c r="D70" s="498" t="s">
        <v>587</v>
      </c>
      <c r="E70" s="483" t="s">
        <v>577</v>
      </c>
      <c r="F70" s="619" t="s">
        <v>578</v>
      </c>
      <c r="G70" s="619"/>
      <c r="H70" s="241"/>
    </row>
    <row r="71" spans="1:8" ht="18" customHeight="1" x14ac:dyDescent="0.25">
      <c r="A71" s="241"/>
      <c r="B71" s="241"/>
      <c r="C71" s="483">
        <f>IF(SUM(B65:B67)=0,"",SUM(B65:B67))</f>
        <v>14.73</v>
      </c>
      <c r="D71" s="496" t="str">
        <f>'Bulk Plant Input'!$A$19</f>
        <v>SURFACEmix PRO SL</v>
      </c>
      <c r="E71" s="483" t="str">
        <f>IF($C$71="","",IF(F71="","",'Bulk Plant Input'!C23*$C$71))</f>
        <v/>
      </c>
      <c r="F71" s="619" t="str">
        <f>IF('Bulk Plant Input'!$A$23="","",'Bulk Plant Input'!$A$23)</f>
        <v/>
      </c>
      <c r="G71" s="619"/>
      <c r="H71" s="241"/>
    </row>
    <row r="72" spans="1:8" ht="18" customHeight="1" x14ac:dyDescent="0.25">
      <c r="A72" s="241"/>
      <c r="B72" s="241"/>
      <c r="C72" s="497"/>
      <c r="D72" s="496"/>
      <c r="E72" s="483" t="str">
        <f>IF($C$71="","",IF(F72="","",'Bulk Plant Input'!C24*$C$71))</f>
        <v/>
      </c>
      <c r="F72" s="619" t="str">
        <f>IF('Bulk Plant Input'!A24="","",'Bulk Plant Input'!A24)</f>
        <v/>
      </c>
      <c r="G72" s="619"/>
      <c r="H72" s="241"/>
    </row>
    <row r="73" spans="1:8" ht="18" customHeight="1" x14ac:dyDescent="0.25">
      <c r="A73" s="241"/>
      <c r="B73" s="241"/>
      <c r="C73" s="497"/>
      <c r="D73" s="496"/>
      <c r="E73" s="483" t="str">
        <f>IF($C$71="","",IF(F73="","",'Bulk Plant Input'!C25*$C$71))</f>
        <v/>
      </c>
      <c r="F73" s="619" t="str">
        <f>IF('Bulk Plant Input'!A25="","",'Bulk Plant Input'!A25)</f>
        <v/>
      </c>
      <c r="G73" s="619"/>
      <c r="H73" s="241"/>
    </row>
    <row r="74" spans="1:8" ht="18" customHeight="1" x14ac:dyDescent="0.25">
      <c r="A74" s="241"/>
      <c r="B74" s="241"/>
      <c r="C74" s="497"/>
      <c r="D74" s="496"/>
      <c r="E74" s="483" t="str">
        <f>IF($C$71="","",IF(F74="","",'Bulk Plant Input'!C26*$C$71))</f>
        <v/>
      </c>
      <c r="F74" s="619" t="str">
        <f>IF('Bulk Plant Input'!A26="","",'Bulk Plant Input'!A26)</f>
        <v/>
      </c>
      <c r="G74" s="619"/>
      <c r="H74" s="241"/>
    </row>
    <row r="75" spans="1:8" ht="18" customHeight="1" x14ac:dyDescent="0.25">
      <c r="A75" s="241"/>
      <c r="B75" s="241"/>
      <c r="C75" s="497"/>
      <c r="D75" s="496"/>
      <c r="E75" s="483" t="str">
        <f>IF($C$71="","",IF(F75="","",'Bulk Plant Input'!C27*$C$71))</f>
        <v/>
      </c>
      <c r="F75" s="619" t="str">
        <f>IF('Bulk Plant Input'!A27="","",'Bulk Plant Input'!A27)</f>
        <v/>
      </c>
      <c r="G75" s="619"/>
      <c r="H75" s="241"/>
    </row>
    <row r="76" spans="1:8" ht="18" customHeight="1" x14ac:dyDescent="0.25">
      <c r="A76" s="241"/>
      <c r="B76" s="241"/>
      <c r="C76" s="497"/>
      <c r="D76" s="496"/>
      <c r="E76" s="483" t="str">
        <f>IF($C$71="","",IF(F76="","",'Bulk Plant Input'!C28*$C$71))</f>
        <v/>
      </c>
      <c r="F76" s="619" t="str">
        <f>IF('Bulk Plant Input'!A28="","",'Bulk Plant Input'!A28)</f>
        <v/>
      </c>
      <c r="G76" s="619"/>
      <c r="H76" s="241"/>
    </row>
    <row r="77" spans="1:8" ht="18" customHeight="1" x14ac:dyDescent="0.25">
      <c r="A77" s="241"/>
      <c r="B77" s="241"/>
      <c r="C77" s="497"/>
      <c r="D77" s="496"/>
      <c r="E77" s="483" t="str">
        <f>IF($C$71="","",IF(F77="","",'Bulk Plant Input'!C29*$C$71))</f>
        <v/>
      </c>
      <c r="F77" s="619" t="str">
        <f>IF('Bulk Plant Input'!A29="","",'Bulk Plant Input'!A29)</f>
        <v/>
      </c>
      <c r="G77" s="619"/>
      <c r="H77" s="241"/>
    </row>
    <row r="78" spans="1:8" ht="18" customHeight="1" x14ac:dyDescent="0.25">
      <c r="A78" s="241"/>
      <c r="B78" s="241"/>
      <c r="C78" s="497"/>
      <c r="D78" s="496"/>
      <c r="E78" s="483" t="str">
        <f>IF($C$71="","",IF(F78="","",'Bulk Plant Input'!C30*$C$71))</f>
        <v/>
      </c>
      <c r="F78" s="619" t="str">
        <f>IF('Bulk Plant Input'!A30="","",'Bulk Plant Input'!A30)</f>
        <v/>
      </c>
      <c r="G78" s="619"/>
      <c r="H78" s="241"/>
    </row>
    <row r="79" spans="1:8" ht="18" customHeight="1" x14ac:dyDescent="0.25">
      <c r="A79" s="241"/>
      <c r="B79" s="241"/>
      <c r="C79" s="497"/>
      <c r="D79" s="496"/>
      <c r="E79" s="483" t="str">
        <f>IF($C$71="","",IF(F79="","",'Bulk Plant Input'!C31*$C$71))</f>
        <v/>
      </c>
      <c r="F79" s="619" t="str">
        <f>IF('Bulk Plant Input'!A31="","",'Bulk Plant Input'!A31)</f>
        <v/>
      </c>
      <c r="G79" s="619"/>
      <c r="H79" s="241"/>
    </row>
    <row r="80" spans="1:8" ht="18" customHeight="1" x14ac:dyDescent="0.25">
      <c r="A80" s="241"/>
      <c r="B80" s="241"/>
      <c r="C80" s="497"/>
      <c r="D80" s="496"/>
      <c r="E80" s="483" t="str">
        <f>IF($C$71="","",IF(F80="","",'Bulk Plant Input'!C32*$C$71))</f>
        <v/>
      </c>
      <c r="F80" s="619" t="str">
        <f>IF('Bulk Plant Input'!A32="","",'Bulk Plant Input'!A32)</f>
        <v/>
      </c>
      <c r="G80" s="619"/>
      <c r="H80" s="241"/>
    </row>
    <row r="81" spans="1:8" ht="18" customHeight="1" x14ac:dyDescent="0.25">
      <c r="A81" s="241"/>
      <c r="B81" s="241"/>
      <c r="C81" s="497"/>
      <c r="D81" s="496"/>
      <c r="E81" s="483" t="str">
        <f>IF($C$71="","",IF(F81="","",'Bulk Plant Input'!C33*$C$71))</f>
        <v/>
      </c>
      <c r="F81" s="619" t="str">
        <f>IF('Bulk Plant Input'!A33="","",'Bulk Plant Input'!A33)</f>
        <v/>
      </c>
      <c r="G81" s="619"/>
      <c r="H81" s="241"/>
    </row>
    <row r="82" spans="1:8" ht="18" customHeight="1" x14ac:dyDescent="0.25">
      <c r="A82" s="241"/>
      <c r="B82" s="241"/>
      <c r="C82" s="497"/>
      <c r="D82" s="496"/>
      <c r="E82" s="483" t="str">
        <f>IF($C$71="","",IF(F82="","",'Bulk Plant Input'!C34*$C$71))</f>
        <v/>
      </c>
      <c r="F82" s="619" t="str">
        <f>IF('Bulk Plant Input'!A34="","",'Bulk Plant Input'!A34)</f>
        <v/>
      </c>
      <c r="G82" s="619"/>
      <c r="H82" s="241"/>
    </row>
    <row r="83" spans="1:8" ht="18" customHeight="1" x14ac:dyDescent="0.25">
      <c r="A83" s="241"/>
      <c r="B83" s="241"/>
      <c r="C83" s="497"/>
      <c r="D83" s="496"/>
      <c r="E83" s="483" t="str">
        <f>IF($C$71="","",IF(F83="","",'Bulk Plant Input'!C35*$C$71))</f>
        <v/>
      </c>
      <c r="F83" s="619" t="str">
        <f>IF('Bulk Plant Input'!A35="","",'Bulk Plant Input'!A35)</f>
        <v/>
      </c>
      <c r="G83" s="619"/>
      <c r="H83" s="241"/>
    </row>
    <row r="84" spans="1:8" ht="18" customHeight="1" x14ac:dyDescent="0.25">
      <c r="A84" s="241"/>
      <c r="B84" s="241"/>
      <c r="C84" s="497"/>
      <c r="D84" s="496"/>
      <c r="E84" s="483" t="str">
        <f>IF($C$71="","",IF(F84="","",'Bulk Plant Input'!C36*$C$71))</f>
        <v/>
      </c>
      <c r="F84" s="619" t="str">
        <f>IF('Bulk Plant Input'!A36="","",'Bulk Plant Input'!A36)</f>
        <v/>
      </c>
      <c r="G84" s="619"/>
      <c r="H84" s="241"/>
    </row>
    <row r="85" spans="1:8" ht="18" customHeight="1" x14ac:dyDescent="0.25">
      <c r="A85" s="241"/>
      <c r="B85" s="241"/>
      <c r="C85" s="497"/>
      <c r="D85" s="496"/>
      <c r="E85" s="483" t="str">
        <f>IF($C$71="","",IF(F85="","",'Bulk Plant Input'!C37*$C$71))</f>
        <v/>
      </c>
      <c r="F85" s="619" t="str">
        <f>IF('Bulk Plant Input'!A37="","",'Bulk Plant Input'!A37)</f>
        <v/>
      </c>
      <c r="G85" s="619"/>
      <c r="H85" s="241"/>
    </row>
    <row r="86" spans="1:8" ht="18" customHeight="1" x14ac:dyDescent="0.25">
      <c r="A86" s="241"/>
      <c r="B86" s="241"/>
      <c r="C86" s="497"/>
      <c r="D86" s="496"/>
      <c r="E86" s="483" t="str">
        <f>IF($C$71="","",IF(F86="","",'Bulk Plant Input'!C38*$C$71))</f>
        <v/>
      </c>
      <c r="F86" s="619" t="str">
        <f>IF('Bulk Plant Input'!A43="","",'Bulk Plant Input'!A43)</f>
        <v/>
      </c>
      <c r="G86" s="619"/>
      <c r="H86" s="241"/>
    </row>
    <row r="87" spans="1:8" ht="18" customHeight="1" x14ac:dyDescent="0.25">
      <c r="A87" s="241"/>
      <c r="B87" s="241"/>
      <c r="C87" s="497"/>
      <c r="D87" s="496"/>
      <c r="E87" s="483" t="str">
        <f>IF($C$71="","",IF(F87="","",'Bulk Plant Input'!C39*$C$71))</f>
        <v/>
      </c>
      <c r="F87" s="619" t="str">
        <f>IF('Bulk Plant Input'!A44="","",'Bulk Plant Input'!A44)</f>
        <v/>
      </c>
      <c r="G87" s="619"/>
      <c r="H87" s="241"/>
    </row>
    <row r="88" spans="1:8" x14ac:dyDescent="0.25">
      <c r="A88" s="241"/>
      <c r="B88" s="241"/>
      <c r="C88" s="493" t="s">
        <v>592</v>
      </c>
      <c r="D88" s="241"/>
      <c r="E88" s="491">
        <f>IF(C71="","Enter Pod Tonnage",SUM(E71:E87)+(C71*1000))</f>
        <v>14730</v>
      </c>
      <c r="F88" s="492" t="s">
        <v>588</v>
      </c>
      <c r="H88" s="241"/>
    </row>
    <row r="89" spans="1:8" ht="18" customHeight="1" x14ac:dyDescent="0.25">
      <c r="A89" s="241"/>
      <c r="B89" s="241"/>
      <c r="C89" s="490" t="s">
        <v>591</v>
      </c>
      <c r="D89" s="241"/>
      <c r="E89" s="241"/>
      <c r="F89" s="241"/>
      <c r="H89" s="241"/>
    </row>
    <row r="90" spans="1:8" ht="18" customHeight="1" thickBot="1" x14ac:dyDescent="0.3">
      <c r="A90" s="241"/>
      <c r="B90" s="241"/>
      <c r="C90" s="490" t="s">
        <v>589</v>
      </c>
      <c r="D90" s="487"/>
      <c r="E90" s="241"/>
      <c r="F90" s="490" t="s">
        <v>590</v>
      </c>
      <c r="G90" s="614"/>
      <c r="H90" s="614"/>
    </row>
    <row r="91" spans="1:8" ht="18" customHeight="1" thickBot="1" x14ac:dyDescent="0.3">
      <c r="A91" s="241"/>
      <c r="B91" s="241"/>
      <c r="C91" s="241"/>
      <c r="D91" s="488"/>
      <c r="E91" s="241"/>
      <c r="F91" s="241"/>
      <c r="G91" s="614"/>
      <c r="H91" s="614"/>
    </row>
    <row r="92" spans="1:8" ht="18" customHeight="1" thickBot="1" x14ac:dyDescent="0.3">
      <c r="A92" s="241"/>
      <c r="B92" s="241"/>
      <c r="C92" s="241"/>
      <c r="D92" s="488"/>
      <c r="E92" s="241"/>
      <c r="F92" s="241"/>
      <c r="G92" s="614"/>
      <c r="H92" s="614"/>
    </row>
    <row r="93" spans="1:8" ht="18" customHeight="1" x14ac:dyDescent="0.25">
      <c r="A93" s="241"/>
      <c r="B93" s="241"/>
      <c r="C93" s="241"/>
      <c r="D93" s="241"/>
      <c r="E93" s="241"/>
      <c r="F93" s="241"/>
      <c r="H93" s="241"/>
    </row>
    <row r="94" spans="1:8" s="241" customFormat="1" ht="18" customHeight="1" x14ac:dyDescent="0.25"/>
    <row r="95" spans="1:8" s="241" customFormat="1" ht="18" customHeight="1" x14ac:dyDescent="0.25"/>
    <row r="96" spans="1:8" s="241" customFormat="1" ht="18" customHeight="1" x14ac:dyDescent="0.25"/>
    <row r="97" spans="1:8" s="241" customFormat="1" ht="18" customHeight="1" x14ac:dyDescent="0.25"/>
    <row r="98" spans="1:8" s="241" customFormat="1" ht="18" customHeight="1" x14ac:dyDescent="0.25"/>
    <row r="99" spans="1:8" ht="18" customHeight="1" x14ac:dyDescent="0.25">
      <c r="A99" s="241"/>
      <c r="B99" s="241"/>
      <c r="C99" s="241"/>
      <c r="D99" s="241"/>
      <c r="E99" s="241"/>
      <c r="F99" s="241"/>
      <c r="H99" s="241"/>
    </row>
    <row r="100" spans="1:8" ht="18" customHeight="1" x14ac:dyDescent="0.25">
      <c r="A100" s="241"/>
      <c r="B100" s="241"/>
      <c r="C100" s="241"/>
      <c r="D100" s="241"/>
      <c r="H100" s="241"/>
    </row>
    <row r="101" spans="1:8" s="241" customFormat="1" ht="18" customHeight="1" x14ac:dyDescent="0.25"/>
    <row r="102" spans="1:8" s="241" customFormat="1" ht="18" customHeight="1" x14ac:dyDescent="0.25">
      <c r="E102" s="490" t="s">
        <v>598</v>
      </c>
      <c r="F102" s="620" t="str">
        <f>IF('Bulk Plant Input'!$B$7="","",'Bulk Plant Input'!$B$7)</f>
        <v/>
      </c>
      <c r="G102" s="612"/>
    </row>
    <row r="103" spans="1:8" ht="18" customHeight="1" x14ac:dyDescent="0.25">
      <c r="A103" s="241"/>
      <c r="B103" s="241"/>
      <c r="C103" s="241"/>
      <c r="D103" s="241"/>
      <c r="E103" s="490" t="s">
        <v>514</v>
      </c>
      <c r="F103" s="612">
        <f ca="1">IF('Bulk Plant Input'!$B$6="","",'Bulk Plant Input'!$B$6)</f>
        <v>42964</v>
      </c>
      <c r="G103" s="612"/>
      <c r="H103" s="241"/>
    </row>
    <row r="104" spans="1:8" ht="18" customHeight="1" x14ac:dyDescent="0.25">
      <c r="A104" s="241"/>
      <c r="B104" s="241"/>
      <c r="C104" s="241"/>
      <c r="D104" s="241"/>
      <c r="E104" s="490" t="s">
        <v>565</v>
      </c>
      <c r="F104" s="612"/>
      <c r="G104" s="612"/>
      <c r="H104" s="241"/>
    </row>
    <row r="105" spans="1:8" ht="18" customHeight="1" x14ac:dyDescent="0.25">
      <c r="A105" s="241"/>
      <c r="B105" s="241"/>
      <c r="C105" s="241"/>
      <c r="D105" s="241"/>
      <c r="E105" s="490" t="s">
        <v>566</v>
      </c>
      <c r="F105" s="612"/>
      <c r="G105" s="612"/>
      <c r="H105" s="241"/>
    </row>
    <row r="106" spans="1:8" ht="18" customHeight="1" x14ac:dyDescent="0.25">
      <c r="A106" s="241"/>
      <c r="B106" s="241"/>
      <c r="C106" s="241"/>
      <c r="D106" s="241"/>
      <c r="E106" s="490" t="s">
        <v>567</v>
      </c>
      <c r="F106" s="613" t="str">
        <f>IF('Bulk Plant Input'!$I$5="","",'Bulk Plant Input'!$I$5)</f>
        <v/>
      </c>
      <c r="G106" s="612"/>
      <c r="H106" s="241"/>
    </row>
    <row r="107" spans="1:8" ht="18" customHeight="1" x14ac:dyDescent="0.25">
      <c r="A107" s="241"/>
      <c r="B107" s="241"/>
      <c r="C107" s="241"/>
      <c r="D107" s="241"/>
      <c r="E107" s="490" t="s">
        <v>568</v>
      </c>
      <c r="F107" s="612"/>
      <c r="G107" s="612"/>
      <c r="H107" s="241"/>
    </row>
    <row r="108" spans="1:8" ht="18" customHeight="1" x14ac:dyDescent="0.25">
      <c r="A108" s="241"/>
      <c r="B108" s="241"/>
      <c r="C108" s="490" t="s">
        <v>569</v>
      </c>
      <c r="D108" s="504" t="str">
        <f>IF('Bulk Plant Input'!$B$3="","",'Bulk Plant Input'!$B$3)</f>
        <v/>
      </c>
      <c r="E108" s="241"/>
      <c r="F108" s="241"/>
      <c r="H108" s="241"/>
    </row>
    <row r="109" spans="1:8" ht="18" customHeight="1" x14ac:dyDescent="0.25">
      <c r="A109" s="241"/>
      <c r="B109" s="241"/>
      <c r="C109" s="490" t="s">
        <v>570</v>
      </c>
      <c r="D109" s="504" t="str">
        <f>IF('Bulk Plant Input'!$B$5="","",'Bulk Plant Input'!$B$5)</f>
        <v/>
      </c>
      <c r="E109" s="241"/>
      <c r="F109" s="241"/>
      <c r="H109" s="241"/>
    </row>
    <row r="110" spans="1:8" ht="18" customHeight="1" x14ac:dyDescent="0.25">
      <c r="A110" s="241"/>
      <c r="B110" s="241"/>
      <c r="C110" s="490" t="s">
        <v>571</v>
      </c>
      <c r="D110" s="495"/>
      <c r="E110" s="241"/>
      <c r="F110" s="241"/>
      <c r="H110" s="241"/>
    </row>
    <row r="111" spans="1:8" ht="18" customHeight="1" x14ac:dyDescent="0.25">
      <c r="A111" s="241"/>
      <c r="B111" s="241"/>
      <c r="C111" s="490" t="s">
        <v>572</v>
      </c>
      <c r="D111" s="504" t="str">
        <f>IF('Bulk Plant Input'!$B$4="","",'Bulk Plant Input'!$B$4)</f>
        <v/>
      </c>
      <c r="E111" s="241"/>
      <c r="F111" s="241"/>
      <c r="H111" s="241"/>
    </row>
    <row r="112" spans="1:8" ht="18" customHeight="1" x14ac:dyDescent="0.25">
      <c r="A112" s="241"/>
      <c r="B112" s="241"/>
      <c r="C112" s="490" t="s">
        <v>573</v>
      </c>
      <c r="D112" s="495"/>
      <c r="E112" s="241"/>
      <c r="F112" s="241"/>
      <c r="H112" s="241"/>
    </row>
    <row r="113" spans="1:8" ht="18" customHeight="1" x14ac:dyDescent="0.25">
      <c r="A113" s="241"/>
      <c r="B113" s="241"/>
      <c r="C113" s="241"/>
      <c r="D113" s="241"/>
      <c r="E113" s="241"/>
      <c r="F113" s="241"/>
      <c r="H113" s="241"/>
    </row>
    <row r="114" spans="1:8" ht="18" customHeight="1" x14ac:dyDescent="0.25">
      <c r="A114" s="241"/>
      <c r="B114" s="18" t="s">
        <v>595</v>
      </c>
      <c r="C114" s="241"/>
      <c r="D114" s="241"/>
      <c r="E114" s="241"/>
      <c r="F114" s="241"/>
      <c r="H114" s="241"/>
    </row>
    <row r="115" spans="1:8" ht="18" customHeight="1" x14ac:dyDescent="0.25">
      <c r="A115" s="486"/>
      <c r="B115" s="503" t="s">
        <v>574</v>
      </c>
      <c r="C115" s="503" t="s">
        <v>575</v>
      </c>
      <c r="D115" s="503" t="s">
        <v>576</v>
      </c>
      <c r="E115" s="503" t="s">
        <v>577</v>
      </c>
      <c r="F115" s="615" t="s">
        <v>578</v>
      </c>
      <c r="G115" s="616"/>
      <c r="H115" s="503" t="s">
        <v>579</v>
      </c>
    </row>
    <row r="116" spans="1:8" ht="45" customHeight="1" x14ac:dyDescent="0.25">
      <c r="A116" s="485" t="s">
        <v>584</v>
      </c>
      <c r="B116" s="210"/>
      <c r="C116" s="210" t="str">
        <f>IF(B116="","",'Bulk Plant Input'!$A$19)</f>
        <v/>
      </c>
      <c r="D116" s="210"/>
      <c r="E116" s="486"/>
      <c r="F116" s="617" t="str">
        <f>IF(B116="","",'Blend Assembly'!$E$21)</f>
        <v/>
      </c>
      <c r="G116" s="618"/>
      <c r="H116" s="486"/>
    </row>
    <row r="117" spans="1:8" ht="45" customHeight="1" x14ac:dyDescent="0.25">
      <c r="A117" s="485" t="s">
        <v>585</v>
      </c>
      <c r="B117" s="210"/>
      <c r="C117" s="210" t="str">
        <f>IF(B117="","",'Bulk Plant Input'!$A$19)</f>
        <v/>
      </c>
      <c r="D117" s="210"/>
      <c r="E117" s="15"/>
      <c r="F117" s="617" t="str">
        <f>IF(B117="","",'Blend Assembly'!$E$21)</f>
        <v/>
      </c>
      <c r="G117" s="618"/>
      <c r="H117" s="15"/>
    </row>
    <row r="118" spans="1:8" ht="45" customHeight="1" x14ac:dyDescent="0.25">
      <c r="A118" s="485" t="s">
        <v>586</v>
      </c>
      <c r="B118" s="210"/>
      <c r="C118" s="210" t="str">
        <f>IF(B118="","",'Bulk Plant Input'!$A$19)</f>
        <v/>
      </c>
      <c r="D118" s="210"/>
      <c r="E118" s="15"/>
      <c r="F118" s="617" t="str">
        <f>IF(B118="","",'Blend Assembly'!$E$21)</f>
        <v/>
      </c>
      <c r="G118" s="618"/>
      <c r="H118" s="15"/>
    </row>
    <row r="119" spans="1:8" ht="18" customHeight="1" x14ac:dyDescent="0.25">
      <c r="A119" s="241"/>
      <c r="B119" s="241"/>
      <c r="C119" s="241"/>
      <c r="D119" s="241"/>
      <c r="E119" s="241"/>
      <c r="F119" s="241"/>
      <c r="H119" s="241"/>
    </row>
    <row r="120" spans="1:8" ht="18" customHeight="1" x14ac:dyDescent="0.25">
      <c r="A120" s="241"/>
      <c r="B120" s="241"/>
      <c r="C120" s="241"/>
      <c r="D120" s="241"/>
      <c r="E120" s="241"/>
      <c r="F120" s="241"/>
      <c r="H120" s="241"/>
    </row>
    <row r="121" spans="1:8" ht="18" customHeight="1" x14ac:dyDescent="0.25">
      <c r="A121" s="241"/>
      <c r="B121" s="241"/>
      <c r="C121" s="483" t="s">
        <v>574</v>
      </c>
      <c r="D121" s="498" t="s">
        <v>587</v>
      </c>
      <c r="E121" s="483" t="s">
        <v>577</v>
      </c>
      <c r="F121" s="619" t="s">
        <v>578</v>
      </c>
      <c r="G121" s="619"/>
      <c r="H121" s="241"/>
    </row>
    <row r="122" spans="1:8" ht="18" customHeight="1" x14ac:dyDescent="0.25">
      <c r="A122" s="241"/>
      <c r="B122" s="241"/>
      <c r="C122" s="483" t="str">
        <f>IF(SUM(B116:B118)=0,"",SUM(B116:B118))</f>
        <v/>
      </c>
      <c r="D122" s="496" t="str">
        <f>'Bulk Plant Input'!$A$19</f>
        <v>SURFACEmix PRO SL</v>
      </c>
      <c r="E122" s="483" t="str">
        <f>IF($C$122="","",IF(F122="","",'Bulk Plant Input'!C23*$C$122))</f>
        <v/>
      </c>
      <c r="F122" s="619" t="str">
        <f>IF('Bulk Plant Input'!$A23="","",'Bulk Plant Input'!$A23)</f>
        <v/>
      </c>
      <c r="G122" s="619"/>
      <c r="H122" s="241"/>
    </row>
    <row r="123" spans="1:8" ht="18" customHeight="1" x14ac:dyDescent="0.25">
      <c r="A123" s="241"/>
      <c r="B123" s="241"/>
      <c r="C123" s="497"/>
      <c r="D123" s="496"/>
      <c r="E123" s="483" t="str">
        <f>IF($C$122="","",IF(F123="","",'Bulk Plant Input'!C24*$C$122))</f>
        <v/>
      </c>
      <c r="F123" s="619" t="str">
        <f>IF('Bulk Plant Input'!$A24="","",'Bulk Plant Input'!$A24)</f>
        <v/>
      </c>
      <c r="G123" s="619"/>
      <c r="H123" s="241"/>
    </row>
    <row r="124" spans="1:8" ht="18" customHeight="1" x14ac:dyDescent="0.25">
      <c r="A124" s="241"/>
      <c r="B124" s="241"/>
      <c r="C124" s="497"/>
      <c r="D124" s="496"/>
      <c r="E124" s="483" t="str">
        <f>IF($C$122="","",IF(F124="","",'Bulk Plant Input'!C25*$C$122))</f>
        <v/>
      </c>
      <c r="F124" s="619" t="str">
        <f>IF('Bulk Plant Input'!$A25="","",'Bulk Plant Input'!$A25)</f>
        <v/>
      </c>
      <c r="G124" s="619"/>
      <c r="H124" s="241"/>
    </row>
    <row r="125" spans="1:8" ht="18" customHeight="1" x14ac:dyDescent="0.25">
      <c r="A125" s="241"/>
      <c r="B125" s="241"/>
      <c r="C125" s="497"/>
      <c r="D125" s="496"/>
      <c r="E125" s="483" t="str">
        <f>IF($C$122="","",IF(F125="","",'Bulk Plant Input'!C26*$C$122))</f>
        <v/>
      </c>
      <c r="F125" s="619" t="str">
        <f>IF('Bulk Plant Input'!$A26="","",'Bulk Plant Input'!$A26)</f>
        <v/>
      </c>
      <c r="G125" s="619"/>
      <c r="H125" s="241"/>
    </row>
    <row r="126" spans="1:8" ht="18" customHeight="1" x14ac:dyDescent="0.25">
      <c r="A126" s="241"/>
      <c r="B126" s="241"/>
      <c r="C126" s="497"/>
      <c r="D126" s="496"/>
      <c r="E126" s="483" t="str">
        <f>IF($C$122="","",IF(F126="","",'Bulk Plant Input'!C27*$C$122))</f>
        <v/>
      </c>
      <c r="F126" s="619" t="str">
        <f>IF('Bulk Plant Input'!$A27="","",'Bulk Plant Input'!$A27)</f>
        <v/>
      </c>
      <c r="G126" s="619"/>
      <c r="H126" s="241"/>
    </row>
    <row r="127" spans="1:8" ht="18" customHeight="1" x14ac:dyDescent="0.25">
      <c r="A127" s="241"/>
      <c r="B127" s="241"/>
      <c r="C127" s="497"/>
      <c r="D127" s="496"/>
      <c r="E127" s="483" t="str">
        <f>IF($C$122="","",IF(F127="","",'Bulk Plant Input'!C28*$C$122))</f>
        <v/>
      </c>
      <c r="F127" s="619" t="str">
        <f>IF('Bulk Plant Input'!$A28="","",'Bulk Plant Input'!$A28)</f>
        <v/>
      </c>
      <c r="G127" s="619"/>
      <c r="H127" s="241"/>
    </row>
    <row r="128" spans="1:8" ht="18" customHeight="1" x14ac:dyDescent="0.25">
      <c r="A128" s="241"/>
      <c r="B128" s="241"/>
      <c r="C128" s="497"/>
      <c r="D128" s="496"/>
      <c r="E128" s="483" t="str">
        <f>IF($C$122="","",IF(F128="","",'Bulk Plant Input'!C29*$C$122))</f>
        <v/>
      </c>
      <c r="F128" s="619" t="str">
        <f>IF('Bulk Plant Input'!$A29="","",'Bulk Plant Input'!$A29)</f>
        <v/>
      </c>
      <c r="G128" s="619"/>
      <c r="H128" s="241"/>
    </row>
    <row r="129" spans="1:8" ht="18" customHeight="1" x14ac:dyDescent="0.25">
      <c r="A129" s="241"/>
      <c r="B129" s="241"/>
      <c r="C129" s="497"/>
      <c r="D129" s="496"/>
      <c r="E129" s="483" t="str">
        <f>IF($C$122="","",IF(F129="","",'Bulk Plant Input'!C30*$C$122))</f>
        <v/>
      </c>
      <c r="F129" s="619" t="str">
        <f>IF('Bulk Plant Input'!$A30="","",'Bulk Plant Input'!$A30)</f>
        <v/>
      </c>
      <c r="G129" s="619"/>
      <c r="H129" s="241"/>
    </row>
    <row r="130" spans="1:8" ht="18" customHeight="1" x14ac:dyDescent="0.25">
      <c r="A130" s="241"/>
      <c r="B130" s="241"/>
      <c r="C130" s="497"/>
      <c r="D130" s="496"/>
      <c r="E130" s="483" t="str">
        <f>IF($C$122="","",IF(F130="","",'Bulk Plant Input'!C31*$C$122))</f>
        <v/>
      </c>
      <c r="F130" s="619" t="str">
        <f>IF('Bulk Plant Input'!$A31="","",'Bulk Plant Input'!$A31)</f>
        <v/>
      </c>
      <c r="G130" s="619"/>
      <c r="H130" s="241"/>
    </row>
    <row r="131" spans="1:8" ht="18" customHeight="1" x14ac:dyDescent="0.25">
      <c r="A131" s="241"/>
      <c r="B131" s="241"/>
      <c r="C131" s="497"/>
      <c r="D131" s="496"/>
      <c r="E131" s="483" t="str">
        <f>IF($C$122="","",IF(F131="","",'Bulk Plant Input'!C32*$C$122))</f>
        <v/>
      </c>
      <c r="F131" s="619" t="str">
        <f>IF('Bulk Plant Input'!$A32="","",'Bulk Plant Input'!$A32)</f>
        <v/>
      </c>
      <c r="G131" s="619"/>
      <c r="H131" s="241"/>
    </row>
    <row r="132" spans="1:8" ht="18" customHeight="1" x14ac:dyDescent="0.25">
      <c r="A132" s="241"/>
      <c r="B132" s="241"/>
      <c r="C132" s="497"/>
      <c r="D132" s="496"/>
      <c r="E132" s="483" t="str">
        <f>IF($C$122="","",IF(F132="","",'Bulk Plant Input'!C33*$C$122))</f>
        <v/>
      </c>
      <c r="F132" s="619" t="str">
        <f>IF('Bulk Plant Input'!$A33="","",'Bulk Plant Input'!$A33)</f>
        <v/>
      </c>
      <c r="G132" s="619"/>
      <c r="H132" s="241"/>
    </row>
    <row r="133" spans="1:8" ht="18" customHeight="1" x14ac:dyDescent="0.25">
      <c r="A133" s="241"/>
      <c r="B133" s="241"/>
      <c r="C133" s="497"/>
      <c r="D133" s="496"/>
      <c r="E133" s="483" t="str">
        <f>IF($C$122="","",IF(F133="","",'Bulk Plant Input'!C34*$C$122))</f>
        <v/>
      </c>
      <c r="F133" s="619" t="str">
        <f>IF('Bulk Plant Input'!$A34="","",'Bulk Plant Input'!$A34)</f>
        <v/>
      </c>
      <c r="G133" s="619"/>
      <c r="H133" s="241"/>
    </row>
    <row r="134" spans="1:8" ht="18" customHeight="1" x14ac:dyDescent="0.25">
      <c r="A134" s="241"/>
      <c r="B134" s="241"/>
      <c r="C134" s="497"/>
      <c r="D134" s="496"/>
      <c r="E134" s="483" t="str">
        <f>IF($C$122="","",IF(F134="","",'Bulk Plant Input'!C35*$C$122))</f>
        <v/>
      </c>
      <c r="F134" s="619" t="str">
        <f>IF('Bulk Plant Input'!$A35="","",'Bulk Plant Input'!$A35)</f>
        <v/>
      </c>
      <c r="G134" s="619"/>
      <c r="H134" s="241"/>
    </row>
    <row r="135" spans="1:8" ht="18" customHeight="1" x14ac:dyDescent="0.25">
      <c r="A135" s="241"/>
      <c r="B135" s="241"/>
      <c r="C135" s="497"/>
      <c r="D135" s="496"/>
      <c r="E135" s="483" t="str">
        <f>IF($C$122="","",IF(F135="","",'Bulk Plant Input'!C36*$C$122))</f>
        <v/>
      </c>
      <c r="F135" s="619" t="str">
        <f>IF('Bulk Plant Input'!$A36="","",'Bulk Plant Input'!$A36)</f>
        <v/>
      </c>
      <c r="G135" s="619"/>
      <c r="H135" s="241"/>
    </row>
    <row r="136" spans="1:8" ht="18" customHeight="1" x14ac:dyDescent="0.25">
      <c r="A136" s="241"/>
      <c r="B136" s="241"/>
      <c r="C136" s="497"/>
      <c r="D136" s="496"/>
      <c r="E136" s="483" t="str">
        <f>IF($C$122="","",IF(F136="","",'Bulk Plant Input'!C37*$C$122))</f>
        <v/>
      </c>
      <c r="F136" s="619" t="str">
        <f>IF('Bulk Plant Input'!$A37="","",'Bulk Plant Input'!$A37)</f>
        <v/>
      </c>
      <c r="G136" s="619"/>
      <c r="H136" s="241"/>
    </row>
    <row r="137" spans="1:8" ht="18" customHeight="1" x14ac:dyDescent="0.25">
      <c r="A137" s="241"/>
      <c r="B137" s="241"/>
      <c r="C137" s="497"/>
      <c r="D137" s="496"/>
      <c r="E137" s="483" t="str">
        <f>IF($C$122="","",IF(F137="","",'Bulk Plant Input'!C38*$C$122))</f>
        <v/>
      </c>
      <c r="F137" s="619" t="str">
        <f>IF('Bulk Plant Input'!A43="","",'Bulk Plant Input'!A43)</f>
        <v/>
      </c>
      <c r="G137" s="619"/>
      <c r="H137" s="241"/>
    </row>
    <row r="138" spans="1:8" ht="18" customHeight="1" x14ac:dyDescent="0.25">
      <c r="A138" s="241"/>
      <c r="B138" s="241"/>
      <c r="C138" s="497"/>
      <c r="D138" s="496"/>
      <c r="E138" s="483" t="str">
        <f>IF($C$122="","",IF(F138="","",'Bulk Plant Input'!C39*$C$122))</f>
        <v/>
      </c>
      <c r="F138" s="619" t="str">
        <f>IF('Bulk Plant Input'!A44="","",'Bulk Plant Input'!A44)</f>
        <v/>
      </c>
      <c r="G138" s="619"/>
      <c r="H138" s="241"/>
    </row>
    <row r="139" spans="1:8" ht="30" x14ac:dyDescent="0.25">
      <c r="A139" s="241"/>
      <c r="B139" s="241"/>
      <c r="C139" s="493" t="s">
        <v>592</v>
      </c>
      <c r="D139" s="241"/>
      <c r="E139" s="491" t="str">
        <f>IF(C122="","Enter Pod Tonnage",SUM(E122:E138)+(C122*1000))</f>
        <v>Enter Pod Tonnage</v>
      </c>
      <c r="F139" s="492" t="s">
        <v>588</v>
      </c>
      <c r="H139" s="241"/>
    </row>
    <row r="140" spans="1:8" ht="18" customHeight="1" x14ac:dyDescent="0.25">
      <c r="A140" s="241"/>
      <c r="B140" s="241"/>
      <c r="C140" s="490" t="s">
        <v>591</v>
      </c>
      <c r="D140" s="241"/>
      <c r="E140" s="241"/>
      <c r="F140" s="241"/>
      <c r="H140" s="241"/>
    </row>
    <row r="141" spans="1:8" ht="18" customHeight="1" thickBot="1" x14ac:dyDescent="0.3">
      <c r="A141" s="241"/>
      <c r="B141" s="241"/>
      <c r="C141" s="490" t="s">
        <v>589</v>
      </c>
      <c r="D141" s="487"/>
      <c r="E141" s="241"/>
      <c r="F141" s="490" t="s">
        <v>590</v>
      </c>
      <c r="G141" s="614"/>
      <c r="H141" s="614"/>
    </row>
    <row r="142" spans="1:8" ht="18" customHeight="1" thickBot="1" x14ac:dyDescent="0.3">
      <c r="A142" s="241"/>
      <c r="B142" s="241"/>
      <c r="C142" s="241"/>
      <c r="D142" s="488"/>
      <c r="E142" s="241"/>
      <c r="F142" s="241"/>
      <c r="G142" s="614"/>
      <c r="H142" s="614"/>
    </row>
    <row r="143" spans="1:8" ht="18" customHeight="1" thickBot="1" x14ac:dyDescent="0.3">
      <c r="A143" s="241"/>
      <c r="B143" s="241"/>
      <c r="C143" s="241"/>
      <c r="D143" s="488"/>
      <c r="E143" s="241"/>
      <c r="F143" s="241"/>
      <c r="G143" s="614"/>
      <c r="H143" s="614"/>
    </row>
    <row r="144" spans="1:8" ht="18" customHeight="1" x14ac:dyDescent="0.25">
      <c r="A144" s="241"/>
      <c r="B144" s="241"/>
      <c r="C144" s="241"/>
      <c r="D144" s="241"/>
      <c r="E144" s="241"/>
      <c r="F144" s="241"/>
      <c r="H144" s="241"/>
    </row>
    <row r="145" spans="1:8" s="241" customFormat="1" ht="18" customHeight="1" x14ac:dyDescent="0.25"/>
    <row r="146" spans="1:8" s="241" customFormat="1" ht="18" customHeight="1" x14ac:dyDescent="0.25"/>
    <row r="147" spans="1:8" s="241" customFormat="1" ht="18" customHeight="1" x14ac:dyDescent="0.25"/>
    <row r="148" spans="1:8" s="241" customFormat="1" ht="18" customHeight="1" x14ac:dyDescent="0.25"/>
    <row r="149" spans="1:8" s="241" customFormat="1" ht="18" customHeight="1" x14ac:dyDescent="0.25"/>
    <row r="150" spans="1:8" s="241" customFormat="1" ht="18" customHeight="1" x14ac:dyDescent="0.25"/>
    <row r="151" spans="1:8" ht="18" customHeight="1" x14ac:dyDescent="0.25">
      <c r="A151" s="241"/>
      <c r="B151" s="241"/>
      <c r="C151" s="241"/>
      <c r="D151" s="241"/>
      <c r="E151" s="241"/>
      <c r="F151" s="241"/>
      <c r="H151" s="241"/>
    </row>
    <row r="152" spans="1:8" s="241" customFormat="1" ht="18" customHeight="1" x14ac:dyDescent="0.25">
      <c r="E152" s="490" t="s">
        <v>598</v>
      </c>
      <c r="F152" s="620" t="str">
        <f>IF('Bulk Plant Input'!$B$7="","",'Bulk Plant Input'!$B$7)</f>
        <v/>
      </c>
      <c r="G152" s="612"/>
    </row>
    <row r="153" spans="1:8" ht="18" customHeight="1" x14ac:dyDescent="0.25">
      <c r="A153" s="241"/>
      <c r="B153" s="241"/>
      <c r="C153" s="241"/>
      <c r="D153" s="241"/>
      <c r="E153" s="490" t="s">
        <v>514</v>
      </c>
      <c r="F153" s="612">
        <f ca="1">IF('Bulk Plant Input'!$B$6="","",'Bulk Plant Input'!$B$6)</f>
        <v>42964</v>
      </c>
      <c r="G153" s="612"/>
      <c r="H153" s="241"/>
    </row>
    <row r="154" spans="1:8" ht="18" customHeight="1" x14ac:dyDescent="0.25">
      <c r="A154" s="241"/>
      <c r="B154" s="241"/>
      <c r="C154" s="241"/>
      <c r="D154" s="241"/>
      <c r="E154" s="490" t="s">
        <v>565</v>
      </c>
      <c r="F154" s="612"/>
      <c r="G154" s="612"/>
      <c r="H154" s="241"/>
    </row>
    <row r="155" spans="1:8" ht="18" customHeight="1" x14ac:dyDescent="0.25">
      <c r="A155" s="241"/>
      <c r="B155" s="241"/>
      <c r="C155" s="241"/>
      <c r="D155" s="241"/>
      <c r="E155" s="490" t="s">
        <v>566</v>
      </c>
      <c r="F155" s="612"/>
      <c r="G155" s="612"/>
      <c r="H155" s="241"/>
    </row>
    <row r="156" spans="1:8" ht="18" customHeight="1" x14ac:dyDescent="0.25">
      <c r="A156" s="241"/>
      <c r="B156" s="241"/>
      <c r="C156" s="241"/>
      <c r="D156" s="241"/>
      <c r="E156" s="490" t="s">
        <v>567</v>
      </c>
      <c r="F156" s="613" t="str">
        <f>IF('Bulk Plant Input'!$I$5="","",'Bulk Plant Input'!$I$5)</f>
        <v/>
      </c>
      <c r="G156" s="612"/>
      <c r="H156" s="241"/>
    </row>
    <row r="157" spans="1:8" ht="18" customHeight="1" x14ac:dyDescent="0.25">
      <c r="A157" s="241"/>
      <c r="B157" s="241"/>
      <c r="C157" s="241"/>
      <c r="D157" s="241"/>
      <c r="E157" s="490" t="s">
        <v>568</v>
      </c>
      <c r="F157" s="612"/>
      <c r="G157" s="612"/>
      <c r="H157" s="241"/>
    </row>
    <row r="158" spans="1:8" ht="18" customHeight="1" x14ac:dyDescent="0.25">
      <c r="A158" s="241"/>
      <c r="B158" s="241"/>
      <c r="C158" s="241"/>
      <c r="D158" s="241"/>
      <c r="E158" s="241"/>
      <c r="F158" s="241"/>
      <c r="H158" s="241"/>
    </row>
    <row r="159" spans="1:8" ht="18" customHeight="1" x14ac:dyDescent="0.25">
      <c r="A159" s="241"/>
      <c r="B159" s="241"/>
      <c r="C159" s="490" t="s">
        <v>569</v>
      </c>
      <c r="D159" s="504" t="str">
        <f>IF('Bulk Plant Input'!$B$3="","",'Bulk Plant Input'!$B$3)</f>
        <v/>
      </c>
      <c r="E159" s="241"/>
      <c r="F159" s="241"/>
      <c r="H159" s="241"/>
    </row>
    <row r="160" spans="1:8" ht="18" customHeight="1" x14ac:dyDescent="0.25">
      <c r="A160" s="241"/>
      <c r="B160" s="241"/>
      <c r="C160" s="490" t="s">
        <v>570</v>
      </c>
      <c r="D160" s="504" t="str">
        <f>IF('Bulk Plant Input'!$B$5="","",'Bulk Plant Input'!$B$5)</f>
        <v/>
      </c>
      <c r="E160" s="241"/>
      <c r="F160" s="241"/>
      <c r="H160" s="241"/>
    </row>
    <row r="161" spans="1:8" ht="18" customHeight="1" x14ac:dyDescent="0.25">
      <c r="A161" s="241"/>
      <c r="B161" s="241"/>
      <c r="C161" s="490" t="s">
        <v>571</v>
      </c>
      <c r="D161" s="495"/>
      <c r="E161" s="241"/>
      <c r="F161" s="241"/>
      <c r="H161" s="241"/>
    </row>
    <row r="162" spans="1:8" ht="18" customHeight="1" x14ac:dyDescent="0.25">
      <c r="A162" s="241"/>
      <c r="B162" s="241"/>
      <c r="C162" s="490" t="s">
        <v>572</v>
      </c>
      <c r="D162" s="504" t="str">
        <f>IF('Bulk Plant Input'!$B$4="","",'Bulk Plant Input'!$B$4)</f>
        <v/>
      </c>
      <c r="E162" s="241"/>
      <c r="F162" s="241"/>
      <c r="H162" s="241"/>
    </row>
    <row r="163" spans="1:8" ht="18" customHeight="1" x14ac:dyDescent="0.25">
      <c r="A163" s="241"/>
      <c r="B163" s="241"/>
      <c r="C163" s="490" t="s">
        <v>573</v>
      </c>
      <c r="D163" s="495"/>
      <c r="E163" s="241"/>
      <c r="F163" s="241"/>
      <c r="H163" s="241"/>
    </row>
    <row r="164" spans="1:8" ht="18" customHeight="1" x14ac:dyDescent="0.25">
      <c r="A164" s="241"/>
      <c r="B164" s="241"/>
      <c r="C164" s="241"/>
      <c r="D164" s="241"/>
      <c r="E164" s="241"/>
      <c r="F164" s="241"/>
      <c r="H164" s="241"/>
    </row>
    <row r="165" spans="1:8" ht="18" customHeight="1" x14ac:dyDescent="0.25">
      <c r="A165" s="241"/>
      <c r="B165" s="18" t="s">
        <v>597</v>
      </c>
      <c r="C165" s="241"/>
      <c r="D165" s="241"/>
      <c r="E165" s="241"/>
      <c r="F165" s="241"/>
      <c r="H165" s="241"/>
    </row>
    <row r="166" spans="1:8" x14ac:dyDescent="0.25">
      <c r="A166" s="486"/>
      <c r="B166" s="503" t="s">
        <v>574</v>
      </c>
      <c r="C166" s="503" t="s">
        <v>575</v>
      </c>
      <c r="D166" s="503" t="s">
        <v>576</v>
      </c>
      <c r="E166" s="503" t="s">
        <v>577</v>
      </c>
      <c r="F166" s="615" t="s">
        <v>578</v>
      </c>
      <c r="G166" s="616"/>
      <c r="H166" s="503" t="s">
        <v>579</v>
      </c>
    </row>
    <row r="167" spans="1:8" ht="45" customHeight="1" x14ac:dyDescent="0.25">
      <c r="A167" s="485" t="s">
        <v>584</v>
      </c>
      <c r="B167" s="210"/>
      <c r="C167" s="210" t="str">
        <f>IF(B167="","",'Bulk Plant Input'!$A$19)</f>
        <v/>
      </c>
      <c r="D167" s="210"/>
      <c r="E167" s="486"/>
      <c r="F167" s="617" t="str">
        <f>IF(B167="","",'Blend Assembly'!$E$21)</f>
        <v/>
      </c>
      <c r="G167" s="618"/>
      <c r="H167" s="486"/>
    </row>
    <row r="168" spans="1:8" ht="45" customHeight="1" x14ac:dyDescent="0.25">
      <c r="A168" s="485" t="s">
        <v>585</v>
      </c>
      <c r="B168" s="210"/>
      <c r="C168" s="210" t="str">
        <f>IF(B168="","",'Bulk Plant Input'!$A$19)</f>
        <v/>
      </c>
      <c r="D168" s="210"/>
      <c r="E168" s="15"/>
      <c r="F168" s="617" t="str">
        <f>IF(B168="","",'Blend Assembly'!$E$21)</f>
        <v/>
      </c>
      <c r="G168" s="618"/>
      <c r="H168" s="15"/>
    </row>
    <row r="169" spans="1:8" ht="45" customHeight="1" x14ac:dyDescent="0.25">
      <c r="A169" s="485" t="s">
        <v>586</v>
      </c>
      <c r="B169" s="210"/>
      <c r="C169" s="210" t="str">
        <f>IF(B169="","",'Bulk Plant Input'!$A$19)</f>
        <v/>
      </c>
      <c r="D169" s="210"/>
      <c r="E169" s="15"/>
      <c r="F169" s="617" t="str">
        <f>IF(B169="","",'Blend Assembly'!$E$21)</f>
        <v/>
      </c>
      <c r="G169" s="618"/>
      <c r="H169" s="15"/>
    </row>
    <row r="170" spans="1:8" ht="18" customHeight="1" x14ac:dyDescent="0.25">
      <c r="A170" s="241"/>
      <c r="B170" s="241"/>
      <c r="C170" s="241"/>
      <c r="D170" s="241"/>
      <c r="E170" s="241"/>
      <c r="F170" s="241"/>
      <c r="H170" s="241"/>
    </row>
    <row r="171" spans="1:8" ht="18" customHeight="1" x14ac:dyDescent="0.25">
      <c r="A171" s="241"/>
      <c r="B171" s="241"/>
      <c r="C171" s="241"/>
      <c r="D171" s="241"/>
      <c r="E171" s="241"/>
      <c r="F171" s="241"/>
      <c r="H171" s="241"/>
    </row>
    <row r="172" spans="1:8" ht="18" customHeight="1" x14ac:dyDescent="0.25">
      <c r="A172" s="241"/>
      <c r="B172" s="241"/>
      <c r="C172" s="483" t="s">
        <v>574</v>
      </c>
      <c r="D172" s="498" t="s">
        <v>587</v>
      </c>
      <c r="E172" s="483" t="s">
        <v>577</v>
      </c>
      <c r="F172" s="619" t="s">
        <v>578</v>
      </c>
      <c r="G172" s="619"/>
      <c r="H172" s="241"/>
    </row>
    <row r="173" spans="1:8" ht="18" customHeight="1" x14ac:dyDescent="0.25">
      <c r="A173" s="241"/>
      <c r="B173" s="241"/>
      <c r="C173" s="483" t="str">
        <f>IF(SUM(B167:B169)=0,"",SUM(B167:B169))</f>
        <v/>
      </c>
      <c r="D173" s="496" t="str">
        <f>'Bulk Plant Input'!$A$19</f>
        <v>SURFACEmix PRO SL</v>
      </c>
      <c r="E173" s="483" t="str">
        <f>IF($C$122="","",IF(F173="","",'Bulk Plant Input'!C69*$C$122))</f>
        <v/>
      </c>
      <c r="F173" s="619" t="str">
        <f>IF('Bulk Plant Input'!$A23="","",'Bulk Plant Input'!$A23)</f>
        <v/>
      </c>
      <c r="G173" s="619"/>
      <c r="H173" s="241"/>
    </row>
    <row r="174" spans="1:8" ht="18" customHeight="1" x14ac:dyDescent="0.25">
      <c r="A174" s="241"/>
      <c r="B174" s="241"/>
      <c r="C174" s="497"/>
      <c r="D174" s="496"/>
      <c r="E174" s="483" t="str">
        <f>IF($C$122="","",IF(F174="","",'Bulk Plant Input'!C70*$C$122))</f>
        <v/>
      </c>
      <c r="F174" s="619" t="str">
        <f>IF('Bulk Plant Input'!$A24="","",'Bulk Plant Input'!$A24)</f>
        <v/>
      </c>
      <c r="G174" s="619"/>
      <c r="H174" s="241"/>
    </row>
    <row r="175" spans="1:8" ht="18" customHeight="1" x14ac:dyDescent="0.25">
      <c r="A175" s="241"/>
      <c r="B175" s="241"/>
      <c r="C175" s="497"/>
      <c r="D175" s="496"/>
      <c r="E175" s="483" t="str">
        <f>IF($C$122="","",IF(F175="","",'Bulk Plant Input'!C71*$C$122))</f>
        <v/>
      </c>
      <c r="F175" s="619" t="str">
        <f>IF('Bulk Plant Input'!$A25="","",'Bulk Plant Input'!$A25)</f>
        <v/>
      </c>
      <c r="G175" s="619"/>
      <c r="H175" s="241"/>
    </row>
    <row r="176" spans="1:8" ht="18" customHeight="1" x14ac:dyDescent="0.25">
      <c r="A176" s="241"/>
      <c r="B176" s="241"/>
      <c r="C176" s="497"/>
      <c r="D176" s="496"/>
      <c r="E176" s="483" t="str">
        <f>IF($C$122="","",IF(F176="","",'Bulk Plant Input'!C72*$C$122))</f>
        <v/>
      </c>
      <c r="F176" s="619" t="str">
        <f>IF('Bulk Plant Input'!$A26="","",'Bulk Plant Input'!$A26)</f>
        <v/>
      </c>
      <c r="G176" s="619"/>
      <c r="H176" s="241"/>
    </row>
    <row r="177" spans="1:8" ht="18" customHeight="1" x14ac:dyDescent="0.25">
      <c r="A177" s="241"/>
      <c r="B177" s="241"/>
      <c r="C177" s="497"/>
      <c r="D177" s="496"/>
      <c r="E177" s="483" t="str">
        <f>IF($C$122="","",IF(F177="","",'Bulk Plant Input'!C73*$C$122))</f>
        <v/>
      </c>
      <c r="F177" s="619" t="str">
        <f>IF('Bulk Plant Input'!$A27="","",'Bulk Plant Input'!$A27)</f>
        <v/>
      </c>
      <c r="G177" s="619"/>
      <c r="H177" s="241"/>
    </row>
    <row r="178" spans="1:8" ht="18" customHeight="1" x14ac:dyDescent="0.25">
      <c r="A178" s="241"/>
      <c r="B178" s="241"/>
      <c r="C178" s="497"/>
      <c r="D178" s="496"/>
      <c r="E178" s="483" t="str">
        <f>IF($C$122="","",IF(F178="","",'Bulk Plant Input'!C74*$C$122))</f>
        <v/>
      </c>
      <c r="F178" s="619" t="str">
        <f>IF('Bulk Plant Input'!$A28="","",'Bulk Plant Input'!$A28)</f>
        <v/>
      </c>
      <c r="G178" s="619"/>
      <c r="H178" s="241"/>
    </row>
    <row r="179" spans="1:8" ht="18" customHeight="1" x14ac:dyDescent="0.25">
      <c r="A179" s="241"/>
      <c r="B179" s="241"/>
      <c r="C179" s="497"/>
      <c r="D179" s="496"/>
      <c r="E179" s="483" t="str">
        <f>IF($C$122="","",IF(F179="","",'Bulk Plant Input'!C75*$C$122))</f>
        <v/>
      </c>
      <c r="F179" s="619" t="str">
        <f>IF('Bulk Plant Input'!$A29="","",'Bulk Plant Input'!$A29)</f>
        <v/>
      </c>
      <c r="G179" s="619"/>
      <c r="H179" s="241"/>
    </row>
    <row r="180" spans="1:8" ht="18" customHeight="1" x14ac:dyDescent="0.25">
      <c r="A180" s="241"/>
      <c r="B180" s="241"/>
      <c r="C180" s="497"/>
      <c r="D180" s="496"/>
      <c r="E180" s="483" t="str">
        <f>IF($C$122="","",IF(F180="","",'Bulk Plant Input'!C76*$C$122))</f>
        <v/>
      </c>
      <c r="F180" s="619" t="str">
        <f>IF('Bulk Plant Input'!$A30="","",'Bulk Plant Input'!$A30)</f>
        <v/>
      </c>
      <c r="G180" s="619"/>
      <c r="H180" s="241"/>
    </row>
    <row r="181" spans="1:8" ht="18" customHeight="1" x14ac:dyDescent="0.25">
      <c r="A181" s="241"/>
      <c r="B181" s="241"/>
      <c r="C181" s="497"/>
      <c r="D181" s="496"/>
      <c r="E181" s="483" t="str">
        <f>IF($C$122="","",IF(F181="","",'Bulk Plant Input'!C77*$C$122))</f>
        <v/>
      </c>
      <c r="F181" s="619" t="str">
        <f>IF('Bulk Plant Input'!$A31="","",'Bulk Plant Input'!$A31)</f>
        <v/>
      </c>
      <c r="G181" s="619"/>
      <c r="H181" s="241"/>
    </row>
    <row r="182" spans="1:8" ht="18" customHeight="1" x14ac:dyDescent="0.25">
      <c r="A182" s="241"/>
      <c r="B182" s="241"/>
      <c r="C182" s="497"/>
      <c r="D182" s="496"/>
      <c r="E182" s="483" t="str">
        <f>IF($C$122="","",IF(F182="","",'Bulk Plant Input'!C78*$C$122))</f>
        <v/>
      </c>
      <c r="F182" s="619" t="str">
        <f>IF('Bulk Plant Input'!$A32="","",'Bulk Plant Input'!$A32)</f>
        <v/>
      </c>
      <c r="G182" s="619"/>
      <c r="H182" s="241"/>
    </row>
    <row r="183" spans="1:8" ht="18" customHeight="1" x14ac:dyDescent="0.25">
      <c r="A183" s="241"/>
      <c r="B183" s="241"/>
      <c r="C183" s="497"/>
      <c r="D183" s="496"/>
      <c r="E183" s="483" t="str">
        <f>IF($C$122="","",IF(F183="","",'Bulk Plant Input'!C79*$C$122))</f>
        <v/>
      </c>
      <c r="F183" s="619" t="str">
        <f>IF('Bulk Plant Input'!$A33="","",'Bulk Plant Input'!$A33)</f>
        <v/>
      </c>
      <c r="G183" s="619"/>
      <c r="H183" s="241"/>
    </row>
    <row r="184" spans="1:8" ht="18" customHeight="1" x14ac:dyDescent="0.25">
      <c r="A184" s="241"/>
      <c r="B184" s="241"/>
      <c r="C184" s="497"/>
      <c r="D184" s="496"/>
      <c r="E184" s="483" t="str">
        <f>IF($C$122="","",IF(F184="","",'Bulk Plant Input'!C80*$C$122))</f>
        <v/>
      </c>
      <c r="F184" s="619" t="str">
        <f>IF('Bulk Plant Input'!$A34="","",'Bulk Plant Input'!$A34)</f>
        <v/>
      </c>
      <c r="G184" s="619"/>
      <c r="H184" s="241"/>
    </row>
    <row r="185" spans="1:8" ht="18" customHeight="1" x14ac:dyDescent="0.25">
      <c r="A185" s="241"/>
      <c r="B185" s="241"/>
      <c r="C185" s="497"/>
      <c r="D185" s="496"/>
      <c r="E185" s="483" t="str">
        <f>IF($C$122="","",IF(F185="","",'Bulk Plant Input'!C81*$C$122))</f>
        <v/>
      </c>
      <c r="F185" s="619" t="str">
        <f>IF('Bulk Plant Input'!$A35="","",'Bulk Plant Input'!$A35)</f>
        <v/>
      </c>
      <c r="G185" s="619"/>
      <c r="H185" s="241"/>
    </row>
    <row r="186" spans="1:8" ht="18" customHeight="1" x14ac:dyDescent="0.25">
      <c r="A186" s="241"/>
      <c r="B186" s="241"/>
      <c r="C186" s="497"/>
      <c r="D186" s="496"/>
      <c r="E186" s="483" t="str">
        <f>IF($C$122="","",IF(F186="","",'Bulk Plant Input'!C82*$C$122))</f>
        <v/>
      </c>
      <c r="F186" s="619" t="str">
        <f>IF('Bulk Plant Input'!$A36="","",'Bulk Plant Input'!$A36)</f>
        <v/>
      </c>
      <c r="G186" s="619"/>
      <c r="H186" s="241"/>
    </row>
    <row r="187" spans="1:8" ht="18" customHeight="1" x14ac:dyDescent="0.25">
      <c r="A187" s="241"/>
      <c r="B187" s="241"/>
      <c r="C187" s="497"/>
      <c r="D187" s="496"/>
      <c r="E187" s="483" t="str">
        <f>IF($C$122="","",IF(F187="","",'Bulk Plant Input'!C83*$C$122))</f>
        <v/>
      </c>
      <c r="F187" s="619" t="str">
        <f>IF('Bulk Plant Input'!$A37="","",'Bulk Plant Input'!$A37)</f>
        <v/>
      </c>
      <c r="G187" s="619"/>
      <c r="H187" s="241"/>
    </row>
    <row r="188" spans="1:8" ht="18" customHeight="1" x14ac:dyDescent="0.25">
      <c r="A188" s="241"/>
      <c r="B188" s="241"/>
      <c r="C188" s="497"/>
      <c r="D188" s="496"/>
      <c r="E188" s="483" t="str">
        <f>IF($C$122="","",IF(F188="","",'Bulk Plant Input'!C84*$C$122))</f>
        <v/>
      </c>
      <c r="F188" s="619" t="str">
        <f>IF('Bulk Plant Input'!$A43="","",'Bulk Plant Input'!$A43)</f>
        <v/>
      </c>
      <c r="G188" s="619"/>
      <c r="H188" s="241"/>
    </row>
    <row r="189" spans="1:8" ht="18" customHeight="1" x14ac:dyDescent="0.25">
      <c r="A189" s="241"/>
      <c r="B189" s="241"/>
      <c r="C189" s="497"/>
      <c r="D189" s="496"/>
      <c r="E189" s="483" t="str">
        <f>IF($C$122="","",IF(F189="","",'Bulk Plant Input'!C85*$C$122))</f>
        <v/>
      </c>
      <c r="F189" s="619" t="str">
        <f>IF('Bulk Plant Input'!$A44="","",'Bulk Plant Input'!$A44)</f>
        <v/>
      </c>
      <c r="G189" s="619"/>
      <c r="H189" s="241"/>
    </row>
    <row r="190" spans="1:8" ht="30" x14ac:dyDescent="0.25">
      <c r="A190" s="241"/>
      <c r="B190" s="241"/>
      <c r="C190" s="493" t="s">
        <v>592</v>
      </c>
      <c r="D190" s="241"/>
      <c r="E190" s="491" t="str">
        <f>IF(C173="","Enter Pod Tonnage",SUM(E173:E189)+(C173*1000))</f>
        <v>Enter Pod Tonnage</v>
      </c>
      <c r="F190" s="492" t="s">
        <v>588</v>
      </c>
      <c r="H190" s="241"/>
    </row>
    <row r="191" spans="1:8" ht="18" customHeight="1" x14ac:dyDescent="0.25">
      <c r="A191" s="241"/>
      <c r="B191" s="241"/>
      <c r="C191" s="490" t="s">
        <v>591</v>
      </c>
      <c r="D191" s="241"/>
      <c r="E191" s="241"/>
      <c r="F191" s="241"/>
      <c r="H191" s="241"/>
    </row>
    <row r="192" spans="1:8" ht="18" customHeight="1" thickBot="1" x14ac:dyDescent="0.3">
      <c r="A192" s="241"/>
      <c r="B192" s="241"/>
      <c r="C192" s="490" t="s">
        <v>589</v>
      </c>
      <c r="D192" s="487"/>
      <c r="E192" s="241"/>
      <c r="F192" s="490" t="s">
        <v>590</v>
      </c>
      <c r="G192" s="614"/>
      <c r="H192" s="614"/>
    </row>
    <row r="193" spans="1:8" ht="18" customHeight="1" thickBot="1" x14ac:dyDescent="0.3">
      <c r="A193" s="241"/>
      <c r="B193" s="241"/>
      <c r="C193" s="241"/>
      <c r="D193" s="488"/>
      <c r="E193" s="241"/>
      <c r="F193" s="241"/>
      <c r="G193" s="614"/>
      <c r="H193" s="614"/>
    </row>
    <row r="194" spans="1:8" ht="18" customHeight="1" thickBot="1" x14ac:dyDescent="0.3">
      <c r="A194" s="241"/>
      <c r="B194" s="241"/>
      <c r="C194" s="241"/>
      <c r="D194" s="488"/>
      <c r="E194" s="241"/>
      <c r="F194" s="241"/>
      <c r="G194" s="614"/>
      <c r="H194" s="614"/>
    </row>
    <row r="195" spans="1:8" ht="18" customHeight="1" x14ac:dyDescent="0.25">
      <c r="A195" s="241"/>
      <c r="B195" s="241"/>
      <c r="C195" s="241"/>
      <c r="D195" s="241"/>
      <c r="E195" s="241"/>
      <c r="F195" s="241"/>
      <c r="H195" s="241"/>
    </row>
    <row r="196" spans="1:8" ht="18" customHeight="1" x14ac:dyDescent="0.25">
      <c r="A196" s="241"/>
      <c r="B196" s="241"/>
      <c r="C196" s="241"/>
      <c r="D196" s="241"/>
      <c r="E196" s="241"/>
      <c r="F196" s="241"/>
      <c r="H196" s="241"/>
    </row>
    <row r="197" spans="1:8" ht="18" customHeight="1" x14ac:dyDescent="0.25">
      <c r="A197" s="241"/>
      <c r="B197" s="241"/>
      <c r="C197" s="241"/>
      <c r="D197" s="241"/>
      <c r="E197" s="241"/>
      <c r="F197" s="241"/>
      <c r="H197" s="241"/>
    </row>
    <row r="198" spans="1:8" ht="18" customHeight="1" x14ac:dyDescent="0.25"/>
    <row r="199" spans="1:8" ht="18" customHeight="1" x14ac:dyDescent="0.25"/>
    <row r="200" spans="1:8" ht="18" customHeight="1" x14ac:dyDescent="0.25"/>
    <row r="201" spans="1:8" ht="18" customHeight="1" x14ac:dyDescent="0.25"/>
    <row r="202" spans="1:8" ht="18" hidden="1" customHeight="1" x14ac:dyDescent="0.25"/>
    <row r="203" spans="1:8" ht="18" hidden="1" customHeight="1" x14ac:dyDescent="0.25"/>
    <row r="204" spans="1:8" ht="18" hidden="1" customHeight="1" x14ac:dyDescent="0.25"/>
    <row r="205" spans="1:8" ht="18" hidden="1" customHeight="1" x14ac:dyDescent="0.25"/>
    <row r="206" spans="1:8" ht="18" hidden="1" customHeight="1" x14ac:dyDescent="0.25"/>
    <row r="207" spans="1:8" ht="18" hidden="1" customHeight="1" x14ac:dyDescent="0.25"/>
    <row r="208" spans="1:8" ht="18" hidden="1" customHeight="1" x14ac:dyDescent="0.25"/>
    <row r="209" ht="18" hidden="1" customHeight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</sheetData>
  <mergeCells count="125">
    <mergeCell ref="F1:G1"/>
    <mergeCell ref="F51:G51"/>
    <mergeCell ref="F102:G102"/>
    <mergeCell ref="F152:G152"/>
    <mergeCell ref="G194:H194"/>
    <mergeCell ref="F6:G6"/>
    <mergeCell ref="F53:G53"/>
    <mergeCell ref="F54:G54"/>
    <mergeCell ref="F56:G56"/>
    <mergeCell ref="D49:H49"/>
    <mergeCell ref="F104:G104"/>
    <mergeCell ref="F105:G105"/>
    <mergeCell ref="F107:G107"/>
    <mergeCell ref="F187:G187"/>
    <mergeCell ref="F188:G188"/>
    <mergeCell ref="F189:G189"/>
    <mergeCell ref="G192:H192"/>
    <mergeCell ref="G193:H193"/>
    <mergeCell ref="F182:G182"/>
    <mergeCell ref="F183:G183"/>
    <mergeCell ref="F184:G184"/>
    <mergeCell ref="F185:G185"/>
    <mergeCell ref="F186:G186"/>
    <mergeCell ref="F177:G177"/>
    <mergeCell ref="F178:G178"/>
    <mergeCell ref="F179:G179"/>
    <mergeCell ref="F180:G180"/>
    <mergeCell ref="F181:G181"/>
    <mergeCell ref="F172:G172"/>
    <mergeCell ref="F173:G173"/>
    <mergeCell ref="F174:G174"/>
    <mergeCell ref="F175:G175"/>
    <mergeCell ref="F176:G176"/>
    <mergeCell ref="F157:G157"/>
    <mergeCell ref="F166:G166"/>
    <mergeCell ref="F167:G167"/>
    <mergeCell ref="F168:G168"/>
    <mergeCell ref="F169:G169"/>
    <mergeCell ref="G143:H143"/>
    <mergeCell ref="F153:G153"/>
    <mergeCell ref="F154:G154"/>
    <mergeCell ref="F155:G155"/>
    <mergeCell ref="F156:G156"/>
    <mergeCell ref="F136:G136"/>
    <mergeCell ref="F137:G137"/>
    <mergeCell ref="F138:G138"/>
    <mergeCell ref="G141:H141"/>
    <mergeCell ref="G142:H142"/>
    <mergeCell ref="F131:G131"/>
    <mergeCell ref="F132:G132"/>
    <mergeCell ref="F133:G133"/>
    <mergeCell ref="F134:G134"/>
    <mergeCell ref="F135:G135"/>
    <mergeCell ref="F126:G126"/>
    <mergeCell ref="F127:G127"/>
    <mergeCell ref="F128:G128"/>
    <mergeCell ref="F129:G129"/>
    <mergeCell ref="F130:G130"/>
    <mergeCell ref="F121:G121"/>
    <mergeCell ref="F122:G122"/>
    <mergeCell ref="F123:G123"/>
    <mergeCell ref="F124:G124"/>
    <mergeCell ref="F125:G125"/>
    <mergeCell ref="F106:G106"/>
    <mergeCell ref="F115:G115"/>
    <mergeCell ref="F116:G116"/>
    <mergeCell ref="F117:G117"/>
    <mergeCell ref="F118:G118"/>
    <mergeCell ref="G92:H92"/>
    <mergeCell ref="F103:G103"/>
    <mergeCell ref="F85:G85"/>
    <mergeCell ref="F86:G86"/>
    <mergeCell ref="F87:G87"/>
    <mergeCell ref="G90:H90"/>
    <mergeCell ref="G91:H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70:G70"/>
    <mergeCell ref="F71:G71"/>
    <mergeCell ref="F72:G72"/>
    <mergeCell ref="F73:G73"/>
    <mergeCell ref="F74:G74"/>
    <mergeCell ref="F55:G55"/>
    <mergeCell ref="F64:G64"/>
    <mergeCell ref="F65:G65"/>
    <mergeCell ref="F66:G66"/>
    <mergeCell ref="F67:G67"/>
    <mergeCell ref="F52:G52"/>
    <mergeCell ref="F14:G14"/>
    <mergeCell ref="F15:G15"/>
    <mergeCell ref="F16:G16"/>
    <mergeCell ref="F17:G17"/>
    <mergeCell ref="F20:G20"/>
    <mergeCell ref="F32:G32"/>
    <mergeCell ref="F33:G33"/>
    <mergeCell ref="F22:G22"/>
    <mergeCell ref="F23:G23"/>
    <mergeCell ref="F24:G24"/>
    <mergeCell ref="F25:G25"/>
    <mergeCell ref="F26:G26"/>
    <mergeCell ref="F27:G27"/>
    <mergeCell ref="G42:H42"/>
    <mergeCell ref="G41:H41"/>
    <mergeCell ref="F2:G2"/>
    <mergeCell ref="F3:G3"/>
    <mergeCell ref="F4:G4"/>
    <mergeCell ref="F5:G5"/>
    <mergeCell ref="F34:G34"/>
    <mergeCell ref="F35:G35"/>
    <mergeCell ref="F36:G36"/>
    <mergeCell ref="F37:G37"/>
    <mergeCell ref="G40:H40"/>
    <mergeCell ref="F28:G28"/>
    <mergeCell ref="F29:G29"/>
    <mergeCell ref="F30:G30"/>
    <mergeCell ref="F31:G31"/>
    <mergeCell ref="F21:G21"/>
  </mergeCells>
  <conditionalFormatting sqref="B15">
    <cfRule type="containsBlanks" dxfId="98" priority="93">
      <formula>LEN(TRIM(B15))=0</formula>
    </cfRule>
  </conditionalFormatting>
  <conditionalFormatting sqref="B16">
    <cfRule type="containsBlanks" dxfId="97" priority="92">
      <formula>LEN(TRIM(B16))=0</formula>
    </cfRule>
  </conditionalFormatting>
  <conditionalFormatting sqref="B17">
    <cfRule type="containsBlanks" dxfId="96" priority="91">
      <formula>LEN(TRIM(B17))=0</formula>
    </cfRule>
  </conditionalFormatting>
  <conditionalFormatting sqref="D11">
    <cfRule type="containsBlanks" dxfId="95" priority="86">
      <formula>LEN(TRIM(D11))=0</formula>
    </cfRule>
  </conditionalFormatting>
  <conditionalFormatting sqref="D15:D17">
    <cfRule type="containsBlanks" dxfId="94" priority="79">
      <formula>LEN(TRIM(D15))=0</formula>
    </cfRule>
  </conditionalFormatting>
  <conditionalFormatting sqref="B118">
    <cfRule type="containsBlanks" dxfId="93" priority="65">
      <formula>LEN(TRIM(B118))=0</formula>
    </cfRule>
  </conditionalFormatting>
  <conditionalFormatting sqref="B65">
    <cfRule type="containsBlanks" dxfId="92" priority="78">
      <formula>LEN(TRIM(B65))=0</formula>
    </cfRule>
  </conditionalFormatting>
  <conditionalFormatting sqref="B66">
    <cfRule type="containsBlanks" dxfId="91" priority="77">
      <formula>LEN(TRIM(B66))=0</formula>
    </cfRule>
  </conditionalFormatting>
  <conditionalFormatting sqref="B67">
    <cfRule type="containsBlanks" dxfId="90" priority="76">
      <formula>LEN(TRIM(B67))=0</formula>
    </cfRule>
  </conditionalFormatting>
  <conditionalFormatting sqref="D61">
    <cfRule type="containsBlanks" dxfId="89" priority="71">
      <formula>LEN(TRIM(D61))=0</formula>
    </cfRule>
  </conditionalFormatting>
  <conditionalFormatting sqref="B116">
    <cfRule type="containsBlanks" dxfId="88" priority="67">
      <formula>LEN(TRIM(B116))=0</formula>
    </cfRule>
  </conditionalFormatting>
  <conditionalFormatting sqref="D65:D67">
    <cfRule type="containsBlanks" dxfId="87" priority="68">
      <formula>LEN(TRIM(D65))=0</formula>
    </cfRule>
  </conditionalFormatting>
  <conditionalFormatting sqref="D162">
    <cfRule type="containsBlanks" dxfId="86" priority="50">
      <formula>LEN(TRIM(D162))=0</formula>
    </cfRule>
  </conditionalFormatting>
  <conditionalFormatting sqref="D159">
    <cfRule type="containsBlanks" dxfId="85" priority="53">
      <formula>LEN(TRIM(D159))=0</formula>
    </cfRule>
  </conditionalFormatting>
  <conditionalFormatting sqref="B117">
    <cfRule type="containsBlanks" dxfId="84" priority="66">
      <formula>LEN(TRIM(B117))=0</formula>
    </cfRule>
  </conditionalFormatting>
  <conditionalFormatting sqref="D112">
    <cfRule type="containsBlanks" dxfId="83" priority="60">
      <formula>LEN(TRIM(D112))=0</formula>
    </cfRule>
  </conditionalFormatting>
  <conditionalFormatting sqref="D163">
    <cfRule type="containsBlanks" dxfId="82" priority="49">
      <formula>LEN(TRIM(D163))=0</formula>
    </cfRule>
  </conditionalFormatting>
  <conditionalFormatting sqref="F157">
    <cfRule type="containsBlanks" dxfId="81" priority="47">
      <formula>LEN(TRIM(F157))=0</formula>
    </cfRule>
  </conditionalFormatting>
  <conditionalFormatting sqref="D167:D169">
    <cfRule type="containsBlanks" dxfId="80" priority="46">
      <formula>LEN(TRIM(D167))=0</formula>
    </cfRule>
  </conditionalFormatting>
  <conditionalFormatting sqref="D116:D118">
    <cfRule type="containsBlanks" dxfId="79" priority="57">
      <formula>LEN(TRIM(D116))=0</formula>
    </cfRule>
  </conditionalFormatting>
  <conditionalFormatting sqref="B167">
    <cfRule type="containsBlanks" dxfId="78" priority="56">
      <formula>LEN(TRIM(B167))=0</formula>
    </cfRule>
  </conditionalFormatting>
  <conditionalFormatting sqref="B168">
    <cfRule type="containsBlanks" dxfId="77" priority="55">
      <formula>LEN(TRIM(B168))=0</formula>
    </cfRule>
  </conditionalFormatting>
  <conditionalFormatting sqref="B169">
    <cfRule type="containsBlanks" dxfId="76" priority="54">
      <formula>LEN(TRIM(B169))=0</formula>
    </cfRule>
  </conditionalFormatting>
  <conditionalFormatting sqref="D160">
    <cfRule type="containsBlanks" dxfId="75" priority="52">
      <formula>LEN(TRIM(D160))=0</formula>
    </cfRule>
  </conditionalFormatting>
  <conditionalFormatting sqref="D161">
    <cfRule type="containsBlanks" dxfId="74" priority="51">
      <formula>LEN(TRIM(D161))=0</formula>
    </cfRule>
  </conditionalFormatting>
  <conditionalFormatting sqref="F6">
    <cfRule type="containsBlanks" dxfId="73" priority="42">
      <formula>LEN(TRIM(F6))=0</formula>
    </cfRule>
  </conditionalFormatting>
  <conditionalFormatting sqref="F56">
    <cfRule type="containsBlanks" dxfId="72" priority="38">
      <formula>LEN(TRIM(F56))=0</formula>
    </cfRule>
  </conditionalFormatting>
  <conditionalFormatting sqref="F107">
    <cfRule type="containsBlanks" dxfId="71" priority="34">
      <formula>LEN(TRIM(F107))=0</formula>
    </cfRule>
  </conditionalFormatting>
  <conditionalFormatting sqref="F102">
    <cfRule type="containsBlanks" dxfId="70" priority="31">
      <formula>LEN(TRIM(F102))=0</formula>
    </cfRule>
  </conditionalFormatting>
  <conditionalFormatting sqref="D108">
    <cfRule type="containsBlanks" dxfId="69" priority="29">
      <formula>LEN(TRIM(D108))=0</formula>
    </cfRule>
  </conditionalFormatting>
  <conditionalFormatting sqref="D109">
    <cfRule type="containsBlanks" dxfId="68" priority="28">
      <formula>LEN(TRIM(D109))=0</formula>
    </cfRule>
  </conditionalFormatting>
  <conditionalFormatting sqref="D110">
    <cfRule type="containsBlanks" dxfId="67" priority="27">
      <formula>LEN(TRIM(D110))=0</formula>
    </cfRule>
  </conditionalFormatting>
  <conditionalFormatting sqref="D111">
    <cfRule type="containsBlanks" dxfId="66" priority="26">
      <formula>LEN(TRIM(D111))=0</formula>
    </cfRule>
  </conditionalFormatting>
  <conditionalFormatting sqref="D57">
    <cfRule type="containsBlanks" dxfId="65" priority="25">
      <formula>LEN(TRIM(D57))=0</formula>
    </cfRule>
  </conditionalFormatting>
  <conditionalFormatting sqref="D58">
    <cfRule type="containsBlanks" dxfId="64" priority="24">
      <formula>LEN(TRIM(D58))=0</formula>
    </cfRule>
  </conditionalFormatting>
  <conditionalFormatting sqref="D59">
    <cfRule type="containsBlanks" dxfId="63" priority="23">
      <formula>LEN(TRIM(D59))=0</formula>
    </cfRule>
  </conditionalFormatting>
  <conditionalFormatting sqref="D60">
    <cfRule type="containsBlanks" dxfId="62" priority="22">
      <formula>LEN(TRIM(D60))=0</formula>
    </cfRule>
  </conditionalFormatting>
  <conditionalFormatting sqref="D7">
    <cfRule type="containsBlanks" dxfId="61" priority="21">
      <formula>LEN(TRIM(D7))=0</formula>
    </cfRule>
  </conditionalFormatting>
  <conditionalFormatting sqref="D8">
    <cfRule type="containsBlanks" dxfId="60" priority="20">
      <formula>LEN(TRIM(D8))=0</formula>
    </cfRule>
  </conditionalFormatting>
  <conditionalFormatting sqref="D9">
    <cfRule type="containsBlanks" dxfId="59" priority="19">
      <formula>LEN(TRIM(D9))=0</formula>
    </cfRule>
  </conditionalFormatting>
  <conditionalFormatting sqref="D10">
    <cfRule type="containsBlanks" dxfId="58" priority="18">
      <formula>LEN(TRIM(D10))=0</formula>
    </cfRule>
  </conditionalFormatting>
  <conditionalFormatting sqref="F103">
    <cfRule type="containsBlanks" dxfId="57" priority="17">
      <formula>LEN(TRIM(F103))=0</formula>
    </cfRule>
  </conditionalFormatting>
  <conditionalFormatting sqref="F104:F106">
    <cfRule type="containsBlanks" dxfId="56" priority="16">
      <formula>LEN(TRIM(F104))=0</formula>
    </cfRule>
  </conditionalFormatting>
  <conditionalFormatting sqref="F152">
    <cfRule type="containsBlanks" dxfId="55" priority="9">
      <formula>LEN(TRIM(F152))=0</formula>
    </cfRule>
  </conditionalFormatting>
  <conditionalFormatting sqref="F153">
    <cfRule type="containsBlanks" dxfId="54" priority="8">
      <formula>LEN(TRIM(F153))=0</formula>
    </cfRule>
  </conditionalFormatting>
  <conditionalFormatting sqref="F154:F156">
    <cfRule type="containsBlanks" dxfId="53" priority="7">
      <formula>LEN(TRIM(F154))=0</formula>
    </cfRule>
  </conditionalFormatting>
  <conditionalFormatting sqref="F51">
    <cfRule type="containsBlanks" dxfId="52" priority="6">
      <formula>LEN(TRIM(F51))=0</formula>
    </cfRule>
  </conditionalFormatting>
  <conditionalFormatting sqref="F52">
    <cfRule type="containsBlanks" dxfId="51" priority="5">
      <formula>LEN(TRIM(F52))=0</formula>
    </cfRule>
  </conditionalFormatting>
  <conditionalFormatting sqref="F53:F55">
    <cfRule type="containsBlanks" dxfId="50" priority="4">
      <formula>LEN(TRIM(F53))=0</formula>
    </cfRule>
  </conditionalFormatting>
  <conditionalFormatting sqref="F1">
    <cfRule type="containsBlanks" dxfId="49" priority="3">
      <formula>LEN(TRIM(F1))=0</formula>
    </cfRule>
  </conditionalFormatting>
  <conditionalFormatting sqref="F2">
    <cfRule type="containsBlanks" dxfId="48" priority="2">
      <formula>LEN(TRIM(F2))=0</formula>
    </cfRule>
  </conditionalFormatting>
  <conditionalFormatting sqref="F3:F5">
    <cfRule type="containsBlanks" dxfId="47" priority="1">
      <formula>LEN(TRIM(F3))=0</formula>
    </cfRule>
  </conditionalFormatting>
  <dataValidations count="1">
    <dataValidation type="list" allowBlank="1" showInputMessage="1" showErrorMessage="1" sqref="D11 D61 D112 D163">
      <formula1>"Yes,No"</formula1>
    </dataValidation>
  </dataValidations>
  <pageMargins left="0.7" right="0.7" top="0.75" bottom="0.75" header="0.3" footer="0.3"/>
  <pageSetup scale="70" orientation="portrait" r:id="rId1"/>
  <headerFooter>
    <oddHeader>&amp;L&amp;G&amp;R&amp;"-,Bold"&amp;20Material Transfer Sheet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'Silo Sizes'!$J$2:$J$4</xm:f>
          </x14:formula1>
          <xm:sqref>D15:D17 D65:D67 D116:D118 D167:D169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M22" sqref="M22"/>
    </sheetView>
  </sheetViews>
  <sheetFormatPr defaultRowHeight="15" x14ac:dyDescent="0.25"/>
  <cols>
    <col min="1" max="16384" width="9.140625" style="476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OpenBaseBlendPropCalc">
                <anchor moveWithCells="1" sizeWithCells="1">
                  <from>
                    <xdr:col>0</xdr:col>
                    <xdr:colOff>590550</xdr:colOff>
                    <xdr:row>1</xdr:row>
                    <xdr:rowOff>19050</xdr:rowOff>
                  </from>
                  <to>
                    <xdr:col>2</xdr:col>
                    <xdr:colOff>581025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OpenBaseProp">
                <anchor moveWithCells="1" sizeWithCells="1">
                  <from>
                    <xdr:col>3</xdr:col>
                    <xdr:colOff>200025</xdr:colOff>
                    <xdr:row>1</xdr:row>
                    <xdr:rowOff>9525</xdr:rowOff>
                  </from>
                  <to>
                    <xdr:col>5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OpenSGs">
                <anchor moveWithCells="1" sizeWithCells="1">
                  <from>
                    <xdr:col>5</xdr:col>
                    <xdr:colOff>438150</xdr:colOff>
                    <xdr:row>1</xdr:row>
                    <xdr:rowOff>9525</xdr:rowOff>
                  </from>
                  <to>
                    <xdr:col>7</xdr:col>
                    <xdr:colOff>390525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Button 6">
              <controlPr defaultSize="0" print="0" autoFill="0" autoPict="0" macro="[0]!OpenBaseBlendCompatibility">
                <anchor moveWithCells="1" sizeWithCells="1">
                  <from>
                    <xdr:col>7</xdr:col>
                    <xdr:colOff>590550</xdr:colOff>
                    <xdr:row>1</xdr:row>
                    <xdr:rowOff>19050</xdr:rowOff>
                  </from>
                  <to>
                    <xdr:col>9</xdr:col>
                    <xdr:colOff>533400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Button 8">
              <controlPr defaultSize="0" print="0" autoFill="0" autoPict="0" macro="[0]!OpenSilo">
                <anchor moveWithCells="1" sizeWithCells="1">
                  <from>
                    <xdr:col>10</xdr:col>
                    <xdr:colOff>171450</xdr:colOff>
                    <xdr:row>1</xdr:row>
                    <xdr:rowOff>0</xdr:rowOff>
                  </from>
                  <to>
                    <xdr:col>12</xdr:col>
                    <xdr:colOff>104775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9" name="Button 9">
              <controlPr defaultSize="0" print="0" autoFill="0" autoPict="0" macro="[0]!OpenMAXandMIN">
                <anchor moveWithCells="1" sizeWithCells="1">
                  <from>
                    <xdr:col>12</xdr:col>
                    <xdr:colOff>400050</xdr:colOff>
                    <xdr:row>1</xdr:row>
                    <xdr:rowOff>9525</xdr:rowOff>
                  </from>
                  <to>
                    <xdr:col>14</xdr:col>
                    <xdr:colOff>342900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0" name="Button 10">
              <controlPr defaultSize="0" print="0" autoFill="0" autoPict="0" macro="[0]!OpenBlendAssembly">
                <anchor moveWithCells="1" sizeWithCells="1">
                  <from>
                    <xdr:col>15</xdr:col>
                    <xdr:colOff>57150</xdr:colOff>
                    <xdr:row>1</xdr:row>
                    <xdr:rowOff>9525</xdr:rowOff>
                  </from>
                  <to>
                    <xdr:col>17</xdr:col>
                    <xdr:colOff>76200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2:N150"/>
  <sheetViews>
    <sheetView topLeftCell="D1" zoomScale="85" zoomScaleNormal="85" workbookViewId="0">
      <pane ySplit="2" topLeftCell="A94" activePane="bottomLeft" state="frozen"/>
      <selection activeCell="B79" sqref="B79:C79"/>
      <selection pane="bottomLeft" activeCell="I127" sqref="I127"/>
    </sheetView>
  </sheetViews>
  <sheetFormatPr defaultRowHeight="15" x14ac:dyDescent="0.25"/>
  <cols>
    <col min="2" max="2" width="17.28515625" customWidth="1"/>
    <col min="3" max="3" width="12.7109375" customWidth="1"/>
    <col min="4" max="4" width="12.7109375" style="213" customWidth="1"/>
    <col min="5" max="5" width="39.7109375" customWidth="1"/>
    <col min="6" max="9" width="12.7109375" style="242" customWidth="1"/>
    <col min="12" max="12" width="14.85546875" customWidth="1"/>
    <col min="13" max="13" width="21.42578125" customWidth="1"/>
  </cols>
  <sheetData>
    <row r="2" spans="2:14" ht="60" x14ac:dyDescent="0.25">
      <c r="B2" s="370" t="s">
        <v>143</v>
      </c>
      <c r="C2" s="367" t="s">
        <v>520</v>
      </c>
      <c r="D2" s="366"/>
      <c r="E2" s="367" t="s">
        <v>221</v>
      </c>
      <c r="F2" s="367" t="s">
        <v>521</v>
      </c>
      <c r="G2" s="367" t="s">
        <v>526</v>
      </c>
      <c r="H2" s="367" t="s">
        <v>522</v>
      </c>
      <c r="I2" s="361" t="s">
        <v>524</v>
      </c>
      <c r="J2" s="361" t="s">
        <v>1804</v>
      </c>
      <c r="K2" s="361" t="s">
        <v>1805</v>
      </c>
    </row>
    <row r="3" spans="2:14" x14ac:dyDescent="0.25">
      <c r="B3" s="374" t="s">
        <v>145</v>
      </c>
      <c r="C3" s="369">
        <v>0.3</v>
      </c>
      <c r="D3" s="368"/>
      <c r="E3" s="369" t="str">
        <f>'Base Blend Property Calculation'!A7</f>
        <v>No Cement</v>
      </c>
      <c r="F3" s="373">
        <v>0</v>
      </c>
      <c r="G3" s="373">
        <f>VLOOKUP(E3,'Base Blend Property Calculation'!$A$7:$BT$158,60,FALSE)</f>
        <v>0</v>
      </c>
      <c r="H3" s="373">
        <v>0</v>
      </c>
      <c r="I3" s="344">
        <v>0</v>
      </c>
      <c r="J3" t="str">
        <f>IF(F3&gt;G3,"Fix Here","")</f>
        <v/>
      </c>
      <c r="K3" t="str">
        <f>IF(H3&lt;G3,"Fix This","")</f>
        <v/>
      </c>
      <c r="L3" s="622" t="s">
        <v>528</v>
      </c>
      <c r="M3" s="623"/>
      <c r="N3" s="348">
        <f>VLOOKUP('Bulk Plant Input'!$A$19,'Max Add &amp; Blend Densities'!$E$3:$H$150,2,FALSE)</f>
        <v>1450</v>
      </c>
    </row>
    <row r="4" spans="2:14" x14ac:dyDescent="0.25">
      <c r="B4" s="374" t="s">
        <v>146</v>
      </c>
      <c r="C4" s="369">
        <v>0.5</v>
      </c>
      <c r="D4" s="368"/>
      <c r="E4" s="369" t="str">
        <f>'Base Blend Property Calculation'!A8</f>
        <v>0:1:0 'A'</v>
      </c>
      <c r="F4" s="373">
        <f>G4</f>
        <v>1880</v>
      </c>
      <c r="G4" s="378">
        <f>VLOOKUP(E4,'Base Blend Property Calculation'!$A$7:$BT$158,61,FALSE)</f>
        <v>1880</v>
      </c>
      <c r="H4" s="373">
        <f>G4</f>
        <v>1880</v>
      </c>
      <c r="I4" s="344">
        <v>1950</v>
      </c>
      <c r="J4" s="241" t="str">
        <f t="shared" ref="J4:J67" si="0">IF(F4&gt;G4,"Fix Here","")</f>
        <v/>
      </c>
      <c r="K4" s="241" t="str">
        <f t="shared" ref="K4:K67" si="1">IF(H4&lt;G4,"Fix This","")</f>
        <v/>
      </c>
      <c r="L4" s="622" t="s">
        <v>527</v>
      </c>
      <c r="M4" s="623"/>
      <c r="N4" s="348">
        <f>VLOOKUP('Bulk Plant Input'!$A$19,'Max Add &amp; Blend Densities'!$E$3:$H$150,4,FALSE)</f>
        <v>1725</v>
      </c>
    </row>
    <row r="5" spans="2:14" x14ac:dyDescent="0.25">
      <c r="B5" s="372" t="s">
        <v>147</v>
      </c>
      <c r="C5" s="369">
        <v>0.3</v>
      </c>
      <c r="D5" s="368"/>
      <c r="E5" s="369" t="str">
        <f>'Base Blend Property Calculation'!A9</f>
        <v>0:1:0 'C'</v>
      </c>
      <c r="F5" s="373">
        <f t="shared" ref="F5:F11" si="2">G5</f>
        <v>1780</v>
      </c>
      <c r="G5" s="378">
        <f>VLOOKUP(E5,'Base Blend Property Calculation'!$A$7:$BT$158,61,FALSE)</f>
        <v>1780</v>
      </c>
      <c r="H5" s="373">
        <f t="shared" ref="H5:H11" si="3">G5</f>
        <v>1780</v>
      </c>
      <c r="I5" s="344">
        <v>1860</v>
      </c>
      <c r="J5" s="241" t="str">
        <f t="shared" si="0"/>
        <v/>
      </c>
      <c r="K5" s="241" t="str">
        <f t="shared" si="1"/>
        <v/>
      </c>
      <c r="L5" s="622" t="s">
        <v>529</v>
      </c>
      <c r="M5" s="623"/>
      <c r="N5" s="348">
        <f>VLOOKUP('Bulk Plant Input'!$A$19,'Max Add &amp; Blend Densities'!$E$3:$I$150,5,FALSE)</f>
        <v>1600</v>
      </c>
    </row>
    <row r="6" spans="2:14" x14ac:dyDescent="0.25">
      <c r="B6" s="374" t="s">
        <v>121</v>
      </c>
      <c r="C6" s="369">
        <v>3</v>
      </c>
      <c r="D6" s="368"/>
      <c r="E6" s="369" t="str">
        <f>'Base Blend Property Calculation'!A10</f>
        <v>0:1:0 'G'</v>
      </c>
      <c r="F6" s="373">
        <v>1700</v>
      </c>
      <c r="G6" s="378">
        <f>VLOOKUP(E6,'Base Blend Property Calculation'!$A$7:$BT$158,61,FALSE)</f>
        <v>1901</v>
      </c>
      <c r="H6" s="373">
        <v>2100</v>
      </c>
      <c r="I6" s="344">
        <v>2105</v>
      </c>
      <c r="J6" s="241" t="str">
        <f t="shared" si="0"/>
        <v/>
      </c>
      <c r="K6" s="241" t="str">
        <f t="shared" si="1"/>
        <v/>
      </c>
    </row>
    <row r="7" spans="2:14" x14ac:dyDescent="0.25">
      <c r="B7" s="374" t="s">
        <v>150</v>
      </c>
      <c r="C7" s="369">
        <v>0.4</v>
      </c>
      <c r="D7" s="368"/>
      <c r="E7" s="369" t="str">
        <f>'Base Blend Property Calculation'!A11</f>
        <v>0:1:12 'G'</v>
      </c>
      <c r="F7" s="373">
        <f t="shared" si="2"/>
        <v>1525</v>
      </c>
      <c r="G7" s="378">
        <f>VLOOKUP(E7,'Base Blend Property Calculation'!$A$7:$BT$158,61,FALSE)</f>
        <v>1525</v>
      </c>
      <c r="H7" s="373">
        <f t="shared" si="3"/>
        <v>1525</v>
      </c>
      <c r="I7" s="344" t="s">
        <v>525</v>
      </c>
      <c r="J7" s="241" t="str">
        <f t="shared" si="0"/>
        <v/>
      </c>
      <c r="K7" s="241" t="str">
        <f t="shared" si="1"/>
        <v/>
      </c>
    </row>
    <row r="8" spans="2:14" x14ac:dyDescent="0.25">
      <c r="B8" s="374" t="s">
        <v>302</v>
      </c>
      <c r="C8" s="369">
        <v>0.4</v>
      </c>
      <c r="D8" s="368"/>
      <c r="E8" s="369" t="str">
        <f>'Base Blend Property Calculation'!A12</f>
        <v>0:1:2 'G'</v>
      </c>
      <c r="F8" s="373">
        <f t="shared" si="2"/>
        <v>1796</v>
      </c>
      <c r="G8" s="378">
        <f>VLOOKUP(E8,'Base Blend Property Calculation'!$A$7:$BT$158,61,FALSE)</f>
        <v>1796</v>
      </c>
      <c r="H8" s="373">
        <f t="shared" si="3"/>
        <v>1796</v>
      </c>
      <c r="I8" s="344" t="s">
        <v>525</v>
      </c>
      <c r="J8" s="241" t="str">
        <f t="shared" si="0"/>
        <v/>
      </c>
      <c r="K8" s="241" t="str">
        <f t="shared" si="1"/>
        <v/>
      </c>
    </row>
    <row r="9" spans="2:14" x14ac:dyDescent="0.25">
      <c r="B9" s="374" t="s">
        <v>179</v>
      </c>
      <c r="C9" s="376">
        <v>10</v>
      </c>
      <c r="D9" s="368"/>
      <c r="E9" s="369" t="str">
        <f>'Base Blend Property Calculation'!A13</f>
        <v>0:1:4 'G'</v>
      </c>
      <c r="F9" s="373">
        <f t="shared" si="2"/>
        <v>1718</v>
      </c>
      <c r="G9" s="378">
        <f>VLOOKUP(E9,'Base Blend Property Calculation'!$A$7:$BT$158,61,FALSE)</f>
        <v>1718</v>
      </c>
      <c r="H9" s="373">
        <f t="shared" si="3"/>
        <v>1718</v>
      </c>
      <c r="I9" s="344" t="s">
        <v>525</v>
      </c>
      <c r="J9" s="241" t="str">
        <f t="shared" si="0"/>
        <v/>
      </c>
      <c r="K9" s="241" t="str">
        <f t="shared" si="1"/>
        <v/>
      </c>
    </row>
    <row r="10" spans="2:14" x14ac:dyDescent="0.25">
      <c r="B10" s="374" t="s">
        <v>111</v>
      </c>
      <c r="C10" s="376">
        <v>5</v>
      </c>
      <c r="D10" s="368"/>
      <c r="E10" s="369" t="str">
        <f>'Base Blend Property Calculation'!A14</f>
        <v>0:1:6 'G'</v>
      </c>
      <c r="F10" s="373">
        <f t="shared" si="2"/>
        <v>1666</v>
      </c>
      <c r="G10" s="378">
        <f>VLOOKUP(E10,'Base Blend Property Calculation'!$A$7:$BT$158,61,FALSE)</f>
        <v>1666</v>
      </c>
      <c r="H10" s="373">
        <f t="shared" si="3"/>
        <v>1666</v>
      </c>
      <c r="I10" s="344" t="s">
        <v>525</v>
      </c>
      <c r="J10" s="241" t="str">
        <f t="shared" si="0"/>
        <v/>
      </c>
      <c r="K10" s="241" t="str">
        <f t="shared" si="1"/>
        <v/>
      </c>
      <c r="L10" t="s">
        <v>532</v>
      </c>
    </row>
    <row r="11" spans="2:14" x14ac:dyDescent="0.25">
      <c r="B11" s="374" t="s">
        <v>112</v>
      </c>
      <c r="C11" s="376">
        <v>5</v>
      </c>
      <c r="D11" s="368"/>
      <c r="E11" s="369" t="str">
        <f>'Base Blend Property Calculation'!A15</f>
        <v>0:1:8 'G'</v>
      </c>
      <c r="F11" s="373">
        <f t="shared" si="2"/>
        <v>1603</v>
      </c>
      <c r="G11" s="378">
        <f>VLOOKUP(E11,'Base Blend Property Calculation'!$A$7:$BT$158,61,FALSE)</f>
        <v>1603</v>
      </c>
      <c r="H11" s="373">
        <f t="shared" si="3"/>
        <v>1603</v>
      </c>
      <c r="I11" s="344" t="s">
        <v>525</v>
      </c>
      <c r="J11" s="241" t="str">
        <f t="shared" si="0"/>
        <v/>
      </c>
      <c r="K11" s="241" t="str">
        <f t="shared" si="1"/>
        <v/>
      </c>
    </row>
    <row r="12" spans="2:14" x14ac:dyDescent="0.25">
      <c r="B12" s="374" t="s">
        <v>110</v>
      </c>
      <c r="C12" s="376">
        <v>5</v>
      </c>
      <c r="D12" s="368"/>
      <c r="E12" s="369" t="str">
        <f>'Base Blend Property Calculation'!A16</f>
        <v>1:1:0 'G'</v>
      </c>
      <c r="F12" s="373">
        <v>1720</v>
      </c>
      <c r="G12" s="378">
        <f>VLOOKUP(E12,'Base Blend Property Calculation'!$A$7:$BT$158,61,FALSE)</f>
        <v>1720</v>
      </c>
      <c r="H12" s="373">
        <v>1750</v>
      </c>
      <c r="I12" s="344">
        <v>1820</v>
      </c>
      <c r="J12" s="241" t="str">
        <f t="shared" si="0"/>
        <v/>
      </c>
      <c r="K12" s="241" t="str">
        <f t="shared" si="1"/>
        <v/>
      </c>
      <c r="L12">
        <f>IF('Bulk Plant Input'!F23="",0,1)</f>
        <v>0</v>
      </c>
    </row>
    <row r="13" spans="2:14" x14ac:dyDescent="0.25">
      <c r="B13" s="374" t="s">
        <v>363</v>
      </c>
      <c r="C13" s="376">
        <v>5</v>
      </c>
      <c r="D13" s="368"/>
      <c r="E13" s="369" t="str">
        <f>'Base Blend Property Calculation'!A17</f>
        <v>1:1:0 'G' (Sask)</v>
      </c>
      <c r="F13" s="373">
        <v>1720</v>
      </c>
      <c r="G13" s="378">
        <f>VLOOKUP(E13,'Base Blend Property Calculation'!$A$7:$BT$158,61,FALSE)</f>
        <v>1720</v>
      </c>
      <c r="H13" s="373">
        <v>1750</v>
      </c>
      <c r="I13" s="344">
        <v>1825</v>
      </c>
      <c r="J13" s="241" t="str">
        <f t="shared" si="0"/>
        <v/>
      </c>
      <c r="K13" s="241" t="str">
        <f t="shared" si="1"/>
        <v/>
      </c>
      <c r="L13" s="241">
        <f>IF('Bulk Plant Input'!F24="",0,1)</f>
        <v>0</v>
      </c>
    </row>
    <row r="14" spans="2:14" x14ac:dyDescent="0.25">
      <c r="B14" s="374" t="s">
        <v>152</v>
      </c>
      <c r="C14" s="369">
        <v>1</v>
      </c>
      <c r="D14" s="368"/>
      <c r="E14" s="369" t="str">
        <f>'Base Blend Property Calculation'!A18</f>
        <v>1:1:12 'G'</v>
      </c>
      <c r="F14" s="373">
        <v>1446</v>
      </c>
      <c r="G14" s="378">
        <f>VLOOKUP(E14,'Base Blend Property Calculation'!$A$7:$BT$158,61,FALSE)</f>
        <v>1446</v>
      </c>
      <c r="H14" s="373">
        <v>1750</v>
      </c>
      <c r="I14" s="344" t="s">
        <v>525</v>
      </c>
      <c r="J14" s="241" t="str">
        <f t="shared" si="0"/>
        <v/>
      </c>
      <c r="K14" s="241" t="str">
        <f t="shared" si="1"/>
        <v/>
      </c>
      <c r="L14" s="241">
        <f>IF('Bulk Plant Input'!F25="",0,1)</f>
        <v>0</v>
      </c>
    </row>
    <row r="15" spans="2:14" x14ac:dyDescent="0.25">
      <c r="B15" s="372" t="s">
        <v>117</v>
      </c>
      <c r="C15" s="369">
        <v>1.25</v>
      </c>
      <c r="D15" s="368"/>
      <c r="E15" s="369" t="str">
        <f>'Base Blend Property Calculation'!A19</f>
        <v>1:1:12 'G' (Sask)</v>
      </c>
      <c r="F15" s="373">
        <v>1446</v>
      </c>
      <c r="G15" s="373">
        <f>VLOOKUP(E15,'Base Blend Property Calculation'!$A$7:$BT$158,61,FALSE)</f>
        <v>1446</v>
      </c>
      <c r="H15" s="373">
        <v>1750</v>
      </c>
      <c r="I15" s="344" t="s">
        <v>525</v>
      </c>
      <c r="J15" s="241" t="str">
        <f t="shared" si="0"/>
        <v/>
      </c>
      <c r="K15" s="241" t="str">
        <f t="shared" si="1"/>
        <v/>
      </c>
      <c r="L15" s="241">
        <f>IF('Bulk Plant Input'!F26="",0,1)</f>
        <v>0</v>
      </c>
    </row>
    <row r="16" spans="2:14" x14ac:dyDescent="0.25">
      <c r="B16" s="372" t="s">
        <v>154</v>
      </c>
      <c r="C16" s="369">
        <v>1.75</v>
      </c>
      <c r="D16" s="368"/>
      <c r="E16" s="369" t="str">
        <f>'Base Blend Property Calculation'!A20</f>
        <v>1:1:2 'G'</v>
      </c>
      <c r="F16" s="373">
        <v>1590</v>
      </c>
      <c r="G16" s="378">
        <f>VLOOKUP(E16,'Base Blend Property Calculation'!$A$7:$BT$158,61,FALSE)</f>
        <v>1646</v>
      </c>
      <c r="H16" s="373">
        <v>1650</v>
      </c>
      <c r="I16" s="344" t="s">
        <v>525</v>
      </c>
      <c r="J16" s="241" t="str">
        <f t="shared" si="0"/>
        <v/>
      </c>
      <c r="K16" s="241" t="str">
        <f t="shared" si="1"/>
        <v/>
      </c>
      <c r="L16" s="241">
        <f>IF('Bulk Plant Input'!F27="",0,1)</f>
        <v>0</v>
      </c>
    </row>
    <row r="17" spans="2:12" x14ac:dyDescent="0.25">
      <c r="B17" s="372" t="s">
        <v>118</v>
      </c>
      <c r="C17" s="369">
        <v>1.2</v>
      </c>
      <c r="D17" s="368"/>
      <c r="E17" s="369" t="str">
        <f>'Base Blend Property Calculation'!A21</f>
        <v>1:1:2 'G' (Sask)</v>
      </c>
      <c r="F17" s="373">
        <v>1590</v>
      </c>
      <c r="G17" s="378">
        <f>VLOOKUP(E17,'Base Blend Property Calculation'!$A$7:$BT$158,61,FALSE)</f>
        <v>1646</v>
      </c>
      <c r="H17" s="373">
        <v>1650</v>
      </c>
      <c r="I17" s="344" t="s">
        <v>525</v>
      </c>
      <c r="J17" s="241" t="str">
        <f t="shared" si="0"/>
        <v/>
      </c>
      <c r="K17" s="241" t="str">
        <f t="shared" si="1"/>
        <v/>
      </c>
      <c r="L17" s="241">
        <f>IF('Bulk Plant Input'!F28="",0,1)</f>
        <v>0</v>
      </c>
    </row>
    <row r="18" spans="2:12" x14ac:dyDescent="0.25">
      <c r="B18" s="374" t="s">
        <v>119</v>
      </c>
      <c r="C18" s="369">
        <v>0.8</v>
      </c>
      <c r="D18" s="368"/>
      <c r="E18" s="369" t="str">
        <f>'Base Blend Property Calculation'!A22</f>
        <v>1:1:4 'G'</v>
      </c>
      <c r="F18" s="373">
        <v>1550</v>
      </c>
      <c r="G18" s="378">
        <f>VLOOKUP(E18,'Base Blend Property Calculation'!$A$7:$BT$158,61,FALSE)</f>
        <v>1590</v>
      </c>
      <c r="H18" s="373">
        <v>1600</v>
      </c>
      <c r="I18" s="344" t="s">
        <v>525</v>
      </c>
      <c r="J18" s="241" t="str">
        <f t="shared" si="0"/>
        <v/>
      </c>
      <c r="K18" s="241" t="str">
        <f t="shared" si="1"/>
        <v/>
      </c>
      <c r="L18" s="241">
        <f>IF('Bulk Plant Input'!F29="",0,1)</f>
        <v>0</v>
      </c>
    </row>
    <row r="19" spans="2:12" x14ac:dyDescent="0.25">
      <c r="B19" s="374" t="s">
        <v>120</v>
      </c>
      <c r="C19" s="369">
        <v>1.2</v>
      </c>
      <c r="D19" s="368"/>
      <c r="E19" s="369" t="str">
        <f>'Base Blend Property Calculation'!A23</f>
        <v>1:1:4 'G' (Sask)</v>
      </c>
      <c r="F19" s="373">
        <v>1550</v>
      </c>
      <c r="G19" s="378">
        <f>VLOOKUP(E19,'Base Blend Property Calculation'!$A$7:$BT$158,61,FALSE)</f>
        <v>1590</v>
      </c>
      <c r="H19" s="373">
        <v>1600</v>
      </c>
      <c r="I19" s="344" t="s">
        <v>525</v>
      </c>
      <c r="J19" s="241" t="str">
        <f t="shared" si="0"/>
        <v/>
      </c>
      <c r="K19" s="241" t="str">
        <f t="shared" si="1"/>
        <v/>
      </c>
      <c r="L19" s="241">
        <f>IF('Bulk Plant Input'!F30="",0,1)</f>
        <v>0</v>
      </c>
    </row>
    <row r="20" spans="2:12" x14ac:dyDescent="0.25">
      <c r="B20" s="374" t="s">
        <v>533</v>
      </c>
      <c r="C20" s="369">
        <v>1</v>
      </c>
      <c r="D20" s="368"/>
      <c r="E20" s="369" t="str">
        <f>'Base Blend Property Calculation'!A24</f>
        <v>1:1:6 'G'</v>
      </c>
      <c r="F20" s="373">
        <v>1500</v>
      </c>
      <c r="G20" s="378">
        <f>VLOOKUP(E20,'Base Blend Property Calculation'!$A$7:$BT$158,61,FALSE)</f>
        <v>1552</v>
      </c>
      <c r="H20" s="373">
        <v>1552</v>
      </c>
      <c r="I20" s="344" t="s">
        <v>525</v>
      </c>
      <c r="J20" s="241" t="str">
        <f t="shared" si="0"/>
        <v/>
      </c>
      <c r="K20" s="241" t="str">
        <f t="shared" si="1"/>
        <v/>
      </c>
      <c r="L20" s="241">
        <f>IF('Bulk Plant Input'!F31="",0,1)</f>
        <v>0</v>
      </c>
    </row>
    <row r="21" spans="2:12" x14ac:dyDescent="0.25">
      <c r="B21" s="372" t="s">
        <v>114</v>
      </c>
      <c r="C21" s="369">
        <v>1</v>
      </c>
      <c r="D21" s="368"/>
      <c r="E21" s="369" t="str">
        <f>'Base Blend Property Calculation'!A25</f>
        <v>1:1:6 'G' (Sask)</v>
      </c>
      <c r="F21" s="373">
        <v>1500</v>
      </c>
      <c r="G21" s="378">
        <f>VLOOKUP(E21,'Base Blend Property Calculation'!$A$7:$BT$158,61,FALSE)</f>
        <v>1552</v>
      </c>
      <c r="H21" s="373">
        <v>1552</v>
      </c>
      <c r="I21" s="344" t="s">
        <v>525</v>
      </c>
      <c r="J21" s="241" t="str">
        <f t="shared" si="0"/>
        <v/>
      </c>
      <c r="K21" s="241" t="str">
        <f t="shared" si="1"/>
        <v/>
      </c>
      <c r="L21" s="241">
        <f>IF('Bulk Plant Input'!F32="",0,1)</f>
        <v>0</v>
      </c>
    </row>
    <row r="22" spans="2:12" x14ac:dyDescent="0.25">
      <c r="B22" s="372" t="s">
        <v>115</v>
      </c>
      <c r="C22" s="369">
        <v>1</v>
      </c>
      <c r="D22" s="368"/>
      <c r="E22" s="369" t="str">
        <f>'Base Blend Property Calculation'!A26</f>
        <v>1:1:8 'G'</v>
      </c>
      <c r="F22" s="373">
        <v>1425</v>
      </c>
      <c r="G22" s="378">
        <f>VLOOKUP(E22,'Base Blend Property Calculation'!$A$7:$BT$158,61,FALSE)</f>
        <v>1505</v>
      </c>
      <c r="H22" s="373">
        <v>1505</v>
      </c>
      <c r="I22" s="344" t="s">
        <v>525</v>
      </c>
      <c r="J22" s="241" t="str">
        <f t="shared" si="0"/>
        <v/>
      </c>
      <c r="K22" s="241" t="str">
        <f t="shared" si="1"/>
        <v/>
      </c>
      <c r="L22" s="241">
        <f>IF('Bulk Plant Input'!F33="",0,1)</f>
        <v>0</v>
      </c>
    </row>
    <row r="23" spans="2:12" x14ac:dyDescent="0.25">
      <c r="B23" s="372" t="s">
        <v>116</v>
      </c>
      <c r="C23" s="369">
        <v>0.2</v>
      </c>
      <c r="D23" s="368"/>
      <c r="E23" s="369" t="str">
        <f>'Base Blend Property Calculation'!A27</f>
        <v>1:1:8 'G' (Sask)</v>
      </c>
      <c r="F23" s="373">
        <v>1425</v>
      </c>
      <c r="G23" s="378">
        <f>VLOOKUP(E23,'Base Blend Property Calculation'!$A$7:$BT$158,61,FALSE)</f>
        <v>1505</v>
      </c>
      <c r="H23" s="373">
        <v>1505</v>
      </c>
      <c r="I23" s="344" t="s">
        <v>525</v>
      </c>
      <c r="J23" s="241" t="str">
        <f t="shared" si="0"/>
        <v/>
      </c>
      <c r="K23" s="241" t="str">
        <f t="shared" si="1"/>
        <v/>
      </c>
      <c r="L23" s="241">
        <f>IF('Bulk Plant Input'!F34="",0,1)</f>
        <v>0</v>
      </c>
    </row>
    <row r="24" spans="2:12" x14ac:dyDescent="0.25">
      <c r="B24" s="374" t="s">
        <v>465</v>
      </c>
      <c r="C24" s="369">
        <v>8</v>
      </c>
      <c r="D24" s="368"/>
      <c r="E24" s="369" t="str">
        <f>'Base Blend Property Calculation'!A28</f>
        <v>2:1:0 'G'</v>
      </c>
      <c r="F24" s="373">
        <f>G24</f>
        <v>1649</v>
      </c>
      <c r="G24" s="378">
        <f>VLOOKUP(E24,'Base Blend Property Calculation'!$A$7:$BT$158,61,FALSE)</f>
        <v>1649</v>
      </c>
      <c r="H24" s="373">
        <f>G24</f>
        <v>1649</v>
      </c>
      <c r="I24" s="344">
        <v>1725</v>
      </c>
      <c r="J24" s="241" t="str">
        <f t="shared" si="0"/>
        <v/>
      </c>
      <c r="K24" s="241" t="str">
        <f t="shared" si="1"/>
        <v/>
      </c>
      <c r="L24" s="241">
        <f>IF('Bulk Plant Input'!F35="",0,1)</f>
        <v>0</v>
      </c>
    </row>
    <row r="25" spans="2:12" x14ac:dyDescent="0.25">
      <c r="B25" s="374" t="s">
        <v>305</v>
      </c>
      <c r="C25" s="369">
        <v>8</v>
      </c>
      <c r="D25" s="368"/>
      <c r="E25" s="369" t="str">
        <f>'Base Blend Property Calculation'!A29</f>
        <v>2:1:0 'G' (Sask)</v>
      </c>
      <c r="F25" s="373">
        <f t="shared" ref="F25:F35" si="4">G25</f>
        <v>1649</v>
      </c>
      <c r="G25" s="378">
        <f>VLOOKUP(E25,'Base Blend Property Calculation'!$A$7:$BT$158,61,FALSE)</f>
        <v>1649</v>
      </c>
      <c r="H25" s="373">
        <f t="shared" ref="H25:H35" si="5">G25</f>
        <v>1649</v>
      </c>
      <c r="I25" s="344">
        <v>1735</v>
      </c>
      <c r="J25" s="241" t="str">
        <f t="shared" si="0"/>
        <v/>
      </c>
      <c r="K25" s="241" t="str">
        <f t="shared" si="1"/>
        <v/>
      </c>
      <c r="L25" s="241">
        <f>IF('Bulk Plant Input'!F36="",0,1)</f>
        <v>0</v>
      </c>
    </row>
    <row r="26" spans="2:12" x14ac:dyDescent="0.25">
      <c r="B26" s="374" t="s">
        <v>156</v>
      </c>
      <c r="C26" s="369">
        <v>12</v>
      </c>
      <c r="D26" s="368"/>
      <c r="E26" s="369" t="str">
        <f>'Base Blend Property Calculation'!A30</f>
        <v>2:1:12 'G'</v>
      </c>
      <c r="F26" s="373">
        <f t="shared" si="4"/>
        <v>1413</v>
      </c>
      <c r="G26" s="378">
        <f>VLOOKUP(E26,'Base Blend Property Calculation'!$A$7:$BT$158,61,FALSE)</f>
        <v>1413</v>
      </c>
      <c r="H26" s="373">
        <f t="shared" si="5"/>
        <v>1413</v>
      </c>
      <c r="I26" s="344" t="s">
        <v>525</v>
      </c>
      <c r="J26" s="241" t="str">
        <f t="shared" si="0"/>
        <v/>
      </c>
      <c r="K26" s="241" t="str">
        <f t="shared" si="1"/>
        <v/>
      </c>
      <c r="L26" s="241">
        <f>IF('Bulk Plant Input'!F37="",0,1)</f>
        <v>0</v>
      </c>
    </row>
    <row r="27" spans="2:12" x14ac:dyDescent="0.25">
      <c r="B27" s="374" t="s">
        <v>125</v>
      </c>
      <c r="C27" s="369">
        <v>3</v>
      </c>
      <c r="D27" s="368"/>
      <c r="E27" s="369" t="str">
        <f>'Base Blend Property Calculation'!A31</f>
        <v>2:1:12 'G' (Sask)</v>
      </c>
      <c r="F27" s="373">
        <f t="shared" si="4"/>
        <v>1413</v>
      </c>
      <c r="G27" s="378">
        <f>VLOOKUP(E27,'Base Blend Property Calculation'!$A$7:$BT$158,61,FALSE)</f>
        <v>1413</v>
      </c>
      <c r="H27" s="373">
        <f t="shared" si="5"/>
        <v>1413</v>
      </c>
      <c r="I27" s="344" t="s">
        <v>525</v>
      </c>
      <c r="J27" s="241" t="str">
        <f t="shared" si="0"/>
        <v/>
      </c>
      <c r="K27" s="241" t="str">
        <f t="shared" si="1"/>
        <v/>
      </c>
      <c r="L27" s="241">
        <f>IF('Bulk Plant Input'!C50="",0,1)</f>
        <v>0</v>
      </c>
    </row>
    <row r="28" spans="2:12" x14ac:dyDescent="0.25">
      <c r="B28" s="374" t="s">
        <v>157</v>
      </c>
      <c r="C28" s="369">
        <v>0.35</v>
      </c>
      <c r="D28" s="368"/>
      <c r="E28" s="369" t="str">
        <f>'Base Blend Property Calculation'!A32</f>
        <v>2:1:2 'G'</v>
      </c>
      <c r="F28" s="373">
        <f t="shared" si="4"/>
        <v>1586</v>
      </c>
      <c r="G28" s="378">
        <f>VLOOKUP(E28,'Base Blend Property Calculation'!$A$7:$BT$158,61,FALSE)</f>
        <v>1586</v>
      </c>
      <c r="H28" s="373">
        <f t="shared" si="5"/>
        <v>1586</v>
      </c>
      <c r="I28" s="344" t="s">
        <v>525</v>
      </c>
      <c r="J28" s="241" t="str">
        <f t="shared" si="0"/>
        <v/>
      </c>
      <c r="K28" s="241" t="str">
        <f t="shared" si="1"/>
        <v/>
      </c>
      <c r="L28" s="241">
        <f>IF('Bulk Plant Input'!C51="",0,1)</f>
        <v>0</v>
      </c>
    </row>
    <row r="29" spans="2:12" x14ac:dyDescent="0.25">
      <c r="B29" s="374" t="s">
        <v>106</v>
      </c>
      <c r="C29" s="369">
        <v>12</v>
      </c>
      <c r="D29" s="368"/>
      <c r="E29" s="369" t="str">
        <f>'Base Blend Property Calculation'!A33</f>
        <v>2:1:2 'G' (Sask)</v>
      </c>
      <c r="F29" s="373">
        <f t="shared" si="4"/>
        <v>1586</v>
      </c>
      <c r="G29" s="378">
        <f>VLOOKUP(E29,'Base Blend Property Calculation'!$A$7:$BT$158,61,FALSE)</f>
        <v>1586</v>
      </c>
      <c r="H29" s="373">
        <f t="shared" si="5"/>
        <v>1586</v>
      </c>
      <c r="I29" s="344" t="s">
        <v>525</v>
      </c>
      <c r="J29" s="241" t="str">
        <f t="shared" si="0"/>
        <v/>
      </c>
      <c r="K29" s="241" t="str">
        <f t="shared" si="1"/>
        <v/>
      </c>
    </row>
    <row r="30" spans="2:12" x14ac:dyDescent="0.25">
      <c r="B30" s="374" t="s">
        <v>158</v>
      </c>
      <c r="C30" s="376">
        <v>0.3</v>
      </c>
      <c r="D30" s="368"/>
      <c r="E30" s="369" t="str">
        <f>'Base Blend Property Calculation'!A34</f>
        <v>2:1:4 'G'</v>
      </c>
      <c r="F30" s="373">
        <f t="shared" si="4"/>
        <v>1538</v>
      </c>
      <c r="G30" s="378">
        <f>VLOOKUP(E30,'Base Blend Property Calculation'!$A$7:$BT$158,61,FALSE)</f>
        <v>1538</v>
      </c>
      <c r="H30" s="373">
        <f t="shared" si="5"/>
        <v>1538</v>
      </c>
      <c r="I30" s="344" t="s">
        <v>525</v>
      </c>
      <c r="J30" s="241" t="str">
        <f t="shared" si="0"/>
        <v/>
      </c>
      <c r="K30" s="241" t="str">
        <f t="shared" si="1"/>
        <v/>
      </c>
      <c r="L30">
        <f>SUM(L12:L28)</f>
        <v>0</v>
      </c>
    </row>
    <row r="31" spans="2:12" x14ac:dyDescent="0.25">
      <c r="B31" s="374" t="s">
        <v>108</v>
      </c>
      <c r="C31" s="376">
        <v>55</v>
      </c>
      <c r="D31" s="368"/>
      <c r="E31" s="369" t="str">
        <f>'Base Blend Property Calculation'!A35</f>
        <v>2:1:4 'G' (Sask)</v>
      </c>
      <c r="F31" s="373">
        <f t="shared" si="4"/>
        <v>1538</v>
      </c>
      <c r="G31" s="378">
        <f>VLOOKUP(E31,'Base Blend Property Calculation'!$A$7:$BT$158,61,FALSE)</f>
        <v>1538</v>
      </c>
      <c r="H31" s="373">
        <f t="shared" si="5"/>
        <v>1538</v>
      </c>
      <c r="I31" s="344" t="s">
        <v>525</v>
      </c>
      <c r="J31" s="241" t="str">
        <f t="shared" si="0"/>
        <v/>
      </c>
      <c r="K31" s="241" t="str">
        <f t="shared" si="1"/>
        <v/>
      </c>
    </row>
    <row r="32" spans="2:12" x14ac:dyDescent="0.25">
      <c r="B32" s="374" t="s">
        <v>159</v>
      </c>
      <c r="C32" s="369">
        <v>1.5</v>
      </c>
      <c r="D32" s="368"/>
      <c r="E32" s="369" t="str">
        <f>'Base Blend Property Calculation'!A36</f>
        <v>2:1:6 'G'</v>
      </c>
      <c r="F32" s="373">
        <f t="shared" si="4"/>
        <v>1494</v>
      </c>
      <c r="G32" s="378">
        <f>VLOOKUP(E32,'Base Blend Property Calculation'!$A$7:$BT$158,61,FALSE)</f>
        <v>1494</v>
      </c>
      <c r="H32" s="373">
        <f t="shared" si="5"/>
        <v>1494</v>
      </c>
      <c r="I32" s="344" t="s">
        <v>525</v>
      </c>
      <c r="J32" s="241" t="str">
        <f t="shared" si="0"/>
        <v/>
      </c>
      <c r="K32" s="241" t="str">
        <f t="shared" si="1"/>
        <v/>
      </c>
    </row>
    <row r="33" spans="2:11" x14ac:dyDescent="0.25">
      <c r="B33" s="374" t="s">
        <v>160</v>
      </c>
      <c r="C33" s="369">
        <v>1.25</v>
      </c>
      <c r="D33" s="368"/>
      <c r="E33" s="369" t="str">
        <f>'Base Blend Property Calculation'!A37</f>
        <v>2:1:6 'G' (Sask)</v>
      </c>
      <c r="F33" s="373">
        <f t="shared" si="4"/>
        <v>1494</v>
      </c>
      <c r="G33" s="378">
        <f>VLOOKUP(E33,'Base Blend Property Calculation'!$A$7:$BT$158,61,FALSE)</f>
        <v>1494</v>
      </c>
      <c r="H33" s="373">
        <f t="shared" si="5"/>
        <v>1494</v>
      </c>
      <c r="I33" s="344" t="s">
        <v>525</v>
      </c>
      <c r="J33" s="241" t="str">
        <f t="shared" si="0"/>
        <v/>
      </c>
      <c r="K33" s="241" t="str">
        <f t="shared" si="1"/>
        <v/>
      </c>
    </row>
    <row r="34" spans="2:11" x14ac:dyDescent="0.25">
      <c r="B34" s="374" t="s">
        <v>161</v>
      </c>
      <c r="C34" s="369">
        <v>2</v>
      </c>
      <c r="D34" s="368"/>
      <c r="E34" s="369" t="str">
        <f>'Base Blend Property Calculation'!A38</f>
        <v>2:1:8 'G'</v>
      </c>
      <c r="F34" s="373">
        <f t="shared" si="4"/>
        <v>1464</v>
      </c>
      <c r="G34" s="378">
        <f>VLOOKUP(E34,'Base Blend Property Calculation'!$A$7:$BT$158,61,FALSE)</f>
        <v>1464</v>
      </c>
      <c r="H34" s="373">
        <f t="shared" si="5"/>
        <v>1464</v>
      </c>
      <c r="I34" s="344" t="s">
        <v>525</v>
      </c>
      <c r="J34" s="241" t="str">
        <f t="shared" si="0"/>
        <v/>
      </c>
      <c r="K34" s="241" t="str">
        <f t="shared" si="1"/>
        <v/>
      </c>
    </row>
    <row r="35" spans="2:11" x14ac:dyDescent="0.25">
      <c r="B35" s="374" t="s">
        <v>162</v>
      </c>
      <c r="C35" s="369">
        <v>1</v>
      </c>
      <c r="D35" s="368"/>
      <c r="E35" s="369" t="str">
        <f>'Base Blend Property Calculation'!A39</f>
        <v>2:1:8 'G' (Sask)</v>
      </c>
      <c r="F35" s="373">
        <f t="shared" si="4"/>
        <v>1464</v>
      </c>
      <c r="G35" s="378">
        <f>VLOOKUP(E35,'Base Blend Property Calculation'!$A$7:$BT$158,61,FALSE)</f>
        <v>1464</v>
      </c>
      <c r="H35" s="373">
        <f t="shared" si="5"/>
        <v>1464</v>
      </c>
      <c r="I35" s="344" t="s">
        <v>525</v>
      </c>
      <c r="J35" s="241" t="str">
        <f t="shared" si="0"/>
        <v/>
      </c>
      <c r="K35" s="241" t="str">
        <f t="shared" si="1"/>
        <v/>
      </c>
    </row>
    <row r="36" spans="2:11" x14ac:dyDescent="0.25">
      <c r="B36" s="374" t="s">
        <v>163</v>
      </c>
      <c r="C36" s="376">
        <v>0</v>
      </c>
      <c r="D36" s="368"/>
      <c r="E36" s="369" t="str">
        <f>'Base Blend Property Calculation'!A40</f>
        <v>ARC</v>
      </c>
      <c r="F36" s="373">
        <v>1750</v>
      </c>
      <c r="G36" s="378">
        <f>VLOOKUP(E36,'Base Blend Property Calculation'!$A$7:$BT$158,61,FALSE)</f>
        <v>1755</v>
      </c>
      <c r="H36" s="373">
        <v>1775</v>
      </c>
      <c r="I36" s="344" t="s">
        <v>525</v>
      </c>
      <c r="J36" s="241" t="str">
        <f t="shared" si="0"/>
        <v/>
      </c>
      <c r="K36" s="241" t="str">
        <f t="shared" si="1"/>
        <v/>
      </c>
    </row>
    <row r="37" spans="2:11" x14ac:dyDescent="0.25">
      <c r="B37" s="374" t="s">
        <v>164</v>
      </c>
      <c r="C37" s="376">
        <v>3</v>
      </c>
      <c r="D37" s="368"/>
      <c r="E37" s="369" t="str">
        <f>'Base Blend Property Calculation'!A41</f>
        <v>ASC (IV)</v>
      </c>
      <c r="F37" s="373">
        <v>1750</v>
      </c>
      <c r="G37" s="378">
        <f>VLOOKUP(E37,'Base Blend Property Calculation'!$A$7:$BT$158,61,FALSE)</f>
        <v>1750</v>
      </c>
      <c r="H37" s="373">
        <v>1775</v>
      </c>
      <c r="I37" s="344" t="s">
        <v>525</v>
      </c>
      <c r="J37" s="241" t="str">
        <f t="shared" si="0"/>
        <v/>
      </c>
      <c r="K37" s="241" t="str">
        <f t="shared" si="1"/>
        <v/>
      </c>
    </row>
    <row r="38" spans="2:11" x14ac:dyDescent="0.25">
      <c r="B38" s="374" t="s">
        <v>333</v>
      </c>
      <c r="C38" s="376">
        <v>5.5</v>
      </c>
      <c r="D38" s="368"/>
      <c r="E38" s="369" t="str">
        <f>'Base Blend Property Calculation'!A42</f>
        <v>CNRL CHOPS TH</v>
      </c>
      <c r="F38" s="373">
        <v>1840</v>
      </c>
      <c r="G38" s="378">
        <f>VLOOKUP(E38,'Base Blend Property Calculation'!$A$7:$BT$158,61,FALSE)</f>
        <v>1840</v>
      </c>
      <c r="H38" s="373">
        <v>1840</v>
      </c>
      <c r="I38" s="344" t="s">
        <v>525</v>
      </c>
      <c r="J38" s="241" t="str">
        <f t="shared" si="0"/>
        <v/>
      </c>
      <c r="K38" s="241" t="str">
        <f t="shared" si="1"/>
        <v/>
      </c>
    </row>
    <row r="39" spans="2:11" x14ac:dyDescent="0.25">
      <c r="B39" s="374" t="s">
        <v>329</v>
      </c>
      <c r="C39" s="376">
        <v>0.25</v>
      </c>
      <c r="D39" s="368"/>
      <c r="E39" s="369" t="str">
        <f>'Base Blend Property Calculation'!A43</f>
        <v>Expandomix</v>
      </c>
      <c r="F39" s="373">
        <v>1770</v>
      </c>
      <c r="G39" s="378">
        <f>VLOOKUP(E39,'Base Blend Property Calculation'!$A$7:$BT$158,61,FALSE)</f>
        <v>1770</v>
      </c>
      <c r="H39" s="373">
        <v>1820</v>
      </c>
      <c r="I39" s="344">
        <v>1850</v>
      </c>
      <c r="J39" s="241" t="str">
        <f t="shared" si="0"/>
        <v/>
      </c>
      <c r="K39" s="241" t="str">
        <f t="shared" si="1"/>
        <v/>
      </c>
    </row>
    <row r="40" spans="2:11" x14ac:dyDescent="0.25">
      <c r="B40" s="374" t="s">
        <v>331</v>
      </c>
      <c r="C40" s="369">
        <v>0.5</v>
      </c>
      <c r="D40" s="368"/>
      <c r="E40" s="369" t="str">
        <f>'Base Blend Property Calculation'!A44</f>
        <v>Expandomix HT</v>
      </c>
      <c r="F40" s="373">
        <v>1780</v>
      </c>
      <c r="G40" s="378">
        <f>VLOOKUP(E40,'Base Blend Property Calculation'!$A$7:$BT$158,61,FALSE)</f>
        <v>1780</v>
      </c>
      <c r="H40" s="373">
        <v>1780</v>
      </c>
      <c r="I40" s="344">
        <v>1850</v>
      </c>
      <c r="J40" s="241" t="str">
        <f t="shared" si="0"/>
        <v/>
      </c>
      <c r="K40" s="241" t="str">
        <f t="shared" si="1"/>
        <v/>
      </c>
    </row>
    <row r="41" spans="2:11" x14ac:dyDescent="0.25">
      <c r="B41" s="374" t="s">
        <v>133</v>
      </c>
      <c r="C41" s="376">
        <v>3</v>
      </c>
      <c r="D41" s="368"/>
      <c r="E41" s="369" t="str">
        <f>'Base Blend Property Calculation'!A45</f>
        <v>Expandomix HT (SK)</v>
      </c>
      <c r="F41" s="373">
        <v>1780</v>
      </c>
      <c r="G41" s="378">
        <f>VLOOKUP(E41,'Base Blend Property Calculation'!$A$7:$BT$158,61,FALSE)</f>
        <v>1780</v>
      </c>
      <c r="H41" s="373">
        <v>1780</v>
      </c>
      <c r="I41" s="344">
        <v>1855</v>
      </c>
      <c r="J41" s="241" t="str">
        <f t="shared" si="0"/>
        <v/>
      </c>
      <c r="K41" s="241" t="str">
        <f t="shared" si="1"/>
        <v/>
      </c>
    </row>
    <row r="42" spans="2:11" x14ac:dyDescent="0.25">
      <c r="B42" s="374" t="s">
        <v>131</v>
      </c>
      <c r="C42" s="376">
        <v>3</v>
      </c>
      <c r="D42" s="368"/>
      <c r="E42" s="369" t="str">
        <f>'Base Blend Property Calculation'!A46</f>
        <v>Expandomix LWL</v>
      </c>
      <c r="F42" s="373">
        <v>1770</v>
      </c>
      <c r="G42" s="378">
        <f>VLOOKUP(E42,'Base Blend Property Calculation'!$A$7:$BT$158,61,FALSE)</f>
        <v>1770</v>
      </c>
      <c r="H42" s="373">
        <v>1820</v>
      </c>
      <c r="I42" s="344">
        <v>1850</v>
      </c>
      <c r="J42" s="241" t="str">
        <f t="shared" si="0"/>
        <v/>
      </c>
      <c r="K42" s="241" t="str">
        <f t="shared" si="1"/>
        <v/>
      </c>
    </row>
    <row r="43" spans="2:11" x14ac:dyDescent="0.25">
      <c r="B43" s="374" t="s">
        <v>323</v>
      </c>
      <c r="C43" s="376">
        <v>3</v>
      </c>
      <c r="D43" s="368"/>
      <c r="E43" s="369" t="str">
        <f>'Base Blend Property Calculation'!A47</f>
        <v>EXPANDOmix PRO HT</v>
      </c>
      <c r="F43" s="373">
        <v>1600</v>
      </c>
      <c r="G43" s="378">
        <f>VLOOKUP(E43,'Base Blend Property Calculation'!$A$7:$BT$158,61,FALSE)</f>
        <v>1600</v>
      </c>
      <c r="H43" s="373">
        <v>1850</v>
      </c>
      <c r="I43" s="344" t="s">
        <v>525</v>
      </c>
      <c r="J43" s="241" t="str">
        <f t="shared" si="0"/>
        <v/>
      </c>
      <c r="K43" s="241" t="str">
        <f t="shared" si="1"/>
        <v/>
      </c>
    </row>
    <row r="44" spans="2:11" x14ac:dyDescent="0.25">
      <c r="B44" s="374" t="s">
        <v>165</v>
      </c>
      <c r="C44" s="376">
        <v>3</v>
      </c>
      <c r="D44" s="368"/>
      <c r="E44" s="369" t="str">
        <f>'Base Blend Property Calculation'!A48</f>
        <v>EXPANDOmix PRO LT</v>
      </c>
      <c r="F44" s="373">
        <v>1600</v>
      </c>
      <c r="G44" s="378">
        <f>VLOOKUP(E44,'Base Blend Property Calculation'!$A$7:$BT$158,61,FALSE)</f>
        <v>1600</v>
      </c>
      <c r="H44" s="373">
        <v>1780</v>
      </c>
      <c r="I44" s="344">
        <v>1855</v>
      </c>
      <c r="J44" s="241" t="str">
        <f t="shared" si="0"/>
        <v/>
      </c>
      <c r="K44" s="241" t="str">
        <f t="shared" si="1"/>
        <v/>
      </c>
    </row>
    <row r="45" spans="2:11" x14ac:dyDescent="0.25">
      <c r="B45" s="374" t="s">
        <v>326</v>
      </c>
      <c r="C45" s="376">
        <v>3</v>
      </c>
      <c r="D45" s="368"/>
      <c r="E45" s="369" t="str">
        <f>'Base Blend Property Calculation'!A49</f>
        <v>Glacial Mix</v>
      </c>
      <c r="F45" s="373">
        <v>1500</v>
      </c>
      <c r="G45" s="378">
        <f>VLOOKUP(E45,'Base Blend Property Calculation'!$A$7:$BT$158,61,FALSE)</f>
        <v>1850</v>
      </c>
      <c r="H45" s="373">
        <v>1850</v>
      </c>
      <c r="I45" s="344">
        <v>1560</v>
      </c>
      <c r="J45" s="241" t="str">
        <f t="shared" si="0"/>
        <v/>
      </c>
      <c r="K45" s="241" t="str">
        <f t="shared" si="1"/>
        <v/>
      </c>
    </row>
    <row r="46" spans="2:11" x14ac:dyDescent="0.25">
      <c r="B46" s="374" t="s">
        <v>328</v>
      </c>
      <c r="C46" s="376">
        <v>3</v>
      </c>
      <c r="D46" s="368"/>
      <c r="E46" s="369" t="str">
        <f>'Base Blend Property Calculation'!A50</f>
        <v>iBond</v>
      </c>
      <c r="F46" s="373">
        <v>1500</v>
      </c>
      <c r="G46" s="378">
        <f>VLOOKUP(E46,'Base Blend Property Calculation'!$A$7:$BT$158,61,FALSE)</f>
        <v>1780</v>
      </c>
      <c r="H46" s="373">
        <v>1800</v>
      </c>
      <c r="I46" s="344">
        <v>1565</v>
      </c>
      <c r="J46" s="241" t="str">
        <f t="shared" si="0"/>
        <v/>
      </c>
      <c r="K46" s="241" t="str">
        <f t="shared" si="1"/>
        <v/>
      </c>
    </row>
    <row r="47" spans="2:11" x14ac:dyDescent="0.25">
      <c r="B47" s="374" t="s">
        <v>166</v>
      </c>
      <c r="C47" s="369">
        <v>0.99</v>
      </c>
      <c r="D47" s="368"/>
      <c r="E47" s="369" t="str">
        <f>'Base Blend Property Calculation'!A51</f>
        <v>iGain (SK)</v>
      </c>
      <c r="F47" s="373">
        <v>1500</v>
      </c>
      <c r="G47" s="378">
        <f>VLOOKUP(E47,'Base Blend Property Calculation'!$A$7:$BT$158,61,FALSE)</f>
        <v>1500</v>
      </c>
      <c r="H47" s="373">
        <v>1550</v>
      </c>
      <c r="I47" s="344">
        <v>1560</v>
      </c>
      <c r="J47" s="241" t="str">
        <f t="shared" si="0"/>
        <v/>
      </c>
      <c r="K47" s="241" t="str">
        <f t="shared" si="1"/>
        <v/>
      </c>
    </row>
    <row r="48" spans="2:11" x14ac:dyDescent="0.25">
      <c r="B48" s="374" t="s">
        <v>167</v>
      </c>
      <c r="C48" s="369">
        <v>3</v>
      </c>
      <c r="D48" s="368"/>
      <c r="E48" s="369" t="str">
        <f>'Base Blend Property Calculation'!A52</f>
        <v>iGain(AB)</v>
      </c>
      <c r="F48" s="373">
        <v>1500</v>
      </c>
      <c r="G48" s="378">
        <f>VLOOKUP(E48,'Base Blend Property Calculation'!$A$7:$BT$158,61,FALSE)</f>
        <v>1500</v>
      </c>
      <c r="H48" s="373">
        <v>1550</v>
      </c>
      <c r="I48" s="344">
        <v>1565</v>
      </c>
      <c r="J48" s="241" t="str">
        <f t="shared" si="0"/>
        <v/>
      </c>
      <c r="K48" s="241" t="str">
        <f t="shared" si="1"/>
        <v/>
      </c>
    </row>
    <row r="49" spans="2:11" x14ac:dyDescent="0.25">
      <c r="B49" s="374" t="s">
        <v>135</v>
      </c>
      <c r="C49" s="376"/>
      <c r="D49" s="368"/>
      <c r="E49" s="369" t="str">
        <f>'Base Blend Property Calculation'!A53</f>
        <v>iPrime (AB)</v>
      </c>
      <c r="F49" s="373">
        <v>1500</v>
      </c>
      <c r="G49" s="378">
        <f>VLOOKUP(E49,'Base Blend Property Calculation'!$A$7:$BT$158,61,FALSE)</f>
        <v>1500</v>
      </c>
      <c r="H49" s="373">
        <v>1675</v>
      </c>
      <c r="I49" s="344">
        <v>1700</v>
      </c>
      <c r="J49" s="241" t="str">
        <f t="shared" si="0"/>
        <v/>
      </c>
      <c r="K49" s="241" t="str">
        <f t="shared" si="1"/>
        <v/>
      </c>
    </row>
    <row r="50" spans="2:11" x14ac:dyDescent="0.25">
      <c r="B50" s="375" t="s">
        <v>168</v>
      </c>
      <c r="C50" s="369">
        <v>0.6</v>
      </c>
      <c r="D50" s="368"/>
      <c r="E50" s="369" t="str">
        <f>'Base Blend Property Calculation'!A54</f>
        <v>iPrime (SK)</v>
      </c>
      <c r="F50" s="373">
        <v>1400</v>
      </c>
      <c r="G50" s="378">
        <f>VLOOKUP(E50,'Base Blend Property Calculation'!$A$7:$BT$158,61,FALSE)</f>
        <v>1500</v>
      </c>
      <c r="H50" s="373">
        <v>1675</v>
      </c>
      <c r="I50" s="344">
        <v>1460</v>
      </c>
      <c r="J50" s="241" t="str">
        <f t="shared" si="0"/>
        <v/>
      </c>
      <c r="K50" s="241" t="str">
        <f t="shared" si="1"/>
        <v/>
      </c>
    </row>
    <row r="51" spans="2:11" x14ac:dyDescent="0.25">
      <c r="B51" s="375" t="s">
        <v>427</v>
      </c>
      <c r="C51" s="376">
        <v>3</v>
      </c>
      <c r="D51" s="368"/>
      <c r="E51" s="369" t="str">
        <f>'Base Blend Property Calculation'!A55</f>
        <v>iThix</v>
      </c>
      <c r="F51" s="373">
        <v>1600</v>
      </c>
      <c r="G51" s="378">
        <f>VLOOKUP(E51,'Base Blend Property Calculation'!$A$7:$BT$158,61,FALSE)</f>
        <v>1650</v>
      </c>
      <c r="H51" s="373">
        <v>1675</v>
      </c>
      <c r="I51" s="344" t="s">
        <v>525</v>
      </c>
      <c r="J51" s="241" t="str">
        <f t="shared" si="0"/>
        <v/>
      </c>
      <c r="K51" s="241" t="str">
        <f t="shared" si="1"/>
        <v/>
      </c>
    </row>
    <row r="52" spans="2:11" x14ac:dyDescent="0.25">
      <c r="B52" s="374" t="s">
        <v>107</v>
      </c>
      <c r="C52" s="376">
        <v>3</v>
      </c>
      <c r="D52" s="368"/>
      <c r="E52" s="369" t="str">
        <f>'Base Blend Property Calculation'!A56</f>
        <v>iZone</v>
      </c>
      <c r="F52" s="373">
        <v>1400</v>
      </c>
      <c r="G52" s="378">
        <f>VLOOKUP(E52,'Base Blend Property Calculation'!$A$7:$BT$158,61,FALSE)</f>
        <v>1400</v>
      </c>
      <c r="H52" s="373">
        <v>1820</v>
      </c>
      <c r="I52" s="344" t="s">
        <v>525</v>
      </c>
      <c r="J52" s="241" t="str">
        <f t="shared" si="0"/>
        <v/>
      </c>
      <c r="K52" s="241" t="str">
        <f t="shared" si="1"/>
        <v/>
      </c>
    </row>
    <row r="53" spans="2:11" x14ac:dyDescent="0.25">
      <c r="B53" s="374" t="s">
        <v>124</v>
      </c>
      <c r="C53" s="369">
        <v>3</v>
      </c>
      <c r="D53" s="368"/>
      <c r="E53" s="369" t="str">
        <f>'Base Blend Property Calculation'!A57</f>
        <v>LCS 1600</v>
      </c>
      <c r="F53" s="373">
        <f>G53</f>
        <v>1600</v>
      </c>
      <c r="G53" s="378">
        <f>VLOOKUP(E53,'Base Blend Property Calculation'!$A$7:$BT$158,61,FALSE)</f>
        <v>1600</v>
      </c>
      <c r="H53" s="373">
        <f>G53</f>
        <v>1600</v>
      </c>
      <c r="I53" s="344">
        <v>1475</v>
      </c>
      <c r="J53" s="241" t="str">
        <f t="shared" si="0"/>
        <v/>
      </c>
      <c r="K53" s="241" t="str">
        <f t="shared" si="1"/>
        <v/>
      </c>
    </row>
    <row r="54" spans="2:11" x14ac:dyDescent="0.25">
      <c r="B54" s="374" t="s">
        <v>122</v>
      </c>
      <c r="C54" s="369">
        <v>3</v>
      </c>
      <c r="D54" s="368"/>
      <c r="E54" s="369" t="str">
        <f>'Base Blend Property Calculation'!A58</f>
        <v>LCS 1820</v>
      </c>
      <c r="F54" s="373">
        <f t="shared" ref="F54:F64" si="6">G54</f>
        <v>1820</v>
      </c>
      <c r="G54" s="378">
        <f>VLOOKUP(E54,'Base Blend Property Calculation'!$A$7:$BT$158,61,FALSE)</f>
        <v>1820</v>
      </c>
      <c r="H54" s="373">
        <f t="shared" ref="H54:H58" si="7">G54</f>
        <v>1820</v>
      </c>
      <c r="I54" s="344">
        <v>1475</v>
      </c>
      <c r="J54" s="241" t="str">
        <f t="shared" si="0"/>
        <v/>
      </c>
      <c r="K54" s="241" t="str">
        <f t="shared" si="1"/>
        <v/>
      </c>
    </row>
    <row r="55" spans="2:11" x14ac:dyDescent="0.25">
      <c r="B55" s="374" t="s">
        <v>123</v>
      </c>
      <c r="C55" s="369">
        <v>3</v>
      </c>
      <c r="D55" s="368"/>
      <c r="E55" s="369" t="str">
        <f>'Base Blend Property Calculation'!A59</f>
        <v>LDP-C-0117</v>
      </c>
      <c r="F55" s="373">
        <f t="shared" si="6"/>
        <v>1200</v>
      </c>
      <c r="G55" s="378">
        <f>VLOOKUP(E55,'Base Blend Property Calculation'!$A$7:$BT$158,61,FALSE)</f>
        <v>1200</v>
      </c>
      <c r="H55" s="373">
        <f t="shared" si="7"/>
        <v>1200</v>
      </c>
      <c r="I55" s="344">
        <v>1475</v>
      </c>
      <c r="J55" s="241" t="str">
        <f t="shared" si="0"/>
        <v/>
      </c>
      <c r="K55" s="241" t="str">
        <f t="shared" si="1"/>
        <v/>
      </c>
    </row>
    <row r="56" spans="2:11" x14ac:dyDescent="0.25">
      <c r="B56" s="374" t="s">
        <v>129</v>
      </c>
      <c r="C56" s="376">
        <v>3</v>
      </c>
      <c r="D56" s="368"/>
      <c r="E56" s="369" t="str">
        <f>'Base Blend Property Calculation'!A60</f>
        <v>LDP-C-0516</v>
      </c>
      <c r="F56" s="373">
        <f t="shared" si="6"/>
        <v>1840</v>
      </c>
      <c r="G56" s="378">
        <f>VLOOKUP(E56,'Base Blend Property Calculation'!$A$7:$BT$158,61,FALSE)</f>
        <v>1840</v>
      </c>
      <c r="H56" s="373">
        <f t="shared" si="7"/>
        <v>1840</v>
      </c>
      <c r="I56" s="344">
        <v>1525</v>
      </c>
      <c r="J56" s="241" t="str">
        <f t="shared" si="0"/>
        <v/>
      </c>
      <c r="K56" s="241" t="str">
        <f t="shared" si="1"/>
        <v/>
      </c>
    </row>
    <row r="57" spans="2:11" x14ac:dyDescent="0.25">
      <c r="B57" s="374" t="s">
        <v>130</v>
      </c>
      <c r="C57" s="376">
        <v>3</v>
      </c>
      <c r="D57" s="368"/>
      <c r="E57" s="369" t="str">
        <f>'Base Blend Property Calculation'!A61</f>
        <v>LDP-C-1316</v>
      </c>
      <c r="F57" s="373">
        <f t="shared" si="6"/>
        <v>1640</v>
      </c>
      <c r="G57" s="378">
        <f>VLOOKUP(E57,'Base Blend Property Calculation'!$A$7:$BT$158,61,FALSE)</f>
        <v>1640</v>
      </c>
      <c r="H57" s="373">
        <f t="shared" si="7"/>
        <v>1640</v>
      </c>
      <c r="I57" s="344">
        <v>1525</v>
      </c>
      <c r="J57" s="241" t="str">
        <f t="shared" si="0"/>
        <v/>
      </c>
      <c r="K57" s="241" t="str">
        <f t="shared" si="1"/>
        <v/>
      </c>
    </row>
    <row r="58" spans="2:11" x14ac:dyDescent="0.25">
      <c r="B58" s="374" t="s">
        <v>428</v>
      </c>
      <c r="C58" s="376">
        <v>0</v>
      </c>
      <c r="D58" s="368"/>
      <c r="E58" s="369" t="str">
        <f>'Base Blend Property Calculation'!A62</f>
        <v>LDP-C-1616</v>
      </c>
      <c r="F58" s="373">
        <f t="shared" si="6"/>
        <v>1600</v>
      </c>
      <c r="G58" s="378">
        <f>VLOOKUP(E58,'Base Blend Property Calculation'!$A$7:$BT$158,61,FALSE)</f>
        <v>1600</v>
      </c>
      <c r="H58" s="373">
        <f t="shared" si="7"/>
        <v>1600</v>
      </c>
      <c r="I58" s="344">
        <v>1525</v>
      </c>
      <c r="J58" s="241" t="str">
        <f t="shared" si="0"/>
        <v/>
      </c>
      <c r="K58" s="241" t="str">
        <f t="shared" si="1"/>
        <v/>
      </c>
    </row>
    <row r="59" spans="2:11" x14ac:dyDescent="0.25">
      <c r="B59" s="374" t="s">
        <v>126</v>
      </c>
      <c r="C59" s="376">
        <v>0</v>
      </c>
      <c r="D59" s="368"/>
      <c r="E59" s="369" t="str">
        <f>'Base Blend Property Calculation'!A63</f>
        <v>Litefill 1400 HT</v>
      </c>
      <c r="F59" s="373">
        <f t="shared" si="6"/>
        <v>1400</v>
      </c>
      <c r="G59" s="378">
        <f>VLOOKUP(E59,'Base Blend Property Calculation'!$A$7:$BT$158,61,FALSE)</f>
        <v>1400</v>
      </c>
      <c r="H59" s="378">
        <v>1450</v>
      </c>
      <c r="I59" s="344">
        <v>1570</v>
      </c>
      <c r="J59" s="241" t="str">
        <f t="shared" si="0"/>
        <v/>
      </c>
      <c r="K59" s="241" t="str">
        <f t="shared" si="1"/>
        <v/>
      </c>
    </row>
    <row r="60" spans="2:11" x14ac:dyDescent="0.25">
      <c r="B60" s="374" t="s">
        <v>169</v>
      </c>
      <c r="C60" s="369">
        <v>0.3</v>
      </c>
      <c r="D60" s="202"/>
      <c r="E60" s="369" t="str">
        <f>'Base Blend Property Calculation'!A64</f>
        <v>Litefill 1400 LT</v>
      </c>
      <c r="F60" s="373">
        <f t="shared" si="6"/>
        <v>1400</v>
      </c>
      <c r="G60" s="378">
        <f>VLOOKUP(E60,'Base Blend Property Calculation'!$A$7:$BT$158,61,FALSE)</f>
        <v>1400</v>
      </c>
      <c r="H60" s="378">
        <v>1450</v>
      </c>
      <c r="I60" s="344">
        <v>1570</v>
      </c>
      <c r="J60" s="241" t="str">
        <f t="shared" si="0"/>
        <v/>
      </c>
      <c r="K60" s="241" t="str">
        <f t="shared" si="1"/>
        <v/>
      </c>
    </row>
    <row r="61" spans="2:11" x14ac:dyDescent="0.25">
      <c r="B61" s="371" t="s">
        <v>127</v>
      </c>
      <c r="C61" s="373">
        <v>37</v>
      </c>
      <c r="D61" s="202"/>
      <c r="E61" s="369" t="str">
        <f>'Base Blend Property Calculation'!A65</f>
        <v>Litefill 1400 MT</v>
      </c>
      <c r="F61" s="373">
        <f t="shared" si="6"/>
        <v>1400</v>
      </c>
      <c r="G61" s="378">
        <f>VLOOKUP(E61,'Base Blend Property Calculation'!$A$7:$BT$158,61,FALSE)</f>
        <v>1400</v>
      </c>
      <c r="H61" s="373">
        <v>1450</v>
      </c>
      <c r="I61" s="344">
        <v>1570</v>
      </c>
      <c r="J61" s="241" t="str">
        <f t="shared" si="0"/>
        <v/>
      </c>
      <c r="K61" s="241" t="str">
        <f t="shared" si="1"/>
        <v/>
      </c>
    </row>
    <row r="62" spans="2:11" x14ac:dyDescent="0.25">
      <c r="B62" s="371" t="s">
        <v>128</v>
      </c>
      <c r="C62" s="373">
        <v>15</v>
      </c>
      <c r="E62" s="369" t="str">
        <f>'Base Blend Property Calculation'!A66</f>
        <v>Litefill 1450 HT</v>
      </c>
      <c r="F62" s="373">
        <f t="shared" si="6"/>
        <v>1450</v>
      </c>
      <c r="G62" s="378">
        <f>VLOOKUP(E62,'Base Blend Property Calculation'!$A$7:$BT$158,61,FALSE)</f>
        <v>1450</v>
      </c>
      <c r="H62" s="378">
        <v>1500</v>
      </c>
      <c r="I62" s="344">
        <v>1620</v>
      </c>
      <c r="J62" s="241" t="str">
        <f t="shared" si="0"/>
        <v/>
      </c>
      <c r="K62" s="241" t="str">
        <f t="shared" si="1"/>
        <v/>
      </c>
    </row>
    <row r="63" spans="2:11" x14ac:dyDescent="0.25">
      <c r="B63" s="480" t="s">
        <v>359</v>
      </c>
      <c r="C63" s="477">
        <v>1</v>
      </c>
      <c r="E63" s="369" t="str">
        <f>'Base Blend Property Calculation'!A67</f>
        <v>Litefill 1450 LT</v>
      </c>
      <c r="F63" s="373">
        <f t="shared" si="6"/>
        <v>1450</v>
      </c>
      <c r="G63" s="378">
        <f>VLOOKUP(E63,'Base Blend Property Calculation'!$A$7:$BT$158,61,FALSE)</f>
        <v>1450</v>
      </c>
      <c r="H63" s="373">
        <v>1500</v>
      </c>
      <c r="I63" s="344">
        <v>1620</v>
      </c>
      <c r="J63" s="241" t="str">
        <f t="shared" si="0"/>
        <v/>
      </c>
      <c r="K63" s="241" t="str">
        <f t="shared" si="1"/>
        <v/>
      </c>
    </row>
    <row r="64" spans="2:11" x14ac:dyDescent="0.25">
      <c r="B64" s="480" t="s">
        <v>614</v>
      </c>
      <c r="C64" s="378">
        <v>1.5</v>
      </c>
      <c r="E64" s="369" t="str">
        <f>'Base Blend Property Calculation'!A68</f>
        <v>Litefill 1450 MT</v>
      </c>
      <c r="F64" s="373">
        <f t="shared" si="6"/>
        <v>1450</v>
      </c>
      <c r="G64" s="378">
        <f>VLOOKUP(E64,'Base Blend Property Calculation'!$A$7:$BT$158,61,FALSE)</f>
        <v>1450</v>
      </c>
      <c r="H64" s="373">
        <v>1500</v>
      </c>
      <c r="I64" s="344">
        <v>1620</v>
      </c>
      <c r="J64" s="241" t="str">
        <f t="shared" si="0"/>
        <v/>
      </c>
      <c r="K64" s="241" t="str">
        <f t="shared" si="1"/>
        <v/>
      </c>
    </row>
    <row r="65" spans="2:11" x14ac:dyDescent="0.25">
      <c r="B65" s="480" t="s">
        <v>1785</v>
      </c>
      <c r="C65" s="378">
        <v>12.5</v>
      </c>
      <c r="E65" s="369" t="str">
        <f>'Base Blend Property Calculation'!A69</f>
        <v>Litefill 1500 HT</v>
      </c>
      <c r="F65" s="373">
        <v>1325</v>
      </c>
      <c r="G65" s="378">
        <f>VLOOKUP(E65,'Base Blend Property Calculation'!$A$7:$BT$158,61,FALSE)</f>
        <v>1500</v>
      </c>
      <c r="H65" s="378">
        <v>1550</v>
      </c>
      <c r="I65" s="344">
        <v>1400</v>
      </c>
      <c r="J65" s="241" t="str">
        <f t="shared" si="0"/>
        <v/>
      </c>
      <c r="K65" s="241" t="str">
        <f t="shared" si="1"/>
        <v/>
      </c>
    </row>
    <row r="66" spans="2:11" x14ac:dyDescent="0.25">
      <c r="E66" s="369" t="str">
        <f>'Base Blend Property Calculation'!A70</f>
        <v>Litefill 1500 LT</v>
      </c>
      <c r="F66" s="373">
        <v>1325</v>
      </c>
      <c r="G66" s="378">
        <f>VLOOKUP(E66,'Base Blend Property Calculation'!$A$7:$BT$158,61,FALSE)</f>
        <v>1500</v>
      </c>
      <c r="H66" s="378">
        <v>1550</v>
      </c>
      <c r="I66" s="344">
        <v>1405</v>
      </c>
      <c r="J66" s="241" t="str">
        <f t="shared" si="0"/>
        <v/>
      </c>
      <c r="K66" s="241" t="str">
        <f t="shared" si="1"/>
        <v/>
      </c>
    </row>
    <row r="67" spans="2:11" x14ac:dyDescent="0.25">
      <c r="E67" s="369" t="str">
        <f>'Base Blend Property Calculation'!A71</f>
        <v>Litefill 1500 MT</v>
      </c>
      <c r="F67" s="373">
        <v>1375</v>
      </c>
      <c r="G67" s="378">
        <f>VLOOKUP(E67,'Base Blend Property Calculation'!$A$7:$BT$158,61,FALSE)</f>
        <v>1500</v>
      </c>
      <c r="H67" s="373">
        <v>1550</v>
      </c>
      <c r="I67" s="344">
        <v>1470</v>
      </c>
      <c r="J67" s="241" t="str">
        <f t="shared" si="0"/>
        <v/>
      </c>
      <c r="K67" s="241" t="str">
        <f t="shared" si="1"/>
        <v/>
      </c>
    </row>
    <row r="68" spans="2:11" x14ac:dyDescent="0.25">
      <c r="E68" s="369" t="str">
        <f>'Base Blend Property Calculation'!A72</f>
        <v>Litefill 1550 HT</v>
      </c>
      <c r="F68" s="373">
        <v>1375</v>
      </c>
      <c r="G68" s="378">
        <f>VLOOKUP(E68,'Base Blend Property Calculation'!$A$7:$BT$158,61,FALSE)</f>
        <v>1550</v>
      </c>
      <c r="H68" s="378">
        <v>1600</v>
      </c>
      <c r="I68" s="344">
        <v>1470</v>
      </c>
      <c r="J68" s="241" t="str">
        <f t="shared" ref="J68:J131" si="8">IF(F68&gt;G68,"Fix Here","")</f>
        <v/>
      </c>
      <c r="K68" s="241" t="str">
        <f t="shared" ref="K68:K131" si="9">IF(H68&lt;G68,"Fix This","")</f>
        <v/>
      </c>
    </row>
    <row r="69" spans="2:11" x14ac:dyDescent="0.25">
      <c r="E69" s="369" t="str">
        <f>'Base Blend Property Calculation'!A73</f>
        <v>Litefill 1550 LT</v>
      </c>
      <c r="F69" s="373">
        <v>1500</v>
      </c>
      <c r="G69" s="378">
        <f>VLOOKUP(E69,'Base Blend Property Calculation'!$A$7:$BT$158,61,FALSE)</f>
        <v>1550</v>
      </c>
      <c r="H69" s="378">
        <v>1600</v>
      </c>
      <c r="I69" s="344">
        <v>1565</v>
      </c>
      <c r="J69" s="241" t="str">
        <f t="shared" si="8"/>
        <v/>
      </c>
      <c r="K69" s="241" t="str">
        <f t="shared" si="9"/>
        <v/>
      </c>
    </row>
    <row r="70" spans="2:11" x14ac:dyDescent="0.25">
      <c r="E70" s="369" t="str">
        <f>'Base Blend Property Calculation'!A74</f>
        <v>Litefill 1550 MT</v>
      </c>
      <c r="F70" s="373">
        <v>1500</v>
      </c>
      <c r="G70" s="378">
        <f>VLOOKUP(E70,'Base Blend Property Calculation'!$A$7:$BT$158,61,FALSE)</f>
        <v>1550</v>
      </c>
      <c r="H70" s="373">
        <v>1600</v>
      </c>
      <c r="I70" s="344">
        <v>1650</v>
      </c>
      <c r="J70" s="241" t="str">
        <f t="shared" si="8"/>
        <v/>
      </c>
      <c r="K70" s="241" t="str">
        <f t="shared" si="9"/>
        <v/>
      </c>
    </row>
    <row r="71" spans="2:11" x14ac:dyDescent="0.25">
      <c r="E71" s="369" t="str">
        <f>'Base Blend Property Calculation'!A75</f>
        <v>LITEmix 1325 (AB)</v>
      </c>
      <c r="F71" s="373">
        <v>1325</v>
      </c>
      <c r="G71" s="378">
        <f>VLOOKUP(E71,'Base Blend Property Calculation'!$A$7:$BT$158,61,FALSE)</f>
        <v>1325</v>
      </c>
      <c r="H71" s="373">
        <v>1600</v>
      </c>
      <c r="I71" s="344">
        <v>1655</v>
      </c>
      <c r="J71" s="241" t="str">
        <f t="shared" si="8"/>
        <v/>
      </c>
      <c r="K71" s="241" t="str">
        <f t="shared" si="9"/>
        <v/>
      </c>
    </row>
    <row r="72" spans="2:11" x14ac:dyDescent="0.25">
      <c r="E72" s="369" t="str">
        <f>'Base Blend Property Calculation'!A76</f>
        <v>LITEmix 1325 (SK)</v>
      </c>
      <c r="F72" s="373">
        <v>1300</v>
      </c>
      <c r="G72" s="378">
        <f>VLOOKUP(E72,'Base Blend Property Calculation'!$A$7:$BT$158,61,FALSE)</f>
        <v>1325</v>
      </c>
      <c r="H72" s="373">
        <v>1375</v>
      </c>
      <c r="I72" s="344">
        <v>1380</v>
      </c>
      <c r="J72" s="241" t="str">
        <f t="shared" si="8"/>
        <v/>
      </c>
      <c r="K72" s="241" t="str">
        <f t="shared" si="9"/>
        <v/>
      </c>
    </row>
    <row r="73" spans="2:11" x14ac:dyDescent="0.25">
      <c r="E73" s="369" t="str">
        <f>'Base Blend Property Calculation'!A77</f>
        <v>LITEmix 1400 (AB)</v>
      </c>
      <c r="F73" s="373">
        <v>1400</v>
      </c>
      <c r="G73" s="378">
        <f>VLOOKUP(E73,'Base Blend Property Calculation'!$A$7:$BT$158,61,FALSE)</f>
        <v>1400</v>
      </c>
      <c r="H73" s="373">
        <v>1475</v>
      </c>
      <c r="I73" s="344">
        <v>1475</v>
      </c>
      <c r="J73" s="241" t="str">
        <f t="shared" si="8"/>
        <v/>
      </c>
      <c r="K73" s="241" t="str">
        <f t="shared" si="9"/>
        <v/>
      </c>
    </row>
    <row r="74" spans="2:11" x14ac:dyDescent="0.25">
      <c r="E74" s="369" t="str">
        <f>'Base Blend Property Calculation'!A78</f>
        <v>LITEmix 1400 (SK)</v>
      </c>
      <c r="F74" s="373">
        <v>1400</v>
      </c>
      <c r="G74" s="378">
        <f>VLOOKUP(E74,'Base Blend Property Calculation'!$A$7:$BT$158,61,FALSE)</f>
        <v>1400</v>
      </c>
      <c r="H74" s="373">
        <v>1475</v>
      </c>
      <c r="I74" s="344">
        <v>1785</v>
      </c>
      <c r="J74" s="241" t="str">
        <f t="shared" si="8"/>
        <v/>
      </c>
      <c r="K74" s="241" t="str">
        <f t="shared" si="9"/>
        <v/>
      </c>
    </row>
    <row r="75" spans="2:11" x14ac:dyDescent="0.25">
      <c r="E75" s="369" t="str">
        <f>'Base Blend Property Calculation'!A79</f>
        <v>PRODUCTIONmix 1500 PRO (LDP-C-3515)</v>
      </c>
      <c r="F75" s="373">
        <v>1300</v>
      </c>
      <c r="G75" s="378">
        <f>VLOOKUP(E75,'Base Blend Property Calculation'!$A$7:$BT$158,61,FALSE)</f>
        <v>1500</v>
      </c>
      <c r="H75" s="373">
        <v>1550</v>
      </c>
      <c r="I75" s="344">
        <v>1355</v>
      </c>
      <c r="J75" s="241" t="str">
        <f t="shared" si="8"/>
        <v/>
      </c>
      <c r="K75" s="241" t="str">
        <f t="shared" si="9"/>
        <v/>
      </c>
    </row>
    <row r="76" spans="2:11" x14ac:dyDescent="0.25">
      <c r="E76" s="369" t="str">
        <f>'Base Blend Property Calculation'!A80</f>
        <v>PRODUCTIONmix 1600</v>
      </c>
      <c r="F76" s="373">
        <v>1350</v>
      </c>
      <c r="G76" s="378">
        <f>VLOOKUP(E76,'Base Blend Property Calculation'!$A$7:$BT$158,61,FALSE)</f>
        <v>1600</v>
      </c>
      <c r="H76" s="373">
        <v>1625</v>
      </c>
      <c r="I76" s="344">
        <v>1400</v>
      </c>
      <c r="J76" s="241" t="str">
        <f t="shared" si="8"/>
        <v/>
      </c>
      <c r="K76" s="241" t="str">
        <f t="shared" si="9"/>
        <v/>
      </c>
    </row>
    <row r="77" spans="2:11" x14ac:dyDescent="0.25">
      <c r="E77" s="369" t="str">
        <f>'Base Blend Property Calculation'!A81</f>
        <v>PRODUCTIONmix 1600 (SK)</v>
      </c>
      <c r="F77" s="373">
        <v>1400</v>
      </c>
      <c r="G77" s="378">
        <f>VLOOKUP(E77,'Base Blend Property Calculation'!$A$7:$BT$158,61,FALSE)</f>
        <v>1600</v>
      </c>
      <c r="H77" s="373">
        <v>1625</v>
      </c>
      <c r="I77" s="344">
        <v>1450</v>
      </c>
      <c r="J77" s="241" t="str">
        <f t="shared" si="8"/>
        <v/>
      </c>
      <c r="K77" s="241" t="str">
        <f t="shared" si="9"/>
        <v/>
      </c>
    </row>
    <row r="78" spans="2:11" x14ac:dyDescent="0.25">
      <c r="E78" s="369" t="str">
        <f>'Base Blend Property Calculation'!A82</f>
        <v>PRODUCTIONmix 1725</v>
      </c>
      <c r="F78" s="373">
        <v>1400</v>
      </c>
      <c r="G78" s="378">
        <f>VLOOKUP(E78,'Base Blend Property Calculation'!$A$7:$BT$158,61,FALSE)</f>
        <v>1725</v>
      </c>
      <c r="H78" s="373">
        <v>1750</v>
      </c>
      <c r="I78" s="344">
        <v>1450</v>
      </c>
      <c r="J78" s="241" t="str">
        <f t="shared" si="8"/>
        <v/>
      </c>
      <c r="K78" s="241" t="str">
        <f t="shared" si="9"/>
        <v/>
      </c>
    </row>
    <row r="79" spans="2:11" x14ac:dyDescent="0.25">
      <c r="E79" s="369" t="str">
        <f>'Base Blend Property Calculation'!A83</f>
        <v>PRODUCTIONmix LW</v>
      </c>
      <c r="F79" s="373">
        <v>1500</v>
      </c>
      <c r="G79" s="378">
        <f>VLOOKUP(E79,'Base Blend Property Calculation'!$A$7:$BT$158,61,FALSE)</f>
        <v>1500</v>
      </c>
      <c r="H79" s="373">
        <v>1750</v>
      </c>
      <c r="I79" s="344">
        <v>1800</v>
      </c>
      <c r="J79" s="241" t="str">
        <f t="shared" si="8"/>
        <v/>
      </c>
      <c r="K79" s="241" t="str">
        <f t="shared" si="9"/>
        <v/>
      </c>
    </row>
    <row r="80" spans="2:11" x14ac:dyDescent="0.25">
      <c r="E80" s="369" t="str">
        <f>'Base Blend Property Calculation'!A84</f>
        <v>PRODUCTIONmix LW (Sask)</v>
      </c>
      <c r="F80" s="373">
        <v>1500</v>
      </c>
      <c r="G80" s="378">
        <f>VLOOKUP(E80,'Base Blend Property Calculation'!$A$7:$BT$158,61,FALSE)</f>
        <v>1500</v>
      </c>
      <c r="H80" s="373">
        <v>1750</v>
      </c>
      <c r="I80" s="344">
        <v>1805</v>
      </c>
      <c r="J80" s="241" t="str">
        <f t="shared" si="8"/>
        <v/>
      </c>
      <c r="K80" s="241" t="str">
        <f t="shared" si="9"/>
        <v/>
      </c>
    </row>
    <row r="81" spans="5:11" x14ac:dyDescent="0.25">
      <c r="E81" s="369" t="str">
        <f>'Base Blend Property Calculation'!A85</f>
        <v>PRODUCTIONmix LW PRO</v>
      </c>
      <c r="F81" s="373">
        <v>1500</v>
      </c>
      <c r="G81" s="378">
        <f>VLOOKUP(E81,'Base Blend Property Calculation'!$A$7:$BT$158,61,FALSE)</f>
        <v>1500</v>
      </c>
      <c r="H81" s="373">
        <v>1740</v>
      </c>
      <c r="I81" s="344" t="s">
        <v>525</v>
      </c>
      <c r="J81" s="241" t="str">
        <f t="shared" si="8"/>
        <v/>
      </c>
      <c r="K81" s="241" t="str">
        <f t="shared" si="9"/>
        <v/>
      </c>
    </row>
    <row r="82" spans="5:11" x14ac:dyDescent="0.25">
      <c r="E82" s="369" t="str">
        <f>'Base Blend Property Calculation'!A86</f>
        <v>PRODUCTIONmix THX</v>
      </c>
      <c r="F82" s="373">
        <v>1500</v>
      </c>
      <c r="G82" s="378">
        <f>VLOOKUP(E82,'Base Blend Property Calculation'!$A$7:$BT$158,61,FALSE)</f>
        <v>1550</v>
      </c>
      <c r="H82" s="373">
        <v>1650</v>
      </c>
      <c r="I82" s="344" t="s">
        <v>525</v>
      </c>
      <c r="J82" s="241" t="str">
        <f t="shared" si="8"/>
        <v/>
      </c>
      <c r="K82" s="241" t="str">
        <f t="shared" si="9"/>
        <v/>
      </c>
    </row>
    <row r="83" spans="5:11" x14ac:dyDescent="0.25">
      <c r="E83" s="369" t="str">
        <f>'Base Blend Property Calculation'!A87</f>
        <v>Prolite 13</v>
      </c>
      <c r="F83" s="373">
        <v>1300</v>
      </c>
      <c r="G83" s="378">
        <f>VLOOKUP(E83,'Base Blend Property Calculation'!$A$7:$BT$158,61,FALSE)</f>
        <v>1300</v>
      </c>
      <c r="H83" s="373">
        <v>1500</v>
      </c>
      <c r="I83" s="344" t="s">
        <v>525</v>
      </c>
      <c r="J83" s="241" t="str">
        <f t="shared" si="8"/>
        <v/>
      </c>
      <c r="K83" s="241" t="str">
        <f t="shared" si="9"/>
        <v/>
      </c>
    </row>
    <row r="84" spans="5:11" x14ac:dyDescent="0.25">
      <c r="E84" s="369" t="str">
        <f>'Base Blend Property Calculation'!A88</f>
        <v>Prolite 14</v>
      </c>
      <c r="F84" s="373">
        <v>1400</v>
      </c>
      <c r="G84" s="378">
        <f>VLOOKUP(E84,'Base Blend Property Calculation'!$A$7:$BT$158,61,FALSE)</f>
        <v>1400</v>
      </c>
      <c r="H84" s="373">
        <v>1625</v>
      </c>
      <c r="I84" s="344" t="s">
        <v>525</v>
      </c>
      <c r="J84" s="241" t="str">
        <f t="shared" si="8"/>
        <v/>
      </c>
      <c r="K84" s="241" t="str">
        <f t="shared" si="9"/>
        <v/>
      </c>
    </row>
    <row r="85" spans="5:11" x14ac:dyDescent="0.25">
      <c r="E85" s="369" t="str">
        <f>'Base Blend Property Calculation'!A89</f>
        <v>Proteus Core</v>
      </c>
      <c r="F85" s="373">
        <v>1650</v>
      </c>
      <c r="G85" s="378">
        <f>VLOOKUP(E85,'Base Blend Property Calculation'!$A$7:$BT$158,61,FALSE)</f>
        <v>1700</v>
      </c>
      <c r="H85" s="373">
        <v>1750</v>
      </c>
      <c r="I85" s="344">
        <v>1830</v>
      </c>
      <c r="J85" s="241" t="str">
        <f t="shared" si="8"/>
        <v/>
      </c>
      <c r="K85" s="241" t="str">
        <f t="shared" si="9"/>
        <v/>
      </c>
    </row>
    <row r="86" spans="5:11" x14ac:dyDescent="0.25">
      <c r="E86" s="369" t="str">
        <f>'Base Blend Property Calculation'!A90</f>
        <v>Proteus GLS @ 1300</v>
      </c>
      <c r="F86" s="373">
        <v>1300</v>
      </c>
      <c r="G86" s="378">
        <f>VLOOKUP(E86,'Base Blend Property Calculation'!$A$7:$BT$158,61,FALSE)</f>
        <v>1300</v>
      </c>
      <c r="H86" s="373">
        <v>1300</v>
      </c>
      <c r="I86" s="344">
        <v>1360</v>
      </c>
      <c r="J86" s="241" t="str">
        <f t="shared" si="8"/>
        <v/>
      </c>
      <c r="K86" s="241" t="str">
        <f t="shared" si="9"/>
        <v/>
      </c>
    </row>
    <row r="87" spans="5:11" x14ac:dyDescent="0.25">
      <c r="E87" s="369" t="str">
        <f>'Base Blend Property Calculation'!A91</f>
        <v>Proteus GLS @ 1350</v>
      </c>
      <c r="F87" s="373">
        <v>1300</v>
      </c>
      <c r="G87" s="378">
        <f>VLOOKUP(E87,'Base Blend Property Calculation'!$A$7:$BT$158,61,FALSE)</f>
        <v>1350</v>
      </c>
      <c r="H87" s="373">
        <v>1350</v>
      </c>
      <c r="I87" s="344">
        <v>1360</v>
      </c>
      <c r="J87" s="241" t="str">
        <f t="shared" si="8"/>
        <v/>
      </c>
      <c r="K87" s="241" t="str">
        <f t="shared" si="9"/>
        <v/>
      </c>
    </row>
    <row r="88" spans="5:11" x14ac:dyDescent="0.25">
      <c r="E88" s="369" t="str">
        <f>'Base Blend Property Calculation'!A92</f>
        <v>Proteus GLS @ 1400</v>
      </c>
      <c r="F88" s="373">
        <v>1160</v>
      </c>
      <c r="G88" s="378">
        <f>VLOOKUP(E88,'Base Blend Property Calculation'!$A$7:$BT$158,61,FALSE)</f>
        <v>1400</v>
      </c>
      <c r="H88" s="373">
        <v>1400</v>
      </c>
      <c r="I88" s="344">
        <v>1250</v>
      </c>
      <c r="J88" s="241" t="str">
        <f t="shared" si="8"/>
        <v/>
      </c>
      <c r="K88" s="241" t="str">
        <f t="shared" si="9"/>
        <v/>
      </c>
    </row>
    <row r="89" spans="5:11" x14ac:dyDescent="0.25">
      <c r="E89" s="369" t="str">
        <f>'Base Blend Property Calculation'!A93</f>
        <v>Proteus GLS @ 1400 (CDM-5)</v>
      </c>
      <c r="F89" s="373">
        <v>1160</v>
      </c>
      <c r="G89" s="378">
        <f>VLOOKUP(E89,'Base Blend Property Calculation'!$A$7:$BT$158,61,FALSE)</f>
        <v>1400</v>
      </c>
      <c r="H89" s="373">
        <v>1400</v>
      </c>
      <c r="I89" s="344">
        <v>1250</v>
      </c>
      <c r="J89" s="241" t="str">
        <f t="shared" si="8"/>
        <v/>
      </c>
      <c r="K89" s="241" t="str">
        <f t="shared" si="9"/>
        <v/>
      </c>
    </row>
    <row r="90" spans="5:11" x14ac:dyDescent="0.25">
      <c r="E90" s="369" t="str">
        <f>'Base Blend Property Calculation'!A94</f>
        <v>Proteus LCS</v>
      </c>
      <c r="F90" s="373">
        <v>1200</v>
      </c>
      <c r="G90" s="378">
        <f>VLOOKUP(E90,'Base Blend Property Calculation'!$A$7:$BT$158,61,FALSE)</f>
        <v>1750</v>
      </c>
      <c r="H90" s="373">
        <v>1775</v>
      </c>
      <c r="I90" s="344">
        <v>1260</v>
      </c>
      <c r="J90" s="241" t="str">
        <f t="shared" si="8"/>
        <v/>
      </c>
      <c r="K90" s="241" t="str">
        <f t="shared" si="9"/>
        <v/>
      </c>
    </row>
    <row r="91" spans="5:11" x14ac:dyDescent="0.25">
      <c r="E91" s="369" t="str">
        <f>'Base Blend Property Calculation'!A95</f>
        <v>Proteus Pro</v>
      </c>
      <c r="F91" s="373">
        <v>1175</v>
      </c>
      <c r="G91" s="378">
        <f>VLOOKUP(E91,'Base Blend Property Calculation'!$A$7:$BT$158,61,FALSE)</f>
        <v>1725</v>
      </c>
      <c r="H91" s="373">
        <v>1800</v>
      </c>
      <c r="I91" s="344">
        <v>1240</v>
      </c>
      <c r="J91" s="241" t="str">
        <f t="shared" si="8"/>
        <v/>
      </c>
      <c r="K91" s="241" t="str">
        <f t="shared" si="9"/>
        <v/>
      </c>
    </row>
    <row r="92" spans="5:11" x14ac:dyDescent="0.25">
      <c r="E92" s="369" t="str">
        <f>'Base Blend Property Calculation'!A96</f>
        <v>RAS II</v>
      </c>
      <c r="F92" s="373">
        <v>1600</v>
      </c>
      <c r="G92" s="378">
        <f>VLOOKUP(E92,'Base Blend Property Calculation'!$A$7:$BT$158,61,FALSE)</f>
        <v>1740</v>
      </c>
      <c r="H92" s="373">
        <v>1750</v>
      </c>
      <c r="I92" s="344">
        <v>1650</v>
      </c>
      <c r="J92" s="241" t="str">
        <f t="shared" si="8"/>
        <v/>
      </c>
      <c r="K92" s="241" t="str">
        <f t="shared" si="9"/>
        <v/>
      </c>
    </row>
    <row r="93" spans="5:11" x14ac:dyDescent="0.25">
      <c r="E93" s="369" t="str">
        <f>'Base Blend Property Calculation'!A97</f>
        <v>SanSeal</v>
      </c>
      <c r="F93" s="373">
        <v>1600</v>
      </c>
      <c r="G93" s="378">
        <f>VLOOKUP(E93,'Base Blend Property Calculation'!$A$7:$BT$158,61,FALSE)</f>
        <v>1650</v>
      </c>
      <c r="H93" s="373">
        <v>1700</v>
      </c>
      <c r="I93" s="344">
        <v>1655</v>
      </c>
      <c r="J93" s="241" t="str">
        <f t="shared" si="8"/>
        <v/>
      </c>
      <c r="K93" s="241" t="str">
        <f t="shared" si="9"/>
        <v/>
      </c>
    </row>
    <row r="94" spans="5:11" x14ac:dyDescent="0.25">
      <c r="E94" s="369" t="str">
        <f>'Base Blend Property Calculation'!A98</f>
        <v>SanSeal HT</v>
      </c>
      <c r="F94" s="373">
        <v>1500</v>
      </c>
      <c r="G94" s="378">
        <f>VLOOKUP(E94,'Base Blend Property Calculation'!$A$7:$BT$158,61,FALSE)</f>
        <v>1500</v>
      </c>
      <c r="H94" s="373">
        <v>1550</v>
      </c>
      <c r="I94" s="344">
        <v>1605</v>
      </c>
      <c r="J94" s="241" t="str">
        <f t="shared" si="8"/>
        <v/>
      </c>
      <c r="K94" s="241" t="str">
        <f t="shared" si="9"/>
        <v/>
      </c>
    </row>
    <row r="95" spans="5:11" x14ac:dyDescent="0.25">
      <c r="E95" s="369" t="str">
        <f>'Base Blend Property Calculation'!A99</f>
        <v>SCC10 Thermal</v>
      </c>
      <c r="F95" s="373">
        <v>1550</v>
      </c>
      <c r="G95" s="378">
        <f>VLOOKUP(E95,'Base Blend Property Calculation'!$A$7:$BT$158,61,FALSE)</f>
        <v>1625</v>
      </c>
      <c r="H95" s="373">
        <v>1625</v>
      </c>
      <c r="I95" s="344">
        <v>1610</v>
      </c>
      <c r="J95" s="241" t="str">
        <f t="shared" si="8"/>
        <v/>
      </c>
      <c r="K95" s="241" t="str">
        <f t="shared" si="9"/>
        <v/>
      </c>
    </row>
    <row r="96" spans="5:11" x14ac:dyDescent="0.25">
      <c r="E96" s="369" t="str">
        <f>'Base Blend Property Calculation'!A100</f>
        <v>SSi</v>
      </c>
      <c r="F96" s="373">
        <v>1650</v>
      </c>
      <c r="G96" s="378">
        <f>VLOOKUP(E96,'Base Blend Property Calculation'!$A$7:$BT$158,61,FALSE)</f>
        <v>1750</v>
      </c>
      <c r="H96" s="373">
        <v>1800</v>
      </c>
      <c r="I96" s="344">
        <v>1790</v>
      </c>
      <c r="J96" s="241" t="str">
        <f t="shared" si="8"/>
        <v/>
      </c>
      <c r="K96" s="241" t="str">
        <f t="shared" si="9"/>
        <v/>
      </c>
    </row>
    <row r="97" spans="5:11" x14ac:dyDescent="0.25">
      <c r="E97" s="369" t="str">
        <f>'Base Blend Property Calculation'!A101</f>
        <v>Superlite 13</v>
      </c>
      <c r="F97" s="373">
        <v>1200</v>
      </c>
      <c r="G97" s="378">
        <f>VLOOKUP(E97,'Base Blend Property Calculation'!$A$7:$BT$158,61,FALSE)</f>
        <v>1300</v>
      </c>
      <c r="H97" s="373">
        <v>1300</v>
      </c>
      <c r="I97" s="344">
        <v>1250</v>
      </c>
      <c r="J97" s="241" t="str">
        <f t="shared" si="8"/>
        <v/>
      </c>
      <c r="K97" s="241" t="str">
        <f t="shared" si="9"/>
        <v/>
      </c>
    </row>
    <row r="98" spans="5:11" x14ac:dyDescent="0.25">
      <c r="E98" s="369" t="str">
        <f>'Base Blend Property Calculation'!A102</f>
        <v>Superlite 13 (CDM-5)</v>
      </c>
      <c r="F98" s="373">
        <v>1300</v>
      </c>
      <c r="G98" s="378">
        <f>VLOOKUP(E98,'Base Blend Property Calculation'!$A$7:$BT$158,61,FALSE)</f>
        <v>1300</v>
      </c>
      <c r="H98" s="373">
        <v>1750</v>
      </c>
      <c r="I98" s="344">
        <v>1805</v>
      </c>
      <c r="J98" s="241" t="str">
        <f t="shared" si="8"/>
        <v/>
      </c>
      <c r="K98" s="241" t="str">
        <f t="shared" si="9"/>
        <v/>
      </c>
    </row>
    <row r="99" spans="5:11" x14ac:dyDescent="0.25">
      <c r="E99" s="369" t="str">
        <f>'Base Blend Property Calculation'!A103</f>
        <v>SUPERLITEmix 1160</v>
      </c>
      <c r="F99" s="373">
        <v>1160</v>
      </c>
      <c r="G99" s="378">
        <f>VLOOKUP(E99,'Base Blend Property Calculation'!$A$7:$BT$158,61,FALSE)</f>
        <v>1160</v>
      </c>
      <c r="H99" s="373">
        <v>1760</v>
      </c>
      <c r="I99" s="344">
        <v>1810</v>
      </c>
      <c r="J99" s="241" t="str">
        <f t="shared" si="8"/>
        <v/>
      </c>
      <c r="K99" s="241" t="str">
        <f t="shared" si="9"/>
        <v/>
      </c>
    </row>
    <row r="100" spans="5:11" x14ac:dyDescent="0.25">
      <c r="E100" s="369" t="str">
        <f>'Base Blend Property Calculation'!A104</f>
        <v>SUPERLITEmix 1160 (CDM-5)</v>
      </c>
      <c r="F100" s="373">
        <v>1160</v>
      </c>
      <c r="G100" s="378">
        <f>VLOOKUP(E100,'Base Blend Property Calculation'!$A$7:$BT$158,61,FALSE)</f>
        <v>1160</v>
      </c>
      <c r="H100" s="373">
        <v>1950</v>
      </c>
      <c r="I100" s="344">
        <v>1950</v>
      </c>
      <c r="J100" s="241" t="str">
        <f t="shared" si="8"/>
        <v/>
      </c>
      <c r="K100" s="241" t="str">
        <f t="shared" si="9"/>
        <v/>
      </c>
    </row>
    <row r="101" spans="5:11" x14ac:dyDescent="0.25">
      <c r="E101" s="369" t="str">
        <f>'Base Blend Property Calculation'!A105</f>
        <v>SUPERLITEmix PRO (LDP-C-3215)</v>
      </c>
      <c r="F101" s="373">
        <v>1175</v>
      </c>
      <c r="G101" s="378">
        <f>VLOOKUP(E101,'Base Blend Property Calculation'!$A$7:$BT$158,61,FALSE)</f>
        <v>1175</v>
      </c>
      <c r="H101" s="373">
        <v>1850</v>
      </c>
      <c r="I101" s="344">
        <v>1890</v>
      </c>
      <c r="J101" s="241" t="str">
        <f t="shared" si="8"/>
        <v/>
      </c>
      <c r="K101" s="241" t="str">
        <f t="shared" si="9"/>
        <v/>
      </c>
    </row>
    <row r="102" spans="5:11" x14ac:dyDescent="0.25">
      <c r="E102" s="369" t="str">
        <f>'Base Blend Property Calculation'!A106</f>
        <v>SUPERLITEmix PRO HT</v>
      </c>
      <c r="F102" s="373">
        <v>1200</v>
      </c>
      <c r="G102" s="378">
        <f>VLOOKUP(E102,'Base Blend Property Calculation'!$A$7:$BT$158,61,FALSE)</f>
        <v>1200</v>
      </c>
      <c r="H102" s="373">
        <v>1600</v>
      </c>
      <c r="I102" s="344">
        <v>1660</v>
      </c>
      <c r="J102" s="241" t="str">
        <f t="shared" si="8"/>
        <v/>
      </c>
      <c r="K102" s="241" t="str">
        <f t="shared" si="9"/>
        <v/>
      </c>
    </row>
    <row r="103" spans="5:11" x14ac:dyDescent="0.25">
      <c r="E103" s="369" t="str">
        <f>'Base Blend Property Calculation'!A107</f>
        <v>SURFACEmix LW (AB)</v>
      </c>
      <c r="F103" s="373">
        <v>1600</v>
      </c>
      <c r="G103" s="378">
        <f>VLOOKUP(E103,'Base Blend Property Calculation'!$A$7:$BT$158,61,FALSE)</f>
        <v>1600</v>
      </c>
      <c r="H103" s="373">
        <v>1750</v>
      </c>
      <c r="I103" s="344">
        <v>1820</v>
      </c>
      <c r="J103" s="241" t="str">
        <f t="shared" si="8"/>
        <v/>
      </c>
      <c r="K103" s="241" t="str">
        <f t="shared" si="9"/>
        <v/>
      </c>
    </row>
    <row r="104" spans="5:11" x14ac:dyDescent="0.25">
      <c r="E104" s="369" t="s">
        <v>537</v>
      </c>
      <c r="F104" s="378">
        <v>1840</v>
      </c>
      <c r="G104" s="378">
        <f>VLOOKUP(E104,'Base Blend Property Calculation'!$A$7:$BT$158,61,FALSE)</f>
        <v>1840</v>
      </c>
      <c r="H104" s="378">
        <v>1840</v>
      </c>
      <c r="I104" s="379" t="s">
        <v>525</v>
      </c>
      <c r="J104" s="241" t="str">
        <f t="shared" si="8"/>
        <v/>
      </c>
      <c r="K104" s="241" t="str">
        <f t="shared" si="9"/>
        <v/>
      </c>
    </row>
    <row r="105" spans="5:11" x14ac:dyDescent="0.25">
      <c r="E105" s="369" t="str">
        <f>'Base Blend Property Calculation'!A109</f>
        <v>SURFACEmix LW PRO (LDP-C-4715)</v>
      </c>
      <c r="F105" s="373">
        <v>1450</v>
      </c>
      <c r="G105" s="378">
        <f>VLOOKUP(E105,'Base Blend Property Calculation'!$A$7:$BT$158,61,FALSE)</f>
        <v>1550</v>
      </c>
      <c r="H105" s="373">
        <v>1600</v>
      </c>
      <c r="I105" s="344">
        <v>1560</v>
      </c>
      <c r="J105" s="241" t="str">
        <f t="shared" si="8"/>
        <v/>
      </c>
      <c r="K105" s="241" t="str">
        <f t="shared" si="9"/>
        <v/>
      </c>
    </row>
    <row r="106" spans="5:11" x14ac:dyDescent="0.25">
      <c r="E106" s="369" t="str">
        <f>'Base Blend Property Calculation'!A110</f>
        <v>SURFACEmix LW PRO (SK) (LDP-C-4715)</v>
      </c>
      <c r="F106" s="373">
        <v>1450</v>
      </c>
      <c r="G106" s="378">
        <f>VLOOKUP(E106,'Base Blend Property Calculation'!$A$7:$BT$158,61,FALSE)</f>
        <v>1550</v>
      </c>
      <c r="H106" s="373">
        <v>1600</v>
      </c>
      <c r="I106" s="344">
        <v>1565</v>
      </c>
      <c r="J106" s="241" t="str">
        <f t="shared" si="8"/>
        <v/>
      </c>
      <c r="K106" s="241" t="str">
        <f t="shared" si="9"/>
        <v/>
      </c>
    </row>
    <row r="107" spans="5:11" x14ac:dyDescent="0.25">
      <c r="E107" s="369" t="str">
        <f>'Base Blend Property Calculation'!A111</f>
        <v>SURFACEmix LW PRO SL</v>
      </c>
      <c r="F107" s="373">
        <v>1500</v>
      </c>
      <c r="G107" s="378">
        <f>VLOOKUP(E107,'Base Blend Property Calculation'!$A$7:$BT$158,61,FALSE)</f>
        <v>1550</v>
      </c>
      <c r="H107" s="373">
        <v>1600</v>
      </c>
      <c r="I107" s="344">
        <v>1600</v>
      </c>
      <c r="J107" s="241" t="str">
        <f t="shared" si="8"/>
        <v/>
      </c>
      <c r="K107" s="241" t="str">
        <f t="shared" si="9"/>
        <v/>
      </c>
    </row>
    <row r="108" spans="5:11" x14ac:dyDescent="0.25">
      <c r="E108" s="369" t="str">
        <f>'Base Blend Property Calculation'!A112</f>
        <v>SURFACEmix PRO</v>
      </c>
      <c r="F108" s="373">
        <v>1700</v>
      </c>
      <c r="G108" s="378">
        <f>VLOOKUP(E108,'Base Blend Property Calculation'!$A$7:$BT$158,61,FALSE)</f>
        <v>1700</v>
      </c>
      <c r="H108" s="373">
        <v>1730</v>
      </c>
      <c r="I108" s="344">
        <v>1730</v>
      </c>
      <c r="J108" s="241" t="str">
        <f t="shared" si="8"/>
        <v/>
      </c>
      <c r="K108" s="241" t="str">
        <f t="shared" si="9"/>
        <v/>
      </c>
    </row>
    <row r="109" spans="5:11" x14ac:dyDescent="0.25">
      <c r="E109" s="369" t="str">
        <f>'Base Blend Property Calculation'!A113</f>
        <v>SURFACEmix PRO SL</v>
      </c>
      <c r="F109" s="373">
        <v>1450</v>
      </c>
      <c r="G109" s="378">
        <f>VLOOKUP(E109,'Base Blend Property Calculation'!$A$7:$BT$158,61,FALSE)</f>
        <v>1700</v>
      </c>
      <c r="H109" s="373">
        <v>1725</v>
      </c>
      <c r="I109" s="344">
        <v>1600</v>
      </c>
      <c r="J109" s="241" t="str">
        <f t="shared" si="8"/>
        <v/>
      </c>
      <c r="K109" s="241" t="str">
        <f t="shared" si="9"/>
        <v/>
      </c>
    </row>
    <row r="110" spans="5:11" x14ac:dyDescent="0.25">
      <c r="E110" s="369" t="str">
        <f>'Base Blend Property Calculation'!A114</f>
        <v>SURFACEmix SLW</v>
      </c>
      <c r="F110" s="373">
        <v>1200</v>
      </c>
      <c r="G110" s="378">
        <f>VLOOKUP(E110,'Base Blend Property Calculation'!$A$7:$BT$158,61,FALSE)</f>
        <v>1200</v>
      </c>
      <c r="H110" s="373">
        <v>1650</v>
      </c>
      <c r="I110" s="344">
        <v>1650</v>
      </c>
      <c r="J110" s="241" t="str">
        <f t="shared" si="8"/>
        <v/>
      </c>
      <c r="K110" s="241" t="str">
        <f t="shared" si="9"/>
        <v/>
      </c>
    </row>
    <row r="111" spans="5:11" x14ac:dyDescent="0.25">
      <c r="E111" s="369" t="str">
        <f>'Base Blend Property Calculation'!A115</f>
        <v>SurfLite</v>
      </c>
      <c r="F111" s="373">
        <v>1840</v>
      </c>
      <c r="G111" s="373">
        <v>1840</v>
      </c>
      <c r="H111" s="373">
        <v>1900</v>
      </c>
      <c r="I111" s="344">
        <v>1900</v>
      </c>
      <c r="J111" s="241" t="str">
        <f t="shared" si="8"/>
        <v/>
      </c>
      <c r="K111" s="241" t="str">
        <f t="shared" si="9"/>
        <v/>
      </c>
    </row>
    <row r="112" spans="5:11" x14ac:dyDescent="0.25">
      <c r="E112" s="369" t="str">
        <f>'Base Blend Property Calculation'!A116</f>
        <v>SurfLite (SK)</v>
      </c>
      <c r="F112" s="373">
        <v>1650</v>
      </c>
      <c r="G112" s="373">
        <v>1675</v>
      </c>
      <c r="H112" s="373">
        <v>1725</v>
      </c>
      <c r="I112" s="344">
        <v>1725</v>
      </c>
      <c r="J112" s="241" t="str">
        <f t="shared" si="8"/>
        <v/>
      </c>
      <c r="K112" s="241" t="str">
        <f t="shared" si="9"/>
        <v/>
      </c>
    </row>
    <row r="113" spans="5:11" x14ac:dyDescent="0.25">
      <c r="E113" s="369" t="str">
        <f>'Base Blend Property Calculation'!A117</f>
        <v>Thermal 40</v>
      </c>
      <c r="F113" s="373">
        <v>1650</v>
      </c>
      <c r="G113" s="373">
        <v>1885</v>
      </c>
      <c r="H113" s="373">
        <v>1900</v>
      </c>
      <c r="I113" s="344">
        <v>1725</v>
      </c>
      <c r="J113" s="241" t="str">
        <f t="shared" si="8"/>
        <v/>
      </c>
      <c r="K113" s="241" t="str">
        <f t="shared" si="9"/>
        <v/>
      </c>
    </row>
    <row r="114" spans="5:11" x14ac:dyDescent="0.25">
      <c r="E114" s="369" t="str">
        <f>'Base Blend Property Calculation'!A118</f>
        <v>Thermal 40 EXP</v>
      </c>
      <c r="F114" s="373">
        <v>1500</v>
      </c>
      <c r="G114" s="373">
        <v>1820</v>
      </c>
      <c r="H114" s="373">
        <v>1850</v>
      </c>
      <c r="I114" s="344">
        <v>1550</v>
      </c>
      <c r="J114" s="241" t="str">
        <f t="shared" si="8"/>
        <v/>
      </c>
      <c r="K114" s="241" t="str">
        <f t="shared" si="9"/>
        <v/>
      </c>
    </row>
    <row r="115" spans="5:11" x14ac:dyDescent="0.25">
      <c r="E115" s="369" t="str">
        <f>'Base Blend Property Calculation'!A119</f>
        <v>Thermal 40 Lite</v>
      </c>
      <c r="F115" s="373">
        <v>1600</v>
      </c>
      <c r="G115" s="373">
        <v>1600</v>
      </c>
      <c r="H115" s="373">
        <v>1600</v>
      </c>
      <c r="I115" s="344">
        <v>1600</v>
      </c>
      <c r="J115" s="241" t="str">
        <f t="shared" si="8"/>
        <v/>
      </c>
      <c r="K115" s="241" t="str">
        <f t="shared" si="9"/>
        <v/>
      </c>
    </row>
    <row r="116" spans="5:11" x14ac:dyDescent="0.25">
      <c r="E116" s="369" t="str">
        <f>'Base Blend Property Calculation'!A120</f>
        <v>THERMAmix EC</v>
      </c>
      <c r="F116" s="373">
        <v>1750</v>
      </c>
      <c r="G116" s="373">
        <v>1750</v>
      </c>
      <c r="H116" s="373">
        <v>1750</v>
      </c>
      <c r="I116" s="344">
        <v>1200</v>
      </c>
      <c r="J116" s="241" t="str">
        <f t="shared" si="8"/>
        <v/>
      </c>
      <c r="K116" s="241" t="str">
        <f t="shared" si="9"/>
        <v/>
      </c>
    </row>
    <row r="117" spans="5:11" x14ac:dyDescent="0.25">
      <c r="E117" s="369" t="str">
        <f>'Base Blend Property Calculation'!A121</f>
        <v>THERMAmix EC EXP</v>
      </c>
      <c r="F117" s="373">
        <v>1600</v>
      </c>
      <c r="G117" s="373">
        <v>1600</v>
      </c>
      <c r="H117" s="373">
        <v>1600</v>
      </c>
      <c r="I117" s="344">
        <v>1600</v>
      </c>
      <c r="J117" s="241" t="str">
        <f t="shared" si="8"/>
        <v/>
      </c>
      <c r="K117" s="241" t="str">
        <f t="shared" si="9"/>
        <v/>
      </c>
    </row>
    <row r="118" spans="5:11" x14ac:dyDescent="0.25">
      <c r="E118" s="369" t="str">
        <f>'Base Blend Property Calculation'!A122</f>
        <v>THERMAmix LT</v>
      </c>
      <c r="F118" s="378">
        <v>1840</v>
      </c>
      <c r="G118" s="378">
        <v>1840</v>
      </c>
      <c r="H118" s="378">
        <v>1840</v>
      </c>
      <c r="I118" s="526">
        <v>1600</v>
      </c>
      <c r="J118" s="241" t="str">
        <f t="shared" si="8"/>
        <v/>
      </c>
      <c r="K118" s="241" t="str">
        <f t="shared" si="9"/>
        <v/>
      </c>
    </row>
    <row r="119" spans="5:11" x14ac:dyDescent="0.25">
      <c r="E119" s="369" t="str">
        <f>'Base Blend Property Calculation'!A123</f>
        <v>ThixLite HT (AB)</v>
      </c>
      <c r="F119" s="373">
        <v>1500</v>
      </c>
      <c r="G119" s="373">
        <v>1500</v>
      </c>
      <c r="H119" s="373">
        <v>1500</v>
      </c>
      <c r="I119" s="344">
        <v>1500</v>
      </c>
      <c r="J119" s="241" t="str">
        <f t="shared" si="8"/>
        <v/>
      </c>
      <c r="K119" s="241" t="str">
        <f t="shared" si="9"/>
        <v/>
      </c>
    </row>
    <row r="120" spans="5:11" x14ac:dyDescent="0.25">
      <c r="E120" s="369" t="str">
        <f>'Base Blend Property Calculation'!A124</f>
        <v>ThixLite HT (SK)</v>
      </c>
      <c r="F120" s="373">
        <v>1500</v>
      </c>
      <c r="G120" s="373">
        <v>1500</v>
      </c>
      <c r="H120" s="373">
        <v>1500</v>
      </c>
      <c r="I120" s="344">
        <v>1500</v>
      </c>
      <c r="J120" s="241" t="str">
        <f t="shared" si="8"/>
        <v/>
      </c>
      <c r="K120" s="241" t="str">
        <f t="shared" si="9"/>
        <v/>
      </c>
    </row>
    <row r="121" spans="5:11" x14ac:dyDescent="0.25">
      <c r="E121" s="369" t="str">
        <f>'Base Blend Property Calculation'!A125</f>
        <v>PRODUCTIONmix EC</v>
      </c>
      <c r="F121" s="373">
        <v>1630</v>
      </c>
      <c r="G121" s="373">
        <v>1640</v>
      </c>
      <c r="H121" s="373">
        <v>1650</v>
      </c>
      <c r="I121" s="344">
        <v>1650</v>
      </c>
      <c r="J121" s="241" t="str">
        <f t="shared" si="8"/>
        <v/>
      </c>
      <c r="K121" s="241" t="str">
        <f t="shared" si="9"/>
        <v/>
      </c>
    </row>
    <row r="122" spans="5:11" x14ac:dyDescent="0.25">
      <c r="E122" s="369" t="str">
        <f>'Base Blend Property Calculation'!A126</f>
        <v>PRODUCTIONmix EC (Sask)</v>
      </c>
      <c r="F122" s="373">
        <v>1630</v>
      </c>
      <c r="G122" s="373">
        <v>1640</v>
      </c>
      <c r="H122" s="373">
        <v>1650</v>
      </c>
      <c r="I122" s="344">
        <v>1650</v>
      </c>
      <c r="J122" s="241" t="str">
        <f t="shared" si="8"/>
        <v/>
      </c>
      <c r="K122" s="241" t="str">
        <f t="shared" si="9"/>
        <v/>
      </c>
    </row>
    <row r="123" spans="5:11" x14ac:dyDescent="0.25">
      <c r="E123" s="369" t="str">
        <f>'Base Blend Property Calculation'!A127</f>
        <v>SUPERLITEmix 1100X</v>
      </c>
      <c r="F123" s="373">
        <v>1100</v>
      </c>
      <c r="G123" s="373">
        <v>1100</v>
      </c>
      <c r="H123" s="373">
        <v>1100</v>
      </c>
      <c r="I123" s="344">
        <v>1100</v>
      </c>
      <c r="J123" s="241" t="str">
        <f t="shared" si="8"/>
        <v/>
      </c>
      <c r="K123" s="241" t="str">
        <f t="shared" si="9"/>
        <v/>
      </c>
    </row>
    <row r="124" spans="5:11" x14ac:dyDescent="0.25">
      <c r="E124" s="369" t="str">
        <f>'Base Blend Property Calculation'!A128</f>
        <v>SUPERLITEmix PRO (CDM-4)</v>
      </c>
      <c r="F124" s="373">
        <v>1175</v>
      </c>
      <c r="G124" s="373">
        <v>1200</v>
      </c>
      <c r="H124" s="373">
        <v>1200</v>
      </c>
      <c r="I124" s="344">
        <v>1200</v>
      </c>
      <c r="J124" s="241" t="str">
        <f t="shared" si="8"/>
        <v/>
      </c>
      <c r="K124" s="241" t="str">
        <f t="shared" si="9"/>
        <v/>
      </c>
    </row>
    <row r="125" spans="5:11" x14ac:dyDescent="0.25">
      <c r="E125" s="369" t="str">
        <f>'Base Blend Property Calculation'!A129</f>
        <v>SUPERLITEmix 1160 (CDM-4)</v>
      </c>
      <c r="F125" s="373">
        <v>1160</v>
      </c>
      <c r="G125" s="373">
        <v>1160</v>
      </c>
      <c r="H125" s="373">
        <v>1200</v>
      </c>
      <c r="I125" s="344">
        <v>1200</v>
      </c>
      <c r="J125" s="241" t="str">
        <f t="shared" si="8"/>
        <v/>
      </c>
      <c r="K125" s="241" t="str">
        <f t="shared" si="9"/>
        <v/>
      </c>
    </row>
    <row r="126" spans="5:11" x14ac:dyDescent="0.25">
      <c r="E126" s="369" t="str">
        <f>'Base Blend Property Calculation'!A130</f>
        <v>SUPERLITEmix PRO (CDM-2)</v>
      </c>
      <c r="F126" s="373">
        <v>1175</v>
      </c>
      <c r="G126" s="373">
        <v>1200</v>
      </c>
      <c r="H126" s="373">
        <v>1200</v>
      </c>
      <c r="I126" s="344">
        <v>1200</v>
      </c>
      <c r="J126" s="241" t="str">
        <f t="shared" si="8"/>
        <v/>
      </c>
      <c r="K126" s="241" t="str">
        <f t="shared" si="9"/>
        <v/>
      </c>
    </row>
    <row r="127" spans="5:11" x14ac:dyDescent="0.25">
      <c r="E127" s="369">
        <f>'Base Blend Property Calculation'!A131</f>
        <v>0</v>
      </c>
      <c r="F127" s="373"/>
      <c r="G127" s="373" t="str">
        <f>""</f>
        <v/>
      </c>
      <c r="H127" s="373"/>
      <c r="I127" s="344"/>
      <c r="J127" s="241" t="str">
        <f t="shared" si="8"/>
        <v/>
      </c>
      <c r="K127" s="241" t="str">
        <f t="shared" si="9"/>
        <v/>
      </c>
    </row>
    <row r="128" spans="5:11" x14ac:dyDescent="0.25">
      <c r="E128" s="369">
        <f>'Base Blend Property Calculation'!A132</f>
        <v>0</v>
      </c>
      <c r="F128" s="373"/>
      <c r="G128" s="373" t="str">
        <f>""</f>
        <v/>
      </c>
      <c r="H128" s="373"/>
      <c r="I128" s="344"/>
      <c r="J128" s="241" t="str">
        <f t="shared" si="8"/>
        <v/>
      </c>
      <c r="K128" s="241" t="str">
        <f t="shared" si="9"/>
        <v/>
      </c>
    </row>
    <row r="129" spans="5:11" x14ac:dyDescent="0.25">
      <c r="E129" s="369">
        <f>'Base Blend Property Calculation'!A133</f>
        <v>0</v>
      </c>
      <c r="F129" s="373"/>
      <c r="G129" s="373" t="str">
        <f>""</f>
        <v/>
      </c>
      <c r="H129" s="373"/>
      <c r="I129" s="344"/>
      <c r="J129" s="241" t="str">
        <f t="shared" si="8"/>
        <v/>
      </c>
      <c r="K129" s="241" t="str">
        <f t="shared" si="9"/>
        <v/>
      </c>
    </row>
    <row r="130" spans="5:11" x14ac:dyDescent="0.25">
      <c r="E130" s="369">
        <f>'Base Blend Property Calculation'!A134</f>
        <v>0</v>
      </c>
      <c r="F130" s="373"/>
      <c r="G130" s="373" t="str">
        <f>""</f>
        <v/>
      </c>
      <c r="H130" s="373"/>
      <c r="I130" s="344"/>
      <c r="J130" s="241" t="str">
        <f t="shared" si="8"/>
        <v/>
      </c>
      <c r="K130" s="241" t="str">
        <f t="shared" si="9"/>
        <v/>
      </c>
    </row>
    <row r="131" spans="5:11" x14ac:dyDescent="0.25">
      <c r="E131" s="369">
        <f>'Base Blend Property Calculation'!A135</f>
        <v>0</v>
      </c>
      <c r="F131" s="373"/>
      <c r="G131" s="373" t="str">
        <f>""</f>
        <v/>
      </c>
      <c r="H131" s="373"/>
      <c r="I131" s="344"/>
      <c r="J131" s="241" t="str">
        <f t="shared" si="8"/>
        <v/>
      </c>
      <c r="K131" s="241" t="str">
        <f t="shared" si="9"/>
        <v/>
      </c>
    </row>
    <row r="132" spans="5:11" x14ac:dyDescent="0.25">
      <c r="E132" s="369">
        <f>'Base Blend Property Calculation'!A136</f>
        <v>0</v>
      </c>
      <c r="F132" s="373"/>
      <c r="G132" s="373" t="str">
        <f>""</f>
        <v/>
      </c>
      <c r="H132" s="373"/>
      <c r="I132" s="344"/>
      <c r="J132" s="241" t="str">
        <f t="shared" ref="J132:J150" si="10">IF(F132&gt;G132,"Fix Here","")</f>
        <v/>
      </c>
      <c r="K132" s="241" t="str">
        <f t="shared" ref="K132:K150" si="11">IF(H132&lt;G132,"Fix This","")</f>
        <v/>
      </c>
    </row>
    <row r="133" spans="5:11" x14ac:dyDescent="0.25">
      <c r="E133" s="369">
        <f>'Base Blend Property Calculation'!A137</f>
        <v>0</v>
      </c>
      <c r="F133" s="373"/>
      <c r="G133" s="373" t="str">
        <f>""</f>
        <v/>
      </c>
      <c r="H133" s="373"/>
      <c r="I133" s="344"/>
      <c r="J133" s="241" t="str">
        <f t="shared" si="10"/>
        <v/>
      </c>
      <c r="K133" s="241" t="str">
        <f t="shared" si="11"/>
        <v/>
      </c>
    </row>
    <row r="134" spans="5:11" x14ac:dyDescent="0.25">
      <c r="E134" s="369">
        <f>'Base Blend Property Calculation'!A138</f>
        <v>0</v>
      </c>
      <c r="F134" s="373"/>
      <c r="G134" s="373" t="str">
        <f>""</f>
        <v/>
      </c>
      <c r="H134" s="373"/>
      <c r="I134" s="344"/>
      <c r="J134" s="241" t="str">
        <f t="shared" si="10"/>
        <v/>
      </c>
      <c r="K134" s="241" t="str">
        <f t="shared" si="11"/>
        <v/>
      </c>
    </row>
    <row r="135" spans="5:11" x14ac:dyDescent="0.25">
      <c r="E135" s="369">
        <f>'Base Blend Property Calculation'!A139</f>
        <v>0</v>
      </c>
      <c r="F135" s="373"/>
      <c r="G135" s="373" t="str">
        <f>""</f>
        <v/>
      </c>
      <c r="H135" s="373"/>
      <c r="I135" s="344"/>
      <c r="J135" s="241" t="str">
        <f t="shared" si="10"/>
        <v/>
      </c>
      <c r="K135" s="241" t="str">
        <f t="shared" si="11"/>
        <v/>
      </c>
    </row>
    <row r="136" spans="5:11" x14ac:dyDescent="0.25">
      <c r="E136" s="369">
        <f>'Base Blend Property Calculation'!A140</f>
        <v>0</v>
      </c>
      <c r="F136" s="373"/>
      <c r="G136" s="373" t="str">
        <f>""</f>
        <v/>
      </c>
      <c r="H136" s="373"/>
      <c r="I136" s="344"/>
      <c r="J136" s="241" t="str">
        <f t="shared" si="10"/>
        <v/>
      </c>
      <c r="K136" s="241" t="str">
        <f t="shared" si="11"/>
        <v/>
      </c>
    </row>
    <row r="137" spans="5:11" x14ac:dyDescent="0.25">
      <c r="E137" s="369">
        <f>'Base Blend Property Calculation'!A141</f>
        <v>0</v>
      </c>
      <c r="F137" s="373"/>
      <c r="G137" s="373" t="str">
        <f>""</f>
        <v/>
      </c>
      <c r="H137" s="373"/>
      <c r="I137" s="344"/>
      <c r="J137" s="241" t="str">
        <f t="shared" si="10"/>
        <v/>
      </c>
      <c r="K137" s="241" t="str">
        <f t="shared" si="11"/>
        <v/>
      </c>
    </row>
    <row r="138" spans="5:11" x14ac:dyDescent="0.25">
      <c r="E138" s="369">
        <f>'Base Blend Property Calculation'!A142</f>
        <v>0</v>
      </c>
      <c r="F138" s="373"/>
      <c r="G138" s="373" t="str">
        <f>""</f>
        <v/>
      </c>
      <c r="H138" s="373"/>
      <c r="I138" s="344"/>
      <c r="J138" s="241" t="str">
        <f t="shared" si="10"/>
        <v/>
      </c>
      <c r="K138" s="241" t="str">
        <f t="shared" si="11"/>
        <v/>
      </c>
    </row>
    <row r="139" spans="5:11" x14ac:dyDescent="0.25">
      <c r="E139" s="369">
        <f>'Base Blend Property Calculation'!A143</f>
        <v>0</v>
      </c>
      <c r="F139" s="373"/>
      <c r="G139" s="373" t="str">
        <f>""</f>
        <v/>
      </c>
      <c r="H139" s="373"/>
      <c r="I139" s="344"/>
      <c r="J139" s="241" t="str">
        <f t="shared" si="10"/>
        <v/>
      </c>
      <c r="K139" s="241" t="str">
        <f t="shared" si="11"/>
        <v/>
      </c>
    </row>
    <row r="140" spans="5:11" x14ac:dyDescent="0.25">
      <c r="E140" s="369">
        <f>'Base Blend Property Calculation'!A144</f>
        <v>0</v>
      </c>
      <c r="F140" s="373"/>
      <c r="G140" s="373" t="str">
        <f>""</f>
        <v/>
      </c>
      <c r="H140" s="373"/>
      <c r="I140" s="344"/>
      <c r="J140" s="241" t="str">
        <f t="shared" si="10"/>
        <v/>
      </c>
      <c r="K140" s="241" t="str">
        <f t="shared" si="11"/>
        <v/>
      </c>
    </row>
    <row r="141" spans="5:11" x14ac:dyDescent="0.25">
      <c r="E141" s="369">
        <f>'Base Blend Property Calculation'!A145</f>
        <v>0</v>
      </c>
      <c r="F141" s="373"/>
      <c r="G141" s="373" t="str">
        <f>""</f>
        <v/>
      </c>
      <c r="H141" s="373"/>
      <c r="I141" s="344"/>
      <c r="J141" s="241" t="str">
        <f t="shared" si="10"/>
        <v/>
      </c>
      <c r="K141" s="241" t="str">
        <f t="shared" si="11"/>
        <v/>
      </c>
    </row>
    <row r="142" spans="5:11" x14ac:dyDescent="0.25">
      <c r="E142" s="369">
        <f>'Base Blend Property Calculation'!A146</f>
        <v>0</v>
      </c>
      <c r="F142" s="373"/>
      <c r="G142" s="373" t="str">
        <f>""</f>
        <v/>
      </c>
      <c r="H142" s="373"/>
      <c r="I142" s="344"/>
      <c r="J142" s="241" t="str">
        <f t="shared" si="10"/>
        <v/>
      </c>
      <c r="K142" s="241" t="str">
        <f t="shared" si="11"/>
        <v/>
      </c>
    </row>
    <row r="143" spans="5:11" x14ac:dyDescent="0.25">
      <c r="E143" s="369">
        <f>'Base Blend Property Calculation'!A147</f>
        <v>0</v>
      </c>
      <c r="F143" s="373"/>
      <c r="G143" s="373" t="str">
        <f>""</f>
        <v/>
      </c>
      <c r="H143" s="373"/>
      <c r="I143" s="344"/>
      <c r="J143" s="241" t="str">
        <f t="shared" si="10"/>
        <v/>
      </c>
      <c r="K143" s="241" t="str">
        <f t="shared" si="11"/>
        <v/>
      </c>
    </row>
    <row r="144" spans="5:11" x14ac:dyDescent="0.25">
      <c r="E144" s="369">
        <f>'Base Blend Property Calculation'!A148</f>
        <v>0</v>
      </c>
      <c r="F144" s="373"/>
      <c r="G144" s="373" t="str">
        <f>""</f>
        <v/>
      </c>
      <c r="H144" s="373"/>
      <c r="I144" s="344"/>
      <c r="J144" s="241" t="str">
        <f t="shared" si="10"/>
        <v/>
      </c>
      <c r="K144" s="241" t="str">
        <f t="shared" si="11"/>
        <v/>
      </c>
    </row>
    <row r="145" spans="5:11" x14ac:dyDescent="0.25">
      <c r="E145" s="369">
        <f>'Base Blend Property Calculation'!A149</f>
        <v>0</v>
      </c>
      <c r="F145" s="373"/>
      <c r="G145" s="373" t="str">
        <f>""</f>
        <v/>
      </c>
      <c r="H145" s="373"/>
      <c r="I145" s="344"/>
      <c r="J145" s="241" t="str">
        <f t="shared" si="10"/>
        <v/>
      </c>
      <c r="K145" s="241" t="str">
        <f t="shared" si="11"/>
        <v/>
      </c>
    </row>
    <row r="146" spans="5:11" x14ac:dyDescent="0.25">
      <c r="E146" s="369">
        <f>'Base Blend Property Calculation'!A150</f>
        <v>0</v>
      </c>
      <c r="F146" s="373"/>
      <c r="G146" s="373" t="str">
        <f>""</f>
        <v/>
      </c>
      <c r="H146" s="373"/>
      <c r="I146" s="344"/>
      <c r="J146" s="241" t="str">
        <f t="shared" si="10"/>
        <v/>
      </c>
      <c r="K146" s="241" t="str">
        <f t="shared" si="11"/>
        <v/>
      </c>
    </row>
    <row r="147" spans="5:11" x14ac:dyDescent="0.25">
      <c r="E147" s="369">
        <f>'Base Blend Property Calculation'!A151</f>
        <v>0</v>
      </c>
      <c r="F147" s="373"/>
      <c r="G147" s="373" t="str">
        <f>""</f>
        <v/>
      </c>
      <c r="H147" s="373"/>
      <c r="I147" s="344"/>
      <c r="J147" s="241" t="str">
        <f t="shared" si="10"/>
        <v/>
      </c>
      <c r="K147" s="241" t="str">
        <f t="shared" si="11"/>
        <v/>
      </c>
    </row>
    <row r="148" spans="5:11" x14ac:dyDescent="0.25">
      <c r="E148" s="369">
        <f>'Base Blend Property Calculation'!A152</f>
        <v>0</v>
      </c>
      <c r="F148" s="373"/>
      <c r="G148" s="373" t="str">
        <f>""</f>
        <v/>
      </c>
      <c r="H148" s="373"/>
      <c r="I148" s="344"/>
      <c r="J148" s="241" t="str">
        <f t="shared" si="10"/>
        <v/>
      </c>
      <c r="K148" s="241" t="str">
        <f t="shared" si="11"/>
        <v/>
      </c>
    </row>
    <row r="149" spans="5:11" x14ac:dyDescent="0.25">
      <c r="E149" s="369">
        <f>'Base Blend Property Calculation'!A153</f>
        <v>0</v>
      </c>
      <c r="F149" s="373"/>
      <c r="G149" s="373" t="str">
        <f>""</f>
        <v/>
      </c>
      <c r="H149" s="373"/>
      <c r="I149" s="344"/>
      <c r="J149" s="241" t="str">
        <f t="shared" si="10"/>
        <v/>
      </c>
      <c r="K149" s="241" t="str">
        <f t="shared" si="11"/>
        <v/>
      </c>
    </row>
    <row r="150" spans="5:11" x14ac:dyDescent="0.25">
      <c r="E150" s="369">
        <f>'Base Blend Property Calculation'!A154</f>
        <v>0</v>
      </c>
      <c r="F150" s="373"/>
      <c r="G150" s="373" t="str">
        <f>""</f>
        <v/>
      </c>
      <c r="H150" s="373"/>
      <c r="I150" s="344"/>
      <c r="J150" s="241" t="str">
        <f t="shared" si="10"/>
        <v/>
      </c>
      <c r="K150" s="241" t="str">
        <f t="shared" si="11"/>
        <v/>
      </c>
    </row>
  </sheetData>
  <mergeCells count="3">
    <mergeCell ref="L3:M3"/>
    <mergeCell ref="L4:M4"/>
    <mergeCell ref="L5:M5"/>
  </mergeCells>
  <conditionalFormatting sqref="L3">
    <cfRule type="cellIs" dxfId="46" priority="7" operator="equal">
      <formula>0</formula>
    </cfRule>
    <cfRule type="cellIs" dxfId="45" priority="8" operator="equal">
      <formula>0</formula>
    </cfRule>
  </conditionalFormatting>
  <conditionalFormatting sqref="L4:L5">
    <cfRule type="cellIs" dxfId="44" priority="5" operator="equal">
      <formula>0</formula>
    </cfRule>
    <cfRule type="cellIs" dxfId="43" priority="6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4"/>
  <sheetViews>
    <sheetView zoomScaleNormal="100" workbookViewId="0"/>
  </sheetViews>
  <sheetFormatPr defaultRowHeight="15" x14ac:dyDescent="0.25"/>
  <cols>
    <col min="1" max="3" width="30.7109375" customWidth="1"/>
  </cols>
  <sheetData>
    <row r="1" spans="1:6" ht="58.5" customHeight="1" x14ac:dyDescent="0.25">
      <c r="A1" s="87"/>
      <c r="B1" s="86"/>
      <c r="C1" s="101"/>
    </row>
    <row r="2" spans="1:6" ht="15.75" x14ac:dyDescent="0.25">
      <c r="A2" s="624" t="s">
        <v>266</v>
      </c>
      <c r="B2" s="624"/>
      <c r="C2" s="624"/>
    </row>
    <row r="3" spans="1:6" ht="16.5" thickBot="1" x14ac:dyDescent="0.3">
      <c r="A3" s="88"/>
      <c r="B3" s="88"/>
      <c r="C3" s="89" t="s">
        <v>535</v>
      </c>
    </row>
    <row r="4" spans="1:6" ht="30" customHeight="1" thickTop="1" thickBot="1" x14ac:dyDescent="0.3">
      <c r="A4" s="92" t="s">
        <v>221</v>
      </c>
      <c r="B4" s="93" t="s">
        <v>222</v>
      </c>
      <c r="C4" s="94" t="s">
        <v>223</v>
      </c>
    </row>
    <row r="5" spans="1:6" s="100" customFormat="1" ht="30" customHeight="1" thickTop="1" x14ac:dyDescent="0.25">
      <c r="A5" s="104" t="s">
        <v>48</v>
      </c>
      <c r="B5" s="102" t="s">
        <v>114</v>
      </c>
      <c r="C5" s="103" t="s">
        <v>224</v>
      </c>
    </row>
    <row r="6" spans="1:6" s="100" customFormat="1" ht="30" customHeight="1" x14ac:dyDescent="0.25">
      <c r="A6" s="104" t="s">
        <v>49</v>
      </c>
      <c r="B6" s="102" t="s">
        <v>225</v>
      </c>
      <c r="C6" s="103" t="s">
        <v>226</v>
      </c>
    </row>
    <row r="7" spans="1:6" s="100" customFormat="1" ht="30" customHeight="1" x14ac:dyDescent="0.25">
      <c r="A7" s="104" t="s">
        <v>51</v>
      </c>
      <c r="B7" s="102" t="s">
        <v>114</v>
      </c>
      <c r="C7" s="103" t="s">
        <v>224</v>
      </c>
    </row>
    <row r="8" spans="1:6" s="100" customFormat="1" ht="30" customHeight="1" x14ac:dyDescent="0.25">
      <c r="A8" s="104" t="s">
        <v>52</v>
      </c>
      <c r="B8" s="102" t="s">
        <v>114</v>
      </c>
      <c r="C8" s="103" t="s">
        <v>224</v>
      </c>
    </row>
    <row r="9" spans="1:6" s="100" customFormat="1" ht="30" customHeight="1" x14ac:dyDescent="0.25">
      <c r="A9" s="104" t="s">
        <v>53</v>
      </c>
      <c r="B9" s="102" t="s">
        <v>114</v>
      </c>
      <c r="C9" s="103" t="s">
        <v>224</v>
      </c>
    </row>
    <row r="10" spans="1:6" s="100" customFormat="1" ht="30" customHeight="1" x14ac:dyDescent="0.25">
      <c r="A10" s="104" t="s">
        <v>227</v>
      </c>
      <c r="B10" s="102" t="s">
        <v>228</v>
      </c>
      <c r="C10" s="103" t="s">
        <v>229</v>
      </c>
    </row>
    <row r="11" spans="1:6" s="100" customFormat="1" ht="30" customHeight="1" x14ac:dyDescent="0.25">
      <c r="A11" s="104" t="s">
        <v>230</v>
      </c>
      <c r="B11" s="102" t="s">
        <v>114</v>
      </c>
      <c r="C11" s="103" t="s">
        <v>224</v>
      </c>
    </row>
    <row r="12" spans="1:6" s="100" customFormat="1" ht="30" customHeight="1" x14ac:dyDescent="0.25">
      <c r="A12" s="104" t="s">
        <v>55</v>
      </c>
      <c r="B12" s="102" t="s">
        <v>114</v>
      </c>
      <c r="C12" s="103" t="s">
        <v>224</v>
      </c>
    </row>
    <row r="13" spans="1:6" s="100" customFormat="1" ht="30" customHeight="1" x14ac:dyDescent="0.25">
      <c r="A13" s="104" t="s">
        <v>231</v>
      </c>
      <c r="B13" s="102" t="s">
        <v>114</v>
      </c>
      <c r="C13" s="103" t="s">
        <v>224</v>
      </c>
    </row>
    <row r="14" spans="1:6" ht="30" customHeight="1" x14ac:dyDescent="0.25">
      <c r="A14" s="98" t="s">
        <v>232</v>
      </c>
      <c r="B14" s="90" t="s">
        <v>114</v>
      </c>
      <c r="C14" s="95" t="s">
        <v>224</v>
      </c>
    </row>
    <row r="15" spans="1:6" ht="30" customHeight="1" x14ac:dyDescent="0.25">
      <c r="A15" s="98" t="s">
        <v>233</v>
      </c>
      <c r="B15" s="90" t="s">
        <v>114</v>
      </c>
      <c r="C15" s="95" t="s">
        <v>224</v>
      </c>
      <c r="F15" t="s">
        <v>562</v>
      </c>
    </row>
    <row r="16" spans="1:6" ht="30" customHeight="1" x14ac:dyDescent="0.25">
      <c r="A16" s="98" t="s">
        <v>59</v>
      </c>
      <c r="B16" s="90" t="s">
        <v>114</v>
      </c>
      <c r="C16" s="95" t="s">
        <v>234</v>
      </c>
    </row>
    <row r="17" spans="1:3" s="241" customFormat="1" ht="30" customHeight="1" x14ac:dyDescent="0.25">
      <c r="A17" s="104" t="s">
        <v>600</v>
      </c>
      <c r="B17" s="118" t="s">
        <v>114</v>
      </c>
      <c r="C17" s="103" t="s">
        <v>224</v>
      </c>
    </row>
    <row r="18" spans="1:3" s="241" customFormat="1" ht="30" customHeight="1" x14ac:dyDescent="0.25">
      <c r="A18" s="104" t="s">
        <v>601</v>
      </c>
      <c r="B18" s="118" t="s">
        <v>114</v>
      </c>
      <c r="C18" s="103" t="s">
        <v>224</v>
      </c>
    </row>
    <row r="19" spans="1:3" ht="30" customHeight="1" x14ac:dyDescent="0.25">
      <c r="A19" s="98" t="s">
        <v>534</v>
      </c>
      <c r="B19" s="90" t="s">
        <v>114</v>
      </c>
      <c r="C19" s="95" t="s">
        <v>224</v>
      </c>
    </row>
    <row r="20" spans="1:3" ht="30" customHeight="1" x14ac:dyDescent="0.25">
      <c r="A20" s="98" t="s">
        <v>235</v>
      </c>
      <c r="B20" s="90" t="s">
        <v>114</v>
      </c>
      <c r="C20" s="95" t="s">
        <v>224</v>
      </c>
    </row>
    <row r="21" spans="1:3" ht="30" customHeight="1" x14ac:dyDescent="0.25">
      <c r="A21" s="98" t="s">
        <v>236</v>
      </c>
      <c r="B21" s="90" t="s">
        <v>114</v>
      </c>
      <c r="C21" s="95" t="s">
        <v>224</v>
      </c>
    </row>
    <row r="22" spans="1:3" ht="30" customHeight="1" x14ac:dyDescent="0.25">
      <c r="A22" s="97" t="s">
        <v>91</v>
      </c>
      <c r="B22" s="90" t="s">
        <v>114</v>
      </c>
      <c r="C22" s="95" t="s">
        <v>224</v>
      </c>
    </row>
    <row r="23" spans="1:3" ht="30" customHeight="1" thickBot="1" x14ac:dyDescent="0.3">
      <c r="A23" s="99" t="s">
        <v>92</v>
      </c>
      <c r="B23" s="91" t="s">
        <v>114</v>
      </c>
      <c r="C23" s="96" t="s">
        <v>224</v>
      </c>
    </row>
    <row r="24" spans="1:3" ht="15.75" thickTop="1" x14ac:dyDescent="0.25">
      <c r="A24" s="85"/>
      <c r="B24" s="85"/>
      <c r="C24" s="85"/>
    </row>
  </sheetData>
  <sheetProtection selectLockedCells="1" selectUnlockedCells="1"/>
  <mergeCells count="1">
    <mergeCell ref="A2:C2"/>
  </mergeCells>
  <pageMargins left="0.7" right="0.7" top="0.75" bottom="0.75" header="0.3" footer="0.3"/>
  <pageSetup scale="98" orientation="portrait" r:id="rId1"/>
  <headerFooter>
    <oddFooter>&amp;L&amp;F
Sheet Printed: &amp;T &amp;D
PRIVATE AND CONFIDENTIAL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E17"/>
  <sheetViews>
    <sheetView zoomScaleNormal="100" workbookViewId="0">
      <selection activeCell="B79" sqref="B79:C79"/>
    </sheetView>
  </sheetViews>
  <sheetFormatPr defaultRowHeight="15" x14ac:dyDescent="0.25"/>
  <cols>
    <col min="1" max="1" width="5.5703125" customWidth="1"/>
    <col min="3" max="3" width="20.7109375" customWidth="1"/>
    <col min="4" max="4" width="25.7109375" customWidth="1"/>
    <col min="5" max="5" width="28.7109375" customWidth="1"/>
  </cols>
  <sheetData>
    <row r="1" spans="1:5" ht="39" customHeight="1" x14ac:dyDescent="0.25">
      <c r="A1" s="105"/>
      <c r="B1" s="106"/>
      <c r="C1" s="105"/>
      <c r="D1" s="105"/>
      <c r="E1" s="105"/>
    </row>
    <row r="2" spans="1:5" ht="15.75" x14ac:dyDescent="0.25">
      <c r="A2" s="624" t="s">
        <v>237</v>
      </c>
      <c r="B2" s="624"/>
      <c r="C2" s="624"/>
      <c r="D2" s="624"/>
      <c r="E2" s="624"/>
    </row>
    <row r="3" spans="1:5" ht="16.5" thickBot="1" x14ac:dyDescent="0.3">
      <c r="A3" s="107"/>
      <c r="B3" s="107"/>
      <c r="C3" s="107"/>
      <c r="D3" s="107"/>
      <c r="E3" s="108" t="s">
        <v>220</v>
      </c>
    </row>
    <row r="4" spans="1:5" ht="28.5" customHeight="1" thickTop="1" thickBot="1" x14ac:dyDescent="0.3">
      <c r="A4" s="109"/>
      <c r="B4" s="110" t="s">
        <v>238</v>
      </c>
      <c r="C4" s="111" t="s">
        <v>239</v>
      </c>
      <c r="D4" s="111" t="s">
        <v>240</v>
      </c>
      <c r="E4" s="112" t="s">
        <v>241</v>
      </c>
    </row>
    <row r="5" spans="1:5" ht="50.1" customHeight="1" thickTop="1" x14ac:dyDescent="0.25">
      <c r="A5" s="625" t="s">
        <v>242</v>
      </c>
      <c r="B5" s="113" t="s">
        <v>243</v>
      </c>
      <c r="C5" s="114" t="s">
        <v>114</v>
      </c>
      <c r="D5" s="115" t="s">
        <v>244</v>
      </c>
      <c r="E5" s="116" t="s">
        <v>245</v>
      </c>
    </row>
    <row r="6" spans="1:5" ht="36.75" customHeight="1" x14ac:dyDescent="0.25">
      <c r="A6" s="626"/>
      <c r="B6" s="117" t="s">
        <v>122</v>
      </c>
      <c r="C6" s="118" t="s">
        <v>135</v>
      </c>
      <c r="D6" s="118" t="s">
        <v>246</v>
      </c>
      <c r="E6" s="119" t="s">
        <v>247</v>
      </c>
    </row>
    <row r="7" spans="1:5" ht="50.1" customHeight="1" x14ac:dyDescent="0.25">
      <c r="A7" s="626"/>
      <c r="B7" s="117" t="s">
        <v>127</v>
      </c>
      <c r="C7" s="118" t="s">
        <v>135</v>
      </c>
      <c r="D7" s="118" t="s">
        <v>248</v>
      </c>
      <c r="E7" s="120" t="s">
        <v>249</v>
      </c>
    </row>
    <row r="8" spans="1:5" ht="50.1" customHeight="1" thickBot="1" x14ac:dyDescent="0.3">
      <c r="A8" s="627"/>
      <c r="B8" s="121" t="s">
        <v>128</v>
      </c>
      <c r="C8" s="122" t="s">
        <v>135</v>
      </c>
      <c r="D8" s="122" t="s">
        <v>248</v>
      </c>
      <c r="E8" s="123" t="s">
        <v>249</v>
      </c>
    </row>
    <row r="9" spans="1:5" ht="50.1" customHeight="1" thickTop="1" x14ac:dyDescent="0.25">
      <c r="A9" s="625" t="s">
        <v>250</v>
      </c>
      <c r="B9" s="113" t="s">
        <v>117</v>
      </c>
      <c r="C9" s="114" t="s">
        <v>114</v>
      </c>
      <c r="D9" s="124" t="s">
        <v>251</v>
      </c>
      <c r="E9" s="116" t="s">
        <v>252</v>
      </c>
    </row>
    <row r="10" spans="1:5" ht="50.1" customHeight="1" x14ac:dyDescent="0.25">
      <c r="A10" s="626"/>
      <c r="B10" s="117" t="s">
        <v>154</v>
      </c>
      <c r="C10" s="118" t="s">
        <v>114</v>
      </c>
      <c r="D10" s="118" t="s">
        <v>251</v>
      </c>
      <c r="E10" s="120" t="s">
        <v>253</v>
      </c>
    </row>
    <row r="11" spans="1:5" ht="50.1" customHeight="1" thickBot="1" x14ac:dyDescent="0.3">
      <c r="A11" s="627"/>
      <c r="B11" s="121" t="s">
        <v>119</v>
      </c>
      <c r="C11" s="122" t="s">
        <v>114</v>
      </c>
      <c r="D11" s="122" t="s">
        <v>251</v>
      </c>
      <c r="E11" s="123" t="s">
        <v>254</v>
      </c>
    </row>
    <row r="12" spans="1:5" ht="50.1" customHeight="1" thickTop="1" thickBot="1" x14ac:dyDescent="0.3">
      <c r="A12" s="125" t="s">
        <v>255</v>
      </c>
      <c r="B12" s="126" t="s">
        <v>114</v>
      </c>
      <c r="C12" s="127" t="s">
        <v>256</v>
      </c>
      <c r="D12" s="128" t="s">
        <v>244</v>
      </c>
      <c r="E12" s="129" t="s">
        <v>257</v>
      </c>
    </row>
    <row r="13" spans="1:5" ht="50.1" customHeight="1" thickTop="1" x14ac:dyDescent="0.25">
      <c r="A13" s="625" t="s">
        <v>258</v>
      </c>
      <c r="B13" s="113" t="s">
        <v>147</v>
      </c>
      <c r="C13" s="130" t="s">
        <v>114</v>
      </c>
      <c r="D13" s="115" t="s">
        <v>244</v>
      </c>
      <c r="E13" s="116" t="s">
        <v>259</v>
      </c>
    </row>
    <row r="14" spans="1:5" ht="80.25" customHeight="1" thickBot="1" x14ac:dyDescent="0.3">
      <c r="A14" s="628"/>
      <c r="B14" s="131" t="s">
        <v>260</v>
      </c>
      <c r="C14" s="132" t="s">
        <v>135</v>
      </c>
      <c r="D14" s="133" t="s">
        <v>261</v>
      </c>
      <c r="E14" s="134" t="s">
        <v>536</v>
      </c>
    </row>
    <row r="15" spans="1:5" ht="50.1" customHeight="1" thickTop="1" x14ac:dyDescent="0.25">
      <c r="A15" s="629" t="s">
        <v>262</v>
      </c>
      <c r="B15" s="113" t="s">
        <v>159</v>
      </c>
      <c r="C15" s="115" t="s">
        <v>244</v>
      </c>
      <c r="D15" s="135" t="s">
        <v>263</v>
      </c>
      <c r="E15" s="116" t="s">
        <v>264</v>
      </c>
    </row>
    <row r="16" spans="1:5" ht="22.5" customHeight="1" thickBot="1" x14ac:dyDescent="0.3">
      <c r="A16" s="630"/>
      <c r="B16" s="121" t="s">
        <v>168</v>
      </c>
      <c r="C16" s="136" t="s">
        <v>244</v>
      </c>
      <c r="D16" s="136" t="s">
        <v>265</v>
      </c>
      <c r="E16" s="137" t="s">
        <v>244</v>
      </c>
    </row>
    <row r="17" spans="1:5" ht="15.75" thickTop="1" x14ac:dyDescent="0.25">
      <c r="A17" s="105"/>
      <c r="B17" s="106"/>
      <c r="C17" s="105"/>
      <c r="D17" s="105"/>
      <c r="E17" s="105"/>
    </row>
  </sheetData>
  <sheetProtection selectLockedCells="1" selectUnlockedCells="1"/>
  <mergeCells count="5">
    <mergeCell ref="A2:E2"/>
    <mergeCell ref="A5:A8"/>
    <mergeCell ref="A9:A11"/>
    <mergeCell ref="A13:A14"/>
    <mergeCell ref="A15:A16"/>
  </mergeCells>
  <pageMargins left="0.7" right="0.7" top="0.75" bottom="0.75" header="0.3" footer="0.3"/>
  <pageSetup scale="98" fitToWidth="0" orientation="portrait" r:id="rId1"/>
  <headerFooter>
    <oddFooter>&amp;L&amp;F
Sheet Printed: &amp;T &amp;D
PRIVATE AND 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51"/>
  <sheetViews>
    <sheetView zoomScaleNormal="100" workbookViewId="0">
      <selection activeCell="J9" sqref="J9"/>
    </sheetView>
  </sheetViews>
  <sheetFormatPr defaultRowHeight="15" x14ac:dyDescent="0.25"/>
  <cols>
    <col min="1" max="1" width="22.5703125" style="150" customWidth="1"/>
    <col min="2" max="2" width="27.7109375" style="151" customWidth="1"/>
    <col min="3" max="3" width="16" style="150" customWidth="1"/>
    <col min="4" max="4" width="31" style="150" customWidth="1"/>
    <col min="5" max="16384" width="9.140625" style="151"/>
  </cols>
  <sheetData>
    <row r="1" spans="1:4" x14ac:dyDescent="0.25">
      <c r="D1" s="152" t="s">
        <v>1795</v>
      </c>
    </row>
    <row r="2" spans="1:4" ht="22.5" customHeight="1" x14ac:dyDescent="0.25"/>
    <row r="3" spans="1:4" x14ac:dyDescent="0.25">
      <c r="A3" s="631" t="s">
        <v>274</v>
      </c>
      <c r="B3" s="631"/>
      <c r="C3" s="631"/>
      <c r="D3" s="631"/>
    </row>
    <row r="4" spans="1:4" x14ac:dyDescent="0.25">
      <c r="A4" s="631"/>
      <c r="B4" s="631"/>
      <c r="C4" s="631"/>
      <c r="D4" s="631"/>
    </row>
    <row r="5" spans="1:4" ht="15.75" thickBot="1" x14ac:dyDescent="0.3"/>
    <row r="6" spans="1:4" ht="16.5" thickTop="1" thickBot="1" x14ac:dyDescent="0.3">
      <c r="A6" s="153" t="s">
        <v>275</v>
      </c>
      <c r="B6" s="154" t="s">
        <v>276</v>
      </c>
      <c r="C6" s="154" t="s">
        <v>277</v>
      </c>
      <c r="D6" s="155" t="s">
        <v>278</v>
      </c>
    </row>
    <row r="7" spans="1:4" ht="15.75" thickTop="1" x14ac:dyDescent="0.25">
      <c r="A7" s="632" t="s">
        <v>279</v>
      </c>
      <c r="B7" s="156" t="s">
        <v>280</v>
      </c>
      <c r="C7" s="157" t="s">
        <v>107</v>
      </c>
      <c r="D7" s="635" t="s">
        <v>281</v>
      </c>
    </row>
    <row r="8" spans="1:4" x14ac:dyDescent="0.25">
      <c r="A8" s="633"/>
      <c r="B8" s="158" t="s">
        <v>282</v>
      </c>
      <c r="C8" s="159" t="s">
        <v>124</v>
      </c>
      <c r="D8" s="636"/>
    </row>
    <row r="9" spans="1:4" x14ac:dyDescent="0.25">
      <c r="A9" s="633"/>
      <c r="B9" s="158" t="s">
        <v>283</v>
      </c>
      <c r="C9" s="159" t="s">
        <v>122</v>
      </c>
      <c r="D9" s="636"/>
    </row>
    <row r="10" spans="1:4" ht="15.75" thickBot="1" x14ac:dyDescent="0.3">
      <c r="A10" s="634"/>
      <c r="B10" s="160" t="s">
        <v>284</v>
      </c>
      <c r="C10" s="161" t="s">
        <v>123</v>
      </c>
      <c r="D10" s="637"/>
    </row>
    <row r="11" spans="1:4" ht="15.75" thickTop="1" x14ac:dyDescent="0.25">
      <c r="A11" s="640" t="s">
        <v>285</v>
      </c>
      <c r="B11" s="156" t="s">
        <v>286</v>
      </c>
      <c r="C11" s="157" t="s">
        <v>111</v>
      </c>
      <c r="D11" s="638" t="s">
        <v>287</v>
      </c>
    </row>
    <row r="12" spans="1:4" x14ac:dyDescent="0.25">
      <c r="A12" s="641"/>
      <c r="B12" s="158" t="s">
        <v>288</v>
      </c>
      <c r="C12" s="159" t="s">
        <v>112</v>
      </c>
      <c r="D12" s="639"/>
    </row>
    <row r="13" spans="1:4" x14ac:dyDescent="0.25">
      <c r="A13" s="641"/>
      <c r="B13" s="158" t="s">
        <v>1792</v>
      </c>
      <c r="C13" s="159" t="s">
        <v>1785</v>
      </c>
      <c r="D13" s="639"/>
    </row>
    <row r="14" spans="1:4" x14ac:dyDescent="0.25">
      <c r="A14" s="641"/>
      <c r="B14" s="158" t="s">
        <v>361</v>
      </c>
      <c r="C14" s="159" t="s">
        <v>110</v>
      </c>
      <c r="D14" s="639"/>
    </row>
    <row r="15" spans="1:4" x14ac:dyDescent="0.25">
      <c r="A15" s="641"/>
      <c r="B15" s="158" t="s">
        <v>362</v>
      </c>
      <c r="C15" s="159" t="s">
        <v>363</v>
      </c>
      <c r="D15" s="639"/>
    </row>
    <row r="16" spans="1:4" x14ac:dyDescent="0.25">
      <c r="A16" s="641"/>
      <c r="B16" s="158" t="s">
        <v>289</v>
      </c>
      <c r="C16" s="159" t="s">
        <v>113</v>
      </c>
      <c r="D16" s="639"/>
    </row>
    <row r="17" spans="1:4" ht="15.75" thickBot="1" x14ac:dyDescent="0.3">
      <c r="A17" s="642"/>
      <c r="B17" s="160" t="s">
        <v>290</v>
      </c>
      <c r="C17" s="161" t="s">
        <v>179</v>
      </c>
      <c r="D17" s="643"/>
    </row>
    <row r="18" spans="1:4" ht="15.75" thickTop="1" x14ac:dyDescent="0.25">
      <c r="A18" s="640" t="s">
        <v>291</v>
      </c>
      <c r="B18" s="156" t="s">
        <v>129</v>
      </c>
      <c r="C18" s="157" t="s">
        <v>1788</v>
      </c>
      <c r="D18" s="638" t="s">
        <v>292</v>
      </c>
    </row>
    <row r="19" spans="1:4" ht="15.75" thickBot="1" x14ac:dyDescent="0.3">
      <c r="A19" s="641"/>
      <c r="B19" s="158" t="s">
        <v>130</v>
      </c>
      <c r="C19" s="159" t="s">
        <v>1789</v>
      </c>
      <c r="D19" s="639"/>
    </row>
    <row r="20" spans="1:4" ht="16.5" thickTop="1" thickBot="1" x14ac:dyDescent="0.3">
      <c r="A20" s="162" t="s">
        <v>293</v>
      </c>
      <c r="B20" s="163" t="s">
        <v>294</v>
      </c>
      <c r="C20" s="164" t="s">
        <v>295</v>
      </c>
      <c r="D20" s="165" t="s">
        <v>296</v>
      </c>
    </row>
    <row r="21" spans="1:4" ht="15.75" thickTop="1" x14ac:dyDescent="0.25">
      <c r="A21" s="644" t="s">
        <v>297</v>
      </c>
      <c r="B21" s="156" t="s">
        <v>298</v>
      </c>
      <c r="C21" s="157" t="s">
        <v>299</v>
      </c>
      <c r="D21" s="527" t="s">
        <v>300</v>
      </c>
    </row>
    <row r="22" spans="1:4" x14ac:dyDescent="0.25">
      <c r="A22" s="645"/>
      <c r="B22" s="166" t="s">
        <v>301</v>
      </c>
      <c r="C22" s="167" t="s">
        <v>302</v>
      </c>
      <c r="D22" s="528" t="s">
        <v>303</v>
      </c>
    </row>
    <row r="23" spans="1:4" x14ac:dyDescent="0.25">
      <c r="A23" s="645"/>
      <c r="B23" s="158" t="s">
        <v>304</v>
      </c>
      <c r="C23" s="159" t="s">
        <v>305</v>
      </c>
      <c r="D23" s="529" t="s">
        <v>306</v>
      </c>
    </row>
    <row r="24" spans="1:4" ht="15.75" thickBot="1" x14ac:dyDescent="0.3">
      <c r="A24" s="646"/>
      <c r="B24" s="168" t="s">
        <v>307</v>
      </c>
      <c r="C24" s="169" t="s">
        <v>308</v>
      </c>
      <c r="D24" s="531" t="s">
        <v>309</v>
      </c>
    </row>
    <row r="25" spans="1:4" ht="15.75" thickTop="1" x14ac:dyDescent="0.25">
      <c r="A25" s="647" t="s">
        <v>310</v>
      </c>
      <c r="B25" s="166" t="s">
        <v>311</v>
      </c>
      <c r="C25" s="167" t="s">
        <v>145</v>
      </c>
      <c r="D25" s="648" t="s">
        <v>312</v>
      </c>
    </row>
    <row r="26" spans="1:4" x14ac:dyDescent="0.25">
      <c r="A26" s="641"/>
      <c r="B26" s="158" t="s">
        <v>313</v>
      </c>
      <c r="C26" s="159" t="s">
        <v>147</v>
      </c>
      <c r="D26" s="639"/>
    </row>
    <row r="27" spans="1:4" x14ac:dyDescent="0.25">
      <c r="A27" s="641"/>
      <c r="B27" s="158" t="s">
        <v>314</v>
      </c>
      <c r="C27" s="159" t="s">
        <v>315</v>
      </c>
      <c r="D27" s="639"/>
    </row>
    <row r="28" spans="1:4" x14ac:dyDescent="0.25">
      <c r="A28" s="641"/>
      <c r="B28" s="158" t="s">
        <v>156</v>
      </c>
      <c r="C28" s="159" t="s">
        <v>1793</v>
      </c>
      <c r="D28" s="639" t="s">
        <v>258</v>
      </c>
    </row>
    <row r="29" spans="1:4" ht="15.75" thickBot="1" x14ac:dyDescent="0.3">
      <c r="A29" s="642"/>
      <c r="B29" s="160" t="s">
        <v>316</v>
      </c>
      <c r="C29" s="161" t="s">
        <v>125</v>
      </c>
      <c r="D29" s="643"/>
    </row>
    <row r="30" spans="1:4" ht="16.5" thickTop="1" thickBot="1" x14ac:dyDescent="0.3">
      <c r="A30" s="532" t="s">
        <v>317</v>
      </c>
      <c r="B30" s="170" t="s">
        <v>562</v>
      </c>
      <c r="C30" s="171" t="s">
        <v>562</v>
      </c>
      <c r="D30" s="527" t="s">
        <v>562</v>
      </c>
    </row>
    <row r="31" spans="1:4" ht="15.75" thickTop="1" x14ac:dyDescent="0.25">
      <c r="A31" s="640" t="s">
        <v>318</v>
      </c>
      <c r="B31" s="156" t="s">
        <v>319</v>
      </c>
      <c r="C31" s="157" t="s">
        <v>133</v>
      </c>
      <c r="D31" s="635" t="s">
        <v>320</v>
      </c>
    </row>
    <row r="32" spans="1:4" ht="30" x14ac:dyDescent="0.25">
      <c r="A32" s="641"/>
      <c r="B32" s="158" t="s">
        <v>321</v>
      </c>
      <c r="C32" s="159" t="s">
        <v>131</v>
      </c>
      <c r="D32" s="636"/>
    </row>
    <row r="33" spans="1:4" x14ac:dyDescent="0.25">
      <c r="A33" s="641"/>
      <c r="B33" s="158" t="s">
        <v>322</v>
      </c>
      <c r="C33" s="159" t="s">
        <v>323</v>
      </c>
      <c r="D33" s="636"/>
    </row>
    <row r="34" spans="1:4" ht="30" x14ac:dyDescent="0.25">
      <c r="A34" s="641"/>
      <c r="B34" s="158" t="s">
        <v>324</v>
      </c>
      <c r="C34" s="159" t="s">
        <v>165</v>
      </c>
      <c r="D34" s="636"/>
    </row>
    <row r="35" spans="1:4" x14ac:dyDescent="0.25">
      <c r="A35" s="641"/>
      <c r="B35" s="158" t="s">
        <v>325</v>
      </c>
      <c r="C35" s="159" t="s">
        <v>326</v>
      </c>
      <c r="D35" s="636"/>
    </row>
    <row r="36" spans="1:4" x14ac:dyDescent="0.25">
      <c r="A36" s="641"/>
      <c r="B36" s="158" t="s">
        <v>327</v>
      </c>
      <c r="C36" s="159" t="s">
        <v>328</v>
      </c>
      <c r="D36" s="636"/>
    </row>
    <row r="37" spans="1:4" x14ac:dyDescent="0.25">
      <c r="A37" s="641"/>
      <c r="B37" s="158" t="s">
        <v>330</v>
      </c>
      <c r="C37" s="159" t="s">
        <v>331</v>
      </c>
      <c r="D37" s="528"/>
    </row>
    <row r="38" spans="1:4" x14ac:dyDescent="0.25">
      <c r="A38" s="641"/>
      <c r="B38" s="158" t="s">
        <v>332</v>
      </c>
      <c r="C38" s="159" t="s">
        <v>333</v>
      </c>
      <c r="D38" s="529" t="s">
        <v>334</v>
      </c>
    </row>
    <row r="39" spans="1:4" x14ac:dyDescent="0.25">
      <c r="A39" s="641"/>
      <c r="B39" s="158" t="s">
        <v>335</v>
      </c>
      <c r="C39" s="159" t="s">
        <v>336</v>
      </c>
      <c r="D39" s="639" t="s">
        <v>337</v>
      </c>
    </row>
    <row r="40" spans="1:4" ht="15.75" thickBot="1" x14ac:dyDescent="0.3">
      <c r="A40" s="642"/>
      <c r="B40" s="160" t="s">
        <v>338</v>
      </c>
      <c r="C40" s="161" t="s">
        <v>339</v>
      </c>
      <c r="D40" s="643"/>
    </row>
    <row r="41" spans="1:4" ht="15.75" thickTop="1" x14ac:dyDescent="0.25">
      <c r="A41" s="640" t="s">
        <v>340</v>
      </c>
      <c r="B41" s="156" t="s">
        <v>341</v>
      </c>
      <c r="C41" s="157" t="s">
        <v>1794</v>
      </c>
      <c r="D41" s="638" t="s">
        <v>342</v>
      </c>
    </row>
    <row r="42" spans="1:4" x14ac:dyDescent="0.25">
      <c r="A42" s="641"/>
      <c r="B42" s="158" t="s">
        <v>343</v>
      </c>
      <c r="C42" s="159" t="s">
        <v>344</v>
      </c>
      <c r="D42" s="639"/>
    </row>
    <row r="43" spans="1:4" x14ac:dyDescent="0.25">
      <c r="A43" s="641"/>
      <c r="B43" s="158" t="s">
        <v>345</v>
      </c>
      <c r="C43" s="159" t="s">
        <v>346</v>
      </c>
      <c r="D43" s="639"/>
    </row>
    <row r="44" spans="1:4" x14ac:dyDescent="0.25">
      <c r="A44" s="641"/>
      <c r="B44" s="158" t="s">
        <v>347</v>
      </c>
      <c r="C44" s="159" t="s">
        <v>348</v>
      </c>
      <c r="D44" s="529" t="s">
        <v>349</v>
      </c>
    </row>
    <row r="45" spans="1:4" ht="15.75" thickBot="1" x14ac:dyDescent="0.3">
      <c r="A45" s="642"/>
      <c r="B45" s="160" t="s">
        <v>350</v>
      </c>
      <c r="C45" s="161" t="s">
        <v>351</v>
      </c>
      <c r="D45" s="530" t="s">
        <v>352</v>
      </c>
    </row>
    <row r="46" spans="1:4" ht="15.75" thickTop="1" x14ac:dyDescent="0.25">
      <c r="A46" s="640" t="s">
        <v>262</v>
      </c>
      <c r="B46" s="156" t="s">
        <v>353</v>
      </c>
      <c r="C46" s="157" t="s">
        <v>160</v>
      </c>
      <c r="D46" s="638" t="s">
        <v>354</v>
      </c>
    </row>
    <row r="47" spans="1:4" x14ac:dyDescent="0.25">
      <c r="A47" s="641"/>
      <c r="B47" s="158" t="s">
        <v>355</v>
      </c>
      <c r="C47" s="159" t="s">
        <v>161</v>
      </c>
      <c r="D47" s="639"/>
    </row>
    <row r="48" spans="1:4" x14ac:dyDescent="0.25">
      <c r="A48" s="641"/>
      <c r="B48" s="158" t="s">
        <v>356</v>
      </c>
      <c r="C48" s="159" t="s">
        <v>162</v>
      </c>
      <c r="D48" s="639"/>
    </row>
    <row r="49" spans="1:4" ht="15.75" thickBot="1" x14ac:dyDescent="0.3">
      <c r="A49" s="642"/>
      <c r="B49" s="160" t="s">
        <v>562</v>
      </c>
      <c r="C49" s="161" t="s">
        <v>614</v>
      </c>
      <c r="D49" s="530"/>
    </row>
    <row r="50" spans="1:4" ht="31.5" thickTop="1" thickBot="1" x14ac:dyDescent="0.3">
      <c r="A50" s="533" t="s">
        <v>357</v>
      </c>
      <c r="B50" s="168" t="s">
        <v>358</v>
      </c>
      <c r="C50" s="169" t="s">
        <v>359</v>
      </c>
      <c r="D50" s="531" t="s">
        <v>360</v>
      </c>
    </row>
    <row r="51" spans="1:4" ht="15.75" thickTop="1" x14ac:dyDescent="0.25"/>
  </sheetData>
  <mergeCells count="18">
    <mergeCell ref="D31:D36"/>
    <mergeCell ref="D39:D40"/>
    <mergeCell ref="A3:D4"/>
    <mergeCell ref="A7:A10"/>
    <mergeCell ref="D7:D10"/>
    <mergeCell ref="D46:D48"/>
    <mergeCell ref="A11:A17"/>
    <mergeCell ref="D11:D17"/>
    <mergeCell ref="A18:A19"/>
    <mergeCell ref="D18:D19"/>
    <mergeCell ref="A21:A24"/>
    <mergeCell ref="A41:A45"/>
    <mergeCell ref="D41:D43"/>
    <mergeCell ref="A46:A49"/>
    <mergeCell ref="A25:A29"/>
    <mergeCell ref="D25:D27"/>
    <mergeCell ref="D28:D29"/>
    <mergeCell ref="A31:A40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B17"/>
  <sheetViews>
    <sheetView workbookViewId="0">
      <selection activeCell="B18" sqref="B18"/>
    </sheetView>
  </sheetViews>
  <sheetFormatPr defaultRowHeight="15" x14ac:dyDescent="0.25"/>
  <cols>
    <col min="1" max="1" width="13.42578125" style="242" customWidth="1"/>
    <col min="2" max="2" width="68.42578125" customWidth="1"/>
  </cols>
  <sheetData>
    <row r="2" spans="1:2" x14ac:dyDescent="0.25">
      <c r="A2" s="242" t="s">
        <v>514</v>
      </c>
      <c r="B2" t="s">
        <v>607</v>
      </c>
    </row>
    <row r="3" spans="1:2" x14ac:dyDescent="0.25">
      <c r="A3" s="511">
        <v>42675</v>
      </c>
      <c r="B3" t="s">
        <v>609</v>
      </c>
    </row>
    <row r="4" spans="1:2" x14ac:dyDescent="0.25">
      <c r="A4" s="511">
        <v>42675</v>
      </c>
      <c r="B4" s="241" t="s">
        <v>608</v>
      </c>
    </row>
    <row r="5" spans="1:2" x14ac:dyDescent="0.25">
      <c r="A5" s="511">
        <v>42678</v>
      </c>
      <c r="B5" t="s">
        <v>610</v>
      </c>
    </row>
    <row r="6" spans="1:2" x14ac:dyDescent="0.25">
      <c r="A6" s="511">
        <v>42678</v>
      </c>
      <c r="B6" t="s">
        <v>611</v>
      </c>
    </row>
    <row r="7" spans="1:2" x14ac:dyDescent="0.25">
      <c r="A7" s="511">
        <v>42688</v>
      </c>
      <c r="B7" t="s">
        <v>615</v>
      </c>
    </row>
    <row r="8" spans="1:2" x14ac:dyDescent="0.25">
      <c r="A8" s="511">
        <v>42703</v>
      </c>
      <c r="B8" t="s">
        <v>616</v>
      </c>
    </row>
    <row r="9" spans="1:2" x14ac:dyDescent="0.25">
      <c r="A9" s="511">
        <v>42703</v>
      </c>
      <c r="B9" t="s">
        <v>617</v>
      </c>
    </row>
    <row r="10" spans="1:2" x14ac:dyDescent="0.25">
      <c r="A10" s="511">
        <v>42705</v>
      </c>
      <c r="B10" t="s">
        <v>618</v>
      </c>
    </row>
    <row r="11" spans="1:2" x14ac:dyDescent="0.25">
      <c r="A11" s="511">
        <v>42712</v>
      </c>
      <c r="B11" t="s">
        <v>1768</v>
      </c>
    </row>
    <row r="12" spans="1:2" x14ac:dyDescent="0.25">
      <c r="A12" s="511">
        <v>42712</v>
      </c>
      <c r="B12" t="s">
        <v>1769</v>
      </c>
    </row>
    <row r="13" spans="1:2" x14ac:dyDescent="0.25">
      <c r="A13" s="511">
        <v>42748</v>
      </c>
      <c r="B13" t="s">
        <v>1771</v>
      </c>
    </row>
    <row r="14" spans="1:2" x14ac:dyDescent="0.25">
      <c r="A14" s="511">
        <v>42748</v>
      </c>
      <c r="B14" t="s">
        <v>1774</v>
      </c>
    </row>
    <row r="15" spans="1:2" x14ac:dyDescent="0.25">
      <c r="A15" s="511">
        <v>42759</v>
      </c>
      <c r="B15" t="s">
        <v>1779</v>
      </c>
    </row>
    <row r="16" spans="1:2" x14ac:dyDescent="0.25">
      <c r="A16" s="511">
        <v>42774</v>
      </c>
      <c r="B16" t="s">
        <v>1783</v>
      </c>
    </row>
    <row r="17" spans="1:2" x14ac:dyDescent="0.25">
      <c r="A17" s="511">
        <v>42809</v>
      </c>
      <c r="B17" t="s">
        <v>1787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391"/>
  <sheetViews>
    <sheetView workbookViewId="0">
      <selection activeCell="P36" sqref="P36"/>
    </sheetView>
  </sheetViews>
  <sheetFormatPr defaultRowHeight="15" x14ac:dyDescent="0.25"/>
  <cols>
    <col min="1" max="1" width="9.140625" style="241"/>
    <col min="2" max="2" width="47.140625" style="241" bestFit="1" customWidth="1"/>
    <col min="3" max="22" width="9.140625" style="241"/>
    <col min="23" max="23" width="12" style="241" customWidth="1"/>
    <col min="24" max="24" width="26.140625" style="241" bestFit="1" customWidth="1"/>
    <col min="25" max="16384" width="9.140625" style="241"/>
  </cols>
  <sheetData>
    <row r="1" spans="1:26" x14ac:dyDescent="0.25">
      <c r="A1" s="241" t="s">
        <v>622</v>
      </c>
      <c r="B1" s="241" t="s">
        <v>623</v>
      </c>
      <c r="C1" s="241" t="s">
        <v>624</v>
      </c>
      <c r="D1" s="241" t="s">
        <v>625</v>
      </c>
      <c r="E1" s="241" t="s">
        <v>626</v>
      </c>
      <c r="F1" s="241" t="s">
        <v>627</v>
      </c>
      <c r="G1" s="241" t="s">
        <v>628</v>
      </c>
      <c r="H1" s="241" t="s">
        <v>629</v>
      </c>
      <c r="I1" s="241" t="s">
        <v>630</v>
      </c>
      <c r="J1" s="241" t="s">
        <v>631</v>
      </c>
      <c r="K1" s="241" t="s">
        <v>632</v>
      </c>
      <c r="L1" s="241" t="s">
        <v>633</v>
      </c>
      <c r="M1" s="241" t="s">
        <v>634</v>
      </c>
      <c r="N1" s="241" t="s">
        <v>635</v>
      </c>
      <c r="O1" s="241" t="s">
        <v>636</v>
      </c>
      <c r="P1" s="241" t="s">
        <v>637</v>
      </c>
      <c r="Q1" s="241" t="s">
        <v>638</v>
      </c>
      <c r="R1" s="241" t="s">
        <v>639</v>
      </c>
      <c r="S1" s="241" t="s">
        <v>640</v>
      </c>
      <c r="T1" s="241" t="s">
        <v>641</v>
      </c>
      <c r="U1" s="241" t="s">
        <v>642</v>
      </c>
      <c r="V1" s="241" t="s">
        <v>643</v>
      </c>
      <c r="W1" s="241" t="s">
        <v>644</v>
      </c>
      <c r="X1" s="241" t="s">
        <v>645</v>
      </c>
      <c r="Y1" s="241" t="s">
        <v>646</v>
      </c>
      <c r="Z1" s="241" t="s">
        <v>647</v>
      </c>
    </row>
    <row r="2" spans="1:26" x14ac:dyDescent="0.25">
      <c r="A2" s="241">
        <v>10287</v>
      </c>
      <c r="B2" s="241" t="s">
        <v>648</v>
      </c>
      <c r="C2" s="241" t="s">
        <v>649</v>
      </c>
      <c r="G2" s="241" t="s">
        <v>650</v>
      </c>
      <c r="H2" s="241" t="s">
        <v>651</v>
      </c>
      <c r="I2" s="241">
        <v>1</v>
      </c>
      <c r="J2" s="241" t="s">
        <v>649</v>
      </c>
      <c r="N2" s="241" t="s">
        <v>650</v>
      </c>
      <c r="O2" s="241" t="s">
        <v>651</v>
      </c>
      <c r="P2" s="241">
        <v>1</v>
      </c>
      <c r="R2" s="241">
        <v>8</v>
      </c>
      <c r="S2" s="241">
        <v>0</v>
      </c>
      <c r="U2" s="241" t="s">
        <v>652</v>
      </c>
      <c r="V2" s="241">
        <v>3</v>
      </c>
      <c r="W2" s="517">
        <v>36892</v>
      </c>
      <c r="X2" s="517">
        <v>36525</v>
      </c>
      <c r="Y2" s="241">
        <v>1</v>
      </c>
      <c r="Z2" s="241">
        <v>1</v>
      </c>
    </row>
    <row r="3" spans="1:26" x14ac:dyDescent="0.25">
      <c r="A3" s="241">
        <v>10365</v>
      </c>
      <c r="B3" s="241" t="s">
        <v>653</v>
      </c>
      <c r="C3" s="241" t="s">
        <v>654</v>
      </c>
      <c r="G3" s="241" t="s">
        <v>650</v>
      </c>
      <c r="H3" s="241" t="s">
        <v>655</v>
      </c>
      <c r="I3" s="241">
        <v>1</v>
      </c>
      <c r="J3" s="241" t="s">
        <v>654</v>
      </c>
      <c r="N3" s="241" t="s">
        <v>650</v>
      </c>
      <c r="O3" s="241" t="s">
        <v>655</v>
      </c>
      <c r="P3" s="241">
        <v>1</v>
      </c>
      <c r="R3" s="241">
        <v>6</v>
      </c>
      <c r="S3" s="241">
        <v>0</v>
      </c>
      <c r="U3" s="241" t="s">
        <v>656</v>
      </c>
      <c r="V3" s="241">
        <v>3</v>
      </c>
      <c r="W3" s="517">
        <v>36892</v>
      </c>
      <c r="X3" s="517">
        <v>36525</v>
      </c>
      <c r="Y3" s="241">
        <v>1</v>
      </c>
      <c r="Z3" s="241">
        <v>1</v>
      </c>
    </row>
    <row r="4" spans="1:26" x14ac:dyDescent="0.25">
      <c r="A4" s="241">
        <v>10471</v>
      </c>
      <c r="B4" s="241" t="s">
        <v>657</v>
      </c>
      <c r="C4" s="241" t="s">
        <v>658</v>
      </c>
      <c r="G4" s="241" t="s">
        <v>650</v>
      </c>
      <c r="H4" s="241" t="s">
        <v>659</v>
      </c>
      <c r="I4" s="241">
        <v>1</v>
      </c>
      <c r="J4" s="241" t="s">
        <v>658</v>
      </c>
      <c r="N4" s="241" t="s">
        <v>650</v>
      </c>
      <c r="O4" s="241" t="s">
        <v>659</v>
      </c>
      <c r="P4" s="241">
        <v>1</v>
      </c>
      <c r="R4" s="241">
        <v>9</v>
      </c>
      <c r="S4" s="241">
        <v>0</v>
      </c>
      <c r="U4" s="241" t="s">
        <v>656</v>
      </c>
      <c r="V4" s="241">
        <v>3</v>
      </c>
      <c r="W4" s="517">
        <v>36892</v>
      </c>
      <c r="X4" s="517">
        <v>36525</v>
      </c>
      <c r="Y4" s="241">
        <v>0</v>
      </c>
      <c r="Z4" s="241">
        <v>1</v>
      </c>
    </row>
    <row r="5" spans="1:26" x14ac:dyDescent="0.25">
      <c r="A5" s="241">
        <v>4523</v>
      </c>
      <c r="B5" s="241" t="s">
        <v>660</v>
      </c>
      <c r="C5" s="241" t="s">
        <v>661</v>
      </c>
      <c r="G5" s="241" t="s">
        <v>650</v>
      </c>
      <c r="H5" s="241" t="s">
        <v>662</v>
      </c>
      <c r="I5" s="241">
        <v>1</v>
      </c>
      <c r="J5" s="241" t="s">
        <v>661</v>
      </c>
      <c r="N5" s="241" t="s">
        <v>650</v>
      </c>
      <c r="O5" s="241" t="s">
        <v>662</v>
      </c>
      <c r="P5" s="241">
        <v>1</v>
      </c>
      <c r="R5" s="241">
        <v>4</v>
      </c>
      <c r="S5" s="241">
        <v>0</v>
      </c>
      <c r="U5" s="241" t="s">
        <v>656</v>
      </c>
      <c r="V5" s="241">
        <v>3</v>
      </c>
      <c r="W5" s="517">
        <v>36892</v>
      </c>
      <c r="X5" s="517">
        <v>36525</v>
      </c>
      <c r="Y5" s="241">
        <v>0</v>
      </c>
      <c r="Z5" s="241">
        <v>1</v>
      </c>
    </row>
    <row r="6" spans="1:26" x14ac:dyDescent="0.25">
      <c r="A6" s="241">
        <v>30075</v>
      </c>
      <c r="B6" s="241" t="s">
        <v>663</v>
      </c>
      <c r="C6" s="241" t="s">
        <v>664</v>
      </c>
      <c r="G6" s="241" t="s">
        <v>650</v>
      </c>
      <c r="H6" s="241" t="s">
        <v>665</v>
      </c>
      <c r="I6" s="241">
        <v>1</v>
      </c>
      <c r="J6" s="241" t="s">
        <v>664</v>
      </c>
      <c r="N6" s="241" t="s">
        <v>650</v>
      </c>
      <c r="O6" s="241" t="s">
        <v>665</v>
      </c>
      <c r="P6" s="241">
        <v>1</v>
      </c>
      <c r="R6" s="241">
        <v>2</v>
      </c>
      <c r="S6" s="241">
        <v>29747</v>
      </c>
      <c r="T6" s="241" t="s">
        <v>666</v>
      </c>
      <c r="U6" s="241" t="s">
        <v>667</v>
      </c>
      <c r="V6" s="241">
        <v>3</v>
      </c>
      <c r="W6" s="517">
        <v>36892</v>
      </c>
      <c r="X6" s="517">
        <v>36525</v>
      </c>
      <c r="Y6" s="241">
        <v>0</v>
      </c>
      <c r="Z6" s="241">
        <v>1</v>
      </c>
    </row>
    <row r="7" spans="1:26" x14ac:dyDescent="0.25">
      <c r="A7" s="241">
        <v>1084</v>
      </c>
      <c r="B7" s="241" t="s">
        <v>668</v>
      </c>
      <c r="C7" s="241" t="s">
        <v>669</v>
      </c>
      <c r="G7" s="241" t="s">
        <v>650</v>
      </c>
      <c r="H7" s="241" t="s">
        <v>670</v>
      </c>
      <c r="I7" s="241">
        <v>1</v>
      </c>
      <c r="J7" s="241" t="s">
        <v>669</v>
      </c>
      <c r="N7" s="241" t="s">
        <v>650</v>
      </c>
      <c r="O7" s="241" t="s">
        <v>670</v>
      </c>
      <c r="P7" s="241">
        <v>1</v>
      </c>
      <c r="R7" s="241">
        <v>8</v>
      </c>
      <c r="S7" s="241">
        <v>0</v>
      </c>
      <c r="U7" s="241" t="s">
        <v>671</v>
      </c>
      <c r="V7" s="241">
        <v>3</v>
      </c>
      <c r="W7" s="517">
        <v>36892</v>
      </c>
      <c r="X7" s="517">
        <v>36525</v>
      </c>
      <c r="Y7" s="241">
        <v>0</v>
      </c>
      <c r="Z7" s="241">
        <v>1</v>
      </c>
    </row>
    <row r="8" spans="1:26" x14ac:dyDescent="0.25">
      <c r="A8" s="241">
        <v>30076</v>
      </c>
      <c r="B8" s="241" t="s">
        <v>672</v>
      </c>
      <c r="I8" s="241">
        <v>1</v>
      </c>
      <c r="P8" s="241">
        <v>1</v>
      </c>
      <c r="R8" s="241">
        <v>1</v>
      </c>
      <c r="S8" s="241">
        <v>29747</v>
      </c>
      <c r="T8" s="241" t="s">
        <v>666</v>
      </c>
      <c r="U8" s="241" t="s">
        <v>673</v>
      </c>
      <c r="V8" s="241">
        <v>3</v>
      </c>
      <c r="W8" s="517">
        <v>36892</v>
      </c>
      <c r="X8" s="517">
        <v>36525</v>
      </c>
      <c r="Y8" s="241">
        <v>0</v>
      </c>
      <c r="Z8" s="241">
        <v>1</v>
      </c>
    </row>
    <row r="9" spans="1:26" x14ac:dyDescent="0.25">
      <c r="A9" s="241">
        <v>3834</v>
      </c>
      <c r="B9" s="241" t="s">
        <v>674</v>
      </c>
      <c r="C9" s="241" t="s">
        <v>675</v>
      </c>
      <c r="G9" s="241" t="s">
        <v>650</v>
      </c>
      <c r="H9" s="241" t="s">
        <v>655</v>
      </c>
      <c r="I9" s="241">
        <v>1</v>
      </c>
      <c r="J9" s="241" t="s">
        <v>675</v>
      </c>
      <c r="N9" s="241" t="s">
        <v>650</v>
      </c>
      <c r="O9" s="241" t="s">
        <v>655</v>
      </c>
      <c r="P9" s="241">
        <v>1</v>
      </c>
      <c r="Q9" s="241">
        <v>1285</v>
      </c>
      <c r="R9" s="241">
        <v>3</v>
      </c>
      <c r="S9" s="241">
        <v>0</v>
      </c>
      <c r="U9" s="241" t="s">
        <v>656</v>
      </c>
      <c r="V9" s="241">
        <v>3</v>
      </c>
      <c r="W9" s="517">
        <v>36892</v>
      </c>
      <c r="X9" s="517">
        <v>36525</v>
      </c>
      <c r="Y9" s="241">
        <v>0</v>
      </c>
      <c r="Z9" s="241">
        <v>1</v>
      </c>
    </row>
    <row r="10" spans="1:26" x14ac:dyDescent="0.25">
      <c r="A10" s="241">
        <v>10361</v>
      </c>
      <c r="B10" s="241" t="s">
        <v>676</v>
      </c>
      <c r="C10" s="241" t="s">
        <v>677</v>
      </c>
      <c r="G10" s="241" t="s">
        <v>650</v>
      </c>
      <c r="H10" s="241" t="s">
        <v>678</v>
      </c>
      <c r="I10" s="241">
        <v>1</v>
      </c>
      <c r="J10" s="241" t="s">
        <v>677</v>
      </c>
      <c r="N10" s="241" t="s">
        <v>650</v>
      </c>
      <c r="O10" s="241" t="s">
        <v>678</v>
      </c>
      <c r="P10" s="241">
        <v>1</v>
      </c>
      <c r="R10" s="241">
        <v>11</v>
      </c>
      <c r="S10" s="241">
        <v>29747</v>
      </c>
      <c r="T10" s="241" t="s">
        <v>666</v>
      </c>
      <c r="U10" s="241" t="s">
        <v>679</v>
      </c>
      <c r="V10" s="241">
        <v>3</v>
      </c>
      <c r="W10" s="517">
        <v>36892</v>
      </c>
      <c r="X10" s="517">
        <v>36525</v>
      </c>
      <c r="Y10" s="241">
        <v>1</v>
      </c>
      <c r="Z10" s="241">
        <v>1</v>
      </c>
    </row>
    <row r="11" spans="1:26" x14ac:dyDescent="0.25">
      <c r="A11" s="241">
        <v>1040</v>
      </c>
      <c r="B11" s="241" t="s">
        <v>680</v>
      </c>
      <c r="C11" s="241" t="s">
        <v>681</v>
      </c>
      <c r="G11" s="241" t="s">
        <v>682</v>
      </c>
      <c r="H11" s="241" t="s">
        <v>683</v>
      </c>
      <c r="I11" s="241">
        <v>12</v>
      </c>
      <c r="J11" s="241" t="s">
        <v>681</v>
      </c>
      <c r="N11" s="241" t="s">
        <v>682</v>
      </c>
      <c r="O11" s="241" t="s">
        <v>683</v>
      </c>
      <c r="P11" s="241">
        <v>12</v>
      </c>
      <c r="R11" s="241">
        <v>6</v>
      </c>
      <c r="S11" s="241">
        <v>0</v>
      </c>
      <c r="U11" s="241" t="s">
        <v>656</v>
      </c>
      <c r="V11" s="241">
        <v>3</v>
      </c>
      <c r="W11" s="517">
        <v>36892</v>
      </c>
      <c r="X11" s="517">
        <v>36525</v>
      </c>
      <c r="Y11" s="241">
        <v>0</v>
      </c>
      <c r="Z11" s="241">
        <v>1</v>
      </c>
    </row>
    <row r="12" spans="1:26" x14ac:dyDescent="0.25">
      <c r="A12" s="241">
        <v>30177</v>
      </c>
      <c r="B12" s="241" t="s">
        <v>684</v>
      </c>
      <c r="C12" s="241" t="s">
        <v>685</v>
      </c>
      <c r="G12" s="241" t="s">
        <v>213</v>
      </c>
      <c r="H12" s="241" t="s">
        <v>686</v>
      </c>
      <c r="I12" s="241">
        <v>12</v>
      </c>
      <c r="J12" s="241" t="s">
        <v>685</v>
      </c>
      <c r="K12" s="241" t="s">
        <v>213</v>
      </c>
      <c r="O12" s="241" t="s">
        <v>686</v>
      </c>
      <c r="P12" s="241">
        <v>12</v>
      </c>
      <c r="R12" s="241">
        <v>2</v>
      </c>
      <c r="S12" s="241">
        <v>29747</v>
      </c>
      <c r="T12" s="241" t="s">
        <v>666</v>
      </c>
      <c r="U12" s="241" t="s">
        <v>687</v>
      </c>
      <c r="V12" s="241">
        <v>3</v>
      </c>
      <c r="W12" s="517">
        <v>36892</v>
      </c>
      <c r="X12" s="517">
        <v>36525</v>
      </c>
      <c r="Y12" s="241">
        <v>0</v>
      </c>
      <c r="Z12" s="241">
        <v>1</v>
      </c>
    </row>
    <row r="13" spans="1:26" x14ac:dyDescent="0.25">
      <c r="A13" s="241">
        <v>10497</v>
      </c>
      <c r="B13" s="241" t="s">
        <v>688</v>
      </c>
      <c r="C13" s="241" t="s">
        <v>689</v>
      </c>
      <c r="G13" s="241" t="s">
        <v>650</v>
      </c>
      <c r="H13" s="241" t="s">
        <v>690</v>
      </c>
      <c r="I13" s="241">
        <v>1</v>
      </c>
      <c r="J13" s="241" t="s">
        <v>689</v>
      </c>
      <c r="N13" s="241" t="s">
        <v>650</v>
      </c>
      <c r="O13" s="241" t="s">
        <v>690</v>
      </c>
      <c r="P13" s="241">
        <v>1</v>
      </c>
      <c r="R13" s="241">
        <v>4</v>
      </c>
      <c r="S13" s="241">
        <v>0</v>
      </c>
      <c r="U13" s="241" t="s">
        <v>656</v>
      </c>
      <c r="V13" s="241">
        <v>3</v>
      </c>
      <c r="W13" s="517">
        <v>36892</v>
      </c>
      <c r="X13" s="517">
        <v>36525</v>
      </c>
      <c r="Y13" s="241">
        <v>1</v>
      </c>
      <c r="Z13" s="241">
        <v>1</v>
      </c>
    </row>
    <row r="14" spans="1:26" x14ac:dyDescent="0.25">
      <c r="A14" s="241">
        <v>10282</v>
      </c>
      <c r="B14" s="241" t="s">
        <v>691</v>
      </c>
      <c r="C14" s="241" t="s">
        <v>692</v>
      </c>
      <c r="G14" s="241" t="s">
        <v>693</v>
      </c>
      <c r="H14" s="241" t="s">
        <v>694</v>
      </c>
      <c r="I14" s="241">
        <v>1</v>
      </c>
      <c r="J14" s="241" t="s">
        <v>692</v>
      </c>
      <c r="N14" s="241" t="s">
        <v>693</v>
      </c>
      <c r="O14" s="241" t="s">
        <v>694</v>
      </c>
      <c r="P14" s="241">
        <v>1</v>
      </c>
      <c r="R14" s="241">
        <v>6</v>
      </c>
      <c r="S14" s="241">
        <v>0</v>
      </c>
      <c r="U14" s="241" t="s">
        <v>656</v>
      </c>
      <c r="V14" s="241">
        <v>3</v>
      </c>
      <c r="W14" s="517">
        <v>36892</v>
      </c>
      <c r="X14" s="517">
        <v>36525</v>
      </c>
      <c r="Y14" s="241">
        <v>1</v>
      </c>
      <c r="Z14" s="241">
        <v>1</v>
      </c>
    </row>
    <row r="15" spans="1:26" x14ac:dyDescent="0.25">
      <c r="A15" s="241">
        <v>1163</v>
      </c>
      <c r="B15" s="241" t="s">
        <v>695</v>
      </c>
      <c r="C15" s="241" t="s">
        <v>696</v>
      </c>
      <c r="G15" s="241" t="s">
        <v>650</v>
      </c>
      <c r="H15" s="241" t="s">
        <v>697</v>
      </c>
      <c r="I15" s="241">
        <v>1</v>
      </c>
      <c r="J15" s="241" t="s">
        <v>696</v>
      </c>
      <c r="N15" s="241" t="s">
        <v>650</v>
      </c>
      <c r="O15" s="241" t="s">
        <v>697</v>
      </c>
      <c r="P15" s="241">
        <v>1</v>
      </c>
      <c r="Q15" s="241">
        <v>1285</v>
      </c>
      <c r="R15" s="241">
        <v>8</v>
      </c>
      <c r="S15" s="241">
        <v>0</v>
      </c>
      <c r="U15" s="241" t="s">
        <v>698</v>
      </c>
      <c r="V15" s="241">
        <v>3</v>
      </c>
      <c r="W15" s="517">
        <v>36892</v>
      </c>
      <c r="X15" s="517">
        <v>36525</v>
      </c>
      <c r="Y15" s="241">
        <v>1</v>
      </c>
      <c r="Z15" s="241">
        <v>1</v>
      </c>
    </row>
    <row r="16" spans="1:26" x14ac:dyDescent="0.25">
      <c r="A16" s="241">
        <v>30207</v>
      </c>
      <c r="B16" s="241" t="s">
        <v>699</v>
      </c>
      <c r="C16" s="241" t="s">
        <v>700</v>
      </c>
      <c r="G16" s="241" t="s">
        <v>650</v>
      </c>
      <c r="H16" s="241" t="s">
        <v>701</v>
      </c>
      <c r="I16" s="241">
        <v>1</v>
      </c>
      <c r="J16" s="241" t="s">
        <v>700</v>
      </c>
      <c r="N16" s="241" t="s">
        <v>650</v>
      </c>
      <c r="O16" s="241" t="s">
        <v>701</v>
      </c>
      <c r="P16" s="241">
        <v>1</v>
      </c>
      <c r="R16" s="241">
        <v>2</v>
      </c>
      <c r="S16" s="241">
        <v>29747</v>
      </c>
      <c r="T16" s="241" t="s">
        <v>666</v>
      </c>
      <c r="U16" s="241" t="s">
        <v>702</v>
      </c>
      <c r="V16" s="241">
        <v>3</v>
      </c>
      <c r="W16" s="517">
        <v>36892</v>
      </c>
      <c r="X16" s="517">
        <v>36525</v>
      </c>
      <c r="Y16" s="241">
        <v>0</v>
      </c>
      <c r="Z16" s="241">
        <v>1</v>
      </c>
    </row>
    <row r="17" spans="1:26" x14ac:dyDescent="0.25">
      <c r="A17" s="241">
        <v>1109</v>
      </c>
      <c r="B17" s="241" t="s">
        <v>703</v>
      </c>
      <c r="C17" s="241" t="s">
        <v>704</v>
      </c>
      <c r="G17" s="241" t="s">
        <v>650</v>
      </c>
      <c r="H17" s="241" t="s">
        <v>705</v>
      </c>
      <c r="I17" s="241">
        <v>1</v>
      </c>
      <c r="J17" s="241" t="s">
        <v>704</v>
      </c>
      <c r="N17" s="241" t="s">
        <v>650</v>
      </c>
      <c r="O17" s="241" t="s">
        <v>705</v>
      </c>
      <c r="P17" s="241">
        <v>1</v>
      </c>
      <c r="R17" s="241">
        <v>10</v>
      </c>
      <c r="S17" s="241">
        <v>0</v>
      </c>
      <c r="U17" s="241" t="s">
        <v>656</v>
      </c>
      <c r="V17" s="241">
        <v>3</v>
      </c>
      <c r="W17" s="517">
        <v>36892</v>
      </c>
      <c r="X17" s="517">
        <v>36525</v>
      </c>
      <c r="Y17" s="241">
        <v>0</v>
      </c>
      <c r="Z17" s="241">
        <v>1</v>
      </c>
    </row>
    <row r="18" spans="1:26" x14ac:dyDescent="0.25">
      <c r="A18" s="241">
        <v>10269</v>
      </c>
      <c r="B18" s="241" t="s">
        <v>706</v>
      </c>
      <c r="C18" s="241" t="s">
        <v>707</v>
      </c>
      <c r="G18" s="241" t="s">
        <v>650</v>
      </c>
      <c r="H18" s="241" t="s">
        <v>665</v>
      </c>
      <c r="I18" s="241">
        <v>1</v>
      </c>
      <c r="J18" s="241" t="s">
        <v>707</v>
      </c>
      <c r="N18" s="241" t="s">
        <v>650</v>
      </c>
      <c r="O18" s="241" t="s">
        <v>665</v>
      </c>
      <c r="P18" s="241">
        <v>1</v>
      </c>
      <c r="R18" s="241">
        <v>7</v>
      </c>
      <c r="S18" s="241">
        <v>0</v>
      </c>
      <c r="U18" s="241" t="s">
        <v>656</v>
      </c>
      <c r="V18" s="241">
        <v>3</v>
      </c>
      <c r="W18" s="517">
        <v>36892</v>
      </c>
      <c r="X18" s="517">
        <v>36525</v>
      </c>
      <c r="Y18" s="241">
        <v>1</v>
      </c>
      <c r="Z18" s="241">
        <v>1</v>
      </c>
    </row>
    <row r="19" spans="1:26" x14ac:dyDescent="0.25">
      <c r="A19" s="241">
        <v>10523</v>
      </c>
      <c r="B19" s="241" t="s">
        <v>708</v>
      </c>
      <c r="C19" s="241" t="s">
        <v>709</v>
      </c>
      <c r="G19" s="241" t="s">
        <v>650</v>
      </c>
      <c r="H19" s="241" t="s">
        <v>710</v>
      </c>
      <c r="I19" s="241">
        <v>1</v>
      </c>
      <c r="J19" s="241" t="s">
        <v>709</v>
      </c>
      <c r="N19" s="241" t="s">
        <v>650</v>
      </c>
      <c r="O19" s="241" t="s">
        <v>710</v>
      </c>
      <c r="P19" s="241">
        <v>1</v>
      </c>
      <c r="R19" s="241">
        <v>2</v>
      </c>
      <c r="S19" s="241">
        <v>0</v>
      </c>
      <c r="U19" s="241" t="s">
        <v>656</v>
      </c>
      <c r="V19" s="241">
        <v>3</v>
      </c>
      <c r="W19" s="517">
        <v>36892</v>
      </c>
      <c r="X19" s="517">
        <v>36525</v>
      </c>
      <c r="Y19" s="241">
        <v>0</v>
      </c>
      <c r="Z19" s="241">
        <v>1</v>
      </c>
    </row>
    <row r="20" spans="1:26" x14ac:dyDescent="0.25">
      <c r="A20" s="241">
        <v>10243</v>
      </c>
      <c r="B20" s="241" t="s">
        <v>711</v>
      </c>
      <c r="C20" s="241" t="s">
        <v>712</v>
      </c>
      <c r="G20" s="241" t="s">
        <v>650</v>
      </c>
      <c r="H20" s="241" t="s">
        <v>713</v>
      </c>
      <c r="I20" s="241">
        <v>1</v>
      </c>
      <c r="J20" s="241" t="s">
        <v>712</v>
      </c>
      <c r="N20" s="241" t="s">
        <v>650</v>
      </c>
      <c r="O20" s="241" t="s">
        <v>713</v>
      </c>
      <c r="P20" s="241">
        <v>1</v>
      </c>
      <c r="R20" s="241">
        <v>7</v>
      </c>
      <c r="S20" s="241">
        <v>0</v>
      </c>
      <c r="U20" s="241" t="s">
        <v>656</v>
      </c>
      <c r="V20" s="241">
        <v>3</v>
      </c>
      <c r="W20" s="517">
        <v>36892</v>
      </c>
      <c r="X20" s="517">
        <v>36525</v>
      </c>
      <c r="Y20" s="241">
        <v>1</v>
      </c>
      <c r="Z20" s="241">
        <v>1</v>
      </c>
    </row>
    <row r="21" spans="1:26" x14ac:dyDescent="0.25">
      <c r="A21" s="241">
        <v>10498</v>
      </c>
      <c r="B21" s="241" t="s">
        <v>714</v>
      </c>
      <c r="C21" s="241" t="s">
        <v>715</v>
      </c>
      <c r="G21" s="241" t="s">
        <v>650</v>
      </c>
      <c r="H21" s="241" t="s">
        <v>710</v>
      </c>
      <c r="I21" s="241">
        <v>1</v>
      </c>
      <c r="J21" s="241" t="s">
        <v>715</v>
      </c>
      <c r="N21" s="241" t="s">
        <v>650</v>
      </c>
      <c r="O21" s="241" t="s">
        <v>710</v>
      </c>
      <c r="P21" s="241">
        <v>1</v>
      </c>
      <c r="R21" s="241">
        <v>3</v>
      </c>
      <c r="S21" s="241">
        <v>0</v>
      </c>
      <c r="U21" s="241" t="s">
        <v>656</v>
      </c>
      <c r="V21" s="241">
        <v>3</v>
      </c>
      <c r="W21" s="517">
        <v>36892</v>
      </c>
      <c r="X21" s="517">
        <v>36525</v>
      </c>
      <c r="Y21" s="241">
        <v>0</v>
      </c>
      <c r="Z21" s="241">
        <v>1</v>
      </c>
    </row>
    <row r="22" spans="1:26" x14ac:dyDescent="0.25">
      <c r="A22" s="241">
        <v>10507</v>
      </c>
      <c r="B22" s="241" t="s">
        <v>716</v>
      </c>
      <c r="C22" s="241" t="s">
        <v>717</v>
      </c>
      <c r="G22" s="241" t="s">
        <v>650</v>
      </c>
      <c r="H22" s="241" t="s">
        <v>710</v>
      </c>
      <c r="I22" s="241">
        <v>1</v>
      </c>
      <c r="J22" s="241" t="s">
        <v>717</v>
      </c>
      <c r="N22" s="241" t="s">
        <v>650</v>
      </c>
      <c r="O22" s="241" t="s">
        <v>710</v>
      </c>
      <c r="P22" s="241">
        <v>1</v>
      </c>
      <c r="R22" s="241">
        <v>2</v>
      </c>
      <c r="S22" s="241">
        <v>0</v>
      </c>
      <c r="U22" s="241" t="s">
        <v>656</v>
      </c>
      <c r="V22" s="241">
        <v>3</v>
      </c>
      <c r="W22" s="517">
        <v>36892</v>
      </c>
      <c r="X22" s="517">
        <v>36525</v>
      </c>
      <c r="Y22" s="241">
        <v>0</v>
      </c>
      <c r="Z22" s="241">
        <v>1</v>
      </c>
    </row>
    <row r="23" spans="1:26" x14ac:dyDescent="0.25">
      <c r="A23" s="241">
        <v>1018</v>
      </c>
      <c r="B23" s="241" t="s">
        <v>718</v>
      </c>
      <c r="C23" s="241" t="s">
        <v>719</v>
      </c>
      <c r="G23" s="241" t="s">
        <v>650</v>
      </c>
      <c r="H23" s="241" t="s">
        <v>720</v>
      </c>
      <c r="I23" s="241">
        <v>1</v>
      </c>
      <c r="J23" s="241" t="s">
        <v>719</v>
      </c>
      <c r="N23" s="241" t="s">
        <v>650</v>
      </c>
      <c r="O23" s="241" t="s">
        <v>720</v>
      </c>
      <c r="P23" s="241">
        <v>1</v>
      </c>
      <c r="R23" s="241">
        <v>9</v>
      </c>
      <c r="S23" s="241">
        <v>0</v>
      </c>
      <c r="U23" s="241" t="s">
        <v>656</v>
      </c>
      <c r="V23" s="241">
        <v>3</v>
      </c>
      <c r="W23" s="517">
        <v>36892</v>
      </c>
      <c r="X23" s="517">
        <v>36525</v>
      </c>
      <c r="Y23" s="241">
        <v>0</v>
      </c>
      <c r="Z23" s="241">
        <v>1</v>
      </c>
    </row>
    <row r="24" spans="1:26" x14ac:dyDescent="0.25">
      <c r="A24" s="241">
        <v>1101</v>
      </c>
      <c r="B24" s="241" t="s">
        <v>721</v>
      </c>
      <c r="C24" s="241" t="s">
        <v>722</v>
      </c>
      <c r="G24" s="241" t="s">
        <v>723</v>
      </c>
      <c r="H24" s="241" t="s">
        <v>724</v>
      </c>
      <c r="I24" s="241">
        <v>1</v>
      </c>
      <c r="J24" s="241" t="s">
        <v>722</v>
      </c>
      <c r="N24" s="241" t="s">
        <v>723</v>
      </c>
      <c r="O24" s="241" t="s">
        <v>724</v>
      </c>
      <c r="P24" s="241">
        <v>1</v>
      </c>
      <c r="R24" s="241">
        <v>4</v>
      </c>
      <c r="S24" s="241">
        <v>0</v>
      </c>
      <c r="U24" s="241" t="s">
        <v>656</v>
      </c>
      <c r="V24" s="241">
        <v>3</v>
      </c>
      <c r="W24" s="517">
        <v>36892</v>
      </c>
      <c r="X24" s="517">
        <v>36525</v>
      </c>
      <c r="Y24" s="241">
        <v>0</v>
      </c>
      <c r="Z24" s="241">
        <v>1</v>
      </c>
    </row>
    <row r="25" spans="1:26" x14ac:dyDescent="0.25">
      <c r="A25" s="241">
        <v>10340</v>
      </c>
      <c r="B25" s="241" t="s">
        <v>725</v>
      </c>
      <c r="C25" s="241" t="s">
        <v>726</v>
      </c>
      <c r="G25" s="241" t="s">
        <v>214</v>
      </c>
      <c r="H25" s="241" t="s">
        <v>727</v>
      </c>
      <c r="I25" s="241">
        <v>2</v>
      </c>
      <c r="J25" s="241" t="s">
        <v>726</v>
      </c>
      <c r="N25" s="241" t="s">
        <v>214</v>
      </c>
      <c r="O25" s="241" t="s">
        <v>727</v>
      </c>
      <c r="P25" s="241">
        <v>2</v>
      </c>
      <c r="R25" s="241">
        <v>6</v>
      </c>
      <c r="S25" s="241">
        <v>0</v>
      </c>
      <c r="U25" s="241" t="s">
        <v>656</v>
      </c>
      <c r="V25" s="241">
        <v>3</v>
      </c>
      <c r="W25" s="517">
        <v>36892</v>
      </c>
      <c r="X25" s="517">
        <v>36525</v>
      </c>
      <c r="Y25" s="241">
        <v>1</v>
      </c>
      <c r="Z25" s="241">
        <v>1</v>
      </c>
    </row>
    <row r="26" spans="1:26" x14ac:dyDescent="0.25">
      <c r="A26" s="241">
        <v>1043</v>
      </c>
      <c r="B26" s="241" t="s">
        <v>728</v>
      </c>
      <c r="C26" s="241" t="s">
        <v>729</v>
      </c>
      <c r="G26" s="241" t="s">
        <v>650</v>
      </c>
      <c r="H26" s="241" t="s">
        <v>730</v>
      </c>
      <c r="I26" s="241">
        <v>1</v>
      </c>
      <c r="J26" s="241" t="s">
        <v>729</v>
      </c>
      <c r="N26" s="241" t="s">
        <v>650</v>
      </c>
      <c r="O26" s="241" t="s">
        <v>730</v>
      </c>
      <c r="P26" s="241">
        <v>1</v>
      </c>
      <c r="R26" s="241">
        <v>7</v>
      </c>
      <c r="S26" s="241">
        <v>0</v>
      </c>
      <c r="U26" s="241" t="s">
        <v>656</v>
      </c>
      <c r="V26" s="241">
        <v>3</v>
      </c>
      <c r="W26" s="517">
        <v>42184</v>
      </c>
      <c r="X26" s="517">
        <v>36525</v>
      </c>
      <c r="Y26" s="241">
        <v>0</v>
      </c>
      <c r="Z26" s="241">
        <v>1</v>
      </c>
    </row>
    <row r="27" spans="1:26" x14ac:dyDescent="0.25">
      <c r="A27" s="241">
        <v>1116</v>
      </c>
      <c r="B27" s="241" t="s">
        <v>731</v>
      </c>
      <c r="C27" s="241" t="s">
        <v>732</v>
      </c>
      <c r="G27" s="241" t="s">
        <v>650</v>
      </c>
      <c r="H27" s="241" t="s">
        <v>733</v>
      </c>
      <c r="I27" s="241">
        <v>1</v>
      </c>
      <c r="J27" s="241" t="s">
        <v>732</v>
      </c>
      <c r="N27" s="241" t="s">
        <v>650</v>
      </c>
      <c r="O27" s="241" t="s">
        <v>733</v>
      </c>
      <c r="P27" s="241">
        <v>1</v>
      </c>
      <c r="R27" s="241">
        <v>4</v>
      </c>
      <c r="S27" s="241">
        <v>0</v>
      </c>
      <c r="U27" s="241" t="s">
        <v>656</v>
      </c>
      <c r="V27" s="241">
        <v>3</v>
      </c>
      <c r="W27" s="517">
        <v>36892</v>
      </c>
      <c r="X27" s="517">
        <v>36525</v>
      </c>
      <c r="Y27" s="241">
        <v>0</v>
      </c>
      <c r="Z27" s="241">
        <v>1</v>
      </c>
    </row>
    <row r="28" spans="1:26" x14ac:dyDescent="0.25">
      <c r="A28" s="241">
        <v>1198</v>
      </c>
      <c r="B28" s="241" t="s">
        <v>734</v>
      </c>
      <c r="C28" s="241" t="s">
        <v>735</v>
      </c>
      <c r="G28" s="241" t="s">
        <v>736</v>
      </c>
      <c r="H28" s="241" t="s">
        <v>737</v>
      </c>
      <c r="I28" s="241">
        <v>12</v>
      </c>
      <c r="J28" s="241" t="s">
        <v>735</v>
      </c>
      <c r="N28" s="241" t="s">
        <v>736</v>
      </c>
      <c r="O28" s="241" t="s">
        <v>737</v>
      </c>
      <c r="P28" s="241">
        <v>12</v>
      </c>
      <c r="R28" s="241">
        <v>7</v>
      </c>
      <c r="S28" s="241">
        <v>0</v>
      </c>
      <c r="U28" s="241" t="s">
        <v>656</v>
      </c>
      <c r="V28" s="241">
        <v>3</v>
      </c>
      <c r="W28" s="517">
        <v>36892</v>
      </c>
      <c r="X28" s="517">
        <v>36525</v>
      </c>
      <c r="Y28" s="241">
        <v>0</v>
      </c>
      <c r="Z28" s="241">
        <v>1</v>
      </c>
    </row>
    <row r="29" spans="1:26" x14ac:dyDescent="0.25">
      <c r="A29" s="241">
        <v>10218</v>
      </c>
      <c r="B29" s="241" t="s">
        <v>738</v>
      </c>
      <c r="C29" s="241" t="s">
        <v>739</v>
      </c>
      <c r="G29" s="241" t="s">
        <v>650</v>
      </c>
      <c r="H29" s="241" t="s">
        <v>740</v>
      </c>
      <c r="I29" s="241">
        <v>1</v>
      </c>
      <c r="J29" s="241" t="s">
        <v>739</v>
      </c>
      <c r="N29" s="241" t="s">
        <v>650</v>
      </c>
      <c r="O29" s="241" t="s">
        <v>740</v>
      </c>
      <c r="P29" s="241">
        <v>1</v>
      </c>
      <c r="R29" s="241">
        <v>5</v>
      </c>
      <c r="S29" s="241">
        <v>0</v>
      </c>
      <c r="U29" s="241" t="s">
        <v>656</v>
      </c>
      <c r="V29" s="241">
        <v>3</v>
      </c>
      <c r="W29" s="517">
        <v>36892</v>
      </c>
      <c r="X29" s="517">
        <v>36525</v>
      </c>
      <c r="Y29" s="241">
        <v>1</v>
      </c>
      <c r="Z29" s="241">
        <v>1</v>
      </c>
    </row>
    <row r="30" spans="1:26" x14ac:dyDescent="0.25">
      <c r="A30" s="241">
        <v>1119</v>
      </c>
      <c r="B30" s="241" t="s">
        <v>741</v>
      </c>
      <c r="C30" s="241" t="s">
        <v>742</v>
      </c>
      <c r="G30" s="241" t="s">
        <v>650</v>
      </c>
      <c r="H30" s="241" t="s">
        <v>743</v>
      </c>
      <c r="I30" s="241">
        <v>1</v>
      </c>
      <c r="J30" s="241" t="s">
        <v>742</v>
      </c>
      <c r="N30" s="241" t="s">
        <v>650</v>
      </c>
      <c r="O30" s="241" t="s">
        <v>743</v>
      </c>
      <c r="P30" s="241">
        <v>1</v>
      </c>
      <c r="R30" s="241">
        <v>14</v>
      </c>
      <c r="S30" s="241">
        <v>29747</v>
      </c>
      <c r="T30" s="241" t="s">
        <v>666</v>
      </c>
      <c r="U30" s="241" t="s">
        <v>744</v>
      </c>
      <c r="V30" s="241">
        <v>3</v>
      </c>
      <c r="W30" s="517">
        <v>36892</v>
      </c>
      <c r="X30" s="517">
        <v>36525</v>
      </c>
      <c r="Y30" s="241">
        <v>1</v>
      </c>
      <c r="Z30" s="241">
        <v>1</v>
      </c>
    </row>
    <row r="31" spans="1:26" x14ac:dyDescent="0.25">
      <c r="A31" s="241">
        <v>1085</v>
      </c>
      <c r="B31" s="241" t="s">
        <v>745</v>
      </c>
      <c r="C31" s="241" t="s">
        <v>746</v>
      </c>
      <c r="G31" s="241" t="s">
        <v>747</v>
      </c>
      <c r="H31" s="241" t="s">
        <v>743</v>
      </c>
      <c r="I31" s="241">
        <v>1</v>
      </c>
      <c r="J31" s="241" t="s">
        <v>746</v>
      </c>
      <c r="N31" s="241" t="s">
        <v>747</v>
      </c>
      <c r="O31" s="241" t="s">
        <v>743</v>
      </c>
      <c r="P31" s="241">
        <v>1</v>
      </c>
      <c r="Q31" s="241">
        <v>1285</v>
      </c>
      <c r="R31" s="241">
        <v>4</v>
      </c>
      <c r="S31" s="241">
        <v>0</v>
      </c>
      <c r="U31" s="241" t="s">
        <v>656</v>
      </c>
      <c r="V31" s="241">
        <v>3</v>
      </c>
      <c r="W31" s="517">
        <v>36892</v>
      </c>
      <c r="X31" s="517">
        <v>36525</v>
      </c>
      <c r="Y31" s="241">
        <v>0</v>
      </c>
      <c r="Z31" s="241">
        <v>1</v>
      </c>
    </row>
    <row r="32" spans="1:26" x14ac:dyDescent="0.25">
      <c r="A32" s="241">
        <v>1151</v>
      </c>
      <c r="B32" s="241" t="s">
        <v>748</v>
      </c>
      <c r="C32" s="241" t="s">
        <v>749</v>
      </c>
      <c r="G32" s="241" t="s">
        <v>650</v>
      </c>
      <c r="H32" s="241" t="s">
        <v>710</v>
      </c>
      <c r="I32" s="241">
        <v>1</v>
      </c>
      <c r="J32" s="241" t="s">
        <v>749</v>
      </c>
      <c r="N32" s="241" t="s">
        <v>650</v>
      </c>
      <c r="O32" s="241" t="s">
        <v>710</v>
      </c>
      <c r="P32" s="241">
        <v>1</v>
      </c>
      <c r="R32" s="241">
        <v>5</v>
      </c>
      <c r="S32" s="241">
        <v>0</v>
      </c>
      <c r="U32" s="241" t="s">
        <v>656</v>
      </c>
      <c r="V32" s="241">
        <v>3</v>
      </c>
      <c r="W32" s="517">
        <v>36892</v>
      </c>
      <c r="X32" s="517">
        <v>36525</v>
      </c>
      <c r="Y32" s="241">
        <v>0</v>
      </c>
      <c r="Z32" s="241">
        <v>1</v>
      </c>
    </row>
    <row r="33" spans="1:26" x14ac:dyDescent="0.25">
      <c r="A33" s="241">
        <v>1054</v>
      </c>
      <c r="B33" s="241" t="s">
        <v>750</v>
      </c>
      <c r="C33" s="241" t="s">
        <v>751</v>
      </c>
      <c r="G33" s="241" t="s">
        <v>650</v>
      </c>
      <c r="H33" s="241" t="s">
        <v>752</v>
      </c>
      <c r="I33" s="241">
        <v>1</v>
      </c>
      <c r="J33" s="241" t="s">
        <v>751</v>
      </c>
      <c r="N33" s="241" t="s">
        <v>650</v>
      </c>
      <c r="O33" s="241" t="s">
        <v>752</v>
      </c>
      <c r="P33" s="241">
        <v>1</v>
      </c>
      <c r="R33" s="241">
        <v>3</v>
      </c>
      <c r="S33" s="241">
        <v>0</v>
      </c>
      <c r="U33" s="241" t="s">
        <v>656</v>
      </c>
      <c r="V33" s="241">
        <v>3</v>
      </c>
      <c r="W33" s="517">
        <v>36892</v>
      </c>
      <c r="X33" s="517">
        <v>36525</v>
      </c>
      <c r="Y33" s="241">
        <v>0</v>
      </c>
      <c r="Z33" s="241">
        <v>1</v>
      </c>
    </row>
    <row r="34" spans="1:26" x14ac:dyDescent="0.25">
      <c r="A34" s="241">
        <v>30197</v>
      </c>
      <c r="B34" s="241" t="s">
        <v>753</v>
      </c>
      <c r="C34" s="241" t="s">
        <v>754</v>
      </c>
      <c r="G34" s="241" t="s">
        <v>213</v>
      </c>
      <c r="H34" s="241" t="s">
        <v>755</v>
      </c>
      <c r="I34" s="241">
        <v>12</v>
      </c>
      <c r="J34" s="241" t="s">
        <v>756</v>
      </c>
      <c r="N34" s="241" t="s">
        <v>213</v>
      </c>
      <c r="O34" s="241" t="s">
        <v>755</v>
      </c>
      <c r="P34" s="241">
        <v>12</v>
      </c>
      <c r="R34" s="241">
        <v>1</v>
      </c>
      <c r="S34" s="241">
        <v>29747</v>
      </c>
      <c r="T34" s="241" t="s">
        <v>666</v>
      </c>
      <c r="U34" s="241" t="s">
        <v>757</v>
      </c>
      <c r="V34" s="241">
        <v>1</v>
      </c>
      <c r="W34" s="517">
        <v>36892</v>
      </c>
      <c r="X34" s="517">
        <v>36525</v>
      </c>
      <c r="Y34" s="241">
        <v>0</v>
      </c>
      <c r="Z34" s="241">
        <v>1</v>
      </c>
    </row>
    <row r="35" spans="1:26" x14ac:dyDescent="0.25">
      <c r="A35" s="241">
        <v>30209</v>
      </c>
      <c r="B35" s="241" t="s">
        <v>758</v>
      </c>
      <c r="C35" s="241" t="s">
        <v>759</v>
      </c>
      <c r="G35" s="241" t="s">
        <v>650</v>
      </c>
      <c r="H35" s="241" t="s">
        <v>760</v>
      </c>
      <c r="I35" s="241">
        <v>1</v>
      </c>
      <c r="J35" s="241" t="s">
        <v>759</v>
      </c>
      <c r="N35" s="241" t="s">
        <v>650</v>
      </c>
      <c r="O35" s="241" t="s">
        <v>760</v>
      </c>
      <c r="P35" s="241">
        <v>1</v>
      </c>
      <c r="R35" s="241">
        <v>2</v>
      </c>
      <c r="S35" s="241">
        <v>29747</v>
      </c>
      <c r="T35" s="241" t="s">
        <v>666</v>
      </c>
      <c r="U35" s="241" t="s">
        <v>761</v>
      </c>
      <c r="V35" s="241">
        <v>3</v>
      </c>
      <c r="W35" s="517">
        <v>36892</v>
      </c>
      <c r="X35" s="517">
        <v>36525</v>
      </c>
      <c r="Y35" s="241">
        <v>0</v>
      </c>
      <c r="Z35" s="241">
        <v>1</v>
      </c>
    </row>
    <row r="36" spans="1:26" x14ac:dyDescent="0.25">
      <c r="A36" s="241">
        <v>1394</v>
      </c>
      <c r="B36" s="241" t="s">
        <v>762</v>
      </c>
      <c r="C36" s="241" t="s">
        <v>763</v>
      </c>
      <c r="G36" s="241" t="s">
        <v>650</v>
      </c>
      <c r="H36" s="241" t="s">
        <v>678</v>
      </c>
      <c r="I36" s="241">
        <v>1</v>
      </c>
      <c r="J36" s="241" t="s">
        <v>763</v>
      </c>
      <c r="N36" s="241" t="s">
        <v>650</v>
      </c>
      <c r="O36" s="241" t="s">
        <v>678</v>
      </c>
      <c r="P36" s="241">
        <v>1</v>
      </c>
      <c r="R36" s="241">
        <v>8</v>
      </c>
      <c r="S36" s="241">
        <v>0</v>
      </c>
      <c r="U36" s="241" t="s">
        <v>656</v>
      </c>
      <c r="V36" s="241">
        <v>3</v>
      </c>
      <c r="W36" s="517">
        <v>36892</v>
      </c>
      <c r="X36" s="517">
        <v>36525</v>
      </c>
      <c r="Y36" s="241">
        <v>0</v>
      </c>
      <c r="Z36" s="241">
        <v>1</v>
      </c>
    </row>
    <row r="37" spans="1:26" x14ac:dyDescent="0.25">
      <c r="A37" s="241">
        <v>1258</v>
      </c>
      <c r="B37" s="241" t="s">
        <v>764</v>
      </c>
      <c r="C37" s="241" t="s">
        <v>765</v>
      </c>
      <c r="G37" s="241" t="s">
        <v>650</v>
      </c>
      <c r="H37" s="241" t="s">
        <v>766</v>
      </c>
      <c r="I37" s="241">
        <v>1</v>
      </c>
      <c r="J37" s="241" t="s">
        <v>765</v>
      </c>
      <c r="N37" s="241" t="s">
        <v>650</v>
      </c>
      <c r="O37" s="241" t="s">
        <v>766</v>
      </c>
      <c r="P37" s="241">
        <v>1</v>
      </c>
      <c r="R37" s="241">
        <v>3</v>
      </c>
      <c r="S37" s="241">
        <v>0</v>
      </c>
      <c r="U37" s="241" t="s">
        <v>656</v>
      </c>
      <c r="V37" s="241">
        <v>3</v>
      </c>
      <c r="W37" s="517">
        <v>36892</v>
      </c>
      <c r="X37" s="517">
        <v>36525</v>
      </c>
      <c r="Y37" s="241">
        <v>0</v>
      </c>
      <c r="Z37" s="241">
        <v>1</v>
      </c>
    </row>
    <row r="38" spans="1:26" x14ac:dyDescent="0.25">
      <c r="A38" s="241">
        <v>10579</v>
      </c>
      <c r="B38" s="241" t="s">
        <v>767</v>
      </c>
      <c r="C38" s="241" t="s">
        <v>768</v>
      </c>
      <c r="G38" s="241" t="s">
        <v>650</v>
      </c>
      <c r="H38" s="241" t="s">
        <v>769</v>
      </c>
      <c r="I38" s="241">
        <v>1</v>
      </c>
      <c r="J38" s="241" t="s">
        <v>768</v>
      </c>
      <c r="N38" s="241" t="s">
        <v>650</v>
      </c>
      <c r="O38" s="241" t="s">
        <v>769</v>
      </c>
      <c r="P38" s="241">
        <v>1</v>
      </c>
      <c r="R38" s="241">
        <v>1</v>
      </c>
      <c r="S38" s="241">
        <v>0</v>
      </c>
      <c r="U38" s="241" t="s">
        <v>656</v>
      </c>
      <c r="V38" s="241">
        <v>1</v>
      </c>
      <c r="W38" s="517">
        <v>36892</v>
      </c>
      <c r="X38" s="517">
        <v>36525</v>
      </c>
      <c r="Y38" s="241">
        <v>1</v>
      </c>
      <c r="Z38" s="241">
        <v>1</v>
      </c>
    </row>
    <row r="39" spans="1:26" x14ac:dyDescent="0.25">
      <c r="A39" s="241">
        <v>1205</v>
      </c>
      <c r="B39" s="241" t="s">
        <v>770</v>
      </c>
      <c r="C39" s="241" t="s">
        <v>771</v>
      </c>
      <c r="G39" s="241" t="s">
        <v>650</v>
      </c>
      <c r="H39" s="241" t="s">
        <v>772</v>
      </c>
      <c r="I39" s="241">
        <v>1</v>
      </c>
      <c r="J39" s="241" t="s">
        <v>771</v>
      </c>
      <c r="N39" s="241" t="s">
        <v>650</v>
      </c>
      <c r="O39" s="241" t="s">
        <v>772</v>
      </c>
      <c r="P39" s="241">
        <v>1</v>
      </c>
      <c r="R39" s="241">
        <v>5</v>
      </c>
      <c r="S39" s="241">
        <v>0</v>
      </c>
      <c r="U39" s="241" t="s">
        <v>656</v>
      </c>
      <c r="V39" s="241">
        <v>3</v>
      </c>
      <c r="W39" s="517">
        <v>36892</v>
      </c>
      <c r="X39" s="517">
        <v>36525</v>
      </c>
      <c r="Y39" s="241">
        <v>0</v>
      </c>
      <c r="Z39" s="241">
        <v>1</v>
      </c>
    </row>
    <row r="40" spans="1:26" x14ac:dyDescent="0.25">
      <c r="A40" s="241">
        <v>10307</v>
      </c>
      <c r="B40" s="241" t="s">
        <v>773</v>
      </c>
      <c r="C40" s="241" t="s">
        <v>774</v>
      </c>
      <c r="G40" s="241" t="s">
        <v>650</v>
      </c>
      <c r="H40" s="241" t="s">
        <v>775</v>
      </c>
      <c r="I40" s="241">
        <v>1</v>
      </c>
      <c r="J40" s="241" t="s">
        <v>774</v>
      </c>
      <c r="N40" s="241" t="s">
        <v>650</v>
      </c>
      <c r="O40" s="241" t="s">
        <v>775</v>
      </c>
      <c r="P40" s="241">
        <v>1</v>
      </c>
      <c r="R40" s="241">
        <v>4</v>
      </c>
      <c r="S40" s="241">
        <v>0</v>
      </c>
      <c r="U40" s="241" t="s">
        <v>656</v>
      </c>
      <c r="V40" s="241">
        <v>3</v>
      </c>
      <c r="W40" s="517">
        <v>36892</v>
      </c>
      <c r="X40" s="517">
        <v>36525</v>
      </c>
      <c r="Y40" s="241">
        <v>1</v>
      </c>
      <c r="Z40" s="241">
        <v>1</v>
      </c>
    </row>
    <row r="41" spans="1:26" x14ac:dyDescent="0.25">
      <c r="A41" s="241">
        <v>2487</v>
      </c>
      <c r="B41" s="241" t="s">
        <v>776</v>
      </c>
      <c r="C41" s="241" t="s">
        <v>777</v>
      </c>
      <c r="G41" s="241" t="s">
        <v>650</v>
      </c>
      <c r="H41" s="241" t="s">
        <v>778</v>
      </c>
      <c r="I41" s="241">
        <v>1</v>
      </c>
      <c r="J41" s="241" t="s">
        <v>777</v>
      </c>
      <c r="N41" s="241" t="s">
        <v>650</v>
      </c>
      <c r="O41" s="241" t="s">
        <v>778</v>
      </c>
      <c r="P41" s="241">
        <v>1</v>
      </c>
      <c r="R41" s="241">
        <v>4</v>
      </c>
      <c r="S41" s="241">
        <v>0</v>
      </c>
      <c r="U41" s="241" t="s">
        <v>656</v>
      </c>
      <c r="V41" s="241">
        <v>3</v>
      </c>
      <c r="W41" s="517">
        <v>36892</v>
      </c>
      <c r="X41" s="517">
        <v>36525</v>
      </c>
      <c r="Y41" s="241">
        <v>0</v>
      </c>
      <c r="Z41" s="241">
        <v>1</v>
      </c>
    </row>
    <row r="42" spans="1:26" x14ac:dyDescent="0.25">
      <c r="A42" s="241">
        <v>30081</v>
      </c>
      <c r="B42" s="241" t="s">
        <v>779</v>
      </c>
      <c r="I42" s="241">
        <v>1</v>
      </c>
      <c r="P42" s="241">
        <v>1</v>
      </c>
      <c r="R42" s="241">
        <v>1</v>
      </c>
      <c r="S42" s="241">
        <v>29747</v>
      </c>
      <c r="T42" s="241" t="s">
        <v>666</v>
      </c>
      <c r="U42" s="241" t="s">
        <v>780</v>
      </c>
      <c r="V42" s="241">
        <v>3</v>
      </c>
      <c r="W42" s="517">
        <v>36892</v>
      </c>
      <c r="X42" s="517">
        <v>36525</v>
      </c>
      <c r="Y42" s="241">
        <v>0</v>
      </c>
      <c r="Z42" s="241">
        <v>1</v>
      </c>
    </row>
    <row r="43" spans="1:26" x14ac:dyDescent="0.25">
      <c r="A43" s="241">
        <v>1385</v>
      </c>
      <c r="B43" s="241" t="s">
        <v>781</v>
      </c>
      <c r="C43" s="241" t="s">
        <v>782</v>
      </c>
      <c r="G43" s="241" t="s">
        <v>650</v>
      </c>
      <c r="H43" s="241" t="s">
        <v>752</v>
      </c>
      <c r="I43" s="241">
        <v>1</v>
      </c>
      <c r="J43" s="241" t="s">
        <v>782</v>
      </c>
      <c r="N43" s="241" t="s">
        <v>650</v>
      </c>
      <c r="O43" s="241" t="s">
        <v>752</v>
      </c>
      <c r="P43" s="241">
        <v>1</v>
      </c>
      <c r="R43" s="241">
        <v>9</v>
      </c>
      <c r="S43" s="241">
        <v>29747</v>
      </c>
      <c r="T43" s="241" t="s">
        <v>666</v>
      </c>
      <c r="U43" s="241" t="s">
        <v>783</v>
      </c>
      <c r="V43" s="241">
        <v>3</v>
      </c>
      <c r="W43" s="517">
        <v>36892</v>
      </c>
      <c r="X43" s="517">
        <v>36525</v>
      </c>
      <c r="Y43" s="241">
        <v>1</v>
      </c>
      <c r="Z43" s="241">
        <v>1</v>
      </c>
    </row>
    <row r="44" spans="1:26" x14ac:dyDescent="0.25">
      <c r="A44" s="241">
        <v>2496</v>
      </c>
      <c r="B44" s="241" t="s">
        <v>784</v>
      </c>
      <c r="C44" s="241" t="s">
        <v>785</v>
      </c>
      <c r="G44" s="241" t="s">
        <v>650</v>
      </c>
      <c r="H44" s="241" t="s">
        <v>786</v>
      </c>
      <c r="I44" s="241">
        <v>1</v>
      </c>
      <c r="J44" s="241" t="s">
        <v>785</v>
      </c>
      <c r="N44" s="241" t="s">
        <v>650</v>
      </c>
      <c r="O44" s="241" t="s">
        <v>786</v>
      </c>
      <c r="P44" s="241">
        <v>1</v>
      </c>
      <c r="R44" s="241">
        <v>3</v>
      </c>
      <c r="S44" s="241">
        <v>0</v>
      </c>
      <c r="U44" s="241" t="s">
        <v>656</v>
      </c>
      <c r="V44" s="241">
        <v>3</v>
      </c>
      <c r="W44" s="517">
        <v>36892</v>
      </c>
      <c r="X44" s="517">
        <v>36525</v>
      </c>
      <c r="Y44" s="241">
        <v>0</v>
      </c>
      <c r="Z44" s="241">
        <v>1</v>
      </c>
    </row>
    <row r="45" spans="1:26" x14ac:dyDescent="0.25">
      <c r="A45" s="241">
        <v>10304</v>
      </c>
      <c r="B45" s="241" t="s">
        <v>787</v>
      </c>
      <c r="C45" s="241" t="s">
        <v>788</v>
      </c>
      <c r="G45" s="241" t="s">
        <v>650</v>
      </c>
      <c r="H45" s="241" t="s">
        <v>789</v>
      </c>
      <c r="I45" s="241">
        <v>1</v>
      </c>
      <c r="J45" s="241" t="s">
        <v>788</v>
      </c>
      <c r="N45" s="241" t="s">
        <v>650</v>
      </c>
      <c r="O45" s="241" t="s">
        <v>789</v>
      </c>
      <c r="P45" s="241">
        <v>1</v>
      </c>
      <c r="R45" s="241">
        <v>4</v>
      </c>
      <c r="S45" s="241">
        <v>0</v>
      </c>
      <c r="U45" s="241" t="s">
        <v>656</v>
      </c>
      <c r="V45" s="241">
        <v>3</v>
      </c>
      <c r="W45" s="517">
        <v>36892</v>
      </c>
      <c r="X45" s="517">
        <v>36525</v>
      </c>
      <c r="Y45" s="241">
        <v>0</v>
      </c>
      <c r="Z45" s="241">
        <v>1</v>
      </c>
    </row>
    <row r="46" spans="1:26" x14ac:dyDescent="0.25">
      <c r="A46" s="241">
        <v>10289</v>
      </c>
      <c r="B46" s="241" t="s">
        <v>790</v>
      </c>
      <c r="C46" s="241" t="s">
        <v>791</v>
      </c>
      <c r="G46" s="241" t="s">
        <v>650</v>
      </c>
      <c r="H46" s="241" t="s">
        <v>792</v>
      </c>
      <c r="I46" s="241">
        <v>1</v>
      </c>
      <c r="J46" s="241" t="s">
        <v>791</v>
      </c>
      <c r="N46" s="241" t="s">
        <v>650</v>
      </c>
      <c r="O46" s="241" t="s">
        <v>792</v>
      </c>
      <c r="P46" s="241">
        <v>1</v>
      </c>
      <c r="R46" s="241">
        <v>5</v>
      </c>
      <c r="S46" s="241">
        <v>0</v>
      </c>
      <c r="U46" s="241" t="s">
        <v>793</v>
      </c>
      <c r="V46" s="241">
        <v>3</v>
      </c>
      <c r="W46" s="517">
        <v>36892</v>
      </c>
      <c r="X46" s="517">
        <v>36525</v>
      </c>
      <c r="Y46" s="241">
        <v>0</v>
      </c>
      <c r="Z46" s="241">
        <v>1</v>
      </c>
    </row>
    <row r="47" spans="1:26" x14ac:dyDescent="0.25">
      <c r="A47" s="241">
        <v>30229</v>
      </c>
      <c r="B47" s="241" t="s">
        <v>794</v>
      </c>
      <c r="C47" s="241" t="s">
        <v>795</v>
      </c>
      <c r="G47" s="241" t="s">
        <v>747</v>
      </c>
      <c r="H47" s="241" t="s">
        <v>796</v>
      </c>
      <c r="I47" s="241">
        <v>1</v>
      </c>
      <c r="J47" s="241" t="s">
        <v>795</v>
      </c>
      <c r="N47" s="241" t="s">
        <v>747</v>
      </c>
      <c r="O47" s="241" t="s">
        <v>796</v>
      </c>
      <c r="P47" s="241">
        <v>1</v>
      </c>
      <c r="R47" s="241">
        <v>3</v>
      </c>
      <c r="S47" s="241">
        <v>0</v>
      </c>
      <c r="U47" s="241" t="s">
        <v>797</v>
      </c>
      <c r="V47" s="241">
        <v>3</v>
      </c>
      <c r="W47" s="517">
        <v>36892</v>
      </c>
      <c r="X47" s="517">
        <v>36525</v>
      </c>
      <c r="Y47" s="241">
        <v>0</v>
      </c>
      <c r="Z47" s="241">
        <v>1</v>
      </c>
    </row>
    <row r="48" spans="1:26" x14ac:dyDescent="0.25">
      <c r="A48" s="241">
        <v>30217</v>
      </c>
      <c r="B48" s="241" t="s">
        <v>798</v>
      </c>
      <c r="R48" s="241">
        <v>1</v>
      </c>
      <c r="S48" s="241">
        <v>29747</v>
      </c>
      <c r="T48" s="241" t="s">
        <v>666</v>
      </c>
      <c r="U48" s="241" t="s">
        <v>799</v>
      </c>
      <c r="V48" s="241">
        <v>1</v>
      </c>
      <c r="W48" s="517">
        <v>36892</v>
      </c>
      <c r="X48" s="517">
        <v>36525</v>
      </c>
      <c r="Y48" s="241">
        <v>0</v>
      </c>
      <c r="Z48" s="241">
        <v>1</v>
      </c>
    </row>
    <row r="49" spans="1:26" x14ac:dyDescent="0.25">
      <c r="A49" s="241">
        <v>1322</v>
      </c>
      <c r="B49" s="241" t="s">
        <v>800</v>
      </c>
      <c r="C49" s="241" t="s">
        <v>801</v>
      </c>
      <c r="G49" s="241" t="s">
        <v>650</v>
      </c>
      <c r="H49" s="241" t="s">
        <v>786</v>
      </c>
      <c r="I49" s="241">
        <v>1</v>
      </c>
      <c r="J49" s="241" t="s">
        <v>801</v>
      </c>
      <c r="N49" s="241" t="s">
        <v>650</v>
      </c>
      <c r="O49" s="241" t="s">
        <v>786</v>
      </c>
      <c r="P49" s="241">
        <v>1</v>
      </c>
      <c r="R49" s="241">
        <v>2</v>
      </c>
      <c r="S49" s="241">
        <v>0</v>
      </c>
      <c r="U49" s="241" t="s">
        <v>656</v>
      </c>
      <c r="V49" s="241">
        <v>3</v>
      </c>
      <c r="W49" s="517">
        <v>36892</v>
      </c>
      <c r="X49" s="517">
        <v>36525</v>
      </c>
      <c r="Y49" s="241">
        <v>0</v>
      </c>
      <c r="Z49" s="241">
        <v>1</v>
      </c>
    </row>
    <row r="50" spans="1:26" x14ac:dyDescent="0.25">
      <c r="A50" s="241">
        <v>10443</v>
      </c>
      <c r="B50" s="241" t="s">
        <v>802</v>
      </c>
      <c r="C50" s="241" t="s">
        <v>803</v>
      </c>
      <c r="G50" s="241" t="s">
        <v>650</v>
      </c>
      <c r="H50" s="241" t="s">
        <v>804</v>
      </c>
      <c r="I50" s="241">
        <v>1</v>
      </c>
      <c r="J50" s="241" t="s">
        <v>803</v>
      </c>
      <c r="N50" s="241" t="s">
        <v>650</v>
      </c>
      <c r="O50" s="241" t="s">
        <v>804</v>
      </c>
      <c r="P50" s="241">
        <v>1</v>
      </c>
      <c r="R50" s="241">
        <v>5</v>
      </c>
      <c r="S50" s="241">
        <v>0</v>
      </c>
      <c r="U50" s="241" t="s">
        <v>805</v>
      </c>
      <c r="V50" s="241">
        <v>3</v>
      </c>
      <c r="W50" s="517">
        <v>36892</v>
      </c>
      <c r="X50" s="517">
        <v>36525</v>
      </c>
      <c r="Y50" s="241">
        <v>1</v>
      </c>
      <c r="Z50" s="241">
        <v>1</v>
      </c>
    </row>
    <row r="51" spans="1:26" x14ac:dyDescent="0.25">
      <c r="A51" s="241">
        <v>2489</v>
      </c>
      <c r="B51" s="241" t="s">
        <v>806</v>
      </c>
      <c r="C51" s="241" t="s">
        <v>807</v>
      </c>
      <c r="G51" s="241" t="s">
        <v>650</v>
      </c>
      <c r="H51" s="241" t="s">
        <v>804</v>
      </c>
      <c r="I51" s="241">
        <v>1</v>
      </c>
      <c r="J51" s="241" t="s">
        <v>807</v>
      </c>
      <c r="N51" s="241" t="s">
        <v>650</v>
      </c>
      <c r="O51" s="241" t="s">
        <v>804</v>
      </c>
      <c r="P51" s="241">
        <v>1</v>
      </c>
      <c r="R51" s="241">
        <v>4</v>
      </c>
      <c r="S51" s="241">
        <v>0</v>
      </c>
      <c r="U51" s="241" t="s">
        <v>656</v>
      </c>
      <c r="V51" s="241">
        <v>3</v>
      </c>
      <c r="W51" s="517">
        <v>36892</v>
      </c>
      <c r="X51" s="517">
        <v>36525</v>
      </c>
      <c r="Y51" s="241">
        <v>0</v>
      </c>
      <c r="Z51" s="241">
        <v>1</v>
      </c>
    </row>
    <row r="52" spans="1:26" x14ac:dyDescent="0.25">
      <c r="A52" s="241">
        <v>10355</v>
      </c>
      <c r="B52" s="241" t="s">
        <v>808</v>
      </c>
      <c r="C52" s="241" t="s">
        <v>809</v>
      </c>
      <c r="G52" s="241" t="s">
        <v>650</v>
      </c>
      <c r="H52" s="241" t="s">
        <v>810</v>
      </c>
      <c r="I52" s="241">
        <v>1</v>
      </c>
      <c r="J52" s="241" t="s">
        <v>809</v>
      </c>
      <c r="N52" s="241" t="s">
        <v>650</v>
      </c>
      <c r="O52" s="241" t="s">
        <v>810</v>
      </c>
      <c r="P52" s="241">
        <v>1</v>
      </c>
      <c r="R52" s="241">
        <v>3</v>
      </c>
      <c r="S52" s="241">
        <v>0</v>
      </c>
      <c r="U52" s="241" t="s">
        <v>656</v>
      </c>
      <c r="V52" s="241">
        <v>3</v>
      </c>
      <c r="W52" s="517">
        <v>36892</v>
      </c>
      <c r="X52" s="517">
        <v>36525</v>
      </c>
      <c r="Y52" s="241">
        <v>0</v>
      </c>
      <c r="Z52" s="241">
        <v>1</v>
      </c>
    </row>
    <row r="53" spans="1:26" x14ac:dyDescent="0.25">
      <c r="A53" s="241">
        <v>10376</v>
      </c>
      <c r="B53" s="241" t="s">
        <v>811</v>
      </c>
      <c r="C53" s="241" t="s">
        <v>812</v>
      </c>
      <c r="G53" s="241" t="s">
        <v>650</v>
      </c>
      <c r="H53" s="241" t="s">
        <v>789</v>
      </c>
      <c r="I53" s="241">
        <v>1</v>
      </c>
      <c r="J53" s="241" t="s">
        <v>812</v>
      </c>
      <c r="N53" s="241" t="s">
        <v>650</v>
      </c>
      <c r="O53" s="241" t="s">
        <v>789</v>
      </c>
      <c r="P53" s="241">
        <v>1</v>
      </c>
      <c r="R53" s="241">
        <v>4</v>
      </c>
      <c r="S53" s="241">
        <v>0</v>
      </c>
      <c r="U53" s="241" t="s">
        <v>813</v>
      </c>
      <c r="V53" s="241">
        <v>3</v>
      </c>
      <c r="W53" s="517">
        <v>36892</v>
      </c>
      <c r="X53" s="517">
        <v>36525</v>
      </c>
      <c r="Y53" s="241">
        <v>0</v>
      </c>
      <c r="Z53" s="241">
        <v>1</v>
      </c>
    </row>
    <row r="54" spans="1:26" x14ac:dyDescent="0.25">
      <c r="A54" s="241">
        <v>1389</v>
      </c>
      <c r="B54" s="241" t="s">
        <v>814</v>
      </c>
      <c r="C54" s="241" t="s">
        <v>815</v>
      </c>
      <c r="G54" s="241" t="s">
        <v>650</v>
      </c>
      <c r="H54" s="241" t="s">
        <v>816</v>
      </c>
      <c r="I54" s="241">
        <v>1</v>
      </c>
      <c r="J54" s="241" t="s">
        <v>815</v>
      </c>
      <c r="N54" s="241" t="s">
        <v>650</v>
      </c>
      <c r="O54" s="241" t="s">
        <v>816</v>
      </c>
      <c r="P54" s="241">
        <v>1</v>
      </c>
      <c r="R54" s="241">
        <v>5</v>
      </c>
      <c r="S54" s="241">
        <v>0</v>
      </c>
      <c r="U54" s="241" t="s">
        <v>656</v>
      </c>
      <c r="V54" s="241">
        <v>3</v>
      </c>
      <c r="W54" s="517">
        <v>36892</v>
      </c>
      <c r="X54" s="517">
        <v>36525</v>
      </c>
      <c r="Y54" s="241">
        <v>0</v>
      </c>
      <c r="Z54" s="241">
        <v>1</v>
      </c>
    </row>
    <row r="55" spans="1:26" x14ac:dyDescent="0.25">
      <c r="A55" s="241">
        <v>10325</v>
      </c>
      <c r="B55" s="241" t="s">
        <v>817</v>
      </c>
      <c r="C55" s="241" t="s">
        <v>818</v>
      </c>
      <c r="G55" s="241" t="s">
        <v>650</v>
      </c>
      <c r="H55" s="241" t="s">
        <v>819</v>
      </c>
      <c r="I55" s="241">
        <v>1</v>
      </c>
      <c r="J55" s="241" t="s">
        <v>818</v>
      </c>
      <c r="N55" s="241" t="s">
        <v>650</v>
      </c>
      <c r="O55" s="241" t="s">
        <v>819</v>
      </c>
      <c r="P55" s="241">
        <v>1</v>
      </c>
      <c r="R55" s="241">
        <v>4</v>
      </c>
      <c r="S55" s="241">
        <v>0</v>
      </c>
      <c r="U55" s="241" t="s">
        <v>656</v>
      </c>
      <c r="V55" s="241">
        <v>3</v>
      </c>
      <c r="W55" s="517">
        <v>36892</v>
      </c>
      <c r="X55" s="517">
        <v>36525</v>
      </c>
      <c r="Y55" s="241">
        <v>1</v>
      </c>
      <c r="Z55" s="241">
        <v>1</v>
      </c>
    </row>
    <row r="56" spans="1:26" x14ac:dyDescent="0.25">
      <c r="A56" s="241">
        <v>10293</v>
      </c>
      <c r="B56" s="241" t="s">
        <v>820</v>
      </c>
      <c r="C56" s="241" t="s">
        <v>821</v>
      </c>
      <c r="G56" s="241" t="s">
        <v>650</v>
      </c>
      <c r="H56" s="241" t="s">
        <v>822</v>
      </c>
      <c r="I56" s="241">
        <v>1</v>
      </c>
      <c r="J56" s="241" t="s">
        <v>821</v>
      </c>
      <c r="N56" s="241" t="s">
        <v>650</v>
      </c>
      <c r="O56" s="241" t="s">
        <v>822</v>
      </c>
      <c r="P56" s="241">
        <v>1</v>
      </c>
      <c r="R56" s="241">
        <v>3</v>
      </c>
      <c r="S56" s="241">
        <v>0</v>
      </c>
      <c r="U56" s="241" t="s">
        <v>656</v>
      </c>
      <c r="V56" s="241">
        <v>3</v>
      </c>
      <c r="W56" s="517">
        <v>36892</v>
      </c>
      <c r="X56" s="517">
        <v>36525</v>
      </c>
      <c r="Y56" s="241">
        <v>1</v>
      </c>
      <c r="Z56" s="241">
        <v>1</v>
      </c>
    </row>
    <row r="57" spans="1:26" x14ac:dyDescent="0.25">
      <c r="A57" s="241">
        <v>1397</v>
      </c>
      <c r="B57" s="241" t="s">
        <v>823</v>
      </c>
      <c r="C57" s="241" t="s">
        <v>824</v>
      </c>
      <c r="G57" s="241" t="s">
        <v>650</v>
      </c>
      <c r="H57" s="241" t="s">
        <v>825</v>
      </c>
      <c r="I57" s="241">
        <v>1</v>
      </c>
      <c r="J57" s="241" t="s">
        <v>824</v>
      </c>
      <c r="N57" s="241" t="s">
        <v>650</v>
      </c>
      <c r="O57" s="241" t="s">
        <v>825</v>
      </c>
      <c r="P57" s="241">
        <v>1</v>
      </c>
      <c r="R57" s="241">
        <v>4</v>
      </c>
      <c r="S57" s="241">
        <v>0</v>
      </c>
      <c r="U57" s="241" t="s">
        <v>656</v>
      </c>
      <c r="V57" s="241">
        <v>3</v>
      </c>
      <c r="W57" s="517">
        <v>36892</v>
      </c>
      <c r="X57" s="517">
        <v>36525</v>
      </c>
      <c r="Y57" s="241">
        <v>1</v>
      </c>
      <c r="Z57" s="241">
        <v>1</v>
      </c>
    </row>
    <row r="58" spans="1:26" x14ac:dyDescent="0.25">
      <c r="A58" s="241">
        <v>30155</v>
      </c>
      <c r="B58" s="241" t="s">
        <v>826</v>
      </c>
      <c r="C58" s="241" t="s">
        <v>827</v>
      </c>
      <c r="D58" s="241" t="s">
        <v>828</v>
      </c>
      <c r="G58" s="241" t="s">
        <v>829</v>
      </c>
      <c r="H58" s="241" t="s">
        <v>830</v>
      </c>
      <c r="I58" s="241">
        <v>1</v>
      </c>
      <c r="J58" s="241" t="s">
        <v>827</v>
      </c>
      <c r="K58" s="241" t="s">
        <v>828</v>
      </c>
      <c r="N58" s="241" t="s">
        <v>829</v>
      </c>
      <c r="O58" s="241" t="s">
        <v>830</v>
      </c>
      <c r="P58" s="241">
        <v>1</v>
      </c>
      <c r="R58" s="241">
        <v>3</v>
      </c>
      <c r="S58" s="241">
        <v>29747</v>
      </c>
      <c r="T58" s="241" t="s">
        <v>666</v>
      </c>
      <c r="U58" s="241" t="s">
        <v>831</v>
      </c>
      <c r="V58" s="241">
        <v>3</v>
      </c>
      <c r="W58" s="517">
        <v>36892</v>
      </c>
      <c r="X58" s="517">
        <v>36525</v>
      </c>
      <c r="Y58" s="241">
        <v>0</v>
      </c>
      <c r="Z58" s="241">
        <v>1</v>
      </c>
    </row>
    <row r="59" spans="1:26" x14ac:dyDescent="0.25">
      <c r="A59" s="241">
        <v>1226</v>
      </c>
      <c r="B59" s="241" t="s">
        <v>832</v>
      </c>
      <c r="C59" s="241" t="s">
        <v>833</v>
      </c>
      <c r="G59" s="241" t="s">
        <v>650</v>
      </c>
      <c r="H59" s="241" t="s">
        <v>834</v>
      </c>
      <c r="I59" s="241">
        <v>1</v>
      </c>
      <c r="J59" s="241" t="s">
        <v>833</v>
      </c>
      <c r="N59" s="241" t="s">
        <v>650</v>
      </c>
      <c r="O59" s="241" t="s">
        <v>834</v>
      </c>
      <c r="P59" s="241">
        <v>1</v>
      </c>
      <c r="R59" s="241">
        <v>9</v>
      </c>
      <c r="S59" s="241">
        <v>0</v>
      </c>
      <c r="U59" s="241" t="s">
        <v>656</v>
      </c>
      <c r="V59" s="241">
        <v>3</v>
      </c>
      <c r="W59" s="517">
        <v>36892</v>
      </c>
      <c r="X59" s="517">
        <v>36525</v>
      </c>
      <c r="Y59" s="241">
        <v>0</v>
      </c>
      <c r="Z59" s="241">
        <v>1</v>
      </c>
    </row>
    <row r="60" spans="1:26" x14ac:dyDescent="0.25">
      <c r="A60" s="241">
        <v>1246</v>
      </c>
      <c r="B60" s="241" t="s">
        <v>835</v>
      </c>
      <c r="C60" s="241" t="s">
        <v>836</v>
      </c>
      <c r="G60" s="241" t="s">
        <v>650</v>
      </c>
      <c r="H60" s="241" t="s">
        <v>837</v>
      </c>
      <c r="I60" s="241">
        <v>1</v>
      </c>
      <c r="J60" s="241" t="s">
        <v>836</v>
      </c>
      <c r="N60" s="241" t="s">
        <v>650</v>
      </c>
      <c r="O60" s="241" t="s">
        <v>837</v>
      </c>
      <c r="P60" s="241">
        <v>1</v>
      </c>
      <c r="R60" s="241">
        <v>3</v>
      </c>
      <c r="S60" s="241">
        <v>0</v>
      </c>
      <c r="U60" s="241" t="s">
        <v>656</v>
      </c>
      <c r="V60" s="241">
        <v>3</v>
      </c>
      <c r="W60" s="517">
        <v>36892</v>
      </c>
      <c r="X60" s="517">
        <v>36525</v>
      </c>
      <c r="Y60" s="241">
        <v>0</v>
      </c>
      <c r="Z60" s="241">
        <v>1</v>
      </c>
    </row>
    <row r="61" spans="1:26" x14ac:dyDescent="0.25">
      <c r="A61" s="241">
        <v>1371</v>
      </c>
      <c r="B61" s="241" t="s">
        <v>838</v>
      </c>
      <c r="C61" s="241" t="s">
        <v>839</v>
      </c>
      <c r="G61" s="241" t="s">
        <v>840</v>
      </c>
      <c r="H61" s="241" t="s">
        <v>841</v>
      </c>
      <c r="I61" s="241">
        <v>1</v>
      </c>
      <c r="J61" s="241" t="s">
        <v>839</v>
      </c>
      <c r="N61" s="241" t="s">
        <v>840</v>
      </c>
      <c r="O61" s="241" t="s">
        <v>841</v>
      </c>
      <c r="P61" s="241">
        <v>1</v>
      </c>
      <c r="Q61" s="241">
        <v>1285</v>
      </c>
      <c r="R61" s="241">
        <v>4</v>
      </c>
      <c r="S61" s="241">
        <v>0</v>
      </c>
      <c r="U61" s="241" t="s">
        <v>842</v>
      </c>
      <c r="V61" s="241">
        <v>3</v>
      </c>
      <c r="W61" s="517">
        <v>36892</v>
      </c>
      <c r="X61" s="517">
        <v>36525</v>
      </c>
      <c r="Y61" s="241">
        <v>0</v>
      </c>
      <c r="Z61" s="241">
        <v>1</v>
      </c>
    </row>
    <row r="62" spans="1:26" x14ac:dyDescent="0.25">
      <c r="A62" s="241">
        <v>30189</v>
      </c>
      <c r="B62" s="241" t="s">
        <v>843</v>
      </c>
      <c r="C62" s="241" t="s">
        <v>844</v>
      </c>
      <c r="G62" s="241" t="s">
        <v>650</v>
      </c>
      <c r="H62" s="241" t="s">
        <v>845</v>
      </c>
      <c r="I62" s="241">
        <v>1</v>
      </c>
      <c r="P62" s="241">
        <v>1</v>
      </c>
      <c r="R62" s="241">
        <v>3</v>
      </c>
      <c r="S62" s="241">
        <v>29747</v>
      </c>
      <c r="T62" s="241" t="s">
        <v>666</v>
      </c>
      <c r="U62" s="241" t="s">
        <v>846</v>
      </c>
      <c r="V62" s="241">
        <v>3</v>
      </c>
      <c r="W62" s="517">
        <v>36892</v>
      </c>
      <c r="X62" s="517">
        <v>36525</v>
      </c>
      <c r="Y62" s="241">
        <v>0</v>
      </c>
      <c r="Z62" s="241">
        <v>1</v>
      </c>
    </row>
    <row r="63" spans="1:26" x14ac:dyDescent="0.25">
      <c r="A63" s="241">
        <v>1217</v>
      </c>
      <c r="B63" s="241" t="s">
        <v>847</v>
      </c>
      <c r="C63" s="241" t="s">
        <v>848</v>
      </c>
      <c r="G63" s="241" t="s">
        <v>650</v>
      </c>
      <c r="H63" s="241" t="s">
        <v>766</v>
      </c>
      <c r="I63" s="241">
        <v>1</v>
      </c>
      <c r="J63" s="241" t="s">
        <v>848</v>
      </c>
      <c r="N63" s="241" t="s">
        <v>650</v>
      </c>
      <c r="O63" s="241" t="s">
        <v>766</v>
      </c>
      <c r="P63" s="241">
        <v>1</v>
      </c>
      <c r="R63" s="241">
        <v>4</v>
      </c>
      <c r="S63" s="241">
        <v>0</v>
      </c>
      <c r="U63" s="241" t="s">
        <v>656</v>
      </c>
      <c r="V63" s="241">
        <v>3</v>
      </c>
      <c r="W63" s="517">
        <v>36892</v>
      </c>
      <c r="X63" s="517">
        <v>36525</v>
      </c>
      <c r="Y63" s="241">
        <v>0</v>
      </c>
      <c r="Z63" s="241">
        <v>1</v>
      </c>
    </row>
    <row r="64" spans="1:26" x14ac:dyDescent="0.25">
      <c r="A64" s="241">
        <v>2387</v>
      </c>
      <c r="B64" s="241" t="s">
        <v>849</v>
      </c>
      <c r="C64" s="241" t="s">
        <v>850</v>
      </c>
      <c r="G64" s="241" t="s">
        <v>650</v>
      </c>
      <c r="H64" s="241" t="s">
        <v>851</v>
      </c>
      <c r="I64" s="241">
        <v>1</v>
      </c>
      <c r="J64" s="241" t="s">
        <v>850</v>
      </c>
      <c r="N64" s="241" t="s">
        <v>650</v>
      </c>
      <c r="O64" s="241" t="s">
        <v>851</v>
      </c>
      <c r="P64" s="241">
        <v>1</v>
      </c>
      <c r="R64" s="241">
        <v>5</v>
      </c>
      <c r="S64" s="241">
        <v>0</v>
      </c>
      <c r="U64" s="241" t="s">
        <v>656</v>
      </c>
      <c r="V64" s="241">
        <v>3</v>
      </c>
      <c r="W64" s="517">
        <v>36892</v>
      </c>
      <c r="X64" s="517">
        <v>36525</v>
      </c>
      <c r="Y64" s="241">
        <v>0</v>
      </c>
      <c r="Z64" s="241">
        <v>1</v>
      </c>
    </row>
    <row r="65" spans="1:26" x14ac:dyDescent="0.25">
      <c r="A65" s="241">
        <v>1406</v>
      </c>
      <c r="B65" s="241" t="s">
        <v>852</v>
      </c>
      <c r="C65" s="241" t="s">
        <v>853</v>
      </c>
      <c r="G65" s="241" t="s">
        <v>650</v>
      </c>
      <c r="H65" s="241" t="s">
        <v>854</v>
      </c>
      <c r="I65" s="241">
        <v>1</v>
      </c>
      <c r="J65" s="241" t="s">
        <v>853</v>
      </c>
      <c r="N65" s="241" t="s">
        <v>650</v>
      </c>
      <c r="O65" s="241" t="s">
        <v>854</v>
      </c>
      <c r="P65" s="241">
        <v>1</v>
      </c>
      <c r="R65" s="241">
        <v>5</v>
      </c>
      <c r="S65" s="241">
        <v>0</v>
      </c>
      <c r="U65" s="241" t="s">
        <v>656</v>
      </c>
      <c r="V65" s="241">
        <v>3</v>
      </c>
      <c r="W65" s="517">
        <v>36892</v>
      </c>
      <c r="X65" s="517">
        <v>36525</v>
      </c>
      <c r="Y65" s="241">
        <v>0</v>
      </c>
      <c r="Z65" s="241">
        <v>1</v>
      </c>
    </row>
    <row r="66" spans="1:26" x14ac:dyDescent="0.25">
      <c r="A66" s="241">
        <v>1227</v>
      </c>
      <c r="B66" s="241" t="s">
        <v>855</v>
      </c>
      <c r="C66" s="241" t="s">
        <v>681</v>
      </c>
      <c r="G66" s="241" t="s">
        <v>682</v>
      </c>
      <c r="H66" s="241" t="s">
        <v>683</v>
      </c>
      <c r="I66" s="241">
        <v>12</v>
      </c>
      <c r="J66" s="241" t="s">
        <v>681</v>
      </c>
      <c r="N66" s="241" t="s">
        <v>682</v>
      </c>
      <c r="O66" s="241" t="s">
        <v>683</v>
      </c>
      <c r="P66" s="241">
        <v>12</v>
      </c>
      <c r="R66" s="241">
        <v>3</v>
      </c>
      <c r="S66" s="241">
        <v>0</v>
      </c>
      <c r="U66" s="241" t="s">
        <v>656</v>
      </c>
      <c r="V66" s="241">
        <v>3</v>
      </c>
      <c r="W66" s="517">
        <v>36892</v>
      </c>
      <c r="X66" s="517">
        <v>36525</v>
      </c>
      <c r="Y66" s="241">
        <v>1</v>
      </c>
      <c r="Z66" s="241">
        <v>1</v>
      </c>
    </row>
    <row r="67" spans="1:26" x14ac:dyDescent="0.25">
      <c r="A67" s="241">
        <v>10402</v>
      </c>
      <c r="B67" s="241" t="s">
        <v>856</v>
      </c>
      <c r="C67" s="241" t="s">
        <v>857</v>
      </c>
      <c r="G67" s="241" t="s">
        <v>650</v>
      </c>
      <c r="H67" s="241" t="s">
        <v>858</v>
      </c>
      <c r="I67" s="241">
        <v>1</v>
      </c>
      <c r="J67" s="241" t="s">
        <v>857</v>
      </c>
      <c r="N67" s="241" t="s">
        <v>650</v>
      </c>
      <c r="O67" s="241" t="s">
        <v>858</v>
      </c>
      <c r="P67" s="241">
        <v>1</v>
      </c>
      <c r="R67" s="241">
        <v>6</v>
      </c>
      <c r="S67" s="241">
        <v>0</v>
      </c>
      <c r="U67" s="241" t="s">
        <v>656</v>
      </c>
      <c r="V67" s="241">
        <v>3</v>
      </c>
      <c r="W67" s="517">
        <v>36892</v>
      </c>
      <c r="X67" s="517">
        <v>36525</v>
      </c>
      <c r="Y67" s="241">
        <v>0</v>
      </c>
      <c r="Z67" s="241">
        <v>1</v>
      </c>
    </row>
    <row r="68" spans="1:26" x14ac:dyDescent="0.25">
      <c r="A68" s="241">
        <v>2495</v>
      </c>
      <c r="B68" s="241" t="s">
        <v>859</v>
      </c>
      <c r="C68" s="241" t="s">
        <v>860</v>
      </c>
      <c r="G68" s="241" t="s">
        <v>650</v>
      </c>
      <c r="H68" s="241" t="s">
        <v>651</v>
      </c>
      <c r="I68" s="241">
        <v>1</v>
      </c>
      <c r="J68" s="241" t="s">
        <v>860</v>
      </c>
      <c r="N68" s="241" t="s">
        <v>650</v>
      </c>
      <c r="O68" s="241" t="s">
        <v>651</v>
      </c>
      <c r="P68" s="241">
        <v>1</v>
      </c>
      <c r="R68" s="241">
        <v>4</v>
      </c>
      <c r="S68" s="241">
        <v>0</v>
      </c>
      <c r="U68" s="241" t="s">
        <v>656</v>
      </c>
      <c r="V68" s="241">
        <v>3</v>
      </c>
      <c r="W68" s="517">
        <v>36892</v>
      </c>
      <c r="X68" s="517">
        <v>36525</v>
      </c>
      <c r="Y68" s="241">
        <v>0</v>
      </c>
      <c r="Z68" s="241">
        <v>1</v>
      </c>
    </row>
    <row r="69" spans="1:26" x14ac:dyDescent="0.25">
      <c r="A69" s="241">
        <v>1452</v>
      </c>
      <c r="B69" s="241" t="s">
        <v>861</v>
      </c>
      <c r="C69" s="241" t="s">
        <v>862</v>
      </c>
      <c r="G69" s="241" t="s">
        <v>650</v>
      </c>
      <c r="H69" s="241" t="s">
        <v>863</v>
      </c>
      <c r="I69" s="241">
        <v>1</v>
      </c>
      <c r="J69" s="241" t="s">
        <v>862</v>
      </c>
      <c r="N69" s="241" t="s">
        <v>650</v>
      </c>
      <c r="O69" s="241" t="s">
        <v>863</v>
      </c>
      <c r="P69" s="241">
        <v>1</v>
      </c>
      <c r="R69" s="241">
        <v>3</v>
      </c>
      <c r="S69" s="241">
        <v>0</v>
      </c>
      <c r="U69" s="241" t="s">
        <v>656</v>
      </c>
      <c r="V69" s="241">
        <v>3</v>
      </c>
      <c r="W69" s="517">
        <v>36892</v>
      </c>
      <c r="X69" s="517">
        <v>36525</v>
      </c>
      <c r="Y69" s="241">
        <v>0</v>
      </c>
      <c r="Z69" s="241">
        <v>1</v>
      </c>
    </row>
    <row r="70" spans="1:26" x14ac:dyDescent="0.25">
      <c r="A70" s="241">
        <v>2300</v>
      </c>
      <c r="B70" s="241" t="s">
        <v>864</v>
      </c>
      <c r="C70" s="241" t="s">
        <v>865</v>
      </c>
      <c r="G70" s="241" t="s">
        <v>866</v>
      </c>
      <c r="H70" s="241" t="s">
        <v>867</v>
      </c>
      <c r="I70" s="241">
        <v>12</v>
      </c>
      <c r="J70" s="241" t="s">
        <v>865</v>
      </c>
      <c r="N70" s="241" t="s">
        <v>866</v>
      </c>
      <c r="O70" s="241" t="s">
        <v>867</v>
      </c>
      <c r="P70" s="241">
        <v>12</v>
      </c>
      <c r="R70" s="241">
        <v>1</v>
      </c>
      <c r="S70" s="241">
        <v>148354</v>
      </c>
      <c r="T70" s="241" t="s">
        <v>868</v>
      </c>
      <c r="U70" s="241" t="s">
        <v>656</v>
      </c>
      <c r="V70" s="241">
        <v>1</v>
      </c>
      <c r="W70" s="517">
        <v>36892</v>
      </c>
      <c r="X70" s="517">
        <v>36525</v>
      </c>
      <c r="Y70" s="241">
        <v>0</v>
      </c>
      <c r="Z70" s="241">
        <v>1</v>
      </c>
    </row>
    <row r="71" spans="1:26" x14ac:dyDescent="0.25">
      <c r="A71" s="241">
        <v>1765</v>
      </c>
      <c r="B71" s="241" t="s">
        <v>869</v>
      </c>
      <c r="C71" s="241" t="s">
        <v>870</v>
      </c>
      <c r="G71" s="241" t="s">
        <v>650</v>
      </c>
      <c r="H71" s="241" t="s">
        <v>871</v>
      </c>
      <c r="I71" s="241">
        <v>1</v>
      </c>
      <c r="J71" s="241" t="s">
        <v>870</v>
      </c>
      <c r="N71" s="241" t="s">
        <v>650</v>
      </c>
      <c r="O71" s="241" t="s">
        <v>871</v>
      </c>
      <c r="P71" s="241">
        <v>1</v>
      </c>
      <c r="R71" s="241">
        <v>7</v>
      </c>
      <c r="S71" s="241">
        <v>0</v>
      </c>
      <c r="U71" s="241" t="s">
        <v>656</v>
      </c>
      <c r="V71" s="241">
        <v>3</v>
      </c>
      <c r="W71" s="517">
        <v>36892</v>
      </c>
      <c r="X71" s="517">
        <v>36525</v>
      </c>
      <c r="Y71" s="241">
        <v>0</v>
      </c>
      <c r="Z71" s="241">
        <v>1</v>
      </c>
    </row>
    <row r="72" spans="1:26" x14ac:dyDescent="0.25">
      <c r="A72" s="241">
        <v>1506</v>
      </c>
      <c r="B72" s="241" t="s">
        <v>872</v>
      </c>
      <c r="C72" s="241" t="s">
        <v>873</v>
      </c>
      <c r="G72" s="241" t="s">
        <v>650</v>
      </c>
      <c r="H72" s="241" t="s">
        <v>874</v>
      </c>
      <c r="I72" s="241">
        <v>1</v>
      </c>
      <c r="J72" s="241" t="s">
        <v>873</v>
      </c>
      <c r="N72" s="241" t="s">
        <v>650</v>
      </c>
      <c r="O72" s="241" t="s">
        <v>874</v>
      </c>
      <c r="P72" s="241">
        <v>1</v>
      </c>
      <c r="R72" s="241">
        <v>6</v>
      </c>
      <c r="S72" s="241">
        <v>0</v>
      </c>
      <c r="U72" s="241" t="s">
        <v>656</v>
      </c>
      <c r="V72" s="241">
        <v>3</v>
      </c>
      <c r="W72" s="517">
        <v>36892</v>
      </c>
      <c r="X72" s="517">
        <v>36525</v>
      </c>
      <c r="Y72" s="241">
        <v>0</v>
      </c>
      <c r="Z72" s="241">
        <v>1</v>
      </c>
    </row>
    <row r="73" spans="1:26" x14ac:dyDescent="0.25">
      <c r="A73" s="241">
        <v>10283</v>
      </c>
      <c r="B73" s="241" t="s">
        <v>875</v>
      </c>
      <c r="C73" s="241" t="s">
        <v>876</v>
      </c>
      <c r="G73" s="241" t="s">
        <v>650</v>
      </c>
      <c r="H73" s="241" t="s">
        <v>877</v>
      </c>
      <c r="I73" s="241">
        <v>1</v>
      </c>
      <c r="J73" s="241" t="s">
        <v>876</v>
      </c>
      <c r="N73" s="241" t="s">
        <v>650</v>
      </c>
      <c r="O73" s="241" t="s">
        <v>877</v>
      </c>
      <c r="P73" s="241">
        <v>1</v>
      </c>
      <c r="R73" s="241">
        <v>5</v>
      </c>
      <c r="S73" s="241">
        <v>0</v>
      </c>
      <c r="U73" s="241" t="s">
        <v>656</v>
      </c>
      <c r="V73" s="241">
        <v>3</v>
      </c>
      <c r="W73" s="517">
        <v>36892</v>
      </c>
      <c r="X73" s="517">
        <v>36525</v>
      </c>
      <c r="Y73" s="241">
        <v>1</v>
      </c>
      <c r="Z73" s="241">
        <v>1</v>
      </c>
    </row>
    <row r="74" spans="1:26" x14ac:dyDescent="0.25">
      <c r="A74" s="241">
        <v>1513</v>
      </c>
      <c r="B74" s="241" t="s">
        <v>878</v>
      </c>
      <c r="C74" s="241" t="s">
        <v>879</v>
      </c>
      <c r="G74" s="241" t="s">
        <v>650</v>
      </c>
      <c r="H74" s="241" t="s">
        <v>880</v>
      </c>
      <c r="I74" s="241">
        <v>1</v>
      </c>
      <c r="J74" s="241" t="s">
        <v>879</v>
      </c>
      <c r="N74" s="241" t="s">
        <v>650</v>
      </c>
      <c r="O74" s="241" t="s">
        <v>880</v>
      </c>
      <c r="P74" s="241">
        <v>1</v>
      </c>
      <c r="R74" s="241">
        <v>5</v>
      </c>
      <c r="S74" s="241">
        <v>0</v>
      </c>
      <c r="U74" s="241" t="s">
        <v>656</v>
      </c>
      <c r="V74" s="241">
        <v>3</v>
      </c>
      <c r="W74" s="517">
        <v>36892</v>
      </c>
      <c r="X74" s="517">
        <v>36525</v>
      </c>
      <c r="Y74" s="241">
        <v>0</v>
      </c>
      <c r="Z74" s="241">
        <v>1</v>
      </c>
    </row>
    <row r="75" spans="1:26" x14ac:dyDescent="0.25">
      <c r="A75" s="241">
        <v>10377</v>
      </c>
      <c r="B75" s="241" t="s">
        <v>881</v>
      </c>
      <c r="C75" s="241" t="s">
        <v>882</v>
      </c>
      <c r="G75" s="241" t="s">
        <v>650</v>
      </c>
      <c r="H75" s="241" t="s">
        <v>651</v>
      </c>
      <c r="I75" s="241">
        <v>1</v>
      </c>
      <c r="J75" s="241" t="s">
        <v>882</v>
      </c>
      <c r="N75" s="241" t="s">
        <v>650</v>
      </c>
      <c r="O75" s="241" t="s">
        <v>651</v>
      </c>
      <c r="P75" s="241">
        <v>1</v>
      </c>
      <c r="R75" s="241">
        <v>2</v>
      </c>
      <c r="S75" s="241">
        <v>0</v>
      </c>
      <c r="U75" s="241" t="s">
        <v>656</v>
      </c>
      <c r="V75" s="241">
        <v>3</v>
      </c>
      <c r="W75" s="517">
        <v>36892</v>
      </c>
      <c r="X75" s="517">
        <v>36525</v>
      </c>
      <c r="Y75" s="241">
        <v>1</v>
      </c>
      <c r="Z75" s="241">
        <v>1</v>
      </c>
    </row>
    <row r="76" spans="1:26" x14ac:dyDescent="0.25">
      <c r="A76" s="241">
        <v>30228</v>
      </c>
      <c r="B76" s="241" t="s">
        <v>883</v>
      </c>
      <c r="C76" s="241" t="s">
        <v>884</v>
      </c>
      <c r="G76" s="241" t="s">
        <v>650</v>
      </c>
      <c r="H76" s="241" t="s">
        <v>885</v>
      </c>
      <c r="I76" s="241">
        <v>1</v>
      </c>
      <c r="J76" s="241" t="s">
        <v>884</v>
      </c>
      <c r="N76" s="241" t="s">
        <v>650</v>
      </c>
      <c r="O76" s="241" t="s">
        <v>885</v>
      </c>
      <c r="P76" s="241">
        <v>1</v>
      </c>
      <c r="R76" s="241">
        <v>2</v>
      </c>
      <c r="S76" s="241">
        <v>0</v>
      </c>
      <c r="U76" s="241" t="s">
        <v>886</v>
      </c>
      <c r="V76" s="241">
        <v>3</v>
      </c>
      <c r="W76" s="517">
        <v>36892</v>
      </c>
      <c r="X76" s="517">
        <v>36525</v>
      </c>
      <c r="Y76" s="241">
        <v>0</v>
      </c>
      <c r="Z76" s="241">
        <v>1</v>
      </c>
    </row>
    <row r="77" spans="1:26" x14ac:dyDescent="0.25">
      <c r="A77" s="241">
        <v>1696</v>
      </c>
      <c r="B77" s="241" t="s">
        <v>887</v>
      </c>
      <c r="C77" s="241" t="s">
        <v>888</v>
      </c>
      <c r="G77" s="241" t="s">
        <v>650</v>
      </c>
      <c r="H77" s="241" t="s">
        <v>889</v>
      </c>
      <c r="I77" s="241">
        <v>1</v>
      </c>
      <c r="J77" s="241" t="s">
        <v>888</v>
      </c>
      <c r="N77" s="241" t="s">
        <v>650</v>
      </c>
      <c r="O77" s="241" t="s">
        <v>889</v>
      </c>
      <c r="P77" s="241">
        <v>1</v>
      </c>
      <c r="R77" s="241">
        <v>4</v>
      </c>
      <c r="S77" s="241">
        <v>0</v>
      </c>
      <c r="U77" s="241" t="s">
        <v>656</v>
      </c>
      <c r="V77" s="241">
        <v>3</v>
      </c>
      <c r="W77" s="517">
        <v>36892</v>
      </c>
      <c r="X77" s="517">
        <v>36525</v>
      </c>
      <c r="Y77" s="241">
        <v>0</v>
      </c>
      <c r="Z77" s="241">
        <v>1</v>
      </c>
    </row>
    <row r="78" spans="1:26" x14ac:dyDescent="0.25">
      <c r="A78" s="241">
        <v>10554</v>
      </c>
      <c r="B78" s="241" t="s">
        <v>890</v>
      </c>
      <c r="C78" s="241" t="s">
        <v>891</v>
      </c>
      <c r="G78" s="241" t="s">
        <v>650</v>
      </c>
      <c r="H78" s="241" t="s">
        <v>810</v>
      </c>
      <c r="I78" s="241">
        <v>1</v>
      </c>
      <c r="J78" s="241" t="s">
        <v>891</v>
      </c>
      <c r="N78" s="241" t="s">
        <v>650</v>
      </c>
      <c r="O78" s="241" t="s">
        <v>810</v>
      </c>
      <c r="P78" s="241">
        <v>1</v>
      </c>
      <c r="R78" s="241">
        <v>3</v>
      </c>
      <c r="S78" s="241">
        <v>0</v>
      </c>
      <c r="U78" s="241" t="s">
        <v>656</v>
      </c>
      <c r="V78" s="241">
        <v>3</v>
      </c>
      <c r="W78" s="517">
        <v>36892</v>
      </c>
      <c r="X78" s="517">
        <v>36525</v>
      </c>
      <c r="Y78" s="241">
        <v>0</v>
      </c>
      <c r="Z78" s="241">
        <v>1</v>
      </c>
    </row>
    <row r="79" spans="1:26" x14ac:dyDescent="0.25">
      <c r="A79" s="241">
        <v>1586</v>
      </c>
      <c r="B79" s="241" t="s">
        <v>892</v>
      </c>
      <c r="C79" s="241" t="s">
        <v>893</v>
      </c>
      <c r="G79" s="241" t="s">
        <v>682</v>
      </c>
      <c r="H79" s="241" t="s">
        <v>894</v>
      </c>
      <c r="I79" s="241">
        <v>12</v>
      </c>
      <c r="J79" s="241" t="s">
        <v>893</v>
      </c>
      <c r="N79" s="241" t="s">
        <v>682</v>
      </c>
      <c r="O79" s="241" t="s">
        <v>894</v>
      </c>
      <c r="P79" s="241">
        <v>12</v>
      </c>
      <c r="Q79" s="241">
        <v>1285</v>
      </c>
      <c r="R79" s="241">
        <v>2</v>
      </c>
      <c r="S79" s="241">
        <v>0</v>
      </c>
      <c r="U79" s="241" t="s">
        <v>656</v>
      </c>
      <c r="V79" s="241">
        <v>3</v>
      </c>
      <c r="W79" s="517">
        <v>36892</v>
      </c>
      <c r="X79" s="517">
        <v>36525</v>
      </c>
      <c r="Y79" s="241">
        <v>0</v>
      </c>
      <c r="Z79" s="241">
        <v>1</v>
      </c>
    </row>
    <row r="80" spans="1:26" x14ac:dyDescent="0.25">
      <c r="A80" s="241">
        <v>10397</v>
      </c>
      <c r="B80" s="241" t="s">
        <v>895</v>
      </c>
      <c r="C80" s="241" t="s">
        <v>896</v>
      </c>
      <c r="G80" s="241" t="s">
        <v>897</v>
      </c>
      <c r="H80" s="241" t="s">
        <v>898</v>
      </c>
      <c r="I80" s="241">
        <v>12</v>
      </c>
      <c r="J80" s="241" t="s">
        <v>896</v>
      </c>
      <c r="N80" s="241" t="s">
        <v>897</v>
      </c>
      <c r="O80" s="241" t="s">
        <v>898</v>
      </c>
      <c r="P80" s="241">
        <v>12</v>
      </c>
      <c r="R80" s="241">
        <v>2</v>
      </c>
      <c r="S80" s="241">
        <v>0</v>
      </c>
      <c r="U80" s="241" t="s">
        <v>656</v>
      </c>
      <c r="V80" s="241">
        <v>3</v>
      </c>
      <c r="W80" s="517">
        <v>36892</v>
      </c>
      <c r="X80" s="517">
        <v>36525</v>
      </c>
      <c r="Y80" s="241">
        <v>1</v>
      </c>
      <c r="Z80" s="241">
        <v>1</v>
      </c>
    </row>
    <row r="81" spans="1:26" x14ac:dyDescent="0.25">
      <c r="A81" s="241">
        <v>10403</v>
      </c>
      <c r="B81" s="241" t="s">
        <v>899</v>
      </c>
      <c r="C81" s="241" t="s">
        <v>900</v>
      </c>
      <c r="G81" s="241" t="s">
        <v>650</v>
      </c>
      <c r="H81" s="241" t="s">
        <v>901</v>
      </c>
      <c r="I81" s="241">
        <v>1</v>
      </c>
      <c r="J81" s="241" t="s">
        <v>900</v>
      </c>
      <c r="N81" s="241" t="s">
        <v>650</v>
      </c>
      <c r="O81" s="241" t="s">
        <v>901</v>
      </c>
      <c r="P81" s="241">
        <v>1</v>
      </c>
      <c r="R81" s="241">
        <v>6</v>
      </c>
      <c r="S81" s="241">
        <v>0</v>
      </c>
      <c r="U81" s="241" t="s">
        <v>656</v>
      </c>
      <c r="V81" s="241">
        <v>3</v>
      </c>
      <c r="W81" s="517">
        <v>36892</v>
      </c>
      <c r="X81" s="517">
        <v>36525</v>
      </c>
      <c r="Y81" s="241">
        <v>0</v>
      </c>
      <c r="Z81" s="241">
        <v>1</v>
      </c>
    </row>
    <row r="82" spans="1:26" x14ac:dyDescent="0.25">
      <c r="A82" s="241">
        <v>10502</v>
      </c>
      <c r="B82" s="241" t="s">
        <v>902</v>
      </c>
      <c r="C82" s="241" t="s">
        <v>903</v>
      </c>
      <c r="G82" s="241" t="s">
        <v>650</v>
      </c>
      <c r="H82" s="241" t="s">
        <v>904</v>
      </c>
      <c r="I82" s="241">
        <v>1</v>
      </c>
      <c r="J82" s="241" t="s">
        <v>903</v>
      </c>
      <c r="N82" s="241" t="s">
        <v>650</v>
      </c>
      <c r="O82" s="241" t="s">
        <v>904</v>
      </c>
      <c r="P82" s="241">
        <v>1</v>
      </c>
      <c r="R82" s="241">
        <v>2</v>
      </c>
      <c r="S82" s="241">
        <v>0</v>
      </c>
      <c r="U82" s="241" t="s">
        <v>656</v>
      </c>
      <c r="V82" s="241">
        <v>3</v>
      </c>
      <c r="W82" s="517">
        <v>36892</v>
      </c>
      <c r="X82" s="517">
        <v>36525</v>
      </c>
      <c r="Y82" s="241">
        <v>1</v>
      </c>
      <c r="Z82" s="241">
        <v>1</v>
      </c>
    </row>
    <row r="83" spans="1:26" x14ac:dyDescent="0.25">
      <c r="A83" s="241">
        <v>1499</v>
      </c>
      <c r="B83" s="241" t="s">
        <v>905</v>
      </c>
      <c r="C83" s="241" t="s">
        <v>906</v>
      </c>
      <c r="G83" s="241" t="s">
        <v>650</v>
      </c>
      <c r="H83" s="241" t="s">
        <v>907</v>
      </c>
      <c r="I83" s="241">
        <v>1</v>
      </c>
      <c r="J83" s="241" t="s">
        <v>906</v>
      </c>
      <c r="N83" s="241" t="s">
        <v>650</v>
      </c>
      <c r="O83" s="241" t="s">
        <v>907</v>
      </c>
      <c r="P83" s="241">
        <v>1</v>
      </c>
      <c r="R83" s="241">
        <v>7</v>
      </c>
      <c r="S83" s="241">
        <v>0</v>
      </c>
      <c r="U83" s="241" t="s">
        <v>656</v>
      </c>
      <c r="V83" s="241">
        <v>3</v>
      </c>
      <c r="W83" s="517">
        <v>36892</v>
      </c>
      <c r="X83" s="517">
        <v>36525</v>
      </c>
      <c r="Y83" s="241">
        <v>0</v>
      </c>
      <c r="Z83" s="241">
        <v>1</v>
      </c>
    </row>
    <row r="84" spans="1:26" x14ac:dyDescent="0.25">
      <c r="A84" s="241">
        <v>2054</v>
      </c>
      <c r="B84" s="241" t="s">
        <v>908</v>
      </c>
      <c r="C84" s="241" t="s">
        <v>909</v>
      </c>
      <c r="G84" s="241" t="s">
        <v>650</v>
      </c>
      <c r="H84" s="241" t="s">
        <v>907</v>
      </c>
      <c r="I84" s="241">
        <v>1</v>
      </c>
      <c r="J84" s="241" t="s">
        <v>909</v>
      </c>
      <c r="N84" s="241" t="s">
        <v>650</v>
      </c>
      <c r="O84" s="241" t="s">
        <v>907</v>
      </c>
      <c r="P84" s="241">
        <v>1</v>
      </c>
      <c r="R84" s="241">
        <v>8</v>
      </c>
      <c r="S84" s="241">
        <v>0</v>
      </c>
      <c r="U84" s="241" t="s">
        <v>656</v>
      </c>
      <c r="V84" s="241">
        <v>3</v>
      </c>
      <c r="W84" s="517">
        <v>36892</v>
      </c>
      <c r="X84" s="517">
        <v>36525</v>
      </c>
      <c r="Y84" s="241">
        <v>0</v>
      </c>
      <c r="Z84" s="241">
        <v>1</v>
      </c>
    </row>
    <row r="85" spans="1:26" x14ac:dyDescent="0.25">
      <c r="A85" s="241">
        <v>1053</v>
      </c>
      <c r="B85" s="241" t="s">
        <v>910</v>
      </c>
      <c r="C85" s="241" t="s">
        <v>911</v>
      </c>
      <c r="G85" s="241" t="s">
        <v>650</v>
      </c>
      <c r="H85" s="241" t="s">
        <v>912</v>
      </c>
      <c r="I85" s="241">
        <v>1</v>
      </c>
      <c r="J85" s="241" t="s">
        <v>911</v>
      </c>
      <c r="N85" s="241" t="s">
        <v>650</v>
      </c>
      <c r="O85" s="241" t="s">
        <v>912</v>
      </c>
      <c r="P85" s="241">
        <v>1</v>
      </c>
      <c r="R85" s="241">
        <v>0</v>
      </c>
      <c r="S85" s="241">
        <v>0</v>
      </c>
      <c r="U85" s="241" t="s">
        <v>656</v>
      </c>
      <c r="V85" s="241">
        <v>0</v>
      </c>
      <c r="W85" s="517">
        <v>36892</v>
      </c>
      <c r="X85" s="517">
        <v>36525</v>
      </c>
      <c r="Y85" s="241">
        <v>0</v>
      </c>
      <c r="Z85" s="241">
        <v>1</v>
      </c>
    </row>
    <row r="86" spans="1:26" x14ac:dyDescent="0.25">
      <c r="A86" s="241">
        <v>4424</v>
      </c>
      <c r="B86" s="241" t="s">
        <v>913</v>
      </c>
      <c r="C86" s="241" t="s">
        <v>914</v>
      </c>
      <c r="G86" s="241" t="s">
        <v>650</v>
      </c>
      <c r="H86" s="241" t="s">
        <v>834</v>
      </c>
      <c r="I86" s="241">
        <v>1</v>
      </c>
      <c r="J86" s="241" t="s">
        <v>914</v>
      </c>
      <c r="N86" s="241" t="s">
        <v>650</v>
      </c>
      <c r="O86" s="241" t="s">
        <v>834</v>
      </c>
      <c r="P86" s="241">
        <v>1</v>
      </c>
      <c r="R86" s="241">
        <v>6</v>
      </c>
      <c r="S86" s="241">
        <v>0</v>
      </c>
      <c r="U86" s="241" t="s">
        <v>656</v>
      </c>
      <c r="V86" s="241">
        <v>3</v>
      </c>
      <c r="W86" s="517">
        <v>36892</v>
      </c>
      <c r="X86" s="517">
        <v>36525</v>
      </c>
      <c r="Y86" s="241">
        <v>0</v>
      </c>
      <c r="Z86" s="241">
        <v>1</v>
      </c>
    </row>
    <row r="87" spans="1:26" x14ac:dyDescent="0.25">
      <c r="A87" s="241">
        <v>30089</v>
      </c>
      <c r="B87" s="241" t="s">
        <v>915</v>
      </c>
      <c r="I87" s="241">
        <v>1</v>
      </c>
      <c r="P87" s="241">
        <v>1</v>
      </c>
      <c r="R87" s="241">
        <v>1</v>
      </c>
      <c r="S87" s="241">
        <v>29747</v>
      </c>
      <c r="T87" s="241" t="s">
        <v>666</v>
      </c>
      <c r="U87" s="241" t="s">
        <v>916</v>
      </c>
      <c r="V87" s="241">
        <v>3</v>
      </c>
      <c r="W87" s="517">
        <v>36892</v>
      </c>
      <c r="X87" s="517">
        <v>36525</v>
      </c>
      <c r="Y87" s="241">
        <v>0</v>
      </c>
      <c r="Z87" s="241">
        <v>1</v>
      </c>
    </row>
    <row r="88" spans="1:26" x14ac:dyDescent="0.25">
      <c r="A88" s="241">
        <v>1493</v>
      </c>
      <c r="B88" s="241" t="s">
        <v>917</v>
      </c>
      <c r="C88" s="241" t="s">
        <v>918</v>
      </c>
      <c r="G88" s="241" t="s">
        <v>650</v>
      </c>
      <c r="H88" s="241" t="s">
        <v>919</v>
      </c>
      <c r="I88" s="241">
        <v>1</v>
      </c>
      <c r="J88" s="241" t="s">
        <v>918</v>
      </c>
      <c r="N88" s="241" t="s">
        <v>650</v>
      </c>
      <c r="O88" s="241" t="s">
        <v>919</v>
      </c>
      <c r="P88" s="241">
        <v>1</v>
      </c>
      <c r="R88" s="241">
        <v>8</v>
      </c>
      <c r="S88" s="241">
        <v>0</v>
      </c>
      <c r="U88" s="241" t="s">
        <v>656</v>
      </c>
      <c r="V88" s="241">
        <v>3</v>
      </c>
      <c r="W88" s="517">
        <v>36892</v>
      </c>
      <c r="X88" s="517">
        <v>36525</v>
      </c>
      <c r="Y88" s="241">
        <v>0</v>
      </c>
      <c r="Z88" s="241">
        <v>1</v>
      </c>
    </row>
    <row r="89" spans="1:26" x14ac:dyDescent="0.25">
      <c r="A89" s="241">
        <v>30216</v>
      </c>
      <c r="B89" s="241" t="s">
        <v>920</v>
      </c>
      <c r="R89" s="241">
        <v>2</v>
      </c>
      <c r="S89" s="241">
        <v>29747</v>
      </c>
      <c r="T89" s="241" t="s">
        <v>666</v>
      </c>
      <c r="U89" s="241" t="s">
        <v>921</v>
      </c>
      <c r="V89" s="241">
        <v>3</v>
      </c>
      <c r="W89" s="517">
        <v>36892</v>
      </c>
      <c r="X89" s="517">
        <v>36525</v>
      </c>
      <c r="Y89" s="241">
        <v>0</v>
      </c>
      <c r="Z89" s="241">
        <v>1</v>
      </c>
    </row>
    <row r="90" spans="1:26" x14ac:dyDescent="0.25">
      <c r="A90" s="241">
        <v>1583</v>
      </c>
      <c r="B90" s="241" t="s">
        <v>922</v>
      </c>
      <c r="C90" s="241" t="s">
        <v>923</v>
      </c>
      <c r="D90" s="241" t="s">
        <v>924</v>
      </c>
      <c r="G90" s="241" t="s">
        <v>925</v>
      </c>
      <c r="H90" s="241" t="s">
        <v>926</v>
      </c>
      <c r="I90" s="241">
        <v>1</v>
      </c>
      <c r="J90" s="241" t="s">
        <v>923</v>
      </c>
      <c r="K90" s="241" t="s">
        <v>924</v>
      </c>
      <c r="N90" s="241" t="s">
        <v>925</v>
      </c>
      <c r="O90" s="241" t="s">
        <v>926</v>
      </c>
      <c r="P90" s="241">
        <v>1</v>
      </c>
      <c r="R90" s="241">
        <v>0</v>
      </c>
      <c r="S90" s="241">
        <v>0</v>
      </c>
      <c r="U90" s="241" t="s">
        <v>656</v>
      </c>
      <c r="V90" s="241">
        <v>0</v>
      </c>
      <c r="W90" s="517">
        <v>36892</v>
      </c>
      <c r="X90" s="517">
        <v>36525</v>
      </c>
      <c r="Y90" s="241">
        <v>0</v>
      </c>
      <c r="Z90" s="241">
        <v>1</v>
      </c>
    </row>
    <row r="91" spans="1:26" x14ac:dyDescent="0.25">
      <c r="A91" s="241">
        <v>30224</v>
      </c>
      <c r="B91" s="241" t="s">
        <v>922</v>
      </c>
      <c r="R91" s="241">
        <v>2</v>
      </c>
      <c r="S91" s="241">
        <v>0</v>
      </c>
      <c r="U91" s="241" t="s">
        <v>927</v>
      </c>
      <c r="V91" s="241">
        <v>3</v>
      </c>
      <c r="W91" s="517">
        <v>36892</v>
      </c>
      <c r="X91" s="517">
        <v>36525</v>
      </c>
      <c r="Y91" s="241">
        <v>0</v>
      </c>
      <c r="Z91" s="241">
        <v>1</v>
      </c>
    </row>
    <row r="92" spans="1:26" x14ac:dyDescent="0.25">
      <c r="A92" s="241">
        <v>1758</v>
      </c>
      <c r="B92" s="241" t="s">
        <v>928</v>
      </c>
      <c r="C92" s="241" t="s">
        <v>929</v>
      </c>
      <c r="G92" s="241" t="s">
        <v>650</v>
      </c>
      <c r="H92" s="241" t="s">
        <v>930</v>
      </c>
      <c r="I92" s="241">
        <v>1</v>
      </c>
      <c r="J92" s="241" t="s">
        <v>929</v>
      </c>
      <c r="N92" s="241" t="s">
        <v>650</v>
      </c>
      <c r="O92" s="241" t="s">
        <v>930</v>
      </c>
      <c r="P92" s="241">
        <v>1</v>
      </c>
      <c r="R92" s="241">
        <v>4</v>
      </c>
      <c r="S92" s="241">
        <v>0</v>
      </c>
      <c r="U92" s="241" t="s">
        <v>656</v>
      </c>
      <c r="V92" s="241">
        <v>3</v>
      </c>
      <c r="W92" s="517">
        <v>36892</v>
      </c>
      <c r="X92" s="517">
        <v>36525</v>
      </c>
      <c r="Y92" s="241">
        <v>0</v>
      </c>
      <c r="Z92" s="241">
        <v>1</v>
      </c>
    </row>
    <row r="93" spans="1:26" x14ac:dyDescent="0.25">
      <c r="A93" s="241">
        <v>1461</v>
      </c>
      <c r="B93" s="241" t="s">
        <v>931</v>
      </c>
      <c r="C93" s="241" t="s">
        <v>932</v>
      </c>
      <c r="G93" s="241" t="s">
        <v>650</v>
      </c>
      <c r="H93" s="241" t="s">
        <v>871</v>
      </c>
      <c r="I93" s="241">
        <v>1</v>
      </c>
      <c r="J93" s="241" t="s">
        <v>932</v>
      </c>
      <c r="N93" s="241" t="s">
        <v>650</v>
      </c>
      <c r="O93" s="241" t="s">
        <v>871</v>
      </c>
      <c r="P93" s="241">
        <v>1</v>
      </c>
      <c r="R93" s="241">
        <v>5</v>
      </c>
      <c r="S93" s="241">
        <v>0</v>
      </c>
      <c r="U93" s="241" t="s">
        <v>656</v>
      </c>
      <c r="V93" s="241">
        <v>3</v>
      </c>
      <c r="W93" s="517">
        <v>36892</v>
      </c>
      <c r="X93" s="517">
        <v>36525</v>
      </c>
      <c r="Y93" s="241">
        <v>0</v>
      </c>
      <c r="Z93" s="241">
        <v>1</v>
      </c>
    </row>
    <row r="94" spans="1:26" x14ac:dyDescent="0.25">
      <c r="A94" s="241">
        <v>1639</v>
      </c>
      <c r="B94" s="241" t="s">
        <v>933</v>
      </c>
      <c r="C94" s="241" t="s">
        <v>934</v>
      </c>
      <c r="G94" s="241" t="s">
        <v>650</v>
      </c>
      <c r="H94" s="241" t="s">
        <v>935</v>
      </c>
      <c r="I94" s="241">
        <v>1</v>
      </c>
      <c r="J94" s="241" t="s">
        <v>934</v>
      </c>
      <c r="N94" s="241" t="s">
        <v>650</v>
      </c>
      <c r="O94" s="241" t="s">
        <v>935</v>
      </c>
      <c r="P94" s="241">
        <v>1</v>
      </c>
      <c r="R94" s="241">
        <v>5</v>
      </c>
      <c r="S94" s="241">
        <v>0</v>
      </c>
      <c r="U94" s="241" t="s">
        <v>656</v>
      </c>
      <c r="V94" s="241">
        <v>3</v>
      </c>
      <c r="W94" s="517">
        <v>36892</v>
      </c>
      <c r="X94" s="517">
        <v>36525</v>
      </c>
      <c r="Y94" s="241">
        <v>1</v>
      </c>
      <c r="Z94" s="241">
        <v>1</v>
      </c>
    </row>
    <row r="95" spans="1:26" x14ac:dyDescent="0.25">
      <c r="A95" s="241">
        <v>1537</v>
      </c>
      <c r="B95" s="241" t="s">
        <v>936</v>
      </c>
      <c r="C95" s="241" t="s">
        <v>937</v>
      </c>
      <c r="G95" s="241" t="s">
        <v>650</v>
      </c>
      <c r="H95" s="241" t="s">
        <v>938</v>
      </c>
      <c r="I95" s="241">
        <v>1</v>
      </c>
      <c r="J95" s="241" t="s">
        <v>937</v>
      </c>
      <c r="N95" s="241" t="s">
        <v>650</v>
      </c>
      <c r="O95" s="241" t="s">
        <v>938</v>
      </c>
      <c r="P95" s="241">
        <v>1</v>
      </c>
      <c r="R95" s="241">
        <v>5</v>
      </c>
      <c r="S95" s="241">
        <v>0</v>
      </c>
      <c r="U95" s="241" t="s">
        <v>656</v>
      </c>
      <c r="V95" s="241">
        <v>3</v>
      </c>
      <c r="W95" s="517">
        <v>36892</v>
      </c>
      <c r="X95" s="517">
        <v>36525</v>
      </c>
      <c r="Y95" s="241">
        <v>0</v>
      </c>
      <c r="Z95" s="241">
        <v>1</v>
      </c>
    </row>
    <row r="96" spans="1:26" x14ac:dyDescent="0.25">
      <c r="A96" s="241">
        <v>1494</v>
      </c>
      <c r="B96" s="241" t="s">
        <v>939</v>
      </c>
      <c r="C96" s="241" t="s">
        <v>940</v>
      </c>
      <c r="G96" s="241" t="s">
        <v>650</v>
      </c>
      <c r="H96" s="241" t="s">
        <v>766</v>
      </c>
      <c r="I96" s="241">
        <v>1</v>
      </c>
      <c r="J96" s="241" t="s">
        <v>940</v>
      </c>
      <c r="N96" s="241" t="s">
        <v>650</v>
      </c>
      <c r="O96" s="241" t="s">
        <v>766</v>
      </c>
      <c r="P96" s="241">
        <v>1</v>
      </c>
      <c r="R96" s="241">
        <v>9</v>
      </c>
      <c r="S96" s="241">
        <v>0</v>
      </c>
      <c r="U96" s="241" t="s">
        <v>656</v>
      </c>
      <c r="V96" s="241">
        <v>3</v>
      </c>
      <c r="W96" s="517">
        <v>36892</v>
      </c>
      <c r="X96" s="517">
        <v>36525</v>
      </c>
      <c r="Y96" s="241">
        <v>1</v>
      </c>
      <c r="Z96" s="241">
        <v>1</v>
      </c>
    </row>
    <row r="97" spans="1:26" x14ac:dyDescent="0.25">
      <c r="A97" s="241">
        <v>1541</v>
      </c>
      <c r="B97" s="241" t="s">
        <v>941</v>
      </c>
      <c r="C97" s="241" t="s">
        <v>942</v>
      </c>
      <c r="G97" s="241" t="s">
        <v>897</v>
      </c>
      <c r="H97" s="241" t="s">
        <v>943</v>
      </c>
      <c r="I97" s="241">
        <v>12</v>
      </c>
      <c r="J97" s="241" t="s">
        <v>942</v>
      </c>
      <c r="N97" s="241" t="s">
        <v>897</v>
      </c>
      <c r="O97" s="241" t="s">
        <v>943</v>
      </c>
      <c r="P97" s="241">
        <v>12</v>
      </c>
      <c r="R97" s="241">
        <v>2</v>
      </c>
      <c r="S97" s="241">
        <v>0</v>
      </c>
      <c r="U97" s="241" t="s">
        <v>656</v>
      </c>
      <c r="V97" s="241">
        <v>3</v>
      </c>
      <c r="W97" s="517">
        <v>36892</v>
      </c>
      <c r="X97" s="517">
        <v>36525</v>
      </c>
      <c r="Y97" s="241">
        <v>1</v>
      </c>
      <c r="Z97" s="241">
        <v>1</v>
      </c>
    </row>
    <row r="98" spans="1:26" x14ac:dyDescent="0.25">
      <c r="A98" s="241">
        <v>10262</v>
      </c>
      <c r="B98" s="241" t="s">
        <v>944</v>
      </c>
      <c r="C98" s="241" t="s">
        <v>945</v>
      </c>
      <c r="G98" s="241" t="s">
        <v>946</v>
      </c>
      <c r="H98" s="241" t="s">
        <v>947</v>
      </c>
      <c r="I98" s="241">
        <v>1</v>
      </c>
      <c r="J98" s="241" t="s">
        <v>945</v>
      </c>
      <c r="N98" s="241" t="s">
        <v>946</v>
      </c>
      <c r="O98" s="241" t="s">
        <v>947</v>
      </c>
      <c r="P98" s="241">
        <v>1</v>
      </c>
      <c r="R98" s="241">
        <v>4</v>
      </c>
      <c r="S98" s="241">
        <v>0</v>
      </c>
      <c r="U98" s="241" t="s">
        <v>656</v>
      </c>
      <c r="V98" s="241">
        <v>3</v>
      </c>
      <c r="W98" s="517">
        <v>36892</v>
      </c>
      <c r="X98" s="517">
        <v>36525</v>
      </c>
      <c r="Y98" s="241">
        <v>1</v>
      </c>
      <c r="Z98" s="241">
        <v>1</v>
      </c>
    </row>
    <row r="99" spans="1:26" x14ac:dyDescent="0.25">
      <c r="A99" s="241">
        <v>2462</v>
      </c>
      <c r="B99" s="241" t="s">
        <v>948</v>
      </c>
      <c r="C99" s="241" t="s">
        <v>949</v>
      </c>
      <c r="G99" s="241" t="s">
        <v>650</v>
      </c>
      <c r="H99" s="241" t="s">
        <v>950</v>
      </c>
      <c r="I99" s="241">
        <v>1</v>
      </c>
      <c r="J99" s="241" t="s">
        <v>949</v>
      </c>
      <c r="N99" s="241" t="s">
        <v>650</v>
      </c>
      <c r="O99" s="241" t="s">
        <v>950</v>
      </c>
      <c r="P99" s="241">
        <v>1</v>
      </c>
      <c r="R99" s="241">
        <v>6</v>
      </c>
      <c r="S99" s="241">
        <v>0</v>
      </c>
      <c r="U99" s="241" t="s">
        <v>656</v>
      </c>
      <c r="V99" s="241">
        <v>3</v>
      </c>
      <c r="W99" s="517">
        <v>36892</v>
      </c>
      <c r="X99" s="517">
        <v>36525</v>
      </c>
      <c r="Y99" s="241">
        <v>0</v>
      </c>
      <c r="Z99" s="241">
        <v>1</v>
      </c>
    </row>
    <row r="100" spans="1:26" x14ac:dyDescent="0.25">
      <c r="A100" s="241">
        <v>10406</v>
      </c>
      <c r="B100" s="241" t="s">
        <v>951</v>
      </c>
      <c r="C100" s="241" t="s">
        <v>952</v>
      </c>
      <c r="G100" s="241" t="s">
        <v>650</v>
      </c>
      <c r="H100" s="241" t="s">
        <v>662</v>
      </c>
      <c r="I100" s="241">
        <v>1</v>
      </c>
      <c r="J100" s="241" t="s">
        <v>952</v>
      </c>
      <c r="N100" s="241" t="s">
        <v>650</v>
      </c>
      <c r="O100" s="241" t="s">
        <v>662</v>
      </c>
      <c r="P100" s="241">
        <v>1</v>
      </c>
      <c r="R100" s="241">
        <v>3</v>
      </c>
      <c r="S100" s="241">
        <v>0</v>
      </c>
      <c r="U100" s="241" t="s">
        <v>656</v>
      </c>
      <c r="V100" s="241">
        <v>3</v>
      </c>
      <c r="W100" s="517">
        <v>36892</v>
      </c>
      <c r="X100" s="517">
        <v>36525</v>
      </c>
      <c r="Y100" s="241">
        <v>0</v>
      </c>
      <c r="Z100" s="241">
        <v>1</v>
      </c>
    </row>
    <row r="101" spans="1:26" x14ac:dyDescent="0.25">
      <c r="A101" s="241">
        <v>4459</v>
      </c>
      <c r="B101" s="241" t="s">
        <v>953</v>
      </c>
      <c r="C101" s="241" t="s">
        <v>954</v>
      </c>
      <c r="G101" s="241" t="s">
        <v>650</v>
      </c>
      <c r="H101" s="241" t="s">
        <v>834</v>
      </c>
      <c r="I101" s="241">
        <v>1</v>
      </c>
      <c r="J101" s="241" t="s">
        <v>954</v>
      </c>
      <c r="N101" s="241" t="s">
        <v>650</v>
      </c>
      <c r="O101" s="241" t="s">
        <v>834</v>
      </c>
      <c r="P101" s="241">
        <v>1</v>
      </c>
      <c r="R101" s="241">
        <v>8</v>
      </c>
      <c r="S101" s="241">
        <v>0</v>
      </c>
      <c r="U101" s="241" t="s">
        <v>656</v>
      </c>
      <c r="V101" s="241">
        <v>3</v>
      </c>
      <c r="W101" s="517">
        <v>36892</v>
      </c>
      <c r="X101" s="517">
        <v>36525</v>
      </c>
      <c r="Y101" s="241">
        <v>0</v>
      </c>
      <c r="Z101" s="241">
        <v>1</v>
      </c>
    </row>
    <row r="102" spans="1:26" x14ac:dyDescent="0.25">
      <c r="A102" s="241">
        <v>4639</v>
      </c>
      <c r="B102" s="241" t="s">
        <v>955</v>
      </c>
      <c r="C102" s="241" t="s">
        <v>956</v>
      </c>
      <c r="G102" s="241" t="s">
        <v>650</v>
      </c>
      <c r="H102" s="241" t="s">
        <v>733</v>
      </c>
      <c r="I102" s="241">
        <v>1</v>
      </c>
      <c r="J102" s="241" t="s">
        <v>956</v>
      </c>
      <c r="N102" s="241" t="s">
        <v>650</v>
      </c>
      <c r="O102" s="241" t="s">
        <v>733</v>
      </c>
      <c r="P102" s="241">
        <v>1</v>
      </c>
      <c r="R102" s="241">
        <v>10</v>
      </c>
      <c r="S102" s="241">
        <v>29747</v>
      </c>
      <c r="T102" s="241" t="s">
        <v>666</v>
      </c>
      <c r="U102" s="241" t="s">
        <v>957</v>
      </c>
      <c r="V102" s="241">
        <v>3</v>
      </c>
      <c r="W102" s="517">
        <v>36892</v>
      </c>
      <c r="X102" s="517">
        <v>36525</v>
      </c>
      <c r="Y102" s="241">
        <v>0</v>
      </c>
      <c r="Z102" s="241">
        <v>1</v>
      </c>
    </row>
    <row r="103" spans="1:26" x14ac:dyDescent="0.25">
      <c r="A103" s="241">
        <v>1637</v>
      </c>
      <c r="B103" s="241" t="s">
        <v>958</v>
      </c>
      <c r="C103" s="241" t="s">
        <v>959</v>
      </c>
      <c r="G103" s="241" t="s">
        <v>650</v>
      </c>
      <c r="H103" s="241" t="s">
        <v>834</v>
      </c>
      <c r="I103" s="241">
        <v>1</v>
      </c>
      <c r="J103" s="241" t="s">
        <v>959</v>
      </c>
      <c r="N103" s="241" t="s">
        <v>650</v>
      </c>
      <c r="O103" s="241" t="s">
        <v>834</v>
      </c>
      <c r="P103" s="241">
        <v>1</v>
      </c>
      <c r="R103" s="241">
        <v>8</v>
      </c>
      <c r="S103" s="241">
        <v>0</v>
      </c>
      <c r="U103" s="241" t="s">
        <v>960</v>
      </c>
      <c r="V103" s="241">
        <v>3</v>
      </c>
      <c r="W103" s="517">
        <v>36892</v>
      </c>
      <c r="X103" s="517">
        <v>36525</v>
      </c>
      <c r="Y103" s="241">
        <v>0</v>
      </c>
      <c r="Z103" s="241">
        <v>1</v>
      </c>
    </row>
    <row r="104" spans="1:26" x14ac:dyDescent="0.25">
      <c r="A104" s="241">
        <v>1689</v>
      </c>
      <c r="B104" s="241" t="s">
        <v>961</v>
      </c>
      <c r="C104" s="241" t="s">
        <v>962</v>
      </c>
      <c r="G104" s="241" t="s">
        <v>650</v>
      </c>
      <c r="H104" s="241" t="s">
        <v>963</v>
      </c>
      <c r="I104" s="241">
        <v>1</v>
      </c>
      <c r="J104" s="241" t="s">
        <v>962</v>
      </c>
      <c r="N104" s="241" t="s">
        <v>650</v>
      </c>
      <c r="O104" s="241" t="s">
        <v>963</v>
      </c>
      <c r="P104" s="241">
        <v>1</v>
      </c>
      <c r="R104" s="241">
        <v>6</v>
      </c>
      <c r="S104" s="241">
        <v>0</v>
      </c>
      <c r="U104" s="241" t="s">
        <v>656</v>
      </c>
      <c r="V104" s="241">
        <v>3</v>
      </c>
      <c r="W104" s="517">
        <v>36892</v>
      </c>
      <c r="X104" s="517">
        <v>36525</v>
      </c>
      <c r="Y104" s="241">
        <v>1</v>
      </c>
      <c r="Z104" s="241">
        <v>1</v>
      </c>
    </row>
    <row r="105" spans="1:26" x14ac:dyDescent="0.25">
      <c r="A105" s="241">
        <v>1782</v>
      </c>
      <c r="B105" s="241" t="s">
        <v>964</v>
      </c>
      <c r="C105" s="241" t="s">
        <v>965</v>
      </c>
      <c r="G105" s="241" t="s">
        <v>650</v>
      </c>
      <c r="H105" s="241" t="s">
        <v>733</v>
      </c>
      <c r="I105" s="241">
        <v>1</v>
      </c>
      <c r="J105" s="241" t="s">
        <v>965</v>
      </c>
      <c r="N105" s="241" t="s">
        <v>650</v>
      </c>
      <c r="O105" s="241" t="s">
        <v>733</v>
      </c>
      <c r="P105" s="241">
        <v>1</v>
      </c>
      <c r="R105" s="241">
        <v>4</v>
      </c>
      <c r="S105" s="241">
        <v>0</v>
      </c>
      <c r="U105" s="241" t="s">
        <v>656</v>
      </c>
      <c r="V105" s="241">
        <v>3</v>
      </c>
      <c r="W105" s="517">
        <v>36892</v>
      </c>
      <c r="X105" s="517">
        <v>36525</v>
      </c>
      <c r="Y105" s="241">
        <v>1</v>
      </c>
      <c r="Z105" s="241">
        <v>1</v>
      </c>
    </row>
    <row r="106" spans="1:26" x14ac:dyDescent="0.25">
      <c r="A106" s="241">
        <v>10460</v>
      </c>
      <c r="B106" s="241" t="s">
        <v>966</v>
      </c>
      <c r="C106" s="241" t="s">
        <v>967</v>
      </c>
      <c r="G106" s="241" t="s">
        <v>968</v>
      </c>
      <c r="H106" s="241" t="s">
        <v>969</v>
      </c>
      <c r="I106" s="241">
        <v>12</v>
      </c>
      <c r="J106" s="241" t="s">
        <v>967</v>
      </c>
      <c r="N106" s="241" t="s">
        <v>968</v>
      </c>
      <c r="O106" s="241" t="s">
        <v>969</v>
      </c>
      <c r="P106" s="241">
        <v>12</v>
      </c>
      <c r="R106" s="241">
        <v>4</v>
      </c>
      <c r="S106" s="241">
        <v>0</v>
      </c>
      <c r="U106" s="241" t="s">
        <v>656</v>
      </c>
      <c r="V106" s="241">
        <v>3</v>
      </c>
      <c r="W106" s="517">
        <v>36892</v>
      </c>
      <c r="X106" s="517">
        <v>36525</v>
      </c>
      <c r="Y106" s="241">
        <v>0</v>
      </c>
      <c r="Z106" s="241">
        <v>1</v>
      </c>
    </row>
    <row r="107" spans="1:26" x14ac:dyDescent="0.25">
      <c r="A107" s="241">
        <v>1481</v>
      </c>
      <c r="B107" s="241" t="s">
        <v>970</v>
      </c>
      <c r="C107" s="241" t="s">
        <v>971</v>
      </c>
      <c r="G107" s="241" t="s">
        <v>650</v>
      </c>
      <c r="H107" s="241" t="s">
        <v>972</v>
      </c>
      <c r="I107" s="241">
        <v>1</v>
      </c>
      <c r="J107" s="241" t="s">
        <v>971</v>
      </c>
      <c r="N107" s="241" t="s">
        <v>650</v>
      </c>
      <c r="O107" s="241" t="s">
        <v>972</v>
      </c>
      <c r="P107" s="241">
        <v>1</v>
      </c>
      <c r="R107" s="241">
        <v>6</v>
      </c>
      <c r="S107" s="241">
        <v>0</v>
      </c>
      <c r="U107" s="241" t="s">
        <v>656</v>
      </c>
      <c r="V107" s="241">
        <v>3</v>
      </c>
      <c r="W107" s="517">
        <v>36892</v>
      </c>
      <c r="X107" s="517">
        <v>36525</v>
      </c>
      <c r="Y107" s="241">
        <v>1</v>
      </c>
      <c r="Z107" s="241">
        <v>1</v>
      </c>
    </row>
    <row r="108" spans="1:26" x14ac:dyDescent="0.25">
      <c r="A108" s="241">
        <v>30183</v>
      </c>
      <c r="B108" s="241" t="s">
        <v>973</v>
      </c>
      <c r="C108" s="241" t="s">
        <v>974</v>
      </c>
      <c r="G108" s="241" t="s">
        <v>975</v>
      </c>
      <c r="H108" s="241" t="s">
        <v>976</v>
      </c>
      <c r="I108" s="241">
        <v>12</v>
      </c>
      <c r="J108" s="241" t="s">
        <v>974</v>
      </c>
      <c r="N108" s="241" t="s">
        <v>975</v>
      </c>
      <c r="O108" s="241" t="s">
        <v>976</v>
      </c>
      <c r="P108" s="241">
        <v>12</v>
      </c>
      <c r="R108" s="241">
        <v>2</v>
      </c>
      <c r="S108" s="241">
        <v>29747</v>
      </c>
      <c r="T108" s="241" t="s">
        <v>666</v>
      </c>
      <c r="U108" s="241" t="s">
        <v>977</v>
      </c>
      <c r="V108" s="241">
        <v>3</v>
      </c>
      <c r="W108" s="517">
        <v>36892</v>
      </c>
      <c r="X108" s="517">
        <v>36525</v>
      </c>
      <c r="Y108" s="241">
        <v>0</v>
      </c>
      <c r="Z108" s="241">
        <v>1</v>
      </c>
    </row>
    <row r="109" spans="1:26" x14ac:dyDescent="0.25">
      <c r="A109" s="241">
        <v>30215</v>
      </c>
      <c r="B109" s="241" t="s">
        <v>978</v>
      </c>
      <c r="R109" s="241">
        <v>1</v>
      </c>
      <c r="S109" s="241">
        <v>29747</v>
      </c>
      <c r="T109" s="241" t="s">
        <v>666</v>
      </c>
      <c r="U109" s="241" t="s">
        <v>979</v>
      </c>
      <c r="V109" s="241">
        <v>1</v>
      </c>
      <c r="W109" s="517">
        <v>36892</v>
      </c>
      <c r="X109" s="517">
        <v>36525</v>
      </c>
      <c r="Y109" s="241">
        <v>0</v>
      </c>
      <c r="Z109" s="241">
        <v>1</v>
      </c>
    </row>
    <row r="110" spans="1:26" x14ac:dyDescent="0.25">
      <c r="A110" s="241">
        <v>30219</v>
      </c>
      <c r="B110" s="241" t="s">
        <v>980</v>
      </c>
      <c r="R110" s="241">
        <v>1</v>
      </c>
      <c r="S110" s="241">
        <v>29747</v>
      </c>
      <c r="T110" s="241" t="s">
        <v>666</v>
      </c>
      <c r="U110" s="241" t="s">
        <v>981</v>
      </c>
      <c r="V110" s="241">
        <v>1</v>
      </c>
      <c r="W110" s="517">
        <v>36892</v>
      </c>
      <c r="X110" s="517">
        <v>36525</v>
      </c>
      <c r="Y110" s="241">
        <v>0</v>
      </c>
      <c r="Z110" s="241">
        <v>1</v>
      </c>
    </row>
    <row r="111" spans="1:26" x14ac:dyDescent="0.25">
      <c r="A111" s="241">
        <v>2391</v>
      </c>
      <c r="B111" s="241" t="s">
        <v>982</v>
      </c>
      <c r="C111" s="241" t="s">
        <v>983</v>
      </c>
      <c r="G111" s="241" t="s">
        <v>650</v>
      </c>
      <c r="H111" s="241" t="s">
        <v>984</v>
      </c>
      <c r="I111" s="241">
        <v>1</v>
      </c>
      <c r="J111" s="241" t="s">
        <v>983</v>
      </c>
      <c r="N111" s="241" t="s">
        <v>650</v>
      </c>
      <c r="O111" s="241" t="s">
        <v>984</v>
      </c>
      <c r="P111" s="241">
        <v>1</v>
      </c>
      <c r="R111" s="241">
        <v>8</v>
      </c>
      <c r="S111" s="241">
        <v>0</v>
      </c>
      <c r="U111" s="241" t="s">
        <v>656</v>
      </c>
      <c r="V111" s="241">
        <v>3</v>
      </c>
      <c r="W111" s="517">
        <v>36892</v>
      </c>
      <c r="X111" s="517">
        <v>36525</v>
      </c>
      <c r="Y111" s="241">
        <v>1</v>
      </c>
      <c r="Z111" s="241">
        <v>1</v>
      </c>
    </row>
    <row r="112" spans="1:26" x14ac:dyDescent="0.25">
      <c r="A112" s="241">
        <v>30188</v>
      </c>
      <c r="B112" s="241" t="s">
        <v>985</v>
      </c>
      <c r="C112" s="241" t="s">
        <v>986</v>
      </c>
      <c r="G112" s="241" t="s">
        <v>987</v>
      </c>
      <c r="H112" s="241" t="s">
        <v>988</v>
      </c>
      <c r="I112" s="241">
        <v>1</v>
      </c>
      <c r="J112" s="241" t="s">
        <v>986</v>
      </c>
      <c r="N112" s="241" t="s">
        <v>987</v>
      </c>
      <c r="O112" s="241" t="s">
        <v>988</v>
      </c>
      <c r="P112" s="241">
        <v>1</v>
      </c>
      <c r="R112" s="241">
        <v>4</v>
      </c>
      <c r="S112" s="241">
        <v>29747</v>
      </c>
      <c r="T112" s="241" t="s">
        <v>666</v>
      </c>
      <c r="U112" s="241" t="s">
        <v>989</v>
      </c>
      <c r="V112" s="241">
        <v>3</v>
      </c>
      <c r="W112" s="517">
        <v>36892</v>
      </c>
      <c r="X112" s="517">
        <v>36525</v>
      </c>
      <c r="Y112" s="241">
        <v>0</v>
      </c>
      <c r="Z112" s="241">
        <v>1</v>
      </c>
    </row>
    <row r="113" spans="1:26" x14ac:dyDescent="0.25">
      <c r="A113" s="241">
        <v>30205</v>
      </c>
      <c r="B113" s="241" t="s">
        <v>990</v>
      </c>
      <c r="C113" s="241" t="s">
        <v>991</v>
      </c>
      <c r="G113" s="241" t="s">
        <v>650</v>
      </c>
      <c r="H113" s="241" t="s">
        <v>772</v>
      </c>
      <c r="I113" s="241">
        <v>1</v>
      </c>
      <c r="J113" s="241" t="s">
        <v>991</v>
      </c>
      <c r="N113" s="241" t="s">
        <v>650</v>
      </c>
      <c r="O113" s="241" t="s">
        <v>772</v>
      </c>
      <c r="P113" s="241">
        <v>1</v>
      </c>
      <c r="R113" s="241">
        <v>3</v>
      </c>
      <c r="S113" s="241">
        <v>29747</v>
      </c>
      <c r="T113" s="241" t="s">
        <v>666</v>
      </c>
      <c r="U113" s="241" t="s">
        <v>992</v>
      </c>
      <c r="V113" s="241">
        <v>3</v>
      </c>
      <c r="W113" s="517">
        <v>36892</v>
      </c>
      <c r="X113" s="517">
        <v>36525</v>
      </c>
      <c r="Y113" s="241">
        <v>1</v>
      </c>
      <c r="Z113" s="241">
        <v>1</v>
      </c>
    </row>
    <row r="114" spans="1:26" x14ac:dyDescent="0.25">
      <c r="A114" s="241">
        <v>1868</v>
      </c>
      <c r="B114" s="241" t="s">
        <v>993</v>
      </c>
      <c r="C114" s="241" t="s">
        <v>994</v>
      </c>
      <c r="G114" s="241" t="s">
        <v>650</v>
      </c>
      <c r="H114" s="241" t="s">
        <v>662</v>
      </c>
      <c r="I114" s="241">
        <v>1</v>
      </c>
      <c r="J114" s="241" t="s">
        <v>994</v>
      </c>
      <c r="N114" s="241" t="s">
        <v>650</v>
      </c>
      <c r="O114" s="241" t="s">
        <v>662</v>
      </c>
      <c r="P114" s="241">
        <v>1</v>
      </c>
      <c r="R114" s="241">
        <v>3</v>
      </c>
      <c r="S114" s="241">
        <v>0</v>
      </c>
      <c r="U114" s="241" t="s">
        <v>656</v>
      </c>
      <c r="V114" s="241">
        <v>3</v>
      </c>
      <c r="W114" s="517">
        <v>36892</v>
      </c>
      <c r="X114" s="517">
        <v>36525</v>
      </c>
      <c r="Y114" s="241">
        <v>0</v>
      </c>
      <c r="Z114" s="241">
        <v>1</v>
      </c>
    </row>
    <row r="115" spans="1:26" x14ac:dyDescent="0.25">
      <c r="A115" s="241">
        <v>30199</v>
      </c>
      <c r="B115" s="241" t="s">
        <v>995</v>
      </c>
      <c r="C115" s="241" t="s">
        <v>996</v>
      </c>
      <c r="G115" s="241" t="s">
        <v>650</v>
      </c>
      <c r="H115" s="241" t="s">
        <v>997</v>
      </c>
      <c r="I115" s="241">
        <v>1</v>
      </c>
      <c r="P115" s="241">
        <v>1</v>
      </c>
      <c r="R115" s="241">
        <v>2</v>
      </c>
      <c r="S115" s="241">
        <v>29747</v>
      </c>
      <c r="T115" s="241" t="s">
        <v>666</v>
      </c>
      <c r="U115" s="241" t="s">
        <v>998</v>
      </c>
      <c r="V115" s="241">
        <v>3</v>
      </c>
      <c r="W115" s="517">
        <v>42584</v>
      </c>
      <c r="X115" s="517">
        <v>36525</v>
      </c>
      <c r="Y115" s="241">
        <v>0</v>
      </c>
      <c r="Z115" s="241">
        <v>1</v>
      </c>
    </row>
    <row r="116" spans="1:26" x14ac:dyDescent="0.25">
      <c r="A116" s="241">
        <v>1840</v>
      </c>
      <c r="B116" s="241" t="s">
        <v>999</v>
      </c>
      <c r="C116" s="241" t="s">
        <v>1000</v>
      </c>
      <c r="G116" s="241" t="s">
        <v>650</v>
      </c>
      <c r="H116" s="241" t="s">
        <v>901</v>
      </c>
      <c r="I116" s="241">
        <v>1</v>
      </c>
      <c r="J116" s="241" t="s">
        <v>1000</v>
      </c>
      <c r="N116" s="241" t="s">
        <v>650</v>
      </c>
      <c r="O116" s="241" t="s">
        <v>901</v>
      </c>
      <c r="P116" s="241">
        <v>1</v>
      </c>
      <c r="R116" s="241">
        <v>8</v>
      </c>
      <c r="S116" s="241">
        <v>0</v>
      </c>
      <c r="U116" s="241" t="s">
        <v>656</v>
      </c>
      <c r="V116" s="241">
        <v>3</v>
      </c>
      <c r="W116" s="517">
        <v>36892</v>
      </c>
      <c r="X116" s="517">
        <v>36525</v>
      </c>
      <c r="Y116" s="241">
        <v>0</v>
      </c>
      <c r="Z116" s="241">
        <v>1</v>
      </c>
    </row>
    <row r="117" spans="1:26" x14ac:dyDescent="0.25">
      <c r="A117" s="241">
        <v>2382</v>
      </c>
      <c r="B117" s="241" t="s">
        <v>1001</v>
      </c>
      <c r="C117" s="241" t="s">
        <v>1002</v>
      </c>
      <c r="G117" s="241" t="s">
        <v>650</v>
      </c>
      <c r="H117" s="241" t="s">
        <v>834</v>
      </c>
      <c r="I117" s="241">
        <v>1</v>
      </c>
      <c r="J117" s="241" t="s">
        <v>1002</v>
      </c>
      <c r="N117" s="241" t="s">
        <v>650</v>
      </c>
      <c r="O117" s="241" t="s">
        <v>834</v>
      </c>
      <c r="P117" s="241">
        <v>1</v>
      </c>
      <c r="R117" s="241">
        <v>4</v>
      </c>
      <c r="S117" s="241">
        <v>0</v>
      </c>
      <c r="U117" s="241" t="s">
        <v>656</v>
      </c>
      <c r="V117" s="241">
        <v>3</v>
      </c>
      <c r="W117" s="517">
        <v>36892</v>
      </c>
      <c r="X117" s="517">
        <v>36525</v>
      </c>
      <c r="Y117" s="241">
        <v>0</v>
      </c>
      <c r="Z117" s="241">
        <v>1</v>
      </c>
    </row>
    <row r="118" spans="1:26" x14ac:dyDescent="0.25">
      <c r="A118" s="241">
        <v>1822</v>
      </c>
      <c r="B118" s="241" t="s">
        <v>1003</v>
      </c>
      <c r="C118" s="241" t="s">
        <v>911</v>
      </c>
      <c r="G118" s="241" t="s">
        <v>650</v>
      </c>
      <c r="H118" s="241" t="s">
        <v>912</v>
      </c>
      <c r="I118" s="241">
        <v>1</v>
      </c>
      <c r="J118" s="241" t="s">
        <v>911</v>
      </c>
      <c r="N118" s="241" t="s">
        <v>650</v>
      </c>
      <c r="O118" s="241" t="s">
        <v>912</v>
      </c>
      <c r="P118" s="241">
        <v>1</v>
      </c>
      <c r="R118" s="241">
        <v>4</v>
      </c>
      <c r="S118" s="241">
        <v>0</v>
      </c>
      <c r="U118" s="241" t="s">
        <v>656</v>
      </c>
      <c r="V118" s="241">
        <v>3</v>
      </c>
      <c r="W118" s="517">
        <v>36892</v>
      </c>
      <c r="X118" s="517">
        <v>36525</v>
      </c>
      <c r="Y118" s="241">
        <v>1</v>
      </c>
      <c r="Z118" s="241">
        <v>1</v>
      </c>
    </row>
    <row r="119" spans="1:26" x14ac:dyDescent="0.25">
      <c r="A119" s="241">
        <v>10388</v>
      </c>
      <c r="B119" s="241" t="s">
        <v>1004</v>
      </c>
      <c r="C119" s="241" t="s">
        <v>1005</v>
      </c>
      <c r="G119" s="241" t="s">
        <v>650</v>
      </c>
      <c r="H119" s="241" t="s">
        <v>1006</v>
      </c>
      <c r="I119" s="241">
        <v>1</v>
      </c>
      <c r="J119" s="241" t="s">
        <v>1005</v>
      </c>
      <c r="N119" s="241" t="s">
        <v>650</v>
      </c>
      <c r="O119" s="241" t="s">
        <v>1006</v>
      </c>
      <c r="P119" s="241">
        <v>1</v>
      </c>
      <c r="R119" s="241">
        <v>3</v>
      </c>
      <c r="S119" s="241">
        <v>0</v>
      </c>
      <c r="U119" s="241" t="s">
        <v>656</v>
      </c>
      <c r="V119" s="241">
        <v>3</v>
      </c>
      <c r="W119" s="517">
        <v>36892</v>
      </c>
      <c r="X119" s="517">
        <v>36525</v>
      </c>
      <c r="Y119" s="241">
        <v>0</v>
      </c>
      <c r="Z119" s="241">
        <v>1</v>
      </c>
    </row>
    <row r="120" spans="1:26" x14ac:dyDescent="0.25">
      <c r="A120" s="241">
        <v>10294</v>
      </c>
      <c r="B120" s="241" t="s">
        <v>1007</v>
      </c>
      <c r="C120" s="241" t="s">
        <v>1008</v>
      </c>
      <c r="G120" s="241" t="s">
        <v>1009</v>
      </c>
      <c r="H120" s="241" t="s">
        <v>1010</v>
      </c>
      <c r="I120" s="241">
        <v>1</v>
      </c>
      <c r="J120" s="241" t="s">
        <v>1008</v>
      </c>
      <c r="N120" s="241" t="s">
        <v>1009</v>
      </c>
      <c r="O120" s="241" t="s">
        <v>1010</v>
      </c>
      <c r="P120" s="241">
        <v>1</v>
      </c>
      <c r="R120" s="241">
        <v>7</v>
      </c>
      <c r="S120" s="241">
        <v>0</v>
      </c>
      <c r="U120" s="241" t="s">
        <v>656</v>
      </c>
      <c r="V120" s="241">
        <v>3</v>
      </c>
      <c r="W120" s="517">
        <v>36892</v>
      </c>
      <c r="X120" s="517">
        <v>36525</v>
      </c>
      <c r="Y120" s="241">
        <v>0</v>
      </c>
      <c r="Z120" s="241">
        <v>1</v>
      </c>
    </row>
    <row r="121" spans="1:26" x14ac:dyDescent="0.25">
      <c r="A121" s="241">
        <v>10581</v>
      </c>
      <c r="B121" s="241" t="s">
        <v>1011</v>
      </c>
      <c r="R121" s="241">
        <v>2</v>
      </c>
      <c r="S121" s="241">
        <v>0</v>
      </c>
      <c r="U121" s="241" t="s">
        <v>656</v>
      </c>
      <c r="V121" s="241">
        <v>3</v>
      </c>
      <c r="W121" s="517">
        <v>36892</v>
      </c>
      <c r="X121" s="517">
        <v>36525</v>
      </c>
      <c r="Y121" s="241">
        <v>1</v>
      </c>
      <c r="Z121" s="241">
        <v>1</v>
      </c>
    </row>
    <row r="122" spans="1:26" x14ac:dyDescent="0.25">
      <c r="A122" s="241">
        <v>2336</v>
      </c>
      <c r="B122" s="241" t="s">
        <v>1012</v>
      </c>
      <c r="C122" s="241" t="s">
        <v>1013</v>
      </c>
      <c r="G122" s="241" t="s">
        <v>650</v>
      </c>
      <c r="H122" s="241" t="s">
        <v>863</v>
      </c>
      <c r="I122" s="241">
        <v>1</v>
      </c>
      <c r="J122" s="241" t="s">
        <v>1013</v>
      </c>
      <c r="N122" s="241" t="s">
        <v>650</v>
      </c>
      <c r="O122" s="241" t="s">
        <v>863</v>
      </c>
      <c r="P122" s="241">
        <v>1</v>
      </c>
      <c r="R122" s="241">
        <v>7</v>
      </c>
      <c r="S122" s="241">
        <v>0</v>
      </c>
      <c r="U122" s="241" t="s">
        <v>656</v>
      </c>
      <c r="V122" s="241">
        <v>3</v>
      </c>
      <c r="W122" s="517">
        <v>36892</v>
      </c>
      <c r="X122" s="517">
        <v>36525</v>
      </c>
      <c r="Y122" s="241">
        <v>1</v>
      </c>
      <c r="Z122" s="241">
        <v>1</v>
      </c>
    </row>
    <row r="123" spans="1:26" x14ac:dyDescent="0.25">
      <c r="A123" s="241">
        <v>2392</v>
      </c>
      <c r="B123" s="241" t="s">
        <v>1014</v>
      </c>
      <c r="C123" s="241" t="s">
        <v>1015</v>
      </c>
      <c r="G123" s="241" t="s">
        <v>1016</v>
      </c>
      <c r="H123" s="241" t="s">
        <v>1017</v>
      </c>
      <c r="I123" s="241">
        <v>1</v>
      </c>
      <c r="J123" s="241" t="s">
        <v>1015</v>
      </c>
      <c r="N123" s="241" t="s">
        <v>1016</v>
      </c>
      <c r="O123" s="241" t="s">
        <v>1017</v>
      </c>
      <c r="P123" s="241">
        <v>1</v>
      </c>
      <c r="R123" s="241">
        <v>8</v>
      </c>
      <c r="S123" s="241">
        <v>29747</v>
      </c>
      <c r="T123" s="241" t="s">
        <v>666</v>
      </c>
      <c r="U123" s="241" t="s">
        <v>1018</v>
      </c>
      <c r="V123" s="241">
        <v>3</v>
      </c>
      <c r="W123" s="517">
        <v>36892</v>
      </c>
      <c r="X123" s="517">
        <v>36525</v>
      </c>
      <c r="Y123" s="241">
        <v>0</v>
      </c>
      <c r="Z123" s="241">
        <v>1</v>
      </c>
    </row>
    <row r="124" spans="1:26" x14ac:dyDescent="0.25">
      <c r="A124" s="241">
        <v>10322</v>
      </c>
      <c r="B124" s="241" t="s">
        <v>1019</v>
      </c>
      <c r="C124" s="241" t="s">
        <v>1020</v>
      </c>
      <c r="G124" s="241" t="s">
        <v>650</v>
      </c>
      <c r="H124" s="241" t="s">
        <v>1021</v>
      </c>
      <c r="I124" s="241">
        <v>1</v>
      </c>
      <c r="J124" s="241" t="s">
        <v>1020</v>
      </c>
      <c r="N124" s="241" t="s">
        <v>650</v>
      </c>
      <c r="O124" s="241" t="s">
        <v>1021</v>
      </c>
      <c r="P124" s="241">
        <v>1</v>
      </c>
      <c r="R124" s="241">
        <v>5</v>
      </c>
      <c r="S124" s="241">
        <v>0</v>
      </c>
      <c r="U124" s="241" t="s">
        <v>656</v>
      </c>
      <c r="V124" s="241">
        <v>3</v>
      </c>
      <c r="W124" s="517">
        <v>36892</v>
      </c>
      <c r="X124" s="517">
        <v>36525</v>
      </c>
      <c r="Y124" s="241">
        <v>0</v>
      </c>
      <c r="Z124" s="241">
        <v>1</v>
      </c>
    </row>
    <row r="125" spans="1:26" x14ac:dyDescent="0.25">
      <c r="A125" s="241">
        <v>1988</v>
      </c>
      <c r="B125" s="241" t="s">
        <v>1022</v>
      </c>
      <c r="C125" s="241" t="s">
        <v>1023</v>
      </c>
      <c r="G125" s="241" t="s">
        <v>650</v>
      </c>
      <c r="H125" s="241" t="s">
        <v>775</v>
      </c>
      <c r="I125" s="241">
        <v>1</v>
      </c>
      <c r="J125" s="241" t="s">
        <v>1023</v>
      </c>
      <c r="N125" s="241" t="s">
        <v>650</v>
      </c>
      <c r="O125" s="241" t="s">
        <v>775</v>
      </c>
      <c r="P125" s="241">
        <v>1</v>
      </c>
      <c r="R125" s="241">
        <v>4</v>
      </c>
      <c r="S125" s="241">
        <v>0</v>
      </c>
      <c r="U125" s="241" t="s">
        <v>656</v>
      </c>
      <c r="V125" s="241">
        <v>3</v>
      </c>
      <c r="W125" s="517">
        <v>36892</v>
      </c>
      <c r="X125" s="517">
        <v>36525</v>
      </c>
      <c r="Y125" s="241">
        <v>0</v>
      </c>
      <c r="Z125" s="241">
        <v>1</v>
      </c>
    </row>
    <row r="126" spans="1:26" x14ac:dyDescent="0.25">
      <c r="A126" s="241">
        <v>1946</v>
      </c>
      <c r="B126" s="241" t="s">
        <v>1024</v>
      </c>
      <c r="R126" s="241">
        <v>8</v>
      </c>
      <c r="S126" s="241">
        <v>0</v>
      </c>
      <c r="U126" s="241" t="s">
        <v>656</v>
      </c>
      <c r="V126" s="241">
        <v>3</v>
      </c>
      <c r="W126" s="517">
        <v>36892</v>
      </c>
      <c r="X126" s="517">
        <v>36525</v>
      </c>
      <c r="Y126" s="241">
        <v>0</v>
      </c>
      <c r="Z126" s="241">
        <v>1</v>
      </c>
    </row>
    <row r="127" spans="1:26" x14ac:dyDescent="0.25">
      <c r="A127" s="241">
        <v>10285</v>
      </c>
      <c r="B127" s="241" t="s">
        <v>1025</v>
      </c>
      <c r="C127" s="241" t="s">
        <v>1026</v>
      </c>
      <c r="G127" s="241" t="s">
        <v>650</v>
      </c>
      <c r="H127" s="241" t="s">
        <v>1027</v>
      </c>
      <c r="I127" s="241">
        <v>1</v>
      </c>
      <c r="J127" s="241" t="s">
        <v>1026</v>
      </c>
      <c r="N127" s="241" t="s">
        <v>650</v>
      </c>
      <c r="O127" s="241" t="s">
        <v>1027</v>
      </c>
      <c r="P127" s="241">
        <v>1</v>
      </c>
      <c r="R127" s="241">
        <v>4</v>
      </c>
      <c r="S127" s="241">
        <v>0</v>
      </c>
      <c r="U127" s="241" t="s">
        <v>656</v>
      </c>
      <c r="V127" s="241">
        <v>3</v>
      </c>
      <c r="W127" s="517">
        <v>36892</v>
      </c>
      <c r="X127" s="517">
        <v>36525</v>
      </c>
      <c r="Y127" s="241">
        <v>1</v>
      </c>
      <c r="Z127" s="241">
        <v>1</v>
      </c>
    </row>
    <row r="128" spans="1:26" x14ac:dyDescent="0.25">
      <c r="A128" s="241">
        <v>2307</v>
      </c>
      <c r="B128" s="241" t="s">
        <v>1028</v>
      </c>
      <c r="C128" s="241" t="s">
        <v>1029</v>
      </c>
      <c r="G128" s="241" t="s">
        <v>650</v>
      </c>
      <c r="H128" s="241" t="s">
        <v>710</v>
      </c>
      <c r="I128" s="241">
        <v>1</v>
      </c>
      <c r="J128" s="241" t="s">
        <v>1029</v>
      </c>
      <c r="N128" s="241" t="s">
        <v>650</v>
      </c>
      <c r="O128" s="241" t="s">
        <v>710</v>
      </c>
      <c r="P128" s="241">
        <v>1</v>
      </c>
      <c r="R128" s="241">
        <v>8</v>
      </c>
      <c r="S128" s="241">
        <v>0</v>
      </c>
      <c r="U128" s="241" t="s">
        <v>656</v>
      </c>
      <c r="V128" s="241">
        <v>3</v>
      </c>
      <c r="W128" s="517">
        <v>36892</v>
      </c>
      <c r="X128" s="517">
        <v>36525</v>
      </c>
      <c r="Y128" s="241">
        <v>0</v>
      </c>
      <c r="Z128" s="241">
        <v>1</v>
      </c>
    </row>
    <row r="129" spans="1:26" x14ac:dyDescent="0.25">
      <c r="A129" s="241">
        <v>2338</v>
      </c>
      <c r="B129" s="241" t="s">
        <v>1030</v>
      </c>
      <c r="C129" s="241" t="s">
        <v>1031</v>
      </c>
      <c r="G129" s="241" t="s">
        <v>650</v>
      </c>
      <c r="H129" s="241" t="s">
        <v>1032</v>
      </c>
      <c r="I129" s="241">
        <v>1</v>
      </c>
      <c r="J129" s="241" t="s">
        <v>1031</v>
      </c>
      <c r="N129" s="241" t="s">
        <v>650</v>
      </c>
      <c r="O129" s="241" t="s">
        <v>1032</v>
      </c>
      <c r="P129" s="241">
        <v>1</v>
      </c>
      <c r="R129" s="241">
        <v>2</v>
      </c>
      <c r="S129" s="241">
        <v>0</v>
      </c>
      <c r="U129" s="241" t="s">
        <v>656</v>
      </c>
      <c r="V129" s="241">
        <v>3</v>
      </c>
      <c r="W129" s="517">
        <v>36892</v>
      </c>
      <c r="X129" s="517">
        <v>36525</v>
      </c>
      <c r="Y129" s="241">
        <v>0</v>
      </c>
      <c r="Z129" s="241">
        <v>1</v>
      </c>
    </row>
    <row r="130" spans="1:26" x14ac:dyDescent="0.25">
      <c r="A130" s="241">
        <v>10474</v>
      </c>
      <c r="B130" s="241" t="s">
        <v>1033</v>
      </c>
      <c r="C130" s="241" t="s">
        <v>1034</v>
      </c>
      <c r="G130" s="241" t="s">
        <v>650</v>
      </c>
      <c r="H130" s="241" t="s">
        <v>1035</v>
      </c>
      <c r="I130" s="241">
        <v>1</v>
      </c>
      <c r="J130" s="241" t="s">
        <v>1034</v>
      </c>
      <c r="N130" s="241" t="s">
        <v>650</v>
      </c>
      <c r="O130" s="241" t="s">
        <v>1035</v>
      </c>
      <c r="P130" s="241">
        <v>1</v>
      </c>
      <c r="R130" s="241">
        <v>5</v>
      </c>
      <c r="S130" s="241">
        <v>0</v>
      </c>
      <c r="U130" s="241" t="s">
        <v>656</v>
      </c>
      <c r="V130" s="241">
        <v>3</v>
      </c>
      <c r="W130" s="517">
        <v>36892</v>
      </c>
      <c r="X130" s="517">
        <v>36525</v>
      </c>
      <c r="Y130" s="241">
        <v>0</v>
      </c>
      <c r="Z130" s="241">
        <v>1</v>
      </c>
    </row>
    <row r="131" spans="1:26" x14ac:dyDescent="0.25">
      <c r="A131" s="241">
        <v>30095</v>
      </c>
      <c r="B131" s="241" t="s">
        <v>1036</v>
      </c>
      <c r="I131" s="241">
        <v>1</v>
      </c>
      <c r="P131" s="241">
        <v>1</v>
      </c>
      <c r="R131" s="241">
        <v>1</v>
      </c>
      <c r="S131" s="241">
        <v>29747</v>
      </c>
      <c r="T131" s="241" t="s">
        <v>666</v>
      </c>
      <c r="U131" s="241" t="s">
        <v>1037</v>
      </c>
      <c r="V131" s="241">
        <v>3</v>
      </c>
      <c r="W131" s="517">
        <v>36892</v>
      </c>
      <c r="X131" s="517">
        <v>36525</v>
      </c>
      <c r="Y131" s="241">
        <v>0</v>
      </c>
      <c r="Z131" s="241">
        <v>1</v>
      </c>
    </row>
    <row r="132" spans="1:26" x14ac:dyDescent="0.25">
      <c r="A132" s="241">
        <v>10477</v>
      </c>
      <c r="B132" s="241" t="s">
        <v>1038</v>
      </c>
      <c r="C132" s="241" t="s">
        <v>1039</v>
      </c>
      <c r="G132" s="241" t="s">
        <v>215</v>
      </c>
      <c r="H132" s="241" t="s">
        <v>1040</v>
      </c>
      <c r="I132" s="241">
        <v>1</v>
      </c>
      <c r="J132" s="241" t="s">
        <v>1039</v>
      </c>
      <c r="N132" s="241" t="s">
        <v>215</v>
      </c>
      <c r="O132" s="241" t="s">
        <v>1040</v>
      </c>
      <c r="P132" s="241">
        <v>1</v>
      </c>
      <c r="R132" s="241">
        <v>3</v>
      </c>
      <c r="S132" s="241">
        <v>0</v>
      </c>
      <c r="U132" s="241" t="s">
        <v>656</v>
      </c>
      <c r="V132" s="241">
        <v>3</v>
      </c>
      <c r="W132" s="517">
        <v>36892</v>
      </c>
      <c r="X132" s="517">
        <v>36525</v>
      </c>
      <c r="Y132" s="241">
        <v>1</v>
      </c>
      <c r="Z132" s="241">
        <v>1</v>
      </c>
    </row>
    <row r="133" spans="1:26" x14ac:dyDescent="0.25">
      <c r="A133" s="241">
        <v>1908</v>
      </c>
      <c r="B133" s="241" t="s">
        <v>1041</v>
      </c>
      <c r="C133" s="241" t="s">
        <v>1042</v>
      </c>
      <c r="G133" s="241" t="s">
        <v>650</v>
      </c>
      <c r="H133" s="241" t="s">
        <v>1043</v>
      </c>
      <c r="I133" s="241">
        <v>1</v>
      </c>
      <c r="J133" s="241" t="s">
        <v>1042</v>
      </c>
      <c r="N133" s="241" t="s">
        <v>650</v>
      </c>
      <c r="O133" s="241" t="s">
        <v>1043</v>
      </c>
      <c r="P133" s="241">
        <v>1</v>
      </c>
      <c r="R133" s="241">
        <v>5</v>
      </c>
      <c r="S133" s="241">
        <v>0</v>
      </c>
      <c r="U133" s="241" t="s">
        <v>656</v>
      </c>
      <c r="V133" s="241">
        <v>3</v>
      </c>
      <c r="W133" s="517">
        <v>36892</v>
      </c>
      <c r="X133" s="517">
        <v>36525</v>
      </c>
      <c r="Y133" s="241">
        <v>1</v>
      </c>
      <c r="Z133" s="241">
        <v>1</v>
      </c>
    </row>
    <row r="134" spans="1:26" x14ac:dyDescent="0.25">
      <c r="A134" s="241">
        <v>1986</v>
      </c>
      <c r="B134" s="241" t="s">
        <v>1044</v>
      </c>
      <c r="C134" s="241" t="s">
        <v>1045</v>
      </c>
      <c r="G134" s="241" t="s">
        <v>650</v>
      </c>
      <c r="H134" s="241" t="s">
        <v>1046</v>
      </c>
      <c r="I134" s="241">
        <v>1</v>
      </c>
      <c r="J134" s="241" t="s">
        <v>1045</v>
      </c>
      <c r="N134" s="241" t="s">
        <v>650</v>
      </c>
      <c r="O134" s="241" t="s">
        <v>1046</v>
      </c>
      <c r="P134" s="241">
        <v>1</v>
      </c>
      <c r="R134" s="241">
        <v>0</v>
      </c>
      <c r="S134" s="241">
        <v>0</v>
      </c>
      <c r="U134" s="241" t="s">
        <v>656</v>
      </c>
      <c r="V134" s="241">
        <v>0</v>
      </c>
      <c r="W134" s="517">
        <v>36892</v>
      </c>
      <c r="X134" s="517">
        <v>36525</v>
      </c>
      <c r="Y134" s="241">
        <v>0</v>
      </c>
      <c r="Z134" s="241">
        <v>1</v>
      </c>
    </row>
    <row r="135" spans="1:26" x14ac:dyDescent="0.25">
      <c r="A135" s="241">
        <v>10395</v>
      </c>
      <c r="B135" s="241" t="s">
        <v>1047</v>
      </c>
      <c r="C135" s="241" t="s">
        <v>1048</v>
      </c>
      <c r="G135" s="241" t="s">
        <v>897</v>
      </c>
      <c r="H135" s="241" t="s">
        <v>1049</v>
      </c>
      <c r="I135" s="241">
        <v>12</v>
      </c>
      <c r="J135" s="241" t="s">
        <v>1048</v>
      </c>
      <c r="N135" s="241" t="s">
        <v>897</v>
      </c>
      <c r="O135" s="241" t="s">
        <v>1049</v>
      </c>
      <c r="P135" s="241">
        <v>12</v>
      </c>
      <c r="R135" s="241">
        <v>5</v>
      </c>
      <c r="S135" s="241">
        <v>0</v>
      </c>
      <c r="U135" s="241" t="s">
        <v>656</v>
      </c>
      <c r="V135" s="241">
        <v>3</v>
      </c>
      <c r="W135" s="517">
        <v>36892</v>
      </c>
      <c r="X135" s="517">
        <v>36525</v>
      </c>
      <c r="Y135" s="241">
        <v>1</v>
      </c>
      <c r="Z135" s="241">
        <v>1</v>
      </c>
    </row>
    <row r="136" spans="1:26" x14ac:dyDescent="0.25">
      <c r="A136" s="241">
        <v>30096</v>
      </c>
      <c r="B136" s="241" t="s">
        <v>1050</v>
      </c>
      <c r="I136" s="241">
        <v>1</v>
      </c>
      <c r="P136" s="241">
        <v>1</v>
      </c>
      <c r="R136" s="241">
        <v>1</v>
      </c>
      <c r="S136" s="241">
        <v>29747</v>
      </c>
      <c r="T136" s="241" t="s">
        <v>666</v>
      </c>
      <c r="U136" s="241" t="s">
        <v>1051</v>
      </c>
      <c r="V136" s="241">
        <v>3</v>
      </c>
      <c r="W136" s="517">
        <v>36892</v>
      </c>
      <c r="X136" s="517">
        <v>36525</v>
      </c>
      <c r="Y136" s="241">
        <v>0</v>
      </c>
      <c r="Z136" s="241">
        <v>1</v>
      </c>
    </row>
    <row r="137" spans="1:26" x14ac:dyDescent="0.25">
      <c r="A137" s="241">
        <v>30204</v>
      </c>
      <c r="B137" s="241" t="s">
        <v>1052</v>
      </c>
      <c r="C137" s="241" t="s">
        <v>1053</v>
      </c>
      <c r="G137" s="241" t="s">
        <v>650</v>
      </c>
      <c r="H137" s="241" t="s">
        <v>1054</v>
      </c>
      <c r="I137" s="241">
        <v>1</v>
      </c>
      <c r="J137" s="241" t="s">
        <v>1053</v>
      </c>
      <c r="N137" s="241" t="s">
        <v>650</v>
      </c>
      <c r="O137" s="241" t="s">
        <v>1054</v>
      </c>
      <c r="P137" s="241">
        <v>1</v>
      </c>
      <c r="R137" s="241">
        <v>2</v>
      </c>
      <c r="S137" s="241">
        <v>0</v>
      </c>
      <c r="U137" s="241" t="s">
        <v>1055</v>
      </c>
      <c r="V137" s="241">
        <v>3</v>
      </c>
      <c r="W137" s="517">
        <v>36892</v>
      </c>
      <c r="X137" s="517">
        <v>36525</v>
      </c>
      <c r="Y137" s="241">
        <v>0</v>
      </c>
      <c r="Z137" s="241">
        <v>1</v>
      </c>
    </row>
    <row r="138" spans="1:26" x14ac:dyDescent="0.25">
      <c r="A138" s="241">
        <v>10396</v>
      </c>
      <c r="B138" s="241" t="s">
        <v>1056</v>
      </c>
      <c r="C138" s="241" t="s">
        <v>1057</v>
      </c>
      <c r="G138" s="241" t="s">
        <v>650</v>
      </c>
      <c r="H138" s="241" t="s">
        <v>1058</v>
      </c>
      <c r="I138" s="241">
        <v>1</v>
      </c>
      <c r="J138" s="241" t="s">
        <v>1057</v>
      </c>
      <c r="N138" s="241" t="s">
        <v>650</v>
      </c>
      <c r="O138" s="241" t="s">
        <v>1058</v>
      </c>
      <c r="P138" s="241">
        <v>1</v>
      </c>
      <c r="R138" s="241">
        <v>6</v>
      </c>
      <c r="S138" s="241">
        <v>29747</v>
      </c>
      <c r="T138" s="241" t="s">
        <v>666</v>
      </c>
      <c r="U138" s="241" t="s">
        <v>1059</v>
      </c>
      <c r="V138" s="241">
        <v>3</v>
      </c>
      <c r="W138" s="517">
        <v>36892</v>
      </c>
      <c r="X138" s="517">
        <v>36525</v>
      </c>
      <c r="Y138" s="241">
        <v>1</v>
      </c>
      <c r="Z138" s="241">
        <v>1</v>
      </c>
    </row>
    <row r="139" spans="1:26" x14ac:dyDescent="0.25">
      <c r="A139" s="241">
        <v>10453</v>
      </c>
      <c r="B139" s="241" t="s">
        <v>1060</v>
      </c>
      <c r="C139" s="241" t="s">
        <v>1061</v>
      </c>
      <c r="G139" s="241" t="s">
        <v>650</v>
      </c>
      <c r="H139" s="241" t="s">
        <v>1062</v>
      </c>
      <c r="I139" s="241">
        <v>1</v>
      </c>
      <c r="J139" s="241" t="s">
        <v>1061</v>
      </c>
      <c r="N139" s="241" t="s">
        <v>650</v>
      </c>
      <c r="O139" s="241" t="s">
        <v>1062</v>
      </c>
      <c r="P139" s="241">
        <v>1</v>
      </c>
      <c r="R139" s="241">
        <v>4</v>
      </c>
      <c r="S139" s="241">
        <v>0</v>
      </c>
      <c r="U139" s="241" t="s">
        <v>656</v>
      </c>
      <c r="V139" s="241">
        <v>3</v>
      </c>
      <c r="W139" s="517">
        <v>36892</v>
      </c>
      <c r="X139" s="517">
        <v>36525</v>
      </c>
      <c r="Y139" s="241">
        <v>1</v>
      </c>
      <c r="Z139" s="241">
        <v>1</v>
      </c>
    </row>
    <row r="140" spans="1:26" x14ac:dyDescent="0.25">
      <c r="A140" s="241">
        <v>10530</v>
      </c>
      <c r="B140" s="241" t="s">
        <v>1063</v>
      </c>
      <c r="C140" s="241" t="s">
        <v>1064</v>
      </c>
      <c r="G140" s="241" t="s">
        <v>650</v>
      </c>
      <c r="H140" s="241" t="s">
        <v>1065</v>
      </c>
      <c r="I140" s="241">
        <v>1</v>
      </c>
      <c r="J140" s="241" t="s">
        <v>1064</v>
      </c>
      <c r="N140" s="241" t="s">
        <v>650</v>
      </c>
      <c r="O140" s="241" t="s">
        <v>1065</v>
      </c>
      <c r="P140" s="241">
        <v>1</v>
      </c>
      <c r="R140" s="241">
        <v>2</v>
      </c>
      <c r="S140" s="241">
        <v>0</v>
      </c>
      <c r="U140" s="241" t="s">
        <v>656</v>
      </c>
      <c r="V140" s="241">
        <v>3</v>
      </c>
      <c r="W140" s="517">
        <v>36892</v>
      </c>
      <c r="X140" s="517">
        <v>36525</v>
      </c>
      <c r="Y140" s="241">
        <v>0</v>
      </c>
      <c r="Z140" s="241">
        <v>1</v>
      </c>
    </row>
    <row r="141" spans="1:26" x14ac:dyDescent="0.25">
      <c r="A141" s="241">
        <v>2090</v>
      </c>
      <c r="B141" s="241" t="s">
        <v>1066</v>
      </c>
      <c r="C141" s="241" t="s">
        <v>1067</v>
      </c>
      <c r="G141" s="241" t="s">
        <v>650</v>
      </c>
      <c r="H141" s="241" t="s">
        <v>1043</v>
      </c>
      <c r="I141" s="241">
        <v>1</v>
      </c>
      <c r="J141" s="241" t="s">
        <v>1067</v>
      </c>
      <c r="N141" s="241" t="s">
        <v>650</v>
      </c>
      <c r="O141" s="241" t="s">
        <v>1043</v>
      </c>
      <c r="P141" s="241">
        <v>1</v>
      </c>
      <c r="R141" s="241">
        <v>7</v>
      </c>
      <c r="S141" s="241">
        <v>29747</v>
      </c>
      <c r="T141" s="241" t="s">
        <v>666</v>
      </c>
      <c r="U141" s="241" t="s">
        <v>1068</v>
      </c>
      <c r="V141" s="241">
        <v>3</v>
      </c>
      <c r="W141" s="517">
        <v>36892</v>
      </c>
      <c r="X141" s="517">
        <v>36525</v>
      </c>
      <c r="Y141" s="241">
        <v>0</v>
      </c>
      <c r="Z141" s="241">
        <v>1</v>
      </c>
    </row>
    <row r="142" spans="1:26" x14ac:dyDescent="0.25">
      <c r="A142" s="241">
        <v>3109</v>
      </c>
      <c r="B142" s="241" t="s">
        <v>1069</v>
      </c>
      <c r="C142" s="241" t="s">
        <v>1070</v>
      </c>
      <c r="G142" s="241" t="s">
        <v>866</v>
      </c>
      <c r="H142" s="241" t="s">
        <v>1071</v>
      </c>
      <c r="I142" s="241">
        <v>12</v>
      </c>
      <c r="J142" s="241" t="s">
        <v>1070</v>
      </c>
      <c r="N142" s="241" t="s">
        <v>866</v>
      </c>
      <c r="O142" s="241" t="s">
        <v>1071</v>
      </c>
      <c r="P142" s="241">
        <v>12</v>
      </c>
      <c r="R142" s="241">
        <v>8</v>
      </c>
      <c r="S142" s="241">
        <v>0</v>
      </c>
      <c r="U142" s="241" t="s">
        <v>656</v>
      </c>
      <c r="V142" s="241">
        <v>3</v>
      </c>
      <c r="W142" s="517">
        <v>36892</v>
      </c>
      <c r="X142" s="517">
        <v>36525</v>
      </c>
      <c r="Y142" s="241">
        <v>1</v>
      </c>
      <c r="Z142" s="241">
        <v>1</v>
      </c>
    </row>
    <row r="143" spans="1:26" x14ac:dyDescent="0.25">
      <c r="A143" s="241">
        <v>10371</v>
      </c>
      <c r="B143" s="241" t="s">
        <v>1072</v>
      </c>
      <c r="C143" s="241" t="s">
        <v>1073</v>
      </c>
      <c r="G143" s="241" t="s">
        <v>215</v>
      </c>
      <c r="H143" s="241" t="s">
        <v>1074</v>
      </c>
      <c r="I143" s="241">
        <v>1</v>
      </c>
      <c r="J143" s="241" t="s">
        <v>1073</v>
      </c>
      <c r="N143" s="241" t="s">
        <v>215</v>
      </c>
      <c r="O143" s="241" t="s">
        <v>1074</v>
      </c>
      <c r="P143" s="241">
        <v>1</v>
      </c>
      <c r="R143" s="241">
        <v>3</v>
      </c>
      <c r="S143" s="241">
        <v>0</v>
      </c>
      <c r="U143" s="241" t="s">
        <v>656</v>
      </c>
      <c r="V143" s="241">
        <v>3</v>
      </c>
      <c r="W143" s="517">
        <v>36892</v>
      </c>
      <c r="X143" s="517">
        <v>36525</v>
      </c>
      <c r="Y143" s="241">
        <v>1</v>
      </c>
      <c r="Z143" s="241">
        <v>1</v>
      </c>
    </row>
    <row r="144" spans="1:26" x14ac:dyDescent="0.25">
      <c r="A144" s="241">
        <v>30169</v>
      </c>
      <c r="B144" s="241" t="s">
        <v>1075</v>
      </c>
      <c r="C144" s="241" t="s">
        <v>1076</v>
      </c>
      <c r="G144" s="241" t="s">
        <v>1077</v>
      </c>
      <c r="H144" s="241" t="s">
        <v>1078</v>
      </c>
      <c r="I144" s="241">
        <v>1</v>
      </c>
      <c r="J144" s="241" t="s">
        <v>1076</v>
      </c>
      <c r="N144" s="241" t="s">
        <v>1077</v>
      </c>
      <c r="O144" s="241" t="s">
        <v>1078</v>
      </c>
      <c r="P144" s="241">
        <v>1</v>
      </c>
      <c r="R144" s="241">
        <v>3</v>
      </c>
      <c r="S144" s="241">
        <v>29747</v>
      </c>
      <c r="T144" s="241" t="s">
        <v>666</v>
      </c>
      <c r="U144" s="241" t="s">
        <v>1079</v>
      </c>
      <c r="V144" s="241">
        <v>3</v>
      </c>
      <c r="W144" s="517">
        <v>36892</v>
      </c>
      <c r="X144" s="517">
        <v>36525</v>
      </c>
      <c r="Y144" s="241">
        <v>0</v>
      </c>
      <c r="Z144" s="241">
        <v>1</v>
      </c>
    </row>
    <row r="145" spans="1:26" x14ac:dyDescent="0.25">
      <c r="A145" s="241">
        <v>10478</v>
      </c>
      <c r="B145" s="241" t="s">
        <v>1080</v>
      </c>
      <c r="C145" s="241" t="s">
        <v>1081</v>
      </c>
      <c r="G145" s="241" t="s">
        <v>650</v>
      </c>
      <c r="H145" s="241" t="s">
        <v>885</v>
      </c>
      <c r="I145" s="241">
        <v>1</v>
      </c>
      <c r="J145" s="241" t="s">
        <v>1081</v>
      </c>
      <c r="N145" s="241" t="s">
        <v>650</v>
      </c>
      <c r="O145" s="241" t="s">
        <v>885</v>
      </c>
      <c r="P145" s="241">
        <v>1</v>
      </c>
      <c r="R145" s="241">
        <v>3</v>
      </c>
      <c r="S145" s="241">
        <v>0</v>
      </c>
      <c r="U145" s="241" t="s">
        <v>656</v>
      </c>
      <c r="V145" s="241">
        <v>3</v>
      </c>
      <c r="W145" s="517">
        <v>36892</v>
      </c>
      <c r="X145" s="517">
        <v>36525</v>
      </c>
      <c r="Y145" s="241">
        <v>0</v>
      </c>
      <c r="Z145" s="241">
        <v>1</v>
      </c>
    </row>
    <row r="146" spans="1:26" x14ac:dyDescent="0.25">
      <c r="A146" s="241">
        <v>10357</v>
      </c>
      <c r="B146" s="241" t="s">
        <v>1082</v>
      </c>
      <c r="C146" s="241" t="s">
        <v>1083</v>
      </c>
      <c r="G146" s="241" t="s">
        <v>650</v>
      </c>
      <c r="H146" s="241" t="s">
        <v>1084</v>
      </c>
      <c r="I146" s="241">
        <v>1</v>
      </c>
      <c r="J146" s="241" t="s">
        <v>1083</v>
      </c>
      <c r="N146" s="241" t="s">
        <v>650</v>
      </c>
      <c r="O146" s="241" t="s">
        <v>1084</v>
      </c>
      <c r="P146" s="241">
        <v>1</v>
      </c>
      <c r="R146" s="241">
        <v>4</v>
      </c>
      <c r="S146" s="241">
        <v>0</v>
      </c>
      <c r="U146" s="241" t="s">
        <v>656</v>
      </c>
      <c r="V146" s="241">
        <v>3</v>
      </c>
      <c r="W146" s="517">
        <v>36892</v>
      </c>
      <c r="X146" s="517">
        <v>36525</v>
      </c>
      <c r="Y146" s="241">
        <v>1</v>
      </c>
      <c r="Z146" s="241">
        <v>1</v>
      </c>
    </row>
    <row r="147" spans="1:26" x14ac:dyDescent="0.25">
      <c r="A147" s="241">
        <v>10296</v>
      </c>
      <c r="B147" s="241" t="s">
        <v>1085</v>
      </c>
      <c r="C147" s="241" t="s">
        <v>1086</v>
      </c>
      <c r="G147" s="241" t="s">
        <v>650</v>
      </c>
      <c r="H147" s="241" t="s">
        <v>778</v>
      </c>
      <c r="I147" s="241">
        <v>1</v>
      </c>
      <c r="J147" s="241" t="s">
        <v>1086</v>
      </c>
      <c r="N147" s="241" t="s">
        <v>650</v>
      </c>
      <c r="O147" s="241" t="s">
        <v>778</v>
      </c>
      <c r="P147" s="241">
        <v>1</v>
      </c>
      <c r="R147" s="241">
        <v>4</v>
      </c>
      <c r="S147" s="241">
        <v>0</v>
      </c>
      <c r="U147" s="241" t="s">
        <v>656</v>
      </c>
      <c r="V147" s="241">
        <v>3</v>
      </c>
      <c r="W147" s="517">
        <v>36892</v>
      </c>
      <c r="X147" s="517">
        <v>36525</v>
      </c>
      <c r="Y147" s="241">
        <v>1</v>
      </c>
      <c r="Z147" s="241">
        <v>1</v>
      </c>
    </row>
    <row r="148" spans="1:26" x14ac:dyDescent="0.25">
      <c r="A148" s="241">
        <v>2184</v>
      </c>
      <c r="B148" s="241" t="s">
        <v>1087</v>
      </c>
      <c r="C148" s="241" t="s">
        <v>1088</v>
      </c>
      <c r="G148" s="241" t="s">
        <v>1089</v>
      </c>
      <c r="H148" s="241" t="s">
        <v>1090</v>
      </c>
      <c r="I148" s="241">
        <v>1</v>
      </c>
      <c r="J148" s="241" t="s">
        <v>1088</v>
      </c>
      <c r="N148" s="241" t="s">
        <v>1089</v>
      </c>
      <c r="O148" s="241" t="s">
        <v>1090</v>
      </c>
      <c r="P148" s="241">
        <v>1</v>
      </c>
      <c r="R148" s="241">
        <v>0</v>
      </c>
      <c r="S148" s="241">
        <v>0</v>
      </c>
      <c r="U148" s="241" t="s">
        <v>656</v>
      </c>
      <c r="V148" s="241">
        <v>0</v>
      </c>
      <c r="W148" s="517">
        <v>36892</v>
      </c>
      <c r="X148" s="517">
        <v>36525</v>
      </c>
      <c r="Y148" s="241">
        <v>0</v>
      </c>
      <c r="Z148" s="241">
        <v>1</v>
      </c>
    </row>
    <row r="149" spans="1:26" x14ac:dyDescent="0.25">
      <c r="A149" s="241">
        <v>30225</v>
      </c>
      <c r="B149" s="241" t="s">
        <v>1091</v>
      </c>
      <c r="C149" s="241" t="s">
        <v>1092</v>
      </c>
      <c r="G149" s="241" t="s">
        <v>650</v>
      </c>
      <c r="H149" s="241" t="s">
        <v>1093</v>
      </c>
      <c r="I149" s="241">
        <v>1</v>
      </c>
      <c r="J149" s="241" t="s">
        <v>1092</v>
      </c>
      <c r="N149" s="241" t="s">
        <v>650</v>
      </c>
      <c r="O149" s="241" t="s">
        <v>1093</v>
      </c>
      <c r="P149" s="241">
        <v>1</v>
      </c>
      <c r="R149" s="241">
        <v>3</v>
      </c>
      <c r="S149" s="241">
        <v>0</v>
      </c>
      <c r="U149" s="241" t="s">
        <v>1094</v>
      </c>
      <c r="V149" s="241">
        <v>3</v>
      </c>
      <c r="W149" s="517">
        <v>36892</v>
      </c>
      <c r="X149" s="517">
        <v>36525</v>
      </c>
      <c r="Y149" s="241">
        <v>1</v>
      </c>
      <c r="Z149" s="241">
        <v>1</v>
      </c>
    </row>
    <row r="150" spans="1:26" x14ac:dyDescent="0.25">
      <c r="A150" s="241">
        <v>2347</v>
      </c>
      <c r="B150" s="241" t="s">
        <v>1095</v>
      </c>
      <c r="C150" s="241" t="s">
        <v>1096</v>
      </c>
      <c r="G150" s="241" t="s">
        <v>650</v>
      </c>
      <c r="H150" s="241" t="s">
        <v>662</v>
      </c>
      <c r="I150" s="241">
        <v>1</v>
      </c>
      <c r="J150" s="241" t="s">
        <v>1096</v>
      </c>
      <c r="N150" s="241" t="s">
        <v>650</v>
      </c>
      <c r="O150" s="241" t="s">
        <v>662</v>
      </c>
      <c r="P150" s="241">
        <v>1</v>
      </c>
      <c r="R150" s="241">
        <v>4</v>
      </c>
      <c r="S150" s="241">
        <v>0</v>
      </c>
      <c r="U150" s="241" t="s">
        <v>656</v>
      </c>
      <c r="V150" s="241">
        <v>3</v>
      </c>
      <c r="W150" s="517">
        <v>36892</v>
      </c>
      <c r="X150" s="517">
        <v>36525</v>
      </c>
      <c r="Y150" s="241">
        <v>0</v>
      </c>
      <c r="Z150" s="241">
        <v>1</v>
      </c>
    </row>
    <row r="151" spans="1:26" x14ac:dyDescent="0.25">
      <c r="A151" s="241">
        <v>30226</v>
      </c>
      <c r="B151" s="241" t="s">
        <v>1097</v>
      </c>
      <c r="C151" s="241" t="s">
        <v>1098</v>
      </c>
      <c r="G151" s="241" t="s">
        <v>866</v>
      </c>
      <c r="H151" s="241" t="s">
        <v>1099</v>
      </c>
      <c r="I151" s="241">
        <v>12</v>
      </c>
      <c r="J151" s="241" t="s">
        <v>1098</v>
      </c>
      <c r="N151" s="241" t="s">
        <v>866</v>
      </c>
      <c r="O151" s="241" t="s">
        <v>1099</v>
      </c>
      <c r="P151" s="241">
        <v>12</v>
      </c>
      <c r="R151" s="241">
        <v>2</v>
      </c>
      <c r="S151" s="241">
        <v>0</v>
      </c>
      <c r="U151" s="241" t="s">
        <v>1100</v>
      </c>
      <c r="V151" s="241">
        <v>3</v>
      </c>
      <c r="W151" s="517">
        <v>36892</v>
      </c>
      <c r="X151" s="517">
        <v>36525</v>
      </c>
      <c r="Y151" s="241">
        <v>0</v>
      </c>
      <c r="Z151" s="241">
        <v>1</v>
      </c>
    </row>
    <row r="152" spans="1:26" x14ac:dyDescent="0.25">
      <c r="A152" s="241">
        <v>2559</v>
      </c>
      <c r="B152" s="241" t="s">
        <v>1101</v>
      </c>
      <c r="C152" s="241" t="s">
        <v>1102</v>
      </c>
      <c r="G152" s="241" t="s">
        <v>650</v>
      </c>
      <c r="H152" s="241" t="s">
        <v>670</v>
      </c>
      <c r="I152" s="241">
        <v>1</v>
      </c>
      <c r="J152" s="241" t="s">
        <v>1102</v>
      </c>
      <c r="N152" s="241" t="s">
        <v>650</v>
      </c>
      <c r="O152" s="241" t="s">
        <v>670</v>
      </c>
      <c r="P152" s="241">
        <v>1</v>
      </c>
      <c r="R152" s="241">
        <v>10</v>
      </c>
      <c r="S152" s="241">
        <v>29747</v>
      </c>
      <c r="T152" s="241" t="s">
        <v>666</v>
      </c>
      <c r="U152" s="241" t="s">
        <v>1103</v>
      </c>
      <c r="V152" s="241">
        <v>3</v>
      </c>
      <c r="W152" s="517">
        <v>36892</v>
      </c>
      <c r="X152" s="517">
        <v>36525</v>
      </c>
      <c r="Y152" s="241">
        <v>0</v>
      </c>
      <c r="Z152" s="241">
        <v>1</v>
      </c>
    </row>
    <row r="153" spans="1:26" x14ac:dyDescent="0.25">
      <c r="A153" s="241">
        <v>10514</v>
      </c>
      <c r="B153" s="241" t="s">
        <v>1104</v>
      </c>
      <c r="C153" s="241" t="s">
        <v>1105</v>
      </c>
      <c r="G153" s="241" t="s">
        <v>650</v>
      </c>
      <c r="H153" s="241" t="s">
        <v>789</v>
      </c>
      <c r="I153" s="241">
        <v>1</v>
      </c>
      <c r="J153" s="241" t="s">
        <v>1105</v>
      </c>
      <c r="N153" s="241" t="s">
        <v>650</v>
      </c>
      <c r="O153" s="241" t="s">
        <v>789</v>
      </c>
      <c r="P153" s="241">
        <v>1</v>
      </c>
      <c r="R153" s="241">
        <v>7</v>
      </c>
      <c r="S153" s="241">
        <v>0</v>
      </c>
      <c r="U153" s="241" t="s">
        <v>1106</v>
      </c>
      <c r="V153" s="241">
        <v>3</v>
      </c>
      <c r="W153" s="517">
        <v>36892</v>
      </c>
      <c r="X153" s="517">
        <v>36525</v>
      </c>
      <c r="Y153" s="241">
        <v>0</v>
      </c>
      <c r="Z153" s="241">
        <v>1</v>
      </c>
    </row>
    <row r="154" spans="1:26" x14ac:dyDescent="0.25">
      <c r="A154" s="241">
        <v>30192</v>
      </c>
      <c r="B154" s="241" t="s">
        <v>1107</v>
      </c>
      <c r="C154" s="241" t="s">
        <v>1108</v>
      </c>
      <c r="G154" s="241" t="s">
        <v>650</v>
      </c>
      <c r="H154" s="241" t="s">
        <v>769</v>
      </c>
      <c r="I154" s="241">
        <v>1</v>
      </c>
      <c r="J154" s="241" t="s">
        <v>1108</v>
      </c>
      <c r="N154" s="241" t="s">
        <v>650</v>
      </c>
      <c r="O154" s="241" t="s">
        <v>769</v>
      </c>
      <c r="P154" s="241">
        <v>1</v>
      </c>
      <c r="R154" s="241">
        <v>4</v>
      </c>
      <c r="S154" s="241">
        <v>29747</v>
      </c>
      <c r="T154" s="241" t="s">
        <v>666</v>
      </c>
      <c r="U154" s="241" t="s">
        <v>1109</v>
      </c>
      <c r="V154" s="241">
        <v>3</v>
      </c>
      <c r="W154" s="517">
        <v>36892</v>
      </c>
      <c r="X154" s="517">
        <v>36525</v>
      </c>
      <c r="Y154" s="241">
        <v>0</v>
      </c>
      <c r="Z154" s="241">
        <v>1</v>
      </c>
    </row>
    <row r="155" spans="1:26" x14ac:dyDescent="0.25">
      <c r="A155" s="241">
        <v>30195</v>
      </c>
      <c r="B155" s="241" t="s">
        <v>1110</v>
      </c>
      <c r="C155" s="241" t="s">
        <v>1111</v>
      </c>
      <c r="G155" s="241" t="s">
        <v>556</v>
      </c>
      <c r="H155" s="241" t="s">
        <v>1112</v>
      </c>
      <c r="I155" s="241">
        <v>1</v>
      </c>
      <c r="J155" s="241" t="s">
        <v>1111</v>
      </c>
      <c r="N155" s="241" t="s">
        <v>556</v>
      </c>
      <c r="O155" s="241" t="s">
        <v>1112</v>
      </c>
      <c r="P155" s="241">
        <v>1</v>
      </c>
      <c r="R155" s="241">
        <v>2</v>
      </c>
      <c r="S155" s="241">
        <v>29747</v>
      </c>
      <c r="T155" s="241" t="s">
        <v>666</v>
      </c>
      <c r="U155" s="241" t="s">
        <v>1113</v>
      </c>
      <c r="V155" s="241">
        <v>3</v>
      </c>
      <c r="W155" s="517">
        <v>36892</v>
      </c>
      <c r="X155" s="517">
        <v>36525</v>
      </c>
      <c r="Y155" s="241">
        <v>0</v>
      </c>
      <c r="Z155" s="241">
        <v>1</v>
      </c>
    </row>
    <row r="156" spans="1:26" x14ac:dyDescent="0.25">
      <c r="A156" s="241">
        <v>2385</v>
      </c>
      <c r="B156" s="241" t="s">
        <v>1114</v>
      </c>
      <c r="C156" s="241" t="s">
        <v>1115</v>
      </c>
      <c r="G156" s="241" t="s">
        <v>650</v>
      </c>
      <c r="H156" s="241" t="s">
        <v>1116</v>
      </c>
      <c r="I156" s="241">
        <v>1</v>
      </c>
      <c r="J156" s="241" t="s">
        <v>1115</v>
      </c>
      <c r="N156" s="241" t="s">
        <v>650</v>
      </c>
      <c r="O156" s="241" t="s">
        <v>1116</v>
      </c>
      <c r="P156" s="241">
        <v>1</v>
      </c>
      <c r="R156" s="241">
        <v>4</v>
      </c>
      <c r="S156" s="241">
        <v>0</v>
      </c>
      <c r="U156" s="241" t="s">
        <v>656</v>
      </c>
      <c r="V156" s="241">
        <v>3</v>
      </c>
      <c r="W156" s="517">
        <v>36892</v>
      </c>
      <c r="X156" s="517">
        <v>36525</v>
      </c>
      <c r="Y156" s="241">
        <v>1</v>
      </c>
      <c r="Z156" s="241">
        <v>1</v>
      </c>
    </row>
    <row r="157" spans="1:26" x14ac:dyDescent="0.25">
      <c r="A157" s="241">
        <v>10583</v>
      </c>
      <c r="B157" s="241" t="s">
        <v>1117</v>
      </c>
      <c r="C157" s="241" t="s">
        <v>1118</v>
      </c>
      <c r="G157" s="241" t="s">
        <v>650</v>
      </c>
      <c r="H157" s="241" t="s">
        <v>1119</v>
      </c>
      <c r="I157" s="241">
        <v>1</v>
      </c>
      <c r="J157" s="241" t="s">
        <v>1118</v>
      </c>
      <c r="N157" s="241" t="s">
        <v>650</v>
      </c>
      <c r="O157" s="241" t="s">
        <v>1119</v>
      </c>
      <c r="P157" s="241">
        <v>1</v>
      </c>
      <c r="R157" s="241">
        <v>1</v>
      </c>
      <c r="S157" s="241">
        <v>0</v>
      </c>
      <c r="U157" s="241" t="s">
        <v>656</v>
      </c>
      <c r="V157" s="241">
        <v>1</v>
      </c>
      <c r="W157" s="517">
        <v>36892</v>
      </c>
      <c r="X157" s="517">
        <v>36525</v>
      </c>
      <c r="Y157" s="241">
        <v>1</v>
      </c>
      <c r="Z157" s="241">
        <v>1</v>
      </c>
    </row>
    <row r="158" spans="1:26" x14ac:dyDescent="0.25">
      <c r="A158" s="241">
        <v>10312</v>
      </c>
      <c r="B158" s="241" t="s">
        <v>1120</v>
      </c>
      <c r="C158" s="241" t="s">
        <v>1121</v>
      </c>
      <c r="G158" s="241" t="s">
        <v>1122</v>
      </c>
      <c r="H158" s="241" t="s">
        <v>1123</v>
      </c>
      <c r="I158" s="241">
        <v>12</v>
      </c>
      <c r="J158" s="241" t="s">
        <v>1121</v>
      </c>
      <c r="N158" s="241" t="s">
        <v>1122</v>
      </c>
      <c r="O158" s="241" t="s">
        <v>1123</v>
      </c>
      <c r="P158" s="241">
        <v>12</v>
      </c>
      <c r="R158" s="241">
        <v>3</v>
      </c>
      <c r="S158" s="241">
        <v>0</v>
      </c>
      <c r="U158" s="241" t="s">
        <v>656</v>
      </c>
      <c r="V158" s="241">
        <v>3</v>
      </c>
      <c r="W158" s="517">
        <v>36892</v>
      </c>
      <c r="X158" s="517">
        <v>36525</v>
      </c>
      <c r="Y158" s="241">
        <v>1</v>
      </c>
      <c r="Z158" s="241">
        <v>1</v>
      </c>
    </row>
    <row r="159" spans="1:26" x14ac:dyDescent="0.25">
      <c r="A159" s="241">
        <v>2189</v>
      </c>
      <c r="B159" s="241" t="s">
        <v>1124</v>
      </c>
      <c r="C159" s="241" t="s">
        <v>1125</v>
      </c>
      <c r="G159" s="241" t="s">
        <v>650</v>
      </c>
      <c r="H159" s="241" t="s">
        <v>825</v>
      </c>
      <c r="I159" s="241">
        <v>1</v>
      </c>
      <c r="J159" s="241" t="s">
        <v>1125</v>
      </c>
      <c r="N159" s="241" t="s">
        <v>650</v>
      </c>
      <c r="O159" s="241" t="s">
        <v>825</v>
      </c>
      <c r="P159" s="241">
        <v>1</v>
      </c>
      <c r="R159" s="241">
        <v>7</v>
      </c>
      <c r="S159" s="241">
        <v>0</v>
      </c>
      <c r="U159" s="241" t="s">
        <v>656</v>
      </c>
      <c r="V159" s="241">
        <v>3</v>
      </c>
      <c r="W159" s="517">
        <v>36892</v>
      </c>
      <c r="X159" s="517">
        <v>36525</v>
      </c>
      <c r="Y159" s="241">
        <v>1</v>
      </c>
      <c r="Z159" s="241">
        <v>1</v>
      </c>
    </row>
    <row r="160" spans="1:26" x14ac:dyDescent="0.25">
      <c r="A160" s="241">
        <v>2161</v>
      </c>
      <c r="B160" s="241" t="s">
        <v>1126</v>
      </c>
      <c r="C160" s="241" t="s">
        <v>1127</v>
      </c>
      <c r="G160" s="241" t="s">
        <v>650</v>
      </c>
      <c r="H160" s="241" t="s">
        <v>1128</v>
      </c>
      <c r="I160" s="241">
        <v>1</v>
      </c>
      <c r="J160" s="241" t="s">
        <v>1127</v>
      </c>
      <c r="N160" s="241" t="s">
        <v>650</v>
      </c>
      <c r="O160" s="241" t="s">
        <v>1128</v>
      </c>
      <c r="P160" s="241">
        <v>1</v>
      </c>
      <c r="R160" s="241">
        <v>4</v>
      </c>
      <c r="S160" s="241">
        <v>0</v>
      </c>
      <c r="U160" s="241" t="s">
        <v>656</v>
      </c>
      <c r="V160" s="241">
        <v>3</v>
      </c>
      <c r="W160" s="517">
        <v>36892</v>
      </c>
      <c r="X160" s="517">
        <v>36525</v>
      </c>
      <c r="Y160" s="241">
        <v>0</v>
      </c>
      <c r="Z160" s="241">
        <v>1</v>
      </c>
    </row>
    <row r="161" spans="1:26" x14ac:dyDescent="0.25">
      <c r="A161" s="241">
        <v>2378</v>
      </c>
      <c r="B161" s="241" t="s">
        <v>1129</v>
      </c>
      <c r="C161" s="241" t="s">
        <v>1130</v>
      </c>
      <c r="G161" s="241" t="s">
        <v>650</v>
      </c>
      <c r="H161" s="241" t="s">
        <v>877</v>
      </c>
      <c r="I161" s="241">
        <v>1</v>
      </c>
      <c r="J161" s="241" t="s">
        <v>1130</v>
      </c>
      <c r="N161" s="241" t="s">
        <v>650</v>
      </c>
      <c r="O161" s="241" t="s">
        <v>877</v>
      </c>
      <c r="P161" s="241">
        <v>1</v>
      </c>
      <c r="R161" s="241">
        <v>4</v>
      </c>
      <c r="S161" s="241">
        <v>0</v>
      </c>
      <c r="U161" s="241" t="s">
        <v>656</v>
      </c>
      <c r="V161" s="241">
        <v>3</v>
      </c>
      <c r="W161" s="517">
        <v>36892</v>
      </c>
      <c r="X161" s="517">
        <v>36525</v>
      </c>
      <c r="Y161" s="241">
        <v>1</v>
      </c>
      <c r="Z161" s="241">
        <v>1</v>
      </c>
    </row>
    <row r="162" spans="1:26" x14ac:dyDescent="0.25">
      <c r="A162" s="241">
        <v>10534</v>
      </c>
      <c r="B162" s="241" t="s">
        <v>1131</v>
      </c>
      <c r="C162" s="241" t="s">
        <v>1132</v>
      </c>
      <c r="G162" s="241" t="s">
        <v>650</v>
      </c>
      <c r="H162" s="241" t="s">
        <v>885</v>
      </c>
      <c r="I162" s="241">
        <v>1</v>
      </c>
      <c r="J162" s="241" t="s">
        <v>1132</v>
      </c>
      <c r="N162" s="241" t="s">
        <v>650</v>
      </c>
      <c r="O162" s="241" t="s">
        <v>885</v>
      </c>
      <c r="P162" s="241">
        <v>1</v>
      </c>
      <c r="R162" s="241">
        <v>2</v>
      </c>
      <c r="S162" s="241">
        <v>0</v>
      </c>
      <c r="U162" s="241" t="s">
        <v>656</v>
      </c>
      <c r="V162" s="241">
        <v>3</v>
      </c>
      <c r="W162" s="517">
        <v>36892</v>
      </c>
      <c r="X162" s="517">
        <v>36525</v>
      </c>
      <c r="Y162" s="241">
        <v>1</v>
      </c>
      <c r="Z162" s="241">
        <v>1</v>
      </c>
    </row>
    <row r="163" spans="1:26" x14ac:dyDescent="0.25">
      <c r="A163" s="241">
        <v>2173</v>
      </c>
      <c r="B163" s="241" t="s">
        <v>1133</v>
      </c>
      <c r="C163" s="241" t="s">
        <v>1134</v>
      </c>
      <c r="G163" s="241" t="s">
        <v>650</v>
      </c>
      <c r="H163" s="241" t="s">
        <v>819</v>
      </c>
      <c r="I163" s="241">
        <v>1</v>
      </c>
      <c r="J163" s="241" t="s">
        <v>1134</v>
      </c>
      <c r="N163" s="241" t="s">
        <v>650</v>
      </c>
      <c r="O163" s="241" t="s">
        <v>819</v>
      </c>
      <c r="P163" s="241">
        <v>1</v>
      </c>
      <c r="R163" s="241">
        <v>5</v>
      </c>
      <c r="S163" s="241">
        <v>0</v>
      </c>
      <c r="U163" s="241" t="s">
        <v>656</v>
      </c>
      <c r="V163" s="241">
        <v>3</v>
      </c>
      <c r="W163" s="517">
        <v>36892</v>
      </c>
      <c r="X163" s="517">
        <v>36525</v>
      </c>
      <c r="Y163" s="241">
        <v>0</v>
      </c>
      <c r="Z163" s="241">
        <v>1</v>
      </c>
    </row>
    <row r="164" spans="1:26" x14ac:dyDescent="0.25">
      <c r="A164" s="241">
        <v>10214</v>
      </c>
      <c r="B164" s="241" t="s">
        <v>1135</v>
      </c>
      <c r="C164" s="241" t="s">
        <v>1136</v>
      </c>
      <c r="G164" s="241" t="s">
        <v>650</v>
      </c>
      <c r="H164" s="241" t="s">
        <v>1137</v>
      </c>
      <c r="I164" s="241">
        <v>1</v>
      </c>
      <c r="J164" s="241" t="s">
        <v>1136</v>
      </c>
      <c r="N164" s="241" t="s">
        <v>650</v>
      </c>
      <c r="O164" s="241" t="s">
        <v>1137</v>
      </c>
      <c r="P164" s="241">
        <v>1</v>
      </c>
      <c r="R164" s="241">
        <v>7</v>
      </c>
      <c r="S164" s="241">
        <v>0</v>
      </c>
      <c r="U164" s="241" t="s">
        <v>656</v>
      </c>
      <c r="V164" s="241">
        <v>3</v>
      </c>
      <c r="W164" s="517">
        <v>36892</v>
      </c>
      <c r="X164" s="517">
        <v>36525</v>
      </c>
      <c r="Y164" s="241">
        <v>0</v>
      </c>
      <c r="Z164" s="241">
        <v>1</v>
      </c>
    </row>
    <row r="165" spans="1:26" x14ac:dyDescent="0.25">
      <c r="A165" s="241">
        <v>2207</v>
      </c>
      <c r="B165" s="241" t="s">
        <v>1138</v>
      </c>
      <c r="C165" s="241" t="s">
        <v>1139</v>
      </c>
      <c r="G165" s="241" t="s">
        <v>650</v>
      </c>
      <c r="H165" s="241" t="s">
        <v>1140</v>
      </c>
      <c r="I165" s="241">
        <v>1</v>
      </c>
      <c r="J165" s="241" t="s">
        <v>1139</v>
      </c>
      <c r="N165" s="241" t="s">
        <v>650</v>
      </c>
      <c r="O165" s="241" t="s">
        <v>1140</v>
      </c>
      <c r="P165" s="241">
        <v>1</v>
      </c>
      <c r="R165" s="241">
        <v>3</v>
      </c>
      <c r="S165" s="241">
        <v>0</v>
      </c>
      <c r="U165" s="241" t="s">
        <v>656</v>
      </c>
      <c r="V165" s="241">
        <v>3</v>
      </c>
      <c r="W165" s="517">
        <v>36892</v>
      </c>
      <c r="X165" s="517">
        <v>36525</v>
      </c>
      <c r="Y165" s="241">
        <v>0</v>
      </c>
      <c r="Z165" s="241">
        <v>1</v>
      </c>
    </row>
    <row r="166" spans="1:26" x14ac:dyDescent="0.25">
      <c r="A166" s="241">
        <v>2242</v>
      </c>
      <c r="B166" s="241" t="s">
        <v>1141</v>
      </c>
      <c r="C166" s="241" t="s">
        <v>1142</v>
      </c>
      <c r="G166" s="241" t="s">
        <v>650</v>
      </c>
      <c r="H166" s="241" t="s">
        <v>1143</v>
      </c>
      <c r="I166" s="241">
        <v>1</v>
      </c>
      <c r="J166" s="241" t="s">
        <v>1142</v>
      </c>
      <c r="N166" s="241" t="s">
        <v>650</v>
      </c>
      <c r="O166" s="241" t="s">
        <v>1143</v>
      </c>
      <c r="P166" s="241">
        <v>1</v>
      </c>
      <c r="R166" s="241">
        <v>8</v>
      </c>
      <c r="S166" s="241">
        <v>0</v>
      </c>
      <c r="U166" s="241" t="s">
        <v>1144</v>
      </c>
      <c r="V166" s="241">
        <v>3</v>
      </c>
      <c r="W166" s="517">
        <v>36892</v>
      </c>
      <c r="X166" s="517">
        <v>36525</v>
      </c>
      <c r="Y166" s="241">
        <v>0</v>
      </c>
      <c r="Z166" s="241">
        <v>1</v>
      </c>
    </row>
    <row r="167" spans="1:26" x14ac:dyDescent="0.25">
      <c r="A167" s="241">
        <v>10510</v>
      </c>
      <c r="B167" s="241" t="s">
        <v>1145</v>
      </c>
      <c r="C167" s="241" t="s">
        <v>1146</v>
      </c>
      <c r="G167" s="241" t="s">
        <v>650</v>
      </c>
      <c r="H167" s="241" t="s">
        <v>752</v>
      </c>
      <c r="I167" s="241">
        <v>1</v>
      </c>
      <c r="J167" s="241" t="s">
        <v>1146</v>
      </c>
      <c r="N167" s="241" t="s">
        <v>650</v>
      </c>
      <c r="O167" s="241" t="s">
        <v>752</v>
      </c>
      <c r="P167" s="241">
        <v>1</v>
      </c>
      <c r="R167" s="241">
        <v>6</v>
      </c>
      <c r="S167" s="241">
        <v>29747</v>
      </c>
      <c r="T167" s="241" t="s">
        <v>666</v>
      </c>
      <c r="U167" s="241" t="s">
        <v>1147</v>
      </c>
      <c r="V167" s="241">
        <v>3</v>
      </c>
      <c r="W167" s="517">
        <v>36892</v>
      </c>
      <c r="X167" s="517">
        <v>36525</v>
      </c>
      <c r="Y167" s="241">
        <v>1</v>
      </c>
      <c r="Z167" s="241">
        <v>1</v>
      </c>
    </row>
    <row r="168" spans="1:26" x14ac:dyDescent="0.25">
      <c r="A168" s="241">
        <v>30198</v>
      </c>
      <c r="B168" s="241" t="s">
        <v>1148</v>
      </c>
      <c r="C168" s="241" t="s">
        <v>1149</v>
      </c>
      <c r="G168" s="241" t="s">
        <v>1150</v>
      </c>
      <c r="H168" s="241" t="s">
        <v>1151</v>
      </c>
      <c r="I168" s="241">
        <v>2</v>
      </c>
      <c r="R168" s="241">
        <v>1</v>
      </c>
      <c r="S168" s="241">
        <v>29747</v>
      </c>
      <c r="T168" s="241" t="s">
        <v>666</v>
      </c>
      <c r="U168" s="241" t="s">
        <v>1152</v>
      </c>
      <c r="V168" s="241">
        <v>1</v>
      </c>
      <c r="W168" s="517">
        <v>36892</v>
      </c>
      <c r="X168" s="517">
        <v>36525</v>
      </c>
      <c r="Y168" s="241">
        <v>0</v>
      </c>
      <c r="Z168" s="241">
        <v>1</v>
      </c>
    </row>
    <row r="169" spans="1:26" x14ac:dyDescent="0.25">
      <c r="A169" s="241">
        <v>10515</v>
      </c>
      <c r="B169" s="241" t="s">
        <v>1153</v>
      </c>
      <c r="C169" s="241" t="s">
        <v>1154</v>
      </c>
      <c r="G169" s="241" t="s">
        <v>650</v>
      </c>
      <c r="H169" s="241" t="s">
        <v>1155</v>
      </c>
      <c r="I169" s="241">
        <v>1</v>
      </c>
      <c r="J169" s="241" t="s">
        <v>1154</v>
      </c>
      <c r="N169" s="241" t="s">
        <v>650</v>
      </c>
      <c r="O169" s="241" t="s">
        <v>1155</v>
      </c>
      <c r="P169" s="241">
        <v>1</v>
      </c>
      <c r="R169" s="241">
        <v>6</v>
      </c>
      <c r="S169" s="241">
        <v>0</v>
      </c>
      <c r="U169" s="241" t="s">
        <v>656</v>
      </c>
      <c r="V169" s="241">
        <v>3</v>
      </c>
      <c r="W169" s="517">
        <v>36892</v>
      </c>
      <c r="X169" s="517">
        <v>36525</v>
      </c>
      <c r="Y169" s="241">
        <v>1</v>
      </c>
      <c r="Z169" s="241">
        <v>1</v>
      </c>
    </row>
    <row r="170" spans="1:26" x14ac:dyDescent="0.25">
      <c r="A170" s="241">
        <v>10364</v>
      </c>
      <c r="B170" s="241" t="s">
        <v>1156</v>
      </c>
      <c r="C170" s="241" t="s">
        <v>1157</v>
      </c>
      <c r="G170" s="241" t="s">
        <v>897</v>
      </c>
      <c r="H170" s="241" t="s">
        <v>1158</v>
      </c>
      <c r="I170" s="241">
        <v>12</v>
      </c>
      <c r="J170" s="241" t="s">
        <v>1157</v>
      </c>
      <c r="N170" s="241" t="s">
        <v>897</v>
      </c>
      <c r="O170" s="241" t="s">
        <v>1158</v>
      </c>
      <c r="P170" s="241">
        <v>12</v>
      </c>
      <c r="R170" s="241">
        <v>2</v>
      </c>
      <c r="S170" s="241">
        <v>0</v>
      </c>
      <c r="U170" s="241" t="s">
        <v>656</v>
      </c>
      <c r="V170" s="241">
        <v>3</v>
      </c>
      <c r="W170" s="517">
        <v>36892</v>
      </c>
      <c r="X170" s="517">
        <v>36525</v>
      </c>
      <c r="Y170" s="241">
        <v>1</v>
      </c>
      <c r="Z170" s="241">
        <v>1</v>
      </c>
    </row>
    <row r="171" spans="1:26" x14ac:dyDescent="0.25">
      <c r="A171" s="241">
        <v>10326</v>
      </c>
      <c r="B171" s="241" t="s">
        <v>1159</v>
      </c>
      <c r="C171" s="241" t="s">
        <v>1160</v>
      </c>
      <c r="G171" s="241" t="s">
        <v>650</v>
      </c>
      <c r="H171" s="241" t="s">
        <v>1161</v>
      </c>
      <c r="I171" s="241">
        <v>1</v>
      </c>
      <c r="J171" s="241" t="s">
        <v>1160</v>
      </c>
      <c r="N171" s="241" t="s">
        <v>650</v>
      </c>
      <c r="O171" s="241" t="s">
        <v>1161</v>
      </c>
      <c r="P171" s="241">
        <v>1</v>
      </c>
      <c r="R171" s="241">
        <v>4</v>
      </c>
      <c r="S171" s="241">
        <v>0</v>
      </c>
      <c r="U171" s="241" t="s">
        <v>656</v>
      </c>
      <c r="V171" s="241">
        <v>3</v>
      </c>
      <c r="W171" s="517">
        <v>36892</v>
      </c>
      <c r="X171" s="517">
        <v>36525</v>
      </c>
      <c r="Y171" s="241">
        <v>0</v>
      </c>
      <c r="Z171" s="241">
        <v>1</v>
      </c>
    </row>
    <row r="172" spans="1:26" x14ac:dyDescent="0.25">
      <c r="A172" s="241">
        <v>30100</v>
      </c>
      <c r="B172" s="241" t="s">
        <v>1162</v>
      </c>
      <c r="I172" s="241">
        <v>1</v>
      </c>
      <c r="P172" s="241">
        <v>1</v>
      </c>
      <c r="R172" s="241">
        <v>1</v>
      </c>
      <c r="S172" s="241">
        <v>29747</v>
      </c>
      <c r="T172" s="241" t="s">
        <v>666</v>
      </c>
      <c r="U172" s="241" t="s">
        <v>1163</v>
      </c>
      <c r="V172" s="241">
        <v>3</v>
      </c>
      <c r="W172" s="517">
        <v>36892</v>
      </c>
      <c r="X172" s="517">
        <v>36525</v>
      </c>
      <c r="Y172" s="241">
        <v>0</v>
      </c>
      <c r="Z172" s="241">
        <v>1</v>
      </c>
    </row>
    <row r="173" spans="1:26" x14ac:dyDescent="0.25">
      <c r="A173" s="241">
        <v>30206</v>
      </c>
      <c r="B173" s="241" t="s">
        <v>1164</v>
      </c>
      <c r="C173" s="241" t="s">
        <v>1165</v>
      </c>
      <c r="G173" s="241" t="s">
        <v>1166</v>
      </c>
      <c r="H173" s="241" t="s">
        <v>1167</v>
      </c>
      <c r="I173" s="241">
        <v>2</v>
      </c>
      <c r="J173" s="241" t="s">
        <v>1165</v>
      </c>
      <c r="N173" s="241" t="s">
        <v>1166</v>
      </c>
      <c r="O173" s="241" t="s">
        <v>1167</v>
      </c>
      <c r="P173" s="241">
        <v>2</v>
      </c>
      <c r="R173" s="241">
        <v>2</v>
      </c>
      <c r="S173" s="241">
        <v>29747</v>
      </c>
      <c r="T173" s="241" t="s">
        <v>666</v>
      </c>
      <c r="U173" s="241" t="s">
        <v>1168</v>
      </c>
      <c r="V173" s="241">
        <v>3</v>
      </c>
      <c r="W173" s="517">
        <v>36892</v>
      </c>
      <c r="X173" s="517">
        <v>36525</v>
      </c>
      <c r="Y173" s="241">
        <v>0</v>
      </c>
      <c r="Z173" s="241">
        <v>1</v>
      </c>
    </row>
    <row r="174" spans="1:26" x14ac:dyDescent="0.25">
      <c r="A174" s="241">
        <v>4008</v>
      </c>
      <c r="B174" s="241" t="s">
        <v>1169</v>
      </c>
      <c r="C174" s="241" t="s">
        <v>1170</v>
      </c>
      <c r="G174" s="241" t="s">
        <v>650</v>
      </c>
      <c r="H174" s="241" t="s">
        <v>1171</v>
      </c>
      <c r="I174" s="241">
        <v>1</v>
      </c>
      <c r="J174" s="241" t="s">
        <v>1170</v>
      </c>
      <c r="N174" s="241" t="s">
        <v>650</v>
      </c>
      <c r="O174" s="241" t="s">
        <v>1171</v>
      </c>
      <c r="P174" s="241">
        <v>1</v>
      </c>
      <c r="R174" s="241">
        <v>6</v>
      </c>
      <c r="S174" s="241">
        <v>0</v>
      </c>
      <c r="U174" s="241" t="s">
        <v>656</v>
      </c>
      <c r="V174" s="241">
        <v>3</v>
      </c>
      <c r="W174" s="517">
        <v>36892</v>
      </c>
      <c r="X174" s="517">
        <v>36525</v>
      </c>
      <c r="Y174" s="241">
        <v>0</v>
      </c>
      <c r="Z174" s="241">
        <v>1</v>
      </c>
    </row>
    <row r="175" spans="1:26" x14ac:dyDescent="0.25">
      <c r="A175" s="241">
        <v>2365</v>
      </c>
      <c r="B175" s="241" t="s">
        <v>1172</v>
      </c>
      <c r="C175" s="241" t="s">
        <v>1173</v>
      </c>
      <c r="G175" s="241" t="s">
        <v>650</v>
      </c>
      <c r="H175" s="241" t="s">
        <v>1174</v>
      </c>
      <c r="I175" s="241">
        <v>1</v>
      </c>
      <c r="J175" s="241" t="s">
        <v>1173</v>
      </c>
      <c r="N175" s="241" t="s">
        <v>650</v>
      </c>
      <c r="O175" s="241" t="s">
        <v>1174</v>
      </c>
      <c r="P175" s="241">
        <v>1</v>
      </c>
      <c r="R175" s="241">
        <v>9</v>
      </c>
      <c r="S175" s="241">
        <v>0</v>
      </c>
      <c r="U175" s="241" t="s">
        <v>656</v>
      </c>
      <c r="V175" s="241">
        <v>3</v>
      </c>
      <c r="W175" s="517">
        <v>36892</v>
      </c>
      <c r="X175" s="517">
        <v>36525</v>
      </c>
      <c r="Y175" s="241">
        <v>0</v>
      </c>
      <c r="Z175" s="241">
        <v>1</v>
      </c>
    </row>
    <row r="176" spans="1:26" x14ac:dyDescent="0.25">
      <c r="A176" s="241">
        <v>10385</v>
      </c>
      <c r="B176" s="241" t="s">
        <v>1175</v>
      </c>
      <c r="C176" s="241" t="s">
        <v>1176</v>
      </c>
      <c r="G176" s="241" t="s">
        <v>650</v>
      </c>
      <c r="H176" s="241" t="s">
        <v>825</v>
      </c>
      <c r="I176" s="241">
        <v>1</v>
      </c>
      <c r="J176" s="241" t="s">
        <v>1176</v>
      </c>
      <c r="N176" s="241" t="s">
        <v>650</v>
      </c>
      <c r="O176" s="241" t="s">
        <v>825</v>
      </c>
      <c r="P176" s="241">
        <v>1</v>
      </c>
      <c r="R176" s="241">
        <v>9</v>
      </c>
      <c r="S176" s="241">
        <v>0</v>
      </c>
      <c r="U176" s="241" t="s">
        <v>1177</v>
      </c>
      <c r="V176" s="241">
        <v>3</v>
      </c>
      <c r="W176" s="517">
        <v>36892</v>
      </c>
      <c r="X176" s="517">
        <v>36525</v>
      </c>
      <c r="Y176" s="241">
        <v>0</v>
      </c>
      <c r="Z176" s="241">
        <v>1</v>
      </c>
    </row>
    <row r="177" spans="1:26" x14ac:dyDescent="0.25">
      <c r="A177" s="241">
        <v>2401</v>
      </c>
      <c r="B177" s="241" t="s">
        <v>1178</v>
      </c>
      <c r="C177" s="241" t="s">
        <v>1179</v>
      </c>
      <c r="G177" s="241" t="s">
        <v>650</v>
      </c>
      <c r="H177" s="241" t="s">
        <v>1180</v>
      </c>
      <c r="I177" s="241">
        <v>1</v>
      </c>
      <c r="J177" s="241" t="s">
        <v>1179</v>
      </c>
      <c r="N177" s="241" t="s">
        <v>650</v>
      </c>
      <c r="O177" s="241" t="s">
        <v>1180</v>
      </c>
      <c r="P177" s="241">
        <v>1</v>
      </c>
      <c r="R177" s="241">
        <v>4</v>
      </c>
      <c r="S177" s="241">
        <v>0</v>
      </c>
      <c r="U177" s="241" t="s">
        <v>656</v>
      </c>
      <c r="V177" s="241">
        <v>3</v>
      </c>
      <c r="W177" s="517">
        <v>36892</v>
      </c>
      <c r="X177" s="517">
        <v>36525</v>
      </c>
      <c r="Y177" s="241">
        <v>0</v>
      </c>
      <c r="Z177" s="241">
        <v>1</v>
      </c>
    </row>
    <row r="178" spans="1:26" x14ac:dyDescent="0.25">
      <c r="A178" s="241">
        <v>2395</v>
      </c>
      <c r="B178" s="241" t="s">
        <v>1181</v>
      </c>
      <c r="C178" s="241" t="s">
        <v>1182</v>
      </c>
      <c r="G178" s="241" t="s">
        <v>650</v>
      </c>
      <c r="H178" s="241" t="s">
        <v>1183</v>
      </c>
      <c r="I178" s="241">
        <v>1</v>
      </c>
      <c r="J178" s="241" t="s">
        <v>1182</v>
      </c>
      <c r="N178" s="241" t="s">
        <v>650</v>
      </c>
      <c r="O178" s="241" t="s">
        <v>1183</v>
      </c>
      <c r="P178" s="241">
        <v>1</v>
      </c>
      <c r="R178" s="241">
        <v>6</v>
      </c>
      <c r="S178" s="241">
        <v>0</v>
      </c>
      <c r="U178" s="241" t="s">
        <v>1184</v>
      </c>
      <c r="V178" s="241">
        <v>3</v>
      </c>
      <c r="W178" s="517">
        <v>36892</v>
      </c>
      <c r="X178" s="517">
        <v>36525</v>
      </c>
      <c r="Y178" s="241">
        <v>0</v>
      </c>
      <c r="Z178" s="241">
        <v>1</v>
      </c>
    </row>
    <row r="179" spans="1:26" x14ac:dyDescent="0.25">
      <c r="A179" s="241">
        <v>10439</v>
      </c>
      <c r="B179" s="241" t="s">
        <v>1185</v>
      </c>
      <c r="C179" s="241" t="s">
        <v>1186</v>
      </c>
      <c r="G179" s="241" t="s">
        <v>650</v>
      </c>
      <c r="H179" s="241" t="s">
        <v>863</v>
      </c>
      <c r="I179" s="241">
        <v>1</v>
      </c>
      <c r="J179" s="241" t="s">
        <v>1186</v>
      </c>
      <c r="N179" s="241" t="s">
        <v>650</v>
      </c>
      <c r="O179" s="241" t="s">
        <v>863</v>
      </c>
      <c r="P179" s="241">
        <v>1</v>
      </c>
      <c r="R179" s="241">
        <v>10</v>
      </c>
      <c r="S179" s="241">
        <v>29747</v>
      </c>
      <c r="T179" s="241" t="s">
        <v>666</v>
      </c>
      <c r="U179" s="241" t="s">
        <v>1187</v>
      </c>
      <c r="V179" s="241">
        <v>3</v>
      </c>
      <c r="W179" s="517">
        <v>36892</v>
      </c>
      <c r="X179" s="517">
        <v>36525</v>
      </c>
      <c r="Y179" s="241">
        <v>1</v>
      </c>
      <c r="Z179" s="241">
        <v>1</v>
      </c>
    </row>
    <row r="180" spans="1:26" x14ac:dyDescent="0.25">
      <c r="A180" s="241">
        <v>10398</v>
      </c>
      <c r="B180" s="241" t="s">
        <v>1188</v>
      </c>
      <c r="C180" s="241" t="s">
        <v>1189</v>
      </c>
      <c r="G180" s="241" t="s">
        <v>650</v>
      </c>
      <c r="H180" s="241" t="s">
        <v>963</v>
      </c>
      <c r="I180" s="241">
        <v>1</v>
      </c>
      <c r="J180" s="241" t="s">
        <v>1189</v>
      </c>
      <c r="N180" s="241" t="s">
        <v>650</v>
      </c>
      <c r="O180" s="241" t="s">
        <v>963</v>
      </c>
      <c r="P180" s="241">
        <v>1</v>
      </c>
      <c r="R180" s="241">
        <v>7</v>
      </c>
      <c r="S180" s="241">
        <v>0</v>
      </c>
      <c r="U180" s="241" t="s">
        <v>1190</v>
      </c>
      <c r="V180" s="241">
        <v>3</v>
      </c>
      <c r="W180" s="517">
        <v>36892</v>
      </c>
      <c r="X180" s="517">
        <v>36525</v>
      </c>
      <c r="Y180" s="241">
        <v>0</v>
      </c>
      <c r="Z180" s="241">
        <v>1</v>
      </c>
    </row>
    <row r="181" spans="1:26" x14ac:dyDescent="0.25">
      <c r="A181" s="241">
        <v>2444</v>
      </c>
      <c r="B181" s="241" t="s">
        <v>1191</v>
      </c>
      <c r="C181" s="241" t="s">
        <v>1192</v>
      </c>
      <c r="G181" s="241" t="s">
        <v>650</v>
      </c>
      <c r="H181" s="241" t="s">
        <v>662</v>
      </c>
      <c r="I181" s="241">
        <v>1</v>
      </c>
      <c r="J181" s="241" t="s">
        <v>1192</v>
      </c>
      <c r="N181" s="241" t="s">
        <v>650</v>
      </c>
      <c r="O181" s="241" t="s">
        <v>662</v>
      </c>
      <c r="P181" s="241">
        <v>1</v>
      </c>
      <c r="R181" s="241">
        <v>4</v>
      </c>
      <c r="S181" s="241">
        <v>0</v>
      </c>
      <c r="U181" s="241" t="s">
        <v>656</v>
      </c>
      <c r="V181" s="241">
        <v>3</v>
      </c>
      <c r="W181" s="517">
        <v>36892</v>
      </c>
      <c r="X181" s="517">
        <v>36525</v>
      </c>
      <c r="Y181" s="241">
        <v>0</v>
      </c>
      <c r="Z181" s="241">
        <v>1</v>
      </c>
    </row>
    <row r="182" spans="1:26" x14ac:dyDescent="0.25">
      <c r="A182" s="241">
        <v>10516</v>
      </c>
      <c r="B182" s="241" t="s">
        <v>1193</v>
      </c>
      <c r="C182" s="241" t="s">
        <v>1194</v>
      </c>
      <c r="G182" s="241" t="s">
        <v>650</v>
      </c>
      <c r="H182" s="241" t="s">
        <v>1195</v>
      </c>
      <c r="I182" s="241">
        <v>1</v>
      </c>
      <c r="J182" s="241" t="s">
        <v>1194</v>
      </c>
      <c r="N182" s="241" t="s">
        <v>650</v>
      </c>
      <c r="O182" s="241" t="s">
        <v>1195</v>
      </c>
      <c r="P182" s="241">
        <v>1</v>
      </c>
      <c r="R182" s="241">
        <v>2</v>
      </c>
      <c r="S182" s="241">
        <v>0</v>
      </c>
      <c r="U182" s="241" t="s">
        <v>656</v>
      </c>
      <c r="V182" s="241">
        <v>3</v>
      </c>
      <c r="W182" s="517">
        <v>36892</v>
      </c>
      <c r="X182" s="517">
        <v>36525</v>
      </c>
      <c r="Y182" s="241">
        <v>0</v>
      </c>
      <c r="Z182" s="241">
        <v>1</v>
      </c>
    </row>
    <row r="183" spans="1:26" x14ac:dyDescent="0.25">
      <c r="A183" s="241">
        <v>2450</v>
      </c>
      <c r="B183" s="241" t="s">
        <v>1196</v>
      </c>
      <c r="C183" s="241" t="s">
        <v>1197</v>
      </c>
      <c r="G183" s="241" t="s">
        <v>650</v>
      </c>
      <c r="H183" s="241" t="s">
        <v>1198</v>
      </c>
      <c r="I183" s="241">
        <v>1</v>
      </c>
      <c r="J183" s="241" t="s">
        <v>1197</v>
      </c>
      <c r="N183" s="241" t="s">
        <v>650</v>
      </c>
      <c r="O183" s="241" t="s">
        <v>1198</v>
      </c>
      <c r="P183" s="241">
        <v>1</v>
      </c>
      <c r="Q183" s="241">
        <v>1285</v>
      </c>
      <c r="R183" s="241">
        <v>4</v>
      </c>
      <c r="S183" s="241">
        <v>0</v>
      </c>
      <c r="U183" s="241" t="s">
        <v>656</v>
      </c>
      <c r="V183" s="241">
        <v>3</v>
      </c>
      <c r="W183" s="517">
        <v>36892</v>
      </c>
      <c r="X183" s="517">
        <v>36525</v>
      </c>
      <c r="Y183" s="241">
        <v>1</v>
      </c>
      <c r="Z183" s="241">
        <v>1</v>
      </c>
    </row>
    <row r="184" spans="1:26" x14ac:dyDescent="0.25">
      <c r="A184" s="241">
        <v>2406</v>
      </c>
      <c r="B184" s="241" t="s">
        <v>1199</v>
      </c>
      <c r="C184" s="241" t="s">
        <v>1200</v>
      </c>
      <c r="G184" s="241" t="s">
        <v>650</v>
      </c>
      <c r="H184" s="241" t="s">
        <v>1201</v>
      </c>
      <c r="I184" s="241">
        <v>1</v>
      </c>
      <c r="J184" s="241" t="s">
        <v>1200</v>
      </c>
      <c r="N184" s="241" t="s">
        <v>650</v>
      </c>
      <c r="O184" s="241" t="s">
        <v>1201</v>
      </c>
      <c r="P184" s="241">
        <v>1</v>
      </c>
      <c r="Q184" s="241">
        <v>1285</v>
      </c>
      <c r="R184" s="241">
        <v>5</v>
      </c>
      <c r="S184" s="241">
        <v>0</v>
      </c>
      <c r="U184" s="241" t="s">
        <v>656</v>
      </c>
      <c r="V184" s="241">
        <v>3</v>
      </c>
      <c r="W184" s="517">
        <v>36892</v>
      </c>
      <c r="X184" s="517">
        <v>36525</v>
      </c>
      <c r="Y184" s="241">
        <v>0</v>
      </c>
      <c r="Z184" s="241">
        <v>1</v>
      </c>
    </row>
    <row r="185" spans="1:26" x14ac:dyDescent="0.25">
      <c r="A185" s="241">
        <v>2505</v>
      </c>
      <c r="B185" s="241" t="s">
        <v>1202</v>
      </c>
      <c r="C185" s="241" t="s">
        <v>1203</v>
      </c>
      <c r="G185" s="241" t="s">
        <v>650</v>
      </c>
      <c r="H185" s="241" t="s">
        <v>733</v>
      </c>
      <c r="I185" s="241">
        <v>1</v>
      </c>
      <c r="J185" s="241" t="s">
        <v>1203</v>
      </c>
      <c r="N185" s="241" t="s">
        <v>650</v>
      </c>
      <c r="O185" s="241" t="s">
        <v>733</v>
      </c>
      <c r="P185" s="241">
        <v>1</v>
      </c>
      <c r="R185" s="241">
        <v>5</v>
      </c>
      <c r="S185" s="241">
        <v>0</v>
      </c>
      <c r="U185" s="241" t="s">
        <v>656</v>
      </c>
      <c r="V185" s="241">
        <v>3</v>
      </c>
      <c r="W185" s="517">
        <v>36892</v>
      </c>
      <c r="X185" s="517">
        <v>36525</v>
      </c>
      <c r="Y185" s="241">
        <v>0</v>
      </c>
      <c r="Z185" s="241">
        <v>1</v>
      </c>
    </row>
    <row r="186" spans="1:26" x14ac:dyDescent="0.25">
      <c r="A186" s="241">
        <v>2507</v>
      </c>
      <c r="B186" s="241" t="s">
        <v>1204</v>
      </c>
      <c r="C186" s="241" t="s">
        <v>1205</v>
      </c>
      <c r="G186" s="241" t="s">
        <v>1122</v>
      </c>
      <c r="H186" s="241" t="s">
        <v>1123</v>
      </c>
      <c r="I186" s="241">
        <v>12</v>
      </c>
      <c r="J186" s="241" t="s">
        <v>1205</v>
      </c>
      <c r="N186" s="241" t="s">
        <v>1122</v>
      </c>
      <c r="O186" s="241" t="s">
        <v>1123</v>
      </c>
      <c r="P186" s="241">
        <v>12</v>
      </c>
      <c r="R186" s="241">
        <v>4</v>
      </c>
      <c r="S186" s="241">
        <v>0</v>
      </c>
      <c r="U186" s="241" t="s">
        <v>1206</v>
      </c>
      <c r="V186" s="241">
        <v>3</v>
      </c>
      <c r="W186" s="517">
        <v>36892</v>
      </c>
      <c r="X186" s="517">
        <v>36525</v>
      </c>
      <c r="Y186" s="241">
        <v>0</v>
      </c>
      <c r="Z186" s="241">
        <v>1</v>
      </c>
    </row>
    <row r="187" spans="1:26" x14ac:dyDescent="0.25">
      <c r="A187" s="241">
        <v>2501</v>
      </c>
      <c r="B187" s="241" t="s">
        <v>1207</v>
      </c>
      <c r="C187" s="241" t="s">
        <v>1208</v>
      </c>
      <c r="G187" s="241" t="s">
        <v>213</v>
      </c>
      <c r="H187" s="241" t="s">
        <v>1209</v>
      </c>
      <c r="I187" s="241">
        <v>12</v>
      </c>
      <c r="J187" s="241" t="s">
        <v>1208</v>
      </c>
      <c r="N187" s="241" t="s">
        <v>213</v>
      </c>
      <c r="O187" s="241" t="s">
        <v>1209</v>
      </c>
      <c r="P187" s="241">
        <v>12</v>
      </c>
      <c r="Q187" s="241">
        <v>1285</v>
      </c>
      <c r="R187" s="241">
        <v>3</v>
      </c>
      <c r="S187" s="241">
        <v>0</v>
      </c>
      <c r="U187" s="241" t="s">
        <v>656</v>
      </c>
      <c r="V187" s="241">
        <v>3</v>
      </c>
      <c r="W187" s="517">
        <v>36892</v>
      </c>
      <c r="X187" s="517">
        <v>36525</v>
      </c>
      <c r="Y187" s="241">
        <v>1</v>
      </c>
      <c r="Z187" s="241">
        <v>1</v>
      </c>
    </row>
    <row r="188" spans="1:26" x14ac:dyDescent="0.25">
      <c r="A188" s="241">
        <v>30104</v>
      </c>
      <c r="B188" s="241" t="s">
        <v>1210</v>
      </c>
      <c r="I188" s="241">
        <v>1</v>
      </c>
      <c r="P188" s="241">
        <v>1</v>
      </c>
      <c r="R188" s="241">
        <v>1</v>
      </c>
      <c r="S188" s="241">
        <v>29747</v>
      </c>
      <c r="T188" s="241" t="s">
        <v>666</v>
      </c>
      <c r="U188" s="241" t="s">
        <v>1211</v>
      </c>
      <c r="V188" s="241">
        <v>3</v>
      </c>
      <c r="W188" s="517">
        <v>36892</v>
      </c>
      <c r="X188" s="517">
        <v>36525</v>
      </c>
      <c r="Y188" s="241">
        <v>0</v>
      </c>
      <c r="Z188" s="241">
        <v>1</v>
      </c>
    </row>
    <row r="189" spans="1:26" x14ac:dyDescent="0.25">
      <c r="A189" s="241">
        <v>10475</v>
      </c>
      <c r="B189" s="241" t="s">
        <v>1212</v>
      </c>
      <c r="C189" s="241" t="s">
        <v>1213</v>
      </c>
      <c r="G189" s="241" t="s">
        <v>650</v>
      </c>
      <c r="H189" s="241" t="s">
        <v>834</v>
      </c>
      <c r="I189" s="241">
        <v>1</v>
      </c>
      <c r="J189" s="241" t="s">
        <v>1213</v>
      </c>
      <c r="N189" s="241" t="s">
        <v>650</v>
      </c>
      <c r="O189" s="241" t="s">
        <v>834</v>
      </c>
      <c r="P189" s="241">
        <v>1</v>
      </c>
      <c r="R189" s="241">
        <v>5</v>
      </c>
      <c r="S189" s="241">
        <v>0</v>
      </c>
      <c r="U189" s="241" t="s">
        <v>656</v>
      </c>
      <c r="V189" s="241">
        <v>3</v>
      </c>
      <c r="W189" s="517">
        <v>36892</v>
      </c>
      <c r="X189" s="517">
        <v>36525</v>
      </c>
      <c r="Y189" s="241">
        <v>0</v>
      </c>
      <c r="Z189" s="241">
        <v>1</v>
      </c>
    </row>
    <row r="190" spans="1:26" x14ac:dyDescent="0.25">
      <c r="A190" s="241">
        <v>10421</v>
      </c>
      <c r="B190" s="241" t="s">
        <v>1214</v>
      </c>
      <c r="C190" s="241" t="s">
        <v>1215</v>
      </c>
      <c r="G190" s="241" t="s">
        <v>866</v>
      </c>
      <c r="H190" s="241" t="s">
        <v>1216</v>
      </c>
      <c r="I190" s="241">
        <v>12</v>
      </c>
      <c r="J190" s="241" t="s">
        <v>1215</v>
      </c>
      <c r="N190" s="241" t="s">
        <v>866</v>
      </c>
      <c r="O190" s="241" t="s">
        <v>1216</v>
      </c>
      <c r="P190" s="241">
        <v>12</v>
      </c>
      <c r="R190" s="241">
        <v>9</v>
      </c>
      <c r="S190" s="241">
        <v>0</v>
      </c>
      <c r="U190" s="241" t="s">
        <v>1217</v>
      </c>
      <c r="V190" s="241">
        <v>3</v>
      </c>
      <c r="W190" s="517">
        <v>36892</v>
      </c>
      <c r="X190" s="517">
        <v>36525</v>
      </c>
      <c r="Y190" s="241">
        <v>0</v>
      </c>
      <c r="Z190" s="241">
        <v>1</v>
      </c>
    </row>
    <row r="191" spans="1:26" x14ac:dyDescent="0.25">
      <c r="A191" s="241">
        <v>2605</v>
      </c>
      <c r="B191" s="241" t="s">
        <v>1218</v>
      </c>
      <c r="C191" s="241" t="s">
        <v>1219</v>
      </c>
      <c r="G191" s="241" t="s">
        <v>650</v>
      </c>
      <c r="H191" s="241" t="s">
        <v>1220</v>
      </c>
      <c r="I191" s="241">
        <v>1</v>
      </c>
      <c r="J191" s="241" t="s">
        <v>1219</v>
      </c>
      <c r="N191" s="241" t="s">
        <v>650</v>
      </c>
      <c r="O191" s="241" t="s">
        <v>1220</v>
      </c>
      <c r="P191" s="241">
        <v>1</v>
      </c>
      <c r="Q191" s="241">
        <v>1285</v>
      </c>
      <c r="R191" s="241">
        <v>4</v>
      </c>
      <c r="S191" s="241">
        <v>0</v>
      </c>
      <c r="U191" s="241" t="s">
        <v>656</v>
      </c>
      <c r="V191" s="241">
        <v>3</v>
      </c>
      <c r="W191" s="517">
        <v>36892</v>
      </c>
      <c r="X191" s="517">
        <v>36525</v>
      </c>
      <c r="Y191" s="241">
        <v>1</v>
      </c>
      <c r="Z191" s="241">
        <v>1</v>
      </c>
    </row>
    <row r="192" spans="1:26" x14ac:dyDescent="0.25">
      <c r="A192" s="241">
        <v>2658</v>
      </c>
      <c r="B192" s="241" t="s">
        <v>1221</v>
      </c>
      <c r="C192" s="241" t="s">
        <v>1222</v>
      </c>
      <c r="G192" s="241" t="s">
        <v>650</v>
      </c>
      <c r="H192" s="241" t="s">
        <v>1223</v>
      </c>
      <c r="I192" s="241">
        <v>1</v>
      </c>
      <c r="J192" s="241" t="s">
        <v>1222</v>
      </c>
      <c r="N192" s="241" t="s">
        <v>650</v>
      </c>
      <c r="O192" s="241" t="s">
        <v>1223</v>
      </c>
      <c r="P192" s="241">
        <v>1</v>
      </c>
      <c r="R192" s="241">
        <v>16</v>
      </c>
      <c r="S192" s="241">
        <v>0</v>
      </c>
      <c r="U192" s="241" t="s">
        <v>656</v>
      </c>
      <c r="V192" s="241">
        <v>3</v>
      </c>
      <c r="W192" s="517">
        <v>36892</v>
      </c>
      <c r="X192" s="517">
        <v>36525</v>
      </c>
      <c r="Y192" s="241">
        <v>1</v>
      </c>
      <c r="Z192" s="241">
        <v>1</v>
      </c>
    </row>
    <row r="193" spans="1:26" x14ac:dyDescent="0.25">
      <c r="A193" s="241">
        <v>30211</v>
      </c>
      <c r="B193" s="241" t="s">
        <v>1224</v>
      </c>
      <c r="C193" s="241" t="s">
        <v>1225</v>
      </c>
      <c r="G193" s="241" t="s">
        <v>650</v>
      </c>
      <c r="H193" s="241" t="s">
        <v>1226</v>
      </c>
      <c r="I193" s="241">
        <v>1</v>
      </c>
      <c r="J193" s="241" t="s">
        <v>1225</v>
      </c>
      <c r="N193" s="241" t="s">
        <v>650</v>
      </c>
      <c r="O193" s="241" t="s">
        <v>1226</v>
      </c>
      <c r="P193" s="241">
        <v>1</v>
      </c>
      <c r="R193" s="241">
        <v>3</v>
      </c>
      <c r="S193" s="241">
        <v>0</v>
      </c>
      <c r="U193" s="241" t="s">
        <v>1227</v>
      </c>
      <c r="V193" s="241">
        <v>3</v>
      </c>
      <c r="W193" s="517">
        <v>36892</v>
      </c>
      <c r="X193" s="517">
        <v>36525</v>
      </c>
      <c r="Y193" s="241">
        <v>0</v>
      </c>
      <c r="Z193" s="241">
        <v>1</v>
      </c>
    </row>
    <row r="194" spans="1:26" x14ac:dyDescent="0.25">
      <c r="A194" s="241">
        <v>10360</v>
      </c>
      <c r="B194" s="241" t="s">
        <v>1228</v>
      </c>
      <c r="C194" s="241" t="s">
        <v>1225</v>
      </c>
      <c r="G194" s="241" t="s">
        <v>650</v>
      </c>
      <c r="H194" s="241" t="s">
        <v>1226</v>
      </c>
      <c r="I194" s="241">
        <v>1</v>
      </c>
      <c r="J194" s="241" t="s">
        <v>1225</v>
      </c>
      <c r="N194" s="241" t="s">
        <v>650</v>
      </c>
      <c r="O194" s="241" t="s">
        <v>1226</v>
      </c>
      <c r="P194" s="241">
        <v>1</v>
      </c>
      <c r="R194" s="241">
        <v>8</v>
      </c>
      <c r="S194" s="241">
        <v>0</v>
      </c>
      <c r="U194" s="241" t="s">
        <v>1229</v>
      </c>
      <c r="V194" s="241">
        <v>3</v>
      </c>
      <c r="W194" s="517">
        <v>36892</v>
      </c>
      <c r="X194" s="517">
        <v>36525</v>
      </c>
      <c r="Y194" s="241">
        <v>0</v>
      </c>
      <c r="Z194" s="241">
        <v>1</v>
      </c>
    </row>
    <row r="195" spans="1:26" x14ac:dyDescent="0.25">
      <c r="A195" s="241">
        <v>2644</v>
      </c>
      <c r="B195" s="241" t="s">
        <v>1230</v>
      </c>
      <c r="C195" s="241" t="s">
        <v>1231</v>
      </c>
      <c r="G195" s="241" t="s">
        <v>650</v>
      </c>
      <c r="H195" s="241" t="s">
        <v>885</v>
      </c>
      <c r="I195" s="241">
        <v>1</v>
      </c>
      <c r="J195" s="241" t="s">
        <v>1231</v>
      </c>
      <c r="N195" s="241" t="s">
        <v>650</v>
      </c>
      <c r="O195" s="241" t="s">
        <v>885</v>
      </c>
      <c r="P195" s="241">
        <v>1</v>
      </c>
      <c r="R195" s="241">
        <v>6</v>
      </c>
      <c r="S195" s="241">
        <v>0</v>
      </c>
      <c r="U195" s="241" t="s">
        <v>1232</v>
      </c>
      <c r="V195" s="241">
        <v>3</v>
      </c>
      <c r="W195" s="517">
        <v>36892</v>
      </c>
      <c r="X195" s="517">
        <v>36525</v>
      </c>
      <c r="Y195" s="241">
        <v>0</v>
      </c>
      <c r="Z195" s="241">
        <v>1</v>
      </c>
    </row>
    <row r="196" spans="1:26" x14ac:dyDescent="0.25">
      <c r="A196" s="241">
        <v>2657</v>
      </c>
      <c r="B196" s="241" t="s">
        <v>1233</v>
      </c>
      <c r="C196" s="241" t="s">
        <v>1234</v>
      </c>
      <c r="G196" s="241" t="s">
        <v>897</v>
      </c>
      <c r="H196" s="241" t="s">
        <v>1235</v>
      </c>
      <c r="I196" s="241">
        <v>12</v>
      </c>
      <c r="J196" s="241" t="s">
        <v>1234</v>
      </c>
      <c r="N196" s="241" t="s">
        <v>897</v>
      </c>
      <c r="O196" s="241" t="s">
        <v>1236</v>
      </c>
      <c r="P196" s="241">
        <v>12</v>
      </c>
      <c r="R196" s="241">
        <v>3</v>
      </c>
      <c r="S196" s="241">
        <v>1000370</v>
      </c>
      <c r="T196" s="241" t="s">
        <v>1237</v>
      </c>
      <c r="U196" s="241" t="s">
        <v>656</v>
      </c>
      <c r="V196" s="241">
        <v>3</v>
      </c>
      <c r="W196" s="517">
        <v>36892</v>
      </c>
      <c r="X196" s="517">
        <v>36525</v>
      </c>
      <c r="Y196" s="241">
        <v>0</v>
      </c>
      <c r="Z196" s="241">
        <v>1</v>
      </c>
    </row>
    <row r="197" spans="1:26" x14ac:dyDescent="0.25">
      <c r="A197" s="241">
        <v>10247</v>
      </c>
      <c r="B197" s="241" t="s">
        <v>1238</v>
      </c>
      <c r="C197" s="241" t="s">
        <v>1239</v>
      </c>
      <c r="G197" s="241" t="s">
        <v>897</v>
      </c>
      <c r="H197" s="241" t="s">
        <v>1235</v>
      </c>
      <c r="I197" s="241">
        <v>12</v>
      </c>
      <c r="J197" s="241" t="s">
        <v>1239</v>
      </c>
      <c r="N197" s="241" t="s">
        <v>897</v>
      </c>
      <c r="O197" s="241" t="s">
        <v>1235</v>
      </c>
      <c r="P197" s="241">
        <v>12</v>
      </c>
      <c r="R197" s="241">
        <v>4</v>
      </c>
      <c r="S197" s="241">
        <v>0</v>
      </c>
      <c r="U197" s="241" t="s">
        <v>656</v>
      </c>
      <c r="V197" s="241">
        <v>3</v>
      </c>
      <c r="W197" s="517">
        <v>36892</v>
      </c>
      <c r="X197" s="517">
        <v>36525</v>
      </c>
      <c r="Y197" s="241">
        <v>1</v>
      </c>
      <c r="Z197" s="241">
        <v>1</v>
      </c>
    </row>
    <row r="198" spans="1:26" x14ac:dyDescent="0.25">
      <c r="A198" s="241">
        <v>2656</v>
      </c>
      <c r="B198" s="241" t="s">
        <v>1240</v>
      </c>
      <c r="C198" s="241" t="s">
        <v>1241</v>
      </c>
      <c r="G198" s="241" t="s">
        <v>650</v>
      </c>
      <c r="H198" s="241" t="s">
        <v>1140</v>
      </c>
      <c r="I198" s="241">
        <v>1</v>
      </c>
      <c r="J198" s="241" t="s">
        <v>1241</v>
      </c>
      <c r="N198" s="241" t="s">
        <v>650</v>
      </c>
      <c r="O198" s="241" t="s">
        <v>1140</v>
      </c>
      <c r="P198" s="241">
        <v>1</v>
      </c>
      <c r="R198" s="241">
        <v>7</v>
      </c>
      <c r="S198" s="241">
        <v>0</v>
      </c>
      <c r="U198" s="241" t="s">
        <v>656</v>
      </c>
      <c r="V198" s="241">
        <v>3</v>
      </c>
      <c r="W198" s="517">
        <v>36892</v>
      </c>
      <c r="X198" s="517">
        <v>36525</v>
      </c>
      <c r="Y198" s="241">
        <v>1</v>
      </c>
      <c r="Z198" s="241">
        <v>1</v>
      </c>
    </row>
    <row r="199" spans="1:26" x14ac:dyDescent="0.25">
      <c r="A199" s="241">
        <v>10409</v>
      </c>
      <c r="B199" s="241" t="s">
        <v>1242</v>
      </c>
      <c r="C199" s="241" t="s">
        <v>1243</v>
      </c>
      <c r="G199" s="241" t="s">
        <v>650</v>
      </c>
      <c r="H199" s="241" t="s">
        <v>740</v>
      </c>
      <c r="I199" s="241">
        <v>1</v>
      </c>
      <c r="J199" s="241" t="s">
        <v>1243</v>
      </c>
      <c r="N199" s="241" t="s">
        <v>650</v>
      </c>
      <c r="O199" s="241" t="s">
        <v>740</v>
      </c>
      <c r="P199" s="241">
        <v>1</v>
      </c>
      <c r="R199" s="241">
        <v>3</v>
      </c>
      <c r="S199" s="241">
        <v>0</v>
      </c>
      <c r="U199" s="241" t="s">
        <v>656</v>
      </c>
      <c r="V199" s="241">
        <v>3</v>
      </c>
      <c r="W199" s="517">
        <v>36892</v>
      </c>
      <c r="X199" s="517">
        <v>36525</v>
      </c>
      <c r="Y199" s="241">
        <v>0</v>
      </c>
      <c r="Z199" s="241">
        <v>1</v>
      </c>
    </row>
    <row r="200" spans="1:26" x14ac:dyDescent="0.25">
      <c r="A200" s="241">
        <v>10438</v>
      </c>
      <c r="B200" s="241" t="s">
        <v>1244</v>
      </c>
      <c r="C200" s="241" t="s">
        <v>1245</v>
      </c>
      <c r="G200" s="241" t="s">
        <v>650</v>
      </c>
      <c r="H200" s="241" t="s">
        <v>912</v>
      </c>
      <c r="I200" s="241">
        <v>1</v>
      </c>
      <c r="J200" s="241" t="s">
        <v>1245</v>
      </c>
      <c r="N200" s="241" t="s">
        <v>650</v>
      </c>
      <c r="O200" s="241" t="s">
        <v>912</v>
      </c>
      <c r="P200" s="241">
        <v>1</v>
      </c>
      <c r="R200" s="241">
        <v>2</v>
      </c>
      <c r="S200" s="241">
        <v>0</v>
      </c>
      <c r="U200" s="241" t="s">
        <v>656</v>
      </c>
      <c r="V200" s="241">
        <v>3</v>
      </c>
      <c r="W200" s="517">
        <v>36892</v>
      </c>
      <c r="X200" s="517">
        <v>36525</v>
      </c>
      <c r="Y200" s="241">
        <v>0</v>
      </c>
      <c r="Z200" s="241">
        <v>1</v>
      </c>
    </row>
    <row r="201" spans="1:26" x14ac:dyDescent="0.25">
      <c r="A201" s="241">
        <v>30158</v>
      </c>
      <c r="B201" s="241" t="s">
        <v>1246</v>
      </c>
      <c r="C201" s="241" t="s">
        <v>1247</v>
      </c>
      <c r="G201" s="241" t="s">
        <v>925</v>
      </c>
      <c r="H201" s="241" t="s">
        <v>1248</v>
      </c>
      <c r="I201" s="241">
        <v>1</v>
      </c>
      <c r="J201" s="241" t="s">
        <v>1247</v>
      </c>
      <c r="N201" s="241" t="s">
        <v>925</v>
      </c>
      <c r="O201" s="241" t="s">
        <v>1248</v>
      </c>
      <c r="P201" s="241">
        <v>1</v>
      </c>
      <c r="R201" s="241">
        <v>2</v>
      </c>
      <c r="S201" s="241">
        <v>29747</v>
      </c>
      <c r="T201" s="241" t="s">
        <v>666</v>
      </c>
      <c r="U201" s="241" t="s">
        <v>1249</v>
      </c>
      <c r="V201" s="241">
        <v>3</v>
      </c>
      <c r="W201" s="517">
        <v>36892</v>
      </c>
      <c r="X201" s="517">
        <v>36525</v>
      </c>
      <c r="Y201" s="241">
        <v>0</v>
      </c>
      <c r="Z201" s="241">
        <v>1</v>
      </c>
    </row>
    <row r="202" spans="1:26" x14ac:dyDescent="0.25">
      <c r="A202" s="241">
        <v>2661</v>
      </c>
      <c r="B202" s="241" t="s">
        <v>1250</v>
      </c>
      <c r="C202" s="241" t="s">
        <v>1251</v>
      </c>
      <c r="G202" s="241" t="s">
        <v>1252</v>
      </c>
      <c r="H202" s="241" t="s">
        <v>1253</v>
      </c>
      <c r="I202" s="241">
        <v>11</v>
      </c>
      <c r="J202" s="241" t="s">
        <v>1251</v>
      </c>
      <c r="N202" s="241" t="s">
        <v>1252</v>
      </c>
      <c r="O202" s="241" t="s">
        <v>1253</v>
      </c>
      <c r="P202" s="241">
        <v>11</v>
      </c>
      <c r="R202" s="241">
        <v>5</v>
      </c>
      <c r="S202" s="241">
        <v>0</v>
      </c>
      <c r="U202" s="241" t="s">
        <v>656</v>
      </c>
      <c r="V202" s="241">
        <v>3</v>
      </c>
      <c r="W202" s="517">
        <v>36892</v>
      </c>
      <c r="X202" s="517">
        <v>36525</v>
      </c>
      <c r="Y202" s="241">
        <v>1</v>
      </c>
      <c r="Z202" s="241">
        <v>1</v>
      </c>
    </row>
    <row r="203" spans="1:26" x14ac:dyDescent="0.25">
      <c r="A203" s="241">
        <v>2689</v>
      </c>
      <c r="B203" s="241" t="s">
        <v>1254</v>
      </c>
      <c r="C203" s="241" t="s">
        <v>1255</v>
      </c>
      <c r="G203" s="241" t="s">
        <v>650</v>
      </c>
      <c r="H203" s="241" t="s">
        <v>1093</v>
      </c>
      <c r="I203" s="241">
        <v>1</v>
      </c>
      <c r="J203" s="241" t="s">
        <v>1255</v>
      </c>
      <c r="N203" s="241" t="s">
        <v>650</v>
      </c>
      <c r="O203" s="241" t="s">
        <v>1093</v>
      </c>
      <c r="P203" s="241">
        <v>1</v>
      </c>
      <c r="R203" s="241">
        <v>4</v>
      </c>
      <c r="S203" s="241">
        <v>0</v>
      </c>
      <c r="U203" s="241" t="s">
        <v>656</v>
      </c>
      <c r="V203" s="241">
        <v>3</v>
      </c>
      <c r="W203" s="517">
        <v>36892</v>
      </c>
      <c r="X203" s="517">
        <v>36525</v>
      </c>
      <c r="Y203" s="241">
        <v>1</v>
      </c>
      <c r="Z203" s="241">
        <v>1</v>
      </c>
    </row>
    <row r="204" spans="1:26" x14ac:dyDescent="0.25">
      <c r="A204" s="241">
        <v>30106</v>
      </c>
      <c r="B204" s="241" t="s">
        <v>1256</v>
      </c>
      <c r="I204" s="241">
        <v>1</v>
      </c>
      <c r="P204" s="241">
        <v>1</v>
      </c>
      <c r="R204" s="241">
        <v>1</v>
      </c>
      <c r="S204" s="241">
        <v>29747</v>
      </c>
      <c r="T204" s="241" t="s">
        <v>666</v>
      </c>
      <c r="U204" s="241" t="s">
        <v>1257</v>
      </c>
      <c r="V204" s="241">
        <v>3</v>
      </c>
      <c r="W204" s="517">
        <v>36892</v>
      </c>
      <c r="X204" s="517">
        <v>36525</v>
      </c>
      <c r="Y204" s="241">
        <v>0</v>
      </c>
      <c r="Z204" s="241">
        <v>1</v>
      </c>
    </row>
    <row r="205" spans="1:26" x14ac:dyDescent="0.25">
      <c r="A205" s="241">
        <v>10570</v>
      </c>
      <c r="B205" s="241" t="s">
        <v>1258</v>
      </c>
      <c r="C205" s="241" t="s">
        <v>1259</v>
      </c>
      <c r="G205" s="241" t="s">
        <v>1016</v>
      </c>
      <c r="H205" s="241" t="s">
        <v>1260</v>
      </c>
      <c r="I205" s="241">
        <v>1</v>
      </c>
      <c r="J205" s="241" t="s">
        <v>1259</v>
      </c>
      <c r="N205" s="241" t="s">
        <v>1016</v>
      </c>
      <c r="O205" s="241" t="s">
        <v>1260</v>
      </c>
      <c r="P205" s="241">
        <v>1</v>
      </c>
      <c r="R205" s="241">
        <v>3</v>
      </c>
      <c r="S205" s="241">
        <v>0</v>
      </c>
      <c r="U205" s="241" t="s">
        <v>656</v>
      </c>
      <c r="V205" s="241">
        <v>3</v>
      </c>
      <c r="W205" s="517">
        <v>36892</v>
      </c>
      <c r="X205" s="517">
        <v>36525</v>
      </c>
      <c r="Y205" s="241">
        <v>0</v>
      </c>
      <c r="Z205" s="241">
        <v>1</v>
      </c>
    </row>
    <row r="206" spans="1:26" x14ac:dyDescent="0.25">
      <c r="A206" s="241">
        <v>2763</v>
      </c>
      <c r="B206" s="241" t="s">
        <v>1261</v>
      </c>
      <c r="C206" s="241" t="s">
        <v>1262</v>
      </c>
      <c r="G206" s="241" t="s">
        <v>650</v>
      </c>
      <c r="H206" s="241" t="s">
        <v>834</v>
      </c>
      <c r="I206" s="241">
        <v>1</v>
      </c>
      <c r="J206" s="241" t="s">
        <v>1262</v>
      </c>
      <c r="N206" s="241" t="s">
        <v>650</v>
      </c>
      <c r="O206" s="241" t="s">
        <v>834</v>
      </c>
      <c r="P206" s="241">
        <v>1</v>
      </c>
      <c r="R206" s="241">
        <v>7</v>
      </c>
      <c r="S206" s="241">
        <v>0</v>
      </c>
      <c r="U206" s="241" t="s">
        <v>656</v>
      </c>
      <c r="V206" s="241">
        <v>3</v>
      </c>
      <c r="W206" s="517">
        <v>36892</v>
      </c>
      <c r="X206" s="517">
        <v>36525</v>
      </c>
      <c r="Y206" s="241">
        <v>0</v>
      </c>
      <c r="Z206" s="241">
        <v>1</v>
      </c>
    </row>
    <row r="207" spans="1:26" x14ac:dyDescent="0.25">
      <c r="A207" s="241">
        <v>30210</v>
      </c>
      <c r="B207" s="241" t="s">
        <v>1263</v>
      </c>
      <c r="C207" s="241" t="s">
        <v>1264</v>
      </c>
      <c r="G207" s="241" t="s">
        <v>650</v>
      </c>
      <c r="H207" s="241" t="s">
        <v>1265</v>
      </c>
      <c r="I207" s="241">
        <v>1</v>
      </c>
      <c r="J207" s="241" t="s">
        <v>1264</v>
      </c>
      <c r="N207" s="241" t="s">
        <v>650</v>
      </c>
      <c r="O207" s="241" t="s">
        <v>1265</v>
      </c>
      <c r="P207" s="241">
        <v>1</v>
      </c>
      <c r="R207" s="241">
        <v>2</v>
      </c>
      <c r="S207" s="241">
        <v>0</v>
      </c>
      <c r="U207" s="241" t="s">
        <v>1266</v>
      </c>
      <c r="V207" s="241">
        <v>3</v>
      </c>
      <c r="W207" s="517">
        <v>36892</v>
      </c>
      <c r="X207" s="517">
        <v>36525</v>
      </c>
      <c r="Y207" s="241">
        <v>0</v>
      </c>
      <c r="Z207" s="241">
        <v>1</v>
      </c>
    </row>
    <row r="208" spans="1:26" x14ac:dyDescent="0.25">
      <c r="A208" s="241">
        <v>10400</v>
      </c>
      <c r="B208" s="241" t="s">
        <v>1267</v>
      </c>
      <c r="C208" s="241" t="s">
        <v>965</v>
      </c>
      <c r="G208" s="241" t="s">
        <v>650</v>
      </c>
      <c r="H208" s="241" t="s">
        <v>733</v>
      </c>
      <c r="I208" s="241">
        <v>1</v>
      </c>
      <c r="J208" s="241" t="s">
        <v>965</v>
      </c>
      <c r="N208" s="241" t="s">
        <v>650</v>
      </c>
      <c r="O208" s="241" t="s">
        <v>733</v>
      </c>
      <c r="P208" s="241">
        <v>1</v>
      </c>
      <c r="R208" s="241">
        <v>9</v>
      </c>
      <c r="S208" s="241">
        <v>0</v>
      </c>
      <c r="U208" s="241" t="s">
        <v>1268</v>
      </c>
      <c r="V208" s="241">
        <v>3</v>
      </c>
      <c r="W208" s="517">
        <v>36892</v>
      </c>
      <c r="X208" s="517">
        <v>36525</v>
      </c>
      <c r="Y208" s="241">
        <v>0</v>
      </c>
      <c r="Z208" s="241">
        <v>1</v>
      </c>
    </row>
    <row r="209" spans="1:26" x14ac:dyDescent="0.25">
      <c r="A209" s="241">
        <v>3925</v>
      </c>
      <c r="B209" s="241" t="s">
        <v>1269</v>
      </c>
      <c r="C209" s="241" t="s">
        <v>1270</v>
      </c>
      <c r="G209" s="241" t="s">
        <v>650</v>
      </c>
      <c r="H209" s="241" t="s">
        <v>834</v>
      </c>
      <c r="I209" s="241">
        <v>1</v>
      </c>
      <c r="J209" s="241" t="s">
        <v>1270</v>
      </c>
      <c r="N209" s="241" t="s">
        <v>650</v>
      </c>
      <c r="O209" s="241" t="s">
        <v>834</v>
      </c>
      <c r="P209" s="241">
        <v>1</v>
      </c>
      <c r="R209" s="241">
        <v>13</v>
      </c>
      <c r="S209" s="241">
        <v>29747</v>
      </c>
      <c r="T209" s="241" t="s">
        <v>666</v>
      </c>
      <c r="U209" s="241" t="s">
        <v>1271</v>
      </c>
      <c r="V209" s="241">
        <v>3</v>
      </c>
      <c r="W209" s="517">
        <v>36892</v>
      </c>
      <c r="X209" s="517">
        <v>36525</v>
      </c>
      <c r="Y209" s="241">
        <v>0</v>
      </c>
      <c r="Z209" s="241">
        <v>1</v>
      </c>
    </row>
    <row r="210" spans="1:26" x14ac:dyDescent="0.25">
      <c r="A210" s="241">
        <v>2779</v>
      </c>
      <c r="B210" s="241" t="s">
        <v>1272</v>
      </c>
      <c r="C210" s="241" t="s">
        <v>1273</v>
      </c>
      <c r="G210" s="241" t="s">
        <v>650</v>
      </c>
      <c r="H210" s="241" t="s">
        <v>1274</v>
      </c>
      <c r="I210" s="241">
        <v>1</v>
      </c>
      <c r="J210" s="241" t="s">
        <v>1273</v>
      </c>
      <c r="N210" s="241" t="s">
        <v>650</v>
      </c>
      <c r="O210" s="241" t="s">
        <v>1274</v>
      </c>
      <c r="P210" s="241">
        <v>1</v>
      </c>
      <c r="R210" s="241">
        <v>8</v>
      </c>
      <c r="S210" s="241">
        <v>0</v>
      </c>
      <c r="U210" s="241" t="s">
        <v>1275</v>
      </c>
      <c r="V210" s="241">
        <v>3</v>
      </c>
      <c r="W210" s="517">
        <v>36892</v>
      </c>
      <c r="X210" s="517">
        <v>36525</v>
      </c>
      <c r="Y210" s="241">
        <v>0</v>
      </c>
      <c r="Z210" s="241">
        <v>1</v>
      </c>
    </row>
    <row r="211" spans="1:26" x14ac:dyDescent="0.25">
      <c r="A211" s="241">
        <v>2777</v>
      </c>
      <c r="B211" s="241" t="s">
        <v>1276</v>
      </c>
      <c r="C211" s="241" t="s">
        <v>1277</v>
      </c>
      <c r="G211" s="241" t="s">
        <v>650</v>
      </c>
      <c r="H211" s="241" t="s">
        <v>901</v>
      </c>
      <c r="I211" s="241">
        <v>1</v>
      </c>
      <c r="J211" s="241" t="s">
        <v>1277</v>
      </c>
      <c r="N211" s="241" t="s">
        <v>650</v>
      </c>
      <c r="O211" s="241" t="s">
        <v>901</v>
      </c>
      <c r="P211" s="241">
        <v>1</v>
      </c>
      <c r="R211" s="241">
        <v>6</v>
      </c>
      <c r="S211" s="241">
        <v>0</v>
      </c>
      <c r="U211" s="241" t="s">
        <v>656</v>
      </c>
      <c r="V211" s="241">
        <v>3</v>
      </c>
      <c r="W211" s="517">
        <v>36892</v>
      </c>
      <c r="X211" s="517">
        <v>36525</v>
      </c>
      <c r="Y211" s="241">
        <v>1</v>
      </c>
      <c r="Z211" s="241">
        <v>1</v>
      </c>
    </row>
    <row r="212" spans="1:26" x14ac:dyDescent="0.25">
      <c r="A212" s="241">
        <v>10323</v>
      </c>
      <c r="B212" s="241" t="s">
        <v>1278</v>
      </c>
      <c r="C212" s="241" t="s">
        <v>1279</v>
      </c>
      <c r="G212" s="241" t="s">
        <v>1280</v>
      </c>
      <c r="H212" s="241" t="s">
        <v>1281</v>
      </c>
      <c r="I212" s="241">
        <v>1</v>
      </c>
      <c r="J212" s="241" t="s">
        <v>1279</v>
      </c>
      <c r="N212" s="241" t="s">
        <v>1280</v>
      </c>
      <c r="O212" s="241" t="s">
        <v>1281</v>
      </c>
      <c r="P212" s="241">
        <v>1</v>
      </c>
      <c r="R212" s="241">
        <v>3</v>
      </c>
      <c r="S212" s="241">
        <v>0</v>
      </c>
      <c r="U212" s="241" t="s">
        <v>656</v>
      </c>
      <c r="V212" s="241">
        <v>3</v>
      </c>
      <c r="W212" s="517">
        <v>36892</v>
      </c>
      <c r="X212" s="517">
        <v>36525</v>
      </c>
      <c r="Y212" s="241">
        <v>1</v>
      </c>
      <c r="Z212" s="241">
        <v>1</v>
      </c>
    </row>
    <row r="213" spans="1:26" x14ac:dyDescent="0.25">
      <c r="A213" s="241">
        <v>9063</v>
      </c>
      <c r="B213" s="241" t="s">
        <v>1282</v>
      </c>
      <c r="C213" s="241" t="s">
        <v>1283</v>
      </c>
      <c r="G213" s="241" t="s">
        <v>650</v>
      </c>
      <c r="H213" s="241" t="s">
        <v>1284</v>
      </c>
      <c r="I213" s="241">
        <v>1</v>
      </c>
      <c r="J213" s="241" t="s">
        <v>1283</v>
      </c>
      <c r="N213" s="241" t="s">
        <v>650</v>
      </c>
      <c r="O213" s="241" t="s">
        <v>1284</v>
      </c>
      <c r="P213" s="241">
        <v>1</v>
      </c>
      <c r="Q213" s="241">
        <v>1285</v>
      </c>
      <c r="R213" s="241">
        <v>2</v>
      </c>
      <c r="S213" s="241">
        <v>29747</v>
      </c>
      <c r="T213" s="241" t="s">
        <v>666</v>
      </c>
      <c r="U213" s="241" t="s">
        <v>1285</v>
      </c>
      <c r="V213" s="241">
        <v>3</v>
      </c>
      <c r="W213" s="517">
        <v>40514</v>
      </c>
      <c r="X213" s="517">
        <v>36525</v>
      </c>
      <c r="Y213" s="241">
        <v>0</v>
      </c>
      <c r="Z213" s="241">
        <v>1</v>
      </c>
    </row>
    <row r="214" spans="1:26" x14ac:dyDescent="0.25">
      <c r="A214" s="241">
        <v>10324</v>
      </c>
      <c r="B214" s="241" t="s">
        <v>1286</v>
      </c>
      <c r="C214" s="241" t="s">
        <v>1287</v>
      </c>
      <c r="G214" s="241" t="s">
        <v>650</v>
      </c>
      <c r="H214" s="241" t="s">
        <v>851</v>
      </c>
      <c r="I214" s="241">
        <v>1</v>
      </c>
      <c r="J214" s="241" t="s">
        <v>1287</v>
      </c>
      <c r="N214" s="241" t="s">
        <v>650</v>
      </c>
      <c r="O214" s="241" t="s">
        <v>851</v>
      </c>
      <c r="P214" s="241">
        <v>1</v>
      </c>
      <c r="R214" s="241">
        <v>4</v>
      </c>
      <c r="S214" s="241">
        <v>0</v>
      </c>
      <c r="U214" s="241" t="s">
        <v>656</v>
      </c>
      <c r="V214" s="241">
        <v>3</v>
      </c>
      <c r="W214" s="517">
        <v>36892</v>
      </c>
      <c r="X214" s="517">
        <v>36525</v>
      </c>
      <c r="Y214" s="241">
        <v>1</v>
      </c>
      <c r="Z214" s="241">
        <v>1</v>
      </c>
    </row>
    <row r="215" spans="1:26" x14ac:dyDescent="0.25">
      <c r="A215" s="241">
        <v>10374</v>
      </c>
      <c r="B215" s="241" t="s">
        <v>1288</v>
      </c>
      <c r="C215" s="241" t="s">
        <v>1289</v>
      </c>
      <c r="G215" s="241" t="s">
        <v>650</v>
      </c>
      <c r="H215" s="241" t="s">
        <v>1290</v>
      </c>
      <c r="I215" s="241">
        <v>1</v>
      </c>
      <c r="J215" s="241" t="s">
        <v>1289</v>
      </c>
      <c r="N215" s="241" t="s">
        <v>650</v>
      </c>
      <c r="O215" s="241" t="s">
        <v>1290</v>
      </c>
      <c r="P215" s="241">
        <v>1</v>
      </c>
      <c r="R215" s="241">
        <v>5</v>
      </c>
      <c r="S215" s="241">
        <v>0</v>
      </c>
      <c r="U215" s="241" t="s">
        <v>656</v>
      </c>
      <c r="V215" s="241">
        <v>3</v>
      </c>
      <c r="W215" s="517">
        <v>36892</v>
      </c>
      <c r="X215" s="517">
        <v>36525</v>
      </c>
      <c r="Y215" s="241">
        <v>0</v>
      </c>
      <c r="Z215" s="241">
        <v>1</v>
      </c>
    </row>
    <row r="216" spans="1:26" x14ac:dyDescent="0.25">
      <c r="A216" s="241">
        <v>3037</v>
      </c>
      <c r="B216" s="241" t="s">
        <v>1291</v>
      </c>
      <c r="C216" s="241" t="s">
        <v>1292</v>
      </c>
      <c r="G216" s="241" t="s">
        <v>650</v>
      </c>
      <c r="H216" s="241" t="s">
        <v>1293</v>
      </c>
      <c r="I216" s="241">
        <v>1</v>
      </c>
      <c r="J216" s="241" t="s">
        <v>1292</v>
      </c>
      <c r="N216" s="241" t="s">
        <v>650</v>
      </c>
      <c r="O216" s="241" t="s">
        <v>1293</v>
      </c>
      <c r="P216" s="241">
        <v>1</v>
      </c>
      <c r="R216" s="241">
        <v>5</v>
      </c>
      <c r="S216" s="241">
        <v>0</v>
      </c>
      <c r="U216" s="241" t="s">
        <v>656</v>
      </c>
      <c r="V216" s="241">
        <v>3</v>
      </c>
      <c r="W216" s="517">
        <v>36892</v>
      </c>
      <c r="X216" s="517">
        <v>36525</v>
      </c>
      <c r="Y216" s="241">
        <v>0</v>
      </c>
      <c r="Z216" s="241">
        <v>1</v>
      </c>
    </row>
    <row r="217" spans="1:26" x14ac:dyDescent="0.25">
      <c r="A217" s="241">
        <v>3116</v>
      </c>
      <c r="B217" s="241" t="s">
        <v>1294</v>
      </c>
      <c r="C217" s="241" t="s">
        <v>1295</v>
      </c>
      <c r="G217" s="241" t="s">
        <v>650</v>
      </c>
      <c r="H217" s="241" t="s">
        <v>834</v>
      </c>
      <c r="I217" s="241">
        <v>1</v>
      </c>
      <c r="J217" s="241" t="s">
        <v>1295</v>
      </c>
      <c r="N217" s="241" t="s">
        <v>650</v>
      </c>
      <c r="O217" s="241" t="s">
        <v>834</v>
      </c>
      <c r="P217" s="241">
        <v>1</v>
      </c>
      <c r="R217" s="241">
        <v>10</v>
      </c>
      <c r="S217" s="241">
        <v>0</v>
      </c>
      <c r="U217" s="241" t="s">
        <v>656</v>
      </c>
      <c r="V217" s="241">
        <v>3</v>
      </c>
      <c r="W217" s="517">
        <v>36892</v>
      </c>
      <c r="X217" s="517">
        <v>36525</v>
      </c>
      <c r="Y217" s="241">
        <v>0</v>
      </c>
      <c r="Z217" s="241">
        <v>1</v>
      </c>
    </row>
    <row r="218" spans="1:26" x14ac:dyDescent="0.25">
      <c r="A218" s="241">
        <v>10442</v>
      </c>
      <c r="B218" s="241" t="s">
        <v>1296</v>
      </c>
      <c r="C218" s="241" t="s">
        <v>1297</v>
      </c>
      <c r="G218" s="241" t="s">
        <v>650</v>
      </c>
      <c r="H218" s="241" t="s">
        <v>1298</v>
      </c>
      <c r="I218" s="241">
        <v>1</v>
      </c>
      <c r="J218" s="241" t="s">
        <v>1297</v>
      </c>
      <c r="N218" s="241" t="s">
        <v>650</v>
      </c>
      <c r="O218" s="241" t="s">
        <v>1298</v>
      </c>
      <c r="P218" s="241">
        <v>1</v>
      </c>
      <c r="R218" s="241">
        <v>3</v>
      </c>
      <c r="S218" s="241">
        <v>0</v>
      </c>
      <c r="U218" s="241" t="s">
        <v>656</v>
      </c>
      <c r="V218" s="241">
        <v>3</v>
      </c>
      <c r="W218" s="517">
        <v>36892</v>
      </c>
      <c r="X218" s="517">
        <v>36525</v>
      </c>
      <c r="Y218" s="241">
        <v>1</v>
      </c>
      <c r="Z218" s="241">
        <v>1</v>
      </c>
    </row>
    <row r="219" spans="1:26" x14ac:dyDescent="0.25">
      <c r="A219" s="241">
        <v>2998</v>
      </c>
      <c r="B219" s="241" t="s">
        <v>1299</v>
      </c>
      <c r="C219" s="241" t="s">
        <v>1300</v>
      </c>
      <c r="G219" s="241" t="s">
        <v>650</v>
      </c>
      <c r="H219" s="241" t="s">
        <v>662</v>
      </c>
      <c r="I219" s="241">
        <v>1</v>
      </c>
      <c r="J219" s="241" t="s">
        <v>1300</v>
      </c>
      <c r="N219" s="241" t="s">
        <v>650</v>
      </c>
      <c r="O219" s="241" t="s">
        <v>662</v>
      </c>
      <c r="P219" s="241">
        <v>1</v>
      </c>
      <c r="R219" s="241">
        <v>8</v>
      </c>
      <c r="S219" s="241">
        <v>0</v>
      </c>
      <c r="U219" s="241" t="s">
        <v>656</v>
      </c>
      <c r="V219" s="241">
        <v>3</v>
      </c>
      <c r="W219" s="517">
        <v>36892</v>
      </c>
      <c r="X219" s="517">
        <v>36525</v>
      </c>
      <c r="Y219" s="241">
        <v>0</v>
      </c>
      <c r="Z219" s="241">
        <v>1</v>
      </c>
    </row>
    <row r="220" spans="1:26" x14ac:dyDescent="0.25">
      <c r="A220" s="241">
        <v>10566</v>
      </c>
      <c r="B220" s="241" t="s">
        <v>1301</v>
      </c>
      <c r="C220" s="241" t="s">
        <v>1302</v>
      </c>
      <c r="G220" s="241" t="s">
        <v>1303</v>
      </c>
      <c r="H220" s="241" t="s">
        <v>1304</v>
      </c>
      <c r="I220" s="241">
        <v>9</v>
      </c>
      <c r="J220" s="241" t="s">
        <v>1302</v>
      </c>
      <c r="N220" s="241" t="s">
        <v>1303</v>
      </c>
      <c r="O220" s="241" t="s">
        <v>1304</v>
      </c>
      <c r="P220" s="241">
        <v>9</v>
      </c>
      <c r="R220" s="241">
        <v>3</v>
      </c>
      <c r="S220" s="241">
        <v>0</v>
      </c>
      <c r="U220" s="241" t="s">
        <v>656</v>
      </c>
      <c r="V220" s="241">
        <v>3</v>
      </c>
      <c r="W220" s="517">
        <v>36892</v>
      </c>
      <c r="X220" s="517">
        <v>36525</v>
      </c>
      <c r="Y220" s="241">
        <v>0</v>
      </c>
      <c r="Z220" s="241">
        <v>1</v>
      </c>
    </row>
    <row r="221" spans="1:26" x14ac:dyDescent="0.25">
      <c r="A221" s="241">
        <v>3061</v>
      </c>
      <c r="B221" s="241" t="s">
        <v>1305</v>
      </c>
      <c r="C221" s="241" t="s">
        <v>1306</v>
      </c>
      <c r="G221" s="241" t="s">
        <v>650</v>
      </c>
      <c r="H221" s="241" t="s">
        <v>772</v>
      </c>
      <c r="I221" s="241">
        <v>1</v>
      </c>
      <c r="J221" s="241" t="s">
        <v>1306</v>
      </c>
      <c r="N221" s="241" t="s">
        <v>650</v>
      </c>
      <c r="O221" s="241" t="s">
        <v>772</v>
      </c>
      <c r="P221" s="241">
        <v>1</v>
      </c>
      <c r="R221" s="241">
        <v>7</v>
      </c>
      <c r="S221" s="241">
        <v>0</v>
      </c>
      <c r="U221" s="241" t="s">
        <v>1307</v>
      </c>
      <c r="V221" s="241">
        <v>3</v>
      </c>
      <c r="W221" s="517">
        <v>36892</v>
      </c>
      <c r="X221" s="517">
        <v>36525</v>
      </c>
      <c r="Y221" s="241">
        <v>0</v>
      </c>
      <c r="Z221" s="241">
        <v>1</v>
      </c>
    </row>
    <row r="222" spans="1:26" x14ac:dyDescent="0.25">
      <c r="A222" s="241">
        <v>10454</v>
      </c>
      <c r="B222" s="241" t="s">
        <v>1308</v>
      </c>
      <c r="C222" s="241" t="s">
        <v>1309</v>
      </c>
      <c r="G222" s="241" t="s">
        <v>1310</v>
      </c>
      <c r="H222" s="241" t="s">
        <v>1311</v>
      </c>
      <c r="I222" s="241">
        <v>3</v>
      </c>
      <c r="J222" s="241" t="s">
        <v>1309</v>
      </c>
      <c r="N222" s="241" t="s">
        <v>1310</v>
      </c>
      <c r="O222" s="241" t="s">
        <v>1311</v>
      </c>
      <c r="P222" s="241">
        <v>3</v>
      </c>
      <c r="R222" s="241">
        <v>4</v>
      </c>
      <c r="S222" s="241">
        <v>0</v>
      </c>
      <c r="U222" s="241" t="s">
        <v>656</v>
      </c>
      <c r="V222" s="241">
        <v>3</v>
      </c>
      <c r="W222" s="517">
        <v>36892</v>
      </c>
      <c r="X222" s="517">
        <v>36525</v>
      </c>
      <c r="Y222" s="241">
        <v>0</v>
      </c>
      <c r="Z222" s="241">
        <v>1</v>
      </c>
    </row>
    <row r="223" spans="1:26" x14ac:dyDescent="0.25">
      <c r="A223" s="241">
        <v>3017</v>
      </c>
      <c r="B223" s="241" t="s">
        <v>1312</v>
      </c>
      <c r="C223" s="241" t="s">
        <v>1313</v>
      </c>
      <c r="G223" s="241" t="s">
        <v>1314</v>
      </c>
      <c r="H223" s="241" t="s">
        <v>1315</v>
      </c>
      <c r="I223" s="241">
        <v>12</v>
      </c>
      <c r="J223" s="241" t="s">
        <v>1313</v>
      </c>
      <c r="N223" s="241" t="s">
        <v>1314</v>
      </c>
      <c r="O223" s="241" t="s">
        <v>1315</v>
      </c>
      <c r="P223" s="241">
        <v>12</v>
      </c>
      <c r="R223" s="241">
        <v>4</v>
      </c>
      <c r="S223" s="241">
        <v>0</v>
      </c>
      <c r="U223" s="241" t="s">
        <v>656</v>
      </c>
      <c r="V223" s="241">
        <v>3</v>
      </c>
      <c r="W223" s="517">
        <v>42506</v>
      </c>
      <c r="X223" s="517">
        <v>36525</v>
      </c>
      <c r="Y223" s="241">
        <v>0</v>
      </c>
      <c r="Z223" s="241">
        <v>1</v>
      </c>
    </row>
    <row r="224" spans="1:26" x14ac:dyDescent="0.25">
      <c r="A224" s="241">
        <v>10393</v>
      </c>
      <c r="B224" s="241" t="s">
        <v>1316</v>
      </c>
      <c r="C224" s="241" t="s">
        <v>1317</v>
      </c>
      <c r="G224" s="241" t="s">
        <v>650</v>
      </c>
      <c r="H224" s="241" t="s">
        <v>665</v>
      </c>
      <c r="I224" s="241">
        <v>1</v>
      </c>
      <c r="J224" s="241" t="s">
        <v>1317</v>
      </c>
      <c r="N224" s="241" t="s">
        <v>650</v>
      </c>
      <c r="O224" s="241" t="s">
        <v>665</v>
      </c>
      <c r="P224" s="241">
        <v>1</v>
      </c>
      <c r="R224" s="241">
        <v>3</v>
      </c>
      <c r="S224" s="241">
        <v>0</v>
      </c>
      <c r="U224" s="241" t="s">
        <v>656</v>
      </c>
      <c r="V224" s="241">
        <v>3</v>
      </c>
      <c r="W224" s="517">
        <v>36892</v>
      </c>
      <c r="X224" s="517">
        <v>36525</v>
      </c>
      <c r="Y224" s="241">
        <v>1</v>
      </c>
      <c r="Z224" s="241">
        <v>1</v>
      </c>
    </row>
    <row r="225" spans="1:26" x14ac:dyDescent="0.25">
      <c r="A225" s="241">
        <v>2137</v>
      </c>
      <c r="B225" s="241" t="s">
        <v>1318</v>
      </c>
      <c r="C225" s="241" t="s">
        <v>1319</v>
      </c>
      <c r="G225" s="241" t="s">
        <v>650</v>
      </c>
      <c r="H225" s="241" t="s">
        <v>1320</v>
      </c>
      <c r="I225" s="241">
        <v>1</v>
      </c>
      <c r="J225" s="241" t="s">
        <v>1319</v>
      </c>
      <c r="N225" s="241" t="s">
        <v>650</v>
      </c>
      <c r="O225" s="241" t="s">
        <v>1320</v>
      </c>
      <c r="P225" s="241">
        <v>1</v>
      </c>
      <c r="Q225" s="241">
        <v>1285</v>
      </c>
      <c r="R225" s="241">
        <v>6</v>
      </c>
      <c r="S225" s="241">
        <v>0</v>
      </c>
      <c r="U225" s="241" t="s">
        <v>656</v>
      </c>
      <c r="V225" s="241">
        <v>3</v>
      </c>
      <c r="W225" s="517">
        <v>36892</v>
      </c>
      <c r="X225" s="517">
        <v>36525</v>
      </c>
      <c r="Y225" s="241">
        <v>1</v>
      </c>
      <c r="Z225" s="241">
        <v>1</v>
      </c>
    </row>
    <row r="226" spans="1:26" x14ac:dyDescent="0.25">
      <c r="A226" s="241">
        <v>30227</v>
      </c>
      <c r="B226" s="241" t="s">
        <v>1321</v>
      </c>
      <c r="C226" s="241" t="s">
        <v>1322</v>
      </c>
      <c r="G226" s="241" t="s">
        <v>1323</v>
      </c>
      <c r="H226" s="241" t="s">
        <v>1324</v>
      </c>
      <c r="I226" s="241">
        <v>12</v>
      </c>
      <c r="J226" s="241" t="s">
        <v>1322</v>
      </c>
      <c r="N226" s="241" t="s">
        <v>1323</v>
      </c>
      <c r="O226" s="241" t="s">
        <v>1324</v>
      </c>
      <c r="P226" s="241">
        <v>12</v>
      </c>
      <c r="R226" s="241">
        <v>2</v>
      </c>
      <c r="S226" s="241">
        <v>0</v>
      </c>
      <c r="U226" s="241" t="s">
        <v>1325</v>
      </c>
      <c r="V226" s="241">
        <v>3</v>
      </c>
      <c r="W226" s="517">
        <v>36892</v>
      </c>
      <c r="X226" s="517">
        <v>36525</v>
      </c>
      <c r="Y226" s="241">
        <v>0</v>
      </c>
      <c r="Z226" s="241">
        <v>1</v>
      </c>
    </row>
    <row r="227" spans="1:26" x14ac:dyDescent="0.25">
      <c r="A227" s="241">
        <v>10467</v>
      </c>
      <c r="B227" s="241" t="s">
        <v>1326</v>
      </c>
      <c r="C227" s="241" t="s">
        <v>1327</v>
      </c>
      <c r="G227" s="241" t="s">
        <v>1328</v>
      </c>
      <c r="H227" s="241" t="s">
        <v>1329</v>
      </c>
      <c r="I227" s="241">
        <v>12</v>
      </c>
      <c r="J227" s="241" t="s">
        <v>1327</v>
      </c>
      <c r="N227" s="241" t="s">
        <v>1328</v>
      </c>
      <c r="O227" s="241" t="s">
        <v>1329</v>
      </c>
      <c r="P227" s="241">
        <v>12</v>
      </c>
      <c r="R227" s="241">
        <v>5</v>
      </c>
      <c r="S227" s="241">
        <v>0</v>
      </c>
      <c r="U227" s="241" t="s">
        <v>656</v>
      </c>
      <c r="V227" s="241">
        <v>3</v>
      </c>
      <c r="W227" s="517">
        <v>36892</v>
      </c>
      <c r="X227" s="517">
        <v>36525</v>
      </c>
      <c r="Y227" s="241">
        <v>0</v>
      </c>
      <c r="Z227" s="241">
        <v>1</v>
      </c>
    </row>
    <row r="228" spans="1:26" x14ac:dyDescent="0.25">
      <c r="A228" s="241">
        <v>30200</v>
      </c>
      <c r="B228" s="241" t="s">
        <v>1330</v>
      </c>
      <c r="C228" s="241" t="s">
        <v>1331</v>
      </c>
      <c r="G228" s="241" t="s">
        <v>650</v>
      </c>
      <c r="J228" s="241" t="s">
        <v>1331</v>
      </c>
      <c r="N228" s="241" t="s">
        <v>650</v>
      </c>
      <c r="R228" s="241">
        <v>1</v>
      </c>
      <c r="S228" s="241">
        <v>1283</v>
      </c>
      <c r="T228" s="241" t="s">
        <v>1332</v>
      </c>
      <c r="U228" s="241" t="s">
        <v>1333</v>
      </c>
      <c r="V228" s="241">
        <v>1</v>
      </c>
      <c r="W228" s="517">
        <v>42605</v>
      </c>
      <c r="X228" s="517">
        <v>36525</v>
      </c>
      <c r="Y228" s="241">
        <v>0</v>
      </c>
    </row>
    <row r="229" spans="1:26" x14ac:dyDescent="0.25">
      <c r="A229" s="241">
        <v>3013</v>
      </c>
      <c r="B229" s="241" t="s">
        <v>1334</v>
      </c>
      <c r="C229" s="241" t="s">
        <v>1335</v>
      </c>
      <c r="G229" s="241" t="s">
        <v>650</v>
      </c>
      <c r="H229" s="241" t="s">
        <v>1336</v>
      </c>
      <c r="I229" s="241">
        <v>1</v>
      </c>
      <c r="J229" s="241" t="s">
        <v>1335</v>
      </c>
      <c r="N229" s="241" t="s">
        <v>650</v>
      </c>
      <c r="O229" s="241" t="s">
        <v>1336</v>
      </c>
      <c r="P229" s="241">
        <v>1</v>
      </c>
      <c r="R229" s="241">
        <v>6</v>
      </c>
      <c r="S229" s="241">
        <v>0</v>
      </c>
      <c r="U229" s="241" t="s">
        <v>656</v>
      </c>
      <c r="V229" s="241">
        <v>3</v>
      </c>
      <c r="W229" s="517">
        <v>36892</v>
      </c>
      <c r="X229" s="517">
        <v>36525</v>
      </c>
      <c r="Y229" s="241">
        <v>1</v>
      </c>
      <c r="Z229" s="241">
        <v>1</v>
      </c>
    </row>
    <row r="230" spans="1:26" x14ac:dyDescent="0.25">
      <c r="A230" s="241">
        <v>10549</v>
      </c>
      <c r="B230" s="241" t="s">
        <v>1337</v>
      </c>
      <c r="C230" s="241" t="s">
        <v>1338</v>
      </c>
      <c r="G230" s="241" t="s">
        <v>650</v>
      </c>
      <c r="H230" s="241" t="s">
        <v>1339</v>
      </c>
      <c r="I230" s="241">
        <v>1</v>
      </c>
      <c r="J230" s="241" t="s">
        <v>1338</v>
      </c>
      <c r="N230" s="241" t="s">
        <v>650</v>
      </c>
      <c r="O230" s="241" t="s">
        <v>1339</v>
      </c>
      <c r="P230" s="241">
        <v>1</v>
      </c>
      <c r="R230" s="241">
        <v>4</v>
      </c>
      <c r="S230" s="241">
        <v>0</v>
      </c>
      <c r="U230" s="241" t="s">
        <v>656</v>
      </c>
      <c r="V230" s="241">
        <v>3</v>
      </c>
      <c r="W230" s="517">
        <v>36892</v>
      </c>
      <c r="X230" s="517">
        <v>36525</v>
      </c>
      <c r="Y230" s="241">
        <v>1</v>
      </c>
      <c r="Z230" s="241">
        <v>1</v>
      </c>
    </row>
    <row r="231" spans="1:26" x14ac:dyDescent="0.25">
      <c r="A231" s="241">
        <v>30108</v>
      </c>
      <c r="B231" s="241" t="s">
        <v>1340</v>
      </c>
      <c r="I231" s="241">
        <v>1</v>
      </c>
      <c r="P231" s="241">
        <v>1</v>
      </c>
      <c r="R231" s="241">
        <v>1</v>
      </c>
      <c r="S231" s="241">
        <v>29747</v>
      </c>
      <c r="T231" s="241" t="s">
        <v>666</v>
      </c>
      <c r="U231" s="241" t="s">
        <v>1341</v>
      </c>
      <c r="V231" s="241">
        <v>3</v>
      </c>
      <c r="W231" s="517">
        <v>36892</v>
      </c>
      <c r="X231" s="517">
        <v>36525</v>
      </c>
      <c r="Y231" s="241">
        <v>0</v>
      </c>
      <c r="Z231" s="241">
        <v>1</v>
      </c>
    </row>
    <row r="232" spans="1:26" x14ac:dyDescent="0.25">
      <c r="A232" s="241">
        <v>3200</v>
      </c>
      <c r="B232" s="241" t="s">
        <v>1342</v>
      </c>
      <c r="C232" s="241" t="s">
        <v>1343</v>
      </c>
      <c r="G232" s="241" t="s">
        <v>650</v>
      </c>
      <c r="H232" s="241" t="s">
        <v>1021</v>
      </c>
      <c r="I232" s="241">
        <v>1</v>
      </c>
      <c r="J232" s="241" t="s">
        <v>1343</v>
      </c>
      <c r="N232" s="241" t="s">
        <v>650</v>
      </c>
      <c r="O232" s="241" t="s">
        <v>1021</v>
      </c>
      <c r="P232" s="241">
        <v>1</v>
      </c>
      <c r="R232" s="241">
        <v>8</v>
      </c>
      <c r="S232" s="241">
        <v>0</v>
      </c>
      <c r="U232" s="241" t="s">
        <v>1344</v>
      </c>
      <c r="V232" s="241">
        <v>3</v>
      </c>
      <c r="W232" s="517">
        <v>36892</v>
      </c>
      <c r="X232" s="517">
        <v>36525</v>
      </c>
      <c r="Y232" s="241">
        <v>0</v>
      </c>
      <c r="Z232" s="241">
        <v>1</v>
      </c>
    </row>
    <row r="233" spans="1:26" x14ac:dyDescent="0.25">
      <c r="A233" s="241">
        <v>3099</v>
      </c>
      <c r="B233" s="241" t="s">
        <v>1345</v>
      </c>
      <c r="C233" s="241" t="s">
        <v>1346</v>
      </c>
      <c r="G233" s="241" t="s">
        <v>650</v>
      </c>
      <c r="H233" s="241" t="s">
        <v>713</v>
      </c>
      <c r="I233" s="241">
        <v>1</v>
      </c>
      <c r="J233" s="241" t="s">
        <v>1346</v>
      </c>
      <c r="N233" s="241" t="s">
        <v>650</v>
      </c>
      <c r="O233" s="241" t="s">
        <v>713</v>
      </c>
      <c r="P233" s="241">
        <v>1</v>
      </c>
      <c r="R233" s="241">
        <v>6</v>
      </c>
      <c r="S233" s="241">
        <v>0</v>
      </c>
      <c r="U233" s="241" t="s">
        <v>656</v>
      </c>
      <c r="V233" s="241">
        <v>3</v>
      </c>
      <c r="W233" s="517">
        <v>36892</v>
      </c>
      <c r="X233" s="517">
        <v>36525</v>
      </c>
      <c r="Y233" s="241">
        <v>0</v>
      </c>
      <c r="Z233" s="241">
        <v>1</v>
      </c>
    </row>
    <row r="234" spans="1:26" x14ac:dyDescent="0.25">
      <c r="A234" s="241">
        <v>10392</v>
      </c>
      <c r="B234" s="241" t="s">
        <v>1347</v>
      </c>
      <c r="C234" s="241" t="s">
        <v>1348</v>
      </c>
      <c r="G234" s="241" t="s">
        <v>650</v>
      </c>
      <c r="H234" s="241" t="s">
        <v>789</v>
      </c>
      <c r="I234" s="241">
        <v>1</v>
      </c>
      <c r="J234" s="241" t="s">
        <v>1348</v>
      </c>
      <c r="N234" s="241" t="s">
        <v>650</v>
      </c>
      <c r="O234" s="241" t="s">
        <v>789</v>
      </c>
      <c r="P234" s="241">
        <v>1</v>
      </c>
      <c r="R234" s="241">
        <v>3</v>
      </c>
      <c r="S234" s="241">
        <v>29747</v>
      </c>
      <c r="T234" s="241" t="s">
        <v>666</v>
      </c>
      <c r="U234" s="241" t="s">
        <v>1349</v>
      </c>
      <c r="V234" s="241">
        <v>3</v>
      </c>
      <c r="W234" s="517">
        <v>36892</v>
      </c>
      <c r="X234" s="517">
        <v>36525</v>
      </c>
      <c r="Y234" s="241">
        <v>0</v>
      </c>
      <c r="Z234" s="241">
        <v>1</v>
      </c>
    </row>
    <row r="235" spans="1:26" x14ac:dyDescent="0.25">
      <c r="A235" s="241">
        <v>3202</v>
      </c>
      <c r="B235" s="241" t="s">
        <v>1350</v>
      </c>
      <c r="C235" s="241" t="s">
        <v>1351</v>
      </c>
      <c r="G235" s="241" t="s">
        <v>650</v>
      </c>
      <c r="H235" s="241" t="s">
        <v>1352</v>
      </c>
      <c r="I235" s="241">
        <v>1</v>
      </c>
      <c r="J235" s="241" t="s">
        <v>1351</v>
      </c>
      <c r="N235" s="241" t="s">
        <v>650</v>
      </c>
      <c r="O235" s="241" t="s">
        <v>1352</v>
      </c>
      <c r="P235" s="241">
        <v>1</v>
      </c>
      <c r="R235" s="241">
        <v>4</v>
      </c>
      <c r="S235" s="241">
        <v>0</v>
      </c>
      <c r="U235" s="241" t="s">
        <v>656</v>
      </c>
      <c r="V235" s="241">
        <v>3</v>
      </c>
      <c r="W235" s="517">
        <v>36892</v>
      </c>
      <c r="X235" s="517">
        <v>36525</v>
      </c>
      <c r="Y235" s="241">
        <v>0</v>
      </c>
      <c r="Z235" s="241">
        <v>1</v>
      </c>
    </row>
    <row r="236" spans="1:26" x14ac:dyDescent="0.25">
      <c r="A236" s="241">
        <v>3266</v>
      </c>
      <c r="B236" s="241" t="s">
        <v>1353</v>
      </c>
      <c r="C236" s="241" t="s">
        <v>1354</v>
      </c>
      <c r="G236" s="241" t="s">
        <v>650</v>
      </c>
      <c r="H236" s="241" t="s">
        <v>1355</v>
      </c>
      <c r="I236" s="241">
        <v>1</v>
      </c>
      <c r="J236" s="241" t="s">
        <v>1354</v>
      </c>
      <c r="N236" s="241" t="s">
        <v>650</v>
      </c>
      <c r="O236" s="241" t="s">
        <v>1355</v>
      </c>
      <c r="P236" s="241">
        <v>1</v>
      </c>
      <c r="R236" s="241">
        <v>5</v>
      </c>
      <c r="S236" s="241">
        <v>0</v>
      </c>
      <c r="U236" s="241" t="s">
        <v>656</v>
      </c>
      <c r="V236" s="241">
        <v>3</v>
      </c>
      <c r="W236" s="517">
        <v>36892</v>
      </c>
      <c r="X236" s="517">
        <v>36525</v>
      </c>
      <c r="Y236" s="241">
        <v>0</v>
      </c>
      <c r="Z236" s="241">
        <v>1</v>
      </c>
    </row>
    <row r="237" spans="1:26" x14ac:dyDescent="0.25">
      <c r="A237" s="241">
        <v>10300</v>
      </c>
      <c r="B237" s="241" t="s">
        <v>1356</v>
      </c>
      <c r="C237" s="241" t="s">
        <v>1357</v>
      </c>
      <c r="G237" s="241" t="s">
        <v>650</v>
      </c>
      <c r="H237" s="241" t="s">
        <v>1358</v>
      </c>
      <c r="I237" s="241">
        <v>1</v>
      </c>
      <c r="J237" s="241" t="s">
        <v>1357</v>
      </c>
      <c r="N237" s="241" t="s">
        <v>650</v>
      </c>
      <c r="O237" s="241" t="s">
        <v>1358</v>
      </c>
      <c r="P237" s="241">
        <v>1</v>
      </c>
      <c r="R237" s="241">
        <v>6</v>
      </c>
      <c r="S237" s="241">
        <v>0</v>
      </c>
      <c r="U237" s="241" t="s">
        <v>656</v>
      </c>
      <c r="V237" s="241">
        <v>3</v>
      </c>
      <c r="W237" s="517">
        <v>36892</v>
      </c>
      <c r="X237" s="517">
        <v>36525</v>
      </c>
      <c r="Y237" s="241">
        <v>1</v>
      </c>
      <c r="Z237" s="241">
        <v>1</v>
      </c>
    </row>
    <row r="238" spans="1:26" x14ac:dyDescent="0.25">
      <c r="A238" s="241">
        <v>10288</v>
      </c>
      <c r="B238" s="241" t="s">
        <v>1359</v>
      </c>
      <c r="C238" s="241" t="s">
        <v>1360</v>
      </c>
      <c r="G238" s="241" t="s">
        <v>650</v>
      </c>
      <c r="H238" s="241" t="s">
        <v>963</v>
      </c>
      <c r="I238" s="241">
        <v>1</v>
      </c>
      <c r="J238" s="241" t="s">
        <v>1360</v>
      </c>
      <c r="N238" s="241" t="s">
        <v>650</v>
      </c>
      <c r="O238" s="241" t="s">
        <v>963</v>
      </c>
      <c r="P238" s="241">
        <v>1</v>
      </c>
      <c r="R238" s="241">
        <v>2</v>
      </c>
      <c r="S238" s="241">
        <v>0</v>
      </c>
      <c r="U238" s="241" t="s">
        <v>656</v>
      </c>
      <c r="V238" s="241">
        <v>3</v>
      </c>
      <c r="W238" s="517">
        <v>36892</v>
      </c>
      <c r="X238" s="517">
        <v>36525</v>
      </c>
      <c r="Y238" s="241">
        <v>0</v>
      </c>
      <c r="Z238" s="241">
        <v>1</v>
      </c>
    </row>
    <row r="239" spans="1:26" x14ac:dyDescent="0.25">
      <c r="A239" s="241">
        <v>3303</v>
      </c>
      <c r="B239" s="241" t="s">
        <v>1361</v>
      </c>
      <c r="C239" s="241" t="s">
        <v>1362</v>
      </c>
      <c r="G239" s="241" t="s">
        <v>650</v>
      </c>
      <c r="H239" s="241" t="s">
        <v>789</v>
      </c>
      <c r="I239" s="241">
        <v>1</v>
      </c>
      <c r="J239" s="241" t="s">
        <v>1362</v>
      </c>
      <c r="N239" s="241" t="s">
        <v>650</v>
      </c>
      <c r="O239" s="241" t="s">
        <v>789</v>
      </c>
      <c r="P239" s="241">
        <v>1</v>
      </c>
      <c r="R239" s="241">
        <v>5</v>
      </c>
      <c r="S239" s="241">
        <v>0</v>
      </c>
      <c r="U239" s="241" t="s">
        <v>656</v>
      </c>
      <c r="V239" s="241">
        <v>3</v>
      </c>
      <c r="W239" s="517">
        <v>36892</v>
      </c>
      <c r="X239" s="517">
        <v>36525</v>
      </c>
      <c r="Y239" s="241">
        <v>0</v>
      </c>
      <c r="Z239" s="241">
        <v>1</v>
      </c>
    </row>
    <row r="240" spans="1:26" x14ac:dyDescent="0.25">
      <c r="A240" s="241">
        <v>30196</v>
      </c>
      <c r="B240" s="241" t="s">
        <v>1363</v>
      </c>
      <c r="C240" s="241" t="s">
        <v>1364</v>
      </c>
      <c r="G240" s="241" t="s">
        <v>650</v>
      </c>
      <c r="H240" s="241" t="s">
        <v>1365</v>
      </c>
      <c r="I240" s="241">
        <v>1</v>
      </c>
      <c r="J240" s="241" t="s">
        <v>1364</v>
      </c>
      <c r="N240" s="241" t="s">
        <v>650</v>
      </c>
      <c r="O240" s="241" t="s">
        <v>1365</v>
      </c>
      <c r="P240" s="241">
        <v>1</v>
      </c>
      <c r="R240" s="241">
        <v>1</v>
      </c>
      <c r="S240" s="241">
        <v>29747</v>
      </c>
      <c r="T240" s="241" t="s">
        <v>666</v>
      </c>
      <c r="U240" s="241" t="s">
        <v>1366</v>
      </c>
      <c r="V240" s="241">
        <v>1</v>
      </c>
      <c r="W240" s="517">
        <v>36892</v>
      </c>
      <c r="X240" s="517">
        <v>36525</v>
      </c>
      <c r="Y240" s="241">
        <v>0</v>
      </c>
      <c r="Z240" s="241">
        <v>1</v>
      </c>
    </row>
    <row r="241" spans="1:26" x14ac:dyDescent="0.25">
      <c r="A241" s="241">
        <v>3304</v>
      </c>
      <c r="B241" s="241" t="s">
        <v>1367</v>
      </c>
      <c r="C241" s="241" t="s">
        <v>1368</v>
      </c>
      <c r="G241" s="241" t="s">
        <v>650</v>
      </c>
      <c r="H241" s="241" t="s">
        <v>720</v>
      </c>
      <c r="I241" s="241">
        <v>1</v>
      </c>
      <c r="J241" s="241" t="s">
        <v>1368</v>
      </c>
      <c r="N241" s="241" t="s">
        <v>650</v>
      </c>
      <c r="O241" s="241" t="s">
        <v>720</v>
      </c>
      <c r="P241" s="241">
        <v>1</v>
      </c>
      <c r="R241" s="241">
        <v>7</v>
      </c>
      <c r="S241" s="241">
        <v>0</v>
      </c>
      <c r="U241" s="241" t="s">
        <v>656</v>
      </c>
      <c r="V241" s="241">
        <v>3</v>
      </c>
      <c r="W241" s="517">
        <v>36892</v>
      </c>
      <c r="X241" s="517">
        <v>36525</v>
      </c>
      <c r="Y241" s="241">
        <v>0</v>
      </c>
      <c r="Z241" s="241">
        <v>1</v>
      </c>
    </row>
    <row r="242" spans="1:26" x14ac:dyDescent="0.25">
      <c r="A242" s="241">
        <v>3254</v>
      </c>
      <c r="B242" s="241" t="s">
        <v>1369</v>
      </c>
      <c r="C242" s="241" t="s">
        <v>1370</v>
      </c>
      <c r="G242" s="241" t="s">
        <v>650</v>
      </c>
      <c r="H242" s="241" t="s">
        <v>665</v>
      </c>
      <c r="I242" s="241">
        <v>1</v>
      </c>
      <c r="J242" s="241" t="s">
        <v>1370</v>
      </c>
      <c r="N242" s="241" t="s">
        <v>650</v>
      </c>
      <c r="O242" s="241" t="s">
        <v>665</v>
      </c>
      <c r="P242" s="241">
        <v>1</v>
      </c>
      <c r="R242" s="241">
        <v>9</v>
      </c>
      <c r="S242" s="241">
        <v>29747</v>
      </c>
      <c r="T242" s="241" t="s">
        <v>666</v>
      </c>
      <c r="U242" s="241" t="s">
        <v>1371</v>
      </c>
      <c r="V242" s="241">
        <v>3</v>
      </c>
      <c r="W242" s="517">
        <v>36892</v>
      </c>
      <c r="X242" s="517">
        <v>36525</v>
      </c>
      <c r="Y242" s="241">
        <v>1</v>
      </c>
      <c r="Z242" s="241">
        <v>1</v>
      </c>
    </row>
    <row r="243" spans="1:26" x14ac:dyDescent="0.25">
      <c r="A243" s="241">
        <v>30222</v>
      </c>
      <c r="B243" s="241" t="s">
        <v>1372</v>
      </c>
      <c r="C243" s="241" t="s">
        <v>1373</v>
      </c>
      <c r="G243" s="241" t="s">
        <v>650</v>
      </c>
      <c r="H243" s="241" t="s">
        <v>1374</v>
      </c>
      <c r="I243" s="241">
        <v>1</v>
      </c>
      <c r="J243" s="241" t="s">
        <v>1373</v>
      </c>
      <c r="N243" s="241" t="s">
        <v>650</v>
      </c>
      <c r="O243" s="241" t="s">
        <v>1374</v>
      </c>
      <c r="P243" s="241">
        <v>1</v>
      </c>
      <c r="R243" s="241">
        <v>2</v>
      </c>
      <c r="S243" s="241">
        <v>0</v>
      </c>
      <c r="U243" s="241" t="s">
        <v>1375</v>
      </c>
      <c r="V243" s="241">
        <v>3</v>
      </c>
      <c r="W243" s="517">
        <v>36892</v>
      </c>
      <c r="X243" s="517">
        <v>36525</v>
      </c>
      <c r="Y243" s="241">
        <v>0</v>
      </c>
      <c r="Z243" s="241">
        <v>1</v>
      </c>
    </row>
    <row r="244" spans="1:26" x14ac:dyDescent="0.25">
      <c r="A244" s="241">
        <v>30231</v>
      </c>
      <c r="B244" s="241" t="s">
        <v>1376</v>
      </c>
      <c r="C244" s="241" t="s">
        <v>1377</v>
      </c>
      <c r="G244" s="241" t="s">
        <v>650</v>
      </c>
      <c r="H244" s="241" t="s">
        <v>1201</v>
      </c>
      <c r="I244" s="241">
        <v>1</v>
      </c>
      <c r="J244" s="241" t="s">
        <v>1377</v>
      </c>
      <c r="N244" s="241" t="s">
        <v>650</v>
      </c>
      <c r="O244" s="241" t="s">
        <v>1201</v>
      </c>
      <c r="P244" s="241">
        <v>1</v>
      </c>
      <c r="R244" s="241">
        <v>2</v>
      </c>
      <c r="S244" s="241">
        <v>0</v>
      </c>
      <c r="U244" s="241" t="s">
        <v>1378</v>
      </c>
      <c r="V244" s="241">
        <v>3</v>
      </c>
      <c r="W244" s="517">
        <v>36892</v>
      </c>
      <c r="X244" s="517">
        <v>36525</v>
      </c>
      <c r="Y244" s="241">
        <v>0</v>
      </c>
      <c r="Z244" s="241">
        <v>1</v>
      </c>
    </row>
    <row r="245" spans="1:26" x14ac:dyDescent="0.25">
      <c r="A245" s="241">
        <v>3245</v>
      </c>
      <c r="B245" s="241" t="s">
        <v>1379</v>
      </c>
      <c r="C245" s="241" t="s">
        <v>1380</v>
      </c>
      <c r="G245" s="241" t="s">
        <v>650</v>
      </c>
      <c r="H245" s="241" t="s">
        <v>950</v>
      </c>
      <c r="I245" s="241">
        <v>1</v>
      </c>
      <c r="J245" s="241" t="s">
        <v>1380</v>
      </c>
      <c r="N245" s="241" t="s">
        <v>650</v>
      </c>
      <c r="O245" s="241" t="s">
        <v>950</v>
      </c>
      <c r="P245" s="241">
        <v>1</v>
      </c>
      <c r="R245" s="241">
        <v>4</v>
      </c>
      <c r="S245" s="241">
        <v>0</v>
      </c>
      <c r="U245" s="241" t="s">
        <v>656</v>
      </c>
      <c r="V245" s="241">
        <v>3</v>
      </c>
      <c r="W245" s="517">
        <v>36892</v>
      </c>
      <c r="X245" s="517">
        <v>36525</v>
      </c>
      <c r="Y245" s="241">
        <v>0</v>
      </c>
      <c r="Z245" s="241">
        <v>1</v>
      </c>
    </row>
    <row r="246" spans="1:26" x14ac:dyDescent="0.25">
      <c r="A246" s="241">
        <v>10434</v>
      </c>
      <c r="B246" s="241" t="s">
        <v>1381</v>
      </c>
      <c r="C246" s="241" t="s">
        <v>1382</v>
      </c>
      <c r="G246" s="241" t="s">
        <v>650</v>
      </c>
      <c r="H246" s="241" t="s">
        <v>766</v>
      </c>
      <c r="I246" s="241">
        <v>1</v>
      </c>
      <c r="J246" s="241" t="s">
        <v>1382</v>
      </c>
      <c r="N246" s="241" t="s">
        <v>650</v>
      </c>
      <c r="O246" s="241" t="s">
        <v>766</v>
      </c>
      <c r="P246" s="241">
        <v>1</v>
      </c>
      <c r="R246" s="241">
        <v>3</v>
      </c>
      <c r="S246" s="241">
        <v>0</v>
      </c>
      <c r="U246" s="241" t="s">
        <v>656</v>
      </c>
      <c r="V246" s="241">
        <v>3</v>
      </c>
      <c r="W246" s="517">
        <v>36892</v>
      </c>
      <c r="X246" s="517">
        <v>36525</v>
      </c>
      <c r="Y246" s="241">
        <v>1</v>
      </c>
      <c r="Z246" s="241">
        <v>1</v>
      </c>
    </row>
    <row r="247" spans="1:26" x14ac:dyDescent="0.25">
      <c r="A247" s="241">
        <v>10548</v>
      </c>
      <c r="B247" s="241" t="s">
        <v>1383</v>
      </c>
      <c r="C247" s="241" t="s">
        <v>1384</v>
      </c>
      <c r="G247" s="241" t="s">
        <v>650</v>
      </c>
      <c r="H247" s="241" t="s">
        <v>1385</v>
      </c>
      <c r="I247" s="241">
        <v>1</v>
      </c>
      <c r="J247" s="241" t="s">
        <v>1384</v>
      </c>
      <c r="N247" s="241" t="s">
        <v>650</v>
      </c>
      <c r="O247" s="241" t="s">
        <v>1385</v>
      </c>
      <c r="P247" s="241">
        <v>1</v>
      </c>
      <c r="R247" s="241">
        <v>5</v>
      </c>
      <c r="S247" s="241">
        <v>0</v>
      </c>
      <c r="U247" s="241" t="s">
        <v>1386</v>
      </c>
      <c r="V247" s="241">
        <v>3</v>
      </c>
      <c r="W247" s="517">
        <v>36892</v>
      </c>
      <c r="X247" s="517">
        <v>36525</v>
      </c>
      <c r="Y247" s="241">
        <v>0</v>
      </c>
      <c r="Z247" s="241">
        <v>1</v>
      </c>
    </row>
    <row r="248" spans="1:26" x14ac:dyDescent="0.25">
      <c r="A248" s="241">
        <v>10328</v>
      </c>
      <c r="B248" s="241" t="s">
        <v>1387</v>
      </c>
      <c r="C248" s="241" t="s">
        <v>1388</v>
      </c>
      <c r="G248" s="241" t="s">
        <v>650</v>
      </c>
      <c r="H248" s="241" t="s">
        <v>752</v>
      </c>
      <c r="I248" s="241">
        <v>1</v>
      </c>
      <c r="J248" s="241" t="s">
        <v>1388</v>
      </c>
      <c r="N248" s="241" t="s">
        <v>650</v>
      </c>
      <c r="O248" s="241" t="s">
        <v>752</v>
      </c>
      <c r="P248" s="241">
        <v>1</v>
      </c>
      <c r="R248" s="241">
        <v>4</v>
      </c>
      <c r="S248" s="241">
        <v>0</v>
      </c>
      <c r="U248" s="241" t="s">
        <v>656</v>
      </c>
      <c r="V248" s="241">
        <v>3</v>
      </c>
      <c r="W248" s="517">
        <v>36892</v>
      </c>
      <c r="X248" s="517">
        <v>36525</v>
      </c>
      <c r="Y248" s="241">
        <v>1</v>
      </c>
      <c r="Z248" s="241">
        <v>1</v>
      </c>
    </row>
    <row r="249" spans="1:26" x14ac:dyDescent="0.25">
      <c r="A249" s="241">
        <v>10561</v>
      </c>
      <c r="B249" s="241" t="s">
        <v>1389</v>
      </c>
      <c r="C249" s="241" t="s">
        <v>1390</v>
      </c>
      <c r="G249" s="241" t="s">
        <v>650</v>
      </c>
      <c r="H249" s="241" t="s">
        <v>885</v>
      </c>
      <c r="I249" s="241">
        <v>1</v>
      </c>
      <c r="J249" s="241" t="s">
        <v>1390</v>
      </c>
      <c r="N249" s="241" t="s">
        <v>650</v>
      </c>
      <c r="O249" s="241" t="s">
        <v>885</v>
      </c>
      <c r="P249" s="241">
        <v>1</v>
      </c>
      <c r="R249" s="241">
        <v>5</v>
      </c>
      <c r="S249" s="241">
        <v>0</v>
      </c>
      <c r="U249" s="241" t="s">
        <v>656</v>
      </c>
      <c r="V249" s="241">
        <v>3</v>
      </c>
      <c r="W249" s="517">
        <v>36892</v>
      </c>
      <c r="X249" s="517">
        <v>36525</v>
      </c>
      <c r="Y249" s="241">
        <v>1</v>
      </c>
      <c r="Z249" s="241">
        <v>1</v>
      </c>
    </row>
    <row r="250" spans="1:26" x14ac:dyDescent="0.25">
      <c r="A250" s="241">
        <v>3513</v>
      </c>
      <c r="B250" s="241" t="s">
        <v>1391</v>
      </c>
      <c r="C250" s="241" t="s">
        <v>1392</v>
      </c>
      <c r="G250" s="241" t="s">
        <v>650</v>
      </c>
      <c r="H250" s="241" t="s">
        <v>772</v>
      </c>
      <c r="I250" s="241">
        <v>1</v>
      </c>
      <c r="J250" s="241" t="s">
        <v>1392</v>
      </c>
      <c r="N250" s="241" t="s">
        <v>650</v>
      </c>
      <c r="O250" s="241" t="s">
        <v>772</v>
      </c>
      <c r="P250" s="241">
        <v>1</v>
      </c>
      <c r="R250" s="241">
        <v>5</v>
      </c>
      <c r="S250" s="241">
        <v>0</v>
      </c>
      <c r="U250" s="241" t="s">
        <v>656</v>
      </c>
      <c r="V250" s="241">
        <v>3</v>
      </c>
      <c r="W250" s="517">
        <v>36892</v>
      </c>
      <c r="X250" s="517">
        <v>36525</v>
      </c>
      <c r="Y250" s="241">
        <v>0</v>
      </c>
      <c r="Z250" s="241">
        <v>1</v>
      </c>
    </row>
    <row r="251" spans="1:26" x14ac:dyDescent="0.25">
      <c r="A251" s="241">
        <v>10316</v>
      </c>
      <c r="B251" s="241" t="s">
        <v>1393</v>
      </c>
      <c r="C251" s="241" t="s">
        <v>1394</v>
      </c>
      <c r="G251" s="241" t="s">
        <v>650</v>
      </c>
      <c r="H251" s="241" t="s">
        <v>1395</v>
      </c>
      <c r="I251" s="241">
        <v>1</v>
      </c>
      <c r="J251" s="241" t="s">
        <v>1394</v>
      </c>
      <c r="N251" s="241" t="s">
        <v>650</v>
      </c>
      <c r="O251" s="241" t="s">
        <v>1395</v>
      </c>
      <c r="P251" s="241">
        <v>1</v>
      </c>
      <c r="R251" s="241">
        <v>4</v>
      </c>
      <c r="S251" s="241">
        <v>0</v>
      </c>
      <c r="U251" s="241" t="s">
        <v>656</v>
      </c>
      <c r="V251" s="241">
        <v>3</v>
      </c>
      <c r="W251" s="517">
        <v>36892</v>
      </c>
      <c r="X251" s="517">
        <v>36525</v>
      </c>
      <c r="Y251" s="241">
        <v>0</v>
      </c>
      <c r="Z251" s="241">
        <v>1</v>
      </c>
    </row>
    <row r="252" spans="1:26" x14ac:dyDescent="0.25">
      <c r="A252" s="241">
        <v>3546</v>
      </c>
      <c r="B252" s="241" t="s">
        <v>1396</v>
      </c>
      <c r="C252" s="241" t="s">
        <v>1397</v>
      </c>
      <c r="G252" s="241" t="s">
        <v>650</v>
      </c>
      <c r="H252" s="241" t="s">
        <v>810</v>
      </c>
      <c r="I252" s="241">
        <v>1</v>
      </c>
      <c r="J252" s="241" t="s">
        <v>1397</v>
      </c>
      <c r="N252" s="241" t="s">
        <v>650</v>
      </c>
      <c r="O252" s="241" t="s">
        <v>810</v>
      </c>
      <c r="P252" s="241">
        <v>1</v>
      </c>
      <c r="R252" s="241">
        <v>8</v>
      </c>
      <c r="S252" s="241">
        <v>0</v>
      </c>
      <c r="U252" s="241" t="s">
        <v>1398</v>
      </c>
      <c r="V252" s="241">
        <v>3</v>
      </c>
      <c r="W252" s="517">
        <v>36892</v>
      </c>
      <c r="X252" s="517">
        <v>36525</v>
      </c>
      <c r="Y252" s="241">
        <v>0</v>
      </c>
      <c r="Z252" s="241">
        <v>1</v>
      </c>
    </row>
    <row r="253" spans="1:26" x14ac:dyDescent="0.25">
      <c r="A253" s="241">
        <v>10314</v>
      </c>
      <c r="B253" s="241" t="s">
        <v>1399</v>
      </c>
      <c r="C253" s="241" t="s">
        <v>1400</v>
      </c>
      <c r="G253" s="241" t="s">
        <v>650</v>
      </c>
      <c r="H253" s="241" t="s">
        <v>1401</v>
      </c>
      <c r="I253" s="241">
        <v>1</v>
      </c>
      <c r="J253" s="241" t="s">
        <v>1400</v>
      </c>
      <c r="N253" s="241" t="s">
        <v>650</v>
      </c>
      <c r="O253" s="241" t="s">
        <v>1401</v>
      </c>
      <c r="P253" s="241">
        <v>1</v>
      </c>
      <c r="R253" s="241">
        <v>7</v>
      </c>
      <c r="S253" s="241">
        <v>0</v>
      </c>
      <c r="U253" s="241" t="s">
        <v>656</v>
      </c>
      <c r="V253" s="241">
        <v>3</v>
      </c>
      <c r="W253" s="517">
        <v>36892</v>
      </c>
      <c r="X253" s="517">
        <v>36525</v>
      </c>
      <c r="Y253" s="241">
        <v>0</v>
      </c>
      <c r="Z253" s="241">
        <v>1</v>
      </c>
    </row>
    <row r="254" spans="1:26" x14ac:dyDescent="0.25">
      <c r="A254" s="241">
        <v>3884</v>
      </c>
      <c r="B254" s="241" t="s">
        <v>1402</v>
      </c>
      <c r="C254" s="241" t="s">
        <v>1403</v>
      </c>
      <c r="G254" s="241" t="s">
        <v>650</v>
      </c>
      <c r="H254" s="241" t="s">
        <v>889</v>
      </c>
      <c r="I254" s="241">
        <v>1</v>
      </c>
      <c r="J254" s="241" t="s">
        <v>1403</v>
      </c>
      <c r="N254" s="241" t="s">
        <v>650</v>
      </c>
      <c r="O254" s="241" t="s">
        <v>889</v>
      </c>
      <c r="P254" s="241">
        <v>1</v>
      </c>
      <c r="R254" s="241">
        <v>3</v>
      </c>
      <c r="S254" s="241">
        <v>0</v>
      </c>
      <c r="U254" s="241" t="s">
        <v>656</v>
      </c>
      <c r="V254" s="241">
        <v>3</v>
      </c>
      <c r="W254" s="517">
        <v>36892</v>
      </c>
      <c r="X254" s="517">
        <v>36525</v>
      </c>
      <c r="Y254" s="241">
        <v>0</v>
      </c>
      <c r="Z254" s="241">
        <v>1</v>
      </c>
    </row>
    <row r="255" spans="1:26" x14ac:dyDescent="0.25">
      <c r="A255" s="241">
        <v>3879</v>
      </c>
      <c r="B255" s="241" t="s">
        <v>1404</v>
      </c>
      <c r="C255" s="241" t="s">
        <v>1405</v>
      </c>
      <c r="G255" s="241" t="s">
        <v>650</v>
      </c>
      <c r="H255" s="241" t="s">
        <v>810</v>
      </c>
      <c r="I255" s="241">
        <v>1</v>
      </c>
      <c r="J255" s="241" t="s">
        <v>1405</v>
      </c>
      <c r="N255" s="241" t="s">
        <v>650</v>
      </c>
      <c r="O255" s="241" t="s">
        <v>810</v>
      </c>
      <c r="P255" s="241">
        <v>1</v>
      </c>
      <c r="R255" s="241">
        <v>5</v>
      </c>
      <c r="S255" s="241">
        <v>0</v>
      </c>
      <c r="U255" s="241" t="s">
        <v>656</v>
      </c>
      <c r="V255" s="241">
        <v>3</v>
      </c>
      <c r="W255" s="517">
        <v>36892</v>
      </c>
      <c r="X255" s="517">
        <v>36525</v>
      </c>
      <c r="Y255" s="241">
        <v>1</v>
      </c>
      <c r="Z255" s="241">
        <v>1</v>
      </c>
    </row>
    <row r="256" spans="1:26" x14ac:dyDescent="0.25">
      <c r="A256" s="241">
        <v>30112</v>
      </c>
      <c r="B256" s="241" t="s">
        <v>1406</v>
      </c>
      <c r="I256" s="241">
        <v>1</v>
      </c>
      <c r="P256" s="241">
        <v>1</v>
      </c>
      <c r="R256" s="241">
        <v>1</v>
      </c>
      <c r="S256" s="241">
        <v>29747</v>
      </c>
      <c r="T256" s="241" t="s">
        <v>666</v>
      </c>
      <c r="U256" s="241" t="s">
        <v>1407</v>
      </c>
      <c r="V256" s="241">
        <v>3</v>
      </c>
      <c r="W256" s="517">
        <v>36892</v>
      </c>
      <c r="X256" s="517">
        <v>36525</v>
      </c>
      <c r="Y256" s="241">
        <v>0</v>
      </c>
      <c r="Z256" s="241">
        <v>1</v>
      </c>
    </row>
    <row r="257" spans="1:26" x14ac:dyDescent="0.25">
      <c r="A257" s="241">
        <v>10372</v>
      </c>
      <c r="B257" s="241" t="s">
        <v>1408</v>
      </c>
      <c r="C257" s="241" t="s">
        <v>1409</v>
      </c>
      <c r="G257" s="241" t="s">
        <v>650</v>
      </c>
      <c r="H257" s="241" t="s">
        <v>1410</v>
      </c>
      <c r="I257" s="241">
        <v>1</v>
      </c>
      <c r="J257" s="241" t="s">
        <v>1409</v>
      </c>
      <c r="N257" s="241" t="s">
        <v>650</v>
      </c>
      <c r="O257" s="241" t="s">
        <v>1410</v>
      </c>
      <c r="P257" s="241">
        <v>1</v>
      </c>
      <c r="R257" s="241">
        <v>2</v>
      </c>
      <c r="S257" s="241">
        <v>0</v>
      </c>
      <c r="U257" s="241" t="s">
        <v>656</v>
      </c>
      <c r="V257" s="241">
        <v>3</v>
      </c>
      <c r="W257" s="517">
        <v>36892</v>
      </c>
      <c r="X257" s="517">
        <v>36525</v>
      </c>
      <c r="Y257" s="241">
        <v>1</v>
      </c>
      <c r="Z257" s="241">
        <v>1</v>
      </c>
    </row>
    <row r="258" spans="1:26" x14ac:dyDescent="0.25">
      <c r="A258" s="241">
        <v>3708</v>
      </c>
      <c r="B258" s="241" t="s">
        <v>1411</v>
      </c>
      <c r="C258" s="241" t="s">
        <v>1412</v>
      </c>
      <c r="G258" s="241" t="s">
        <v>650</v>
      </c>
      <c r="H258" s="241" t="s">
        <v>1413</v>
      </c>
      <c r="I258" s="241">
        <v>1</v>
      </c>
      <c r="J258" s="241" t="s">
        <v>1412</v>
      </c>
      <c r="N258" s="241" t="s">
        <v>650</v>
      </c>
      <c r="O258" s="241" t="s">
        <v>1413</v>
      </c>
      <c r="P258" s="241">
        <v>1</v>
      </c>
      <c r="R258" s="241">
        <v>11</v>
      </c>
      <c r="S258" s="241">
        <v>0</v>
      </c>
      <c r="U258" s="241" t="s">
        <v>656</v>
      </c>
      <c r="V258" s="241">
        <v>3</v>
      </c>
      <c r="W258" s="517">
        <v>36892</v>
      </c>
      <c r="X258" s="517">
        <v>36525</v>
      </c>
      <c r="Y258" s="241">
        <v>0</v>
      </c>
      <c r="Z258" s="241">
        <v>1</v>
      </c>
    </row>
    <row r="259" spans="1:26" x14ac:dyDescent="0.25">
      <c r="A259" s="241">
        <v>30140</v>
      </c>
      <c r="B259" s="241" t="s">
        <v>1414</v>
      </c>
      <c r="I259" s="241">
        <v>244</v>
      </c>
      <c r="P259" s="241">
        <v>244</v>
      </c>
      <c r="R259" s="241">
        <v>2</v>
      </c>
      <c r="S259" s="241">
        <v>29747</v>
      </c>
      <c r="T259" s="241" t="s">
        <v>666</v>
      </c>
      <c r="U259" s="241" t="s">
        <v>1415</v>
      </c>
      <c r="V259" s="241">
        <v>3</v>
      </c>
      <c r="W259" s="517">
        <v>36892</v>
      </c>
      <c r="X259" s="517">
        <v>36525</v>
      </c>
      <c r="Y259" s="241">
        <v>0</v>
      </c>
      <c r="Z259" s="241">
        <v>1</v>
      </c>
    </row>
    <row r="260" spans="1:26" x14ac:dyDescent="0.25">
      <c r="A260" s="241">
        <v>10488</v>
      </c>
      <c r="B260" s="241" t="s">
        <v>1416</v>
      </c>
      <c r="C260" s="241" t="s">
        <v>1417</v>
      </c>
      <c r="G260" s="241" t="s">
        <v>214</v>
      </c>
      <c r="H260" s="241" t="s">
        <v>1418</v>
      </c>
      <c r="I260" s="241">
        <v>2</v>
      </c>
      <c r="J260" s="241" t="s">
        <v>1417</v>
      </c>
      <c r="N260" s="241" t="s">
        <v>214</v>
      </c>
      <c r="O260" s="241" t="s">
        <v>1418</v>
      </c>
      <c r="P260" s="241">
        <v>2</v>
      </c>
      <c r="R260" s="241">
        <v>2</v>
      </c>
      <c r="S260" s="241">
        <v>0</v>
      </c>
      <c r="U260" s="241" t="s">
        <v>656</v>
      </c>
      <c r="V260" s="241">
        <v>3</v>
      </c>
      <c r="W260" s="517">
        <v>36892</v>
      </c>
      <c r="X260" s="517">
        <v>36525</v>
      </c>
      <c r="Y260" s="241">
        <v>0</v>
      </c>
      <c r="Z260" s="241">
        <v>1</v>
      </c>
    </row>
    <row r="261" spans="1:26" x14ac:dyDescent="0.25">
      <c r="A261" s="241">
        <v>30202</v>
      </c>
      <c r="B261" s="241" t="s">
        <v>1419</v>
      </c>
      <c r="C261" s="241" t="s">
        <v>1420</v>
      </c>
      <c r="G261" s="241" t="s">
        <v>214</v>
      </c>
      <c r="H261" s="241" t="s">
        <v>1418</v>
      </c>
      <c r="I261" s="241">
        <v>2</v>
      </c>
      <c r="J261" s="241" t="s">
        <v>1420</v>
      </c>
      <c r="N261" s="241" t="s">
        <v>214</v>
      </c>
      <c r="O261" s="241" t="s">
        <v>1418</v>
      </c>
      <c r="P261" s="241">
        <v>2</v>
      </c>
      <c r="R261" s="241">
        <v>1</v>
      </c>
      <c r="S261" s="241">
        <v>29747</v>
      </c>
      <c r="T261" s="241" t="s">
        <v>666</v>
      </c>
      <c r="U261" s="241" t="s">
        <v>1421</v>
      </c>
      <c r="V261" s="241">
        <v>1</v>
      </c>
      <c r="W261" s="517">
        <v>36892</v>
      </c>
      <c r="X261" s="517">
        <v>36525</v>
      </c>
      <c r="Y261" s="241">
        <v>0</v>
      </c>
      <c r="Z261" s="241">
        <v>1</v>
      </c>
    </row>
    <row r="262" spans="1:26" x14ac:dyDescent="0.25">
      <c r="A262" s="241">
        <v>3779</v>
      </c>
      <c r="B262" s="241" t="s">
        <v>1422</v>
      </c>
      <c r="C262" s="241" t="s">
        <v>1423</v>
      </c>
      <c r="G262" s="241" t="s">
        <v>215</v>
      </c>
      <c r="H262" s="241" t="s">
        <v>1424</v>
      </c>
      <c r="I262" s="241">
        <v>1</v>
      </c>
      <c r="J262" s="241" t="s">
        <v>1423</v>
      </c>
      <c r="N262" s="241" t="s">
        <v>215</v>
      </c>
      <c r="O262" s="241" t="s">
        <v>1424</v>
      </c>
      <c r="P262" s="241">
        <v>1</v>
      </c>
      <c r="Q262" s="241">
        <v>1285</v>
      </c>
      <c r="R262" s="241">
        <v>2</v>
      </c>
      <c r="S262" s="241">
        <v>0</v>
      </c>
      <c r="U262" s="241" t="s">
        <v>656</v>
      </c>
      <c r="V262" s="241">
        <v>3</v>
      </c>
      <c r="W262" s="517">
        <v>36892</v>
      </c>
      <c r="X262" s="517">
        <v>36525</v>
      </c>
      <c r="Y262" s="241">
        <v>0</v>
      </c>
      <c r="Z262" s="241">
        <v>1</v>
      </c>
    </row>
    <row r="263" spans="1:26" x14ac:dyDescent="0.25">
      <c r="A263" s="241">
        <v>3756</v>
      </c>
      <c r="B263" s="241" t="s">
        <v>1425</v>
      </c>
      <c r="C263" s="241" t="s">
        <v>1426</v>
      </c>
      <c r="G263" s="241" t="s">
        <v>650</v>
      </c>
      <c r="H263" s="241" t="s">
        <v>1427</v>
      </c>
      <c r="I263" s="241">
        <v>1</v>
      </c>
      <c r="J263" s="241" t="s">
        <v>1426</v>
      </c>
      <c r="N263" s="241" t="s">
        <v>650</v>
      </c>
      <c r="O263" s="241" t="s">
        <v>1427</v>
      </c>
      <c r="P263" s="241">
        <v>1</v>
      </c>
      <c r="R263" s="241">
        <v>4</v>
      </c>
      <c r="S263" s="241">
        <v>0</v>
      </c>
      <c r="U263" s="241" t="s">
        <v>656</v>
      </c>
      <c r="V263" s="241">
        <v>3</v>
      </c>
      <c r="W263" s="517">
        <v>36892</v>
      </c>
      <c r="X263" s="517">
        <v>36525</v>
      </c>
      <c r="Y263" s="241">
        <v>0</v>
      </c>
      <c r="Z263" s="241">
        <v>1</v>
      </c>
    </row>
    <row r="264" spans="1:26" x14ac:dyDescent="0.25">
      <c r="A264" s="241">
        <v>3712</v>
      </c>
      <c r="B264" s="241" t="s">
        <v>1428</v>
      </c>
      <c r="C264" s="241" t="s">
        <v>1429</v>
      </c>
      <c r="G264" s="241" t="s">
        <v>650</v>
      </c>
      <c r="H264" s="241" t="s">
        <v>710</v>
      </c>
      <c r="I264" s="241">
        <v>1</v>
      </c>
      <c r="J264" s="241" t="s">
        <v>1429</v>
      </c>
      <c r="N264" s="241" t="s">
        <v>650</v>
      </c>
      <c r="O264" s="241" t="s">
        <v>710</v>
      </c>
      <c r="P264" s="241">
        <v>1</v>
      </c>
      <c r="R264" s="241">
        <v>4</v>
      </c>
      <c r="S264" s="241">
        <v>0</v>
      </c>
      <c r="U264" s="241" t="s">
        <v>656</v>
      </c>
      <c r="V264" s="241">
        <v>3</v>
      </c>
      <c r="W264" s="517">
        <v>36892</v>
      </c>
      <c r="X264" s="517">
        <v>36525</v>
      </c>
      <c r="Y264" s="241">
        <v>1</v>
      </c>
      <c r="Z264" s="241">
        <v>1</v>
      </c>
    </row>
    <row r="265" spans="1:26" x14ac:dyDescent="0.25">
      <c r="A265" s="241">
        <v>3814</v>
      </c>
      <c r="B265" s="241" t="s">
        <v>1430</v>
      </c>
      <c r="C265" s="241" t="s">
        <v>1431</v>
      </c>
      <c r="G265" s="241" t="s">
        <v>650</v>
      </c>
      <c r="H265" s="241" t="s">
        <v>825</v>
      </c>
      <c r="I265" s="241">
        <v>1</v>
      </c>
      <c r="J265" s="241" t="s">
        <v>1431</v>
      </c>
      <c r="N265" s="241" t="s">
        <v>650</v>
      </c>
      <c r="O265" s="241" t="s">
        <v>825</v>
      </c>
      <c r="P265" s="241">
        <v>1</v>
      </c>
      <c r="R265" s="241">
        <v>6</v>
      </c>
      <c r="S265" s="241">
        <v>0</v>
      </c>
      <c r="U265" s="241" t="s">
        <v>656</v>
      </c>
      <c r="V265" s="241">
        <v>3</v>
      </c>
      <c r="W265" s="517">
        <v>36892</v>
      </c>
      <c r="X265" s="517">
        <v>36525</v>
      </c>
      <c r="Y265" s="241">
        <v>0</v>
      </c>
      <c r="Z265" s="241">
        <v>1</v>
      </c>
    </row>
    <row r="266" spans="1:26" x14ac:dyDescent="0.25">
      <c r="A266" s="241">
        <v>3739</v>
      </c>
      <c r="B266" s="241" t="s">
        <v>1432</v>
      </c>
      <c r="C266" s="241" t="s">
        <v>1433</v>
      </c>
      <c r="G266" s="241" t="s">
        <v>650</v>
      </c>
      <c r="H266" s="241" t="s">
        <v>778</v>
      </c>
      <c r="I266" s="241">
        <v>1</v>
      </c>
      <c r="J266" s="241" t="s">
        <v>1433</v>
      </c>
      <c r="N266" s="241" t="s">
        <v>650</v>
      </c>
      <c r="O266" s="241" t="s">
        <v>778</v>
      </c>
      <c r="P266" s="241">
        <v>1</v>
      </c>
      <c r="Q266" s="241">
        <v>1285</v>
      </c>
      <c r="R266" s="241">
        <v>6</v>
      </c>
      <c r="S266" s="241">
        <v>0</v>
      </c>
      <c r="U266" s="241" t="s">
        <v>656</v>
      </c>
      <c r="V266" s="241">
        <v>3</v>
      </c>
      <c r="W266" s="517">
        <v>36892</v>
      </c>
      <c r="X266" s="517">
        <v>36525</v>
      </c>
      <c r="Y266" s="241">
        <v>1</v>
      </c>
      <c r="Z266" s="241">
        <v>1</v>
      </c>
    </row>
    <row r="267" spans="1:26" x14ac:dyDescent="0.25">
      <c r="A267" s="241">
        <v>10231</v>
      </c>
      <c r="B267" s="241" t="s">
        <v>1434</v>
      </c>
      <c r="C267" s="241" t="s">
        <v>1435</v>
      </c>
      <c r="G267" s="241" t="s">
        <v>650</v>
      </c>
      <c r="H267" s="241" t="s">
        <v>743</v>
      </c>
      <c r="I267" s="241">
        <v>1</v>
      </c>
      <c r="J267" s="241" t="s">
        <v>1435</v>
      </c>
      <c r="N267" s="241" t="s">
        <v>650</v>
      </c>
      <c r="O267" s="241" t="s">
        <v>743</v>
      </c>
      <c r="P267" s="241">
        <v>1</v>
      </c>
      <c r="R267" s="241">
        <v>4</v>
      </c>
      <c r="S267" s="241">
        <v>0</v>
      </c>
      <c r="U267" s="241" t="s">
        <v>656</v>
      </c>
      <c r="V267" s="241">
        <v>3</v>
      </c>
      <c r="W267" s="517">
        <v>36892</v>
      </c>
      <c r="X267" s="517">
        <v>36525</v>
      </c>
      <c r="Y267" s="241">
        <v>0</v>
      </c>
      <c r="Z267" s="241">
        <v>1</v>
      </c>
    </row>
    <row r="268" spans="1:26" x14ac:dyDescent="0.25">
      <c r="A268" s="241">
        <v>3758</v>
      </c>
      <c r="B268" s="241" t="s">
        <v>1436</v>
      </c>
      <c r="C268" s="241" t="s">
        <v>1437</v>
      </c>
      <c r="G268" s="241" t="s">
        <v>650</v>
      </c>
      <c r="H268" s="241" t="s">
        <v>1438</v>
      </c>
      <c r="I268" s="241">
        <v>1</v>
      </c>
      <c r="J268" s="241" t="s">
        <v>1437</v>
      </c>
      <c r="N268" s="241" t="s">
        <v>650</v>
      </c>
      <c r="O268" s="241" t="s">
        <v>1438</v>
      </c>
      <c r="P268" s="241">
        <v>1</v>
      </c>
      <c r="R268" s="241">
        <v>5</v>
      </c>
      <c r="S268" s="241">
        <v>0</v>
      </c>
      <c r="U268" s="241" t="s">
        <v>656</v>
      </c>
      <c r="V268" s="241">
        <v>3</v>
      </c>
      <c r="W268" s="517">
        <v>36892</v>
      </c>
      <c r="X268" s="517">
        <v>36525</v>
      </c>
      <c r="Y268" s="241">
        <v>0</v>
      </c>
      <c r="Z268" s="241">
        <v>1</v>
      </c>
    </row>
    <row r="269" spans="1:26" x14ac:dyDescent="0.25">
      <c r="A269" s="241">
        <v>3929</v>
      </c>
      <c r="B269" s="241" t="s">
        <v>1439</v>
      </c>
      <c r="C269" s="241" t="s">
        <v>1440</v>
      </c>
      <c r="G269" s="241" t="s">
        <v>650</v>
      </c>
      <c r="H269" s="241" t="s">
        <v>810</v>
      </c>
      <c r="I269" s="241">
        <v>1</v>
      </c>
      <c r="J269" s="241" t="s">
        <v>1440</v>
      </c>
      <c r="N269" s="241" t="s">
        <v>650</v>
      </c>
      <c r="O269" s="241" t="s">
        <v>810</v>
      </c>
      <c r="P269" s="241">
        <v>1</v>
      </c>
      <c r="R269" s="241">
        <v>5</v>
      </c>
      <c r="S269" s="241">
        <v>0</v>
      </c>
      <c r="U269" s="241" t="s">
        <v>656</v>
      </c>
      <c r="V269" s="241">
        <v>3</v>
      </c>
      <c r="W269" s="517">
        <v>36892</v>
      </c>
      <c r="X269" s="517">
        <v>36525</v>
      </c>
      <c r="Y269" s="241">
        <v>1</v>
      </c>
      <c r="Z269" s="241">
        <v>1</v>
      </c>
    </row>
    <row r="270" spans="1:26" x14ac:dyDescent="0.25">
      <c r="A270" s="241">
        <v>3913</v>
      </c>
      <c r="B270" s="241" t="s">
        <v>1441</v>
      </c>
      <c r="C270" s="241" t="s">
        <v>1442</v>
      </c>
      <c r="G270" s="241" t="s">
        <v>650</v>
      </c>
      <c r="H270" s="241" t="s">
        <v>1443</v>
      </c>
      <c r="I270" s="241">
        <v>1</v>
      </c>
      <c r="J270" s="241" t="s">
        <v>1442</v>
      </c>
      <c r="N270" s="241" t="s">
        <v>650</v>
      </c>
      <c r="O270" s="241" t="s">
        <v>1443</v>
      </c>
      <c r="P270" s="241">
        <v>1</v>
      </c>
      <c r="R270" s="241">
        <v>1</v>
      </c>
      <c r="S270" s="241">
        <v>0</v>
      </c>
      <c r="U270" s="241" t="s">
        <v>656</v>
      </c>
      <c r="V270" s="241">
        <v>3</v>
      </c>
      <c r="W270" s="517">
        <v>36892</v>
      </c>
      <c r="X270" s="517">
        <v>36525</v>
      </c>
      <c r="Y270" s="241">
        <v>0</v>
      </c>
      <c r="Z270" s="241">
        <v>1</v>
      </c>
    </row>
    <row r="271" spans="1:26" x14ac:dyDescent="0.25">
      <c r="A271" s="241">
        <v>10571</v>
      </c>
      <c r="B271" s="241" t="s">
        <v>1444</v>
      </c>
      <c r="C271" s="241" t="s">
        <v>1445</v>
      </c>
      <c r="G271" s="241" t="s">
        <v>650</v>
      </c>
      <c r="H271" s="241" t="s">
        <v>1201</v>
      </c>
      <c r="I271" s="241">
        <v>1</v>
      </c>
      <c r="J271" s="241" t="s">
        <v>1445</v>
      </c>
      <c r="N271" s="241" t="s">
        <v>650</v>
      </c>
      <c r="O271" s="241" t="s">
        <v>1201</v>
      </c>
      <c r="P271" s="241">
        <v>1</v>
      </c>
      <c r="R271" s="241">
        <v>3</v>
      </c>
      <c r="S271" s="241">
        <v>1283</v>
      </c>
      <c r="T271" s="241" t="s">
        <v>1332</v>
      </c>
      <c r="U271" s="241" t="s">
        <v>1446</v>
      </c>
      <c r="V271" s="241">
        <v>3</v>
      </c>
      <c r="W271" s="517">
        <v>42604</v>
      </c>
      <c r="X271" s="517">
        <v>36525</v>
      </c>
      <c r="Y271" s="241">
        <v>0</v>
      </c>
      <c r="Z271" s="241">
        <v>1</v>
      </c>
    </row>
    <row r="272" spans="1:26" x14ac:dyDescent="0.25">
      <c r="A272" s="241">
        <v>3722</v>
      </c>
      <c r="B272" s="241" t="s">
        <v>1447</v>
      </c>
      <c r="C272" s="241" t="s">
        <v>1448</v>
      </c>
      <c r="G272" s="241" t="s">
        <v>650</v>
      </c>
      <c r="H272" s="241" t="s">
        <v>1155</v>
      </c>
      <c r="I272" s="241">
        <v>1</v>
      </c>
      <c r="J272" s="241" t="s">
        <v>1448</v>
      </c>
      <c r="N272" s="241" t="s">
        <v>650</v>
      </c>
      <c r="O272" s="241" t="s">
        <v>1155</v>
      </c>
      <c r="P272" s="241">
        <v>1</v>
      </c>
      <c r="R272" s="241">
        <v>5</v>
      </c>
      <c r="S272" s="241">
        <v>0</v>
      </c>
      <c r="U272" s="241" t="s">
        <v>656</v>
      </c>
      <c r="V272" s="241">
        <v>3</v>
      </c>
      <c r="W272" s="517">
        <v>36892</v>
      </c>
      <c r="X272" s="517">
        <v>36525</v>
      </c>
      <c r="Y272" s="241">
        <v>0</v>
      </c>
      <c r="Z272" s="241">
        <v>1</v>
      </c>
    </row>
    <row r="273" spans="1:26" x14ac:dyDescent="0.25">
      <c r="A273" s="241">
        <v>10391</v>
      </c>
      <c r="B273" s="241" t="s">
        <v>1449</v>
      </c>
      <c r="C273" s="241" t="s">
        <v>1450</v>
      </c>
      <c r="G273" s="241" t="s">
        <v>866</v>
      </c>
      <c r="H273" s="241" t="s">
        <v>1451</v>
      </c>
      <c r="I273" s="241">
        <v>12</v>
      </c>
      <c r="J273" s="241" t="s">
        <v>1450</v>
      </c>
      <c r="N273" s="241" t="s">
        <v>866</v>
      </c>
      <c r="O273" s="241" t="s">
        <v>1451</v>
      </c>
      <c r="P273" s="241">
        <v>12</v>
      </c>
      <c r="R273" s="241">
        <v>3</v>
      </c>
      <c r="S273" s="241">
        <v>0</v>
      </c>
      <c r="U273" s="241" t="s">
        <v>656</v>
      </c>
      <c r="V273" s="241">
        <v>3</v>
      </c>
      <c r="W273" s="517">
        <v>36892</v>
      </c>
      <c r="X273" s="517">
        <v>36525</v>
      </c>
      <c r="Y273" s="241">
        <v>0</v>
      </c>
      <c r="Z273" s="241">
        <v>1</v>
      </c>
    </row>
    <row r="274" spans="1:26" x14ac:dyDescent="0.25">
      <c r="A274" s="241">
        <v>3688</v>
      </c>
      <c r="B274" s="241" t="s">
        <v>1452</v>
      </c>
      <c r="C274" s="241" t="s">
        <v>1453</v>
      </c>
      <c r="G274" s="241" t="s">
        <v>650</v>
      </c>
      <c r="H274" s="241" t="s">
        <v>1195</v>
      </c>
      <c r="I274" s="241">
        <v>1</v>
      </c>
      <c r="J274" s="241" t="s">
        <v>1453</v>
      </c>
      <c r="N274" s="241" t="s">
        <v>650</v>
      </c>
      <c r="O274" s="241" t="s">
        <v>1195</v>
      </c>
      <c r="P274" s="241">
        <v>1</v>
      </c>
      <c r="R274" s="241">
        <v>4</v>
      </c>
      <c r="S274" s="241">
        <v>0</v>
      </c>
      <c r="U274" s="241" t="s">
        <v>656</v>
      </c>
      <c r="V274" s="241">
        <v>3</v>
      </c>
      <c r="W274" s="517">
        <v>36892</v>
      </c>
      <c r="X274" s="517">
        <v>36525</v>
      </c>
      <c r="Y274" s="241">
        <v>1</v>
      </c>
      <c r="Z274" s="241">
        <v>1</v>
      </c>
    </row>
    <row r="275" spans="1:26" x14ac:dyDescent="0.25">
      <c r="A275" s="241">
        <v>1508</v>
      </c>
      <c r="B275" s="241" t="s">
        <v>1454</v>
      </c>
      <c r="C275" s="241" t="s">
        <v>1455</v>
      </c>
      <c r="G275" s="241" t="s">
        <v>650</v>
      </c>
      <c r="H275" s="241" t="s">
        <v>701</v>
      </c>
      <c r="I275" s="241">
        <v>1</v>
      </c>
      <c r="J275" s="241" t="s">
        <v>1455</v>
      </c>
      <c r="N275" s="241" t="s">
        <v>650</v>
      </c>
      <c r="O275" s="241" t="s">
        <v>701</v>
      </c>
      <c r="P275" s="241">
        <v>1</v>
      </c>
      <c r="R275" s="241">
        <v>11</v>
      </c>
      <c r="S275" s="241">
        <v>0</v>
      </c>
      <c r="U275" s="241" t="s">
        <v>1456</v>
      </c>
      <c r="V275" s="241">
        <v>3</v>
      </c>
      <c r="W275" s="517">
        <v>36892</v>
      </c>
      <c r="X275" s="517">
        <v>36525</v>
      </c>
      <c r="Y275" s="241">
        <v>0</v>
      </c>
      <c r="Z275" s="241">
        <v>1</v>
      </c>
    </row>
    <row r="276" spans="1:26" x14ac:dyDescent="0.25">
      <c r="A276" s="241">
        <v>10257</v>
      </c>
      <c r="B276" s="241" t="s">
        <v>1457</v>
      </c>
      <c r="C276" s="241" t="s">
        <v>1458</v>
      </c>
      <c r="G276" s="241" t="s">
        <v>1016</v>
      </c>
      <c r="H276" s="241" t="s">
        <v>1459</v>
      </c>
      <c r="I276" s="241">
        <v>1</v>
      </c>
      <c r="J276" s="241" t="s">
        <v>1458</v>
      </c>
      <c r="N276" s="241" t="s">
        <v>1016</v>
      </c>
      <c r="O276" s="241" t="s">
        <v>1459</v>
      </c>
      <c r="P276" s="241">
        <v>1</v>
      </c>
      <c r="R276" s="241">
        <v>4</v>
      </c>
      <c r="S276" s="241">
        <v>0</v>
      </c>
      <c r="U276" s="241" t="s">
        <v>656</v>
      </c>
      <c r="V276" s="241">
        <v>3</v>
      </c>
      <c r="W276" s="517">
        <v>36892</v>
      </c>
      <c r="X276" s="517">
        <v>36525</v>
      </c>
      <c r="Y276" s="241">
        <v>1</v>
      </c>
      <c r="Z276" s="241">
        <v>1</v>
      </c>
    </row>
    <row r="277" spans="1:26" x14ac:dyDescent="0.25">
      <c r="A277" s="241">
        <v>10203</v>
      </c>
      <c r="B277" s="241" t="s">
        <v>1460</v>
      </c>
      <c r="C277" s="241" t="s">
        <v>1461</v>
      </c>
      <c r="G277" s="241" t="s">
        <v>650</v>
      </c>
      <c r="H277" s="241" t="s">
        <v>834</v>
      </c>
      <c r="I277" s="241">
        <v>1</v>
      </c>
      <c r="J277" s="241" t="s">
        <v>1461</v>
      </c>
      <c r="N277" s="241" t="s">
        <v>650</v>
      </c>
      <c r="O277" s="241" t="s">
        <v>834</v>
      </c>
      <c r="P277" s="241">
        <v>1</v>
      </c>
      <c r="R277" s="241">
        <v>6</v>
      </c>
      <c r="S277" s="241">
        <v>29747</v>
      </c>
      <c r="T277" s="241" t="s">
        <v>666</v>
      </c>
      <c r="U277" s="241" t="s">
        <v>1462</v>
      </c>
      <c r="V277" s="241">
        <v>3</v>
      </c>
      <c r="W277" s="517">
        <v>36892</v>
      </c>
      <c r="X277" s="517">
        <v>36525</v>
      </c>
      <c r="Y277" s="241">
        <v>1</v>
      </c>
      <c r="Z277" s="241">
        <v>1</v>
      </c>
    </row>
    <row r="278" spans="1:26" x14ac:dyDescent="0.25">
      <c r="A278" s="241">
        <v>30148</v>
      </c>
      <c r="B278" s="241" t="s">
        <v>1463</v>
      </c>
      <c r="C278" s="241" t="s">
        <v>1464</v>
      </c>
      <c r="D278" s="241" t="s">
        <v>1465</v>
      </c>
      <c r="G278" s="241" t="s">
        <v>218</v>
      </c>
      <c r="H278" s="241" t="s">
        <v>1466</v>
      </c>
      <c r="I278" s="241">
        <v>1</v>
      </c>
      <c r="J278" s="241" t="s">
        <v>1464</v>
      </c>
      <c r="K278" s="241" t="s">
        <v>1465</v>
      </c>
      <c r="N278" s="241" t="s">
        <v>218</v>
      </c>
      <c r="O278" s="241" t="s">
        <v>1466</v>
      </c>
      <c r="P278" s="241">
        <v>1</v>
      </c>
      <c r="R278" s="241">
        <v>3</v>
      </c>
      <c r="S278" s="241">
        <v>29747</v>
      </c>
      <c r="T278" s="241" t="s">
        <v>666</v>
      </c>
      <c r="U278" s="241" t="s">
        <v>1467</v>
      </c>
      <c r="V278" s="241">
        <v>3</v>
      </c>
      <c r="W278" s="517">
        <v>36892</v>
      </c>
      <c r="X278" s="517">
        <v>36525</v>
      </c>
      <c r="Y278" s="241">
        <v>0</v>
      </c>
      <c r="Z278" s="241">
        <v>1</v>
      </c>
    </row>
    <row r="279" spans="1:26" x14ac:dyDescent="0.25">
      <c r="A279" s="241">
        <v>3768</v>
      </c>
      <c r="B279" s="241" t="s">
        <v>1468</v>
      </c>
      <c r="C279" s="241" t="s">
        <v>1469</v>
      </c>
      <c r="G279" s="241" t="s">
        <v>650</v>
      </c>
      <c r="H279" s="241" t="s">
        <v>1470</v>
      </c>
      <c r="I279" s="241">
        <v>1</v>
      </c>
      <c r="J279" s="241" t="s">
        <v>1469</v>
      </c>
      <c r="N279" s="241" t="s">
        <v>650</v>
      </c>
      <c r="O279" s="241" t="s">
        <v>1470</v>
      </c>
      <c r="P279" s="241">
        <v>1</v>
      </c>
      <c r="R279" s="241">
        <v>12</v>
      </c>
      <c r="S279" s="241">
        <v>0</v>
      </c>
      <c r="U279" s="241" t="s">
        <v>656</v>
      </c>
      <c r="V279" s="241">
        <v>3</v>
      </c>
      <c r="W279" s="517">
        <v>36892</v>
      </c>
      <c r="X279" s="517">
        <v>36525</v>
      </c>
      <c r="Y279" s="241">
        <v>0</v>
      </c>
      <c r="Z279" s="241">
        <v>1</v>
      </c>
    </row>
    <row r="280" spans="1:26" x14ac:dyDescent="0.25">
      <c r="A280" s="241">
        <v>3878</v>
      </c>
      <c r="B280" s="241" t="s">
        <v>1471</v>
      </c>
      <c r="C280" s="241" t="s">
        <v>1472</v>
      </c>
      <c r="G280" s="241" t="s">
        <v>650</v>
      </c>
      <c r="H280" s="241" t="s">
        <v>1473</v>
      </c>
      <c r="I280" s="241">
        <v>1</v>
      </c>
      <c r="J280" s="241" t="s">
        <v>1472</v>
      </c>
      <c r="N280" s="241" t="s">
        <v>650</v>
      </c>
      <c r="O280" s="241" t="s">
        <v>1473</v>
      </c>
      <c r="P280" s="241">
        <v>1</v>
      </c>
      <c r="R280" s="241">
        <v>5</v>
      </c>
      <c r="S280" s="241">
        <v>0</v>
      </c>
      <c r="U280" s="241" t="s">
        <v>656</v>
      </c>
      <c r="V280" s="241">
        <v>3</v>
      </c>
      <c r="W280" s="517">
        <v>36892</v>
      </c>
      <c r="X280" s="517">
        <v>36525</v>
      </c>
      <c r="Y280" s="241">
        <v>1</v>
      </c>
      <c r="Z280" s="241">
        <v>1</v>
      </c>
    </row>
    <row r="281" spans="1:26" x14ac:dyDescent="0.25">
      <c r="A281" s="241">
        <v>3910</v>
      </c>
      <c r="B281" s="241" t="s">
        <v>1474</v>
      </c>
      <c r="C281" s="241" t="s">
        <v>1475</v>
      </c>
      <c r="G281" s="241" t="s">
        <v>650</v>
      </c>
      <c r="H281" s="241" t="s">
        <v>1339</v>
      </c>
      <c r="I281" s="241">
        <v>1</v>
      </c>
      <c r="J281" s="241" t="s">
        <v>1475</v>
      </c>
      <c r="N281" s="241" t="s">
        <v>650</v>
      </c>
      <c r="O281" s="241" t="s">
        <v>1339</v>
      </c>
      <c r="P281" s="241">
        <v>1</v>
      </c>
      <c r="R281" s="241">
        <v>4</v>
      </c>
      <c r="S281" s="241">
        <v>0</v>
      </c>
      <c r="U281" s="241" t="s">
        <v>656</v>
      </c>
      <c r="V281" s="241">
        <v>3</v>
      </c>
      <c r="W281" s="517">
        <v>36892</v>
      </c>
      <c r="X281" s="517">
        <v>36525</v>
      </c>
      <c r="Y281" s="241">
        <v>1</v>
      </c>
      <c r="Z281" s="241">
        <v>1</v>
      </c>
    </row>
    <row r="282" spans="1:26" x14ac:dyDescent="0.25">
      <c r="A282" s="241">
        <v>10503</v>
      </c>
      <c r="B282" s="241" t="s">
        <v>1476</v>
      </c>
      <c r="C282" s="241" t="s">
        <v>1477</v>
      </c>
      <c r="G282" s="241" t="s">
        <v>650</v>
      </c>
      <c r="H282" s="241" t="s">
        <v>655</v>
      </c>
      <c r="I282" s="241">
        <v>1</v>
      </c>
      <c r="J282" s="241" t="s">
        <v>1477</v>
      </c>
      <c r="N282" s="241" t="s">
        <v>650</v>
      </c>
      <c r="O282" s="241" t="s">
        <v>655</v>
      </c>
      <c r="P282" s="241">
        <v>1</v>
      </c>
      <c r="R282" s="241">
        <v>3</v>
      </c>
      <c r="S282" s="241">
        <v>0</v>
      </c>
      <c r="U282" s="241" t="s">
        <v>656</v>
      </c>
      <c r="V282" s="241">
        <v>3</v>
      </c>
      <c r="W282" s="517">
        <v>36892</v>
      </c>
      <c r="X282" s="517">
        <v>36525</v>
      </c>
      <c r="Y282" s="241">
        <v>0</v>
      </c>
      <c r="Z282" s="241">
        <v>1</v>
      </c>
    </row>
    <row r="283" spans="1:26" x14ac:dyDescent="0.25">
      <c r="A283" s="241">
        <v>30213</v>
      </c>
      <c r="B283" s="241" t="s">
        <v>1478</v>
      </c>
      <c r="R283" s="241">
        <v>1</v>
      </c>
      <c r="S283" s="241">
        <v>29747</v>
      </c>
      <c r="T283" s="241" t="s">
        <v>666</v>
      </c>
      <c r="U283" s="241" t="s">
        <v>1479</v>
      </c>
      <c r="V283" s="241">
        <v>1</v>
      </c>
      <c r="W283" s="517">
        <v>36892</v>
      </c>
      <c r="X283" s="517">
        <v>36525</v>
      </c>
      <c r="Y283" s="241">
        <v>0</v>
      </c>
    </row>
    <row r="284" spans="1:26" x14ac:dyDescent="0.25">
      <c r="A284" s="241">
        <v>30115</v>
      </c>
      <c r="B284" s="241" t="s">
        <v>1480</v>
      </c>
      <c r="I284" s="241">
        <v>1</v>
      </c>
      <c r="P284" s="241">
        <v>1</v>
      </c>
      <c r="R284" s="241">
        <v>1</v>
      </c>
      <c r="S284" s="241">
        <v>29747</v>
      </c>
      <c r="T284" s="241" t="s">
        <v>666</v>
      </c>
      <c r="U284" s="241" t="s">
        <v>1481</v>
      </c>
      <c r="V284" s="241">
        <v>3</v>
      </c>
      <c r="W284" s="517">
        <v>36892</v>
      </c>
      <c r="X284" s="517">
        <v>36525</v>
      </c>
      <c r="Y284" s="241">
        <v>0</v>
      </c>
      <c r="Z284" s="241">
        <v>1</v>
      </c>
    </row>
    <row r="285" spans="1:26" x14ac:dyDescent="0.25">
      <c r="A285" s="241">
        <v>10553</v>
      </c>
      <c r="B285" s="241" t="s">
        <v>1482</v>
      </c>
      <c r="C285" s="241" t="s">
        <v>1483</v>
      </c>
      <c r="G285" s="241" t="s">
        <v>1484</v>
      </c>
      <c r="H285" s="241" t="s">
        <v>1485</v>
      </c>
      <c r="I285" s="241">
        <v>1</v>
      </c>
      <c r="J285" s="241" t="s">
        <v>1483</v>
      </c>
      <c r="N285" s="241" t="s">
        <v>1484</v>
      </c>
      <c r="O285" s="241" t="s">
        <v>1485</v>
      </c>
      <c r="P285" s="241">
        <v>1</v>
      </c>
      <c r="R285" s="241">
        <v>1</v>
      </c>
      <c r="S285" s="241">
        <v>0</v>
      </c>
      <c r="U285" s="241" t="s">
        <v>656</v>
      </c>
      <c r="V285" s="241">
        <v>1</v>
      </c>
      <c r="W285" s="517">
        <v>36892</v>
      </c>
      <c r="X285" s="517">
        <v>36525</v>
      </c>
      <c r="Y285" s="241">
        <v>1</v>
      </c>
      <c r="Z285" s="241">
        <v>1</v>
      </c>
    </row>
    <row r="286" spans="1:26" x14ac:dyDescent="0.25">
      <c r="A286" s="241">
        <v>10302</v>
      </c>
      <c r="B286" s="241" t="s">
        <v>1486</v>
      </c>
      <c r="C286" s="241" t="s">
        <v>1487</v>
      </c>
      <c r="G286" s="241" t="s">
        <v>650</v>
      </c>
      <c r="H286" s="241" t="s">
        <v>1488</v>
      </c>
      <c r="I286" s="241">
        <v>1</v>
      </c>
      <c r="J286" s="241" t="s">
        <v>1487</v>
      </c>
      <c r="N286" s="241" t="s">
        <v>650</v>
      </c>
      <c r="O286" s="241" t="s">
        <v>1488</v>
      </c>
      <c r="P286" s="241">
        <v>1</v>
      </c>
      <c r="R286" s="241">
        <v>3</v>
      </c>
      <c r="S286" s="241">
        <v>0</v>
      </c>
      <c r="U286" s="241" t="s">
        <v>656</v>
      </c>
      <c r="V286" s="241">
        <v>3</v>
      </c>
      <c r="W286" s="517">
        <v>36892</v>
      </c>
      <c r="X286" s="517">
        <v>36525</v>
      </c>
      <c r="Y286" s="241">
        <v>0</v>
      </c>
      <c r="Z286" s="241">
        <v>1</v>
      </c>
    </row>
    <row r="287" spans="1:26" x14ac:dyDescent="0.25">
      <c r="A287" s="241">
        <v>10576</v>
      </c>
      <c r="B287" s="241" t="s">
        <v>1489</v>
      </c>
      <c r="C287" s="241" t="s">
        <v>1490</v>
      </c>
      <c r="G287" s="241" t="s">
        <v>650</v>
      </c>
      <c r="H287" s="241" t="s">
        <v>804</v>
      </c>
      <c r="I287" s="241">
        <v>1</v>
      </c>
      <c r="J287" s="241" t="s">
        <v>1490</v>
      </c>
      <c r="N287" s="241" t="s">
        <v>650</v>
      </c>
      <c r="O287" s="241" t="s">
        <v>804</v>
      </c>
      <c r="P287" s="241">
        <v>1</v>
      </c>
      <c r="R287" s="241">
        <v>3</v>
      </c>
      <c r="S287" s="241">
        <v>0</v>
      </c>
      <c r="U287" s="241" t="s">
        <v>656</v>
      </c>
      <c r="V287" s="241">
        <v>3</v>
      </c>
      <c r="W287" s="517">
        <v>36892</v>
      </c>
      <c r="X287" s="517">
        <v>36525</v>
      </c>
      <c r="Y287" s="241">
        <v>0</v>
      </c>
      <c r="Z287" s="241">
        <v>1</v>
      </c>
    </row>
    <row r="288" spans="1:26" x14ac:dyDescent="0.25">
      <c r="A288" s="241">
        <v>30208</v>
      </c>
      <c r="B288" s="241" t="s">
        <v>1491</v>
      </c>
      <c r="C288" s="241" t="s">
        <v>1492</v>
      </c>
      <c r="G288" s="241" t="s">
        <v>650</v>
      </c>
      <c r="H288" s="241" t="s">
        <v>1046</v>
      </c>
      <c r="I288" s="241">
        <v>1</v>
      </c>
      <c r="J288" s="241" t="s">
        <v>1492</v>
      </c>
      <c r="N288" s="241" t="s">
        <v>650</v>
      </c>
      <c r="O288" s="241" t="s">
        <v>1046</v>
      </c>
      <c r="P288" s="241">
        <v>1</v>
      </c>
      <c r="R288" s="241">
        <v>2</v>
      </c>
      <c r="S288" s="241">
        <v>29747</v>
      </c>
      <c r="T288" s="241" t="s">
        <v>666</v>
      </c>
      <c r="U288" s="241" t="s">
        <v>1493</v>
      </c>
      <c r="V288" s="241">
        <v>3</v>
      </c>
      <c r="W288" s="517">
        <v>36892</v>
      </c>
      <c r="X288" s="517">
        <v>36525</v>
      </c>
      <c r="Y288" s="241">
        <v>0</v>
      </c>
      <c r="Z288" s="241">
        <v>1</v>
      </c>
    </row>
    <row r="289" spans="1:26" x14ac:dyDescent="0.25">
      <c r="A289" s="241">
        <v>4002</v>
      </c>
      <c r="B289" s="241" t="s">
        <v>1494</v>
      </c>
      <c r="C289" s="241" t="s">
        <v>1495</v>
      </c>
      <c r="G289" s="241" t="s">
        <v>1496</v>
      </c>
      <c r="H289" s="241" t="s">
        <v>1497</v>
      </c>
      <c r="I289" s="241">
        <v>12</v>
      </c>
      <c r="J289" s="241" t="s">
        <v>1495</v>
      </c>
      <c r="N289" s="241" t="s">
        <v>1496</v>
      </c>
      <c r="O289" s="241" t="s">
        <v>1497</v>
      </c>
      <c r="P289" s="241">
        <v>12</v>
      </c>
      <c r="Q289" s="241">
        <v>1285</v>
      </c>
      <c r="R289" s="241">
        <v>5</v>
      </c>
      <c r="S289" s="241">
        <v>0</v>
      </c>
      <c r="U289" s="241" t="s">
        <v>656</v>
      </c>
      <c r="V289" s="241">
        <v>3</v>
      </c>
      <c r="W289" s="517">
        <v>36892</v>
      </c>
      <c r="X289" s="517">
        <v>36525</v>
      </c>
      <c r="Y289" s="241">
        <v>1</v>
      </c>
      <c r="Z289" s="241">
        <v>1</v>
      </c>
    </row>
    <row r="290" spans="1:26" x14ac:dyDescent="0.25">
      <c r="A290" s="241">
        <v>4053</v>
      </c>
      <c r="B290" s="241" t="s">
        <v>1498</v>
      </c>
      <c r="C290" s="241" t="s">
        <v>765</v>
      </c>
      <c r="G290" s="241" t="s">
        <v>650</v>
      </c>
      <c r="H290" s="241" t="s">
        <v>766</v>
      </c>
      <c r="I290" s="241">
        <v>1</v>
      </c>
      <c r="J290" s="241" t="s">
        <v>765</v>
      </c>
      <c r="N290" s="241" t="s">
        <v>650</v>
      </c>
      <c r="O290" s="241" t="s">
        <v>766</v>
      </c>
      <c r="P290" s="241">
        <v>1</v>
      </c>
      <c r="R290" s="241">
        <v>3</v>
      </c>
      <c r="S290" s="241">
        <v>0</v>
      </c>
      <c r="U290" s="241" t="s">
        <v>656</v>
      </c>
      <c r="V290" s="241">
        <v>3</v>
      </c>
      <c r="W290" s="517">
        <v>36892</v>
      </c>
      <c r="X290" s="517">
        <v>36525</v>
      </c>
      <c r="Y290" s="241">
        <v>1</v>
      </c>
      <c r="Z290" s="241">
        <v>1</v>
      </c>
    </row>
    <row r="291" spans="1:26" x14ac:dyDescent="0.25">
      <c r="A291" s="241">
        <v>10567</v>
      </c>
      <c r="B291" s="241" t="s">
        <v>1499</v>
      </c>
      <c r="C291" s="241" t="s">
        <v>1500</v>
      </c>
      <c r="G291" s="241" t="s">
        <v>1016</v>
      </c>
      <c r="H291" s="241" t="s">
        <v>1501</v>
      </c>
      <c r="I291" s="241">
        <v>1</v>
      </c>
      <c r="J291" s="241" t="s">
        <v>1500</v>
      </c>
      <c r="N291" s="241" t="s">
        <v>1016</v>
      </c>
      <c r="O291" s="241" t="s">
        <v>1501</v>
      </c>
      <c r="P291" s="241">
        <v>1</v>
      </c>
      <c r="R291" s="241">
        <v>4</v>
      </c>
      <c r="S291" s="241">
        <v>0</v>
      </c>
      <c r="U291" s="241" t="s">
        <v>656</v>
      </c>
      <c r="V291" s="241">
        <v>3</v>
      </c>
      <c r="W291" s="517">
        <v>36892</v>
      </c>
      <c r="X291" s="517">
        <v>36525</v>
      </c>
      <c r="Y291" s="241">
        <v>0</v>
      </c>
      <c r="Z291" s="241">
        <v>1</v>
      </c>
    </row>
    <row r="292" spans="1:26" x14ac:dyDescent="0.25">
      <c r="A292" s="241">
        <v>30116</v>
      </c>
      <c r="B292" s="241" t="s">
        <v>1502</v>
      </c>
      <c r="I292" s="241">
        <v>1</v>
      </c>
      <c r="P292" s="241">
        <v>1</v>
      </c>
      <c r="R292" s="241">
        <v>1</v>
      </c>
      <c r="S292" s="241">
        <v>29747</v>
      </c>
      <c r="T292" s="241" t="s">
        <v>666</v>
      </c>
      <c r="U292" s="241" t="s">
        <v>1503</v>
      </c>
      <c r="V292" s="241">
        <v>3</v>
      </c>
      <c r="W292" s="517">
        <v>36892</v>
      </c>
      <c r="X292" s="517">
        <v>36525</v>
      </c>
      <c r="Y292" s="241">
        <v>0</v>
      </c>
      <c r="Z292" s="241">
        <v>1</v>
      </c>
    </row>
    <row r="293" spans="1:26" x14ac:dyDescent="0.25">
      <c r="A293" s="241">
        <v>4180</v>
      </c>
      <c r="B293" s="241" t="s">
        <v>1504</v>
      </c>
      <c r="C293" s="241" t="s">
        <v>1505</v>
      </c>
      <c r="G293" s="241" t="s">
        <v>650</v>
      </c>
      <c r="H293" s="241" t="s">
        <v>1473</v>
      </c>
      <c r="I293" s="241">
        <v>1</v>
      </c>
      <c r="J293" s="241" t="s">
        <v>1505</v>
      </c>
      <c r="N293" s="241" t="s">
        <v>650</v>
      </c>
      <c r="O293" s="241" t="s">
        <v>1473</v>
      </c>
      <c r="P293" s="241">
        <v>1</v>
      </c>
      <c r="R293" s="241">
        <v>5</v>
      </c>
      <c r="S293" s="241">
        <v>0</v>
      </c>
      <c r="U293" s="241" t="s">
        <v>1506</v>
      </c>
      <c r="V293" s="241">
        <v>3</v>
      </c>
      <c r="W293" s="517">
        <v>36892</v>
      </c>
      <c r="X293" s="517">
        <v>36525</v>
      </c>
      <c r="Y293" s="241">
        <v>0</v>
      </c>
      <c r="Z293" s="241">
        <v>1</v>
      </c>
    </row>
    <row r="294" spans="1:26" x14ac:dyDescent="0.25">
      <c r="A294" s="241">
        <v>10367</v>
      </c>
      <c r="B294" s="241" t="s">
        <v>1507</v>
      </c>
      <c r="C294" s="241" t="s">
        <v>1508</v>
      </c>
      <c r="G294" s="241" t="s">
        <v>1509</v>
      </c>
      <c r="H294" s="241" t="s">
        <v>1510</v>
      </c>
      <c r="I294" s="241">
        <v>1</v>
      </c>
      <c r="J294" s="241" t="s">
        <v>1508</v>
      </c>
      <c r="N294" s="241" t="s">
        <v>1509</v>
      </c>
      <c r="O294" s="241" t="s">
        <v>1510</v>
      </c>
      <c r="P294" s="241">
        <v>1</v>
      </c>
      <c r="R294" s="241">
        <v>3</v>
      </c>
      <c r="S294" s="241">
        <v>0</v>
      </c>
      <c r="U294" s="241" t="s">
        <v>656</v>
      </c>
      <c r="V294" s="241">
        <v>3</v>
      </c>
      <c r="W294" s="517">
        <v>36892</v>
      </c>
      <c r="X294" s="517">
        <v>36525</v>
      </c>
      <c r="Y294" s="241">
        <v>0</v>
      </c>
      <c r="Z294" s="241">
        <v>1</v>
      </c>
    </row>
    <row r="295" spans="1:26" x14ac:dyDescent="0.25">
      <c r="A295" s="241">
        <v>4177</v>
      </c>
      <c r="B295" s="241" t="s">
        <v>1511</v>
      </c>
      <c r="C295" s="241" t="s">
        <v>1512</v>
      </c>
      <c r="G295" s="241" t="s">
        <v>650</v>
      </c>
      <c r="H295" s="241" t="s">
        <v>1201</v>
      </c>
      <c r="I295" s="241">
        <v>1</v>
      </c>
      <c r="J295" s="241" t="s">
        <v>1512</v>
      </c>
      <c r="N295" s="241" t="s">
        <v>650</v>
      </c>
      <c r="O295" s="241" t="s">
        <v>1201</v>
      </c>
      <c r="P295" s="241">
        <v>1</v>
      </c>
      <c r="R295" s="241">
        <v>4</v>
      </c>
      <c r="S295" s="241">
        <v>0</v>
      </c>
      <c r="U295" s="241" t="s">
        <v>1513</v>
      </c>
      <c r="V295" s="241">
        <v>3</v>
      </c>
      <c r="W295" s="517">
        <v>36892</v>
      </c>
      <c r="X295" s="517">
        <v>36525</v>
      </c>
      <c r="Y295" s="241">
        <v>1</v>
      </c>
      <c r="Z295" s="241">
        <v>1</v>
      </c>
    </row>
    <row r="296" spans="1:26" x14ac:dyDescent="0.25">
      <c r="A296" s="241">
        <v>4167</v>
      </c>
      <c r="B296" s="241" t="s">
        <v>1514</v>
      </c>
      <c r="C296" s="241" t="s">
        <v>1515</v>
      </c>
      <c r="G296" s="241" t="s">
        <v>650</v>
      </c>
      <c r="H296" s="241" t="s">
        <v>1516</v>
      </c>
      <c r="I296" s="241">
        <v>1</v>
      </c>
      <c r="J296" s="241" t="s">
        <v>1515</v>
      </c>
      <c r="N296" s="241" t="s">
        <v>650</v>
      </c>
      <c r="O296" s="241" t="s">
        <v>1516</v>
      </c>
      <c r="P296" s="241">
        <v>1</v>
      </c>
      <c r="R296" s="241">
        <v>8</v>
      </c>
      <c r="S296" s="241">
        <v>0</v>
      </c>
      <c r="U296" s="241" t="s">
        <v>656</v>
      </c>
      <c r="V296" s="241">
        <v>3</v>
      </c>
      <c r="W296" s="517">
        <v>36892</v>
      </c>
      <c r="X296" s="517">
        <v>36525</v>
      </c>
      <c r="Y296" s="241">
        <v>1</v>
      </c>
      <c r="Z296" s="241">
        <v>1</v>
      </c>
    </row>
    <row r="297" spans="1:26" x14ac:dyDescent="0.25">
      <c r="A297" s="241">
        <v>4500</v>
      </c>
      <c r="B297" s="241" t="s">
        <v>1517</v>
      </c>
      <c r="C297" s="241" t="s">
        <v>1518</v>
      </c>
      <c r="G297" s="241" t="s">
        <v>650</v>
      </c>
      <c r="H297" s="241" t="s">
        <v>1413</v>
      </c>
      <c r="I297" s="241">
        <v>1</v>
      </c>
      <c r="J297" s="241" t="s">
        <v>1518</v>
      </c>
      <c r="N297" s="241" t="s">
        <v>650</v>
      </c>
      <c r="O297" s="241" t="s">
        <v>1413</v>
      </c>
      <c r="P297" s="241">
        <v>1</v>
      </c>
      <c r="R297" s="241">
        <v>6</v>
      </c>
      <c r="S297" s="241">
        <v>0</v>
      </c>
      <c r="U297" s="241" t="s">
        <v>656</v>
      </c>
      <c r="V297" s="241">
        <v>3</v>
      </c>
      <c r="W297" s="517">
        <v>36892</v>
      </c>
      <c r="X297" s="517">
        <v>36525</v>
      </c>
      <c r="Y297" s="241">
        <v>0</v>
      </c>
      <c r="Z297" s="241">
        <v>1</v>
      </c>
    </row>
    <row r="298" spans="1:26" x14ac:dyDescent="0.25">
      <c r="A298" s="241">
        <v>10290</v>
      </c>
      <c r="B298" s="241" t="s">
        <v>1519</v>
      </c>
      <c r="C298" s="241" t="s">
        <v>1520</v>
      </c>
      <c r="G298" s="241" t="s">
        <v>650</v>
      </c>
      <c r="H298" s="241" t="s">
        <v>1521</v>
      </c>
      <c r="I298" s="241">
        <v>1</v>
      </c>
      <c r="J298" s="241" t="s">
        <v>1520</v>
      </c>
      <c r="N298" s="241" t="s">
        <v>650</v>
      </c>
      <c r="O298" s="241" t="s">
        <v>1521</v>
      </c>
      <c r="P298" s="241">
        <v>1</v>
      </c>
      <c r="R298" s="241">
        <v>4</v>
      </c>
      <c r="S298" s="241">
        <v>0</v>
      </c>
      <c r="U298" s="241" t="s">
        <v>656</v>
      </c>
      <c r="V298" s="241">
        <v>3</v>
      </c>
      <c r="W298" s="517">
        <v>36892</v>
      </c>
      <c r="X298" s="517">
        <v>36525</v>
      </c>
      <c r="Y298" s="241">
        <v>1</v>
      </c>
      <c r="Z298" s="241">
        <v>1</v>
      </c>
    </row>
    <row r="299" spans="1:26" x14ac:dyDescent="0.25">
      <c r="A299" s="241">
        <v>10411</v>
      </c>
      <c r="B299" s="241" t="s">
        <v>1522</v>
      </c>
      <c r="C299" s="241" t="s">
        <v>1523</v>
      </c>
      <c r="G299" s="241" t="s">
        <v>650</v>
      </c>
      <c r="H299" s="241" t="s">
        <v>1473</v>
      </c>
      <c r="I299" s="241">
        <v>1</v>
      </c>
      <c r="J299" s="241" t="s">
        <v>1523</v>
      </c>
      <c r="N299" s="241" t="s">
        <v>650</v>
      </c>
      <c r="O299" s="241" t="s">
        <v>1473</v>
      </c>
      <c r="P299" s="241">
        <v>1</v>
      </c>
      <c r="R299" s="241">
        <v>4</v>
      </c>
      <c r="S299" s="241">
        <v>29747</v>
      </c>
      <c r="T299" s="241" t="s">
        <v>666</v>
      </c>
      <c r="U299" s="241" t="s">
        <v>1524</v>
      </c>
      <c r="V299" s="241">
        <v>3</v>
      </c>
      <c r="W299" s="517">
        <v>36892</v>
      </c>
      <c r="X299" s="517">
        <v>36525</v>
      </c>
      <c r="Y299" s="241">
        <v>1</v>
      </c>
      <c r="Z299" s="241">
        <v>1</v>
      </c>
    </row>
    <row r="300" spans="1:26" x14ac:dyDescent="0.25">
      <c r="A300" s="241">
        <v>10568</v>
      </c>
      <c r="B300" s="241" t="s">
        <v>1525</v>
      </c>
      <c r="C300" s="241" t="s">
        <v>1526</v>
      </c>
      <c r="G300" s="241" t="s">
        <v>650</v>
      </c>
      <c r="H300" s="241" t="s">
        <v>1473</v>
      </c>
      <c r="I300" s="241">
        <v>1</v>
      </c>
      <c r="J300" s="241" t="s">
        <v>1526</v>
      </c>
      <c r="N300" s="241" t="s">
        <v>650</v>
      </c>
      <c r="O300" s="241" t="s">
        <v>1473</v>
      </c>
      <c r="P300" s="241">
        <v>1</v>
      </c>
      <c r="R300" s="241">
        <v>4</v>
      </c>
      <c r="S300" s="241">
        <v>29747</v>
      </c>
      <c r="T300" s="241" t="s">
        <v>666</v>
      </c>
      <c r="U300" s="241" t="s">
        <v>1527</v>
      </c>
      <c r="V300" s="241">
        <v>3</v>
      </c>
      <c r="W300" s="517">
        <v>36892</v>
      </c>
      <c r="X300" s="517">
        <v>36525</v>
      </c>
      <c r="Y300" s="241">
        <v>0</v>
      </c>
      <c r="Z300" s="241">
        <v>1</v>
      </c>
    </row>
    <row r="301" spans="1:26" x14ac:dyDescent="0.25">
      <c r="A301" s="241">
        <v>4011</v>
      </c>
      <c r="B301" s="241" t="s">
        <v>1528</v>
      </c>
      <c r="C301" s="241" t="s">
        <v>1529</v>
      </c>
      <c r="G301" s="241" t="s">
        <v>650</v>
      </c>
      <c r="H301" s="241" t="s">
        <v>885</v>
      </c>
      <c r="I301" s="241">
        <v>1</v>
      </c>
      <c r="J301" s="241" t="s">
        <v>1529</v>
      </c>
      <c r="N301" s="241" t="s">
        <v>650</v>
      </c>
      <c r="O301" s="241" t="s">
        <v>885</v>
      </c>
      <c r="P301" s="241">
        <v>1</v>
      </c>
      <c r="R301" s="241">
        <v>10</v>
      </c>
      <c r="S301" s="241">
        <v>29747</v>
      </c>
      <c r="T301" s="241" t="s">
        <v>666</v>
      </c>
      <c r="U301" s="241" t="s">
        <v>1530</v>
      </c>
      <c r="V301" s="241">
        <v>3</v>
      </c>
      <c r="W301" s="517">
        <v>36892</v>
      </c>
      <c r="X301" s="517">
        <v>36525</v>
      </c>
      <c r="Y301" s="241">
        <v>1</v>
      </c>
      <c r="Z301" s="241">
        <v>1</v>
      </c>
    </row>
    <row r="302" spans="1:26" x14ac:dyDescent="0.25">
      <c r="A302" s="241">
        <v>10420</v>
      </c>
      <c r="B302" s="241" t="s">
        <v>1531</v>
      </c>
      <c r="C302" s="241" t="s">
        <v>1532</v>
      </c>
      <c r="G302" s="241" t="s">
        <v>1533</v>
      </c>
      <c r="H302" s="241" t="s">
        <v>1534</v>
      </c>
      <c r="I302" s="241">
        <v>1</v>
      </c>
      <c r="J302" s="241" t="s">
        <v>1532</v>
      </c>
      <c r="N302" s="241" t="s">
        <v>1533</v>
      </c>
      <c r="O302" s="241" t="s">
        <v>1534</v>
      </c>
      <c r="P302" s="241">
        <v>1</v>
      </c>
      <c r="R302" s="241">
        <v>2</v>
      </c>
      <c r="S302" s="241">
        <v>0</v>
      </c>
      <c r="U302" s="241" t="s">
        <v>656</v>
      </c>
      <c r="V302" s="241">
        <v>3</v>
      </c>
      <c r="W302" s="517">
        <v>36892</v>
      </c>
      <c r="X302" s="517">
        <v>36525</v>
      </c>
      <c r="Y302" s="241">
        <v>1</v>
      </c>
      <c r="Z302" s="241">
        <v>1</v>
      </c>
    </row>
    <row r="303" spans="1:26" x14ac:dyDescent="0.25">
      <c r="A303" s="241">
        <v>4088</v>
      </c>
      <c r="B303" s="241" t="s">
        <v>1535</v>
      </c>
      <c r="C303" s="241" t="s">
        <v>1536</v>
      </c>
      <c r="G303" s="241" t="s">
        <v>650</v>
      </c>
      <c r="H303" s="241" t="s">
        <v>935</v>
      </c>
      <c r="I303" s="241">
        <v>1</v>
      </c>
      <c r="J303" s="241" t="s">
        <v>1536</v>
      </c>
      <c r="N303" s="241" t="s">
        <v>650</v>
      </c>
      <c r="O303" s="241" t="s">
        <v>935</v>
      </c>
      <c r="P303" s="241">
        <v>1</v>
      </c>
      <c r="R303" s="241">
        <v>6</v>
      </c>
      <c r="S303" s="241">
        <v>0</v>
      </c>
      <c r="U303" s="241" t="s">
        <v>656</v>
      </c>
      <c r="V303" s="241">
        <v>3</v>
      </c>
      <c r="W303" s="517">
        <v>36892</v>
      </c>
      <c r="X303" s="517">
        <v>36525</v>
      </c>
      <c r="Y303" s="241">
        <v>0</v>
      </c>
      <c r="Z303" s="241">
        <v>1</v>
      </c>
    </row>
    <row r="304" spans="1:26" x14ac:dyDescent="0.25">
      <c r="A304" s="241">
        <v>10321</v>
      </c>
      <c r="B304" s="241" t="s">
        <v>1537</v>
      </c>
      <c r="C304" s="241" t="s">
        <v>1538</v>
      </c>
      <c r="G304" s="241" t="s">
        <v>650</v>
      </c>
      <c r="H304" s="241" t="s">
        <v>804</v>
      </c>
      <c r="I304" s="241">
        <v>1</v>
      </c>
      <c r="J304" s="241" t="s">
        <v>1538</v>
      </c>
      <c r="N304" s="241" t="s">
        <v>650</v>
      </c>
      <c r="O304" s="241" t="s">
        <v>804</v>
      </c>
      <c r="P304" s="241">
        <v>1</v>
      </c>
      <c r="R304" s="241">
        <v>4</v>
      </c>
      <c r="S304" s="241">
        <v>0</v>
      </c>
      <c r="U304" s="241" t="s">
        <v>656</v>
      </c>
      <c r="V304" s="241">
        <v>3</v>
      </c>
      <c r="W304" s="517">
        <v>36892</v>
      </c>
      <c r="X304" s="517">
        <v>36525</v>
      </c>
      <c r="Y304" s="241">
        <v>0</v>
      </c>
      <c r="Z304" s="241">
        <v>1</v>
      </c>
    </row>
    <row r="305" spans="1:26" x14ac:dyDescent="0.25">
      <c r="A305" s="241">
        <v>10547</v>
      </c>
      <c r="B305" s="241" t="s">
        <v>1539</v>
      </c>
      <c r="C305" s="241" t="s">
        <v>1540</v>
      </c>
      <c r="G305" s="241" t="s">
        <v>650</v>
      </c>
      <c r="H305" s="241" t="s">
        <v>1541</v>
      </c>
      <c r="I305" s="241">
        <v>1</v>
      </c>
      <c r="J305" s="241" t="s">
        <v>1540</v>
      </c>
      <c r="N305" s="241" t="s">
        <v>650</v>
      </c>
      <c r="O305" s="241" t="s">
        <v>1541</v>
      </c>
      <c r="P305" s="241">
        <v>1</v>
      </c>
      <c r="R305" s="241">
        <v>4</v>
      </c>
      <c r="S305" s="241">
        <v>29747</v>
      </c>
      <c r="T305" s="241" t="s">
        <v>666</v>
      </c>
      <c r="U305" s="241" t="s">
        <v>1542</v>
      </c>
      <c r="V305" s="241">
        <v>3</v>
      </c>
      <c r="W305" s="517">
        <v>36892</v>
      </c>
      <c r="X305" s="517">
        <v>36525</v>
      </c>
      <c r="Y305" s="241">
        <v>0</v>
      </c>
      <c r="Z305" s="241">
        <v>1</v>
      </c>
    </row>
    <row r="306" spans="1:26" x14ac:dyDescent="0.25">
      <c r="A306" s="241">
        <v>4166</v>
      </c>
      <c r="B306" s="241" t="s">
        <v>1543</v>
      </c>
      <c r="C306" s="241" t="s">
        <v>1544</v>
      </c>
      <c r="G306" s="241" t="s">
        <v>1545</v>
      </c>
      <c r="H306" s="241" t="s">
        <v>1546</v>
      </c>
      <c r="I306" s="241">
        <v>1</v>
      </c>
      <c r="J306" s="241" t="s">
        <v>1544</v>
      </c>
      <c r="N306" s="241" t="s">
        <v>1545</v>
      </c>
      <c r="O306" s="241" t="s">
        <v>1546</v>
      </c>
      <c r="P306" s="241">
        <v>1</v>
      </c>
      <c r="R306" s="241">
        <v>8</v>
      </c>
      <c r="S306" s="241">
        <v>0</v>
      </c>
      <c r="U306" s="241" t="s">
        <v>656</v>
      </c>
      <c r="V306" s="241">
        <v>3</v>
      </c>
      <c r="W306" s="517">
        <v>36892</v>
      </c>
      <c r="X306" s="517">
        <v>36525</v>
      </c>
      <c r="Y306" s="241">
        <v>1</v>
      </c>
      <c r="Z306" s="241">
        <v>1</v>
      </c>
    </row>
    <row r="307" spans="1:26" x14ac:dyDescent="0.25">
      <c r="A307" s="241">
        <v>10399</v>
      </c>
      <c r="B307" s="241" t="s">
        <v>1547</v>
      </c>
      <c r="C307" s="241" t="s">
        <v>1548</v>
      </c>
      <c r="G307" s="241" t="s">
        <v>650</v>
      </c>
      <c r="H307" s="241" t="s">
        <v>1201</v>
      </c>
      <c r="I307" s="241">
        <v>1</v>
      </c>
      <c r="J307" s="241" t="s">
        <v>1548</v>
      </c>
      <c r="N307" s="241" t="s">
        <v>650</v>
      </c>
      <c r="O307" s="241" t="s">
        <v>1201</v>
      </c>
      <c r="P307" s="241">
        <v>1</v>
      </c>
      <c r="R307" s="241">
        <v>6</v>
      </c>
      <c r="S307" s="241">
        <v>29747</v>
      </c>
      <c r="T307" s="241" t="s">
        <v>666</v>
      </c>
      <c r="U307" s="241" t="s">
        <v>1549</v>
      </c>
      <c r="V307" s="241">
        <v>3</v>
      </c>
      <c r="W307" s="517">
        <v>36892</v>
      </c>
      <c r="X307" s="517">
        <v>36525</v>
      </c>
      <c r="Y307" s="241">
        <v>0</v>
      </c>
      <c r="Z307" s="241">
        <v>1</v>
      </c>
    </row>
    <row r="308" spans="1:26" x14ac:dyDescent="0.25">
      <c r="A308" s="241">
        <v>9061</v>
      </c>
      <c r="B308" s="241" t="s">
        <v>1550</v>
      </c>
      <c r="C308" s="241" t="s">
        <v>1551</v>
      </c>
      <c r="G308" s="241" t="s">
        <v>650</v>
      </c>
      <c r="H308" s="241" t="s">
        <v>1284</v>
      </c>
      <c r="I308" s="241">
        <v>1</v>
      </c>
      <c r="J308" s="241" t="s">
        <v>1551</v>
      </c>
      <c r="N308" s="241" t="s">
        <v>650</v>
      </c>
      <c r="O308" s="241" t="s">
        <v>1284</v>
      </c>
      <c r="P308" s="241">
        <v>1</v>
      </c>
      <c r="R308" s="241">
        <v>1</v>
      </c>
      <c r="S308" s="241">
        <v>29747</v>
      </c>
      <c r="T308" s="241" t="s">
        <v>666</v>
      </c>
      <c r="U308" s="241" t="s">
        <v>1552</v>
      </c>
      <c r="V308" s="241">
        <v>3</v>
      </c>
      <c r="W308" s="517">
        <v>36892</v>
      </c>
      <c r="X308" s="517">
        <v>36525</v>
      </c>
      <c r="Y308" s="241">
        <v>0</v>
      </c>
      <c r="Z308" s="241">
        <v>1</v>
      </c>
    </row>
    <row r="309" spans="1:26" x14ac:dyDescent="0.25">
      <c r="A309" s="241">
        <v>30147</v>
      </c>
      <c r="B309" s="241" t="s">
        <v>1553</v>
      </c>
      <c r="I309" s="241">
        <v>1</v>
      </c>
      <c r="P309" s="241">
        <v>1</v>
      </c>
      <c r="R309" s="241">
        <v>2</v>
      </c>
      <c r="S309" s="241">
        <v>29747</v>
      </c>
      <c r="T309" s="241" t="s">
        <v>666</v>
      </c>
      <c r="U309" s="241" t="s">
        <v>1554</v>
      </c>
      <c r="V309" s="241">
        <v>3</v>
      </c>
      <c r="W309" s="517">
        <v>36892</v>
      </c>
      <c r="X309" s="517">
        <v>36525</v>
      </c>
      <c r="Y309" s="241">
        <v>0</v>
      </c>
      <c r="Z309" s="241">
        <v>1</v>
      </c>
    </row>
    <row r="310" spans="1:26" x14ac:dyDescent="0.25">
      <c r="A310" s="241">
        <v>30201</v>
      </c>
      <c r="B310" s="241" t="s">
        <v>1555</v>
      </c>
      <c r="C310" s="241" t="s">
        <v>1556</v>
      </c>
      <c r="G310" s="241" t="s">
        <v>650</v>
      </c>
      <c r="H310" s="241" t="s">
        <v>1557</v>
      </c>
      <c r="I310" s="241">
        <v>1</v>
      </c>
      <c r="J310" s="241" t="s">
        <v>1556</v>
      </c>
      <c r="N310" s="241" t="s">
        <v>650</v>
      </c>
      <c r="O310" s="241" t="s">
        <v>1557</v>
      </c>
      <c r="P310" s="241">
        <v>1</v>
      </c>
      <c r="R310" s="241">
        <v>1</v>
      </c>
      <c r="S310" s="241">
        <v>1001376</v>
      </c>
      <c r="T310" s="241" t="s">
        <v>1558</v>
      </c>
      <c r="U310" s="241" t="s">
        <v>1559</v>
      </c>
      <c r="V310" s="241">
        <v>1</v>
      </c>
      <c r="W310" s="517">
        <v>36892</v>
      </c>
      <c r="X310" s="517">
        <v>36525</v>
      </c>
      <c r="Y310" s="241">
        <v>0</v>
      </c>
      <c r="Z310" s="241">
        <v>1</v>
      </c>
    </row>
    <row r="311" spans="1:26" x14ac:dyDescent="0.25">
      <c r="A311" s="241">
        <v>10435</v>
      </c>
      <c r="B311" s="241" t="s">
        <v>1560</v>
      </c>
      <c r="C311" s="241" t="s">
        <v>1561</v>
      </c>
      <c r="G311" s="241" t="s">
        <v>650</v>
      </c>
      <c r="H311" s="241" t="s">
        <v>822</v>
      </c>
      <c r="I311" s="241">
        <v>1</v>
      </c>
      <c r="J311" s="241" t="s">
        <v>1561</v>
      </c>
      <c r="N311" s="241" t="s">
        <v>650</v>
      </c>
      <c r="O311" s="241" t="s">
        <v>822</v>
      </c>
      <c r="P311" s="241">
        <v>1</v>
      </c>
      <c r="R311" s="241">
        <v>4</v>
      </c>
      <c r="S311" s="241">
        <v>0</v>
      </c>
      <c r="U311" s="241" t="s">
        <v>656</v>
      </c>
      <c r="V311" s="241">
        <v>3</v>
      </c>
      <c r="W311" s="517">
        <v>36892</v>
      </c>
      <c r="X311" s="517">
        <v>36525</v>
      </c>
      <c r="Y311" s="241">
        <v>1</v>
      </c>
      <c r="Z311" s="241">
        <v>1</v>
      </c>
    </row>
    <row r="312" spans="1:26" x14ac:dyDescent="0.25">
      <c r="A312" s="241">
        <v>4487</v>
      </c>
      <c r="B312" s="241" t="s">
        <v>1562</v>
      </c>
      <c r="C312" s="241" t="s">
        <v>1563</v>
      </c>
      <c r="G312" s="241" t="s">
        <v>650</v>
      </c>
      <c r="H312" s="241" t="s">
        <v>874</v>
      </c>
      <c r="I312" s="241">
        <v>1</v>
      </c>
      <c r="J312" s="241" t="s">
        <v>1563</v>
      </c>
      <c r="N312" s="241" t="s">
        <v>650</v>
      </c>
      <c r="O312" s="241" t="s">
        <v>874</v>
      </c>
      <c r="P312" s="241">
        <v>1</v>
      </c>
      <c r="R312" s="241">
        <v>4</v>
      </c>
      <c r="S312" s="241">
        <v>0</v>
      </c>
      <c r="U312" s="241" t="s">
        <v>656</v>
      </c>
      <c r="V312" s="241">
        <v>3</v>
      </c>
      <c r="W312" s="517">
        <v>36892</v>
      </c>
      <c r="X312" s="517">
        <v>36525</v>
      </c>
      <c r="Y312" s="241">
        <v>0</v>
      </c>
      <c r="Z312" s="241">
        <v>1</v>
      </c>
    </row>
    <row r="313" spans="1:26" x14ac:dyDescent="0.25">
      <c r="A313" s="241">
        <v>10276</v>
      </c>
      <c r="B313" s="241" t="s">
        <v>1564</v>
      </c>
      <c r="C313" s="241" t="s">
        <v>1565</v>
      </c>
      <c r="G313" s="241" t="s">
        <v>650</v>
      </c>
      <c r="H313" s="241" t="s">
        <v>1470</v>
      </c>
      <c r="I313" s="241">
        <v>1</v>
      </c>
      <c r="J313" s="241" t="s">
        <v>1565</v>
      </c>
      <c r="N313" s="241" t="s">
        <v>650</v>
      </c>
      <c r="O313" s="241" t="s">
        <v>1470</v>
      </c>
      <c r="P313" s="241">
        <v>1</v>
      </c>
      <c r="R313" s="241">
        <v>8</v>
      </c>
      <c r="S313" s="241">
        <v>0</v>
      </c>
      <c r="U313" s="241" t="s">
        <v>656</v>
      </c>
      <c r="V313" s="241">
        <v>3</v>
      </c>
      <c r="W313" s="517">
        <v>36892</v>
      </c>
      <c r="X313" s="517">
        <v>36525</v>
      </c>
      <c r="Y313" s="241">
        <v>0</v>
      </c>
      <c r="Z313" s="241">
        <v>1</v>
      </c>
    </row>
    <row r="314" spans="1:26" x14ac:dyDescent="0.25">
      <c r="A314" s="241">
        <v>10459</v>
      </c>
      <c r="B314" s="241" t="s">
        <v>1566</v>
      </c>
      <c r="C314" s="241" t="s">
        <v>1567</v>
      </c>
      <c r="G314" s="241" t="s">
        <v>650</v>
      </c>
      <c r="H314" s="241" t="s">
        <v>1128</v>
      </c>
      <c r="I314" s="241">
        <v>1</v>
      </c>
      <c r="J314" s="241" t="s">
        <v>1567</v>
      </c>
      <c r="N314" s="241" t="s">
        <v>650</v>
      </c>
      <c r="O314" s="241" t="s">
        <v>1128</v>
      </c>
      <c r="P314" s="241">
        <v>1</v>
      </c>
      <c r="R314" s="241">
        <v>6</v>
      </c>
      <c r="S314" s="241">
        <v>0</v>
      </c>
      <c r="U314" s="241" t="s">
        <v>1568</v>
      </c>
      <c r="V314" s="241">
        <v>3</v>
      </c>
      <c r="W314" s="517">
        <v>36892</v>
      </c>
      <c r="X314" s="517">
        <v>36525</v>
      </c>
      <c r="Y314" s="241">
        <v>0</v>
      </c>
      <c r="Z314" s="241">
        <v>1</v>
      </c>
    </row>
    <row r="315" spans="1:26" x14ac:dyDescent="0.25">
      <c r="A315" s="241">
        <v>4458</v>
      </c>
      <c r="B315" s="241" t="s">
        <v>1569</v>
      </c>
      <c r="C315" s="241" t="s">
        <v>1570</v>
      </c>
      <c r="G315" s="241" t="s">
        <v>650</v>
      </c>
      <c r="H315" s="241" t="s">
        <v>1571</v>
      </c>
      <c r="I315" s="241">
        <v>1</v>
      </c>
      <c r="J315" s="241" t="s">
        <v>1570</v>
      </c>
      <c r="N315" s="241" t="s">
        <v>650</v>
      </c>
      <c r="O315" s="241" t="s">
        <v>1571</v>
      </c>
      <c r="P315" s="241">
        <v>1</v>
      </c>
      <c r="R315" s="241">
        <v>10</v>
      </c>
      <c r="S315" s="241">
        <v>0</v>
      </c>
      <c r="U315" s="241" t="s">
        <v>1572</v>
      </c>
      <c r="V315" s="241">
        <v>3</v>
      </c>
      <c r="W315" s="517">
        <v>36892</v>
      </c>
      <c r="X315" s="517">
        <v>36525</v>
      </c>
      <c r="Y315" s="241">
        <v>0</v>
      </c>
      <c r="Z315" s="241">
        <v>1</v>
      </c>
    </row>
    <row r="316" spans="1:26" x14ac:dyDescent="0.25">
      <c r="A316" s="241">
        <v>4208</v>
      </c>
      <c r="B316" s="241" t="s">
        <v>1573</v>
      </c>
      <c r="C316" s="241" t="s">
        <v>1574</v>
      </c>
      <c r="G316" s="241" t="s">
        <v>650</v>
      </c>
      <c r="H316" s="241" t="s">
        <v>1575</v>
      </c>
      <c r="I316" s="241">
        <v>1</v>
      </c>
      <c r="J316" s="241" t="s">
        <v>1574</v>
      </c>
      <c r="N316" s="241" t="s">
        <v>650</v>
      </c>
      <c r="O316" s="241" t="s">
        <v>1575</v>
      </c>
      <c r="P316" s="241">
        <v>1</v>
      </c>
      <c r="R316" s="241">
        <v>11</v>
      </c>
      <c r="S316" s="241">
        <v>0</v>
      </c>
      <c r="U316" s="241" t="s">
        <v>1576</v>
      </c>
      <c r="V316" s="241">
        <v>3</v>
      </c>
      <c r="W316" s="517">
        <v>36892</v>
      </c>
      <c r="X316" s="517">
        <v>36525</v>
      </c>
      <c r="Y316" s="241">
        <v>0</v>
      </c>
      <c r="Z316" s="241">
        <v>1</v>
      </c>
    </row>
    <row r="317" spans="1:26" x14ac:dyDescent="0.25">
      <c r="A317" s="241">
        <v>10481</v>
      </c>
      <c r="B317" s="241" t="s">
        <v>1577</v>
      </c>
      <c r="C317" s="241" t="s">
        <v>1578</v>
      </c>
      <c r="G317" s="241" t="s">
        <v>650</v>
      </c>
      <c r="H317" s="241" t="s">
        <v>972</v>
      </c>
      <c r="I317" s="241">
        <v>1</v>
      </c>
      <c r="J317" s="241" t="s">
        <v>1578</v>
      </c>
      <c r="N317" s="241" t="s">
        <v>650</v>
      </c>
      <c r="O317" s="241" t="s">
        <v>972</v>
      </c>
      <c r="P317" s="241">
        <v>1</v>
      </c>
      <c r="R317" s="241">
        <v>3</v>
      </c>
      <c r="S317" s="241">
        <v>0</v>
      </c>
      <c r="U317" s="241" t="s">
        <v>656</v>
      </c>
      <c r="V317" s="241">
        <v>3</v>
      </c>
      <c r="W317" s="517">
        <v>36892</v>
      </c>
      <c r="X317" s="517">
        <v>36525</v>
      </c>
      <c r="Y317" s="241">
        <v>0</v>
      </c>
      <c r="Z317" s="241">
        <v>1</v>
      </c>
    </row>
    <row r="318" spans="1:26" x14ac:dyDescent="0.25">
      <c r="A318" s="241">
        <v>10429</v>
      </c>
      <c r="B318" s="241" t="s">
        <v>1579</v>
      </c>
      <c r="C318" s="241" t="s">
        <v>1580</v>
      </c>
      <c r="G318" s="241" t="s">
        <v>650</v>
      </c>
      <c r="H318" s="241" t="s">
        <v>1035</v>
      </c>
      <c r="I318" s="241">
        <v>1</v>
      </c>
      <c r="J318" s="241" t="s">
        <v>1580</v>
      </c>
      <c r="N318" s="241" t="s">
        <v>650</v>
      </c>
      <c r="O318" s="241" t="s">
        <v>1035</v>
      </c>
      <c r="P318" s="241">
        <v>1</v>
      </c>
      <c r="R318" s="241">
        <v>3</v>
      </c>
      <c r="S318" s="241">
        <v>0</v>
      </c>
      <c r="U318" s="241" t="s">
        <v>656</v>
      </c>
      <c r="V318" s="241">
        <v>3</v>
      </c>
      <c r="W318" s="517">
        <v>36892</v>
      </c>
      <c r="X318" s="517">
        <v>36525</v>
      </c>
      <c r="Y318" s="241">
        <v>0</v>
      </c>
      <c r="Z318" s="241">
        <v>1</v>
      </c>
    </row>
    <row r="319" spans="1:26" x14ac:dyDescent="0.25">
      <c r="A319" s="241">
        <v>1875</v>
      </c>
      <c r="B319" s="241" t="s">
        <v>1581</v>
      </c>
      <c r="C319" s="241" t="s">
        <v>1582</v>
      </c>
      <c r="G319" s="241" t="s">
        <v>650</v>
      </c>
      <c r="H319" s="241" t="s">
        <v>1583</v>
      </c>
      <c r="I319" s="241">
        <v>1</v>
      </c>
      <c r="J319" s="241" t="s">
        <v>1582</v>
      </c>
      <c r="N319" s="241" t="s">
        <v>650</v>
      </c>
      <c r="O319" s="241" t="s">
        <v>1583</v>
      </c>
      <c r="P319" s="241">
        <v>1</v>
      </c>
      <c r="R319" s="241">
        <v>9</v>
      </c>
      <c r="S319" s="241">
        <v>0</v>
      </c>
      <c r="U319" s="241" t="s">
        <v>1584</v>
      </c>
      <c r="V319" s="241">
        <v>3</v>
      </c>
      <c r="W319" s="517">
        <v>36892</v>
      </c>
      <c r="X319" s="517">
        <v>36525</v>
      </c>
      <c r="Y319" s="241">
        <v>0</v>
      </c>
      <c r="Z319" s="241">
        <v>1</v>
      </c>
    </row>
    <row r="320" spans="1:26" x14ac:dyDescent="0.25">
      <c r="A320" s="241">
        <v>30185</v>
      </c>
      <c r="B320" s="241" t="s">
        <v>1585</v>
      </c>
      <c r="C320" s="241" t="s">
        <v>1586</v>
      </c>
      <c r="G320" s="241" t="s">
        <v>650</v>
      </c>
      <c r="H320" s="241" t="s">
        <v>697</v>
      </c>
      <c r="I320" s="241">
        <v>1</v>
      </c>
      <c r="J320" s="241" t="s">
        <v>1586</v>
      </c>
      <c r="N320" s="241" t="s">
        <v>650</v>
      </c>
      <c r="O320" s="241" t="s">
        <v>697</v>
      </c>
      <c r="P320" s="241">
        <v>1</v>
      </c>
      <c r="R320" s="241">
        <v>3</v>
      </c>
      <c r="S320" s="241">
        <v>29747</v>
      </c>
      <c r="T320" s="241" t="s">
        <v>666</v>
      </c>
      <c r="U320" s="241" t="s">
        <v>1587</v>
      </c>
      <c r="V320" s="241">
        <v>3</v>
      </c>
      <c r="W320" s="517">
        <v>36892</v>
      </c>
      <c r="X320" s="517">
        <v>36525</v>
      </c>
      <c r="Y320" s="241">
        <v>0</v>
      </c>
      <c r="Z320" s="241">
        <v>1</v>
      </c>
    </row>
    <row r="321" spans="1:26" x14ac:dyDescent="0.25">
      <c r="A321" s="241">
        <v>10432</v>
      </c>
      <c r="B321" s="241" t="s">
        <v>1588</v>
      </c>
      <c r="C321" s="241" t="s">
        <v>1589</v>
      </c>
      <c r="G321" s="241" t="s">
        <v>650</v>
      </c>
      <c r="H321" s="241" t="s">
        <v>665</v>
      </c>
      <c r="I321" s="241">
        <v>1</v>
      </c>
      <c r="J321" s="241" t="s">
        <v>1589</v>
      </c>
      <c r="N321" s="241" t="s">
        <v>650</v>
      </c>
      <c r="O321" s="241" t="s">
        <v>665</v>
      </c>
      <c r="P321" s="241">
        <v>1</v>
      </c>
      <c r="R321" s="241">
        <v>5</v>
      </c>
      <c r="S321" s="241">
        <v>0</v>
      </c>
      <c r="U321" s="241" t="s">
        <v>1590</v>
      </c>
      <c r="V321" s="241">
        <v>3</v>
      </c>
      <c r="W321" s="517">
        <v>36892</v>
      </c>
      <c r="X321" s="517">
        <v>36525</v>
      </c>
      <c r="Y321" s="241">
        <v>1</v>
      </c>
      <c r="Z321" s="241">
        <v>1</v>
      </c>
    </row>
    <row r="322" spans="1:26" x14ac:dyDescent="0.25">
      <c r="A322" s="241">
        <v>4414</v>
      </c>
      <c r="B322" s="241" t="s">
        <v>1591</v>
      </c>
      <c r="C322" s="241" t="s">
        <v>1592</v>
      </c>
      <c r="G322" s="241" t="s">
        <v>650</v>
      </c>
      <c r="H322" s="241" t="s">
        <v>1470</v>
      </c>
      <c r="I322" s="241">
        <v>1</v>
      </c>
      <c r="J322" s="241" t="s">
        <v>1592</v>
      </c>
      <c r="N322" s="241" t="s">
        <v>650</v>
      </c>
      <c r="O322" s="241" t="s">
        <v>1470</v>
      </c>
      <c r="P322" s="241">
        <v>1</v>
      </c>
      <c r="R322" s="241">
        <v>5</v>
      </c>
      <c r="S322" s="241">
        <v>0</v>
      </c>
      <c r="U322" s="241" t="s">
        <v>656</v>
      </c>
      <c r="V322" s="241">
        <v>3</v>
      </c>
      <c r="W322" s="517">
        <v>36892</v>
      </c>
      <c r="X322" s="517">
        <v>36525</v>
      </c>
      <c r="Y322" s="241">
        <v>1</v>
      </c>
      <c r="Z322" s="241">
        <v>1</v>
      </c>
    </row>
    <row r="323" spans="1:26" x14ac:dyDescent="0.25">
      <c r="A323" s="241">
        <v>4439</v>
      </c>
      <c r="B323" s="241" t="s">
        <v>1593</v>
      </c>
      <c r="C323" s="241" t="s">
        <v>1594</v>
      </c>
      <c r="G323" s="241" t="s">
        <v>650</v>
      </c>
      <c r="H323" s="241" t="s">
        <v>1516</v>
      </c>
      <c r="I323" s="241">
        <v>1</v>
      </c>
      <c r="J323" s="241" t="s">
        <v>1594</v>
      </c>
      <c r="N323" s="241" t="s">
        <v>650</v>
      </c>
      <c r="O323" s="241" t="s">
        <v>1516</v>
      </c>
      <c r="P323" s="241">
        <v>1</v>
      </c>
      <c r="R323" s="241">
        <v>9</v>
      </c>
      <c r="S323" s="241">
        <v>0</v>
      </c>
      <c r="U323" s="241" t="s">
        <v>656</v>
      </c>
      <c r="V323" s="241">
        <v>3</v>
      </c>
      <c r="W323" s="517">
        <v>36892</v>
      </c>
      <c r="X323" s="517">
        <v>36525</v>
      </c>
      <c r="Y323" s="241">
        <v>0</v>
      </c>
      <c r="Z323" s="241">
        <v>1</v>
      </c>
    </row>
    <row r="324" spans="1:26" x14ac:dyDescent="0.25">
      <c r="A324" s="241">
        <v>10456</v>
      </c>
      <c r="B324" s="241" t="s">
        <v>1595</v>
      </c>
      <c r="C324" s="241" t="s">
        <v>1596</v>
      </c>
      <c r="G324" s="241" t="s">
        <v>650</v>
      </c>
      <c r="H324" s="241" t="s">
        <v>1035</v>
      </c>
      <c r="I324" s="241">
        <v>1</v>
      </c>
      <c r="J324" s="241" t="s">
        <v>1596</v>
      </c>
      <c r="N324" s="241" t="s">
        <v>650</v>
      </c>
      <c r="O324" s="241" t="s">
        <v>1035</v>
      </c>
      <c r="P324" s="241">
        <v>1</v>
      </c>
      <c r="R324" s="241">
        <v>3</v>
      </c>
      <c r="S324" s="241">
        <v>0</v>
      </c>
      <c r="U324" s="241" t="s">
        <v>656</v>
      </c>
      <c r="V324" s="241">
        <v>3</v>
      </c>
      <c r="W324" s="517">
        <v>36892</v>
      </c>
      <c r="X324" s="517">
        <v>36525</v>
      </c>
      <c r="Y324" s="241">
        <v>1</v>
      </c>
      <c r="Z324" s="241">
        <v>1</v>
      </c>
    </row>
    <row r="325" spans="1:26" x14ac:dyDescent="0.25">
      <c r="A325" s="241">
        <v>4244</v>
      </c>
      <c r="B325" s="241" t="s">
        <v>1597</v>
      </c>
      <c r="C325" s="241" t="s">
        <v>1598</v>
      </c>
      <c r="G325" s="241" t="s">
        <v>650</v>
      </c>
      <c r="H325" s="241" t="s">
        <v>804</v>
      </c>
      <c r="I325" s="241">
        <v>1</v>
      </c>
      <c r="J325" s="241" t="s">
        <v>1598</v>
      </c>
      <c r="N325" s="241" t="s">
        <v>650</v>
      </c>
      <c r="O325" s="241" t="s">
        <v>804</v>
      </c>
      <c r="P325" s="241">
        <v>1</v>
      </c>
      <c r="R325" s="241">
        <v>4</v>
      </c>
      <c r="S325" s="241">
        <v>0</v>
      </c>
      <c r="U325" s="241" t="s">
        <v>656</v>
      </c>
      <c r="V325" s="241">
        <v>3</v>
      </c>
      <c r="W325" s="517">
        <v>36892</v>
      </c>
      <c r="X325" s="517">
        <v>36525</v>
      </c>
      <c r="Y325" s="241">
        <v>1</v>
      </c>
      <c r="Z325" s="241">
        <v>1</v>
      </c>
    </row>
    <row r="326" spans="1:26" x14ac:dyDescent="0.25">
      <c r="A326" s="241">
        <v>10308</v>
      </c>
      <c r="B326" s="241" t="s">
        <v>1599</v>
      </c>
      <c r="C326" s="241" t="s">
        <v>1600</v>
      </c>
      <c r="G326" s="241" t="s">
        <v>650</v>
      </c>
      <c r="H326" s="241" t="s">
        <v>1006</v>
      </c>
      <c r="I326" s="241">
        <v>1</v>
      </c>
      <c r="J326" s="241" t="s">
        <v>1600</v>
      </c>
      <c r="N326" s="241" t="s">
        <v>650</v>
      </c>
      <c r="O326" s="241" t="s">
        <v>1006</v>
      </c>
      <c r="P326" s="241">
        <v>1</v>
      </c>
      <c r="R326" s="241">
        <v>4</v>
      </c>
      <c r="S326" s="241">
        <v>0</v>
      </c>
      <c r="U326" s="241" t="s">
        <v>656</v>
      </c>
      <c r="V326" s="241">
        <v>3</v>
      </c>
      <c r="W326" s="517">
        <v>36892</v>
      </c>
      <c r="X326" s="517">
        <v>36525</v>
      </c>
      <c r="Y326" s="241">
        <v>0</v>
      </c>
      <c r="Z326" s="241">
        <v>1</v>
      </c>
    </row>
    <row r="327" spans="1:26" x14ac:dyDescent="0.25">
      <c r="A327" s="241">
        <v>4429</v>
      </c>
      <c r="B327" s="241" t="s">
        <v>1601</v>
      </c>
      <c r="C327" s="241" t="s">
        <v>1602</v>
      </c>
      <c r="G327" s="241" t="s">
        <v>987</v>
      </c>
      <c r="H327" s="241" t="s">
        <v>1603</v>
      </c>
      <c r="I327" s="241">
        <v>1</v>
      </c>
      <c r="J327" s="241" t="s">
        <v>1602</v>
      </c>
      <c r="N327" s="241" t="s">
        <v>987</v>
      </c>
      <c r="O327" s="241" t="s">
        <v>1603</v>
      </c>
      <c r="P327" s="241">
        <v>1</v>
      </c>
      <c r="Q327" s="241">
        <v>1285</v>
      </c>
      <c r="R327" s="241">
        <v>5</v>
      </c>
      <c r="S327" s="241">
        <v>0</v>
      </c>
      <c r="U327" s="241" t="s">
        <v>656</v>
      </c>
      <c r="V327" s="241">
        <v>3</v>
      </c>
      <c r="W327" s="517">
        <v>36892</v>
      </c>
      <c r="X327" s="517">
        <v>36525</v>
      </c>
      <c r="Y327" s="241">
        <v>0</v>
      </c>
      <c r="Z327" s="241">
        <v>1</v>
      </c>
    </row>
    <row r="328" spans="1:26" x14ac:dyDescent="0.25">
      <c r="A328" s="241">
        <v>4390</v>
      </c>
      <c r="B328" s="241" t="s">
        <v>1604</v>
      </c>
      <c r="C328" s="241" t="s">
        <v>1605</v>
      </c>
      <c r="G328" s="241" t="s">
        <v>650</v>
      </c>
      <c r="H328" s="241" t="s">
        <v>1606</v>
      </c>
      <c r="I328" s="241">
        <v>1</v>
      </c>
      <c r="J328" s="241" t="s">
        <v>1605</v>
      </c>
      <c r="N328" s="241" t="s">
        <v>650</v>
      </c>
      <c r="O328" s="241" t="s">
        <v>1606</v>
      </c>
      <c r="P328" s="241">
        <v>1</v>
      </c>
      <c r="R328" s="241">
        <v>4</v>
      </c>
      <c r="S328" s="241">
        <v>0</v>
      </c>
      <c r="U328" s="241" t="s">
        <v>656</v>
      </c>
      <c r="V328" s="241">
        <v>3</v>
      </c>
      <c r="W328" s="517">
        <v>36892</v>
      </c>
      <c r="X328" s="517">
        <v>36525</v>
      </c>
      <c r="Y328" s="241">
        <v>0</v>
      </c>
      <c r="Z328" s="241">
        <v>1</v>
      </c>
    </row>
    <row r="329" spans="1:26" x14ac:dyDescent="0.25">
      <c r="A329" s="241">
        <v>10366</v>
      </c>
      <c r="B329" s="241" t="s">
        <v>1607</v>
      </c>
      <c r="C329" s="241" t="s">
        <v>1608</v>
      </c>
      <c r="G329" s="241" t="s">
        <v>650</v>
      </c>
      <c r="H329" s="241" t="s">
        <v>1274</v>
      </c>
      <c r="I329" s="241">
        <v>1</v>
      </c>
      <c r="J329" s="241" t="s">
        <v>1608</v>
      </c>
      <c r="N329" s="241" t="s">
        <v>650</v>
      </c>
      <c r="O329" s="241" t="s">
        <v>1274</v>
      </c>
      <c r="P329" s="241">
        <v>1</v>
      </c>
      <c r="R329" s="241">
        <v>2</v>
      </c>
      <c r="S329" s="241">
        <v>0</v>
      </c>
      <c r="U329" s="241" t="s">
        <v>656</v>
      </c>
      <c r="V329" s="241">
        <v>3</v>
      </c>
      <c r="W329" s="517">
        <v>36892</v>
      </c>
      <c r="X329" s="517">
        <v>36525</v>
      </c>
      <c r="Y329" s="241">
        <v>1</v>
      </c>
      <c r="Z329" s="241">
        <v>1</v>
      </c>
    </row>
    <row r="330" spans="1:26" x14ac:dyDescent="0.25">
      <c r="A330" s="241">
        <v>30184</v>
      </c>
      <c r="B330" s="241" t="s">
        <v>1609</v>
      </c>
      <c r="C330" s="241" t="s">
        <v>1610</v>
      </c>
      <c r="G330" s="241" t="s">
        <v>213</v>
      </c>
      <c r="H330" s="241" t="s">
        <v>1611</v>
      </c>
      <c r="I330" s="241">
        <v>12</v>
      </c>
      <c r="J330" s="241" t="s">
        <v>1610</v>
      </c>
      <c r="N330" s="241" t="s">
        <v>213</v>
      </c>
      <c r="O330" s="241" t="s">
        <v>1611</v>
      </c>
      <c r="P330" s="241">
        <v>12</v>
      </c>
      <c r="R330" s="241">
        <v>3</v>
      </c>
      <c r="S330" s="241">
        <v>29747</v>
      </c>
      <c r="T330" s="241" t="s">
        <v>666</v>
      </c>
      <c r="U330" s="241" t="s">
        <v>1612</v>
      </c>
      <c r="V330" s="241">
        <v>3</v>
      </c>
      <c r="W330" s="517">
        <v>36892</v>
      </c>
      <c r="X330" s="517">
        <v>36525</v>
      </c>
      <c r="Y330" s="241">
        <v>0</v>
      </c>
      <c r="Z330" s="241">
        <v>1</v>
      </c>
    </row>
    <row r="331" spans="1:26" x14ac:dyDescent="0.25">
      <c r="A331" s="241">
        <v>4492</v>
      </c>
      <c r="B331" s="241" t="s">
        <v>1613</v>
      </c>
      <c r="C331" s="241" t="s">
        <v>1614</v>
      </c>
      <c r="G331" s="241" t="s">
        <v>650</v>
      </c>
      <c r="H331" s="241" t="s">
        <v>1615</v>
      </c>
      <c r="I331" s="241">
        <v>1</v>
      </c>
      <c r="J331" s="241" t="s">
        <v>1614</v>
      </c>
      <c r="N331" s="241" t="s">
        <v>650</v>
      </c>
      <c r="O331" s="241" t="s">
        <v>1615</v>
      </c>
      <c r="P331" s="241">
        <v>1</v>
      </c>
      <c r="R331" s="241">
        <v>6</v>
      </c>
      <c r="S331" s="241">
        <v>0</v>
      </c>
      <c r="U331" s="241" t="s">
        <v>656</v>
      </c>
      <c r="V331" s="241">
        <v>3</v>
      </c>
      <c r="W331" s="517">
        <v>36892</v>
      </c>
      <c r="X331" s="517">
        <v>36525</v>
      </c>
      <c r="Y331" s="241">
        <v>0</v>
      </c>
      <c r="Z331" s="241">
        <v>1</v>
      </c>
    </row>
    <row r="332" spans="1:26" x14ac:dyDescent="0.25">
      <c r="A332" s="241">
        <v>30212</v>
      </c>
      <c r="B332" s="241" t="s">
        <v>1616</v>
      </c>
      <c r="R332" s="241">
        <v>2</v>
      </c>
      <c r="S332" s="241">
        <v>29747</v>
      </c>
      <c r="T332" s="241" t="s">
        <v>666</v>
      </c>
      <c r="U332" s="241" t="s">
        <v>1617</v>
      </c>
      <c r="V332" s="241">
        <v>3</v>
      </c>
      <c r="W332" s="517">
        <v>36892</v>
      </c>
      <c r="X332" s="517">
        <v>36525</v>
      </c>
      <c r="Y332" s="241">
        <v>0</v>
      </c>
      <c r="Z332" s="241">
        <v>1</v>
      </c>
    </row>
    <row r="333" spans="1:26" x14ac:dyDescent="0.25">
      <c r="A333" s="241">
        <v>10455</v>
      </c>
      <c r="B333" s="241" t="s">
        <v>1618</v>
      </c>
      <c r="C333" s="241" t="s">
        <v>1619</v>
      </c>
      <c r="G333" s="241" t="s">
        <v>650</v>
      </c>
      <c r="H333" s="241" t="s">
        <v>1620</v>
      </c>
      <c r="I333" s="241">
        <v>1</v>
      </c>
      <c r="J333" s="241" t="s">
        <v>1619</v>
      </c>
      <c r="N333" s="241" t="s">
        <v>650</v>
      </c>
      <c r="O333" s="241" t="s">
        <v>1620</v>
      </c>
      <c r="P333" s="241">
        <v>1</v>
      </c>
      <c r="R333" s="241">
        <v>2</v>
      </c>
      <c r="S333" s="241">
        <v>1000342</v>
      </c>
      <c r="T333" s="241" t="s">
        <v>1558</v>
      </c>
      <c r="U333" s="241" t="s">
        <v>656</v>
      </c>
      <c r="V333" s="241">
        <v>3</v>
      </c>
      <c r="W333" s="517">
        <v>36892</v>
      </c>
      <c r="X333" s="517">
        <v>36525</v>
      </c>
      <c r="Y333" s="241">
        <v>0</v>
      </c>
      <c r="Z333" s="241">
        <v>1</v>
      </c>
    </row>
    <row r="334" spans="1:26" x14ac:dyDescent="0.25">
      <c r="A334" s="241">
        <v>30221</v>
      </c>
      <c r="B334" s="241" t="s">
        <v>1621</v>
      </c>
      <c r="C334" s="241" t="s">
        <v>1622</v>
      </c>
      <c r="G334" s="241" t="s">
        <v>650</v>
      </c>
      <c r="H334" s="241" t="s">
        <v>665</v>
      </c>
      <c r="I334" s="241">
        <v>1</v>
      </c>
      <c r="J334" s="241" t="s">
        <v>1622</v>
      </c>
      <c r="N334" s="241" t="s">
        <v>650</v>
      </c>
      <c r="O334" s="241" t="s">
        <v>665</v>
      </c>
      <c r="P334" s="241">
        <v>1</v>
      </c>
      <c r="R334" s="241">
        <v>2</v>
      </c>
      <c r="S334" s="241">
        <v>29747</v>
      </c>
      <c r="T334" s="241" t="s">
        <v>666</v>
      </c>
      <c r="U334" s="241" t="s">
        <v>1623</v>
      </c>
      <c r="V334" s="241">
        <v>3</v>
      </c>
      <c r="W334" s="517">
        <v>36892</v>
      </c>
      <c r="X334" s="517">
        <v>36525</v>
      </c>
      <c r="Y334" s="241">
        <v>0</v>
      </c>
      <c r="Z334" s="241">
        <v>1</v>
      </c>
    </row>
    <row r="335" spans="1:26" x14ac:dyDescent="0.25">
      <c r="A335" s="241">
        <v>10441</v>
      </c>
      <c r="B335" s="241" t="s">
        <v>1624</v>
      </c>
      <c r="C335" s="241" t="s">
        <v>1625</v>
      </c>
      <c r="G335" s="241" t="s">
        <v>650</v>
      </c>
      <c r="H335" s="241" t="s">
        <v>670</v>
      </c>
      <c r="I335" s="241">
        <v>1</v>
      </c>
      <c r="J335" s="241" t="s">
        <v>1625</v>
      </c>
      <c r="N335" s="241" t="s">
        <v>650</v>
      </c>
      <c r="O335" s="241" t="s">
        <v>670</v>
      </c>
      <c r="P335" s="241">
        <v>1</v>
      </c>
      <c r="R335" s="241">
        <v>7</v>
      </c>
      <c r="S335" s="241">
        <v>0</v>
      </c>
      <c r="U335" s="241" t="s">
        <v>1626</v>
      </c>
      <c r="V335" s="241">
        <v>3</v>
      </c>
      <c r="W335" s="517">
        <v>36892</v>
      </c>
      <c r="X335" s="517">
        <v>36525</v>
      </c>
      <c r="Y335" s="241">
        <v>0</v>
      </c>
      <c r="Z335" s="241">
        <v>1</v>
      </c>
    </row>
    <row r="336" spans="1:26" x14ac:dyDescent="0.25">
      <c r="A336" s="241">
        <v>30230</v>
      </c>
      <c r="B336" s="241" t="s">
        <v>1627</v>
      </c>
      <c r="C336" s="241" t="s">
        <v>1628</v>
      </c>
      <c r="G336" s="241" t="s">
        <v>682</v>
      </c>
      <c r="H336" s="241" t="s">
        <v>1629</v>
      </c>
      <c r="I336" s="241">
        <v>12</v>
      </c>
      <c r="J336" s="241" t="s">
        <v>1628</v>
      </c>
      <c r="N336" s="241" t="s">
        <v>682</v>
      </c>
      <c r="O336" s="241" t="s">
        <v>1629</v>
      </c>
      <c r="P336" s="241">
        <v>12</v>
      </c>
      <c r="R336" s="241">
        <v>1</v>
      </c>
      <c r="S336" s="241">
        <v>0</v>
      </c>
      <c r="U336" s="241" t="s">
        <v>1630</v>
      </c>
      <c r="V336" s="241">
        <v>1</v>
      </c>
      <c r="W336" s="517">
        <v>36892</v>
      </c>
      <c r="X336" s="517">
        <v>36525</v>
      </c>
      <c r="Y336" s="241">
        <v>0</v>
      </c>
      <c r="Z336" s="241">
        <v>1</v>
      </c>
    </row>
    <row r="337" spans="1:26" x14ac:dyDescent="0.25">
      <c r="A337" s="241">
        <v>4477</v>
      </c>
      <c r="B337" s="241" t="s">
        <v>1631</v>
      </c>
      <c r="C337" s="241" t="s">
        <v>1632</v>
      </c>
      <c r="G337" s="241" t="s">
        <v>650</v>
      </c>
      <c r="H337" s="241" t="s">
        <v>1633</v>
      </c>
      <c r="I337" s="241">
        <v>1</v>
      </c>
      <c r="J337" s="241" t="s">
        <v>1632</v>
      </c>
      <c r="N337" s="241" t="s">
        <v>650</v>
      </c>
      <c r="O337" s="241" t="s">
        <v>1633</v>
      </c>
      <c r="P337" s="241">
        <v>1</v>
      </c>
      <c r="R337" s="241">
        <v>10</v>
      </c>
      <c r="S337" s="241">
        <v>0</v>
      </c>
      <c r="U337" s="241" t="s">
        <v>656</v>
      </c>
      <c r="V337" s="241">
        <v>3</v>
      </c>
      <c r="W337" s="517">
        <v>36892</v>
      </c>
      <c r="X337" s="517">
        <v>36525</v>
      </c>
      <c r="Y337" s="241">
        <v>0</v>
      </c>
      <c r="Z337" s="241">
        <v>1</v>
      </c>
    </row>
    <row r="338" spans="1:26" x14ac:dyDescent="0.25">
      <c r="A338" s="241">
        <v>1998</v>
      </c>
      <c r="B338" s="241" t="s">
        <v>1634</v>
      </c>
      <c r="C338" s="241" t="s">
        <v>1635</v>
      </c>
      <c r="G338" s="241" t="s">
        <v>650</v>
      </c>
      <c r="H338" s="241" t="s">
        <v>1633</v>
      </c>
      <c r="I338" s="241">
        <v>1</v>
      </c>
      <c r="J338" s="241" t="s">
        <v>1635</v>
      </c>
      <c r="N338" s="241" t="s">
        <v>650</v>
      </c>
      <c r="O338" s="241" t="s">
        <v>1633</v>
      </c>
      <c r="P338" s="241">
        <v>1</v>
      </c>
      <c r="R338" s="241">
        <v>6</v>
      </c>
      <c r="S338" s="241">
        <v>0</v>
      </c>
      <c r="U338" s="241" t="s">
        <v>656</v>
      </c>
      <c r="V338" s="241">
        <v>3</v>
      </c>
      <c r="W338" s="517">
        <v>36892</v>
      </c>
      <c r="X338" s="517">
        <v>36525</v>
      </c>
      <c r="Y338" s="241">
        <v>0</v>
      </c>
      <c r="Z338" s="241">
        <v>1</v>
      </c>
    </row>
    <row r="339" spans="1:26" x14ac:dyDescent="0.25">
      <c r="A339" s="241">
        <v>4197</v>
      </c>
      <c r="B339" s="241" t="s">
        <v>1636</v>
      </c>
      <c r="C339" s="241" t="s">
        <v>1637</v>
      </c>
      <c r="G339" s="241" t="s">
        <v>829</v>
      </c>
      <c r="H339" s="241" t="s">
        <v>1638</v>
      </c>
      <c r="I339" s="241">
        <v>1</v>
      </c>
      <c r="J339" s="241" t="s">
        <v>1637</v>
      </c>
      <c r="N339" s="241" t="s">
        <v>829</v>
      </c>
      <c r="O339" s="241" t="s">
        <v>1638</v>
      </c>
      <c r="P339" s="241">
        <v>1</v>
      </c>
      <c r="R339" s="241">
        <v>5</v>
      </c>
      <c r="S339" s="241">
        <v>0</v>
      </c>
      <c r="U339" s="241" t="s">
        <v>656</v>
      </c>
      <c r="V339" s="241">
        <v>3</v>
      </c>
      <c r="W339" s="517">
        <v>36892</v>
      </c>
      <c r="X339" s="517">
        <v>36525</v>
      </c>
      <c r="Y339" s="241">
        <v>1</v>
      </c>
      <c r="Z339" s="241">
        <v>1</v>
      </c>
    </row>
    <row r="340" spans="1:26" x14ac:dyDescent="0.25">
      <c r="A340" s="241">
        <v>4462</v>
      </c>
      <c r="B340" s="241" t="s">
        <v>1639</v>
      </c>
      <c r="C340" s="241" t="s">
        <v>1640</v>
      </c>
      <c r="G340" s="241" t="s">
        <v>650</v>
      </c>
      <c r="H340" s="241" t="s">
        <v>1641</v>
      </c>
      <c r="I340" s="241">
        <v>1</v>
      </c>
      <c r="J340" s="241" t="s">
        <v>1640</v>
      </c>
      <c r="N340" s="241" t="s">
        <v>650</v>
      </c>
      <c r="O340" s="241" t="s">
        <v>1641</v>
      </c>
      <c r="P340" s="241">
        <v>1</v>
      </c>
      <c r="R340" s="241">
        <v>4</v>
      </c>
      <c r="S340" s="241">
        <v>0</v>
      </c>
      <c r="U340" s="241" t="s">
        <v>656</v>
      </c>
      <c r="V340" s="241">
        <v>3</v>
      </c>
      <c r="W340" s="517">
        <v>36892</v>
      </c>
      <c r="X340" s="517">
        <v>36525</v>
      </c>
      <c r="Y340" s="241">
        <v>0</v>
      </c>
      <c r="Z340" s="241">
        <v>1</v>
      </c>
    </row>
    <row r="341" spans="1:26" x14ac:dyDescent="0.25">
      <c r="A341" s="241">
        <v>4226</v>
      </c>
      <c r="B341" s="241" t="s">
        <v>1642</v>
      </c>
      <c r="C341" s="241" t="s">
        <v>1643</v>
      </c>
      <c r="G341" s="241" t="s">
        <v>650</v>
      </c>
      <c r="H341" s="241" t="s">
        <v>1641</v>
      </c>
      <c r="I341" s="241">
        <v>1</v>
      </c>
      <c r="J341" s="241" t="s">
        <v>1643</v>
      </c>
      <c r="N341" s="241" t="s">
        <v>650</v>
      </c>
      <c r="O341" s="241" t="s">
        <v>1641</v>
      </c>
      <c r="P341" s="241">
        <v>1</v>
      </c>
      <c r="R341" s="241">
        <v>6</v>
      </c>
      <c r="S341" s="241">
        <v>0</v>
      </c>
      <c r="U341" s="241" t="s">
        <v>656</v>
      </c>
      <c r="V341" s="241">
        <v>3</v>
      </c>
      <c r="W341" s="517">
        <v>36892</v>
      </c>
      <c r="X341" s="517">
        <v>36525</v>
      </c>
      <c r="Y341" s="241">
        <v>0</v>
      </c>
      <c r="Z341" s="241">
        <v>1</v>
      </c>
    </row>
    <row r="342" spans="1:26" x14ac:dyDescent="0.25">
      <c r="A342" s="241">
        <v>5001</v>
      </c>
      <c r="B342" s="241" t="s">
        <v>1644</v>
      </c>
      <c r="C342" s="241" t="s">
        <v>1645</v>
      </c>
      <c r="G342" s="241" t="s">
        <v>650</v>
      </c>
      <c r="H342" s="241" t="s">
        <v>678</v>
      </c>
      <c r="I342" s="241">
        <v>1</v>
      </c>
      <c r="J342" s="241" t="s">
        <v>1645</v>
      </c>
      <c r="N342" s="241" t="s">
        <v>650</v>
      </c>
      <c r="O342" s="241" t="s">
        <v>678</v>
      </c>
      <c r="P342" s="241">
        <v>1</v>
      </c>
      <c r="R342" s="241">
        <v>6</v>
      </c>
      <c r="S342" s="241">
        <v>0</v>
      </c>
      <c r="U342" s="241" t="s">
        <v>1646</v>
      </c>
      <c r="V342" s="241">
        <v>3</v>
      </c>
      <c r="W342" s="517">
        <v>36892</v>
      </c>
      <c r="X342" s="517">
        <v>36525</v>
      </c>
      <c r="Y342" s="241">
        <v>0</v>
      </c>
      <c r="Z342" s="241">
        <v>1</v>
      </c>
    </row>
    <row r="343" spans="1:26" x14ac:dyDescent="0.25">
      <c r="A343" s="241">
        <v>4467</v>
      </c>
      <c r="B343" s="241" t="s">
        <v>1647</v>
      </c>
      <c r="C343" s="241" t="s">
        <v>1648</v>
      </c>
      <c r="G343" s="241" t="s">
        <v>650</v>
      </c>
      <c r="H343" s="241" t="s">
        <v>1649</v>
      </c>
      <c r="I343" s="241">
        <v>1</v>
      </c>
      <c r="J343" s="241" t="s">
        <v>1648</v>
      </c>
      <c r="N343" s="241" t="s">
        <v>650</v>
      </c>
      <c r="O343" s="241" t="s">
        <v>1649</v>
      </c>
      <c r="P343" s="241">
        <v>1</v>
      </c>
      <c r="R343" s="241">
        <v>4</v>
      </c>
      <c r="S343" s="241">
        <v>0</v>
      </c>
      <c r="U343" s="241" t="s">
        <v>656</v>
      </c>
      <c r="V343" s="241">
        <v>3</v>
      </c>
      <c r="W343" s="517">
        <v>36892</v>
      </c>
      <c r="X343" s="517">
        <v>36525</v>
      </c>
      <c r="Y343" s="241">
        <v>1</v>
      </c>
      <c r="Z343" s="241">
        <v>1</v>
      </c>
    </row>
    <row r="344" spans="1:26" x14ac:dyDescent="0.25">
      <c r="A344" s="241">
        <v>10244</v>
      </c>
      <c r="B344" s="241" t="s">
        <v>1650</v>
      </c>
      <c r="C344" s="241" t="s">
        <v>1651</v>
      </c>
      <c r="G344" s="241" t="s">
        <v>650</v>
      </c>
      <c r="H344" s="241" t="s">
        <v>819</v>
      </c>
      <c r="I344" s="241">
        <v>1</v>
      </c>
      <c r="J344" s="241" t="s">
        <v>1651</v>
      </c>
      <c r="N344" s="241" t="s">
        <v>650</v>
      </c>
      <c r="O344" s="241" t="s">
        <v>819</v>
      </c>
      <c r="P344" s="241">
        <v>1</v>
      </c>
      <c r="R344" s="241">
        <v>4</v>
      </c>
      <c r="S344" s="241">
        <v>0</v>
      </c>
      <c r="U344" s="241" t="s">
        <v>656</v>
      </c>
      <c r="V344" s="241">
        <v>3</v>
      </c>
      <c r="W344" s="517">
        <v>36892</v>
      </c>
      <c r="X344" s="517">
        <v>36525</v>
      </c>
      <c r="Y344" s="241">
        <v>0</v>
      </c>
      <c r="Z344" s="241">
        <v>1</v>
      </c>
    </row>
    <row r="345" spans="1:26" x14ac:dyDescent="0.25">
      <c r="A345" s="241">
        <v>10472</v>
      </c>
      <c r="B345" s="241" t="s">
        <v>1652</v>
      </c>
      <c r="C345" s="241" t="s">
        <v>1653</v>
      </c>
      <c r="G345" s="241" t="s">
        <v>650</v>
      </c>
      <c r="H345" s="241" t="s">
        <v>713</v>
      </c>
      <c r="I345" s="241">
        <v>1</v>
      </c>
      <c r="J345" s="241" t="s">
        <v>1653</v>
      </c>
      <c r="N345" s="241" t="s">
        <v>650</v>
      </c>
      <c r="O345" s="241" t="s">
        <v>713</v>
      </c>
      <c r="P345" s="241">
        <v>1</v>
      </c>
      <c r="R345" s="241">
        <v>5</v>
      </c>
      <c r="S345" s="241">
        <v>0</v>
      </c>
      <c r="U345" s="241" t="s">
        <v>656</v>
      </c>
      <c r="V345" s="241">
        <v>3</v>
      </c>
      <c r="W345" s="517">
        <v>36892</v>
      </c>
      <c r="X345" s="517">
        <v>36525</v>
      </c>
      <c r="Y345" s="241">
        <v>0</v>
      </c>
      <c r="Z345" s="241">
        <v>1</v>
      </c>
    </row>
    <row r="346" spans="1:26" x14ac:dyDescent="0.25">
      <c r="A346" s="241">
        <v>4499</v>
      </c>
      <c r="B346" s="241" t="s">
        <v>1654</v>
      </c>
      <c r="C346" s="241" t="s">
        <v>1655</v>
      </c>
      <c r="G346" s="241" t="s">
        <v>650</v>
      </c>
      <c r="H346" s="241" t="s">
        <v>1656</v>
      </c>
      <c r="I346" s="241">
        <v>1</v>
      </c>
      <c r="J346" s="241" t="s">
        <v>1655</v>
      </c>
      <c r="N346" s="241" t="s">
        <v>650</v>
      </c>
      <c r="O346" s="241" t="s">
        <v>1656</v>
      </c>
      <c r="P346" s="241">
        <v>1</v>
      </c>
      <c r="R346" s="241">
        <v>7</v>
      </c>
      <c r="S346" s="241">
        <v>0</v>
      </c>
      <c r="U346" s="241" t="s">
        <v>1657</v>
      </c>
      <c r="V346" s="241">
        <v>3</v>
      </c>
      <c r="W346" s="517">
        <v>36892</v>
      </c>
      <c r="X346" s="517">
        <v>36525</v>
      </c>
      <c r="Y346" s="241">
        <v>0</v>
      </c>
      <c r="Z346" s="241">
        <v>1</v>
      </c>
    </row>
    <row r="347" spans="1:26" x14ac:dyDescent="0.25">
      <c r="A347" s="241">
        <v>4654</v>
      </c>
      <c r="B347" s="241" t="s">
        <v>1658</v>
      </c>
      <c r="C347" s="241" t="s">
        <v>1659</v>
      </c>
      <c r="G347" s="241" t="s">
        <v>650</v>
      </c>
      <c r="H347" s="241" t="s">
        <v>730</v>
      </c>
      <c r="I347" s="241">
        <v>1</v>
      </c>
      <c r="J347" s="241" t="s">
        <v>1659</v>
      </c>
      <c r="N347" s="241" t="s">
        <v>650</v>
      </c>
      <c r="O347" s="241" t="s">
        <v>730</v>
      </c>
      <c r="P347" s="241">
        <v>1</v>
      </c>
      <c r="R347" s="241">
        <v>4</v>
      </c>
      <c r="S347" s="241">
        <v>0</v>
      </c>
      <c r="U347" s="241" t="s">
        <v>656</v>
      </c>
      <c r="V347" s="241">
        <v>3</v>
      </c>
      <c r="W347" s="517">
        <v>36892</v>
      </c>
      <c r="X347" s="517">
        <v>36525</v>
      </c>
      <c r="Y347" s="241">
        <v>0</v>
      </c>
      <c r="Z347" s="241">
        <v>1</v>
      </c>
    </row>
    <row r="348" spans="1:26" x14ac:dyDescent="0.25">
      <c r="A348" s="241">
        <v>4682</v>
      </c>
      <c r="B348" s="241" t="s">
        <v>1660</v>
      </c>
      <c r="C348" s="241" t="s">
        <v>1661</v>
      </c>
      <c r="G348" s="241" t="s">
        <v>650</v>
      </c>
      <c r="H348" s="241" t="s">
        <v>772</v>
      </c>
      <c r="I348" s="241">
        <v>1</v>
      </c>
      <c r="J348" s="241" t="s">
        <v>1661</v>
      </c>
      <c r="N348" s="241" t="s">
        <v>650</v>
      </c>
      <c r="O348" s="241" t="s">
        <v>772</v>
      </c>
      <c r="P348" s="241">
        <v>1</v>
      </c>
      <c r="R348" s="241">
        <v>6</v>
      </c>
      <c r="S348" s="241">
        <v>0</v>
      </c>
      <c r="U348" s="241" t="s">
        <v>656</v>
      </c>
      <c r="V348" s="241">
        <v>3</v>
      </c>
      <c r="W348" s="517">
        <v>36892</v>
      </c>
      <c r="X348" s="517">
        <v>36525</v>
      </c>
      <c r="Y348" s="241">
        <v>0</v>
      </c>
      <c r="Z348" s="241">
        <v>1</v>
      </c>
    </row>
    <row r="349" spans="1:26" x14ac:dyDescent="0.25">
      <c r="A349" s="241">
        <v>30123</v>
      </c>
      <c r="B349" s="241" t="s">
        <v>1662</v>
      </c>
      <c r="I349" s="241">
        <v>1</v>
      </c>
      <c r="P349" s="241">
        <v>1</v>
      </c>
      <c r="R349" s="241">
        <v>1</v>
      </c>
      <c r="S349" s="241">
        <v>29747</v>
      </c>
      <c r="T349" s="241" t="s">
        <v>666</v>
      </c>
      <c r="U349" s="241" t="s">
        <v>1663</v>
      </c>
      <c r="V349" s="241">
        <v>3</v>
      </c>
      <c r="W349" s="517">
        <v>36892</v>
      </c>
      <c r="X349" s="517">
        <v>36525</v>
      </c>
      <c r="Y349" s="241">
        <v>0</v>
      </c>
      <c r="Z349" s="241">
        <v>1</v>
      </c>
    </row>
    <row r="350" spans="1:26" x14ac:dyDescent="0.25">
      <c r="A350" s="241">
        <v>10447</v>
      </c>
      <c r="B350" s="241" t="s">
        <v>1664</v>
      </c>
      <c r="C350" s="241" t="s">
        <v>1665</v>
      </c>
      <c r="G350" s="241" t="s">
        <v>897</v>
      </c>
      <c r="H350" s="241" t="s">
        <v>1666</v>
      </c>
      <c r="I350" s="241">
        <v>12</v>
      </c>
      <c r="J350" s="241" t="s">
        <v>1665</v>
      </c>
      <c r="N350" s="241" t="s">
        <v>897</v>
      </c>
      <c r="O350" s="241" t="s">
        <v>1666</v>
      </c>
      <c r="P350" s="241">
        <v>12</v>
      </c>
      <c r="R350" s="241">
        <v>10</v>
      </c>
      <c r="S350" s="241">
        <v>29747</v>
      </c>
      <c r="T350" s="241" t="s">
        <v>666</v>
      </c>
      <c r="U350" s="241" t="s">
        <v>1667</v>
      </c>
      <c r="V350" s="241">
        <v>3</v>
      </c>
      <c r="W350" s="517">
        <v>36892</v>
      </c>
      <c r="X350" s="517">
        <v>36525</v>
      </c>
      <c r="Y350" s="241">
        <v>1</v>
      </c>
      <c r="Z350" s="241">
        <v>1</v>
      </c>
    </row>
    <row r="351" spans="1:26" x14ac:dyDescent="0.25">
      <c r="A351" s="241">
        <v>4685</v>
      </c>
      <c r="B351" s="241" t="s">
        <v>1668</v>
      </c>
      <c r="C351" s="241" t="s">
        <v>1669</v>
      </c>
      <c r="G351" s="241" t="s">
        <v>650</v>
      </c>
      <c r="H351" s="241" t="s">
        <v>885</v>
      </c>
      <c r="I351" s="241">
        <v>1</v>
      </c>
      <c r="J351" s="241" t="s">
        <v>1669</v>
      </c>
      <c r="N351" s="241" t="s">
        <v>650</v>
      </c>
      <c r="O351" s="241" t="s">
        <v>885</v>
      </c>
      <c r="P351" s="241">
        <v>1</v>
      </c>
      <c r="R351" s="241">
        <v>4</v>
      </c>
      <c r="S351" s="241">
        <v>0</v>
      </c>
      <c r="U351" s="241" t="s">
        <v>656</v>
      </c>
      <c r="V351" s="241">
        <v>3</v>
      </c>
      <c r="W351" s="517">
        <v>36892</v>
      </c>
      <c r="X351" s="517">
        <v>36525</v>
      </c>
      <c r="Y351" s="241">
        <v>0</v>
      </c>
      <c r="Z351" s="241">
        <v>1</v>
      </c>
    </row>
    <row r="352" spans="1:26" x14ac:dyDescent="0.25">
      <c r="A352" s="241">
        <v>10533</v>
      </c>
      <c r="B352" s="241" t="s">
        <v>1670</v>
      </c>
      <c r="C352" s="241" t="s">
        <v>1671</v>
      </c>
      <c r="G352" s="241" t="s">
        <v>1009</v>
      </c>
      <c r="H352" s="241" t="s">
        <v>1672</v>
      </c>
      <c r="I352" s="241">
        <v>1</v>
      </c>
      <c r="J352" s="241" t="s">
        <v>1671</v>
      </c>
      <c r="N352" s="241" t="s">
        <v>1009</v>
      </c>
      <c r="O352" s="241" t="s">
        <v>1672</v>
      </c>
      <c r="P352" s="241">
        <v>1</v>
      </c>
      <c r="R352" s="241">
        <v>3</v>
      </c>
      <c r="S352" s="241">
        <v>0</v>
      </c>
      <c r="U352" s="241" t="s">
        <v>656</v>
      </c>
      <c r="V352" s="241">
        <v>3</v>
      </c>
      <c r="W352" s="517">
        <v>36892</v>
      </c>
      <c r="X352" s="517">
        <v>36525</v>
      </c>
      <c r="Y352" s="241">
        <v>0</v>
      </c>
      <c r="Z352" s="241">
        <v>1</v>
      </c>
    </row>
    <row r="353" spans="1:26" x14ac:dyDescent="0.25">
      <c r="A353" s="241">
        <v>4693</v>
      </c>
      <c r="B353" s="241" t="s">
        <v>1673</v>
      </c>
      <c r="C353" s="241" t="s">
        <v>1674</v>
      </c>
      <c r="G353" s="241" t="s">
        <v>650</v>
      </c>
      <c r="H353" s="241" t="s">
        <v>1195</v>
      </c>
      <c r="I353" s="241">
        <v>1</v>
      </c>
      <c r="J353" s="241" t="s">
        <v>1674</v>
      </c>
      <c r="N353" s="241" t="s">
        <v>650</v>
      </c>
      <c r="O353" s="241" t="s">
        <v>1195</v>
      </c>
      <c r="P353" s="241">
        <v>1</v>
      </c>
      <c r="R353" s="241">
        <v>6</v>
      </c>
      <c r="S353" s="241">
        <v>0</v>
      </c>
      <c r="U353" s="241" t="s">
        <v>656</v>
      </c>
      <c r="V353" s="241">
        <v>3</v>
      </c>
      <c r="W353" s="517">
        <v>36892</v>
      </c>
      <c r="X353" s="517">
        <v>36525</v>
      </c>
      <c r="Y353" s="241">
        <v>0</v>
      </c>
      <c r="Z353" s="241">
        <v>1</v>
      </c>
    </row>
    <row r="354" spans="1:26" x14ac:dyDescent="0.25">
      <c r="A354" s="241">
        <v>10545</v>
      </c>
      <c r="B354" s="241" t="s">
        <v>1675</v>
      </c>
      <c r="C354" s="241" t="s">
        <v>1676</v>
      </c>
      <c r="G354" s="241" t="s">
        <v>650</v>
      </c>
      <c r="H354" s="241" t="s">
        <v>662</v>
      </c>
      <c r="I354" s="241">
        <v>1</v>
      </c>
      <c r="J354" s="241" t="s">
        <v>1676</v>
      </c>
      <c r="N354" s="241" t="s">
        <v>650</v>
      </c>
      <c r="O354" s="241" t="s">
        <v>662</v>
      </c>
      <c r="P354" s="241">
        <v>1</v>
      </c>
      <c r="R354" s="241">
        <v>6</v>
      </c>
      <c r="S354" s="241">
        <v>0</v>
      </c>
      <c r="U354" s="241" t="s">
        <v>656</v>
      </c>
      <c r="V354" s="241">
        <v>3</v>
      </c>
      <c r="W354" s="517">
        <v>36892</v>
      </c>
      <c r="X354" s="517">
        <v>36525</v>
      </c>
      <c r="Y354" s="241">
        <v>0</v>
      </c>
      <c r="Z354" s="241">
        <v>1</v>
      </c>
    </row>
    <row r="355" spans="1:26" x14ac:dyDescent="0.25">
      <c r="A355" s="241">
        <v>4687</v>
      </c>
      <c r="B355" s="241" t="s">
        <v>1677</v>
      </c>
      <c r="C355" s="241" t="s">
        <v>1678</v>
      </c>
      <c r="G355" s="241" t="s">
        <v>650</v>
      </c>
      <c r="H355" s="241" t="s">
        <v>834</v>
      </c>
      <c r="I355" s="241">
        <v>1</v>
      </c>
      <c r="J355" s="241" t="s">
        <v>1678</v>
      </c>
      <c r="N355" s="241" t="s">
        <v>650</v>
      </c>
      <c r="O355" s="241" t="s">
        <v>834</v>
      </c>
      <c r="P355" s="241">
        <v>1</v>
      </c>
      <c r="R355" s="241">
        <v>4</v>
      </c>
      <c r="S355" s="241">
        <v>0</v>
      </c>
      <c r="U355" s="241" t="s">
        <v>656</v>
      </c>
      <c r="V355" s="241">
        <v>3</v>
      </c>
      <c r="W355" s="517">
        <v>36892</v>
      </c>
      <c r="X355" s="517">
        <v>36525</v>
      </c>
      <c r="Y355" s="241">
        <v>1</v>
      </c>
      <c r="Z355" s="241">
        <v>1</v>
      </c>
    </row>
    <row r="356" spans="1:26" x14ac:dyDescent="0.25">
      <c r="A356" s="241">
        <v>10483</v>
      </c>
      <c r="B356" s="241" t="s">
        <v>1679</v>
      </c>
      <c r="C356" s="241" t="s">
        <v>1680</v>
      </c>
      <c r="G356" s="241" t="s">
        <v>650</v>
      </c>
      <c r="H356" s="241" t="s">
        <v>963</v>
      </c>
      <c r="I356" s="241">
        <v>1</v>
      </c>
      <c r="J356" s="241" t="s">
        <v>1680</v>
      </c>
      <c r="N356" s="241" t="s">
        <v>650</v>
      </c>
      <c r="O356" s="241" t="s">
        <v>963</v>
      </c>
      <c r="P356" s="241">
        <v>1</v>
      </c>
      <c r="R356" s="241">
        <v>3</v>
      </c>
      <c r="S356" s="241">
        <v>0</v>
      </c>
      <c r="U356" s="241" t="s">
        <v>656</v>
      </c>
      <c r="V356" s="241">
        <v>3</v>
      </c>
      <c r="W356" s="517">
        <v>36892</v>
      </c>
      <c r="X356" s="517">
        <v>36525</v>
      </c>
      <c r="Y356" s="241">
        <v>0</v>
      </c>
      <c r="Z356" s="241">
        <v>1</v>
      </c>
    </row>
    <row r="357" spans="1:26" x14ac:dyDescent="0.25">
      <c r="A357" s="241">
        <v>4668</v>
      </c>
      <c r="B357" s="241" t="s">
        <v>1681</v>
      </c>
      <c r="C357" s="241" t="s">
        <v>1682</v>
      </c>
      <c r="G357" s="241" t="s">
        <v>650</v>
      </c>
      <c r="H357" s="241" t="s">
        <v>713</v>
      </c>
      <c r="I357" s="241">
        <v>1</v>
      </c>
      <c r="J357" s="241" t="s">
        <v>1682</v>
      </c>
      <c r="N357" s="241" t="s">
        <v>650</v>
      </c>
      <c r="O357" s="241" t="s">
        <v>713</v>
      </c>
      <c r="P357" s="241">
        <v>1</v>
      </c>
      <c r="R357" s="241">
        <v>8</v>
      </c>
      <c r="S357" s="241">
        <v>0</v>
      </c>
      <c r="U357" s="241" t="s">
        <v>1683</v>
      </c>
      <c r="V357" s="241">
        <v>3</v>
      </c>
      <c r="W357" s="517">
        <v>36892</v>
      </c>
      <c r="X357" s="517">
        <v>36525</v>
      </c>
      <c r="Y357" s="241">
        <v>0</v>
      </c>
      <c r="Z357" s="241">
        <v>1</v>
      </c>
    </row>
    <row r="358" spans="1:26" x14ac:dyDescent="0.25">
      <c r="A358" s="241">
        <v>10272</v>
      </c>
      <c r="B358" s="241" t="s">
        <v>1684</v>
      </c>
      <c r="C358" s="241" t="s">
        <v>1685</v>
      </c>
      <c r="G358" s="241" t="s">
        <v>650</v>
      </c>
      <c r="H358" s="241" t="s">
        <v>1686</v>
      </c>
      <c r="I358" s="241">
        <v>1</v>
      </c>
      <c r="J358" s="241" t="s">
        <v>1685</v>
      </c>
      <c r="N358" s="241" t="s">
        <v>650</v>
      </c>
      <c r="O358" s="241" t="s">
        <v>1686</v>
      </c>
      <c r="P358" s="241">
        <v>1</v>
      </c>
      <c r="R358" s="241">
        <v>4</v>
      </c>
      <c r="S358" s="241">
        <v>0</v>
      </c>
      <c r="U358" s="241" t="s">
        <v>656</v>
      </c>
      <c r="V358" s="241">
        <v>3</v>
      </c>
      <c r="W358" s="517">
        <v>36892</v>
      </c>
      <c r="X358" s="517">
        <v>36525</v>
      </c>
      <c r="Y358" s="241">
        <v>1</v>
      </c>
      <c r="Z358" s="241">
        <v>1</v>
      </c>
    </row>
    <row r="359" spans="1:26" x14ac:dyDescent="0.25">
      <c r="A359" s="241">
        <v>30128</v>
      </c>
      <c r="B359" s="241" t="s">
        <v>1687</v>
      </c>
      <c r="I359" s="241">
        <v>12</v>
      </c>
      <c r="P359" s="241">
        <v>12</v>
      </c>
      <c r="R359" s="241">
        <v>2</v>
      </c>
      <c r="S359" s="241">
        <v>29747</v>
      </c>
      <c r="T359" s="241" t="s">
        <v>666</v>
      </c>
      <c r="U359" s="241" t="s">
        <v>1688</v>
      </c>
      <c r="V359" s="241">
        <v>3</v>
      </c>
      <c r="W359" s="517">
        <v>36892</v>
      </c>
      <c r="X359" s="517">
        <v>36525</v>
      </c>
      <c r="Y359" s="241">
        <v>0</v>
      </c>
      <c r="Z359" s="241">
        <v>1</v>
      </c>
    </row>
    <row r="360" spans="1:26" x14ac:dyDescent="0.25">
      <c r="A360" s="241">
        <v>10373</v>
      </c>
      <c r="B360" s="241" t="s">
        <v>1689</v>
      </c>
      <c r="C360" s="241" t="s">
        <v>1690</v>
      </c>
      <c r="G360" s="241" t="s">
        <v>650</v>
      </c>
      <c r="H360" s="241" t="s">
        <v>752</v>
      </c>
      <c r="I360" s="241">
        <v>1</v>
      </c>
      <c r="J360" s="241" t="s">
        <v>1690</v>
      </c>
      <c r="N360" s="241" t="s">
        <v>650</v>
      </c>
      <c r="O360" s="241" t="s">
        <v>752</v>
      </c>
      <c r="P360" s="241">
        <v>1</v>
      </c>
      <c r="R360" s="241">
        <v>4</v>
      </c>
      <c r="S360" s="241">
        <v>0</v>
      </c>
      <c r="U360" s="241" t="s">
        <v>656</v>
      </c>
      <c r="V360" s="241">
        <v>3</v>
      </c>
      <c r="W360" s="517">
        <v>36892</v>
      </c>
      <c r="X360" s="517">
        <v>36525</v>
      </c>
      <c r="Y360" s="241">
        <v>0</v>
      </c>
      <c r="Z360" s="241">
        <v>1</v>
      </c>
    </row>
    <row r="361" spans="1:26" x14ac:dyDescent="0.25">
      <c r="A361" s="241">
        <v>4614</v>
      </c>
      <c r="B361" s="241" t="s">
        <v>1691</v>
      </c>
      <c r="C361" s="241" t="s">
        <v>1692</v>
      </c>
      <c r="G361" s="241" t="s">
        <v>650</v>
      </c>
      <c r="H361" s="241" t="s">
        <v>1606</v>
      </c>
      <c r="I361" s="241">
        <v>1</v>
      </c>
      <c r="J361" s="241" t="s">
        <v>1692</v>
      </c>
      <c r="N361" s="241" t="s">
        <v>650</v>
      </c>
      <c r="O361" s="241" t="s">
        <v>1606</v>
      </c>
      <c r="P361" s="241">
        <v>1</v>
      </c>
      <c r="R361" s="241">
        <v>9</v>
      </c>
      <c r="S361" s="241">
        <v>0</v>
      </c>
      <c r="U361" s="241" t="s">
        <v>656</v>
      </c>
      <c r="V361" s="241">
        <v>3</v>
      </c>
      <c r="W361" s="517">
        <v>36892</v>
      </c>
      <c r="X361" s="517">
        <v>36525</v>
      </c>
      <c r="Y361" s="241">
        <v>0</v>
      </c>
      <c r="Z361" s="241">
        <v>1</v>
      </c>
    </row>
    <row r="362" spans="1:26" x14ac:dyDescent="0.25">
      <c r="A362" s="241">
        <v>10463</v>
      </c>
      <c r="B362" s="241" t="s">
        <v>1693</v>
      </c>
      <c r="C362" s="241" t="s">
        <v>1694</v>
      </c>
      <c r="G362" s="241" t="s">
        <v>650</v>
      </c>
      <c r="H362" s="241" t="s">
        <v>834</v>
      </c>
      <c r="I362" s="241">
        <v>1</v>
      </c>
      <c r="J362" s="241" t="s">
        <v>1694</v>
      </c>
      <c r="N362" s="241" t="s">
        <v>650</v>
      </c>
      <c r="O362" s="241" t="s">
        <v>834</v>
      </c>
      <c r="P362" s="241">
        <v>1</v>
      </c>
      <c r="R362" s="241">
        <v>6</v>
      </c>
      <c r="S362" s="241">
        <v>1001376</v>
      </c>
      <c r="T362" s="241" t="s">
        <v>1558</v>
      </c>
      <c r="U362" s="241" t="s">
        <v>1695</v>
      </c>
      <c r="V362" s="241">
        <v>3</v>
      </c>
      <c r="W362" s="517">
        <v>36892</v>
      </c>
      <c r="X362" s="517">
        <v>36525</v>
      </c>
      <c r="Y362" s="241">
        <v>1</v>
      </c>
      <c r="Z362" s="241">
        <v>1</v>
      </c>
    </row>
    <row r="363" spans="1:26" x14ac:dyDescent="0.25">
      <c r="A363" s="241">
        <v>4447</v>
      </c>
      <c r="B363" s="241" t="s">
        <v>1696</v>
      </c>
      <c r="C363" s="241" t="s">
        <v>1697</v>
      </c>
      <c r="G363" s="241" t="s">
        <v>650</v>
      </c>
      <c r="H363" s="241" t="s">
        <v>804</v>
      </c>
      <c r="I363" s="241">
        <v>1</v>
      </c>
      <c r="J363" s="241" t="s">
        <v>1697</v>
      </c>
      <c r="N363" s="241" t="s">
        <v>650</v>
      </c>
      <c r="O363" s="241" t="s">
        <v>804</v>
      </c>
      <c r="P363" s="241">
        <v>1</v>
      </c>
      <c r="R363" s="241">
        <v>4</v>
      </c>
      <c r="S363" s="241">
        <v>0</v>
      </c>
      <c r="U363" s="241" t="s">
        <v>656</v>
      </c>
      <c r="V363" s="241">
        <v>3</v>
      </c>
      <c r="W363" s="517">
        <v>36892</v>
      </c>
      <c r="X363" s="517">
        <v>36525</v>
      </c>
      <c r="Y363" s="241">
        <v>0</v>
      </c>
      <c r="Z363" s="241">
        <v>1</v>
      </c>
    </row>
    <row r="364" spans="1:26" x14ac:dyDescent="0.25">
      <c r="A364" s="241">
        <v>4536</v>
      </c>
      <c r="B364" s="241" t="s">
        <v>1698</v>
      </c>
      <c r="C364" s="241" t="s">
        <v>1699</v>
      </c>
      <c r="G364" s="241" t="s">
        <v>1700</v>
      </c>
      <c r="H364" s="241" t="s">
        <v>1701</v>
      </c>
      <c r="I364" s="241">
        <v>3</v>
      </c>
      <c r="J364" s="241" t="s">
        <v>1699</v>
      </c>
      <c r="N364" s="241" t="s">
        <v>1700</v>
      </c>
      <c r="O364" s="241" t="s">
        <v>1701</v>
      </c>
      <c r="P364" s="241">
        <v>3</v>
      </c>
      <c r="R364" s="241">
        <v>4</v>
      </c>
      <c r="S364" s="241">
        <v>0</v>
      </c>
      <c r="U364" s="241" t="s">
        <v>656</v>
      </c>
      <c r="V364" s="241">
        <v>3</v>
      </c>
      <c r="W364" s="517">
        <v>36892</v>
      </c>
      <c r="X364" s="517">
        <v>36525</v>
      </c>
      <c r="Y364" s="241">
        <v>0</v>
      </c>
      <c r="Z364" s="241">
        <v>1</v>
      </c>
    </row>
    <row r="365" spans="1:26" x14ac:dyDescent="0.25">
      <c r="A365" s="241">
        <v>30223</v>
      </c>
      <c r="B365" s="241" t="s">
        <v>1702</v>
      </c>
      <c r="R365" s="241">
        <v>2</v>
      </c>
      <c r="S365" s="241">
        <v>0</v>
      </c>
      <c r="U365" s="241" t="s">
        <v>1703</v>
      </c>
      <c r="V365" s="241">
        <v>3</v>
      </c>
      <c r="W365" s="517">
        <v>36892</v>
      </c>
      <c r="X365" s="517">
        <v>36525</v>
      </c>
      <c r="Y365" s="241">
        <v>0</v>
      </c>
      <c r="Z365" s="241">
        <v>1</v>
      </c>
    </row>
    <row r="366" spans="1:26" x14ac:dyDescent="0.25">
      <c r="A366" s="241">
        <v>4630</v>
      </c>
      <c r="B366" s="241" t="s">
        <v>1704</v>
      </c>
      <c r="C366" s="241" t="s">
        <v>1705</v>
      </c>
      <c r="G366" s="241" t="s">
        <v>650</v>
      </c>
      <c r="H366" s="241" t="s">
        <v>997</v>
      </c>
      <c r="I366" s="241">
        <v>1</v>
      </c>
      <c r="J366" s="241" t="s">
        <v>1705</v>
      </c>
      <c r="N366" s="241" t="s">
        <v>650</v>
      </c>
      <c r="O366" s="241" t="s">
        <v>997</v>
      </c>
      <c r="P366" s="241">
        <v>1</v>
      </c>
      <c r="R366" s="241">
        <v>4</v>
      </c>
      <c r="S366" s="241">
        <v>0</v>
      </c>
      <c r="U366" s="241" t="s">
        <v>656</v>
      </c>
      <c r="V366" s="241">
        <v>3</v>
      </c>
      <c r="W366" s="517">
        <v>36892</v>
      </c>
      <c r="X366" s="517">
        <v>36525</v>
      </c>
      <c r="Y366" s="241">
        <v>0</v>
      </c>
      <c r="Z366" s="241">
        <v>1</v>
      </c>
    </row>
    <row r="367" spans="1:26" x14ac:dyDescent="0.25">
      <c r="A367" s="241">
        <v>30214</v>
      </c>
      <c r="B367" s="241" t="s">
        <v>1706</v>
      </c>
      <c r="R367" s="241">
        <v>2</v>
      </c>
      <c r="S367" s="241">
        <v>29747</v>
      </c>
      <c r="T367" s="241" t="s">
        <v>666</v>
      </c>
      <c r="U367" s="241" t="s">
        <v>1707</v>
      </c>
      <c r="V367" s="241">
        <v>3</v>
      </c>
      <c r="W367" s="517">
        <v>36892</v>
      </c>
      <c r="X367" s="517">
        <v>36525</v>
      </c>
      <c r="Y367" s="241">
        <v>0</v>
      </c>
      <c r="Z367" s="241">
        <v>1</v>
      </c>
    </row>
    <row r="368" spans="1:26" x14ac:dyDescent="0.25">
      <c r="A368" s="241">
        <v>4644</v>
      </c>
      <c r="B368" s="241" t="s">
        <v>1708</v>
      </c>
      <c r="C368" s="241" t="s">
        <v>1709</v>
      </c>
      <c r="G368" s="241" t="s">
        <v>650</v>
      </c>
      <c r="H368" s="241" t="s">
        <v>752</v>
      </c>
      <c r="I368" s="241">
        <v>1</v>
      </c>
      <c r="J368" s="241" t="s">
        <v>1709</v>
      </c>
      <c r="N368" s="241" t="s">
        <v>650</v>
      </c>
      <c r="O368" s="241" t="s">
        <v>752</v>
      </c>
      <c r="P368" s="241">
        <v>1</v>
      </c>
      <c r="R368" s="241">
        <v>3</v>
      </c>
      <c r="S368" s="241">
        <v>0</v>
      </c>
      <c r="U368" s="241" t="s">
        <v>656</v>
      </c>
      <c r="V368" s="241">
        <v>3</v>
      </c>
      <c r="W368" s="517">
        <v>36892</v>
      </c>
      <c r="X368" s="517">
        <v>36525</v>
      </c>
      <c r="Y368" s="241">
        <v>1</v>
      </c>
      <c r="Z368" s="241">
        <v>1</v>
      </c>
    </row>
    <row r="369" spans="1:26" x14ac:dyDescent="0.25">
      <c r="A369" s="241">
        <v>4665</v>
      </c>
      <c r="B369" s="241" t="s">
        <v>1710</v>
      </c>
      <c r="C369" s="241" t="s">
        <v>1711</v>
      </c>
      <c r="G369" s="241" t="s">
        <v>650</v>
      </c>
      <c r="H369" s="241" t="s">
        <v>1046</v>
      </c>
      <c r="I369" s="241">
        <v>1</v>
      </c>
      <c r="J369" s="241" t="s">
        <v>1711</v>
      </c>
      <c r="N369" s="241" t="s">
        <v>650</v>
      </c>
      <c r="O369" s="241" t="s">
        <v>1046</v>
      </c>
      <c r="P369" s="241">
        <v>1</v>
      </c>
      <c r="Q369" s="241">
        <v>1285</v>
      </c>
      <c r="R369" s="241">
        <v>5</v>
      </c>
      <c r="S369" s="241">
        <v>0</v>
      </c>
      <c r="U369" s="241" t="s">
        <v>1712</v>
      </c>
      <c r="V369" s="241">
        <v>3</v>
      </c>
      <c r="W369" s="517">
        <v>36892</v>
      </c>
      <c r="X369" s="517">
        <v>36525</v>
      </c>
      <c r="Y369" s="241">
        <v>0</v>
      </c>
      <c r="Z369" s="241">
        <v>1</v>
      </c>
    </row>
    <row r="370" spans="1:26" x14ac:dyDescent="0.25">
      <c r="A370" s="241">
        <v>4841</v>
      </c>
      <c r="B370" s="241" t="s">
        <v>1713</v>
      </c>
      <c r="C370" s="241" t="s">
        <v>1714</v>
      </c>
      <c r="G370" s="241" t="s">
        <v>897</v>
      </c>
      <c r="H370" s="241" t="s">
        <v>1715</v>
      </c>
      <c r="I370" s="241">
        <v>12</v>
      </c>
      <c r="J370" s="241" t="s">
        <v>1714</v>
      </c>
      <c r="N370" s="241" t="s">
        <v>897</v>
      </c>
      <c r="O370" s="241" t="s">
        <v>1715</v>
      </c>
      <c r="P370" s="241">
        <v>12</v>
      </c>
      <c r="R370" s="241">
        <v>8</v>
      </c>
      <c r="S370" s="241">
        <v>0</v>
      </c>
      <c r="U370" s="241" t="s">
        <v>656</v>
      </c>
      <c r="V370" s="241">
        <v>3</v>
      </c>
      <c r="W370" s="517">
        <v>36892</v>
      </c>
      <c r="X370" s="517">
        <v>36525</v>
      </c>
      <c r="Y370" s="241">
        <v>1</v>
      </c>
      <c r="Z370" s="241">
        <v>1</v>
      </c>
    </row>
    <row r="371" spans="1:26" x14ac:dyDescent="0.25">
      <c r="A371" s="241">
        <v>10344</v>
      </c>
      <c r="B371" s="241" t="s">
        <v>1716</v>
      </c>
      <c r="C371" s="241" t="s">
        <v>1717</v>
      </c>
      <c r="G371" s="241" t="s">
        <v>650</v>
      </c>
      <c r="H371" s="241" t="s">
        <v>730</v>
      </c>
      <c r="I371" s="241">
        <v>1</v>
      </c>
      <c r="J371" s="241" t="s">
        <v>1717</v>
      </c>
      <c r="N371" s="241" t="s">
        <v>650</v>
      </c>
      <c r="O371" s="241" t="s">
        <v>730</v>
      </c>
      <c r="P371" s="241">
        <v>1</v>
      </c>
      <c r="R371" s="241">
        <v>5</v>
      </c>
      <c r="S371" s="241">
        <v>0</v>
      </c>
      <c r="U371" s="241" t="s">
        <v>656</v>
      </c>
      <c r="V371" s="241">
        <v>3</v>
      </c>
      <c r="W371" s="517">
        <v>36892</v>
      </c>
      <c r="X371" s="517">
        <v>36525</v>
      </c>
      <c r="Y371" s="241">
        <v>0</v>
      </c>
      <c r="Z371" s="241">
        <v>1</v>
      </c>
    </row>
    <row r="372" spans="1:26" x14ac:dyDescent="0.25">
      <c r="A372" s="241">
        <v>30193</v>
      </c>
      <c r="B372" s="241" t="s">
        <v>1718</v>
      </c>
      <c r="C372" s="241" t="s">
        <v>1719</v>
      </c>
      <c r="G372" s="241" t="s">
        <v>650</v>
      </c>
      <c r="H372" s="241" t="s">
        <v>730</v>
      </c>
      <c r="I372" s="241">
        <v>1</v>
      </c>
      <c r="J372" s="241" t="s">
        <v>1719</v>
      </c>
      <c r="N372" s="241" t="s">
        <v>650</v>
      </c>
      <c r="O372" s="241" t="s">
        <v>730</v>
      </c>
      <c r="P372" s="241">
        <v>1</v>
      </c>
      <c r="R372" s="241">
        <v>5</v>
      </c>
      <c r="S372" s="241">
        <v>29747</v>
      </c>
      <c r="T372" s="241" t="s">
        <v>666</v>
      </c>
      <c r="U372" s="241" t="s">
        <v>1720</v>
      </c>
      <c r="V372" s="241">
        <v>3</v>
      </c>
      <c r="W372" s="517">
        <v>36892</v>
      </c>
      <c r="X372" s="517">
        <v>36525</v>
      </c>
      <c r="Y372" s="241">
        <v>0</v>
      </c>
      <c r="Z372" s="241">
        <v>1</v>
      </c>
    </row>
    <row r="373" spans="1:26" x14ac:dyDescent="0.25">
      <c r="A373" s="241">
        <v>10333</v>
      </c>
      <c r="B373" s="241" t="s">
        <v>1721</v>
      </c>
      <c r="C373" s="241" t="s">
        <v>1722</v>
      </c>
      <c r="G373" s="241" t="s">
        <v>650</v>
      </c>
      <c r="H373" s="241" t="s">
        <v>662</v>
      </c>
      <c r="I373" s="241">
        <v>1</v>
      </c>
      <c r="J373" s="241" t="s">
        <v>1722</v>
      </c>
      <c r="N373" s="241" t="s">
        <v>650</v>
      </c>
      <c r="O373" s="241" t="s">
        <v>662</v>
      </c>
      <c r="P373" s="241">
        <v>1</v>
      </c>
      <c r="R373" s="241">
        <v>4</v>
      </c>
      <c r="S373" s="241">
        <v>0</v>
      </c>
      <c r="U373" s="241" t="s">
        <v>656</v>
      </c>
      <c r="V373" s="241">
        <v>3</v>
      </c>
      <c r="W373" s="517">
        <v>36892</v>
      </c>
      <c r="X373" s="517">
        <v>36525</v>
      </c>
      <c r="Y373" s="241">
        <v>0</v>
      </c>
      <c r="Z373" s="241">
        <v>1</v>
      </c>
    </row>
    <row r="374" spans="1:26" x14ac:dyDescent="0.25">
      <c r="A374" s="241">
        <v>4700</v>
      </c>
      <c r="B374" s="241" t="s">
        <v>1723</v>
      </c>
      <c r="C374" s="241" t="s">
        <v>1724</v>
      </c>
      <c r="G374" s="241" t="s">
        <v>650</v>
      </c>
      <c r="H374" s="241" t="s">
        <v>772</v>
      </c>
      <c r="I374" s="241">
        <v>1</v>
      </c>
      <c r="J374" s="241" t="s">
        <v>1724</v>
      </c>
      <c r="N374" s="241" t="s">
        <v>650</v>
      </c>
      <c r="O374" s="241" t="s">
        <v>772</v>
      </c>
      <c r="P374" s="241">
        <v>1</v>
      </c>
      <c r="R374" s="241">
        <v>5</v>
      </c>
      <c r="S374" s="241">
        <v>0</v>
      </c>
      <c r="U374" s="241" t="s">
        <v>656</v>
      </c>
      <c r="V374" s="241">
        <v>3</v>
      </c>
      <c r="W374" s="517">
        <v>36892</v>
      </c>
      <c r="X374" s="517">
        <v>36525</v>
      </c>
      <c r="Y374" s="241">
        <v>0</v>
      </c>
      <c r="Z374" s="241">
        <v>1</v>
      </c>
    </row>
    <row r="375" spans="1:26" x14ac:dyDescent="0.25">
      <c r="A375" s="241">
        <v>4788</v>
      </c>
      <c r="B375" s="241" t="s">
        <v>1725</v>
      </c>
      <c r="C375" s="241" t="s">
        <v>1726</v>
      </c>
      <c r="G375" s="241" t="s">
        <v>1727</v>
      </c>
      <c r="H375" s="241" t="s">
        <v>1728</v>
      </c>
      <c r="I375" s="241">
        <v>12</v>
      </c>
      <c r="J375" s="241" t="s">
        <v>1726</v>
      </c>
      <c r="N375" s="241" t="s">
        <v>1727</v>
      </c>
      <c r="O375" s="241" t="s">
        <v>1728</v>
      </c>
      <c r="P375" s="241">
        <v>12</v>
      </c>
      <c r="R375" s="241">
        <v>6</v>
      </c>
      <c r="S375" s="241">
        <v>0</v>
      </c>
      <c r="U375" s="241" t="s">
        <v>1729</v>
      </c>
      <c r="V375" s="241">
        <v>3</v>
      </c>
      <c r="W375" s="517">
        <v>36892</v>
      </c>
      <c r="X375" s="517">
        <v>36525</v>
      </c>
      <c r="Y375" s="241">
        <v>0</v>
      </c>
      <c r="Z375" s="241">
        <v>1</v>
      </c>
    </row>
    <row r="376" spans="1:26" x14ac:dyDescent="0.25">
      <c r="A376" s="241">
        <v>10492</v>
      </c>
      <c r="B376" s="241" t="s">
        <v>1730</v>
      </c>
      <c r="C376" s="241" t="s">
        <v>1731</v>
      </c>
      <c r="G376" s="241" t="s">
        <v>650</v>
      </c>
      <c r="H376" s="241" t="s">
        <v>874</v>
      </c>
      <c r="I376" s="241">
        <v>1</v>
      </c>
      <c r="J376" s="241" t="s">
        <v>1731</v>
      </c>
      <c r="N376" s="241" t="s">
        <v>650</v>
      </c>
      <c r="O376" s="241" t="s">
        <v>874</v>
      </c>
      <c r="P376" s="241">
        <v>1</v>
      </c>
      <c r="R376" s="241">
        <v>4</v>
      </c>
      <c r="S376" s="241">
        <v>0</v>
      </c>
      <c r="U376" s="241" t="s">
        <v>656</v>
      </c>
      <c r="V376" s="241">
        <v>3</v>
      </c>
      <c r="W376" s="517">
        <v>36892</v>
      </c>
      <c r="X376" s="517">
        <v>36525</v>
      </c>
      <c r="Y376" s="241">
        <v>1</v>
      </c>
      <c r="Z376" s="241">
        <v>1</v>
      </c>
    </row>
    <row r="377" spans="1:26" x14ac:dyDescent="0.25">
      <c r="A377" s="241">
        <v>1793</v>
      </c>
      <c r="B377" s="241" t="s">
        <v>1732</v>
      </c>
      <c r="C377" s="241" t="s">
        <v>1733</v>
      </c>
      <c r="G377" s="241" t="s">
        <v>650</v>
      </c>
      <c r="H377" s="241" t="s">
        <v>1734</v>
      </c>
      <c r="I377" s="241">
        <v>1</v>
      </c>
      <c r="J377" s="241" t="s">
        <v>1733</v>
      </c>
      <c r="N377" s="241" t="s">
        <v>650</v>
      </c>
      <c r="O377" s="241" t="s">
        <v>1734</v>
      </c>
      <c r="P377" s="241">
        <v>1</v>
      </c>
      <c r="R377" s="241">
        <v>3</v>
      </c>
      <c r="S377" s="241">
        <v>0</v>
      </c>
      <c r="U377" s="241" t="s">
        <v>656</v>
      </c>
      <c r="V377" s="241">
        <v>3</v>
      </c>
      <c r="W377" s="517">
        <v>36892</v>
      </c>
      <c r="X377" s="517">
        <v>36525</v>
      </c>
      <c r="Y377" s="241">
        <v>0</v>
      </c>
      <c r="Z377" s="241">
        <v>1</v>
      </c>
    </row>
    <row r="378" spans="1:26" x14ac:dyDescent="0.25">
      <c r="A378" s="241">
        <v>30218</v>
      </c>
      <c r="B378" s="241" t="s">
        <v>1735</v>
      </c>
      <c r="R378" s="241">
        <v>2</v>
      </c>
      <c r="S378" s="241">
        <v>29747</v>
      </c>
      <c r="T378" s="241" t="s">
        <v>666</v>
      </c>
      <c r="U378" s="241" t="s">
        <v>1736</v>
      </c>
      <c r="V378" s="241">
        <v>3</v>
      </c>
      <c r="W378" s="517">
        <v>36892</v>
      </c>
      <c r="X378" s="517">
        <v>36525</v>
      </c>
      <c r="Y378" s="241">
        <v>0</v>
      </c>
      <c r="Z378" s="241">
        <v>1</v>
      </c>
    </row>
    <row r="379" spans="1:26" x14ac:dyDescent="0.25">
      <c r="A379" s="241">
        <v>10405</v>
      </c>
      <c r="B379" s="241" t="s">
        <v>1737</v>
      </c>
      <c r="C379" s="241" t="s">
        <v>1738</v>
      </c>
      <c r="G379" s="241" t="s">
        <v>650</v>
      </c>
      <c r="H379" s="241" t="s">
        <v>1739</v>
      </c>
      <c r="I379" s="241">
        <v>1</v>
      </c>
      <c r="J379" s="241" t="s">
        <v>1738</v>
      </c>
      <c r="N379" s="241" t="s">
        <v>650</v>
      </c>
      <c r="O379" s="241" t="s">
        <v>1739</v>
      </c>
      <c r="P379" s="241">
        <v>1</v>
      </c>
      <c r="R379" s="241">
        <v>4</v>
      </c>
      <c r="S379" s="241">
        <v>0</v>
      </c>
      <c r="U379" s="241" t="s">
        <v>656</v>
      </c>
      <c r="V379" s="241">
        <v>3</v>
      </c>
      <c r="W379" s="517">
        <v>36892</v>
      </c>
      <c r="X379" s="517">
        <v>36525</v>
      </c>
      <c r="Y379" s="241">
        <v>0</v>
      </c>
      <c r="Z379" s="241">
        <v>1</v>
      </c>
    </row>
    <row r="380" spans="1:26" x14ac:dyDescent="0.25">
      <c r="A380" s="241">
        <v>10252</v>
      </c>
      <c r="B380" s="241" t="s">
        <v>1740</v>
      </c>
      <c r="C380" s="241" t="s">
        <v>1741</v>
      </c>
      <c r="G380" s="241" t="s">
        <v>650</v>
      </c>
      <c r="H380" s="241" t="s">
        <v>810</v>
      </c>
      <c r="I380" s="241">
        <v>1</v>
      </c>
      <c r="J380" s="241" t="s">
        <v>1741</v>
      </c>
      <c r="N380" s="241" t="s">
        <v>650</v>
      </c>
      <c r="O380" s="241" t="s">
        <v>810</v>
      </c>
      <c r="P380" s="241">
        <v>1</v>
      </c>
      <c r="R380" s="241">
        <v>5</v>
      </c>
      <c r="S380" s="241">
        <v>0</v>
      </c>
      <c r="U380" s="241" t="s">
        <v>1742</v>
      </c>
      <c r="V380" s="241">
        <v>3</v>
      </c>
      <c r="W380" s="517">
        <v>36892</v>
      </c>
      <c r="X380" s="517">
        <v>36525</v>
      </c>
      <c r="Y380" s="241">
        <v>0</v>
      </c>
      <c r="Z380" s="241">
        <v>1</v>
      </c>
    </row>
    <row r="381" spans="1:26" x14ac:dyDescent="0.25">
      <c r="A381" s="241">
        <v>4936</v>
      </c>
      <c r="B381" s="241" t="s">
        <v>1743</v>
      </c>
      <c r="C381" s="241" t="s">
        <v>1744</v>
      </c>
      <c r="G381" s="241" t="s">
        <v>1016</v>
      </c>
      <c r="H381" s="241" t="s">
        <v>1745</v>
      </c>
      <c r="I381" s="241">
        <v>1</v>
      </c>
      <c r="J381" s="241" t="s">
        <v>1744</v>
      </c>
      <c r="N381" s="241" t="s">
        <v>1016</v>
      </c>
      <c r="O381" s="241" t="s">
        <v>1745</v>
      </c>
      <c r="P381" s="241">
        <v>1</v>
      </c>
      <c r="R381" s="241">
        <v>2</v>
      </c>
      <c r="S381" s="241">
        <v>0</v>
      </c>
      <c r="U381" s="241" t="s">
        <v>656</v>
      </c>
      <c r="V381" s="241">
        <v>3</v>
      </c>
      <c r="W381" s="517">
        <v>36892</v>
      </c>
      <c r="X381" s="517">
        <v>36525</v>
      </c>
      <c r="Y381" s="241">
        <v>1</v>
      </c>
      <c r="Z381" s="241">
        <v>1</v>
      </c>
    </row>
    <row r="382" spans="1:26" x14ac:dyDescent="0.25">
      <c r="A382" s="241">
        <v>10387</v>
      </c>
      <c r="B382" s="241" t="s">
        <v>1746</v>
      </c>
      <c r="C382" s="241" t="s">
        <v>1747</v>
      </c>
      <c r="G382" s="241" t="s">
        <v>650</v>
      </c>
      <c r="H382" s="241" t="s">
        <v>743</v>
      </c>
      <c r="I382" s="241">
        <v>1</v>
      </c>
      <c r="J382" s="241" t="s">
        <v>1747</v>
      </c>
      <c r="N382" s="241" t="s">
        <v>650</v>
      </c>
      <c r="O382" s="241" t="s">
        <v>743</v>
      </c>
      <c r="P382" s="241">
        <v>1</v>
      </c>
      <c r="R382" s="241">
        <v>3</v>
      </c>
      <c r="S382" s="241">
        <v>0</v>
      </c>
      <c r="U382" s="241" t="s">
        <v>656</v>
      </c>
      <c r="V382" s="241">
        <v>3</v>
      </c>
      <c r="W382" s="517">
        <v>36892</v>
      </c>
      <c r="X382" s="517">
        <v>36525</v>
      </c>
      <c r="Y382" s="241">
        <v>0</v>
      </c>
      <c r="Z382" s="241">
        <v>1</v>
      </c>
    </row>
    <row r="383" spans="1:26" x14ac:dyDescent="0.25">
      <c r="A383" s="241">
        <v>4939</v>
      </c>
      <c r="B383" s="241" t="s">
        <v>1748</v>
      </c>
      <c r="C383" s="241" t="s">
        <v>1749</v>
      </c>
      <c r="G383" s="241" t="s">
        <v>650</v>
      </c>
      <c r="H383" s="241" t="s">
        <v>834</v>
      </c>
      <c r="I383" s="241">
        <v>1</v>
      </c>
      <c r="J383" s="241" t="s">
        <v>1749</v>
      </c>
      <c r="N383" s="241" t="s">
        <v>650</v>
      </c>
      <c r="O383" s="241" t="s">
        <v>834</v>
      </c>
      <c r="P383" s="241">
        <v>1</v>
      </c>
      <c r="R383" s="241">
        <v>8</v>
      </c>
      <c r="S383" s="241">
        <v>0</v>
      </c>
      <c r="U383" s="241" t="s">
        <v>656</v>
      </c>
      <c r="V383" s="241">
        <v>3</v>
      </c>
      <c r="W383" s="517">
        <v>36892</v>
      </c>
      <c r="X383" s="517">
        <v>36525</v>
      </c>
      <c r="Y383" s="241">
        <v>0</v>
      </c>
      <c r="Z383" s="241">
        <v>1</v>
      </c>
    </row>
    <row r="384" spans="1:26" x14ac:dyDescent="0.25">
      <c r="A384" s="241">
        <v>4895</v>
      </c>
      <c r="B384" s="241" t="s">
        <v>1750</v>
      </c>
      <c r="C384" s="241" t="s">
        <v>1751</v>
      </c>
      <c r="G384" s="241" t="s">
        <v>650</v>
      </c>
      <c r="H384" s="241" t="s">
        <v>662</v>
      </c>
      <c r="I384" s="241">
        <v>1</v>
      </c>
      <c r="J384" s="241" t="s">
        <v>1751</v>
      </c>
      <c r="N384" s="241" t="s">
        <v>650</v>
      </c>
      <c r="O384" s="241" t="s">
        <v>662</v>
      </c>
      <c r="P384" s="241">
        <v>1</v>
      </c>
      <c r="R384" s="241">
        <v>7</v>
      </c>
      <c r="S384" s="241">
        <v>0</v>
      </c>
      <c r="U384" s="241" t="s">
        <v>656</v>
      </c>
      <c r="V384" s="241">
        <v>3</v>
      </c>
      <c r="W384" s="517">
        <v>36892</v>
      </c>
      <c r="X384" s="517">
        <v>36525</v>
      </c>
      <c r="Y384" s="241">
        <v>1</v>
      </c>
      <c r="Z384" s="241">
        <v>1</v>
      </c>
    </row>
    <row r="385" spans="1:26" x14ac:dyDescent="0.25">
      <c r="A385" s="241">
        <v>10419</v>
      </c>
      <c r="B385" s="241" t="s">
        <v>1752</v>
      </c>
      <c r="C385" s="241" t="s">
        <v>1753</v>
      </c>
      <c r="G385" s="241" t="s">
        <v>650</v>
      </c>
      <c r="H385" s="241" t="s">
        <v>1754</v>
      </c>
      <c r="I385" s="241">
        <v>1</v>
      </c>
      <c r="J385" s="241" t="s">
        <v>1753</v>
      </c>
      <c r="N385" s="241" t="s">
        <v>650</v>
      </c>
      <c r="O385" s="241" t="s">
        <v>1754</v>
      </c>
      <c r="P385" s="241">
        <v>1</v>
      </c>
      <c r="R385" s="241">
        <v>5</v>
      </c>
      <c r="S385" s="241">
        <v>0</v>
      </c>
      <c r="U385" s="241" t="s">
        <v>656</v>
      </c>
      <c r="V385" s="241">
        <v>3</v>
      </c>
      <c r="W385" s="517">
        <v>36892</v>
      </c>
      <c r="X385" s="517">
        <v>36525</v>
      </c>
      <c r="Y385" s="241">
        <v>0</v>
      </c>
      <c r="Z385" s="241">
        <v>1</v>
      </c>
    </row>
    <row r="386" spans="1:26" x14ac:dyDescent="0.25">
      <c r="A386" s="241">
        <v>4941</v>
      </c>
      <c r="B386" s="241" t="s">
        <v>1755</v>
      </c>
      <c r="C386" s="241" t="s">
        <v>751</v>
      </c>
      <c r="G386" s="241" t="s">
        <v>650</v>
      </c>
      <c r="H386" s="241" t="s">
        <v>752</v>
      </c>
      <c r="I386" s="241">
        <v>1</v>
      </c>
      <c r="J386" s="241" t="s">
        <v>751</v>
      </c>
      <c r="N386" s="241" t="s">
        <v>650</v>
      </c>
      <c r="O386" s="241" t="s">
        <v>752</v>
      </c>
      <c r="P386" s="241">
        <v>1</v>
      </c>
      <c r="R386" s="241">
        <v>3</v>
      </c>
      <c r="S386" s="241">
        <v>0</v>
      </c>
      <c r="U386" s="241" t="s">
        <v>656</v>
      </c>
      <c r="V386" s="241">
        <v>3</v>
      </c>
      <c r="W386" s="517">
        <v>36892</v>
      </c>
      <c r="X386" s="517">
        <v>36525</v>
      </c>
      <c r="Y386" s="241">
        <v>0</v>
      </c>
      <c r="Z386" s="241">
        <v>1</v>
      </c>
    </row>
    <row r="387" spans="1:26" x14ac:dyDescent="0.25">
      <c r="A387" s="241">
        <v>10369</v>
      </c>
      <c r="B387" s="241" t="s">
        <v>1756</v>
      </c>
      <c r="C387" s="241" t="s">
        <v>1757</v>
      </c>
      <c r="G387" s="241" t="s">
        <v>650</v>
      </c>
      <c r="H387" s="241" t="s">
        <v>1758</v>
      </c>
      <c r="I387" s="241">
        <v>1</v>
      </c>
      <c r="J387" s="241" t="s">
        <v>1757</v>
      </c>
      <c r="N387" s="241" t="s">
        <v>650</v>
      </c>
      <c r="O387" s="241" t="s">
        <v>1758</v>
      </c>
      <c r="P387" s="241">
        <v>1</v>
      </c>
      <c r="R387" s="241">
        <v>3</v>
      </c>
      <c r="S387" s="241">
        <v>0</v>
      </c>
      <c r="U387" s="241" t="s">
        <v>656</v>
      </c>
      <c r="V387" s="241">
        <v>3</v>
      </c>
      <c r="W387" s="517">
        <v>36892</v>
      </c>
      <c r="X387" s="517">
        <v>36525</v>
      </c>
      <c r="Y387" s="241">
        <v>0</v>
      </c>
      <c r="Z387" s="241">
        <v>1</v>
      </c>
    </row>
    <row r="388" spans="1:26" x14ac:dyDescent="0.25">
      <c r="A388" s="241">
        <v>30134</v>
      </c>
      <c r="B388" s="241" t="s">
        <v>1759</v>
      </c>
      <c r="I388" s="241">
        <v>1</v>
      </c>
      <c r="P388" s="241">
        <v>1</v>
      </c>
      <c r="R388" s="241">
        <v>1</v>
      </c>
      <c r="S388" s="241">
        <v>29747</v>
      </c>
      <c r="T388" s="241" t="s">
        <v>666</v>
      </c>
      <c r="U388" s="241" t="s">
        <v>1760</v>
      </c>
      <c r="V388" s="241">
        <v>3</v>
      </c>
      <c r="W388" s="517">
        <v>36892</v>
      </c>
      <c r="X388" s="517">
        <v>36525</v>
      </c>
      <c r="Y388" s="241">
        <v>0</v>
      </c>
      <c r="Z388" s="241">
        <v>1</v>
      </c>
    </row>
    <row r="389" spans="1:26" x14ac:dyDescent="0.25">
      <c r="A389" s="241">
        <v>4905</v>
      </c>
      <c r="B389" s="241" t="s">
        <v>1761</v>
      </c>
      <c r="C389" s="241" t="s">
        <v>1762</v>
      </c>
      <c r="G389" s="241" t="s">
        <v>650</v>
      </c>
      <c r="H389" s="241" t="s">
        <v>1656</v>
      </c>
      <c r="I389" s="241">
        <v>1</v>
      </c>
      <c r="J389" s="241" t="s">
        <v>1762</v>
      </c>
      <c r="N389" s="241" t="s">
        <v>650</v>
      </c>
      <c r="O389" s="241" t="s">
        <v>1656</v>
      </c>
      <c r="P389" s="241">
        <v>1</v>
      </c>
      <c r="Q389" s="241">
        <v>1285</v>
      </c>
      <c r="R389" s="241">
        <v>7</v>
      </c>
      <c r="S389" s="241">
        <v>0</v>
      </c>
      <c r="U389" s="241" t="s">
        <v>656</v>
      </c>
      <c r="V389" s="241">
        <v>3</v>
      </c>
      <c r="W389" s="517">
        <v>36892</v>
      </c>
      <c r="X389" s="517">
        <v>36525</v>
      </c>
      <c r="Y389" s="241">
        <v>0</v>
      </c>
      <c r="Z389" s="241">
        <v>1</v>
      </c>
    </row>
    <row r="390" spans="1:26" x14ac:dyDescent="0.25">
      <c r="A390" s="241">
        <v>4908</v>
      </c>
      <c r="B390" s="241" t="s">
        <v>1763</v>
      </c>
      <c r="C390" s="241" t="s">
        <v>1764</v>
      </c>
      <c r="G390" s="241" t="s">
        <v>650</v>
      </c>
      <c r="H390" s="241" t="s">
        <v>1473</v>
      </c>
      <c r="I390" s="241">
        <v>1</v>
      </c>
      <c r="J390" s="241" t="s">
        <v>1764</v>
      </c>
      <c r="N390" s="241" t="s">
        <v>650</v>
      </c>
      <c r="O390" s="241" t="s">
        <v>1473</v>
      </c>
      <c r="P390" s="241">
        <v>1</v>
      </c>
      <c r="R390" s="241">
        <v>6</v>
      </c>
      <c r="S390" s="241">
        <v>0</v>
      </c>
      <c r="U390" s="241" t="s">
        <v>1765</v>
      </c>
      <c r="V390" s="241">
        <v>3</v>
      </c>
      <c r="W390" s="517">
        <v>36892</v>
      </c>
      <c r="X390" s="517">
        <v>36525</v>
      </c>
      <c r="Y390" s="241">
        <v>0</v>
      </c>
      <c r="Z390" s="241">
        <v>1</v>
      </c>
    </row>
    <row r="391" spans="1:26" x14ac:dyDescent="0.25">
      <c r="A391" s="241">
        <v>5000</v>
      </c>
      <c r="B391" s="241" t="s">
        <v>1766</v>
      </c>
      <c r="C391" s="241" t="s">
        <v>1767</v>
      </c>
      <c r="G391" s="241" t="s">
        <v>650</v>
      </c>
      <c r="H391" s="241" t="s">
        <v>1035</v>
      </c>
      <c r="I391" s="241">
        <v>1</v>
      </c>
      <c r="J391" s="241" t="s">
        <v>1767</v>
      </c>
      <c r="N391" s="241" t="s">
        <v>650</v>
      </c>
      <c r="O391" s="241" t="s">
        <v>1035</v>
      </c>
      <c r="P391" s="241">
        <v>1</v>
      </c>
      <c r="R391" s="241">
        <v>2</v>
      </c>
      <c r="S391" s="241">
        <v>0</v>
      </c>
      <c r="U391" s="241" t="s">
        <v>656</v>
      </c>
      <c r="V391" s="241">
        <v>3</v>
      </c>
      <c r="W391" s="517">
        <v>36892</v>
      </c>
      <c r="X391" s="517">
        <v>36525</v>
      </c>
      <c r="Y391" s="241">
        <v>0</v>
      </c>
      <c r="Z391" s="24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229"/>
  <sheetViews>
    <sheetView workbookViewId="0">
      <selection activeCell="A8" sqref="A8"/>
    </sheetView>
  </sheetViews>
  <sheetFormatPr defaultRowHeight="15" x14ac:dyDescent="0.25"/>
  <cols>
    <col min="2" max="2" width="17.140625" style="339" customWidth="1"/>
    <col min="3" max="3" width="21.5703125" style="242" customWidth="1"/>
    <col min="4" max="4" width="111.140625" customWidth="1"/>
  </cols>
  <sheetData>
    <row r="1" spans="1:4" x14ac:dyDescent="0.25">
      <c r="A1" s="335" t="s">
        <v>513</v>
      </c>
      <c r="B1" s="335" t="s">
        <v>514</v>
      </c>
      <c r="C1" s="335" t="s">
        <v>515</v>
      </c>
      <c r="D1" s="335" t="s">
        <v>516</v>
      </c>
    </row>
    <row r="2" spans="1:4" x14ac:dyDescent="0.25">
      <c r="A2" s="211">
        <v>1</v>
      </c>
      <c r="B2" s="338">
        <v>42395</v>
      </c>
      <c r="C2" s="335" t="s">
        <v>517</v>
      </c>
      <c r="D2" s="337" t="s">
        <v>519</v>
      </c>
    </row>
    <row r="3" spans="1:4" x14ac:dyDescent="0.25">
      <c r="A3" s="335">
        <v>1.1000000000000001</v>
      </c>
      <c r="B3" s="338">
        <v>42401</v>
      </c>
      <c r="C3" s="335" t="s">
        <v>517</v>
      </c>
      <c r="D3" s="336" t="s">
        <v>518</v>
      </c>
    </row>
    <row r="4" spans="1:4" x14ac:dyDescent="0.25">
      <c r="A4" s="343">
        <v>1.2</v>
      </c>
      <c r="B4" s="338">
        <v>42437</v>
      </c>
      <c r="C4" s="335" t="s">
        <v>517</v>
      </c>
      <c r="D4" s="15" t="s">
        <v>531</v>
      </c>
    </row>
    <row r="5" spans="1:4" x14ac:dyDescent="0.25">
      <c r="A5" s="377">
        <v>1.3</v>
      </c>
      <c r="B5" s="338">
        <v>42493</v>
      </c>
      <c r="C5" s="335" t="s">
        <v>517</v>
      </c>
      <c r="D5" s="15" t="s">
        <v>538</v>
      </c>
    </row>
    <row r="6" spans="1:4" x14ac:dyDescent="0.25">
      <c r="A6" s="377">
        <v>1.4</v>
      </c>
      <c r="B6" s="338">
        <v>42507</v>
      </c>
      <c r="C6" s="335" t="s">
        <v>517</v>
      </c>
      <c r="D6" s="15" t="s">
        <v>539</v>
      </c>
    </row>
    <row r="7" spans="1:4" x14ac:dyDescent="0.25">
      <c r="A7" s="381">
        <v>1.5</v>
      </c>
      <c r="B7" s="338">
        <v>42548</v>
      </c>
      <c r="C7" s="335" t="s">
        <v>543</v>
      </c>
      <c r="D7" s="15" t="s">
        <v>544</v>
      </c>
    </row>
    <row r="8" spans="1:4" x14ac:dyDescent="0.25">
      <c r="A8" s="472">
        <v>1.8</v>
      </c>
      <c r="B8" s="338">
        <v>42571</v>
      </c>
      <c r="C8" s="472" t="s">
        <v>543</v>
      </c>
      <c r="D8" s="15" t="s">
        <v>564</v>
      </c>
    </row>
    <row r="9" spans="1:4" x14ac:dyDescent="0.25">
      <c r="A9" s="15"/>
      <c r="B9" s="338"/>
      <c r="C9" s="335"/>
      <c r="D9" s="15"/>
    </row>
    <row r="10" spans="1:4" x14ac:dyDescent="0.25">
      <c r="A10" s="15"/>
      <c r="B10" s="338"/>
      <c r="C10" s="335"/>
      <c r="D10" s="15"/>
    </row>
    <row r="11" spans="1:4" x14ac:dyDescent="0.25">
      <c r="A11" s="15"/>
      <c r="B11" s="338"/>
      <c r="C11" s="335"/>
      <c r="D11" s="15"/>
    </row>
    <row r="12" spans="1:4" x14ac:dyDescent="0.25">
      <c r="A12" s="15"/>
      <c r="B12" s="338"/>
      <c r="C12" s="335"/>
      <c r="D12" s="15"/>
    </row>
    <row r="13" spans="1:4" x14ac:dyDescent="0.25">
      <c r="A13" s="15"/>
      <c r="B13" s="338"/>
      <c r="C13" s="335"/>
      <c r="D13" s="15"/>
    </row>
    <row r="14" spans="1:4" x14ac:dyDescent="0.25">
      <c r="A14" s="15"/>
      <c r="B14" s="338"/>
      <c r="C14" s="335"/>
      <c r="D14" s="15"/>
    </row>
    <row r="15" spans="1:4" x14ac:dyDescent="0.25">
      <c r="A15" s="15"/>
      <c r="B15" s="338"/>
      <c r="C15" s="335"/>
      <c r="D15" s="15"/>
    </row>
    <row r="16" spans="1:4" x14ac:dyDescent="0.25">
      <c r="A16" s="15"/>
      <c r="B16" s="338"/>
      <c r="C16" s="335"/>
      <c r="D16" s="15"/>
    </row>
    <row r="17" spans="1:4" x14ac:dyDescent="0.25">
      <c r="A17" s="15"/>
      <c r="B17" s="338"/>
      <c r="C17" s="335"/>
      <c r="D17" s="15"/>
    </row>
    <row r="18" spans="1:4" x14ac:dyDescent="0.25">
      <c r="A18" s="15"/>
      <c r="B18" s="338"/>
      <c r="C18" s="335"/>
      <c r="D18" s="15"/>
    </row>
    <row r="19" spans="1:4" x14ac:dyDescent="0.25">
      <c r="A19" s="15"/>
      <c r="B19" s="338"/>
      <c r="C19" s="335"/>
      <c r="D19" s="15"/>
    </row>
    <row r="20" spans="1:4" x14ac:dyDescent="0.25">
      <c r="A20" s="15"/>
      <c r="B20" s="338"/>
      <c r="C20" s="335"/>
      <c r="D20" s="15"/>
    </row>
    <row r="21" spans="1:4" x14ac:dyDescent="0.25">
      <c r="A21" s="15"/>
      <c r="B21" s="338"/>
      <c r="C21" s="335"/>
      <c r="D21" s="15"/>
    </row>
    <row r="22" spans="1:4" x14ac:dyDescent="0.25">
      <c r="A22" s="15"/>
      <c r="B22" s="338"/>
      <c r="C22" s="335"/>
      <c r="D22" s="15"/>
    </row>
    <row r="23" spans="1:4" x14ac:dyDescent="0.25">
      <c r="A23" s="15"/>
      <c r="B23" s="338"/>
      <c r="C23" s="335"/>
      <c r="D23" s="15"/>
    </row>
    <row r="24" spans="1:4" x14ac:dyDescent="0.25">
      <c r="A24" s="15"/>
      <c r="B24" s="338"/>
      <c r="C24" s="335"/>
      <c r="D24" s="15"/>
    </row>
    <row r="25" spans="1:4" x14ac:dyDescent="0.25">
      <c r="A25" s="15"/>
      <c r="B25" s="338"/>
      <c r="C25" s="335"/>
      <c r="D25" s="15"/>
    </row>
    <row r="26" spans="1:4" x14ac:dyDescent="0.25">
      <c r="A26" s="15"/>
      <c r="B26" s="338"/>
      <c r="C26" s="335"/>
      <c r="D26" s="15"/>
    </row>
    <row r="27" spans="1:4" x14ac:dyDescent="0.25">
      <c r="A27" s="15"/>
      <c r="B27" s="338"/>
      <c r="C27" s="335"/>
      <c r="D27" s="15"/>
    </row>
    <row r="28" spans="1:4" x14ac:dyDescent="0.25">
      <c r="A28" s="15"/>
      <c r="B28" s="338"/>
      <c r="C28" s="335"/>
      <c r="D28" s="15"/>
    </row>
    <row r="29" spans="1:4" x14ac:dyDescent="0.25">
      <c r="A29" s="15"/>
      <c r="B29" s="338"/>
      <c r="C29" s="335"/>
      <c r="D29" s="15"/>
    </row>
    <row r="30" spans="1:4" x14ac:dyDescent="0.25">
      <c r="A30" s="15"/>
      <c r="B30" s="338"/>
      <c r="C30" s="335"/>
      <c r="D30" s="15"/>
    </row>
    <row r="31" spans="1:4" x14ac:dyDescent="0.25">
      <c r="A31" s="15"/>
      <c r="B31" s="338"/>
      <c r="C31" s="335"/>
      <c r="D31" s="15"/>
    </row>
    <row r="32" spans="1:4" x14ac:dyDescent="0.25">
      <c r="A32" s="15"/>
      <c r="B32" s="338"/>
      <c r="C32" s="335"/>
      <c r="D32" s="15"/>
    </row>
    <row r="33" spans="1:4" x14ac:dyDescent="0.25">
      <c r="A33" s="15"/>
      <c r="B33" s="338"/>
      <c r="C33" s="335"/>
      <c r="D33" s="15"/>
    </row>
    <row r="34" spans="1:4" x14ac:dyDescent="0.25">
      <c r="A34" s="15"/>
      <c r="B34" s="338"/>
      <c r="C34" s="335"/>
      <c r="D34" s="15"/>
    </row>
    <row r="35" spans="1:4" x14ac:dyDescent="0.25">
      <c r="A35" s="15"/>
      <c r="B35" s="338"/>
      <c r="C35" s="335"/>
      <c r="D35" s="15"/>
    </row>
    <row r="36" spans="1:4" x14ac:dyDescent="0.25">
      <c r="A36" s="15"/>
      <c r="B36" s="338"/>
      <c r="C36" s="335"/>
      <c r="D36" s="15"/>
    </row>
    <row r="37" spans="1:4" x14ac:dyDescent="0.25">
      <c r="A37" s="15"/>
      <c r="B37" s="338"/>
      <c r="C37" s="335"/>
      <c r="D37" s="15"/>
    </row>
    <row r="38" spans="1:4" x14ac:dyDescent="0.25">
      <c r="A38" s="15"/>
      <c r="B38" s="338"/>
      <c r="C38" s="335"/>
      <c r="D38" s="15"/>
    </row>
    <row r="39" spans="1:4" x14ac:dyDescent="0.25">
      <c r="A39" s="15"/>
      <c r="B39" s="338"/>
      <c r="C39" s="335"/>
      <c r="D39" s="15"/>
    </row>
    <row r="40" spans="1:4" x14ac:dyDescent="0.25">
      <c r="A40" s="15"/>
      <c r="B40" s="338"/>
      <c r="C40" s="335"/>
      <c r="D40" s="15"/>
    </row>
    <row r="41" spans="1:4" x14ac:dyDescent="0.25">
      <c r="A41" s="15"/>
      <c r="B41" s="338"/>
      <c r="C41" s="335"/>
      <c r="D41" s="15"/>
    </row>
    <row r="42" spans="1:4" x14ac:dyDescent="0.25">
      <c r="A42" s="15"/>
      <c r="B42" s="338"/>
      <c r="C42" s="335"/>
      <c r="D42" s="15"/>
    </row>
    <row r="43" spans="1:4" x14ac:dyDescent="0.25">
      <c r="A43" s="15"/>
      <c r="B43" s="338"/>
      <c r="C43" s="335"/>
      <c r="D43" s="15"/>
    </row>
    <row r="44" spans="1:4" x14ac:dyDescent="0.25">
      <c r="A44" s="15"/>
      <c r="B44" s="338"/>
      <c r="C44" s="335"/>
      <c r="D44" s="15"/>
    </row>
    <row r="45" spans="1:4" x14ac:dyDescent="0.25">
      <c r="A45" s="15"/>
      <c r="B45" s="338"/>
      <c r="C45" s="335"/>
      <c r="D45" s="15"/>
    </row>
    <row r="46" spans="1:4" x14ac:dyDescent="0.25">
      <c r="A46" s="15"/>
      <c r="B46" s="338"/>
      <c r="C46" s="335"/>
      <c r="D46" s="15"/>
    </row>
    <row r="47" spans="1:4" x14ac:dyDescent="0.25">
      <c r="A47" s="15"/>
      <c r="B47" s="338"/>
      <c r="C47" s="335"/>
      <c r="D47" s="15"/>
    </row>
    <row r="48" spans="1:4" x14ac:dyDescent="0.25">
      <c r="A48" s="15"/>
      <c r="B48" s="338"/>
      <c r="C48" s="335"/>
      <c r="D48" s="15"/>
    </row>
    <row r="49" spans="1:4" x14ac:dyDescent="0.25">
      <c r="A49" s="15"/>
      <c r="B49" s="338"/>
      <c r="C49" s="335"/>
      <c r="D49" s="15"/>
    </row>
    <row r="50" spans="1:4" x14ac:dyDescent="0.25">
      <c r="A50" s="15"/>
      <c r="B50" s="338"/>
      <c r="C50" s="335"/>
      <c r="D50" s="15"/>
    </row>
    <row r="51" spans="1:4" x14ac:dyDescent="0.25">
      <c r="A51" s="15"/>
      <c r="B51" s="338"/>
      <c r="C51" s="335"/>
      <c r="D51" s="15"/>
    </row>
    <row r="52" spans="1:4" x14ac:dyDescent="0.25">
      <c r="A52" s="15"/>
      <c r="B52" s="338"/>
      <c r="C52" s="335"/>
      <c r="D52" s="15"/>
    </row>
    <row r="53" spans="1:4" x14ac:dyDescent="0.25">
      <c r="A53" s="15"/>
      <c r="B53" s="338"/>
      <c r="C53" s="335"/>
      <c r="D53" s="15"/>
    </row>
    <row r="54" spans="1:4" x14ac:dyDescent="0.25">
      <c r="A54" s="15"/>
      <c r="B54" s="338"/>
      <c r="C54" s="335"/>
      <c r="D54" s="15"/>
    </row>
    <row r="55" spans="1:4" x14ac:dyDescent="0.25">
      <c r="A55" s="15"/>
      <c r="B55" s="338"/>
      <c r="C55" s="335"/>
      <c r="D55" s="15"/>
    </row>
    <row r="56" spans="1:4" x14ac:dyDescent="0.25">
      <c r="A56" s="15"/>
      <c r="B56" s="338"/>
      <c r="C56" s="335"/>
      <c r="D56" s="15"/>
    </row>
    <row r="57" spans="1:4" x14ac:dyDescent="0.25">
      <c r="A57" s="15"/>
      <c r="B57" s="338"/>
      <c r="C57" s="335"/>
      <c r="D57" s="15"/>
    </row>
    <row r="58" spans="1:4" x14ac:dyDescent="0.25">
      <c r="A58" s="15"/>
      <c r="B58" s="338"/>
      <c r="C58" s="335"/>
      <c r="D58" s="15"/>
    </row>
    <row r="59" spans="1:4" x14ac:dyDescent="0.25">
      <c r="A59" s="15"/>
      <c r="B59" s="338"/>
      <c r="C59" s="335"/>
      <c r="D59" s="15"/>
    </row>
    <row r="60" spans="1:4" x14ac:dyDescent="0.25">
      <c r="A60" s="15"/>
      <c r="B60" s="338"/>
      <c r="C60" s="335"/>
      <c r="D60" s="15"/>
    </row>
    <row r="61" spans="1:4" x14ac:dyDescent="0.25">
      <c r="A61" s="15"/>
      <c r="B61" s="338"/>
      <c r="C61" s="335"/>
      <c r="D61" s="15"/>
    </row>
    <row r="62" spans="1:4" x14ac:dyDescent="0.25">
      <c r="A62" s="15"/>
      <c r="B62" s="338"/>
      <c r="C62" s="335"/>
      <c r="D62" s="15"/>
    </row>
    <row r="63" spans="1:4" x14ac:dyDescent="0.25">
      <c r="A63" s="15"/>
      <c r="B63" s="338"/>
      <c r="C63" s="335"/>
      <c r="D63" s="15"/>
    </row>
    <row r="64" spans="1:4" x14ac:dyDescent="0.25">
      <c r="A64" s="15"/>
      <c r="B64" s="338"/>
      <c r="C64" s="335"/>
      <c r="D64" s="15"/>
    </row>
    <row r="65" spans="1:4" x14ac:dyDescent="0.25">
      <c r="A65" s="15"/>
      <c r="B65" s="338"/>
      <c r="C65" s="335"/>
      <c r="D65" s="15"/>
    </row>
    <row r="66" spans="1:4" x14ac:dyDescent="0.25">
      <c r="A66" s="15"/>
      <c r="B66" s="338"/>
      <c r="C66" s="335"/>
      <c r="D66" s="15"/>
    </row>
    <row r="67" spans="1:4" x14ac:dyDescent="0.25">
      <c r="A67" s="15"/>
      <c r="B67" s="338"/>
      <c r="C67" s="335"/>
      <c r="D67" s="15"/>
    </row>
    <row r="68" spans="1:4" x14ac:dyDescent="0.25">
      <c r="A68" s="15"/>
      <c r="B68" s="338"/>
      <c r="C68" s="335"/>
      <c r="D68" s="15"/>
    </row>
    <row r="69" spans="1:4" x14ac:dyDescent="0.25">
      <c r="A69" s="15"/>
      <c r="B69" s="338"/>
      <c r="C69" s="335"/>
      <c r="D69" s="15"/>
    </row>
    <row r="70" spans="1:4" x14ac:dyDescent="0.25">
      <c r="A70" s="15"/>
      <c r="B70" s="338"/>
      <c r="C70" s="335"/>
      <c r="D70" s="15"/>
    </row>
    <row r="71" spans="1:4" x14ac:dyDescent="0.25">
      <c r="A71" s="15"/>
      <c r="B71" s="338"/>
      <c r="C71" s="335"/>
      <c r="D71" s="15"/>
    </row>
    <row r="72" spans="1:4" x14ac:dyDescent="0.25">
      <c r="A72" s="15"/>
      <c r="B72" s="338"/>
      <c r="C72" s="335"/>
      <c r="D72" s="15"/>
    </row>
    <row r="73" spans="1:4" x14ac:dyDescent="0.25">
      <c r="A73" s="15"/>
      <c r="B73" s="338"/>
      <c r="C73" s="335"/>
      <c r="D73" s="15"/>
    </row>
    <row r="74" spans="1:4" x14ac:dyDescent="0.25">
      <c r="A74" s="15"/>
      <c r="B74" s="338"/>
      <c r="C74" s="335"/>
      <c r="D74" s="15"/>
    </row>
    <row r="75" spans="1:4" x14ac:dyDescent="0.25">
      <c r="A75" s="15"/>
      <c r="B75" s="338"/>
      <c r="C75" s="335"/>
      <c r="D75" s="15"/>
    </row>
    <row r="76" spans="1:4" x14ac:dyDescent="0.25">
      <c r="A76" s="15"/>
      <c r="B76" s="338"/>
      <c r="C76" s="335"/>
      <c r="D76" s="15"/>
    </row>
    <row r="77" spans="1:4" x14ac:dyDescent="0.25">
      <c r="A77" s="15"/>
      <c r="B77" s="338"/>
      <c r="C77" s="335"/>
      <c r="D77" s="15"/>
    </row>
    <row r="78" spans="1:4" x14ac:dyDescent="0.25">
      <c r="A78" s="15"/>
      <c r="B78" s="338"/>
      <c r="C78" s="335"/>
      <c r="D78" s="15"/>
    </row>
    <row r="79" spans="1:4" x14ac:dyDescent="0.25">
      <c r="A79" s="15"/>
      <c r="B79" s="338"/>
      <c r="C79" s="335"/>
      <c r="D79" s="15"/>
    </row>
    <row r="80" spans="1:4" x14ac:dyDescent="0.25">
      <c r="A80" s="15"/>
      <c r="B80" s="338"/>
      <c r="C80" s="335"/>
      <c r="D80" s="15"/>
    </row>
    <row r="81" spans="1:4" x14ac:dyDescent="0.25">
      <c r="A81" s="15"/>
      <c r="B81" s="338"/>
      <c r="C81" s="335"/>
      <c r="D81" s="15"/>
    </row>
    <row r="82" spans="1:4" x14ac:dyDescent="0.25">
      <c r="A82" s="15"/>
      <c r="B82" s="338"/>
      <c r="C82" s="335"/>
      <c r="D82" s="15"/>
    </row>
    <row r="83" spans="1:4" x14ac:dyDescent="0.25">
      <c r="A83" s="15"/>
      <c r="B83" s="338"/>
      <c r="C83" s="335"/>
      <c r="D83" s="15"/>
    </row>
    <row r="84" spans="1:4" x14ac:dyDescent="0.25">
      <c r="A84" s="15"/>
      <c r="B84" s="338"/>
      <c r="C84" s="335"/>
      <c r="D84" s="15"/>
    </row>
    <row r="85" spans="1:4" x14ac:dyDescent="0.25">
      <c r="A85" s="15"/>
      <c r="B85" s="338"/>
      <c r="C85" s="335"/>
      <c r="D85" s="15"/>
    </row>
    <row r="86" spans="1:4" x14ac:dyDescent="0.25">
      <c r="A86" s="15"/>
      <c r="B86" s="338"/>
      <c r="C86" s="335"/>
      <c r="D86" s="15"/>
    </row>
    <row r="87" spans="1:4" x14ac:dyDescent="0.25">
      <c r="A87" s="15"/>
      <c r="B87" s="338"/>
      <c r="C87" s="335"/>
      <c r="D87" s="15"/>
    </row>
    <row r="88" spans="1:4" x14ac:dyDescent="0.25">
      <c r="A88" s="15"/>
      <c r="B88" s="338"/>
      <c r="C88" s="335"/>
      <c r="D88" s="15"/>
    </row>
    <row r="89" spans="1:4" x14ac:dyDescent="0.25">
      <c r="A89" s="15"/>
      <c r="B89" s="338"/>
      <c r="C89" s="335"/>
      <c r="D89" s="15"/>
    </row>
    <row r="90" spans="1:4" x14ac:dyDescent="0.25">
      <c r="A90" s="15"/>
      <c r="B90" s="338"/>
      <c r="C90" s="335"/>
      <c r="D90" s="15"/>
    </row>
    <row r="91" spans="1:4" x14ac:dyDescent="0.25">
      <c r="A91" s="15"/>
      <c r="B91" s="338"/>
      <c r="C91" s="335"/>
      <c r="D91" s="15"/>
    </row>
    <row r="92" spans="1:4" x14ac:dyDescent="0.25">
      <c r="A92" s="15"/>
      <c r="B92" s="338"/>
      <c r="C92" s="335"/>
      <c r="D92" s="15"/>
    </row>
    <row r="93" spans="1:4" x14ac:dyDescent="0.25">
      <c r="A93" s="15"/>
      <c r="B93" s="338"/>
      <c r="C93" s="335"/>
      <c r="D93" s="15"/>
    </row>
    <row r="94" spans="1:4" x14ac:dyDescent="0.25">
      <c r="A94" s="15"/>
      <c r="B94" s="338"/>
      <c r="C94" s="335"/>
      <c r="D94" s="15"/>
    </row>
    <row r="95" spans="1:4" x14ac:dyDescent="0.25">
      <c r="A95" s="15"/>
      <c r="B95" s="338"/>
      <c r="C95" s="335"/>
      <c r="D95" s="15"/>
    </row>
    <row r="96" spans="1:4" x14ac:dyDescent="0.25">
      <c r="A96" s="15"/>
      <c r="B96" s="338"/>
      <c r="C96" s="335"/>
      <c r="D96" s="15"/>
    </row>
    <row r="97" spans="1:4" x14ac:dyDescent="0.25">
      <c r="A97" s="15"/>
      <c r="B97" s="338"/>
      <c r="C97" s="335"/>
      <c r="D97" s="15"/>
    </row>
    <row r="98" spans="1:4" x14ac:dyDescent="0.25">
      <c r="A98" s="15"/>
      <c r="B98" s="338"/>
      <c r="C98" s="335"/>
      <c r="D98" s="15"/>
    </row>
    <row r="99" spans="1:4" x14ac:dyDescent="0.25">
      <c r="A99" s="15"/>
      <c r="B99" s="338"/>
      <c r="C99" s="335"/>
      <c r="D99" s="15"/>
    </row>
    <row r="100" spans="1:4" x14ac:dyDescent="0.25">
      <c r="A100" s="15"/>
      <c r="B100" s="338"/>
      <c r="C100" s="335"/>
      <c r="D100" s="15"/>
    </row>
    <row r="101" spans="1:4" x14ac:dyDescent="0.25">
      <c r="A101" s="15"/>
      <c r="B101" s="338"/>
      <c r="C101" s="335"/>
      <c r="D101" s="15"/>
    </row>
    <row r="102" spans="1:4" x14ac:dyDescent="0.25">
      <c r="A102" s="15"/>
      <c r="B102" s="338"/>
      <c r="C102" s="335"/>
      <c r="D102" s="15"/>
    </row>
    <row r="103" spans="1:4" x14ac:dyDescent="0.25">
      <c r="A103" s="15"/>
      <c r="B103" s="338"/>
      <c r="C103" s="335"/>
      <c r="D103" s="15"/>
    </row>
    <row r="104" spans="1:4" x14ac:dyDescent="0.25">
      <c r="A104" s="15"/>
      <c r="B104" s="338"/>
      <c r="C104" s="335"/>
      <c r="D104" s="15"/>
    </row>
    <row r="105" spans="1:4" x14ac:dyDescent="0.25">
      <c r="A105" s="15"/>
      <c r="B105" s="338"/>
      <c r="C105" s="335"/>
      <c r="D105" s="15"/>
    </row>
    <row r="106" spans="1:4" x14ac:dyDescent="0.25">
      <c r="A106" s="15"/>
      <c r="B106" s="338"/>
      <c r="C106" s="335"/>
      <c r="D106" s="15"/>
    </row>
    <row r="107" spans="1:4" x14ac:dyDescent="0.25">
      <c r="A107" s="15"/>
      <c r="B107" s="338"/>
      <c r="C107" s="335"/>
      <c r="D107" s="15"/>
    </row>
    <row r="108" spans="1:4" x14ac:dyDescent="0.25">
      <c r="A108" s="15"/>
      <c r="B108" s="338"/>
      <c r="C108" s="335"/>
      <c r="D108" s="15"/>
    </row>
    <row r="109" spans="1:4" x14ac:dyDescent="0.25">
      <c r="A109" s="15"/>
      <c r="B109" s="338"/>
      <c r="C109" s="335"/>
      <c r="D109" s="15"/>
    </row>
    <row r="110" spans="1:4" x14ac:dyDescent="0.25">
      <c r="A110" s="15"/>
      <c r="B110" s="338"/>
      <c r="C110" s="335"/>
      <c r="D110" s="15"/>
    </row>
    <row r="111" spans="1:4" x14ac:dyDescent="0.25">
      <c r="A111" s="15"/>
      <c r="B111" s="338"/>
      <c r="C111" s="335"/>
      <c r="D111" s="15"/>
    </row>
    <row r="112" spans="1:4" x14ac:dyDescent="0.25">
      <c r="A112" s="15"/>
      <c r="B112" s="338"/>
      <c r="C112" s="335"/>
      <c r="D112" s="15"/>
    </row>
    <row r="113" spans="1:4" x14ac:dyDescent="0.25">
      <c r="A113" s="15"/>
      <c r="B113" s="338"/>
      <c r="C113" s="335"/>
      <c r="D113" s="15"/>
    </row>
    <row r="114" spans="1:4" x14ac:dyDescent="0.25">
      <c r="A114" s="15"/>
      <c r="B114" s="338"/>
      <c r="C114" s="335"/>
      <c r="D114" s="15"/>
    </row>
    <row r="115" spans="1:4" x14ac:dyDescent="0.25">
      <c r="A115" s="15"/>
      <c r="B115" s="338"/>
      <c r="C115" s="335"/>
      <c r="D115" s="15"/>
    </row>
    <row r="116" spans="1:4" x14ac:dyDescent="0.25">
      <c r="A116" s="15"/>
      <c r="B116" s="338"/>
      <c r="C116" s="335"/>
      <c r="D116" s="15"/>
    </row>
    <row r="117" spans="1:4" x14ac:dyDescent="0.25">
      <c r="A117" s="15"/>
      <c r="B117" s="338"/>
      <c r="C117" s="335"/>
      <c r="D117" s="15"/>
    </row>
    <row r="118" spans="1:4" x14ac:dyDescent="0.25">
      <c r="A118" s="15"/>
      <c r="B118" s="338"/>
      <c r="C118" s="335"/>
      <c r="D118" s="15"/>
    </row>
    <row r="119" spans="1:4" x14ac:dyDescent="0.25">
      <c r="A119" s="15"/>
      <c r="B119" s="338"/>
      <c r="C119" s="335"/>
      <c r="D119" s="15"/>
    </row>
    <row r="120" spans="1:4" x14ac:dyDescent="0.25">
      <c r="A120" s="15"/>
      <c r="B120" s="338"/>
      <c r="C120" s="335"/>
      <c r="D120" s="15"/>
    </row>
    <row r="121" spans="1:4" x14ac:dyDescent="0.25">
      <c r="A121" s="15"/>
      <c r="B121" s="338"/>
      <c r="C121" s="335"/>
      <c r="D121" s="15"/>
    </row>
    <row r="122" spans="1:4" x14ac:dyDescent="0.25">
      <c r="A122" s="15"/>
      <c r="B122" s="338"/>
      <c r="C122" s="335"/>
      <c r="D122" s="15"/>
    </row>
    <row r="123" spans="1:4" x14ac:dyDescent="0.25">
      <c r="A123" s="15"/>
      <c r="B123" s="338"/>
      <c r="C123" s="335"/>
      <c r="D123" s="15"/>
    </row>
    <row r="124" spans="1:4" x14ac:dyDescent="0.25">
      <c r="A124" s="15"/>
      <c r="B124" s="338"/>
      <c r="C124" s="335"/>
      <c r="D124" s="15"/>
    </row>
    <row r="125" spans="1:4" x14ac:dyDescent="0.25">
      <c r="A125" s="15"/>
      <c r="B125" s="338"/>
      <c r="C125" s="335"/>
      <c r="D125" s="15"/>
    </row>
    <row r="126" spans="1:4" x14ac:dyDescent="0.25">
      <c r="A126" s="15"/>
      <c r="B126" s="338"/>
      <c r="C126" s="335"/>
      <c r="D126" s="15"/>
    </row>
    <row r="127" spans="1:4" x14ac:dyDescent="0.25">
      <c r="A127" s="15"/>
      <c r="B127" s="338"/>
      <c r="C127" s="335"/>
      <c r="D127" s="15"/>
    </row>
    <row r="128" spans="1:4" x14ac:dyDescent="0.25">
      <c r="A128" s="15"/>
      <c r="B128" s="338"/>
      <c r="C128" s="335"/>
      <c r="D128" s="15"/>
    </row>
    <row r="129" spans="1:4" x14ac:dyDescent="0.25">
      <c r="A129" s="15"/>
      <c r="B129" s="338"/>
      <c r="C129" s="335"/>
      <c r="D129" s="15"/>
    </row>
    <row r="130" spans="1:4" x14ac:dyDescent="0.25">
      <c r="A130" s="15"/>
      <c r="B130" s="338"/>
      <c r="C130" s="335"/>
      <c r="D130" s="15"/>
    </row>
    <row r="131" spans="1:4" x14ac:dyDescent="0.25">
      <c r="A131" s="15"/>
      <c r="B131" s="338"/>
      <c r="C131" s="335"/>
      <c r="D131" s="15"/>
    </row>
    <row r="132" spans="1:4" x14ac:dyDescent="0.25">
      <c r="A132" s="15"/>
      <c r="B132" s="338"/>
      <c r="C132" s="335"/>
      <c r="D132" s="15"/>
    </row>
    <row r="133" spans="1:4" x14ac:dyDescent="0.25">
      <c r="A133" s="15"/>
      <c r="B133" s="338"/>
      <c r="C133" s="335"/>
      <c r="D133" s="15"/>
    </row>
    <row r="134" spans="1:4" x14ac:dyDescent="0.25">
      <c r="A134" s="15"/>
      <c r="B134" s="338"/>
      <c r="C134" s="335"/>
      <c r="D134" s="15"/>
    </row>
    <row r="135" spans="1:4" x14ac:dyDescent="0.25">
      <c r="A135" s="15"/>
      <c r="B135" s="338"/>
      <c r="C135" s="335"/>
      <c r="D135" s="15"/>
    </row>
    <row r="136" spans="1:4" x14ac:dyDescent="0.25">
      <c r="A136" s="15"/>
      <c r="B136" s="338"/>
      <c r="C136" s="335"/>
      <c r="D136" s="15"/>
    </row>
    <row r="137" spans="1:4" x14ac:dyDescent="0.25">
      <c r="A137" s="15"/>
      <c r="B137" s="338"/>
      <c r="C137" s="335"/>
      <c r="D137" s="15"/>
    </row>
    <row r="138" spans="1:4" x14ac:dyDescent="0.25">
      <c r="A138" s="15"/>
      <c r="B138" s="338"/>
      <c r="C138" s="335"/>
      <c r="D138" s="15"/>
    </row>
    <row r="139" spans="1:4" x14ac:dyDescent="0.25">
      <c r="A139" s="15"/>
      <c r="B139" s="338"/>
      <c r="C139" s="335"/>
      <c r="D139" s="15"/>
    </row>
    <row r="140" spans="1:4" x14ac:dyDescent="0.25">
      <c r="A140" s="15"/>
      <c r="B140" s="338"/>
      <c r="C140" s="335"/>
      <c r="D140" s="15"/>
    </row>
    <row r="141" spans="1:4" x14ac:dyDescent="0.25">
      <c r="A141" s="15"/>
      <c r="B141" s="338"/>
      <c r="C141" s="335"/>
      <c r="D141" s="15"/>
    </row>
    <row r="142" spans="1:4" x14ac:dyDescent="0.25">
      <c r="A142" s="15"/>
      <c r="B142" s="338"/>
      <c r="C142" s="335"/>
      <c r="D142" s="15"/>
    </row>
    <row r="143" spans="1:4" x14ac:dyDescent="0.25">
      <c r="A143" s="15"/>
      <c r="B143" s="338"/>
      <c r="C143" s="335"/>
      <c r="D143" s="15"/>
    </row>
    <row r="144" spans="1:4" x14ac:dyDescent="0.25">
      <c r="A144" s="15"/>
      <c r="B144" s="338"/>
      <c r="C144" s="335"/>
      <c r="D144" s="15"/>
    </row>
    <row r="145" spans="1:4" x14ac:dyDescent="0.25">
      <c r="A145" s="15"/>
      <c r="B145" s="338"/>
      <c r="C145" s="335"/>
      <c r="D145" s="15"/>
    </row>
    <row r="146" spans="1:4" x14ac:dyDescent="0.25">
      <c r="A146" s="15"/>
      <c r="B146" s="338"/>
      <c r="C146" s="335"/>
      <c r="D146" s="15"/>
    </row>
    <row r="147" spans="1:4" x14ac:dyDescent="0.25">
      <c r="A147" s="15"/>
      <c r="B147" s="338"/>
      <c r="C147" s="335"/>
      <c r="D147" s="15"/>
    </row>
    <row r="148" spans="1:4" x14ac:dyDescent="0.25">
      <c r="A148" s="15"/>
      <c r="B148" s="338"/>
      <c r="C148" s="335"/>
      <c r="D148" s="15"/>
    </row>
    <row r="149" spans="1:4" x14ac:dyDescent="0.25">
      <c r="A149" s="15"/>
      <c r="B149" s="338"/>
      <c r="C149" s="335"/>
      <c r="D149" s="15"/>
    </row>
    <row r="150" spans="1:4" x14ac:dyDescent="0.25">
      <c r="A150" s="15"/>
      <c r="B150" s="338"/>
      <c r="C150" s="335"/>
      <c r="D150" s="15"/>
    </row>
    <row r="151" spans="1:4" x14ac:dyDescent="0.25">
      <c r="A151" s="15"/>
      <c r="B151" s="338"/>
      <c r="C151" s="335"/>
      <c r="D151" s="15"/>
    </row>
    <row r="152" spans="1:4" x14ac:dyDescent="0.25">
      <c r="A152" s="15"/>
      <c r="B152" s="338"/>
      <c r="C152" s="335"/>
      <c r="D152" s="15"/>
    </row>
    <row r="153" spans="1:4" x14ac:dyDescent="0.25">
      <c r="A153" s="15"/>
      <c r="B153" s="338"/>
      <c r="C153" s="335"/>
      <c r="D153" s="15"/>
    </row>
    <row r="154" spans="1:4" x14ac:dyDescent="0.25">
      <c r="A154" s="15"/>
      <c r="B154" s="338"/>
      <c r="C154" s="335"/>
      <c r="D154" s="15"/>
    </row>
    <row r="155" spans="1:4" x14ac:dyDescent="0.25">
      <c r="A155" s="15"/>
      <c r="B155" s="338"/>
      <c r="C155" s="335"/>
      <c r="D155" s="15"/>
    </row>
    <row r="156" spans="1:4" x14ac:dyDescent="0.25">
      <c r="A156" s="15"/>
      <c r="B156" s="338"/>
      <c r="C156" s="335"/>
      <c r="D156" s="15"/>
    </row>
    <row r="157" spans="1:4" x14ac:dyDescent="0.25">
      <c r="A157" s="15"/>
      <c r="B157" s="338"/>
      <c r="C157" s="335"/>
      <c r="D157" s="15"/>
    </row>
    <row r="158" spans="1:4" x14ac:dyDescent="0.25">
      <c r="A158" s="15"/>
      <c r="B158" s="338"/>
      <c r="C158" s="335"/>
      <c r="D158" s="15"/>
    </row>
    <row r="159" spans="1:4" x14ac:dyDescent="0.25">
      <c r="A159" s="15"/>
      <c r="B159" s="338"/>
      <c r="C159" s="335"/>
      <c r="D159" s="15"/>
    </row>
    <row r="160" spans="1:4" x14ac:dyDescent="0.25">
      <c r="A160" s="15"/>
      <c r="B160" s="338"/>
      <c r="C160" s="335"/>
      <c r="D160" s="15"/>
    </row>
    <row r="161" spans="1:4" x14ac:dyDescent="0.25">
      <c r="A161" s="15"/>
      <c r="B161" s="338"/>
      <c r="C161" s="335"/>
      <c r="D161" s="15"/>
    </row>
    <row r="162" spans="1:4" x14ac:dyDescent="0.25">
      <c r="A162" s="15"/>
      <c r="B162" s="338"/>
      <c r="C162" s="335"/>
      <c r="D162" s="15"/>
    </row>
    <row r="163" spans="1:4" x14ac:dyDescent="0.25">
      <c r="A163" s="15"/>
      <c r="B163" s="338"/>
      <c r="C163" s="335"/>
      <c r="D163" s="15"/>
    </row>
    <row r="164" spans="1:4" x14ac:dyDescent="0.25">
      <c r="A164" s="15"/>
      <c r="B164" s="338"/>
      <c r="C164" s="335"/>
      <c r="D164" s="15"/>
    </row>
    <row r="165" spans="1:4" x14ac:dyDescent="0.25">
      <c r="A165" s="15"/>
      <c r="B165" s="338"/>
      <c r="C165" s="335"/>
      <c r="D165" s="15"/>
    </row>
    <row r="166" spans="1:4" x14ac:dyDescent="0.25">
      <c r="A166" s="15"/>
      <c r="B166" s="338"/>
      <c r="C166" s="335"/>
      <c r="D166" s="15"/>
    </row>
    <row r="167" spans="1:4" x14ac:dyDescent="0.25">
      <c r="A167" s="15"/>
      <c r="B167" s="338"/>
      <c r="C167" s="335"/>
      <c r="D167" s="15"/>
    </row>
    <row r="168" spans="1:4" x14ac:dyDescent="0.25">
      <c r="A168" s="15"/>
      <c r="B168" s="338"/>
      <c r="C168" s="335"/>
      <c r="D168" s="15"/>
    </row>
    <row r="169" spans="1:4" x14ac:dyDescent="0.25">
      <c r="A169" s="15"/>
      <c r="B169" s="338"/>
      <c r="C169" s="335"/>
      <c r="D169" s="15"/>
    </row>
    <row r="170" spans="1:4" x14ac:dyDescent="0.25">
      <c r="A170" s="15"/>
      <c r="B170" s="338"/>
      <c r="C170" s="335"/>
      <c r="D170" s="15"/>
    </row>
    <row r="171" spans="1:4" x14ac:dyDescent="0.25">
      <c r="A171" s="15"/>
      <c r="B171" s="338"/>
      <c r="C171" s="335"/>
      <c r="D171" s="15"/>
    </row>
    <row r="172" spans="1:4" x14ac:dyDescent="0.25">
      <c r="A172" s="15"/>
      <c r="B172" s="338"/>
      <c r="C172" s="335"/>
      <c r="D172" s="15"/>
    </row>
    <row r="173" spans="1:4" x14ac:dyDescent="0.25">
      <c r="A173" s="15"/>
      <c r="B173" s="338"/>
      <c r="C173" s="335"/>
      <c r="D173" s="15"/>
    </row>
    <row r="174" spans="1:4" x14ac:dyDescent="0.25">
      <c r="A174" s="15"/>
      <c r="B174" s="338"/>
      <c r="C174" s="335"/>
      <c r="D174" s="15"/>
    </row>
    <row r="175" spans="1:4" x14ac:dyDescent="0.25">
      <c r="A175" s="15"/>
      <c r="B175" s="338"/>
      <c r="C175" s="335"/>
      <c r="D175" s="15"/>
    </row>
    <row r="176" spans="1:4" x14ac:dyDescent="0.25">
      <c r="A176" s="15"/>
      <c r="B176" s="338"/>
      <c r="C176" s="335"/>
      <c r="D176" s="15"/>
    </row>
    <row r="177" spans="1:4" x14ac:dyDescent="0.25">
      <c r="A177" s="15"/>
      <c r="B177" s="338"/>
      <c r="C177" s="335"/>
      <c r="D177" s="15"/>
    </row>
    <row r="178" spans="1:4" x14ac:dyDescent="0.25">
      <c r="A178" s="15"/>
      <c r="B178" s="338"/>
      <c r="C178" s="335"/>
      <c r="D178" s="15"/>
    </row>
    <row r="179" spans="1:4" x14ac:dyDescent="0.25">
      <c r="A179" s="15"/>
      <c r="B179" s="338"/>
      <c r="C179" s="335"/>
      <c r="D179" s="15"/>
    </row>
    <row r="180" spans="1:4" x14ac:dyDescent="0.25">
      <c r="A180" s="15"/>
      <c r="B180" s="338"/>
      <c r="C180" s="335"/>
      <c r="D180" s="15"/>
    </row>
    <row r="181" spans="1:4" x14ac:dyDescent="0.25">
      <c r="A181" s="15"/>
      <c r="B181" s="338"/>
      <c r="C181" s="335"/>
      <c r="D181" s="15"/>
    </row>
    <row r="182" spans="1:4" x14ac:dyDescent="0.25">
      <c r="A182" s="15"/>
      <c r="B182" s="338"/>
      <c r="C182" s="335"/>
      <c r="D182" s="15"/>
    </row>
    <row r="183" spans="1:4" x14ac:dyDescent="0.25">
      <c r="A183" s="15"/>
      <c r="B183" s="338"/>
      <c r="C183" s="335"/>
      <c r="D183" s="15"/>
    </row>
    <row r="184" spans="1:4" x14ac:dyDescent="0.25">
      <c r="A184" s="15"/>
      <c r="B184" s="338"/>
      <c r="C184" s="335"/>
      <c r="D184" s="15"/>
    </row>
    <row r="185" spans="1:4" x14ac:dyDescent="0.25">
      <c r="A185" s="15"/>
      <c r="B185" s="338"/>
      <c r="C185" s="335"/>
      <c r="D185" s="15"/>
    </row>
    <row r="186" spans="1:4" x14ac:dyDescent="0.25">
      <c r="A186" s="15"/>
      <c r="B186" s="338"/>
      <c r="C186" s="335"/>
      <c r="D186" s="15"/>
    </row>
    <row r="187" spans="1:4" x14ac:dyDescent="0.25">
      <c r="A187" s="15"/>
      <c r="B187" s="338"/>
      <c r="C187" s="335"/>
      <c r="D187" s="15"/>
    </row>
    <row r="188" spans="1:4" x14ac:dyDescent="0.25">
      <c r="A188" s="15"/>
      <c r="B188" s="338"/>
      <c r="C188" s="335"/>
      <c r="D188" s="15"/>
    </row>
    <row r="189" spans="1:4" x14ac:dyDescent="0.25">
      <c r="A189" s="15"/>
      <c r="B189" s="338"/>
      <c r="C189" s="335"/>
      <c r="D189" s="15"/>
    </row>
    <row r="190" spans="1:4" x14ac:dyDescent="0.25">
      <c r="A190" s="15"/>
      <c r="B190" s="338"/>
      <c r="C190" s="335"/>
      <c r="D190" s="15"/>
    </row>
    <row r="191" spans="1:4" x14ac:dyDescent="0.25">
      <c r="A191" s="15"/>
      <c r="B191" s="338"/>
      <c r="C191" s="335"/>
      <c r="D191" s="15"/>
    </row>
    <row r="192" spans="1:4" x14ac:dyDescent="0.25">
      <c r="A192" s="15"/>
      <c r="B192" s="338"/>
      <c r="C192" s="335"/>
      <c r="D192" s="15"/>
    </row>
    <row r="193" spans="1:4" x14ac:dyDescent="0.25">
      <c r="A193" s="15"/>
      <c r="B193" s="338"/>
      <c r="C193" s="335"/>
      <c r="D193" s="15"/>
    </row>
    <row r="194" spans="1:4" x14ac:dyDescent="0.25">
      <c r="A194" s="15"/>
      <c r="B194" s="338"/>
      <c r="C194" s="335"/>
      <c r="D194" s="15"/>
    </row>
    <row r="195" spans="1:4" x14ac:dyDescent="0.25">
      <c r="A195" s="15"/>
      <c r="B195" s="338"/>
      <c r="C195" s="335"/>
      <c r="D195" s="15"/>
    </row>
    <row r="196" spans="1:4" x14ac:dyDescent="0.25">
      <c r="A196" s="15"/>
      <c r="B196" s="338"/>
      <c r="C196" s="335"/>
      <c r="D196" s="15"/>
    </row>
    <row r="197" spans="1:4" x14ac:dyDescent="0.25">
      <c r="A197" s="15"/>
      <c r="B197" s="338"/>
      <c r="C197" s="335"/>
      <c r="D197" s="15"/>
    </row>
    <row r="198" spans="1:4" x14ac:dyDescent="0.25">
      <c r="A198" s="15"/>
      <c r="B198" s="338"/>
      <c r="C198" s="335"/>
      <c r="D198" s="15"/>
    </row>
    <row r="199" spans="1:4" x14ac:dyDescent="0.25">
      <c r="A199" s="15"/>
      <c r="B199" s="338"/>
      <c r="C199" s="335"/>
      <c r="D199" s="15"/>
    </row>
    <row r="200" spans="1:4" x14ac:dyDescent="0.25">
      <c r="A200" s="15"/>
      <c r="B200" s="338"/>
      <c r="C200" s="335"/>
      <c r="D200" s="15"/>
    </row>
    <row r="201" spans="1:4" x14ac:dyDescent="0.25">
      <c r="A201" s="15"/>
      <c r="B201" s="338"/>
      <c r="C201" s="335"/>
      <c r="D201" s="15"/>
    </row>
    <row r="202" spans="1:4" x14ac:dyDescent="0.25">
      <c r="A202" s="15"/>
      <c r="B202" s="338"/>
      <c r="C202" s="335"/>
      <c r="D202" s="15"/>
    </row>
    <row r="203" spans="1:4" x14ac:dyDescent="0.25">
      <c r="A203" s="15"/>
      <c r="B203" s="338"/>
      <c r="C203" s="335"/>
      <c r="D203" s="15"/>
    </row>
    <row r="204" spans="1:4" x14ac:dyDescent="0.25">
      <c r="A204" s="15"/>
      <c r="B204" s="338"/>
      <c r="C204" s="335"/>
      <c r="D204" s="15"/>
    </row>
    <row r="205" spans="1:4" x14ac:dyDescent="0.25">
      <c r="A205" s="15"/>
      <c r="B205" s="338"/>
      <c r="C205" s="335"/>
      <c r="D205" s="15"/>
    </row>
    <row r="206" spans="1:4" x14ac:dyDescent="0.25">
      <c r="A206" s="15"/>
      <c r="B206" s="338"/>
      <c r="C206" s="335"/>
      <c r="D206" s="15"/>
    </row>
    <row r="207" spans="1:4" x14ac:dyDescent="0.25">
      <c r="A207" s="15"/>
      <c r="B207" s="338"/>
      <c r="C207" s="335"/>
      <c r="D207" s="15"/>
    </row>
    <row r="208" spans="1:4" x14ac:dyDescent="0.25">
      <c r="A208" s="15"/>
      <c r="B208" s="338"/>
      <c r="C208" s="335"/>
      <c r="D208" s="15"/>
    </row>
    <row r="209" spans="1:4" x14ac:dyDescent="0.25">
      <c r="A209" s="15"/>
      <c r="B209" s="338"/>
      <c r="C209" s="335"/>
      <c r="D209" s="15"/>
    </row>
    <row r="210" spans="1:4" x14ac:dyDescent="0.25">
      <c r="A210" s="15"/>
      <c r="B210" s="338"/>
      <c r="C210" s="335"/>
      <c r="D210" s="15"/>
    </row>
    <row r="211" spans="1:4" x14ac:dyDescent="0.25">
      <c r="A211" s="15"/>
      <c r="B211" s="338"/>
      <c r="C211" s="335"/>
      <c r="D211" s="15"/>
    </row>
    <row r="212" spans="1:4" x14ac:dyDescent="0.25">
      <c r="A212" s="15"/>
      <c r="B212" s="338"/>
      <c r="C212" s="335"/>
      <c r="D212" s="15"/>
    </row>
    <row r="213" spans="1:4" x14ac:dyDescent="0.25">
      <c r="A213" s="15"/>
      <c r="B213" s="338"/>
      <c r="C213" s="335"/>
      <c r="D213" s="15"/>
    </row>
    <row r="214" spans="1:4" x14ac:dyDescent="0.25">
      <c r="A214" s="15"/>
      <c r="B214" s="338"/>
      <c r="C214" s="335"/>
      <c r="D214" s="15"/>
    </row>
    <row r="215" spans="1:4" x14ac:dyDescent="0.25">
      <c r="A215" s="15"/>
      <c r="B215" s="338"/>
      <c r="C215" s="335"/>
      <c r="D215" s="15"/>
    </row>
    <row r="216" spans="1:4" x14ac:dyDescent="0.25">
      <c r="A216" s="15"/>
      <c r="B216" s="338"/>
      <c r="C216" s="335"/>
      <c r="D216" s="15"/>
    </row>
    <row r="217" spans="1:4" x14ac:dyDescent="0.25">
      <c r="A217" s="15"/>
      <c r="B217" s="338"/>
      <c r="C217" s="335"/>
      <c r="D217" s="15"/>
    </row>
    <row r="218" spans="1:4" x14ac:dyDescent="0.25">
      <c r="A218" s="15"/>
      <c r="B218" s="338"/>
      <c r="C218" s="335"/>
      <c r="D218" s="15"/>
    </row>
    <row r="219" spans="1:4" x14ac:dyDescent="0.25">
      <c r="A219" s="15"/>
      <c r="B219" s="338"/>
      <c r="C219" s="335"/>
      <c r="D219" s="15"/>
    </row>
    <row r="220" spans="1:4" x14ac:dyDescent="0.25">
      <c r="A220" s="15"/>
      <c r="B220" s="338"/>
      <c r="C220" s="335"/>
      <c r="D220" s="15"/>
    </row>
    <row r="221" spans="1:4" x14ac:dyDescent="0.25">
      <c r="A221" s="15"/>
      <c r="B221" s="338"/>
      <c r="C221" s="335"/>
      <c r="D221" s="15"/>
    </row>
    <row r="222" spans="1:4" x14ac:dyDescent="0.25">
      <c r="A222" s="15"/>
      <c r="B222" s="338"/>
      <c r="C222" s="335"/>
      <c r="D222" s="15"/>
    </row>
    <row r="223" spans="1:4" x14ac:dyDescent="0.25">
      <c r="A223" s="15"/>
      <c r="B223" s="338"/>
      <c r="C223" s="335"/>
      <c r="D223" s="15"/>
    </row>
    <row r="224" spans="1:4" x14ac:dyDescent="0.25">
      <c r="A224" s="15"/>
      <c r="B224" s="338"/>
      <c r="C224" s="335"/>
      <c r="D224" s="15"/>
    </row>
    <row r="225" spans="1:4" x14ac:dyDescent="0.25">
      <c r="A225" s="15"/>
      <c r="B225" s="338"/>
      <c r="C225" s="335"/>
      <c r="D225" s="15"/>
    </row>
    <row r="226" spans="1:4" x14ac:dyDescent="0.25">
      <c r="A226" s="15"/>
      <c r="B226" s="338"/>
      <c r="C226" s="335"/>
      <c r="D226" s="15"/>
    </row>
    <row r="227" spans="1:4" x14ac:dyDescent="0.25">
      <c r="A227" s="15"/>
      <c r="B227" s="338"/>
      <c r="C227" s="335"/>
      <c r="D227" s="15"/>
    </row>
    <row r="228" spans="1:4" x14ac:dyDescent="0.25">
      <c r="A228" s="15"/>
      <c r="B228" s="338"/>
      <c r="C228" s="335"/>
      <c r="D228" s="15"/>
    </row>
    <row r="229" spans="1:4" x14ac:dyDescent="0.25">
      <c r="A229" s="15"/>
      <c r="B229" s="338"/>
      <c r="C229" s="335"/>
      <c r="D229" s="15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155"/>
  <sheetViews>
    <sheetView workbookViewId="0">
      <pane xSplit="3" ySplit="2" topLeftCell="D27" activePane="bottomRight" state="frozen"/>
      <selection activeCell="B79" sqref="B79:C79"/>
      <selection pane="topRight" activeCell="B79" sqref="B79:C79"/>
      <selection pane="bottomLeft" activeCell="B79" sqref="B79:C79"/>
      <selection pane="bottomRight" activeCell="A109" sqref="A109"/>
    </sheetView>
  </sheetViews>
  <sheetFormatPr defaultRowHeight="15" x14ac:dyDescent="0.25"/>
  <cols>
    <col min="1" max="1" width="52.85546875" style="72" customWidth="1"/>
    <col min="2" max="2" width="18.5703125" customWidth="1"/>
    <col min="3" max="3" width="24.5703125" customWidth="1"/>
    <col min="19" max="19" width="9.140625" style="203"/>
    <col min="22" max="22" width="9.140625" customWidth="1"/>
  </cols>
  <sheetData>
    <row r="1" spans="1:29" x14ac:dyDescent="0.25">
      <c r="A1" s="649" t="s">
        <v>267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649"/>
      <c r="M1" s="649"/>
      <c r="N1" s="649"/>
      <c r="O1" s="649"/>
      <c r="P1" s="649"/>
      <c r="Q1" s="649"/>
      <c r="R1" s="649"/>
      <c r="S1" s="82"/>
      <c r="T1" s="138"/>
      <c r="U1" s="138"/>
      <c r="V1" s="138"/>
      <c r="W1" s="138"/>
      <c r="X1" s="138"/>
      <c r="Y1" s="138"/>
      <c r="Z1" s="138"/>
      <c r="AA1" s="138"/>
      <c r="AB1" s="138"/>
    </row>
    <row r="2" spans="1:29" ht="28.5" customHeight="1" x14ac:dyDescent="0.25">
      <c r="A2" s="146" t="s">
        <v>268</v>
      </c>
      <c r="B2" s="139" t="s">
        <v>269</v>
      </c>
      <c r="C2" s="143" t="s">
        <v>270</v>
      </c>
      <c r="D2" s="619" t="s">
        <v>271</v>
      </c>
      <c r="E2" s="619"/>
      <c r="F2" s="619"/>
      <c r="G2" s="619"/>
      <c r="H2" s="619"/>
      <c r="I2" s="619"/>
      <c r="J2" s="619"/>
      <c r="K2" s="619"/>
      <c r="L2" s="619"/>
      <c r="M2" s="619"/>
      <c r="N2" s="619"/>
      <c r="O2" s="619"/>
      <c r="P2" s="619"/>
      <c r="Q2" s="619"/>
      <c r="R2" s="619"/>
      <c r="S2" s="207" t="s">
        <v>453</v>
      </c>
      <c r="T2" s="138"/>
      <c r="U2" s="206" t="s">
        <v>114</v>
      </c>
      <c r="V2" s="206" t="s">
        <v>147</v>
      </c>
      <c r="W2" s="206" t="s">
        <v>121</v>
      </c>
      <c r="X2" s="206" t="s">
        <v>117</v>
      </c>
      <c r="Y2" s="206" t="s">
        <v>154</v>
      </c>
      <c r="Z2" s="205" t="s">
        <v>119</v>
      </c>
      <c r="AA2" s="205" t="s">
        <v>187</v>
      </c>
      <c r="AB2" s="202"/>
    </row>
    <row r="3" spans="1:29" ht="15.75" x14ac:dyDescent="0.25">
      <c r="A3" s="178" t="str">
        <f>'Base Blend Property Calculation'!A7</f>
        <v>No Cement</v>
      </c>
      <c r="B3" s="140">
        <f>IF(C3=0,0,1)</f>
        <v>0</v>
      </c>
      <c r="C3" s="140">
        <f>'Base Blend Property Calculation'!BV7</f>
        <v>0</v>
      </c>
      <c r="D3" s="145">
        <f>'Bulk Plant Input'!$A$23</f>
        <v>0</v>
      </c>
      <c r="E3" s="145">
        <f>'Bulk Plant Input'!$A$24</f>
        <v>0</v>
      </c>
      <c r="F3" s="145">
        <f>'Bulk Plant Input'!$A$25</f>
        <v>0</v>
      </c>
      <c r="G3" s="145">
        <f>'Bulk Plant Input'!$A$26</f>
        <v>0</v>
      </c>
      <c r="H3" s="145">
        <f>'Bulk Plant Input'!$A$27</f>
        <v>0</v>
      </c>
      <c r="I3" s="145">
        <f>'Bulk Plant Input'!$A$28</f>
        <v>0</v>
      </c>
      <c r="J3" s="145">
        <f>'Bulk Plant Input'!$A$29</f>
        <v>0</v>
      </c>
      <c r="K3" s="145">
        <f>'Bulk Plant Input'!$A$30</f>
        <v>0</v>
      </c>
      <c r="L3" s="145">
        <f>'Bulk Plant Input'!$A$31</f>
        <v>0</v>
      </c>
      <c r="M3" s="145">
        <f>'Bulk Plant Input'!$A$32</f>
        <v>0</v>
      </c>
      <c r="N3" s="145">
        <f>'Bulk Plant Input'!$A$33</f>
        <v>0</v>
      </c>
      <c r="O3" s="145">
        <f>'Bulk Plant Input'!$A$34</f>
        <v>0</v>
      </c>
      <c r="P3" s="145">
        <f>'Bulk Plant Input'!$A$35</f>
        <v>0</v>
      </c>
      <c r="Q3" s="145">
        <f>'Bulk Plant Input'!$A$36</f>
        <v>0</v>
      </c>
      <c r="R3" s="145">
        <f>'Bulk Plant Input'!$A$37</f>
        <v>0</v>
      </c>
      <c r="S3" s="206">
        <v>0</v>
      </c>
      <c r="T3" s="138"/>
      <c r="U3" s="206">
        <f>COUNTIF('Bulk Plant Input'!$A$23:$A$37, "CFR")</f>
        <v>0</v>
      </c>
      <c r="V3" s="206">
        <f>COUNTIF('Bulk Plant Input'!$A$23:$A$37, "ASM-5")</f>
        <v>0</v>
      </c>
      <c r="W3" s="206">
        <f>COUNTIF('Bulk Plant Input'!$A$23:$A$37, "CaCl2")</f>
        <v>0</v>
      </c>
      <c r="X3" s="206">
        <f>COUNTIF('Bulk Plant Input'!$A$23:$A$37, "CFL-3")</f>
        <v>0</v>
      </c>
      <c r="Y3" s="206">
        <f>COUNTIF('Bulk Plant Input'!$A$23:$A$37, "CFL-3L")</f>
        <v>0</v>
      </c>
      <c r="Z3" s="206">
        <f>COUNTIF('Bulk Plant Input'!$A$23:$A$37, "CFL-6")</f>
        <v>0</v>
      </c>
      <c r="AA3" s="206">
        <f>SUM(V3:Z3)</f>
        <v>0</v>
      </c>
    </row>
    <row r="4" spans="1:29" s="144" customFormat="1" ht="15.75" x14ac:dyDescent="0.25">
      <c r="A4" s="178" t="str">
        <f>'Base Blend Property Calculation'!A8</f>
        <v>0:1:0 'A'</v>
      </c>
      <c r="B4" s="148">
        <f t="shared" ref="B4:B67" si="0">IF(C4=0,0,1)</f>
        <v>0</v>
      </c>
      <c r="C4" s="148">
        <f>'Base Blend Property Calculation'!BV8</f>
        <v>0</v>
      </c>
      <c r="D4" s="145">
        <f>'Bulk Plant Input'!$A$23</f>
        <v>0</v>
      </c>
      <c r="E4" s="145">
        <f>'Bulk Plant Input'!$A$24</f>
        <v>0</v>
      </c>
      <c r="F4" s="145">
        <f>'Bulk Plant Input'!$A$25</f>
        <v>0</v>
      </c>
      <c r="G4" s="145">
        <f>'Bulk Plant Input'!$A$26</f>
        <v>0</v>
      </c>
      <c r="H4" s="145">
        <f>'Bulk Plant Input'!$A$27</f>
        <v>0</v>
      </c>
      <c r="I4" s="145">
        <f>'Bulk Plant Input'!$A$28</f>
        <v>0</v>
      </c>
      <c r="J4" s="145">
        <f>'Bulk Plant Input'!$A$29</f>
        <v>0</v>
      </c>
      <c r="K4" s="145">
        <f>'Bulk Plant Input'!$A$30</f>
        <v>0</v>
      </c>
      <c r="L4" s="145">
        <f>'Bulk Plant Input'!$A$31</f>
        <v>0</v>
      </c>
      <c r="M4" s="145">
        <f>'Bulk Plant Input'!$A$32</f>
        <v>0</v>
      </c>
      <c r="N4" s="145">
        <f>'Bulk Plant Input'!$A$33</f>
        <v>0</v>
      </c>
      <c r="O4" s="145">
        <f>'Bulk Plant Input'!$A$34</f>
        <v>0</v>
      </c>
      <c r="P4" s="145">
        <f>'Bulk Plant Input'!$A$35</f>
        <v>0</v>
      </c>
      <c r="Q4" s="145">
        <f>'Bulk Plant Input'!$A$36</f>
        <v>0</v>
      </c>
      <c r="R4" s="145">
        <f>'Bulk Plant Input'!$A$37</f>
        <v>0</v>
      </c>
      <c r="S4" s="206">
        <v>0</v>
      </c>
      <c r="U4" s="147"/>
      <c r="V4" s="147"/>
      <c r="W4" s="147"/>
      <c r="X4" s="147"/>
      <c r="Y4" s="147"/>
      <c r="Z4" s="147"/>
      <c r="AA4" s="147"/>
      <c r="AB4" s="147"/>
    </row>
    <row r="5" spans="1:29" s="144" customFormat="1" ht="30.75" customHeight="1" x14ac:dyDescent="0.25">
      <c r="A5" s="178" t="str">
        <f>'Base Blend Property Calculation'!A9</f>
        <v>0:1:0 'C'</v>
      </c>
      <c r="B5" s="148">
        <f t="shared" si="0"/>
        <v>0</v>
      </c>
      <c r="C5" s="148">
        <f>'Base Blend Property Calculation'!BV9</f>
        <v>0</v>
      </c>
      <c r="D5" s="145">
        <f>'Bulk Plant Input'!$A$23</f>
        <v>0</v>
      </c>
      <c r="E5" s="145">
        <f>'Bulk Plant Input'!$A$24</f>
        <v>0</v>
      </c>
      <c r="F5" s="145">
        <f>'Bulk Plant Input'!$A$25</f>
        <v>0</v>
      </c>
      <c r="G5" s="145">
        <f>'Bulk Plant Input'!$A$26</f>
        <v>0</v>
      </c>
      <c r="H5" s="145">
        <f>'Bulk Plant Input'!$A$27</f>
        <v>0</v>
      </c>
      <c r="I5" s="145">
        <f>'Bulk Plant Input'!$A$28</f>
        <v>0</v>
      </c>
      <c r="J5" s="145">
        <f>'Bulk Plant Input'!$A$29</f>
        <v>0</v>
      </c>
      <c r="K5" s="145">
        <f>'Bulk Plant Input'!$A$30</f>
        <v>0</v>
      </c>
      <c r="L5" s="145">
        <f>'Bulk Plant Input'!$A$31</f>
        <v>0</v>
      </c>
      <c r="M5" s="145">
        <f>'Bulk Plant Input'!$A$32</f>
        <v>0</v>
      </c>
      <c r="N5" s="145">
        <f>'Bulk Plant Input'!$A$33</f>
        <v>0</v>
      </c>
      <c r="O5" s="145">
        <f>'Bulk Plant Input'!$A$34</f>
        <v>0</v>
      </c>
      <c r="P5" s="145">
        <f>'Bulk Plant Input'!$A$35</f>
        <v>0</v>
      </c>
      <c r="Q5" s="145">
        <f>'Bulk Plant Input'!$A$36</f>
        <v>0</v>
      </c>
      <c r="R5" s="145">
        <f>'Bulk Plant Input'!$A$37</f>
        <v>0</v>
      </c>
      <c r="S5" s="206">
        <v>0</v>
      </c>
      <c r="U5" s="204" t="s">
        <v>449</v>
      </c>
      <c r="V5" s="204" t="s">
        <v>450</v>
      </c>
      <c r="W5" s="208"/>
      <c r="X5" s="650" t="s">
        <v>451</v>
      </c>
      <c r="Y5" s="651"/>
      <c r="Z5" s="652"/>
      <c r="AA5" s="210">
        <f>IF(U6+V6&gt;1, 1, 0)</f>
        <v>0</v>
      </c>
      <c r="AB5" s="198" t="s">
        <v>452</v>
      </c>
      <c r="AC5" s="203"/>
    </row>
    <row r="6" spans="1:29" s="144" customFormat="1" ht="15.75" x14ac:dyDescent="0.25">
      <c r="A6" s="178" t="str">
        <f>'Base Blend Property Calculation'!A10</f>
        <v>0:1:0 'G'</v>
      </c>
      <c r="B6" s="148">
        <f t="shared" si="0"/>
        <v>0</v>
      </c>
      <c r="C6" s="148">
        <f>'Base Blend Property Calculation'!BV10</f>
        <v>0</v>
      </c>
      <c r="D6" s="145">
        <f>'Bulk Plant Input'!$A$23</f>
        <v>0</v>
      </c>
      <c r="E6" s="145">
        <f>'Bulk Plant Input'!$A$24</f>
        <v>0</v>
      </c>
      <c r="F6" s="145">
        <f>'Bulk Plant Input'!$A$25</f>
        <v>0</v>
      </c>
      <c r="G6" s="145">
        <f>'Bulk Plant Input'!$A$26</f>
        <v>0</v>
      </c>
      <c r="H6" s="145">
        <f>'Bulk Plant Input'!$A$27</f>
        <v>0</v>
      </c>
      <c r="I6" s="145">
        <f>'Bulk Plant Input'!$A$28</f>
        <v>0</v>
      </c>
      <c r="J6" s="145">
        <f>'Bulk Plant Input'!$A$29</f>
        <v>0</v>
      </c>
      <c r="K6" s="145">
        <f>'Bulk Plant Input'!$A$30</f>
        <v>0</v>
      </c>
      <c r="L6" s="145">
        <f>'Bulk Plant Input'!$A$31</f>
        <v>0</v>
      </c>
      <c r="M6" s="145">
        <f>'Bulk Plant Input'!$A$32</f>
        <v>0</v>
      </c>
      <c r="N6" s="145">
        <f>'Bulk Plant Input'!$A$33</f>
        <v>0</v>
      </c>
      <c r="O6" s="145">
        <f>'Bulk Plant Input'!$A$34</f>
        <v>0</v>
      </c>
      <c r="P6" s="145">
        <f>'Bulk Plant Input'!$A$35</f>
        <v>0</v>
      </c>
      <c r="Q6" s="145">
        <f>'Bulk Plant Input'!$A$36</f>
        <v>0</v>
      </c>
      <c r="R6" s="145">
        <f>'Bulk Plant Input'!$A$37</f>
        <v>0</v>
      </c>
      <c r="S6" s="206">
        <v>0</v>
      </c>
      <c r="U6" s="206">
        <f>IF(U3&gt;0,1,0)</f>
        <v>0</v>
      </c>
      <c r="V6" s="145">
        <f>IF(AA3&gt;0, 1, 0)</f>
        <v>0</v>
      </c>
      <c r="W6" s="208"/>
      <c r="X6" s="208"/>
      <c r="Y6" s="208"/>
      <c r="Z6" s="208"/>
      <c r="AA6" s="208"/>
      <c r="AB6" s="208"/>
      <c r="AC6" s="203"/>
    </row>
    <row r="7" spans="1:29" s="144" customFormat="1" ht="15.75" x14ac:dyDescent="0.25">
      <c r="A7" s="178" t="str">
        <f>'Base Blend Property Calculation'!A11</f>
        <v>0:1:12 'G'</v>
      </c>
      <c r="B7" s="148">
        <f t="shared" si="0"/>
        <v>0</v>
      </c>
      <c r="C7" s="148">
        <f>'Base Blend Property Calculation'!BV11</f>
        <v>0</v>
      </c>
      <c r="D7" s="145">
        <f>'Bulk Plant Input'!$A$23</f>
        <v>0</v>
      </c>
      <c r="E7" s="145">
        <f>'Bulk Plant Input'!$A$24</f>
        <v>0</v>
      </c>
      <c r="F7" s="145">
        <f>'Bulk Plant Input'!$A$25</f>
        <v>0</v>
      </c>
      <c r="G7" s="145">
        <f>'Bulk Plant Input'!$A$26</f>
        <v>0</v>
      </c>
      <c r="H7" s="145">
        <f>'Bulk Plant Input'!$A$27</f>
        <v>0</v>
      </c>
      <c r="I7" s="145">
        <f>'Bulk Plant Input'!$A$28</f>
        <v>0</v>
      </c>
      <c r="J7" s="145">
        <f>'Bulk Plant Input'!$A$29</f>
        <v>0</v>
      </c>
      <c r="K7" s="145">
        <f>'Bulk Plant Input'!$A$30</f>
        <v>0</v>
      </c>
      <c r="L7" s="145">
        <f>'Bulk Plant Input'!$A$31</f>
        <v>0</v>
      </c>
      <c r="M7" s="145">
        <f>'Bulk Plant Input'!$A$32</f>
        <v>0</v>
      </c>
      <c r="N7" s="145">
        <f>'Bulk Plant Input'!$A$33</f>
        <v>0</v>
      </c>
      <c r="O7" s="145">
        <f>'Bulk Plant Input'!$A$34</f>
        <v>0</v>
      </c>
      <c r="P7" s="145">
        <f>'Bulk Plant Input'!$A$35</f>
        <v>0</v>
      </c>
      <c r="Q7" s="145">
        <f>'Bulk Plant Input'!$A$36</f>
        <v>0</v>
      </c>
      <c r="R7" s="145">
        <f>'Bulk Plant Input'!$A$37</f>
        <v>0</v>
      </c>
      <c r="S7" s="206">
        <v>0</v>
      </c>
      <c r="U7" s="208"/>
      <c r="V7" s="208"/>
      <c r="W7" s="208"/>
      <c r="X7" s="208"/>
      <c r="Y7" s="208"/>
      <c r="Z7" s="208"/>
      <c r="AA7" s="208"/>
      <c r="AB7" s="208"/>
      <c r="AC7" s="203"/>
    </row>
    <row r="8" spans="1:29" s="144" customFormat="1" ht="15.75" x14ac:dyDescent="0.25">
      <c r="A8" s="178" t="str">
        <f>'Base Blend Property Calculation'!A12</f>
        <v>0:1:2 'G'</v>
      </c>
      <c r="B8" s="148">
        <f t="shared" si="0"/>
        <v>0</v>
      </c>
      <c r="C8" s="148">
        <f>'Base Blend Property Calculation'!BV12</f>
        <v>0</v>
      </c>
      <c r="D8" s="145">
        <f>'Bulk Plant Input'!$A$23</f>
        <v>0</v>
      </c>
      <c r="E8" s="145">
        <f>'Bulk Plant Input'!$A$24</f>
        <v>0</v>
      </c>
      <c r="F8" s="145">
        <f>'Bulk Plant Input'!$A$25</f>
        <v>0</v>
      </c>
      <c r="G8" s="145">
        <f>'Bulk Plant Input'!$A$26</f>
        <v>0</v>
      </c>
      <c r="H8" s="145">
        <f>'Bulk Plant Input'!$A$27</f>
        <v>0</v>
      </c>
      <c r="I8" s="145">
        <f>'Bulk Plant Input'!$A$28</f>
        <v>0</v>
      </c>
      <c r="J8" s="145">
        <f>'Bulk Plant Input'!$A$29</f>
        <v>0</v>
      </c>
      <c r="K8" s="145">
        <f>'Bulk Plant Input'!$A$30</f>
        <v>0</v>
      </c>
      <c r="L8" s="145">
        <f>'Bulk Plant Input'!$A$31</f>
        <v>0</v>
      </c>
      <c r="M8" s="145">
        <f>'Bulk Plant Input'!$A$32</f>
        <v>0</v>
      </c>
      <c r="N8" s="145">
        <f>'Bulk Plant Input'!$A$33</f>
        <v>0</v>
      </c>
      <c r="O8" s="145">
        <f>'Bulk Plant Input'!$A$34</f>
        <v>0</v>
      </c>
      <c r="P8" s="145">
        <f>'Bulk Plant Input'!$A$35</f>
        <v>0</v>
      </c>
      <c r="Q8" s="145">
        <f>'Bulk Plant Input'!$A$36</f>
        <v>0</v>
      </c>
      <c r="R8" s="145">
        <f>'Bulk Plant Input'!$A$37</f>
        <v>0</v>
      </c>
      <c r="S8" s="206">
        <v>0</v>
      </c>
      <c r="V8" s="209"/>
      <c r="W8" s="208"/>
      <c r="X8" s="201"/>
      <c r="Z8" s="147"/>
      <c r="AA8" s="147"/>
      <c r="AB8" s="147"/>
    </row>
    <row r="9" spans="1:29" s="144" customFormat="1" ht="15.75" x14ac:dyDescent="0.25">
      <c r="A9" s="178" t="str">
        <f>'Base Blend Property Calculation'!A13</f>
        <v>0:1:4 'G'</v>
      </c>
      <c r="B9" s="148">
        <f t="shared" si="0"/>
        <v>0</v>
      </c>
      <c r="C9" s="148">
        <f>'Base Blend Property Calculation'!BV13</f>
        <v>0</v>
      </c>
      <c r="D9" s="145">
        <f>'Bulk Plant Input'!$A$23</f>
        <v>0</v>
      </c>
      <c r="E9" s="145">
        <f>'Bulk Plant Input'!$A$24</f>
        <v>0</v>
      </c>
      <c r="F9" s="145">
        <f>'Bulk Plant Input'!$A$25</f>
        <v>0</v>
      </c>
      <c r="G9" s="145">
        <f>'Bulk Plant Input'!$A$26</f>
        <v>0</v>
      </c>
      <c r="H9" s="145">
        <f>'Bulk Plant Input'!$A$27</f>
        <v>0</v>
      </c>
      <c r="I9" s="145">
        <f>'Bulk Plant Input'!$A$28</f>
        <v>0</v>
      </c>
      <c r="J9" s="145">
        <f>'Bulk Plant Input'!$A$29</f>
        <v>0</v>
      </c>
      <c r="K9" s="145">
        <f>'Bulk Plant Input'!$A$30</f>
        <v>0</v>
      </c>
      <c r="L9" s="145">
        <f>'Bulk Plant Input'!$A$31</f>
        <v>0</v>
      </c>
      <c r="M9" s="145">
        <f>'Bulk Plant Input'!$A$32</f>
        <v>0</v>
      </c>
      <c r="N9" s="145">
        <f>'Bulk Plant Input'!$A$33</f>
        <v>0</v>
      </c>
      <c r="O9" s="145">
        <f>'Bulk Plant Input'!$A$34</f>
        <v>0</v>
      </c>
      <c r="P9" s="145">
        <f>'Bulk Plant Input'!$A$35</f>
        <v>0</v>
      </c>
      <c r="Q9" s="145">
        <f>'Bulk Plant Input'!$A$36</f>
        <v>0</v>
      </c>
      <c r="R9" s="145">
        <f>'Bulk Plant Input'!$A$37</f>
        <v>0</v>
      </c>
      <c r="S9" s="206">
        <v>0</v>
      </c>
      <c r="U9" s="147"/>
      <c r="V9" s="147"/>
      <c r="W9" s="147"/>
      <c r="X9" s="147"/>
      <c r="Y9" s="147"/>
      <c r="Z9" s="147"/>
      <c r="AA9" s="147"/>
      <c r="AB9" s="147"/>
    </row>
    <row r="10" spans="1:29" s="144" customFormat="1" ht="15.75" x14ac:dyDescent="0.25">
      <c r="A10" s="178" t="str">
        <f>'Base Blend Property Calculation'!A14</f>
        <v>0:1:6 'G'</v>
      </c>
      <c r="B10" s="148">
        <f t="shared" si="0"/>
        <v>0</v>
      </c>
      <c r="C10" s="148">
        <f>'Base Blend Property Calculation'!BV14</f>
        <v>0</v>
      </c>
      <c r="D10" s="145">
        <f>'Bulk Plant Input'!$A$23</f>
        <v>0</v>
      </c>
      <c r="E10" s="145">
        <f>'Bulk Plant Input'!$A$24</f>
        <v>0</v>
      </c>
      <c r="F10" s="145">
        <f>'Bulk Plant Input'!$A$25</f>
        <v>0</v>
      </c>
      <c r="G10" s="145">
        <f>'Bulk Plant Input'!$A$26</f>
        <v>0</v>
      </c>
      <c r="H10" s="145">
        <f>'Bulk Plant Input'!$A$27</f>
        <v>0</v>
      </c>
      <c r="I10" s="145">
        <f>'Bulk Plant Input'!$A$28</f>
        <v>0</v>
      </c>
      <c r="J10" s="145">
        <f>'Bulk Plant Input'!$A$29</f>
        <v>0</v>
      </c>
      <c r="K10" s="145">
        <f>'Bulk Plant Input'!$A$30</f>
        <v>0</v>
      </c>
      <c r="L10" s="145">
        <f>'Bulk Plant Input'!$A$31</f>
        <v>0</v>
      </c>
      <c r="M10" s="145">
        <f>'Bulk Plant Input'!$A$32</f>
        <v>0</v>
      </c>
      <c r="N10" s="145">
        <f>'Bulk Plant Input'!$A$33</f>
        <v>0</v>
      </c>
      <c r="O10" s="145">
        <f>'Bulk Plant Input'!$A$34</f>
        <v>0</v>
      </c>
      <c r="P10" s="145">
        <f>'Bulk Plant Input'!$A$35</f>
        <v>0</v>
      </c>
      <c r="Q10" s="145">
        <f>'Bulk Plant Input'!$A$36</f>
        <v>0</v>
      </c>
      <c r="R10" s="145">
        <f>'Bulk Plant Input'!$A$37</f>
        <v>0</v>
      </c>
      <c r="S10" s="206">
        <v>0</v>
      </c>
      <c r="W10" s="84" t="s">
        <v>455</v>
      </c>
      <c r="X10" s="206">
        <f>IF(U6&gt;0, 15, 0)</f>
        <v>0</v>
      </c>
      <c r="Z10" s="84" t="s">
        <v>456</v>
      </c>
      <c r="AA10" s="206">
        <f>VLOOKUP('Bulk Plant Input'!A19, 'Base Blend Compatibility Test'!A3:S152, 19, FALSE)</f>
        <v>0</v>
      </c>
      <c r="AB10" s="147"/>
    </row>
    <row r="11" spans="1:29" s="144" customFormat="1" ht="15.75" x14ac:dyDescent="0.25">
      <c r="A11" s="178" t="str">
        <f>'Base Blend Property Calculation'!A15</f>
        <v>0:1:8 'G'</v>
      </c>
      <c r="B11" s="148">
        <f t="shared" si="0"/>
        <v>0</v>
      </c>
      <c r="C11" s="148">
        <f>'Base Blend Property Calculation'!BV15</f>
        <v>0</v>
      </c>
      <c r="D11" s="145">
        <f>'Bulk Plant Input'!$A$23</f>
        <v>0</v>
      </c>
      <c r="E11" s="145">
        <f>'Bulk Plant Input'!$A$24</f>
        <v>0</v>
      </c>
      <c r="F11" s="145">
        <f>'Bulk Plant Input'!$A$25</f>
        <v>0</v>
      </c>
      <c r="G11" s="145">
        <f>'Bulk Plant Input'!$A$26</f>
        <v>0</v>
      </c>
      <c r="H11" s="145">
        <f>'Bulk Plant Input'!$A$27</f>
        <v>0</v>
      </c>
      <c r="I11" s="145">
        <f>'Bulk Plant Input'!$A$28</f>
        <v>0</v>
      </c>
      <c r="J11" s="145">
        <f>'Bulk Plant Input'!$A$29</f>
        <v>0</v>
      </c>
      <c r="K11" s="145">
        <f>'Bulk Plant Input'!$A$30</f>
        <v>0</v>
      </c>
      <c r="L11" s="145">
        <f>'Bulk Plant Input'!$A$31</f>
        <v>0</v>
      </c>
      <c r="M11" s="145">
        <f>'Bulk Plant Input'!$A$32</f>
        <v>0</v>
      </c>
      <c r="N11" s="145">
        <f>'Bulk Plant Input'!$A$33</f>
        <v>0</v>
      </c>
      <c r="O11" s="145">
        <f>'Bulk Plant Input'!$A$34</f>
        <v>0</v>
      </c>
      <c r="P11" s="145">
        <f>'Bulk Plant Input'!$A$35</f>
        <v>0</v>
      </c>
      <c r="Q11" s="145">
        <f>'Bulk Plant Input'!$A$36</f>
        <v>0</v>
      </c>
      <c r="R11" s="145">
        <f>'Bulk Plant Input'!$A$37</f>
        <v>0</v>
      </c>
      <c r="S11" s="206">
        <v>0</v>
      </c>
    </row>
    <row r="12" spans="1:29" s="144" customFormat="1" ht="15.75" x14ac:dyDescent="0.25">
      <c r="A12" s="178" t="str">
        <f>'Base Blend Property Calculation'!A16</f>
        <v>1:1:0 'G'</v>
      </c>
      <c r="B12" s="148">
        <f t="shared" si="0"/>
        <v>0</v>
      </c>
      <c r="C12" s="148">
        <f>'Base Blend Property Calculation'!BV16</f>
        <v>0</v>
      </c>
      <c r="D12" s="145">
        <f>'Bulk Plant Input'!$A$23</f>
        <v>0</v>
      </c>
      <c r="E12" s="145">
        <f>'Bulk Plant Input'!$A$24</f>
        <v>0</v>
      </c>
      <c r="F12" s="145">
        <f>'Bulk Plant Input'!$A$25</f>
        <v>0</v>
      </c>
      <c r="G12" s="145">
        <f>'Bulk Plant Input'!$A$26</f>
        <v>0</v>
      </c>
      <c r="H12" s="145">
        <f>'Bulk Plant Input'!$A$27</f>
        <v>0</v>
      </c>
      <c r="I12" s="145">
        <f>'Bulk Plant Input'!$A$28</f>
        <v>0</v>
      </c>
      <c r="J12" s="145">
        <f>'Bulk Plant Input'!$A$29</f>
        <v>0</v>
      </c>
      <c r="K12" s="145">
        <f>'Bulk Plant Input'!$A$30</f>
        <v>0</v>
      </c>
      <c r="L12" s="145">
        <f>'Bulk Plant Input'!$A$31</f>
        <v>0</v>
      </c>
      <c r="M12" s="145">
        <f>'Bulk Plant Input'!$A$32</f>
        <v>0</v>
      </c>
      <c r="N12" s="145">
        <f>'Bulk Plant Input'!$A$33</f>
        <v>0</v>
      </c>
      <c r="O12" s="145">
        <f>'Bulk Plant Input'!$A$34</f>
        <v>0</v>
      </c>
      <c r="P12" s="145">
        <f>'Bulk Plant Input'!$A$35</f>
        <v>0</v>
      </c>
      <c r="Q12" s="145">
        <f>'Bulk Plant Input'!$A$36</f>
        <v>0</v>
      </c>
      <c r="R12" s="145">
        <f>'Bulk Plant Input'!$A$37</f>
        <v>0</v>
      </c>
      <c r="S12" s="206">
        <v>0</v>
      </c>
      <c r="U12" s="209" t="s">
        <v>454</v>
      </c>
      <c r="AA12" s="206">
        <f>IF(X10+AA10&gt;15, 1, 0)</f>
        <v>0</v>
      </c>
    </row>
    <row r="13" spans="1:29" s="144" customFormat="1" ht="15.75" x14ac:dyDescent="0.25">
      <c r="A13" s="178" t="str">
        <f>'Base Blend Property Calculation'!A17</f>
        <v>1:1:0 'G' (Sask)</v>
      </c>
      <c r="B13" s="148">
        <f t="shared" si="0"/>
        <v>0</v>
      </c>
      <c r="C13" s="148">
        <f>'Base Blend Property Calculation'!BV17</f>
        <v>0</v>
      </c>
      <c r="D13" s="145">
        <f>'Bulk Plant Input'!$A$23</f>
        <v>0</v>
      </c>
      <c r="E13" s="145">
        <f>'Bulk Plant Input'!$A$24</f>
        <v>0</v>
      </c>
      <c r="F13" s="145">
        <f>'Bulk Plant Input'!$A$25</f>
        <v>0</v>
      </c>
      <c r="G13" s="145">
        <f>'Bulk Plant Input'!$A$26</f>
        <v>0</v>
      </c>
      <c r="H13" s="145">
        <f>'Bulk Plant Input'!$A$27</f>
        <v>0</v>
      </c>
      <c r="I13" s="145">
        <f>'Bulk Plant Input'!$A$28</f>
        <v>0</v>
      </c>
      <c r="J13" s="145">
        <f>'Bulk Plant Input'!$A$29</f>
        <v>0</v>
      </c>
      <c r="K13" s="145">
        <f>'Bulk Plant Input'!$A$30</f>
        <v>0</v>
      </c>
      <c r="L13" s="145">
        <f>'Bulk Plant Input'!$A$31</f>
        <v>0</v>
      </c>
      <c r="M13" s="145">
        <f>'Bulk Plant Input'!$A$32</f>
        <v>0</v>
      </c>
      <c r="N13" s="145">
        <f>'Bulk Plant Input'!$A$33</f>
        <v>0</v>
      </c>
      <c r="O13" s="145">
        <f>'Bulk Plant Input'!$A$34</f>
        <v>0</v>
      </c>
      <c r="P13" s="145">
        <f>'Bulk Plant Input'!$A$35</f>
        <v>0</v>
      </c>
      <c r="Q13" s="145">
        <f>'Bulk Plant Input'!$A$36</f>
        <v>0</v>
      </c>
      <c r="R13" s="145">
        <f>'Bulk Plant Input'!$A$37</f>
        <v>0</v>
      </c>
      <c r="S13" s="206">
        <v>0</v>
      </c>
    </row>
    <row r="14" spans="1:29" s="144" customFormat="1" ht="16.5" thickBot="1" x14ac:dyDescent="0.3">
      <c r="A14" s="178" t="str">
        <f>'Base Blend Property Calculation'!A18</f>
        <v>1:1:12 'G'</v>
      </c>
      <c r="B14" s="148">
        <f t="shared" si="0"/>
        <v>0</v>
      </c>
      <c r="C14" s="148">
        <f>'Base Blend Property Calculation'!BV18</f>
        <v>0</v>
      </c>
      <c r="D14" s="145">
        <f>'Bulk Plant Input'!$A$23</f>
        <v>0</v>
      </c>
      <c r="E14" s="145">
        <f>'Bulk Plant Input'!$A$24</f>
        <v>0</v>
      </c>
      <c r="F14" s="145">
        <f>'Bulk Plant Input'!$A$25</f>
        <v>0</v>
      </c>
      <c r="G14" s="145">
        <f>'Bulk Plant Input'!$A$26</f>
        <v>0</v>
      </c>
      <c r="H14" s="145">
        <f>'Bulk Plant Input'!$A$27</f>
        <v>0</v>
      </c>
      <c r="I14" s="145">
        <f>'Bulk Plant Input'!$A$28</f>
        <v>0</v>
      </c>
      <c r="J14" s="145">
        <f>'Bulk Plant Input'!$A$29</f>
        <v>0</v>
      </c>
      <c r="K14" s="145">
        <f>'Bulk Plant Input'!$A$30</f>
        <v>0</v>
      </c>
      <c r="L14" s="145">
        <f>'Bulk Plant Input'!$A$31</f>
        <v>0</v>
      </c>
      <c r="M14" s="145">
        <f>'Bulk Plant Input'!$A$32</f>
        <v>0</v>
      </c>
      <c r="N14" s="145">
        <f>'Bulk Plant Input'!$A$33</f>
        <v>0</v>
      </c>
      <c r="O14" s="145">
        <f>'Bulk Plant Input'!$A$34</f>
        <v>0</v>
      </c>
      <c r="P14" s="145">
        <f>'Bulk Plant Input'!$A$35</f>
        <v>0</v>
      </c>
      <c r="Q14" s="145">
        <f>'Bulk Plant Input'!$A$36</f>
        <v>0</v>
      </c>
      <c r="R14" s="145">
        <f>'Bulk Plant Input'!$A$37</f>
        <v>0</v>
      </c>
      <c r="S14" s="206">
        <v>0</v>
      </c>
    </row>
    <row r="15" spans="1:29" s="144" customFormat="1" ht="17.25" thickTop="1" thickBot="1" x14ac:dyDescent="0.3">
      <c r="A15" s="178" t="str">
        <f>'Base Blend Property Calculation'!A19</f>
        <v>1:1:12 'G' (Sask)</v>
      </c>
      <c r="B15" s="148">
        <f t="shared" si="0"/>
        <v>0</v>
      </c>
      <c r="C15" s="148">
        <f>'Base Blend Property Calculation'!BV19</f>
        <v>0</v>
      </c>
      <c r="D15" s="145">
        <f>'Bulk Plant Input'!$A$23</f>
        <v>0</v>
      </c>
      <c r="E15" s="145">
        <f>'Bulk Plant Input'!$A$24</f>
        <v>0</v>
      </c>
      <c r="F15" s="145">
        <f>'Bulk Plant Input'!$A$25</f>
        <v>0</v>
      </c>
      <c r="G15" s="145">
        <f>'Bulk Plant Input'!$A$26</f>
        <v>0</v>
      </c>
      <c r="H15" s="145">
        <f>'Bulk Plant Input'!$A$27</f>
        <v>0</v>
      </c>
      <c r="I15" s="145">
        <f>'Bulk Plant Input'!$A$28</f>
        <v>0</v>
      </c>
      <c r="J15" s="145">
        <f>'Bulk Plant Input'!$A$29</f>
        <v>0</v>
      </c>
      <c r="K15" s="145">
        <f>'Bulk Plant Input'!$A$30</f>
        <v>0</v>
      </c>
      <c r="L15" s="145">
        <f>'Bulk Plant Input'!$A$31</f>
        <v>0</v>
      </c>
      <c r="M15" s="145">
        <f>'Bulk Plant Input'!$A$32</f>
        <v>0</v>
      </c>
      <c r="N15" s="145">
        <f>'Bulk Plant Input'!$A$33</f>
        <v>0</v>
      </c>
      <c r="O15" s="145">
        <f>'Bulk Plant Input'!$A$34</f>
        <v>0</v>
      </c>
      <c r="P15" s="145">
        <f>'Bulk Plant Input'!$A$35</f>
        <v>0</v>
      </c>
      <c r="Q15" s="145">
        <f>'Bulk Plant Input'!$A$36</f>
        <v>0</v>
      </c>
      <c r="R15" s="145">
        <f>'Bulk Plant Input'!$A$37</f>
        <v>0</v>
      </c>
      <c r="S15" s="206">
        <v>0</v>
      </c>
      <c r="U15" s="199" t="s">
        <v>457</v>
      </c>
      <c r="V15" s="200"/>
      <c r="W15" s="200"/>
      <c r="X15" s="197">
        <f>IF(AA12+AA5&gt;0, 1, 0)</f>
        <v>0</v>
      </c>
      <c r="Y15" s="147"/>
      <c r="Z15" s="147"/>
      <c r="AA15" s="147"/>
      <c r="AB15" s="147"/>
    </row>
    <row r="16" spans="1:29" s="144" customFormat="1" ht="16.5" thickTop="1" x14ac:dyDescent="0.25">
      <c r="A16" s="178" t="str">
        <f>'Base Blend Property Calculation'!A20</f>
        <v>1:1:2 'G'</v>
      </c>
      <c r="B16" s="148">
        <f t="shared" si="0"/>
        <v>0</v>
      </c>
      <c r="C16" s="148">
        <f>'Base Blend Property Calculation'!BV20</f>
        <v>0</v>
      </c>
      <c r="D16" s="145">
        <f>'Bulk Plant Input'!$A$23</f>
        <v>0</v>
      </c>
      <c r="E16" s="145">
        <f>'Bulk Plant Input'!$A$24</f>
        <v>0</v>
      </c>
      <c r="F16" s="145">
        <f>'Bulk Plant Input'!$A$25</f>
        <v>0</v>
      </c>
      <c r="G16" s="145">
        <f>'Bulk Plant Input'!$A$26</f>
        <v>0</v>
      </c>
      <c r="H16" s="145">
        <f>'Bulk Plant Input'!$A$27</f>
        <v>0</v>
      </c>
      <c r="I16" s="145">
        <f>'Bulk Plant Input'!$A$28</f>
        <v>0</v>
      </c>
      <c r="J16" s="145">
        <f>'Bulk Plant Input'!$A$29</f>
        <v>0</v>
      </c>
      <c r="K16" s="145">
        <f>'Bulk Plant Input'!$A$30</f>
        <v>0</v>
      </c>
      <c r="L16" s="145">
        <f>'Bulk Plant Input'!$A$31</f>
        <v>0</v>
      </c>
      <c r="M16" s="145">
        <f>'Bulk Plant Input'!$A$32</f>
        <v>0</v>
      </c>
      <c r="N16" s="145">
        <f>'Bulk Plant Input'!$A$33</f>
        <v>0</v>
      </c>
      <c r="O16" s="145">
        <f>'Bulk Plant Input'!$A$34</f>
        <v>0</v>
      </c>
      <c r="P16" s="145">
        <f>'Bulk Plant Input'!$A$35</f>
        <v>0</v>
      </c>
      <c r="Q16" s="145">
        <f>'Bulk Plant Input'!$A$36</f>
        <v>0</v>
      </c>
      <c r="R16" s="145">
        <f>'Bulk Plant Input'!$A$37</f>
        <v>0</v>
      </c>
      <c r="S16" s="206">
        <v>0</v>
      </c>
      <c r="U16" s="147"/>
      <c r="V16" s="147"/>
      <c r="W16" s="147"/>
      <c r="X16" s="147"/>
      <c r="Y16" s="147"/>
      <c r="Z16" s="147"/>
      <c r="AA16" s="147"/>
      <c r="AB16" s="147"/>
    </row>
    <row r="17" spans="1:28" s="144" customFormat="1" ht="15.75" x14ac:dyDescent="0.25">
      <c r="A17" s="178" t="str">
        <f>'Base Blend Property Calculation'!A21</f>
        <v>1:1:2 'G' (Sask)</v>
      </c>
      <c r="B17" s="148">
        <f t="shared" si="0"/>
        <v>0</v>
      </c>
      <c r="C17" s="148">
        <f>'Base Blend Property Calculation'!BV21</f>
        <v>0</v>
      </c>
      <c r="D17" s="145">
        <f>'Bulk Plant Input'!$A$23</f>
        <v>0</v>
      </c>
      <c r="E17" s="145">
        <f>'Bulk Plant Input'!$A$24</f>
        <v>0</v>
      </c>
      <c r="F17" s="145">
        <f>'Bulk Plant Input'!$A$25</f>
        <v>0</v>
      </c>
      <c r="G17" s="145">
        <f>'Bulk Plant Input'!$A$26</f>
        <v>0</v>
      </c>
      <c r="H17" s="145">
        <f>'Bulk Plant Input'!$A$27</f>
        <v>0</v>
      </c>
      <c r="I17" s="145">
        <f>'Bulk Plant Input'!$A$28</f>
        <v>0</v>
      </c>
      <c r="J17" s="145">
        <f>'Bulk Plant Input'!$A$29</f>
        <v>0</v>
      </c>
      <c r="K17" s="145">
        <f>'Bulk Plant Input'!$A$30</f>
        <v>0</v>
      </c>
      <c r="L17" s="145">
        <f>'Bulk Plant Input'!$A$31</f>
        <v>0</v>
      </c>
      <c r="M17" s="145">
        <f>'Bulk Plant Input'!$A$32</f>
        <v>0</v>
      </c>
      <c r="N17" s="145">
        <f>'Bulk Plant Input'!$A$33</f>
        <v>0</v>
      </c>
      <c r="O17" s="145">
        <f>'Bulk Plant Input'!$A$34</f>
        <v>0</v>
      </c>
      <c r="P17" s="145">
        <f>'Bulk Plant Input'!$A$35</f>
        <v>0</v>
      </c>
      <c r="Q17" s="145">
        <f>'Bulk Plant Input'!$A$36</f>
        <v>0</v>
      </c>
      <c r="R17" s="145">
        <f>'Bulk Plant Input'!$A$37</f>
        <v>0</v>
      </c>
      <c r="S17" s="206">
        <v>0</v>
      </c>
      <c r="U17" s="147"/>
      <c r="V17" s="147"/>
      <c r="W17" s="147"/>
      <c r="X17" s="147"/>
      <c r="Y17" s="147"/>
      <c r="Z17" s="147"/>
      <c r="AA17" s="147"/>
      <c r="AB17" s="147"/>
    </row>
    <row r="18" spans="1:28" s="144" customFormat="1" ht="15.75" x14ac:dyDescent="0.25">
      <c r="A18" s="178" t="str">
        <f>'Base Blend Property Calculation'!A22</f>
        <v>1:1:4 'G'</v>
      </c>
      <c r="B18" s="148">
        <f t="shared" si="0"/>
        <v>0</v>
      </c>
      <c r="C18" s="148">
        <f>'Base Blend Property Calculation'!BV22</f>
        <v>0</v>
      </c>
      <c r="D18" s="145">
        <f>'Bulk Plant Input'!$A$23</f>
        <v>0</v>
      </c>
      <c r="E18" s="145">
        <f>'Bulk Plant Input'!$A$24</f>
        <v>0</v>
      </c>
      <c r="F18" s="145">
        <f>'Bulk Plant Input'!$A$25</f>
        <v>0</v>
      </c>
      <c r="G18" s="145">
        <f>'Bulk Plant Input'!$A$26</f>
        <v>0</v>
      </c>
      <c r="H18" s="145">
        <f>'Bulk Plant Input'!$A$27</f>
        <v>0</v>
      </c>
      <c r="I18" s="145">
        <f>'Bulk Plant Input'!$A$28</f>
        <v>0</v>
      </c>
      <c r="J18" s="145">
        <f>'Bulk Plant Input'!$A$29</f>
        <v>0</v>
      </c>
      <c r="K18" s="145">
        <f>'Bulk Plant Input'!$A$30</f>
        <v>0</v>
      </c>
      <c r="L18" s="145">
        <f>'Bulk Plant Input'!$A$31</f>
        <v>0</v>
      </c>
      <c r="M18" s="145">
        <f>'Bulk Plant Input'!$A$32</f>
        <v>0</v>
      </c>
      <c r="N18" s="145">
        <f>'Bulk Plant Input'!$A$33</f>
        <v>0</v>
      </c>
      <c r="O18" s="145">
        <f>'Bulk Plant Input'!$A$34</f>
        <v>0</v>
      </c>
      <c r="P18" s="145">
        <f>'Bulk Plant Input'!$A$35</f>
        <v>0</v>
      </c>
      <c r="Q18" s="145">
        <f>'Bulk Plant Input'!$A$36</f>
        <v>0</v>
      </c>
      <c r="R18" s="145">
        <f>'Bulk Plant Input'!$A$37</f>
        <v>0</v>
      </c>
      <c r="S18" s="206">
        <v>0</v>
      </c>
      <c r="U18" s="147"/>
      <c r="V18" s="147"/>
      <c r="W18" s="147"/>
      <c r="X18" s="147"/>
      <c r="Y18" s="147"/>
      <c r="Z18" s="147"/>
      <c r="AA18" s="147"/>
      <c r="AB18" s="147"/>
    </row>
    <row r="19" spans="1:28" s="144" customFormat="1" ht="15.75" x14ac:dyDescent="0.25">
      <c r="A19" s="178" t="str">
        <f>'Base Blend Property Calculation'!A23</f>
        <v>1:1:4 'G' (Sask)</v>
      </c>
      <c r="B19" s="148">
        <f t="shared" si="0"/>
        <v>0</v>
      </c>
      <c r="C19" s="148">
        <f>'Base Blend Property Calculation'!BV23</f>
        <v>0</v>
      </c>
      <c r="D19" s="145">
        <f>'Bulk Plant Input'!$A$23</f>
        <v>0</v>
      </c>
      <c r="E19" s="145">
        <f>'Bulk Plant Input'!$A$24</f>
        <v>0</v>
      </c>
      <c r="F19" s="145">
        <f>'Bulk Plant Input'!$A$25</f>
        <v>0</v>
      </c>
      <c r="G19" s="145">
        <f>'Bulk Plant Input'!$A$26</f>
        <v>0</v>
      </c>
      <c r="H19" s="145">
        <f>'Bulk Plant Input'!$A$27</f>
        <v>0</v>
      </c>
      <c r="I19" s="145">
        <f>'Bulk Plant Input'!$A$28</f>
        <v>0</v>
      </c>
      <c r="J19" s="145">
        <f>'Bulk Plant Input'!$A$29</f>
        <v>0</v>
      </c>
      <c r="K19" s="145">
        <f>'Bulk Plant Input'!$A$30</f>
        <v>0</v>
      </c>
      <c r="L19" s="145">
        <f>'Bulk Plant Input'!$A$31</f>
        <v>0</v>
      </c>
      <c r="M19" s="145">
        <f>'Bulk Plant Input'!$A$32</f>
        <v>0</v>
      </c>
      <c r="N19" s="145">
        <f>'Bulk Plant Input'!$A$33</f>
        <v>0</v>
      </c>
      <c r="O19" s="145">
        <f>'Bulk Plant Input'!$A$34</f>
        <v>0</v>
      </c>
      <c r="P19" s="145">
        <f>'Bulk Plant Input'!$A$35</f>
        <v>0</v>
      </c>
      <c r="Q19" s="145">
        <f>'Bulk Plant Input'!$A$36</f>
        <v>0</v>
      </c>
      <c r="R19" s="145">
        <f>'Bulk Plant Input'!$A$37</f>
        <v>0</v>
      </c>
      <c r="S19" s="206">
        <v>0</v>
      </c>
      <c r="U19" s="147"/>
      <c r="V19" s="147"/>
      <c r="W19" s="147"/>
      <c r="X19" s="147"/>
      <c r="Y19" s="147"/>
      <c r="Z19" s="147"/>
      <c r="AA19" s="147"/>
      <c r="AB19" s="147"/>
    </row>
    <row r="20" spans="1:28" s="144" customFormat="1" ht="15.75" x14ac:dyDescent="0.25">
      <c r="A20" s="178" t="str">
        <f>'Base Blend Property Calculation'!A24</f>
        <v>1:1:6 'G'</v>
      </c>
      <c r="B20" s="148">
        <f t="shared" si="0"/>
        <v>0</v>
      </c>
      <c r="C20" s="148">
        <f>'Base Blend Property Calculation'!BV24</f>
        <v>0</v>
      </c>
      <c r="D20" s="145">
        <f>'Bulk Plant Input'!$A$23</f>
        <v>0</v>
      </c>
      <c r="E20" s="145">
        <f>'Bulk Plant Input'!$A$24</f>
        <v>0</v>
      </c>
      <c r="F20" s="145">
        <f>'Bulk Plant Input'!$A$25</f>
        <v>0</v>
      </c>
      <c r="G20" s="145">
        <f>'Bulk Plant Input'!$A$26</f>
        <v>0</v>
      </c>
      <c r="H20" s="145">
        <f>'Bulk Plant Input'!$A$27</f>
        <v>0</v>
      </c>
      <c r="I20" s="145">
        <f>'Bulk Plant Input'!$A$28</f>
        <v>0</v>
      </c>
      <c r="J20" s="145">
        <f>'Bulk Plant Input'!$A$29</f>
        <v>0</v>
      </c>
      <c r="K20" s="145">
        <f>'Bulk Plant Input'!$A$30</f>
        <v>0</v>
      </c>
      <c r="L20" s="145">
        <f>'Bulk Plant Input'!$A$31</f>
        <v>0</v>
      </c>
      <c r="M20" s="145">
        <f>'Bulk Plant Input'!$A$32</f>
        <v>0</v>
      </c>
      <c r="N20" s="145">
        <f>'Bulk Plant Input'!$A$33</f>
        <v>0</v>
      </c>
      <c r="O20" s="145">
        <f>'Bulk Plant Input'!$A$34</f>
        <v>0</v>
      </c>
      <c r="P20" s="145">
        <f>'Bulk Plant Input'!$A$35</f>
        <v>0</v>
      </c>
      <c r="Q20" s="145">
        <f>'Bulk Plant Input'!$A$36</f>
        <v>0</v>
      </c>
      <c r="R20" s="145">
        <f>'Bulk Plant Input'!$A$37</f>
        <v>0</v>
      </c>
      <c r="S20" s="206">
        <v>0</v>
      </c>
      <c r="U20" s="147"/>
      <c r="V20" s="147"/>
      <c r="W20" s="147"/>
      <c r="X20" s="147"/>
      <c r="Y20" s="147"/>
      <c r="Z20" s="147"/>
      <c r="AA20" s="147"/>
      <c r="AB20" s="147"/>
    </row>
    <row r="21" spans="1:28" s="144" customFormat="1" ht="15.75" x14ac:dyDescent="0.25">
      <c r="A21" s="178" t="str">
        <f>'Base Blend Property Calculation'!A25</f>
        <v>1:1:6 'G' (Sask)</v>
      </c>
      <c r="B21" s="148">
        <f t="shared" si="0"/>
        <v>0</v>
      </c>
      <c r="C21" s="148">
        <f>'Base Blend Property Calculation'!BV25</f>
        <v>0</v>
      </c>
      <c r="D21" s="145">
        <f>'Bulk Plant Input'!$A$23</f>
        <v>0</v>
      </c>
      <c r="E21" s="145">
        <f>'Bulk Plant Input'!$A$24</f>
        <v>0</v>
      </c>
      <c r="F21" s="145">
        <f>'Bulk Plant Input'!$A$25</f>
        <v>0</v>
      </c>
      <c r="G21" s="145">
        <f>'Bulk Plant Input'!$A$26</f>
        <v>0</v>
      </c>
      <c r="H21" s="145">
        <f>'Bulk Plant Input'!$A$27</f>
        <v>0</v>
      </c>
      <c r="I21" s="145">
        <f>'Bulk Plant Input'!$A$28</f>
        <v>0</v>
      </c>
      <c r="J21" s="145">
        <f>'Bulk Plant Input'!$A$29</f>
        <v>0</v>
      </c>
      <c r="K21" s="145">
        <f>'Bulk Plant Input'!$A$30</f>
        <v>0</v>
      </c>
      <c r="L21" s="145">
        <f>'Bulk Plant Input'!$A$31</f>
        <v>0</v>
      </c>
      <c r="M21" s="145">
        <f>'Bulk Plant Input'!$A$32</f>
        <v>0</v>
      </c>
      <c r="N21" s="145">
        <f>'Bulk Plant Input'!$A$33</f>
        <v>0</v>
      </c>
      <c r="O21" s="145">
        <f>'Bulk Plant Input'!$A$34</f>
        <v>0</v>
      </c>
      <c r="P21" s="145">
        <f>'Bulk Plant Input'!$A$35</f>
        <v>0</v>
      </c>
      <c r="Q21" s="145">
        <f>'Bulk Plant Input'!$A$36</f>
        <v>0</v>
      </c>
      <c r="R21" s="145">
        <f>'Bulk Plant Input'!$A$37</f>
        <v>0</v>
      </c>
      <c r="S21" s="206">
        <v>0</v>
      </c>
      <c r="U21" s="147"/>
      <c r="V21" s="147"/>
      <c r="W21" s="147"/>
      <c r="X21" s="147"/>
      <c r="Y21" s="147"/>
      <c r="Z21" s="147"/>
      <c r="AA21" s="147"/>
      <c r="AB21" s="147"/>
    </row>
    <row r="22" spans="1:28" s="144" customFormat="1" ht="15.75" x14ac:dyDescent="0.25">
      <c r="A22" s="178" t="str">
        <f>'Base Blend Property Calculation'!A26</f>
        <v>1:1:8 'G'</v>
      </c>
      <c r="B22" s="148">
        <f t="shared" si="0"/>
        <v>0</v>
      </c>
      <c r="C22" s="148">
        <f>'Base Blend Property Calculation'!BV26</f>
        <v>0</v>
      </c>
      <c r="D22" s="145">
        <f>'Bulk Plant Input'!$A$23</f>
        <v>0</v>
      </c>
      <c r="E22" s="145">
        <f>'Bulk Plant Input'!$A$24</f>
        <v>0</v>
      </c>
      <c r="F22" s="145">
        <f>'Bulk Plant Input'!$A$25</f>
        <v>0</v>
      </c>
      <c r="G22" s="145">
        <f>'Bulk Plant Input'!$A$26</f>
        <v>0</v>
      </c>
      <c r="H22" s="145">
        <f>'Bulk Plant Input'!$A$27</f>
        <v>0</v>
      </c>
      <c r="I22" s="145">
        <f>'Bulk Plant Input'!$A$28</f>
        <v>0</v>
      </c>
      <c r="J22" s="145">
        <f>'Bulk Plant Input'!$A$29</f>
        <v>0</v>
      </c>
      <c r="K22" s="145">
        <f>'Bulk Plant Input'!$A$30</f>
        <v>0</v>
      </c>
      <c r="L22" s="145">
        <f>'Bulk Plant Input'!$A$31</f>
        <v>0</v>
      </c>
      <c r="M22" s="145">
        <f>'Bulk Plant Input'!$A$32</f>
        <v>0</v>
      </c>
      <c r="N22" s="145">
        <f>'Bulk Plant Input'!$A$33</f>
        <v>0</v>
      </c>
      <c r="O22" s="145">
        <f>'Bulk Plant Input'!$A$34</f>
        <v>0</v>
      </c>
      <c r="P22" s="145">
        <f>'Bulk Plant Input'!$A$35</f>
        <v>0</v>
      </c>
      <c r="Q22" s="145">
        <f>'Bulk Plant Input'!$A$36</f>
        <v>0</v>
      </c>
      <c r="R22" s="145">
        <f>'Bulk Plant Input'!$A$37</f>
        <v>0</v>
      </c>
      <c r="S22" s="206">
        <v>0</v>
      </c>
      <c r="U22" s="147"/>
      <c r="V22" s="147"/>
      <c r="W22" s="147"/>
      <c r="X22" s="147"/>
      <c r="Y22" s="147"/>
      <c r="Z22" s="147"/>
      <c r="AA22" s="147"/>
      <c r="AB22" s="147"/>
    </row>
    <row r="23" spans="1:28" s="144" customFormat="1" ht="15.75" x14ac:dyDescent="0.25">
      <c r="A23" s="178" t="str">
        <f>'Base Blend Property Calculation'!A27</f>
        <v>1:1:8 'G' (Sask)</v>
      </c>
      <c r="B23" s="148">
        <f t="shared" si="0"/>
        <v>0</v>
      </c>
      <c r="C23" s="148">
        <f>'Base Blend Property Calculation'!BV27</f>
        <v>0</v>
      </c>
      <c r="D23" s="145">
        <f>'Bulk Plant Input'!$A$23</f>
        <v>0</v>
      </c>
      <c r="E23" s="145">
        <f>'Bulk Plant Input'!$A$24</f>
        <v>0</v>
      </c>
      <c r="F23" s="145">
        <f>'Bulk Plant Input'!$A$25</f>
        <v>0</v>
      </c>
      <c r="G23" s="145">
        <f>'Bulk Plant Input'!$A$26</f>
        <v>0</v>
      </c>
      <c r="H23" s="145">
        <f>'Bulk Plant Input'!$A$27</f>
        <v>0</v>
      </c>
      <c r="I23" s="145">
        <f>'Bulk Plant Input'!$A$28</f>
        <v>0</v>
      </c>
      <c r="J23" s="145">
        <f>'Bulk Plant Input'!$A$29</f>
        <v>0</v>
      </c>
      <c r="K23" s="145">
        <f>'Bulk Plant Input'!$A$30</f>
        <v>0</v>
      </c>
      <c r="L23" s="145">
        <f>'Bulk Plant Input'!$A$31</f>
        <v>0</v>
      </c>
      <c r="M23" s="145">
        <f>'Bulk Plant Input'!$A$32</f>
        <v>0</v>
      </c>
      <c r="N23" s="145">
        <f>'Bulk Plant Input'!$A$33</f>
        <v>0</v>
      </c>
      <c r="O23" s="145">
        <f>'Bulk Plant Input'!$A$34</f>
        <v>0</v>
      </c>
      <c r="P23" s="145">
        <f>'Bulk Plant Input'!$A$35</f>
        <v>0</v>
      </c>
      <c r="Q23" s="145">
        <f>'Bulk Plant Input'!$A$36</f>
        <v>0</v>
      </c>
      <c r="R23" s="145">
        <f>'Bulk Plant Input'!$A$37</f>
        <v>0</v>
      </c>
      <c r="S23" s="206">
        <v>0</v>
      </c>
      <c r="U23" s="147"/>
      <c r="V23" s="147"/>
      <c r="W23" s="147"/>
      <c r="X23" s="147"/>
      <c r="Y23" s="147"/>
      <c r="Z23" s="147"/>
      <c r="AA23" s="147"/>
      <c r="AB23" s="147"/>
    </row>
    <row r="24" spans="1:28" s="144" customFormat="1" ht="15.75" x14ac:dyDescent="0.25">
      <c r="A24" s="178" t="str">
        <f>'Base Blend Property Calculation'!A28</f>
        <v>2:1:0 'G'</v>
      </c>
      <c r="B24" s="148">
        <f t="shared" si="0"/>
        <v>0</v>
      </c>
      <c r="C24" s="148">
        <f>'Base Blend Property Calculation'!BV28</f>
        <v>0</v>
      </c>
      <c r="D24" s="145">
        <f>'Bulk Plant Input'!$A$23</f>
        <v>0</v>
      </c>
      <c r="E24" s="145">
        <f>'Bulk Plant Input'!$A$24</f>
        <v>0</v>
      </c>
      <c r="F24" s="145">
        <f>'Bulk Plant Input'!$A$25</f>
        <v>0</v>
      </c>
      <c r="G24" s="145">
        <f>'Bulk Plant Input'!$A$26</f>
        <v>0</v>
      </c>
      <c r="H24" s="145">
        <f>'Bulk Plant Input'!$A$27</f>
        <v>0</v>
      </c>
      <c r="I24" s="145">
        <f>'Bulk Plant Input'!$A$28</f>
        <v>0</v>
      </c>
      <c r="J24" s="145">
        <f>'Bulk Plant Input'!$A$29</f>
        <v>0</v>
      </c>
      <c r="K24" s="145">
        <f>'Bulk Plant Input'!$A$30</f>
        <v>0</v>
      </c>
      <c r="L24" s="145">
        <f>'Bulk Plant Input'!$A$31</f>
        <v>0</v>
      </c>
      <c r="M24" s="145">
        <f>'Bulk Plant Input'!$A$32</f>
        <v>0</v>
      </c>
      <c r="N24" s="145">
        <f>'Bulk Plant Input'!$A$33</f>
        <v>0</v>
      </c>
      <c r="O24" s="145">
        <f>'Bulk Plant Input'!$A$34</f>
        <v>0</v>
      </c>
      <c r="P24" s="145">
        <f>'Bulk Plant Input'!$A$35</f>
        <v>0</v>
      </c>
      <c r="Q24" s="145">
        <f>'Bulk Plant Input'!$A$36</f>
        <v>0</v>
      </c>
      <c r="R24" s="145">
        <f>'Bulk Plant Input'!$A$37</f>
        <v>0</v>
      </c>
      <c r="S24" s="206">
        <v>0</v>
      </c>
      <c r="U24" s="147"/>
      <c r="V24" s="147"/>
      <c r="W24" s="147"/>
      <c r="X24" s="147"/>
      <c r="Y24" s="147"/>
      <c r="Z24" s="147"/>
      <c r="AA24" s="147"/>
      <c r="AB24" s="147"/>
    </row>
    <row r="25" spans="1:28" s="144" customFormat="1" ht="15.75" x14ac:dyDescent="0.25">
      <c r="A25" s="178" t="str">
        <f>'Base Blend Property Calculation'!A29</f>
        <v>2:1:0 'G' (Sask)</v>
      </c>
      <c r="B25" s="148">
        <f t="shared" si="0"/>
        <v>0</v>
      </c>
      <c r="C25" s="148">
        <f>'Base Blend Property Calculation'!BV29</f>
        <v>0</v>
      </c>
      <c r="D25" s="145">
        <f>'Bulk Plant Input'!$A$23</f>
        <v>0</v>
      </c>
      <c r="E25" s="145">
        <f>'Bulk Plant Input'!$A$24</f>
        <v>0</v>
      </c>
      <c r="F25" s="145">
        <f>'Bulk Plant Input'!$A$25</f>
        <v>0</v>
      </c>
      <c r="G25" s="145">
        <f>'Bulk Plant Input'!$A$26</f>
        <v>0</v>
      </c>
      <c r="H25" s="145">
        <f>'Bulk Plant Input'!$A$27</f>
        <v>0</v>
      </c>
      <c r="I25" s="145">
        <f>'Bulk Plant Input'!$A$28</f>
        <v>0</v>
      </c>
      <c r="J25" s="145">
        <f>'Bulk Plant Input'!$A$29</f>
        <v>0</v>
      </c>
      <c r="K25" s="145">
        <f>'Bulk Plant Input'!$A$30</f>
        <v>0</v>
      </c>
      <c r="L25" s="145">
        <f>'Bulk Plant Input'!$A$31</f>
        <v>0</v>
      </c>
      <c r="M25" s="145">
        <f>'Bulk Plant Input'!$A$32</f>
        <v>0</v>
      </c>
      <c r="N25" s="145">
        <f>'Bulk Plant Input'!$A$33</f>
        <v>0</v>
      </c>
      <c r="O25" s="145">
        <f>'Bulk Plant Input'!$A$34</f>
        <v>0</v>
      </c>
      <c r="P25" s="145">
        <f>'Bulk Plant Input'!$A$35</f>
        <v>0</v>
      </c>
      <c r="Q25" s="145">
        <f>'Bulk Plant Input'!$A$36</f>
        <v>0</v>
      </c>
      <c r="R25" s="145">
        <f>'Bulk Plant Input'!$A$37</f>
        <v>0</v>
      </c>
      <c r="S25" s="206">
        <v>0</v>
      </c>
      <c r="U25" s="147"/>
      <c r="V25" s="147"/>
      <c r="W25" s="147"/>
      <c r="X25" s="147"/>
      <c r="Y25" s="147"/>
      <c r="Z25" s="147"/>
      <c r="AA25" s="147"/>
      <c r="AB25" s="147"/>
    </row>
    <row r="26" spans="1:28" s="144" customFormat="1" ht="15.75" x14ac:dyDescent="0.25">
      <c r="A26" s="178" t="str">
        <f>'Base Blend Property Calculation'!A30</f>
        <v>2:1:12 'G'</v>
      </c>
      <c r="B26" s="148">
        <f t="shared" si="0"/>
        <v>0</v>
      </c>
      <c r="C26" s="148">
        <f>'Base Blend Property Calculation'!BV30</f>
        <v>0</v>
      </c>
      <c r="D26" s="145">
        <f>'Bulk Plant Input'!$A$23</f>
        <v>0</v>
      </c>
      <c r="E26" s="145">
        <f>'Bulk Plant Input'!$A$24</f>
        <v>0</v>
      </c>
      <c r="F26" s="145">
        <f>'Bulk Plant Input'!$A$25</f>
        <v>0</v>
      </c>
      <c r="G26" s="145">
        <f>'Bulk Plant Input'!$A$26</f>
        <v>0</v>
      </c>
      <c r="H26" s="145">
        <f>'Bulk Plant Input'!$A$27</f>
        <v>0</v>
      </c>
      <c r="I26" s="145">
        <f>'Bulk Plant Input'!$A$28</f>
        <v>0</v>
      </c>
      <c r="J26" s="145">
        <f>'Bulk Plant Input'!$A$29</f>
        <v>0</v>
      </c>
      <c r="K26" s="145">
        <f>'Bulk Plant Input'!$A$30</f>
        <v>0</v>
      </c>
      <c r="L26" s="145">
        <f>'Bulk Plant Input'!$A$31</f>
        <v>0</v>
      </c>
      <c r="M26" s="145">
        <f>'Bulk Plant Input'!$A$32</f>
        <v>0</v>
      </c>
      <c r="N26" s="145">
        <f>'Bulk Plant Input'!$A$33</f>
        <v>0</v>
      </c>
      <c r="O26" s="145">
        <f>'Bulk Plant Input'!$A$34</f>
        <v>0</v>
      </c>
      <c r="P26" s="145">
        <f>'Bulk Plant Input'!$A$35</f>
        <v>0</v>
      </c>
      <c r="Q26" s="145">
        <f>'Bulk Plant Input'!$A$36</f>
        <v>0</v>
      </c>
      <c r="R26" s="145">
        <f>'Bulk Plant Input'!$A$37</f>
        <v>0</v>
      </c>
      <c r="S26" s="206">
        <v>0</v>
      </c>
      <c r="U26" s="147"/>
      <c r="V26" s="147"/>
      <c r="W26" s="147"/>
      <c r="X26" s="147"/>
      <c r="Y26" s="147"/>
      <c r="Z26" s="147"/>
      <c r="AA26" s="147"/>
      <c r="AB26" s="147"/>
    </row>
    <row r="27" spans="1:28" s="144" customFormat="1" ht="15.75" x14ac:dyDescent="0.25">
      <c r="A27" s="178" t="str">
        <f>'Base Blend Property Calculation'!A31</f>
        <v>2:1:12 'G' (Sask)</v>
      </c>
      <c r="B27" s="148">
        <f t="shared" si="0"/>
        <v>0</v>
      </c>
      <c r="C27" s="148">
        <f>'Base Blend Property Calculation'!BV31</f>
        <v>0</v>
      </c>
      <c r="D27" s="145">
        <f>'Bulk Plant Input'!$A$23</f>
        <v>0</v>
      </c>
      <c r="E27" s="145">
        <f>'Bulk Plant Input'!$A$24</f>
        <v>0</v>
      </c>
      <c r="F27" s="145">
        <f>'Bulk Plant Input'!$A$25</f>
        <v>0</v>
      </c>
      <c r="G27" s="145">
        <f>'Bulk Plant Input'!$A$26</f>
        <v>0</v>
      </c>
      <c r="H27" s="145">
        <f>'Bulk Plant Input'!$A$27</f>
        <v>0</v>
      </c>
      <c r="I27" s="145">
        <f>'Bulk Plant Input'!$A$28</f>
        <v>0</v>
      </c>
      <c r="J27" s="145">
        <f>'Bulk Plant Input'!$A$29</f>
        <v>0</v>
      </c>
      <c r="K27" s="145">
        <f>'Bulk Plant Input'!$A$30</f>
        <v>0</v>
      </c>
      <c r="L27" s="145">
        <f>'Bulk Plant Input'!$A$31</f>
        <v>0</v>
      </c>
      <c r="M27" s="145">
        <f>'Bulk Plant Input'!$A$32</f>
        <v>0</v>
      </c>
      <c r="N27" s="145">
        <f>'Bulk Plant Input'!$A$33</f>
        <v>0</v>
      </c>
      <c r="O27" s="145">
        <f>'Bulk Plant Input'!$A$34</f>
        <v>0</v>
      </c>
      <c r="P27" s="145">
        <f>'Bulk Plant Input'!$A$35</f>
        <v>0</v>
      </c>
      <c r="Q27" s="145">
        <f>'Bulk Plant Input'!$A$36</f>
        <v>0</v>
      </c>
      <c r="R27" s="145">
        <f>'Bulk Plant Input'!$A$37</f>
        <v>0</v>
      </c>
      <c r="S27" s="206">
        <v>0</v>
      </c>
      <c r="U27" s="147"/>
      <c r="V27" s="147"/>
      <c r="W27" s="147"/>
      <c r="X27" s="147"/>
      <c r="Y27" s="147"/>
      <c r="Z27" s="147"/>
      <c r="AA27" s="147"/>
      <c r="AB27" s="147"/>
    </row>
    <row r="28" spans="1:28" s="144" customFormat="1" ht="15.75" x14ac:dyDescent="0.25">
      <c r="A28" s="178" t="str">
        <f>'Base Blend Property Calculation'!A32</f>
        <v>2:1:2 'G'</v>
      </c>
      <c r="B28" s="148">
        <f t="shared" si="0"/>
        <v>0</v>
      </c>
      <c r="C28" s="148">
        <f>'Base Blend Property Calculation'!BV32</f>
        <v>0</v>
      </c>
      <c r="D28" s="145">
        <f>'Bulk Plant Input'!$A$23</f>
        <v>0</v>
      </c>
      <c r="E28" s="145">
        <f>'Bulk Plant Input'!$A$24</f>
        <v>0</v>
      </c>
      <c r="F28" s="145">
        <f>'Bulk Plant Input'!$A$25</f>
        <v>0</v>
      </c>
      <c r="G28" s="145">
        <f>'Bulk Plant Input'!$A$26</f>
        <v>0</v>
      </c>
      <c r="H28" s="145">
        <f>'Bulk Plant Input'!$A$27</f>
        <v>0</v>
      </c>
      <c r="I28" s="145">
        <f>'Bulk Plant Input'!$A$28</f>
        <v>0</v>
      </c>
      <c r="J28" s="145">
        <f>'Bulk Plant Input'!$A$29</f>
        <v>0</v>
      </c>
      <c r="K28" s="145">
        <f>'Bulk Plant Input'!$A$30</f>
        <v>0</v>
      </c>
      <c r="L28" s="145">
        <f>'Bulk Plant Input'!$A$31</f>
        <v>0</v>
      </c>
      <c r="M28" s="145">
        <f>'Bulk Plant Input'!$A$32</f>
        <v>0</v>
      </c>
      <c r="N28" s="145">
        <f>'Bulk Plant Input'!$A$33</f>
        <v>0</v>
      </c>
      <c r="O28" s="145">
        <f>'Bulk Plant Input'!$A$34</f>
        <v>0</v>
      </c>
      <c r="P28" s="145">
        <f>'Bulk Plant Input'!$A$35</f>
        <v>0</v>
      </c>
      <c r="Q28" s="145">
        <f>'Bulk Plant Input'!$A$36</f>
        <v>0</v>
      </c>
      <c r="R28" s="145">
        <f>'Bulk Plant Input'!$A$37</f>
        <v>0</v>
      </c>
      <c r="S28" s="206">
        <v>0</v>
      </c>
      <c r="U28" s="147"/>
      <c r="V28" s="147"/>
      <c r="W28" s="147"/>
      <c r="X28" s="147"/>
      <c r="Y28" s="147"/>
      <c r="Z28" s="147"/>
      <c r="AA28" s="147"/>
      <c r="AB28" s="147"/>
    </row>
    <row r="29" spans="1:28" s="144" customFormat="1" ht="15.75" x14ac:dyDescent="0.25">
      <c r="A29" s="178" t="str">
        <f>'Base Blend Property Calculation'!A33</f>
        <v>2:1:2 'G' (Sask)</v>
      </c>
      <c r="B29" s="148">
        <f t="shared" si="0"/>
        <v>0</v>
      </c>
      <c r="C29" s="148">
        <f>'Base Blend Property Calculation'!BV33</f>
        <v>0</v>
      </c>
      <c r="D29" s="145">
        <f>'Bulk Plant Input'!$A$23</f>
        <v>0</v>
      </c>
      <c r="E29" s="145">
        <f>'Bulk Plant Input'!$A$24</f>
        <v>0</v>
      </c>
      <c r="F29" s="145">
        <f>'Bulk Plant Input'!$A$25</f>
        <v>0</v>
      </c>
      <c r="G29" s="145">
        <f>'Bulk Plant Input'!$A$26</f>
        <v>0</v>
      </c>
      <c r="H29" s="145">
        <f>'Bulk Plant Input'!$A$27</f>
        <v>0</v>
      </c>
      <c r="I29" s="145">
        <f>'Bulk Plant Input'!$A$28</f>
        <v>0</v>
      </c>
      <c r="J29" s="145">
        <f>'Bulk Plant Input'!$A$29</f>
        <v>0</v>
      </c>
      <c r="K29" s="145">
        <f>'Bulk Plant Input'!$A$30</f>
        <v>0</v>
      </c>
      <c r="L29" s="145">
        <f>'Bulk Plant Input'!$A$31</f>
        <v>0</v>
      </c>
      <c r="M29" s="145">
        <f>'Bulk Plant Input'!$A$32</f>
        <v>0</v>
      </c>
      <c r="N29" s="145">
        <f>'Bulk Plant Input'!$A$33</f>
        <v>0</v>
      </c>
      <c r="O29" s="145">
        <f>'Bulk Plant Input'!$A$34</f>
        <v>0</v>
      </c>
      <c r="P29" s="145">
        <f>'Bulk Plant Input'!$A$35</f>
        <v>0</v>
      </c>
      <c r="Q29" s="145">
        <f>'Bulk Plant Input'!$A$36</f>
        <v>0</v>
      </c>
      <c r="R29" s="145">
        <f>'Bulk Plant Input'!$A$37</f>
        <v>0</v>
      </c>
      <c r="S29" s="206">
        <v>0</v>
      </c>
      <c r="U29" s="147"/>
      <c r="V29" s="147"/>
      <c r="W29" s="147"/>
      <c r="X29" s="147"/>
      <c r="Y29" s="147"/>
      <c r="Z29" s="147"/>
      <c r="AA29" s="147"/>
      <c r="AB29" s="147"/>
    </row>
    <row r="30" spans="1:28" s="144" customFormat="1" ht="15.75" x14ac:dyDescent="0.25">
      <c r="A30" s="178" t="str">
        <f>'Base Blend Property Calculation'!A34</f>
        <v>2:1:4 'G'</v>
      </c>
      <c r="B30" s="148">
        <f t="shared" si="0"/>
        <v>0</v>
      </c>
      <c r="C30" s="148">
        <f>'Base Blend Property Calculation'!BV34</f>
        <v>0</v>
      </c>
      <c r="D30" s="145">
        <f>'Bulk Plant Input'!$A$23</f>
        <v>0</v>
      </c>
      <c r="E30" s="145">
        <f>'Bulk Plant Input'!$A$24</f>
        <v>0</v>
      </c>
      <c r="F30" s="145">
        <f>'Bulk Plant Input'!$A$25</f>
        <v>0</v>
      </c>
      <c r="G30" s="145">
        <f>'Bulk Plant Input'!$A$26</f>
        <v>0</v>
      </c>
      <c r="H30" s="145">
        <f>'Bulk Plant Input'!$A$27</f>
        <v>0</v>
      </c>
      <c r="I30" s="145">
        <f>'Bulk Plant Input'!$A$28</f>
        <v>0</v>
      </c>
      <c r="J30" s="145">
        <f>'Bulk Plant Input'!$A$29</f>
        <v>0</v>
      </c>
      <c r="K30" s="145">
        <f>'Bulk Plant Input'!$A$30</f>
        <v>0</v>
      </c>
      <c r="L30" s="145">
        <f>'Bulk Plant Input'!$A$31</f>
        <v>0</v>
      </c>
      <c r="M30" s="145">
        <f>'Bulk Plant Input'!$A$32</f>
        <v>0</v>
      </c>
      <c r="N30" s="145">
        <f>'Bulk Plant Input'!$A$33</f>
        <v>0</v>
      </c>
      <c r="O30" s="145">
        <f>'Bulk Plant Input'!$A$34</f>
        <v>0</v>
      </c>
      <c r="P30" s="145">
        <f>'Bulk Plant Input'!$A$35</f>
        <v>0</v>
      </c>
      <c r="Q30" s="145">
        <f>'Bulk Plant Input'!$A$36</f>
        <v>0</v>
      </c>
      <c r="R30" s="145">
        <f>'Bulk Plant Input'!$A$37</f>
        <v>0</v>
      </c>
      <c r="S30" s="206">
        <v>0</v>
      </c>
      <c r="U30" s="147"/>
      <c r="V30" s="147"/>
      <c r="W30" s="147"/>
      <c r="X30" s="147"/>
      <c r="Y30" s="147"/>
      <c r="Z30" s="147"/>
      <c r="AA30" s="147"/>
      <c r="AB30" s="147"/>
    </row>
    <row r="31" spans="1:28" s="144" customFormat="1" ht="15.75" x14ac:dyDescent="0.25">
      <c r="A31" s="178" t="str">
        <f>'Base Blend Property Calculation'!A35</f>
        <v>2:1:4 'G' (Sask)</v>
      </c>
      <c r="B31" s="148">
        <f t="shared" si="0"/>
        <v>0</v>
      </c>
      <c r="C31" s="148">
        <f>'Base Blend Property Calculation'!BV35</f>
        <v>0</v>
      </c>
      <c r="D31" s="145">
        <f>'Bulk Plant Input'!$A$23</f>
        <v>0</v>
      </c>
      <c r="E31" s="145">
        <f>'Bulk Plant Input'!$A$24</f>
        <v>0</v>
      </c>
      <c r="F31" s="145">
        <f>'Bulk Plant Input'!$A$25</f>
        <v>0</v>
      </c>
      <c r="G31" s="145">
        <f>'Bulk Plant Input'!$A$26</f>
        <v>0</v>
      </c>
      <c r="H31" s="145">
        <f>'Bulk Plant Input'!$A$27</f>
        <v>0</v>
      </c>
      <c r="I31" s="145">
        <f>'Bulk Plant Input'!$A$28</f>
        <v>0</v>
      </c>
      <c r="J31" s="145">
        <f>'Bulk Plant Input'!$A$29</f>
        <v>0</v>
      </c>
      <c r="K31" s="145">
        <f>'Bulk Plant Input'!$A$30</f>
        <v>0</v>
      </c>
      <c r="L31" s="145">
        <f>'Bulk Plant Input'!$A$31</f>
        <v>0</v>
      </c>
      <c r="M31" s="145">
        <f>'Bulk Plant Input'!$A$32</f>
        <v>0</v>
      </c>
      <c r="N31" s="145">
        <f>'Bulk Plant Input'!$A$33</f>
        <v>0</v>
      </c>
      <c r="O31" s="145">
        <f>'Bulk Plant Input'!$A$34</f>
        <v>0</v>
      </c>
      <c r="P31" s="145">
        <f>'Bulk Plant Input'!$A$35</f>
        <v>0</v>
      </c>
      <c r="Q31" s="145">
        <f>'Bulk Plant Input'!$A$36</f>
        <v>0</v>
      </c>
      <c r="R31" s="145">
        <f>'Bulk Plant Input'!$A$37</f>
        <v>0</v>
      </c>
      <c r="S31" s="206">
        <v>0</v>
      </c>
      <c r="U31" s="147"/>
      <c r="V31" s="147"/>
      <c r="W31" s="147"/>
      <c r="X31" s="147"/>
      <c r="Y31" s="147"/>
      <c r="Z31" s="147"/>
      <c r="AA31" s="147"/>
      <c r="AB31" s="147"/>
    </row>
    <row r="32" spans="1:28" s="144" customFormat="1" ht="15.75" x14ac:dyDescent="0.25">
      <c r="A32" s="178" t="str">
        <f>'Base Blend Property Calculation'!A36</f>
        <v>2:1:6 'G'</v>
      </c>
      <c r="B32" s="148">
        <f t="shared" si="0"/>
        <v>0</v>
      </c>
      <c r="C32" s="148">
        <f>'Base Blend Property Calculation'!BV36</f>
        <v>0</v>
      </c>
      <c r="D32" s="145">
        <f>'Bulk Plant Input'!$A$23</f>
        <v>0</v>
      </c>
      <c r="E32" s="145">
        <f>'Bulk Plant Input'!$A$24</f>
        <v>0</v>
      </c>
      <c r="F32" s="145">
        <f>'Bulk Plant Input'!$A$25</f>
        <v>0</v>
      </c>
      <c r="G32" s="145">
        <f>'Bulk Plant Input'!$A$26</f>
        <v>0</v>
      </c>
      <c r="H32" s="145">
        <f>'Bulk Plant Input'!$A$27</f>
        <v>0</v>
      </c>
      <c r="I32" s="145">
        <f>'Bulk Plant Input'!$A$28</f>
        <v>0</v>
      </c>
      <c r="J32" s="145">
        <f>'Bulk Plant Input'!$A$29</f>
        <v>0</v>
      </c>
      <c r="K32" s="145">
        <f>'Bulk Plant Input'!$A$30</f>
        <v>0</v>
      </c>
      <c r="L32" s="145">
        <f>'Bulk Plant Input'!$A$31</f>
        <v>0</v>
      </c>
      <c r="M32" s="145">
        <f>'Bulk Plant Input'!$A$32</f>
        <v>0</v>
      </c>
      <c r="N32" s="145">
        <f>'Bulk Plant Input'!$A$33</f>
        <v>0</v>
      </c>
      <c r="O32" s="145">
        <f>'Bulk Plant Input'!$A$34</f>
        <v>0</v>
      </c>
      <c r="P32" s="145">
        <f>'Bulk Plant Input'!$A$35</f>
        <v>0</v>
      </c>
      <c r="Q32" s="145">
        <f>'Bulk Plant Input'!$A$36</f>
        <v>0</v>
      </c>
      <c r="R32" s="145">
        <f>'Bulk Plant Input'!$A$37</f>
        <v>0</v>
      </c>
      <c r="S32" s="206">
        <v>0</v>
      </c>
      <c r="U32" s="147"/>
      <c r="V32" s="147"/>
      <c r="W32" s="147"/>
      <c r="X32" s="147"/>
      <c r="Y32" s="147"/>
      <c r="Z32" s="147"/>
      <c r="AA32" s="147"/>
      <c r="AB32" s="147"/>
    </row>
    <row r="33" spans="1:28" s="144" customFormat="1" ht="15.75" x14ac:dyDescent="0.25">
      <c r="A33" s="178" t="str">
        <f>'Base Blend Property Calculation'!A37</f>
        <v>2:1:6 'G' (Sask)</v>
      </c>
      <c r="B33" s="148">
        <f t="shared" si="0"/>
        <v>0</v>
      </c>
      <c r="C33" s="148">
        <f>'Base Blend Property Calculation'!BV37</f>
        <v>0</v>
      </c>
      <c r="D33" s="145">
        <f>'Bulk Plant Input'!$A$23</f>
        <v>0</v>
      </c>
      <c r="E33" s="145">
        <f>'Bulk Plant Input'!$A$24</f>
        <v>0</v>
      </c>
      <c r="F33" s="145">
        <f>'Bulk Plant Input'!$A$25</f>
        <v>0</v>
      </c>
      <c r="G33" s="145">
        <f>'Bulk Plant Input'!$A$26</f>
        <v>0</v>
      </c>
      <c r="H33" s="145">
        <f>'Bulk Plant Input'!$A$27</f>
        <v>0</v>
      </c>
      <c r="I33" s="145">
        <f>'Bulk Plant Input'!$A$28</f>
        <v>0</v>
      </c>
      <c r="J33" s="145">
        <f>'Bulk Plant Input'!$A$29</f>
        <v>0</v>
      </c>
      <c r="K33" s="145">
        <f>'Bulk Plant Input'!$A$30</f>
        <v>0</v>
      </c>
      <c r="L33" s="145">
        <f>'Bulk Plant Input'!$A$31</f>
        <v>0</v>
      </c>
      <c r="M33" s="145">
        <f>'Bulk Plant Input'!$A$32</f>
        <v>0</v>
      </c>
      <c r="N33" s="145">
        <f>'Bulk Plant Input'!$A$33</f>
        <v>0</v>
      </c>
      <c r="O33" s="145">
        <f>'Bulk Plant Input'!$A$34</f>
        <v>0</v>
      </c>
      <c r="P33" s="145">
        <f>'Bulk Plant Input'!$A$35</f>
        <v>0</v>
      </c>
      <c r="Q33" s="145">
        <f>'Bulk Plant Input'!$A$36</f>
        <v>0</v>
      </c>
      <c r="R33" s="145">
        <f>'Bulk Plant Input'!$A$37</f>
        <v>0</v>
      </c>
      <c r="S33" s="206">
        <v>0</v>
      </c>
      <c r="U33" s="147"/>
      <c r="V33" s="147"/>
      <c r="W33" s="147"/>
      <c r="X33" s="147"/>
      <c r="Y33" s="147"/>
      <c r="Z33" s="147"/>
      <c r="AA33" s="147"/>
      <c r="AB33" s="147"/>
    </row>
    <row r="34" spans="1:28" s="144" customFormat="1" ht="15.75" x14ac:dyDescent="0.25">
      <c r="A34" s="178" t="str">
        <f>'Base Blend Property Calculation'!A38</f>
        <v>2:1:8 'G'</v>
      </c>
      <c r="B34" s="148">
        <f t="shared" si="0"/>
        <v>0</v>
      </c>
      <c r="C34" s="148">
        <f>'Base Blend Property Calculation'!BV38</f>
        <v>0</v>
      </c>
      <c r="D34" s="145">
        <f>'Bulk Plant Input'!$A$23</f>
        <v>0</v>
      </c>
      <c r="E34" s="145">
        <f>'Bulk Plant Input'!$A$24</f>
        <v>0</v>
      </c>
      <c r="F34" s="145">
        <f>'Bulk Plant Input'!$A$25</f>
        <v>0</v>
      </c>
      <c r="G34" s="145">
        <f>'Bulk Plant Input'!$A$26</f>
        <v>0</v>
      </c>
      <c r="H34" s="145">
        <f>'Bulk Plant Input'!$A$27</f>
        <v>0</v>
      </c>
      <c r="I34" s="145">
        <f>'Bulk Plant Input'!$A$28</f>
        <v>0</v>
      </c>
      <c r="J34" s="145">
        <f>'Bulk Plant Input'!$A$29</f>
        <v>0</v>
      </c>
      <c r="K34" s="145">
        <f>'Bulk Plant Input'!$A$30</f>
        <v>0</v>
      </c>
      <c r="L34" s="145">
        <f>'Bulk Plant Input'!$A$31</f>
        <v>0</v>
      </c>
      <c r="M34" s="145">
        <f>'Bulk Plant Input'!$A$32</f>
        <v>0</v>
      </c>
      <c r="N34" s="145">
        <f>'Bulk Plant Input'!$A$33</f>
        <v>0</v>
      </c>
      <c r="O34" s="145">
        <f>'Bulk Plant Input'!$A$34</f>
        <v>0</v>
      </c>
      <c r="P34" s="145">
        <f>'Bulk Plant Input'!$A$35</f>
        <v>0</v>
      </c>
      <c r="Q34" s="145">
        <f>'Bulk Plant Input'!$A$36</f>
        <v>0</v>
      </c>
      <c r="R34" s="145">
        <f>'Bulk Plant Input'!$A$37</f>
        <v>0</v>
      </c>
      <c r="S34" s="206">
        <v>0</v>
      </c>
      <c r="U34" s="147"/>
      <c r="V34" s="147"/>
      <c r="W34" s="147"/>
      <c r="X34" s="147"/>
      <c r="Y34" s="147"/>
      <c r="Z34" s="147"/>
      <c r="AA34" s="147"/>
      <c r="AB34" s="147"/>
    </row>
    <row r="35" spans="1:28" s="144" customFormat="1" ht="15.75" x14ac:dyDescent="0.25">
      <c r="A35" s="178" t="str">
        <f>'Base Blend Property Calculation'!A39</f>
        <v>2:1:8 'G' (Sask)</v>
      </c>
      <c r="B35" s="148">
        <f t="shared" si="0"/>
        <v>0</v>
      </c>
      <c r="C35" s="148">
        <f>'Base Blend Property Calculation'!BV39</f>
        <v>0</v>
      </c>
      <c r="D35" s="145">
        <f>'Bulk Plant Input'!$A$23</f>
        <v>0</v>
      </c>
      <c r="E35" s="145">
        <f>'Bulk Plant Input'!$A$24</f>
        <v>0</v>
      </c>
      <c r="F35" s="145">
        <f>'Bulk Plant Input'!$A$25</f>
        <v>0</v>
      </c>
      <c r="G35" s="145">
        <f>'Bulk Plant Input'!$A$26</f>
        <v>0</v>
      </c>
      <c r="H35" s="145">
        <f>'Bulk Plant Input'!$A$27</f>
        <v>0</v>
      </c>
      <c r="I35" s="145">
        <f>'Bulk Plant Input'!$A$28</f>
        <v>0</v>
      </c>
      <c r="J35" s="145">
        <f>'Bulk Plant Input'!$A$29</f>
        <v>0</v>
      </c>
      <c r="K35" s="145">
        <f>'Bulk Plant Input'!$A$30</f>
        <v>0</v>
      </c>
      <c r="L35" s="145">
        <f>'Bulk Plant Input'!$A$31</f>
        <v>0</v>
      </c>
      <c r="M35" s="145">
        <f>'Bulk Plant Input'!$A$32</f>
        <v>0</v>
      </c>
      <c r="N35" s="145">
        <f>'Bulk Plant Input'!$A$33</f>
        <v>0</v>
      </c>
      <c r="O35" s="145">
        <f>'Bulk Plant Input'!$A$34</f>
        <v>0</v>
      </c>
      <c r="P35" s="145">
        <f>'Bulk Plant Input'!$A$35</f>
        <v>0</v>
      </c>
      <c r="Q35" s="145">
        <f>'Bulk Plant Input'!$A$36</f>
        <v>0</v>
      </c>
      <c r="R35" s="145">
        <f>'Bulk Plant Input'!$A$37</f>
        <v>0</v>
      </c>
      <c r="S35" s="206">
        <v>0</v>
      </c>
      <c r="U35" s="147"/>
      <c r="V35" s="147"/>
      <c r="W35" s="147"/>
      <c r="X35" s="147"/>
      <c r="Y35" s="147"/>
      <c r="Z35" s="147"/>
      <c r="AA35" s="147"/>
      <c r="AB35" s="147"/>
    </row>
    <row r="36" spans="1:28" s="144" customFormat="1" ht="15.75" x14ac:dyDescent="0.25">
      <c r="A36" s="178" t="str">
        <f>'Base Blend Property Calculation'!A40</f>
        <v>ARC</v>
      </c>
      <c r="B36" s="148">
        <f t="shared" si="0"/>
        <v>1</v>
      </c>
      <c r="C36" s="148" t="str">
        <f>'Base Blend Property Calculation'!BV40</f>
        <v>CFR</v>
      </c>
      <c r="D36" s="142">
        <f>'Bulk Plant Input'!$A$23</f>
        <v>0</v>
      </c>
      <c r="E36" s="142">
        <f>'Bulk Plant Input'!$A$24</f>
        <v>0</v>
      </c>
      <c r="F36" s="142">
        <f>'Bulk Plant Input'!$A$25</f>
        <v>0</v>
      </c>
      <c r="G36" s="142">
        <f>'Bulk Plant Input'!$A$26</f>
        <v>0</v>
      </c>
      <c r="H36" s="142">
        <f>'Bulk Plant Input'!$A$27</f>
        <v>0</v>
      </c>
      <c r="I36" s="142">
        <f>'Bulk Plant Input'!$A$28</f>
        <v>0</v>
      </c>
      <c r="J36" s="142">
        <f>'Bulk Plant Input'!$A$29</f>
        <v>0</v>
      </c>
      <c r="K36" s="142">
        <f>'Bulk Plant Input'!$A$30</f>
        <v>0</v>
      </c>
      <c r="L36" s="142">
        <f>'Bulk Plant Input'!$A$31</f>
        <v>0</v>
      </c>
      <c r="M36" s="142">
        <f>'Bulk Plant Input'!$A$32</f>
        <v>0</v>
      </c>
      <c r="N36" s="142">
        <f>'Bulk Plant Input'!$A$33</f>
        <v>0</v>
      </c>
      <c r="O36" s="142">
        <f>'Bulk Plant Input'!$A$34</f>
        <v>0</v>
      </c>
      <c r="P36" s="142">
        <f>'Bulk Plant Input'!$A$35</f>
        <v>0</v>
      </c>
      <c r="Q36" s="142">
        <f>'Bulk Plant Input'!$A$36</f>
        <v>0</v>
      </c>
      <c r="R36" s="142">
        <f>'Bulk Plant Input'!$A$37</f>
        <v>0</v>
      </c>
      <c r="S36" s="206">
        <v>1</v>
      </c>
      <c r="U36" s="147"/>
      <c r="V36" s="147"/>
      <c r="W36" s="147"/>
      <c r="X36" s="147"/>
      <c r="Y36" s="147"/>
      <c r="Z36" s="147"/>
      <c r="AA36" s="147"/>
      <c r="AB36" s="147"/>
    </row>
    <row r="37" spans="1:28" s="144" customFormat="1" ht="15.75" x14ac:dyDescent="0.25">
      <c r="A37" s="178" t="str">
        <f>'Base Blend Property Calculation'!A41</f>
        <v>ASC (IV)</v>
      </c>
      <c r="B37" s="148">
        <f t="shared" si="0"/>
        <v>0</v>
      </c>
      <c r="C37" s="148">
        <f>'Base Blend Property Calculation'!BV41</f>
        <v>0</v>
      </c>
      <c r="D37" s="145">
        <f>'Bulk Plant Input'!$A$23</f>
        <v>0</v>
      </c>
      <c r="E37" s="145">
        <f>'Bulk Plant Input'!$A$24</f>
        <v>0</v>
      </c>
      <c r="F37" s="145">
        <f>'Bulk Plant Input'!$A$25</f>
        <v>0</v>
      </c>
      <c r="G37" s="145">
        <f>'Bulk Plant Input'!$A$26</f>
        <v>0</v>
      </c>
      <c r="H37" s="145">
        <f>'Bulk Plant Input'!$A$27</f>
        <v>0</v>
      </c>
      <c r="I37" s="145">
        <f>'Bulk Plant Input'!$A$28</f>
        <v>0</v>
      </c>
      <c r="J37" s="145">
        <f>'Bulk Plant Input'!$A$29</f>
        <v>0</v>
      </c>
      <c r="K37" s="145">
        <f>'Bulk Plant Input'!$A$30</f>
        <v>0</v>
      </c>
      <c r="L37" s="145">
        <f>'Bulk Plant Input'!$A$31</f>
        <v>0</v>
      </c>
      <c r="M37" s="145">
        <f>'Bulk Plant Input'!$A$32</f>
        <v>0</v>
      </c>
      <c r="N37" s="145">
        <f>'Bulk Plant Input'!$A$33</f>
        <v>0</v>
      </c>
      <c r="O37" s="145">
        <f>'Bulk Plant Input'!$A$34</f>
        <v>0</v>
      </c>
      <c r="P37" s="145">
        <f>'Bulk Plant Input'!$A$35</f>
        <v>0</v>
      </c>
      <c r="Q37" s="145">
        <f>'Bulk Plant Input'!$A$36</f>
        <v>0</v>
      </c>
      <c r="R37" s="145">
        <f>'Bulk Plant Input'!$A$37</f>
        <v>0</v>
      </c>
      <c r="S37" s="206">
        <v>0</v>
      </c>
      <c r="U37" s="147"/>
      <c r="V37" s="147"/>
      <c r="W37" s="147"/>
      <c r="X37" s="147"/>
      <c r="Y37" s="147"/>
      <c r="Z37" s="147"/>
      <c r="AA37" s="147"/>
      <c r="AB37" s="147"/>
    </row>
    <row r="38" spans="1:28" s="144" customFormat="1" ht="15.75" x14ac:dyDescent="0.25">
      <c r="A38" s="178" t="str">
        <f>'Base Blend Property Calculation'!A42</f>
        <v>CNRL CHOPS TH</v>
      </c>
      <c r="B38" s="148">
        <f t="shared" si="0"/>
        <v>0</v>
      </c>
      <c r="C38" s="148">
        <f>'Base Blend Property Calculation'!BV42</f>
        <v>0</v>
      </c>
      <c r="D38" s="145">
        <f>'Bulk Plant Input'!$A$23</f>
        <v>0</v>
      </c>
      <c r="E38" s="145">
        <f>'Bulk Plant Input'!$A$24</f>
        <v>0</v>
      </c>
      <c r="F38" s="145">
        <f>'Bulk Plant Input'!$A$25</f>
        <v>0</v>
      </c>
      <c r="G38" s="145">
        <f>'Bulk Plant Input'!$A$26</f>
        <v>0</v>
      </c>
      <c r="H38" s="145">
        <f>'Bulk Plant Input'!$A$27</f>
        <v>0</v>
      </c>
      <c r="I38" s="145">
        <f>'Bulk Plant Input'!$A$28</f>
        <v>0</v>
      </c>
      <c r="J38" s="145">
        <f>'Bulk Plant Input'!$A$29</f>
        <v>0</v>
      </c>
      <c r="K38" s="145">
        <f>'Bulk Plant Input'!$A$30</f>
        <v>0</v>
      </c>
      <c r="L38" s="145">
        <f>'Bulk Plant Input'!$A$31</f>
        <v>0</v>
      </c>
      <c r="M38" s="145">
        <f>'Bulk Plant Input'!$A$32</f>
        <v>0</v>
      </c>
      <c r="N38" s="145">
        <f>'Bulk Plant Input'!$A$33</f>
        <v>0</v>
      </c>
      <c r="O38" s="145">
        <f>'Bulk Plant Input'!$A$34</f>
        <v>0</v>
      </c>
      <c r="P38" s="145">
        <f>'Bulk Plant Input'!$A$35</f>
        <v>0</v>
      </c>
      <c r="Q38" s="145">
        <f>'Bulk Plant Input'!$A$36</f>
        <v>0</v>
      </c>
      <c r="R38" s="145">
        <f>'Bulk Plant Input'!$A$37</f>
        <v>0</v>
      </c>
      <c r="S38" s="206">
        <v>0</v>
      </c>
      <c r="U38" s="147"/>
      <c r="V38" s="147"/>
      <c r="W38" s="147"/>
      <c r="X38" s="147"/>
      <c r="Y38" s="147"/>
      <c r="Z38" s="147"/>
      <c r="AA38" s="147"/>
      <c r="AB38" s="147"/>
    </row>
    <row r="39" spans="1:28" s="144" customFormat="1" ht="15.75" x14ac:dyDescent="0.25">
      <c r="A39" s="178" t="str">
        <f>'Base Blend Property Calculation'!A43</f>
        <v>Expandomix</v>
      </c>
      <c r="B39" s="148">
        <f t="shared" si="0"/>
        <v>0</v>
      </c>
      <c r="C39" s="148">
        <f>'Base Blend Property Calculation'!BV43</f>
        <v>0</v>
      </c>
      <c r="D39" s="145">
        <f>'Bulk Plant Input'!$A$23</f>
        <v>0</v>
      </c>
      <c r="E39" s="145">
        <f>'Bulk Plant Input'!$A$24</f>
        <v>0</v>
      </c>
      <c r="F39" s="145">
        <f>'Bulk Plant Input'!$A$25</f>
        <v>0</v>
      </c>
      <c r="G39" s="145">
        <f>'Bulk Plant Input'!$A$26</f>
        <v>0</v>
      </c>
      <c r="H39" s="145">
        <f>'Bulk Plant Input'!$A$27</f>
        <v>0</v>
      </c>
      <c r="I39" s="145">
        <f>'Bulk Plant Input'!$A$28</f>
        <v>0</v>
      </c>
      <c r="J39" s="145">
        <f>'Bulk Plant Input'!$A$29</f>
        <v>0</v>
      </c>
      <c r="K39" s="145">
        <f>'Bulk Plant Input'!$A$30</f>
        <v>0</v>
      </c>
      <c r="L39" s="145">
        <f>'Bulk Plant Input'!$A$31</f>
        <v>0</v>
      </c>
      <c r="M39" s="145">
        <f>'Bulk Plant Input'!$A$32</f>
        <v>0</v>
      </c>
      <c r="N39" s="145">
        <f>'Bulk Plant Input'!$A$33</f>
        <v>0</v>
      </c>
      <c r="O39" s="145">
        <f>'Bulk Plant Input'!$A$34</f>
        <v>0</v>
      </c>
      <c r="P39" s="145">
        <f>'Bulk Plant Input'!$A$35</f>
        <v>0</v>
      </c>
      <c r="Q39" s="145">
        <f>'Bulk Plant Input'!$A$36</f>
        <v>0</v>
      </c>
      <c r="R39" s="145">
        <f>'Bulk Plant Input'!$A$37</f>
        <v>0</v>
      </c>
      <c r="S39" s="206">
        <v>0</v>
      </c>
    </row>
    <row r="40" spans="1:28" s="144" customFormat="1" ht="15.75" x14ac:dyDescent="0.25">
      <c r="A40" s="178" t="str">
        <f>'Base Blend Property Calculation'!A44</f>
        <v>Expandomix HT</v>
      </c>
      <c r="B40" s="148">
        <f t="shared" si="0"/>
        <v>1</v>
      </c>
      <c r="C40" s="148" t="str">
        <f>'Base Blend Property Calculation'!BV44</f>
        <v>CFR</v>
      </c>
      <c r="D40" s="145">
        <f>'Bulk Plant Input'!$A$23</f>
        <v>0</v>
      </c>
      <c r="E40" s="145">
        <f>'Bulk Plant Input'!$A$24</f>
        <v>0</v>
      </c>
      <c r="F40" s="145">
        <f>'Bulk Plant Input'!$A$25</f>
        <v>0</v>
      </c>
      <c r="G40" s="145">
        <f>'Bulk Plant Input'!$A$26</f>
        <v>0</v>
      </c>
      <c r="H40" s="145">
        <f>'Bulk Plant Input'!$A$27</f>
        <v>0</v>
      </c>
      <c r="I40" s="145">
        <f>'Bulk Plant Input'!$A$28</f>
        <v>0</v>
      </c>
      <c r="J40" s="145">
        <f>'Bulk Plant Input'!$A$29</f>
        <v>0</v>
      </c>
      <c r="K40" s="145">
        <f>'Bulk Plant Input'!$A$30</f>
        <v>0</v>
      </c>
      <c r="L40" s="145">
        <f>'Bulk Plant Input'!$A$31</f>
        <v>0</v>
      </c>
      <c r="M40" s="145">
        <f>'Bulk Plant Input'!$A$32</f>
        <v>0</v>
      </c>
      <c r="N40" s="145">
        <f>'Bulk Plant Input'!$A$33</f>
        <v>0</v>
      </c>
      <c r="O40" s="145">
        <f>'Bulk Plant Input'!$A$34</f>
        <v>0</v>
      </c>
      <c r="P40" s="145">
        <f>'Bulk Plant Input'!$A$35</f>
        <v>0</v>
      </c>
      <c r="Q40" s="145">
        <f>'Bulk Plant Input'!$A$36</f>
        <v>0</v>
      </c>
      <c r="R40" s="145">
        <f>'Bulk Plant Input'!$A$37</f>
        <v>0</v>
      </c>
      <c r="S40" s="206">
        <v>1</v>
      </c>
      <c r="U40" s="147"/>
      <c r="V40" s="147"/>
      <c r="W40" s="147"/>
      <c r="X40" s="147"/>
      <c r="Y40" s="147"/>
      <c r="Z40" s="147"/>
      <c r="AA40" s="147"/>
      <c r="AB40" s="147"/>
    </row>
    <row r="41" spans="1:28" s="144" customFormat="1" ht="15.75" x14ac:dyDescent="0.25">
      <c r="A41" s="178" t="str">
        <f>'Base Blend Property Calculation'!A45</f>
        <v>Expandomix HT (SK)</v>
      </c>
      <c r="B41" s="148">
        <f t="shared" si="0"/>
        <v>1</v>
      </c>
      <c r="C41" s="148" t="str">
        <f>'Base Blend Property Calculation'!BV45</f>
        <v>CFR</v>
      </c>
      <c r="D41" s="142">
        <f>'Bulk Plant Input'!$A$23</f>
        <v>0</v>
      </c>
      <c r="E41" s="142">
        <f>'Bulk Plant Input'!$A$24</f>
        <v>0</v>
      </c>
      <c r="F41" s="142">
        <f>'Bulk Plant Input'!$A$25</f>
        <v>0</v>
      </c>
      <c r="G41" s="142">
        <f>'Bulk Plant Input'!$A$26</f>
        <v>0</v>
      </c>
      <c r="H41" s="142">
        <f>'Bulk Plant Input'!$A$27</f>
        <v>0</v>
      </c>
      <c r="I41" s="142">
        <f>'Bulk Plant Input'!$A$28</f>
        <v>0</v>
      </c>
      <c r="J41" s="142">
        <f>'Bulk Plant Input'!$A$29</f>
        <v>0</v>
      </c>
      <c r="K41" s="142">
        <f>'Bulk Plant Input'!$A$30</f>
        <v>0</v>
      </c>
      <c r="L41" s="142">
        <f>'Bulk Plant Input'!$A$31</f>
        <v>0</v>
      </c>
      <c r="M41" s="142">
        <f>'Bulk Plant Input'!$A$32</f>
        <v>0</v>
      </c>
      <c r="N41" s="142">
        <f>'Bulk Plant Input'!$A$33</f>
        <v>0</v>
      </c>
      <c r="O41" s="142">
        <f>'Bulk Plant Input'!$A$34</f>
        <v>0</v>
      </c>
      <c r="P41" s="142">
        <f>'Bulk Plant Input'!$A$35</f>
        <v>0</v>
      </c>
      <c r="Q41" s="142">
        <f>'Bulk Plant Input'!$A$36</f>
        <v>0</v>
      </c>
      <c r="R41" s="142">
        <f>'Bulk Plant Input'!$A$37</f>
        <v>0</v>
      </c>
      <c r="S41" s="206">
        <v>1</v>
      </c>
      <c r="U41" s="147"/>
      <c r="V41" s="147"/>
      <c r="W41" s="147"/>
      <c r="X41" s="147"/>
      <c r="Y41" s="147"/>
      <c r="Z41" s="147"/>
      <c r="AA41" s="147"/>
      <c r="AB41" s="147"/>
    </row>
    <row r="42" spans="1:28" s="144" customFormat="1" ht="15.75" x14ac:dyDescent="0.25">
      <c r="A42" s="178" t="str">
        <f>'Base Blend Property Calculation'!A46</f>
        <v>Expandomix LWL</v>
      </c>
      <c r="B42" s="148">
        <f t="shared" si="0"/>
        <v>1</v>
      </c>
      <c r="C42" s="148" t="str">
        <f>'Base Blend Property Calculation'!BV46</f>
        <v>CFR</v>
      </c>
      <c r="D42" s="142">
        <f>'Bulk Plant Input'!$A$23</f>
        <v>0</v>
      </c>
      <c r="E42" s="142">
        <f>'Bulk Plant Input'!$A$24</f>
        <v>0</v>
      </c>
      <c r="F42" s="142">
        <f>'Bulk Plant Input'!$A$25</f>
        <v>0</v>
      </c>
      <c r="G42" s="142">
        <f>'Bulk Plant Input'!$A$26</f>
        <v>0</v>
      </c>
      <c r="H42" s="142">
        <f>'Bulk Plant Input'!$A$27</f>
        <v>0</v>
      </c>
      <c r="I42" s="142">
        <f>'Bulk Plant Input'!$A$28</f>
        <v>0</v>
      </c>
      <c r="J42" s="142">
        <f>'Bulk Plant Input'!$A$29</f>
        <v>0</v>
      </c>
      <c r="K42" s="142">
        <f>'Bulk Plant Input'!$A$30</f>
        <v>0</v>
      </c>
      <c r="L42" s="142">
        <f>'Bulk Plant Input'!$A$31</f>
        <v>0</v>
      </c>
      <c r="M42" s="142">
        <f>'Bulk Plant Input'!$A$32</f>
        <v>0</v>
      </c>
      <c r="N42" s="142">
        <f>'Bulk Plant Input'!$A$33</f>
        <v>0</v>
      </c>
      <c r="O42" s="142">
        <f>'Bulk Plant Input'!$A$34</f>
        <v>0</v>
      </c>
      <c r="P42" s="142">
        <f>'Bulk Plant Input'!$A$35</f>
        <v>0</v>
      </c>
      <c r="Q42" s="142">
        <f>'Bulk Plant Input'!$A$36</f>
        <v>0</v>
      </c>
      <c r="R42" s="142">
        <f>'Bulk Plant Input'!$A$37</f>
        <v>0</v>
      </c>
      <c r="S42" s="206">
        <v>1</v>
      </c>
      <c r="U42" s="147"/>
      <c r="V42" s="147"/>
      <c r="W42" s="147"/>
      <c r="X42" s="147"/>
      <c r="Y42" s="147"/>
      <c r="Z42" s="147"/>
      <c r="AA42" s="147"/>
      <c r="AB42" s="147"/>
    </row>
    <row r="43" spans="1:28" s="144" customFormat="1" ht="15.75" x14ac:dyDescent="0.25">
      <c r="A43" s="178" t="str">
        <f>'Base Blend Property Calculation'!A47</f>
        <v>EXPANDOmix PRO HT</v>
      </c>
      <c r="B43" s="148">
        <f t="shared" si="0"/>
        <v>0</v>
      </c>
      <c r="C43" s="148">
        <f>'Base Blend Property Calculation'!BV47</f>
        <v>0</v>
      </c>
      <c r="D43" s="142">
        <f>'Bulk Plant Input'!$A$23</f>
        <v>0</v>
      </c>
      <c r="E43" s="142">
        <f>'Bulk Plant Input'!$A$24</f>
        <v>0</v>
      </c>
      <c r="F43" s="142">
        <f>'Bulk Plant Input'!$A$25</f>
        <v>0</v>
      </c>
      <c r="G43" s="142">
        <f>'Bulk Plant Input'!$A$26</f>
        <v>0</v>
      </c>
      <c r="H43" s="142">
        <f>'Bulk Plant Input'!$A$27</f>
        <v>0</v>
      </c>
      <c r="I43" s="142">
        <f>'Bulk Plant Input'!$A$28</f>
        <v>0</v>
      </c>
      <c r="J43" s="142">
        <f>'Bulk Plant Input'!$A$29</f>
        <v>0</v>
      </c>
      <c r="K43" s="142">
        <f>'Bulk Plant Input'!$A$30</f>
        <v>0</v>
      </c>
      <c r="L43" s="142">
        <f>'Bulk Plant Input'!$A$31</f>
        <v>0</v>
      </c>
      <c r="M43" s="142">
        <f>'Bulk Plant Input'!$A$32</f>
        <v>0</v>
      </c>
      <c r="N43" s="142">
        <f>'Bulk Plant Input'!$A$33</f>
        <v>0</v>
      </c>
      <c r="O43" s="142">
        <f>'Bulk Plant Input'!$A$34</f>
        <v>0</v>
      </c>
      <c r="P43" s="142">
        <f>'Bulk Plant Input'!$A$35</f>
        <v>0</v>
      </c>
      <c r="Q43" s="142">
        <f>'Bulk Plant Input'!$A$36</f>
        <v>0</v>
      </c>
      <c r="R43" s="142">
        <f>'Bulk Plant Input'!$A$37</f>
        <v>0</v>
      </c>
      <c r="S43" s="206">
        <v>15</v>
      </c>
      <c r="U43" s="147"/>
      <c r="V43" s="147"/>
      <c r="W43" s="147"/>
      <c r="X43" s="147"/>
      <c r="Y43" s="147"/>
      <c r="Z43" s="147"/>
      <c r="AA43" s="147"/>
      <c r="AB43" s="147"/>
    </row>
    <row r="44" spans="1:28" s="144" customFormat="1" ht="15.75" x14ac:dyDescent="0.25">
      <c r="A44" s="178" t="str">
        <f>'Base Blend Property Calculation'!A48</f>
        <v>EXPANDOmix PRO LT</v>
      </c>
      <c r="B44" s="148">
        <f t="shared" si="0"/>
        <v>0</v>
      </c>
      <c r="C44" s="148">
        <f>'Base Blend Property Calculation'!BV48</f>
        <v>0</v>
      </c>
      <c r="D44" s="142">
        <f>'Bulk Plant Input'!$A$23</f>
        <v>0</v>
      </c>
      <c r="E44" s="142">
        <f>'Bulk Plant Input'!$A$24</f>
        <v>0</v>
      </c>
      <c r="F44" s="142">
        <f>'Bulk Plant Input'!$A$25</f>
        <v>0</v>
      </c>
      <c r="G44" s="142">
        <f>'Bulk Plant Input'!$A$26</f>
        <v>0</v>
      </c>
      <c r="H44" s="142">
        <f>'Bulk Plant Input'!$A$27</f>
        <v>0</v>
      </c>
      <c r="I44" s="142">
        <f>'Bulk Plant Input'!$A$28</f>
        <v>0</v>
      </c>
      <c r="J44" s="142">
        <f>'Bulk Plant Input'!$A$29</f>
        <v>0</v>
      </c>
      <c r="K44" s="142">
        <f>'Bulk Plant Input'!$A$30</f>
        <v>0</v>
      </c>
      <c r="L44" s="142">
        <f>'Bulk Plant Input'!$A$31</f>
        <v>0</v>
      </c>
      <c r="M44" s="142">
        <f>'Bulk Plant Input'!$A$32</f>
        <v>0</v>
      </c>
      <c r="N44" s="142">
        <f>'Bulk Plant Input'!$A$33</f>
        <v>0</v>
      </c>
      <c r="O44" s="142">
        <f>'Bulk Plant Input'!$A$34</f>
        <v>0</v>
      </c>
      <c r="P44" s="142">
        <f>'Bulk Plant Input'!$A$35</f>
        <v>0</v>
      </c>
      <c r="Q44" s="142">
        <f>'Bulk Plant Input'!$A$36</f>
        <v>0</v>
      </c>
      <c r="R44" s="142">
        <f>'Bulk Plant Input'!$A$37</f>
        <v>0</v>
      </c>
      <c r="S44" s="206">
        <v>1</v>
      </c>
      <c r="U44" s="147"/>
      <c r="V44" s="147"/>
      <c r="W44" s="147"/>
      <c r="X44" s="147"/>
      <c r="Y44" s="147"/>
      <c r="Z44" s="147"/>
      <c r="AA44" s="147"/>
      <c r="AB44" s="147"/>
    </row>
    <row r="45" spans="1:28" s="144" customFormat="1" ht="15.75" x14ac:dyDescent="0.25">
      <c r="A45" s="178" t="str">
        <f>'Base Blend Property Calculation'!A49</f>
        <v>Glacial Mix</v>
      </c>
      <c r="B45" s="148">
        <f t="shared" si="0"/>
        <v>1</v>
      </c>
      <c r="C45" s="148" t="str">
        <f>'Base Blend Property Calculation'!BV49</f>
        <v>ASM-5, CaCl2, CFL-3, CFL-3L, CFL-6</v>
      </c>
      <c r="D45" s="142">
        <f>'Bulk Plant Input'!$A$23</f>
        <v>0</v>
      </c>
      <c r="E45" s="142">
        <f>'Bulk Plant Input'!$A$24</f>
        <v>0</v>
      </c>
      <c r="F45" s="142">
        <f>'Bulk Plant Input'!$A$25</f>
        <v>0</v>
      </c>
      <c r="G45" s="142">
        <f>'Bulk Plant Input'!$A$26</f>
        <v>0</v>
      </c>
      <c r="H45" s="142">
        <f>'Bulk Plant Input'!$A$27</f>
        <v>0</v>
      </c>
      <c r="I45" s="142">
        <f>'Bulk Plant Input'!$A$28</f>
        <v>0</v>
      </c>
      <c r="J45" s="142">
        <f>'Bulk Plant Input'!$A$29</f>
        <v>0</v>
      </c>
      <c r="K45" s="142">
        <f>'Bulk Plant Input'!$A$30</f>
        <v>0</v>
      </c>
      <c r="L45" s="142">
        <f>'Bulk Plant Input'!$A$31</f>
        <v>0</v>
      </c>
      <c r="M45" s="142">
        <f>'Bulk Plant Input'!$A$32</f>
        <v>0</v>
      </c>
      <c r="N45" s="142">
        <f>'Bulk Plant Input'!$A$33</f>
        <v>0</v>
      </c>
      <c r="O45" s="142">
        <f>'Bulk Plant Input'!$A$34</f>
        <v>0</v>
      </c>
      <c r="P45" s="142">
        <f>'Bulk Plant Input'!$A$35</f>
        <v>0</v>
      </c>
      <c r="Q45" s="142">
        <f>'Bulk Plant Input'!$A$36</f>
        <v>0</v>
      </c>
      <c r="R45" s="142">
        <f>'Bulk Plant Input'!$A$37</f>
        <v>0</v>
      </c>
      <c r="S45" s="206">
        <v>1</v>
      </c>
      <c r="U45" s="147"/>
      <c r="V45" s="147"/>
      <c r="W45" s="147"/>
      <c r="X45" s="147"/>
      <c r="Y45" s="147"/>
      <c r="Z45" s="147"/>
      <c r="AA45" s="147"/>
      <c r="AB45" s="147"/>
    </row>
    <row r="46" spans="1:28" s="144" customFormat="1" ht="15.75" x14ac:dyDescent="0.25">
      <c r="A46" s="178" t="str">
        <f>'Base Blend Property Calculation'!A50</f>
        <v>iBond</v>
      </c>
      <c r="B46" s="148">
        <f t="shared" si="0"/>
        <v>1</v>
      </c>
      <c r="C46" s="148" t="str">
        <f>'Base Blend Property Calculation'!BV50</f>
        <v>CFR</v>
      </c>
      <c r="D46" s="142">
        <f>'Bulk Plant Input'!$A$23</f>
        <v>0</v>
      </c>
      <c r="E46" s="142">
        <f>'Bulk Plant Input'!$A$24</f>
        <v>0</v>
      </c>
      <c r="F46" s="142">
        <f>'Bulk Plant Input'!$A$25</f>
        <v>0</v>
      </c>
      <c r="G46" s="142">
        <f>'Bulk Plant Input'!$A$26</f>
        <v>0</v>
      </c>
      <c r="H46" s="142">
        <f>'Bulk Plant Input'!$A$27</f>
        <v>0</v>
      </c>
      <c r="I46" s="142">
        <f>'Bulk Plant Input'!$A$28</f>
        <v>0</v>
      </c>
      <c r="J46" s="142">
        <f>'Bulk Plant Input'!$A$29</f>
        <v>0</v>
      </c>
      <c r="K46" s="142">
        <f>'Bulk Plant Input'!$A$30</f>
        <v>0</v>
      </c>
      <c r="L46" s="142">
        <f>'Bulk Plant Input'!$A$31</f>
        <v>0</v>
      </c>
      <c r="M46" s="142">
        <f>'Bulk Plant Input'!$A$32</f>
        <v>0</v>
      </c>
      <c r="N46" s="142">
        <f>'Bulk Plant Input'!$A$33</f>
        <v>0</v>
      </c>
      <c r="O46" s="142">
        <f>'Bulk Plant Input'!$A$34</f>
        <v>0</v>
      </c>
      <c r="P46" s="142">
        <f>'Bulk Plant Input'!$A$35</f>
        <v>0</v>
      </c>
      <c r="Q46" s="142">
        <f>'Bulk Plant Input'!$A$36</f>
        <v>0</v>
      </c>
      <c r="R46" s="142">
        <f>'Bulk Plant Input'!$A$37</f>
        <v>0</v>
      </c>
      <c r="S46" s="206">
        <v>1</v>
      </c>
      <c r="U46" s="147"/>
      <c r="V46" s="147"/>
      <c r="W46" s="147"/>
      <c r="X46" s="147"/>
      <c r="Y46" s="147"/>
      <c r="Z46" s="147"/>
      <c r="AA46" s="147"/>
      <c r="AB46" s="147"/>
    </row>
    <row r="47" spans="1:28" s="144" customFormat="1" ht="15.75" x14ac:dyDescent="0.25">
      <c r="A47" s="178" t="str">
        <f>'Base Blend Property Calculation'!A51</f>
        <v>iGain (SK)</v>
      </c>
      <c r="B47" s="148">
        <f t="shared" si="0"/>
        <v>1</v>
      </c>
      <c r="C47" s="148" t="str">
        <f>'Base Blend Property Calculation'!BV51</f>
        <v>CFR</v>
      </c>
      <c r="D47" s="142">
        <f>'Bulk Plant Input'!$A$23</f>
        <v>0</v>
      </c>
      <c r="E47" s="142">
        <f>'Bulk Plant Input'!$A$24</f>
        <v>0</v>
      </c>
      <c r="F47" s="142">
        <f>'Bulk Plant Input'!$A$25</f>
        <v>0</v>
      </c>
      <c r="G47" s="142">
        <f>'Bulk Plant Input'!$A$26</f>
        <v>0</v>
      </c>
      <c r="H47" s="142">
        <f>'Bulk Plant Input'!$A$27</f>
        <v>0</v>
      </c>
      <c r="I47" s="142">
        <f>'Bulk Plant Input'!$A$28</f>
        <v>0</v>
      </c>
      <c r="J47" s="142">
        <f>'Bulk Plant Input'!$A$29</f>
        <v>0</v>
      </c>
      <c r="K47" s="142">
        <f>'Bulk Plant Input'!$A$30</f>
        <v>0</v>
      </c>
      <c r="L47" s="142">
        <f>'Bulk Plant Input'!$A$31</f>
        <v>0</v>
      </c>
      <c r="M47" s="142">
        <f>'Bulk Plant Input'!$A$32</f>
        <v>0</v>
      </c>
      <c r="N47" s="142">
        <f>'Bulk Plant Input'!$A$33</f>
        <v>0</v>
      </c>
      <c r="O47" s="142">
        <f>'Bulk Plant Input'!$A$34</f>
        <v>0</v>
      </c>
      <c r="P47" s="142">
        <f>'Bulk Plant Input'!$A$35</f>
        <v>0</v>
      </c>
      <c r="Q47" s="142">
        <f>'Bulk Plant Input'!$A$36</f>
        <v>0</v>
      </c>
      <c r="R47" s="142">
        <f>'Bulk Plant Input'!$A$37</f>
        <v>0</v>
      </c>
      <c r="S47" s="206">
        <v>1</v>
      </c>
      <c r="U47" s="147"/>
      <c r="V47" s="147"/>
      <c r="W47" s="147"/>
      <c r="X47" s="147"/>
      <c r="Y47" s="147"/>
      <c r="Z47" s="147"/>
      <c r="AA47" s="147"/>
      <c r="AB47" s="147"/>
    </row>
    <row r="48" spans="1:28" s="144" customFormat="1" ht="15.75" x14ac:dyDescent="0.25">
      <c r="A48" s="178" t="str">
        <f>'Base Blend Property Calculation'!A52</f>
        <v>iGain(AB)</v>
      </c>
      <c r="B48" s="148">
        <f t="shared" si="0"/>
        <v>1</v>
      </c>
      <c r="C48" s="148" t="str">
        <f>'Base Blend Property Calculation'!BV52</f>
        <v>CFR</v>
      </c>
      <c r="D48" s="142">
        <f>'Bulk Plant Input'!$A$23</f>
        <v>0</v>
      </c>
      <c r="E48" s="142">
        <f>'Bulk Plant Input'!$A$24</f>
        <v>0</v>
      </c>
      <c r="F48" s="142">
        <f>'Bulk Plant Input'!$A$25</f>
        <v>0</v>
      </c>
      <c r="G48" s="142">
        <f>'Bulk Plant Input'!$A$26</f>
        <v>0</v>
      </c>
      <c r="H48" s="142">
        <f>'Bulk Plant Input'!$A$27</f>
        <v>0</v>
      </c>
      <c r="I48" s="142">
        <f>'Bulk Plant Input'!$A$28</f>
        <v>0</v>
      </c>
      <c r="J48" s="142">
        <f>'Bulk Plant Input'!$A$29</f>
        <v>0</v>
      </c>
      <c r="K48" s="142">
        <f>'Bulk Plant Input'!$A$30</f>
        <v>0</v>
      </c>
      <c r="L48" s="142">
        <f>'Bulk Plant Input'!$A$31</f>
        <v>0</v>
      </c>
      <c r="M48" s="142">
        <f>'Bulk Plant Input'!$A$32</f>
        <v>0</v>
      </c>
      <c r="N48" s="142">
        <f>'Bulk Plant Input'!$A$33</f>
        <v>0</v>
      </c>
      <c r="O48" s="142">
        <f>'Bulk Plant Input'!$A$34</f>
        <v>0</v>
      </c>
      <c r="P48" s="142">
        <f>'Bulk Plant Input'!$A$35</f>
        <v>0</v>
      </c>
      <c r="Q48" s="142">
        <f>'Bulk Plant Input'!$A$36</f>
        <v>0</v>
      </c>
      <c r="R48" s="142">
        <f>'Bulk Plant Input'!$A$37</f>
        <v>0</v>
      </c>
      <c r="S48" s="206">
        <v>1</v>
      </c>
      <c r="U48" s="147"/>
      <c r="V48" s="147"/>
      <c r="W48" s="147"/>
      <c r="X48" s="147"/>
      <c r="Y48" s="147"/>
      <c r="Z48" s="147"/>
      <c r="AA48" s="147"/>
      <c r="AB48" s="147"/>
    </row>
    <row r="49" spans="1:28" s="144" customFormat="1" ht="15.75" x14ac:dyDescent="0.25">
      <c r="A49" s="178" t="str">
        <f>'Base Blend Property Calculation'!A53</f>
        <v>iPrime (AB)</v>
      </c>
      <c r="B49" s="148">
        <f t="shared" si="0"/>
        <v>1</v>
      </c>
      <c r="C49" s="148" t="str">
        <f>'Base Blend Property Calculation'!BV53</f>
        <v>CFR</v>
      </c>
      <c r="D49" s="142">
        <f>'Bulk Plant Input'!$A$23</f>
        <v>0</v>
      </c>
      <c r="E49" s="142">
        <f>'Bulk Plant Input'!$A$24</f>
        <v>0</v>
      </c>
      <c r="F49" s="142">
        <f>'Bulk Plant Input'!$A$25</f>
        <v>0</v>
      </c>
      <c r="G49" s="142">
        <f>'Bulk Plant Input'!$A$26</f>
        <v>0</v>
      </c>
      <c r="H49" s="142">
        <f>'Bulk Plant Input'!$A$27</f>
        <v>0</v>
      </c>
      <c r="I49" s="142">
        <f>'Bulk Plant Input'!$A$28</f>
        <v>0</v>
      </c>
      <c r="J49" s="142">
        <f>'Bulk Plant Input'!$A$29</f>
        <v>0</v>
      </c>
      <c r="K49" s="142">
        <f>'Bulk Plant Input'!$A$30</f>
        <v>0</v>
      </c>
      <c r="L49" s="142">
        <f>'Bulk Plant Input'!$A$31</f>
        <v>0</v>
      </c>
      <c r="M49" s="142">
        <f>'Bulk Plant Input'!$A$32</f>
        <v>0</v>
      </c>
      <c r="N49" s="142">
        <f>'Bulk Plant Input'!$A$33</f>
        <v>0</v>
      </c>
      <c r="O49" s="142">
        <f>'Bulk Plant Input'!$A$34</f>
        <v>0</v>
      </c>
      <c r="P49" s="142">
        <f>'Bulk Plant Input'!$A$35</f>
        <v>0</v>
      </c>
      <c r="Q49" s="142">
        <f>'Bulk Plant Input'!$A$36</f>
        <v>0</v>
      </c>
      <c r="R49" s="142">
        <f>'Bulk Plant Input'!$A$37</f>
        <v>0</v>
      </c>
      <c r="S49" s="206">
        <v>0</v>
      </c>
      <c r="U49" s="147"/>
      <c r="V49" s="147"/>
      <c r="W49" s="147"/>
      <c r="X49" s="147"/>
      <c r="Y49" s="147"/>
      <c r="Z49" s="147"/>
      <c r="AA49" s="147"/>
      <c r="AB49" s="147"/>
    </row>
    <row r="50" spans="1:28" s="144" customFormat="1" ht="15.75" x14ac:dyDescent="0.25">
      <c r="A50" s="178" t="str">
        <f>'Base Blend Property Calculation'!A54</f>
        <v>iPrime (SK)</v>
      </c>
      <c r="B50" s="148">
        <f t="shared" si="0"/>
        <v>1</v>
      </c>
      <c r="C50" s="148" t="str">
        <f>'Base Blend Property Calculation'!BV54</f>
        <v>CFR</v>
      </c>
      <c r="D50" s="145">
        <f>'Bulk Plant Input'!$A$23</f>
        <v>0</v>
      </c>
      <c r="E50" s="145">
        <f>'Bulk Plant Input'!$A$24</f>
        <v>0</v>
      </c>
      <c r="F50" s="145">
        <f>'Bulk Plant Input'!$A$25</f>
        <v>0</v>
      </c>
      <c r="G50" s="145">
        <f>'Bulk Plant Input'!$A$26</f>
        <v>0</v>
      </c>
      <c r="H50" s="145">
        <f>'Bulk Plant Input'!$A$27</f>
        <v>0</v>
      </c>
      <c r="I50" s="145">
        <f>'Bulk Plant Input'!$A$28</f>
        <v>0</v>
      </c>
      <c r="J50" s="145">
        <f>'Bulk Plant Input'!$A$29</f>
        <v>0</v>
      </c>
      <c r="K50" s="145">
        <f>'Bulk Plant Input'!$A$30</f>
        <v>0</v>
      </c>
      <c r="L50" s="145">
        <f>'Bulk Plant Input'!$A$31</f>
        <v>0</v>
      </c>
      <c r="M50" s="145">
        <f>'Bulk Plant Input'!$A$32</f>
        <v>0</v>
      </c>
      <c r="N50" s="145">
        <f>'Bulk Plant Input'!$A$33</f>
        <v>0</v>
      </c>
      <c r="O50" s="145">
        <f>'Bulk Plant Input'!$A$34</f>
        <v>0</v>
      </c>
      <c r="P50" s="145">
        <f>'Bulk Plant Input'!$A$35</f>
        <v>0</v>
      </c>
      <c r="Q50" s="145">
        <f>'Bulk Plant Input'!$A$36</f>
        <v>0</v>
      </c>
      <c r="R50" s="145">
        <f>'Bulk Plant Input'!$A$37</f>
        <v>0</v>
      </c>
      <c r="S50" s="206">
        <v>0</v>
      </c>
      <c r="U50" s="147"/>
      <c r="V50" s="147"/>
      <c r="W50" s="147"/>
      <c r="X50" s="147"/>
      <c r="Y50" s="147"/>
      <c r="Z50" s="147"/>
      <c r="AA50" s="147"/>
      <c r="AB50" s="147"/>
    </row>
    <row r="51" spans="1:28" s="144" customFormat="1" ht="15.75" x14ac:dyDescent="0.25">
      <c r="A51" s="178" t="str">
        <f>'Base Blend Property Calculation'!A55</f>
        <v>iThix</v>
      </c>
      <c r="B51" s="148">
        <f t="shared" si="0"/>
        <v>0</v>
      </c>
      <c r="C51" s="148">
        <f>'Base Blend Property Calculation'!BV55</f>
        <v>0</v>
      </c>
      <c r="D51" s="145">
        <f>'Bulk Plant Input'!$A$23</f>
        <v>0</v>
      </c>
      <c r="E51" s="145">
        <f>'Bulk Plant Input'!$A$24</f>
        <v>0</v>
      </c>
      <c r="F51" s="145">
        <f>'Bulk Plant Input'!$A$25</f>
        <v>0</v>
      </c>
      <c r="G51" s="145">
        <f>'Bulk Plant Input'!$A$26</f>
        <v>0</v>
      </c>
      <c r="H51" s="145">
        <f>'Bulk Plant Input'!$A$27</f>
        <v>0</v>
      </c>
      <c r="I51" s="145">
        <f>'Bulk Plant Input'!$A$28</f>
        <v>0</v>
      </c>
      <c r="J51" s="145">
        <f>'Bulk Plant Input'!$A$29</f>
        <v>0</v>
      </c>
      <c r="K51" s="145">
        <f>'Bulk Plant Input'!$A$30</f>
        <v>0</v>
      </c>
      <c r="L51" s="145">
        <f>'Bulk Plant Input'!$A$31</f>
        <v>0</v>
      </c>
      <c r="M51" s="145">
        <f>'Bulk Plant Input'!$A$32</f>
        <v>0</v>
      </c>
      <c r="N51" s="145">
        <f>'Bulk Plant Input'!$A$33</f>
        <v>0</v>
      </c>
      <c r="O51" s="145">
        <f>'Bulk Plant Input'!$A$34</f>
        <v>0</v>
      </c>
      <c r="P51" s="145">
        <f>'Bulk Plant Input'!$A$35</f>
        <v>0</v>
      </c>
      <c r="Q51" s="145">
        <f>'Bulk Plant Input'!$A$36</f>
        <v>0</v>
      </c>
      <c r="R51" s="145">
        <f>'Bulk Plant Input'!$A$37</f>
        <v>0</v>
      </c>
      <c r="S51" s="206">
        <v>0</v>
      </c>
      <c r="U51" s="147"/>
      <c r="V51" s="147"/>
      <c r="W51" s="147"/>
      <c r="X51" s="147"/>
      <c r="Y51" s="147"/>
      <c r="Z51" s="147"/>
      <c r="AA51" s="147"/>
      <c r="AB51" s="147"/>
    </row>
    <row r="52" spans="1:28" s="144" customFormat="1" ht="15.75" x14ac:dyDescent="0.25">
      <c r="A52" s="178" t="str">
        <f>'Base Blend Property Calculation'!A56</f>
        <v>iZone</v>
      </c>
      <c r="B52" s="148">
        <f t="shared" si="0"/>
        <v>0</v>
      </c>
      <c r="C52" s="148">
        <f>'Base Blend Property Calculation'!BV56</f>
        <v>0</v>
      </c>
      <c r="D52" s="145">
        <f>'Bulk Plant Input'!$A$23</f>
        <v>0</v>
      </c>
      <c r="E52" s="145">
        <f>'Bulk Plant Input'!$A$24</f>
        <v>0</v>
      </c>
      <c r="F52" s="145">
        <f>'Bulk Plant Input'!$A$25</f>
        <v>0</v>
      </c>
      <c r="G52" s="145">
        <f>'Bulk Plant Input'!$A$26</f>
        <v>0</v>
      </c>
      <c r="H52" s="145">
        <f>'Bulk Plant Input'!$A$27</f>
        <v>0</v>
      </c>
      <c r="I52" s="145">
        <f>'Bulk Plant Input'!$A$28</f>
        <v>0</v>
      </c>
      <c r="J52" s="145">
        <f>'Bulk Plant Input'!$A$29</f>
        <v>0</v>
      </c>
      <c r="K52" s="145">
        <f>'Bulk Plant Input'!$A$30</f>
        <v>0</v>
      </c>
      <c r="L52" s="145">
        <f>'Bulk Plant Input'!$A$31</f>
        <v>0</v>
      </c>
      <c r="M52" s="145">
        <f>'Bulk Plant Input'!$A$32</f>
        <v>0</v>
      </c>
      <c r="N52" s="145">
        <f>'Bulk Plant Input'!$A$33</f>
        <v>0</v>
      </c>
      <c r="O52" s="145">
        <f>'Bulk Plant Input'!$A$34</f>
        <v>0</v>
      </c>
      <c r="P52" s="145">
        <f>'Bulk Plant Input'!$A$35</f>
        <v>0</v>
      </c>
      <c r="Q52" s="145">
        <f>'Bulk Plant Input'!$A$36</f>
        <v>0</v>
      </c>
      <c r="R52" s="145">
        <f>'Bulk Plant Input'!$A$37</f>
        <v>0</v>
      </c>
      <c r="S52" s="206">
        <v>1</v>
      </c>
      <c r="U52" s="147"/>
      <c r="V52" s="147"/>
      <c r="W52" s="147"/>
      <c r="X52" s="147"/>
      <c r="Y52" s="147"/>
      <c r="Z52" s="147"/>
      <c r="AA52" s="147"/>
      <c r="AB52" s="147"/>
    </row>
    <row r="53" spans="1:28" s="144" customFormat="1" ht="15.75" x14ac:dyDescent="0.25">
      <c r="A53" s="178" t="str">
        <f>'Base Blend Property Calculation'!A57</f>
        <v>LCS 1600</v>
      </c>
      <c r="B53" s="148">
        <f t="shared" si="0"/>
        <v>0</v>
      </c>
      <c r="C53" s="148">
        <f>'Base Blend Property Calculation'!BV57</f>
        <v>0</v>
      </c>
      <c r="D53" s="145">
        <f>'Bulk Plant Input'!$A$23</f>
        <v>0</v>
      </c>
      <c r="E53" s="145">
        <f>'Bulk Plant Input'!$A$24</f>
        <v>0</v>
      </c>
      <c r="F53" s="145">
        <f>'Bulk Plant Input'!$A$25</f>
        <v>0</v>
      </c>
      <c r="G53" s="145">
        <f>'Bulk Plant Input'!$A$26</f>
        <v>0</v>
      </c>
      <c r="H53" s="145">
        <f>'Bulk Plant Input'!$A$27</f>
        <v>0</v>
      </c>
      <c r="I53" s="145">
        <f>'Bulk Plant Input'!$A$28</f>
        <v>0</v>
      </c>
      <c r="J53" s="145">
        <f>'Bulk Plant Input'!$A$29</f>
        <v>0</v>
      </c>
      <c r="K53" s="145">
        <f>'Bulk Plant Input'!$A$30</f>
        <v>0</v>
      </c>
      <c r="L53" s="145">
        <f>'Bulk Plant Input'!$A$31</f>
        <v>0</v>
      </c>
      <c r="M53" s="145">
        <f>'Bulk Plant Input'!$A$32</f>
        <v>0</v>
      </c>
      <c r="N53" s="145">
        <f>'Bulk Plant Input'!$A$33</f>
        <v>0</v>
      </c>
      <c r="O53" s="145">
        <f>'Bulk Plant Input'!$A$34</f>
        <v>0</v>
      </c>
      <c r="P53" s="145">
        <f>'Bulk Plant Input'!$A$35</f>
        <v>0</v>
      </c>
      <c r="Q53" s="145">
        <f>'Bulk Plant Input'!$A$36</f>
        <v>0</v>
      </c>
      <c r="R53" s="145">
        <f>'Bulk Plant Input'!$A$37</f>
        <v>0</v>
      </c>
      <c r="S53" s="206">
        <v>0</v>
      </c>
      <c r="U53" s="147"/>
      <c r="V53" s="147"/>
      <c r="W53" s="147"/>
      <c r="X53" s="147"/>
      <c r="Y53" s="147"/>
      <c r="Z53" s="147"/>
      <c r="AA53" s="147"/>
      <c r="AB53" s="147"/>
    </row>
    <row r="54" spans="1:28" s="144" customFormat="1" ht="15.75" x14ac:dyDescent="0.25">
      <c r="A54" s="178" t="str">
        <f>'Base Blend Property Calculation'!A58</f>
        <v>LCS 1820</v>
      </c>
      <c r="B54" s="148">
        <f t="shared" si="0"/>
        <v>1</v>
      </c>
      <c r="C54" s="148" t="str">
        <f>'Base Blend Property Calculation'!BV58</f>
        <v>CFR</v>
      </c>
      <c r="D54" s="142">
        <f>'Bulk Plant Input'!$A$23</f>
        <v>0</v>
      </c>
      <c r="E54" s="142">
        <f>'Bulk Plant Input'!$A$24</f>
        <v>0</v>
      </c>
      <c r="F54" s="142">
        <f>'Bulk Plant Input'!$A$25</f>
        <v>0</v>
      </c>
      <c r="G54" s="142">
        <f>'Bulk Plant Input'!$A$26</f>
        <v>0</v>
      </c>
      <c r="H54" s="142">
        <f>'Bulk Plant Input'!$A$27</f>
        <v>0</v>
      </c>
      <c r="I54" s="142">
        <f>'Bulk Plant Input'!$A$28</f>
        <v>0</v>
      </c>
      <c r="J54" s="142">
        <f>'Bulk Plant Input'!$A$29</f>
        <v>0</v>
      </c>
      <c r="K54" s="142">
        <f>'Bulk Plant Input'!$A$30</f>
        <v>0</v>
      </c>
      <c r="L54" s="142">
        <f>'Bulk Plant Input'!$A$31</f>
        <v>0</v>
      </c>
      <c r="M54" s="142">
        <f>'Bulk Plant Input'!$A$32</f>
        <v>0</v>
      </c>
      <c r="N54" s="142">
        <f>'Bulk Plant Input'!$A$33</f>
        <v>0</v>
      </c>
      <c r="O54" s="142">
        <f>'Bulk Plant Input'!$A$34</f>
        <v>0</v>
      </c>
      <c r="P54" s="142">
        <f>'Bulk Plant Input'!$A$35</f>
        <v>0</v>
      </c>
      <c r="Q54" s="142">
        <f>'Bulk Plant Input'!$A$36</f>
        <v>0</v>
      </c>
      <c r="R54" s="142">
        <f>'Bulk Plant Input'!$A$37</f>
        <v>0</v>
      </c>
      <c r="S54" s="206">
        <v>0</v>
      </c>
      <c r="U54" s="147"/>
      <c r="V54" s="147"/>
      <c r="W54" s="147"/>
      <c r="X54" s="147"/>
      <c r="Y54" s="147"/>
      <c r="Z54" s="147"/>
      <c r="AA54" s="147"/>
      <c r="AB54" s="147"/>
    </row>
    <row r="55" spans="1:28" s="144" customFormat="1" ht="15.75" x14ac:dyDescent="0.25">
      <c r="A55" s="178" t="str">
        <f>'Base Blend Property Calculation'!A59</f>
        <v>LDP-C-0117</v>
      </c>
      <c r="B55" s="148">
        <f t="shared" si="0"/>
        <v>0</v>
      </c>
      <c r="C55" s="148">
        <f>'Base Blend Property Calculation'!BV59</f>
        <v>0</v>
      </c>
      <c r="D55" s="145">
        <f>'Bulk Plant Input'!$A$23</f>
        <v>0</v>
      </c>
      <c r="E55" s="145">
        <f>'Bulk Plant Input'!$A$24</f>
        <v>0</v>
      </c>
      <c r="F55" s="145">
        <f>'Bulk Plant Input'!$A$25</f>
        <v>0</v>
      </c>
      <c r="G55" s="145">
        <f>'Bulk Plant Input'!$A$26</f>
        <v>0</v>
      </c>
      <c r="H55" s="145">
        <f>'Bulk Plant Input'!$A$27</f>
        <v>0</v>
      </c>
      <c r="I55" s="145">
        <f>'Bulk Plant Input'!$A$28</f>
        <v>0</v>
      </c>
      <c r="J55" s="145">
        <f>'Bulk Plant Input'!$A$29</f>
        <v>0</v>
      </c>
      <c r="K55" s="145">
        <f>'Bulk Plant Input'!$A$30</f>
        <v>0</v>
      </c>
      <c r="L55" s="145">
        <f>'Bulk Plant Input'!$A$31</f>
        <v>0</v>
      </c>
      <c r="M55" s="145">
        <f>'Bulk Plant Input'!$A$32</f>
        <v>0</v>
      </c>
      <c r="N55" s="145">
        <f>'Bulk Plant Input'!$A$33</f>
        <v>0</v>
      </c>
      <c r="O55" s="145">
        <f>'Bulk Plant Input'!$A$34</f>
        <v>0</v>
      </c>
      <c r="P55" s="145">
        <f>'Bulk Plant Input'!$A$35</f>
        <v>0</v>
      </c>
      <c r="Q55" s="145">
        <f>'Bulk Plant Input'!$A$36</f>
        <v>0</v>
      </c>
      <c r="R55" s="145">
        <f>'Bulk Plant Input'!$A$37</f>
        <v>0</v>
      </c>
      <c r="S55" s="206">
        <v>0</v>
      </c>
      <c r="U55" s="147"/>
      <c r="V55" s="147"/>
      <c r="W55" s="147"/>
      <c r="X55" s="147"/>
      <c r="Y55" s="147"/>
      <c r="Z55" s="147"/>
      <c r="AA55" s="147"/>
      <c r="AB55" s="147"/>
    </row>
    <row r="56" spans="1:28" s="144" customFormat="1" ht="15.75" x14ac:dyDescent="0.25">
      <c r="A56" s="178" t="str">
        <f>'Base Blend Property Calculation'!A60</f>
        <v>LDP-C-0516</v>
      </c>
      <c r="B56" s="148">
        <f t="shared" si="0"/>
        <v>0</v>
      </c>
      <c r="C56" s="148">
        <f>'Base Blend Property Calculation'!BV60</f>
        <v>0</v>
      </c>
      <c r="D56" s="142">
        <f>'Bulk Plant Input'!$A$23</f>
        <v>0</v>
      </c>
      <c r="E56" s="142">
        <f>'Bulk Plant Input'!$A$24</f>
        <v>0</v>
      </c>
      <c r="F56" s="142">
        <f>'Bulk Plant Input'!$A$25</f>
        <v>0</v>
      </c>
      <c r="G56" s="142">
        <f>'Bulk Plant Input'!$A$26</f>
        <v>0</v>
      </c>
      <c r="H56" s="142">
        <f>'Bulk Plant Input'!$A$27</f>
        <v>0</v>
      </c>
      <c r="I56" s="142">
        <f>'Bulk Plant Input'!$A$28</f>
        <v>0</v>
      </c>
      <c r="J56" s="142">
        <f>'Bulk Plant Input'!$A$29</f>
        <v>0</v>
      </c>
      <c r="K56" s="142">
        <f>'Bulk Plant Input'!$A$30</f>
        <v>0</v>
      </c>
      <c r="L56" s="142">
        <f>'Bulk Plant Input'!$A$31</f>
        <v>0</v>
      </c>
      <c r="M56" s="142">
        <f>'Bulk Plant Input'!$A$32</f>
        <v>0</v>
      </c>
      <c r="N56" s="142">
        <f>'Bulk Plant Input'!$A$33</f>
        <v>0</v>
      </c>
      <c r="O56" s="142">
        <f>'Bulk Plant Input'!$A$34</f>
        <v>0</v>
      </c>
      <c r="P56" s="142">
        <f>'Bulk Plant Input'!$A$35</f>
        <v>0</v>
      </c>
      <c r="Q56" s="142">
        <f>'Bulk Plant Input'!$A$36</f>
        <v>0</v>
      </c>
      <c r="R56" s="142">
        <f>'Bulk Plant Input'!$A$37</f>
        <v>0</v>
      </c>
      <c r="S56" s="206">
        <v>0</v>
      </c>
      <c r="U56" s="147"/>
      <c r="V56" s="147"/>
      <c r="W56" s="147"/>
      <c r="X56" s="147"/>
      <c r="Y56" s="147"/>
      <c r="Z56" s="147"/>
      <c r="AA56" s="147"/>
      <c r="AB56" s="147"/>
    </row>
    <row r="57" spans="1:28" s="144" customFormat="1" ht="15.75" x14ac:dyDescent="0.25">
      <c r="A57" s="178" t="str">
        <f>'Base Blend Property Calculation'!A61</f>
        <v>LDP-C-1316</v>
      </c>
      <c r="B57" s="148">
        <f t="shared" si="0"/>
        <v>0</v>
      </c>
      <c r="C57" s="148">
        <f>'Base Blend Property Calculation'!BV61</f>
        <v>0</v>
      </c>
      <c r="D57" s="145">
        <f>'Bulk Plant Input'!$A$23</f>
        <v>0</v>
      </c>
      <c r="E57" s="145">
        <f>'Bulk Plant Input'!$A$24</f>
        <v>0</v>
      </c>
      <c r="F57" s="145">
        <f>'Bulk Plant Input'!$A$25</f>
        <v>0</v>
      </c>
      <c r="G57" s="145">
        <f>'Bulk Plant Input'!$A$26</f>
        <v>0</v>
      </c>
      <c r="H57" s="145">
        <f>'Bulk Plant Input'!$A$27</f>
        <v>0</v>
      </c>
      <c r="I57" s="145">
        <f>'Bulk Plant Input'!$A$28</f>
        <v>0</v>
      </c>
      <c r="J57" s="145">
        <f>'Bulk Plant Input'!$A$29</f>
        <v>0</v>
      </c>
      <c r="K57" s="145">
        <f>'Bulk Plant Input'!$A$30</f>
        <v>0</v>
      </c>
      <c r="L57" s="145">
        <f>'Bulk Plant Input'!$A$31</f>
        <v>0</v>
      </c>
      <c r="M57" s="145">
        <f>'Bulk Plant Input'!$A$32</f>
        <v>0</v>
      </c>
      <c r="N57" s="145">
        <f>'Bulk Plant Input'!$A$33</f>
        <v>0</v>
      </c>
      <c r="O57" s="145">
        <f>'Bulk Plant Input'!$A$34</f>
        <v>0</v>
      </c>
      <c r="P57" s="145">
        <f>'Bulk Plant Input'!$A$35</f>
        <v>0</v>
      </c>
      <c r="Q57" s="145">
        <f>'Bulk Plant Input'!$A$36</f>
        <v>0</v>
      </c>
      <c r="R57" s="145">
        <f>'Bulk Plant Input'!$A$37</f>
        <v>0</v>
      </c>
      <c r="S57" s="206">
        <v>0</v>
      </c>
      <c r="U57" s="147"/>
      <c r="V57" s="147"/>
      <c r="W57" s="147"/>
      <c r="X57" s="147"/>
      <c r="Y57" s="147"/>
      <c r="Z57" s="147"/>
      <c r="AA57" s="147"/>
      <c r="AB57" s="147"/>
    </row>
    <row r="58" spans="1:28" s="144" customFormat="1" ht="15.75" x14ac:dyDescent="0.25">
      <c r="A58" s="178" t="str">
        <f>'Base Blend Property Calculation'!A62</f>
        <v>LDP-C-1616</v>
      </c>
      <c r="B58" s="148">
        <f t="shared" si="0"/>
        <v>0</v>
      </c>
      <c r="C58" s="148">
        <f>'Base Blend Property Calculation'!BV62</f>
        <v>0</v>
      </c>
      <c r="D58" s="145">
        <f>'Bulk Plant Input'!$A$23</f>
        <v>0</v>
      </c>
      <c r="E58" s="145">
        <f>'Bulk Plant Input'!$A$24</f>
        <v>0</v>
      </c>
      <c r="F58" s="145">
        <f>'Bulk Plant Input'!$A$25</f>
        <v>0</v>
      </c>
      <c r="G58" s="145">
        <f>'Bulk Plant Input'!$A$26</f>
        <v>0</v>
      </c>
      <c r="H58" s="145">
        <f>'Bulk Plant Input'!$A$27</f>
        <v>0</v>
      </c>
      <c r="I58" s="145">
        <f>'Bulk Plant Input'!$A$28</f>
        <v>0</v>
      </c>
      <c r="J58" s="145">
        <f>'Bulk Plant Input'!$A$29</f>
        <v>0</v>
      </c>
      <c r="K58" s="145">
        <f>'Bulk Plant Input'!$A$30</f>
        <v>0</v>
      </c>
      <c r="L58" s="145">
        <f>'Bulk Plant Input'!$A$31</f>
        <v>0</v>
      </c>
      <c r="M58" s="145">
        <f>'Bulk Plant Input'!$A$32</f>
        <v>0</v>
      </c>
      <c r="N58" s="145">
        <f>'Bulk Plant Input'!$A$33</f>
        <v>0</v>
      </c>
      <c r="O58" s="145">
        <f>'Bulk Plant Input'!$A$34</f>
        <v>0</v>
      </c>
      <c r="P58" s="145">
        <f>'Bulk Plant Input'!$A$35</f>
        <v>0</v>
      </c>
      <c r="Q58" s="145">
        <f>'Bulk Plant Input'!$A$36</f>
        <v>0</v>
      </c>
      <c r="R58" s="145">
        <f>'Bulk Plant Input'!$A$37</f>
        <v>0</v>
      </c>
      <c r="S58" s="206">
        <v>0</v>
      </c>
      <c r="U58" s="147"/>
      <c r="V58" s="147"/>
      <c r="W58" s="147"/>
      <c r="X58" s="147"/>
      <c r="Y58" s="147"/>
      <c r="Z58" s="147"/>
      <c r="AA58" s="147"/>
      <c r="AB58" s="147"/>
    </row>
    <row r="59" spans="1:28" s="144" customFormat="1" ht="15.75" x14ac:dyDescent="0.25">
      <c r="A59" s="178" t="str">
        <f>'Base Blend Property Calculation'!A63</f>
        <v>Litefill 1400 HT</v>
      </c>
      <c r="B59" s="148">
        <f t="shared" si="0"/>
        <v>0</v>
      </c>
      <c r="C59" s="148">
        <f>'Base Blend Property Calculation'!BV63</f>
        <v>0</v>
      </c>
      <c r="D59" s="145">
        <f>'Bulk Plant Input'!$A$23</f>
        <v>0</v>
      </c>
      <c r="E59" s="145">
        <f>'Bulk Plant Input'!$A$24</f>
        <v>0</v>
      </c>
      <c r="F59" s="145">
        <f>'Bulk Plant Input'!$A$25</f>
        <v>0</v>
      </c>
      <c r="G59" s="145">
        <f>'Bulk Plant Input'!$A$26</f>
        <v>0</v>
      </c>
      <c r="H59" s="145">
        <f>'Bulk Plant Input'!$A$27</f>
        <v>0</v>
      </c>
      <c r="I59" s="145">
        <f>'Bulk Plant Input'!$A$28</f>
        <v>0</v>
      </c>
      <c r="J59" s="145">
        <f>'Bulk Plant Input'!$A$29</f>
        <v>0</v>
      </c>
      <c r="K59" s="145">
        <f>'Bulk Plant Input'!$A$30</f>
        <v>0</v>
      </c>
      <c r="L59" s="145">
        <f>'Bulk Plant Input'!$A$31</f>
        <v>0</v>
      </c>
      <c r="M59" s="145">
        <f>'Bulk Plant Input'!$A$32</f>
        <v>0</v>
      </c>
      <c r="N59" s="145">
        <f>'Bulk Plant Input'!$A$33</f>
        <v>0</v>
      </c>
      <c r="O59" s="145">
        <f>'Bulk Plant Input'!$A$34</f>
        <v>0</v>
      </c>
      <c r="P59" s="145">
        <f>'Bulk Plant Input'!$A$35</f>
        <v>0</v>
      </c>
      <c r="Q59" s="145">
        <f>'Bulk Plant Input'!$A$36</f>
        <v>0</v>
      </c>
      <c r="R59" s="145">
        <f>'Bulk Plant Input'!$A$37</f>
        <v>0</v>
      </c>
      <c r="S59" s="206">
        <v>0</v>
      </c>
      <c r="U59" s="147"/>
      <c r="V59" s="147"/>
      <c r="W59" s="147"/>
      <c r="X59" s="147"/>
      <c r="Y59" s="147"/>
      <c r="Z59" s="147"/>
      <c r="AA59" s="147"/>
      <c r="AB59" s="147"/>
    </row>
    <row r="60" spans="1:28" s="144" customFormat="1" ht="15.75" x14ac:dyDescent="0.25">
      <c r="A60" s="178" t="str">
        <f>'Base Blend Property Calculation'!A64</f>
        <v>Litefill 1400 LT</v>
      </c>
      <c r="B60" s="148">
        <f t="shared" si="0"/>
        <v>0</v>
      </c>
      <c r="C60" s="148">
        <f>'Base Blend Property Calculation'!BV64</f>
        <v>0</v>
      </c>
      <c r="D60" s="145">
        <f>'Bulk Plant Input'!$A$23</f>
        <v>0</v>
      </c>
      <c r="E60" s="145">
        <f>'Bulk Plant Input'!$A$24</f>
        <v>0</v>
      </c>
      <c r="F60" s="145">
        <f>'Bulk Plant Input'!$A$25</f>
        <v>0</v>
      </c>
      <c r="G60" s="145">
        <f>'Bulk Plant Input'!$A$26</f>
        <v>0</v>
      </c>
      <c r="H60" s="145">
        <f>'Bulk Plant Input'!$A$27</f>
        <v>0</v>
      </c>
      <c r="I60" s="145">
        <f>'Bulk Plant Input'!$A$28</f>
        <v>0</v>
      </c>
      <c r="J60" s="145">
        <f>'Bulk Plant Input'!$A$29</f>
        <v>0</v>
      </c>
      <c r="K60" s="145">
        <f>'Bulk Plant Input'!$A$30</f>
        <v>0</v>
      </c>
      <c r="L60" s="145">
        <f>'Bulk Plant Input'!$A$31</f>
        <v>0</v>
      </c>
      <c r="M60" s="145">
        <f>'Bulk Plant Input'!$A$32</f>
        <v>0</v>
      </c>
      <c r="N60" s="145">
        <f>'Bulk Plant Input'!$A$33</f>
        <v>0</v>
      </c>
      <c r="O60" s="145">
        <f>'Bulk Plant Input'!$A$34</f>
        <v>0</v>
      </c>
      <c r="P60" s="145">
        <f>'Bulk Plant Input'!$A$35</f>
        <v>0</v>
      </c>
      <c r="Q60" s="145">
        <f>'Bulk Plant Input'!$A$36</f>
        <v>0</v>
      </c>
      <c r="R60" s="145">
        <f>'Bulk Plant Input'!$A$37</f>
        <v>0</v>
      </c>
      <c r="S60" s="206">
        <v>0</v>
      </c>
      <c r="U60" s="147"/>
      <c r="V60" s="147"/>
      <c r="W60" s="147"/>
      <c r="X60" s="147"/>
      <c r="Y60" s="147"/>
      <c r="Z60" s="147"/>
      <c r="AA60" s="147"/>
      <c r="AB60" s="147"/>
    </row>
    <row r="61" spans="1:28" s="144" customFormat="1" ht="15.75" x14ac:dyDescent="0.25">
      <c r="A61" s="178" t="str">
        <f>'Base Blend Property Calculation'!A65</f>
        <v>Litefill 1400 MT</v>
      </c>
      <c r="B61" s="148">
        <f t="shared" si="0"/>
        <v>0</v>
      </c>
      <c r="C61" s="148">
        <f>'Base Blend Property Calculation'!BV65</f>
        <v>0</v>
      </c>
      <c r="D61" s="145">
        <f>'Bulk Plant Input'!$A$23</f>
        <v>0</v>
      </c>
      <c r="E61" s="145">
        <f>'Bulk Plant Input'!$A$24</f>
        <v>0</v>
      </c>
      <c r="F61" s="145">
        <f>'Bulk Plant Input'!$A$25</f>
        <v>0</v>
      </c>
      <c r="G61" s="145">
        <f>'Bulk Plant Input'!$A$26</f>
        <v>0</v>
      </c>
      <c r="H61" s="145">
        <f>'Bulk Plant Input'!$A$27</f>
        <v>0</v>
      </c>
      <c r="I61" s="145">
        <f>'Bulk Plant Input'!$A$28</f>
        <v>0</v>
      </c>
      <c r="J61" s="145">
        <f>'Bulk Plant Input'!$A$29</f>
        <v>0</v>
      </c>
      <c r="K61" s="145">
        <f>'Bulk Plant Input'!$A$30</f>
        <v>0</v>
      </c>
      <c r="L61" s="145">
        <f>'Bulk Plant Input'!$A$31</f>
        <v>0</v>
      </c>
      <c r="M61" s="145">
        <f>'Bulk Plant Input'!$A$32</f>
        <v>0</v>
      </c>
      <c r="N61" s="145">
        <f>'Bulk Plant Input'!$A$33</f>
        <v>0</v>
      </c>
      <c r="O61" s="145">
        <f>'Bulk Plant Input'!$A$34</f>
        <v>0</v>
      </c>
      <c r="P61" s="145">
        <f>'Bulk Plant Input'!$A$35</f>
        <v>0</v>
      </c>
      <c r="Q61" s="145">
        <f>'Bulk Plant Input'!$A$36</f>
        <v>0</v>
      </c>
      <c r="R61" s="145">
        <f>'Bulk Plant Input'!$A$37</f>
        <v>0</v>
      </c>
      <c r="S61" s="206">
        <v>0</v>
      </c>
      <c r="U61" s="147"/>
      <c r="V61" s="147"/>
      <c r="W61" s="147"/>
      <c r="X61" s="147"/>
      <c r="Y61" s="147"/>
      <c r="Z61" s="147"/>
      <c r="AA61" s="147"/>
      <c r="AB61" s="147"/>
    </row>
    <row r="62" spans="1:28" s="144" customFormat="1" ht="15.75" x14ac:dyDescent="0.25">
      <c r="A62" s="178" t="str">
        <f>'Base Blend Property Calculation'!A66</f>
        <v>Litefill 1450 HT</v>
      </c>
      <c r="B62" s="148">
        <f t="shared" si="0"/>
        <v>0</v>
      </c>
      <c r="C62" s="148">
        <f>'Base Blend Property Calculation'!BV66</f>
        <v>0</v>
      </c>
      <c r="D62" s="145">
        <f>'Bulk Plant Input'!$A$23</f>
        <v>0</v>
      </c>
      <c r="E62" s="145">
        <f>'Bulk Plant Input'!$A$24</f>
        <v>0</v>
      </c>
      <c r="F62" s="145">
        <f>'Bulk Plant Input'!$A$25</f>
        <v>0</v>
      </c>
      <c r="G62" s="145">
        <f>'Bulk Plant Input'!$A$26</f>
        <v>0</v>
      </c>
      <c r="H62" s="145">
        <f>'Bulk Plant Input'!$A$27</f>
        <v>0</v>
      </c>
      <c r="I62" s="145">
        <f>'Bulk Plant Input'!$A$28</f>
        <v>0</v>
      </c>
      <c r="J62" s="145">
        <f>'Bulk Plant Input'!$A$29</f>
        <v>0</v>
      </c>
      <c r="K62" s="145">
        <f>'Bulk Plant Input'!$A$30</f>
        <v>0</v>
      </c>
      <c r="L62" s="145">
        <f>'Bulk Plant Input'!$A$31</f>
        <v>0</v>
      </c>
      <c r="M62" s="145">
        <f>'Bulk Plant Input'!$A$32</f>
        <v>0</v>
      </c>
      <c r="N62" s="145">
        <f>'Bulk Plant Input'!$A$33</f>
        <v>0</v>
      </c>
      <c r="O62" s="145">
        <f>'Bulk Plant Input'!$A$34</f>
        <v>0</v>
      </c>
      <c r="P62" s="145">
        <f>'Bulk Plant Input'!$A$35</f>
        <v>0</v>
      </c>
      <c r="Q62" s="145">
        <f>'Bulk Plant Input'!$A$36</f>
        <v>0</v>
      </c>
      <c r="R62" s="145">
        <f>'Bulk Plant Input'!$A$37</f>
        <v>0</v>
      </c>
      <c r="S62" s="206">
        <v>0</v>
      </c>
      <c r="U62" s="147"/>
      <c r="V62" s="147"/>
      <c r="W62" s="147"/>
      <c r="X62" s="147"/>
      <c r="Y62" s="147"/>
      <c r="Z62" s="147"/>
      <c r="AA62" s="147"/>
      <c r="AB62" s="147"/>
    </row>
    <row r="63" spans="1:28" s="144" customFormat="1" ht="15.75" x14ac:dyDescent="0.25">
      <c r="A63" s="178" t="str">
        <f>'Base Blend Property Calculation'!A67</f>
        <v>Litefill 1450 LT</v>
      </c>
      <c r="B63" s="148">
        <f t="shared" si="0"/>
        <v>0</v>
      </c>
      <c r="C63" s="148">
        <f>'Base Blend Property Calculation'!BV67</f>
        <v>0</v>
      </c>
      <c r="D63" s="145">
        <f>'Bulk Plant Input'!$A$23</f>
        <v>0</v>
      </c>
      <c r="E63" s="145">
        <f>'Bulk Plant Input'!$A$24</f>
        <v>0</v>
      </c>
      <c r="F63" s="145">
        <f>'Bulk Plant Input'!$A$25</f>
        <v>0</v>
      </c>
      <c r="G63" s="145">
        <f>'Bulk Plant Input'!$A$26</f>
        <v>0</v>
      </c>
      <c r="H63" s="145">
        <f>'Bulk Plant Input'!$A$27</f>
        <v>0</v>
      </c>
      <c r="I63" s="145">
        <f>'Bulk Plant Input'!$A$28</f>
        <v>0</v>
      </c>
      <c r="J63" s="145">
        <f>'Bulk Plant Input'!$A$29</f>
        <v>0</v>
      </c>
      <c r="K63" s="145">
        <f>'Bulk Plant Input'!$A$30</f>
        <v>0</v>
      </c>
      <c r="L63" s="145">
        <f>'Bulk Plant Input'!$A$31</f>
        <v>0</v>
      </c>
      <c r="M63" s="145">
        <f>'Bulk Plant Input'!$A$32</f>
        <v>0</v>
      </c>
      <c r="N63" s="145">
        <f>'Bulk Plant Input'!$A$33</f>
        <v>0</v>
      </c>
      <c r="O63" s="145">
        <f>'Bulk Plant Input'!$A$34</f>
        <v>0</v>
      </c>
      <c r="P63" s="145">
        <f>'Bulk Plant Input'!$A$35</f>
        <v>0</v>
      </c>
      <c r="Q63" s="145">
        <f>'Bulk Plant Input'!$A$36</f>
        <v>0</v>
      </c>
      <c r="R63" s="145">
        <f>'Bulk Plant Input'!$A$37</f>
        <v>0</v>
      </c>
      <c r="S63" s="206">
        <v>0</v>
      </c>
      <c r="U63" s="147"/>
      <c r="V63" s="147"/>
      <c r="W63" s="147"/>
      <c r="X63" s="147"/>
      <c r="Y63" s="147"/>
      <c r="Z63" s="147"/>
      <c r="AA63" s="147"/>
      <c r="AB63" s="147"/>
    </row>
    <row r="64" spans="1:28" s="144" customFormat="1" ht="15.75" x14ac:dyDescent="0.25">
      <c r="A64" s="178" t="str">
        <f>'Base Blend Property Calculation'!A68</f>
        <v>Litefill 1450 MT</v>
      </c>
      <c r="B64" s="148">
        <f t="shared" si="0"/>
        <v>0</v>
      </c>
      <c r="C64" s="148">
        <f>'Base Blend Property Calculation'!BV68</f>
        <v>0</v>
      </c>
      <c r="D64" s="145">
        <f>'Bulk Plant Input'!$A$23</f>
        <v>0</v>
      </c>
      <c r="E64" s="145">
        <f>'Bulk Plant Input'!$A$24</f>
        <v>0</v>
      </c>
      <c r="F64" s="145">
        <f>'Bulk Plant Input'!$A$25</f>
        <v>0</v>
      </c>
      <c r="G64" s="145">
        <f>'Bulk Plant Input'!$A$26</f>
        <v>0</v>
      </c>
      <c r="H64" s="145">
        <f>'Bulk Plant Input'!$A$27</f>
        <v>0</v>
      </c>
      <c r="I64" s="145">
        <f>'Bulk Plant Input'!$A$28</f>
        <v>0</v>
      </c>
      <c r="J64" s="145">
        <f>'Bulk Plant Input'!$A$29</f>
        <v>0</v>
      </c>
      <c r="K64" s="145">
        <f>'Bulk Plant Input'!$A$30</f>
        <v>0</v>
      </c>
      <c r="L64" s="145">
        <f>'Bulk Plant Input'!$A$31</f>
        <v>0</v>
      </c>
      <c r="M64" s="145">
        <f>'Bulk Plant Input'!$A$32</f>
        <v>0</v>
      </c>
      <c r="N64" s="145">
        <f>'Bulk Plant Input'!$A$33</f>
        <v>0</v>
      </c>
      <c r="O64" s="145">
        <f>'Bulk Plant Input'!$A$34</f>
        <v>0</v>
      </c>
      <c r="P64" s="145">
        <f>'Bulk Plant Input'!$A$35</f>
        <v>0</v>
      </c>
      <c r="Q64" s="145">
        <f>'Bulk Plant Input'!$A$36</f>
        <v>0</v>
      </c>
      <c r="R64" s="145">
        <f>'Bulk Plant Input'!$A$37</f>
        <v>0</v>
      </c>
      <c r="S64" s="206">
        <v>0</v>
      </c>
      <c r="U64" s="147"/>
      <c r="V64" s="147"/>
      <c r="W64" s="147"/>
      <c r="X64" s="147"/>
      <c r="Y64" s="147"/>
      <c r="Z64" s="147"/>
      <c r="AA64" s="147"/>
      <c r="AB64" s="147"/>
    </row>
    <row r="65" spans="1:28" s="144" customFormat="1" ht="15.75" x14ac:dyDescent="0.25">
      <c r="A65" s="178" t="str">
        <f>'Base Blend Property Calculation'!A69</f>
        <v>Litefill 1500 HT</v>
      </c>
      <c r="B65" s="148">
        <f t="shared" si="0"/>
        <v>0</v>
      </c>
      <c r="C65" s="148">
        <f>'Base Blend Property Calculation'!BV69</f>
        <v>0</v>
      </c>
      <c r="D65" s="145">
        <f>'Bulk Plant Input'!$A$23</f>
        <v>0</v>
      </c>
      <c r="E65" s="145">
        <f>'Bulk Plant Input'!$A$24</f>
        <v>0</v>
      </c>
      <c r="F65" s="145">
        <f>'Bulk Plant Input'!$A$25</f>
        <v>0</v>
      </c>
      <c r="G65" s="145">
        <f>'Bulk Plant Input'!$A$26</f>
        <v>0</v>
      </c>
      <c r="H65" s="145">
        <f>'Bulk Plant Input'!$A$27</f>
        <v>0</v>
      </c>
      <c r="I65" s="145">
        <f>'Bulk Plant Input'!$A$28</f>
        <v>0</v>
      </c>
      <c r="J65" s="145">
        <f>'Bulk Plant Input'!$A$29</f>
        <v>0</v>
      </c>
      <c r="K65" s="145">
        <f>'Bulk Plant Input'!$A$30</f>
        <v>0</v>
      </c>
      <c r="L65" s="145">
        <f>'Bulk Plant Input'!$A$31</f>
        <v>0</v>
      </c>
      <c r="M65" s="145">
        <f>'Bulk Plant Input'!$A$32</f>
        <v>0</v>
      </c>
      <c r="N65" s="145">
        <f>'Bulk Plant Input'!$A$33</f>
        <v>0</v>
      </c>
      <c r="O65" s="145">
        <f>'Bulk Plant Input'!$A$34</f>
        <v>0</v>
      </c>
      <c r="P65" s="145">
        <f>'Bulk Plant Input'!$A$35</f>
        <v>0</v>
      </c>
      <c r="Q65" s="145">
        <f>'Bulk Plant Input'!$A$36</f>
        <v>0</v>
      </c>
      <c r="R65" s="145">
        <f>'Bulk Plant Input'!$A$37</f>
        <v>0</v>
      </c>
      <c r="S65" s="206">
        <v>0</v>
      </c>
      <c r="U65" s="147"/>
      <c r="V65" s="147"/>
      <c r="W65" s="147"/>
      <c r="X65" s="147"/>
      <c r="Y65" s="147"/>
      <c r="Z65" s="147"/>
      <c r="AA65" s="147"/>
      <c r="AB65" s="147"/>
    </row>
    <row r="66" spans="1:28" s="144" customFormat="1" ht="15.75" x14ac:dyDescent="0.25">
      <c r="A66" s="178" t="str">
        <f>'Base Blend Property Calculation'!A70</f>
        <v>Litefill 1500 LT</v>
      </c>
      <c r="B66" s="148">
        <f t="shared" si="0"/>
        <v>0</v>
      </c>
      <c r="C66" s="148">
        <f>'Base Blend Property Calculation'!BV70</f>
        <v>0</v>
      </c>
      <c r="D66" s="145">
        <f>'Bulk Plant Input'!$A$23</f>
        <v>0</v>
      </c>
      <c r="E66" s="145">
        <f>'Bulk Plant Input'!$A$24</f>
        <v>0</v>
      </c>
      <c r="F66" s="145">
        <f>'Bulk Plant Input'!$A$25</f>
        <v>0</v>
      </c>
      <c r="G66" s="145">
        <f>'Bulk Plant Input'!$A$26</f>
        <v>0</v>
      </c>
      <c r="H66" s="145">
        <f>'Bulk Plant Input'!$A$27</f>
        <v>0</v>
      </c>
      <c r="I66" s="145">
        <f>'Bulk Plant Input'!$A$28</f>
        <v>0</v>
      </c>
      <c r="J66" s="145">
        <f>'Bulk Plant Input'!$A$29</f>
        <v>0</v>
      </c>
      <c r="K66" s="145">
        <f>'Bulk Plant Input'!$A$30</f>
        <v>0</v>
      </c>
      <c r="L66" s="145">
        <f>'Bulk Plant Input'!$A$31</f>
        <v>0</v>
      </c>
      <c r="M66" s="145">
        <f>'Bulk Plant Input'!$A$32</f>
        <v>0</v>
      </c>
      <c r="N66" s="145">
        <f>'Bulk Plant Input'!$A$33</f>
        <v>0</v>
      </c>
      <c r="O66" s="145">
        <f>'Bulk Plant Input'!$A$34</f>
        <v>0</v>
      </c>
      <c r="P66" s="145">
        <f>'Bulk Plant Input'!$A$35</f>
        <v>0</v>
      </c>
      <c r="Q66" s="145">
        <f>'Bulk Plant Input'!$A$36</f>
        <v>0</v>
      </c>
      <c r="R66" s="145">
        <f>'Bulk Plant Input'!$A$37</f>
        <v>0</v>
      </c>
      <c r="S66" s="206">
        <v>0</v>
      </c>
      <c r="U66" s="147"/>
      <c r="V66" s="147"/>
      <c r="W66" s="147"/>
      <c r="X66" s="147"/>
      <c r="Y66" s="147"/>
      <c r="Z66" s="147"/>
      <c r="AA66" s="147"/>
      <c r="AB66" s="147"/>
    </row>
    <row r="67" spans="1:28" s="144" customFormat="1" ht="15.75" x14ac:dyDescent="0.25">
      <c r="A67" s="178" t="str">
        <f>'Base Blend Property Calculation'!A71</f>
        <v>Litefill 1500 MT</v>
      </c>
      <c r="B67" s="148">
        <f t="shared" si="0"/>
        <v>0</v>
      </c>
      <c r="C67" s="148">
        <f>'Base Blend Property Calculation'!BV71</f>
        <v>0</v>
      </c>
      <c r="D67" s="145">
        <f>'Bulk Plant Input'!$A$23</f>
        <v>0</v>
      </c>
      <c r="E67" s="145">
        <f>'Bulk Plant Input'!$A$24</f>
        <v>0</v>
      </c>
      <c r="F67" s="145">
        <f>'Bulk Plant Input'!$A$25</f>
        <v>0</v>
      </c>
      <c r="G67" s="145">
        <f>'Bulk Plant Input'!$A$26</f>
        <v>0</v>
      </c>
      <c r="H67" s="145">
        <f>'Bulk Plant Input'!$A$27</f>
        <v>0</v>
      </c>
      <c r="I67" s="145">
        <f>'Bulk Plant Input'!$A$28</f>
        <v>0</v>
      </c>
      <c r="J67" s="145">
        <f>'Bulk Plant Input'!$A$29</f>
        <v>0</v>
      </c>
      <c r="K67" s="145">
        <f>'Bulk Plant Input'!$A$30</f>
        <v>0</v>
      </c>
      <c r="L67" s="145">
        <f>'Bulk Plant Input'!$A$31</f>
        <v>0</v>
      </c>
      <c r="M67" s="145">
        <f>'Bulk Plant Input'!$A$32</f>
        <v>0</v>
      </c>
      <c r="N67" s="145">
        <f>'Bulk Plant Input'!$A$33</f>
        <v>0</v>
      </c>
      <c r="O67" s="145">
        <f>'Bulk Plant Input'!$A$34</f>
        <v>0</v>
      </c>
      <c r="P67" s="145">
        <f>'Bulk Plant Input'!$A$35</f>
        <v>0</v>
      </c>
      <c r="Q67" s="145">
        <f>'Bulk Plant Input'!$A$36</f>
        <v>0</v>
      </c>
      <c r="R67" s="145">
        <f>'Bulk Plant Input'!$A$37</f>
        <v>0</v>
      </c>
      <c r="S67" s="206">
        <v>0</v>
      </c>
      <c r="U67" s="147"/>
      <c r="V67" s="147"/>
      <c r="W67" s="147"/>
      <c r="X67" s="147"/>
      <c r="Y67" s="147"/>
      <c r="Z67" s="147"/>
      <c r="AA67" s="147"/>
      <c r="AB67" s="147"/>
    </row>
    <row r="68" spans="1:28" s="144" customFormat="1" ht="15.75" x14ac:dyDescent="0.25">
      <c r="A68" s="178" t="str">
        <f>'Base Blend Property Calculation'!A72</f>
        <v>Litefill 1550 HT</v>
      </c>
      <c r="B68" s="148">
        <f t="shared" ref="B68:B132" si="1">IF(C68=0,0,1)</f>
        <v>0</v>
      </c>
      <c r="C68" s="148">
        <f>'Base Blend Property Calculation'!BV72</f>
        <v>0</v>
      </c>
      <c r="D68" s="145">
        <f>'Bulk Plant Input'!$A$23</f>
        <v>0</v>
      </c>
      <c r="E68" s="145">
        <f>'Bulk Plant Input'!$A$24</f>
        <v>0</v>
      </c>
      <c r="F68" s="145">
        <f>'Bulk Plant Input'!$A$25</f>
        <v>0</v>
      </c>
      <c r="G68" s="145">
        <f>'Bulk Plant Input'!$A$26</f>
        <v>0</v>
      </c>
      <c r="H68" s="145">
        <f>'Bulk Plant Input'!$A$27</f>
        <v>0</v>
      </c>
      <c r="I68" s="145">
        <f>'Bulk Plant Input'!$A$28</f>
        <v>0</v>
      </c>
      <c r="J68" s="145">
        <f>'Bulk Plant Input'!$A$29</f>
        <v>0</v>
      </c>
      <c r="K68" s="145">
        <f>'Bulk Plant Input'!$A$30</f>
        <v>0</v>
      </c>
      <c r="L68" s="145">
        <f>'Bulk Plant Input'!$A$31</f>
        <v>0</v>
      </c>
      <c r="M68" s="145">
        <f>'Bulk Plant Input'!$A$32</f>
        <v>0</v>
      </c>
      <c r="N68" s="145">
        <f>'Bulk Plant Input'!$A$33</f>
        <v>0</v>
      </c>
      <c r="O68" s="145">
        <f>'Bulk Plant Input'!$A$34</f>
        <v>0</v>
      </c>
      <c r="P68" s="145">
        <f>'Bulk Plant Input'!$A$35</f>
        <v>0</v>
      </c>
      <c r="Q68" s="145">
        <f>'Bulk Plant Input'!$A$36</f>
        <v>0</v>
      </c>
      <c r="R68" s="145">
        <f>'Bulk Plant Input'!$A$37</f>
        <v>0</v>
      </c>
      <c r="S68" s="206">
        <v>0</v>
      </c>
      <c r="U68" s="147"/>
      <c r="V68" s="147"/>
      <c r="W68" s="147"/>
      <c r="X68" s="147"/>
      <c r="Y68" s="147"/>
      <c r="Z68" s="147"/>
      <c r="AA68" s="147"/>
      <c r="AB68" s="147"/>
    </row>
    <row r="69" spans="1:28" s="144" customFormat="1" ht="15.75" x14ac:dyDescent="0.25">
      <c r="A69" s="178" t="str">
        <f>'Base Blend Property Calculation'!A73</f>
        <v>Litefill 1550 LT</v>
      </c>
      <c r="B69" s="148">
        <f t="shared" si="1"/>
        <v>0</v>
      </c>
      <c r="C69" s="148">
        <f>'Base Blend Property Calculation'!BV73</f>
        <v>0</v>
      </c>
      <c r="D69" s="145">
        <f>'Bulk Plant Input'!$A$23</f>
        <v>0</v>
      </c>
      <c r="E69" s="145">
        <f>'Bulk Plant Input'!$A$24</f>
        <v>0</v>
      </c>
      <c r="F69" s="145">
        <f>'Bulk Plant Input'!$A$25</f>
        <v>0</v>
      </c>
      <c r="G69" s="145">
        <f>'Bulk Plant Input'!$A$26</f>
        <v>0</v>
      </c>
      <c r="H69" s="145">
        <f>'Bulk Plant Input'!$A$27</f>
        <v>0</v>
      </c>
      <c r="I69" s="145">
        <f>'Bulk Plant Input'!$A$28</f>
        <v>0</v>
      </c>
      <c r="J69" s="145">
        <f>'Bulk Plant Input'!$A$29</f>
        <v>0</v>
      </c>
      <c r="K69" s="145">
        <f>'Bulk Plant Input'!$A$30</f>
        <v>0</v>
      </c>
      <c r="L69" s="145">
        <f>'Bulk Plant Input'!$A$31</f>
        <v>0</v>
      </c>
      <c r="M69" s="145">
        <f>'Bulk Plant Input'!$A$32</f>
        <v>0</v>
      </c>
      <c r="N69" s="145">
        <f>'Bulk Plant Input'!$A$33</f>
        <v>0</v>
      </c>
      <c r="O69" s="145">
        <f>'Bulk Plant Input'!$A$34</f>
        <v>0</v>
      </c>
      <c r="P69" s="145">
        <f>'Bulk Plant Input'!$A$35</f>
        <v>0</v>
      </c>
      <c r="Q69" s="145">
        <f>'Bulk Plant Input'!$A$36</f>
        <v>0</v>
      </c>
      <c r="R69" s="145">
        <f>'Bulk Plant Input'!$A$37</f>
        <v>0</v>
      </c>
      <c r="S69" s="206">
        <v>1</v>
      </c>
      <c r="U69" s="147"/>
      <c r="V69" s="147"/>
      <c r="W69" s="147"/>
      <c r="X69" s="147"/>
      <c r="Y69" s="147"/>
      <c r="Z69" s="147"/>
      <c r="AA69" s="147"/>
      <c r="AB69" s="147"/>
    </row>
    <row r="70" spans="1:28" s="144" customFormat="1" ht="15.75" x14ac:dyDescent="0.25">
      <c r="A70" s="178" t="str">
        <f>'Base Blend Property Calculation'!A74</f>
        <v>Litefill 1550 MT</v>
      </c>
      <c r="B70" s="148">
        <f t="shared" si="1"/>
        <v>0</v>
      </c>
      <c r="C70" s="148">
        <f>'Base Blend Property Calculation'!BV74</f>
        <v>0</v>
      </c>
      <c r="D70" s="145">
        <f>'Bulk Plant Input'!$A$23</f>
        <v>0</v>
      </c>
      <c r="E70" s="145">
        <f>'Bulk Plant Input'!$A$24</f>
        <v>0</v>
      </c>
      <c r="F70" s="145">
        <f>'Bulk Plant Input'!$A$25</f>
        <v>0</v>
      </c>
      <c r="G70" s="145">
        <f>'Bulk Plant Input'!$A$26</f>
        <v>0</v>
      </c>
      <c r="H70" s="145">
        <f>'Bulk Plant Input'!$A$27</f>
        <v>0</v>
      </c>
      <c r="I70" s="145">
        <f>'Bulk Plant Input'!$A$28</f>
        <v>0</v>
      </c>
      <c r="J70" s="145">
        <f>'Bulk Plant Input'!$A$29</f>
        <v>0</v>
      </c>
      <c r="K70" s="145">
        <f>'Bulk Plant Input'!$A$30</f>
        <v>0</v>
      </c>
      <c r="L70" s="145">
        <f>'Bulk Plant Input'!$A$31</f>
        <v>0</v>
      </c>
      <c r="M70" s="145">
        <f>'Bulk Plant Input'!$A$32</f>
        <v>0</v>
      </c>
      <c r="N70" s="145">
        <f>'Bulk Plant Input'!$A$33</f>
        <v>0</v>
      </c>
      <c r="O70" s="145">
        <f>'Bulk Plant Input'!$A$34</f>
        <v>0</v>
      </c>
      <c r="P70" s="145">
        <f>'Bulk Plant Input'!$A$35</f>
        <v>0</v>
      </c>
      <c r="Q70" s="145">
        <f>'Bulk Plant Input'!$A$36</f>
        <v>0</v>
      </c>
      <c r="R70" s="145">
        <f>'Bulk Plant Input'!$A$37</f>
        <v>0</v>
      </c>
      <c r="S70" s="206">
        <v>1</v>
      </c>
      <c r="U70" s="147"/>
      <c r="V70" s="147"/>
      <c r="W70" s="147"/>
      <c r="X70" s="147"/>
      <c r="Y70" s="147"/>
      <c r="Z70" s="147"/>
      <c r="AA70" s="147"/>
      <c r="AB70" s="147"/>
    </row>
    <row r="71" spans="1:28" s="144" customFormat="1" ht="15.75" x14ac:dyDescent="0.25">
      <c r="A71" s="178" t="str">
        <f>'Base Blend Property Calculation'!A75</f>
        <v>LITEmix 1325 (AB)</v>
      </c>
      <c r="B71" s="148">
        <f t="shared" si="1"/>
        <v>0</v>
      </c>
      <c r="C71" s="148">
        <f>'Base Blend Property Calculation'!BV75</f>
        <v>0</v>
      </c>
      <c r="D71" s="145">
        <f>'Bulk Plant Input'!$A$23</f>
        <v>0</v>
      </c>
      <c r="E71" s="145">
        <f>'Bulk Plant Input'!$A$24</f>
        <v>0</v>
      </c>
      <c r="F71" s="145">
        <f>'Bulk Plant Input'!$A$25</f>
        <v>0</v>
      </c>
      <c r="G71" s="145">
        <f>'Bulk Plant Input'!$A$26</f>
        <v>0</v>
      </c>
      <c r="H71" s="145">
        <f>'Bulk Plant Input'!$A$27</f>
        <v>0</v>
      </c>
      <c r="I71" s="145">
        <f>'Bulk Plant Input'!$A$28</f>
        <v>0</v>
      </c>
      <c r="J71" s="145">
        <f>'Bulk Plant Input'!$A$29</f>
        <v>0</v>
      </c>
      <c r="K71" s="145">
        <f>'Bulk Plant Input'!$A$30</f>
        <v>0</v>
      </c>
      <c r="L71" s="145">
        <f>'Bulk Plant Input'!$A$31</f>
        <v>0</v>
      </c>
      <c r="M71" s="145">
        <f>'Bulk Plant Input'!$A$32</f>
        <v>0</v>
      </c>
      <c r="N71" s="145">
        <f>'Bulk Plant Input'!$A$33</f>
        <v>0</v>
      </c>
      <c r="O71" s="145">
        <f>'Bulk Plant Input'!$A$34</f>
        <v>0</v>
      </c>
      <c r="P71" s="145">
        <f>'Bulk Plant Input'!$A$35</f>
        <v>0</v>
      </c>
      <c r="Q71" s="145">
        <f>'Bulk Plant Input'!$A$36</f>
        <v>0</v>
      </c>
      <c r="R71" s="145">
        <f>'Bulk Plant Input'!$A$37</f>
        <v>0</v>
      </c>
      <c r="S71" s="206">
        <v>1</v>
      </c>
      <c r="U71" s="147"/>
      <c r="V71" s="147"/>
      <c r="W71" s="147"/>
      <c r="X71" s="147"/>
      <c r="Y71" s="147"/>
      <c r="Z71" s="147"/>
      <c r="AA71" s="147"/>
      <c r="AB71" s="147"/>
    </row>
    <row r="72" spans="1:28" s="144" customFormat="1" ht="15.75" x14ac:dyDescent="0.25">
      <c r="A72" s="178" t="str">
        <f>'Base Blend Property Calculation'!A76</f>
        <v>LITEmix 1325 (SK)</v>
      </c>
      <c r="B72" s="148">
        <f t="shared" si="1"/>
        <v>0</v>
      </c>
      <c r="C72" s="148">
        <f>'Base Blend Property Calculation'!BV76</f>
        <v>0</v>
      </c>
      <c r="D72" s="145">
        <f>'Bulk Plant Input'!$A$23</f>
        <v>0</v>
      </c>
      <c r="E72" s="145">
        <f>'Bulk Plant Input'!$A$24</f>
        <v>0</v>
      </c>
      <c r="F72" s="145">
        <f>'Bulk Plant Input'!$A$25</f>
        <v>0</v>
      </c>
      <c r="G72" s="145">
        <f>'Bulk Plant Input'!$A$26</f>
        <v>0</v>
      </c>
      <c r="H72" s="145">
        <f>'Bulk Plant Input'!$A$27</f>
        <v>0</v>
      </c>
      <c r="I72" s="145">
        <f>'Bulk Plant Input'!$A$28</f>
        <v>0</v>
      </c>
      <c r="J72" s="145">
        <f>'Bulk Plant Input'!$A$29</f>
        <v>0</v>
      </c>
      <c r="K72" s="145">
        <f>'Bulk Plant Input'!$A$30</f>
        <v>0</v>
      </c>
      <c r="L72" s="145">
        <f>'Bulk Plant Input'!$A$31</f>
        <v>0</v>
      </c>
      <c r="M72" s="145">
        <f>'Bulk Plant Input'!$A$32</f>
        <v>0</v>
      </c>
      <c r="N72" s="145">
        <f>'Bulk Plant Input'!$A$33</f>
        <v>0</v>
      </c>
      <c r="O72" s="145">
        <f>'Bulk Plant Input'!$A$34</f>
        <v>0</v>
      </c>
      <c r="P72" s="145">
        <f>'Bulk Plant Input'!$A$35</f>
        <v>0</v>
      </c>
      <c r="Q72" s="145">
        <f>'Bulk Plant Input'!$A$36</f>
        <v>0</v>
      </c>
      <c r="R72" s="145">
        <f>'Bulk Plant Input'!$A$37</f>
        <v>0</v>
      </c>
      <c r="S72" s="206">
        <v>0</v>
      </c>
      <c r="U72" s="147"/>
      <c r="V72" s="147"/>
      <c r="W72" s="147"/>
      <c r="X72" s="147"/>
      <c r="Y72" s="147"/>
      <c r="Z72" s="147"/>
      <c r="AA72" s="147"/>
      <c r="AB72" s="147"/>
    </row>
    <row r="73" spans="1:28" s="144" customFormat="1" ht="15.75" x14ac:dyDescent="0.25">
      <c r="A73" s="178" t="str">
        <f>'Base Blend Property Calculation'!A77</f>
        <v>LITEmix 1400 (AB)</v>
      </c>
      <c r="B73" s="148">
        <f t="shared" si="1"/>
        <v>0</v>
      </c>
      <c r="C73" s="148">
        <f>'Base Blend Property Calculation'!BV77</f>
        <v>0</v>
      </c>
      <c r="D73" s="142">
        <f>'Bulk Plant Input'!$A$23</f>
        <v>0</v>
      </c>
      <c r="E73" s="142">
        <f>'Bulk Plant Input'!$A$24</f>
        <v>0</v>
      </c>
      <c r="F73" s="142">
        <f>'Bulk Plant Input'!$A$25</f>
        <v>0</v>
      </c>
      <c r="G73" s="142">
        <f>'Bulk Plant Input'!$A$26</f>
        <v>0</v>
      </c>
      <c r="H73" s="142">
        <f>'Bulk Plant Input'!$A$27</f>
        <v>0</v>
      </c>
      <c r="I73" s="142">
        <f>'Bulk Plant Input'!$A$28</f>
        <v>0</v>
      </c>
      <c r="J73" s="142">
        <f>'Bulk Plant Input'!$A$29</f>
        <v>0</v>
      </c>
      <c r="K73" s="142">
        <f>'Bulk Plant Input'!$A$30</f>
        <v>0</v>
      </c>
      <c r="L73" s="142">
        <f>'Bulk Plant Input'!$A$31</f>
        <v>0</v>
      </c>
      <c r="M73" s="142">
        <f>'Bulk Plant Input'!$A$32</f>
        <v>0</v>
      </c>
      <c r="N73" s="142">
        <f>'Bulk Plant Input'!$A$33</f>
        <v>0</v>
      </c>
      <c r="O73" s="142">
        <f>'Bulk Plant Input'!$A$34</f>
        <v>0</v>
      </c>
      <c r="P73" s="142">
        <f>'Bulk Plant Input'!$A$35</f>
        <v>0</v>
      </c>
      <c r="Q73" s="142">
        <f>'Bulk Plant Input'!$A$36</f>
        <v>0</v>
      </c>
      <c r="R73" s="142">
        <f>'Bulk Plant Input'!$A$37</f>
        <v>0</v>
      </c>
      <c r="S73" s="206">
        <v>0</v>
      </c>
      <c r="U73" s="147"/>
      <c r="V73" s="147"/>
      <c r="W73" s="147"/>
      <c r="X73" s="147"/>
      <c r="Y73" s="147"/>
      <c r="Z73" s="147"/>
      <c r="AA73" s="147"/>
      <c r="AB73" s="147"/>
    </row>
    <row r="74" spans="1:28" s="144" customFormat="1" ht="15.75" x14ac:dyDescent="0.25">
      <c r="A74" s="178" t="str">
        <f>'Base Blend Property Calculation'!A78</f>
        <v>LITEmix 1400 (SK)</v>
      </c>
      <c r="B74" s="148">
        <f t="shared" si="1"/>
        <v>0</v>
      </c>
      <c r="C74" s="148">
        <f>'Base Blend Property Calculation'!BV78</f>
        <v>0</v>
      </c>
      <c r="D74" s="142">
        <f>'Bulk Plant Input'!$A$23</f>
        <v>0</v>
      </c>
      <c r="E74" s="142">
        <f>'Bulk Plant Input'!$A$24</f>
        <v>0</v>
      </c>
      <c r="F74" s="142">
        <f>'Bulk Plant Input'!$A$25</f>
        <v>0</v>
      </c>
      <c r="G74" s="142">
        <f>'Bulk Plant Input'!$A$26</f>
        <v>0</v>
      </c>
      <c r="H74" s="142">
        <f>'Bulk Plant Input'!$A$27</f>
        <v>0</v>
      </c>
      <c r="I74" s="142">
        <f>'Bulk Plant Input'!$A$28</f>
        <v>0</v>
      </c>
      <c r="J74" s="142">
        <f>'Bulk Plant Input'!$A$29</f>
        <v>0</v>
      </c>
      <c r="K74" s="142">
        <f>'Bulk Plant Input'!$A$30</f>
        <v>0</v>
      </c>
      <c r="L74" s="142">
        <f>'Bulk Plant Input'!$A$31</f>
        <v>0</v>
      </c>
      <c r="M74" s="142">
        <f>'Bulk Plant Input'!$A$32</f>
        <v>0</v>
      </c>
      <c r="N74" s="142">
        <f>'Bulk Plant Input'!$A$33</f>
        <v>0</v>
      </c>
      <c r="O74" s="142">
        <f>'Bulk Plant Input'!$A$34</f>
        <v>0</v>
      </c>
      <c r="P74" s="142">
        <f>'Bulk Plant Input'!$A$35</f>
        <v>0</v>
      </c>
      <c r="Q74" s="142">
        <f>'Bulk Plant Input'!$A$36</f>
        <v>0</v>
      </c>
      <c r="R74" s="142">
        <f>'Bulk Plant Input'!$A$37</f>
        <v>0</v>
      </c>
      <c r="S74" s="206">
        <v>0</v>
      </c>
      <c r="U74" s="147"/>
      <c r="V74" s="147"/>
      <c r="W74" s="147"/>
      <c r="X74" s="147"/>
      <c r="Y74" s="147"/>
      <c r="Z74" s="147"/>
      <c r="AA74" s="147"/>
      <c r="AB74" s="147"/>
    </row>
    <row r="75" spans="1:28" s="144" customFormat="1" ht="15.75" x14ac:dyDescent="0.25">
      <c r="A75" s="178" t="str">
        <f>'Base Blend Property Calculation'!A79</f>
        <v>PRODUCTIONmix 1500 PRO (LDP-C-3515)</v>
      </c>
      <c r="B75" s="148">
        <f t="shared" si="1"/>
        <v>1</v>
      </c>
      <c r="C75" s="148" t="str">
        <f>'Base Blend Property Calculation'!BV79</f>
        <v>CFR</v>
      </c>
      <c r="D75" s="145">
        <f>'Bulk Plant Input'!$A$23</f>
        <v>0</v>
      </c>
      <c r="E75" s="145">
        <f>'Bulk Plant Input'!$A$24</f>
        <v>0</v>
      </c>
      <c r="F75" s="145">
        <f>'Bulk Plant Input'!$A$25</f>
        <v>0</v>
      </c>
      <c r="G75" s="145">
        <f>'Bulk Plant Input'!$A$26</f>
        <v>0</v>
      </c>
      <c r="H75" s="145">
        <f>'Bulk Plant Input'!$A$27</f>
        <v>0</v>
      </c>
      <c r="I75" s="145">
        <f>'Bulk Plant Input'!$A$28</f>
        <v>0</v>
      </c>
      <c r="J75" s="145">
        <f>'Bulk Plant Input'!$A$29</f>
        <v>0</v>
      </c>
      <c r="K75" s="145">
        <f>'Bulk Plant Input'!$A$30</f>
        <v>0</v>
      </c>
      <c r="L75" s="145">
        <f>'Bulk Plant Input'!$A$31</f>
        <v>0</v>
      </c>
      <c r="M75" s="145">
        <f>'Bulk Plant Input'!$A$32</f>
        <v>0</v>
      </c>
      <c r="N75" s="145">
        <f>'Bulk Plant Input'!$A$33</f>
        <v>0</v>
      </c>
      <c r="O75" s="145">
        <f>'Bulk Plant Input'!$A$34</f>
        <v>0</v>
      </c>
      <c r="P75" s="145">
        <f>'Bulk Plant Input'!$A$35</f>
        <v>0</v>
      </c>
      <c r="Q75" s="145">
        <f>'Bulk Plant Input'!$A$36</f>
        <v>0</v>
      </c>
      <c r="R75" s="145">
        <f>'Bulk Plant Input'!$A$37</f>
        <v>0</v>
      </c>
      <c r="S75" s="206">
        <v>0</v>
      </c>
      <c r="U75" s="147"/>
      <c r="V75" s="147"/>
      <c r="W75" s="147"/>
      <c r="X75" s="147"/>
      <c r="Y75" s="147"/>
      <c r="Z75" s="147"/>
      <c r="AA75" s="147"/>
      <c r="AB75" s="147"/>
    </row>
    <row r="76" spans="1:28" s="144" customFormat="1" ht="15.75" x14ac:dyDescent="0.25">
      <c r="A76" s="178" t="str">
        <f>'Base Blend Property Calculation'!A80</f>
        <v>PRODUCTIONmix 1600</v>
      </c>
      <c r="B76" s="148">
        <f t="shared" si="1"/>
        <v>1</v>
      </c>
      <c r="C76" s="148" t="str">
        <f>'Base Blend Property Calculation'!BV80</f>
        <v>CFR</v>
      </c>
      <c r="D76" s="145">
        <f>'Bulk Plant Input'!$A$23</f>
        <v>0</v>
      </c>
      <c r="E76" s="145">
        <f>'Bulk Plant Input'!$A$24</f>
        <v>0</v>
      </c>
      <c r="F76" s="145">
        <f>'Bulk Plant Input'!$A$25</f>
        <v>0</v>
      </c>
      <c r="G76" s="145">
        <f>'Bulk Plant Input'!$A$26</f>
        <v>0</v>
      </c>
      <c r="H76" s="145">
        <f>'Bulk Plant Input'!$A$27</f>
        <v>0</v>
      </c>
      <c r="I76" s="145">
        <f>'Bulk Plant Input'!$A$28</f>
        <v>0</v>
      </c>
      <c r="J76" s="145">
        <f>'Bulk Plant Input'!$A$29</f>
        <v>0</v>
      </c>
      <c r="K76" s="145">
        <f>'Bulk Plant Input'!$A$30</f>
        <v>0</v>
      </c>
      <c r="L76" s="145">
        <f>'Bulk Plant Input'!$A$31</f>
        <v>0</v>
      </c>
      <c r="M76" s="145">
        <f>'Bulk Plant Input'!$A$32</f>
        <v>0</v>
      </c>
      <c r="N76" s="145">
        <f>'Bulk Plant Input'!$A$33</f>
        <v>0</v>
      </c>
      <c r="O76" s="145">
        <f>'Bulk Plant Input'!$A$34</f>
        <v>0</v>
      </c>
      <c r="P76" s="145">
        <f>'Bulk Plant Input'!$A$35</f>
        <v>0</v>
      </c>
      <c r="Q76" s="145">
        <f>'Bulk Plant Input'!$A$36</f>
        <v>0</v>
      </c>
      <c r="R76" s="145">
        <f>'Bulk Plant Input'!$A$37</f>
        <v>0</v>
      </c>
      <c r="S76" s="206">
        <v>0</v>
      </c>
      <c r="U76" s="147"/>
      <c r="V76" s="147"/>
      <c r="W76" s="147"/>
      <c r="X76" s="147"/>
      <c r="Y76" s="147"/>
      <c r="Z76" s="147"/>
      <c r="AA76" s="147"/>
      <c r="AB76" s="147"/>
    </row>
    <row r="77" spans="1:28" s="144" customFormat="1" ht="15.75" x14ac:dyDescent="0.25">
      <c r="A77" s="178" t="str">
        <f>'Base Blend Property Calculation'!A81</f>
        <v>PRODUCTIONmix 1600 (SK)</v>
      </c>
      <c r="B77" s="148">
        <f t="shared" si="1"/>
        <v>1</v>
      </c>
      <c r="C77" s="148" t="str">
        <f>'Base Blend Property Calculation'!BV81</f>
        <v>CFR</v>
      </c>
      <c r="D77" s="145">
        <f>'Bulk Plant Input'!$A$23</f>
        <v>0</v>
      </c>
      <c r="E77" s="145">
        <f>'Bulk Plant Input'!$A$24</f>
        <v>0</v>
      </c>
      <c r="F77" s="145">
        <f>'Bulk Plant Input'!$A$25</f>
        <v>0</v>
      </c>
      <c r="G77" s="145">
        <f>'Bulk Plant Input'!$A$26</f>
        <v>0</v>
      </c>
      <c r="H77" s="145">
        <f>'Bulk Plant Input'!$A$27</f>
        <v>0</v>
      </c>
      <c r="I77" s="145">
        <f>'Bulk Plant Input'!$A$28</f>
        <v>0</v>
      </c>
      <c r="J77" s="145">
        <f>'Bulk Plant Input'!$A$29</f>
        <v>0</v>
      </c>
      <c r="K77" s="145">
        <f>'Bulk Plant Input'!$A$30</f>
        <v>0</v>
      </c>
      <c r="L77" s="145">
        <f>'Bulk Plant Input'!$A$31</f>
        <v>0</v>
      </c>
      <c r="M77" s="145">
        <f>'Bulk Plant Input'!$A$32</f>
        <v>0</v>
      </c>
      <c r="N77" s="145">
        <f>'Bulk Plant Input'!$A$33</f>
        <v>0</v>
      </c>
      <c r="O77" s="145">
        <f>'Bulk Plant Input'!$A$34</f>
        <v>0</v>
      </c>
      <c r="P77" s="145">
        <f>'Bulk Plant Input'!$A$35</f>
        <v>0</v>
      </c>
      <c r="Q77" s="145">
        <f>'Bulk Plant Input'!$A$36</f>
        <v>0</v>
      </c>
      <c r="R77" s="145">
        <f>'Bulk Plant Input'!$A$37</f>
        <v>0</v>
      </c>
      <c r="S77" s="206">
        <v>0</v>
      </c>
      <c r="U77" s="147"/>
      <c r="V77" s="147"/>
      <c r="W77" s="147"/>
      <c r="X77" s="147"/>
      <c r="Y77" s="147"/>
      <c r="Z77" s="147"/>
      <c r="AA77" s="147"/>
      <c r="AB77" s="147"/>
    </row>
    <row r="78" spans="1:28" s="144" customFormat="1" ht="15.75" x14ac:dyDescent="0.25">
      <c r="A78" s="178" t="str">
        <f>'Base Blend Property Calculation'!A82</f>
        <v>PRODUCTIONmix 1725</v>
      </c>
      <c r="B78" s="148">
        <f t="shared" si="1"/>
        <v>1</v>
      </c>
      <c r="C78" s="148" t="str">
        <f>'Base Blend Property Calculation'!BV82</f>
        <v>CFR</v>
      </c>
      <c r="D78" s="145">
        <f>'Bulk Plant Input'!$A$23</f>
        <v>0</v>
      </c>
      <c r="E78" s="145">
        <f>'Bulk Plant Input'!$A$24</f>
        <v>0</v>
      </c>
      <c r="F78" s="145">
        <f>'Bulk Plant Input'!$A$25</f>
        <v>0</v>
      </c>
      <c r="G78" s="145">
        <f>'Bulk Plant Input'!$A$26</f>
        <v>0</v>
      </c>
      <c r="H78" s="145">
        <f>'Bulk Plant Input'!$A$27</f>
        <v>0</v>
      </c>
      <c r="I78" s="145">
        <f>'Bulk Plant Input'!$A$28</f>
        <v>0</v>
      </c>
      <c r="J78" s="145">
        <f>'Bulk Plant Input'!$A$29</f>
        <v>0</v>
      </c>
      <c r="K78" s="145">
        <f>'Bulk Plant Input'!$A$30</f>
        <v>0</v>
      </c>
      <c r="L78" s="145">
        <f>'Bulk Plant Input'!$A$31</f>
        <v>0</v>
      </c>
      <c r="M78" s="145">
        <f>'Bulk Plant Input'!$A$32</f>
        <v>0</v>
      </c>
      <c r="N78" s="145">
        <f>'Bulk Plant Input'!$A$33</f>
        <v>0</v>
      </c>
      <c r="O78" s="145">
        <f>'Bulk Plant Input'!$A$34</f>
        <v>0</v>
      </c>
      <c r="P78" s="145">
        <f>'Bulk Plant Input'!$A$35</f>
        <v>0</v>
      </c>
      <c r="Q78" s="145">
        <f>'Bulk Plant Input'!$A$36</f>
        <v>0</v>
      </c>
      <c r="R78" s="145">
        <f>'Bulk Plant Input'!$A$37</f>
        <v>0</v>
      </c>
      <c r="S78" s="206">
        <v>0</v>
      </c>
      <c r="U78" s="147"/>
      <c r="V78" s="147"/>
      <c r="W78" s="147"/>
      <c r="X78" s="147"/>
      <c r="Y78" s="147"/>
      <c r="Z78" s="147"/>
      <c r="AA78" s="147"/>
      <c r="AB78" s="147"/>
    </row>
    <row r="79" spans="1:28" s="144" customFormat="1" ht="15.75" x14ac:dyDescent="0.25">
      <c r="A79" s="178" t="str">
        <f>'Base Blend Property Calculation'!A83</f>
        <v>PRODUCTIONmix LW</v>
      </c>
      <c r="B79" s="148">
        <f t="shared" si="1"/>
        <v>0</v>
      </c>
      <c r="C79" s="148">
        <f>'Base Blend Property Calculation'!BV83</f>
        <v>0</v>
      </c>
      <c r="D79" s="145">
        <f>'Bulk Plant Input'!$A$23</f>
        <v>0</v>
      </c>
      <c r="E79" s="145">
        <f>'Bulk Plant Input'!$A$24</f>
        <v>0</v>
      </c>
      <c r="F79" s="145">
        <f>'Bulk Plant Input'!$A$25</f>
        <v>0</v>
      </c>
      <c r="G79" s="145">
        <f>'Bulk Plant Input'!$A$26</f>
        <v>0</v>
      </c>
      <c r="H79" s="145">
        <f>'Bulk Plant Input'!$A$27</f>
        <v>0</v>
      </c>
      <c r="I79" s="145">
        <f>'Bulk Plant Input'!$A$28</f>
        <v>0</v>
      </c>
      <c r="J79" s="145">
        <f>'Bulk Plant Input'!$A$29</f>
        <v>0</v>
      </c>
      <c r="K79" s="145">
        <f>'Bulk Plant Input'!$A$30</f>
        <v>0</v>
      </c>
      <c r="L79" s="145">
        <f>'Bulk Plant Input'!$A$31</f>
        <v>0</v>
      </c>
      <c r="M79" s="145">
        <f>'Bulk Plant Input'!$A$32</f>
        <v>0</v>
      </c>
      <c r="N79" s="145">
        <f>'Bulk Plant Input'!$A$33</f>
        <v>0</v>
      </c>
      <c r="O79" s="145">
        <f>'Bulk Plant Input'!$A$34</f>
        <v>0</v>
      </c>
      <c r="P79" s="145">
        <f>'Bulk Plant Input'!$A$35</f>
        <v>0</v>
      </c>
      <c r="Q79" s="145">
        <f>'Bulk Plant Input'!$A$36</f>
        <v>0</v>
      </c>
      <c r="R79" s="145">
        <f>'Bulk Plant Input'!$A$37</f>
        <v>0</v>
      </c>
      <c r="S79" s="206">
        <v>0</v>
      </c>
      <c r="U79" s="147"/>
      <c r="V79" s="147"/>
      <c r="W79" s="147"/>
      <c r="X79" s="147"/>
      <c r="Y79" s="147"/>
      <c r="Z79" s="147"/>
      <c r="AA79" s="147"/>
      <c r="AB79" s="147"/>
    </row>
    <row r="80" spans="1:28" s="144" customFormat="1" ht="15.75" x14ac:dyDescent="0.25">
      <c r="A80" s="178" t="str">
        <f>'Base Blend Property Calculation'!A84</f>
        <v>PRODUCTIONmix LW (Sask)</v>
      </c>
      <c r="B80" s="148">
        <f t="shared" si="1"/>
        <v>0</v>
      </c>
      <c r="C80" s="148">
        <f>'Base Blend Property Calculation'!BV84</f>
        <v>0</v>
      </c>
      <c r="D80" s="145">
        <f>'Bulk Plant Input'!$A$23</f>
        <v>0</v>
      </c>
      <c r="E80" s="145">
        <f>'Bulk Plant Input'!$A$24</f>
        <v>0</v>
      </c>
      <c r="F80" s="145">
        <f>'Bulk Plant Input'!$A$25</f>
        <v>0</v>
      </c>
      <c r="G80" s="145">
        <f>'Bulk Plant Input'!$A$26</f>
        <v>0</v>
      </c>
      <c r="H80" s="145">
        <f>'Bulk Plant Input'!$A$27</f>
        <v>0</v>
      </c>
      <c r="I80" s="145">
        <f>'Bulk Plant Input'!$A$28</f>
        <v>0</v>
      </c>
      <c r="J80" s="145">
        <f>'Bulk Plant Input'!$A$29</f>
        <v>0</v>
      </c>
      <c r="K80" s="145">
        <f>'Bulk Plant Input'!$A$30</f>
        <v>0</v>
      </c>
      <c r="L80" s="145">
        <f>'Bulk Plant Input'!$A$31</f>
        <v>0</v>
      </c>
      <c r="M80" s="145">
        <f>'Bulk Plant Input'!$A$32</f>
        <v>0</v>
      </c>
      <c r="N80" s="145">
        <f>'Bulk Plant Input'!$A$33</f>
        <v>0</v>
      </c>
      <c r="O80" s="145">
        <f>'Bulk Plant Input'!$A$34</f>
        <v>0</v>
      </c>
      <c r="P80" s="145">
        <f>'Bulk Plant Input'!$A$35</f>
        <v>0</v>
      </c>
      <c r="Q80" s="145">
        <f>'Bulk Plant Input'!$A$36</f>
        <v>0</v>
      </c>
      <c r="R80" s="145">
        <f>'Bulk Plant Input'!$A$37</f>
        <v>0</v>
      </c>
      <c r="S80" s="206">
        <v>0</v>
      </c>
      <c r="U80" s="147"/>
      <c r="V80" s="147"/>
      <c r="W80" s="147"/>
      <c r="X80" s="147"/>
      <c r="Y80" s="147"/>
      <c r="Z80" s="147"/>
      <c r="AA80" s="147"/>
      <c r="AB80" s="147"/>
    </row>
    <row r="81" spans="1:28" s="144" customFormat="1" ht="15.75" x14ac:dyDescent="0.25">
      <c r="A81" s="178" t="str">
        <f>'Base Blend Property Calculation'!A85</f>
        <v>PRODUCTIONmix LW PRO</v>
      </c>
      <c r="B81" s="148">
        <f t="shared" si="1"/>
        <v>0</v>
      </c>
      <c r="C81" s="148">
        <f>'Base Blend Property Calculation'!BV85</f>
        <v>0</v>
      </c>
      <c r="D81" s="145">
        <f>'Bulk Plant Input'!$A$23</f>
        <v>0</v>
      </c>
      <c r="E81" s="145">
        <f>'Bulk Plant Input'!$A$24</f>
        <v>0</v>
      </c>
      <c r="F81" s="145">
        <f>'Bulk Plant Input'!$A$25</f>
        <v>0</v>
      </c>
      <c r="G81" s="145">
        <f>'Bulk Plant Input'!$A$26</f>
        <v>0</v>
      </c>
      <c r="H81" s="145">
        <f>'Bulk Plant Input'!$A$27</f>
        <v>0</v>
      </c>
      <c r="I81" s="145">
        <f>'Bulk Plant Input'!$A$28</f>
        <v>0</v>
      </c>
      <c r="J81" s="145">
        <f>'Bulk Plant Input'!$A$29</f>
        <v>0</v>
      </c>
      <c r="K81" s="145">
        <f>'Bulk Plant Input'!$A$30</f>
        <v>0</v>
      </c>
      <c r="L81" s="145">
        <f>'Bulk Plant Input'!$A$31</f>
        <v>0</v>
      </c>
      <c r="M81" s="145">
        <f>'Bulk Plant Input'!$A$32</f>
        <v>0</v>
      </c>
      <c r="N81" s="145">
        <f>'Bulk Plant Input'!$A$33</f>
        <v>0</v>
      </c>
      <c r="O81" s="145">
        <f>'Bulk Plant Input'!$A$34</f>
        <v>0</v>
      </c>
      <c r="P81" s="145">
        <f>'Bulk Plant Input'!$A$35</f>
        <v>0</v>
      </c>
      <c r="Q81" s="145">
        <f>'Bulk Plant Input'!$A$36</f>
        <v>0</v>
      </c>
      <c r="R81" s="145">
        <f>'Bulk Plant Input'!$A$37</f>
        <v>0</v>
      </c>
      <c r="S81" s="206">
        <v>0</v>
      </c>
      <c r="U81" s="147"/>
      <c r="V81" s="147"/>
      <c r="W81" s="147"/>
      <c r="X81" s="147"/>
      <c r="Y81" s="147"/>
      <c r="Z81" s="147"/>
      <c r="AA81" s="147"/>
      <c r="AB81" s="147"/>
    </row>
    <row r="82" spans="1:28" s="144" customFormat="1" ht="15.75" x14ac:dyDescent="0.25">
      <c r="A82" s="178" t="str">
        <f>'Base Blend Property Calculation'!A86</f>
        <v>PRODUCTIONmix THX</v>
      </c>
      <c r="B82" s="148">
        <f t="shared" si="1"/>
        <v>1</v>
      </c>
      <c r="C82" s="148" t="str">
        <f>'Base Blend Property Calculation'!BV86</f>
        <v>CFR</v>
      </c>
      <c r="D82" s="145">
        <f>'Bulk Plant Input'!$A$23</f>
        <v>0</v>
      </c>
      <c r="E82" s="145">
        <f>'Bulk Plant Input'!$A$24</f>
        <v>0</v>
      </c>
      <c r="F82" s="145">
        <f>'Bulk Plant Input'!$A$25</f>
        <v>0</v>
      </c>
      <c r="G82" s="145">
        <f>'Bulk Plant Input'!$A$26</f>
        <v>0</v>
      </c>
      <c r="H82" s="145">
        <f>'Bulk Plant Input'!$A$27</f>
        <v>0</v>
      </c>
      <c r="I82" s="145">
        <f>'Bulk Plant Input'!$A$28</f>
        <v>0</v>
      </c>
      <c r="J82" s="145">
        <f>'Bulk Plant Input'!$A$29</f>
        <v>0</v>
      </c>
      <c r="K82" s="145">
        <f>'Bulk Plant Input'!$A$30</f>
        <v>0</v>
      </c>
      <c r="L82" s="145">
        <f>'Bulk Plant Input'!$A$31</f>
        <v>0</v>
      </c>
      <c r="M82" s="145">
        <f>'Bulk Plant Input'!$A$32</f>
        <v>0</v>
      </c>
      <c r="N82" s="145">
        <f>'Bulk Plant Input'!$A$33</f>
        <v>0</v>
      </c>
      <c r="O82" s="145">
        <f>'Bulk Plant Input'!$A$34</f>
        <v>0</v>
      </c>
      <c r="P82" s="145">
        <f>'Bulk Plant Input'!$A$35</f>
        <v>0</v>
      </c>
      <c r="Q82" s="145">
        <f>'Bulk Plant Input'!$A$36</f>
        <v>0</v>
      </c>
      <c r="R82" s="145">
        <f>'Bulk Plant Input'!$A$37</f>
        <v>0</v>
      </c>
      <c r="S82" s="206">
        <v>0</v>
      </c>
      <c r="U82" s="147"/>
      <c r="V82" s="147"/>
      <c r="W82" s="147"/>
      <c r="X82" s="147"/>
      <c r="Y82" s="147"/>
      <c r="Z82" s="147"/>
      <c r="AA82" s="147"/>
      <c r="AB82" s="147"/>
    </row>
    <row r="83" spans="1:28" s="144" customFormat="1" ht="15.75" x14ac:dyDescent="0.25">
      <c r="A83" s="178" t="str">
        <f>'Base Blend Property Calculation'!A87</f>
        <v>Prolite 13</v>
      </c>
      <c r="B83" s="148">
        <f t="shared" si="1"/>
        <v>0</v>
      </c>
      <c r="C83" s="148">
        <f>'Base Blend Property Calculation'!BV87</f>
        <v>0</v>
      </c>
      <c r="D83" s="145">
        <f>'Bulk Plant Input'!$A$23</f>
        <v>0</v>
      </c>
      <c r="E83" s="145">
        <f>'Bulk Plant Input'!$A$24</f>
        <v>0</v>
      </c>
      <c r="F83" s="145">
        <f>'Bulk Plant Input'!$A$25</f>
        <v>0</v>
      </c>
      <c r="G83" s="145">
        <f>'Bulk Plant Input'!$A$26</f>
        <v>0</v>
      </c>
      <c r="H83" s="145">
        <f>'Bulk Plant Input'!$A$27</f>
        <v>0</v>
      </c>
      <c r="I83" s="145">
        <f>'Bulk Plant Input'!$A$28</f>
        <v>0</v>
      </c>
      <c r="J83" s="145">
        <f>'Bulk Plant Input'!$A$29</f>
        <v>0</v>
      </c>
      <c r="K83" s="145">
        <f>'Bulk Plant Input'!$A$30</f>
        <v>0</v>
      </c>
      <c r="L83" s="145">
        <f>'Bulk Plant Input'!$A$31</f>
        <v>0</v>
      </c>
      <c r="M83" s="145">
        <f>'Bulk Plant Input'!$A$32</f>
        <v>0</v>
      </c>
      <c r="N83" s="145">
        <f>'Bulk Plant Input'!$A$33</f>
        <v>0</v>
      </c>
      <c r="O83" s="145">
        <f>'Bulk Plant Input'!$A$34</f>
        <v>0</v>
      </c>
      <c r="P83" s="145">
        <f>'Bulk Plant Input'!$A$35</f>
        <v>0</v>
      </c>
      <c r="Q83" s="145">
        <f>'Bulk Plant Input'!$A$36</f>
        <v>0</v>
      </c>
      <c r="R83" s="145">
        <f>'Bulk Plant Input'!$A$37</f>
        <v>0</v>
      </c>
      <c r="S83" s="206">
        <v>0</v>
      </c>
      <c r="U83" s="147"/>
      <c r="V83" s="147"/>
      <c r="W83" s="147"/>
      <c r="X83" s="147"/>
      <c r="Y83" s="147"/>
      <c r="Z83" s="147"/>
      <c r="AA83" s="147"/>
      <c r="AB83" s="147"/>
    </row>
    <row r="84" spans="1:28" s="144" customFormat="1" ht="15.75" x14ac:dyDescent="0.25">
      <c r="A84" s="178" t="str">
        <f>'Base Blend Property Calculation'!A88</f>
        <v>Prolite 14</v>
      </c>
      <c r="B84" s="148">
        <f t="shared" si="1"/>
        <v>0</v>
      </c>
      <c r="C84" s="148">
        <f>'Base Blend Property Calculation'!BV88</f>
        <v>0</v>
      </c>
      <c r="D84" s="145">
        <f>'Bulk Plant Input'!$A$23</f>
        <v>0</v>
      </c>
      <c r="E84" s="145">
        <f>'Bulk Plant Input'!$A$24</f>
        <v>0</v>
      </c>
      <c r="F84" s="145">
        <f>'Bulk Plant Input'!$A$25</f>
        <v>0</v>
      </c>
      <c r="G84" s="145">
        <f>'Bulk Plant Input'!$A$26</f>
        <v>0</v>
      </c>
      <c r="H84" s="145">
        <f>'Bulk Plant Input'!$A$27</f>
        <v>0</v>
      </c>
      <c r="I84" s="145">
        <f>'Bulk Plant Input'!$A$28</f>
        <v>0</v>
      </c>
      <c r="J84" s="145">
        <f>'Bulk Plant Input'!$A$29</f>
        <v>0</v>
      </c>
      <c r="K84" s="145">
        <f>'Bulk Plant Input'!$A$30</f>
        <v>0</v>
      </c>
      <c r="L84" s="145">
        <f>'Bulk Plant Input'!$A$31</f>
        <v>0</v>
      </c>
      <c r="M84" s="145">
        <f>'Bulk Plant Input'!$A$32</f>
        <v>0</v>
      </c>
      <c r="N84" s="145">
        <f>'Bulk Plant Input'!$A$33</f>
        <v>0</v>
      </c>
      <c r="O84" s="145">
        <f>'Bulk Plant Input'!$A$34</f>
        <v>0</v>
      </c>
      <c r="P84" s="145">
        <f>'Bulk Plant Input'!$A$35</f>
        <v>0</v>
      </c>
      <c r="Q84" s="145">
        <f>'Bulk Plant Input'!$A$36</f>
        <v>0</v>
      </c>
      <c r="R84" s="145">
        <f>'Bulk Plant Input'!$A$37</f>
        <v>0</v>
      </c>
      <c r="S84" s="206">
        <v>0</v>
      </c>
      <c r="U84" s="147"/>
      <c r="V84" s="147"/>
      <c r="W84" s="147"/>
      <c r="X84" s="147"/>
      <c r="Y84" s="147"/>
      <c r="Z84" s="147"/>
      <c r="AA84" s="147"/>
      <c r="AB84" s="147"/>
    </row>
    <row r="85" spans="1:28" s="144" customFormat="1" ht="15.75" x14ac:dyDescent="0.25">
      <c r="A85" s="178" t="str">
        <f>'Base Blend Property Calculation'!A89</f>
        <v>Proteus Core</v>
      </c>
      <c r="B85" s="148">
        <f t="shared" si="1"/>
        <v>0</v>
      </c>
      <c r="C85" s="148">
        <f>'Base Blend Property Calculation'!BV89</f>
        <v>0</v>
      </c>
      <c r="D85" s="145">
        <f>'Bulk Plant Input'!$A$23</f>
        <v>0</v>
      </c>
      <c r="E85" s="145">
        <f>'Bulk Plant Input'!$A$24</f>
        <v>0</v>
      </c>
      <c r="F85" s="145">
        <f>'Bulk Plant Input'!$A$25</f>
        <v>0</v>
      </c>
      <c r="G85" s="145">
        <f>'Bulk Plant Input'!$A$26</f>
        <v>0</v>
      </c>
      <c r="H85" s="145">
        <f>'Bulk Plant Input'!$A$27</f>
        <v>0</v>
      </c>
      <c r="I85" s="145">
        <f>'Bulk Plant Input'!$A$28</f>
        <v>0</v>
      </c>
      <c r="J85" s="145">
        <f>'Bulk Plant Input'!$A$29</f>
        <v>0</v>
      </c>
      <c r="K85" s="145">
        <f>'Bulk Plant Input'!$A$30</f>
        <v>0</v>
      </c>
      <c r="L85" s="145">
        <f>'Bulk Plant Input'!$A$31</f>
        <v>0</v>
      </c>
      <c r="M85" s="145">
        <f>'Bulk Plant Input'!$A$32</f>
        <v>0</v>
      </c>
      <c r="N85" s="145">
        <f>'Bulk Plant Input'!$A$33</f>
        <v>0</v>
      </c>
      <c r="O85" s="145">
        <f>'Bulk Plant Input'!$A$34</f>
        <v>0</v>
      </c>
      <c r="P85" s="145">
        <f>'Bulk Plant Input'!$A$35</f>
        <v>0</v>
      </c>
      <c r="Q85" s="145">
        <f>'Bulk Plant Input'!$A$36</f>
        <v>0</v>
      </c>
      <c r="R85" s="145">
        <f>'Bulk Plant Input'!$A$37</f>
        <v>0</v>
      </c>
      <c r="S85" s="206">
        <v>0</v>
      </c>
      <c r="U85" s="147"/>
      <c r="V85" s="147"/>
      <c r="W85" s="147"/>
      <c r="X85" s="147"/>
      <c r="Y85" s="147"/>
      <c r="Z85" s="147"/>
      <c r="AA85" s="147"/>
      <c r="AB85" s="147"/>
    </row>
    <row r="86" spans="1:28" s="144" customFormat="1" ht="15.75" x14ac:dyDescent="0.25">
      <c r="A86" s="178" t="str">
        <f>'Base Blend Property Calculation'!A90</f>
        <v>Proteus GLS @ 1300</v>
      </c>
      <c r="B86" s="148">
        <f t="shared" si="1"/>
        <v>0</v>
      </c>
      <c r="C86" s="148">
        <f>'Base Blend Property Calculation'!BV90</f>
        <v>0</v>
      </c>
      <c r="D86" s="145">
        <f>'Bulk Plant Input'!$A$23</f>
        <v>0</v>
      </c>
      <c r="E86" s="145">
        <f>'Bulk Plant Input'!$A$24</f>
        <v>0</v>
      </c>
      <c r="F86" s="145">
        <f>'Bulk Plant Input'!$A$25</f>
        <v>0</v>
      </c>
      <c r="G86" s="145">
        <f>'Bulk Plant Input'!$A$26</f>
        <v>0</v>
      </c>
      <c r="H86" s="145">
        <f>'Bulk Plant Input'!$A$27</f>
        <v>0</v>
      </c>
      <c r="I86" s="145">
        <f>'Bulk Plant Input'!$A$28</f>
        <v>0</v>
      </c>
      <c r="J86" s="145">
        <f>'Bulk Plant Input'!$A$29</f>
        <v>0</v>
      </c>
      <c r="K86" s="145">
        <f>'Bulk Plant Input'!$A$30</f>
        <v>0</v>
      </c>
      <c r="L86" s="145">
        <f>'Bulk Plant Input'!$A$31</f>
        <v>0</v>
      </c>
      <c r="M86" s="145">
        <f>'Bulk Plant Input'!$A$32</f>
        <v>0</v>
      </c>
      <c r="N86" s="145">
        <f>'Bulk Plant Input'!$A$33</f>
        <v>0</v>
      </c>
      <c r="O86" s="145">
        <f>'Bulk Plant Input'!$A$34</f>
        <v>0</v>
      </c>
      <c r="P86" s="145">
        <f>'Bulk Plant Input'!$A$35</f>
        <v>0</v>
      </c>
      <c r="Q86" s="145">
        <f>'Bulk Plant Input'!$A$36</f>
        <v>0</v>
      </c>
      <c r="R86" s="145">
        <f>'Bulk Plant Input'!$A$37</f>
        <v>0</v>
      </c>
      <c r="S86" s="206">
        <v>0</v>
      </c>
      <c r="U86" s="147"/>
      <c r="V86" s="147"/>
      <c r="W86" s="147"/>
      <c r="X86" s="147"/>
      <c r="Y86" s="147"/>
      <c r="Z86" s="147"/>
      <c r="AA86" s="147"/>
      <c r="AB86" s="147"/>
    </row>
    <row r="87" spans="1:28" s="144" customFormat="1" ht="15.75" x14ac:dyDescent="0.25">
      <c r="A87" s="178" t="str">
        <f>'Base Blend Property Calculation'!A91</f>
        <v>Proteus GLS @ 1350</v>
      </c>
      <c r="B87" s="148">
        <f t="shared" si="1"/>
        <v>0</v>
      </c>
      <c r="C87" s="148">
        <f>'Base Blend Property Calculation'!BV91</f>
        <v>0</v>
      </c>
      <c r="D87" s="145">
        <f>'Bulk Plant Input'!$A$23</f>
        <v>0</v>
      </c>
      <c r="E87" s="145">
        <f>'Bulk Plant Input'!$A$24</f>
        <v>0</v>
      </c>
      <c r="F87" s="145">
        <f>'Bulk Plant Input'!$A$25</f>
        <v>0</v>
      </c>
      <c r="G87" s="145">
        <f>'Bulk Plant Input'!$A$26</f>
        <v>0</v>
      </c>
      <c r="H87" s="145">
        <f>'Bulk Plant Input'!$A$27</f>
        <v>0</v>
      </c>
      <c r="I87" s="145">
        <f>'Bulk Plant Input'!$A$28</f>
        <v>0</v>
      </c>
      <c r="J87" s="145">
        <f>'Bulk Plant Input'!$A$29</f>
        <v>0</v>
      </c>
      <c r="K87" s="145">
        <f>'Bulk Plant Input'!$A$30</f>
        <v>0</v>
      </c>
      <c r="L87" s="145">
        <f>'Bulk Plant Input'!$A$31</f>
        <v>0</v>
      </c>
      <c r="M87" s="145">
        <f>'Bulk Plant Input'!$A$32</f>
        <v>0</v>
      </c>
      <c r="N87" s="145">
        <f>'Bulk Plant Input'!$A$33</f>
        <v>0</v>
      </c>
      <c r="O87" s="145">
        <f>'Bulk Plant Input'!$A$34</f>
        <v>0</v>
      </c>
      <c r="P87" s="145">
        <f>'Bulk Plant Input'!$A$35</f>
        <v>0</v>
      </c>
      <c r="Q87" s="145">
        <f>'Bulk Plant Input'!$A$36</f>
        <v>0</v>
      </c>
      <c r="R87" s="145">
        <f>'Bulk Plant Input'!$A$37</f>
        <v>0</v>
      </c>
      <c r="S87" s="206">
        <v>0</v>
      </c>
      <c r="U87" s="147"/>
      <c r="V87" s="147"/>
      <c r="W87" s="147"/>
      <c r="X87" s="147"/>
      <c r="Y87" s="147"/>
      <c r="Z87" s="147"/>
      <c r="AA87" s="147"/>
      <c r="AB87" s="147"/>
    </row>
    <row r="88" spans="1:28" s="144" customFormat="1" ht="15.75" x14ac:dyDescent="0.25">
      <c r="A88" s="178" t="str">
        <f>'Base Blend Property Calculation'!A92</f>
        <v>Proteus GLS @ 1400</v>
      </c>
      <c r="B88" s="148">
        <f t="shared" si="1"/>
        <v>0</v>
      </c>
      <c r="C88" s="148">
        <f>'Base Blend Property Calculation'!BV92</f>
        <v>0</v>
      </c>
      <c r="D88" s="145">
        <f>'Bulk Plant Input'!$A$23</f>
        <v>0</v>
      </c>
      <c r="E88" s="145">
        <f>'Bulk Plant Input'!$A$24</f>
        <v>0</v>
      </c>
      <c r="F88" s="145">
        <f>'Bulk Plant Input'!$A$25</f>
        <v>0</v>
      </c>
      <c r="G88" s="145">
        <f>'Bulk Plant Input'!$A$26</f>
        <v>0</v>
      </c>
      <c r="H88" s="145">
        <f>'Bulk Plant Input'!$A$27</f>
        <v>0</v>
      </c>
      <c r="I88" s="145">
        <f>'Bulk Plant Input'!$A$28</f>
        <v>0</v>
      </c>
      <c r="J88" s="145">
        <f>'Bulk Plant Input'!$A$29</f>
        <v>0</v>
      </c>
      <c r="K88" s="145">
        <f>'Bulk Plant Input'!$A$30</f>
        <v>0</v>
      </c>
      <c r="L88" s="145">
        <f>'Bulk Plant Input'!$A$31</f>
        <v>0</v>
      </c>
      <c r="M88" s="145">
        <f>'Bulk Plant Input'!$A$32</f>
        <v>0</v>
      </c>
      <c r="N88" s="145">
        <f>'Bulk Plant Input'!$A$33</f>
        <v>0</v>
      </c>
      <c r="O88" s="145">
        <f>'Bulk Plant Input'!$A$34</f>
        <v>0</v>
      </c>
      <c r="P88" s="145">
        <f>'Bulk Plant Input'!$A$35</f>
        <v>0</v>
      </c>
      <c r="Q88" s="145">
        <f>'Bulk Plant Input'!$A$36</f>
        <v>0</v>
      </c>
      <c r="R88" s="145">
        <f>'Bulk Plant Input'!$A$37</f>
        <v>0</v>
      </c>
      <c r="S88" s="206">
        <v>0</v>
      </c>
      <c r="U88" s="147"/>
      <c r="V88" s="147"/>
      <c r="W88" s="147"/>
      <c r="X88" s="147"/>
      <c r="Y88" s="147"/>
      <c r="Z88" s="147"/>
      <c r="AA88" s="147"/>
      <c r="AB88" s="147"/>
    </row>
    <row r="89" spans="1:28" s="144" customFormat="1" ht="15.75" x14ac:dyDescent="0.25">
      <c r="A89" s="178" t="str">
        <f>'Base Blend Property Calculation'!A93</f>
        <v>Proteus GLS @ 1400 (CDM-5)</v>
      </c>
      <c r="B89" s="148">
        <f t="shared" si="1"/>
        <v>0</v>
      </c>
      <c r="C89" s="148">
        <f>'Base Blend Property Calculation'!BV93</f>
        <v>0</v>
      </c>
      <c r="D89" s="145">
        <f>'Bulk Plant Input'!$A$23</f>
        <v>0</v>
      </c>
      <c r="E89" s="145">
        <f>'Bulk Plant Input'!$A$24</f>
        <v>0</v>
      </c>
      <c r="F89" s="145">
        <f>'Bulk Plant Input'!$A$25</f>
        <v>0</v>
      </c>
      <c r="G89" s="145">
        <f>'Bulk Plant Input'!$A$26</f>
        <v>0</v>
      </c>
      <c r="H89" s="145">
        <f>'Bulk Plant Input'!$A$27</f>
        <v>0</v>
      </c>
      <c r="I89" s="145">
        <f>'Bulk Plant Input'!$A$28</f>
        <v>0</v>
      </c>
      <c r="J89" s="145">
        <f>'Bulk Plant Input'!$A$29</f>
        <v>0</v>
      </c>
      <c r="K89" s="145">
        <f>'Bulk Plant Input'!$A$30</f>
        <v>0</v>
      </c>
      <c r="L89" s="145">
        <f>'Bulk Plant Input'!$A$31</f>
        <v>0</v>
      </c>
      <c r="M89" s="145">
        <f>'Bulk Plant Input'!$A$32</f>
        <v>0</v>
      </c>
      <c r="N89" s="145">
        <f>'Bulk Plant Input'!$A$33</f>
        <v>0</v>
      </c>
      <c r="O89" s="145">
        <f>'Bulk Plant Input'!$A$34</f>
        <v>0</v>
      </c>
      <c r="P89" s="145">
        <f>'Bulk Plant Input'!$A$35</f>
        <v>0</v>
      </c>
      <c r="Q89" s="145">
        <f>'Bulk Plant Input'!$A$36</f>
        <v>0</v>
      </c>
      <c r="R89" s="145">
        <f>'Bulk Plant Input'!$A$37</f>
        <v>0</v>
      </c>
      <c r="S89" s="206">
        <v>0</v>
      </c>
      <c r="U89" s="147"/>
      <c r="V89" s="147"/>
      <c r="W89" s="147"/>
      <c r="X89" s="147"/>
      <c r="Y89" s="147"/>
      <c r="Z89" s="147"/>
      <c r="AA89" s="147"/>
      <c r="AB89" s="147"/>
    </row>
    <row r="90" spans="1:28" s="144" customFormat="1" ht="15.75" x14ac:dyDescent="0.25">
      <c r="A90" s="178" t="str">
        <f>'Base Blend Property Calculation'!A94</f>
        <v>Proteus LCS</v>
      </c>
      <c r="B90" s="148">
        <f t="shared" si="1"/>
        <v>0</v>
      </c>
      <c r="C90" s="148">
        <f>'Base Blend Property Calculation'!BV94</f>
        <v>0</v>
      </c>
      <c r="D90" s="145">
        <f>'Bulk Plant Input'!$A$23</f>
        <v>0</v>
      </c>
      <c r="E90" s="145">
        <f>'Bulk Plant Input'!$A$24</f>
        <v>0</v>
      </c>
      <c r="F90" s="145">
        <f>'Bulk Plant Input'!$A$25</f>
        <v>0</v>
      </c>
      <c r="G90" s="145">
        <f>'Bulk Plant Input'!$A$26</f>
        <v>0</v>
      </c>
      <c r="H90" s="145">
        <f>'Bulk Plant Input'!$A$27</f>
        <v>0</v>
      </c>
      <c r="I90" s="145">
        <f>'Bulk Plant Input'!$A$28</f>
        <v>0</v>
      </c>
      <c r="J90" s="145">
        <f>'Bulk Plant Input'!$A$29</f>
        <v>0</v>
      </c>
      <c r="K90" s="145">
        <f>'Bulk Plant Input'!$A$30</f>
        <v>0</v>
      </c>
      <c r="L90" s="145">
        <f>'Bulk Plant Input'!$A$31</f>
        <v>0</v>
      </c>
      <c r="M90" s="145">
        <f>'Bulk Plant Input'!$A$32</f>
        <v>0</v>
      </c>
      <c r="N90" s="145">
        <f>'Bulk Plant Input'!$A$33</f>
        <v>0</v>
      </c>
      <c r="O90" s="145">
        <f>'Bulk Plant Input'!$A$34</f>
        <v>0</v>
      </c>
      <c r="P90" s="145">
        <f>'Bulk Plant Input'!$A$35</f>
        <v>0</v>
      </c>
      <c r="Q90" s="145">
        <f>'Bulk Plant Input'!$A$36</f>
        <v>0</v>
      </c>
      <c r="R90" s="145">
        <f>'Bulk Plant Input'!$A$37</f>
        <v>0</v>
      </c>
      <c r="S90" s="206">
        <v>0</v>
      </c>
      <c r="U90" s="147"/>
      <c r="V90" s="147"/>
      <c r="W90" s="147"/>
      <c r="X90" s="147"/>
      <c r="Y90" s="147"/>
      <c r="Z90" s="147"/>
      <c r="AA90" s="147"/>
      <c r="AB90" s="147"/>
    </row>
    <row r="91" spans="1:28" s="144" customFormat="1" ht="15.75" x14ac:dyDescent="0.25">
      <c r="A91" s="178" t="str">
        <f>'Base Blend Property Calculation'!A95</f>
        <v>Proteus Pro</v>
      </c>
      <c r="B91" s="148">
        <f t="shared" si="1"/>
        <v>0</v>
      </c>
      <c r="C91" s="148">
        <f>'Base Blend Property Calculation'!BV95</f>
        <v>0</v>
      </c>
      <c r="D91" s="145">
        <f>'Bulk Plant Input'!$A$23</f>
        <v>0</v>
      </c>
      <c r="E91" s="145">
        <f>'Bulk Plant Input'!$A$24</f>
        <v>0</v>
      </c>
      <c r="F91" s="145">
        <f>'Bulk Plant Input'!$A$25</f>
        <v>0</v>
      </c>
      <c r="G91" s="145">
        <f>'Bulk Plant Input'!$A$26</f>
        <v>0</v>
      </c>
      <c r="H91" s="145">
        <f>'Bulk Plant Input'!$A$27</f>
        <v>0</v>
      </c>
      <c r="I91" s="145">
        <f>'Bulk Plant Input'!$A$28</f>
        <v>0</v>
      </c>
      <c r="J91" s="145">
        <f>'Bulk Plant Input'!$A$29</f>
        <v>0</v>
      </c>
      <c r="K91" s="145">
        <f>'Bulk Plant Input'!$A$30</f>
        <v>0</v>
      </c>
      <c r="L91" s="145">
        <f>'Bulk Plant Input'!$A$31</f>
        <v>0</v>
      </c>
      <c r="M91" s="145">
        <f>'Bulk Plant Input'!$A$32</f>
        <v>0</v>
      </c>
      <c r="N91" s="145">
        <f>'Bulk Plant Input'!$A$33</f>
        <v>0</v>
      </c>
      <c r="O91" s="145">
        <f>'Bulk Plant Input'!$A$34</f>
        <v>0</v>
      </c>
      <c r="P91" s="145">
        <f>'Bulk Plant Input'!$A$35</f>
        <v>0</v>
      </c>
      <c r="Q91" s="145">
        <f>'Bulk Plant Input'!$A$36</f>
        <v>0</v>
      </c>
      <c r="R91" s="145">
        <f>'Bulk Plant Input'!$A$37</f>
        <v>0</v>
      </c>
      <c r="S91" s="206">
        <v>0</v>
      </c>
      <c r="U91" s="147"/>
      <c r="V91" s="147"/>
      <c r="W91" s="147"/>
      <c r="X91" s="147"/>
      <c r="Y91" s="147"/>
      <c r="Z91" s="147"/>
      <c r="AA91" s="147"/>
      <c r="AB91" s="147"/>
    </row>
    <row r="92" spans="1:28" s="144" customFormat="1" ht="15.75" x14ac:dyDescent="0.25">
      <c r="A92" s="178" t="str">
        <f>'Base Blend Property Calculation'!A96</f>
        <v>RAS II</v>
      </c>
      <c r="B92" s="148">
        <f t="shared" si="1"/>
        <v>0</v>
      </c>
      <c r="C92" s="148">
        <f>'Base Blend Property Calculation'!BV96</f>
        <v>0</v>
      </c>
      <c r="D92" s="145">
        <f>'Bulk Plant Input'!$A$23</f>
        <v>0</v>
      </c>
      <c r="E92" s="145">
        <f>'Bulk Plant Input'!$A$24</f>
        <v>0</v>
      </c>
      <c r="F92" s="145">
        <f>'Bulk Plant Input'!$A$25</f>
        <v>0</v>
      </c>
      <c r="G92" s="145">
        <f>'Bulk Plant Input'!$A$26</f>
        <v>0</v>
      </c>
      <c r="H92" s="145">
        <f>'Bulk Plant Input'!$A$27</f>
        <v>0</v>
      </c>
      <c r="I92" s="145">
        <f>'Bulk Plant Input'!$A$28</f>
        <v>0</v>
      </c>
      <c r="J92" s="145">
        <f>'Bulk Plant Input'!$A$29</f>
        <v>0</v>
      </c>
      <c r="K92" s="145">
        <f>'Bulk Plant Input'!$A$30</f>
        <v>0</v>
      </c>
      <c r="L92" s="145">
        <f>'Bulk Plant Input'!$A$31</f>
        <v>0</v>
      </c>
      <c r="M92" s="145">
        <f>'Bulk Plant Input'!$A$32</f>
        <v>0</v>
      </c>
      <c r="N92" s="145">
        <f>'Bulk Plant Input'!$A$33</f>
        <v>0</v>
      </c>
      <c r="O92" s="145">
        <f>'Bulk Plant Input'!$A$34</f>
        <v>0</v>
      </c>
      <c r="P92" s="145">
        <f>'Bulk Plant Input'!$A$35</f>
        <v>0</v>
      </c>
      <c r="Q92" s="145">
        <f>'Bulk Plant Input'!$A$36</f>
        <v>0</v>
      </c>
      <c r="R92" s="145">
        <f>'Bulk Plant Input'!$A$37</f>
        <v>0</v>
      </c>
      <c r="S92" s="206">
        <v>0</v>
      </c>
      <c r="U92" s="147"/>
      <c r="V92" s="147"/>
      <c r="W92" s="147"/>
      <c r="X92" s="147"/>
      <c r="Y92" s="147"/>
      <c r="Z92" s="147"/>
      <c r="AA92" s="147"/>
      <c r="AB92" s="147"/>
    </row>
    <row r="93" spans="1:28" s="144" customFormat="1" ht="15.75" x14ac:dyDescent="0.25">
      <c r="A93" s="178" t="str">
        <f>'Base Blend Property Calculation'!A97</f>
        <v>SanSeal</v>
      </c>
      <c r="B93" s="148">
        <f t="shared" si="1"/>
        <v>0</v>
      </c>
      <c r="C93" s="148">
        <f>'Base Blend Property Calculation'!BV97</f>
        <v>0</v>
      </c>
      <c r="D93" s="145">
        <f>'Bulk Plant Input'!$A$23</f>
        <v>0</v>
      </c>
      <c r="E93" s="145">
        <f>'Bulk Plant Input'!$A$24</f>
        <v>0</v>
      </c>
      <c r="F93" s="145">
        <f>'Bulk Plant Input'!$A$25</f>
        <v>0</v>
      </c>
      <c r="G93" s="145">
        <f>'Bulk Plant Input'!$A$26</f>
        <v>0</v>
      </c>
      <c r="H93" s="145">
        <f>'Bulk Plant Input'!$A$27</f>
        <v>0</v>
      </c>
      <c r="I93" s="145">
        <f>'Bulk Plant Input'!$A$28</f>
        <v>0</v>
      </c>
      <c r="J93" s="145">
        <f>'Bulk Plant Input'!$A$29</f>
        <v>0</v>
      </c>
      <c r="K93" s="145">
        <f>'Bulk Plant Input'!$A$30</f>
        <v>0</v>
      </c>
      <c r="L93" s="145">
        <f>'Bulk Plant Input'!$A$31</f>
        <v>0</v>
      </c>
      <c r="M93" s="145">
        <f>'Bulk Plant Input'!$A$32</f>
        <v>0</v>
      </c>
      <c r="N93" s="145">
        <f>'Bulk Plant Input'!$A$33</f>
        <v>0</v>
      </c>
      <c r="O93" s="145">
        <f>'Bulk Plant Input'!$A$34</f>
        <v>0</v>
      </c>
      <c r="P93" s="145">
        <f>'Bulk Plant Input'!$A$35</f>
        <v>0</v>
      </c>
      <c r="Q93" s="145">
        <f>'Bulk Plant Input'!$A$36</f>
        <v>0</v>
      </c>
      <c r="R93" s="145">
        <f>'Bulk Plant Input'!$A$37</f>
        <v>0</v>
      </c>
      <c r="S93" s="206">
        <v>0</v>
      </c>
      <c r="U93" s="147"/>
      <c r="V93" s="147"/>
      <c r="W93" s="147"/>
      <c r="X93" s="147"/>
      <c r="Y93" s="147"/>
      <c r="Z93" s="147"/>
      <c r="AA93" s="147"/>
      <c r="AB93" s="147"/>
    </row>
    <row r="94" spans="1:28" s="144" customFormat="1" ht="15.75" x14ac:dyDescent="0.25">
      <c r="A94" s="178" t="str">
        <f>'Base Blend Property Calculation'!A98</f>
        <v>SanSeal HT</v>
      </c>
      <c r="B94" s="148">
        <f t="shared" si="1"/>
        <v>0</v>
      </c>
      <c r="C94" s="148">
        <f>'Base Blend Property Calculation'!BV98</f>
        <v>0</v>
      </c>
      <c r="D94" s="145">
        <f>'Bulk Plant Input'!$A$23</f>
        <v>0</v>
      </c>
      <c r="E94" s="145">
        <f>'Bulk Plant Input'!$A$24</f>
        <v>0</v>
      </c>
      <c r="F94" s="145">
        <f>'Bulk Plant Input'!$A$25</f>
        <v>0</v>
      </c>
      <c r="G94" s="145">
        <f>'Bulk Plant Input'!$A$26</f>
        <v>0</v>
      </c>
      <c r="H94" s="145">
        <f>'Bulk Plant Input'!$A$27</f>
        <v>0</v>
      </c>
      <c r="I94" s="145">
        <f>'Bulk Plant Input'!$A$28</f>
        <v>0</v>
      </c>
      <c r="J94" s="145">
        <f>'Bulk Plant Input'!$A$29</f>
        <v>0</v>
      </c>
      <c r="K94" s="145">
        <f>'Bulk Plant Input'!$A$30</f>
        <v>0</v>
      </c>
      <c r="L94" s="145">
        <f>'Bulk Plant Input'!$A$31</f>
        <v>0</v>
      </c>
      <c r="M94" s="145">
        <f>'Bulk Plant Input'!$A$32</f>
        <v>0</v>
      </c>
      <c r="N94" s="145">
        <f>'Bulk Plant Input'!$A$33</f>
        <v>0</v>
      </c>
      <c r="O94" s="145">
        <f>'Bulk Plant Input'!$A$34</f>
        <v>0</v>
      </c>
      <c r="P94" s="145">
        <f>'Bulk Plant Input'!$A$35</f>
        <v>0</v>
      </c>
      <c r="Q94" s="145">
        <f>'Bulk Plant Input'!$A$36</f>
        <v>0</v>
      </c>
      <c r="R94" s="145">
        <f>'Bulk Plant Input'!$A$37</f>
        <v>0</v>
      </c>
      <c r="S94" s="206">
        <v>0</v>
      </c>
      <c r="U94" s="147"/>
      <c r="V94" s="147"/>
      <c r="W94" s="147"/>
      <c r="X94" s="147"/>
      <c r="Y94" s="147"/>
      <c r="Z94" s="147"/>
      <c r="AA94" s="147"/>
      <c r="AB94" s="147"/>
    </row>
    <row r="95" spans="1:28" s="144" customFormat="1" ht="15.75" x14ac:dyDescent="0.25">
      <c r="A95" s="178" t="str">
        <f>'Base Blend Property Calculation'!A99</f>
        <v>SCC10 Thermal</v>
      </c>
      <c r="B95" s="148">
        <f t="shared" si="1"/>
        <v>0</v>
      </c>
      <c r="C95" s="148">
        <f>'Base Blend Property Calculation'!BV99</f>
        <v>0</v>
      </c>
      <c r="D95" s="145">
        <f>'Bulk Plant Input'!$A$23</f>
        <v>0</v>
      </c>
      <c r="E95" s="145">
        <f>'Bulk Plant Input'!$A$24</f>
        <v>0</v>
      </c>
      <c r="F95" s="145">
        <f>'Bulk Plant Input'!$A$25</f>
        <v>0</v>
      </c>
      <c r="G95" s="145">
        <f>'Bulk Plant Input'!$A$26</f>
        <v>0</v>
      </c>
      <c r="H95" s="145">
        <f>'Bulk Plant Input'!$A$27</f>
        <v>0</v>
      </c>
      <c r="I95" s="145">
        <f>'Bulk Plant Input'!$A$28</f>
        <v>0</v>
      </c>
      <c r="J95" s="145">
        <f>'Bulk Plant Input'!$A$29</f>
        <v>0</v>
      </c>
      <c r="K95" s="145">
        <f>'Bulk Plant Input'!$A$30</f>
        <v>0</v>
      </c>
      <c r="L95" s="145">
        <f>'Bulk Plant Input'!$A$31</f>
        <v>0</v>
      </c>
      <c r="M95" s="145">
        <f>'Bulk Plant Input'!$A$32</f>
        <v>0</v>
      </c>
      <c r="N95" s="145">
        <f>'Bulk Plant Input'!$A$33</f>
        <v>0</v>
      </c>
      <c r="O95" s="145">
        <f>'Bulk Plant Input'!$A$34</f>
        <v>0</v>
      </c>
      <c r="P95" s="145">
        <f>'Bulk Plant Input'!$A$35</f>
        <v>0</v>
      </c>
      <c r="Q95" s="145">
        <f>'Bulk Plant Input'!$A$36</f>
        <v>0</v>
      </c>
      <c r="R95" s="145">
        <f>'Bulk Plant Input'!$A$37</f>
        <v>0</v>
      </c>
      <c r="S95" s="206">
        <v>0</v>
      </c>
      <c r="U95" s="147"/>
      <c r="V95" s="147"/>
      <c r="W95" s="147"/>
      <c r="X95" s="147"/>
      <c r="Y95" s="147"/>
      <c r="Z95" s="147"/>
      <c r="AA95" s="147"/>
      <c r="AB95" s="147"/>
    </row>
    <row r="96" spans="1:28" s="144" customFormat="1" ht="15.75" x14ac:dyDescent="0.25">
      <c r="A96" s="178" t="str">
        <f>'Base Blend Property Calculation'!A100</f>
        <v>SSi</v>
      </c>
      <c r="B96" s="148">
        <f t="shared" si="1"/>
        <v>0</v>
      </c>
      <c r="C96" s="148">
        <f>'Base Blend Property Calculation'!BV100</f>
        <v>0</v>
      </c>
      <c r="D96" s="145">
        <f>'Bulk Plant Input'!$A$23</f>
        <v>0</v>
      </c>
      <c r="E96" s="145">
        <f>'Bulk Plant Input'!$A$24</f>
        <v>0</v>
      </c>
      <c r="F96" s="145">
        <f>'Bulk Plant Input'!$A$25</f>
        <v>0</v>
      </c>
      <c r="G96" s="145">
        <f>'Bulk Plant Input'!$A$26</f>
        <v>0</v>
      </c>
      <c r="H96" s="145">
        <f>'Bulk Plant Input'!$A$27</f>
        <v>0</v>
      </c>
      <c r="I96" s="145">
        <f>'Bulk Plant Input'!$A$28</f>
        <v>0</v>
      </c>
      <c r="J96" s="145">
        <f>'Bulk Plant Input'!$A$29</f>
        <v>0</v>
      </c>
      <c r="K96" s="145">
        <f>'Bulk Plant Input'!$A$30</f>
        <v>0</v>
      </c>
      <c r="L96" s="145">
        <f>'Bulk Plant Input'!$A$31</f>
        <v>0</v>
      </c>
      <c r="M96" s="145">
        <f>'Bulk Plant Input'!$A$32</f>
        <v>0</v>
      </c>
      <c r="N96" s="145">
        <f>'Bulk Plant Input'!$A$33</f>
        <v>0</v>
      </c>
      <c r="O96" s="145">
        <f>'Bulk Plant Input'!$A$34</f>
        <v>0</v>
      </c>
      <c r="P96" s="145">
        <f>'Bulk Plant Input'!$A$35</f>
        <v>0</v>
      </c>
      <c r="Q96" s="145">
        <f>'Bulk Plant Input'!$A$36</f>
        <v>0</v>
      </c>
      <c r="R96" s="145">
        <f>'Bulk Plant Input'!$A$37</f>
        <v>0</v>
      </c>
      <c r="S96" s="206">
        <v>0</v>
      </c>
      <c r="U96" s="147"/>
      <c r="V96" s="147"/>
      <c r="W96" s="147"/>
      <c r="X96" s="147"/>
      <c r="Y96" s="147"/>
      <c r="Z96" s="147"/>
      <c r="AA96" s="147"/>
      <c r="AB96" s="147"/>
    </row>
    <row r="97" spans="1:28" s="144" customFormat="1" ht="15.75" x14ac:dyDescent="0.25">
      <c r="A97" s="178" t="str">
        <f>'Base Blend Property Calculation'!A101</f>
        <v>Superlite 13</v>
      </c>
      <c r="B97" s="148">
        <f t="shared" si="1"/>
        <v>0</v>
      </c>
      <c r="C97" s="148">
        <f>'Base Blend Property Calculation'!BV101</f>
        <v>0</v>
      </c>
      <c r="D97" s="145">
        <f>'Bulk Plant Input'!$A$23</f>
        <v>0</v>
      </c>
      <c r="E97" s="145">
        <f>'Bulk Plant Input'!$A$24</f>
        <v>0</v>
      </c>
      <c r="F97" s="145">
        <f>'Bulk Plant Input'!$A$25</f>
        <v>0</v>
      </c>
      <c r="G97" s="145">
        <f>'Bulk Plant Input'!$A$26</f>
        <v>0</v>
      </c>
      <c r="H97" s="145">
        <f>'Bulk Plant Input'!$A$27</f>
        <v>0</v>
      </c>
      <c r="I97" s="145">
        <f>'Bulk Plant Input'!$A$28</f>
        <v>0</v>
      </c>
      <c r="J97" s="145">
        <f>'Bulk Plant Input'!$A$29</f>
        <v>0</v>
      </c>
      <c r="K97" s="145">
        <f>'Bulk Plant Input'!$A$30</f>
        <v>0</v>
      </c>
      <c r="L97" s="145">
        <f>'Bulk Plant Input'!$A$31</f>
        <v>0</v>
      </c>
      <c r="M97" s="145">
        <f>'Bulk Plant Input'!$A$32</f>
        <v>0</v>
      </c>
      <c r="N97" s="145">
        <f>'Bulk Plant Input'!$A$33</f>
        <v>0</v>
      </c>
      <c r="O97" s="145">
        <f>'Bulk Plant Input'!$A$34</f>
        <v>0</v>
      </c>
      <c r="P97" s="145">
        <f>'Bulk Plant Input'!$A$35</f>
        <v>0</v>
      </c>
      <c r="Q97" s="145">
        <f>'Bulk Plant Input'!$A$36</f>
        <v>0</v>
      </c>
      <c r="R97" s="145">
        <f>'Bulk Plant Input'!$A$37</f>
        <v>0</v>
      </c>
      <c r="S97" s="206">
        <v>0</v>
      </c>
      <c r="U97" s="147"/>
      <c r="V97" s="147"/>
      <c r="W97" s="147"/>
      <c r="X97" s="147"/>
      <c r="Y97" s="147"/>
      <c r="Z97" s="147"/>
      <c r="AA97" s="147"/>
      <c r="AB97" s="147"/>
    </row>
    <row r="98" spans="1:28" s="144" customFormat="1" ht="15.75" x14ac:dyDescent="0.25">
      <c r="A98" s="178" t="str">
        <f>'Base Blend Property Calculation'!A102</f>
        <v>Superlite 13 (CDM-5)</v>
      </c>
      <c r="B98" s="148">
        <f t="shared" si="1"/>
        <v>0</v>
      </c>
      <c r="C98" s="148">
        <f>'Base Blend Property Calculation'!BV102</f>
        <v>0</v>
      </c>
      <c r="D98" s="145">
        <f>'Bulk Plant Input'!$A$23</f>
        <v>0</v>
      </c>
      <c r="E98" s="145">
        <f>'Bulk Plant Input'!$A$24</f>
        <v>0</v>
      </c>
      <c r="F98" s="145">
        <f>'Bulk Plant Input'!$A$25</f>
        <v>0</v>
      </c>
      <c r="G98" s="145">
        <f>'Bulk Plant Input'!$A$26</f>
        <v>0</v>
      </c>
      <c r="H98" s="145">
        <f>'Bulk Plant Input'!$A$27</f>
        <v>0</v>
      </c>
      <c r="I98" s="145">
        <f>'Bulk Plant Input'!$A$28</f>
        <v>0</v>
      </c>
      <c r="J98" s="145">
        <f>'Bulk Plant Input'!$A$29</f>
        <v>0</v>
      </c>
      <c r="K98" s="145">
        <f>'Bulk Plant Input'!$A$30</f>
        <v>0</v>
      </c>
      <c r="L98" s="145">
        <f>'Bulk Plant Input'!$A$31</f>
        <v>0</v>
      </c>
      <c r="M98" s="145">
        <f>'Bulk Plant Input'!$A$32</f>
        <v>0</v>
      </c>
      <c r="N98" s="145">
        <f>'Bulk Plant Input'!$A$33</f>
        <v>0</v>
      </c>
      <c r="O98" s="145">
        <f>'Bulk Plant Input'!$A$34</f>
        <v>0</v>
      </c>
      <c r="P98" s="145">
        <f>'Bulk Plant Input'!$A$35</f>
        <v>0</v>
      </c>
      <c r="Q98" s="145">
        <f>'Bulk Plant Input'!$A$36</f>
        <v>0</v>
      </c>
      <c r="R98" s="145">
        <f>'Bulk Plant Input'!$A$37</f>
        <v>0</v>
      </c>
      <c r="S98" s="206">
        <v>0</v>
      </c>
      <c r="U98" s="147"/>
      <c r="V98" s="147"/>
      <c r="W98" s="147"/>
      <c r="X98" s="147"/>
      <c r="Y98" s="147"/>
      <c r="Z98" s="147"/>
      <c r="AA98" s="147"/>
      <c r="AB98" s="147"/>
    </row>
    <row r="99" spans="1:28" s="144" customFormat="1" ht="15.75" x14ac:dyDescent="0.25">
      <c r="A99" s="178" t="str">
        <f>'Base Blend Property Calculation'!A103</f>
        <v>SUPERLITEmix 1160</v>
      </c>
      <c r="B99" s="148">
        <f t="shared" si="1"/>
        <v>0</v>
      </c>
      <c r="C99" s="148">
        <f>'Base Blend Property Calculation'!BV103</f>
        <v>0</v>
      </c>
      <c r="D99" s="145">
        <f>'Bulk Plant Input'!$A$23</f>
        <v>0</v>
      </c>
      <c r="E99" s="145">
        <f>'Bulk Plant Input'!$A$24</f>
        <v>0</v>
      </c>
      <c r="F99" s="145">
        <f>'Bulk Plant Input'!$A$25</f>
        <v>0</v>
      </c>
      <c r="G99" s="145">
        <f>'Bulk Plant Input'!$A$26</f>
        <v>0</v>
      </c>
      <c r="H99" s="145">
        <f>'Bulk Plant Input'!$A$27</f>
        <v>0</v>
      </c>
      <c r="I99" s="145">
        <f>'Bulk Plant Input'!$A$28</f>
        <v>0</v>
      </c>
      <c r="J99" s="145">
        <f>'Bulk Plant Input'!$A$29</f>
        <v>0</v>
      </c>
      <c r="K99" s="145">
        <f>'Bulk Plant Input'!$A$30</f>
        <v>0</v>
      </c>
      <c r="L99" s="145">
        <f>'Bulk Plant Input'!$A$31</f>
        <v>0</v>
      </c>
      <c r="M99" s="145">
        <f>'Bulk Plant Input'!$A$32</f>
        <v>0</v>
      </c>
      <c r="N99" s="145">
        <f>'Bulk Plant Input'!$A$33</f>
        <v>0</v>
      </c>
      <c r="O99" s="145">
        <f>'Bulk Plant Input'!$A$34</f>
        <v>0</v>
      </c>
      <c r="P99" s="145">
        <f>'Bulk Plant Input'!$A$35</f>
        <v>0</v>
      </c>
      <c r="Q99" s="145">
        <f>'Bulk Plant Input'!$A$36</f>
        <v>0</v>
      </c>
      <c r="R99" s="145">
        <f>'Bulk Plant Input'!$A$37</f>
        <v>0</v>
      </c>
      <c r="S99" s="206">
        <v>0</v>
      </c>
      <c r="U99" s="147"/>
      <c r="V99" s="147"/>
      <c r="W99" s="147"/>
      <c r="X99" s="147"/>
      <c r="Y99" s="147"/>
      <c r="Z99" s="147"/>
      <c r="AA99" s="147"/>
      <c r="AB99" s="147"/>
    </row>
    <row r="100" spans="1:28" s="144" customFormat="1" ht="15.75" x14ac:dyDescent="0.25">
      <c r="A100" s="178" t="str">
        <f>'Base Blend Property Calculation'!A104</f>
        <v>SUPERLITEmix 1160 (CDM-5)</v>
      </c>
      <c r="B100" s="148">
        <f t="shared" si="1"/>
        <v>0</v>
      </c>
      <c r="C100" s="148">
        <f>'Base Blend Property Calculation'!BV104</f>
        <v>0</v>
      </c>
      <c r="D100" s="145">
        <f>'Bulk Plant Input'!$A$23</f>
        <v>0</v>
      </c>
      <c r="E100" s="145">
        <f>'Bulk Plant Input'!$A$24</f>
        <v>0</v>
      </c>
      <c r="F100" s="145">
        <f>'Bulk Plant Input'!$A$25</f>
        <v>0</v>
      </c>
      <c r="G100" s="145">
        <f>'Bulk Plant Input'!$A$26</f>
        <v>0</v>
      </c>
      <c r="H100" s="145">
        <f>'Bulk Plant Input'!$A$27</f>
        <v>0</v>
      </c>
      <c r="I100" s="145">
        <f>'Bulk Plant Input'!$A$28</f>
        <v>0</v>
      </c>
      <c r="J100" s="145">
        <f>'Bulk Plant Input'!$A$29</f>
        <v>0</v>
      </c>
      <c r="K100" s="145">
        <f>'Bulk Plant Input'!$A$30</f>
        <v>0</v>
      </c>
      <c r="L100" s="145">
        <f>'Bulk Plant Input'!$A$31</f>
        <v>0</v>
      </c>
      <c r="M100" s="145">
        <f>'Bulk Plant Input'!$A$32</f>
        <v>0</v>
      </c>
      <c r="N100" s="145">
        <f>'Bulk Plant Input'!$A$33</f>
        <v>0</v>
      </c>
      <c r="O100" s="145">
        <f>'Bulk Plant Input'!$A$34</f>
        <v>0</v>
      </c>
      <c r="P100" s="145">
        <f>'Bulk Plant Input'!$A$35</f>
        <v>0</v>
      </c>
      <c r="Q100" s="145">
        <f>'Bulk Plant Input'!$A$36</f>
        <v>0</v>
      </c>
      <c r="R100" s="145">
        <f>'Bulk Plant Input'!$A$37</f>
        <v>0</v>
      </c>
      <c r="S100" s="206">
        <v>0</v>
      </c>
      <c r="U100" s="147"/>
      <c r="V100" s="147"/>
      <c r="W100" s="147"/>
      <c r="X100" s="147"/>
      <c r="Y100" s="147"/>
      <c r="Z100" s="147"/>
      <c r="AA100" s="147"/>
      <c r="AB100" s="147"/>
    </row>
    <row r="101" spans="1:28" s="144" customFormat="1" ht="15.75" x14ac:dyDescent="0.25">
      <c r="A101" s="178" t="str">
        <f>'Base Blend Property Calculation'!A105</f>
        <v>SUPERLITEmix PRO (LDP-C-3215)</v>
      </c>
      <c r="B101" s="148">
        <f t="shared" si="1"/>
        <v>0</v>
      </c>
      <c r="C101" s="148">
        <f>'Base Blend Property Calculation'!BV105</f>
        <v>0</v>
      </c>
      <c r="D101" s="145">
        <f>'Bulk Plant Input'!$A$23</f>
        <v>0</v>
      </c>
      <c r="E101" s="145">
        <f>'Bulk Plant Input'!$A$24</f>
        <v>0</v>
      </c>
      <c r="F101" s="145">
        <f>'Bulk Plant Input'!$A$25</f>
        <v>0</v>
      </c>
      <c r="G101" s="145">
        <f>'Bulk Plant Input'!$A$26</f>
        <v>0</v>
      </c>
      <c r="H101" s="145">
        <f>'Bulk Plant Input'!$A$27</f>
        <v>0</v>
      </c>
      <c r="I101" s="145">
        <f>'Bulk Plant Input'!$A$28</f>
        <v>0</v>
      </c>
      <c r="J101" s="145">
        <f>'Bulk Plant Input'!$A$29</f>
        <v>0</v>
      </c>
      <c r="K101" s="145">
        <f>'Bulk Plant Input'!$A$30</f>
        <v>0</v>
      </c>
      <c r="L101" s="145">
        <f>'Bulk Plant Input'!$A$31</f>
        <v>0</v>
      </c>
      <c r="M101" s="145">
        <f>'Bulk Plant Input'!$A$32</f>
        <v>0</v>
      </c>
      <c r="N101" s="145">
        <f>'Bulk Plant Input'!$A$33</f>
        <v>0</v>
      </c>
      <c r="O101" s="145">
        <f>'Bulk Plant Input'!$A$34</f>
        <v>0</v>
      </c>
      <c r="P101" s="145">
        <f>'Bulk Plant Input'!$A$35</f>
        <v>0</v>
      </c>
      <c r="Q101" s="145">
        <f>'Bulk Plant Input'!$A$36</f>
        <v>0</v>
      </c>
      <c r="R101" s="145">
        <f>'Bulk Plant Input'!$A$37</f>
        <v>0</v>
      </c>
      <c r="S101" s="206">
        <v>0</v>
      </c>
      <c r="U101" s="147"/>
      <c r="V101" s="147"/>
      <c r="W101" s="147"/>
      <c r="X101" s="147"/>
      <c r="Y101" s="147"/>
      <c r="Z101" s="147"/>
      <c r="AA101" s="147"/>
      <c r="AB101" s="147"/>
    </row>
    <row r="102" spans="1:28" s="144" customFormat="1" ht="15.75" x14ac:dyDescent="0.25">
      <c r="A102" s="178" t="str">
        <f>'Base Blend Property Calculation'!A106</f>
        <v>SUPERLITEmix PRO HT</v>
      </c>
      <c r="B102" s="148">
        <f t="shared" si="1"/>
        <v>0</v>
      </c>
      <c r="C102" s="148">
        <f>'Base Blend Property Calculation'!BV106</f>
        <v>0</v>
      </c>
      <c r="D102" s="142">
        <f>'Bulk Plant Input'!$A$23</f>
        <v>0</v>
      </c>
      <c r="E102" s="142">
        <f>'Bulk Plant Input'!$A$24</f>
        <v>0</v>
      </c>
      <c r="F102" s="142">
        <f>'Bulk Plant Input'!$A$25</f>
        <v>0</v>
      </c>
      <c r="G102" s="142">
        <f>'Bulk Plant Input'!$A$26</f>
        <v>0</v>
      </c>
      <c r="H102" s="142">
        <f>'Bulk Plant Input'!$A$27</f>
        <v>0</v>
      </c>
      <c r="I102" s="142">
        <f>'Bulk Plant Input'!$A$28</f>
        <v>0</v>
      </c>
      <c r="J102" s="142">
        <f>'Bulk Plant Input'!$A$29</f>
        <v>0</v>
      </c>
      <c r="K102" s="142">
        <f>'Bulk Plant Input'!$A$30</f>
        <v>0</v>
      </c>
      <c r="L102" s="142">
        <f>'Bulk Plant Input'!$A$31</f>
        <v>0</v>
      </c>
      <c r="M102" s="142">
        <f>'Bulk Plant Input'!$A$32</f>
        <v>0</v>
      </c>
      <c r="N102" s="142">
        <f>'Bulk Plant Input'!$A$33</f>
        <v>0</v>
      </c>
      <c r="O102" s="142">
        <f>'Bulk Plant Input'!$A$34</f>
        <v>0</v>
      </c>
      <c r="P102" s="142">
        <f>'Bulk Plant Input'!$A$35</f>
        <v>0</v>
      </c>
      <c r="Q102" s="142">
        <f>'Bulk Plant Input'!$A$36</f>
        <v>0</v>
      </c>
      <c r="R102" s="142">
        <f>'Bulk Plant Input'!$A$37</f>
        <v>0</v>
      </c>
      <c r="S102" s="206">
        <v>0</v>
      </c>
      <c r="U102" s="147"/>
      <c r="V102" s="147"/>
      <c r="W102" s="147"/>
      <c r="X102" s="147"/>
      <c r="Y102" s="147"/>
      <c r="Z102" s="147"/>
      <c r="AA102" s="147"/>
      <c r="AB102" s="147"/>
    </row>
    <row r="103" spans="1:28" s="144" customFormat="1" ht="15.75" x14ac:dyDescent="0.25">
      <c r="A103" s="178" t="str">
        <f>'Base Blend Property Calculation'!A107</f>
        <v>SURFACEmix LW (AB)</v>
      </c>
      <c r="B103" s="148">
        <f t="shared" si="1"/>
        <v>0</v>
      </c>
      <c r="C103" s="148">
        <f>'Base Blend Property Calculation'!BV107</f>
        <v>0</v>
      </c>
      <c r="D103" s="142">
        <f>'Bulk Plant Input'!$A$23</f>
        <v>0</v>
      </c>
      <c r="E103" s="142">
        <f>'Bulk Plant Input'!$A$24</f>
        <v>0</v>
      </c>
      <c r="F103" s="142">
        <f>'Bulk Plant Input'!$A$25</f>
        <v>0</v>
      </c>
      <c r="G103" s="142">
        <f>'Bulk Plant Input'!$A$26</f>
        <v>0</v>
      </c>
      <c r="H103" s="142">
        <f>'Bulk Plant Input'!$A$27</f>
        <v>0</v>
      </c>
      <c r="I103" s="142">
        <f>'Bulk Plant Input'!$A$28</f>
        <v>0</v>
      </c>
      <c r="J103" s="142">
        <f>'Bulk Plant Input'!$A$29</f>
        <v>0</v>
      </c>
      <c r="K103" s="142">
        <f>'Bulk Plant Input'!$A$30</f>
        <v>0</v>
      </c>
      <c r="L103" s="142">
        <f>'Bulk Plant Input'!$A$31</f>
        <v>0</v>
      </c>
      <c r="M103" s="142">
        <f>'Bulk Plant Input'!$A$32</f>
        <v>0</v>
      </c>
      <c r="N103" s="142">
        <f>'Bulk Plant Input'!$A$33</f>
        <v>0</v>
      </c>
      <c r="O103" s="142">
        <f>'Bulk Plant Input'!$A$34</f>
        <v>0</v>
      </c>
      <c r="P103" s="142">
        <f>'Bulk Plant Input'!$A$35</f>
        <v>0</v>
      </c>
      <c r="Q103" s="142">
        <f>'Bulk Plant Input'!$A$36</f>
        <v>0</v>
      </c>
      <c r="R103" s="142">
        <f>'Bulk Plant Input'!$A$37</f>
        <v>0</v>
      </c>
      <c r="S103" s="206">
        <v>0</v>
      </c>
      <c r="U103" s="147"/>
      <c r="V103" s="147"/>
      <c r="W103" s="147"/>
      <c r="X103" s="147"/>
      <c r="Y103" s="147"/>
      <c r="Z103" s="147"/>
      <c r="AA103" s="147"/>
      <c r="AB103" s="147"/>
    </row>
    <row r="104" spans="1:28" s="241" customFormat="1" ht="15.75" x14ac:dyDescent="0.25">
      <c r="A104" s="178" t="s">
        <v>537</v>
      </c>
      <c r="B104" s="148">
        <v>0</v>
      </c>
      <c r="C104" s="148">
        <v>0</v>
      </c>
      <c r="D104" s="379">
        <f>'Bulk Plant Input'!$A$23</f>
        <v>0</v>
      </c>
      <c r="E104" s="379">
        <f>'Bulk Plant Input'!$A$24</f>
        <v>0</v>
      </c>
      <c r="F104" s="379">
        <f>'Bulk Plant Input'!$A$25</f>
        <v>0</v>
      </c>
      <c r="G104" s="379">
        <f>'Bulk Plant Input'!$A$26</f>
        <v>0</v>
      </c>
      <c r="H104" s="379">
        <f>'Bulk Plant Input'!$A$27</f>
        <v>0</v>
      </c>
      <c r="I104" s="379">
        <f>'Bulk Plant Input'!$A$28</f>
        <v>0</v>
      </c>
      <c r="J104" s="379">
        <f>'Bulk Plant Input'!$A$29</f>
        <v>0</v>
      </c>
      <c r="K104" s="379">
        <f>'Bulk Plant Input'!$A$30</f>
        <v>0</v>
      </c>
      <c r="L104" s="379">
        <f>'Bulk Plant Input'!$A$31</f>
        <v>0</v>
      </c>
      <c r="M104" s="379">
        <f>'Bulk Plant Input'!$A$32</f>
        <v>0</v>
      </c>
      <c r="N104" s="379">
        <f>'Bulk Plant Input'!$A$33</f>
        <v>0</v>
      </c>
      <c r="O104" s="379">
        <f>'Bulk Plant Input'!$A$34</f>
        <v>0</v>
      </c>
      <c r="P104" s="379">
        <f>'Bulk Plant Input'!$A$35</f>
        <v>0</v>
      </c>
      <c r="Q104" s="379">
        <f>'Bulk Plant Input'!$A$36</f>
        <v>0</v>
      </c>
      <c r="R104" s="379">
        <f>'Bulk Plant Input'!$A$37</f>
        <v>0</v>
      </c>
      <c r="S104" s="379">
        <v>0</v>
      </c>
      <c r="U104" s="380"/>
      <c r="V104" s="380"/>
      <c r="W104" s="380"/>
      <c r="X104" s="380"/>
      <c r="Y104" s="380"/>
      <c r="Z104" s="380"/>
      <c r="AA104" s="380"/>
      <c r="AB104" s="380"/>
    </row>
    <row r="105" spans="1:28" s="144" customFormat="1" ht="15.75" x14ac:dyDescent="0.25">
      <c r="A105" s="178" t="str">
        <f>'Base Blend Property Calculation'!A109</f>
        <v>SURFACEmix LW PRO (LDP-C-4715)</v>
      </c>
      <c r="B105" s="148">
        <f t="shared" si="1"/>
        <v>0</v>
      </c>
      <c r="C105" s="148">
        <f>'Base Blend Property Calculation'!BV109</f>
        <v>0</v>
      </c>
      <c r="D105" s="145">
        <f>'Bulk Plant Input'!$A$23</f>
        <v>0</v>
      </c>
      <c r="E105" s="145">
        <f>'Bulk Plant Input'!$A$24</f>
        <v>0</v>
      </c>
      <c r="F105" s="145">
        <f>'Bulk Plant Input'!$A$25</f>
        <v>0</v>
      </c>
      <c r="G105" s="145">
        <f>'Bulk Plant Input'!$A$26</f>
        <v>0</v>
      </c>
      <c r="H105" s="145">
        <f>'Bulk Plant Input'!$A$27</f>
        <v>0</v>
      </c>
      <c r="I105" s="145">
        <f>'Bulk Plant Input'!$A$28</f>
        <v>0</v>
      </c>
      <c r="J105" s="145">
        <f>'Bulk Plant Input'!$A$29</f>
        <v>0</v>
      </c>
      <c r="K105" s="145">
        <f>'Bulk Plant Input'!$A$30</f>
        <v>0</v>
      </c>
      <c r="L105" s="145">
        <f>'Bulk Plant Input'!$A$31</f>
        <v>0</v>
      </c>
      <c r="M105" s="145">
        <f>'Bulk Plant Input'!$A$32</f>
        <v>0</v>
      </c>
      <c r="N105" s="145">
        <f>'Bulk Plant Input'!$A$33</f>
        <v>0</v>
      </c>
      <c r="O105" s="145">
        <f>'Bulk Plant Input'!$A$34</f>
        <v>0</v>
      </c>
      <c r="P105" s="145">
        <f>'Bulk Plant Input'!$A$35</f>
        <v>0</v>
      </c>
      <c r="Q105" s="145">
        <f>'Bulk Plant Input'!$A$36</f>
        <v>0</v>
      </c>
      <c r="R105" s="145">
        <f>'Bulk Plant Input'!$A$37</f>
        <v>0</v>
      </c>
      <c r="S105" s="206">
        <v>1</v>
      </c>
      <c r="U105" s="147"/>
      <c r="V105" s="147"/>
      <c r="W105" s="147"/>
      <c r="X105" s="147"/>
      <c r="Y105" s="147"/>
      <c r="Z105" s="147"/>
      <c r="AA105" s="147"/>
      <c r="AB105" s="147"/>
    </row>
    <row r="106" spans="1:28" s="144" customFormat="1" ht="15.75" x14ac:dyDescent="0.25">
      <c r="A106" s="178" t="str">
        <f>'Base Blend Property Calculation'!A110</f>
        <v>SURFACEmix LW PRO (SK) (LDP-C-4715)</v>
      </c>
      <c r="B106" s="148">
        <f t="shared" si="1"/>
        <v>0</v>
      </c>
      <c r="C106" s="148">
        <f>'Base Blend Property Calculation'!BV110</f>
        <v>0</v>
      </c>
      <c r="D106" s="145">
        <f>'Bulk Plant Input'!$A$23</f>
        <v>0</v>
      </c>
      <c r="E106" s="145">
        <f>'Bulk Plant Input'!$A$24</f>
        <v>0</v>
      </c>
      <c r="F106" s="145">
        <f>'Bulk Plant Input'!$A$25</f>
        <v>0</v>
      </c>
      <c r="G106" s="145">
        <f>'Bulk Plant Input'!$A$26</f>
        <v>0</v>
      </c>
      <c r="H106" s="145">
        <f>'Bulk Plant Input'!$A$27</f>
        <v>0</v>
      </c>
      <c r="I106" s="145">
        <f>'Bulk Plant Input'!$A$28</f>
        <v>0</v>
      </c>
      <c r="J106" s="145">
        <f>'Bulk Plant Input'!$A$29</f>
        <v>0</v>
      </c>
      <c r="K106" s="145">
        <f>'Bulk Plant Input'!$A$30</f>
        <v>0</v>
      </c>
      <c r="L106" s="145">
        <f>'Bulk Plant Input'!$A$31</f>
        <v>0</v>
      </c>
      <c r="M106" s="145">
        <f>'Bulk Plant Input'!$A$32</f>
        <v>0</v>
      </c>
      <c r="N106" s="145">
        <f>'Bulk Plant Input'!$A$33</f>
        <v>0</v>
      </c>
      <c r="O106" s="145">
        <f>'Bulk Plant Input'!$A$34</f>
        <v>0</v>
      </c>
      <c r="P106" s="145">
        <f>'Bulk Plant Input'!$A$35</f>
        <v>0</v>
      </c>
      <c r="Q106" s="145">
        <f>'Bulk Plant Input'!$A$36</f>
        <v>0</v>
      </c>
      <c r="R106" s="145">
        <f>'Bulk Plant Input'!$A$37</f>
        <v>0</v>
      </c>
      <c r="S106" s="206">
        <v>1</v>
      </c>
      <c r="U106" s="147"/>
      <c r="V106" s="147"/>
      <c r="W106" s="147"/>
      <c r="X106" s="147"/>
      <c r="Y106" s="147"/>
      <c r="Z106" s="147"/>
      <c r="AA106" s="147"/>
      <c r="AB106" s="147"/>
    </row>
    <row r="107" spans="1:28" s="144" customFormat="1" ht="15.75" x14ac:dyDescent="0.25">
      <c r="A107" s="178" t="str">
        <f>'Base Blend Property Calculation'!A111</f>
        <v>SURFACEmix LW PRO SL</v>
      </c>
      <c r="B107" s="148">
        <f t="shared" si="1"/>
        <v>0</v>
      </c>
      <c r="C107" s="148">
        <f>'Base Blend Property Calculation'!BV111</f>
        <v>0</v>
      </c>
      <c r="D107" s="145">
        <f>'Bulk Plant Input'!$A$23</f>
        <v>0</v>
      </c>
      <c r="E107" s="145">
        <f>'Bulk Plant Input'!$A$24</f>
        <v>0</v>
      </c>
      <c r="F107" s="145">
        <f>'Bulk Plant Input'!$A$25</f>
        <v>0</v>
      </c>
      <c r="G107" s="145">
        <f>'Bulk Plant Input'!$A$26</f>
        <v>0</v>
      </c>
      <c r="H107" s="145">
        <f>'Bulk Plant Input'!$A$27</f>
        <v>0</v>
      </c>
      <c r="I107" s="145">
        <f>'Bulk Plant Input'!$A$28</f>
        <v>0</v>
      </c>
      <c r="J107" s="145">
        <f>'Bulk Plant Input'!$A$29</f>
        <v>0</v>
      </c>
      <c r="K107" s="145">
        <f>'Bulk Plant Input'!$A$30</f>
        <v>0</v>
      </c>
      <c r="L107" s="145">
        <f>'Bulk Plant Input'!$A$31</f>
        <v>0</v>
      </c>
      <c r="M107" s="145">
        <f>'Bulk Plant Input'!$A$32</f>
        <v>0</v>
      </c>
      <c r="N107" s="145">
        <f>'Bulk Plant Input'!$A$33</f>
        <v>0</v>
      </c>
      <c r="O107" s="145">
        <f>'Bulk Plant Input'!$A$34</f>
        <v>0</v>
      </c>
      <c r="P107" s="145">
        <f>'Bulk Plant Input'!$A$35</f>
        <v>0</v>
      </c>
      <c r="Q107" s="145">
        <f>'Bulk Plant Input'!$A$36</f>
        <v>0</v>
      </c>
      <c r="R107" s="145">
        <f>'Bulk Plant Input'!$A$37</f>
        <v>0</v>
      </c>
      <c r="S107" s="206"/>
      <c r="U107" s="147"/>
      <c r="V107" s="147"/>
      <c r="W107" s="147"/>
      <c r="X107" s="147"/>
      <c r="Y107" s="147"/>
      <c r="Z107" s="147"/>
      <c r="AA107" s="147"/>
      <c r="AB107" s="147"/>
    </row>
    <row r="108" spans="1:28" s="144" customFormat="1" ht="15.75" x14ac:dyDescent="0.25">
      <c r="A108" s="178" t="str">
        <f>'Base Blend Property Calculation'!A112</f>
        <v>SURFACEmix PRO</v>
      </c>
      <c r="B108" s="148">
        <f t="shared" si="1"/>
        <v>0</v>
      </c>
      <c r="C108" s="148">
        <f>'Base Blend Property Calculation'!BV112</f>
        <v>0</v>
      </c>
      <c r="D108" s="145">
        <f>'Bulk Plant Input'!$A$23</f>
        <v>0</v>
      </c>
      <c r="E108" s="145">
        <f>'Bulk Plant Input'!$A$24</f>
        <v>0</v>
      </c>
      <c r="F108" s="145">
        <f>'Bulk Plant Input'!$A$25</f>
        <v>0</v>
      </c>
      <c r="G108" s="145">
        <f>'Bulk Plant Input'!$A$26</f>
        <v>0</v>
      </c>
      <c r="H108" s="145">
        <f>'Bulk Plant Input'!$A$27</f>
        <v>0</v>
      </c>
      <c r="I108" s="145">
        <f>'Bulk Plant Input'!$A$28</f>
        <v>0</v>
      </c>
      <c r="J108" s="145">
        <f>'Bulk Plant Input'!$A$29</f>
        <v>0</v>
      </c>
      <c r="K108" s="145">
        <f>'Bulk Plant Input'!$A$30</f>
        <v>0</v>
      </c>
      <c r="L108" s="145">
        <f>'Bulk Plant Input'!$A$31</f>
        <v>0</v>
      </c>
      <c r="M108" s="145">
        <f>'Bulk Plant Input'!$A$32</f>
        <v>0</v>
      </c>
      <c r="N108" s="145">
        <f>'Bulk Plant Input'!$A$33</f>
        <v>0</v>
      </c>
      <c r="O108" s="145">
        <f>'Bulk Plant Input'!$A$34</f>
        <v>0</v>
      </c>
      <c r="P108" s="145">
        <f>'Bulk Plant Input'!$A$35</f>
        <v>0</v>
      </c>
      <c r="Q108" s="145">
        <f>'Bulk Plant Input'!$A$36</f>
        <v>0</v>
      </c>
      <c r="R108" s="145">
        <f>'Bulk Plant Input'!$A$37</f>
        <v>0</v>
      </c>
      <c r="S108" s="206"/>
      <c r="U108" s="147"/>
      <c r="V108" s="147"/>
      <c r="W108" s="147"/>
      <c r="X108" s="147"/>
      <c r="Y108" s="147"/>
      <c r="Z108" s="147"/>
      <c r="AA108" s="147"/>
      <c r="AB108" s="147"/>
    </row>
    <row r="109" spans="1:28" s="144" customFormat="1" ht="15.75" x14ac:dyDescent="0.25">
      <c r="A109" s="178" t="str">
        <f>'Base Blend Property Calculation'!A113</f>
        <v>SURFACEmix PRO SL</v>
      </c>
      <c r="B109" s="148">
        <f t="shared" si="1"/>
        <v>0</v>
      </c>
      <c r="C109" s="148">
        <f>'Base Blend Property Calculation'!BV113</f>
        <v>0</v>
      </c>
      <c r="D109" s="145">
        <f>'Bulk Plant Input'!$A$23</f>
        <v>0</v>
      </c>
      <c r="E109" s="145">
        <f>'Bulk Plant Input'!$A$24</f>
        <v>0</v>
      </c>
      <c r="F109" s="145">
        <f>'Bulk Plant Input'!$A$25</f>
        <v>0</v>
      </c>
      <c r="G109" s="145">
        <f>'Bulk Plant Input'!$A$26</f>
        <v>0</v>
      </c>
      <c r="H109" s="145">
        <f>'Bulk Plant Input'!$A$27</f>
        <v>0</v>
      </c>
      <c r="I109" s="145">
        <f>'Bulk Plant Input'!$A$28</f>
        <v>0</v>
      </c>
      <c r="J109" s="145">
        <f>'Bulk Plant Input'!$A$29</f>
        <v>0</v>
      </c>
      <c r="K109" s="145">
        <f>'Bulk Plant Input'!$A$30</f>
        <v>0</v>
      </c>
      <c r="L109" s="145">
        <f>'Bulk Plant Input'!$A$31</f>
        <v>0</v>
      </c>
      <c r="M109" s="145">
        <f>'Bulk Plant Input'!$A$32</f>
        <v>0</v>
      </c>
      <c r="N109" s="145">
        <f>'Bulk Plant Input'!$A$33</f>
        <v>0</v>
      </c>
      <c r="O109" s="145">
        <f>'Bulk Plant Input'!$A$34</f>
        <v>0</v>
      </c>
      <c r="P109" s="145">
        <f>'Bulk Plant Input'!$A$35</f>
        <v>0</v>
      </c>
      <c r="Q109" s="145">
        <f>'Bulk Plant Input'!$A$36</f>
        <v>0</v>
      </c>
      <c r="R109" s="145">
        <f>'Bulk Plant Input'!$A$37</f>
        <v>0</v>
      </c>
      <c r="S109" s="206"/>
      <c r="U109" s="147"/>
      <c r="V109" s="147"/>
      <c r="W109" s="147"/>
      <c r="X109" s="147"/>
      <c r="Y109" s="147"/>
      <c r="Z109" s="147"/>
      <c r="AA109" s="147"/>
      <c r="AB109" s="147"/>
    </row>
    <row r="110" spans="1:28" s="144" customFormat="1" ht="15.75" x14ac:dyDescent="0.25">
      <c r="A110" s="178" t="str">
        <f>'Base Blend Property Calculation'!A114</f>
        <v>SURFACEmix SLW</v>
      </c>
      <c r="B110" s="148">
        <f t="shared" si="1"/>
        <v>0</v>
      </c>
      <c r="C110" s="148">
        <f>'Base Blend Property Calculation'!BV114</f>
        <v>0</v>
      </c>
      <c r="D110" s="145">
        <f>'Bulk Plant Input'!$A$23</f>
        <v>0</v>
      </c>
      <c r="E110" s="145">
        <f>'Bulk Plant Input'!$A$24</f>
        <v>0</v>
      </c>
      <c r="F110" s="145">
        <f>'Bulk Plant Input'!$A$25</f>
        <v>0</v>
      </c>
      <c r="G110" s="145">
        <f>'Bulk Plant Input'!$A$26</f>
        <v>0</v>
      </c>
      <c r="H110" s="145">
        <f>'Bulk Plant Input'!$A$27</f>
        <v>0</v>
      </c>
      <c r="I110" s="145">
        <f>'Bulk Plant Input'!$A$28</f>
        <v>0</v>
      </c>
      <c r="J110" s="145">
        <f>'Bulk Plant Input'!$A$29</f>
        <v>0</v>
      </c>
      <c r="K110" s="145">
        <f>'Bulk Plant Input'!$A$30</f>
        <v>0</v>
      </c>
      <c r="L110" s="145">
        <f>'Bulk Plant Input'!$A$31</f>
        <v>0</v>
      </c>
      <c r="M110" s="145">
        <f>'Bulk Plant Input'!$A$32</f>
        <v>0</v>
      </c>
      <c r="N110" s="145">
        <f>'Bulk Plant Input'!$A$33</f>
        <v>0</v>
      </c>
      <c r="O110" s="145">
        <f>'Bulk Plant Input'!$A$34</f>
        <v>0</v>
      </c>
      <c r="P110" s="145">
        <f>'Bulk Plant Input'!$A$35</f>
        <v>0</v>
      </c>
      <c r="Q110" s="145">
        <f>'Bulk Plant Input'!$A$36</f>
        <v>0</v>
      </c>
      <c r="R110" s="145">
        <f>'Bulk Plant Input'!$A$37</f>
        <v>0</v>
      </c>
      <c r="S110" s="206"/>
      <c r="U110" s="147"/>
      <c r="V110" s="147"/>
      <c r="W110" s="147"/>
      <c r="X110" s="147"/>
      <c r="Y110" s="147"/>
      <c r="Z110" s="147"/>
      <c r="AA110" s="147"/>
      <c r="AB110" s="147"/>
    </row>
    <row r="111" spans="1:28" s="144" customFormat="1" ht="15.75" x14ac:dyDescent="0.25">
      <c r="A111" s="178" t="str">
        <f>'Base Blend Property Calculation'!A115</f>
        <v>SurfLite</v>
      </c>
      <c r="B111" s="148">
        <f t="shared" si="1"/>
        <v>0</v>
      </c>
      <c r="C111" s="148">
        <f>'Base Blend Property Calculation'!BV115</f>
        <v>0</v>
      </c>
      <c r="D111" s="145">
        <f>'Bulk Plant Input'!$A$23</f>
        <v>0</v>
      </c>
      <c r="E111" s="145">
        <f>'Bulk Plant Input'!$A$24</f>
        <v>0</v>
      </c>
      <c r="F111" s="145">
        <f>'Bulk Plant Input'!$A$25</f>
        <v>0</v>
      </c>
      <c r="G111" s="145">
        <f>'Bulk Plant Input'!$A$26</f>
        <v>0</v>
      </c>
      <c r="H111" s="145">
        <f>'Bulk Plant Input'!$A$27</f>
        <v>0</v>
      </c>
      <c r="I111" s="145">
        <f>'Bulk Plant Input'!$A$28</f>
        <v>0</v>
      </c>
      <c r="J111" s="145">
        <f>'Bulk Plant Input'!$A$29</f>
        <v>0</v>
      </c>
      <c r="K111" s="145">
        <f>'Bulk Plant Input'!$A$30</f>
        <v>0</v>
      </c>
      <c r="L111" s="145">
        <f>'Bulk Plant Input'!$A$31</f>
        <v>0</v>
      </c>
      <c r="M111" s="145">
        <f>'Bulk Plant Input'!$A$32</f>
        <v>0</v>
      </c>
      <c r="N111" s="145">
        <f>'Bulk Plant Input'!$A$33</f>
        <v>0</v>
      </c>
      <c r="O111" s="145">
        <f>'Bulk Plant Input'!$A$34</f>
        <v>0</v>
      </c>
      <c r="P111" s="145">
        <f>'Bulk Plant Input'!$A$35</f>
        <v>0</v>
      </c>
      <c r="Q111" s="145">
        <f>'Bulk Plant Input'!$A$36</f>
        <v>0</v>
      </c>
      <c r="R111" s="145">
        <f>'Bulk Plant Input'!$A$37</f>
        <v>0</v>
      </c>
      <c r="S111" s="206"/>
      <c r="U111" s="147"/>
      <c r="V111" s="147"/>
      <c r="W111" s="147"/>
      <c r="X111" s="147"/>
      <c r="Y111" s="147"/>
      <c r="Z111" s="147"/>
      <c r="AA111" s="147"/>
      <c r="AB111" s="147"/>
    </row>
    <row r="112" spans="1:28" s="144" customFormat="1" ht="15.75" x14ac:dyDescent="0.25">
      <c r="A112" s="178" t="str">
        <f>'Base Blend Property Calculation'!A116</f>
        <v>SurfLite (SK)</v>
      </c>
      <c r="B112" s="148">
        <f t="shared" si="1"/>
        <v>0</v>
      </c>
      <c r="C112" s="148">
        <f>'Base Blend Property Calculation'!BV116</f>
        <v>0</v>
      </c>
      <c r="D112" s="145">
        <f>'Bulk Plant Input'!$A$23</f>
        <v>0</v>
      </c>
      <c r="E112" s="145">
        <f>'Bulk Plant Input'!$A$24</f>
        <v>0</v>
      </c>
      <c r="F112" s="145">
        <f>'Bulk Plant Input'!$A$25</f>
        <v>0</v>
      </c>
      <c r="G112" s="145">
        <f>'Bulk Plant Input'!$A$26</f>
        <v>0</v>
      </c>
      <c r="H112" s="145">
        <f>'Bulk Plant Input'!$A$27</f>
        <v>0</v>
      </c>
      <c r="I112" s="145">
        <f>'Bulk Plant Input'!$A$28</f>
        <v>0</v>
      </c>
      <c r="J112" s="145">
        <f>'Bulk Plant Input'!$A$29</f>
        <v>0</v>
      </c>
      <c r="K112" s="145">
        <f>'Bulk Plant Input'!$A$30</f>
        <v>0</v>
      </c>
      <c r="L112" s="145">
        <f>'Bulk Plant Input'!$A$31</f>
        <v>0</v>
      </c>
      <c r="M112" s="145">
        <f>'Bulk Plant Input'!$A$32</f>
        <v>0</v>
      </c>
      <c r="N112" s="145">
        <f>'Bulk Plant Input'!$A$33</f>
        <v>0</v>
      </c>
      <c r="O112" s="145">
        <f>'Bulk Plant Input'!$A$34</f>
        <v>0</v>
      </c>
      <c r="P112" s="145">
        <f>'Bulk Plant Input'!$A$35</f>
        <v>0</v>
      </c>
      <c r="Q112" s="145">
        <f>'Bulk Plant Input'!$A$36</f>
        <v>0</v>
      </c>
      <c r="R112" s="145">
        <f>'Bulk Plant Input'!$A$37</f>
        <v>0</v>
      </c>
      <c r="S112" s="206"/>
      <c r="U112" s="147"/>
      <c r="V112" s="147"/>
      <c r="W112" s="147"/>
      <c r="X112" s="147"/>
      <c r="Y112" s="147"/>
      <c r="Z112" s="147"/>
      <c r="AA112" s="147"/>
      <c r="AB112" s="147"/>
    </row>
    <row r="113" spans="1:28" s="144" customFormat="1" ht="15.75" x14ac:dyDescent="0.25">
      <c r="A113" s="178" t="str">
        <f>'Base Blend Property Calculation'!A117</f>
        <v>Thermal 40</v>
      </c>
      <c r="B113" s="148">
        <f t="shared" si="1"/>
        <v>0</v>
      </c>
      <c r="C113" s="148">
        <f>'Base Blend Property Calculation'!BV117</f>
        <v>0</v>
      </c>
      <c r="D113" s="145">
        <f>'Bulk Plant Input'!$A$23</f>
        <v>0</v>
      </c>
      <c r="E113" s="145">
        <f>'Bulk Plant Input'!$A$24</f>
        <v>0</v>
      </c>
      <c r="F113" s="145">
        <f>'Bulk Plant Input'!$A$25</f>
        <v>0</v>
      </c>
      <c r="G113" s="145">
        <f>'Bulk Plant Input'!$A$26</f>
        <v>0</v>
      </c>
      <c r="H113" s="145">
        <f>'Bulk Plant Input'!$A$27</f>
        <v>0</v>
      </c>
      <c r="I113" s="145">
        <f>'Bulk Plant Input'!$A$28</f>
        <v>0</v>
      </c>
      <c r="J113" s="145">
        <f>'Bulk Plant Input'!$A$29</f>
        <v>0</v>
      </c>
      <c r="K113" s="145">
        <f>'Bulk Plant Input'!$A$30</f>
        <v>0</v>
      </c>
      <c r="L113" s="145">
        <f>'Bulk Plant Input'!$A$31</f>
        <v>0</v>
      </c>
      <c r="M113" s="145">
        <f>'Bulk Plant Input'!$A$32</f>
        <v>0</v>
      </c>
      <c r="N113" s="145">
        <f>'Bulk Plant Input'!$A$33</f>
        <v>0</v>
      </c>
      <c r="O113" s="145">
        <f>'Bulk Plant Input'!$A$34</f>
        <v>0</v>
      </c>
      <c r="P113" s="145">
        <f>'Bulk Plant Input'!$A$35</f>
        <v>0</v>
      </c>
      <c r="Q113" s="145">
        <f>'Bulk Plant Input'!$A$36</f>
        <v>0</v>
      </c>
      <c r="R113" s="145">
        <f>'Bulk Plant Input'!$A$37</f>
        <v>0</v>
      </c>
      <c r="S113" s="206"/>
      <c r="U113" s="147"/>
      <c r="V113" s="147"/>
      <c r="W113" s="147"/>
      <c r="X113" s="147"/>
      <c r="Y113" s="147"/>
      <c r="Z113" s="147"/>
      <c r="AA113" s="147"/>
      <c r="AB113" s="147"/>
    </row>
    <row r="114" spans="1:28" s="144" customFormat="1" ht="15.75" x14ac:dyDescent="0.25">
      <c r="A114" s="178" t="str">
        <f>'Base Blend Property Calculation'!A118</f>
        <v>Thermal 40 EXP</v>
      </c>
      <c r="B114" s="148">
        <f t="shared" si="1"/>
        <v>0</v>
      </c>
      <c r="C114" s="148">
        <f>'Base Blend Property Calculation'!BV118</f>
        <v>0</v>
      </c>
      <c r="D114" s="145">
        <f>'Bulk Plant Input'!$A$23</f>
        <v>0</v>
      </c>
      <c r="E114" s="145">
        <f>'Bulk Plant Input'!$A$24</f>
        <v>0</v>
      </c>
      <c r="F114" s="145">
        <f>'Bulk Plant Input'!$A$25</f>
        <v>0</v>
      </c>
      <c r="G114" s="145">
        <f>'Bulk Plant Input'!$A$26</f>
        <v>0</v>
      </c>
      <c r="H114" s="145">
        <f>'Bulk Plant Input'!$A$27</f>
        <v>0</v>
      </c>
      <c r="I114" s="145">
        <f>'Bulk Plant Input'!$A$28</f>
        <v>0</v>
      </c>
      <c r="J114" s="145">
        <f>'Bulk Plant Input'!$A$29</f>
        <v>0</v>
      </c>
      <c r="K114" s="145">
        <f>'Bulk Plant Input'!$A$30</f>
        <v>0</v>
      </c>
      <c r="L114" s="145">
        <f>'Bulk Plant Input'!$A$31</f>
        <v>0</v>
      </c>
      <c r="M114" s="145">
        <f>'Bulk Plant Input'!$A$32</f>
        <v>0</v>
      </c>
      <c r="N114" s="145">
        <f>'Bulk Plant Input'!$A$33</f>
        <v>0</v>
      </c>
      <c r="O114" s="145">
        <f>'Bulk Plant Input'!$A$34</f>
        <v>0</v>
      </c>
      <c r="P114" s="145">
        <f>'Bulk Plant Input'!$A$35</f>
        <v>0</v>
      </c>
      <c r="Q114" s="145">
        <f>'Bulk Plant Input'!$A$36</f>
        <v>0</v>
      </c>
      <c r="R114" s="145">
        <f>'Bulk Plant Input'!$A$37</f>
        <v>0</v>
      </c>
      <c r="S114" s="206"/>
      <c r="U114" s="147"/>
      <c r="V114" s="147"/>
      <c r="W114" s="147"/>
      <c r="X114" s="147"/>
      <c r="Y114" s="147"/>
      <c r="Z114" s="147"/>
      <c r="AA114" s="147"/>
      <c r="AB114" s="147"/>
    </row>
    <row r="115" spans="1:28" s="144" customFormat="1" ht="15.75" x14ac:dyDescent="0.25">
      <c r="A115" s="178" t="str">
        <f>'Base Blend Property Calculation'!A119</f>
        <v>Thermal 40 Lite</v>
      </c>
      <c r="B115" s="148">
        <f t="shared" si="1"/>
        <v>0</v>
      </c>
      <c r="C115" s="148">
        <f>'Base Blend Property Calculation'!BV119</f>
        <v>0</v>
      </c>
      <c r="D115" s="145">
        <f>'Bulk Plant Input'!$A$23</f>
        <v>0</v>
      </c>
      <c r="E115" s="145">
        <f>'Bulk Plant Input'!$A$24</f>
        <v>0</v>
      </c>
      <c r="F115" s="145">
        <f>'Bulk Plant Input'!$A$25</f>
        <v>0</v>
      </c>
      <c r="G115" s="145">
        <f>'Bulk Plant Input'!$A$26</f>
        <v>0</v>
      </c>
      <c r="H115" s="145">
        <f>'Bulk Plant Input'!$A$27</f>
        <v>0</v>
      </c>
      <c r="I115" s="145">
        <f>'Bulk Plant Input'!$A$28</f>
        <v>0</v>
      </c>
      <c r="J115" s="145">
        <f>'Bulk Plant Input'!$A$29</f>
        <v>0</v>
      </c>
      <c r="K115" s="145">
        <f>'Bulk Plant Input'!$A$30</f>
        <v>0</v>
      </c>
      <c r="L115" s="145">
        <f>'Bulk Plant Input'!$A$31</f>
        <v>0</v>
      </c>
      <c r="M115" s="145">
        <f>'Bulk Plant Input'!$A$32</f>
        <v>0</v>
      </c>
      <c r="N115" s="145">
        <f>'Bulk Plant Input'!$A$33</f>
        <v>0</v>
      </c>
      <c r="O115" s="145">
        <f>'Bulk Plant Input'!$A$34</f>
        <v>0</v>
      </c>
      <c r="P115" s="145">
        <f>'Bulk Plant Input'!$A$35</f>
        <v>0</v>
      </c>
      <c r="Q115" s="145">
        <f>'Bulk Plant Input'!$A$36</f>
        <v>0</v>
      </c>
      <c r="R115" s="145">
        <f>'Bulk Plant Input'!$A$37</f>
        <v>0</v>
      </c>
      <c r="S115" s="206"/>
      <c r="U115" s="147"/>
      <c r="V115" s="147"/>
      <c r="W115" s="147"/>
      <c r="X115" s="147"/>
      <c r="Y115" s="147"/>
      <c r="Z115" s="147"/>
      <c r="AA115" s="147"/>
      <c r="AB115" s="147"/>
    </row>
    <row r="116" spans="1:28" s="144" customFormat="1" ht="15.75" x14ac:dyDescent="0.25">
      <c r="A116" s="178" t="str">
        <f>'Base Blend Property Calculation'!A120</f>
        <v>THERMAmix EC</v>
      </c>
      <c r="B116" s="148">
        <f t="shared" si="1"/>
        <v>0</v>
      </c>
      <c r="C116" s="148">
        <f>'Base Blend Property Calculation'!BV120</f>
        <v>0</v>
      </c>
      <c r="D116" s="145">
        <f>'Bulk Plant Input'!$A$23</f>
        <v>0</v>
      </c>
      <c r="E116" s="145">
        <f>'Bulk Plant Input'!$A$24</f>
        <v>0</v>
      </c>
      <c r="F116" s="145">
        <f>'Bulk Plant Input'!$A$25</f>
        <v>0</v>
      </c>
      <c r="G116" s="145">
        <f>'Bulk Plant Input'!$A$26</f>
        <v>0</v>
      </c>
      <c r="H116" s="145">
        <f>'Bulk Plant Input'!$A$27</f>
        <v>0</v>
      </c>
      <c r="I116" s="145">
        <f>'Bulk Plant Input'!$A$28</f>
        <v>0</v>
      </c>
      <c r="J116" s="145">
        <f>'Bulk Plant Input'!$A$29</f>
        <v>0</v>
      </c>
      <c r="K116" s="145">
        <f>'Bulk Plant Input'!$A$30</f>
        <v>0</v>
      </c>
      <c r="L116" s="145">
        <f>'Bulk Plant Input'!$A$31</f>
        <v>0</v>
      </c>
      <c r="M116" s="145">
        <f>'Bulk Plant Input'!$A$32</f>
        <v>0</v>
      </c>
      <c r="N116" s="145">
        <f>'Bulk Plant Input'!$A$33</f>
        <v>0</v>
      </c>
      <c r="O116" s="145">
        <f>'Bulk Plant Input'!$A$34</f>
        <v>0</v>
      </c>
      <c r="P116" s="145">
        <f>'Bulk Plant Input'!$A$35</f>
        <v>0</v>
      </c>
      <c r="Q116" s="145">
        <f>'Bulk Plant Input'!$A$36</f>
        <v>0</v>
      </c>
      <c r="R116" s="145">
        <f>'Bulk Plant Input'!$A$37</f>
        <v>0</v>
      </c>
      <c r="S116" s="206"/>
      <c r="U116" s="147"/>
      <c r="V116" s="147"/>
      <c r="W116" s="147"/>
      <c r="X116" s="147"/>
      <c r="Y116" s="147"/>
      <c r="Z116" s="147"/>
      <c r="AA116" s="147"/>
      <c r="AB116" s="147"/>
    </row>
    <row r="117" spans="1:28" s="144" customFormat="1" ht="15.75" x14ac:dyDescent="0.25">
      <c r="A117" s="178" t="str">
        <f>'Base Blend Property Calculation'!A121</f>
        <v>THERMAmix EC EXP</v>
      </c>
      <c r="B117" s="148">
        <f t="shared" si="1"/>
        <v>0</v>
      </c>
      <c r="C117" s="148">
        <f>'Base Blend Property Calculation'!BV121</f>
        <v>0</v>
      </c>
      <c r="D117" s="145">
        <f>'Bulk Plant Input'!$A$23</f>
        <v>0</v>
      </c>
      <c r="E117" s="145">
        <f>'Bulk Plant Input'!$A$24</f>
        <v>0</v>
      </c>
      <c r="F117" s="145">
        <f>'Bulk Plant Input'!$A$25</f>
        <v>0</v>
      </c>
      <c r="G117" s="145">
        <f>'Bulk Plant Input'!$A$26</f>
        <v>0</v>
      </c>
      <c r="H117" s="145">
        <f>'Bulk Plant Input'!$A$27</f>
        <v>0</v>
      </c>
      <c r="I117" s="145">
        <f>'Bulk Plant Input'!$A$28</f>
        <v>0</v>
      </c>
      <c r="J117" s="145">
        <f>'Bulk Plant Input'!$A$29</f>
        <v>0</v>
      </c>
      <c r="K117" s="145">
        <f>'Bulk Plant Input'!$A$30</f>
        <v>0</v>
      </c>
      <c r="L117" s="145">
        <f>'Bulk Plant Input'!$A$31</f>
        <v>0</v>
      </c>
      <c r="M117" s="145">
        <f>'Bulk Plant Input'!$A$32</f>
        <v>0</v>
      </c>
      <c r="N117" s="145">
        <f>'Bulk Plant Input'!$A$33</f>
        <v>0</v>
      </c>
      <c r="O117" s="145">
        <f>'Bulk Plant Input'!$A$34</f>
        <v>0</v>
      </c>
      <c r="P117" s="145">
        <f>'Bulk Plant Input'!$A$35</f>
        <v>0</v>
      </c>
      <c r="Q117" s="145">
        <f>'Bulk Plant Input'!$A$36</f>
        <v>0</v>
      </c>
      <c r="R117" s="145">
        <f>'Bulk Plant Input'!$A$37</f>
        <v>0</v>
      </c>
      <c r="S117" s="206"/>
      <c r="U117" s="147"/>
      <c r="V117" s="147"/>
      <c r="W117" s="147"/>
      <c r="X117" s="147"/>
      <c r="Y117" s="147"/>
      <c r="Z117" s="147"/>
      <c r="AA117" s="147"/>
      <c r="AB117" s="147"/>
    </row>
    <row r="118" spans="1:28" s="144" customFormat="1" ht="15.75" x14ac:dyDescent="0.25">
      <c r="A118" s="178" t="str">
        <f>'Base Blend Property Calculation'!A122</f>
        <v>THERMAmix LT</v>
      </c>
      <c r="B118" s="148">
        <f t="shared" si="1"/>
        <v>0</v>
      </c>
      <c r="C118" s="148">
        <f>'Base Blend Property Calculation'!BV122</f>
        <v>0</v>
      </c>
      <c r="D118" s="145">
        <f>'Bulk Plant Input'!$A$23</f>
        <v>0</v>
      </c>
      <c r="E118" s="145">
        <f>'Bulk Plant Input'!$A$24</f>
        <v>0</v>
      </c>
      <c r="F118" s="145">
        <f>'Bulk Plant Input'!$A$25</f>
        <v>0</v>
      </c>
      <c r="G118" s="145">
        <f>'Bulk Plant Input'!$A$26</f>
        <v>0</v>
      </c>
      <c r="H118" s="145">
        <f>'Bulk Plant Input'!$A$27</f>
        <v>0</v>
      </c>
      <c r="I118" s="145">
        <f>'Bulk Plant Input'!$A$28</f>
        <v>0</v>
      </c>
      <c r="J118" s="145">
        <f>'Bulk Plant Input'!$A$29</f>
        <v>0</v>
      </c>
      <c r="K118" s="145">
        <f>'Bulk Plant Input'!$A$30</f>
        <v>0</v>
      </c>
      <c r="L118" s="145">
        <f>'Bulk Plant Input'!$A$31</f>
        <v>0</v>
      </c>
      <c r="M118" s="145">
        <f>'Bulk Plant Input'!$A$32</f>
        <v>0</v>
      </c>
      <c r="N118" s="145">
        <f>'Bulk Plant Input'!$A$33</f>
        <v>0</v>
      </c>
      <c r="O118" s="145">
        <f>'Bulk Plant Input'!$A$34</f>
        <v>0</v>
      </c>
      <c r="P118" s="145">
        <f>'Bulk Plant Input'!$A$35</f>
        <v>0</v>
      </c>
      <c r="Q118" s="145">
        <f>'Bulk Plant Input'!$A$36</f>
        <v>0</v>
      </c>
      <c r="R118" s="145">
        <f>'Bulk Plant Input'!$A$37</f>
        <v>0</v>
      </c>
      <c r="S118" s="206"/>
      <c r="U118" s="147"/>
      <c r="V118" s="147"/>
      <c r="W118" s="147"/>
      <c r="X118" s="147"/>
      <c r="Y118" s="147"/>
      <c r="Z118" s="147"/>
      <c r="AA118" s="147"/>
      <c r="AB118" s="147"/>
    </row>
    <row r="119" spans="1:28" s="144" customFormat="1" ht="15.75" x14ac:dyDescent="0.25">
      <c r="A119" s="178" t="str">
        <f>'Base Blend Property Calculation'!A123</f>
        <v>ThixLite HT (AB)</v>
      </c>
      <c r="B119" s="148">
        <f t="shared" si="1"/>
        <v>1</v>
      </c>
      <c r="C119" s="148" t="str">
        <f>'Base Blend Property Calculation'!BV123</f>
        <v>CFR</v>
      </c>
      <c r="D119" s="145">
        <f>'Bulk Plant Input'!$A$23</f>
        <v>0</v>
      </c>
      <c r="E119" s="145">
        <f>'Bulk Plant Input'!$A$24</f>
        <v>0</v>
      </c>
      <c r="F119" s="145">
        <f>'Bulk Plant Input'!$A$25</f>
        <v>0</v>
      </c>
      <c r="G119" s="145">
        <f>'Bulk Plant Input'!$A$26</f>
        <v>0</v>
      </c>
      <c r="H119" s="145">
        <f>'Bulk Plant Input'!$A$27</f>
        <v>0</v>
      </c>
      <c r="I119" s="145">
        <f>'Bulk Plant Input'!$A$28</f>
        <v>0</v>
      </c>
      <c r="J119" s="145">
        <f>'Bulk Plant Input'!$A$29</f>
        <v>0</v>
      </c>
      <c r="K119" s="145">
        <f>'Bulk Plant Input'!$A$30</f>
        <v>0</v>
      </c>
      <c r="L119" s="145">
        <f>'Bulk Plant Input'!$A$31</f>
        <v>0</v>
      </c>
      <c r="M119" s="145">
        <f>'Bulk Plant Input'!$A$32</f>
        <v>0</v>
      </c>
      <c r="N119" s="145">
        <f>'Bulk Plant Input'!$A$33</f>
        <v>0</v>
      </c>
      <c r="O119" s="145">
        <f>'Bulk Plant Input'!$A$34</f>
        <v>0</v>
      </c>
      <c r="P119" s="145">
        <f>'Bulk Plant Input'!$A$35</f>
        <v>0</v>
      </c>
      <c r="Q119" s="145">
        <f>'Bulk Plant Input'!$A$36</f>
        <v>0</v>
      </c>
      <c r="R119" s="145">
        <f>'Bulk Plant Input'!$A$37</f>
        <v>0</v>
      </c>
      <c r="S119" s="206"/>
      <c r="U119" s="147"/>
      <c r="V119" s="147"/>
      <c r="W119" s="147"/>
      <c r="X119" s="147"/>
      <c r="Y119" s="147"/>
      <c r="Z119" s="147"/>
      <c r="AA119" s="147"/>
      <c r="AB119" s="147"/>
    </row>
    <row r="120" spans="1:28" s="144" customFormat="1" ht="15.75" x14ac:dyDescent="0.25">
      <c r="A120" s="178" t="str">
        <f>'Base Blend Property Calculation'!A124</f>
        <v>ThixLite HT (SK)</v>
      </c>
      <c r="B120" s="148">
        <f t="shared" si="1"/>
        <v>1</v>
      </c>
      <c r="C120" s="148" t="str">
        <f>'Base Blend Property Calculation'!BV124</f>
        <v>CFR</v>
      </c>
      <c r="D120" s="145">
        <f>'Bulk Plant Input'!$A$23</f>
        <v>0</v>
      </c>
      <c r="E120" s="145">
        <f>'Bulk Plant Input'!$A$24</f>
        <v>0</v>
      </c>
      <c r="F120" s="145">
        <f>'Bulk Plant Input'!$A$25</f>
        <v>0</v>
      </c>
      <c r="G120" s="145">
        <f>'Bulk Plant Input'!$A$26</f>
        <v>0</v>
      </c>
      <c r="H120" s="145">
        <f>'Bulk Plant Input'!$A$27</f>
        <v>0</v>
      </c>
      <c r="I120" s="145">
        <f>'Bulk Plant Input'!$A$28</f>
        <v>0</v>
      </c>
      <c r="J120" s="145">
        <f>'Bulk Plant Input'!$A$29</f>
        <v>0</v>
      </c>
      <c r="K120" s="145">
        <f>'Bulk Plant Input'!$A$30</f>
        <v>0</v>
      </c>
      <c r="L120" s="145">
        <f>'Bulk Plant Input'!$A$31</f>
        <v>0</v>
      </c>
      <c r="M120" s="145">
        <f>'Bulk Plant Input'!$A$32</f>
        <v>0</v>
      </c>
      <c r="N120" s="145">
        <f>'Bulk Plant Input'!$A$33</f>
        <v>0</v>
      </c>
      <c r="O120" s="145">
        <f>'Bulk Plant Input'!$A$34</f>
        <v>0</v>
      </c>
      <c r="P120" s="145">
        <f>'Bulk Plant Input'!$A$35</f>
        <v>0</v>
      </c>
      <c r="Q120" s="145">
        <f>'Bulk Plant Input'!$A$36</f>
        <v>0</v>
      </c>
      <c r="R120" s="145">
        <f>'Bulk Plant Input'!$A$37</f>
        <v>0</v>
      </c>
      <c r="S120" s="206"/>
      <c r="U120" s="147"/>
      <c r="V120" s="147"/>
      <c r="W120" s="147"/>
      <c r="X120" s="147"/>
      <c r="Y120" s="147"/>
      <c r="Z120" s="147"/>
      <c r="AA120" s="147"/>
      <c r="AB120" s="147"/>
    </row>
    <row r="121" spans="1:28" s="144" customFormat="1" ht="15.75" x14ac:dyDescent="0.25">
      <c r="A121" s="178" t="str">
        <f>'Base Blend Property Calculation'!A125</f>
        <v>PRODUCTIONmix EC</v>
      </c>
      <c r="B121" s="148">
        <f t="shared" si="1"/>
        <v>0</v>
      </c>
      <c r="C121" s="148">
        <f>'Base Blend Property Calculation'!BV125</f>
        <v>0</v>
      </c>
      <c r="D121" s="145">
        <f>'Bulk Plant Input'!$A$23</f>
        <v>0</v>
      </c>
      <c r="E121" s="145">
        <f>'Bulk Plant Input'!$A$24</f>
        <v>0</v>
      </c>
      <c r="F121" s="145">
        <f>'Bulk Plant Input'!$A$25</f>
        <v>0</v>
      </c>
      <c r="G121" s="145">
        <f>'Bulk Plant Input'!$A$26</f>
        <v>0</v>
      </c>
      <c r="H121" s="145">
        <f>'Bulk Plant Input'!$A$27</f>
        <v>0</v>
      </c>
      <c r="I121" s="145">
        <f>'Bulk Plant Input'!$A$28</f>
        <v>0</v>
      </c>
      <c r="J121" s="145">
        <f>'Bulk Plant Input'!$A$29</f>
        <v>0</v>
      </c>
      <c r="K121" s="145">
        <f>'Bulk Plant Input'!$A$30</f>
        <v>0</v>
      </c>
      <c r="L121" s="145">
        <f>'Bulk Plant Input'!$A$31</f>
        <v>0</v>
      </c>
      <c r="M121" s="145">
        <f>'Bulk Plant Input'!$A$32</f>
        <v>0</v>
      </c>
      <c r="N121" s="145">
        <f>'Bulk Plant Input'!$A$33</f>
        <v>0</v>
      </c>
      <c r="O121" s="145">
        <f>'Bulk Plant Input'!$A$34</f>
        <v>0</v>
      </c>
      <c r="P121" s="145">
        <f>'Bulk Plant Input'!$A$35</f>
        <v>0</v>
      </c>
      <c r="Q121" s="145">
        <f>'Bulk Plant Input'!$A$36</f>
        <v>0</v>
      </c>
      <c r="R121" s="145">
        <f>'Bulk Plant Input'!$A$37</f>
        <v>0</v>
      </c>
      <c r="S121" s="206"/>
      <c r="U121" s="147"/>
      <c r="V121" s="147"/>
      <c r="W121" s="147"/>
      <c r="X121" s="147"/>
      <c r="Y121" s="147"/>
      <c r="Z121" s="147"/>
      <c r="AA121" s="147"/>
      <c r="AB121" s="147"/>
    </row>
    <row r="122" spans="1:28" s="144" customFormat="1" ht="15.75" x14ac:dyDescent="0.25">
      <c r="A122" s="178" t="str">
        <f>'Base Blend Property Calculation'!A126</f>
        <v>PRODUCTIONmix EC (Sask)</v>
      </c>
      <c r="B122" s="148">
        <f t="shared" si="1"/>
        <v>0</v>
      </c>
      <c r="C122" s="148">
        <f>'Base Blend Property Calculation'!BV126</f>
        <v>0</v>
      </c>
      <c r="D122" s="145">
        <f>'Bulk Plant Input'!$A$23</f>
        <v>0</v>
      </c>
      <c r="E122" s="145">
        <f>'Bulk Plant Input'!$A$24</f>
        <v>0</v>
      </c>
      <c r="F122" s="145">
        <f>'Bulk Plant Input'!$A$25</f>
        <v>0</v>
      </c>
      <c r="G122" s="145">
        <f>'Bulk Plant Input'!$A$26</f>
        <v>0</v>
      </c>
      <c r="H122" s="145">
        <f>'Bulk Plant Input'!$A$27</f>
        <v>0</v>
      </c>
      <c r="I122" s="145">
        <f>'Bulk Plant Input'!$A$28</f>
        <v>0</v>
      </c>
      <c r="J122" s="145">
        <f>'Bulk Plant Input'!$A$29</f>
        <v>0</v>
      </c>
      <c r="K122" s="145">
        <f>'Bulk Plant Input'!$A$30</f>
        <v>0</v>
      </c>
      <c r="L122" s="145">
        <f>'Bulk Plant Input'!$A$31</f>
        <v>0</v>
      </c>
      <c r="M122" s="145">
        <f>'Bulk Plant Input'!$A$32</f>
        <v>0</v>
      </c>
      <c r="N122" s="145">
        <f>'Bulk Plant Input'!$A$33</f>
        <v>0</v>
      </c>
      <c r="O122" s="145">
        <f>'Bulk Plant Input'!$A$34</f>
        <v>0</v>
      </c>
      <c r="P122" s="145">
        <f>'Bulk Plant Input'!$A$35</f>
        <v>0</v>
      </c>
      <c r="Q122" s="145">
        <f>'Bulk Plant Input'!$A$36</f>
        <v>0</v>
      </c>
      <c r="R122" s="145">
        <f>'Bulk Plant Input'!$A$37</f>
        <v>0</v>
      </c>
      <c r="S122" s="206"/>
      <c r="U122" s="147"/>
      <c r="V122" s="147"/>
      <c r="W122" s="147"/>
      <c r="X122" s="147"/>
      <c r="Y122" s="147"/>
      <c r="Z122" s="147"/>
      <c r="AA122" s="147"/>
      <c r="AB122" s="147"/>
    </row>
    <row r="123" spans="1:28" s="144" customFormat="1" ht="15.75" x14ac:dyDescent="0.25">
      <c r="A123" s="178" t="str">
        <f>'Base Blend Property Calculation'!A127</f>
        <v>SUPERLITEmix 1100X</v>
      </c>
      <c r="B123" s="148">
        <f t="shared" si="1"/>
        <v>0</v>
      </c>
      <c r="C123" s="148">
        <f>'Base Blend Property Calculation'!BV127</f>
        <v>0</v>
      </c>
      <c r="D123" s="145">
        <f>'Bulk Plant Input'!$A$23</f>
        <v>0</v>
      </c>
      <c r="E123" s="145">
        <f>'Bulk Plant Input'!$A$24</f>
        <v>0</v>
      </c>
      <c r="F123" s="145">
        <f>'Bulk Plant Input'!$A$25</f>
        <v>0</v>
      </c>
      <c r="G123" s="145">
        <f>'Bulk Plant Input'!$A$26</f>
        <v>0</v>
      </c>
      <c r="H123" s="145">
        <f>'Bulk Plant Input'!$A$27</f>
        <v>0</v>
      </c>
      <c r="I123" s="145">
        <f>'Bulk Plant Input'!$A$28</f>
        <v>0</v>
      </c>
      <c r="J123" s="145">
        <f>'Bulk Plant Input'!$A$29</f>
        <v>0</v>
      </c>
      <c r="K123" s="145">
        <f>'Bulk Plant Input'!$A$30</f>
        <v>0</v>
      </c>
      <c r="L123" s="145">
        <f>'Bulk Plant Input'!$A$31</f>
        <v>0</v>
      </c>
      <c r="M123" s="145">
        <f>'Bulk Plant Input'!$A$32</f>
        <v>0</v>
      </c>
      <c r="N123" s="145">
        <f>'Bulk Plant Input'!$A$33</f>
        <v>0</v>
      </c>
      <c r="O123" s="145">
        <f>'Bulk Plant Input'!$A$34</f>
        <v>0</v>
      </c>
      <c r="P123" s="145">
        <f>'Bulk Plant Input'!$A$35</f>
        <v>0</v>
      </c>
      <c r="Q123" s="145">
        <f>'Bulk Plant Input'!$A$36</f>
        <v>0</v>
      </c>
      <c r="R123" s="145">
        <f>'Bulk Plant Input'!$A$37</f>
        <v>0</v>
      </c>
      <c r="S123" s="206"/>
      <c r="U123" s="147"/>
      <c r="V123" s="147"/>
      <c r="W123" s="147"/>
      <c r="X123" s="147"/>
      <c r="Y123" s="147"/>
      <c r="Z123" s="147"/>
      <c r="AA123" s="147"/>
      <c r="AB123" s="147"/>
    </row>
    <row r="124" spans="1:28" s="144" customFormat="1" ht="15.75" x14ac:dyDescent="0.25">
      <c r="A124" s="178" t="str">
        <f>'Base Blend Property Calculation'!A128</f>
        <v>SUPERLITEmix PRO (CDM-4)</v>
      </c>
      <c r="B124" s="148">
        <f t="shared" si="1"/>
        <v>0</v>
      </c>
      <c r="C124" s="148">
        <f>'Base Blend Property Calculation'!BV128</f>
        <v>0</v>
      </c>
      <c r="D124" s="145">
        <f>'Bulk Plant Input'!$A$23</f>
        <v>0</v>
      </c>
      <c r="E124" s="145">
        <f>'Bulk Plant Input'!$A$24</f>
        <v>0</v>
      </c>
      <c r="F124" s="145">
        <f>'Bulk Plant Input'!$A$25</f>
        <v>0</v>
      </c>
      <c r="G124" s="145">
        <f>'Bulk Plant Input'!$A$26</f>
        <v>0</v>
      </c>
      <c r="H124" s="145">
        <f>'Bulk Plant Input'!$A$27</f>
        <v>0</v>
      </c>
      <c r="I124" s="145">
        <f>'Bulk Plant Input'!$A$28</f>
        <v>0</v>
      </c>
      <c r="J124" s="145">
        <f>'Bulk Plant Input'!$A$29</f>
        <v>0</v>
      </c>
      <c r="K124" s="145">
        <f>'Bulk Plant Input'!$A$30</f>
        <v>0</v>
      </c>
      <c r="L124" s="145">
        <f>'Bulk Plant Input'!$A$31</f>
        <v>0</v>
      </c>
      <c r="M124" s="145">
        <f>'Bulk Plant Input'!$A$32</f>
        <v>0</v>
      </c>
      <c r="N124" s="145">
        <f>'Bulk Plant Input'!$A$33</f>
        <v>0</v>
      </c>
      <c r="O124" s="145">
        <f>'Bulk Plant Input'!$A$34</f>
        <v>0</v>
      </c>
      <c r="P124" s="145">
        <f>'Bulk Plant Input'!$A$35</f>
        <v>0</v>
      </c>
      <c r="Q124" s="145">
        <f>'Bulk Plant Input'!$A$36</f>
        <v>0</v>
      </c>
      <c r="R124" s="145">
        <f>'Bulk Plant Input'!$A$37</f>
        <v>0</v>
      </c>
      <c r="S124" s="206"/>
      <c r="U124" s="147"/>
      <c r="V124" s="147"/>
      <c r="W124" s="147"/>
      <c r="X124" s="147"/>
      <c r="Y124" s="147"/>
      <c r="Z124" s="147"/>
      <c r="AA124" s="147"/>
      <c r="AB124" s="147"/>
    </row>
    <row r="125" spans="1:28" s="144" customFormat="1" ht="15.75" x14ac:dyDescent="0.25">
      <c r="A125" s="178" t="str">
        <f>'Base Blend Property Calculation'!A129</f>
        <v>SUPERLITEmix 1160 (CDM-4)</v>
      </c>
      <c r="B125" s="148">
        <f t="shared" si="1"/>
        <v>0</v>
      </c>
      <c r="C125" s="148">
        <f>'Base Blend Property Calculation'!BV129</f>
        <v>0</v>
      </c>
      <c r="D125" s="145">
        <f>'Bulk Plant Input'!$A$23</f>
        <v>0</v>
      </c>
      <c r="E125" s="145">
        <f>'Bulk Plant Input'!$A$24</f>
        <v>0</v>
      </c>
      <c r="F125" s="145">
        <f>'Bulk Plant Input'!$A$25</f>
        <v>0</v>
      </c>
      <c r="G125" s="145">
        <f>'Bulk Plant Input'!$A$26</f>
        <v>0</v>
      </c>
      <c r="H125" s="145">
        <f>'Bulk Plant Input'!$A$27</f>
        <v>0</v>
      </c>
      <c r="I125" s="145">
        <f>'Bulk Plant Input'!$A$28</f>
        <v>0</v>
      </c>
      <c r="J125" s="145">
        <f>'Bulk Plant Input'!$A$29</f>
        <v>0</v>
      </c>
      <c r="K125" s="145">
        <f>'Bulk Plant Input'!$A$30</f>
        <v>0</v>
      </c>
      <c r="L125" s="145">
        <f>'Bulk Plant Input'!$A$31</f>
        <v>0</v>
      </c>
      <c r="M125" s="145">
        <f>'Bulk Plant Input'!$A$32</f>
        <v>0</v>
      </c>
      <c r="N125" s="145">
        <f>'Bulk Plant Input'!$A$33</f>
        <v>0</v>
      </c>
      <c r="O125" s="145">
        <f>'Bulk Plant Input'!$A$34</f>
        <v>0</v>
      </c>
      <c r="P125" s="145">
        <f>'Bulk Plant Input'!$A$35</f>
        <v>0</v>
      </c>
      <c r="Q125" s="145">
        <f>'Bulk Plant Input'!$A$36</f>
        <v>0</v>
      </c>
      <c r="R125" s="145">
        <f>'Bulk Plant Input'!$A$37</f>
        <v>0</v>
      </c>
      <c r="S125" s="206"/>
      <c r="U125" s="147"/>
      <c r="V125" s="147"/>
      <c r="W125" s="147"/>
      <c r="X125" s="147"/>
      <c r="Y125" s="147"/>
      <c r="Z125" s="147"/>
      <c r="AA125" s="147"/>
      <c r="AB125" s="147"/>
    </row>
    <row r="126" spans="1:28" s="144" customFormat="1" ht="15.75" x14ac:dyDescent="0.25">
      <c r="A126" s="178" t="str">
        <f>'Base Blend Property Calculation'!A130</f>
        <v>SUPERLITEmix PRO (CDM-2)</v>
      </c>
      <c r="B126" s="148">
        <f t="shared" si="1"/>
        <v>0</v>
      </c>
      <c r="C126" s="148">
        <f>'Base Blend Property Calculation'!BV130</f>
        <v>0</v>
      </c>
      <c r="D126" s="145">
        <f>'Bulk Plant Input'!$A$23</f>
        <v>0</v>
      </c>
      <c r="E126" s="145">
        <f>'Bulk Plant Input'!$A$24</f>
        <v>0</v>
      </c>
      <c r="F126" s="145">
        <f>'Bulk Plant Input'!$A$25</f>
        <v>0</v>
      </c>
      <c r="G126" s="145">
        <f>'Bulk Plant Input'!$A$26</f>
        <v>0</v>
      </c>
      <c r="H126" s="145">
        <f>'Bulk Plant Input'!$A$27</f>
        <v>0</v>
      </c>
      <c r="I126" s="145">
        <f>'Bulk Plant Input'!$A$28</f>
        <v>0</v>
      </c>
      <c r="J126" s="145">
        <f>'Bulk Plant Input'!$A$29</f>
        <v>0</v>
      </c>
      <c r="K126" s="145">
        <f>'Bulk Plant Input'!$A$30</f>
        <v>0</v>
      </c>
      <c r="L126" s="145">
        <f>'Bulk Plant Input'!$A$31</f>
        <v>0</v>
      </c>
      <c r="M126" s="145">
        <f>'Bulk Plant Input'!$A$32</f>
        <v>0</v>
      </c>
      <c r="N126" s="145">
        <f>'Bulk Plant Input'!$A$33</f>
        <v>0</v>
      </c>
      <c r="O126" s="145">
        <f>'Bulk Plant Input'!$A$34</f>
        <v>0</v>
      </c>
      <c r="P126" s="145">
        <f>'Bulk Plant Input'!$A$35</f>
        <v>0</v>
      </c>
      <c r="Q126" s="145">
        <f>'Bulk Plant Input'!$A$36</f>
        <v>0</v>
      </c>
      <c r="R126" s="145">
        <f>'Bulk Plant Input'!$A$37</f>
        <v>0</v>
      </c>
      <c r="S126" s="206"/>
      <c r="U126" s="147"/>
      <c r="V126" s="147"/>
      <c r="W126" s="147"/>
      <c r="X126" s="147"/>
      <c r="Y126" s="147"/>
      <c r="Z126" s="147"/>
      <c r="AA126" s="147"/>
      <c r="AB126" s="147"/>
    </row>
    <row r="127" spans="1:28" s="144" customFormat="1" ht="15.75" x14ac:dyDescent="0.25">
      <c r="A127" s="178">
        <f>'Base Blend Property Calculation'!A131</f>
        <v>0</v>
      </c>
      <c r="B127" s="148">
        <f t="shared" si="1"/>
        <v>0</v>
      </c>
      <c r="C127" s="148">
        <f>'Base Blend Property Calculation'!BV131</f>
        <v>0</v>
      </c>
      <c r="D127" s="145">
        <f>'Bulk Plant Input'!$A$23</f>
        <v>0</v>
      </c>
      <c r="E127" s="145">
        <f>'Bulk Plant Input'!$A$24</f>
        <v>0</v>
      </c>
      <c r="F127" s="145">
        <f>'Bulk Plant Input'!$A$25</f>
        <v>0</v>
      </c>
      <c r="G127" s="145">
        <f>'Bulk Plant Input'!$A$26</f>
        <v>0</v>
      </c>
      <c r="H127" s="145">
        <f>'Bulk Plant Input'!$A$27</f>
        <v>0</v>
      </c>
      <c r="I127" s="145">
        <f>'Bulk Plant Input'!$A$28</f>
        <v>0</v>
      </c>
      <c r="J127" s="145">
        <f>'Bulk Plant Input'!$A$29</f>
        <v>0</v>
      </c>
      <c r="K127" s="145">
        <f>'Bulk Plant Input'!$A$30</f>
        <v>0</v>
      </c>
      <c r="L127" s="145">
        <f>'Bulk Plant Input'!$A$31</f>
        <v>0</v>
      </c>
      <c r="M127" s="145">
        <f>'Bulk Plant Input'!$A$32</f>
        <v>0</v>
      </c>
      <c r="N127" s="145">
        <f>'Bulk Plant Input'!$A$33</f>
        <v>0</v>
      </c>
      <c r="O127" s="145">
        <f>'Bulk Plant Input'!$A$34</f>
        <v>0</v>
      </c>
      <c r="P127" s="145">
        <f>'Bulk Plant Input'!$A$35</f>
        <v>0</v>
      </c>
      <c r="Q127" s="145">
        <f>'Bulk Plant Input'!$A$36</f>
        <v>0</v>
      </c>
      <c r="R127" s="145">
        <f>'Bulk Plant Input'!$A$37</f>
        <v>0</v>
      </c>
      <c r="S127" s="206"/>
      <c r="U127" s="147"/>
      <c r="V127" s="147"/>
      <c r="W127" s="147"/>
      <c r="X127" s="147"/>
      <c r="Y127" s="147"/>
      <c r="Z127" s="147"/>
      <c r="AA127" s="147"/>
      <c r="AB127" s="147"/>
    </row>
    <row r="128" spans="1:28" s="144" customFormat="1" ht="15.75" x14ac:dyDescent="0.25">
      <c r="A128" s="178">
        <f>'Base Blend Property Calculation'!A132</f>
        <v>0</v>
      </c>
      <c r="B128" s="148">
        <f t="shared" si="1"/>
        <v>0</v>
      </c>
      <c r="C128" s="148">
        <f>'Base Blend Property Calculation'!BV132</f>
        <v>0</v>
      </c>
      <c r="D128" s="145">
        <f>'Bulk Plant Input'!$A$23</f>
        <v>0</v>
      </c>
      <c r="E128" s="145">
        <f>'Bulk Plant Input'!$A$24</f>
        <v>0</v>
      </c>
      <c r="F128" s="145">
        <f>'Bulk Plant Input'!$A$25</f>
        <v>0</v>
      </c>
      <c r="G128" s="145">
        <f>'Bulk Plant Input'!$A$26</f>
        <v>0</v>
      </c>
      <c r="H128" s="145">
        <f>'Bulk Plant Input'!$A$27</f>
        <v>0</v>
      </c>
      <c r="I128" s="145">
        <f>'Bulk Plant Input'!$A$28</f>
        <v>0</v>
      </c>
      <c r="J128" s="145">
        <f>'Bulk Plant Input'!$A$29</f>
        <v>0</v>
      </c>
      <c r="K128" s="145">
        <f>'Bulk Plant Input'!$A$30</f>
        <v>0</v>
      </c>
      <c r="L128" s="145">
        <f>'Bulk Plant Input'!$A$31</f>
        <v>0</v>
      </c>
      <c r="M128" s="145">
        <f>'Bulk Plant Input'!$A$32</f>
        <v>0</v>
      </c>
      <c r="N128" s="145">
        <f>'Bulk Plant Input'!$A$33</f>
        <v>0</v>
      </c>
      <c r="O128" s="145">
        <f>'Bulk Plant Input'!$A$34</f>
        <v>0</v>
      </c>
      <c r="P128" s="145">
        <f>'Bulk Plant Input'!$A$35</f>
        <v>0</v>
      </c>
      <c r="Q128" s="145">
        <f>'Bulk Plant Input'!$A$36</f>
        <v>0</v>
      </c>
      <c r="R128" s="145">
        <f>'Bulk Plant Input'!$A$37</f>
        <v>0</v>
      </c>
      <c r="S128" s="206"/>
      <c r="U128" s="147"/>
      <c r="V128" s="147"/>
      <c r="W128" s="147"/>
      <c r="X128" s="147"/>
      <c r="Y128" s="147"/>
      <c r="Z128" s="147"/>
      <c r="AA128" s="147"/>
      <c r="AB128" s="147"/>
    </row>
    <row r="129" spans="1:28" s="144" customFormat="1" ht="15.75" x14ac:dyDescent="0.25">
      <c r="A129" s="178">
        <f>'Base Blend Property Calculation'!A133</f>
        <v>0</v>
      </c>
      <c r="B129" s="148">
        <f t="shared" si="1"/>
        <v>0</v>
      </c>
      <c r="C129" s="148">
        <f>'Base Blend Property Calculation'!BV133</f>
        <v>0</v>
      </c>
      <c r="D129" s="145">
        <f>'Bulk Plant Input'!$A$23</f>
        <v>0</v>
      </c>
      <c r="E129" s="145">
        <f>'Bulk Plant Input'!$A$24</f>
        <v>0</v>
      </c>
      <c r="F129" s="145">
        <f>'Bulk Plant Input'!$A$25</f>
        <v>0</v>
      </c>
      <c r="G129" s="145">
        <f>'Bulk Plant Input'!$A$26</f>
        <v>0</v>
      </c>
      <c r="H129" s="145">
        <f>'Bulk Plant Input'!$A$27</f>
        <v>0</v>
      </c>
      <c r="I129" s="145">
        <f>'Bulk Plant Input'!$A$28</f>
        <v>0</v>
      </c>
      <c r="J129" s="145">
        <f>'Bulk Plant Input'!$A$29</f>
        <v>0</v>
      </c>
      <c r="K129" s="145">
        <f>'Bulk Plant Input'!$A$30</f>
        <v>0</v>
      </c>
      <c r="L129" s="145">
        <f>'Bulk Plant Input'!$A$31</f>
        <v>0</v>
      </c>
      <c r="M129" s="145">
        <f>'Bulk Plant Input'!$A$32</f>
        <v>0</v>
      </c>
      <c r="N129" s="145">
        <f>'Bulk Plant Input'!$A$33</f>
        <v>0</v>
      </c>
      <c r="O129" s="145">
        <f>'Bulk Plant Input'!$A$34</f>
        <v>0</v>
      </c>
      <c r="P129" s="145">
        <f>'Bulk Plant Input'!$A$35</f>
        <v>0</v>
      </c>
      <c r="Q129" s="145">
        <f>'Bulk Plant Input'!$A$36</f>
        <v>0</v>
      </c>
      <c r="R129" s="145">
        <f>'Bulk Plant Input'!$A$37</f>
        <v>0</v>
      </c>
      <c r="S129" s="206"/>
      <c r="U129" s="147"/>
      <c r="V129" s="147"/>
      <c r="W129" s="147"/>
      <c r="X129" s="147"/>
      <c r="Y129" s="147"/>
      <c r="Z129" s="147"/>
      <c r="AA129" s="147"/>
      <c r="AB129" s="147"/>
    </row>
    <row r="130" spans="1:28" s="144" customFormat="1" ht="15.75" x14ac:dyDescent="0.25">
      <c r="A130" s="178">
        <f>'Base Blend Property Calculation'!A134</f>
        <v>0</v>
      </c>
      <c r="B130" s="148">
        <f t="shared" si="1"/>
        <v>0</v>
      </c>
      <c r="C130" s="148">
        <f>'Base Blend Property Calculation'!BV134</f>
        <v>0</v>
      </c>
      <c r="D130" s="145">
        <f>'Bulk Plant Input'!$A$23</f>
        <v>0</v>
      </c>
      <c r="E130" s="145">
        <f>'Bulk Plant Input'!$A$24</f>
        <v>0</v>
      </c>
      <c r="F130" s="145">
        <f>'Bulk Plant Input'!$A$25</f>
        <v>0</v>
      </c>
      <c r="G130" s="145">
        <f>'Bulk Plant Input'!$A$26</f>
        <v>0</v>
      </c>
      <c r="H130" s="145">
        <f>'Bulk Plant Input'!$A$27</f>
        <v>0</v>
      </c>
      <c r="I130" s="145">
        <f>'Bulk Plant Input'!$A$28</f>
        <v>0</v>
      </c>
      <c r="J130" s="145">
        <f>'Bulk Plant Input'!$A$29</f>
        <v>0</v>
      </c>
      <c r="K130" s="145">
        <f>'Bulk Plant Input'!$A$30</f>
        <v>0</v>
      </c>
      <c r="L130" s="145">
        <f>'Bulk Plant Input'!$A$31</f>
        <v>0</v>
      </c>
      <c r="M130" s="145">
        <f>'Bulk Plant Input'!$A$32</f>
        <v>0</v>
      </c>
      <c r="N130" s="145">
        <f>'Bulk Plant Input'!$A$33</f>
        <v>0</v>
      </c>
      <c r="O130" s="145">
        <f>'Bulk Plant Input'!$A$34</f>
        <v>0</v>
      </c>
      <c r="P130" s="145">
        <f>'Bulk Plant Input'!$A$35</f>
        <v>0</v>
      </c>
      <c r="Q130" s="145">
        <f>'Bulk Plant Input'!$A$36</f>
        <v>0</v>
      </c>
      <c r="R130" s="145">
        <f>'Bulk Plant Input'!$A$37</f>
        <v>0</v>
      </c>
      <c r="S130" s="206"/>
      <c r="U130" s="147"/>
      <c r="V130" s="147"/>
      <c r="W130" s="147"/>
      <c r="X130" s="147"/>
      <c r="Y130" s="147"/>
      <c r="Z130" s="147"/>
      <c r="AA130" s="147"/>
      <c r="AB130" s="147"/>
    </row>
    <row r="131" spans="1:28" s="144" customFormat="1" ht="15.75" x14ac:dyDescent="0.25">
      <c r="A131" s="178">
        <f>'Base Blend Property Calculation'!A135</f>
        <v>0</v>
      </c>
      <c r="B131" s="148">
        <f t="shared" si="1"/>
        <v>0</v>
      </c>
      <c r="C131" s="148">
        <f>'Base Blend Property Calculation'!BV135</f>
        <v>0</v>
      </c>
      <c r="D131" s="145">
        <f>'Bulk Plant Input'!$A$23</f>
        <v>0</v>
      </c>
      <c r="E131" s="145">
        <f>'Bulk Plant Input'!$A$24</f>
        <v>0</v>
      </c>
      <c r="F131" s="145">
        <f>'Bulk Plant Input'!$A$25</f>
        <v>0</v>
      </c>
      <c r="G131" s="145">
        <f>'Bulk Plant Input'!$A$26</f>
        <v>0</v>
      </c>
      <c r="H131" s="145">
        <f>'Bulk Plant Input'!$A$27</f>
        <v>0</v>
      </c>
      <c r="I131" s="145">
        <f>'Bulk Plant Input'!$A$28</f>
        <v>0</v>
      </c>
      <c r="J131" s="145">
        <f>'Bulk Plant Input'!$A$29</f>
        <v>0</v>
      </c>
      <c r="K131" s="145">
        <f>'Bulk Plant Input'!$A$30</f>
        <v>0</v>
      </c>
      <c r="L131" s="145">
        <f>'Bulk Plant Input'!$A$31</f>
        <v>0</v>
      </c>
      <c r="M131" s="145">
        <f>'Bulk Plant Input'!$A$32</f>
        <v>0</v>
      </c>
      <c r="N131" s="145">
        <f>'Bulk Plant Input'!$A$33</f>
        <v>0</v>
      </c>
      <c r="O131" s="145">
        <f>'Bulk Plant Input'!$A$34</f>
        <v>0</v>
      </c>
      <c r="P131" s="145">
        <f>'Bulk Plant Input'!$A$35</f>
        <v>0</v>
      </c>
      <c r="Q131" s="145">
        <f>'Bulk Plant Input'!$A$36</f>
        <v>0</v>
      </c>
      <c r="R131" s="145">
        <f>'Bulk Plant Input'!$A$37</f>
        <v>0</v>
      </c>
      <c r="S131" s="206"/>
      <c r="U131" s="147"/>
      <c r="V131" s="147"/>
      <c r="W131" s="147"/>
      <c r="X131" s="147"/>
      <c r="Y131" s="147"/>
      <c r="Z131" s="147"/>
      <c r="AA131" s="147"/>
      <c r="AB131" s="147"/>
    </row>
    <row r="132" spans="1:28" s="144" customFormat="1" ht="15.75" x14ac:dyDescent="0.25">
      <c r="A132" s="178">
        <f>'Base Blend Property Calculation'!A136</f>
        <v>0</v>
      </c>
      <c r="B132" s="148">
        <f t="shared" si="1"/>
        <v>0</v>
      </c>
      <c r="C132" s="148">
        <f>'Base Blend Property Calculation'!BV136</f>
        <v>0</v>
      </c>
      <c r="D132" s="145">
        <f>'Bulk Plant Input'!$A$23</f>
        <v>0</v>
      </c>
      <c r="E132" s="145">
        <f>'Bulk Plant Input'!$A$24</f>
        <v>0</v>
      </c>
      <c r="F132" s="145">
        <f>'Bulk Plant Input'!$A$25</f>
        <v>0</v>
      </c>
      <c r="G132" s="145">
        <f>'Bulk Plant Input'!$A$26</f>
        <v>0</v>
      </c>
      <c r="H132" s="145">
        <f>'Bulk Plant Input'!$A$27</f>
        <v>0</v>
      </c>
      <c r="I132" s="145">
        <f>'Bulk Plant Input'!$A$28</f>
        <v>0</v>
      </c>
      <c r="J132" s="145">
        <f>'Bulk Plant Input'!$A$29</f>
        <v>0</v>
      </c>
      <c r="K132" s="145">
        <f>'Bulk Plant Input'!$A$30</f>
        <v>0</v>
      </c>
      <c r="L132" s="145">
        <f>'Bulk Plant Input'!$A$31</f>
        <v>0</v>
      </c>
      <c r="M132" s="145">
        <f>'Bulk Plant Input'!$A$32</f>
        <v>0</v>
      </c>
      <c r="N132" s="145">
        <f>'Bulk Plant Input'!$A$33</f>
        <v>0</v>
      </c>
      <c r="O132" s="145">
        <f>'Bulk Plant Input'!$A$34</f>
        <v>0</v>
      </c>
      <c r="P132" s="145">
        <f>'Bulk Plant Input'!$A$35</f>
        <v>0</v>
      </c>
      <c r="Q132" s="145">
        <f>'Bulk Plant Input'!$A$36</f>
        <v>0</v>
      </c>
      <c r="R132" s="145">
        <f>'Bulk Plant Input'!$A$37</f>
        <v>0</v>
      </c>
      <c r="S132" s="206"/>
      <c r="U132" s="147"/>
      <c r="V132" s="147"/>
      <c r="W132" s="147"/>
      <c r="X132" s="147"/>
      <c r="Y132" s="147"/>
      <c r="Z132" s="147"/>
      <c r="AA132" s="147"/>
      <c r="AB132" s="147"/>
    </row>
    <row r="133" spans="1:28" s="144" customFormat="1" ht="15.75" x14ac:dyDescent="0.25">
      <c r="A133" s="178">
        <f>'Base Blend Property Calculation'!A137</f>
        <v>0</v>
      </c>
      <c r="B133" s="148">
        <f t="shared" ref="B133:B144" si="2">IF(C133=0,0,1)</f>
        <v>0</v>
      </c>
      <c r="C133" s="148">
        <f>'Base Blend Property Calculation'!BV137</f>
        <v>0</v>
      </c>
      <c r="D133" s="145">
        <f>'Bulk Plant Input'!$A$23</f>
        <v>0</v>
      </c>
      <c r="E133" s="145">
        <f>'Bulk Plant Input'!$A$24</f>
        <v>0</v>
      </c>
      <c r="F133" s="145">
        <f>'Bulk Plant Input'!$A$25</f>
        <v>0</v>
      </c>
      <c r="G133" s="145">
        <f>'Bulk Plant Input'!$A$26</f>
        <v>0</v>
      </c>
      <c r="H133" s="145">
        <f>'Bulk Plant Input'!$A$27</f>
        <v>0</v>
      </c>
      <c r="I133" s="145">
        <f>'Bulk Plant Input'!$A$28</f>
        <v>0</v>
      </c>
      <c r="J133" s="145">
        <f>'Bulk Plant Input'!$A$29</f>
        <v>0</v>
      </c>
      <c r="K133" s="145">
        <f>'Bulk Plant Input'!$A$30</f>
        <v>0</v>
      </c>
      <c r="L133" s="145">
        <f>'Bulk Plant Input'!$A$31</f>
        <v>0</v>
      </c>
      <c r="M133" s="145">
        <f>'Bulk Plant Input'!$A$32</f>
        <v>0</v>
      </c>
      <c r="N133" s="145">
        <f>'Bulk Plant Input'!$A$33</f>
        <v>0</v>
      </c>
      <c r="O133" s="145">
        <f>'Bulk Plant Input'!$A$34</f>
        <v>0</v>
      </c>
      <c r="P133" s="145">
        <f>'Bulk Plant Input'!$A$35</f>
        <v>0</v>
      </c>
      <c r="Q133" s="145">
        <f>'Bulk Plant Input'!$A$36</f>
        <v>0</v>
      </c>
      <c r="R133" s="145">
        <f>'Bulk Plant Input'!$A$37</f>
        <v>0</v>
      </c>
      <c r="S133" s="206"/>
      <c r="U133" s="147"/>
      <c r="V133" s="147"/>
      <c r="W133" s="147"/>
      <c r="X133" s="147"/>
      <c r="Y133" s="147"/>
      <c r="Z133" s="147"/>
      <c r="AA133" s="147"/>
      <c r="AB133" s="147"/>
    </row>
    <row r="134" spans="1:28" s="144" customFormat="1" ht="15.75" x14ac:dyDescent="0.25">
      <c r="A134" s="178">
        <f>'Base Blend Property Calculation'!A138</f>
        <v>0</v>
      </c>
      <c r="B134" s="148">
        <f t="shared" si="2"/>
        <v>0</v>
      </c>
      <c r="C134" s="148">
        <f>'Base Blend Property Calculation'!BV138</f>
        <v>0</v>
      </c>
      <c r="D134" s="145">
        <f>'Bulk Plant Input'!$A$23</f>
        <v>0</v>
      </c>
      <c r="E134" s="145">
        <f>'Bulk Plant Input'!$A$24</f>
        <v>0</v>
      </c>
      <c r="F134" s="145">
        <f>'Bulk Plant Input'!$A$25</f>
        <v>0</v>
      </c>
      <c r="G134" s="145">
        <f>'Bulk Plant Input'!$A$26</f>
        <v>0</v>
      </c>
      <c r="H134" s="145">
        <f>'Bulk Plant Input'!$A$27</f>
        <v>0</v>
      </c>
      <c r="I134" s="145">
        <f>'Bulk Plant Input'!$A$28</f>
        <v>0</v>
      </c>
      <c r="J134" s="145">
        <f>'Bulk Plant Input'!$A$29</f>
        <v>0</v>
      </c>
      <c r="K134" s="145">
        <f>'Bulk Plant Input'!$A$30</f>
        <v>0</v>
      </c>
      <c r="L134" s="145">
        <f>'Bulk Plant Input'!$A$31</f>
        <v>0</v>
      </c>
      <c r="M134" s="145">
        <f>'Bulk Plant Input'!$A$32</f>
        <v>0</v>
      </c>
      <c r="N134" s="145">
        <f>'Bulk Plant Input'!$A$33</f>
        <v>0</v>
      </c>
      <c r="O134" s="145">
        <f>'Bulk Plant Input'!$A$34</f>
        <v>0</v>
      </c>
      <c r="P134" s="145">
        <f>'Bulk Plant Input'!$A$35</f>
        <v>0</v>
      </c>
      <c r="Q134" s="145">
        <f>'Bulk Plant Input'!$A$36</f>
        <v>0</v>
      </c>
      <c r="R134" s="145">
        <f>'Bulk Plant Input'!$A$37</f>
        <v>0</v>
      </c>
      <c r="S134" s="206"/>
      <c r="U134" s="147"/>
      <c r="V134" s="147"/>
      <c r="W134" s="147"/>
      <c r="X134" s="147"/>
      <c r="Y134" s="147"/>
      <c r="Z134" s="147"/>
      <c r="AA134" s="147"/>
      <c r="AB134" s="147"/>
    </row>
    <row r="135" spans="1:28" s="144" customFormat="1" ht="15.75" x14ac:dyDescent="0.25">
      <c r="A135" s="178">
        <f>'Base Blend Property Calculation'!A139</f>
        <v>0</v>
      </c>
      <c r="B135" s="148">
        <f t="shared" si="2"/>
        <v>0</v>
      </c>
      <c r="C135" s="148">
        <f>'Base Blend Property Calculation'!BV139</f>
        <v>0</v>
      </c>
      <c r="D135" s="145">
        <f>'Bulk Plant Input'!$A$23</f>
        <v>0</v>
      </c>
      <c r="E135" s="145">
        <f>'Bulk Plant Input'!$A$24</f>
        <v>0</v>
      </c>
      <c r="F135" s="145">
        <f>'Bulk Plant Input'!$A$25</f>
        <v>0</v>
      </c>
      <c r="G135" s="145">
        <f>'Bulk Plant Input'!$A$26</f>
        <v>0</v>
      </c>
      <c r="H135" s="145">
        <f>'Bulk Plant Input'!$A$27</f>
        <v>0</v>
      </c>
      <c r="I135" s="145">
        <f>'Bulk Plant Input'!$A$28</f>
        <v>0</v>
      </c>
      <c r="J135" s="145">
        <f>'Bulk Plant Input'!$A$29</f>
        <v>0</v>
      </c>
      <c r="K135" s="145">
        <f>'Bulk Plant Input'!$A$30</f>
        <v>0</v>
      </c>
      <c r="L135" s="145">
        <f>'Bulk Plant Input'!$A$31</f>
        <v>0</v>
      </c>
      <c r="M135" s="145">
        <f>'Bulk Plant Input'!$A$32</f>
        <v>0</v>
      </c>
      <c r="N135" s="145">
        <f>'Bulk Plant Input'!$A$33</f>
        <v>0</v>
      </c>
      <c r="O135" s="145">
        <f>'Bulk Plant Input'!$A$34</f>
        <v>0</v>
      </c>
      <c r="P135" s="145">
        <f>'Bulk Plant Input'!$A$35</f>
        <v>0</v>
      </c>
      <c r="Q135" s="145">
        <f>'Bulk Plant Input'!$A$36</f>
        <v>0</v>
      </c>
      <c r="R135" s="145">
        <f>'Bulk Plant Input'!$A$37</f>
        <v>0</v>
      </c>
      <c r="S135" s="206"/>
      <c r="U135" s="147"/>
      <c r="V135" s="147"/>
      <c r="W135" s="147"/>
      <c r="X135" s="147"/>
      <c r="Y135" s="147"/>
      <c r="Z135" s="147"/>
      <c r="AA135" s="147"/>
      <c r="AB135" s="147"/>
    </row>
    <row r="136" spans="1:28" s="144" customFormat="1" ht="15.75" x14ac:dyDescent="0.25">
      <c r="A136" s="178">
        <f>'Base Blend Property Calculation'!A140</f>
        <v>0</v>
      </c>
      <c r="B136" s="148">
        <f t="shared" si="2"/>
        <v>0</v>
      </c>
      <c r="C136" s="148">
        <f>'Base Blend Property Calculation'!BV140</f>
        <v>0</v>
      </c>
      <c r="D136" s="145">
        <f>'Bulk Plant Input'!$A$23</f>
        <v>0</v>
      </c>
      <c r="E136" s="145">
        <f>'Bulk Plant Input'!$A$24</f>
        <v>0</v>
      </c>
      <c r="F136" s="145">
        <f>'Bulk Plant Input'!$A$25</f>
        <v>0</v>
      </c>
      <c r="G136" s="145">
        <f>'Bulk Plant Input'!$A$26</f>
        <v>0</v>
      </c>
      <c r="H136" s="145">
        <f>'Bulk Plant Input'!$A$27</f>
        <v>0</v>
      </c>
      <c r="I136" s="145">
        <f>'Bulk Plant Input'!$A$28</f>
        <v>0</v>
      </c>
      <c r="J136" s="145">
        <f>'Bulk Plant Input'!$A$29</f>
        <v>0</v>
      </c>
      <c r="K136" s="145">
        <f>'Bulk Plant Input'!$A$30</f>
        <v>0</v>
      </c>
      <c r="L136" s="145">
        <f>'Bulk Plant Input'!$A$31</f>
        <v>0</v>
      </c>
      <c r="M136" s="145">
        <f>'Bulk Plant Input'!$A$32</f>
        <v>0</v>
      </c>
      <c r="N136" s="145">
        <f>'Bulk Plant Input'!$A$33</f>
        <v>0</v>
      </c>
      <c r="O136" s="145">
        <f>'Bulk Plant Input'!$A$34</f>
        <v>0</v>
      </c>
      <c r="P136" s="145">
        <f>'Bulk Plant Input'!$A$35</f>
        <v>0</v>
      </c>
      <c r="Q136" s="145">
        <f>'Bulk Plant Input'!$A$36</f>
        <v>0</v>
      </c>
      <c r="R136" s="145">
        <f>'Bulk Plant Input'!$A$37</f>
        <v>0</v>
      </c>
      <c r="S136" s="206"/>
      <c r="U136" s="147"/>
      <c r="V136" s="147"/>
      <c r="W136" s="147"/>
      <c r="X136" s="147"/>
      <c r="Y136" s="147"/>
      <c r="Z136" s="147"/>
      <c r="AA136" s="147"/>
      <c r="AB136" s="147"/>
    </row>
    <row r="137" spans="1:28" s="144" customFormat="1" ht="15.75" x14ac:dyDescent="0.25">
      <c r="A137" s="178">
        <f>'Base Blend Property Calculation'!A141</f>
        <v>0</v>
      </c>
      <c r="B137" s="148">
        <f t="shared" si="2"/>
        <v>0</v>
      </c>
      <c r="C137" s="148">
        <f>'Base Blend Property Calculation'!BV141</f>
        <v>0</v>
      </c>
      <c r="D137" s="145">
        <f>'Bulk Plant Input'!$A$23</f>
        <v>0</v>
      </c>
      <c r="E137" s="145">
        <f>'Bulk Plant Input'!$A$24</f>
        <v>0</v>
      </c>
      <c r="F137" s="145">
        <f>'Bulk Plant Input'!$A$25</f>
        <v>0</v>
      </c>
      <c r="G137" s="145">
        <f>'Bulk Plant Input'!$A$26</f>
        <v>0</v>
      </c>
      <c r="H137" s="145">
        <f>'Bulk Plant Input'!$A$27</f>
        <v>0</v>
      </c>
      <c r="I137" s="145">
        <f>'Bulk Plant Input'!$A$28</f>
        <v>0</v>
      </c>
      <c r="J137" s="145">
        <f>'Bulk Plant Input'!$A$29</f>
        <v>0</v>
      </c>
      <c r="K137" s="145">
        <f>'Bulk Plant Input'!$A$30</f>
        <v>0</v>
      </c>
      <c r="L137" s="145">
        <f>'Bulk Plant Input'!$A$31</f>
        <v>0</v>
      </c>
      <c r="M137" s="145">
        <f>'Bulk Plant Input'!$A$32</f>
        <v>0</v>
      </c>
      <c r="N137" s="145">
        <f>'Bulk Plant Input'!$A$33</f>
        <v>0</v>
      </c>
      <c r="O137" s="145">
        <f>'Bulk Plant Input'!$A$34</f>
        <v>0</v>
      </c>
      <c r="P137" s="145">
        <f>'Bulk Plant Input'!$A$35</f>
        <v>0</v>
      </c>
      <c r="Q137" s="145">
        <f>'Bulk Plant Input'!$A$36</f>
        <v>0</v>
      </c>
      <c r="R137" s="145">
        <f>'Bulk Plant Input'!$A$37</f>
        <v>0</v>
      </c>
      <c r="S137" s="206"/>
      <c r="U137" s="147"/>
      <c r="V137" s="147"/>
      <c r="W137" s="147"/>
      <c r="X137" s="147"/>
      <c r="Y137" s="147"/>
      <c r="Z137" s="147"/>
      <c r="AA137" s="147"/>
      <c r="AB137" s="147"/>
    </row>
    <row r="138" spans="1:28" s="144" customFormat="1" ht="15.75" x14ac:dyDescent="0.25">
      <c r="A138" s="178">
        <f>'Base Blend Property Calculation'!A142</f>
        <v>0</v>
      </c>
      <c r="B138" s="148">
        <f t="shared" si="2"/>
        <v>0</v>
      </c>
      <c r="C138" s="148">
        <f>'Base Blend Property Calculation'!BV142</f>
        <v>0</v>
      </c>
      <c r="D138" s="145">
        <f>'Bulk Plant Input'!$A$23</f>
        <v>0</v>
      </c>
      <c r="E138" s="145">
        <f>'Bulk Plant Input'!$A$24</f>
        <v>0</v>
      </c>
      <c r="F138" s="145">
        <f>'Bulk Plant Input'!$A$25</f>
        <v>0</v>
      </c>
      <c r="G138" s="145">
        <f>'Bulk Plant Input'!$A$26</f>
        <v>0</v>
      </c>
      <c r="H138" s="145">
        <f>'Bulk Plant Input'!$A$27</f>
        <v>0</v>
      </c>
      <c r="I138" s="145">
        <f>'Bulk Plant Input'!$A$28</f>
        <v>0</v>
      </c>
      <c r="J138" s="145">
        <f>'Bulk Plant Input'!$A$29</f>
        <v>0</v>
      </c>
      <c r="K138" s="145">
        <f>'Bulk Plant Input'!$A$30</f>
        <v>0</v>
      </c>
      <c r="L138" s="145">
        <f>'Bulk Plant Input'!$A$31</f>
        <v>0</v>
      </c>
      <c r="M138" s="145">
        <f>'Bulk Plant Input'!$A$32</f>
        <v>0</v>
      </c>
      <c r="N138" s="145">
        <f>'Bulk Plant Input'!$A$33</f>
        <v>0</v>
      </c>
      <c r="O138" s="145">
        <f>'Bulk Plant Input'!$A$34</f>
        <v>0</v>
      </c>
      <c r="P138" s="145">
        <f>'Bulk Plant Input'!$A$35</f>
        <v>0</v>
      </c>
      <c r="Q138" s="145">
        <f>'Bulk Plant Input'!$A$36</f>
        <v>0</v>
      </c>
      <c r="R138" s="145">
        <f>'Bulk Plant Input'!$A$37</f>
        <v>0</v>
      </c>
      <c r="S138" s="206"/>
      <c r="U138" s="147"/>
      <c r="V138" s="147"/>
      <c r="W138" s="147"/>
      <c r="X138" s="147"/>
      <c r="Y138" s="147"/>
      <c r="Z138" s="147"/>
      <c r="AA138" s="147"/>
      <c r="AB138" s="147"/>
    </row>
    <row r="139" spans="1:28" s="144" customFormat="1" ht="15.75" x14ac:dyDescent="0.25">
      <c r="A139" s="178">
        <f>'Base Blend Property Calculation'!A143</f>
        <v>0</v>
      </c>
      <c r="B139" s="148">
        <f t="shared" si="2"/>
        <v>0</v>
      </c>
      <c r="C139" s="148">
        <f>'Base Blend Property Calculation'!BV143</f>
        <v>0</v>
      </c>
      <c r="D139" s="145">
        <f>'Bulk Plant Input'!$A$23</f>
        <v>0</v>
      </c>
      <c r="E139" s="145">
        <f>'Bulk Plant Input'!$A$24</f>
        <v>0</v>
      </c>
      <c r="F139" s="145">
        <f>'Bulk Plant Input'!$A$25</f>
        <v>0</v>
      </c>
      <c r="G139" s="145">
        <f>'Bulk Plant Input'!$A$26</f>
        <v>0</v>
      </c>
      <c r="H139" s="145">
        <f>'Bulk Plant Input'!$A$27</f>
        <v>0</v>
      </c>
      <c r="I139" s="145">
        <f>'Bulk Plant Input'!$A$28</f>
        <v>0</v>
      </c>
      <c r="J139" s="145">
        <f>'Bulk Plant Input'!$A$29</f>
        <v>0</v>
      </c>
      <c r="K139" s="145">
        <f>'Bulk Plant Input'!$A$30</f>
        <v>0</v>
      </c>
      <c r="L139" s="145">
        <f>'Bulk Plant Input'!$A$31</f>
        <v>0</v>
      </c>
      <c r="M139" s="145">
        <f>'Bulk Plant Input'!$A$32</f>
        <v>0</v>
      </c>
      <c r="N139" s="145">
        <f>'Bulk Plant Input'!$A$33</f>
        <v>0</v>
      </c>
      <c r="O139" s="145">
        <f>'Bulk Plant Input'!$A$34</f>
        <v>0</v>
      </c>
      <c r="P139" s="145">
        <f>'Bulk Plant Input'!$A$35</f>
        <v>0</v>
      </c>
      <c r="Q139" s="145">
        <f>'Bulk Plant Input'!$A$36</f>
        <v>0</v>
      </c>
      <c r="R139" s="145">
        <f>'Bulk Plant Input'!$A$37</f>
        <v>0</v>
      </c>
      <c r="S139" s="206"/>
      <c r="U139" s="147"/>
      <c r="V139" s="147"/>
      <c r="W139" s="147"/>
      <c r="X139" s="147"/>
      <c r="Y139" s="147"/>
      <c r="Z139" s="147"/>
      <c r="AA139" s="147"/>
      <c r="AB139" s="147"/>
    </row>
    <row r="140" spans="1:28" s="144" customFormat="1" ht="15.75" x14ac:dyDescent="0.25">
      <c r="A140" s="178">
        <f>'Base Blend Property Calculation'!A144</f>
        <v>0</v>
      </c>
      <c r="B140" s="148">
        <f t="shared" si="2"/>
        <v>0</v>
      </c>
      <c r="C140" s="148">
        <f>'Base Blend Property Calculation'!BV144</f>
        <v>0</v>
      </c>
      <c r="D140" s="145">
        <f>'Bulk Plant Input'!$A$23</f>
        <v>0</v>
      </c>
      <c r="E140" s="145">
        <f>'Bulk Plant Input'!$A$24</f>
        <v>0</v>
      </c>
      <c r="F140" s="145">
        <f>'Bulk Plant Input'!$A$25</f>
        <v>0</v>
      </c>
      <c r="G140" s="145">
        <f>'Bulk Plant Input'!$A$26</f>
        <v>0</v>
      </c>
      <c r="H140" s="145">
        <f>'Bulk Plant Input'!$A$27</f>
        <v>0</v>
      </c>
      <c r="I140" s="145">
        <f>'Bulk Plant Input'!$A$28</f>
        <v>0</v>
      </c>
      <c r="J140" s="145">
        <f>'Bulk Plant Input'!$A$29</f>
        <v>0</v>
      </c>
      <c r="K140" s="145">
        <f>'Bulk Plant Input'!$A$30</f>
        <v>0</v>
      </c>
      <c r="L140" s="145">
        <f>'Bulk Plant Input'!$A$31</f>
        <v>0</v>
      </c>
      <c r="M140" s="145">
        <f>'Bulk Plant Input'!$A$32</f>
        <v>0</v>
      </c>
      <c r="N140" s="145">
        <f>'Bulk Plant Input'!$A$33</f>
        <v>0</v>
      </c>
      <c r="O140" s="145">
        <f>'Bulk Plant Input'!$A$34</f>
        <v>0</v>
      </c>
      <c r="P140" s="145">
        <f>'Bulk Plant Input'!$A$35</f>
        <v>0</v>
      </c>
      <c r="Q140" s="145">
        <f>'Bulk Plant Input'!$A$36</f>
        <v>0</v>
      </c>
      <c r="R140" s="145">
        <f>'Bulk Plant Input'!$A$37</f>
        <v>0</v>
      </c>
      <c r="S140" s="206"/>
      <c r="U140" s="147"/>
      <c r="V140" s="147"/>
      <c r="W140" s="147"/>
      <c r="X140" s="147"/>
      <c r="Y140" s="147"/>
      <c r="Z140" s="147"/>
      <c r="AA140" s="147"/>
      <c r="AB140" s="147"/>
    </row>
    <row r="141" spans="1:28" s="144" customFormat="1" ht="15.75" x14ac:dyDescent="0.25">
      <c r="A141" s="178">
        <f>'Base Blend Property Calculation'!A145</f>
        <v>0</v>
      </c>
      <c r="B141" s="148">
        <f t="shared" si="2"/>
        <v>0</v>
      </c>
      <c r="C141" s="148">
        <f>'Base Blend Property Calculation'!BV145</f>
        <v>0</v>
      </c>
      <c r="D141" s="145">
        <f>'Bulk Plant Input'!$A$23</f>
        <v>0</v>
      </c>
      <c r="E141" s="145">
        <f>'Bulk Plant Input'!$A$24</f>
        <v>0</v>
      </c>
      <c r="F141" s="145">
        <f>'Bulk Plant Input'!$A$25</f>
        <v>0</v>
      </c>
      <c r="G141" s="145">
        <f>'Bulk Plant Input'!$A$26</f>
        <v>0</v>
      </c>
      <c r="H141" s="145">
        <f>'Bulk Plant Input'!$A$27</f>
        <v>0</v>
      </c>
      <c r="I141" s="145">
        <f>'Bulk Plant Input'!$A$28</f>
        <v>0</v>
      </c>
      <c r="J141" s="145">
        <f>'Bulk Plant Input'!$A$29</f>
        <v>0</v>
      </c>
      <c r="K141" s="145">
        <f>'Bulk Plant Input'!$A$30</f>
        <v>0</v>
      </c>
      <c r="L141" s="145">
        <f>'Bulk Plant Input'!$A$31</f>
        <v>0</v>
      </c>
      <c r="M141" s="145">
        <f>'Bulk Plant Input'!$A$32</f>
        <v>0</v>
      </c>
      <c r="N141" s="145">
        <f>'Bulk Plant Input'!$A$33</f>
        <v>0</v>
      </c>
      <c r="O141" s="145">
        <f>'Bulk Plant Input'!$A$34</f>
        <v>0</v>
      </c>
      <c r="P141" s="145">
        <f>'Bulk Plant Input'!$A$35</f>
        <v>0</v>
      </c>
      <c r="Q141" s="145">
        <f>'Bulk Plant Input'!$A$36</f>
        <v>0</v>
      </c>
      <c r="R141" s="145">
        <f>'Bulk Plant Input'!$A$37</f>
        <v>0</v>
      </c>
      <c r="S141" s="206"/>
      <c r="U141" s="147"/>
      <c r="V141" s="147"/>
      <c r="W141" s="147"/>
      <c r="X141" s="147"/>
      <c r="Y141" s="147"/>
      <c r="Z141" s="147"/>
      <c r="AA141" s="147"/>
      <c r="AB141" s="147"/>
    </row>
    <row r="142" spans="1:28" s="144" customFormat="1" ht="15.75" x14ac:dyDescent="0.25">
      <c r="A142" s="178">
        <f>'Base Blend Property Calculation'!A146</f>
        <v>0</v>
      </c>
      <c r="B142" s="148">
        <f t="shared" si="2"/>
        <v>0</v>
      </c>
      <c r="C142" s="148">
        <f>'Base Blend Property Calculation'!BV146</f>
        <v>0</v>
      </c>
      <c r="D142" s="145">
        <f>'Bulk Plant Input'!$A$23</f>
        <v>0</v>
      </c>
      <c r="E142" s="145">
        <f>'Bulk Plant Input'!$A$24</f>
        <v>0</v>
      </c>
      <c r="F142" s="145">
        <f>'Bulk Plant Input'!$A$25</f>
        <v>0</v>
      </c>
      <c r="G142" s="145">
        <f>'Bulk Plant Input'!$A$26</f>
        <v>0</v>
      </c>
      <c r="H142" s="145">
        <f>'Bulk Plant Input'!$A$27</f>
        <v>0</v>
      </c>
      <c r="I142" s="145">
        <f>'Bulk Plant Input'!$A$28</f>
        <v>0</v>
      </c>
      <c r="J142" s="145">
        <f>'Bulk Plant Input'!$A$29</f>
        <v>0</v>
      </c>
      <c r="K142" s="145">
        <f>'Bulk Plant Input'!$A$30</f>
        <v>0</v>
      </c>
      <c r="L142" s="145">
        <f>'Bulk Plant Input'!$A$31</f>
        <v>0</v>
      </c>
      <c r="M142" s="145">
        <f>'Bulk Plant Input'!$A$32</f>
        <v>0</v>
      </c>
      <c r="N142" s="145">
        <f>'Bulk Plant Input'!$A$33</f>
        <v>0</v>
      </c>
      <c r="O142" s="145">
        <f>'Bulk Plant Input'!$A$34</f>
        <v>0</v>
      </c>
      <c r="P142" s="145">
        <f>'Bulk Plant Input'!$A$35</f>
        <v>0</v>
      </c>
      <c r="Q142" s="145">
        <f>'Bulk Plant Input'!$A$36</f>
        <v>0</v>
      </c>
      <c r="R142" s="145">
        <f>'Bulk Plant Input'!$A$37</f>
        <v>0</v>
      </c>
      <c r="S142" s="206"/>
      <c r="U142" s="147"/>
      <c r="V142" s="147"/>
      <c r="W142" s="147"/>
      <c r="X142" s="147"/>
      <c r="Y142" s="147"/>
      <c r="Z142" s="147"/>
      <c r="AA142" s="147"/>
      <c r="AB142" s="147"/>
    </row>
    <row r="143" spans="1:28" s="144" customFormat="1" ht="15.75" x14ac:dyDescent="0.25">
      <c r="A143" s="178">
        <f>'Base Blend Property Calculation'!A147</f>
        <v>0</v>
      </c>
      <c r="B143" s="148">
        <f t="shared" si="2"/>
        <v>0</v>
      </c>
      <c r="C143" s="148">
        <f>'Base Blend Property Calculation'!BV147</f>
        <v>0</v>
      </c>
      <c r="D143" s="145">
        <f>'Bulk Plant Input'!$A$23</f>
        <v>0</v>
      </c>
      <c r="E143" s="145">
        <f>'Bulk Plant Input'!$A$24</f>
        <v>0</v>
      </c>
      <c r="F143" s="145">
        <f>'Bulk Plant Input'!$A$25</f>
        <v>0</v>
      </c>
      <c r="G143" s="145">
        <f>'Bulk Plant Input'!$A$26</f>
        <v>0</v>
      </c>
      <c r="H143" s="145">
        <f>'Bulk Plant Input'!$A$27</f>
        <v>0</v>
      </c>
      <c r="I143" s="145">
        <f>'Bulk Plant Input'!$A$28</f>
        <v>0</v>
      </c>
      <c r="J143" s="145">
        <f>'Bulk Plant Input'!$A$29</f>
        <v>0</v>
      </c>
      <c r="K143" s="145">
        <f>'Bulk Plant Input'!$A$30</f>
        <v>0</v>
      </c>
      <c r="L143" s="145">
        <f>'Bulk Plant Input'!$A$31</f>
        <v>0</v>
      </c>
      <c r="M143" s="145">
        <f>'Bulk Plant Input'!$A$32</f>
        <v>0</v>
      </c>
      <c r="N143" s="145">
        <f>'Bulk Plant Input'!$A$33</f>
        <v>0</v>
      </c>
      <c r="O143" s="145">
        <f>'Bulk Plant Input'!$A$34</f>
        <v>0</v>
      </c>
      <c r="P143" s="145">
        <f>'Bulk Plant Input'!$A$35</f>
        <v>0</v>
      </c>
      <c r="Q143" s="145">
        <f>'Bulk Plant Input'!$A$36</f>
        <v>0</v>
      </c>
      <c r="R143" s="145">
        <f>'Bulk Plant Input'!$A$37</f>
        <v>0</v>
      </c>
      <c r="S143" s="206"/>
      <c r="U143" s="147"/>
      <c r="V143" s="147"/>
      <c r="W143" s="147"/>
      <c r="X143" s="147"/>
      <c r="Y143" s="147"/>
      <c r="Z143" s="147"/>
      <c r="AA143" s="147"/>
      <c r="AB143" s="147"/>
    </row>
    <row r="144" spans="1:28" s="144" customFormat="1" ht="15.75" x14ac:dyDescent="0.25">
      <c r="A144" s="178">
        <f>'Base Blend Property Calculation'!A148</f>
        <v>0</v>
      </c>
      <c r="B144" s="148">
        <f t="shared" si="2"/>
        <v>0</v>
      </c>
      <c r="C144" s="148">
        <f>'Base Blend Property Calculation'!BV148</f>
        <v>0</v>
      </c>
      <c r="D144" s="145">
        <f>'Bulk Plant Input'!$A$23</f>
        <v>0</v>
      </c>
      <c r="E144" s="145">
        <f>'Bulk Plant Input'!$A$24</f>
        <v>0</v>
      </c>
      <c r="F144" s="145">
        <f>'Bulk Plant Input'!$A$25</f>
        <v>0</v>
      </c>
      <c r="G144" s="145">
        <f>'Bulk Plant Input'!$A$26</f>
        <v>0</v>
      </c>
      <c r="H144" s="145">
        <f>'Bulk Plant Input'!$A$27</f>
        <v>0</v>
      </c>
      <c r="I144" s="145">
        <f>'Bulk Plant Input'!$A$28</f>
        <v>0</v>
      </c>
      <c r="J144" s="145">
        <f>'Bulk Plant Input'!$A$29</f>
        <v>0</v>
      </c>
      <c r="K144" s="145">
        <f>'Bulk Plant Input'!$A$30</f>
        <v>0</v>
      </c>
      <c r="L144" s="145">
        <f>'Bulk Plant Input'!$A$31</f>
        <v>0</v>
      </c>
      <c r="M144" s="145">
        <f>'Bulk Plant Input'!$A$32</f>
        <v>0</v>
      </c>
      <c r="N144" s="145">
        <f>'Bulk Plant Input'!$A$33</f>
        <v>0</v>
      </c>
      <c r="O144" s="145">
        <f>'Bulk Plant Input'!$A$34</f>
        <v>0</v>
      </c>
      <c r="P144" s="145">
        <f>'Bulk Plant Input'!$A$35</f>
        <v>0</v>
      </c>
      <c r="Q144" s="145">
        <f>'Bulk Plant Input'!$A$36</f>
        <v>0</v>
      </c>
      <c r="R144" s="145">
        <f>'Bulk Plant Input'!$A$37</f>
        <v>0</v>
      </c>
      <c r="S144" s="206"/>
      <c r="U144" s="147"/>
      <c r="V144" s="147"/>
      <c r="W144" s="147"/>
      <c r="X144" s="147"/>
      <c r="Y144" s="147"/>
      <c r="Z144" s="147"/>
      <c r="AA144" s="147"/>
      <c r="AB144" s="147"/>
    </row>
    <row r="145" spans="1:29" s="144" customFormat="1" ht="15.75" x14ac:dyDescent="0.25">
      <c r="A145" s="178">
        <f>'Base Blend Property Calculation'!A153</f>
        <v>0</v>
      </c>
      <c r="B145" s="148"/>
      <c r="C145" s="148"/>
      <c r="D145" s="145">
        <f>'Bulk Plant Input'!$A$23</f>
        <v>0</v>
      </c>
      <c r="E145" s="145">
        <f>'Bulk Plant Input'!$A$24</f>
        <v>0</v>
      </c>
      <c r="F145" s="145">
        <f>'Bulk Plant Input'!$A$25</f>
        <v>0</v>
      </c>
      <c r="G145" s="145">
        <f>'Bulk Plant Input'!$A$26</f>
        <v>0</v>
      </c>
      <c r="H145" s="145">
        <f>'Bulk Plant Input'!$A$27</f>
        <v>0</v>
      </c>
      <c r="I145" s="145">
        <f>'Bulk Plant Input'!$A$28</f>
        <v>0</v>
      </c>
      <c r="J145" s="145">
        <f>'Bulk Plant Input'!$A$29</f>
        <v>0</v>
      </c>
      <c r="K145" s="145">
        <f>'Bulk Plant Input'!$A$30</f>
        <v>0</v>
      </c>
      <c r="L145" s="145">
        <f>'Bulk Plant Input'!$A$31</f>
        <v>0</v>
      </c>
      <c r="M145" s="145">
        <f>'Bulk Plant Input'!$A$32</f>
        <v>0</v>
      </c>
      <c r="N145" s="145">
        <f>'Bulk Plant Input'!$A$33</f>
        <v>0</v>
      </c>
      <c r="O145" s="145">
        <f>'Bulk Plant Input'!$A$34</f>
        <v>0</v>
      </c>
      <c r="P145" s="145">
        <f>'Bulk Plant Input'!$A$35</f>
        <v>0</v>
      </c>
      <c r="Q145" s="145">
        <f>'Bulk Plant Input'!$A$36</f>
        <v>0</v>
      </c>
      <c r="R145" s="145">
        <f>'Bulk Plant Input'!$A$37</f>
        <v>0</v>
      </c>
      <c r="S145" s="206"/>
      <c r="U145" s="147"/>
      <c r="V145" s="147"/>
      <c r="W145" s="147"/>
      <c r="X145" s="147"/>
      <c r="Y145" s="147"/>
      <c r="Z145" s="147"/>
      <c r="AA145" s="147"/>
      <c r="AB145" s="147"/>
    </row>
    <row r="146" spans="1:29" s="144" customFormat="1" ht="15.75" x14ac:dyDescent="0.25">
      <c r="A146" s="178">
        <f>'Base Blend Property Calculation'!A154</f>
        <v>0</v>
      </c>
      <c r="B146" s="148"/>
      <c r="C146" s="148"/>
      <c r="D146" s="145">
        <f>'Bulk Plant Input'!$A$23</f>
        <v>0</v>
      </c>
      <c r="E146" s="145">
        <f>'Bulk Plant Input'!$A$24</f>
        <v>0</v>
      </c>
      <c r="F146" s="145">
        <f>'Bulk Plant Input'!$A$25</f>
        <v>0</v>
      </c>
      <c r="G146" s="145">
        <f>'Bulk Plant Input'!$A$26</f>
        <v>0</v>
      </c>
      <c r="H146" s="145">
        <f>'Bulk Plant Input'!$A$27</f>
        <v>0</v>
      </c>
      <c r="I146" s="145">
        <f>'Bulk Plant Input'!$A$28</f>
        <v>0</v>
      </c>
      <c r="J146" s="145">
        <f>'Bulk Plant Input'!$A$29</f>
        <v>0</v>
      </c>
      <c r="K146" s="145">
        <f>'Bulk Plant Input'!$A$30</f>
        <v>0</v>
      </c>
      <c r="L146" s="145">
        <f>'Bulk Plant Input'!$A$31</f>
        <v>0</v>
      </c>
      <c r="M146" s="145">
        <f>'Bulk Plant Input'!$A$32</f>
        <v>0</v>
      </c>
      <c r="N146" s="145">
        <f>'Bulk Plant Input'!$A$33</f>
        <v>0</v>
      </c>
      <c r="O146" s="145">
        <f>'Bulk Plant Input'!$A$34</f>
        <v>0</v>
      </c>
      <c r="P146" s="145">
        <f>'Bulk Plant Input'!$A$35</f>
        <v>0</v>
      </c>
      <c r="Q146" s="145">
        <f>'Bulk Plant Input'!$A$36</f>
        <v>0</v>
      </c>
      <c r="R146" s="145">
        <f>'Bulk Plant Input'!$A$37</f>
        <v>0</v>
      </c>
      <c r="S146" s="206"/>
      <c r="U146" s="147"/>
      <c r="V146" s="147"/>
      <c r="W146" s="147"/>
      <c r="X146" s="147"/>
      <c r="Y146" s="147"/>
      <c r="Z146" s="147"/>
      <c r="AA146" s="147"/>
      <c r="AB146" s="147"/>
    </row>
    <row r="147" spans="1:29" s="144" customFormat="1" ht="15.75" x14ac:dyDescent="0.25">
      <c r="A147" s="178">
        <f>'Base Blend Property Calculation'!A155</f>
        <v>0</v>
      </c>
      <c r="B147" s="148"/>
      <c r="C147" s="148"/>
      <c r="D147" s="145">
        <f>'Bulk Plant Input'!$A$23</f>
        <v>0</v>
      </c>
      <c r="E147" s="145">
        <f>'Bulk Plant Input'!$A$24</f>
        <v>0</v>
      </c>
      <c r="F147" s="145">
        <f>'Bulk Plant Input'!$A$25</f>
        <v>0</v>
      </c>
      <c r="G147" s="145">
        <f>'Bulk Plant Input'!$A$26</f>
        <v>0</v>
      </c>
      <c r="H147" s="145">
        <f>'Bulk Plant Input'!$A$27</f>
        <v>0</v>
      </c>
      <c r="I147" s="145">
        <f>'Bulk Plant Input'!$A$28</f>
        <v>0</v>
      </c>
      <c r="J147" s="145">
        <f>'Bulk Plant Input'!$A$29</f>
        <v>0</v>
      </c>
      <c r="K147" s="145">
        <f>'Bulk Plant Input'!$A$30</f>
        <v>0</v>
      </c>
      <c r="L147" s="145">
        <f>'Bulk Plant Input'!$A$31</f>
        <v>0</v>
      </c>
      <c r="M147" s="145">
        <f>'Bulk Plant Input'!$A$32</f>
        <v>0</v>
      </c>
      <c r="N147" s="145">
        <f>'Bulk Plant Input'!$A$33</f>
        <v>0</v>
      </c>
      <c r="O147" s="145">
        <f>'Bulk Plant Input'!$A$34</f>
        <v>0</v>
      </c>
      <c r="P147" s="145">
        <f>'Bulk Plant Input'!$A$35</f>
        <v>0</v>
      </c>
      <c r="Q147" s="145">
        <f>'Bulk Plant Input'!$A$36</f>
        <v>0</v>
      </c>
      <c r="R147" s="145">
        <f>'Bulk Plant Input'!$A$37</f>
        <v>0</v>
      </c>
      <c r="S147" s="206"/>
      <c r="U147" s="147"/>
      <c r="V147" s="147"/>
      <c r="W147" s="147"/>
      <c r="X147" s="147"/>
      <c r="Y147" s="147"/>
      <c r="Z147" s="147"/>
      <c r="AA147" s="147"/>
      <c r="AB147" s="147"/>
    </row>
    <row r="148" spans="1:29" s="144" customFormat="1" ht="15.75" x14ac:dyDescent="0.25">
      <c r="A148" s="178">
        <f>'Base Blend Property Calculation'!A156</f>
        <v>0</v>
      </c>
      <c r="B148" s="148"/>
      <c r="C148" s="148"/>
      <c r="D148" s="145">
        <f>'Bulk Plant Input'!$A$23</f>
        <v>0</v>
      </c>
      <c r="E148" s="145">
        <f>'Bulk Plant Input'!$A$24</f>
        <v>0</v>
      </c>
      <c r="F148" s="145">
        <f>'Bulk Plant Input'!$A$25</f>
        <v>0</v>
      </c>
      <c r="G148" s="145">
        <f>'Bulk Plant Input'!$A$26</f>
        <v>0</v>
      </c>
      <c r="H148" s="145">
        <f>'Bulk Plant Input'!$A$27</f>
        <v>0</v>
      </c>
      <c r="I148" s="145">
        <f>'Bulk Plant Input'!$A$28</f>
        <v>0</v>
      </c>
      <c r="J148" s="145">
        <f>'Bulk Plant Input'!$A$29</f>
        <v>0</v>
      </c>
      <c r="K148" s="145">
        <f>'Bulk Plant Input'!$A$30</f>
        <v>0</v>
      </c>
      <c r="L148" s="145">
        <f>'Bulk Plant Input'!$A$31</f>
        <v>0</v>
      </c>
      <c r="M148" s="145">
        <f>'Bulk Plant Input'!$A$32</f>
        <v>0</v>
      </c>
      <c r="N148" s="145">
        <f>'Bulk Plant Input'!$A$33</f>
        <v>0</v>
      </c>
      <c r="O148" s="145">
        <f>'Bulk Plant Input'!$A$34</f>
        <v>0</v>
      </c>
      <c r="P148" s="145">
        <f>'Bulk Plant Input'!$A$35</f>
        <v>0</v>
      </c>
      <c r="Q148" s="145">
        <f>'Bulk Plant Input'!$A$36</f>
        <v>0</v>
      </c>
      <c r="R148" s="145">
        <f>'Bulk Plant Input'!$A$37</f>
        <v>0</v>
      </c>
      <c r="S148" s="206"/>
      <c r="U148" s="147"/>
      <c r="V148" s="147"/>
      <c r="W148" s="147"/>
      <c r="X148" s="147"/>
      <c r="Y148" s="147"/>
      <c r="Z148" s="147"/>
      <c r="AA148" s="147"/>
      <c r="AB148" s="147"/>
    </row>
    <row r="149" spans="1:29" s="144" customFormat="1" ht="15.75" x14ac:dyDescent="0.25">
      <c r="A149" s="178">
        <f>'Base Blend Property Calculation'!A157</f>
        <v>0</v>
      </c>
      <c r="B149" s="148"/>
      <c r="C149" s="148"/>
      <c r="D149" s="145">
        <f>'Bulk Plant Input'!$A$23</f>
        <v>0</v>
      </c>
      <c r="E149" s="145">
        <f>'Bulk Plant Input'!$A$24</f>
        <v>0</v>
      </c>
      <c r="F149" s="145">
        <f>'Bulk Plant Input'!$A$25</f>
        <v>0</v>
      </c>
      <c r="G149" s="145">
        <f>'Bulk Plant Input'!$A$26</f>
        <v>0</v>
      </c>
      <c r="H149" s="145">
        <f>'Bulk Plant Input'!$A$27</f>
        <v>0</v>
      </c>
      <c r="I149" s="145">
        <f>'Bulk Plant Input'!$A$28</f>
        <v>0</v>
      </c>
      <c r="J149" s="145">
        <f>'Bulk Plant Input'!$A$29</f>
        <v>0</v>
      </c>
      <c r="K149" s="145">
        <f>'Bulk Plant Input'!$A$30</f>
        <v>0</v>
      </c>
      <c r="L149" s="145">
        <f>'Bulk Plant Input'!$A$31</f>
        <v>0</v>
      </c>
      <c r="M149" s="145">
        <f>'Bulk Plant Input'!$A$32</f>
        <v>0</v>
      </c>
      <c r="N149" s="145">
        <f>'Bulk Plant Input'!$A$33</f>
        <v>0</v>
      </c>
      <c r="O149" s="145">
        <f>'Bulk Plant Input'!$A$34</f>
        <v>0</v>
      </c>
      <c r="P149" s="145">
        <f>'Bulk Plant Input'!$A$35</f>
        <v>0</v>
      </c>
      <c r="Q149" s="145">
        <f>'Bulk Plant Input'!$A$36</f>
        <v>0</v>
      </c>
      <c r="R149" s="145">
        <f>'Bulk Plant Input'!$A$37</f>
        <v>0</v>
      </c>
      <c r="S149" s="206"/>
      <c r="U149" s="147"/>
      <c r="V149" s="147"/>
      <c r="W149" s="147"/>
      <c r="X149" s="147"/>
      <c r="Y149" s="147"/>
      <c r="Z149" s="147"/>
      <c r="AA149" s="147"/>
      <c r="AB149" s="147"/>
    </row>
    <row r="150" spans="1:29" s="144" customFormat="1" ht="15.75" x14ac:dyDescent="0.25">
      <c r="A150" s="178">
        <f>'Base Blend Property Calculation'!A158</f>
        <v>0</v>
      </c>
      <c r="B150" s="148"/>
      <c r="C150" s="148"/>
      <c r="D150" s="145">
        <f>'Bulk Plant Input'!$A$23</f>
        <v>0</v>
      </c>
      <c r="E150" s="145">
        <f>'Bulk Plant Input'!$A$24</f>
        <v>0</v>
      </c>
      <c r="F150" s="145">
        <f>'Bulk Plant Input'!$A$25</f>
        <v>0</v>
      </c>
      <c r="G150" s="145">
        <f>'Bulk Plant Input'!$A$26</f>
        <v>0</v>
      </c>
      <c r="H150" s="145">
        <f>'Bulk Plant Input'!$A$27</f>
        <v>0</v>
      </c>
      <c r="I150" s="145">
        <f>'Bulk Plant Input'!$A$28</f>
        <v>0</v>
      </c>
      <c r="J150" s="145">
        <f>'Bulk Plant Input'!$A$29</f>
        <v>0</v>
      </c>
      <c r="K150" s="145">
        <f>'Bulk Plant Input'!$A$30</f>
        <v>0</v>
      </c>
      <c r="L150" s="145">
        <f>'Bulk Plant Input'!$A$31</f>
        <v>0</v>
      </c>
      <c r="M150" s="145">
        <f>'Bulk Plant Input'!$A$32</f>
        <v>0</v>
      </c>
      <c r="N150" s="145">
        <f>'Bulk Plant Input'!$A$33</f>
        <v>0</v>
      </c>
      <c r="O150" s="145">
        <f>'Bulk Plant Input'!$A$34</f>
        <v>0</v>
      </c>
      <c r="P150" s="145">
        <f>'Bulk Plant Input'!$A$35</f>
        <v>0</v>
      </c>
      <c r="Q150" s="145">
        <f>'Bulk Plant Input'!$A$36</f>
        <v>0</v>
      </c>
      <c r="R150" s="145">
        <f>'Bulk Plant Input'!$A$37</f>
        <v>0</v>
      </c>
      <c r="S150" s="206"/>
      <c r="U150" s="147"/>
      <c r="V150" s="147"/>
      <c r="W150" s="147"/>
      <c r="X150" s="147"/>
      <c r="Y150" s="147"/>
      <c r="Z150" s="147"/>
      <c r="AA150" s="147"/>
      <c r="AB150" s="147"/>
    </row>
    <row r="151" spans="1:29" s="144" customFormat="1" ht="15.75" x14ac:dyDescent="0.25">
      <c r="A151" s="178" t="str">
        <f>'Base Blend Property Calculation'!A159</f>
        <v>PROJECT</v>
      </c>
      <c r="B151" s="148"/>
      <c r="C151" s="148"/>
      <c r="D151" s="145">
        <f>'Bulk Plant Input'!$A$23</f>
        <v>0</v>
      </c>
      <c r="E151" s="145">
        <f>'Bulk Plant Input'!$A$24</f>
        <v>0</v>
      </c>
      <c r="F151" s="145">
        <f>'Bulk Plant Input'!$A$25</f>
        <v>0</v>
      </c>
      <c r="G151" s="145">
        <f>'Bulk Plant Input'!$A$26</f>
        <v>0</v>
      </c>
      <c r="H151" s="145">
        <f>'Bulk Plant Input'!$A$27</f>
        <v>0</v>
      </c>
      <c r="I151" s="145">
        <f>'Bulk Plant Input'!$A$28</f>
        <v>0</v>
      </c>
      <c r="J151" s="145">
        <f>'Bulk Plant Input'!$A$29</f>
        <v>0</v>
      </c>
      <c r="K151" s="145">
        <f>'Bulk Plant Input'!$A$30</f>
        <v>0</v>
      </c>
      <c r="L151" s="145">
        <f>'Bulk Plant Input'!$A$31</f>
        <v>0</v>
      </c>
      <c r="M151" s="145">
        <f>'Bulk Plant Input'!$A$32</f>
        <v>0</v>
      </c>
      <c r="N151" s="145">
        <f>'Bulk Plant Input'!$A$33</f>
        <v>0</v>
      </c>
      <c r="O151" s="145">
        <f>'Bulk Plant Input'!$A$34</f>
        <v>0</v>
      </c>
      <c r="P151" s="145">
        <f>'Bulk Plant Input'!$A$35</f>
        <v>0</v>
      </c>
      <c r="Q151" s="145">
        <f>'Bulk Plant Input'!$A$36</f>
        <v>0</v>
      </c>
      <c r="R151" s="145">
        <f>'Bulk Plant Input'!$A$37</f>
        <v>0</v>
      </c>
      <c r="S151" s="206"/>
      <c r="U151" s="147"/>
      <c r="V151" s="147"/>
      <c r="W151" s="147"/>
      <c r="X151" s="147"/>
      <c r="Y151" s="147"/>
      <c r="Z151" s="147"/>
      <c r="AA151" s="147"/>
      <c r="AB151" s="147"/>
    </row>
    <row r="152" spans="1:29" s="144" customFormat="1" ht="15.75" x14ac:dyDescent="0.25">
      <c r="A152" s="178">
        <f>'Base Blend Property Calculation'!A160</f>
        <v>0</v>
      </c>
      <c r="B152" s="148"/>
      <c r="C152" s="148"/>
      <c r="D152" s="145">
        <f>'Bulk Plant Input'!$A$23</f>
        <v>0</v>
      </c>
      <c r="E152" s="145">
        <f>'Bulk Plant Input'!$A$24</f>
        <v>0</v>
      </c>
      <c r="F152" s="145">
        <f>'Bulk Plant Input'!$A$25</f>
        <v>0</v>
      </c>
      <c r="G152" s="145">
        <f>'Bulk Plant Input'!$A$26</f>
        <v>0</v>
      </c>
      <c r="H152" s="145">
        <f>'Bulk Plant Input'!$A$27</f>
        <v>0</v>
      </c>
      <c r="I152" s="145">
        <f>'Bulk Plant Input'!$A$28</f>
        <v>0</v>
      </c>
      <c r="J152" s="145">
        <f>'Bulk Plant Input'!$A$29</f>
        <v>0</v>
      </c>
      <c r="K152" s="145">
        <f>'Bulk Plant Input'!$A$30</f>
        <v>0</v>
      </c>
      <c r="L152" s="145">
        <f>'Bulk Plant Input'!$A$31</f>
        <v>0</v>
      </c>
      <c r="M152" s="145">
        <f>'Bulk Plant Input'!$A$32</f>
        <v>0</v>
      </c>
      <c r="N152" s="145">
        <f>'Bulk Plant Input'!$A$33</f>
        <v>0</v>
      </c>
      <c r="O152" s="145">
        <f>'Bulk Plant Input'!$A$34</f>
        <v>0</v>
      </c>
      <c r="P152" s="145">
        <f>'Bulk Plant Input'!$A$35</f>
        <v>0</v>
      </c>
      <c r="Q152" s="145">
        <f>'Bulk Plant Input'!$A$36</f>
        <v>0</v>
      </c>
      <c r="R152" s="145">
        <f>'Bulk Plant Input'!$A$37</f>
        <v>0</v>
      </c>
      <c r="S152" s="206"/>
      <c r="U152" s="147"/>
      <c r="V152" s="147"/>
      <c r="W152" s="147"/>
      <c r="X152" s="147"/>
      <c r="Y152" s="147"/>
      <c r="Z152" s="147"/>
      <c r="AA152" s="147"/>
      <c r="AB152" s="147"/>
    </row>
    <row r="153" spans="1:29" x14ac:dyDescent="0.25">
      <c r="U153" s="147"/>
      <c r="V153" s="147"/>
      <c r="W153" s="147"/>
      <c r="X153" s="147"/>
      <c r="Y153" s="147"/>
      <c r="Z153" s="147"/>
      <c r="AA153" s="147"/>
      <c r="AB153" s="147"/>
      <c r="AC153" s="144"/>
    </row>
    <row r="154" spans="1:29" x14ac:dyDescent="0.25">
      <c r="U154" s="147"/>
      <c r="V154" s="147"/>
      <c r="W154" s="147"/>
      <c r="X154" s="147"/>
      <c r="Y154" s="147"/>
      <c r="Z154" s="147"/>
      <c r="AA154" s="147"/>
      <c r="AB154" s="147"/>
      <c r="AC154" s="144"/>
    </row>
    <row r="155" spans="1:29" x14ac:dyDescent="0.25">
      <c r="U155" s="147"/>
      <c r="V155" s="147"/>
      <c r="W155" s="147"/>
      <c r="X155" s="147"/>
      <c r="Y155" s="147"/>
      <c r="Z155" s="147"/>
      <c r="AA155" s="147"/>
      <c r="AB155" s="147"/>
      <c r="AC155" s="144"/>
    </row>
  </sheetData>
  <mergeCells count="3">
    <mergeCell ref="D2:R2"/>
    <mergeCell ref="A1:R1"/>
    <mergeCell ref="X5:Z5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38"/>
  <sheetViews>
    <sheetView topLeftCell="A10" workbookViewId="0">
      <selection activeCell="L29" sqref="L29"/>
    </sheetView>
  </sheetViews>
  <sheetFormatPr defaultRowHeight="15" x14ac:dyDescent="0.25"/>
  <cols>
    <col min="1" max="1" width="33.140625" style="230" customWidth="1"/>
    <col min="2" max="4" width="13.7109375" style="230" customWidth="1"/>
    <col min="5" max="5" width="13.7109375" style="212" customWidth="1"/>
    <col min="6" max="9" width="15.7109375" customWidth="1"/>
    <col min="12" max="13" width="20.7109375" customWidth="1"/>
    <col min="15" max="15" width="25.5703125" customWidth="1"/>
  </cols>
  <sheetData>
    <row r="1" spans="1:15" x14ac:dyDescent="0.25">
      <c r="A1" s="653" t="s">
        <v>170</v>
      </c>
      <c r="B1" s="653"/>
      <c r="C1" s="653"/>
      <c r="D1" s="229"/>
      <c r="E1" s="215"/>
      <c r="F1" s="18" t="s">
        <v>171</v>
      </c>
      <c r="G1" s="22">
        <v>42571</v>
      </c>
      <c r="L1" s="212"/>
      <c r="M1" s="212"/>
      <c r="N1" s="212"/>
      <c r="O1" s="212"/>
    </row>
    <row r="2" spans="1:15" ht="15.75" thickBot="1" x14ac:dyDescent="0.3">
      <c r="F2" s="18"/>
      <c r="G2" s="22"/>
      <c r="H2" s="13"/>
      <c r="I2" s="13"/>
    </row>
    <row r="3" spans="1:15" ht="15.75" thickBot="1" x14ac:dyDescent="0.3">
      <c r="A3" s="234" t="s">
        <v>143</v>
      </c>
      <c r="B3" s="239" t="s">
        <v>144</v>
      </c>
      <c r="C3" s="239" t="s">
        <v>460</v>
      </c>
      <c r="D3" s="238" t="s">
        <v>493</v>
      </c>
      <c r="E3" s="18"/>
      <c r="F3" s="654" t="s">
        <v>208</v>
      </c>
      <c r="G3" s="655"/>
      <c r="H3" s="656"/>
      <c r="I3" s="657"/>
      <c r="L3" s="658" t="s">
        <v>474</v>
      </c>
      <c r="M3" s="658"/>
      <c r="O3" s="76" t="s">
        <v>195</v>
      </c>
    </row>
    <row r="4" spans="1:15" ht="16.5" thickBot="1" x14ac:dyDescent="0.3">
      <c r="A4" s="236" t="s">
        <v>145</v>
      </c>
      <c r="B4" s="233">
        <v>2.5190000000000001</v>
      </c>
      <c r="C4" s="237" t="s">
        <v>459</v>
      </c>
      <c r="D4" s="223" t="s">
        <v>367</v>
      </c>
      <c r="E4" s="25"/>
      <c r="F4" s="60" t="s">
        <v>127</v>
      </c>
      <c r="G4" s="61" t="s">
        <v>177</v>
      </c>
      <c r="H4" s="62" t="s">
        <v>128</v>
      </c>
      <c r="I4" s="63" t="s">
        <v>177</v>
      </c>
      <c r="L4" s="76" t="s">
        <v>475</v>
      </c>
      <c r="M4" s="76" t="s">
        <v>494</v>
      </c>
      <c r="O4" s="71" t="s">
        <v>127</v>
      </c>
    </row>
    <row r="5" spans="1:15" x14ac:dyDescent="0.25">
      <c r="A5" s="236" t="s">
        <v>146</v>
      </c>
      <c r="B5" s="233">
        <v>1.4178999999999999</v>
      </c>
      <c r="C5" s="237" t="s">
        <v>459</v>
      </c>
      <c r="D5" s="223">
        <v>0</v>
      </c>
      <c r="F5" s="54">
        <v>0</v>
      </c>
      <c r="G5" s="55">
        <v>0</v>
      </c>
      <c r="H5" s="64">
        <v>0</v>
      </c>
      <c r="I5" s="55">
        <v>0</v>
      </c>
      <c r="L5" s="27" t="s">
        <v>145</v>
      </c>
      <c r="M5" s="27" t="s">
        <v>145</v>
      </c>
      <c r="O5" s="71" t="s">
        <v>128</v>
      </c>
    </row>
    <row r="6" spans="1:15" x14ac:dyDescent="0.25">
      <c r="A6" s="236" t="s">
        <v>147</v>
      </c>
      <c r="B6" s="233">
        <v>1.32</v>
      </c>
      <c r="C6" s="237" t="s">
        <v>459</v>
      </c>
      <c r="D6" s="223" t="s">
        <v>368</v>
      </c>
      <c r="F6" s="57">
        <v>1</v>
      </c>
      <c r="G6" s="58">
        <v>0.29515999999999998</v>
      </c>
      <c r="H6" s="59">
        <v>1</v>
      </c>
      <c r="I6" s="58">
        <v>0.36399999999999999</v>
      </c>
      <c r="L6" s="26" t="s">
        <v>146</v>
      </c>
      <c r="M6" s="26" t="s">
        <v>146</v>
      </c>
    </row>
    <row r="7" spans="1:15" x14ac:dyDescent="0.25">
      <c r="A7" s="236" t="s">
        <v>148</v>
      </c>
      <c r="B7" s="233">
        <v>4.2300000000000004</v>
      </c>
      <c r="C7" s="237" t="s">
        <v>459</v>
      </c>
      <c r="D7" s="223" t="s">
        <v>369</v>
      </c>
      <c r="F7" s="46">
        <v>2</v>
      </c>
      <c r="G7" s="47">
        <v>0.29824000000000001</v>
      </c>
      <c r="H7" s="51">
        <v>2</v>
      </c>
      <c r="I7" s="47">
        <v>0.36699999999999999</v>
      </c>
      <c r="L7" s="16" t="s">
        <v>147</v>
      </c>
      <c r="M7" s="16" t="s">
        <v>147</v>
      </c>
    </row>
    <row r="8" spans="1:15" x14ac:dyDescent="0.25">
      <c r="A8" s="236" t="s">
        <v>121</v>
      </c>
      <c r="B8" s="233">
        <v>2.1909999999999998</v>
      </c>
      <c r="C8" s="237" t="s">
        <v>459</v>
      </c>
      <c r="D8" s="223" t="s">
        <v>370</v>
      </c>
      <c r="F8" s="46">
        <v>3</v>
      </c>
      <c r="G8" s="47">
        <v>0.30124000000000001</v>
      </c>
      <c r="H8" s="51">
        <v>3</v>
      </c>
      <c r="I8" s="47">
        <v>0.37</v>
      </c>
      <c r="L8" s="27" t="s">
        <v>121</v>
      </c>
      <c r="M8" s="27" t="s">
        <v>148</v>
      </c>
      <c r="O8" s="76" t="s">
        <v>466</v>
      </c>
    </row>
    <row r="9" spans="1:15" x14ac:dyDescent="0.25">
      <c r="A9" s="236" t="s">
        <v>150</v>
      </c>
      <c r="B9" s="233">
        <v>1.6120000000000001</v>
      </c>
      <c r="C9" s="237" t="s">
        <v>459</v>
      </c>
      <c r="D9" s="223" t="s">
        <v>371</v>
      </c>
      <c r="F9" s="46">
        <v>4</v>
      </c>
      <c r="G9" s="47">
        <v>0.30415999999999999</v>
      </c>
      <c r="H9" s="51">
        <v>4</v>
      </c>
      <c r="I9" s="47">
        <v>0.373</v>
      </c>
      <c r="L9" s="27" t="s">
        <v>150</v>
      </c>
      <c r="M9" s="27" t="s">
        <v>121</v>
      </c>
      <c r="O9" s="214" t="s">
        <v>465</v>
      </c>
    </row>
    <row r="10" spans="1:15" x14ac:dyDescent="0.25">
      <c r="A10" s="236" t="s">
        <v>302</v>
      </c>
      <c r="B10" s="233">
        <v>1.6951000000000001</v>
      </c>
      <c r="C10" s="237" t="s">
        <v>459</v>
      </c>
      <c r="D10" s="223" t="s">
        <v>500</v>
      </c>
      <c r="F10" s="46">
        <v>5</v>
      </c>
      <c r="G10" s="47">
        <v>0.307</v>
      </c>
      <c r="H10" s="51">
        <v>5</v>
      </c>
      <c r="I10" s="47">
        <v>0.376</v>
      </c>
      <c r="L10" s="27" t="s">
        <v>302</v>
      </c>
      <c r="M10" s="27" t="s">
        <v>149</v>
      </c>
      <c r="O10" s="214" t="s">
        <v>305</v>
      </c>
    </row>
    <row r="11" spans="1:15" x14ac:dyDescent="0.25">
      <c r="A11" s="236" t="s">
        <v>179</v>
      </c>
      <c r="B11" s="233">
        <v>1.2</v>
      </c>
      <c r="C11" s="237" t="s">
        <v>459</v>
      </c>
      <c r="D11" s="223" t="s">
        <v>372</v>
      </c>
      <c r="F11" s="46">
        <v>6</v>
      </c>
      <c r="G11" s="47">
        <v>0.30975999999999998</v>
      </c>
      <c r="H11" s="51">
        <v>6</v>
      </c>
      <c r="I11" s="47">
        <v>0.379</v>
      </c>
      <c r="L11" s="27" t="s">
        <v>111</v>
      </c>
      <c r="M11" s="27" t="s">
        <v>150</v>
      </c>
      <c r="O11" s="214" t="s">
        <v>308</v>
      </c>
    </row>
    <row r="12" spans="1:15" x14ac:dyDescent="0.25">
      <c r="A12" s="236" t="s">
        <v>111</v>
      </c>
      <c r="B12" s="233">
        <v>0.32</v>
      </c>
      <c r="C12" s="237" t="s">
        <v>459</v>
      </c>
      <c r="D12" s="223" t="s">
        <v>373</v>
      </c>
      <c r="F12" s="46">
        <v>7</v>
      </c>
      <c r="G12" s="47">
        <v>0.31244</v>
      </c>
      <c r="H12" s="51">
        <v>7</v>
      </c>
      <c r="I12" s="47">
        <v>0.38200000000000001</v>
      </c>
      <c r="L12" s="480" t="s">
        <v>1785</v>
      </c>
      <c r="M12" s="27" t="s">
        <v>302</v>
      </c>
    </row>
    <row r="13" spans="1:15" x14ac:dyDescent="0.25">
      <c r="A13" s="236" t="s">
        <v>112</v>
      </c>
      <c r="B13" s="233">
        <v>0.38</v>
      </c>
      <c r="C13" s="237" t="s">
        <v>459</v>
      </c>
      <c r="D13" s="223" t="s">
        <v>374</v>
      </c>
      <c r="F13" s="46">
        <v>8</v>
      </c>
      <c r="G13" s="47">
        <v>0.31503999999999999</v>
      </c>
      <c r="H13" s="51">
        <v>8</v>
      </c>
      <c r="I13" s="47">
        <v>0.38500000000000001</v>
      </c>
      <c r="L13" s="374" t="s">
        <v>112</v>
      </c>
      <c r="M13" s="27" t="s">
        <v>113</v>
      </c>
      <c r="O13" s="226" t="s">
        <v>477</v>
      </c>
    </row>
    <row r="14" spans="1:15" x14ac:dyDescent="0.25">
      <c r="A14" s="236" t="s">
        <v>110</v>
      </c>
      <c r="B14" s="233">
        <v>0.54</v>
      </c>
      <c r="C14" s="237" t="s">
        <v>459</v>
      </c>
      <c r="D14" s="223" t="s">
        <v>375</v>
      </c>
      <c r="F14" s="46">
        <v>9</v>
      </c>
      <c r="G14" s="47">
        <v>0.31756000000000001</v>
      </c>
      <c r="H14" s="51">
        <v>9</v>
      </c>
      <c r="I14" s="47">
        <v>0.38800000000000001</v>
      </c>
      <c r="L14" s="374" t="s">
        <v>110</v>
      </c>
      <c r="M14" s="27" t="s">
        <v>111</v>
      </c>
      <c r="O14" s="222" t="s">
        <v>478</v>
      </c>
    </row>
    <row r="15" spans="1:15" x14ac:dyDescent="0.25">
      <c r="A15" s="521" t="s">
        <v>1777</v>
      </c>
      <c r="B15" s="522">
        <v>0.54</v>
      </c>
      <c r="C15" s="523" t="s">
        <v>459</v>
      </c>
      <c r="D15" s="524" t="s">
        <v>502</v>
      </c>
      <c r="F15" s="46">
        <v>10</v>
      </c>
      <c r="G15" s="47">
        <v>0.32</v>
      </c>
      <c r="H15" s="51">
        <v>10</v>
      </c>
      <c r="I15" s="47">
        <v>0.39100000000000001</v>
      </c>
      <c r="L15" s="374" t="s">
        <v>179</v>
      </c>
      <c r="M15" s="27" t="s">
        <v>112</v>
      </c>
      <c r="O15" s="222" t="s">
        <v>479</v>
      </c>
    </row>
    <row r="16" spans="1:15" x14ac:dyDescent="0.25">
      <c r="A16" s="243" t="s">
        <v>399</v>
      </c>
      <c r="B16" s="244">
        <v>0.41</v>
      </c>
      <c r="C16" s="245" t="s">
        <v>459</v>
      </c>
      <c r="D16" s="246">
        <v>0</v>
      </c>
      <c r="F16" s="46">
        <v>11</v>
      </c>
      <c r="G16" s="47">
        <v>0.32235999999999998</v>
      </c>
      <c r="H16" s="51">
        <v>11</v>
      </c>
      <c r="I16" s="47">
        <v>0.39400000000000002</v>
      </c>
      <c r="L16" s="480" t="s">
        <v>295</v>
      </c>
      <c r="M16" s="27" t="s">
        <v>110</v>
      </c>
      <c r="O16" s="222" t="s">
        <v>480</v>
      </c>
    </row>
    <row r="17" spans="1:15" x14ac:dyDescent="0.25">
      <c r="A17" s="243" t="s">
        <v>113</v>
      </c>
      <c r="B17" s="244">
        <v>0.58209999999999995</v>
      </c>
      <c r="C17" s="245" t="s">
        <v>459</v>
      </c>
      <c r="D17" s="246">
        <v>0</v>
      </c>
      <c r="F17" s="46">
        <v>12</v>
      </c>
      <c r="G17" s="47">
        <v>0.32463999999999998</v>
      </c>
      <c r="H17" s="51">
        <v>12</v>
      </c>
      <c r="I17" s="47">
        <v>0.39700000000000002</v>
      </c>
      <c r="L17" s="374" t="s">
        <v>152</v>
      </c>
      <c r="M17" s="27" t="s">
        <v>399</v>
      </c>
      <c r="O17" s="222" t="s">
        <v>481</v>
      </c>
    </row>
    <row r="18" spans="1:15" x14ac:dyDescent="0.25">
      <c r="A18" s="243" t="s">
        <v>151</v>
      </c>
      <c r="B18" s="244">
        <v>1.633</v>
      </c>
      <c r="C18" s="245" t="s">
        <v>459</v>
      </c>
      <c r="D18" s="246">
        <v>0</v>
      </c>
      <c r="F18" s="46">
        <v>13</v>
      </c>
      <c r="G18" s="47">
        <v>0.32683999999999996</v>
      </c>
      <c r="H18" s="51">
        <v>13</v>
      </c>
      <c r="I18" s="47">
        <v>0.39999999999999997</v>
      </c>
      <c r="L18" s="372" t="s">
        <v>117</v>
      </c>
      <c r="M18" s="27" t="s">
        <v>179</v>
      </c>
      <c r="O18" s="222" t="s">
        <v>482</v>
      </c>
    </row>
    <row r="19" spans="1:15" x14ac:dyDescent="0.25">
      <c r="A19" s="236" t="s">
        <v>152</v>
      </c>
      <c r="B19" s="233">
        <v>1.28</v>
      </c>
      <c r="C19" s="237" t="s">
        <v>459</v>
      </c>
      <c r="D19" s="223" t="s">
        <v>376</v>
      </c>
      <c r="F19" s="46">
        <v>14</v>
      </c>
      <c r="G19" s="47">
        <v>0.32895999999999997</v>
      </c>
      <c r="H19" s="51">
        <v>14</v>
      </c>
      <c r="I19" s="47">
        <v>0.40299999999999997</v>
      </c>
      <c r="L19" s="372" t="s">
        <v>154</v>
      </c>
      <c r="M19" s="27" t="s">
        <v>151</v>
      </c>
    </row>
    <row r="20" spans="1:15" x14ac:dyDescent="0.25">
      <c r="A20" s="236" t="s">
        <v>117</v>
      </c>
      <c r="B20" s="233">
        <v>1.2869999999999999</v>
      </c>
      <c r="C20" s="237" t="s">
        <v>459</v>
      </c>
      <c r="D20" s="223" t="s">
        <v>377</v>
      </c>
      <c r="F20" s="46">
        <v>15</v>
      </c>
      <c r="G20" s="47">
        <v>0.33199999999999996</v>
      </c>
      <c r="H20" s="51">
        <v>15</v>
      </c>
      <c r="I20" s="47">
        <v>0.40599999999999997</v>
      </c>
      <c r="L20" s="372" t="s">
        <v>118</v>
      </c>
      <c r="M20" s="27" t="s">
        <v>152</v>
      </c>
    </row>
    <row r="21" spans="1:15" x14ac:dyDescent="0.25">
      <c r="A21" s="243" t="s">
        <v>153</v>
      </c>
      <c r="B21" s="244">
        <v>1.4372</v>
      </c>
      <c r="C21" s="245" t="s">
        <v>459</v>
      </c>
      <c r="D21" s="246">
        <v>0</v>
      </c>
      <c r="F21" s="46">
        <v>16</v>
      </c>
      <c r="G21" s="47">
        <v>0.33395999999999998</v>
      </c>
      <c r="H21" s="52"/>
      <c r="I21" s="48"/>
      <c r="L21" s="374" t="s">
        <v>119</v>
      </c>
      <c r="M21" s="372" t="s">
        <v>117</v>
      </c>
    </row>
    <row r="22" spans="1:15" x14ac:dyDescent="0.25">
      <c r="A22" s="236" t="s">
        <v>154</v>
      </c>
      <c r="B22" s="233">
        <v>0.97699999999999998</v>
      </c>
      <c r="C22" s="237" t="s">
        <v>459</v>
      </c>
      <c r="D22" s="223" t="s">
        <v>378</v>
      </c>
      <c r="F22" s="46">
        <v>17</v>
      </c>
      <c r="G22" s="47">
        <v>0.33583999999999997</v>
      </c>
      <c r="H22" s="52"/>
      <c r="I22" s="48"/>
      <c r="L22" s="374" t="s">
        <v>120</v>
      </c>
      <c r="M22" s="374" t="s">
        <v>153</v>
      </c>
    </row>
    <row r="23" spans="1:15" x14ac:dyDescent="0.25">
      <c r="A23" s="236" t="s">
        <v>118</v>
      </c>
      <c r="B23" s="233">
        <v>1.4</v>
      </c>
      <c r="C23" s="237" t="s">
        <v>459</v>
      </c>
      <c r="D23" s="223" t="s">
        <v>379</v>
      </c>
      <c r="F23" s="46">
        <v>18</v>
      </c>
      <c r="G23" s="47">
        <v>0.33764</v>
      </c>
      <c r="H23" s="52"/>
      <c r="I23" s="48"/>
      <c r="L23" s="374" t="s">
        <v>533</v>
      </c>
      <c r="M23" s="27" t="s">
        <v>154</v>
      </c>
      <c r="O23" s="226" t="s">
        <v>483</v>
      </c>
    </row>
    <row r="24" spans="1:15" x14ac:dyDescent="0.25">
      <c r="A24" s="236" t="s">
        <v>119</v>
      </c>
      <c r="B24" s="233">
        <v>1.288</v>
      </c>
      <c r="C24" s="237" t="s">
        <v>459</v>
      </c>
      <c r="D24" s="223" t="s">
        <v>380</v>
      </c>
      <c r="F24" s="46">
        <v>19</v>
      </c>
      <c r="G24" s="47">
        <v>0.33935999999999999</v>
      </c>
      <c r="H24" s="52"/>
      <c r="I24" s="48"/>
      <c r="L24" s="372" t="s">
        <v>114</v>
      </c>
      <c r="M24" s="372" t="s">
        <v>118</v>
      </c>
      <c r="O24" s="221" t="s">
        <v>484</v>
      </c>
    </row>
    <row r="25" spans="1:15" x14ac:dyDescent="0.25">
      <c r="A25" s="236" t="s">
        <v>120</v>
      </c>
      <c r="B25" s="233">
        <v>1.5820000000000001</v>
      </c>
      <c r="C25" s="237" t="s">
        <v>459</v>
      </c>
      <c r="D25" s="223" t="s">
        <v>381</v>
      </c>
      <c r="F25" s="46">
        <v>20</v>
      </c>
      <c r="G25" s="47">
        <v>0.34149999999999997</v>
      </c>
      <c r="H25" s="52"/>
      <c r="I25" s="48"/>
      <c r="L25" s="372" t="s">
        <v>115</v>
      </c>
      <c r="M25" s="374" t="s">
        <v>119</v>
      </c>
      <c r="O25" s="221" t="s">
        <v>485</v>
      </c>
    </row>
    <row r="26" spans="1:15" x14ac:dyDescent="0.25">
      <c r="A26" s="236" t="s">
        <v>533</v>
      </c>
      <c r="B26" s="233">
        <v>1.504</v>
      </c>
      <c r="C26" s="237" t="s">
        <v>459</v>
      </c>
      <c r="D26" s="223" t="s">
        <v>501</v>
      </c>
      <c r="F26" s="46">
        <v>21</v>
      </c>
      <c r="G26" s="47">
        <v>0.34305999999999998</v>
      </c>
      <c r="H26" s="52"/>
      <c r="I26" s="48"/>
      <c r="L26" s="372" t="s">
        <v>116</v>
      </c>
      <c r="M26" s="27" t="s">
        <v>120</v>
      </c>
      <c r="O26" s="221" t="s">
        <v>486</v>
      </c>
    </row>
    <row r="27" spans="1:15" x14ac:dyDescent="0.25">
      <c r="A27" s="236" t="s">
        <v>114</v>
      </c>
      <c r="B27" s="233">
        <v>1.377</v>
      </c>
      <c r="C27" s="237" t="s">
        <v>459</v>
      </c>
      <c r="D27" s="223" t="s">
        <v>382</v>
      </c>
      <c r="F27" s="46">
        <v>22</v>
      </c>
      <c r="G27" s="47">
        <v>0.34453999999999996</v>
      </c>
      <c r="H27" s="52"/>
      <c r="I27" s="48"/>
      <c r="L27" s="374" t="s">
        <v>465</v>
      </c>
      <c r="M27" s="27" t="s">
        <v>533</v>
      </c>
    </row>
    <row r="28" spans="1:15" x14ac:dyDescent="0.25">
      <c r="A28" s="236" t="s">
        <v>115</v>
      </c>
      <c r="B28" s="233">
        <v>1.38</v>
      </c>
      <c r="C28" s="237" t="s">
        <v>459</v>
      </c>
      <c r="D28" s="223" t="s">
        <v>383</v>
      </c>
      <c r="F28" s="46">
        <v>23</v>
      </c>
      <c r="G28" s="47">
        <v>0.34593999999999997</v>
      </c>
      <c r="H28" s="52"/>
      <c r="I28" s="48"/>
      <c r="L28" s="374" t="s">
        <v>305</v>
      </c>
      <c r="M28" s="372" t="s">
        <v>114</v>
      </c>
    </row>
    <row r="29" spans="1:15" x14ac:dyDescent="0.25">
      <c r="A29" s="236" t="s">
        <v>116</v>
      </c>
      <c r="B29" s="233">
        <v>1.0149999999999999</v>
      </c>
      <c r="C29" s="237" t="s">
        <v>459</v>
      </c>
      <c r="D29" s="223" t="s">
        <v>384</v>
      </c>
      <c r="F29" s="46">
        <v>24</v>
      </c>
      <c r="G29" s="47">
        <v>0.34726000000000001</v>
      </c>
      <c r="H29" s="52"/>
      <c r="I29" s="48"/>
      <c r="L29" s="236" t="s">
        <v>1793</v>
      </c>
      <c r="M29" s="16" t="s">
        <v>115</v>
      </c>
      <c r="O29" s="226" t="s">
        <v>492</v>
      </c>
    </row>
    <row r="30" spans="1:15" x14ac:dyDescent="0.25">
      <c r="A30" s="236" t="s">
        <v>49</v>
      </c>
      <c r="B30" s="233">
        <v>3.2</v>
      </c>
      <c r="C30" s="237" t="s">
        <v>459</v>
      </c>
      <c r="D30" s="223" t="s">
        <v>503</v>
      </c>
      <c r="F30" s="46">
        <v>25</v>
      </c>
      <c r="G30" s="47">
        <v>0.34899999999999998</v>
      </c>
      <c r="H30" s="52"/>
      <c r="I30" s="48"/>
      <c r="L30" s="374" t="s">
        <v>125</v>
      </c>
      <c r="M30" s="16" t="s">
        <v>116</v>
      </c>
      <c r="O30" s="227" t="s">
        <v>212</v>
      </c>
    </row>
    <row r="31" spans="1:15" x14ac:dyDescent="0.25">
      <c r="A31" s="236" t="s">
        <v>95</v>
      </c>
      <c r="B31" s="233">
        <v>3.15</v>
      </c>
      <c r="C31" s="237" t="s">
        <v>459</v>
      </c>
      <c r="D31" s="223" t="s">
        <v>385</v>
      </c>
      <c r="F31" s="46">
        <v>26</v>
      </c>
      <c r="G31" s="47">
        <v>0.35015999999999997</v>
      </c>
      <c r="H31" s="52"/>
      <c r="I31" s="48"/>
      <c r="L31" s="374" t="s">
        <v>157</v>
      </c>
      <c r="M31" s="16" t="s">
        <v>178</v>
      </c>
      <c r="O31" s="227" t="s">
        <v>213</v>
      </c>
    </row>
    <row r="32" spans="1:15" x14ac:dyDescent="0.25">
      <c r="A32" s="236" t="s">
        <v>96</v>
      </c>
      <c r="B32" s="233">
        <v>3.15</v>
      </c>
      <c r="C32" s="237" t="s">
        <v>459</v>
      </c>
      <c r="D32" s="223" t="s">
        <v>386</v>
      </c>
      <c r="F32" s="46">
        <v>27</v>
      </c>
      <c r="G32" s="47">
        <v>0.35124</v>
      </c>
      <c r="H32" s="52"/>
      <c r="I32" s="48"/>
      <c r="L32" s="374" t="s">
        <v>106</v>
      </c>
      <c r="M32" s="374" t="s">
        <v>95</v>
      </c>
      <c r="O32" s="227" t="s">
        <v>214</v>
      </c>
    </row>
    <row r="33" spans="1:15" x14ac:dyDescent="0.25">
      <c r="A33" s="236" t="s">
        <v>97</v>
      </c>
      <c r="B33" s="233">
        <v>3.2</v>
      </c>
      <c r="C33" s="237" t="s">
        <v>459</v>
      </c>
      <c r="D33" s="223" t="s">
        <v>387</v>
      </c>
      <c r="F33" s="46">
        <v>28</v>
      </c>
      <c r="G33" s="47">
        <v>0.35224</v>
      </c>
      <c r="H33" s="52"/>
      <c r="I33" s="48"/>
      <c r="L33" s="374" t="s">
        <v>158</v>
      </c>
      <c r="M33" s="27" t="s">
        <v>96</v>
      </c>
      <c r="O33" s="227" t="s">
        <v>215</v>
      </c>
    </row>
    <row r="34" spans="1:15" x14ac:dyDescent="0.25">
      <c r="A34" s="243" t="s">
        <v>98</v>
      </c>
      <c r="B34" s="244">
        <v>1</v>
      </c>
      <c r="C34" s="245" t="s">
        <v>459</v>
      </c>
      <c r="D34" s="246">
        <v>0</v>
      </c>
      <c r="F34" s="46">
        <v>29</v>
      </c>
      <c r="G34" s="47">
        <v>0.35315999999999997</v>
      </c>
      <c r="H34" s="52"/>
      <c r="I34" s="48"/>
      <c r="L34" s="374" t="s">
        <v>108</v>
      </c>
      <c r="M34" s="27" t="s">
        <v>97</v>
      </c>
      <c r="O34" s="227" t="s">
        <v>216</v>
      </c>
    </row>
    <row r="35" spans="1:15" x14ac:dyDescent="0.25">
      <c r="A35" s="236" t="s">
        <v>100</v>
      </c>
      <c r="B35" s="233">
        <v>3.0049999999999999</v>
      </c>
      <c r="C35" s="237" t="s">
        <v>459</v>
      </c>
      <c r="D35" s="223" t="s">
        <v>388</v>
      </c>
      <c r="F35" s="46">
        <v>30</v>
      </c>
      <c r="G35" s="47">
        <v>0.35499999999999998</v>
      </c>
      <c r="H35" s="52"/>
      <c r="I35" s="48"/>
      <c r="L35" s="374" t="s">
        <v>159</v>
      </c>
      <c r="M35" s="27" t="s">
        <v>98</v>
      </c>
      <c r="O35" s="227" t="s">
        <v>217</v>
      </c>
    </row>
    <row r="36" spans="1:15" x14ac:dyDescent="0.25">
      <c r="A36" s="236" t="s">
        <v>155</v>
      </c>
      <c r="B36" s="233">
        <v>1.7929999999999999</v>
      </c>
      <c r="C36" s="237" t="s">
        <v>459</v>
      </c>
      <c r="D36" s="223" t="s">
        <v>389</v>
      </c>
      <c r="F36" s="46">
        <v>31</v>
      </c>
      <c r="G36" s="47">
        <v>0.35575999999999997</v>
      </c>
      <c r="H36" s="52"/>
      <c r="I36" s="48"/>
      <c r="L36" s="374" t="s">
        <v>160</v>
      </c>
      <c r="M36" s="27" t="s">
        <v>100</v>
      </c>
      <c r="O36" s="227" t="s">
        <v>218</v>
      </c>
    </row>
    <row r="37" spans="1:15" x14ac:dyDescent="0.25">
      <c r="A37" s="243" t="s">
        <v>103</v>
      </c>
      <c r="B37" s="244">
        <v>2.5</v>
      </c>
      <c r="C37" s="245" t="s">
        <v>459</v>
      </c>
      <c r="D37" s="245">
        <v>0</v>
      </c>
      <c r="F37" s="46">
        <v>32</v>
      </c>
      <c r="G37" s="47">
        <v>0.35643999999999998</v>
      </c>
      <c r="H37" s="52"/>
      <c r="I37" s="48"/>
      <c r="L37" s="374" t="s">
        <v>161</v>
      </c>
      <c r="M37" s="372" t="s">
        <v>155</v>
      </c>
      <c r="O37" s="227" t="s">
        <v>219</v>
      </c>
    </row>
    <row r="38" spans="1:15" x14ac:dyDescent="0.25">
      <c r="A38" s="236" t="s">
        <v>465</v>
      </c>
      <c r="B38" s="233">
        <v>1.06</v>
      </c>
      <c r="C38" s="237" t="s">
        <v>463</v>
      </c>
      <c r="D38" s="237" t="s">
        <v>498</v>
      </c>
      <c r="F38" s="46">
        <v>33</v>
      </c>
      <c r="G38" s="47">
        <v>0.35703999999999997</v>
      </c>
      <c r="H38" s="52"/>
      <c r="I38" s="48"/>
      <c r="L38" s="374" t="s">
        <v>162</v>
      </c>
      <c r="M38" s="374" t="s">
        <v>103</v>
      </c>
    </row>
    <row r="39" spans="1:15" x14ac:dyDescent="0.25">
      <c r="A39" s="236" t="s">
        <v>305</v>
      </c>
      <c r="B39" s="233">
        <v>1.06</v>
      </c>
      <c r="C39" s="237" t="s">
        <v>463</v>
      </c>
      <c r="D39" s="237" t="s">
        <v>495</v>
      </c>
      <c r="F39" s="46">
        <v>34</v>
      </c>
      <c r="G39" s="47">
        <v>0.35755999999999999</v>
      </c>
      <c r="H39" s="52"/>
      <c r="I39" s="48"/>
      <c r="L39" s="374" t="s">
        <v>163</v>
      </c>
      <c r="M39" s="27" t="s">
        <v>465</v>
      </c>
    </row>
    <row r="40" spans="1:15" x14ac:dyDescent="0.25">
      <c r="A40" s="236" t="s">
        <v>101</v>
      </c>
      <c r="B40" s="233">
        <v>2.0499999999999998</v>
      </c>
      <c r="C40" s="237" t="s">
        <v>459</v>
      </c>
      <c r="D40" s="223" t="s">
        <v>394</v>
      </c>
      <c r="F40" s="46">
        <v>35</v>
      </c>
      <c r="G40" s="47">
        <v>0.35899999999999999</v>
      </c>
      <c r="H40" s="52"/>
      <c r="I40" s="48"/>
      <c r="L40" s="374" t="s">
        <v>164</v>
      </c>
      <c r="M40" s="27" t="s">
        <v>305</v>
      </c>
    </row>
    <row r="41" spans="1:15" x14ac:dyDescent="0.25">
      <c r="A41" s="236" t="s">
        <v>102</v>
      </c>
      <c r="B41" s="233">
        <v>2.476</v>
      </c>
      <c r="C41" s="237" t="s">
        <v>459</v>
      </c>
      <c r="D41" s="223" t="s">
        <v>394</v>
      </c>
      <c r="F41" s="46">
        <v>36</v>
      </c>
      <c r="G41" s="47">
        <v>0.35936000000000001</v>
      </c>
      <c r="H41" s="52"/>
      <c r="I41" s="48"/>
      <c r="L41" s="374" t="s">
        <v>333</v>
      </c>
      <c r="M41" s="27" t="s">
        <v>101</v>
      </c>
    </row>
    <row r="42" spans="1:15" ht="15.75" thickBot="1" x14ac:dyDescent="0.3">
      <c r="A42" s="236" t="s">
        <v>1793</v>
      </c>
      <c r="B42" s="233">
        <v>2.5419999999999998</v>
      </c>
      <c r="C42" s="237" t="s">
        <v>459</v>
      </c>
      <c r="D42" s="223" t="s">
        <v>395</v>
      </c>
      <c r="F42" s="49">
        <v>37</v>
      </c>
      <c r="G42" s="56">
        <v>0.36063999999999996</v>
      </c>
      <c r="H42" s="53"/>
      <c r="I42" s="50"/>
      <c r="L42" s="374" t="s">
        <v>329</v>
      </c>
      <c r="M42" s="27" t="s">
        <v>102</v>
      </c>
    </row>
    <row r="43" spans="1:15" x14ac:dyDescent="0.25">
      <c r="A43" s="236" t="s">
        <v>125</v>
      </c>
      <c r="B43" s="233">
        <v>2.3530000000000002</v>
      </c>
      <c r="C43" s="237" t="s">
        <v>459</v>
      </c>
      <c r="D43" s="223" t="s">
        <v>392</v>
      </c>
      <c r="F43" s="13"/>
      <c r="G43" s="13"/>
      <c r="L43" s="374" t="s">
        <v>331</v>
      </c>
      <c r="M43" s="27" t="s">
        <v>308</v>
      </c>
    </row>
    <row r="44" spans="1:15" x14ac:dyDescent="0.25">
      <c r="A44" s="236" t="s">
        <v>308</v>
      </c>
      <c r="B44" s="233">
        <v>1.073</v>
      </c>
      <c r="C44" s="237" t="s">
        <v>463</v>
      </c>
      <c r="D44" s="237" t="s">
        <v>497</v>
      </c>
      <c r="F44" s="13"/>
      <c r="G44" s="13"/>
      <c r="L44" s="374" t="s">
        <v>133</v>
      </c>
      <c r="M44" s="27" t="s">
        <v>156</v>
      </c>
    </row>
    <row r="45" spans="1:15" x14ac:dyDescent="0.25">
      <c r="A45" s="236" t="s">
        <v>157</v>
      </c>
      <c r="B45" s="233">
        <v>2.1509999999999998</v>
      </c>
      <c r="C45" s="237" t="s">
        <v>459</v>
      </c>
      <c r="D45" s="223" t="s">
        <v>396</v>
      </c>
      <c r="F45" s="40"/>
      <c r="G45" s="41"/>
      <c r="L45" s="374" t="s">
        <v>328</v>
      </c>
      <c r="M45" s="27" t="s">
        <v>125</v>
      </c>
    </row>
    <row r="46" spans="1:15" x14ac:dyDescent="0.25">
      <c r="A46" s="236" t="s">
        <v>106</v>
      </c>
      <c r="B46" s="233">
        <v>2.5419999999999998</v>
      </c>
      <c r="C46" s="237" t="s">
        <v>459</v>
      </c>
      <c r="D46" s="223" t="s">
        <v>395</v>
      </c>
      <c r="F46" s="13"/>
      <c r="G46" s="13"/>
      <c r="L46" s="26" t="s">
        <v>131</v>
      </c>
      <c r="M46" s="27" t="s">
        <v>157</v>
      </c>
    </row>
    <row r="47" spans="1:15" x14ac:dyDescent="0.25">
      <c r="A47" s="243" t="s">
        <v>134</v>
      </c>
      <c r="B47" s="244">
        <v>1.109</v>
      </c>
      <c r="C47" s="245" t="s">
        <v>459</v>
      </c>
      <c r="D47" s="246">
        <v>0</v>
      </c>
      <c r="F47" s="13"/>
      <c r="G47" s="13"/>
      <c r="L47" s="26" t="s">
        <v>323</v>
      </c>
      <c r="M47" s="27" t="s">
        <v>106</v>
      </c>
    </row>
    <row r="48" spans="1:15" x14ac:dyDescent="0.25">
      <c r="A48" s="236" t="s">
        <v>158</v>
      </c>
      <c r="B48" s="233">
        <v>2.5270999999999999</v>
      </c>
      <c r="C48" s="237" t="s">
        <v>459</v>
      </c>
      <c r="D48" s="223" t="s">
        <v>397</v>
      </c>
      <c r="F48" s="13"/>
      <c r="G48" s="13"/>
      <c r="L48" s="374" t="s">
        <v>165</v>
      </c>
      <c r="M48" s="27" t="s">
        <v>134</v>
      </c>
    </row>
    <row r="49" spans="1:15" x14ac:dyDescent="0.25">
      <c r="A49" s="236" t="s">
        <v>108</v>
      </c>
      <c r="B49" s="233">
        <v>5.0199999999999996</v>
      </c>
      <c r="C49" s="237" t="s">
        <v>459</v>
      </c>
      <c r="D49" s="223" t="s">
        <v>398</v>
      </c>
      <c r="F49" s="13"/>
      <c r="G49" s="13"/>
      <c r="L49" s="374" t="s">
        <v>326</v>
      </c>
      <c r="M49" s="27" t="s">
        <v>158</v>
      </c>
    </row>
    <row r="50" spans="1:15" x14ac:dyDescent="0.25">
      <c r="A50" s="236" t="s">
        <v>159</v>
      </c>
      <c r="B50" s="233">
        <v>1.26</v>
      </c>
      <c r="C50" s="237" t="s">
        <v>459</v>
      </c>
      <c r="D50" s="223" t="s">
        <v>400</v>
      </c>
      <c r="F50" s="13"/>
      <c r="G50" s="13"/>
      <c r="L50" s="480" t="s">
        <v>1777</v>
      </c>
      <c r="M50" s="27" t="s">
        <v>108</v>
      </c>
    </row>
    <row r="51" spans="1:15" x14ac:dyDescent="0.25">
      <c r="A51" s="236" t="s">
        <v>160</v>
      </c>
      <c r="B51" s="233">
        <v>2.2968000000000002</v>
      </c>
      <c r="C51" s="237" t="s">
        <v>459</v>
      </c>
      <c r="D51" s="223" t="s">
        <v>401</v>
      </c>
      <c r="L51" s="374" t="s">
        <v>166</v>
      </c>
      <c r="M51" s="27" t="s">
        <v>159</v>
      </c>
    </row>
    <row r="52" spans="1:15" x14ac:dyDescent="0.25">
      <c r="A52" s="236" t="s">
        <v>161</v>
      </c>
      <c r="B52" s="233">
        <v>1.42</v>
      </c>
      <c r="C52" s="237" t="s">
        <v>459</v>
      </c>
      <c r="D52" s="223" t="s">
        <v>403</v>
      </c>
      <c r="L52" s="374" t="s">
        <v>167</v>
      </c>
      <c r="M52" s="27" t="s">
        <v>160</v>
      </c>
    </row>
    <row r="53" spans="1:15" x14ac:dyDescent="0.25">
      <c r="A53" s="236" t="s">
        <v>162</v>
      </c>
      <c r="B53" s="233">
        <v>1.7673000000000001</v>
      </c>
      <c r="C53" s="237" t="s">
        <v>459</v>
      </c>
      <c r="D53" s="223" t="s">
        <v>402</v>
      </c>
      <c r="L53" s="480" t="s">
        <v>614</v>
      </c>
      <c r="M53" s="27" t="s">
        <v>161</v>
      </c>
    </row>
    <row r="54" spans="1:15" x14ac:dyDescent="0.25">
      <c r="A54" s="236" t="s">
        <v>99</v>
      </c>
      <c r="B54" s="233">
        <v>2.927</v>
      </c>
      <c r="C54" s="237" t="s">
        <v>459</v>
      </c>
      <c r="D54" s="223" t="s">
        <v>404</v>
      </c>
      <c r="L54" s="374" t="s">
        <v>135</v>
      </c>
      <c r="M54" s="27" t="s">
        <v>162</v>
      </c>
    </row>
    <row r="55" spans="1:15" x14ac:dyDescent="0.25">
      <c r="A55" s="236" t="s">
        <v>163</v>
      </c>
      <c r="B55" s="233">
        <v>1.6593</v>
      </c>
      <c r="C55" s="237" t="s">
        <v>459</v>
      </c>
      <c r="D55" s="223" t="s">
        <v>405</v>
      </c>
      <c r="L55" s="375" t="s">
        <v>168</v>
      </c>
      <c r="M55" s="27" t="s">
        <v>99</v>
      </c>
    </row>
    <row r="56" spans="1:15" s="144" customFormat="1" x14ac:dyDescent="0.25">
      <c r="A56" s="236" t="s">
        <v>128</v>
      </c>
      <c r="B56" s="233">
        <v>2.770083102493075</v>
      </c>
      <c r="C56" s="237" t="s">
        <v>464</v>
      </c>
      <c r="D56" s="223" t="s">
        <v>406</v>
      </c>
      <c r="E56" s="212"/>
      <c r="L56" s="375" t="s">
        <v>427</v>
      </c>
      <c r="M56" s="27" t="s">
        <v>163</v>
      </c>
      <c r="N56"/>
      <c r="O56"/>
    </row>
    <row r="57" spans="1:15" x14ac:dyDescent="0.25">
      <c r="A57" s="236" t="s">
        <v>164</v>
      </c>
      <c r="B57" s="233">
        <v>1.9015</v>
      </c>
      <c r="C57" s="237" t="s">
        <v>459</v>
      </c>
      <c r="D57" s="223" t="s">
        <v>407</v>
      </c>
      <c r="L57" s="374" t="s">
        <v>107</v>
      </c>
      <c r="M57" s="27" t="s">
        <v>164</v>
      </c>
      <c r="N57" s="144"/>
      <c r="O57" s="144"/>
    </row>
    <row r="58" spans="1:15" ht="15.75" x14ac:dyDescent="0.25">
      <c r="A58" s="236" t="s">
        <v>333</v>
      </c>
      <c r="B58" s="233"/>
      <c r="C58" s="237" t="s">
        <v>459</v>
      </c>
      <c r="D58" s="223"/>
      <c r="E58" s="19"/>
      <c r="L58" s="374" t="s">
        <v>124</v>
      </c>
      <c r="M58" s="27" t="s">
        <v>333</v>
      </c>
    </row>
    <row r="59" spans="1:15" ht="15.75" x14ac:dyDescent="0.25">
      <c r="A59" s="236" t="s">
        <v>329</v>
      </c>
      <c r="B59" s="233">
        <v>0.91200000000000003</v>
      </c>
      <c r="C59" s="237" t="s">
        <v>459</v>
      </c>
      <c r="D59" s="223" t="s">
        <v>393</v>
      </c>
      <c r="E59" s="19"/>
      <c r="L59" s="374" t="s">
        <v>122</v>
      </c>
      <c r="M59" s="27" t="s">
        <v>329</v>
      </c>
    </row>
    <row r="60" spans="1:15" ht="15.75" x14ac:dyDescent="0.25">
      <c r="A60" s="236" t="s">
        <v>331</v>
      </c>
      <c r="B60" s="233">
        <v>1.0672999999999999</v>
      </c>
      <c r="C60" s="237" t="s">
        <v>459</v>
      </c>
      <c r="D60" s="237" t="s">
        <v>499</v>
      </c>
      <c r="E60" s="19"/>
      <c r="L60" s="374" t="s">
        <v>123</v>
      </c>
      <c r="M60" s="27" t="s">
        <v>331</v>
      </c>
    </row>
    <row r="61" spans="1:15" ht="15.75" x14ac:dyDescent="0.25">
      <c r="A61" s="236" t="s">
        <v>133</v>
      </c>
      <c r="B61" s="233">
        <v>2.7688000000000001</v>
      </c>
      <c r="C61" s="237" t="s">
        <v>459</v>
      </c>
      <c r="D61" s="223" t="s">
        <v>408</v>
      </c>
      <c r="E61" s="19"/>
      <c r="L61" s="480" t="s">
        <v>1788</v>
      </c>
      <c r="M61" s="27" t="s">
        <v>133</v>
      </c>
    </row>
    <row r="62" spans="1:15" ht="15.75" x14ac:dyDescent="0.25">
      <c r="A62" s="236" t="s">
        <v>131</v>
      </c>
      <c r="B62" s="233">
        <v>2.7644000000000002</v>
      </c>
      <c r="C62" s="237" t="s">
        <v>459</v>
      </c>
      <c r="D62" s="223" t="s">
        <v>409</v>
      </c>
      <c r="E62" s="19"/>
      <c r="L62" s="480" t="s">
        <v>1789</v>
      </c>
      <c r="M62" s="27" t="s">
        <v>328</v>
      </c>
    </row>
    <row r="63" spans="1:15" ht="15.75" x14ac:dyDescent="0.25">
      <c r="A63" s="236" t="s">
        <v>323</v>
      </c>
      <c r="B63" s="233">
        <v>2.7151000000000001</v>
      </c>
      <c r="C63" s="237" t="s">
        <v>459</v>
      </c>
      <c r="D63" s="223" t="s">
        <v>412</v>
      </c>
      <c r="E63" s="19"/>
      <c r="L63" s="374" t="s">
        <v>428</v>
      </c>
      <c r="M63" s="26" t="s">
        <v>131</v>
      </c>
    </row>
    <row r="64" spans="1:15" ht="15.75" x14ac:dyDescent="0.25">
      <c r="A64" s="236" t="s">
        <v>165</v>
      </c>
      <c r="B64" s="233">
        <v>2.7240000000000002</v>
      </c>
      <c r="C64" s="237" t="s">
        <v>459</v>
      </c>
      <c r="D64" s="223" t="s">
        <v>410</v>
      </c>
      <c r="E64" s="19"/>
      <c r="L64" s="520" t="s">
        <v>1775</v>
      </c>
      <c r="M64" s="26" t="s">
        <v>323</v>
      </c>
    </row>
    <row r="65" spans="1:13" ht="15.75" x14ac:dyDescent="0.25">
      <c r="A65" s="236" t="s">
        <v>326</v>
      </c>
      <c r="B65" s="233">
        <v>2.65</v>
      </c>
      <c r="C65" s="237" t="s">
        <v>459</v>
      </c>
      <c r="D65" s="223"/>
      <c r="E65" s="19"/>
      <c r="L65" s="374" t="s">
        <v>169</v>
      </c>
      <c r="M65" s="27" t="s">
        <v>165</v>
      </c>
    </row>
    <row r="66" spans="1:13" ht="15.75" x14ac:dyDescent="0.25">
      <c r="A66" s="236" t="s">
        <v>328</v>
      </c>
      <c r="B66" s="233">
        <v>2.65</v>
      </c>
      <c r="C66" s="237" t="s">
        <v>459</v>
      </c>
      <c r="D66" s="223"/>
      <c r="E66" s="19"/>
      <c r="L66" s="480" t="s">
        <v>359</v>
      </c>
      <c r="M66" s="27" t="s">
        <v>326</v>
      </c>
    </row>
    <row r="67" spans="1:13" ht="15.75" x14ac:dyDescent="0.25">
      <c r="A67" s="236" t="s">
        <v>166</v>
      </c>
      <c r="B67" s="233">
        <v>1.2729999999999999</v>
      </c>
      <c r="C67" s="237" t="s">
        <v>459</v>
      </c>
      <c r="D67" s="223" t="s">
        <v>411</v>
      </c>
      <c r="E67" s="240"/>
      <c r="L67" s="39"/>
      <c r="M67" s="27" t="s">
        <v>363</v>
      </c>
    </row>
    <row r="68" spans="1:13" ht="15.75" x14ac:dyDescent="0.25">
      <c r="A68" s="236" t="s">
        <v>167</v>
      </c>
      <c r="B68" s="233">
        <v>2.0880000000000001</v>
      </c>
      <c r="C68" s="237" t="s">
        <v>459</v>
      </c>
      <c r="D68" s="223" t="s">
        <v>413</v>
      </c>
      <c r="E68" s="240"/>
      <c r="L68" s="39"/>
      <c r="M68" s="27" t="s">
        <v>166</v>
      </c>
    </row>
    <row r="69" spans="1:13" ht="15.75" x14ac:dyDescent="0.25">
      <c r="A69" s="236" t="s">
        <v>132</v>
      </c>
      <c r="B69" s="233">
        <v>3.03</v>
      </c>
      <c r="C69" s="237" t="s">
        <v>459</v>
      </c>
      <c r="D69" s="223" t="s">
        <v>414</v>
      </c>
      <c r="E69" s="240"/>
      <c r="L69" s="39"/>
      <c r="M69" s="27" t="s">
        <v>167</v>
      </c>
    </row>
    <row r="70" spans="1:13" ht="15.75" x14ac:dyDescent="0.25">
      <c r="A70" s="236" t="s">
        <v>127</v>
      </c>
      <c r="B70" s="233">
        <v>2.1579999999999999</v>
      </c>
      <c r="C70" s="237" t="s">
        <v>464</v>
      </c>
      <c r="D70" s="223" t="s">
        <v>415</v>
      </c>
      <c r="L70" s="39"/>
      <c r="M70" s="27" t="s">
        <v>614</v>
      </c>
    </row>
    <row r="71" spans="1:13" ht="15.75" x14ac:dyDescent="0.25">
      <c r="A71" s="243" t="s">
        <v>135</v>
      </c>
      <c r="B71" s="244">
        <v>0</v>
      </c>
      <c r="C71" s="245" t="s">
        <v>459</v>
      </c>
      <c r="D71" s="246">
        <v>0</v>
      </c>
      <c r="L71" s="39"/>
      <c r="M71" s="27" t="s">
        <v>132</v>
      </c>
    </row>
    <row r="72" spans="1:13" ht="15.75" x14ac:dyDescent="0.25">
      <c r="A72" s="243" t="s">
        <v>109</v>
      </c>
      <c r="B72" s="244">
        <v>0.44</v>
      </c>
      <c r="C72" s="245" t="s">
        <v>459</v>
      </c>
      <c r="D72" s="245">
        <v>0</v>
      </c>
      <c r="L72" s="39"/>
      <c r="M72" s="27" t="s">
        <v>135</v>
      </c>
    </row>
    <row r="73" spans="1:13" ht="15.75" x14ac:dyDescent="0.25">
      <c r="A73" s="235" t="s">
        <v>168</v>
      </c>
      <c r="B73" s="233">
        <v>2.0630000000000002</v>
      </c>
      <c r="C73" s="237" t="s">
        <v>459</v>
      </c>
      <c r="D73" s="223" t="s">
        <v>426</v>
      </c>
      <c r="L73" s="39"/>
      <c r="M73" s="374" t="s">
        <v>109</v>
      </c>
    </row>
    <row r="74" spans="1:13" ht="15.75" x14ac:dyDescent="0.25">
      <c r="A74" s="235" t="s">
        <v>427</v>
      </c>
      <c r="B74" s="233">
        <v>2.65</v>
      </c>
      <c r="C74" s="237" t="s">
        <v>459</v>
      </c>
      <c r="D74" s="223" t="s">
        <v>416</v>
      </c>
      <c r="L74" s="39"/>
      <c r="M74" s="43" t="s">
        <v>168</v>
      </c>
    </row>
    <row r="75" spans="1:13" ht="15.75" x14ac:dyDescent="0.25">
      <c r="A75" s="236" t="s">
        <v>104</v>
      </c>
      <c r="B75" s="233">
        <v>2.4047999999999998</v>
      </c>
      <c r="C75" s="237" t="s">
        <v>459</v>
      </c>
      <c r="D75" s="223" t="s">
        <v>417</v>
      </c>
      <c r="L75" s="39"/>
      <c r="M75" s="375" t="s">
        <v>427</v>
      </c>
    </row>
    <row r="76" spans="1:13" ht="15.75" x14ac:dyDescent="0.25">
      <c r="A76" s="236" t="s">
        <v>107</v>
      </c>
      <c r="B76" s="233">
        <v>2.7850000000000001</v>
      </c>
      <c r="C76" s="237" t="s">
        <v>459</v>
      </c>
      <c r="D76" s="223" t="s">
        <v>418</v>
      </c>
      <c r="L76" s="39"/>
      <c r="M76" s="27" t="s">
        <v>104</v>
      </c>
    </row>
    <row r="77" spans="1:13" ht="15.75" x14ac:dyDescent="0.25">
      <c r="A77" s="236" t="s">
        <v>124</v>
      </c>
      <c r="B77" s="233">
        <v>2.4064000000000001</v>
      </c>
      <c r="C77" s="237" t="s">
        <v>459</v>
      </c>
      <c r="D77" s="223" t="s">
        <v>419</v>
      </c>
      <c r="L77" s="39"/>
      <c r="M77" s="27" t="s">
        <v>107</v>
      </c>
    </row>
    <row r="78" spans="1:13" ht="15.75" x14ac:dyDescent="0.25">
      <c r="A78" s="236" t="s">
        <v>122</v>
      </c>
      <c r="B78" s="233">
        <v>2.319</v>
      </c>
      <c r="C78" s="237" t="s">
        <v>459</v>
      </c>
      <c r="D78" s="223" t="s">
        <v>420</v>
      </c>
      <c r="L78" s="39"/>
      <c r="M78" s="27" t="s">
        <v>124</v>
      </c>
    </row>
    <row r="79" spans="1:13" ht="15.75" x14ac:dyDescent="0.25">
      <c r="A79" s="236" t="s">
        <v>123</v>
      </c>
      <c r="B79" s="233">
        <v>2.677</v>
      </c>
      <c r="C79" s="237" t="s">
        <v>459</v>
      </c>
      <c r="D79" s="223" t="s">
        <v>421</v>
      </c>
      <c r="L79" s="39"/>
      <c r="M79" s="27" t="s">
        <v>122</v>
      </c>
    </row>
    <row r="80" spans="1:13" ht="15.75" x14ac:dyDescent="0.25">
      <c r="A80" s="236" t="s">
        <v>1788</v>
      </c>
      <c r="B80" s="233">
        <v>3.75</v>
      </c>
      <c r="C80" s="237" t="s">
        <v>459</v>
      </c>
      <c r="D80" s="223" t="s">
        <v>422</v>
      </c>
      <c r="L80" s="39"/>
      <c r="M80" s="27" t="s">
        <v>123</v>
      </c>
    </row>
    <row r="81" spans="1:13" ht="15.75" x14ac:dyDescent="0.25">
      <c r="A81" s="236" t="s">
        <v>1789</v>
      </c>
      <c r="B81" s="233">
        <v>3.0539999999999998</v>
      </c>
      <c r="C81" s="237" t="s">
        <v>459</v>
      </c>
      <c r="D81" s="223" t="s">
        <v>423</v>
      </c>
      <c r="L81" s="39"/>
      <c r="M81" s="480" t="s">
        <v>1788</v>
      </c>
    </row>
    <row r="82" spans="1:13" ht="15.75" x14ac:dyDescent="0.25">
      <c r="A82" s="236" t="s">
        <v>428</v>
      </c>
      <c r="B82" s="233">
        <v>1.978</v>
      </c>
      <c r="C82" s="237" t="s">
        <v>459</v>
      </c>
      <c r="D82" s="223" t="s">
        <v>424</v>
      </c>
      <c r="L82" s="39"/>
      <c r="M82" s="480" t="s">
        <v>1789</v>
      </c>
    </row>
    <row r="83" spans="1:13" ht="15.75" x14ac:dyDescent="0.25">
      <c r="A83" s="236" t="s">
        <v>105</v>
      </c>
      <c r="B83" s="233">
        <v>2.63</v>
      </c>
      <c r="C83" s="237" t="s">
        <v>459</v>
      </c>
      <c r="D83" s="223" t="s">
        <v>425</v>
      </c>
      <c r="L83" s="39"/>
      <c r="M83" s="27" t="s">
        <v>428</v>
      </c>
    </row>
    <row r="84" spans="1:13" ht="15.75" x14ac:dyDescent="0.25">
      <c r="A84" s="236" t="s">
        <v>1775</v>
      </c>
      <c r="B84" s="233">
        <v>1.8301000000000001</v>
      </c>
      <c r="C84" s="237" t="s">
        <v>459</v>
      </c>
      <c r="D84" s="237" t="s">
        <v>504</v>
      </c>
      <c r="L84" s="39"/>
      <c r="M84" s="374" t="s">
        <v>105</v>
      </c>
    </row>
    <row r="85" spans="1:13" ht="15.75" x14ac:dyDescent="0.25">
      <c r="A85" s="236" t="s">
        <v>169</v>
      </c>
      <c r="B85" s="233">
        <v>2.476</v>
      </c>
      <c r="C85" s="237" t="s">
        <v>459</v>
      </c>
      <c r="D85" s="237" t="s">
        <v>496</v>
      </c>
      <c r="L85" s="39"/>
      <c r="M85" s="520" t="s">
        <v>1775</v>
      </c>
    </row>
    <row r="86" spans="1:13" ht="15.75" x14ac:dyDescent="0.25">
      <c r="A86" s="232" t="str">
        <f>'Base Blend Property Calculation'!L6</f>
        <v>Silica Fume - Semi-Densified</v>
      </c>
      <c r="B86" s="231">
        <f>B37</f>
        <v>2.5</v>
      </c>
      <c r="C86" s="237" t="s">
        <v>459</v>
      </c>
      <c r="D86" s="223" t="s">
        <v>391</v>
      </c>
      <c r="L86" s="39"/>
      <c r="M86" s="374" t="s">
        <v>169</v>
      </c>
    </row>
    <row r="87" spans="1:13" ht="15.75" x14ac:dyDescent="0.25">
      <c r="A87" s="232" t="s">
        <v>359</v>
      </c>
      <c r="B87" s="481">
        <v>1.17</v>
      </c>
      <c r="C87" s="223" t="s">
        <v>459</v>
      </c>
      <c r="D87" s="223" t="s">
        <v>613</v>
      </c>
      <c r="L87" s="39"/>
      <c r="M87" s="39"/>
    </row>
    <row r="88" spans="1:13" ht="15.75" x14ac:dyDescent="0.25">
      <c r="A88" s="480" t="s">
        <v>614</v>
      </c>
      <c r="B88" s="237">
        <v>1.9582999999999999</v>
      </c>
      <c r="C88" s="223" t="s">
        <v>459</v>
      </c>
      <c r="D88" s="223" t="s">
        <v>612</v>
      </c>
      <c r="L88" s="39"/>
      <c r="M88" s="39"/>
    </row>
    <row r="89" spans="1:13" ht="15.75" x14ac:dyDescent="0.25">
      <c r="A89" s="232" t="s">
        <v>295</v>
      </c>
      <c r="B89" s="237">
        <v>1.504</v>
      </c>
      <c r="C89" s="223" t="s">
        <v>459</v>
      </c>
      <c r="D89" s="223" t="s">
        <v>1776</v>
      </c>
      <c r="L89" s="39"/>
      <c r="M89" s="39"/>
    </row>
    <row r="90" spans="1:13" ht="15.75" x14ac:dyDescent="0.25">
      <c r="A90" s="232" t="s">
        <v>1785</v>
      </c>
      <c r="B90" s="237">
        <v>0.27139999999999997</v>
      </c>
      <c r="C90" s="223" t="s">
        <v>459</v>
      </c>
      <c r="D90" s="223" t="s">
        <v>1786</v>
      </c>
      <c r="L90" s="39"/>
      <c r="M90" s="39"/>
    </row>
    <row r="91" spans="1:13" ht="15.75" x14ac:dyDescent="0.25">
      <c r="A91" s="232"/>
      <c r="B91" s="232"/>
      <c r="C91" s="223"/>
      <c r="D91" s="223"/>
      <c r="L91" s="39"/>
      <c r="M91" s="39"/>
    </row>
    <row r="92" spans="1:13" ht="15.75" x14ac:dyDescent="0.25">
      <c r="A92" s="232"/>
      <c r="B92" s="232"/>
      <c r="C92" s="223"/>
      <c r="D92" s="223"/>
      <c r="L92" s="39"/>
      <c r="M92" s="39"/>
    </row>
    <row r="93" spans="1:13" ht="15.75" x14ac:dyDescent="0.25">
      <c r="A93" s="232"/>
      <c r="B93" s="232"/>
      <c r="C93" s="223"/>
      <c r="D93" s="223"/>
      <c r="L93" s="39"/>
      <c r="M93" s="39"/>
    </row>
    <row r="94" spans="1:13" ht="15.75" x14ac:dyDescent="0.25">
      <c r="A94" s="232"/>
      <c r="B94" s="232"/>
      <c r="C94" s="223"/>
      <c r="D94" s="223"/>
      <c r="L94" s="39"/>
      <c r="M94" s="39"/>
    </row>
    <row r="95" spans="1:13" ht="15.75" x14ac:dyDescent="0.25">
      <c r="A95" s="232"/>
      <c r="B95" s="232"/>
      <c r="C95" s="223"/>
      <c r="D95" s="223"/>
      <c r="L95" s="39"/>
      <c r="M95" s="39"/>
    </row>
    <row r="96" spans="1:13" ht="15.75" x14ac:dyDescent="0.25">
      <c r="A96" s="232"/>
      <c r="B96" s="232"/>
      <c r="C96" s="223"/>
      <c r="D96" s="223"/>
      <c r="L96" s="39"/>
      <c r="M96" s="39"/>
    </row>
    <row r="97" spans="1:13" ht="15.75" x14ac:dyDescent="0.25">
      <c r="A97" s="232"/>
      <c r="B97" s="232"/>
      <c r="C97" s="223"/>
      <c r="D97" s="223"/>
      <c r="L97" s="39"/>
      <c r="M97" s="39"/>
    </row>
    <row r="98" spans="1:13" ht="15.75" x14ac:dyDescent="0.25">
      <c r="A98" s="232"/>
      <c r="B98" s="232"/>
      <c r="C98" s="223"/>
      <c r="D98" s="223"/>
      <c r="L98" s="39"/>
      <c r="M98" s="39"/>
    </row>
    <row r="99" spans="1:13" ht="15.75" x14ac:dyDescent="0.25">
      <c r="A99" s="232"/>
      <c r="B99" s="232"/>
      <c r="C99" s="223"/>
      <c r="D99" s="223"/>
      <c r="L99" s="39"/>
      <c r="M99" s="39"/>
    </row>
    <row r="100" spans="1:13" ht="15.75" x14ac:dyDescent="0.25">
      <c r="A100" s="232"/>
      <c r="B100" s="232"/>
      <c r="C100" s="223"/>
      <c r="D100" s="223"/>
      <c r="L100" s="39"/>
      <c r="M100" s="39"/>
    </row>
    <row r="101" spans="1:13" ht="15.75" x14ac:dyDescent="0.25">
      <c r="A101" s="232"/>
      <c r="B101" s="232"/>
      <c r="C101" s="223"/>
      <c r="D101" s="223"/>
      <c r="L101" s="39"/>
      <c r="M101" s="39"/>
    </row>
    <row r="102" spans="1:13" ht="15.75" x14ac:dyDescent="0.25">
      <c r="A102" s="232"/>
      <c r="B102" s="232"/>
      <c r="C102" s="223"/>
      <c r="D102" s="223"/>
      <c r="L102" s="39"/>
      <c r="M102" s="39"/>
    </row>
    <row r="103" spans="1:13" ht="15.75" x14ac:dyDescent="0.25">
      <c r="A103" s="232"/>
      <c r="B103" s="232"/>
      <c r="C103" s="223"/>
      <c r="D103" s="223"/>
      <c r="L103" s="39"/>
      <c r="M103" s="39"/>
    </row>
    <row r="104" spans="1:13" ht="15.75" x14ac:dyDescent="0.25">
      <c r="A104" s="232"/>
      <c r="B104" s="232"/>
      <c r="C104" s="223"/>
      <c r="D104" s="223"/>
      <c r="L104" s="39"/>
      <c r="M104" s="39"/>
    </row>
    <row r="105" spans="1:13" ht="15.75" x14ac:dyDescent="0.25">
      <c r="A105" s="232"/>
      <c r="B105" s="232"/>
      <c r="C105" s="223"/>
      <c r="D105" s="223"/>
      <c r="L105" s="39"/>
      <c r="M105" s="39"/>
    </row>
    <row r="106" spans="1:13" ht="15.75" x14ac:dyDescent="0.25">
      <c r="A106" s="232"/>
      <c r="B106" s="232"/>
      <c r="C106" s="223"/>
      <c r="D106" s="223"/>
      <c r="L106" s="39"/>
      <c r="M106" s="39"/>
    </row>
    <row r="107" spans="1:13" ht="15.75" x14ac:dyDescent="0.25">
      <c r="A107" s="232"/>
      <c r="B107" s="232"/>
      <c r="C107" s="223"/>
      <c r="D107" s="223"/>
      <c r="L107" s="39"/>
      <c r="M107" s="39"/>
    </row>
    <row r="108" spans="1:13" ht="15.75" x14ac:dyDescent="0.25">
      <c r="A108" s="232"/>
      <c r="B108" s="232"/>
      <c r="C108" s="223"/>
      <c r="D108" s="223"/>
      <c r="L108" s="39"/>
      <c r="M108" s="39"/>
    </row>
    <row r="109" spans="1:13" ht="15.75" x14ac:dyDescent="0.25">
      <c r="A109" s="232"/>
      <c r="B109" s="232"/>
      <c r="C109" s="223"/>
      <c r="D109" s="223"/>
      <c r="L109" s="39"/>
      <c r="M109" s="39"/>
    </row>
    <row r="110" spans="1:13" ht="15.75" x14ac:dyDescent="0.25">
      <c r="A110" s="232"/>
      <c r="B110" s="232"/>
      <c r="C110" s="223"/>
      <c r="D110" s="223"/>
      <c r="L110" s="39"/>
      <c r="M110" s="39"/>
    </row>
    <row r="111" spans="1:13" ht="15.75" x14ac:dyDescent="0.25">
      <c r="A111" s="232"/>
      <c r="B111" s="232"/>
      <c r="C111" s="223"/>
      <c r="D111" s="223"/>
      <c r="L111" s="39"/>
      <c r="M111" s="39"/>
    </row>
    <row r="112" spans="1:13" ht="15.75" x14ac:dyDescent="0.25">
      <c r="A112" s="232"/>
      <c r="B112" s="232"/>
      <c r="C112" s="223"/>
      <c r="D112" s="223"/>
      <c r="L112" s="39"/>
      <c r="M112" s="39"/>
    </row>
    <row r="113" spans="1:13" ht="15.75" x14ac:dyDescent="0.25">
      <c r="A113" s="232"/>
      <c r="B113" s="232"/>
      <c r="C113" s="223"/>
      <c r="D113" s="223"/>
      <c r="L113" s="39"/>
      <c r="M113" s="39"/>
    </row>
    <row r="114" spans="1:13" ht="15.75" x14ac:dyDescent="0.25">
      <c r="A114" s="232"/>
      <c r="B114" s="232"/>
      <c r="C114" s="223"/>
      <c r="D114" s="223"/>
      <c r="L114" s="39"/>
      <c r="M114" s="39"/>
    </row>
    <row r="115" spans="1:13" ht="15.75" x14ac:dyDescent="0.25">
      <c r="A115" s="232"/>
      <c r="B115" s="232"/>
      <c r="C115" s="223"/>
      <c r="D115" s="223"/>
      <c r="L115" s="39"/>
      <c r="M115" s="39"/>
    </row>
    <row r="116" spans="1:13" ht="15.75" x14ac:dyDescent="0.25">
      <c r="A116" s="232"/>
      <c r="B116" s="232"/>
      <c r="C116" s="223"/>
      <c r="D116" s="223"/>
      <c r="L116" s="15"/>
      <c r="M116" s="39"/>
    </row>
    <row r="117" spans="1:13" ht="15.75" x14ac:dyDescent="0.25">
      <c r="A117" s="232"/>
      <c r="B117" s="232"/>
      <c r="C117" s="223"/>
      <c r="D117" s="223"/>
      <c r="L117" s="15"/>
      <c r="M117" s="39"/>
    </row>
    <row r="118" spans="1:13" ht="15.75" x14ac:dyDescent="0.25">
      <c r="A118" s="232"/>
      <c r="B118" s="232"/>
      <c r="C118" s="223"/>
      <c r="D118" s="223"/>
      <c r="L118" s="15"/>
      <c r="M118" s="39"/>
    </row>
    <row r="119" spans="1:13" ht="15.75" x14ac:dyDescent="0.25">
      <c r="A119" s="232"/>
      <c r="B119" s="232"/>
      <c r="C119" s="223"/>
      <c r="D119" s="223"/>
      <c r="L119" s="15"/>
      <c r="M119" s="39"/>
    </row>
    <row r="120" spans="1:13" ht="15.75" x14ac:dyDescent="0.25">
      <c r="A120" s="232"/>
      <c r="B120" s="232"/>
      <c r="C120" s="223"/>
      <c r="D120" s="223"/>
      <c r="L120" s="15"/>
      <c r="M120" s="39"/>
    </row>
    <row r="121" spans="1:13" ht="15.75" x14ac:dyDescent="0.25">
      <c r="A121" s="232"/>
      <c r="B121" s="232"/>
      <c r="C121" s="223"/>
      <c r="D121" s="223"/>
      <c r="L121" s="15"/>
      <c r="M121" s="39"/>
    </row>
    <row r="122" spans="1:13" ht="15.75" x14ac:dyDescent="0.25">
      <c r="A122" s="232"/>
      <c r="B122" s="232"/>
      <c r="C122" s="223"/>
      <c r="D122" s="223"/>
      <c r="L122" s="15"/>
      <c r="M122" s="39"/>
    </row>
    <row r="123" spans="1:13" ht="15.75" x14ac:dyDescent="0.25">
      <c r="A123" s="232"/>
      <c r="B123" s="232"/>
      <c r="C123" s="223"/>
      <c r="D123" s="223"/>
      <c r="L123" s="15"/>
      <c r="M123" s="39"/>
    </row>
    <row r="124" spans="1:13" ht="15.75" x14ac:dyDescent="0.25">
      <c r="A124" s="232"/>
      <c r="B124" s="232"/>
      <c r="C124" s="223"/>
      <c r="D124" s="223"/>
      <c r="L124" s="15"/>
      <c r="M124" s="39"/>
    </row>
    <row r="125" spans="1:13" ht="15.75" x14ac:dyDescent="0.25">
      <c r="A125" s="232"/>
      <c r="B125" s="232"/>
      <c r="C125" s="223"/>
      <c r="D125" s="223"/>
      <c r="L125" s="15"/>
      <c r="M125" s="39"/>
    </row>
    <row r="126" spans="1:13" ht="15.75" x14ac:dyDescent="0.25">
      <c r="A126" s="232"/>
      <c r="B126" s="232"/>
      <c r="C126" s="223"/>
      <c r="D126" s="223"/>
      <c r="L126" s="15"/>
      <c r="M126" s="39"/>
    </row>
    <row r="127" spans="1:13" ht="15.75" x14ac:dyDescent="0.25">
      <c r="A127" s="232"/>
      <c r="B127" s="232"/>
      <c r="C127" s="223"/>
      <c r="D127" s="223"/>
      <c r="L127" s="15"/>
      <c r="M127" s="39"/>
    </row>
    <row r="128" spans="1:13" ht="15.75" x14ac:dyDescent="0.25">
      <c r="A128" s="232"/>
      <c r="B128" s="232"/>
      <c r="C128" s="223"/>
      <c r="D128" s="223"/>
      <c r="L128" s="15"/>
      <c r="M128" s="39"/>
    </row>
    <row r="129" spans="1:13" ht="15.75" x14ac:dyDescent="0.25">
      <c r="A129" s="232"/>
      <c r="B129" s="232"/>
      <c r="C129" s="223"/>
      <c r="D129" s="223"/>
      <c r="L129" s="15"/>
      <c r="M129" s="39"/>
    </row>
    <row r="130" spans="1:13" ht="15.75" x14ac:dyDescent="0.25">
      <c r="A130" s="232"/>
      <c r="B130" s="232"/>
      <c r="C130" s="223"/>
      <c r="D130" s="223"/>
      <c r="L130" s="15"/>
      <c r="M130" s="39"/>
    </row>
    <row r="131" spans="1:13" ht="15.75" x14ac:dyDescent="0.25">
      <c r="A131" s="232"/>
      <c r="B131" s="232"/>
      <c r="C131" s="223"/>
      <c r="D131" s="223"/>
      <c r="L131" s="15"/>
      <c r="M131" s="39"/>
    </row>
    <row r="132" spans="1:13" ht="15.75" x14ac:dyDescent="0.25">
      <c r="A132" s="232"/>
      <c r="B132" s="232"/>
      <c r="C132" s="223"/>
      <c r="D132" s="223"/>
      <c r="L132" s="15"/>
      <c r="M132" s="39"/>
    </row>
    <row r="133" spans="1:13" ht="15.75" x14ac:dyDescent="0.25">
      <c r="A133" s="232"/>
      <c r="B133" s="232"/>
      <c r="C133" s="223"/>
      <c r="D133" s="223"/>
      <c r="L133" s="15"/>
      <c r="M133" s="39"/>
    </row>
    <row r="134" spans="1:13" ht="15.75" x14ac:dyDescent="0.25">
      <c r="A134" s="232"/>
      <c r="B134" s="232"/>
      <c r="C134" s="223"/>
      <c r="D134" s="223"/>
      <c r="L134" s="15"/>
      <c r="M134" s="39"/>
    </row>
    <row r="135" spans="1:13" ht="15.75" x14ac:dyDescent="0.25">
      <c r="A135" s="232"/>
      <c r="B135" s="232"/>
      <c r="C135" s="223"/>
      <c r="D135" s="223"/>
      <c r="L135" s="15"/>
      <c r="M135" s="39"/>
    </row>
    <row r="136" spans="1:13" ht="15.75" x14ac:dyDescent="0.25">
      <c r="A136" s="232"/>
      <c r="B136" s="232"/>
      <c r="C136" s="223"/>
      <c r="D136" s="223"/>
      <c r="L136" s="15"/>
      <c r="M136" s="39"/>
    </row>
    <row r="137" spans="1:13" ht="15.75" x14ac:dyDescent="0.25">
      <c r="A137" s="232"/>
      <c r="B137" s="232"/>
      <c r="C137" s="223"/>
      <c r="D137" s="223"/>
      <c r="L137" s="15"/>
      <c r="M137" s="39"/>
    </row>
    <row r="138" spans="1:13" ht="15.75" x14ac:dyDescent="0.25">
      <c r="A138" s="232"/>
      <c r="B138" s="232"/>
      <c r="C138" s="223"/>
      <c r="D138" s="223"/>
      <c r="L138" s="15"/>
      <c r="M138" s="39"/>
    </row>
  </sheetData>
  <sortState ref="L5:L65">
    <sortCondition ref="L5:L65"/>
  </sortState>
  <mergeCells count="3">
    <mergeCell ref="A1:C1"/>
    <mergeCell ref="F3:I3"/>
    <mergeCell ref="L3:M3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51"/>
  <sheetViews>
    <sheetView zoomScaleNormal="100" workbookViewId="0">
      <pane xSplit="2" ySplit="3" topLeftCell="C40" activePane="bottomRight" state="frozen"/>
      <selection activeCell="B79" sqref="B79:C79"/>
      <selection pane="topRight" activeCell="B79" sqref="B79:C79"/>
      <selection pane="bottomLeft" activeCell="B79" sqref="B79:C79"/>
      <selection pane="bottomRight" activeCell="D97" sqref="D97"/>
    </sheetView>
  </sheetViews>
  <sheetFormatPr defaultRowHeight="15" x14ac:dyDescent="0.25"/>
  <cols>
    <col min="1" max="1" width="29.140625" style="2" customWidth="1"/>
    <col min="2" max="2" width="29.28515625" style="2" customWidth="1"/>
    <col min="3" max="11" width="12.7109375" style="1" customWidth="1"/>
    <col min="12" max="16384" width="9.140625" style="1"/>
  </cols>
  <sheetData>
    <row r="1" spans="1:11" s="70" customFormat="1" ht="43.5" customHeight="1" x14ac:dyDescent="0.5">
      <c r="A1" s="660" t="s">
        <v>194</v>
      </c>
      <c r="B1" s="660"/>
      <c r="C1" s="660"/>
      <c r="D1" s="660"/>
      <c r="E1" s="660"/>
      <c r="F1" s="660"/>
      <c r="G1" s="660"/>
      <c r="H1" s="660"/>
      <c r="I1" s="660"/>
      <c r="J1" s="660"/>
      <c r="K1" s="660"/>
    </row>
    <row r="2" spans="1:11" x14ac:dyDescent="0.25">
      <c r="A2" s="659" t="s">
        <v>94</v>
      </c>
      <c r="B2" s="659"/>
      <c r="C2" s="659"/>
      <c r="D2" s="659"/>
      <c r="E2" s="659"/>
      <c r="F2" s="659"/>
      <c r="G2" s="659"/>
      <c r="H2" s="659"/>
      <c r="I2" s="659"/>
      <c r="J2" s="659"/>
      <c r="K2" s="659"/>
    </row>
    <row r="3" spans="1:11" ht="26.2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4" t="s">
        <v>8</v>
      </c>
      <c r="J3" s="4" t="s">
        <v>9</v>
      </c>
      <c r="K3" s="5" t="s">
        <v>10</v>
      </c>
    </row>
    <row r="4" spans="1:11" x14ac:dyDescent="0.25">
      <c r="A4" s="6" t="str">
        <f>'Base Blend Property Calculation'!A7</f>
        <v>No Cement</v>
      </c>
      <c r="B4" s="6" t="str">
        <f>'Base Blend Property Calculation'!B7</f>
        <v>No Cement</v>
      </c>
      <c r="C4" s="7">
        <f>'Base Blend Property Calculation'!BN7</f>
        <v>0</v>
      </c>
      <c r="D4" s="8">
        <f>'Base Blend Property Calculation'!BG7</f>
        <v>0</v>
      </c>
      <c r="E4" s="8">
        <f>'Base Blend Property Calculation'!BH7</f>
        <v>0</v>
      </c>
      <c r="F4" s="9">
        <f>'Base Blend Property Calculation'!BI7</f>
        <v>0</v>
      </c>
      <c r="G4" s="8">
        <f>'Base Blend Property Calculation'!BJ7</f>
        <v>0</v>
      </c>
      <c r="H4" s="9">
        <f>'Base Blend Property Calculation'!BK7</f>
        <v>0</v>
      </c>
      <c r="I4" s="10">
        <f>'Base Blend Property Calculation'!BL7</f>
        <v>0</v>
      </c>
      <c r="J4" s="10">
        <f>'Base Blend Property Calculation'!BM7</f>
        <v>0</v>
      </c>
      <c r="K4" s="10">
        <f>'Base Blend Property Calculation'!BO7</f>
        <v>0</v>
      </c>
    </row>
    <row r="5" spans="1:11" x14ac:dyDescent="0.25">
      <c r="A5" s="29" t="str">
        <f>'Base Blend Property Calculation'!A8</f>
        <v>0:1:0 'A'</v>
      </c>
      <c r="B5" s="29" t="str">
        <f>'Base Blend Property Calculation'!B8</f>
        <v>0:1:0 'A'</v>
      </c>
      <c r="C5" s="7">
        <f>'Base Blend Property Calculation'!BN8</f>
        <v>0</v>
      </c>
      <c r="D5" s="8">
        <f>'Base Blend Property Calculation'!BG8</f>
        <v>0.45815295815295831</v>
      </c>
      <c r="E5" s="8">
        <f>'Base Blend Property Calculation'!BH8</f>
        <v>0.77561327561327575</v>
      </c>
      <c r="F5" s="30">
        <f>'Base Blend Property Calculation'!BI8</f>
        <v>1880</v>
      </c>
      <c r="G5" s="8">
        <f>'Base Blend Property Calculation'!BJ8</f>
        <v>3.1500000000000004</v>
      </c>
      <c r="H5" s="30" t="str">
        <f>'Base Blend Property Calculation'!BK8</f>
        <v>N</v>
      </c>
      <c r="I5" s="10" t="str">
        <f>'Base Blend Property Calculation'!BL8</f>
        <v>01</v>
      </c>
      <c r="J5" s="10" t="str">
        <f>'Base Blend Property Calculation'!BM8</f>
        <v>POR</v>
      </c>
      <c r="K5" s="10">
        <f>'Base Blend Property Calculation'!BO8</f>
        <v>1000</v>
      </c>
    </row>
    <row r="6" spans="1:11" x14ac:dyDescent="0.25">
      <c r="A6" s="29" t="str">
        <f>'Base Blend Property Calculation'!A9</f>
        <v>0:1:0 'C'</v>
      </c>
      <c r="B6" s="29" t="str">
        <f>'Base Blend Property Calculation'!B9</f>
        <v>0:1:0 'C'</v>
      </c>
      <c r="C6" s="7">
        <f>'Base Blend Property Calculation'!BN9</f>
        <v>0</v>
      </c>
      <c r="D6" s="8">
        <f>'Base Blend Property Calculation'!BG9</f>
        <v>0.55759055759055765</v>
      </c>
      <c r="E6" s="8">
        <f>'Base Blend Property Calculation'!BH9</f>
        <v>0.87505087505087509</v>
      </c>
      <c r="F6" s="30">
        <f>'Base Blend Property Calculation'!BI9</f>
        <v>1780</v>
      </c>
      <c r="G6" s="8">
        <f>'Base Blend Property Calculation'!BJ9</f>
        <v>3.1500000000000004</v>
      </c>
      <c r="H6" s="30" t="str">
        <f>'Base Blend Property Calculation'!BK9</f>
        <v>N</v>
      </c>
      <c r="I6" s="10" t="str">
        <f>'Base Blend Property Calculation'!BL9</f>
        <v>03</v>
      </c>
      <c r="J6" s="10" t="str">
        <f>'Base Blend Property Calculation'!BM9</f>
        <v>POR</v>
      </c>
      <c r="K6" s="10">
        <f>'Base Blend Property Calculation'!BO9</f>
        <v>1000</v>
      </c>
    </row>
    <row r="7" spans="1:11" x14ac:dyDescent="0.25">
      <c r="A7" s="29" t="str">
        <f>'Base Blend Property Calculation'!A10</f>
        <v>0:1:0 'G'</v>
      </c>
      <c r="B7" s="29" t="str">
        <f>'Base Blend Property Calculation'!B10</f>
        <v>0:1:0 'G'</v>
      </c>
      <c r="C7" s="7">
        <f>'Base Blend Property Calculation'!BN10</f>
        <v>0</v>
      </c>
      <c r="D7" s="8">
        <f>'Base Blend Property Calculation'!BG10</f>
        <v>0.45054106548279688</v>
      </c>
      <c r="E7" s="8">
        <f>'Base Blend Property Calculation'!BH10</f>
        <v>0.76304106548279682</v>
      </c>
      <c r="F7" s="30">
        <f>'Base Blend Property Calculation'!BI10</f>
        <v>1901</v>
      </c>
      <c r="G7" s="8">
        <f>'Base Blend Property Calculation'!BJ10</f>
        <v>3.2000000000000006</v>
      </c>
      <c r="H7" s="30" t="str">
        <f>'Base Blend Property Calculation'!BK10</f>
        <v>N</v>
      </c>
      <c r="I7" s="10" t="str">
        <f>'Base Blend Property Calculation'!BL10</f>
        <v>04</v>
      </c>
      <c r="J7" s="10">
        <f>'Base Blend Property Calculation'!BM10</f>
        <v>3000</v>
      </c>
      <c r="K7" s="10">
        <f>'Base Blend Property Calculation'!BO10</f>
        <v>1000</v>
      </c>
    </row>
    <row r="8" spans="1:11" x14ac:dyDescent="0.25">
      <c r="A8" s="29" t="str">
        <f>'Base Blend Property Calculation'!A11</f>
        <v>0:1:12 'G'</v>
      </c>
      <c r="B8" s="29" t="str">
        <f>'Base Blend Property Calculation'!B11</f>
        <v>0:1:0 'G'</v>
      </c>
      <c r="C8" s="7">
        <f>'Base Blend Property Calculation'!BN11</f>
        <v>12</v>
      </c>
      <c r="D8" s="8">
        <f>'Base Blend Property Calculation'!BG11</f>
        <v>1.0884703645423555</v>
      </c>
      <c r="E8" s="8">
        <f>'Base Blend Property Calculation'!BH11</f>
        <v>1.4481772882244954</v>
      </c>
      <c r="F8" s="30">
        <f>'Base Blend Property Calculation'!BI11</f>
        <v>1525</v>
      </c>
      <c r="G8" s="8">
        <f>'Base Blend Property Calculation'!BJ11</f>
        <v>2.7800410116199594</v>
      </c>
      <c r="H8" s="30" t="str">
        <f>'Base Blend Property Calculation'!BK11</f>
        <v>Y</v>
      </c>
      <c r="I8" s="10" t="str">
        <f>'Base Blend Property Calculation'!BL11</f>
        <v>04</v>
      </c>
      <c r="J8" s="10">
        <f>'Base Blend Property Calculation'!BM11</f>
        <v>3000</v>
      </c>
      <c r="K8" s="10">
        <f>'Base Blend Property Calculation'!BO11</f>
        <v>1120</v>
      </c>
    </row>
    <row r="9" spans="1:11" x14ac:dyDescent="0.25">
      <c r="A9" s="29" t="str">
        <f>'Base Blend Property Calculation'!A12</f>
        <v>0:1:2 'G'</v>
      </c>
      <c r="B9" s="29" t="str">
        <f>'Base Blend Property Calculation'!B12</f>
        <v>0:1:0 'G'</v>
      </c>
      <c r="C9" s="7">
        <f>'Base Blend Property Calculation'!BN12</f>
        <v>2</v>
      </c>
      <c r="D9" s="8">
        <f>'Base Blend Property Calculation'!BG12</f>
        <v>0.55856707811283002</v>
      </c>
      <c r="E9" s="8">
        <f>'Base Blend Property Calculation'!BH12</f>
        <v>0.87893489872651998</v>
      </c>
      <c r="F9" s="30">
        <f>'Base Blend Property Calculation'!BI12</f>
        <v>1796</v>
      </c>
      <c r="G9" s="8">
        <f>'Base Blend Property Calculation'!BJ12</f>
        <v>3.1214121258633925</v>
      </c>
      <c r="H9" s="30" t="str">
        <f>'Base Blend Property Calculation'!BK12</f>
        <v>N</v>
      </c>
      <c r="I9" s="10" t="str">
        <f>'Base Blend Property Calculation'!BL12</f>
        <v>04</v>
      </c>
      <c r="J9" s="10">
        <f>'Base Blend Property Calculation'!BM12</f>
        <v>3000</v>
      </c>
      <c r="K9" s="10">
        <f>'Base Blend Property Calculation'!BO12</f>
        <v>1020</v>
      </c>
    </row>
    <row r="10" spans="1:11" x14ac:dyDescent="0.25">
      <c r="A10" s="29" t="str">
        <f>'Base Blend Property Calculation'!A13</f>
        <v>0:1:4 'G'</v>
      </c>
      <c r="B10" s="29" t="str">
        <f>'Base Blend Property Calculation'!B13</f>
        <v>0:1:0 'G'</v>
      </c>
      <c r="C10" s="7">
        <f>'Base Blend Property Calculation'!BN13</f>
        <v>4</v>
      </c>
      <c r="D10" s="8">
        <f>'Base Blend Property Calculation'!BG13</f>
        <v>0.66307962168713253</v>
      </c>
      <c r="E10" s="8">
        <f>'Base Blend Property Calculation'!BH13</f>
        <v>0.99131526291451255</v>
      </c>
      <c r="F10" s="30">
        <f>'Base Blend Property Calculation'!BI13</f>
        <v>1718</v>
      </c>
      <c r="G10" s="8">
        <f>'Base Blend Property Calculation'!BJ13</f>
        <v>3.0465917602996253</v>
      </c>
      <c r="H10" s="30" t="str">
        <f>'Base Blend Property Calculation'!BK13</f>
        <v>N</v>
      </c>
      <c r="I10" s="10" t="str">
        <f>'Base Blend Property Calculation'!BL13</f>
        <v>04</v>
      </c>
      <c r="J10" s="10">
        <f>'Base Blend Property Calculation'!BM13</f>
        <v>3000</v>
      </c>
      <c r="K10" s="10">
        <f>'Base Blend Property Calculation'!BO13</f>
        <v>1040</v>
      </c>
    </row>
    <row r="11" spans="1:11" x14ac:dyDescent="0.25">
      <c r="A11" s="29" t="str">
        <f>'Base Blend Property Calculation'!A14</f>
        <v>0:1:6 'G'</v>
      </c>
      <c r="B11" s="29" t="str">
        <f>'Base Blend Property Calculation'!B14</f>
        <v>0:1:0 'G'</v>
      </c>
      <c r="C11" s="7">
        <f>'Base Blend Property Calculation'!BN14</f>
        <v>6</v>
      </c>
      <c r="D11" s="8">
        <f>'Base Blend Property Calculation'!BG14</f>
        <v>0.75082827713630229</v>
      </c>
      <c r="E11" s="8">
        <f>'Base Blend Property Calculation'!BH14</f>
        <v>1.0869317389773723</v>
      </c>
      <c r="F11" s="30">
        <f>'Base Blend Property Calculation'!BI14</f>
        <v>1666</v>
      </c>
      <c r="G11" s="8">
        <f>'Base Blend Property Calculation'!BJ14</f>
        <v>2.9752743233357721</v>
      </c>
      <c r="H11" s="30" t="str">
        <f>'Base Blend Property Calculation'!BK14</f>
        <v>Y</v>
      </c>
      <c r="I11" s="10" t="str">
        <f>'Base Blend Property Calculation'!BL14</f>
        <v>04</v>
      </c>
      <c r="J11" s="10">
        <f>'Base Blend Property Calculation'!BM14</f>
        <v>3000</v>
      </c>
      <c r="K11" s="10">
        <f>'Base Blend Property Calculation'!BO14</f>
        <v>1060</v>
      </c>
    </row>
    <row r="12" spans="1:11" x14ac:dyDescent="0.25">
      <c r="A12" s="29" t="str">
        <f>'Base Blend Property Calculation'!A15</f>
        <v>0:1:8 'G'</v>
      </c>
      <c r="B12" s="29" t="str">
        <f>'Base Blend Property Calculation'!B15</f>
        <v>0:1:0 'G'</v>
      </c>
      <c r="C12" s="7">
        <f>'Base Blend Property Calculation'!BN15</f>
        <v>8</v>
      </c>
      <c r="D12" s="8">
        <f>'Base Blend Property Calculation'!BG15</f>
        <v>0.87664018942789323</v>
      </c>
      <c r="E12" s="8">
        <f>'Base Blend Property Calculation'!BH15</f>
        <v>1.2206114718826533</v>
      </c>
      <c r="F12" s="30">
        <f>'Base Blend Property Calculation'!BI15</f>
        <v>1603</v>
      </c>
      <c r="G12" s="8">
        <f>'Base Blend Property Calculation'!BJ15</f>
        <v>2.9072194424588989</v>
      </c>
      <c r="H12" s="30" t="str">
        <f>'Base Blend Property Calculation'!BK15</f>
        <v>Y</v>
      </c>
      <c r="I12" s="10" t="str">
        <f>'Base Blend Property Calculation'!BL15</f>
        <v>04</v>
      </c>
      <c r="J12" s="10">
        <f>'Base Blend Property Calculation'!BM15</f>
        <v>3000</v>
      </c>
      <c r="K12" s="10">
        <f>'Base Blend Property Calculation'!BO15</f>
        <v>1080</v>
      </c>
    </row>
    <row r="13" spans="1:11" x14ac:dyDescent="0.25">
      <c r="A13" s="29" t="str">
        <f>'Base Blend Property Calculation'!A16</f>
        <v>1:1:0 'G'</v>
      </c>
      <c r="B13" s="29" t="str">
        <f>'Base Blend Property Calculation'!B16</f>
        <v>1:1:0 'G'</v>
      </c>
      <c r="C13" s="7">
        <f>'Base Blend Property Calculation'!BN16</f>
        <v>0</v>
      </c>
      <c r="D13" s="8">
        <f>'Base Blend Property Calculation'!BG16</f>
        <v>0.4832232384823848</v>
      </c>
      <c r="E13" s="8">
        <f>'Base Blend Property Calculation'!BH16</f>
        <v>0.86233909214092141</v>
      </c>
      <c r="F13" s="30">
        <f>'Base Blend Property Calculation'!BI16</f>
        <v>1720</v>
      </c>
      <c r="G13" s="8">
        <f>'Base Blend Property Calculation'!BJ16</f>
        <v>2.6377161238439886</v>
      </c>
      <c r="H13" s="30" t="str">
        <f>'Base Blend Property Calculation'!BK16</f>
        <v>N</v>
      </c>
      <c r="I13" s="10" t="str">
        <f>'Base Blend Property Calculation'!BL16</f>
        <v>04</v>
      </c>
      <c r="J13" s="10">
        <f>'Base Blend Property Calculation'!BM16</f>
        <v>3002</v>
      </c>
      <c r="K13" s="10">
        <f>'Base Blend Property Calculation'!BO16</f>
        <v>1000</v>
      </c>
    </row>
    <row r="14" spans="1:11" x14ac:dyDescent="0.25">
      <c r="A14" s="29" t="str">
        <f>'Base Blend Property Calculation'!A17</f>
        <v>1:1:0 'G' (Sask)</v>
      </c>
      <c r="B14" s="29" t="str">
        <f>'Base Blend Property Calculation'!B17</f>
        <v>1:1:0 'G'</v>
      </c>
      <c r="C14" s="7">
        <f>'Base Blend Property Calculation'!BN17</f>
        <v>0</v>
      </c>
      <c r="D14" s="8">
        <f>'Base Blend Property Calculation'!BG17</f>
        <v>0.54762323864656248</v>
      </c>
      <c r="E14" s="8">
        <f>'Base Blend Property Calculation'!BH17</f>
        <v>0.89978095270148972</v>
      </c>
      <c r="F14" s="30">
        <f>'Base Blend Property Calculation'!BI17</f>
        <v>1720</v>
      </c>
      <c r="G14" s="8">
        <f>'Base Blend Property Calculation'!BJ17</f>
        <v>2.8396367879762718</v>
      </c>
      <c r="H14" s="30" t="str">
        <f>'Base Blend Property Calculation'!BK17</f>
        <v>N</v>
      </c>
      <c r="I14" s="10" t="str">
        <f>'Base Blend Property Calculation'!BL17</f>
        <v>04</v>
      </c>
      <c r="J14" s="10">
        <f>'Base Blend Property Calculation'!BM17</f>
        <v>3002</v>
      </c>
      <c r="K14" s="10">
        <f>'Base Blend Property Calculation'!BO17</f>
        <v>1000</v>
      </c>
    </row>
    <row r="15" spans="1:11" x14ac:dyDescent="0.25">
      <c r="A15" s="29" t="str">
        <f>'Base Blend Property Calculation'!A18</f>
        <v>1:1:12 'G'</v>
      </c>
      <c r="B15" s="29" t="str">
        <f>'Base Blend Property Calculation'!B18</f>
        <v>1:1:0 'G'</v>
      </c>
      <c r="C15" s="7">
        <f>'Base Blend Property Calculation'!BN18</f>
        <v>12</v>
      </c>
      <c r="D15" s="8">
        <f>'Base Blend Property Calculation'!BG18</f>
        <v>1.1290073183080305</v>
      </c>
      <c r="E15" s="8">
        <f>'Base Blend Property Calculation'!BH18</f>
        <v>1.5553300956487071</v>
      </c>
      <c r="F15" s="30">
        <f>'Base Blend Property Calculation'!BI18</f>
        <v>1446</v>
      </c>
      <c r="G15" s="8">
        <f>'Base Blend Property Calculation'!BJ18</f>
        <v>2.3456405642640461</v>
      </c>
      <c r="H15" s="30" t="str">
        <f>'Base Blend Property Calculation'!BK18</f>
        <v>Y</v>
      </c>
      <c r="I15" s="10" t="str">
        <f>'Base Blend Property Calculation'!BL18</f>
        <v>04</v>
      </c>
      <c r="J15" s="10">
        <f>'Base Blend Property Calculation'!BM18</f>
        <v>3002</v>
      </c>
      <c r="K15" s="10">
        <f>'Base Blend Property Calculation'!BO18</f>
        <v>1120</v>
      </c>
    </row>
    <row r="16" spans="1:11" x14ac:dyDescent="0.25">
      <c r="A16" s="29" t="str">
        <f>'Base Blend Property Calculation'!A19</f>
        <v>1:1:12 'G' (Sask)</v>
      </c>
      <c r="B16" s="29" t="str">
        <f>'Base Blend Property Calculation'!B19</f>
        <v>1:1:0 'G'</v>
      </c>
      <c r="C16" s="7">
        <f>'Base Blend Property Calculation'!BN19</f>
        <v>12</v>
      </c>
      <c r="D16" s="8">
        <f>'Base Blend Property Calculation'!BG19</f>
        <v>1.2164097171125574</v>
      </c>
      <c r="E16" s="8">
        <f>'Base Blend Property Calculation'!BH19</f>
        <v>1.6157743548496248</v>
      </c>
      <c r="F16" s="30">
        <f>'Base Blend Property Calculation'!BI19</f>
        <v>1446</v>
      </c>
      <c r="G16" s="8">
        <f>'Base Blend Property Calculation'!BJ19</f>
        <v>2.5039773317595966</v>
      </c>
      <c r="H16" s="30" t="str">
        <f>'Base Blend Property Calculation'!BK19</f>
        <v>Y</v>
      </c>
      <c r="I16" s="10" t="str">
        <f>'Base Blend Property Calculation'!BL19</f>
        <v>04</v>
      </c>
      <c r="J16" s="10">
        <f>'Base Blend Property Calculation'!BM19</f>
        <v>3002</v>
      </c>
      <c r="K16" s="10">
        <f>'Base Blend Property Calculation'!BO19</f>
        <v>1120</v>
      </c>
    </row>
    <row r="17" spans="1:11" x14ac:dyDescent="0.25">
      <c r="A17" s="29" t="str">
        <f>'Base Blend Property Calculation'!A20</f>
        <v>1:1:2 'G'</v>
      </c>
      <c r="B17" s="29" t="str">
        <f>'Base Blend Property Calculation'!B20</f>
        <v>1:1:0 'G'</v>
      </c>
      <c r="C17" s="7">
        <f>'Base Blend Property Calculation'!BN20</f>
        <v>2</v>
      </c>
      <c r="D17" s="8">
        <f>'Base Blend Property Calculation'!BG20</f>
        <v>0.59291775874290253</v>
      </c>
      <c r="E17" s="8">
        <f>'Base Blend Property Calculation'!BH20</f>
        <v>0.97990143301512922</v>
      </c>
      <c r="F17" s="30">
        <f>'Base Blend Property Calculation'!BI20</f>
        <v>1646</v>
      </c>
      <c r="G17" s="8">
        <f>'Base Blend Property Calculation'!BJ20</f>
        <v>2.5840883388185056</v>
      </c>
      <c r="H17" s="30" t="str">
        <f>'Base Blend Property Calculation'!BK20</f>
        <v>N</v>
      </c>
      <c r="I17" s="10" t="str">
        <f>'Base Blend Property Calculation'!BL20</f>
        <v>06</v>
      </c>
      <c r="J17" s="10">
        <f>'Base Blend Property Calculation'!BM20</f>
        <v>3002</v>
      </c>
      <c r="K17" s="10">
        <f>'Base Blend Property Calculation'!BO20</f>
        <v>1020</v>
      </c>
    </row>
    <row r="18" spans="1:11" x14ac:dyDescent="0.25">
      <c r="A18" s="29" t="str">
        <f>'Base Blend Property Calculation'!A21</f>
        <v>1:1:2 'G' (Sask)</v>
      </c>
      <c r="B18" s="29" t="str">
        <f>'Base Blend Property Calculation'!B21</f>
        <v>1:1:0 'G'</v>
      </c>
      <c r="C18" s="7">
        <f>'Base Blend Property Calculation'!BN21</f>
        <v>2</v>
      </c>
      <c r="D18" s="8">
        <f>'Base Blend Property Calculation'!BG21</f>
        <v>0.6616067646059689</v>
      </c>
      <c r="E18" s="8">
        <f>'Base Blend Property Calculation'!BH21</f>
        <v>1.0216322992745863</v>
      </c>
      <c r="F18" s="30">
        <f>'Base Blend Property Calculation'!BI21</f>
        <v>1646</v>
      </c>
      <c r="G18" s="8">
        <f>'Base Blend Property Calculation'!BJ21</f>
        <v>2.7775807649877997</v>
      </c>
      <c r="H18" s="30" t="str">
        <f>'Base Blend Property Calculation'!BK21</f>
        <v>N</v>
      </c>
      <c r="I18" s="10" t="str">
        <f>'Base Blend Property Calculation'!BL21</f>
        <v>06</v>
      </c>
      <c r="J18" s="10">
        <f>'Base Blend Property Calculation'!BM21</f>
        <v>3002</v>
      </c>
      <c r="K18" s="10">
        <f>'Base Blend Property Calculation'!BO21</f>
        <v>1020</v>
      </c>
    </row>
    <row r="19" spans="1:11" x14ac:dyDescent="0.25">
      <c r="A19" s="29" t="str">
        <f>'Base Blend Property Calculation'!A22</f>
        <v>1:1:4 'G'</v>
      </c>
      <c r="B19" s="29" t="str">
        <f>'Base Blend Property Calculation'!B22</f>
        <v>1:1:0 'G'</v>
      </c>
      <c r="C19" s="7">
        <f>'Base Blend Property Calculation'!BN22</f>
        <v>4</v>
      </c>
      <c r="D19" s="8">
        <f>'Base Blend Property Calculation'!BG22</f>
        <v>0.69862054768032611</v>
      </c>
      <c r="E19" s="8">
        <f>'Base Blend Property Calculation'!BH22</f>
        <v>1.0934720425662428</v>
      </c>
      <c r="F19" s="30">
        <f>'Base Blend Property Calculation'!BI22</f>
        <v>1590</v>
      </c>
      <c r="G19" s="8">
        <f>'Base Blend Property Calculation'!BJ22</f>
        <v>2.5325977309239445</v>
      </c>
      <c r="H19" s="30" t="str">
        <f>'Base Blend Property Calculation'!BK22</f>
        <v>N</v>
      </c>
      <c r="I19" s="10" t="str">
        <f>'Base Blend Property Calculation'!BL22</f>
        <v>07</v>
      </c>
      <c r="J19" s="10">
        <f>'Base Blend Property Calculation'!BM22</f>
        <v>3002</v>
      </c>
      <c r="K19" s="10">
        <f>'Base Blend Property Calculation'!BO22</f>
        <v>1040</v>
      </c>
    </row>
    <row r="20" spans="1:11" x14ac:dyDescent="0.25">
      <c r="A20" s="29" t="str">
        <f>'Base Blend Property Calculation'!A23</f>
        <v>1:1:4 'G' (Sask)</v>
      </c>
      <c r="B20" s="29" t="str">
        <f>'Base Blend Property Calculation'!B23</f>
        <v>1:1:0 'G'</v>
      </c>
      <c r="C20" s="7">
        <f>'Base Blend Property Calculation'!BN23</f>
        <v>4</v>
      </c>
      <c r="D20" s="8">
        <f>'Base Blend Property Calculation'!BG23</f>
        <v>0.77127044932395139</v>
      </c>
      <c r="E20" s="8">
        <f>'Base Blend Property Calculation'!BH23</f>
        <v>1.1391638046062587</v>
      </c>
      <c r="F20" s="30">
        <f>'Base Blend Property Calculation'!BI23</f>
        <v>1590</v>
      </c>
      <c r="G20" s="8">
        <f>'Base Blend Property Calculation'!BJ23</f>
        <v>2.7181790202017599</v>
      </c>
      <c r="H20" s="30" t="str">
        <f>'Base Blend Property Calculation'!BK23</f>
        <v>N</v>
      </c>
      <c r="I20" s="10" t="str">
        <f>'Base Blend Property Calculation'!BL23</f>
        <v>07</v>
      </c>
      <c r="J20" s="10">
        <f>'Base Blend Property Calculation'!BM23</f>
        <v>3002</v>
      </c>
      <c r="K20" s="10">
        <f>'Base Blend Property Calculation'!BO23</f>
        <v>1040</v>
      </c>
    </row>
    <row r="21" spans="1:11" x14ac:dyDescent="0.25">
      <c r="A21" s="29" t="str">
        <f>'Base Blend Property Calculation'!A24</f>
        <v>1:1:6 'G'</v>
      </c>
      <c r="B21" s="29" t="str">
        <f>'Base Blend Property Calculation'!B24</f>
        <v>1:1:0 'G'</v>
      </c>
      <c r="C21" s="7">
        <f>'Base Blend Property Calculation'!BN24</f>
        <v>6</v>
      </c>
      <c r="D21" s="8">
        <f>'Base Blend Property Calculation'!BG24</f>
        <v>0.78800656221849719</v>
      </c>
      <c r="E21" s="8">
        <f>'Base Blend Property Calculation'!BH24</f>
        <v>1.1907258777181038</v>
      </c>
      <c r="F21" s="30">
        <f>'Base Blend Property Calculation'!BI24</f>
        <v>1552</v>
      </c>
      <c r="G21" s="8">
        <f>'Base Blend Property Calculation'!BJ24</f>
        <v>2.4831190397694667</v>
      </c>
      <c r="H21" s="30" t="str">
        <f>'Base Blend Property Calculation'!BK24</f>
        <v>N</v>
      </c>
      <c r="I21" s="10" t="str">
        <f>'Base Blend Property Calculation'!BL24</f>
        <v>04</v>
      </c>
      <c r="J21" s="10">
        <f>'Base Blend Property Calculation'!BM24</f>
        <v>3002</v>
      </c>
      <c r="K21" s="10">
        <f>'Base Blend Property Calculation'!BO24</f>
        <v>1060</v>
      </c>
    </row>
    <row r="22" spans="1:11" x14ac:dyDescent="0.25">
      <c r="A22" s="29" t="str">
        <f>'Base Blend Property Calculation'!A25</f>
        <v>1:1:6 'G' (Sask)</v>
      </c>
      <c r="B22" s="29" t="str">
        <f>'Base Blend Property Calculation'!B25</f>
        <v>1:1:0 'G'</v>
      </c>
      <c r="C22" s="7">
        <f>'Base Blend Property Calculation'!BN25</f>
        <v>6</v>
      </c>
      <c r="D22" s="8">
        <f>'Base Blend Property Calculation'!BG25</f>
        <v>0.86380191124893502</v>
      </c>
      <c r="E22" s="8">
        <f>'Base Blend Property Calculation'!BH25</f>
        <v>1.2395630871449324</v>
      </c>
      <c r="F22" s="30">
        <f>'Base Blend Property Calculation'!BI25</f>
        <v>1552</v>
      </c>
      <c r="G22" s="8">
        <f>'Base Blend Property Calculation'!BJ25</f>
        <v>2.6612648249663202</v>
      </c>
      <c r="H22" s="30" t="str">
        <f>'Base Blend Property Calculation'!BK25</f>
        <v>N</v>
      </c>
      <c r="I22" s="10" t="str">
        <f>'Base Blend Property Calculation'!BL25</f>
        <v>04</v>
      </c>
      <c r="J22" s="10">
        <f>'Base Blend Property Calculation'!BM25</f>
        <v>3002</v>
      </c>
      <c r="K22" s="10">
        <f>'Base Blend Property Calculation'!BO25</f>
        <v>1060</v>
      </c>
    </row>
    <row r="23" spans="1:11" x14ac:dyDescent="0.25">
      <c r="A23" s="29" t="str">
        <f>'Base Blend Property Calculation'!A26</f>
        <v>1:1:8 'G'</v>
      </c>
      <c r="B23" s="29" t="str">
        <f>'Base Blend Property Calculation'!B26</f>
        <v>1:1:0 'G'</v>
      </c>
      <c r="C23" s="7">
        <f>'Base Blend Property Calculation'!BN26</f>
        <v>8</v>
      </c>
      <c r="D23" s="8">
        <f>'Base Blend Property Calculation'!BG26</f>
        <v>0.91498289138512612</v>
      </c>
      <c r="E23" s="8">
        <f>'Base Blend Property Calculation'!BH26</f>
        <v>1.3255700274984228</v>
      </c>
      <c r="F23" s="30">
        <f>'Base Blend Property Calculation'!BI26</f>
        <v>1505</v>
      </c>
      <c r="G23" s="8">
        <f>'Base Blend Property Calculation'!BJ26</f>
        <v>2.4355366061056083</v>
      </c>
      <c r="H23" s="30" t="str">
        <f>'Base Blend Property Calculation'!BK26</f>
        <v>Y</v>
      </c>
      <c r="I23" s="10" t="str">
        <f>'Base Blend Property Calculation'!BL26</f>
        <v>04</v>
      </c>
      <c r="J23" s="10">
        <f>'Base Blend Property Calculation'!BM26</f>
        <v>3002</v>
      </c>
      <c r="K23" s="10">
        <f>'Base Blend Property Calculation'!BO26</f>
        <v>1080</v>
      </c>
    </row>
    <row r="24" spans="1:11" x14ac:dyDescent="0.25">
      <c r="A24" s="29" t="str">
        <f>'Base Blend Property Calculation'!A27</f>
        <v>1:1:8 'G' (Sask)</v>
      </c>
      <c r="B24" s="29" t="str">
        <f>'Base Blend Property Calculation'!B27</f>
        <v>1:1:0 'G'</v>
      </c>
      <c r="C24" s="7">
        <f>'Base Blend Property Calculation'!BN27</f>
        <v>8</v>
      </c>
      <c r="D24" s="8">
        <f>'Base Blend Property Calculation'!BG27</f>
        <v>0.99532348564934769</v>
      </c>
      <c r="E24" s="8">
        <f>'Base Blend Property Calculation'!BH27</f>
        <v>1.3789524821590351</v>
      </c>
      <c r="F24" s="30">
        <f>'Base Blend Property Calculation'!BI27</f>
        <v>1505</v>
      </c>
      <c r="G24" s="8">
        <f>'Base Blend Property Calculation'!BJ27</f>
        <v>2.6066851283353083</v>
      </c>
      <c r="H24" s="30" t="str">
        <f>'Base Blend Property Calculation'!BK27</f>
        <v>Y</v>
      </c>
      <c r="I24" s="10" t="str">
        <f>'Base Blend Property Calculation'!BL27</f>
        <v>04</v>
      </c>
      <c r="J24" s="10">
        <f>'Base Blend Property Calculation'!BM27</f>
        <v>3002</v>
      </c>
      <c r="K24" s="10">
        <f>'Base Blend Property Calculation'!BO27</f>
        <v>1080</v>
      </c>
    </row>
    <row r="25" spans="1:11" x14ac:dyDescent="0.25">
      <c r="A25" s="29" t="str">
        <f>'Base Blend Property Calculation'!A28</f>
        <v>2:1:0 'G'</v>
      </c>
      <c r="B25" s="29" t="str">
        <f>'Base Blend Property Calculation'!B28</f>
        <v>2:1:0 'G'</v>
      </c>
      <c r="C25" s="7">
        <f>'Base Blend Property Calculation'!BN28</f>
        <v>0</v>
      </c>
      <c r="D25" s="8">
        <f>'Base Blend Property Calculation'!BG28</f>
        <v>0.49515959120974096</v>
      </c>
      <c r="E25" s="8">
        <f>'Base Blend Property Calculation'!BH28</f>
        <v>0.90670684730730189</v>
      </c>
      <c r="F25" s="30">
        <f>'Base Blend Property Calculation'!BI28</f>
        <v>1649</v>
      </c>
      <c r="G25" s="8">
        <f>'Base Blend Property Calculation'!BJ28</f>
        <v>2.4298546161681638</v>
      </c>
      <c r="H25" s="30" t="str">
        <f>'Base Blend Property Calculation'!BK28</f>
        <v>N</v>
      </c>
      <c r="I25" s="10" t="str">
        <f>'Base Blend Property Calculation'!BL28</f>
        <v>04</v>
      </c>
      <c r="J25" s="10" t="str">
        <f>'Base Blend Property Calculation'!BM28</f>
        <v>POR</v>
      </c>
      <c r="K25" s="10">
        <f>'Base Blend Property Calculation'!BO28</f>
        <v>1000</v>
      </c>
    </row>
    <row r="26" spans="1:11" x14ac:dyDescent="0.25">
      <c r="A26" s="29" t="str">
        <f>'Base Blend Property Calculation'!A29</f>
        <v>2:1:0 'G' (Sask)</v>
      </c>
      <c r="B26" s="29" t="str">
        <f>'Base Blend Property Calculation'!B29</f>
        <v>2:1:0 'G'</v>
      </c>
      <c r="C26" s="7">
        <f>'Base Blend Property Calculation'!BN29</f>
        <v>0</v>
      </c>
      <c r="D26" s="8">
        <f>'Base Blend Property Calculation'!BG29</f>
        <v>0.60566013700710175</v>
      </c>
      <c r="E26" s="8">
        <f>'Base Blend Property Calculation'!BH29</f>
        <v>0.97371748757252985</v>
      </c>
      <c r="F26" s="30">
        <f>'Base Blend Property Calculation'!BI29</f>
        <v>1649</v>
      </c>
      <c r="G26" s="8">
        <f>'Base Blend Property Calculation'!BJ29</f>
        <v>2.7169678814014988</v>
      </c>
      <c r="H26" s="30" t="str">
        <f>'Base Blend Property Calculation'!BK29</f>
        <v>N</v>
      </c>
      <c r="I26" s="10" t="str">
        <f>'Base Blend Property Calculation'!BL29</f>
        <v>04</v>
      </c>
      <c r="J26" s="10" t="str">
        <f>'Base Blend Property Calculation'!BM29</f>
        <v>POR</v>
      </c>
      <c r="K26" s="10">
        <f>'Base Blend Property Calculation'!BO29</f>
        <v>1000</v>
      </c>
    </row>
    <row r="27" spans="1:11" x14ac:dyDescent="0.25">
      <c r="A27" s="29" t="str">
        <f>'Base Blend Property Calculation'!A30</f>
        <v>2:1:12 'G'</v>
      </c>
      <c r="B27" s="29" t="str">
        <f>'Base Blend Property Calculation'!B30</f>
        <v>2:1:0 'G'</v>
      </c>
      <c r="C27" s="7">
        <f>'Base Blend Property Calculation'!BN30</f>
        <v>12</v>
      </c>
      <c r="D27" s="8">
        <f>'Base Blend Property Calculation'!BG30</f>
        <v>1.142325288066059</v>
      </c>
      <c r="E27" s="8">
        <f>'Base Blend Property Calculation'!BH30</f>
        <v>1.6010794678457601</v>
      </c>
      <c r="F27" s="30">
        <f>'Base Blend Property Calculation'!BI30</f>
        <v>1413</v>
      </c>
      <c r="G27" s="8">
        <f>'Base Blend Property Calculation'!BJ30</f>
        <v>2.1798166514367487</v>
      </c>
      <c r="H27" s="30" t="str">
        <f>'Base Blend Property Calculation'!BK30</f>
        <v>Y</v>
      </c>
      <c r="I27" s="10" t="str">
        <f>'Base Blend Property Calculation'!BL30</f>
        <v>04</v>
      </c>
      <c r="J27" s="10" t="str">
        <f>'Base Blend Property Calculation'!BM30</f>
        <v>POR</v>
      </c>
      <c r="K27" s="10">
        <f>'Base Blend Property Calculation'!BO30</f>
        <v>1120</v>
      </c>
    </row>
    <row r="28" spans="1:11" x14ac:dyDescent="0.25">
      <c r="A28" s="29" t="str">
        <f>'Base Blend Property Calculation'!A31</f>
        <v>2:1:12 'G' (Sask)</v>
      </c>
      <c r="B28" s="29" t="str">
        <f>'Base Blend Property Calculation'!B31</f>
        <v>2:1:0 'G'</v>
      </c>
      <c r="C28" s="7">
        <f>'Base Blend Property Calculation'!BN31</f>
        <v>12</v>
      </c>
      <c r="D28" s="8">
        <f>'Base Blend Property Calculation'!BG31</f>
        <v>1.2911176283006929</v>
      </c>
      <c r="E28" s="8">
        <f>'Base Blend Property Calculation'!BH31</f>
        <v>1.7063819025482609</v>
      </c>
      <c r="F28" s="30">
        <f>'Base Blend Property Calculation'!BI31</f>
        <v>1413</v>
      </c>
      <c r="G28" s="8">
        <f>'Base Blend Property Calculation'!BJ31</f>
        <v>2.4081050598728608</v>
      </c>
      <c r="H28" s="30" t="str">
        <f>'Base Blend Property Calculation'!BK31</f>
        <v>Y</v>
      </c>
      <c r="I28" s="10" t="str">
        <f>'Base Blend Property Calculation'!BL31</f>
        <v>04</v>
      </c>
      <c r="J28" s="10" t="str">
        <f>'Base Blend Property Calculation'!BM31</f>
        <v>POR</v>
      </c>
      <c r="K28" s="10">
        <f>'Base Blend Property Calculation'!BO31</f>
        <v>1120</v>
      </c>
    </row>
    <row r="29" spans="1:11" x14ac:dyDescent="0.25">
      <c r="A29" s="29" t="str">
        <f>'Base Blend Property Calculation'!A32</f>
        <v>2:1:2 'G'</v>
      </c>
      <c r="B29" s="29" t="str">
        <f>'Base Blend Property Calculation'!B32</f>
        <v>2:1:0 'G'</v>
      </c>
      <c r="C29" s="7">
        <f>'Base Blend Property Calculation'!BN32</f>
        <v>2</v>
      </c>
      <c r="D29" s="8">
        <f>'Base Blend Property Calculation'!BG32</f>
        <v>0.60547387088047078</v>
      </c>
      <c r="E29" s="8">
        <f>'Base Blend Property Calculation'!BH32</f>
        <v>1.0248889475917218</v>
      </c>
      <c r="F29" s="30">
        <f>'Base Blend Property Calculation'!BI32</f>
        <v>1586</v>
      </c>
      <c r="G29" s="8">
        <f>'Base Blend Property Calculation'!BJ32</f>
        <v>2.384272897009986</v>
      </c>
      <c r="H29" s="30" t="str">
        <f>'Base Blend Property Calculation'!BK32</f>
        <v>N</v>
      </c>
      <c r="I29" s="10" t="str">
        <f>'Base Blend Property Calculation'!BL32</f>
        <v>04</v>
      </c>
      <c r="J29" s="10" t="str">
        <f>'Base Blend Property Calculation'!BM32</f>
        <v>POR</v>
      </c>
      <c r="K29" s="10">
        <f>'Base Blend Property Calculation'!BO32</f>
        <v>1020</v>
      </c>
    </row>
    <row r="30" spans="1:11" x14ac:dyDescent="0.25">
      <c r="A30" s="29" t="str">
        <f>'Base Blend Property Calculation'!A33</f>
        <v>2:1:2 'G' (Sask)</v>
      </c>
      <c r="B30" s="29" t="str">
        <f>'Base Blend Property Calculation'!B33</f>
        <v>2:1:0 'G'</v>
      </c>
      <c r="C30" s="7">
        <f>'Base Blend Property Calculation'!BN33</f>
        <v>2</v>
      </c>
      <c r="D30" s="8">
        <f>'Base Blend Property Calculation'!BG33</f>
        <v>0.72317863226948575</v>
      </c>
      <c r="E30" s="8">
        <f>'Base Blend Property Calculation'!BH33</f>
        <v>1.0991038034486038</v>
      </c>
      <c r="F30" s="30">
        <f>'Base Blend Property Calculation'!BI33</f>
        <v>1586</v>
      </c>
      <c r="G30" s="8">
        <f>'Base Blend Property Calculation'!BJ33</f>
        <v>2.6601038628603226</v>
      </c>
      <c r="H30" s="30" t="str">
        <f>'Base Blend Property Calculation'!BK33</f>
        <v>N</v>
      </c>
      <c r="I30" s="10" t="str">
        <f>'Base Blend Property Calculation'!BL33</f>
        <v>04</v>
      </c>
      <c r="J30" s="10" t="str">
        <f>'Base Blend Property Calculation'!BM33</f>
        <v>POR</v>
      </c>
      <c r="K30" s="10">
        <f>'Base Blend Property Calculation'!BO33</f>
        <v>1020</v>
      </c>
    </row>
    <row r="31" spans="1:11" x14ac:dyDescent="0.25">
      <c r="A31" s="29" t="str">
        <f>'Base Blend Property Calculation'!A34</f>
        <v>2:1:4 'G'</v>
      </c>
      <c r="B31" s="29" t="str">
        <f>'Base Blend Property Calculation'!B34</f>
        <v>2:1:0 'G'</v>
      </c>
      <c r="C31" s="7">
        <f>'Base Blend Property Calculation'!BN34</f>
        <v>4</v>
      </c>
      <c r="D31" s="8">
        <f>'Base Blend Property Calculation'!BG34</f>
        <v>0.71159647567702733</v>
      </c>
      <c r="E31" s="8">
        <f>'Base Blend Property Calculation'!BH34</f>
        <v>1.1388793730019684</v>
      </c>
      <c r="F31" s="30">
        <f>'Base Blend Property Calculation'!BI34</f>
        <v>1538</v>
      </c>
      <c r="G31" s="8">
        <f>'Base Blend Property Calculation'!BJ34</f>
        <v>2.340369825847529</v>
      </c>
      <c r="H31" s="30" t="str">
        <f>'Base Blend Property Calculation'!BK34</f>
        <v>Y</v>
      </c>
      <c r="I31" s="10" t="str">
        <f>'Base Blend Property Calculation'!BL34</f>
        <v>04</v>
      </c>
      <c r="J31" s="10" t="str">
        <f>'Base Blend Property Calculation'!BM34</f>
        <v>POR</v>
      </c>
      <c r="K31" s="10">
        <f>'Base Blend Property Calculation'!BO34</f>
        <v>1040</v>
      </c>
    </row>
    <row r="32" spans="1:11" x14ac:dyDescent="0.25">
      <c r="A32" s="29" t="str">
        <f>'Base Blend Property Calculation'!A35</f>
        <v>2:1:4 'G' (Sask)</v>
      </c>
      <c r="B32" s="29" t="str">
        <f>'Base Blend Property Calculation'!B35</f>
        <v>2:1:0 'G'</v>
      </c>
      <c r="C32" s="7">
        <f>'Base Blend Property Calculation'!BN35</f>
        <v>4</v>
      </c>
      <c r="D32" s="8">
        <f>'Base Blend Property Calculation'!BG35</f>
        <v>0.83592263684509482</v>
      </c>
      <c r="E32" s="8">
        <f>'Base Blend Property Calculation'!BH35</f>
        <v>1.2197156286379029</v>
      </c>
      <c r="F32" s="30">
        <f>'Base Blend Property Calculation'!BI35</f>
        <v>1538</v>
      </c>
      <c r="G32" s="8">
        <f>'Base Blend Property Calculation'!BJ35</f>
        <v>2.6055712881277757</v>
      </c>
      <c r="H32" s="30" t="str">
        <f>'Base Blend Property Calculation'!BK35</f>
        <v>Y</v>
      </c>
      <c r="I32" s="10" t="str">
        <f>'Base Blend Property Calculation'!BL35</f>
        <v>04</v>
      </c>
      <c r="J32" s="10" t="str">
        <f>'Base Blend Property Calculation'!BM35</f>
        <v>POR</v>
      </c>
      <c r="K32" s="10">
        <f>'Base Blend Property Calculation'!BO35</f>
        <v>1040</v>
      </c>
    </row>
    <row r="33" spans="1:11" x14ac:dyDescent="0.25">
      <c r="A33" s="29" t="str">
        <f>'Base Blend Property Calculation'!A36</f>
        <v>2:1:6 'G'</v>
      </c>
      <c r="B33" s="29" t="str">
        <f>'Base Blend Property Calculation'!B36</f>
        <v>2:1:0 'G'</v>
      </c>
      <c r="C33" s="7">
        <f>'Base Blend Property Calculation'!BN36</f>
        <v>6</v>
      </c>
      <c r="D33" s="8">
        <f>'Base Blend Property Calculation'!BG36</f>
        <v>0.82972637125442361</v>
      </c>
      <c r="E33" s="8">
        <f>'Base Blend Property Calculation'!BH36</f>
        <v>1.2648770891930545</v>
      </c>
      <c r="F33" s="30">
        <f>'Base Blend Property Calculation'!BI36</f>
        <v>1494</v>
      </c>
      <c r="G33" s="8">
        <f>'Base Blend Property Calculation'!BJ36</f>
        <v>2.2980543493921788</v>
      </c>
      <c r="H33" s="30" t="str">
        <f>'Base Blend Property Calculation'!BK36</f>
        <v>Y</v>
      </c>
      <c r="I33" s="10" t="str">
        <f>'Base Blend Property Calculation'!BL36</f>
        <v>04</v>
      </c>
      <c r="J33" s="10" t="str">
        <f>'Base Blend Property Calculation'!BM36</f>
        <v>POR</v>
      </c>
      <c r="K33" s="10">
        <f>'Base Blend Property Calculation'!BO36</f>
        <v>1060</v>
      </c>
    </row>
    <row r="34" spans="1:11" x14ac:dyDescent="0.25">
      <c r="A34" s="29" t="str">
        <f>'Base Blend Property Calculation'!A37</f>
        <v>2:1:6 'G' (Sask)</v>
      </c>
      <c r="B34" s="29" t="str">
        <f>'Base Blend Property Calculation'!B37</f>
        <v>2:1:0 'G'</v>
      </c>
      <c r="C34" s="7">
        <f>'Base Blend Property Calculation'!BN37</f>
        <v>6</v>
      </c>
      <c r="D34" s="8">
        <f>'Base Blend Property Calculation'!BG37</f>
        <v>0.96125252280301965</v>
      </c>
      <c r="E34" s="8">
        <f>'Base Blend Property Calculation'!BH37</f>
        <v>1.352913335209518</v>
      </c>
      <c r="F34" s="30">
        <f>'Base Blend Property Calculation'!BI37</f>
        <v>1494</v>
      </c>
      <c r="G34" s="8">
        <f>'Base Blend Property Calculation'!BJ37</f>
        <v>2.5532296526059302</v>
      </c>
      <c r="H34" s="30" t="str">
        <f>'Base Blend Property Calculation'!BK37</f>
        <v>Y</v>
      </c>
      <c r="I34" s="10" t="str">
        <f>'Base Blend Property Calculation'!BL37</f>
        <v>04</v>
      </c>
      <c r="J34" s="10" t="str">
        <f>'Base Blend Property Calculation'!BM37</f>
        <v>POR</v>
      </c>
      <c r="K34" s="10">
        <f>'Base Blend Property Calculation'!BO37</f>
        <v>1060</v>
      </c>
    </row>
    <row r="35" spans="1:11" x14ac:dyDescent="0.25">
      <c r="A35" s="29" t="str">
        <f>'Base Blend Property Calculation'!A38</f>
        <v>2:1:8 'G'</v>
      </c>
      <c r="B35" s="29" t="str">
        <f>'Base Blend Property Calculation'!B38</f>
        <v>2:1:0 'G'</v>
      </c>
      <c r="C35" s="7">
        <f>'Base Blend Property Calculation'!BN38</f>
        <v>8</v>
      </c>
      <c r="D35" s="8">
        <f>'Base Blend Property Calculation'!BG38</f>
        <v>0.9297863352573319</v>
      </c>
      <c r="E35" s="8">
        <f>'Base Blend Property Calculation'!BH38</f>
        <v>1.372804873809653</v>
      </c>
      <c r="F35" s="30">
        <f>'Base Blend Property Calculation'!BI38</f>
        <v>1464</v>
      </c>
      <c r="G35" s="8">
        <f>'Base Blend Property Calculation'!BJ38</f>
        <v>2.2572418826258636</v>
      </c>
      <c r="H35" s="30" t="str">
        <f>'Base Blend Property Calculation'!BK38</f>
        <v>Y</v>
      </c>
      <c r="I35" s="10" t="str">
        <f>'Base Blend Property Calculation'!BL38</f>
        <v>04</v>
      </c>
      <c r="J35" s="10" t="str">
        <f>'Base Blend Property Calculation'!BM38</f>
        <v>POR</v>
      </c>
      <c r="K35" s="10">
        <f>'Base Blend Property Calculation'!BO38</f>
        <v>1080</v>
      </c>
    </row>
    <row r="36" spans="1:11" x14ac:dyDescent="0.25">
      <c r="A36" s="29" t="str">
        <f>'Base Blend Property Calculation'!A39</f>
        <v>2:1:8 'G' (Sask)</v>
      </c>
      <c r="B36" s="29" t="str">
        <f>'Base Blend Property Calculation'!B39</f>
        <v>2:1:0 'G'</v>
      </c>
      <c r="C36" s="7">
        <f>'Base Blend Property Calculation'!BN39</f>
        <v>8</v>
      </c>
      <c r="D36" s="8">
        <f>'Base Blend Property Calculation'!BG39</f>
        <v>1.0670044854707856</v>
      </c>
      <c r="E36" s="8">
        <f>'Base Blend Property Calculation'!BH39</f>
        <v>1.4665331184909738</v>
      </c>
      <c r="F36" s="30">
        <f>'Base Blend Property Calculation'!BI39</f>
        <v>1464</v>
      </c>
      <c r="G36" s="8">
        <f>'Base Blend Property Calculation'!BJ39</f>
        <v>2.5029495193889395</v>
      </c>
      <c r="H36" s="30" t="str">
        <f>'Base Blend Property Calculation'!BK39</f>
        <v>Y</v>
      </c>
      <c r="I36" s="10" t="str">
        <f>'Base Blend Property Calculation'!BL39</f>
        <v>04</v>
      </c>
      <c r="J36" s="10" t="str">
        <f>'Base Blend Property Calculation'!BM39</f>
        <v>POR</v>
      </c>
      <c r="K36" s="10">
        <f>'Base Blend Property Calculation'!BO39</f>
        <v>1080</v>
      </c>
    </row>
    <row r="37" spans="1:11" x14ac:dyDescent="0.25">
      <c r="A37" s="29" t="str">
        <f>'Base Blend Property Calculation'!A40</f>
        <v>ARC</v>
      </c>
      <c r="B37" s="29" t="str">
        <f>'Base Blend Property Calculation'!B40</f>
        <v>ARC</v>
      </c>
      <c r="C37" s="7">
        <f>'Base Blend Property Calculation'!BN40</f>
        <v>0</v>
      </c>
      <c r="D37" s="8">
        <f>'Base Blend Property Calculation'!BG40</f>
        <v>0.56863603238752114</v>
      </c>
      <c r="E37" s="8">
        <f>'Base Blend Property Calculation'!BH40</f>
        <v>0.89380970506411461</v>
      </c>
      <c r="F37" s="30">
        <f>'Base Blend Property Calculation'!BI40</f>
        <v>1755</v>
      </c>
      <c r="G37" s="8">
        <f>'Base Blend Property Calculation'!BJ40</f>
        <v>3.075279716739447</v>
      </c>
      <c r="H37" s="30" t="str">
        <f>'Base Blend Property Calculation'!BK40</f>
        <v>N</v>
      </c>
      <c r="I37" s="10" t="str">
        <f>'Base Blend Property Calculation'!BL40</f>
        <v>04</v>
      </c>
      <c r="J37" s="10">
        <f>'Base Blend Property Calculation'!BM40</f>
        <v>0</v>
      </c>
      <c r="K37" s="10">
        <f>'Base Blend Property Calculation'!BO40</f>
        <v>1000</v>
      </c>
    </row>
    <row r="38" spans="1:11" x14ac:dyDescent="0.25">
      <c r="A38" s="29" t="str">
        <f>'Base Blend Property Calculation'!A41</f>
        <v>ASC (IV)</v>
      </c>
      <c r="B38" s="29" t="str">
        <f>'Base Blend Property Calculation'!B41</f>
        <v>ASC (IV)</v>
      </c>
      <c r="C38" s="7">
        <f>'Base Blend Property Calculation'!BN41</f>
        <v>0</v>
      </c>
      <c r="D38" s="8">
        <f>'Base Blend Property Calculation'!BG41</f>
        <v>0.5472204917559651</v>
      </c>
      <c r="E38" s="8">
        <f>'Base Blend Property Calculation'!BH41</f>
        <v>0.88412599528912295</v>
      </c>
      <c r="F38" s="30">
        <f>'Base Blend Property Calculation'!BI41</f>
        <v>1750</v>
      </c>
      <c r="G38" s="8">
        <f>'Base Blend Property Calculation'!BJ41</f>
        <v>2.9681913459795446</v>
      </c>
      <c r="H38" s="30" t="str">
        <f>'Base Blend Property Calculation'!BK41</f>
        <v>N</v>
      </c>
      <c r="I38" s="10" t="str">
        <f>'Base Blend Property Calculation'!BL41</f>
        <v>04</v>
      </c>
      <c r="J38" s="10">
        <f>'Base Blend Property Calculation'!BM41</f>
        <v>0</v>
      </c>
      <c r="K38" s="10">
        <f>'Base Blend Property Calculation'!BO41</f>
        <v>1000</v>
      </c>
    </row>
    <row r="39" spans="1:11" x14ac:dyDescent="0.25">
      <c r="A39" s="29" t="str">
        <f>'Base Blend Property Calculation'!A42</f>
        <v>CNRL CHOPS TH</v>
      </c>
      <c r="B39" s="29" t="str">
        <f>'Base Blend Property Calculation'!B42</f>
        <v>CNRL CHOPS TH</v>
      </c>
      <c r="C39" s="7">
        <f>'Base Blend Property Calculation'!BN42</f>
        <v>0</v>
      </c>
      <c r="D39" s="8">
        <f>'Base Blend Property Calculation'!BG42</f>
        <v>0.43005347060886301</v>
      </c>
      <c r="E39" s="8">
        <f>'Base Blend Property Calculation'!BH42</f>
        <v>0.77720297315699072</v>
      </c>
      <c r="F39" s="30">
        <f>'Base Blend Property Calculation'!BI42</f>
        <v>1840</v>
      </c>
      <c r="G39" s="8">
        <f>'Base Blend Property Calculation'!BJ42</f>
        <v>2.8806032924139453</v>
      </c>
      <c r="H39" s="30" t="str">
        <f>'Base Blend Property Calculation'!BK42</f>
        <v>N</v>
      </c>
      <c r="I39" s="10">
        <f>'Base Blend Property Calculation'!BL42</f>
        <v>30</v>
      </c>
      <c r="J39" s="10">
        <f>'Base Blend Property Calculation'!BM42</f>
        <v>0</v>
      </c>
      <c r="K39" s="10">
        <f>'Base Blend Property Calculation'!BO42</f>
        <v>1000</v>
      </c>
    </row>
    <row r="40" spans="1:11" x14ac:dyDescent="0.25">
      <c r="A40" s="29" t="str">
        <f>'Base Blend Property Calculation'!A43</f>
        <v>Expandomix</v>
      </c>
      <c r="B40" s="29" t="str">
        <f>'Base Blend Property Calculation'!B43</f>
        <v>Expandomix</v>
      </c>
      <c r="C40" s="7">
        <f>'Base Blend Property Calculation'!BN43</f>
        <v>0</v>
      </c>
      <c r="D40" s="8">
        <f>'Base Blend Property Calculation'!BG43</f>
        <v>0.57081374681319053</v>
      </c>
      <c r="E40" s="8">
        <f>'Base Blend Property Calculation'!BH43</f>
        <v>0.88746539367976873</v>
      </c>
      <c r="F40" s="30">
        <f>'Base Blend Property Calculation'!BI43</f>
        <v>1770</v>
      </c>
      <c r="G40" s="8">
        <f>'Base Blend Property Calculation'!BJ43</f>
        <v>3.1580445258866821</v>
      </c>
      <c r="H40" s="30" t="str">
        <f>'Base Blend Property Calculation'!BK43</f>
        <v>N</v>
      </c>
      <c r="I40" s="10">
        <f>'Base Blend Property Calculation'!BL43</f>
        <v>30</v>
      </c>
      <c r="J40" s="10">
        <f>'Base Blend Property Calculation'!BM43</f>
        <v>0</v>
      </c>
      <c r="K40" s="10">
        <f>'Base Blend Property Calculation'!BO43</f>
        <v>1000</v>
      </c>
    </row>
    <row r="41" spans="1:11" x14ac:dyDescent="0.25">
      <c r="A41" s="29" t="str">
        <f>'Base Blend Property Calculation'!A44</f>
        <v>Expandomix HT</v>
      </c>
      <c r="B41" s="29" t="str">
        <f>'Base Blend Property Calculation'!B44</f>
        <v>Expandomix HT</v>
      </c>
      <c r="C41" s="7">
        <f>'Base Blend Property Calculation'!BN44</f>
        <v>0</v>
      </c>
      <c r="D41" s="8">
        <f>'Base Blend Property Calculation'!BG44</f>
        <v>0.45366768428030058</v>
      </c>
      <c r="E41" s="8">
        <f>'Base Blend Property Calculation'!BH44</f>
        <v>0.81666723835971944</v>
      </c>
      <c r="F41" s="30">
        <f>'Base Blend Property Calculation'!BI44</f>
        <v>1780</v>
      </c>
      <c r="G41" s="8">
        <f>'Base Blend Property Calculation'!BJ44</f>
        <v>2.7548243207516863</v>
      </c>
      <c r="H41" s="30" t="str">
        <f>'Base Blend Property Calculation'!BK44</f>
        <v>N</v>
      </c>
      <c r="I41" s="10">
        <f>'Base Blend Property Calculation'!BL44</f>
        <v>30</v>
      </c>
      <c r="J41" s="10">
        <f>'Base Blend Property Calculation'!BM44</f>
        <v>0</v>
      </c>
      <c r="K41" s="10">
        <f>'Base Blend Property Calculation'!BO44</f>
        <v>1000</v>
      </c>
    </row>
    <row r="42" spans="1:11" x14ac:dyDescent="0.25">
      <c r="A42" s="29" t="str">
        <f>'Base Blend Property Calculation'!A45</f>
        <v>Expandomix HT (SK)</v>
      </c>
      <c r="B42" s="29" t="str">
        <f>'Base Blend Property Calculation'!B45</f>
        <v>Expandomix HT (SK)</v>
      </c>
      <c r="C42" s="7">
        <f>'Base Blend Property Calculation'!BN45</f>
        <v>0</v>
      </c>
      <c r="D42" s="8">
        <f>'Base Blend Property Calculation'!BG45</f>
        <v>0.51629708411723418</v>
      </c>
      <c r="E42" s="8">
        <f>'Base Blend Property Calculation'!BH45</f>
        <v>0.85185229444788435</v>
      </c>
      <c r="F42" s="30">
        <f>'Base Blend Property Calculation'!BI45</f>
        <v>1780</v>
      </c>
      <c r="G42" s="8">
        <f>'Base Blend Property Calculation'!BJ45</f>
        <v>2.9801355163420578</v>
      </c>
      <c r="H42" s="30" t="str">
        <f>'Base Blend Property Calculation'!BK45</f>
        <v>Y</v>
      </c>
      <c r="I42" s="10">
        <f>'Base Blend Property Calculation'!BL45</f>
        <v>31</v>
      </c>
      <c r="J42" s="10">
        <f>'Base Blend Property Calculation'!BM45</f>
        <v>0</v>
      </c>
      <c r="K42" s="10">
        <f>'Base Blend Property Calculation'!BO45</f>
        <v>1000</v>
      </c>
    </row>
    <row r="43" spans="1:11" x14ac:dyDescent="0.25">
      <c r="A43" s="29" t="str">
        <f>'Base Blend Property Calculation'!A46</f>
        <v>Expandomix LWL</v>
      </c>
      <c r="B43" s="29" t="str">
        <f>'Base Blend Property Calculation'!B46</f>
        <v>Expandomix LWL</v>
      </c>
      <c r="C43" s="7">
        <f>'Base Blend Property Calculation'!BN46</f>
        <v>0</v>
      </c>
      <c r="D43" s="8">
        <f>'Base Blend Property Calculation'!BG46</f>
        <v>0.56814437546484176</v>
      </c>
      <c r="E43" s="8">
        <f>'Base Blend Property Calculation'!BH46</f>
        <v>0.8859572742739219</v>
      </c>
      <c r="F43" s="30">
        <f>'Base Blend Property Calculation'!BI46</f>
        <v>1770</v>
      </c>
      <c r="G43" s="8">
        <f>'Base Blend Property Calculation'!BJ46</f>
        <v>3.1465053927868749</v>
      </c>
      <c r="H43" s="30" t="str">
        <f>'Base Blend Property Calculation'!BK46</f>
        <v>N</v>
      </c>
      <c r="I43" s="10" t="str">
        <f>'Base Blend Property Calculation'!BL46</f>
        <v>04</v>
      </c>
      <c r="J43" s="10">
        <f>'Base Blend Property Calculation'!BM46</f>
        <v>0</v>
      </c>
      <c r="K43" s="10">
        <f>'Base Blend Property Calculation'!BO46</f>
        <v>1000</v>
      </c>
    </row>
    <row r="44" spans="1:11" x14ac:dyDescent="0.25">
      <c r="A44" s="29" t="str">
        <f>'Base Blend Property Calculation'!A47</f>
        <v>EXPANDOmix PRO HT</v>
      </c>
      <c r="B44" s="29" t="str">
        <f>'Base Blend Property Calculation'!B47</f>
        <v>EXPANDOmix PRO HT</v>
      </c>
      <c r="C44" s="7">
        <f>'Base Blend Property Calculation'!BN47</f>
        <v>0</v>
      </c>
      <c r="D44" s="8">
        <f>'Base Blend Property Calculation'!BG47</f>
        <v>0.66800000000000004</v>
      </c>
      <c r="E44" s="8">
        <f>'Base Blend Property Calculation'!BH47</f>
        <v>1.0429999999999999</v>
      </c>
      <c r="F44" s="30">
        <f>'Base Blend Property Calculation'!BI47</f>
        <v>1600</v>
      </c>
      <c r="G44" s="8">
        <f>'Base Blend Property Calculation'!BJ47</f>
        <v>2.6230000000000002</v>
      </c>
      <c r="H44" s="30" t="str">
        <f>'Base Blend Property Calculation'!BK47</f>
        <v>N</v>
      </c>
      <c r="I44" s="10">
        <f>'Base Blend Property Calculation'!BL47</f>
        <v>4</v>
      </c>
      <c r="J44" s="10">
        <f>'Base Blend Property Calculation'!BM47</f>
        <v>0</v>
      </c>
      <c r="K44" s="10">
        <f>'Base Blend Property Calculation'!BO47</f>
        <v>1000</v>
      </c>
    </row>
    <row r="45" spans="1:11" x14ac:dyDescent="0.25">
      <c r="A45" s="29" t="str">
        <f>'Base Blend Property Calculation'!A48</f>
        <v>EXPANDOmix PRO LT</v>
      </c>
      <c r="B45" s="29" t="str">
        <f>'Base Blend Property Calculation'!B48</f>
        <v>EXPANDOmix PRO LT</v>
      </c>
      <c r="C45" s="7">
        <f>'Base Blend Property Calculation'!BN48</f>
        <v>0</v>
      </c>
      <c r="D45" s="8">
        <f>'Base Blend Property Calculation'!BG48</f>
        <v>0.66</v>
      </c>
      <c r="E45" s="8">
        <f>'Base Blend Property Calculation'!BH48</f>
        <v>1.0369999999999999</v>
      </c>
      <c r="F45" s="30">
        <f>'Base Blend Property Calculation'!BI48</f>
        <v>1600</v>
      </c>
      <c r="G45" s="8">
        <f>'Base Blend Property Calculation'!BJ48</f>
        <v>2.6</v>
      </c>
      <c r="H45" s="30" t="str">
        <f>'Base Blend Property Calculation'!BK48</f>
        <v>N</v>
      </c>
      <c r="I45" s="10">
        <f>'Base Blend Property Calculation'!BL48</f>
        <v>4</v>
      </c>
      <c r="J45" s="10">
        <f>'Base Blend Property Calculation'!BM48</f>
        <v>0</v>
      </c>
      <c r="K45" s="10">
        <f>'Base Blend Property Calculation'!BO48</f>
        <v>1000</v>
      </c>
    </row>
    <row r="46" spans="1:11" x14ac:dyDescent="0.25">
      <c r="A46" s="29" t="str">
        <f>'Base Blend Property Calculation'!A49</f>
        <v>Glacial Mix</v>
      </c>
      <c r="B46" s="29" t="str">
        <f>'Base Blend Property Calculation'!B49</f>
        <v>Glacial Mix</v>
      </c>
      <c r="C46" s="7">
        <f>'Base Blend Property Calculation'!BN49</f>
        <v>0</v>
      </c>
      <c r="D46" s="8">
        <f>'Base Blend Property Calculation'!BG49</f>
        <v>0.41820451910631951</v>
      </c>
      <c r="E46" s="8">
        <f>'Base Blend Property Calculation'!BH49</f>
        <v>0.76659703735476725</v>
      </c>
      <c r="F46" s="30">
        <f>'Base Blend Property Calculation'!BI49</f>
        <v>1850</v>
      </c>
      <c r="G46" s="8">
        <f>'Base Blend Property Calculation'!BJ49</f>
        <v>2.8703257033977807</v>
      </c>
      <c r="H46" s="30" t="str">
        <f>'Base Blend Property Calculation'!BK49</f>
        <v>N</v>
      </c>
      <c r="I46" s="10" t="str">
        <f>'Base Blend Property Calculation'!BL49</f>
        <v>04</v>
      </c>
      <c r="J46" s="10">
        <f>'Base Blend Property Calculation'!BM49</f>
        <v>0</v>
      </c>
      <c r="K46" s="10">
        <f>'Base Blend Property Calculation'!BO49</f>
        <v>1000</v>
      </c>
    </row>
    <row r="47" spans="1:11" x14ac:dyDescent="0.25">
      <c r="A47" s="29" t="str">
        <f>'Base Blend Property Calculation'!A50</f>
        <v>iBond</v>
      </c>
      <c r="B47" s="29" t="str">
        <f>'Base Blend Property Calculation'!B50</f>
        <v>iBond</v>
      </c>
      <c r="C47" s="7">
        <f>'Base Blend Property Calculation'!BN50</f>
        <v>0</v>
      </c>
      <c r="D47" s="8">
        <f>'Base Blend Property Calculation'!BG50</f>
        <v>0.49777616196997676</v>
      </c>
      <c r="E47" s="8">
        <f>'Base Blend Property Calculation'!BH50</f>
        <v>0.84144728200560492</v>
      </c>
      <c r="F47" s="30">
        <f>'Base Blend Property Calculation'!BI50</f>
        <v>1780</v>
      </c>
      <c r="G47" s="8">
        <f>'Base Blend Property Calculation'!BJ50</f>
        <v>2.909758608451972</v>
      </c>
      <c r="H47" s="30" t="str">
        <f>'Base Blend Property Calculation'!BK50</f>
        <v>Y</v>
      </c>
      <c r="I47" s="10">
        <f>'Base Blend Property Calculation'!BL50</f>
        <v>31</v>
      </c>
      <c r="J47" s="10">
        <f>'Base Blend Property Calculation'!BM50</f>
        <v>0</v>
      </c>
      <c r="K47" s="10">
        <f>'Base Blend Property Calculation'!BO50</f>
        <v>1000</v>
      </c>
    </row>
    <row r="48" spans="1:11" x14ac:dyDescent="0.25">
      <c r="A48" s="29" t="str">
        <f>'Base Blend Property Calculation'!A51</f>
        <v>iGain (SK)</v>
      </c>
      <c r="B48" s="29" t="str">
        <f>'Base Blend Property Calculation'!B51</f>
        <v>iGain (SK)</v>
      </c>
      <c r="C48" s="7">
        <f>'Base Blend Property Calculation'!BN51</f>
        <v>0</v>
      </c>
      <c r="D48" s="8">
        <f>'Base Blend Property Calculation'!BG51</f>
        <v>0.92484159052079762</v>
      </c>
      <c r="E48" s="8">
        <f>'Base Blend Property Calculation'!BH51</f>
        <v>1.283227727013865</v>
      </c>
      <c r="F48" s="30">
        <f>'Base Blend Property Calculation'!BI51</f>
        <v>1500</v>
      </c>
      <c r="G48" s="8">
        <f>'Base Blend Property Calculation'!BJ51</f>
        <v>2.7902865043423462</v>
      </c>
      <c r="H48" s="30" t="str">
        <f>'Base Blend Property Calculation'!BK51</f>
        <v>N</v>
      </c>
      <c r="I48" s="10" t="str">
        <f>'Base Blend Property Calculation'!BL51</f>
        <v>01</v>
      </c>
      <c r="J48" s="10">
        <f>'Base Blend Property Calculation'!BM51</f>
        <v>0</v>
      </c>
      <c r="K48" s="10">
        <f>'Base Blend Property Calculation'!BO51</f>
        <v>1000</v>
      </c>
    </row>
    <row r="49" spans="1:11" x14ac:dyDescent="0.25">
      <c r="A49" s="29" t="str">
        <f>'Base Blend Property Calculation'!A52</f>
        <v>iGain(AB)</v>
      </c>
      <c r="B49" s="29" t="str">
        <f>'Base Blend Property Calculation'!B52</f>
        <v>iGain(AB)</v>
      </c>
      <c r="C49" s="7">
        <f>'Base Blend Property Calculation'!BN52</f>
        <v>0</v>
      </c>
      <c r="D49" s="8">
        <f>'Base Blend Property Calculation'!BG52</f>
        <v>0.8639855381197401</v>
      </c>
      <c r="E49" s="8">
        <f>'Base Blend Property Calculation'!BH52</f>
        <v>1.2426570254131601</v>
      </c>
      <c r="F49" s="30">
        <f>'Base Blend Property Calculation'!BI52</f>
        <v>1500</v>
      </c>
      <c r="G49" s="8">
        <f>'Base Blend Property Calculation'!BJ52</f>
        <v>2.640811451497358</v>
      </c>
      <c r="H49" s="30" t="str">
        <f>'Base Blend Property Calculation'!BK52</f>
        <v>N</v>
      </c>
      <c r="I49" s="10" t="str">
        <f>'Base Blend Property Calculation'!BL52</f>
        <v>04</v>
      </c>
      <c r="J49" s="10">
        <f>'Base Blend Property Calculation'!BM52</f>
        <v>0</v>
      </c>
      <c r="K49" s="10">
        <f>'Base Blend Property Calculation'!BO52</f>
        <v>1000</v>
      </c>
    </row>
    <row r="50" spans="1:11" x14ac:dyDescent="0.25">
      <c r="A50" s="29" t="str">
        <f>'Base Blend Property Calculation'!A53</f>
        <v>iPrime (AB)</v>
      </c>
      <c r="B50" s="29" t="str">
        <f>'Base Blend Property Calculation'!B53</f>
        <v>iPrime (AB)</v>
      </c>
      <c r="C50" s="7">
        <f>'Base Blend Property Calculation'!BN53</f>
        <v>0</v>
      </c>
      <c r="D50" s="8">
        <f>'Base Blend Property Calculation'!BG53</f>
        <v>0.86872547916581921</v>
      </c>
      <c r="E50" s="8">
        <f>'Base Blend Property Calculation'!BH53</f>
        <v>1.2458169861105461</v>
      </c>
      <c r="F50" s="30">
        <f>'Base Blend Property Calculation'!BI53</f>
        <v>1500</v>
      </c>
      <c r="G50" s="8">
        <f>'Base Blend Property Calculation'!BJ53</f>
        <v>2.6518762199186239</v>
      </c>
      <c r="H50" s="30" t="str">
        <f>'Base Blend Property Calculation'!BK53</f>
        <v>Y</v>
      </c>
      <c r="I50" s="10">
        <f>'Base Blend Property Calculation'!BL53</f>
        <v>42</v>
      </c>
      <c r="J50" s="10">
        <f>'Base Blend Property Calculation'!BM53</f>
        <v>0</v>
      </c>
      <c r="K50" s="10">
        <f>'Base Blend Property Calculation'!BO53</f>
        <v>1000</v>
      </c>
    </row>
    <row r="51" spans="1:11" x14ac:dyDescent="0.25">
      <c r="A51" s="29" t="str">
        <f>'Base Blend Property Calculation'!A54</f>
        <v>iPrime (SK)</v>
      </c>
      <c r="B51" s="29" t="str">
        <f>'Base Blend Property Calculation'!B54</f>
        <v>iPrime (SK)</v>
      </c>
      <c r="C51" s="7">
        <f>'Base Blend Property Calculation'!BN54</f>
        <v>0</v>
      </c>
      <c r="D51" s="8">
        <f>'Base Blend Property Calculation'!BG54</f>
        <v>0.92537664745456183</v>
      </c>
      <c r="E51" s="8">
        <f>'Base Blend Property Calculation'!BH54</f>
        <v>1.2835844316363745</v>
      </c>
      <c r="F51" s="30">
        <f>'Base Blend Property Calculation'!BI54</f>
        <v>1500</v>
      </c>
      <c r="G51" s="8">
        <f>'Base Blend Property Calculation'!BJ54</f>
        <v>2.7916757930990075</v>
      </c>
      <c r="H51" s="30" t="str">
        <f>'Base Blend Property Calculation'!BK54</f>
        <v>Y</v>
      </c>
      <c r="I51" s="10">
        <f>'Base Blend Property Calculation'!BL54</f>
        <v>42</v>
      </c>
      <c r="J51" s="10">
        <f>'Base Blend Property Calculation'!BM54</f>
        <v>0</v>
      </c>
      <c r="K51" s="10">
        <f>'Base Blend Property Calculation'!BO54</f>
        <v>1000</v>
      </c>
    </row>
    <row r="52" spans="1:11" x14ac:dyDescent="0.25">
      <c r="A52" s="29" t="str">
        <f>'Base Blend Property Calculation'!A55</f>
        <v>iThix</v>
      </c>
      <c r="B52" s="29" t="str">
        <f>'Base Blend Property Calculation'!B55</f>
        <v>iThix</v>
      </c>
      <c r="C52" s="7">
        <f>'Base Blend Property Calculation'!BN55</f>
        <v>0</v>
      </c>
      <c r="D52" s="8">
        <f>'Base Blend Property Calculation'!BG55</f>
        <v>0.66874645458664106</v>
      </c>
      <c r="E52" s="8">
        <f>'Base Blend Property Calculation'!BH55</f>
        <v>1.0113614876282673</v>
      </c>
      <c r="F52" s="30">
        <f>'Base Blend Property Calculation'!BI55</f>
        <v>1650</v>
      </c>
      <c r="G52" s="8">
        <f>'Base Blend Property Calculation'!BJ55</f>
        <v>2.9187277368489095</v>
      </c>
      <c r="H52" s="30" t="str">
        <f>'Base Blend Property Calculation'!BK55</f>
        <v>N</v>
      </c>
      <c r="I52" s="10">
        <f>'Base Blend Property Calculation'!BL55</f>
        <v>42</v>
      </c>
      <c r="J52" s="10">
        <f>'Base Blend Property Calculation'!BM55</f>
        <v>0</v>
      </c>
      <c r="K52" s="10">
        <f>'Base Blend Property Calculation'!BO55</f>
        <v>1000</v>
      </c>
    </row>
    <row r="53" spans="1:11" x14ac:dyDescent="0.25">
      <c r="A53" s="29" t="str">
        <f>'Base Blend Property Calculation'!A56</f>
        <v>iZone</v>
      </c>
      <c r="B53" s="29" t="str">
        <f>'Base Blend Property Calculation'!B56</f>
        <v>iZone</v>
      </c>
      <c r="C53" s="7">
        <f>'Base Blend Property Calculation'!BN56</f>
        <v>0</v>
      </c>
      <c r="D53" s="8">
        <f>'Base Blend Property Calculation'!BG56</f>
        <v>0.74011906964012053</v>
      </c>
      <c r="E53" s="8">
        <f>'Base Blend Property Calculation'!BH56</f>
        <v>1.2429421926000861</v>
      </c>
      <c r="F53" s="30">
        <f>'Base Blend Property Calculation'!BI56</f>
        <v>1400</v>
      </c>
      <c r="G53" s="8">
        <f>'Base Blend Property Calculation'!BJ56</f>
        <v>1.9887709103616926</v>
      </c>
      <c r="H53" s="30" t="str">
        <f>'Base Blend Property Calculation'!BK56</f>
        <v>N</v>
      </c>
      <c r="I53" s="10">
        <f>'Base Blend Property Calculation'!BL56</f>
        <v>42</v>
      </c>
      <c r="J53" s="10">
        <f>'Base Blend Property Calculation'!BM56</f>
        <v>0</v>
      </c>
      <c r="K53" s="10">
        <f>'Base Blend Property Calculation'!BO56</f>
        <v>1000</v>
      </c>
    </row>
    <row r="54" spans="1:11" x14ac:dyDescent="0.25">
      <c r="A54" s="29" t="str">
        <f>'Base Blend Property Calculation'!A57</f>
        <v>LCS 1600</v>
      </c>
      <c r="B54" s="29" t="str">
        <f>'Base Blend Property Calculation'!B57</f>
        <v>LCS 1600</v>
      </c>
      <c r="C54" s="7">
        <f>'Base Blend Property Calculation'!BN57</f>
        <v>0</v>
      </c>
      <c r="D54" s="8">
        <f>'Base Blend Property Calculation'!BG57</f>
        <v>0.59512435527581076</v>
      </c>
      <c r="E54" s="8">
        <f>'Base Blend Property Calculation'!BH57</f>
        <v>0.99695272204738172</v>
      </c>
      <c r="F54" s="30">
        <f>'Base Blend Property Calculation'!BI57</f>
        <v>1600</v>
      </c>
      <c r="G54" s="8">
        <f>'Base Blend Property Calculation'!BJ57</f>
        <v>2.4886247032143305</v>
      </c>
      <c r="H54" s="30" t="str">
        <f>'Base Blend Property Calculation'!BK57</f>
        <v>Y</v>
      </c>
      <c r="I54" s="10">
        <f>'Base Blend Property Calculation'!BL57</f>
        <v>31</v>
      </c>
      <c r="J54" s="10">
        <f>'Base Blend Property Calculation'!BM57</f>
        <v>0</v>
      </c>
      <c r="K54" s="10">
        <f>'Base Blend Property Calculation'!BO57</f>
        <v>1000</v>
      </c>
    </row>
    <row r="55" spans="1:11" x14ac:dyDescent="0.25">
      <c r="A55" s="29" t="str">
        <f>'Base Blend Property Calculation'!A58</f>
        <v>LCS 1820</v>
      </c>
      <c r="B55" s="29" t="str">
        <f>'Base Blend Property Calculation'!B58</f>
        <v>LCS 1820</v>
      </c>
      <c r="C55" s="7">
        <f>'Base Blend Property Calculation'!BN58</f>
        <v>0</v>
      </c>
      <c r="D55" s="8">
        <f>'Base Blend Property Calculation'!BG58</f>
        <v>0.5050326159366002</v>
      </c>
      <c r="E55" s="8">
        <f>'Base Blend Property Calculation'!BH58</f>
        <v>0.82694099776736274</v>
      </c>
      <c r="F55" s="30">
        <f>'Base Blend Property Calculation'!BI58</f>
        <v>1820</v>
      </c>
      <c r="G55" s="8">
        <f>'Base Blend Property Calculation'!BJ58</f>
        <v>3.106473942408035</v>
      </c>
      <c r="H55" s="30" t="str">
        <f>'Base Blend Property Calculation'!BK58</f>
        <v>Y</v>
      </c>
      <c r="I55" s="10">
        <f>'Base Blend Property Calculation'!BL58</f>
        <v>31</v>
      </c>
      <c r="J55" s="10">
        <f>'Base Blend Property Calculation'!BM58</f>
        <v>0</v>
      </c>
      <c r="K55" s="10">
        <f>'Base Blend Property Calculation'!BO58</f>
        <v>1000</v>
      </c>
    </row>
    <row r="56" spans="1:11" x14ac:dyDescent="0.25">
      <c r="A56" s="29" t="str">
        <f>'Base Blend Property Calculation'!A59</f>
        <v>LDP-C-0117</v>
      </c>
      <c r="B56" s="29" t="str">
        <f>'Base Blend Property Calculation'!B59</f>
        <v>LDP-C-0117</v>
      </c>
      <c r="C56" s="7">
        <f>'Base Blend Property Calculation'!BN59</f>
        <v>0</v>
      </c>
      <c r="D56" s="8">
        <f>'Base Blend Property Calculation'!BG59</f>
        <v>0.66100000000000003</v>
      </c>
      <c r="E56" s="8">
        <f>'Base Blend Property Calculation'!BH59</f>
        <v>1.3839999999999999</v>
      </c>
      <c r="F56" s="30">
        <f>'Base Blend Property Calculation'!BI59</f>
        <v>1200</v>
      </c>
      <c r="G56" s="8">
        <f>'Base Blend Property Calculation'!BJ59</f>
        <v>1.383</v>
      </c>
      <c r="H56" s="30" t="str">
        <f>'Base Blend Property Calculation'!BK59</f>
        <v>N</v>
      </c>
      <c r="I56" s="10" t="str">
        <f>'Base Blend Property Calculation'!BL59</f>
        <v>TBD</v>
      </c>
      <c r="J56" s="10">
        <f>'Base Blend Property Calculation'!BM59</f>
        <v>0</v>
      </c>
      <c r="K56" s="10">
        <f>'Base Blend Property Calculation'!BO59</f>
        <v>1000</v>
      </c>
    </row>
    <row r="57" spans="1:11" x14ac:dyDescent="0.25">
      <c r="A57" s="29" t="str">
        <f>'Base Blend Property Calculation'!A60</f>
        <v>LDP-C-0516</v>
      </c>
      <c r="B57" s="29" t="str">
        <f>'Base Blend Property Calculation'!B60</f>
        <v>LDP-C-0516</v>
      </c>
      <c r="C57" s="7">
        <f>'Base Blend Property Calculation'!BN60</f>
        <v>0</v>
      </c>
      <c r="D57" s="8">
        <f>'Base Blend Property Calculation'!BG60</f>
        <v>0.434</v>
      </c>
      <c r="E57" s="8">
        <f>'Base Blend Property Calculation'!BH60</f>
        <v>0.77900000000000003</v>
      </c>
      <c r="F57" s="30">
        <f>'Base Blend Property Calculation'!BI60</f>
        <v>1840</v>
      </c>
      <c r="G57" s="8">
        <f>'Base Blend Property Calculation'!BJ60</f>
        <v>2.899</v>
      </c>
      <c r="H57" s="30" t="str">
        <f>'Base Blend Property Calculation'!BK60</f>
        <v>Y</v>
      </c>
      <c r="I57" s="10">
        <f>'Base Blend Property Calculation'!BL60</f>
        <v>30</v>
      </c>
      <c r="J57" s="10">
        <f>'Base Blend Property Calculation'!BM60</f>
        <v>0</v>
      </c>
      <c r="K57" s="10">
        <f>'Base Blend Property Calculation'!BO60</f>
        <v>1000</v>
      </c>
    </row>
    <row r="58" spans="1:11" x14ac:dyDescent="0.25">
      <c r="A58" s="29" t="str">
        <f>'Base Blend Property Calculation'!A61</f>
        <v>LDP-C-1316</v>
      </c>
      <c r="B58" s="29" t="str">
        <f>'Base Blend Property Calculation'!B61</f>
        <v>LDP-C-1316</v>
      </c>
      <c r="C58" s="7">
        <f>'Base Blend Property Calculation'!BN61</f>
        <v>0</v>
      </c>
      <c r="D58" s="8">
        <f>'Base Blend Property Calculation'!BG61</f>
        <v>0.55200000000000005</v>
      </c>
      <c r="E58" s="8">
        <f>'Base Blend Property Calculation'!BH61</f>
        <v>0.94599999999999995</v>
      </c>
      <c r="F58" s="30">
        <f>'Base Blend Property Calculation'!BI61</f>
        <v>1640</v>
      </c>
      <c r="G58" s="8">
        <f>'Base Blend Property Calculation'!BJ61</f>
        <v>2.5379999999999998</v>
      </c>
      <c r="H58" s="30" t="str">
        <f>'Base Blend Property Calculation'!BK61</f>
        <v>N</v>
      </c>
      <c r="I58" s="10">
        <f>'Base Blend Property Calculation'!BL61</f>
        <v>3</v>
      </c>
      <c r="J58" s="10">
        <f>'Base Blend Property Calculation'!BM61</f>
        <v>0</v>
      </c>
      <c r="K58" s="10">
        <f>'Base Blend Property Calculation'!BO61</f>
        <v>1000</v>
      </c>
    </row>
    <row r="59" spans="1:11" x14ac:dyDescent="0.25">
      <c r="A59" s="29" t="str">
        <f>'Base Blend Property Calculation'!A62</f>
        <v>LDP-C-1616</v>
      </c>
      <c r="B59" s="29" t="str">
        <f>'Base Blend Property Calculation'!B62</f>
        <v>LDP-C-1616</v>
      </c>
      <c r="C59" s="7">
        <f>'Base Blend Property Calculation'!BN62</f>
        <v>0</v>
      </c>
      <c r="D59" s="8">
        <f>'Base Blend Property Calculation'!BG62</f>
        <v>0.64200000000000002</v>
      </c>
      <c r="E59" s="8">
        <f>'Base Blend Property Calculation'!BH62</f>
        <v>1.026</v>
      </c>
      <c r="F59" s="30">
        <f>'Base Blend Property Calculation'!BI62</f>
        <v>1600</v>
      </c>
      <c r="G59" s="8">
        <f>'Base Blend Property Calculation'!BJ62</f>
        <v>2.6019999999999999</v>
      </c>
      <c r="H59" s="30" t="str">
        <f>'Base Blend Property Calculation'!BK62</f>
        <v>N</v>
      </c>
      <c r="I59" s="10">
        <f>'Base Blend Property Calculation'!BL62</f>
        <v>4</v>
      </c>
      <c r="J59" s="10">
        <f>'Base Blend Property Calculation'!BM62</f>
        <v>0</v>
      </c>
      <c r="K59" s="10">
        <f>'Base Blend Property Calculation'!BO62</f>
        <v>1000</v>
      </c>
    </row>
    <row r="60" spans="1:11" x14ac:dyDescent="0.25">
      <c r="A60" s="29" t="str">
        <f>'Base Blend Property Calculation'!A63</f>
        <v>Litefill 1400 HT</v>
      </c>
      <c r="B60" s="29" t="str">
        <f>'Base Blend Property Calculation'!B63</f>
        <v>Litefill 1400 HT</v>
      </c>
      <c r="C60" s="7">
        <f>'Base Blend Property Calculation'!BN63</f>
        <v>0</v>
      </c>
      <c r="D60" s="8">
        <f>'Base Blend Property Calculation'!BG63</f>
        <v>1.3999256147010519</v>
      </c>
      <c r="E60" s="8">
        <f>'Base Blend Property Calculation'!BH63</f>
        <v>1.7142325819293229</v>
      </c>
      <c r="F60" s="30">
        <f>'Base Blend Property Calculation'!BI63</f>
        <v>1400</v>
      </c>
      <c r="G60" s="8">
        <f>'Base Blend Property Calculation'!BJ63</f>
        <v>3.1816030322793711</v>
      </c>
      <c r="H60" s="30" t="str">
        <f>'Base Blend Property Calculation'!BK63</f>
        <v>Y</v>
      </c>
      <c r="I60" s="10">
        <f>'Base Blend Property Calculation'!BL63</f>
        <v>31</v>
      </c>
      <c r="J60" s="10">
        <f>'Base Blend Property Calculation'!BM63</f>
        <v>0</v>
      </c>
      <c r="K60" s="10">
        <f>'Base Blend Property Calculation'!BO63</f>
        <v>1000</v>
      </c>
    </row>
    <row r="61" spans="1:11" x14ac:dyDescent="0.25">
      <c r="A61" s="29" t="str">
        <f>'Base Blend Property Calculation'!A64</f>
        <v>Litefill 1400 LT</v>
      </c>
      <c r="B61" s="29" t="str">
        <f>'Base Blend Property Calculation'!B64</f>
        <v>Litefill 1400 LT</v>
      </c>
      <c r="C61" s="7">
        <f>'Base Blend Property Calculation'!BN64</f>
        <v>0</v>
      </c>
      <c r="D61" s="8">
        <f>'Base Blend Property Calculation'!BG64</f>
        <v>1.397939575247952</v>
      </c>
      <c r="E61" s="8">
        <f>'Base Blend Property Calculation'!BH64</f>
        <v>1.7128139823199657</v>
      </c>
      <c r="F61" s="30">
        <f>'Base Blend Property Calculation'!BI64</f>
        <v>1400</v>
      </c>
      <c r="G61" s="8">
        <f>'Base Blend Property Calculation'!BJ64</f>
        <v>3.17586941821948</v>
      </c>
      <c r="H61" s="30" t="str">
        <f>'Base Blend Property Calculation'!BK64</f>
        <v>Y</v>
      </c>
      <c r="I61" s="10">
        <f>'Base Blend Property Calculation'!BL64</f>
        <v>31</v>
      </c>
      <c r="J61" s="10">
        <f>'Base Blend Property Calculation'!BM64</f>
        <v>0</v>
      </c>
      <c r="K61" s="10">
        <f>'Base Blend Property Calculation'!BO64</f>
        <v>1000</v>
      </c>
    </row>
    <row r="62" spans="1:11" x14ac:dyDescent="0.25">
      <c r="A62" s="29" t="str">
        <f>'Base Blend Property Calculation'!A65</f>
        <v>Litefill 1400 MT</v>
      </c>
      <c r="B62" s="29" t="str">
        <f>'Base Blend Property Calculation'!B65</f>
        <v>Litefill 1400 MT</v>
      </c>
      <c r="C62" s="7">
        <f>'Base Blend Property Calculation'!BN65</f>
        <v>0</v>
      </c>
      <c r="D62" s="8">
        <f>'Base Blend Property Calculation'!BG65</f>
        <v>1.3992636015500184</v>
      </c>
      <c r="E62" s="8">
        <f>'Base Blend Property Calculation'!BH65</f>
        <v>1.7137597153928703</v>
      </c>
      <c r="F62" s="30">
        <f>'Base Blend Property Calculation'!BI65</f>
        <v>1400</v>
      </c>
      <c r="G62" s="8">
        <f>'Base Blend Property Calculation'!BJ65</f>
        <v>3.1796895286905902</v>
      </c>
      <c r="H62" s="30" t="str">
        <f>'Base Blend Property Calculation'!BK65</f>
        <v>N</v>
      </c>
      <c r="I62" s="10">
        <f>'Base Blend Property Calculation'!BL65</f>
        <v>42</v>
      </c>
      <c r="J62" s="10">
        <f>'Base Blend Property Calculation'!BM65</f>
        <v>0</v>
      </c>
      <c r="K62" s="10">
        <f>'Base Blend Property Calculation'!BO65</f>
        <v>1000</v>
      </c>
    </row>
    <row r="63" spans="1:11" x14ac:dyDescent="0.25">
      <c r="A63" s="29" t="str">
        <f>'Base Blend Property Calculation'!A66</f>
        <v>Litefill 1450 HT</v>
      </c>
      <c r="B63" s="29" t="str">
        <f>'Base Blend Property Calculation'!B66</f>
        <v>Litefill 1450 HT</v>
      </c>
      <c r="C63" s="7">
        <f>'Base Blend Property Calculation'!BN66</f>
        <v>0</v>
      </c>
      <c r="D63" s="8">
        <f>'Base Blend Property Calculation'!BG66</f>
        <v>1.2094553278200157</v>
      </c>
      <c r="E63" s="8">
        <f>'Base Blend Property Calculation'!BH66</f>
        <v>1.5237622950482868</v>
      </c>
      <c r="F63" s="30">
        <f>'Base Blend Property Calculation'!BI66</f>
        <v>1450</v>
      </c>
      <c r="G63" s="8">
        <f>'Base Blend Property Calculation'!BJ66</f>
        <v>3.1816030322793711</v>
      </c>
      <c r="H63" s="30" t="str">
        <f>'Base Blend Property Calculation'!BK66</f>
        <v>N</v>
      </c>
      <c r="I63" s="10">
        <f>'Base Blend Property Calculation'!BL66</f>
        <v>42</v>
      </c>
      <c r="J63" s="10">
        <f>'Base Blend Property Calculation'!BM66</f>
        <v>0</v>
      </c>
      <c r="K63" s="10">
        <f>'Base Blend Property Calculation'!BO66</f>
        <v>1000</v>
      </c>
    </row>
    <row r="64" spans="1:11" x14ac:dyDescent="0.25">
      <c r="A64" s="29" t="str">
        <f>'Base Blend Property Calculation'!A67</f>
        <v>Litefill 1450 LT</v>
      </c>
      <c r="B64" s="29" t="str">
        <f>'Base Blend Property Calculation'!B67</f>
        <v>Litefill 1450 LT</v>
      </c>
      <c r="C64" s="7">
        <f>'Base Blend Property Calculation'!BN67</f>
        <v>0</v>
      </c>
      <c r="D64" s="8">
        <f>'Base Blend Property Calculation'!BG67</f>
        <v>1.2076269105457333</v>
      </c>
      <c r="E64" s="8">
        <f>'Base Blend Property Calculation'!BH67</f>
        <v>1.5225013176177471</v>
      </c>
      <c r="F64" s="30">
        <f>'Base Blend Property Calculation'!BI67</f>
        <v>1450</v>
      </c>
      <c r="G64" s="8">
        <f>'Base Blend Property Calculation'!BJ67</f>
        <v>3.17586941821948</v>
      </c>
      <c r="H64" s="30" t="str">
        <f>'Base Blend Property Calculation'!BK67</f>
        <v>N</v>
      </c>
      <c r="I64" s="10">
        <f>'Base Blend Property Calculation'!BL67</f>
        <v>42</v>
      </c>
      <c r="J64" s="10">
        <f>'Base Blend Property Calculation'!BM67</f>
        <v>0</v>
      </c>
      <c r="K64" s="10">
        <f>'Base Blend Property Calculation'!BO67</f>
        <v>1000</v>
      </c>
    </row>
    <row r="65" spans="1:11" x14ac:dyDescent="0.25">
      <c r="A65" s="29" t="str">
        <f>'Base Blend Property Calculation'!A68</f>
        <v>Litefill 1450 MT</v>
      </c>
      <c r="B65" s="29" t="str">
        <f>'Base Blend Property Calculation'!B68</f>
        <v>Litefill 1450 MT</v>
      </c>
      <c r="C65" s="7">
        <f>'Base Blend Property Calculation'!BN68</f>
        <v>0</v>
      </c>
      <c r="D65" s="8">
        <f>'Base Blend Property Calculation'!BG68</f>
        <v>1.208845855395255</v>
      </c>
      <c r="E65" s="8">
        <f>'Base Blend Property Calculation'!BH68</f>
        <v>1.5233419692381069</v>
      </c>
      <c r="F65" s="30">
        <f>'Base Blend Property Calculation'!BI68</f>
        <v>1450</v>
      </c>
      <c r="G65" s="8">
        <f>'Base Blend Property Calculation'!BJ68</f>
        <v>3.1796895286905902</v>
      </c>
      <c r="H65" s="30" t="str">
        <f>'Base Blend Property Calculation'!BK68</f>
        <v>N</v>
      </c>
      <c r="I65" s="10">
        <f>'Base Blend Property Calculation'!BL68</f>
        <v>42</v>
      </c>
      <c r="J65" s="10">
        <f>'Base Blend Property Calculation'!BM68</f>
        <v>0</v>
      </c>
      <c r="K65" s="10">
        <f>'Base Blend Property Calculation'!BO68</f>
        <v>1000</v>
      </c>
    </row>
    <row r="66" spans="1:11" x14ac:dyDescent="0.25">
      <c r="A66" s="29" t="str">
        <f>'Base Blend Property Calculation'!A69</f>
        <v>Litefill 1500 HT</v>
      </c>
      <c r="B66" s="29" t="str">
        <f>'Base Blend Property Calculation'!B69</f>
        <v>Litefill 1500 HT</v>
      </c>
      <c r="C66" s="7">
        <f>'Base Blend Property Calculation'!BN69</f>
        <v>0</v>
      </c>
      <c r="D66" s="8">
        <f>'Base Blend Property Calculation'!BG69</f>
        <v>1.0570790983151872</v>
      </c>
      <c r="E66" s="8">
        <f>'Base Blend Property Calculation'!BH69</f>
        <v>1.3713860655434582</v>
      </c>
      <c r="F66" s="30">
        <f>'Base Blend Property Calculation'!BI69</f>
        <v>1500</v>
      </c>
      <c r="G66" s="8">
        <f>'Base Blend Property Calculation'!BJ69</f>
        <v>3.1816030322793711</v>
      </c>
      <c r="H66" s="30" t="str">
        <f>'Base Blend Property Calculation'!BK69</f>
        <v>N</v>
      </c>
      <c r="I66" s="10">
        <f>'Base Blend Property Calculation'!BL69</f>
        <v>42</v>
      </c>
      <c r="J66" s="10">
        <f>'Base Blend Property Calculation'!BM69</f>
        <v>0</v>
      </c>
      <c r="K66" s="10">
        <f>'Base Blend Property Calculation'!BO69</f>
        <v>1000</v>
      </c>
    </row>
    <row r="67" spans="1:11" x14ac:dyDescent="0.25">
      <c r="A67" s="29" t="str">
        <f>'Base Blend Property Calculation'!A70</f>
        <v>Litefill 1500 LT</v>
      </c>
      <c r="B67" s="29" t="str">
        <f>'Base Blend Property Calculation'!B70</f>
        <v>Litefill 1500 LT</v>
      </c>
      <c r="C67" s="7">
        <f>'Base Blend Property Calculation'!BN70</f>
        <v>0</v>
      </c>
      <c r="D67" s="8">
        <f>'Base Blend Property Calculation'!BG70</f>
        <v>1.0553767787839585</v>
      </c>
      <c r="E67" s="8">
        <f>'Base Blend Property Calculation'!BH70</f>
        <v>1.3702511858559723</v>
      </c>
      <c r="F67" s="30">
        <f>'Base Blend Property Calculation'!BI70</f>
        <v>1500</v>
      </c>
      <c r="G67" s="8">
        <f>'Base Blend Property Calculation'!BJ70</f>
        <v>3.17586941821948</v>
      </c>
      <c r="H67" s="30" t="str">
        <f>'Base Blend Property Calculation'!BK70</f>
        <v>N</v>
      </c>
      <c r="I67" s="10">
        <f>'Base Blend Property Calculation'!BL70</f>
        <v>42</v>
      </c>
      <c r="J67" s="10">
        <f>'Base Blend Property Calculation'!BM70</f>
        <v>0</v>
      </c>
      <c r="K67" s="10">
        <f>'Base Blend Property Calculation'!BO70</f>
        <v>1000</v>
      </c>
    </row>
    <row r="68" spans="1:11" x14ac:dyDescent="0.25">
      <c r="A68" s="29" t="str">
        <f>'Base Blend Property Calculation'!A71</f>
        <v>Litefill 1500 MT</v>
      </c>
      <c r="B68" s="29" t="str">
        <f>'Base Blend Property Calculation'!B71</f>
        <v>Litefill 1500 MT</v>
      </c>
      <c r="C68" s="7">
        <f>'Base Blend Property Calculation'!BN71</f>
        <v>0</v>
      </c>
      <c r="D68" s="8">
        <f>'Base Blend Property Calculation'!BG71</f>
        <v>1.0565116584714442</v>
      </c>
      <c r="E68" s="8">
        <f>'Base Blend Property Calculation'!BH71</f>
        <v>1.3710077723142962</v>
      </c>
      <c r="F68" s="30">
        <f>'Base Blend Property Calculation'!BI71</f>
        <v>1500</v>
      </c>
      <c r="G68" s="8">
        <f>'Base Blend Property Calculation'!BJ71</f>
        <v>3.1796895286905902</v>
      </c>
      <c r="H68" s="30" t="str">
        <f>'Base Blend Property Calculation'!BK71</f>
        <v>N</v>
      </c>
      <c r="I68" s="10">
        <f>'Base Blend Property Calculation'!BL71</f>
        <v>42</v>
      </c>
      <c r="J68" s="10">
        <f>'Base Blend Property Calculation'!BM71</f>
        <v>0</v>
      </c>
      <c r="K68" s="10">
        <f>'Base Blend Property Calculation'!BO71</f>
        <v>1000</v>
      </c>
    </row>
    <row r="69" spans="1:11" x14ac:dyDescent="0.25">
      <c r="A69" s="29" t="str">
        <f>'Base Blend Property Calculation'!A72</f>
        <v>Litefill 1550 HT</v>
      </c>
      <c r="B69" s="29" t="str">
        <f>'Base Blend Property Calculation'!B72</f>
        <v>Litefill 1550 HT</v>
      </c>
      <c r="C69" s="7">
        <f>'Base Blend Property Calculation'!BN72</f>
        <v>0</v>
      </c>
      <c r="D69" s="8">
        <f>'Base Blend Property Calculation'!BG72</f>
        <v>0.93240763781123648</v>
      </c>
      <c r="E69" s="8">
        <f>'Base Blend Property Calculation'!BH72</f>
        <v>1.2467146050395075</v>
      </c>
      <c r="F69" s="30">
        <f>'Base Blend Property Calculation'!BI72</f>
        <v>1550</v>
      </c>
      <c r="G69" s="8">
        <f>'Base Blend Property Calculation'!BJ72</f>
        <v>3.1816030322793711</v>
      </c>
      <c r="H69" s="30" t="str">
        <f>'Base Blend Property Calculation'!BK72</f>
        <v>N</v>
      </c>
      <c r="I69" s="10">
        <f>'Base Blend Property Calculation'!BL72</f>
        <v>42</v>
      </c>
      <c r="J69" s="10">
        <f>'Base Blend Property Calculation'!BM72</f>
        <v>0</v>
      </c>
      <c r="K69" s="10">
        <f>'Base Blend Property Calculation'!BO72</f>
        <v>1000</v>
      </c>
    </row>
    <row r="70" spans="1:11" x14ac:dyDescent="0.25">
      <c r="A70" s="29" t="str">
        <f>'Base Blend Property Calculation'!A73</f>
        <v>Litefill 1550 LT</v>
      </c>
      <c r="B70" s="29" t="str">
        <f>'Base Blend Property Calculation'!B73</f>
        <v>Litefill 1550 LT</v>
      </c>
      <c r="C70" s="7">
        <f>'Base Blend Property Calculation'!BN73</f>
        <v>0</v>
      </c>
      <c r="D70" s="8">
        <f>'Base Blend Property Calculation'!BG73</f>
        <v>0.93080848916068826</v>
      </c>
      <c r="E70" s="8">
        <f>'Base Blend Property Calculation'!BH73</f>
        <v>1.245682896232702</v>
      </c>
      <c r="F70" s="30">
        <f>'Base Blend Property Calculation'!BI73</f>
        <v>1550</v>
      </c>
      <c r="G70" s="8">
        <f>'Base Blend Property Calculation'!BJ73</f>
        <v>3.17586941821948</v>
      </c>
      <c r="H70" s="30" t="str">
        <f>'Base Blend Property Calculation'!BK73</f>
        <v>N</v>
      </c>
      <c r="I70" s="10">
        <f>'Base Blend Property Calculation'!BL73</f>
        <v>42</v>
      </c>
      <c r="J70" s="10">
        <f>'Base Blend Property Calculation'!BM73</f>
        <v>0</v>
      </c>
      <c r="K70" s="10">
        <f>'Base Blend Property Calculation'!BO73</f>
        <v>1000</v>
      </c>
    </row>
    <row r="71" spans="1:11" x14ac:dyDescent="0.25">
      <c r="A71" s="29" t="str">
        <f>'Base Blend Property Calculation'!A74</f>
        <v>Litefill 1550 MT</v>
      </c>
      <c r="B71" s="29" t="str">
        <f>'Base Blend Property Calculation'!B74</f>
        <v>Litefill 1550 MT</v>
      </c>
      <c r="C71" s="7">
        <f>'Base Blend Property Calculation'!BN74</f>
        <v>0</v>
      </c>
      <c r="D71" s="8">
        <f>'Base Blend Property Calculation'!BG74</f>
        <v>0.93187458826105363</v>
      </c>
      <c r="E71" s="8">
        <f>'Base Blend Property Calculation'!BH74</f>
        <v>1.2463707021039054</v>
      </c>
      <c r="F71" s="30">
        <f>'Base Blend Property Calculation'!BI74</f>
        <v>1550</v>
      </c>
      <c r="G71" s="8">
        <f>'Base Blend Property Calculation'!BJ74</f>
        <v>3.1796895286905911</v>
      </c>
      <c r="H71" s="30" t="str">
        <f>'Base Blend Property Calculation'!BK74</f>
        <v>N</v>
      </c>
      <c r="I71" s="10">
        <f>'Base Blend Property Calculation'!BL74</f>
        <v>42</v>
      </c>
      <c r="J71" s="10">
        <f>'Base Blend Property Calculation'!BM74</f>
        <v>0</v>
      </c>
      <c r="K71" s="10">
        <f>'Base Blend Property Calculation'!BO74</f>
        <v>1000</v>
      </c>
    </row>
    <row r="72" spans="1:11" x14ac:dyDescent="0.25">
      <c r="A72" s="29" t="str">
        <f>'Base Blend Property Calculation'!A75</f>
        <v>LITEmix 1325 (AB)</v>
      </c>
      <c r="B72" s="29" t="str">
        <f>'Base Blend Property Calculation'!B75</f>
        <v>LITEmix 1325 (AB)</v>
      </c>
      <c r="C72" s="7">
        <f>'Base Blend Property Calculation'!BN75</f>
        <v>0</v>
      </c>
      <c r="D72" s="8">
        <f>'Base Blend Property Calculation'!BG75</f>
        <v>1.5759612067847217</v>
      </c>
      <c r="E72" s="8">
        <f>'Base Blend Property Calculation'!BH75</f>
        <v>1.9441216654979032</v>
      </c>
      <c r="F72" s="30">
        <f>'Base Blend Property Calculation'!BI75</f>
        <v>1325</v>
      </c>
      <c r="G72" s="8">
        <f>'Base Blend Property Calculation'!BJ75</f>
        <v>2.7162069590397224</v>
      </c>
      <c r="H72" s="30" t="str">
        <f>'Base Blend Property Calculation'!BK75</f>
        <v>N</v>
      </c>
      <c r="I72" s="10">
        <f>'Base Blend Property Calculation'!BL75</f>
        <v>42</v>
      </c>
      <c r="J72" s="10">
        <f>'Base Blend Property Calculation'!BM75</f>
        <v>0</v>
      </c>
      <c r="K72" s="10">
        <f>'Base Blend Property Calculation'!BO75</f>
        <v>1000</v>
      </c>
    </row>
    <row r="73" spans="1:11" x14ac:dyDescent="0.25">
      <c r="A73" s="29" t="str">
        <f>'Base Blend Property Calculation'!A76</f>
        <v>LITEmix 1325 (SK)</v>
      </c>
      <c r="B73" s="29" t="str">
        <f>'Base Blend Property Calculation'!B76</f>
        <v>LITEmix 1325 (SK)</v>
      </c>
      <c r="C73" s="7">
        <f>'Base Blend Property Calculation'!BN76</f>
        <v>0</v>
      </c>
      <c r="D73" s="8">
        <f>'Base Blend Property Calculation'!BG76</f>
        <v>1.5733708449978938</v>
      </c>
      <c r="E73" s="8">
        <f>'Base Blend Property Calculation'!BH76</f>
        <v>1.9421666754701086</v>
      </c>
      <c r="F73" s="30">
        <f>'Base Blend Property Calculation'!BI76</f>
        <v>1325</v>
      </c>
      <c r="G73" s="8">
        <f>'Base Blend Property Calculation'!BJ76</f>
        <v>2.7115274018135636</v>
      </c>
      <c r="H73" s="30" t="str">
        <f>'Base Blend Property Calculation'!BK76</f>
        <v>N</v>
      </c>
      <c r="I73" s="10">
        <f>'Base Blend Property Calculation'!BL76</f>
        <v>42</v>
      </c>
      <c r="J73" s="10">
        <f>'Base Blend Property Calculation'!BM76</f>
        <v>0</v>
      </c>
      <c r="K73" s="10">
        <f>'Base Blend Property Calculation'!BO76</f>
        <v>1000</v>
      </c>
    </row>
    <row r="74" spans="1:11" x14ac:dyDescent="0.25">
      <c r="A74" s="29" t="str">
        <f>'Base Blend Property Calculation'!A77</f>
        <v>LITEmix 1400 (AB)</v>
      </c>
      <c r="B74" s="29" t="str">
        <f>'Base Blend Property Calculation'!B77</f>
        <v>LITEmix 1400 (AB)</v>
      </c>
      <c r="C74" s="7">
        <f>'Base Blend Property Calculation'!BN77</f>
        <v>0</v>
      </c>
      <c r="D74" s="8">
        <f>'Base Blend Property Calculation'!BG77</f>
        <v>1.1759808123539981</v>
      </c>
      <c r="E74" s="8">
        <f>'Base Blend Property Calculation'!BH77</f>
        <v>1.5542720088242845</v>
      </c>
      <c r="F74" s="30">
        <f>'Base Blend Property Calculation'!BI77</f>
        <v>1400</v>
      </c>
      <c r="G74" s="8">
        <f>'Base Blend Property Calculation'!BJ77</f>
        <v>2.6434662221343732</v>
      </c>
      <c r="H74" s="30" t="str">
        <f>'Base Blend Property Calculation'!BK77</f>
        <v>N</v>
      </c>
      <c r="I74" s="10">
        <f>'Base Blend Property Calculation'!BL77</f>
        <v>42</v>
      </c>
      <c r="J74" s="10">
        <f>'Base Blend Property Calculation'!BM77</f>
        <v>0</v>
      </c>
      <c r="K74" s="10">
        <f>'Base Blend Property Calculation'!BO77</f>
        <v>1000</v>
      </c>
    </row>
    <row r="75" spans="1:11" x14ac:dyDescent="0.25">
      <c r="A75" s="29" t="str">
        <f>'Base Blend Property Calculation'!A78</f>
        <v>LITEmix 1400 (SK)</v>
      </c>
      <c r="B75" s="29" t="str">
        <f>'Base Blend Property Calculation'!B78</f>
        <v>LITEmix 1400 (SK)</v>
      </c>
      <c r="C75" s="7">
        <f>'Base Blend Property Calculation'!BN78</f>
        <v>0</v>
      </c>
      <c r="D75" s="8">
        <f>'Base Blend Property Calculation'!BG78</f>
        <v>1.2188934739143058</v>
      </c>
      <c r="E75" s="8">
        <f>'Base Blend Property Calculation'!BH78</f>
        <v>1.58492390993879</v>
      </c>
      <c r="F75" s="30">
        <f>'Base Blend Property Calculation'!BI78</f>
        <v>1400</v>
      </c>
      <c r="G75" s="8">
        <f>'Base Blend Property Calculation'!BJ78</f>
        <v>2.7320132469342222</v>
      </c>
      <c r="H75" s="30" t="str">
        <f>'Base Blend Property Calculation'!BK78</f>
        <v>N</v>
      </c>
      <c r="I75" s="10">
        <f>'Base Blend Property Calculation'!BL78</f>
        <v>42</v>
      </c>
      <c r="J75" s="10">
        <f>'Base Blend Property Calculation'!BM78</f>
        <v>0</v>
      </c>
      <c r="K75" s="10">
        <f>'Base Blend Property Calculation'!BO78</f>
        <v>1000</v>
      </c>
    </row>
    <row r="76" spans="1:11" x14ac:dyDescent="0.25">
      <c r="A76" s="29" t="str">
        <f>'Base Blend Property Calculation'!A79</f>
        <v>PRODUCTIONmix 1500 PRO (LDP-C-3515)</v>
      </c>
      <c r="B76" s="29" t="str">
        <f>'Base Blend Property Calculation'!B79</f>
        <v>PRODUCTIONmix 1500 PRO (LDP-C-3515)</v>
      </c>
      <c r="C76" s="7">
        <f>'Base Blend Property Calculation'!BN79</f>
        <v>0</v>
      </c>
      <c r="D76" s="8">
        <f>'Base Blend Property Calculation'!BG79</f>
        <v>0.86844498606891374</v>
      </c>
      <c r="E76" s="8">
        <f>'Base Blend Property Calculation'!BH79</f>
        <v>1.2456299907126092</v>
      </c>
      <c r="F76" s="30">
        <f>'Base Blend Property Calculation'!BI79</f>
        <v>1500</v>
      </c>
      <c r="G76" s="8">
        <f>'Base Blend Property Calculation'!BJ79</f>
        <v>2.6512188652479476</v>
      </c>
      <c r="H76" s="30" t="str">
        <f>'Base Blend Property Calculation'!BK79</f>
        <v>N</v>
      </c>
      <c r="I76" s="10">
        <f>'Base Blend Property Calculation'!BL79</f>
        <v>42</v>
      </c>
      <c r="J76" s="10">
        <f>'Base Blend Property Calculation'!BM79</f>
        <v>0</v>
      </c>
      <c r="K76" s="10">
        <f>'Base Blend Property Calculation'!BO79</f>
        <v>1000</v>
      </c>
    </row>
    <row r="77" spans="1:11" x14ac:dyDescent="0.25">
      <c r="A77" s="29" t="str">
        <f>'Base Blend Property Calculation'!A80</f>
        <v>PRODUCTIONmix 1600</v>
      </c>
      <c r="B77" s="29" t="str">
        <f>'Base Blend Property Calculation'!B80</f>
        <v>PRODUCTIONmix 1600</v>
      </c>
      <c r="C77" s="7">
        <f>'Base Blend Property Calculation'!BN80</f>
        <v>0</v>
      </c>
      <c r="D77" s="8">
        <f>'Base Blend Property Calculation'!BG80</f>
        <v>0.65738321506129593</v>
      </c>
      <c r="E77" s="8">
        <f>'Base Blend Property Calculation'!BH80</f>
        <v>1.0358645094133099</v>
      </c>
      <c r="F77" s="30">
        <f>'Base Blend Property Calculation'!BI80</f>
        <v>1600</v>
      </c>
      <c r="G77" s="8">
        <f>'Base Blend Property Calculation'!BJ80</f>
        <v>2.6421385017509755</v>
      </c>
      <c r="H77" s="30" t="str">
        <f>'Base Blend Property Calculation'!BK80</f>
        <v>N</v>
      </c>
      <c r="I77" s="10">
        <f>'Base Blend Property Calculation'!BL80</f>
        <v>42</v>
      </c>
      <c r="J77" s="10">
        <f>'Base Blend Property Calculation'!BM80</f>
        <v>0</v>
      </c>
      <c r="K77" s="10">
        <f>'Base Blend Property Calculation'!BO80</f>
        <v>1000</v>
      </c>
    </row>
    <row r="78" spans="1:11" x14ac:dyDescent="0.25">
      <c r="A78" s="29" t="str">
        <f>'Base Blend Property Calculation'!A81</f>
        <v>PRODUCTIONmix 1600 (SK)</v>
      </c>
      <c r="B78" s="29" t="str">
        <f>'Base Blend Property Calculation'!B81</f>
        <v>PRODUCTIONmix 1600 (SK)</v>
      </c>
      <c r="C78" s="7">
        <f>'Base Blend Property Calculation'!BN81</f>
        <v>0</v>
      </c>
      <c r="D78" s="8">
        <f>'Base Blend Property Calculation'!BG81</f>
        <v>0.70505412408056356</v>
      </c>
      <c r="E78" s="8">
        <f>'Base Blend Property Calculation'!BH81</f>
        <v>1.0656588275503522</v>
      </c>
      <c r="F78" s="30">
        <f>'Base Blend Property Calculation'!BI81</f>
        <v>1600</v>
      </c>
      <c r="G78" s="8">
        <f>'Base Blend Property Calculation'!BJ81</f>
        <v>2.7731196802977354</v>
      </c>
      <c r="H78" s="30" t="str">
        <f>'Base Blend Property Calculation'!BK81</f>
        <v>N</v>
      </c>
      <c r="I78" s="10">
        <f>'Base Blend Property Calculation'!BL81</f>
        <v>42</v>
      </c>
      <c r="J78" s="10">
        <f>'Base Blend Property Calculation'!BM81</f>
        <v>0</v>
      </c>
      <c r="K78" s="10">
        <f>'Base Blend Property Calculation'!BO81</f>
        <v>1000</v>
      </c>
    </row>
    <row r="79" spans="1:11" x14ac:dyDescent="0.25">
      <c r="A79" s="29" t="str">
        <f>'Base Blend Property Calculation'!A82</f>
        <v>PRODUCTIONmix 1725</v>
      </c>
      <c r="B79" s="29" t="str">
        <f>'Base Blend Property Calculation'!B82</f>
        <v>PRODUCTIONmix 1725</v>
      </c>
      <c r="C79" s="7">
        <f>'Base Blend Property Calculation'!BN82</f>
        <v>0</v>
      </c>
      <c r="D79" s="8">
        <f>'Base Blend Property Calculation'!BG82</f>
        <v>0.61299999999999999</v>
      </c>
      <c r="E79" s="8">
        <f>'Base Blend Property Calculation'!BH82</f>
        <v>0.93500000000000005</v>
      </c>
      <c r="F79" s="30">
        <f>'Base Blend Property Calculation'!BI82</f>
        <v>1725</v>
      </c>
      <c r="G79" s="8">
        <f>'Base Blend Property Calculation'!BJ82</f>
        <v>3.1055900621118004</v>
      </c>
      <c r="H79" s="30" t="str">
        <f>'Base Blend Property Calculation'!BK82</f>
        <v>N</v>
      </c>
      <c r="I79" s="10">
        <f>'Base Blend Property Calculation'!BL82</f>
        <v>31</v>
      </c>
      <c r="J79" s="10">
        <f>'Base Blend Property Calculation'!BM82</f>
        <v>0</v>
      </c>
      <c r="K79" s="10">
        <f>'Base Blend Property Calculation'!BO82</f>
        <v>1000</v>
      </c>
    </row>
    <row r="80" spans="1:11" x14ac:dyDescent="0.25">
      <c r="A80" s="29" t="str">
        <f>'Base Blend Property Calculation'!A83</f>
        <v>PRODUCTIONmix LW</v>
      </c>
      <c r="B80" s="29" t="str">
        <f>'Base Blend Property Calculation'!B83</f>
        <v>PRODUCTIONmix LW</v>
      </c>
      <c r="C80" s="7">
        <f>'Base Blend Property Calculation'!BN83</f>
        <v>0</v>
      </c>
      <c r="D80" s="8">
        <f>'Base Blend Property Calculation'!BG83</f>
        <v>0.89100000000000001</v>
      </c>
      <c r="E80" s="8">
        <f>'Base Blend Property Calculation'!BH83</f>
        <v>1.2609999999999999</v>
      </c>
      <c r="F80" s="30">
        <f>'Base Blend Property Calculation'!BI83</f>
        <v>1500</v>
      </c>
      <c r="G80" s="8">
        <f>'Base Blend Property Calculation'!BJ83</f>
        <v>2.7050000000000001</v>
      </c>
      <c r="H80" s="30" t="str">
        <f>'Base Blend Property Calculation'!BK83</f>
        <v>N</v>
      </c>
      <c r="I80" s="10">
        <f>'Base Blend Property Calculation'!BL83</f>
        <v>31</v>
      </c>
      <c r="J80" s="10">
        <f>'Base Blend Property Calculation'!BM83</f>
        <v>0</v>
      </c>
      <c r="K80" s="10">
        <f>'Base Blend Property Calculation'!BO83</f>
        <v>1000</v>
      </c>
    </row>
    <row r="81" spans="1:11" x14ac:dyDescent="0.25">
      <c r="A81" s="29" t="str">
        <f>'Base Blend Property Calculation'!A84</f>
        <v>PRODUCTIONmix LW (Sask)</v>
      </c>
      <c r="B81" s="29" t="str">
        <f>'Base Blend Property Calculation'!B84</f>
        <v>PRODUCTIONmix LW (Sask)</v>
      </c>
      <c r="C81" s="7">
        <f>'Base Blend Property Calculation'!BN84</f>
        <v>0</v>
      </c>
      <c r="D81" s="8">
        <f>'Base Blend Property Calculation'!BG84</f>
        <v>0.95499999999999996</v>
      </c>
      <c r="E81" s="8">
        <f>'Base Blend Property Calculation'!BH84</f>
        <v>1.3029999999999999</v>
      </c>
      <c r="F81" s="30">
        <f>'Base Blend Property Calculation'!BI84</f>
        <v>1500</v>
      </c>
      <c r="G81" s="8">
        <f>'Base Blend Property Calculation'!BJ84</f>
        <v>2.87</v>
      </c>
      <c r="H81" s="30" t="str">
        <f>'Base Blend Property Calculation'!BK84</f>
        <v>N</v>
      </c>
      <c r="I81" s="10">
        <f>'Base Blend Property Calculation'!BL84</f>
        <v>31</v>
      </c>
      <c r="J81" s="10">
        <f>'Base Blend Property Calculation'!BM84</f>
        <v>0</v>
      </c>
      <c r="K81" s="10">
        <f>'Base Blend Property Calculation'!BO84</f>
        <v>1000</v>
      </c>
    </row>
    <row r="82" spans="1:11" x14ac:dyDescent="0.25">
      <c r="A82" s="29" t="str">
        <f>'Base Blend Property Calculation'!A85</f>
        <v>PRODUCTIONmix LW PRO</v>
      </c>
      <c r="B82" s="29" t="str">
        <f>'Base Blend Property Calculation'!B85</f>
        <v>PRODUCTIONmix LW PRO</v>
      </c>
      <c r="C82" s="7">
        <f>'Base Blend Property Calculation'!BN85</f>
        <v>0</v>
      </c>
      <c r="D82" s="8">
        <f>'Base Blend Property Calculation'!BG85</f>
        <v>0.86</v>
      </c>
      <c r="E82" s="8">
        <f>'Base Blend Property Calculation'!BH85</f>
        <v>1.24</v>
      </c>
      <c r="F82" s="30">
        <f>'Base Blend Property Calculation'!BI85</f>
        <v>1500</v>
      </c>
      <c r="G82" s="8">
        <f>'Base Blend Property Calculation'!BJ85</f>
        <v>2.6315789473684212</v>
      </c>
      <c r="H82" s="30" t="str">
        <f>'Base Blend Property Calculation'!BK85</f>
        <v>T</v>
      </c>
      <c r="I82" s="10">
        <f>'Base Blend Property Calculation'!BL85</f>
        <v>31</v>
      </c>
      <c r="J82" s="10">
        <f>'Base Blend Property Calculation'!BM85</f>
        <v>0</v>
      </c>
      <c r="K82" s="10">
        <f>'Base Blend Property Calculation'!BO85</f>
        <v>1000</v>
      </c>
    </row>
    <row r="83" spans="1:11" x14ac:dyDescent="0.25">
      <c r="A83" s="29" t="str">
        <f>'Base Blend Property Calculation'!A86</f>
        <v>PRODUCTIONmix THX</v>
      </c>
      <c r="B83" s="29" t="str">
        <f>'Base Blend Property Calculation'!B86</f>
        <v>PRODUCTIONmix THX</v>
      </c>
      <c r="C83" s="7">
        <f>'Base Blend Property Calculation'!BN86</f>
        <v>0</v>
      </c>
      <c r="D83" s="8">
        <f>'Base Blend Property Calculation'!BG86</f>
        <v>0.748</v>
      </c>
      <c r="E83" s="8">
        <f>'Base Blend Property Calculation'!BH86</f>
        <v>1.127</v>
      </c>
      <c r="F83" s="30">
        <f>'Base Blend Property Calculation'!BI86</f>
        <v>1550</v>
      </c>
      <c r="G83" s="8">
        <f>'Base Blend Property Calculation'!BJ86</f>
        <v>2.6749999999999998</v>
      </c>
      <c r="H83" s="30" t="str">
        <f>'Base Blend Property Calculation'!BK86</f>
        <v>Y</v>
      </c>
      <c r="I83" s="10">
        <f>'Base Blend Property Calculation'!BL86</f>
        <v>4</v>
      </c>
      <c r="J83" s="10">
        <f>'Base Blend Property Calculation'!BM86</f>
        <v>0</v>
      </c>
      <c r="K83" s="10">
        <f>'Base Blend Property Calculation'!BO86</f>
        <v>1000</v>
      </c>
    </row>
    <row r="84" spans="1:11" x14ac:dyDescent="0.25">
      <c r="A84" s="29" t="str">
        <f>'Base Blend Property Calculation'!A87</f>
        <v>Prolite 13</v>
      </c>
      <c r="B84" s="29" t="str">
        <f>'Base Blend Property Calculation'!B87</f>
        <v>Prolite 13</v>
      </c>
      <c r="C84" s="7">
        <f>'Base Blend Property Calculation'!BN87</f>
        <v>0</v>
      </c>
      <c r="D84" s="8">
        <f>'Base Blend Property Calculation'!BG87</f>
        <v>1.7437033200254455</v>
      </c>
      <c r="E84" s="8">
        <f>'Base Blend Property Calculation'!BH87</f>
        <v>2.1105410154041886</v>
      </c>
      <c r="F84" s="30">
        <f>'Base Blend Property Calculation'!BI87</f>
        <v>1300</v>
      </c>
      <c r="G84" s="8">
        <f>'Base Blend Property Calculation'!BJ87</f>
        <v>2.7260012059762446</v>
      </c>
      <c r="H84" s="30" t="str">
        <f>'Base Blend Property Calculation'!BK87</f>
        <v>Y</v>
      </c>
      <c r="I84" s="10">
        <f>'Base Blend Property Calculation'!BL87</f>
        <v>42</v>
      </c>
      <c r="J84" s="10">
        <f>'Base Blend Property Calculation'!BM87</f>
        <v>0</v>
      </c>
      <c r="K84" s="10">
        <f>'Base Blend Property Calculation'!BO87</f>
        <v>1000</v>
      </c>
    </row>
    <row r="85" spans="1:11" x14ac:dyDescent="0.25">
      <c r="A85" s="29" t="str">
        <f>'Base Blend Property Calculation'!A88</f>
        <v>Prolite 14</v>
      </c>
      <c r="B85" s="29" t="str">
        <f>'Base Blend Property Calculation'!B88</f>
        <v>Prolite 14</v>
      </c>
      <c r="C85" s="7">
        <f>'Base Blend Property Calculation'!BN88</f>
        <v>0</v>
      </c>
      <c r="D85" s="8">
        <f>'Base Blend Property Calculation'!BG88</f>
        <v>1.2557064521087646</v>
      </c>
      <c r="E85" s="8">
        <f>'Base Blend Property Calculation'!BH88</f>
        <v>1.6112188943634034</v>
      </c>
      <c r="F85" s="30">
        <f>'Base Blend Property Calculation'!BI88</f>
        <v>1400</v>
      </c>
      <c r="G85" s="8">
        <f>'Base Blend Property Calculation'!BJ88</f>
        <v>2.8128410743040653</v>
      </c>
      <c r="H85" s="30" t="str">
        <f>'Base Blend Property Calculation'!BK88</f>
        <v>Y</v>
      </c>
      <c r="I85" s="10">
        <f>'Base Blend Property Calculation'!BL88</f>
        <v>42</v>
      </c>
      <c r="J85" s="10">
        <f>'Base Blend Property Calculation'!BM88</f>
        <v>0</v>
      </c>
      <c r="K85" s="10">
        <f>'Base Blend Property Calculation'!BO88</f>
        <v>1000</v>
      </c>
    </row>
    <row r="86" spans="1:11" x14ac:dyDescent="0.25">
      <c r="A86" s="29" t="str">
        <f>'Base Blend Property Calculation'!A89</f>
        <v>Proteus Core</v>
      </c>
      <c r="B86" s="29" t="str">
        <f>'Base Blend Property Calculation'!B89</f>
        <v>Proteus Core</v>
      </c>
      <c r="C86" s="7">
        <f>'Base Blend Property Calculation'!BN89</f>
        <v>0</v>
      </c>
      <c r="D86" s="8">
        <f>'Base Blend Property Calculation'!BG89</f>
        <v>0.57721375858361923</v>
      </c>
      <c r="E86" s="8">
        <f>'Base Blend Property Calculation'!BH89</f>
        <v>0.92777279916683486</v>
      </c>
      <c r="F86" s="30">
        <f>'Base Blend Property Calculation'!BI89</f>
        <v>1700</v>
      </c>
      <c r="G86" s="8">
        <f>'Base Blend Property Calculation'!BJ89</f>
        <v>2.8525865381658022</v>
      </c>
      <c r="H86" s="30" t="str">
        <f>'Base Blend Property Calculation'!BK89</f>
        <v>Y</v>
      </c>
      <c r="I86" s="10">
        <f>'Base Blend Property Calculation'!BL89</f>
        <v>31</v>
      </c>
      <c r="J86" s="10">
        <f>'Base Blend Property Calculation'!BM89</f>
        <v>0</v>
      </c>
      <c r="K86" s="10">
        <f>'Base Blend Property Calculation'!BO89</f>
        <v>1000</v>
      </c>
    </row>
    <row r="87" spans="1:11" x14ac:dyDescent="0.25">
      <c r="A87" s="29" t="str">
        <f>'Base Blend Property Calculation'!A90</f>
        <v>Proteus GLS @ 1300</v>
      </c>
      <c r="B87" s="29" t="str">
        <f>'Base Blend Property Calculation'!B90</f>
        <v>Proteus GLS @ 1300</v>
      </c>
      <c r="C87" s="7">
        <f>'Base Blend Property Calculation'!BN90</f>
        <v>0</v>
      </c>
      <c r="D87" s="8">
        <f>'Base Blend Property Calculation'!BG90</f>
        <v>0.68433687461651316</v>
      </c>
      <c r="E87" s="8">
        <f>'Base Blend Property Calculation'!BH90</f>
        <v>1.2956437497050102</v>
      </c>
      <c r="F87" s="30">
        <f>'Base Blend Property Calculation'!BI90</f>
        <v>1300</v>
      </c>
      <c r="G87" s="8">
        <f>'Base Blend Property Calculation'!BJ90</f>
        <v>1.6358396097790215</v>
      </c>
      <c r="H87" s="30" t="str">
        <f>'Base Blend Property Calculation'!BK90</f>
        <v>Y</v>
      </c>
      <c r="I87" s="10">
        <f>'Base Blend Property Calculation'!BL90</f>
        <v>31</v>
      </c>
      <c r="J87" s="10">
        <f>'Base Blend Property Calculation'!BM90</f>
        <v>0</v>
      </c>
      <c r="K87" s="10">
        <f>'Base Blend Property Calculation'!BO90</f>
        <v>1000</v>
      </c>
    </row>
    <row r="88" spans="1:11" x14ac:dyDescent="0.25">
      <c r="A88" s="29" t="str">
        <f>'Base Blend Property Calculation'!A91</f>
        <v>Proteus GLS @ 1350</v>
      </c>
      <c r="B88" s="29" t="str">
        <f>'Base Blend Property Calculation'!B91</f>
        <v>Proteus GLS @ 1350</v>
      </c>
      <c r="C88" s="7">
        <f>'Base Blend Property Calculation'!BN91</f>
        <v>0</v>
      </c>
      <c r="D88" s="8">
        <f>'Base Blend Property Calculation'!BG91</f>
        <v>0.64895073068048903</v>
      </c>
      <c r="E88" s="8">
        <f>'Base Blend Property Calculation'!BH91</f>
        <v>1.2214449856892511</v>
      </c>
      <c r="F88" s="30">
        <f>'Base Blend Property Calculation'!BI91</f>
        <v>1350</v>
      </c>
      <c r="G88" s="8">
        <f>'Base Blend Property Calculation'!BJ91</f>
        <v>1.7467424192487224</v>
      </c>
      <c r="H88" s="30" t="str">
        <f>'Base Blend Property Calculation'!BK91</f>
        <v>N</v>
      </c>
      <c r="I88" s="10">
        <f>'Base Blend Property Calculation'!BL91</f>
        <v>42</v>
      </c>
      <c r="J88" s="10">
        <f>'Base Blend Property Calculation'!BM91</f>
        <v>0</v>
      </c>
      <c r="K88" s="10">
        <f>'Base Blend Property Calculation'!BO91</f>
        <v>1000</v>
      </c>
    </row>
    <row r="89" spans="1:11" x14ac:dyDescent="0.25">
      <c r="A89" s="29" t="str">
        <f>'Base Blend Property Calculation'!A92</f>
        <v>Proteus GLS @ 1400</v>
      </c>
      <c r="B89" s="29" t="str">
        <f>'Base Blend Property Calculation'!B92</f>
        <v>Proteus GLS @ 1400</v>
      </c>
      <c r="C89" s="7">
        <f>'Base Blend Property Calculation'!BN92</f>
        <v>0</v>
      </c>
      <c r="D89" s="8">
        <f>'Base Blend Property Calculation'!BG92</f>
        <v>0.54484375466841428</v>
      </c>
      <c r="E89" s="8">
        <f>'Base Blend Property Calculation'!BH92</f>
        <v>1.1034598247631531</v>
      </c>
      <c r="F89" s="30">
        <f>'Base Blend Property Calculation'!BI92</f>
        <v>1400</v>
      </c>
      <c r="G89" s="8">
        <f>'Base Blend Property Calculation'!BJ92</f>
        <v>1.7901382604879312</v>
      </c>
      <c r="H89" s="30" t="str">
        <f>'Base Blend Property Calculation'!BK92</f>
        <v>N</v>
      </c>
      <c r="I89" s="10">
        <f>'Base Blend Property Calculation'!BL92</f>
        <v>42</v>
      </c>
      <c r="J89" s="10">
        <f>'Base Blend Property Calculation'!BM92</f>
        <v>0</v>
      </c>
      <c r="K89" s="10">
        <f>'Base Blend Property Calculation'!BO92</f>
        <v>1000</v>
      </c>
    </row>
    <row r="90" spans="1:11" x14ac:dyDescent="0.25">
      <c r="A90" s="29" t="str">
        <f>'Base Blend Property Calculation'!A93</f>
        <v>Proteus GLS @ 1400 (CDM-5)</v>
      </c>
      <c r="B90" s="29" t="str">
        <f>'Base Blend Property Calculation'!B93</f>
        <v>Proteus GLS @ 1400 (CDM-5)</v>
      </c>
      <c r="C90" s="7">
        <f>'Base Blend Property Calculation'!BN93</f>
        <v>0</v>
      </c>
      <c r="D90" s="8">
        <f>'Base Blend Property Calculation'!BG93</f>
        <v>0.59448922342814614</v>
      </c>
      <c r="E90" s="8">
        <f>'Base Blend Property Calculation'!BH93</f>
        <v>1.1389208738772472</v>
      </c>
      <c r="F90" s="30">
        <f>'Base Blend Property Calculation'!BI93</f>
        <v>1400</v>
      </c>
      <c r="G90" s="8">
        <f>'Base Blend Property Calculation'!BJ93</f>
        <v>1.8367778566420618</v>
      </c>
      <c r="H90" s="30" t="str">
        <f>'Base Blend Property Calculation'!BK93</f>
        <v>N</v>
      </c>
      <c r="I90" s="10">
        <f>'Base Blend Property Calculation'!BL93</f>
        <v>30</v>
      </c>
      <c r="J90" s="10">
        <f>'Base Blend Property Calculation'!BM93</f>
        <v>0</v>
      </c>
      <c r="K90" s="10">
        <f>'Base Blend Property Calculation'!BO93</f>
        <v>1000</v>
      </c>
    </row>
    <row r="91" spans="1:11" x14ac:dyDescent="0.25">
      <c r="A91" s="29" t="str">
        <f>'Base Blend Property Calculation'!A94</f>
        <v>Proteus LCS</v>
      </c>
      <c r="B91" s="29" t="str">
        <f>'Base Blend Property Calculation'!B94</f>
        <v>Proteus LCS</v>
      </c>
      <c r="C91" s="7">
        <f>'Base Blend Property Calculation'!BN94</f>
        <v>0</v>
      </c>
      <c r="D91" s="8">
        <f>'Base Blend Property Calculation'!BG94</f>
        <v>0.51488614910821584</v>
      </c>
      <c r="E91" s="8">
        <f>'Base Blend Property Calculation'!BH94</f>
        <v>0.86564922806183764</v>
      </c>
      <c r="F91" s="30">
        <f>'Base Blend Property Calculation'!BI94</f>
        <v>1750</v>
      </c>
      <c r="G91" s="8">
        <f>'Base Blend Property Calculation'!BJ94</f>
        <v>2.8509271927454511</v>
      </c>
      <c r="H91" s="30" t="str">
        <f>'Base Blend Property Calculation'!BK94</f>
        <v>N</v>
      </c>
      <c r="I91" s="10">
        <f>'Base Blend Property Calculation'!BL94</f>
        <v>30</v>
      </c>
      <c r="J91" s="10">
        <f>'Base Blend Property Calculation'!BM94</f>
        <v>0</v>
      </c>
      <c r="K91" s="10">
        <f>'Base Blend Property Calculation'!BO94</f>
        <v>1000</v>
      </c>
    </row>
    <row r="92" spans="1:11" x14ac:dyDescent="0.25">
      <c r="A92" s="29" t="str">
        <f>'Base Blend Property Calculation'!A95</f>
        <v>Proteus Pro</v>
      </c>
      <c r="B92" s="29" t="str">
        <f>'Base Blend Property Calculation'!B95</f>
        <v>Proteus Pro</v>
      </c>
      <c r="C92" s="7">
        <f>'Base Blend Property Calculation'!BN95</f>
        <v>0</v>
      </c>
      <c r="D92" s="8">
        <f>'Base Blend Property Calculation'!BG95</f>
        <v>0.54518896754408719</v>
      </c>
      <c r="E92" s="8">
        <f>'Base Blend Property Calculation'!BH95</f>
        <v>0.8957617203154129</v>
      </c>
      <c r="F92" s="30">
        <f>'Base Blend Property Calculation'!BI95</f>
        <v>1725</v>
      </c>
      <c r="G92" s="8">
        <f>'Base Blend Property Calculation'!BJ95</f>
        <v>2.8524749630279671</v>
      </c>
      <c r="H92" s="30" t="str">
        <f>'Base Blend Property Calculation'!BK95</f>
        <v>N</v>
      </c>
      <c r="I92" s="10">
        <f>'Base Blend Property Calculation'!BL95</f>
        <v>30</v>
      </c>
      <c r="J92" s="10">
        <f>'Base Blend Property Calculation'!BM95</f>
        <v>0</v>
      </c>
      <c r="K92" s="10">
        <f>'Base Blend Property Calculation'!BO95</f>
        <v>1000</v>
      </c>
    </row>
    <row r="93" spans="1:11" x14ac:dyDescent="0.25">
      <c r="A93" s="29" t="str">
        <f>'Base Blend Property Calculation'!A96</f>
        <v>RAS II</v>
      </c>
      <c r="B93" s="29" t="str">
        <f>'Base Blend Property Calculation'!B96</f>
        <v>RAS II</v>
      </c>
      <c r="C93" s="7">
        <f>'Base Blend Property Calculation'!BN96</f>
        <v>0</v>
      </c>
      <c r="D93" s="8">
        <f>'Base Blend Property Calculation'!BG96</f>
        <v>0.5289588286670871</v>
      </c>
      <c r="E93" s="8">
        <f>'Base Blend Property Calculation'!BH96</f>
        <v>0.87871197049832594</v>
      </c>
      <c r="F93" s="30">
        <f>'Base Blend Property Calculation'!BI96</f>
        <v>1740</v>
      </c>
      <c r="G93" s="8">
        <f>'Base Blend Property Calculation'!BJ96</f>
        <v>2.8591594481873592</v>
      </c>
      <c r="H93" s="30" t="str">
        <f>'Base Blend Property Calculation'!BK96</f>
        <v>N</v>
      </c>
      <c r="I93" s="10">
        <f>'Base Blend Property Calculation'!BL96</f>
        <v>30</v>
      </c>
      <c r="J93" s="10">
        <f>'Base Blend Property Calculation'!BM96</f>
        <v>0</v>
      </c>
      <c r="K93" s="10">
        <f>'Base Blend Property Calculation'!BO96</f>
        <v>1000</v>
      </c>
    </row>
    <row r="94" spans="1:11" x14ac:dyDescent="0.25">
      <c r="A94" s="29" t="str">
        <f>'Base Blend Property Calculation'!A97</f>
        <v>SanSeal</v>
      </c>
      <c r="B94" s="29" t="str">
        <f>'Base Blend Property Calculation'!B97</f>
        <v>SanSeal</v>
      </c>
      <c r="C94" s="7">
        <f>'Base Blend Property Calculation'!BN97</f>
        <v>0</v>
      </c>
      <c r="D94" s="8">
        <f>'Base Blend Property Calculation'!BG97</f>
        <v>0.69371560220145911</v>
      </c>
      <c r="E94" s="8">
        <f>'Base Blend Property Calculation'!BH97</f>
        <v>1.0264943043645207</v>
      </c>
      <c r="F94" s="30">
        <f>'Base Blend Property Calculation'!BI97</f>
        <v>1650</v>
      </c>
      <c r="G94" s="8">
        <f>'Base Blend Property Calculation'!BJ97</f>
        <v>3.0049999999999994</v>
      </c>
      <c r="H94" s="30" t="str">
        <f>'Base Blend Property Calculation'!BK97</f>
        <v>Y</v>
      </c>
      <c r="I94" s="10">
        <f>'Base Blend Property Calculation'!BL97</f>
        <v>30</v>
      </c>
      <c r="J94" s="10">
        <f>'Base Blend Property Calculation'!BM97</f>
        <v>0</v>
      </c>
      <c r="K94" s="10">
        <f>'Base Blend Property Calculation'!BO97</f>
        <v>1000</v>
      </c>
    </row>
    <row r="95" spans="1:11" x14ac:dyDescent="0.25">
      <c r="A95" s="29" t="str">
        <f>'Base Blend Property Calculation'!A98</f>
        <v>SanSeal HT</v>
      </c>
      <c r="B95" s="29" t="str">
        <f>'Base Blend Property Calculation'!B98</f>
        <v>SanSeal HT</v>
      </c>
      <c r="C95" s="7">
        <f>'Base Blend Property Calculation'!BN98</f>
        <v>0</v>
      </c>
      <c r="D95" s="8">
        <f>'Base Blend Property Calculation'!BG98</f>
        <v>0.95292716691983692</v>
      </c>
      <c r="E95" s="8">
        <f>'Base Blend Property Calculation'!BH98</f>
        <v>1.3019514446132245</v>
      </c>
      <c r="F95" s="30">
        <f>'Base Blend Property Calculation'!BI98</f>
        <v>1500</v>
      </c>
      <c r="G95" s="8">
        <f>'Base Blend Property Calculation'!BJ98</f>
        <v>2.8651302041472437</v>
      </c>
      <c r="H95" s="30" t="str">
        <f>'Base Blend Property Calculation'!BK98</f>
        <v>Y</v>
      </c>
      <c r="I95" s="10">
        <f>'Base Blend Property Calculation'!BL98</f>
        <v>30</v>
      </c>
      <c r="J95" s="10">
        <f>'Base Blend Property Calculation'!BM98</f>
        <v>0</v>
      </c>
      <c r="K95" s="10">
        <f>'Base Blend Property Calculation'!BO98</f>
        <v>1000</v>
      </c>
    </row>
    <row r="96" spans="1:11" x14ac:dyDescent="0.25">
      <c r="A96" s="29" t="str">
        <f>'Base Blend Property Calculation'!A99</f>
        <v>SCC10 Thermal</v>
      </c>
      <c r="B96" s="29" t="str">
        <f>'Base Blend Property Calculation'!B99</f>
        <v>SCC10 Thermal</v>
      </c>
      <c r="C96" s="7">
        <f>'Base Blend Property Calculation'!BN99</f>
        <v>0</v>
      </c>
      <c r="D96" s="8">
        <f>'Base Blend Property Calculation'!BG99</f>
        <v>0.46772816705896547</v>
      </c>
      <c r="E96" s="8">
        <f>'Base Blend Property Calculation'!BH99</f>
        <v>0.90321733357474798</v>
      </c>
      <c r="F96" s="30">
        <f>'Base Blend Property Calculation'!BI99</f>
        <v>1625</v>
      </c>
      <c r="G96" s="8">
        <f>'Base Blend Property Calculation'!BJ99</f>
        <v>2.2962683733345157</v>
      </c>
      <c r="H96" s="30" t="str">
        <f>'Base Blend Property Calculation'!BK99</f>
        <v>N</v>
      </c>
      <c r="I96" s="10">
        <f>'Base Blend Property Calculation'!BL99</f>
        <v>40</v>
      </c>
      <c r="J96" s="10">
        <f>'Base Blend Property Calculation'!BM99</f>
        <v>0</v>
      </c>
      <c r="K96" s="10">
        <f>'Base Blend Property Calculation'!BO99</f>
        <v>1000</v>
      </c>
    </row>
    <row r="97" spans="1:11" x14ac:dyDescent="0.25">
      <c r="A97" s="29" t="str">
        <f>'Base Blend Property Calculation'!A100</f>
        <v>SSi</v>
      </c>
      <c r="B97" s="29" t="str">
        <f>'Base Blend Property Calculation'!B100</f>
        <v>SSi</v>
      </c>
      <c r="C97" s="7">
        <f>'Base Blend Property Calculation'!BN100</f>
        <v>0</v>
      </c>
      <c r="D97" s="8">
        <f>'Base Blend Property Calculation'!BG100</f>
        <v>0.53615761302812903</v>
      </c>
      <c r="E97" s="8">
        <f>'Base Blend Property Calculation'!BH100</f>
        <v>0.87780435030178805</v>
      </c>
      <c r="F97" s="30">
        <f>'Base Blend Property Calculation'!BI100</f>
        <v>1750</v>
      </c>
      <c r="G97" s="8">
        <f>'Base Blend Property Calculation'!BJ100</f>
        <v>2.927</v>
      </c>
      <c r="H97" s="30" t="str">
        <f>'Base Blend Property Calculation'!BK100</f>
        <v>Y</v>
      </c>
      <c r="I97" s="10">
        <f>'Base Blend Property Calculation'!BL100</f>
        <v>31</v>
      </c>
      <c r="J97" s="10" t="s">
        <v>36</v>
      </c>
      <c r="K97" s="10">
        <f>'Base Blend Property Calculation'!BO100</f>
        <v>1000</v>
      </c>
    </row>
    <row r="98" spans="1:11" x14ac:dyDescent="0.25">
      <c r="A98" s="29" t="str">
        <f>'Base Blend Property Calculation'!A101</f>
        <v>Superlite 13</v>
      </c>
      <c r="B98" s="29" t="str">
        <f>'Base Blend Property Calculation'!B101</f>
        <v>Superlite 13</v>
      </c>
      <c r="C98" s="7">
        <f>'Base Blend Property Calculation'!BN101</f>
        <v>0</v>
      </c>
      <c r="D98" s="8">
        <f>'Base Blend Property Calculation'!BG101</f>
        <v>0.89286946494656971</v>
      </c>
      <c r="E98" s="8">
        <f>'Base Blend Property Calculation'!BH101</f>
        <v>1.4560534345742844</v>
      </c>
      <c r="F98" s="30">
        <f>'Base Blend Property Calculation'!BI101</f>
        <v>1300</v>
      </c>
      <c r="G98" s="8">
        <f>'Base Blend Property Calculation'!BJ101</f>
        <v>1.7756187212875338</v>
      </c>
      <c r="H98" s="30" t="str">
        <f>'Base Blend Property Calculation'!BK101</f>
        <v>Y</v>
      </c>
      <c r="I98" s="10">
        <f>'Base Blend Property Calculation'!BL101</f>
        <v>42</v>
      </c>
      <c r="J98" s="10" t="s">
        <v>36</v>
      </c>
      <c r="K98" s="10">
        <f>'Base Blend Property Calculation'!BO101</f>
        <v>1000</v>
      </c>
    </row>
    <row r="99" spans="1:11" x14ac:dyDescent="0.25">
      <c r="A99" s="29" t="str">
        <f>'Base Blend Property Calculation'!A102</f>
        <v>Superlite 13 (CDM-5)</v>
      </c>
      <c r="B99" s="29" t="str">
        <f>'Base Blend Property Calculation'!B102</f>
        <v>Superlite 13 (CDM-5)</v>
      </c>
      <c r="C99" s="7">
        <f>'Base Blend Property Calculation'!BN102</f>
        <v>0</v>
      </c>
      <c r="D99" s="8">
        <f>'Base Blend Property Calculation'!BG102</f>
        <v>0.89633277178434267</v>
      </c>
      <c r="E99" s="8">
        <f>'Base Blend Property Calculation'!BH102</f>
        <v>1.4587175167571866</v>
      </c>
      <c r="F99" s="30">
        <f>'Base Blend Property Calculation'!BI102</f>
        <v>1300</v>
      </c>
      <c r="G99" s="8">
        <f>'Base Blend Property Calculation'!BJ102</f>
        <v>1.7781421152316059</v>
      </c>
      <c r="H99" s="30" t="str">
        <f>'Base Blend Property Calculation'!BK102</f>
        <v>Y</v>
      </c>
      <c r="I99" s="10" t="str">
        <f>'Base Blend Property Calculation'!BL102</f>
        <v>01</v>
      </c>
      <c r="J99" s="10">
        <f>'Base Blend Property Calculation'!BM102</f>
        <v>0</v>
      </c>
      <c r="K99" s="10">
        <f>'Base Blend Property Calculation'!BO102</f>
        <v>1000</v>
      </c>
    </row>
    <row r="100" spans="1:11" x14ac:dyDescent="0.25">
      <c r="A100" s="29" t="str">
        <f>'Base Blend Property Calculation'!A103</f>
        <v>SUPERLITEmix 1160</v>
      </c>
      <c r="B100" s="29" t="str">
        <f>'Base Blend Property Calculation'!B103</f>
        <v>SUPERLITEmix 1160</v>
      </c>
      <c r="C100" s="7">
        <f>'Base Blend Property Calculation'!BN103</f>
        <v>0</v>
      </c>
      <c r="D100" s="8">
        <f>'Base Blend Property Calculation'!BG103</f>
        <v>2.1600793650793659</v>
      </c>
      <c r="E100" s="8">
        <f>'Base Blend Property Calculation'!BH103</f>
        <v>2.7242063492063502</v>
      </c>
      <c r="F100" s="30">
        <f>'Base Blend Property Calculation'!BI103</f>
        <v>1160</v>
      </c>
      <c r="G100" s="8">
        <f>'Base Blend Property Calculation'!BJ103</f>
        <v>1.772650534608891</v>
      </c>
      <c r="H100" s="30" t="str">
        <f>'Base Blend Property Calculation'!BK103</f>
        <v>Y</v>
      </c>
      <c r="I100" s="10">
        <f>'Base Blend Property Calculation'!BL103</f>
        <v>31</v>
      </c>
      <c r="J100" s="10">
        <f>'Base Blend Property Calculation'!BM103</f>
        <v>0</v>
      </c>
      <c r="K100" s="10">
        <f>'Base Blend Property Calculation'!BO103</f>
        <v>1000</v>
      </c>
    </row>
    <row r="101" spans="1:11" x14ac:dyDescent="0.25">
      <c r="A101" s="29" t="str">
        <f>'Base Blend Property Calculation'!A104</f>
        <v>SUPERLITEmix 1160 (CDM-5)</v>
      </c>
      <c r="B101" s="29" t="str">
        <f>'Base Blend Property Calculation'!B104</f>
        <v>SUPERLITEmix 1160 (CDM-5)</v>
      </c>
      <c r="C101" s="7">
        <f>'Base Blend Property Calculation'!BN104</f>
        <v>0</v>
      </c>
      <c r="D101" s="8">
        <f>'Base Blend Property Calculation'!BG104</f>
        <v>2.2147723475355061</v>
      </c>
      <c r="E101" s="8">
        <f>'Base Blend Property Calculation'!BH104</f>
        <v>2.7713554720133677</v>
      </c>
      <c r="F101" s="30">
        <f>'Base Blend Property Calculation'!BI104</f>
        <v>1160</v>
      </c>
      <c r="G101" s="8">
        <f>'Base Blend Property Calculation'!BJ104</f>
        <v>1.7966768233192731</v>
      </c>
      <c r="H101" s="30" t="str">
        <f>'Base Blend Property Calculation'!BK104</f>
        <v>N</v>
      </c>
      <c r="I101" s="10">
        <f>'Base Blend Property Calculation'!BL104</f>
        <v>42</v>
      </c>
      <c r="J101" s="10">
        <f>'Base Blend Property Calculation'!BM104</f>
        <v>0</v>
      </c>
      <c r="K101" s="10">
        <f>'Base Blend Property Calculation'!BO104</f>
        <v>1000</v>
      </c>
    </row>
    <row r="102" spans="1:11" x14ac:dyDescent="0.25">
      <c r="A102" s="29" t="str">
        <f>'Base Blend Property Calculation'!A105</f>
        <v>SUPERLITEmix PRO (LDP-C-3215)</v>
      </c>
      <c r="B102" s="29" t="str">
        <f>'Base Blend Property Calculation'!B105</f>
        <v>SUPERLITEmix PRO (LDP-C-3215)</v>
      </c>
      <c r="C102" s="7">
        <f>'Base Blend Property Calculation'!BN105</f>
        <v>0</v>
      </c>
      <c r="D102" s="8">
        <f>'Base Blend Property Calculation'!BG105</f>
        <v>1.1729366001143005</v>
      </c>
      <c r="E102" s="8">
        <f>'Base Blend Property Calculation'!BH105</f>
        <v>1.8493077447781281</v>
      </c>
      <c r="F102" s="30">
        <f>'Base Blend Property Calculation'!BI105</f>
        <v>1175</v>
      </c>
      <c r="G102" s="8">
        <f>'Base Blend Property Calculation'!BJ105</f>
        <v>1.4784782110966954</v>
      </c>
      <c r="H102" s="30" t="str">
        <f>'Base Blend Property Calculation'!BK105</f>
        <v>N</v>
      </c>
      <c r="I102" s="10">
        <f>'Base Blend Property Calculation'!BL105</f>
        <v>42</v>
      </c>
      <c r="J102" s="10">
        <f>'Base Blend Property Calculation'!BM105</f>
        <v>0</v>
      </c>
      <c r="K102" s="10">
        <f>'Base Blend Property Calculation'!BO105</f>
        <v>1000</v>
      </c>
    </row>
    <row r="103" spans="1:11" x14ac:dyDescent="0.25">
      <c r="A103" s="29" t="str">
        <f>'Base Blend Property Calculation'!A106</f>
        <v>SUPERLITEmix PRO HT</v>
      </c>
      <c r="B103" s="29" t="str">
        <f>'Base Blend Property Calculation'!B106</f>
        <v>SUPERLITEmix PRO HT</v>
      </c>
      <c r="C103" s="7">
        <f>'Base Blend Property Calculation'!BN106</f>
        <v>0</v>
      </c>
      <c r="D103" s="8">
        <f>'Base Blend Property Calculation'!BG106</f>
        <v>1.0775686248797982</v>
      </c>
      <c r="E103" s="8">
        <f>'Base Blend Property Calculation'!BH106</f>
        <v>1.7313071873998318</v>
      </c>
      <c r="F103" s="30">
        <f>'Base Blend Property Calculation'!BI106</f>
        <v>1200</v>
      </c>
      <c r="G103" s="8">
        <f>'Base Blend Property Calculation'!BJ106</f>
        <v>1.5296634730330068</v>
      </c>
      <c r="H103" s="30" t="str">
        <f>'Base Blend Property Calculation'!BK106</f>
        <v>N</v>
      </c>
      <c r="I103" s="10">
        <f>'Base Blend Property Calculation'!BL106</f>
        <v>42</v>
      </c>
      <c r="J103" s="10">
        <f>'Base Blend Property Calculation'!BM106</f>
        <v>0</v>
      </c>
      <c r="K103" s="10">
        <f>'Base Blend Property Calculation'!BO106</f>
        <v>1000</v>
      </c>
    </row>
    <row r="104" spans="1:11" x14ac:dyDescent="0.25">
      <c r="A104" s="29" t="str">
        <f>'Base Blend Property Calculation'!A107</f>
        <v>SURFACEmix LW (AB)</v>
      </c>
      <c r="B104" s="29" t="str">
        <f>'Base Blend Property Calculation'!B107</f>
        <v>SURFACEmix LW (AB)</v>
      </c>
      <c r="C104" s="7">
        <f>'Base Blend Property Calculation'!BN107</f>
        <v>0</v>
      </c>
      <c r="D104" s="8">
        <f>'Base Blend Property Calculation'!BG107</f>
        <v>0.66014635855853254</v>
      </c>
      <c r="E104" s="8">
        <f>'Base Blend Property Calculation'!BH107</f>
        <v>1.0375914740990828</v>
      </c>
      <c r="F104" s="30">
        <f>'Base Blend Property Calculation'!BI107</f>
        <v>1600</v>
      </c>
      <c r="G104" s="8">
        <f>'Base Blend Property Calculation'!BJ107</f>
        <v>2.6493918157289453</v>
      </c>
      <c r="H104" s="30" t="str">
        <f>'Base Blend Property Calculation'!BK107</f>
        <v>N</v>
      </c>
      <c r="I104" s="10">
        <f>'Base Blend Property Calculation'!BL107</f>
        <v>42</v>
      </c>
      <c r="J104" s="10">
        <f>'Base Blend Property Calculation'!BM107</f>
        <v>0</v>
      </c>
      <c r="K104" s="10">
        <f>'Base Blend Property Calculation'!BO107</f>
        <v>1000</v>
      </c>
    </row>
    <row r="105" spans="1:11" x14ac:dyDescent="0.25">
      <c r="A105" s="29" t="str">
        <f>'Base Blend Property Calculation'!A109</f>
        <v>SURFACEmix LW PRO (LDP-C-4715)</v>
      </c>
      <c r="B105" s="29" t="str">
        <f>'Base Blend Property Calculation'!B109</f>
        <v>SURFACEmix LW PRO (LDP-C-4715)</v>
      </c>
      <c r="C105" s="7">
        <f>'Base Blend Property Calculation'!BN109</f>
        <v>0</v>
      </c>
      <c r="D105" s="8">
        <f>'Base Blend Property Calculation'!BG109</f>
        <v>0.75850128748134071</v>
      </c>
      <c r="E105" s="8">
        <f>'Base Blend Property Calculation'!BH109</f>
        <v>1.134516959665381</v>
      </c>
      <c r="F105" s="30">
        <f>'Base Blend Property Calculation'!BI109</f>
        <v>1550</v>
      </c>
      <c r="G105" s="8">
        <f>'Base Blend Property Calculation'!BJ109</f>
        <v>2.6594636180764071</v>
      </c>
      <c r="H105" s="30" t="str">
        <f>'Base Blend Property Calculation'!BK109</f>
        <v>Y</v>
      </c>
      <c r="I105" s="10">
        <f>'Base Blend Property Calculation'!BL109</f>
        <v>31</v>
      </c>
      <c r="J105" s="10">
        <f>'Base Blend Property Calculation'!BM109</f>
        <v>0</v>
      </c>
      <c r="K105" s="10">
        <f>'Base Blend Property Calculation'!BO109</f>
        <v>1000</v>
      </c>
    </row>
    <row r="106" spans="1:11" x14ac:dyDescent="0.25">
      <c r="A106" s="29" t="str">
        <f>'Base Blend Property Calculation'!A110</f>
        <v>SURFACEmix LW PRO (SK) (LDP-C-4715)</v>
      </c>
      <c r="B106" s="29" t="str">
        <f>'Base Blend Property Calculation'!B110</f>
        <v>SURFACEmix LW PRO (SK) (LDP-C-4715)</v>
      </c>
      <c r="C106" s="7">
        <f>'Base Blend Property Calculation'!BN110</f>
        <v>0</v>
      </c>
      <c r="D106" s="8">
        <f>'Base Blend Property Calculation'!BG110</f>
        <v>0.8341887742724956</v>
      </c>
      <c r="E106" s="8">
        <f>'Base Blend Property Calculation'!BH110</f>
        <v>1.1833475963048359</v>
      </c>
      <c r="F106" s="30">
        <f>'Base Blend Property Calculation'!BI110</f>
        <v>1550</v>
      </c>
      <c r="G106" s="8">
        <f>'Base Blend Property Calculation'!BJ110</f>
        <v>2.8640261591539469</v>
      </c>
      <c r="H106" s="30" t="str">
        <f>'Base Blend Property Calculation'!BK110</f>
        <v>Y</v>
      </c>
      <c r="I106" s="10">
        <f>'Base Blend Property Calculation'!BL110</f>
        <v>31</v>
      </c>
      <c r="J106" s="10">
        <f>'Base Blend Property Calculation'!BM110</f>
        <v>0</v>
      </c>
      <c r="K106" s="10">
        <f>'Base Blend Property Calculation'!BO110</f>
        <v>1000</v>
      </c>
    </row>
    <row r="107" spans="1:11" x14ac:dyDescent="0.25">
      <c r="A107" s="29" t="str">
        <f>'Base Blend Property Calculation'!A111</f>
        <v>SURFACEmix LW PRO SL</v>
      </c>
      <c r="B107" s="29" t="str">
        <f>'Base Blend Property Calculation'!B111</f>
        <v>SURFACEmix LW PRO SL</v>
      </c>
      <c r="C107" s="7">
        <f>'Base Blend Property Calculation'!BN111</f>
        <v>0</v>
      </c>
      <c r="D107" s="8">
        <f>'Base Blend Property Calculation'!BG111</f>
        <v>0.65900000000000003</v>
      </c>
      <c r="E107" s="8">
        <f>'Base Blend Property Calculation'!BH111</f>
        <v>1.07</v>
      </c>
      <c r="F107" s="30">
        <f>'Base Blend Property Calculation'!BI111</f>
        <v>1550</v>
      </c>
      <c r="G107" s="8">
        <f>'Base Blend Property Calculation'!BJ111</f>
        <v>2.4350000000000001</v>
      </c>
      <c r="H107" s="30" t="str">
        <f>'Base Blend Property Calculation'!BK111</f>
        <v>Y</v>
      </c>
      <c r="I107" s="10">
        <f>'Base Blend Property Calculation'!BL111</f>
        <v>3</v>
      </c>
      <c r="J107" s="10">
        <f>'Base Blend Property Calculation'!BM111</f>
        <v>0</v>
      </c>
      <c r="K107" s="10">
        <f>'Base Blend Property Calculation'!BO111</f>
        <v>1000</v>
      </c>
    </row>
    <row r="108" spans="1:11" x14ac:dyDescent="0.25">
      <c r="A108" s="29" t="str">
        <f>'Base Blend Property Calculation'!A112</f>
        <v>SURFACEmix PRO</v>
      </c>
      <c r="B108" s="29" t="str">
        <f>'Base Blend Property Calculation'!B112</f>
        <v>SURFACEmix PRO</v>
      </c>
      <c r="C108" s="7">
        <f>'Base Blend Property Calculation'!BN112</f>
        <v>0</v>
      </c>
      <c r="D108" s="8">
        <f>'Base Blend Property Calculation'!BG112</f>
        <v>0.65735402215896188</v>
      </c>
      <c r="E108" s="8">
        <f>'Base Blend Property Calculation'!BH112</f>
        <v>0.97491413068174237</v>
      </c>
      <c r="F108" s="30">
        <f>'Base Blend Property Calculation'!BI111</f>
        <v>1550</v>
      </c>
      <c r="G108" s="8">
        <f>'Base Blend Property Calculation'!BJ112</f>
        <v>3.1490101343389103</v>
      </c>
      <c r="H108" s="30" t="str">
        <f>'Base Blend Property Calculation'!BK112</f>
        <v>Y</v>
      </c>
      <c r="I108" s="10">
        <f>'Base Blend Property Calculation'!BL112</f>
        <v>31</v>
      </c>
      <c r="J108" s="10">
        <f>'Base Blend Property Calculation'!BM112</f>
        <v>0</v>
      </c>
      <c r="K108" s="10">
        <f>'Base Blend Property Calculation'!BO112</f>
        <v>1000</v>
      </c>
    </row>
    <row r="109" spans="1:11" x14ac:dyDescent="0.25">
      <c r="A109" s="29" t="str">
        <f>'Base Blend Property Calculation'!A113</f>
        <v>SURFACEmix PRO SL</v>
      </c>
      <c r="B109" s="29" t="str">
        <f>'Base Blend Property Calculation'!B113</f>
        <v>SURFACEmix PRO SL</v>
      </c>
      <c r="C109" s="7">
        <f>'Base Blend Property Calculation'!BN113</f>
        <v>0</v>
      </c>
      <c r="D109" s="8">
        <f>'Base Blend Property Calculation'!BG113</f>
        <v>0.61199999999999999</v>
      </c>
      <c r="E109" s="8">
        <f>'Base Blend Property Calculation'!BH113</f>
        <v>0.94799999999999995</v>
      </c>
      <c r="F109" s="30">
        <f>'Base Blend Property Calculation'!BI112</f>
        <v>1700</v>
      </c>
      <c r="G109" s="8">
        <f>'Base Blend Property Calculation'!BJ113</f>
        <v>3.004</v>
      </c>
      <c r="H109" s="30" t="str">
        <f>'Base Blend Property Calculation'!BK113</f>
        <v>N</v>
      </c>
      <c r="I109" s="10">
        <f>'Base Blend Property Calculation'!BL113</f>
        <v>3</v>
      </c>
      <c r="J109" s="10">
        <f>'Base Blend Property Calculation'!BM113</f>
        <v>0</v>
      </c>
      <c r="K109" s="10">
        <f>'Base Blend Property Calculation'!BO113</f>
        <v>1000</v>
      </c>
    </row>
    <row r="110" spans="1:11" x14ac:dyDescent="0.25">
      <c r="A110" s="29" t="str">
        <f>'Base Blend Property Calculation'!A114</f>
        <v>SURFACEmix SLW</v>
      </c>
      <c r="B110" s="29" t="str">
        <f>'Base Blend Property Calculation'!B114</f>
        <v>SURFACEmix SLW</v>
      </c>
      <c r="C110" s="7">
        <f>'Base Blend Property Calculation'!BN114</f>
        <v>0</v>
      </c>
      <c r="D110" s="8">
        <f>'Base Blend Property Calculation'!BG114</f>
        <v>0.70321428571428679</v>
      </c>
      <c r="E110" s="8">
        <f>'Base Blend Property Calculation'!BH114</f>
        <v>1.4193452380952389</v>
      </c>
      <c r="F110" s="30">
        <f>'Base Blend Property Calculation'!BI113</f>
        <v>1700</v>
      </c>
      <c r="G110" s="8">
        <f>'Base Blend Property Calculation'!BJ114</f>
        <v>1.3963926523148538</v>
      </c>
      <c r="H110" s="30" t="str">
        <f>'Base Blend Property Calculation'!BK114</f>
        <v>Y</v>
      </c>
      <c r="I110" s="10">
        <f>'Base Blend Property Calculation'!BL114</f>
        <v>31</v>
      </c>
      <c r="J110" s="10">
        <f>'Base Blend Property Calculation'!BM114</f>
        <v>0</v>
      </c>
      <c r="K110" s="10">
        <f>'Base Blend Property Calculation'!BO114</f>
        <v>1000</v>
      </c>
    </row>
    <row r="111" spans="1:11" x14ac:dyDescent="0.25">
      <c r="A111" s="29" t="str">
        <f>'Base Blend Property Calculation'!A115</f>
        <v>SurfLite</v>
      </c>
      <c r="B111" s="29" t="str">
        <f>'Base Blend Property Calculation'!B115</f>
        <v>SurfLite</v>
      </c>
      <c r="C111" s="7">
        <f>'Base Blend Property Calculation'!BN115</f>
        <v>0</v>
      </c>
      <c r="D111" s="8">
        <f>'Base Blend Property Calculation'!BG115</f>
        <v>0.49139078687344068</v>
      </c>
      <c r="E111" s="8">
        <f>'Base Blend Property Calculation'!BH115</f>
        <v>0.86207559934880962</v>
      </c>
      <c r="F111" s="30">
        <f>'Base Blend Property Calculation'!BI114</f>
        <v>1200</v>
      </c>
      <c r="G111" s="8">
        <f>'Base Blend Property Calculation'!BJ115</f>
        <v>2.6977096615374481</v>
      </c>
      <c r="H111" s="30" t="str">
        <f>'Base Blend Property Calculation'!BK115</f>
        <v>Y</v>
      </c>
      <c r="I111" s="10">
        <f>'Base Blend Property Calculation'!BL115</f>
        <v>42</v>
      </c>
      <c r="J111" s="10">
        <f>'Base Blend Property Calculation'!BM115</f>
        <v>0</v>
      </c>
      <c r="K111" s="10">
        <f>'Base Blend Property Calculation'!BO115</f>
        <v>1000</v>
      </c>
    </row>
    <row r="112" spans="1:11" x14ac:dyDescent="0.25">
      <c r="A112" s="29" t="str">
        <f>'Base Blend Property Calculation'!A116</f>
        <v>SurfLite (SK)</v>
      </c>
      <c r="B112" s="29" t="str">
        <f>'Base Blend Property Calculation'!B116</f>
        <v>SurfLite (SK)</v>
      </c>
      <c r="C112" s="7">
        <f>'Base Blend Property Calculation'!BN116</f>
        <v>0</v>
      </c>
      <c r="D112" s="8">
        <f>'Base Blend Property Calculation'!BG116</f>
        <v>0.55603232795988544</v>
      </c>
      <c r="E112" s="8">
        <f>'Base Blend Property Calculation'!BH116</f>
        <v>0.89944065199993384</v>
      </c>
      <c r="F112" s="30">
        <f>'Base Blend Property Calculation'!BI115</f>
        <v>1730</v>
      </c>
      <c r="G112" s="8">
        <f>'Base Blend Property Calculation'!BJ116</f>
        <v>2.9119853247453014</v>
      </c>
      <c r="H112" s="30" t="str">
        <f>'Base Blend Property Calculation'!BK116</f>
        <v>N</v>
      </c>
      <c r="I112" s="10" t="str">
        <f>'Base Blend Property Calculation'!BL116</f>
        <v>03</v>
      </c>
      <c r="J112" s="10">
        <f>'Base Blend Property Calculation'!BM116</f>
        <v>0</v>
      </c>
      <c r="K112" s="10">
        <f>'Base Blend Property Calculation'!BO116</f>
        <v>1000</v>
      </c>
    </row>
    <row r="113" spans="1:11" x14ac:dyDescent="0.25">
      <c r="A113" s="29" t="str">
        <f>'Base Blend Property Calculation'!A117</f>
        <v>Thermal 40</v>
      </c>
      <c r="B113" s="29" t="str">
        <f>'Base Blend Property Calculation'!B117</f>
        <v>Thermal 40</v>
      </c>
      <c r="C113" s="7">
        <f>'Base Blend Property Calculation'!BN117</f>
        <v>0</v>
      </c>
      <c r="D113" s="8">
        <f>'Base Blend Property Calculation'!BG117</f>
        <v>0.42307862613048064</v>
      </c>
      <c r="E113" s="8">
        <f>'Base Blend Property Calculation'!BH117</f>
        <v>0.75494887327876958</v>
      </c>
      <c r="F113" s="30">
        <f>'Base Blend Property Calculation'!BI116</f>
        <v>1730</v>
      </c>
      <c r="G113" s="8">
        <f>'Base Blend Property Calculation'!BJ117</f>
        <v>3.0132258272407646</v>
      </c>
      <c r="H113" s="30" t="str">
        <f>'Base Blend Property Calculation'!BK117</f>
        <v>Y</v>
      </c>
      <c r="I113" s="10" t="str">
        <f>'Base Blend Property Calculation'!BL117</f>
        <v>04</v>
      </c>
      <c r="J113" s="10">
        <f>'Base Blend Property Calculation'!BM117</f>
        <v>0</v>
      </c>
      <c r="K113" s="10">
        <f>'Base Blend Property Calculation'!BO117</f>
        <v>1000</v>
      </c>
    </row>
    <row r="114" spans="1:11" x14ac:dyDescent="0.25">
      <c r="A114" s="29" t="str">
        <f>'Base Blend Property Calculation'!A118</f>
        <v>Thermal 40 EXP</v>
      </c>
      <c r="B114" s="29" t="str">
        <f>'Base Blend Property Calculation'!B118</f>
        <v>Thermal 40 EXP</v>
      </c>
      <c r="C114" s="7">
        <f>'Base Blend Property Calculation'!BN118</f>
        <v>0</v>
      </c>
      <c r="D114" s="8">
        <f>'Base Blend Property Calculation'!BG118</f>
        <v>0.48065043419161008</v>
      </c>
      <c r="E114" s="8">
        <f>'Base Blend Property Calculation'!BH118</f>
        <v>0.81354419461077476</v>
      </c>
      <c r="F114" s="30">
        <f>'Base Blend Property Calculation'!BI117</f>
        <v>1885</v>
      </c>
      <c r="G114" s="8">
        <f>'Base Blend Property Calculation'!BJ118</f>
        <v>3.003961380173799</v>
      </c>
      <c r="H114" s="30" t="str">
        <f>'Base Blend Property Calculation'!BK118</f>
        <v>Y</v>
      </c>
      <c r="I114" s="10" t="str">
        <f>'Base Blend Property Calculation'!BL118</f>
        <v>04</v>
      </c>
      <c r="J114" s="10">
        <f>'Base Blend Property Calculation'!BM118</f>
        <v>0</v>
      </c>
      <c r="K114" s="10">
        <f>'Base Blend Property Calculation'!BO118</f>
        <v>1000</v>
      </c>
    </row>
    <row r="115" spans="1:11" x14ac:dyDescent="0.25">
      <c r="A115" s="29" t="str">
        <f>'Base Blend Property Calculation'!A119</f>
        <v>Thermal 40 Lite</v>
      </c>
      <c r="B115" s="29" t="str">
        <f>'Base Blend Property Calculation'!B119</f>
        <v>Thermal 40 Lite</v>
      </c>
      <c r="C115" s="7">
        <f>'Base Blend Property Calculation'!BN119</f>
        <v>0</v>
      </c>
      <c r="D115" s="8">
        <f>'Base Blend Property Calculation'!BG119</f>
        <v>0.88142911416711645</v>
      </c>
      <c r="E115" s="8">
        <f>'Base Blend Property Calculation'!BH119</f>
        <v>1.2138252349465266</v>
      </c>
      <c r="F115" s="30">
        <f>'Base Blend Property Calculation'!BI118</f>
        <v>1820</v>
      </c>
      <c r="G115" s="8">
        <f>'Base Blend Property Calculation'!BJ119</f>
        <v>3.0084586957729131</v>
      </c>
      <c r="H115" s="30" t="str">
        <f>'Base Blend Property Calculation'!BK119</f>
        <v>N</v>
      </c>
      <c r="I115" s="10">
        <f>'Base Blend Property Calculation'!BL119</f>
        <v>30</v>
      </c>
      <c r="J115" s="10">
        <f>'Base Blend Property Calculation'!BM119</f>
        <v>0</v>
      </c>
      <c r="K115" s="10">
        <f>'Base Blend Property Calculation'!BO119</f>
        <v>1000</v>
      </c>
    </row>
    <row r="116" spans="1:11" x14ac:dyDescent="0.25">
      <c r="A116" s="29" t="str">
        <f>'Base Blend Property Calculation'!A120</f>
        <v>THERMAmix EC</v>
      </c>
      <c r="B116" s="29" t="str">
        <f>'Base Blend Property Calculation'!B120</f>
        <v>THERMAmix EC</v>
      </c>
      <c r="C116" s="7">
        <f>'Base Blend Property Calculation'!BN120</f>
        <v>0</v>
      </c>
      <c r="D116" s="8">
        <f>'Base Blend Property Calculation'!BG120</f>
        <v>0.44829506901295252</v>
      </c>
      <c r="E116" s="8">
        <f>'Base Blend Property Calculation'!BH120</f>
        <v>0.82759718229311574</v>
      </c>
      <c r="F116" s="30">
        <f>'Base Blend Property Calculation'!BI119</f>
        <v>1550</v>
      </c>
      <c r="G116" s="8">
        <f>'Base Blend Property Calculation'!BJ120</f>
        <v>2.6364208502613109</v>
      </c>
      <c r="H116" s="30" t="str">
        <f>'Base Blend Property Calculation'!BK120</f>
        <v>Y</v>
      </c>
      <c r="I116" s="10">
        <f>'Base Blend Property Calculation'!BL120</f>
        <v>30</v>
      </c>
      <c r="J116" s="10">
        <f>'Base Blend Property Calculation'!BM120</f>
        <v>0</v>
      </c>
      <c r="K116" s="10">
        <f>'Base Blend Property Calculation'!BO120</f>
        <v>1000</v>
      </c>
    </row>
    <row r="117" spans="1:11" x14ac:dyDescent="0.25">
      <c r="A117" s="29" t="str">
        <f>'Base Blend Property Calculation'!A121</f>
        <v>THERMAmix EC EXP</v>
      </c>
      <c r="B117" s="29" t="str">
        <f>'Base Blend Property Calculation'!B121</f>
        <v>THERMAmix EC EXP</v>
      </c>
      <c r="C117" s="7">
        <f>'Base Blend Property Calculation'!BN121</f>
        <v>0</v>
      </c>
      <c r="D117" s="8">
        <f>'Base Blend Property Calculation'!BG121</f>
        <v>0.52900000000000003</v>
      </c>
      <c r="E117" s="8">
        <f>'Base Blend Property Calculation'!BH121</f>
        <v>0.91300000000000003</v>
      </c>
      <c r="F117" s="30">
        <f>'Base Blend Property Calculation'!BI120</f>
        <v>1750</v>
      </c>
      <c r="G117" s="8">
        <f>'Base Blend Property Calculation'!BJ121</f>
        <v>2.6469999999999998</v>
      </c>
      <c r="H117" s="30" t="str">
        <f>'Base Blend Property Calculation'!BK121</f>
        <v>Y</v>
      </c>
      <c r="I117" s="10">
        <f>'Base Blend Property Calculation'!BL121</f>
        <v>30</v>
      </c>
      <c r="J117" s="10">
        <f>'Base Blend Property Calculation'!BM121</f>
        <v>0</v>
      </c>
      <c r="K117" s="10">
        <f>'Base Blend Property Calculation'!BO121</f>
        <v>1000</v>
      </c>
    </row>
    <row r="118" spans="1:11" x14ac:dyDescent="0.25">
      <c r="A118" s="29" t="str">
        <f>'Base Blend Property Calculation'!A122</f>
        <v>THERMAmix LT</v>
      </c>
      <c r="B118" s="29" t="str">
        <f>'Base Blend Property Calculation'!B122</f>
        <v>THERMAmix LT</v>
      </c>
      <c r="C118" s="7">
        <f>'Base Blend Property Calculation'!BN122</f>
        <v>0</v>
      </c>
      <c r="D118" s="8">
        <f>'Base Blend Property Calculation'!BG122</f>
        <v>0.43005347060886301</v>
      </c>
      <c r="E118" s="8">
        <f>'Base Blend Property Calculation'!BH122</f>
        <v>0.77720297315699072</v>
      </c>
      <c r="F118" s="30">
        <f>'Base Blend Property Calculation'!BI121</f>
        <v>1675</v>
      </c>
      <c r="G118" s="8">
        <f>'Base Blend Property Calculation'!BJ122</f>
        <v>2.8806032924139453</v>
      </c>
      <c r="H118" s="30" t="str">
        <f>'Base Blend Property Calculation'!BK122</f>
        <v>N</v>
      </c>
      <c r="I118" s="10">
        <f>'Base Blend Property Calculation'!BL122</f>
        <v>30</v>
      </c>
      <c r="J118" s="10">
        <f>'Base Blend Property Calculation'!BM122</f>
        <v>0</v>
      </c>
      <c r="K118" s="10">
        <f>'Base Blend Property Calculation'!BO122</f>
        <v>1000</v>
      </c>
    </row>
    <row r="119" spans="1:11" x14ac:dyDescent="0.25">
      <c r="A119" s="29" t="str">
        <f>'Base Blend Property Calculation'!A123</f>
        <v>ThixLite HT (AB)</v>
      </c>
      <c r="B119" s="29" t="str">
        <f>'Base Blend Property Calculation'!B123</f>
        <v>ThixLite HT (AB)</v>
      </c>
      <c r="C119" s="7">
        <f>'Base Blend Property Calculation'!BN123</f>
        <v>0</v>
      </c>
      <c r="D119" s="8">
        <f>'Base Blend Property Calculation'!BG123</f>
        <v>0.86476456267792645</v>
      </c>
      <c r="E119" s="8">
        <f>'Base Blend Property Calculation'!BH123</f>
        <v>1.2431763751186176</v>
      </c>
      <c r="F119" s="30">
        <f>'Base Blend Property Calculation'!BI122</f>
        <v>1840</v>
      </c>
      <c r="G119" s="8">
        <f>'Base Blend Property Calculation'!BJ123</f>
        <v>2.6426236367997396</v>
      </c>
      <c r="H119" s="30" t="str">
        <f>'Base Blend Property Calculation'!BK123</f>
        <v>N</v>
      </c>
      <c r="I119" s="10">
        <f>'Base Blend Property Calculation'!BL123</f>
        <v>30</v>
      </c>
      <c r="J119" s="10">
        <f>'Base Blend Property Calculation'!BM123</f>
        <v>0</v>
      </c>
      <c r="K119" s="10">
        <f>'Base Blend Property Calculation'!BO123</f>
        <v>1000</v>
      </c>
    </row>
    <row r="120" spans="1:11" x14ac:dyDescent="0.25">
      <c r="A120" s="29" t="str">
        <f>'Base Blend Property Calculation'!A124</f>
        <v>ThixLite HT (SK)</v>
      </c>
      <c r="B120" s="29" t="str">
        <f>'Base Blend Property Calculation'!B124</f>
        <v>ThixLite HT (SK)</v>
      </c>
      <c r="C120" s="7">
        <f>'Base Blend Property Calculation'!BN124</f>
        <v>0</v>
      </c>
      <c r="D120" s="8">
        <f>'Base Blend Property Calculation'!BG124</f>
        <v>0.93878875590855027</v>
      </c>
      <c r="E120" s="8">
        <f>'Base Blend Property Calculation'!BH124</f>
        <v>1.2925258372723669</v>
      </c>
      <c r="F120" s="30">
        <f>'Base Blend Property Calculation'!BI123</f>
        <v>1500</v>
      </c>
      <c r="G120" s="8">
        <f>'Base Blend Property Calculation'!BJ124</f>
        <v>2.8269583616864455</v>
      </c>
      <c r="H120" s="30" t="str">
        <f>'Base Blend Property Calculation'!BK124</f>
        <v>N</v>
      </c>
      <c r="I120" s="10">
        <f>'Base Blend Property Calculation'!BL124</f>
        <v>36</v>
      </c>
      <c r="J120" s="10">
        <f>'Base Blend Property Calculation'!BM124</f>
        <v>0</v>
      </c>
      <c r="K120" s="10">
        <f>'Base Blend Property Calculation'!BO124</f>
        <v>1000</v>
      </c>
    </row>
    <row r="121" spans="1:11" x14ac:dyDescent="0.25">
      <c r="A121" s="29" t="str">
        <f>'Base Blend Property Calculation'!A125</f>
        <v>PRODUCTIONmix EC</v>
      </c>
      <c r="B121" s="29" t="str">
        <f>'Base Blend Property Calculation'!B125</f>
        <v>PRODUCTIONmix EC</v>
      </c>
      <c r="C121" s="7">
        <f>'Base Blend Property Calculation'!BN125</f>
        <v>0</v>
      </c>
      <c r="D121" s="8">
        <f>'Base Blend Property Calculation'!BG125</f>
        <v>0.58399999999999996</v>
      </c>
      <c r="E121" s="8">
        <f>'Base Blend Property Calculation'!BH125</f>
        <v>0.96599999999999997</v>
      </c>
      <c r="F121" s="30">
        <f>'Base Blend Property Calculation'!BI124</f>
        <v>1500</v>
      </c>
      <c r="G121" s="8">
        <f>'Base Blend Property Calculation'!BJ125</f>
        <v>2.6179999999999999</v>
      </c>
      <c r="H121" s="30" t="str">
        <f>'Base Blend Property Calculation'!BK125</f>
        <v>N</v>
      </c>
      <c r="I121" s="10">
        <f>'Base Blend Property Calculation'!BL125</f>
        <v>3</v>
      </c>
      <c r="J121" s="10">
        <f>'Base Blend Property Calculation'!BM125</f>
        <v>0</v>
      </c>
      <c r="K121" s="10">
        <f>'Base Blend Property Calculation'!BO125</f>
        <v>1000</v>
      </c>
    </row>
    <row r="122" spans="1:11" x14ac:dyDescent="0.25">
      <c r="A122" s="29" t="str">
        <f>'Base Blend Property Calculation'!A126</f>
        <v>PRODUCTIONmix EC (Sask)</v>
      </c>
      <c r="B122" s="29" t="str">
        <f>'Base Blend Property Calculation'!B126</f>
        <v>PRODUCTIONmix EC (SasK)</v>
      </c>
      <c r="C122" s="7">
        <f>'Base Blend Property Calculation'!BN126</f>
        <v>0</v>
      </c>
      <c r="D122" s="8">
        <f>'Base Blend Property Calculation'!BG126</f>
        <v>0.65500000000000003</v>
      </c>
      <c r="E122" s="8">
        <f>'Base Blend Property Calculation'!BH126</f>
        <v>1.0089999999999999</v>
      </c>
      <c r="F122" s="30">
        <f>'Base Blend Property Calculation'!BI125</f>
        <v>1640</v>
      </c>
      <c r="G122" s="8">
        <f>'Base Blend Property Calculation'!BJ126</f>
        <v>2.8250000000000002</v>
      </c>
      <c r="H122" s="30" t="str">
        <f>'Base Blend Property Calculation'!BK126</f>
        <v>N</v>
      </c>
      <c r="I122" s="10">
        <f>'Base Blend Property Calculation'!BL126</f>
        <v>3</v>
      </c>
      <c r="J122" s="10">
        <f>'Base Blend Property Calculation'!BM126</f>
        <v>0</v>
      </c>
      <c r="K122" s="10">
        <f>'Base Blend Property Calculation'!BO126</f>
        <v>1000</v>
      </c>
    </row>
    <row r="123" spans="1:11" x14ac:dyDescent="0.25">
      <c r="A123" s="29" t="str">
        <f>'Base Blend Property Calculation'!A127</f>
        <v>SUPERLITEmix 1100X</v>
      </c>
      <c r="B123" s="29" t="str">
        <f>'Base Blend Property Calculation'!B127</f>
        <v>SUPERLITEmix 1100X</v>
      </c>
      <c r="C123" s="7">
        <f>'Base Blend Property Calculation'!BN127</f>
        <v>0</v>
      </c>
      <c r="D123" s="8">
        <f>'Base Blend Property Calculation'!BG127</f>
        <v>0.79400000000000004</v>
      </c>
      <c r="E123" s="8">
        <f>'Base Blend Property Calculation'!BH127</f>
        <v>1.631</v>
      </c>
      <c r="F123" s="30">
        <f>'Base Blend Property Calculation'!BI126</f>
        <v>1640</v>
      </c>
      <c r="G123" s="8">
        <f>'Base Blend Property Calculation'!BJ127</f>
        <v>1.1950000000000001</v>
      </c>
      <c r="H123" s="30" t="str">
        <f>'Base Blend Property Calculation'!BK127</f>
        <v>N</v>
      </c>
      <c r="I123" s="10" t="str">
        <f>'Base Blend Property Calculation'!BL127</f>
        <v>?</v>
      </c>
      <c r="J123" s="10">
        <f>'Base Blend Property Calculation'!BM127</f>
        <v>0</v>
      </c>
      <c r="K123" s="10">
        <f>'Base Blend Property Calculation'!BO127</f>
        <v>1000</v>
      </c>
    </row>
    <row r="124" spans="1:11" x14ac:dyDescent="0.25">
      <c r="A124" s="29" t="str">
        <f>'Base Blend Property Calculation'!A128</f>
        <v>SUPERLITEmix PRO (CDM-4)</v>
      </c>
      <c r="B124" s="29" t="str">
        <f>'Base Blend Property Calculation'!B128</f>
        <v>SUPERLITEmix PRO (CDM-4)</v>
      </c>
      <c r="C124" s="7">
        <f>'Base Blend Property Calculation'!BN128</f>
        <v>0</v>
      </c>
      <c r="D124" s="8">
        <f>'Base Blend Property Calculation'!BG128</f>
        <v>0.81</v>
      </c>
      <c r="E124" s="8">
        <f>'Base Blend Property Calculation'!BH128</f>
        <v>1.5089999999999999</v>
      </c>
      <c r="F124" s="30">
        <f>'Base Blend Property Calculation'!BI127</f>
        <v>1100</v>
      </c>
      <c r="G124" s="8">
        <f>'Base Blend Property Calculation'!BJ128</f>
        <v>1.4634</v>
      </c>
      <c r="H124" s="30" t="str">
        <f>'Base Blend Property Calculation'!BK128</f>
        <v>N</v>
      </c>
      <c r="I124" s="10">
        <f>'Base Blend Property Calculation'!BL128</f>
        <v>42</v>
      </c>
      <c r="J124" s="10">
        <f>'Base Blend Property Calculation'!BM128</f>
        <v>0</v>
      </c>
      <c r="K124" s="10">
        <f>'Base Blend Property Calculation'!BO128</f>
        <v>1000</v>
      </c>
    </row>
    <row r="125" spans="1:11" x14ac:dyDescent="0.25">
      <c r="A125" s="29" t="str">
        <f>'Base Blend Property Calculation'!A129</f>
        <v>SUPERLITEmix 1160 (CDM-4)</v>
      </c>
      <c r="B125" s="29" t="str">
        <f>'Base Blend Property Calculation'!B129</f>
        <v>SUPERLITEmix 1160 (CDM-4)</v>
      </c>
      <c r="C125" s="7">
        <f>'Base Blend Property Calculation'!BN129</f>
        <v>0</v>
      </c>
      <c r="D125" s="8">
        <f>'Base Blend Property Calculation'!BG129</f>
        <v>1.363</v>
      </c>
      <c r="E125" s="8">
        <f>'Base Blend Property Calculation'!BH129</f>
        <v>2.0369999999999999</v>
      </c>
      <c r="F125" s="30">
        <f>'Base Blend Property Calculation'!BI128</f>
        <v>1200</v>
      </c>
      <c r="G125" s="8">
        <f>'Base Blend Property Calculation'!BJ129</f>
        <v>1.4637</v>
      </c>
      <c r="H125" s="30" t="str">
        <f>'Base Blend Property Calculation'!BK129</f>
        <v>N</v>
      </c>
      <c r="I125" s="10">
        <f>'Base Blend Property Calculation'!BL129</f>
        <v>42</v>
      </c>
      <c r="J125" s="10">
        <f>'Base Blend Property Calculation'!BM129</f>
        <v>0</v>
      </c>
      <c r="K125" s="10">
        <f>'Base Blend Property Calculation'!BO129</f>
        <v>1000</v>
      </c>
    </row>
    <row r="126" spans="1:11" x14ac:dyDescent="0.25">
      <c r="A126" s="29" t="str">
        <f>'Base Blend Property Calculation'!A130</f>
        <v>SUPERLITEmix PRO (CDM-2)</v>
      </c>
      <c r="B126" s="29" t="str">
        <f>'Base Blend Property Calculation'!B130</f>
        <v>SUPERLITEmix PRO (CDM-2)</v>
      </c>
      <c r="C126" s="7">
        <f>'Base Blend Property Calculation'!BN130</f>
        <v>0</v>
      </c>
      <c r="D126" s="8">
        <f>'Base Blend Property Calculation'!BG130</f>
        <v>0.78900000000000003</v>
      </c>
      <c r="E126" s="8">
        <f>'Base Blend Property Calculation'!BH130</f>
        <v>1.4910000000000001</v>
      </c>
      <c r="F126" s="30">
        <f>'Base Blend Property Calculation'!BI129</f>
        <v>1160</v>
      </c>
      <c r="G126" s="8">
        <f>'Base Blend Property Calculation'!BJ130</f>
        <v>1.425</v>
      </c>
      <c r="H126" s="30" t="str">
        <f>'Base Blend Property Calculation'!BK130</f>
        <v>N</v>
      </c>
      <c r="I126" s="10">
        <f>'Base Blend Property Calculation'!BL130</f>
        <v>42</v>
      </c>
      <c r="J126" s="10">
        <f>'Base Blend Property Calculation'!BM130</f>
        <v>0</v>
      </c>
      <c r="K126" s="10">
        <f>'Base Blend Property Calculation'!BO130</f>
        <v>1000</v>
      </c>
    </row>
    <row r="127" spans="1:11" x14ac:dyDescent="0.25">
      <c r="A127" s="29">
        <f>'Base Blend Property Calculation'!A131</f>
        <v>0</v>
      </c>
      <c r="B127" s="29">
        <f>'Base Blend Property Calculation'!B131</f>
        <v>0</v>
      </c>
      <c r="C127" s="7">
        <f>'Base Blend Property Calculation'!BN131</f>
        <v>0</v>
      </c>
      <c r="D127" s="8">
        <f>'Base Blend Property Calculation'!BG131</f>
        <v>0</v>
      </c>
      <c r="E127" s="8">
        <f>'Base Blend Property Calculation'!BH131</f>
        <v>0</v>
      </c>
      <c r="F127" s="30">
        <f>'Base Blend Property Calculation'!BI130</f>
        <v>1200</v>
      </c>
      <c r="G127" s="8">
        <f>'Base Blend Property Calculation'!BJ131</f>
        <v>0</v>
      </c>
      <c r="H127" s="30">
        <f>'Base Blend Property Calculation'!BK131</f>
        <v>0</v>
      </c>
      <c r="I127" s="10">
        <f>'Base Blend Property Calculation'!BL131</f>
        <v>0</v>
      </c>
      <c r="J127" s="10">
        <f>'Base Blend Property Calculation'!BM131</f>
        <v>0</v>
      </c>
      <c r="K127" s="10">
        <f>'Base Blend Property Calculation'!BO131</f>
        <v>0</v>
      </c>
    </row>
    <row r="128" spans="1:11" x14ac:dyDescent="0.25">
      <c r="A128" s="29">
        <f>'Base Blend Property Calculation'!A136</f>
        <v>0</v>
      </c>
      <c r="B128" s="29">
        <f>'Base Blend Property Calculation'!B136</f>
        <v>0</v>
      </c>
      <c r="C128" s="7">
        <f>'Base Blend Property Calculation'!BN136</f>
        <v>0</v>
      </c>
      <c r="D128" s="8">
        <f>'Base Blend Property Calculation'!BG136</f>
        <v>0</v>
      </c>
      <c r="E128" s="8">
        <f>'Base Blend Property Calculation'!BH136</f>
        <v>0</v>
      </c>
      <c r="F128" s="30">
        <f>'Base Blend Property Calculation'!BI135</f>
        <v>0</v>
      </c>
      <c r="G128" s="8">
        <f>'Base Blend Property Calculation'!BJ136</f>
        <v>0</v>
      </c>
      <c r="H128" s="30">
        <f>'Base Blend Property Calculation'!BK136</f>
        <v>0</v>
      </c>
      <c r="I128" s="10">
        <f>'Base Blend Property Calculation'!BL136</f>
        <v>0</v>
      </c>
      <c r="J128" s="10">
        <f>'Base Blend Property Calculation'!BM136</f>
        <v>0</v>
      </c>
      <c r="K128" s="10">
        <f>'Base Blend Property Calculation'!BO136</f>
        <v>0</v>
      </c>
    </row>
    <row r="129" spans="1:11" x14ac:dyDescent="0.25">
      <c r="A129" s="29">
        <f>'Base Blend Property Calculation'!A137</f>
        <v>0</v>
      </c>
      <c r="B129" s="29">
        <f>'Base Blend Property Calculation'!B137</f>
        <v>0</v>
      </c>
      <c r="C129" s="7">
        <f>'Base Blend Property Calculation'!BN137</f>
        <v>0</v>
      </c>
      <c r="D129" s="8">
        <f>'Base Blend Property Calculation'!BG137</f>
        <v>0</v>
      </c>
      <c r="E129" s="8">
        <f>'Base Blend Property Calculation'!BH137</f>
        <v>0</v>
      </c>
      <c r="F129" s="30">
        <f>'Base Blend Property Calculation'!BI136</f>
        <v>0</v>
      </c>
      <c r="G129" s="8">
        <f>'Base Blend Property Calculation'!BJ137</f>
        <v>0</v>
      </c>
      <c r="H129" s="30">
        <f>'Base Blend Property Calculation'!BK137</f>
        <v>0</v>
      </c>
      <c r="I129" s="10">
        <f>'Base Blend Property Calculation'!BL137</f>
        <v>0</v>
      </c>
      <c r="J129" s="10">
        <f>'Base Blend Property Calculation'!BM137</f>
        <v>0</v>
      </c>
      <c r="K129" s="10">
        <f>'Base Blend Property Calculation'!BO137</f>
        <v>0</v>
      </c>
    </row>
    <row r="130" spans="1:11" x14ac:dyDescent="0.25">
      <c r="A130" s="29">
        <f>'Base Blend Property Calculation'!A138</f>
        <v>0</v>
      </c>
      <c r="B130" s="29">
        <f>'Base Blend Property Calculation'!B138</f>
        <v>0</v>
      </c>
      <c r="C130" s="7">
        <f>'Base Blend Property Calculation'!BN138</f>
        <v>0</v>
      </c>
      <c r="D130" s="8">
        <f>'Base Blend Property Calculation'!BG138</f>
        <v>0</v>
      </c>
      <c r="E130" s="8">
        <f>'Base Blend Property Calculation'!BH138</f>
        <v>0</v>
      </c>
      <c r="F130" s="30">
        <f>'Base Blend Property Calculation'!BI137</f>
        <v>0</v>
      </c>
      <c r="G130" s="8">
        <f>'Base Blend Property Calculation'!BJ138</f>
        <v>0</v>
      </c>
      <c r="H130" s="30">
        <f>'Base Blend Property Calculation'!BK138</f>
        <v>0</v>
      </c>
      <c r="I130" s="10">
        <f>'Base Blend Property Calculation'!BL138</f>
        <v>0</v>
      </c>
      <c r="J130" s="10">
        <f>'Base Blend Property Calculation'!BM138</f>
        <v>0</v>
      </c>
      <c r="K130" s="10">
        <f>'Base Blend Property Calculation'!BO138</f>
        <v>0</v>
      </c>
    </row>
    <row r="131" spans="1:11" x14ac:dyDescent="0.25">
      <c r="A131" s="29">
        <f>'Base Blend Property Calculation'!A139</f>
        <v>0</v>
      </c>
      <c r="B131" s="29">
        <f>'Base Blend Property Calculation'!B139</f>
        <v>0</v>
      </c>
      <c r="C131" s="7">
        <f>'Base Blend Property Calculation'!BN139</f>
        <v>0</v>
      </c>
      <c r="D131" s="8">
        <f>'Base Blend Property Calculation'!BG139</f>
        <v>0</v>
      </c>
      <c r="E131" s="8">
        <f>'Base Blend Property Calculation'!BH139</f>
        <v>0</v>
      </c>
      <c r="F131" s="30">
        <f>'Base Blend Property Calculation'!BI138</f>
        <v>0</v>
      </c>
      <c r="G131" s="8">
        <f>'Base Blend Property Calculation'!BJ139</f>
        <v>0</v>
      </c>
      <c r="H131" s="30">
        <f>'Base Blend Property Calculation'!BK139</f>
        <v>0</v>
      </c>
      <c r="I131" s="10">
        <f>'Base Blend Property Calculation'!BL139</f>
        <v>0</v>
      </c>
      <c r="J131" s="10">
        <f>'Base Blend Property Calculation'!BM139</f>
        <v>0</v>
      </c>
      <c r="K131" s="10">
        <f>'Base Blend Property Calculation'!BO139</f>
        <v>0</v>
      </c>
    </row>
    <row r="132" spans="1:11" x14ac:dyDescent="0.25">
      <c r="A132" s="29">
        <f>'Base Blend Property Calculation'!A140</f>
        <v>0</v>
      </c>
      <c r="B132" s="29">
        <f>'Base Blend Property Calculation'!B140</f>
        <v>0</v>
      </c>
      <c r="C132" s="7">
        <f>'Base Blend Property Calculation'!BN140</f>
        <v>0</v>
      </c>
      <c r="D132" s="8">
        <f>'Base Blend Property Calculation'!BG140</f>
        <v>0</v>
      </c>
      <c r="E132" s="8">
        <f>'Base Blend Property Calculation'!BH140</f>
        <v>0</v>
      </c>
      <c r="F132" s="30">
        <f>'Base Blend Property Calculation'!BI139</f>
        <v>0</v>
      </c>
      <c r="G132" s="8">
        <f>'Base Blend Property Calculation'!BJ140</f>
        <v>0</v>
      </c>
      <c r="H132" s="30">
        <f>'Base Blend Property Calculation'!BK140</f>
        <v>0</v>
      </c>
      <c r="I132" s="10">
        <f>'Base Blend Property Calculation'!BL140</f>
        <v>0</v>
      </c>
      <c r="J132" s="10">
        <f>'Base Blend Property Calculation'!BM140</f>
        <v>0</v>
      </c>
      <c r="K132" s="10">
        <f>'Base Blend Property Calculation'!BO140</f>
        <v>0</v>
      </c>
    </row>
    <row r="133" spans="1:11" x14ac:dyDescent="0.25">
      <c r="A133" s="29">
        <f>'Base Blend Property Calculation'!A141</f>
        <v>0</v>
      </c>
      <c r="B133" s="29">
        <f>'Base Blend Property Calculation'!B141</f>
        <v>0</v>
      </c>
      <c r="C133" s="7">
        <f>'Base Blend Property Calculation'!BN141</f>
        <v>0</v>
      </c>
      <c r="D133" s="8">
        <f>'Base Blend Property Calculation'!BG141</f>
        <v>0</v>
      </c>
      <c r="E133" s="8">
        <f>'Base Blend Property Calculation'!BH141</f>
        <v>0</v>
      </c>
      <c r="F133" s="30">
        <f>'Base Blend Property Calculation'!BI140</f>
        <v>0</v>
      </c>
      <c r="G133" s="8">
        <f>'Base Blend Property Calculation'!BJ141</f>
        <v>0</v>
      </c>
      <c r="H133" s="30">
        <f>'Base Blend Property Calculation'!BK141</f>
        <v>0</v>
      </c>
      <c r="I133" s="10">
        <f>'Base Blend Property Calculation'!BL141</f>
        <v>0</v>
      </c>
      <c r="J133" s="10">
        <f>'Base Blend Property Calculation'!BM141</f>
        <v>0</v>
      </c>
      <c r="K133" s="10">
        <f>'Base Blend Property Calculation'!BO141</f>
        <v>0</v>
      </c>
    </row>
    <row r="134" spans="1:11" x14ac:dyDescent="0.25">
      <c r="A134" s="29">
        <f>'Base Blend Property Calculation'!A142</f>
        <v>0</v>
      </c>
      <c r="B134" s="29">
        <f>'Base Blend Property Calculation'!B142</f>
        <v>0</v>
      </c>
      <c r="C134" s="7">
        <f>'Base Blend Property Calculation'!BN142</f>
        <v>0</v>
      </c>
      <c r="D134" s="8">
        <f>'Base Blend Property Calculation'!BG142</f>
        <v>0</v>
      </c>
      <c r="E134" s="8">
        <f>'Base Blend Property Calculation'!BH142</f>
        <v>0</v>
      </c>
      <c r="F134" s="30">
        <f>'Base Blend Property Calculation'!BI141</f>
        <v>0</v>
      </c>
      <c r="G134" s="8">
        <f>'Base Blend Property Calculation'!BJ142</f>
        <v>0</v>
      </c>
      <c r="H134" s="30">
        <f>'Base Blend Property Calculation'!BK142</f>
        <v>0</v>
      </c>
      <c r="I134" s="10">
        <f>'Base Blend Property Calculation'!BL142</f>
        <v>0</v>
      </c>
      <c r="J134" s="10">
        <f>'Base Blend Property Calculation'!BM142</f>
        <v>0</v>
      </c>
      <c r="K134" s="10">
        <f>'Base Blend Property Calculation'!BO142</f>
        <v>0</v>
      </c>
    </row>
    <row r="135" spans="1:11" x14ac:dyDescent="0.25">
      <c r="A135" s="29">
        <f>'Base Blend Property Calculation'!A143</f>
        <v>0</v>
      </c>
      <c r="B135" s="29">
        <f>'Base Blend Property Calculation'!B143</f>
        <v>0</v>
      </c>
      <c r="C135" s="7">
        <f>'Base Blend Property Calculation'!BN143</f>
        <v>0</v>
      </c>
      <c r="D135" s="8">
        <f>'Base Blend Property Calculation'!BG143</f>
        <v>0</v>
      </c>
      <c r="E135" s="8">
        <f>'Base Blend Property Calculation'!BH143</f>
        <v>0</v>
      </c>
      <c r="F135" s="30">
        <f>'Base Blend Property Calculation'!BI142</f>
        <v>0</v>
      </c>
      <c r="G135" s="8">
        <f>'Base Blend Property Calculation'!BJ143</f>
        <v>0</v>
      </c>
      <c r="H135" s="30">
        <f>'Base Blend Property Calculation'!BK143</f>
        <v>0</v>
      </c>
      <c r="I135" s="10">
        <f>'Base Blend Property Calculation'!BL143</f>
        <v>0</v>
      </c>
      <c r="J135" s="10">
        <f>'Base Blend Property Calculation'!BM143</f>
        <v>0</v>
      </c>
      <c r="K135" s="10">
        <f>'Base Blend Property Calculation'!BO143</f>
        <v>0</v>
      </c>
    </row>
    <row r="136" spans="1:11" x14ac:dyDescent="0.25">
      <c r="A136" s="29">
        <f>'Base Blend Property Calculation'!A144</f>
        <v>0</v>
      </c>
      <c r="B136" s="29">
        <f>'Base Blend Property Calculation'!B144</f>
        <v>0</v>
      </c>
      <c r="C136" s="7">
        <f>'Base Blend Property Calculation'!BN144</f>
        <v>0</v>
      </c>
      <c r="D136" s="8">
        <f>'Base Blend Property Calculation'!BG144</f>
        <v>0</v>
      </c>
      <c r="E136" s="8">
        <f>'Base Blend Property Calculation'!BH144</f>
        <v>0</v>
      </c>
      <c r="F136" s="30">
        <f>'Base Blend Property Calculation'!BI143</f>
        <v>0</v>
      </c>
      <c r="G136" s="8">
        <f>'Base Blend Property Calculation'!BJ144</f>
        <v>0</v>
      </c>
      <c r="H136" s="30">
        <f>'Base Blend Property Calculation'!BK144</f>
        <v>0</v>
      </c>
      <c r="I136" s="10">
        <f>'Base Blend Property Calculation'!BL144</f>
        <v>0</v>
      </c>
      <c r="J136" s="10">
        <f>'Base Blend Property Calculation'!BM144</f>
        <v>0</v>
      </c>
      <c r="K136" s="10">
        <f>'Base Blend Property Calculation'!BO144</f>
        <v>0</v>
      </c>
    </row>
    <row r="137" spans="1:11" x14ac:dyDescent="0.25">
      <c r="A137" s="29">
        <f>'Base Blend Property Calculation'!A145</f>
        <v>0</v>
      </c>
      <c r="B137" s="29">
        <f>'Base Blend Property Calculation'!B145</f>
        <v>0</v>
      </c>
      <c r="C137" s="7">
        <f>'Base Blend Property Calculation'!BN145</f>
        <v>0</v>
      </c>
      <c r="D137" s="8">
        <f>'Base Blend Property Calculation'!BG145</f>
        <v>0</v>
      </c>
      <c r="E137" s="8">
        <f>'Base Blend Property Calculation'!BH145</f>
        <v>0</v>
      </c>
      <c r="F137" s="30">
        <f>'Base Blend Property Calculation'!BI144</f>
        <v>0</v>
      </c>
      <c r="G137" s="8">
        <f>'Base Blend Property Calculation'!BJ145</f>
        <v>0</v>
      </c>
      <c r="H137" s="30">
        <f>'Base Blend Property Calculation'!BK145</f>
        <v>0</v>
      </c>
      <c r="I137" s="10">
        <f>'Base Blend Property Calculation'!BL145</f>
        <v>0</v>
      </c>
      <c r="J137" s="10">
        <f>'Base Blend Property Calculation'!BM145</f>
        <v>0</v>
      </c>
      <c r="K137" s="10">
        <f>'Base Blend Property Calculation'!BO145</f>
        <v>0</v>
      </c>
    </row>
    <row r="138" spans="1:11" x14ac:dyDescent="0.25">
      <c r="A138" s="29">
        <f>'Base Blend Property Calculation'!A146</f>
        <v>0</v>
      </c>
      <c r="B138" s="29">
        <f>'Base Blend Property Calculation'!B146</f>
        <v>0</v>
      </c>
      <c r="C138" s="7">
        <f>'Base Blend Property Calculation'!BN146</f>
        <v>0</v>
      </c>
      <c r="D138" s="8">
        <f>'Base Blend Property Calculation'!BG146</f>
        <v>0</v>
      </c>
      <c r="E138" s="8">
        <f>'Base Blend Property Calculation'!BH146</f>
        <v>0</v>
      </c>
      <c r="F138" s="30">
        <f>'Base Blend Property Calculation'!BI145</f>
        <v>0</v>
      </c>
      <c r="G138" s="8">
        <f>'Base Blend Property Calculation'!BJ146</f>
        <v>0</v>
      </c>
      <c r="H138" s="30">
        <f>'Base Blend Property Calculation'!BK146</f>
        <v>0</v>
      </c>
      <c r="I138" s="10">
        <f>'Base Blend Property Calculation'!BL146</f>
        <v>0</v>
      </c>
      <c r="J138" s="10">
        <f>'Base Blend Property Calculation'!BM146</f>
        <v>0</v>
      </c>
      <c r="K138" s="10">
        <f>'Base Blend Property Calculation'!BO146</f>
        <v>0</v>
      </c>
    </row>
    <row r="139" spans="1:11" x14ac:dyDescent="0.25">
      <c r="A139" s="29">
        <f>'Base Blend Property Calculation'!A147</f>
        <v>0</v>
      </c>
      <c r="B139" s="29">
        <f>'Base Blend Property Calculation'!B147</f>
        <v>0</v>
      </c>
      <c r="C139" s="7">
        <f>'Base Blend Property Calculation'!BN147</f>
        <v>0</v>
      </c>
      <c r="D139" s="8">
        <f>'Base Blend Property Calculation'!BG147</f>
        <v>0</v>
      </c>
      <c r="E139" s="8">
        <f>'Base Blend Property Calculation'!BH147</f>
        <v>0</v>
      </c>
      <c r="F139" s="30">
        <f>'Base Blend Property Calculation'!BI146</f>
        <v>0</v>
      </c>
      <c r="G139" s="8">
        <f>'Base Blend Property Calculation'!BJ147</f>
        <v>0</v>
      </c>
      <c r="H139" s="30">
        <f>'Base Blend Property Calculation'!BK147</f>
        <v>0</v>
      </c>
      <c r="I139" s="10">
        <f>'Base Blend Property Calculation'!BL147</f>
        <v>0</v>
      </c>
      <c r="J139" s="10">
        <f>'Base Blend Property Calculation'!BM147</f>
        <v>0</v>
      </c>
      <c r="K139" s="10">
        <f>'Base Blend Property Calculation'!BO147</f>
        <v>0</v>
      </c>
    </row>
    <row r="140" spans="1:11" x14ac:dyDescent="0.25">
      <c r="A140" s="29">
        <f>'Base Blend Property Calculation'!A148</f>
        <v>0</v>
      </c>
      <c r="B140" s="29">
        <f>'Base Blend Property Calculation'!B148</f>
        <v>0</v>
      </c>
      <c r="C140" s="7">
        <f>'Base Blend Property Calculation'!BN148</f>
        <v>0</v>
      </c>
      <c r="D140" s="8">
        <f>'Base Blend Property Calculation'!BG148</f>
        <v>0</v>
      </c>
      <c r="E140" s="8">
        <f>'Base Blend Property Calculation'!BH148</f>
        <v>0</v>
      </c>
      <c r="F140" s="30">
        <f>'Base Blend Property Calculation'!BI147</f>
        <v>0</v>
      </c>
      <c r="G140" s="8">
        <f>'Base Blend Property Calculation'!BJ148</f>
        <v>0</v>
      </c>
      <c r="H140" s="30">
        <f>'Base Blend Property Calculation'!BK148</f>
        <v>0</v>
      </c>
      <c r="I140" s="10">
        <f>'Base Blend Property Calculation'!BL148</f>
        <v>0</v>
      </c>
      <c r="J140" s="10">
        <f>'Base Blend Property Calculation'!BM148</f>
        <v>0</v>
      </c>
      <c r="K140" s="10">
        <f>'Base Blend Property Calculation'!BO148</f>
        <v>0</v>
      </c>
    </row>
    <row r="141" spans="1:11" x14ac:dyDescent="0.25">
      <c r="A141" s="29">
        <f>'Base Blend Property Calculation'!A149</f>
        <v>0</v>
      </c>
      <c r="B141" s="29">
        <f>'Base Blend Property Calculation'!B149</f>
        <v>0</v>
      </c>
      <c r="C141" s="7">
        <f>'Base Blend Property Calculation'!BN149</f>
        <v>0</v>
      </c>
      <c r="D141" s="8">
        <f>'Base Blend Property Calculation'!BG149</f>
        <v>0</v>
      </c>
      <c r="E141" s="8">
        <f>'Base Blend Property Calculation'!BH149</f>
        <v>0</v>
      </c>
      <c r="F141" s="30">
        <f>'Base Blend Property Calculation'!BI148</f>
        <v>0</v>
      </c>
      <c r="G141" s="8">
        <f>'Base Blend Property Calculation'!BJ149</f>
        <v>0</v>
      </c>
      <c r="H141" s="30">
        <f>'Base Blend Property Calculation'!BK149</f>
        <v>0</v>
      </c>
      <c r="I141" s="10">
        <f>'Base Blend Property Calculation'!BL149</f>
        <v>0</v>
      </c>
      <c r="J141" s="10">
        <f>'Base Blend Property Calculation'!BM149</f>
        <v>0</v>
      </c>
      <c r="K141" s="10">
        <f>'Base Blend Property Calculation'!BO149</f>
        <v>0</v>
      </c>
    </row>
    <row r="142" spans="1:11" x14ac:dyDescent="0.25">
      <c r="A142" s="29">
        <f>'Base Blend Property Calculation'!A150</f>
        <v>0</v>
      </c>
      <c r="B142" s="29">
        <f>'Base Blend Property Calculation'!B150</f>
        <v>0</v>
      </c>
      <c r="C142" s="7">
        <f>'Base Blend Property Calculation'!BN150</f>
        <v>0</v>
      </c>
      <c r="D142" s="8">
        <f>'Base Blend Property Calculation'!BG150</f>
        <v>0</v>
      </c>
      <c r="E142" s="8">
        <f>'Base Blend Property Calculation'!BH150</f>
        <v>0</v>
      </c>
      <c r="F142" s="30">
        <f>'Base Blend Property Calculation'!BI149</f>
        <v>0</v>
      </c>
      <c r="G142" s="8">
        <f>'Base Blend Property Calculation'!BJ150</f>
        <v>0</v>
      </c>
      <c r="H142" s="30">
        <f>'Base Blend Property Calculation'!BK150</f>
        <v>0</v>
      </c>
      <c r="I142" s="10">
        <f>'Base Blend Property Calculation'!BL150</f>
        <v>0</v>
      </c>
      <c r="J142" s="10">
        <f>'Base Blend Property Calculation'!BM150</f>
        <v>0</v>
      </c>
      <c r="K142" s="10">
        <f>'Base Blend Property Calculation'!BO150</f>
        <v>0</v>
      </c>
    </row>
    <row r="143" spans="1:11" x14ac:dyDescent="0.25">
      <c r="A143" s="29">
        <f>'Base Blend Property Calculation'!A151</f>
        <v>0</v>
      </c>
      <c r="B143" s="29">
        <f>'Base Blend Property Calculation'!B151</f>
        <v>0</v>
      </c>
      <c r="C143" s="7">
        <f>'Base Blend Property Calculation'!BN151</f>
        <v>0</v>
      </c>
      <c r="D143" s="8">
        <f>'Base Blend Property Calculation'!BG151</f>
        <v>0</v>
      </c>
      <c r="E143" s="8">
        <f>'Base Blend Property Calculation'!BH151</f>
        <v>0</v>
      </c>
      <c r="F143" s="30">
        <f>'Base Blend Property Calculation'!BI150</f>
        <v>0</v>
      </c>
      <c r="G143" s="8">
        <f>'Base Blend Property Calculation'!BJ151</f>
        <v>0</v>
      </c>
      <c r="H143" s="30">
        <f>'Base Blend Property Calculation'!BK151</f>
        <v>0</v>
      </c>
      <c r="I143" s="10">
        <f>'Base Blend Property Calculation'!BL151</f>
        <v>0</v>
      </c>
      <c r="J143" s="10">
        <f>'Base Blend Property Calculation'!BM151</f>
        <v>0</v>
      </c>
      <c r="K143" s="10">
        <f>'Base Blend Property Calculation'!BO151</f>
        <v>0</v>
      </c>
    </row>
    <row r="144" spans="1:11" x14ac:dyDescent="0.25">
      <c r="A144" s="29">
        <f>'Base Blend Property Calculation'!A152</f>
        <v>0</v>
      </c>
      <c r="B144" s="29">
        <f>'Base Blend Property Calculation'!B152</f>
        <v>0</v>
      </c>
      <c r="C144" s="7">
        <f>'Base Blend Property Calculation'!BN152</f>
        <v>0</v>
      </c>
      <c r="D144" s="8">
        <f>'Base Blend Property Calculation'!BG152</f>
        <v>0</v>
      </c>
      <c r="E144" s="8">
        <f>'Base Blend Property Calculation'!BH152</f>
        <v>0</v>
      </c>
      <c r="F144" s="30">
        <f>'Base Blend Property Calculation'!BI151</f>
        <v>0</v>
      </c>
      <c r="G144" s="8">
        <f>'Base Blend Property Calculation'!BJ152</f>
        <v>0</v>
      </c>
      <c r="H144" s="30">
        <f>'Base Blend Property Calculation'!BK152</f>
        <v>0</v>
      </c>
      <c r="I144" s="10">
        <f>'Base Blend Property Calculation'!BL152</f>
        <v>0</v>
      </c>
      <c r="J144" s="10">
        <f>'Base Blend Property Calculation'!BM152</f>
        <v>0</v>
      </c>
      <c r="K144" s="10">
        <f>'Base Blend Property Calculation'!BO152</f>
        <v>0</v>
      </c>
    </row>
    <row r="145" spans="1:11" x14ac:dyDescent="0.25">
      <c r="A145" s="29">
        <f>'Base Blend Property Calculation'!A153</f>
        <v>0</v>
      </c>
      <c r="B145" s="29">
        <f>'Base Blend Property Calculation'!B153</f>
        <v>0</v>
      </c>
      <c r="C145" s="7">
        <f>'Base Blend Property Calculation'!BN153</f>
        <v>0</v>
      </c>
      <c r="D145" s="8">
        <f>'Base Blend Property Calculation'!BG153</f>
        <v>0</v>
      </c>
      <c r="E145" s="8">
        <f>'Base Blend Property Calculation'!BH153</f>
        <v>0</v>
      </c>
      <c r="F145" s="30">
        <f>'Base Blend Property Calculation'!BI152</f>
        <v>0</v>
      </c>
      <c r="G145" s="8">
        <f>'Base Blend Property Calculation'!BJ153</f>
        <v>0</v>
      </c>
      <c r="H145" s="30">
        <f>'Base Blend Property Calculation'!BK153</f>
        <v>0</v>
      </c>
      <c r="I145" s="10">
        <f>'Base Blend Property Calculation'!BL153</f>
        <v>0</v>
      </c>
      <c r="J145" s="10">
        <f>'Base Blend Property Calculation'!BM153</f>
        <v>0</v>
      </c>
      <c r="K145" s="10">
        <f>'Base Blend Property Calculation'!BO153</f>
        <v>0</v>
      </c>
    </row>
    <row r="146" spans="1:11" x14ac:dyDescent="0.25">
      <c r="A146" s="29">
        <f>'Base Blend Property Calculation'!A154</f>
        <v>0</v>
      </c>
      <c r="B146" s="29">
        <f>'Base Blend Property Calculation'!B154</f>
        <v>0</v>
      </c>
      <c r="C146" s="7">
        <f>'Base Blend Property Calculation'!BN154</f>
        <v>0</v>
      </c>
      <c r="D146" s="8">
        <f>'Base Blend Property Calculation'!BG154</f>
        <v>0</v>
      </c>
      <c r="E146" s="8">
        <f>'Base Blend Property Calculation'!BH154</f>
        <v>0</v>
      </c>
      <c r="F146" s="30">
        <f>'Base Blend Property Calculation'!BI153</f>
        <v>0</v>
      </c>
      <c r="G146" s="8">
        <f>'Base Blend Property Calculation'!BJ154</f>
        <v>0</v>
      </c>
      <c r="H146" s="30">
        <f>'Base Blend Property Calculation'!BK154</f>
        <v>0</v>
      </c>
      <c r="I146" s="10">
        <f>'Base Blend Property Calculation'!BL154</f>
        <v>0</v>
      </c>
      <c r="J146" s="10">
        <f>'Base Blend Property Calculation'!BM154</f>
        <v>0</v>
      </c>
      <c r="K146" s="10">
        <f>'Base Blend Property Calculation'!BO154</f>
        <v>0</v>
      </c>
    </row>
    <row r="147" spans="1:11" x14ac:dyDescent="0.25">
      <c r="A147" s="29">
        <f>'Base Blend Property Calculation'!A155</f>
        <v>0</v>
      </c>
      <c r="B147" s="29">
        <f>'Base Blend Property Calculation'!B155</f>
        <v>0</v>
      </c>
      <c r="C147" s="7">
        <f>'Base Blend Property Calculation'!BN155</f>
        <v>0</v>
      </c>
      <c r="D147" s="8">
        <f>'Base Blend Property Calculation'!BG155</f>
        <v>0</v>
      </c>
      <c r="E147" s="8">
        <f>'Base Blend Property Calculation'!BH155</f>
        <v>0</v>
      </c>
      <c r="F147" s="30">
        <f>'Base Blend Property Calculation'!BI154</f>
        <v>0</v>
      </c>
      <c r="G147" s="8">
        <f>'Base Blend Property Calculation'!BJ155</f>
        <v>0</v>
      </c>
      <c r="H147" s="30">
        <f>'Base Blend Property Calculation'!BK155</f>
        <v>0</v>
      </c>
      <c r="I147" s="10">
        <f>'Base Blend Property Calculation'!BL155</f>
        <v>0</v>
      </c>
      <c r="J147" s="10">
        <f>'Base Blend Property Calculation'!BM155</f>
        <v>0</v>
      </c>
      <c r="K147" s="10">
        <f>'Base Blend Property Calculation'!BO155</f>
        <v>0</v>
      </c>
    </row>
    <row r="148" spans="1:11" x14ac:dyDescent="0.25">
      <c r="A148" s="29">
        <f>'Base Blend Property Calculation'!A156</f>
        <v>0</v>
      </c>
      <c r="B148" s="29">
        <f>'Base Blend Property Calculation'!B156</f>
        <v>0</v>
      </c>
      <c r="C148" s="7">
        <f>'Base Blend Property Calculation'!BN156</f>
        <v>0</v>
      </c>
      <c r="D148" s="8">
        <f>'Base Blend Property Calculation'!BG156</f>
        <v>0</v>
      </c>
      <c r="E148" s="8">
        <f>'Base Blend Property Calculation'!BH156</f>
        <v>0</v>
      </c>
      <c r="F148" s="30">
        <f>'Base Blend Property Calculation'!BI155</f>
        <v>0</v>
      </c>
      <c r="G148" s="8">
        <f>'Base Blend Property Calculation'!BJ156</f>
        <v>0</v>
      </c>
      <c r="H148" s="30">
        <f>'Base Blend Property Calculation'!BK156</f>
        <v>0</v>
      </c>
      <c r="I148" s="10">
        <f>'Base Blend Property Calculation'!BL156</f>
        <v>0</v>
      </c>
      <c r="J148" s="10">
        <f>'Base Blend Property Calculation'!BM156</f>
        <v>0</v>
      </c>
      <c r="K148" s="10">
        <f>'Base Blend Property Calculation'!BO156</f>
        <v>0</v>
      </c>
    </row>
    <row r="149" spans="1:11" x14ac:dyDescent="0.25">
      <c r="A149" s="29">
        <f>'Base Blend Property Calculation'!A157</f>
        <v>0</v>
      </c>
      <c r="B149" s="29">
        <f>'Base Blend Property Calculation'!B157</f>
        <v>0</v>
      </c>
      <c r="C149" s="7">
        <f>'Base Blend Property Calculation'!BN157</f>
        <v>0</v>
      </c>
      <c r="D149" s="8">
        <f>'Base Blend Property Calculation'!BG157</f>
        <v>0</v>
      </c>
      <c r="E149" s="8">
        <f>'Base Blend Property Calculation'!BH157</f>
        <v>0</v>
      </c>
      <c r="F149" s="30">
        <f>'Base Blend Property Calculation'!BI156</f>
        <v>0</v>
      </c>
      <c r="G149" s="8">
        <f>'Base Blend Property Calculation'!BJ157</f>
        <v>0</v>
      </c>
      <c r="H149" s="30">
        <f>'Base Blend Property Calculation'!BK157</f>
        <v>0</v>
      </c>
      <c r="I149" s="10">
        <f>'Base Blend Property Calculation'!BL157</f>
        <v>0</v>
      </c>
      <c r="J149" s="10">
        <f>'Base Blend Property Calculation'!BM157</f>
        <v>0</v>
      </c>
      <c r="K149" s="10">
        <f>'Base Blend Property Calculation'!BO157</f>
        <v>0</v>
      </c>
    </row>
    <row r="150" spans="1:11" x14ac:dyDescent="0.25">
      <c r="A150" s="29">
        <f>'Base Blend Property Calculation'!A158</f>
        <v>0</v>
      </c>
      <c r="B150" s="29">
        <f>'Base Blend Property Calculation'!B158</f>
        <v>0</v>
      </c>
      <c r="C150" s="7">
        <f>'Base Blend Property Calculation'!BN158</f>
        <v>0</v>
      </c>
      <c r="D150" s="8">
        <f>'Base Blend Property Calculation'!BG158</f>
        <v>0</v>
      </c>
      <c r="E150" s="8">
        <f>'Base Blend Property Calculation'!BH158</f>
        <v>0</v>
      </c>
      <c r="F150" s="30">
        <f>'Base Blend Property Calculation'!BI157</f>
        <v>0</v>
      </c>
      <c r="G150" s="8">
        <f>'Base Blend Property Calculation'!BJ158</f>
        <v>0</v>
      </c>
      <c r="H150" s="30">
        <f>'Base Blend Property Calculation'!BK158</f>
        <v>0</v>
      </c>
      <c r="I150" s="10">
        <f>'Base Blend Property Calculation'!BL158</f>
        <v>0</v>
      </c>
      <c r="J150" s="10">
        <f>'Base Blend Property Calculation'!BM158</f>
        <v>0</v>
      </c>
      <c r="K150" s="10">
        <f>'Base Blend Property Calculation'!BO158</f>
        <v>0</v>
      </c>
    </row>
    <row r="151" spans="1:11" x14ac:dyDescent="0.25">
      <c r="A151" s="29" t="str">
        <f>'Base Blend Property Calculation'!A159</f>
        <v>PROJECT</v>
      </c>
      <c r="B151" s="29" t="str">
        <f>'Base Blend Property Calculation'!B159</f>
        <v>PROJECT</v>
      </c>
      <c r="C151" s="7">
        <f>'Base Blend Property Calculation'!BN159</f>
        <v>0</v>
      </c>
      <c r="D151" s="8" t="e">
        <f>'Base Blend Property Calculation'!BG159</f>
        <v>#REF!</v>
      </c>
      <c r="E151" s="8" t="e">
        <f>'Base Blend Property Calculation'!BH159</f>
        <v>#REF!</v>
      </c>
      <c r="F151" s="30">
        <f>'Base Blend Property Calculation'!BI158</f>
        <v>0</v>
      </c>
      <c r="G151" s="8" t="e">
        <f>'Base Blend Property Calculation'!BJ159</f>
        <v>#REF!</v>
      </c>
      <c r="H151" s="30">
        <f>'Base Blend Property Calculation'!BK159</f>
        <v>0</v>
      </c>
      <c r="I151" s="10">
        <f>'Base Blend Property Calculation'!BL159</f>
        <v>0</v>
      </c>
      <c r="J151" s="10">
        <f>'Base Blend Property Calculation'!BM159</f>
        <v>0</v>
      </c>
      <c r="K151" s="10" t="e">
        <f>'Base Blend Property Calculation'!BO159</f>
        <v>#REF!</v>
      </c>
    </row>
  </sheetData>
  <mergeCells count="2">
    <mergeCell ref="A2:K2"/>
    <mergeCell ref="A1:K1"/>
  </mergeCells>
  <conditionalFormatting sqref="L1:XFD1 A1 A2:XFD1048576">
    <cfRule type="cellIs" dxfId="42" priority="1" operator="equal">
      <formula>0</formula>
    </cfRule>
  </conditionalFormatting>
  <pageMargins left="0.7" right="0.7" top="0.75" bottom="0.75" header="0.3" footer="0.3"/>
  <pageSetup orientation="portrait" r:id="rId1"/>
  <headerFooter>
    <oddFooter>&amp;L&amp;F
Sheet Printed: &amp;T &amp;D
PRIVATE AND CONFIDENTIAL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V159"/>
  <sheetViews>
    <sheetView tabSelected="1" topLeftCell="A4" workbookViewId="0">
      <pane xSplit="2" ySplit="3" topLeftCell="C7" activePane="bottomRight" state="frozen"/>
      <selection activeCell="B79" sqref="B79:C79"/>
      <selection pane="topRight" activeCell="B79" sqref="B79:C79"/>
      <selection pane="bottomLeft" activeCell="B79" sqref="B79:C79"/>
      <selection pane="bottomRight" activeCell="B15" sqref="B15"/>
    </sheetView>
  </sheetViews>
  <sheetFormatPr defaultRowHeight="15.75" x14ac:dyDescent="0.25"/>
  <cols>
    <col min="1" max="1" width="46.85546875" style="12" bestFit="1" customWidth="1"/>
    <col min="2" max="2" width="46.85546875" style="11" bestFit="1" customWidth="1"/>
    <col min="3" max="9" width="9.140625" style="11" customWidth="1"/>
    <col min="10" max="10" width="9.5703125" style="11" customWidth="1"/>
    <col min="11" max="11" width="9.5703125" style="242" customWidth="1"/>
    <col min="12" max="12" width="12.28515625" style="11" customWidth="1"/>
    <col min="13" max="27" width="9.140625" style="11" customWidth="1"/>
    <col min="28" max="28" width="8.28515625" style="11" customWidth="1"/>
    <col min="29" max="36" width="9.140625" style="11" customWidth="1"/>
    <col min="37" max="37" width="14.5703125" style="11" customWidth="1"/>
    <col min="38" max="38" width="9.7109375" style="11" customWidth="1"/>
    <col min="39" max="39" width="14.42578125" style="11" customWidth="1"/>
    <col min="40" max="58" width="9.140625" style="11" customWidth="1"/>
    <col min="59" max="67" width="10.7109375" style="11" customWidth="1"/>
    <col min="68" max="68" width="10.7109375" style="77" customWidth="1"/>
    <col min="69" max="69" width="9.140625" style="11"/>
    <col min="70" max="70" width="9.140625" style="14"/>
    <col min="71" max="73" width="9.140625" style="11"/>
    <col min="74" max="74" width="46.42578125" style="11" customWidth="1"/>
    <col min="75" max="16384" width="9.140625" style="11"/>
  </cols>
  <sheetData>
    <row r="1" spans="1:74" ht="50.25" customHeight="1" x14ac:dyDescent="0.4">
      <c r="A1" s="661" t="s">
        <v>193</v>
      </c>
      <c r="B1" s="661"/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  <c r="Z1" s="661"/>
      <c r="AA1" s="661"/>
      <c r="AB1" s="661"/>
      <c r="AC1" s="661"/>
      <c r="AD1" s="661"/>
      <c r="AE1" s="661"/>
      <c r="AF1" s="661"/>
      <c r="AG1" s="661"/>
      <c r="AH1" s="661"/>
      <c r="AI1" s="661"/>
      <c r="AJ1" s="661"/>
      <c r="AK1" s="661"/>
      <c r="AL1" s="661"/>
      <c r="AM1" s="661"/>
      <c r="AN1" s="661"/>
      <c r="AO1" s="661"/>
      <c r="AP1" s="661"/>
      <c r="AQ1" s="661"/>
      <c r="AR1" s="661"/>
      <c r="AS1" s="661"/>
      <c r="AT1" s="661"/>
      <c r="AU1" s="661"/>
      <c r="AV1" s="661"/>
      <c r="AW1" s="661"/>
      <c r="AX1" s="661"/>
      <c r="AY1" s="661"/>
      <c r="AZ1" s="661"/>
      <c r="BA1" s="661"/>
      <c r="BB1" s="661"/>
      <c r="BC1" s="661"/>
      <c r="BD1" s="661"/>
      <c r="BE1" s="661"/>
      <c r="BF1" s="661"/>
      <c r="BG1" s="661"/>
      <c r="BH1" s="661"/>
      <c r="BI1" s="661"/>
      <c r="BJ1" s="661"/>
      <c r="BK1" s="661"/>
      <c r="BL1" s="661"/>
      <c r="BM1" s="661"/>
      <c r="BN1" s="661"/>
      <c r="BO1" s="661"/>
      <c r="BP1" s="81"/>
    </row>
    <row r="2" spans="1:74" ht="15" x14ac:dyDescent="0.25">
      <c r="A2" s="664"/>
      <c r="B2" s="665"/>
      <c r="C2" s="667" t="s">
        <v>136</v>
      </c>
      <c r="D2" s="667"/>
      <c r="E2" s="667"/>
      <c r="F2" s="667"/>
      <c r="G2" s="667"/>
      <c r="H2" s="667"/>
      <c r="I2" s="667"/>
      <c r="J2" s="667"/>
      <c r="K2" s="667"/>
      <c r="L2" s="667"/>
      <c r="M2" s="667"/>
      <c r="N2" s="667"/>
      <c r="O2" s="667"/>
      <c r="P2" s="667"/>
      <c r="Q2" s="667"/>
      <c r="R2" s="667"/>
      <c r="S2" s="667"/>
      <c r="T2" s="667"/>
      <c r="U2" s="667"/>
      <c r="V2" s="667"/>
      <c r="W2" s="667"/>
      <c r="X2" s="667"/>
      <c r="Y2" s="667"/>
      <c r="Z2" s="667"/>
      <c r="AA2" s="667"/>
      <c r="AB2" s="667"/>
      <c r="AC2" s="667"/>
      <c r="AD2" s="667"/>
      <c r="AE2" s="667"/>
      <c r="AF2" s="667"/>
      <c r="AG2" s="667"/>
      <c r="AH2" s="667"/>
      <c r="AI2" s="667"/>
      <c r="AJ2" s="667"/>
      <c r="AK2" s="667"/>
      <c r="AL2" s="667"/>
      <c r="AM2" s="667"/>
      <c r="AN2" s="667"/>
      <c r="AO2" s="667"/>
      <c r="AP2" s="667"/>
      <c r="AQ2" s="667"/>
      <c r="AR2" s="667"/>
      <c r="AS2" s="667"/>
      <c r="AT2" s="667"/>
      <c r="AU2" s="667"/>
      <c r="AV2" s="667"/>
      <c r="AW2" s="667"/>
      <c r="AX2" s="667"/>
      <c r="AY2" s="667"/>
      <c r="AZ2" s="667"/>
      <c r="BA2" s="667"/>
      <c r="BB2" s="667"/>
      <c r="BC2" s="667"/>
      <c r="BD2" s="667"/>
      <c r="BE2" s="667"/>
      <c r="BF2" s="668"/>
      <c r="BG2" s="619" t="s">
        <v>141</v>
      </c>
      <c r="BH2" s="619"/>
      <c r="BI2" s="619"/>
      <c r="BJ2" s="619"/>
      <c r="BK2" s="619"/>
      <c r="BL2" s="619"/>
      <c r="BM2" s="619"/>
      <c r="BN2" s="619"/>
      <c r="BO2" s="619"/>
      <c r="BP2" s="82"/>
    </row>
    <row r="3" spans="1:74" s="77" customFormat="1" ht="15" x14ac:dyDescent="0.25">
      <c r="A3" s="73"/>
      <c r="B3" s="74"/>
      <c r="C3" s="75">
        <v>1</v>
      </c>
      <c r="D3" s="75">
        <f>C3+1</f>
        <v>2</v>
      </c>
      <c r="E3" s="75">
        <f t="shared" ref="E3:BF3" si="0">D3+1</f>
        <v>3</v>
      </c>
      <c r="F3" s="75">
        <f t="shared" si="0"/>
        <v>4</v>
      </c>
      <c r="G3" s="75">
        <f t="shared" si="0"/>
        <v>5</v>
      </c>
      <c r="H3" s="75">
        <f t="shared" si="0"/>
        <v>6</v>
      </c>
      <c r="I3" s="75">
        <f t="shared" si="0"/>
        <v>7</v>
      </c>
      <c r="J3" s="75">
        <f t="shared" si="0"/>
        <v>8</v>
      </c>
      <c r="K3" s="506"/>
      <c r="L3" s="75">
        <f>J3+1</f>
        <v>9</v>
      </c>
      <c r="M3" s="75">
        <f t="shared" si="0"/>
        <v>10</v>
      </c>
      <c r="N3" s="75">
        <f t="shared" si="0"/>
        <v>11</v>
      </c>
      <c r="O3" s="75">
        <f t="shared" si="0"/>
        <v>12</v>
      </c>
      <c r="P3" s="75">
        <f t="shared" si="0"/>
        <v>13</v>
      </c>
      <c r="Q3" s="75">
        <f t="shared" si="0"/>
        <v>14</v>
      </c>
      <c r="R3" s="75">
        <f t="shared" si="0"/>
        <v>15</v>
      </c>
      <c r="S3" s="75">
        <f t="shared" si="0"/>
        <v>16</v>
      </c>
      <c r="T3" s="75">
        <f t="shared" si="0"/>
        <v>17</v>
      </c>
      <c r="U3" s="75">
        <f t="shared" si="0"/>
        <v>18</v>
      </c>
      <c r="V3" s="75">
        <f t="shared" si="0"/>
        <v>19</v>
      </c>
      <c r="W3" s="75">
        <f t="shared" si="0"/>
        <v>20</v>
      </c>
      <c r="X3" s="75">
        <f t="shared" si="0"/>
        <v>21</v>
      </c>
      <c r="Y3" s="75">
        <f t="shared" si="0"/>
        <v>22</v>
      </c>
      <c r="Z3" s="75">
        <f t="shared" si="0"/>
        <v>23</v>
      </c>
      <c r="AA3" s="75">
        <f t="shared" si="0"/>
        <v>24</v>
      </c>
      <c r="AB3" s="75">
        <f t="shared" si="0"/>
        <v>25</v>
      </c>
      <c r="AC3" s="75">
        <f t="shared" si="0"/>
        <v>26</v>
      </c>
      <c r="AD3" s="75">
        <f t="shared" si="0"/>
        <v>27</v>
      </c>
      <c r="AE3" s="75">
        <f t="shared" si="0"/>
        <v>28</v>
      </c>
      <c r="AF3" s="75">
        <f>AE3+1</f>
        <v>29</v>
      </c>
      <c r="AG3" s="75">
        <f t="shared" si="0"/>
        <v>30</v>
      </c>
      <c r="AH3" s="75">
        <f t="shared" si="0"/>
        <v>31</v>
      </c>
      <c r="AI3" s="75">
        <f t="shared" si="0"/>
        <v>32</v>
      </c>
      <c r="AJ3" s="75">
        <f t="shared" si="0"/>
        <v>33</v>
      </c>
      <c r="AK3" s="75">
        <f t="shared" si="0"/>
        <v>34</v>
      </c>
      <c r="AL3" s="75">
        <f t="shared" si="0"/>
        <v>35</v>
      </c>
      <c r="AM3" s="75">
        <f t="shared" si="0"/>
        <v>36</v>
      </c>
      <c r="AN3" s="75">
        <f t="shared" si="0"/>
        <v>37</v>
      </c>
      <c r="AO3" s="75">
        <f t="shared" si="0"/>
        <v>38</v>
      </c>
      <c r="AP3" s="75">
        <f t="shared" si="0"/>
        <v>39</v>
      </c>
      <c r="AQ3" s="75">
        <f t="shared" si="0"/>
        <v>40</v>
      </c>
      <c r="AR3" s="75">
        <f t="shared" si="0"/>
        <v>41</v>
      </c>
      <c r="AS3" s="75">
        <f t="shared" si="0"/>
        <v>42</v>
      </c>
      <c r="AT3" s="75">
        <f t="shared" si="0"/>
        <v>43</v>
      </c>
      <c r="AU3" s="75">
        <f t="shared" si="0"/>
        <v>44</v>
      </c>
      <c r="AV3" s="75">
        <f t="shared" si="0"/>
        <v>45</v>
      </c>
      <c r="AW3" s="75">
        <f t="shared" si="0"/>
        <v>46</v>
      </c>
      <c r="AX3" s="75">
        <f t="shared" si="0"/>
        <v>47</v>
      </c>
      <c r="AY3" s="75">
        <f t="shared" si="0"/>
        <v>48</v>
      </c>
      <c r="AZ3" s="75">
        <f t="shared" si="0"/>
        <v>49</v>
      </c>
      <c r="BA3" s="75">
        <f t="shared" si="0"/>
        <v>50</v>
      </c>
      <c r="BB3" s="75">
        <f t="shared" si="0"/>
        <v>51</v>
      </c>
      <c r="BC3" s="75">
        <f t="shared" si="0"/>
        <v>52</v>
      </c>
      <c r="BD3" s="75">
        <f t="shared" si="0"/>
        <v>53</v>
      </c>
      <c r="BE3" s="75">
        <f t="shared" si="0"/>
        <v>54</v>
      </c>
      <c r="BF3" s="75">
        <f t="shared" si="0"/>
        <v>55</v>
      </c>
      <c r="BG3" s="80"/>
      <c r="BH3" s="80"/>
      <c r="BI3" s="80"/>
      <c r="BJ3" s="80"/>
      <c r="BK3" s="80"/>
      <c r="BL3" s="80"/>
      <c r="BM3" s="80"/>
      <c r="BN3" s="80"/>
      <c r="BO3" s="80"/>
      <c r="BP3" s="80"/>
    </row>
    <row r="4" spans="1:74" s="14" customFormat="1" ht="15" x14ac:dyDescent="0.25">
      <c r="A4" s="662" t="s">
        <v>172</v>
      </c>
      <c r="B4" s="663"/>
      <c r="C4" s="45">
        <f>VLOOKUP(C6,'SPECIFIC GRAVITIES'!$A$4:$B$138,2,FALSE)</f>
        <v>3.15</v>
      </c>
      <c r="D4" s="45">
        <f>VLOOKUP(D6,'SPECIFIC GRAVITIES'!$A$4:$B$138,2,FALSE)</f>
        <v>3.15</v>
      </c>
      <c r="E4" s="45">
        <f>VLOOKUP(E6,'SPECIFIC GRAVITIES'!$A$4:$B$138,2,FALSE)</f>
        <v>3.2</v>
      </c>
      <c r="F4" s="45">
        <f>VLOOKUP(F6,'SPECIFIC GRAVITIES'!$A$4:$B$138,2,FALSE)</f>
        <v>1</v>
      </c>
      <c r="G4" s="45">
        <f>VLOOKUP(G6,'SPECIFIC GRAVITIES'!$A$4:$B$138,2,FALSE)</f>
        <v>2.927</v>
      </c>
      <c r="H4" s="45">
        <f>VLOOKUP(H6,'SPECIFIC GRAVITIES'!$A$4:$B$138,2,FALSE)</f>
        <v>3.0049999999999999</v>
      </c>
      <c r="I4" s="45">
        <f>VLOOKUP(I6,'SPECIFIC GRAVITIES'!$A$4:$B$138,2,FALSE)</f>
        <v>2.0499999999999998</v>
      </c>
      <c r="J4" s="45">
        <f>VLOOKUP(J6,'SPECIFIC GRAVITIES'!$A$4:$B$138,2,FALSE)</f>
        <v>2.476</v>
      </c>
      <c r="K4" s="45">
        <f>VLOOKUP(K6,'SPECIFIC GRAVITIES'!$A$4:$B$138,2,FALSE)</f>
        <v>2.5</v>
      </c>
      <c r="L4" s="45">
        <f>VLOOKUP(L6,'SPECIFIC GRAVITIES'!$A$4:$B$138,2,FALSE)</f>
        <v>2.5</v>
      </c>
      <c r="M4" s="45">
        <f>VLOOKUP(M6,'SPECIFIC GRAVITIES'!$A$4:$B$138,2,FALSE)</f>
        <v>2.4047999999999998</v>
      </c>
      <c r="N4" s="45">
        <f>VLOOKUP(N6,'SPECIFIC GRAVITIES'!$A$4:$B$138,2,FALSE)</f>
        <v>2.63</v>
      </c>
      <c r="O4" s="45">
        <f>VLOOKUP(O6,'SPECIFIC GRAVITIES'!$A$4:$B$138,2,FALSE)</f>
        <v>2.5419999999999998</v>
      </c>
      <c r="P4" s="45">
        <f>VLOOKUP(P6,'SPECIFIC GRAVITIES'!$A$4:$B$138,2,FALSE)</f>
        <v>2.7850000000000001</v>
      </c>
      <c r="Q4" s="45">
        <f>VLOOKUP(Q6,'SPECIFIC GRAVITIES'!$A$4:$B$138,2,FALSE)</f>
        <v>5.0199999999999996</v>
      </c>
      <c r="R4" s="45">
        <f>VLOOKUP(R6,'SPECIFIC GRAVITIES'!$A$4:$B$138,2,FALSE)</f>
        <v>0.54</v>
      </c>
      <c r="S4" s="45">
        <f>VLOOKUP(S6,'SPECIFIC GRAVITIES'!$A$4:$B$138,2,FALSE)</f>
        <v>0.54</v>
      </c>
      <c r="T4" s="45">
        <f>VLOOKUP(T6,'SPECIFIC GRAVITIES'!$A$4:$B$138,2,FALSE)</f>
        <v>0.32</v>
      </c>
      <c r="U4" s="45">
        <f>VLOOKUP(U6,'SPECIFIC GRAVITIES'!$A$4:$B$138,2,FALSE)</f>
        <v>0.38</v>
      </c>
      <c r="V4" s="45">
        <f>VLOOKUP(V6,'SPECIFIC GRAVITIES'!$A$4:$B$138,2,FALSE)</f>
        <v>1.2</v>
      </c>
      <c r="W4" s="45">
        <f>VLOOKUP(W6,'SPECIFIC GRAVITIES'!$A$4:$B$138,2,FALSE)</f>
        <v>0.58209999999999995</v>
      </c>
      <c r="X4" s="45">
        <f>VLOOKUP(X6,'SPECIFIC GRAVITIES'!$A$4:$B$138,2,FALSE)</f>
        <v>1.377</v>
      </c>
      <c r="Y4" s="45">
        <f>VLOOKUP(Y6,'SPECIFIC GRAVITIES'!$A$4:$B$138,2,FALSE)</f>
        <v>1.38</v>
      </c>
      <c r="Z4" s="45">
        <f>VLOOKUP(Z6,'SPECIFIC GRAVITIES'!$A$4:$B$138,2,FALSE)</f>
        <v>1.0149999999999999</v>
      </c>
      <c r="AA4" s="45">
        <f>VLOOKUP(AA6,'SPECIFIC GRAVITIES'!$A$4:$B$138,2,FALSE)</f>
        <v>1.2869999999999999</v>
      </c>
      <c r="AB4" s="45">
        <f>VLOOKUP(AB6,'SPECIFIC GRAVITIES'!$A$4:$B$138,2,FALSE)</f>
        <v>1.4</v>
      </c>
      <c r="AC4" s="45">
        <f>VLOOKUP(AC6,'SPECIFIC GRAVITIES'!$A$4:$B$138,2,FALSE)</f>
        <v>1.288</v>
      </c>
      <c r="AD4" s="45">
        <f>VLOOKUP(AD6,'SPECIFIC GRAVITIES'!$A$4:$B$138,2,FALSE)</f>
        <v>1.5820000000000001</v>
      </c>
      <c r="AE4" s="45">
        <f>VLOOKUP(AE6,'SPECIFIC GRAVITIES'!$A$4:$B$138,2,FALSE)</f>
        <v>2.1909999999999998</v>
      </c>
      <c r="AF4" s="45">
        <f>VLOOKUP(AF6,'SPECIFIC GRAVITIES'!$A$4:$B$138,2,FALSE)</f>
        <v>2.319</v>
      </c>
      <c r="AG4" s="45">
        <f>VLOOKUP(AG6,'SPECIFIC GRAVITIES'!$A$4:$B$138,2,FALSE)</f>
        <v>2.677</v>
      </c>
      <c r="AH4" s="45">
        <f>VLOOKUP(AH6,'SPECIFIC GRAVITIES'!$A$4:$B$138,2,FALSE)</f>
        <v>2.4064000000000001</v>
      </c>
      <c r="AI4" s="45">
        <f>VLOOKUP(AI6,'SPECIFIC GRAVITIES'!$A$4:$B$138,2,FALSE)</f>
        <v>2.3530000000000002</v>
      </c>
      <c r="AJ4" s="45">
        <f>VLOOKUP(AJ6,'SPECIFIC GRAVITIES'!$A$4:$B$138,2,FALSE)</f>
        <v>1.8301000000000001</v>
      </c>
      <c r="AK4" s="45">
        <f>VLOOKUP(AK6,'SPECIFIC GRAVITIES'!$A$4:$B$138,2,FALSE)</f>
        <v>2.1579999999999999</v>
      </c>
      <c r="AL4" s="45">
        <f>VLOOKUP(AL6,'SPECIFIC GRAVITIES'!$A$4:$B$138,2,FALSE)</f>
        <v>2.770083102493075</v>
      </c>
      <c r="AM4" s="45">
        <f>VLOOKUP(AM6,'SPECIFIC GRAVITIES'!$A$4:$B$138,2,FALSE)</f>
        <v>3.75</v>
      </c>
      <c r="AN4" s="45">
        <f>VLOOKUP(AN6,'SPECIFIC GRAVITIES'!$A$4:$B$138,2,FALSE)</f>
        <v>3.0539999999999998</v>
      </c>
      <c r="AO4" s="45">
        <f>VLOOKUP(AO6,'SPECIFIC GRAVITIES'!$A$4:$B$138,2,FALSE)</f>
        <v>2.7644000000000002</v>
      </c>
      <c r="AP4" s="45">
        <f>VLOOKUP(AP6,'SPECIFIC GRAVITIES'!$A$4:$B$138,2,FALSE)</f>
        <v>3.03</v>
      </c>
      <c r="AQ4" s="45">
        <f>VLOOKUP(AQ6,'SPECIFIC GRAVITIES'!$A$4:$B$138,2,FALSE)</f>
        <v>2.7688000000000001</v>
      </c>
      <c r="AR4" s="45">
        <f>VLOOKUP(AR6,'SPECIFIC GRAVITIES'!$A$4:$B$138,2,FALSE)</f>
        <v>1.109</v>
      </c>
      <c r="AS4" s="45">
        <f>VLOOKUP(AS6,'SPECIFIC GRAVITIES'!$A$4:$B$138,2,FALSE)</f>
        <v>1.978</v>
      </c>
      <c r="AT4" s="45">
        <f>VLOOKUP(AT6,'SPECIFIC GRAVITIES'!$A$4:$B$138,2,FALSE)</f>
        <v>2.5190000000000001</v>
      </c>
      <c r="AU4" s="45">
        <f>VLOOKUP(AU6,'SPECIFIC GRAVITIES'!$A$4:$B$138,2,FALSE)</f>
        <v>3.2</v>
      </c>
      <c r="AV4" s="45">
        <f>VLOOKUP(AV6,'SPECIFIC GRAVITIES'!$A$4:$B$138,2,FALSE)</f>
        <v>1.504</v>
      </c>
      <c r="AW4" s="45">
        <f>VLOOKUP(AW6,'SPECIFIC GRAVITIES'!$A$4:$B$138,2,FALSE)</f>
        <v>0.27139999999999997</v>
      </c>
      <c r="AX4" s="45">
        <f>VLOOKUP(AX6,'SPECIFIC GRAVITIES'!$A$4:$B$138,2,FALSE)</f>
        <v>0</v>
      </c>
      <c r="AY4" s="45">
        <f>VLOOKUP(AY6,'SPECIFIC GRAVITIES'!$A$4:$B$138,2,FALSE)</f>
        <v>0</v>
      </c>
      <c r="AZ4" s="45">
        <f>VLOOKUP(AZ6,'SPECIFIC GRAVITIES'!$A$4:$B$138,2,FALSE)</f>
        <v>0</v>
      </c>
      <c r="BA4" s="45">
        <f>VLOOKUP(BA6,'SPECIFIC GRAVITIES'!$A$4:$B$138,2,FALSE)</f>
        <v>0</v>
      </c>
      <c r="BB4" s="45">
        <f>VLOOKUP(BB6,'SPECIFIC GRAVITIES'!$A$4:$B$138,2,FALSE)</f>
        <v>0</v>
      </c>
      <c r="BC4" s="45">
        <f>VLOOKUP(BC6,'SPECIFIC GRAVITIES'!$A$4:$B$138,2,FALSE)</f>
        <v>0</v>
      </c>
      <c r="BD4" s="45">
        <f>VLOOKUP(BD6,'SPECIFIC GRAVITIES'!$A$4:$B$138,2,FALSE)</f>
        <v>0</v>
      </c>
      <c r="BE4" s="45">
        <f>VLOOKUP(BE6,'SPECIFIC GRAVITIES'!$A$4:$B$138,2,FALSE)</f>
        <v>0</v>
      </c>
      <c r="BF4" s="45">
        <f>VLOOKUP(BF6,'SPECIFIC GRAVITIES'!$A$4:$B$138,2,FALSE)</f>
        <v>0</v>
      </c>
      <c r="BG4" s="17"/>
      <c r="BH4" s="17"/>
      <c r="BI4" s="17"/>
      <c r="BJ4" s="17"/>
      <c r="BK4" s="28"/>
      <c r="BL4" s="4"/>
      <c r="BM4" s="4"/>
      <c r="BN4" s="4"/>
      <c r="BO4" s="5"/>
      <c r="BP4" s="5"/>
    </row>
    <row r="5" spans="1:74" s="14" customFormat="1" ht="15" x14ac:dyDescent="0.25">
      <c r="A5" s="666" t="s">
        <v>174</v>
      </c>
      <c r="B5" s="666"/>
      <c r="C5" s="44">
        <f>IF(C4=0,0,1/C4)</f>
        <v>0.31746031746031744</v>
      </c>
      <c r="D5" s="44">
        <f t="shared" ref="D5:BF5" si="1">IF(D4=0,0,1/D4)</f>
        <v>0.31746031746031744</v>
      </c>
      <c r="E5" s="44">
        <f t="shared" si="1"/>
        <v>0.3125</v>
      </c>
      <c r="F5" s="44">
        <f t="shared" si="1"/>
        <v>1</v>
      </c>
      <c r="G5" s="44">
        <f t="shared" si="1"/>
        <v>0.34164673727365902</v>
      </c>
      <c r="H5" s="44">
        <f t="shared" si="1"/>
        <v>0.3327787021630616</v>
      </c>
      <c r="I5" s="44">
        <f t="shared" si="1"/>
        <v>0.48780487804878053</v>
      </c>
      <c r="J5" s="44">
        <f t="shared" si="1"/>
        <v>0.40387722132471732</v>
      </c>
      <c r="K5" s="44">
        <f>IF(K4=0,0,1/K4)</f>
        <v>0.4</v>
      </c>
      <c r="L5" s="44">
        <f t="shared" si="1"/>
        <v>0.4</v>
      </c>
      <c r="M5" s="44">
        <f t="shared" si="1"/>
        <v>0.41583499667332008</v>
      </c>
      <c r="N5" s="44">
        <f t="shared" si="1"/>
        <v>0.38022813688212931</v>
      </c>
      <c r="O5" s="44">
        <f t="shared" si="1"/>
        <v>0.39339103068450043</v>
      </c>
      <c r="P5" s="44">
        <f t="shared" si="1"/>
        <v>0.35906642728904847</v>
      </c>
      <c r="Q5" s="44">
        <f t="shared" si="1"/>
        <v>0.19920318725099603</v>
      </c>
      <c r="R5" s="44">
        <f t="shared" si="1"/>
        <v>1.8518518518518516</v>
      </c>
      <c r="S5" s="44">
        <f t="shared" si="1"/>
        <v>1.8518518518518516</v>
      </c>
      <c r="T5" s="44">
        <f t="shared" si="1"/>
        <v>3.125</v>
      </c>
      <c r="U5" s="44">
        <f t="shared" si="1"/>
        <v>2.6315789473684212</v>
      </c>
      <c r="V5" s="44">
        <f t="shared" si="1"/>
        <v>0.83333333333333337</v>
      </c>
      <c r="W5" s="44">
        <f t="shared" si="1"/>
        <v>1.7179178835251676</v>
      </c>
      <c r="X5" s="44">
        <f t="shared" si="1"/>
        <v>0.72621641249092228</v>
      </c>
      <c r="Y5" s="44">
        <f t="shared" si="1"/>
        <v>0.7246376811594204</v>
      </c>
      <c r="Z5" s="44">
        <f t="shared" si="1"/>
        <v>0.98522167487684742</v>
      </c>
      <c r="AA5" s="44">
        <f t="shared" si="1"/>
        <v>0.77700077700077708</v>
      </c>
      <c r="AB5" s="44">
        <f t="shared" si="1"/>
        <v>0.7142857142857143</v>
      </c>
      <c r="AC5" s="44">
        <f t="shared" si="1"/>
        <v>0.77639751552795033</v>
      </c>
      <c r="AD5" s="44">
        <f t="shared" si="1"/>
        <v>0.63211125158027814</v>
      </c>
      <c r="AE5" s="44">
        <f t="shared" si="1"/>
        <v>0.45641259698767689</v>
      </c>
      <c r="AF5" s="44">
        <f t="shared" si="1"/>
        <v>0.43122035360068994</v>
      </c>
      <c r="AG5" s="44">
        <f t="shared" si="1"/>
        <v>0.37355248412401942</v>
      </c>
      <c r="AH5" s="44">
        <f t="shared" si="1"/>
        <v>0.41555851063829785</v>
      </c>
      <c r="AI5" s="44">
        <f t="shared" si="1"/>
        <v>0.42498937526561831</v>
      </c>
      <c r="AJ5" s="44">
        <f t="shared" si="1"/>
        <v>0.5464182285121032</v>
      </c>
      <c r="AK5" s="44">
        <f t="shared" si="1"/>
        <v>0.46339202965708992</v>
      </c>
      <c r="AL5" s="44">
        <f t="shared" si="1"/>
        <v>0.36099999999999999</v>
      </c>
      <c r="AM5" s="44">
        <f t="shared" si="1"/>
        <v>0.26666666666666666</v>
      </c>
      <c r="AN5" s="44">
        <f t="shared" si="1"/>
        <v>0.32743942370661427</v>
      </c>
      <c r="AO5" s="44">
        <f t="shared" si="1"/>
        <v>0.36174215019534073</v>
      </c>
      <c r="AP5" s="44">
        <f t="shared" si="1"/>
        <v>0.33003300330033003</v>
      </c>
      <c r="AQ5" s="44">
        <f t="shared" si="1"/>
        <v>0.361167292689974</v>
      </c>
      <c r="AR5" s="44">
        <f t="shared" si="1"/>
        <v>0.90171325518485124</v>
      </c>
      <c r="AS5" s="44">
        <f t="shared" si="1"/>
        <v>0.50556117290192115</v>
      </c>
      <c r="AT5" s="44">
        <f t="shared" si="1"/>
        <v>0.39698292973402144</v>
      </c>
      <c r="AU5" s="44">
        <f>IF(AU4=0,0,1/AU4)</f>
        <v>0.3125</v>
      </c>
      <c r="AV5" s="44">
        <f t="shared" si="1"/>
        <v>0.66489361702127658</v>
      </c>
      <c r="AW5" s="44">
        <f t="shared" si="1"/>
        <v>3.6845983787767138</v>
      </c>
      <c r="AX5" s="44">
        <f t="shared" si="1"/>
        <v>0</v>
      </c>
      <c r="AY5" s="44">
        <f t="shared" si="1"/>
        <v>0</v>
      </c>
      <c r="AZ5" s="44">
        <f t="shared" si="1"/>
        <v>0</v>
      </c>
      <c r="BA5" s="44">
        <f t="shared" si="1"/>
        <v>0</v>
      </c>
      <c r="BB5" s="44">
        <f t="shared" si="1"/>
        <v>0</v>
      </c>
      <c r="BC5" s="44">
        <f t="shared" si="1"/>
        <v>0</v>
      </c>
      <c r="BD5" s="44">
        <f t="shared" si="1"/>
        <v>0</v>
      </c>
      <c r="BE5" s="44">
        <f t="shared" si="1"/>
        <v>0</v>
      </c>
      <c r="BF5" s="44">
        <f t="shared" si="1"/>
        <v>0</v>
      </c>
      <c r="BG5" s="17"/>
      <c r="BH5" s="17"/>
      <c r="BI5" s="17"/>
      <c r="BJ5" s="17"/>
      <c r="BK5" s="28"/>
      <c r="BL5" s="4"/>
      <c r="BM5" s="4"/>
      <c r="BN5" s="4"/>
      <c r="BO5" s="5"/>
      <c r="BP5" s="5"/>
    </row>
    <row r="6" spans="1:74" ht="45" x14ac:dyDescent="0.25">
      <c r="A6" s="664" t="s">
        <v>173</v>
      </c>
      <c r="B6" s="665"/>
      <c r="C6" s="31" t="s">
        <v>95</v>
      </c>
      <c r="D6" s="36" t="s">
        <v>96</v>
      </c>
      <c r="E6" s="36" t="s">
        <v>97</v>
      </c>
      <c r="F6" s="36" t="s">
        <v>98</v>
      </c>
      <c r="G6" s="36" t="s">
        <v>99</v>
      </c>
      <c r="H6" s="36" t="s">
        <v>100</v>
      </c>
      <c r="I6" s="36" t="s">
        <v>101</v>
      </c>
      <c r="J6" s="36" t="s">
        <v>102</v>
      </c>
      <c r="K6" s="179" t="s">
        <v>103</v>
      </c>
      <c r="L6" s="36" t="s">
        <v>390</v>
      </c>
      <c r="M6" s="36" t="s">
        <v>104</v>
      </c>
      <c r="N6" s="36" t="s">
        <v>105</v>
      </c>
      <c r="O6" s="36" t="s">
        <v>106</v>
      </c>
      <c r="P6" s="36" t="s">
        <v>107</v>
      </c>
      <c r="Q6" s="36" t="s">
        <v>108</v>
      </c>
      <c r="R6" s="179" t="s">
        <v>1777</v>
      </c>
      <c r="S6" s="179" t="s">
        <v>110</v>
      </c>
      <c r="T6" s="179" t="s">
        <v>111</v>
      </c>
      <c r="U6" s="179" t="s">
        <v>112</v>
      </c>
      <c r="V6" s="179" t="s">
        <v>179</v>
      </c>
      <c r="W6" s="179" t="s">
        <v>113</v>
      </c>
      <c r="X6" s="179" t="s">
        <v>114</v>
      </c>
      <c r="Y6" s="179" t="s">
        <v>115</v>
      </c>
      <c r="Z6" s="179" t="s">
        <v>116</v>
      </c>
      <c r="AA6" s="179" t="s">
        <v>117</v>
      </c>
      <c r="AB6" s="179" t="s">
        <v>118</v>
      </c>
      <c r="AC6" s="179" t="s">
        <v>119</v>
      </c>
      <c r="AD6" s="179" t="s">
        <v>120</v>
      </c>
      <c r="AE6" s="179" t="s">
        <v>121</v>
      </c>
      <c r="AF6" s="179" t="s">
        <v>122</v>
      </c>
      <c r="AG6" s="179" t="s">
        <v>123</v>
      </c>
      <c r="AH6" s="179" t="s">
        <v>124</v>
      </c>
      <c r="AI6" s="179" t="s">
        <v>125</v>
      </c>
      <c r="AJ6" s="179" t="s">
        <v>1775</v>
      </c>
      <c r="AK6" s="179" t="s">
        <v>127</v>
      </c>
      <c r="AL6" s="179" t="s">
        <v>128</v>
      </c>
      <c r="AM6" s="179" t="s">
        <v>1788</v>
      </c>
      <c r="AN6" s="179" t="s">
        <v>1789</v>
      </c>
      <c r="AO6" s="179" t="s">
        <v>131</v>
      </c>
      <c r="AP6" s="179" t="s">
        <v>132</v>
      </c>
      <c r="AQ6" s="179" t="s">
        <v>133</v>
      </c>
      <c r="AR6" s="179" t="s">
        <v>134</v>
      </c>
      <c r="AS6" s="179" t="s">
        <v>428</v>
      </c>
      <c r="AT6" s="179" t="s">
        <v>145</v>
      </c>
      <c r="AU6" s="179" t="s">
        <v>49</v>
      </c>
      <c r="AV6" s="179" t="s">
        <v>295</v>
      </c>
      <c r="AW6" s="179" t="s">
        <v>1785</v>
      </c>
      <c r="AX6" s="179" t="s">
        <v>135</v>
      </c>
      <c r="AY6" s="179" t="s">
        <v>135</v>
      </c>
      <c r="AZ6" s="179" t="s">
        <v>135</v>
      </c>
      <c r="BA6" s="179" t="s">
        <v>135</v>
      </c>
      <c r="BB6" s="179" t="s">
        <v>135</v>
      </c>
      <c r="BC6" s="179" t="s">
        <v>135</v>
      </c>
      <c r="BD6" s="179" t="s">
        <v>135</v>
      </c>
      <c r="BE6" s="179" t="s">
        <v>135</v>
      </c>
      <c r="BF6" s="179" t="s">
        <v>135</v>
      </c>
      <c r="BG6" s="17" t="s">
        <v>3</v>
      </c>
      <c r="BH6" s="17" t="s">
        <v>4</v>
      </c>
      <c r="BI6" s="17" t="s">
        <v>5</v>
      </c>
      <c r="BJ6" s="17" t="s">
        <v>140</v>
      </c>
      <c r="BK6" s="28" t="s">
        <v>7</v>
      </c>
      <c r="BL6" s="4" t="s">
        <v>8</v>
      </c>
      <c r="BM6" s="4" t="s">
        <v>9</v>
      </c>
      <c r="BN6" s="4" t="s">
        <v>142</v>
      </c>
      <c r="BO6" s="5" t="s">
        <v>10</v>
      </c>
      <c r="BP6" s="5" t="s">
        <v>209</v>
      </c>
      <c r="BR6" s="24" t="s">
        <v>176</v>
      </c>
      <c r="BS6" s="20" t="s">
        <v>175</v>
      </c>
      <c r="BT6" s="78" t="s">
        <v>205</v>
      </c>
      <c r="BV6" s="172" t="s">
        <v>366</v>
      </c>
    </row>
    <row r="7" spans="1:74" x14ac:dyDescent="0.25">
      <c r="A7" s="29" t="s">
        <v>11</v>
      </c>
      <c r="B7" s="34" t="s">
        <v>11</v>
      </c>
      <c r="C7" s="37"/>
      <c r="D7" s="37"/>
      <c r="E7" s="37"/>
      <c r="F7" s="37"/>
      <c r="G7" s="37"/>
      <c r="H7" s="37"/>
      <c r="I7" s="37"/>
      <c r="J7" s="37"/>
      <c r="K7" s="378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42"/>
      <c r="BH7" s="42"/>
      <c r="BI7" s="32"/>
      <c r="BJ7" s="38"/>
      <c r="BK7" s="38"/>
      <c r="BL7" s="38"/>
      <c r="BM7" s="38"/>
      <c r="BN7" s="38">
        <v>0</v>
      </c>
      <c r="BO7" s="38">
        <f t="shared" ref="BO7" si="2">SUM(C7:BF7)</f>
        <v>0</v>
      </c>
      <c r="BP7" s="79">
        <v>0</v>
      </c>
      <c r="BR7" s="42">
        <f t="shared" ref="BR7:BR38" si="3">((C7*C$5+D7*D$5+E7*E$5+F7*F$5+G7*G$5+H7*H$5+I7*I$5+J7*J$5+L7*L$5+M7*M$5+N7*N$5+O7*O$5+P7*P$5+Q7*Q$5+R7*R$5+S7*S$5+T7*T$5+U7*U$5+V7*V$5+W7*W$5+X7*X$5+Y7*Y$5+Z7*Z$5+AA7*AA$5+AB7*AB$5+AC7*AC$5+AD7*AD$5+AE7*AE$5+AF7*AF$5+AG7*AG$5+AH7*AH$5+AI7*AI$5+AJ7*AJ$5+AK7*AK$5+AL7*AL$5+AM7*AM$5+AN7*AN$5+AO7*AO$5+AP7*AP$5+AQ7*AQ$5+AR7*AR$5+AS7*AS$5+AT7*AT$5+AU7*AU$5+AV7*AV$5+AW7*AW$5+AX7*AX$5+AY7*AY$5+AZ7*AZ$5+BA7*BA$5+BB7*BB$5+BC7*BC$5+BD7*BD$5+BE7*BE$5+BF7*BF$5)/1000)</f>
        <v>0</v>
      </c>
      <c r="BS7" s="20">
        <f t="shared" ref="BS7:BS38" si="4">BI7/1000-1</f>
        <v>-1</v>
      </c>
      <c r="BT7" s="80">
        <v>1</v>
      </c>
      <c r="BV7" s="176"/>
    </row>
    <row r="8" spans="1:74" x14ac:dyDescent="0.25">
      <c r="A8" s="29" t="s">
        <v>137</v>
      </c>
      <c r="B8" s="34" t="s">
        <v>137</v>
      </c>
      <c r="C8" s="37">
        <v>1000</v>
      </c>
      <c r="D8" s="37"/>
      <c r="E8" s="37"/>
      <c r="F8" s="37"/>
      <c r="G8" s="37"/>
      <c r="H8" s="37"/>
      <c r="I8" s="37"/>
      <c r="J8" s="37"/>
      <c r="K8" s="378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196">
        <f t="shared" ref="BG8:BG46" si="5">((BO8-(BI8*BR8))/BS8)/1000</f>
        <v>0.45815295815295831</v>
      </c>
      <c r="BH8" s="42">
        <f t="shared" ref="BH8:BH46" si="6">BR8+BG8</f>
        <v>0.77561327561327575</v>
      </c>
      <c r="BI8" s="21">
        <v>1880</v>
      </c>
      <c r="BJ8" s="42">
        <f t="shared" ref="BJ8:BJ46" si="7">1/(BH8-BG8)</f>
        <v>3.1500000000000004</v>
      </c>
      <c r="BK8" s="38" t="s">
        <v>13</v>
      </c>
      <c r="BL8" s="23" t="s">
        <v>54</v>
      </c>
      <c r="BM8" s="38" t="s">
        <v>36</v>
      </c>
      <c r="BN8" s="38">
        <v>0</v>
      </c>
      <c r="BO8" s="38">
        <f t="shared" ref="BO8:BO39" si="8">SUM(C8:BF8)</f>
        <v>1000</v>
      </c>
      <c r="BP8" s="79">
        <v>1.44</v>
      </c>
      <c r="BR8" s="196">
        <f t="shared" si="3"/>
        <v>0.31746031746031744</v>
      </c>
      <c r="BS8" s="193">
        <f t="shared" si="4"/>
        <v>0.87999999999999989</v>
      </c>
      <c r="BT8" s="173">
        <f>BT7+1</f>
        <v>2</v>
      </c>
      <c r="BV8" s="176"/>
    </row>
    <row r="9" spans="1:74" x14ac:dyDescent="0.25">
      <c r="A9" s="29" t="s">
        <v>138</v>
      </c>
      <c r="B9" s="34" t="s">
        <v>138</v>
      </c>
      <c r="C9" s="37"/>
      <c r="D9" s="37">
        <v>1000</v>
      </c>
      <c r="E9" s="37"/>
      <c r="F9" s="37"/>
      <c r="G9" s="37"/>
      <c r="H9" s="37"/>
      <c r="I9" s="37"/>
      <c r="J9" s="37"/>
      <c r="K9" s="378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196">
        <f t="shared" si="5"/>
        <v>0.55759055759055765</v>
      </c>
      <c r="BH9" s="42">
        <f t="shared" si="6"/>
        <v>0.87505087505087509</v>
      </c>
      <c r="BI9" s="21">
        <v>1780</v>
      </c>
      <c r="BJ9" s="42">
        <f t="shared" si="7"/>
        <v>3.1500000000000004</v>
      </c>
      <c r="BK9" s="38" t="s">
        <v>13</v>
      </c>
      <c r="BL9" s="23" t="s">
        <v>86</v>
      </c>
      <c r="BM9" s="38" t="s">
        <v>36</v>
      </c>
      <c r="BN9" s="38">
        <v>0</v>
      </c>
      <c r="BO9" s="38">
        <f t="shared" si="8"/>
        <v>1000</v>
      </c>
      <c r="BP9" s="79">
        <v>1.51</v>
      </c>
      <c r="BR9" s="196">
        <f t="shared" si="3"/>
        <v>0.31746031746031744</v>
      </c>
      <c r="BS9" s="193">
        <f t="shared" si="4"/>
        <v>0.78</v>
      </c>
      <c r="BT9" s="173">
        <f>BT8+1</f>
        <v>3</v>
      </c>
      <c r="BV9" s="176"/>
    </row>
    <row r="10" spans="1:74" x14ac:dyDescent="0.25">
      <c r="A10" s="30" t="s">
        <v>12</v>
      </c>
      <c r="B10" s="35" t="s">
        <v>12</v>
      </c>
      <c r="C10" s="37"/>
      <c r="D10" s="37"/>
      <c r="E10" s="37">
        <v>1000</v>
      </c>
      <c r="F10" s="37"/>
      <c r="G10" s="37"/>
      <c r="H10" s="37"/>
      <c r="I10" s="37"/>
      <c r="J10" s="37"/>
      <c r="K10" s="378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196">
        <f t="shared" si="5"/>
        <v>0.45054106548279688</v>
      </c>
      <c r="BH10" s="42">
        <f t="shared" si="6"/>
        <v>0.76304106548279682</v>
      </c>
      <c r="BI10" s="21">
        <v>1901</v>
      </c>
      <c r="BJ10" s="42">
        <f t="shared" si="7"/>
        <v>3.2000000000000006</v>
      </c>
      <c r="BK10" s="38" t="s">
        <v>13</v>
      </c>
      <c r="BL10" s="23" t="s">
        <v>14</v>
      </c>
      <c r="BM10" s="38">
        <v>3000</v>
      </c>
      <c r="BN10" s="38">
        <v>0</v>
      </c>
      <c r="BO10" s="38">
        <f t="shared" si="8"/>
        <v>1000</v>
      </c>
      <c r="BP10" s="79">
        <v>1.44</v>
      </c>
      <c r="BR10" s="196">
        <f t="shared" si="3"/>
        <v>0.3125</v>
      </c>
      <c r="BS10" s="193">
        <f t="shared" si="4"/>
        <v>0.90100000000000002</v>
      </c>
      <c r="BT10" s="535">
        <f t="shared" ref="BT10:BT73" si="9">BT9+1</f>
        <v>4</v>
      </c>
      <c r="BV10" s="176"/>
    </row>
    <row r="11" spans="1:74" x14ac:dyDescent="0.25">
      <c r="A11" s="30" t="s">
        <v>20</v>
      </c>
      <c r="B11" s="35" t="s">
        <v>12</v>
      </c>
      <c r="C11" s="37"/>
      <c r="D11" s="37"/>
      <c r="E11" s="37">
        <v>1000</v>
      </c>
      <c r="F11" s="37"/>
      <c r="G11" s="37"/>
      <c r="H11" s="37"/>
      <c r="I11" s="37"/>
      <c r="J11" s="37"/>
      <c r="K11" s="378"/>
      <c r="L11" s="37"/>
      <c r="M11" s="37"/>
      <c r="N11" s="37"/>
      <c r="O11" s="37">
        <v>120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196">
        <f t="shared" si="5"/>
        <v>1.0884703645423555</v>
      </c>
      <c r="BH11" s="196">
        <f t="shared" si="6"/>
        <v>1.4481772882244954</v>
      </c>
      <c r="BI11" s="21">
        <v>1525</v>
      </c>
      <c r="BJ11" s="42">
        <f t="shared" si="7"/>
        <v>2.7800410116199594</v>
      </c>
      <c r="BK11" s="38" t="s">
        <v>18</v>
      </c>
      <c r="BL11" s="23" t="s">
        <v>14</v>
      </c>
      <c r="BM11" s="20">
        <v>3000</v>
      </c>
      <c r="BN11" s="38">
        <v>12</v>
      </c>
      <c r="BO11" s="38">
        <f t="shared" si="8"/>
        <v>1120</v>
      </c>
      <c r="BP11" s="79">
        <v>1.44</v>
      </c>
      <c r="BR11" s="196">
        <f t="shared" si="3"/>
        <v>0.35970692368214002</v>
      </c>
      <c r="BS11" s="193">
        <f t="shared" si="4"/>
        <v>0.52499999999999991</v>
      </c>
      <c r="BT11" s="535">
        <f t="shared" si="9"/>
        <v>5</v>
      </c>
      <c r="BV11" s="176"/>
    </row>
    <row r="12" spans="1:74" x14ac:dyDescent="0.25">
      <c r="A12" s="30" t="s">
        <v>15</v>
      </c>
      <c r="B12" s="35" t="s">
        <v>12</v>
      </c>
      <c r="C12" s="37"/>
      <c r="D12" s="37"/>
      <c r="E12" s="37">
        <v>1000</v>
      </c>
      <c r="F12" s="37"/>
      <c r="G12" s="37"/>
      <c r="H12" s="37"/>
      <c r="I12" s="37"/>
      <c r="J12" s="37"/>
      <c r="K12" s="378"/>
      <c r="L12" s="37"/>
      <c r="M12" s="37"/>
      <c r="N12" s="37"/>
      <c r="O12" s="37">
        <v>20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196">
        <f t="shared" si="5"/>
        <v>0.55856707811283002</v>
      </c>
      <c r="BH12" s="196">
        <f t="shared" si="6"/>
        <v>0.87893489872651998</v>
      </c>
      <c r="BI12" s="21">
        <v>1796</v>
      </c>
      <c r="BJ12" s="42">
        <f t="shared" si="7"/>
        <v>3.1214121258633925</v>
      </c>
      <c r="BK12" s="38" t="s">
        <v>13</v>
      </c>
      <c r="BL12" s="23" t="s">
        <v>14</v>
      </c>
      <c r="BM12" s="20">
        <v>3000</v>
      </c>
      <c r="BN12" s="38">
        <v>2</v>
      </c>
      <c r="BO12" s="38">
        <f t="shared" si="8"/>
        <v>1020</v>
      </c>
      <c r="BP12" s="79">
        <v>1.44</v>
      </c>
      <c r="BR12" s="196">
        <f t="shared" si="3"/>
        <v>0.32036782061369001</v>
      </c>
      <c r="BS12" s="193">
        <f t="shared" si="4"/>
        <v>0.79600000000000004</v>
      </c>
      <c r="BT12" s="535">
        <f t="shared" si="9"/>
        <v>6</v>
      </c>
      <c r="BV12" s="176"/>
    </row>
    <row r="13" spans="1:74" x14ac:dyDescent="0.25">
      <c r="A13" s="30" t="s">
        <v>16</v>
      </c>
      <c r="B13" s="35" t="s">
        <v>12</v>
      </c>
      <c r="C13" s="37"/>
      <c r="D13" s="37"/>
      <c r="E13" s="37">
        <v>1000</v>
      </c>
      <c r="F13" s="37"/>
      <c r="G13" s="37"/>
      <c r="H13" s="37"/>
      <c r="I13" s="37"/>
      <c r="J13" s="37"/>
      <c r="K13" s="378"/>
      <c r="L13" s="37"/>
      <c r="M13" s="37"/>
      <c r="N13" s="37"/>
      <c r="O13" s="37">
        <v>40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196">
        <f t="shared" si="5"/>
        <v>0.66307962168713253</v>
      </c>
      <c r="BH13" s="196">
        <f t="shared" si="6"/>
        <v>0.99131526291451255</v>
      </c>
      <c r="BI13" s="21">
        <v>1718</v>
      </c>
      <c r="BJ13" s="42">
        <f t="shared" si="7"/>
        <v>3.0465917602996253</v>
      </c>
      <c r="BK13" s="38" t="s">
        <v>13</v>
      </c>
      <c r="BL13" s="23" t="s">
        <v>14</v>
      </c>
      <c r="BM13" s="20">
        <v>3000</v>
      </c>
      <c r="BN13" s="38">
        <v>4</v>
      </c>
      <c r="BO13" s="38">
        <f t="shared" si="8"/>
        <v>1040</v>
      </c>
      <c r="BP13" s="79">
        <v>1.44</v>
      </c>
      <c r="BR13" s="196">
        <f t="shared" si="3"/>
        <v>0.32823564122738003</v>
      </c>
      <c r="BS13" s="193">
        <f t="shared" si="4"/>
        <v>0.71799999999999997</v>
      </c>
      <c r="BT13" s="535">
        <f t="shared" si="9"/>
        <v>7</v>
      </c>
      <c r="BV13" s="176"/>
    </row>
    <row r="14" spans="1:74" x14ac:dyDescent="0.25">
      <c r="A14" s="30" t="s">
        <v>17</v>
      </c>
      <c r="B14" s="35" t="s">
        <v>12</v>
      </c>
      <c r="C14" s="37"/>
      <c r="D14" s="37"/>
      <c r="E14" s="37">
        <v>1000</v>
      </c>
      <c r="F14" s="37"/>
      <c r="G14" s="37"/>
      <c r="H14" s="37"/>
      <c r="I14" s="37"/>
      <c r="J14" s="37"/>
      <c r="K14" s="378"/>
      <c r="L14" s="37"/>
      <c r="M14" s="37"/>
      <c r="N14" s="37"/>
      <c r="O14" s="37">
        <v>60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196">
        <f t="shared" si="5"/>
        <v>0.75082827713630229</v>
      </c>
      <c r="BH14" s="196">
        <f t="shared" si="6"/>
        <v>1.0869317389773723</v>
      </c>
      <c r="BI14" s="21">
        <v>1666</v>
      </c>
      <c r="BJ14" s="42">
        <f t="shared" si="7"/>
        <v>2.9752743233357721</v>
      </c>
      <c r="BK14" s="38" t="s">
        <v>18</v>
      </c>
      <c r="BL14" s="23" t="s">
        <v>14</v>
      </c>
      <c r="BM14" s="20">
        <v>3000</v>
      </c>
      <c r="BN14" s="38">
        <v>6</v>
      </c>
      <c r="BO14" s="38">
        <f t="shared" si="8"/>
        <v>1060</v>
      </c>
      <c r="BP14" s="79">
        <v>1.44</v>
      </c>
      <c r="BR14" s="196">
        <f t="shared" si="3"/>
        <v>0.33610346184107004</v>
      </c>
      <c r="BS14" s="193">
        <f t="shared" si="4"/>
        <v>0.66599999999999993</v>
      </c>
      <c r="BT14" s="535">
        <f t="shared" si="9"/>
        <v>8</v>
      </c>
      <c r="BV14" s="176"/>
    </row>
    <row r="15" spans="1:74" x14ac:dyDescent="0.25">
      <c r="A15" s="30" t="s">
        <v>19</v>
      </c>
      <c r="B15" s="35" t="s">
        <v>12</v>
      </c>
      <c r="C15" s="37"/>
      <c r="D15" s="37"/>
      <c r="E15" s="37">
        <v>1000</v>
      </c>
      <c r="F15" s="37"/>
      <c r="G15" s="37"/>
      <c r="H15" s="37"/>
      <c r="I15" s="37"/>
      <c r="J15" s="37"/>
      <c r="K15" s="378"/>
      <c r="L15" s="37"/>
      <c r="M15" s="37"/>
      <c r="N15" s="37"/>
      <c r="O15" s="37">
        <v>80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196">
        <f t="shared" si="5"/>
        <v>0.87664018942789323</v>
      </c>
      <c r="BH15" s="196">
        <f t="shared" si="6"/>
        <v>1.2206114718826533</v>
      </c>
      <c r="BI15" s="21">
        <v>1603</v>
      </c>
      <c r="BJ15" s="42">
        <f t="shared" si="7"/>
        <v>2.9072194424588989</v>
      </c>
      <c r="BK15" s="38" t="s">
        <v>18</v>
      </c>
      <c r="BL15" s="23" t="s">
        <v>14</v>
      </c>
      <c r="BM15" s="20">
        <v>3000</v>
      </c>
      <c r="BN15" s="38">
        <v>8</v>
      </c>
      <c r="BO15" s="38">
        <f t="shared" si="8"/>
        <v>1080</v>
      </c>
      <c r="BP15" s="79">
        <v>1.44</v>
      </c>
      <c r="BR15" s="196">
        <f t="shared" si="3"/>
        <v>0.34397128245476005</v>
      </c>
      <c r="BS15" s="193">
        <f t="shared" si="4"/>
        <v>0.60299999999999998</v>
      </c>
      <c r="BT15" s="535">
        <f t="shared" si="9"/>
        <v>9</v>
      </c>
      <c r="BV15" s="176"/>
    </row>
    <row r="16" spans="1:74" x14ac:dyDescent="0.25">
      <c r="A16" s="30" t="s">
        <v>21</v>
      </c>
      <c r="B16" s="35" t="s">
        <v>21</v>
      </c>
      <c r="C16" s="37"/>
      <c r="D16" s="37"/>
      <c r="E16" s="37">
        <v>620</v>
      </c>
      <c r="F16" s="37"/>
      <c r="G16" s="37"/>
      <c r="H16" s="37"/>
      <c r="I16" s="37">
        <v>380</v>
      </c>
      <c r="J16" s="37"/>
      <c r="K16" s="378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196">
        <f t="shared" si="5"/>
        <v>0.4832232384823848</v>
      </c>
      <c r="BH16" s="196">
        <f t="shared" si="6"/>
        <v>0.86233909214092141</v>
      </c>
      <c r="BI16" s="21">
        <v>1720</v>
      </c>
      <c r="BJ16" s="42">
        <f t="shared" si="7"/>
        <v>2.6377161238439886</v>
      </c>
      <c r="BK16" s="38" t="s">
        <v>13</v>
      </c>
      <c r="BL16" s="23" t="s">
        <v>14</v>
      </c>
      <c r="BM16" s="38">
        <v>3002</v>
      </c>
      <c r="BN16" s="38">
        <v>0</v>
      </c>
      <c r="BO16" s="38">
        <f t="shared" si="8"/>
        <v>1000</v>
      </c>
      <c r="BP16" s="79">
        <v>1.29</v>
      </c>
      <c r="BR16" s="196">
        <f t="shared" si="3"/>
        <v>0.37911585365853662</v>
      </c>
      <c r="BS16" s="193">
        <f t="shared" si="4"/>
        <v>0.72</v>
      </c>
      <c r="BT16" s="535">
        <f t="shared" si="9"/>
        <v>10</v>
      </c>
      <c r="BV16" s="176"/>
    </row>
    <row r="17" spans="1:74" x14ac:dyDescent="0.25">
      <c r="A17" s="30" t="s">
        <v>22</v>
      </c>
      <c r="B17" s="35" t="s">
        <v>21</v>
      </c>
      <c r="C17" s="37"/>
      <c r="D17" s="37"/>
      <c r="E17" s="37">
        <v>566</v>
      </c>
      <c r="F17" s="37"/>
      <c r="G17" s="37"/>
      <c r="H17" s="37"/>
      <c r="I17" s="37"/>
      <c r="J17" s="37">
        <v>434</v>
      </c>
      <c r="K17" s="378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196">
        <f t="shared" si="5"/>
        <v>0.54762323864656248</v>
      </c>
      <c r="BH17" s="196">
        <f t="shared" si="6"/>
        <v>0.89978095270148972</v>
      </c>
      <c r="BI17" s="21">
        <v>1720</v>
      </c>
      <c r="BJ17" s="42">
        <f t="shared" si="7"/>
        <v>2.8396367879762718</v>
      </c>
      <c r="BK17" s="38" t="s">
        <v>13</v>
      </c>
      <c r="BL17" s="23" t="s">
        <v>14</v>
      </c>
      <c r="BM17" s="20">
        <v>3002</v>
      </c>
      <c r="BN17" s="38">
        <v>0</v>
      </c>
      <c r="BO17" s="38">
        <f t="shared" si="8"/>
        <v>1000</v>
      </c>
      <c r="BP17" s="79">
        <v>1.35</v>
      </c>
      <c r="BR17" s="196">
        <f t="shared" si="3"/>
        <v>0.3521577140549273</v>
      </c>
      <c r="BS17" s="193">
        <f t="shared" si="4"/>
        <v>0.72</v>
      </c>
      <c r="BT17" s="535">
        <f t="shared" si="9"/>
        <v>11</v>
      </c>
      <c r="BV17" s="176"/>
    </row>
    <row r="18" spans="1:74" x14ac:dyDescent="0.25">
      <c r="A18" s="30" t="s">
        <v>33</v>
      </c>
      <c r="B18" s="35" t="s">
        <v>21</v>
      </c>
      <c r="C18" s="37"/>
      <c r="D18" s="37"/>
      <c r="E18" s="37">
        <v>620</v>
      </c>
      <c r="F18" s="37"/>
      <c r="G18" s="37"/>
      <c r="H18" s="37"/>
      <c r="I18" s="37">
        <v>380</v>
      </c>
      <c r="J18" s="37"/>
      <c r="K18" s="378"/>
      <c r="L18" s="37"/>
      <c r="M18" s="37"/>
      <c r="N18" s="37"/>
      <c r="O18" s="37">
        <v>120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196">
        <f t="shared" si="5"/>
        <v>1.1290073183080305</v>
      </c>
      <c r="BH18" s="196">
        <f t="shared" si="6"/>
        <v>1.5553300956487071</v>
      </c>
      <c r="BI18" s="21">
        <v>1446</v>
      </c>
      <c r="BJ18" s="42">
        <f t="shared" si="7"/>
        <v>2.3456405642640461</v>
      </c>
      <c r="BK18" s="38" t="s">
        <v>18</v>
      </c>
      <c r="BL18" s="23" t="s">
        <v>14</v>
      </c>
      <c r="BM18" s="20">
        <v>3002</v>
      </c>
      <c r="BN18" s="38">
        <v>12</v>
      </c>
      <c r="BO18" s="38">
        <f t="shared" si="8"/>
        <v>1120</v>
      </c>
      <c r="BP18" s="79">
        <v>1.29</v>
      </c>
      <c r="BR18" s="196">
        <f t="shared" si="3"/>
        <v>0.42632277734067664</v>
      </c>
      <c r="BS18" s="193">
        <f t="shared" si="4"/>
        <v>0.44599999999999995</v>
      </c>
      <c r="BT18" s="535">
        <f t="shared" si="9"/>
        <v>12</v>
      </c>
      <c r="BV18" s="176"/>
    </row>
    <row r="19" spans="1:74" x14ac:dyDescent="0.25">
      <c r="A19" s="30" t="s">
        <v>34</v>
      </c>
      <c r="B19" s="35" t="s">
        <v>21</v>
      </c>
      <c r="C19" s="37"/>
      <c r="D19" s="37"/>
      <c r="E19" s="37">
        <v>566</v>
      </c>
      <c r="F19" s="37"/>
      <c r="G19" s="37"/>
      <c r="H19" s="37"/>
      <c r="I19" s="37"/>
      <c r="J19" s="37">
        <v>434</v>
      </c>
      <c r="K19" s="378"/>
      <c r="L19" s="37"/>
      <c r="M19" s="37"/>
      <c r="N19" s="37"/>
      <c r="O19" s="37">
        <v>120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196">
        <f t="shared" si="5"/>
        <v>1.2164097171125574</v>
      </c>
      <c r="BH19" s="196">
        <f t="shared" si="6"/>
        <v>1.6157743548496248</v>
      </c>
      <c r="BI19" s="21">
        <v>1446</v>
      </c>
      <c r="BJ19" s="42">
        <f t="shared" si="7"/>
        <v>2.5039773317595966</v>
      </c>
      <c r="BK19" s="38" t="s">
        <v>18</v>
      </c>
      <c r="BL19" s="23" t="s">
        <v>14</v>
      </c>
      <c r="BM19" s="20">
        <v>3002</v>
      </c>
      <c r="BN19" s="38">
        <v>12</v>
      </c>
      <c r="BO19" s="38">
        <f t="shared" si="8"/>
        <v>1120</v>
      </c>
      <c r="BP19" s="79">
        <v>1.35</v>
      </c>
      <c r="BR19" s="196">
        <f t="shared" si="3"/>
        <v>0.39936463773706732</v>
      </c>
      <c r="BS19" s="193">
        <f t="shared" si="4"/>
        <v>0.44599999999999995</v>
      </c>
      <c r="BT19" s="535">
        <f t="shared" si="9"/>
        <v>13</v>
      </c>
      <c r="BV19" s="176"/>
    </row>
    <row r="20" spans="1:74" x14ac:dyDescent="0.25">
      <c r="A20" s="30" t="s">
        <v>23</v>
      </c>
      <c r="B20" s="35" t="s">
        <v>21</v>
      </c>
      <c r="C20" s="37"/>
      <c r="D20" s="37"/>
      <c r="E20" s="37">
        <v>620</v>
      </c>
      <c r="F20" s="37"/>
      <c r="G20" s="37"/>
      <c r="H20" s="37"/>
      <c r="I20" s="37">
        <v>380</v>
      </c>
      <c r="J20" s="37"/>
      <c r="K20" s="378"/>
      <c r="L20" s="37"/>
      <c r="M20" s="37"/>
      <c r="N20" s="37"/>
      <c r="O20" s="37">
        <v>20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196">
        <f t="shared" si="5"/>
        <v>0.59291775874290253</v>
      </c>
      <c r="BH20" s="196">
        <f t="shared" si="6"/>
        <v>0.97990143301512922</v>
      </c>
      <c r="BI20" s="21">
        <v>1646</v>
      </c>
      <c r="BJ20" s="42">
        <f t="shared" si="7"/>
        <v>2.5840883388185056</v>
      </c>
      <c r="BK20" s="38" t="s">
        <v>13</v>
      </c>
      <c r="BL20" s="23" t="s">
        <v>24</v>
      </c>
      <c r="BM20" s="20">
        <v>3002</v>
      </c>
      <c r="BN20" s="38">
        <v>2</v>
      </c>
      <c r="BO20" s="38">
        <f t="shared" si="8"/>
        <v>1020</v>
      </c>
      <c r="BP20" s="79">
        <v>1.29</v>
      </c>
      <c r="BR20" s="196">
        <f t="shared" si="3"/>
        <v>0.38698367427222663</v>
      </c>
      <c r="BS20" s="193">
        <f t="shared" si="4"/>
        <v>0.64599999999999991</v>
      </c>
      <c r="BT20" s="535">
        <f t="shared" si="9"/>
        <v>14</v>
      </c>
      <c r="BV20" s="176"/>
    </row>
    <row r="21" spans="1:74" x14ac:dyDescent="0.25">
      <c r="A21" s="30" t="s">
        <v>25</v>
      </c>
      <c r="B21" s="35" t="s">
        <v>21</v>
      </c>
      <c r="C21" s="37"/>
      <c r="D21" s="37"/>
      <c r="E21" s="37">
        <v>566</v>
      </c>
      <c r="F21" s="37"/>
      <c r="G21" s="37"/>
      <c r="H21" s="37"/>
      <c r="I21" s="37"/>
      <c r="J21" s="37">
        <v>434</v>
      </c>
      <c r="K21" s="378"/>
      <c r="L21" s="37"/>
      <c r="M21" s="37"/>
      <c r="N21" s="37"/>
      <c r="O21" s="37">
        <v>20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196">
        <f t="shared" si="5"/>
        <v>0.6616067646059689</v>
      </c>
      <c r="BH21" s="196">
        <f t="shared" si="6"/>
        <v>1.0216322992745863</v>
      </c>
      <c r="BI21" s="21">
        <v>1646</v>
      </c>
      <c r="BJ21" s="42">
        <f t="shared" si="7"/>
        <v>2.7775807649877997</v>
      </c>
      <c r="BK21" s="38" t="s">
        <v>13</v>
      </c>
      <c r="BL21" s="23" t="s">
        <v>24</v>
      </c>
      <c r="BM21" s="20">
        <v>3002</v>
      </c>
      <c r="BN21" s="38">
        <v>2</v>
      </c>
      <c r="BO21" s="38">
        <f t="shared" si="8"/>
        <v>1020</v>
      </c>
      <c r="BP21" s="79">
        <v>1.35</v>
      </c>
      <c r="BR21" s="196">
        <f t="shared" si="3"/>
        <v>0.36002553466861731</v>
      </c>
      <c r="BS21" s="193">
        <f t="shared" si="4"/>
        <v>0.64599999999999991</v>
      </c>
      <c r="BT21" s="535">
        <f t="shared" si="9"/>
        <v>15</v>
      </c>
      <c r="BV21" s="176"/>
    </row>
    <row r="22" spans="1:74" x14ac:dyDescent="0.25">
      <c r="A22" s="30" t="s">
        <v>26</v>
      </c>
      <c r="B22" s="35" t="s">
        <v>21</v>
      </c>
      <c r="C22" s="37"/>
      <c r="D22" s="37"/>
      <c r="E22" s="37">
        <v>620</v>
      </c>
      <c r="F22" s="37"/>
      <c r="G22" s="37"/>
      <c r="H22" s="37"/>
      <c r="I22" s="37">
        <v>380</v>
      </c>
      <c r="J22" s="37"/>
      <c r="K22" s="378"/>
      <c r="L22" s="37"/>
      <c r="M22" s="37"/>
      <c r="N22" s="37"/>
      <c r="O22" s="37">
        <v>40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196">
        <f t="shared" si="5"/>
        <v>0.69862054768032611</v>
      </c>
      <c r="BH22" s="196">
        <f t="shared" si="6"/>
        <v>1.0934720425662428</v>
      </c>
      <c r="BI22" s="21">
        <v>1590</v>
      </c>
      <c r="BJ22" s="42">
        <f t="shared" si="7"/>
        <v>2.5325977309239445</v>
      </c>
      <c r="BK22" s="38" t="s">
        <v>13</v>
      </c>
      <c r="BL22" s="23" t="s">
        <v>27</v>
      </c>
      <c r="BM22" s="20">
        <v>3002</v>
      </c>
      <c r="BN22" s="38">
        <v>4</v>
      </c>
      <c r="BO22" s="38">
        <f t="shared" si="8"/>
        <v>1040</v>
      </c>
      <c r="BP22" s="79">
        <v>1.29</v>
      </c>
      <c r="BR22" s="196">
        <f t="shared" si="3"/>
        <v>0.39485149488591664</v>
      </c>
      <c r="BS22" s="193">
        <f t="shared" si="4"/>
        <v>0.59000000000000008</v>
      </c>
      <c r="BT22" s="535">
        <f t="shared" si="9"/>
        <v>16</v>
      </c>
      <c r="BV22" s="176"/>
    </row>
    <row r="23" spans="1:74" x14ac:dyDescent="0.25">
      <c r="A23" s="30" t="s">
        <v>28</v>
      </c>
      <c r="B23" s="35" t="s">
        <v>21</v>
      </c>
      <c r="C23" s="37"/>
      <c r="D23" s="37"/>
      <c r="E23" s="37">
        <v>566</v>
      </c>
      <c r="F23" s="37"/>
      <c r="G23" s="37"/>
      <c r="H23" s="37"/>
      <c r="I23" s="37"/>
      <c r="J23" s="37">
        <v>434</v>
      </c>
      <c r="K23" s="378"/>
      <c r="L23" s="37"/>
      <c r="M23" s="37"/>
      <c r="N23" s="37"/>
      <c r="O23" s="37">
        <v>40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196">
        <f t="shared" si="5"/>
        <v>0.77127044932395139</v>
      </c>
      <c r="BH23" s="196">
        <f t="shared" si="6"/>
        <v>1.1391638046062587</v>
      </c>
      <c r="BI23" s="21">
        <v>1590</v>
      </c>
      <c r="BJ23" s="42">
        <f t="shared" si="7"/>
        <v>2.7181790202017599</v>
      </c>
      <c r="BK23" s="38" t="s">
        <v>13</v>
      </c>
      <c r="BL23" s="23" t="s">
        <v>27</v>
      </c>
      <c r="BM23" s="20">
        <v>3002</v>
      </c>
      <c r="BN23" s="38">
        <v>4</v>
      </c>
      <c r="BO23" s="38">
        <f t="shared" si="8"/>
        <v>1040</v>
      </c>
      <c r="BP23" s="79">
        <v>1.35</v>
      </c>
      <c r="BR23" s="196">
        <f t="shared" si="3"/>
        <v>0.36789335528230732</v>
      </c>
      <c r="BS23" s="193">
        <f t="shared" si="4"/>
        <v>0.59000000000000008</v>
      </c>
      <c r="BT23" s="535">
        <f t="shared" si="9"/>
        <v>17</v>
      </c>
      <c r="BV23" s="176"/>
    </row>
    <row r="24" spans="1:74" x14ac:dyDescent="0.25">
      <c r="A24" s="30" t="s">
        <v>29</v>
      </c>
      <c r="B24" s="35" t="s">
        <v>21</v>
      </c>
      <c r="C24" s="37"/>
      <c r="D24" s="37"/>
      <c r="E24" s="37">
        <v>620</v>
      </c>
      <c r="F24" s="37"/>
      <c r="G24" s="37"/>
      <c r="H24" s="37"/>
      <c r="I24" s="37">
        <v>380</v>
      </c>
      <c r="J24" s="37"/>
      <c r="K24" s="378"/>
      <c r="L24" s="37"/>
      <c r="M24" s="37"/>
      <c r="N24" s="37"/>
      <c r="O24" s="37">
        <v>60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196">
        <f t="shared" si="5"/>
        <v>0.78800656221849719</v>
      </c>
      <c r="BH24" s="196">
        <f t="shared" si="6"/>
        <v>1.1907258777181038</v>
      </c>
      <c r="BI24" s="21">
        <v>1552</v>
      </c>
      <c r="BJ24" s="42">
        <f t="shared" si="7"/>
        <v>2.4831190397694667</v>
      </c>
      <c r="BK24" s="38" t="s">
        <v>13</v>
      </c>
      <c r="BL24" s="23" t="s">
        <v>14</v>
      </c>
      <c r="BM24" s="20">
        <v>3002</v>
      </c>
      <c r="BN24" s="38">
        <v>6</v>
      </c>
      <c r="BO24" s="38">
        <f t="shared" si="8"/>
        <v>1060</v>
      </c>
      <c r="BP24" s="79">
        <v>1.29</v>
      </c>
      <c r="BR24" s="196">
        <f t="shared" si="3"/>
        <v>0.40271931549960666</v>
      </c>
      <c r="BS24" s="193">
        <f t="shared" si="4"/>
        <v>0.55200000000000005</v>
      </c>
      <c r="BT24" s="535">
        <f t="shared" si="9"/>
        <v>18</v>
      </c>
      <c r="BV24" s="176"/>
    </row>
    <row r="25" spans="1:74" x14ac:dyDescent="0.25">
      <c r="A25" s="30" t="s">
        <v>30</v>
      </c>
      <c r="B25" s="35" t="s">
        <v>21</v>
      </c>
      <c r="C25" s="37"/>
      <c r="D25" s="37"/>
      <c r="E25" s="37">
        <v>566</v>
      </c>
      <c r="F25" s="37"/>
      <c r="G25" s="37"/>
      <c r="H25" s="37"/>
      <c r="I25" s="37"/>
      <c r="J25" s="37">
        <v>434</v>
      </c>
      <c r="K25" s="378"/>
      <c r="L25" s="37"/>
      <c r="M25" s="37"/>
      <c r="N25" s="37"/>
      <c r="O25" s="37">
        <v>60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196">
        <f t="shared" si="5"/>
        <v>0.86380191124893502</v>
      </c>
      <c r="BH25" s="196">
        <f t="shared" si="6"/>
        <v>1.2395630871449324</v>
      </c>
      <c r="BI25" s="21">
        <v>1552</v>
      </c>
      <c r="BJ25" s="42">
        <f t="shared" si="7"/>
        <v>2.6612648249663202</v>
      </c>
      <c r="BK25" s="38" t="s">
        <v>13</v>
      </c>
      <c r="BL25" s="23" t="s">
        <v>14</v>
      </c>
      <c r="BM25" s="20">
        <v>3002</v>
      </c>
      <c r="BN25" s="38">
        <v>6</v>
      </c>
      <c r="BO25" s="38">
        <f t="shared" si="8"/>
        <v>1060</v>
      </c>
      <c r="BP25" s="79">
        <v>1.35</v>
      </c>
      <c r="BR25" s="196">
        <f t="shared" si="3"/>
        <v>0.37576117589599733</v>
      </c>
      <c r="BS25" s="193">
        <f t="shared" si="4"/>
        <v>0.55200000000000005</v>
      </c>
      <c r="BT25" s="535">
        <f t="shared" si="9"/>
        <v>19</v>
      </c>
      <c r="BV25" s="176"/>
    </row>
    <row r="26" spans="1:74" x14ac:dyDescent="0.25">
      <c r="A26" s="30" t="s">
        <v>31</v>
      </c>
      <c r="B26" s="35" t="s">
        <v>21</v>
      </c>
      <c r="C26" s="37"/>
      <c r="D26" s="37"/>
      <c r="E26" s="37">
        <v>620</v>
      </c>
      <c r="F26" s="37"/>
      <c r="G26" s="37"/>
      <c r="H26" s="37"/>
      <c r="I26" s="37">
        <v>380</v>
      </c>
      <c r="J26" s="37"/>
      <c r="K26" s="378"/>
      <c r="L26" s="37"/>
      <c r="M26" s="37"/>
      <c r="N26" s="37"/>
      <c r="O26" s="37">
        <v>80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196">
        <f t="shared" si="5"/>
        <v>0.91498289138512612</v>
      </c>
      <c r="BH26" s="196">
        <f t="shared" si="6"/>
        <v>1.3255700274984228</v>
      </c>
      <c r="BI26" s="21">
        <v>1505</v>
      </c>
      <c r="BJ26" s="42">
        <f t="shared" si="7"/>
        <v>2.4355366061056083</v>
      </c>
      <c r="BK26" s="38" t="s">
        <v>18</v>
      </c>
      <c r="BL26" s="23" t="s">
        <v>14</v>
      </c>
      <c r="BM26" s="20">
        <v>3002</v>
      </c>
      <c r="BN26" s="38">
        <v>8</v>
      </c>
      <c r="BO26" s="38">
        <f t="shared" si="8"/>
        <v>1080</v>
      </c>
      <c r="BP26" s="79">
        <v>1.29</v>
      </c>
      <c r="BR26" s="196">
        <f t="shared" si="3"/>
        <v>0.41058713611329667</v>
      </c>
      <c r="BS26" s="193">
        <f t="shared" si="4"/>
        <v>0.50499999999999989</v>
      </c>
      <c r="BT26" s="535">
        <f t="shared" si="9"/>
        <v>20</v>
      </c>
      <c r="BV26" s="176"/>
    </row>
    <row r="27" spans="1:74" x14ac:dyDescent="0.25">
      <c r="A27" s="30" t="s">
        <v>32</v>
      </c>
      <c r="B27" s="35" t="s">
        <v>21</v>
      </c>
      <c r="C27" s="37"/>
      <c r="D27" s="37"/>
      <c r="E27" s="37">
        <v>566</v>
      </c>
      <c r="F27" s="37"/>
      <c r="G27" s="37"/>
      <c r="H27" s="37"/>
      <c r="I27" s="37"/>
      <c r="J27" s="37">
        <v>434</v>
      </c>
      <c r="K27" s="378"/>
      <c r="L27" s="37"/>
      <c r="M27" s="37"/>
      <c r="N27" s="37"/>
      <c r="O27" s="37">
        <v>80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196">
        <f t="shared" si="5"/>
        <v>0.99532348564934769</v>
      </c>
      <c r="BH27" s="196">
        <f t="shared" si="6"/>
        <v>1.3789524821590351</v>
      </c>
      <c r="BI27" s="21">
        <v>1505</v>
      </c>
      <c r="BJ27" s="42">
        <f t="shared" si="7"/>
        <v>2.6066851283353083</v>
      </c>
      <c r="BK27" s="38" t="s">
        <v>18</v>
      </c>
      <c r="BL27" s="23" t="s">
        <v>14</v>
      </c>
      <c r="BM27" s="20">
        <v>3002</v>
      </c>
      <c r="BN27" s="38">
        <v>8</v>
      </c>
      <c r="BO27" s="38">
        <f t="shared" si="8"/>
        <v>1080</v>
      </c>
      <c r="BP27" s="79">
        <v>1.35</v>
      </c>
      <c r="BR27" s="196">
        <f t="shared" si="3"/>
        <v>0.38362899650968735</v>
      </c>
      <c r="BS27" s="193">
        <f t="shared" si="4"/>
        <v>0.50499999999999989</v>
      </c>
      <c r="BT27" s="535">
        <f t="shared" si="9"/>
        <v>21</v>
      </c>
      <c r="BV27" s="176"/>
    </row>
    <row r="28" spans="1:74" x14ac:dyDescent="0.25">
      <c r="A28" s="174" t="s">
        <v>35</v>
      </c>
      <c r="B28" s="35" t="s">
        <v>35</v>
      </c>
      <c r="C28" s="37"/>
      <c r="D28" s="37"/>
      <c r="E28" s="37">
        <v>435</v>
      </c>
      <c r="F28" s="37"/>
      <c r="G28" s="37"/>
      <c r="H28" s="37"/>
      <c r="I28" s="37">
        <v>565</v>
      </c>
      <c r="J28" s="37"/>
      <c r="K28" s="378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196">
        <f t="shared" si="5"/>
        <v>0.49515959120974096</v>
      </c>
      <c r="BH28" s="196">
        <f t="shared" si="6"/>
        <v>0.90670684730730189</v>
      </c>
      <c r="BI28" s="21">
        <v>1649</v>
      </c>
      <c r="BJ28" s="42">
        <f t="shared" si="7"/>
        <v>2.4298546161681638</v>
      </c>
      <c r="BK28" s="38" t="s">
        <v>13</v>
      </c>
      <c r="BL28" s="23" t="s">
        <v>14</v>
      </c>
      <c r="BM28" s="38" t="s">
        <v>36</v>
      </c>
      <c r="BN28" s="38">
        <v>0</v>
      </c>
      <c r="BO28" s="38">
        <f t="shared" si="8"/>
        <v>1000</v>
      </c>
      <c r="BP28" s="79">
        <v>1.1599999999999999</v>
      </c>
      <c r="BR28" s="196">
        <f t="shared" si="3"/>
        <v>0.41154725609756099</v>
      </c>
      <c r="BS28" s="193">
        <f t="shared" si="4"/>
        <v>0.64900000000000002</v>
      </c>
      <c r="BT28" s="535">
        <f t="shared" si="9"/>
        <v>22</v>
      </c>
      <c r="BV28" s="176"/>
    </row>
    <row r="29" spans="1:74" x14ac:dyDescent="0.25">
      <c r="A29" s="174" t="s">
        <v>37</v>
      </c>
      <c r="B29" s="35" t="s">
        <v>35</v>
      </c>
      <c r="C29" s="37"/>
      <c r="D29" s="37"/>
      <c r="E29" s="37">
        <v>392</v>
      </c>
      <c r="F29" s="37"/>
      <c r="G29" s="37"/>
      <c r="H29" s="37"/>
      <c r="I29" s="37"/>
      <c r="J29" s="37">
        <v>608</v>
      </c>
      <c r="K29" s="378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196">
        <f t="shared" si="5"/>
        <v>0.60566013700710175</v>
      </c>
      <c r="BH29" s="196">
        <f t="shared" si="6"/>
        <v>0.97371748757252985</v>
      </c>
      <c r="BI29" s="21">
        <v>1649</v>
      </c>
      <c r="BJ29" s="42">
        <f t="shared" si="7"/>
        <v>2.7169678814014988</v>
      </c>
      <c r="BK29" s="38" t="s">
        <v>13</v>
      </c>
      <c r="BL29" s="23" t="s">
        <v>14</v>
      </c>
      <c r="BM29" s="20" t="s">
        <v>36</v>
      </c>
      <c r="BN29" s="38">
        <v>0</v>
      </c>
      <c r="BO29" s="38">
        <f t="shared" si="8"/>
        <v>1000</v>
      </c>
      <c r="BP29" s="79">
        <v>1.36</v>
      </c>
      <c r="BR29" s="196">
        <f t="shared" si="3"/>
        <v>0.3680573505654281</v>
      </c>
      <c r="BS29" s="193">
        <f t="shared" si="4"/>
        <v>0.64900000000000002</v>
      </c>
      <c r="BT29" s="535">
        <f t="shared" si="9"/>
        <v>23</v>
      </c>
      <c r="BV29" s="176"/>
    </row>
    <row r="30" spans="1:74" x14ac:dyDescent="0.25">
      <c r="A30" s="175" t="s">
        <v>46</v>
      </c>
      <c r="B30" s="34" t="s">
        <v>35</v>
      </c>
      <c r="C30" s="37"/>
      <c r="D30" s="37"/>
      <c r="E30" s="37">
        <v>435</v>
      </c>
      <c r="F30" s="37"/>
      <c r="G30" s="37"/>
      <c r="H30" s="37"/>
      <c r="I30" s="37">
        <v>565</v>
      </c>
      <c r="J30" s="37"/>
      <c r="K30" s="378"/>
      <c r="L30" s="37"/>
      <c r="M30" s="37"/>
      <c r="N30" s="37"/>
      <c r="O30" s="37">
        <v>120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196">
        <f t="shared" si="5"/>
        <v>1.142325288066059</v>
      </c>
      <c r="BH30" s="196">
        <f t="shared" si="6"/>
        <v>1.6010794678457601</v>
      </c>
      <c r="BI30" s="21">
        <v>1413</v>
      </c>
      <c r="BJ30" s="42">
        <f t="shared" si="7"/>
        <v>2.1798166514367487</v>
      </c>
      <c r="BK30" s="38" t="s">
        <v>18</v>
      </c>
      <c r="BL30" s="23" t="s">
        <v>14</v>
      </c>
      <c r="BM30" s="20" t="s">
        <v>36</v>
      </c>
      <c r="BN30" s="38">
        <v>12</v>
      </c>
      <c r="BO30" s="38">
        <f t="shared" si="8"/>
        <v>1120</v>
      </c>
      <c r="BP30" s="79">
        <v>1.1599999999999999</v>
      </c>
      <c r="BR30" s="196">
        <f t="shared" si="3"/>
        <v>0.45875417977970101</v>
      </c>
      <c r="BS30" s="193">
        <f t="shared" si="4"/>
        <v>0.41300000000000003</v>
      </c>
      <c r="BT30" s="535">
        <f t="shared" si="9"/>
        <v>24</v>
      </c>
      <c r="BV30" s="176"/>
    </row>
    <row r="31" spans="1:74" x14ac:dyDescent="0.25">
      <c r="A31" s="175" t="s">
        <v>47</v>
      </c>
      <c r="B31" s="34" t="s">
        <v>35</v>
      </c>
      <c r="C31" s="37"/>
      <c r="D31" s="37"/>
      <c r="E31" s="37">
        <v>392</v>
      </c>
      <c r="F31" s="37"/>
      <c r="G31" s="37"/>
      <c r="H31" s="37"/>
      <c r="I31" s="37"/>
      <c r="J31" s="37">
        <v>608</v>
      </c>
      <c r="K31" s="378"/>
      <c r="L31" s="37"/>
      <c r="M31" s="37"/>
      <c r="N31" s="37"/>
      <c r="O31" s="37">
        <v>120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196">
        <f t="shared" si="5"/>
        <v>1.2911176283006929</v>
      </c>
      <c r="BH31" s="196">
        <f t="shared" si="6"/>
        <v>1.7063819025482609</v>
      </c>
      <c r="BI31" s="21">
        <v>1413</v>
      </c>
      <c r="BJ31" s="42">
        <f t="shared" si="7"/>
        <v>2.4081050598728608</v>
      </c>
      <c r="BK31" s="38" t="s">
        <v>18</v>
      </c>
      <c r="BL31" s="23" t="s">
        <v>14</v>
      </c>
      <c r="BM31" s="20" t="s">
        <v>36</v>
      </c>
      <c r="BN31" s="38">
        <v>12</v>
      </c>
      <c r="BO31" s="38">
        <f t="shared" si="8"/>
        <v>1120</v>
      </c>
      <c r="BP31" s="79">
        <v>1.36</v>
      </c>
      <c r="BR31" s="196">
        <f t="shared" si="3"/>
        <v>0.41526427424756818</v>
      </c>
      <c r="BS31" s="193">
        <f t="shared" si="4"/>
        <v>0.41300000000000003</v>
      </c>
      <c r="BT31" s="535">
        <f t="shared" si="9"/>
        <v>25</v>
      </c>
      <c r="BV31" s="176"/>
    </row>
    <row r="32" spans="1:74" x14ac:dyDescent="0.25">
      <c r="A32" s="174" t="s">
        <v>38</v>
      </c>
      <c r="B32" s="35" t="s">
        <v>35</v>
      </c>
      <c r="C32" s="37"/>
      <c r="D32" s="37"/>
      <c r="E32" s="37">
        <v>435</v>
      </c>
      <c r="F32" s="37"/>
      <c r="G32" s="37"/>
      <c r="H32" s="37"/>
      <c r="I32" s="37">
        <v>565</v>
      </c>
      <c r="J32" s="37"/>
      <c r="K32" s="378"/>
      <c r="L32" s="37"/>
      <c r="M32" s="37"/>
      <c r="N32" s="37"/>
      <c r="O32" s="37">
        <v>20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196">
        <f t="shared" si="5"/>
        <v>0.60547387088047078</v>
      </c>
      <c r="BH32" s="196">
        <f t="shared" si="6"/>
        <v>1.0248889475917218</v>
      </c>
      <c r="BI32" s="21">
        <v>1586</v>
      </c>
      <c r="BJ32" s="42">
        <f t="shared" si="7"/>
        <v>2.384272897009986</v>
      </c>
      <c r="BK32" s="38" t="s">
        <v>13</v>
      </c>
      <c r="BL32" s="23" t="s">
        <v>14</v>
      </c>
      <c r="BM32" s="20" t="s">
        <v>36</v>
      </c>
      <c r="BN32" s="38">
        <v>2</v>
      </c>
      <c r="BO32" s="38">
        <f t="shared" si="8"/>
        <v>1020</v>
      </c>
      <c r="BP32" s="79">
        <v>1.1599999999999999</v>
      </c>
      <c r="BR32" s="196">
        <f t="shared" si="3"/>
        <v>0.419415076711251</v>
      </c>
      <c r="BS32" s="193">
        <f t="shared" si="4"/>
        <v>0.58600000000000008</v>
      </c>
      <c r="BT32" s="535">
        <f t="shared" si="9"/>
        <v>26</v>
      </c>
      <c r="BV32" s="176"/>
    </row>
    <row r="33" spans="1:74" x14ac:dyDescent="0.25">
      <c r="A33" s="174" t="s">
        <v>39</v>
      </c>
      <c r="B33" s="34" t="s">
        <v>35</v>
      </c>
      <c r="C33" s="37"/>
      <c r="D33" s="37"/>
      <c r="E33" s="37">
        <v>392</v>
      </c>
      <c r="F33" s="37"/>
      <c r="G33" s="37"/>
      <c r="H33" s="37"/>
      <c r="I33" s="37"/>
      <c r="J33" s="37">
        <v>608</v>
      </c>
      <c r="K33" s="378"/>
      <c r="L33" s="37"/>
      <c r="M33" s="37"/>
      <c r="N33" s="37"/>
      <c r="O33" s="37">
        <v>20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196">
        <f t="shared" si="5"/>
        <v>0.72317863226948575</v>
      </c>
      <c r="BH33" s="196">
        <f t="shared" si="6"/>
        <v>1.0991038034486038</v>
      </c>
      <c r="BI33" s="21">
        <v>1586</v>
      </c>
      <c r="BJ33" s="42">
        <f t="shared" si="7"/>
        <v>2.6601038628603226</v>
      </c>
      <c r="BK33" s="38" t="s">
        <v>13</v>
      </c>
      <c r="BL33" s="23" t="s">
        <v>14</v>
      </c>
      <c r="BM33" s="20" t="s">
        <v>36</v>
      </c>
      <c r="BN33" s="38">
        <v>2</v>
      </c>
      <c r="BO33" s="38">
        <f t="shared" si="8"/>
        <v>1020</v>
      </c>
      <c r="BP33" s="79">
        <v>1.36</v>
      </c>
      <c r="BR33" s="196">
        <f t="shared" si="3"/>
        <v>0.37592517117911811</v>
      </c>
      <c r="BS33" s="193">
        <f t="shared" si="4"/>
        <v>0.58600000000000008</v>
      </c>
      <c r="BT33" s="535">
        <f t="shared" si="9"/>
        <v>27</v>
      </c>
      <c r="BV33" s="176"/>
    </row>
    <row r="34" spans="1:74" x14ac:dyDescent="0.25">
      <c r="A34" s="174" t="s">
        <v>40</v>
      </c>
      <c r="B34" s="34" t="s">
        <v>35</v>
      </c>
      <c r="C34" s="37"/>
      <c r="D34" s="37"/>
      <c r="E34" s="37">
        <v>435</v>
      </c>
      <c r="F34" s="37"/>
      <c r="G34" s="37"/>
      <c r="H34" s="37"/>
      <c r="I34" s="37">
        <v>565</v>
      </c>
      <c r="J34" s="37"/>
      <c r="K34" s="378"/>
      <c r="L34" s="37"/>
      <c r="M34" s="37"/>
      <c r="N34" s="37"/>
      <c r="O34" s="37">
        <v>40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196">
        <f t="shared" si="5"/>
        <v>0.71159647567702733</v>
      </c>
      <c r="BH34" s="196">
        <f t="shared" si="6"/>
        <v>1.1388793730019684</v>
      </c>
      <c r="BI34" s="21">
        <v>1538</v>
      </c>
      <c r="BJ34" s="42">
        <f t="shared" si="7"/>
        <v>2.340369825847529</v>
      </c>
      <c r="BK34" s="38" t="s">
        <v>18</v>
      </c>
      <c r="BL34" s="23" t="s">
        <v>14</v>
      </c>
      <c r="BM34" s="20" t="s">
        <v>36</v>
      </c>
      <c r="BN34" s="38">
        <v>4</v>
      </c>
      <c r="BO34" s="38">
        <f t="shared" si="8"/>
        <v>1040</v>
      </c>
      <c r="BP34" s="79">
        <v>1.1599999999999999</v>
      </c>
      <c r="BR34" s="196">
        <f t="shared" si="3"/>
        <v>0.42728289732494101</v>
      </c>
      <c r="BS34" s="193">
        <f t="shared" si="4"/>
        <v>0.53800000000000003</v>
      </c>
      <c r="BT34" s="535">
        <f t="shared" si="9"/>
        <v>28</v>
      </c>
      <c r="BV34" s="176"/>
    </row>
    <row r="35" spans="1:74" x14ac:dyDescent="0.25">
      <c r="A35" s="174" t="s">
        <v>41</v>
      </c>
      <c r="B35" s="35" t="s">
        <v>35</v>
      </c>
      <c r="C35" s="37"/>
      <c r="D35" s="37"/>
      <c r="E35" s="37">
        <v>392</v>
      </c>
      <c r="F35" s="37"/>
      <c r="G35" s="37"/>
      <c r="H35" s="37"/>
      <c r="I35" s="37"/>
      <c r="J35" s="37">
        <v>608</v>
      </c>
      <c r="K35" s="378"/>
      <c r="L35" s="37"/>
      <c r="M35" s="37"/>
      <c r="N35" s="37"/>
      <c r="O35" s="37">
        <v>40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196">
        <f t="shared" si="5"/>
        <v>0.83592263684509482</v>
      </c>
      <c r="BH35" s="196">
        <f t="shared" si="6"/>
        <v>1.2197156286379029</v>
      </c>
      <c r="BI35" s="21">
        <v>1538</v>
      </c>
      <c r="BJ35" s="42">
        <f t="shared" si="7"/>
        <v>2.6055712881277757</v>
      </c>
      <c r="BK35" s="38" t="s">
        <v>18</v>
      </c>
      <c r="BL35" s="23" t="s">
        <v>14</v>
      </c>
      <c r="BM35" s="20" t="s">
        <v>36</v>
      </c>
      <c r="BN35" s="38">
        <v>4</v>
      </c>
      <c r="BO35" s="38">
        <f t="shared" si="8"/>
        <v>1040</v>
      </c>
      <c r="BP35" s="79">
        <v>1.36</v>
      </c>
      <c r="BR35" s="196">
        <f t="shared" si="3"/>
        <v>0.38379299179280812</v>
      </c>
      <c r="BS35" s="193">
        <f t="shared" si="4"/>
        <v>0.53800000000000003</v>
      </c>
      <c r="BT35" s="535">
        <f t="shared" si="9"/>
        <v>29</v>
      </c>
      <c r="BV35" s="176"/>
    </row>
    <row r="36" spans="1:74" x14ac:dyDescent="0.25">
      <c r="A36" s="174" t="s">
        <v>42</v>
      </c>
      <c r="B36" s="35" t="s">
        <v>35</v>
      </c>
      <c r="C36" s="37"/>
      <c r="D36" s="37"/>
      <c r="E36" s="37">
        <v>435</v>
      </c>
      <c r="F36" s="37"/>
      <c r="G36" s="37"/>
      <c r="H36" s="37"/>
      <c r="I36" s="37">
        <v>565</v>
      </c>
      <c r="J36" s="37"/>
      <c r="K36" s="378"/>
      <c r="L36" s="37"/>
      <c r="M36" s="37"/>
      <c r="N36" s="37"/>
      <c r="O36" s="37">
        <v>60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196">
        <f t="shared" si="5"/>
        <v>0.82972637125442361</v>
      </c>
      <c r="BH36" s="196">
        <f t="shared" si="6"/>
        <v>1.2648770891930545</v>
      </c>
      <c r="BI36" s="21">
        <v>1494</v>
      </c>
      <c r="BJ36" s="42">
        <f t="shared" si="7"/>
        <v>2.2980543493921788</v>
      </c>
      <c r="BK36" s="38" t="s">
        <v>18</v>
      </c>
      <c r="BL36" s="23" t="s">
        <v>14</v>
      </c>
      <c r="BM36" s="20" t="s">
        <v>36</v>
      </c>
      <c r="BN36" s="38">
        <v>6</v>
      </c>
      <c r="BO36" s="38">
        <f t="shared" si="8"/>
        <v>1060</v>
      </c>
      <c r="BP36" s="79">
        <v>1.1599999999999999</v>
      </c>
      <c r="BR36" s="196">
        <f t="shared" si="3"/>
        <v>0.43515071793863103</v>
      </c>
      <c r="BS36" s="193">
        <f t="shared" si="4"/>
        <v>0.49399999999999999</v>
      </c>
      <c r="BT36" s="535">
        <f t="shared" si="9"/>
        <v>30</v>
      </c>
      <c r="BV36" s="176"/>
    </row>
    <row r="37" spans="1:74" x14ac:dyDescent="0.25">
      <c r="A37" s="174" t="s">
        <v>43</v>
      </c>
      <c r="B37" s="35" t="s">
        <v>35</v>
      </c>
      <c r="C37" s="37"/>
      <c r="D37" s="37"/>
      <c r="E37" s="37">
        <v>392</v>
      </c>
      <c r="F37" s="37"/>
      <c r="G37" s="37"/>
      <c r="H37" s="37"/>
      <c r="I37" s="37"/>
      <c r="J37" s="37">
        <v>608</v>
      </c>
      <c r="K37" s="378"/>
      <c r="L37" s="37"/>
      <c r="M37" s="37"/>
      <c r="N37" s="37"/>
      <c r="O37" s="37">
        <v>60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196">
        <f t="shared" si="5"/>
        <v>0.96125252280301965</v>
      </c>
      <c r="BH37" s="196">
        <f t="shared" si="6"/>
        <v>1.352913335209518</v>
      </c>
      <c r="BI37" s="21">
        <v>1494</v>
      </c>
      <c r="BJ37" s="42">
        <f t="shared" si="7"/>
        <v>2.5532296526059302</v>
      </c>
      <c r="BK37" s="38" t="s">
        <v>18</v>
      </c>
      <c r="BL37" s="23" t="s">
        <v>14</v>
      </c>
      <c r="BM37" s="20" t="s">
        <v>36</v>
      </c>
      <c r="BN37" s="38">
        <v>6</v>
      </c>
      <c r="BO37" s="38">
        <f t="shared" si="8"/>
        <v>1060</v>
      </c>
      <c r="BP37" s="79">
        <v>1.36</v>
      </c>
      <c r="BR37" s="196">
        <f t="shared" si="3"/>
        <v>0.39166081240649819</v>
      </c>
      <c r="BS37" s="193">
        <f t="shared" si="4"/>
        <v>0.49399999999999999</v>
      </c>
      <c r="BT37" s="535">
        <f t="shared" si="9"/>
        <v>31</v>
      </c>
      <c r="BV37" s="176"/>
    </row>
    <row r="38" spans="1:74" x14ac:dyDescent="0.25">
      <c r="A38" s="174" t="s">
        <v>44</v>
      </c>
      <c r="B38" s="35" t="s">
        <v>35</v>
      </c>
      <c r="C38" s="37"/>
      <c r="D38" s="37"/>
      <c r="E38" s="37">
        <v>435</v>
      </c>
      <c r="F38" s="37"/>
      <c r="G38" s="37"/>
      <c r="H38" s="37"/>
      <c r="I38" s="37">
        <v>565</v>
      </c>
      <c r="J38" s="37"/>
      <c r="K38" s="378"/>
      <c r="L38" s="37"/>
      <c r="M38" s="37"/>
      <c r="N38" s="37"/>
      <c r="O38" s="37">
        <v>80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196">
        <f t="shared" si="5"/>
        <v>0.9297863352573319</v>
      </c>
      <c r="BH38" s="196">
        <f t="shared" si="6"/>
        <v>1.372804873809653</v>
      </c>
      <c r="BI38" s="21">
        <v>1464</v>
      </c>
      <c r="BJ38" s="42">
        <f t="shared" si="7"/>
        <v>2.2572418826258636</v>
      </c>
      <c r="BK38" s="38" t="s">
        <v>18</v>
      </c>
      <c r="BL38" s="23" t="s">
        <v>14</v>
      </c>
      <c r="BM38" s="20" t="s">
        <v>36</v>
      </c>
      <c r="BN38" s="38">
        <v>8</v>
      </c>
      <c r="BO38" s="38">
        <f t="shared" si="8"/>
        <v>1080</v>
      </c>
      <c r="BP38" s="79">
        <v>1.1599999999999999</v>
      </c>
      <c r="BR38" s="196">
        <f t="shared" si="3"/>
        <v>0.44301853855232104</v>
      </c>
      <c r="BS38" s="193">
        <f t="shared" si="4"/>
        <v>0.46399999999999997</v>
      </c>
      <c r="BT38" s="535">
        <f t="shared" si="9"/>
        <v>32</v>
      </c>
      <c r="BV38" s="176"/>
    </row>
    <row r="39" spans="1:74" x14ac:dyDescent="0.25">
      <c r="A39" s="175" t="s">
        <v>45</v>
      </c>
      <c r="B39" s="35" t="s">
        <v>35</v>
      </c>
      <c r="C39" s="37"/>
      <c r="D39" s="37"/>
      <c r="E39" s="37">
        <v>392</v>
      </c>
      <c r="F39" s="37"/>
      <c r="G39" s="37"/>
      <c r="H39" s="37"/>
      <c r="I39" s="37"/>
      <c r="J39" s="37">
        <v>608</v>
      </c>
      <c r="K39" s="378"/>
      <c r="L39" s="37"/>
      <c r="M39" s="37"/>
      <c r="N39" s="37"/>
      <c r="O39" s="37">
        <v>80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196">
        <f t="shared" si="5"/>
        <v>1.0670044854707856</v>
      </c>
      <c r="BH39" s="196">
        <f t="shared" si="6"/>
        <v>1.4665331184909738</v>
      </c>
      <c r="BI39" s="21">
        <v>1464</v>
      </c>
      <c r="BJ39" s="42">
        <f t="shared" si="7"/>
        <v>2.5029495193889395</v>
      </c>
      <c r="BK39" s="38" t="s">
        <v>18</v>
      </c>
      <c r="BL39" s="23" t="s">
        <v>14</v>
      </c>
      <c r="BM39" s="20" t="s">
        <v>36</v>
      </c>
      <c r="BN39" s="38">
        <v>8</v>
      </c>
      <c r="BO39" s="38">
        <f t="shared" si="8"/>
        <v>1080</v>
      </c>
      <c r="BP39" s="79">
        <v>1.36</v>
      </c>
      <c r="BR39" s="196">
        <f t="shared" ref="BR39:BR70" si="10">((C39*C$5+D39*D$5+E39*E$5+F39*F$5+G39*G$5+H39*H$5+I39*I$5+J39*J$5+L39*L$5+M39*M$5+N39*N$5+O39*O$5+P39*P$5+Q39*Q$5+R39*R$5+S39*S$5+T39*T$5+U39*U$5+V39*V$5+W39*W$5+X39*X$5+Y39*Y$5+Z39*Z$5+AA39*AA$5+AB39*AB$5+AC39*AC$5+AD39*AD$5+AE39*AE$5+AF39*AF$5+AG39*AG$5+AH39*AH$5+AI39*AI$5+AJ39*AJ$5+AK39*AK$5+AL39*AL$5+AM39*AM$5+AN39*AN$5+AO39*AO$5+AP39*AP$5+AQ39*AQ$5+AR39*AR$5+AS39*AS$5+AT39*AT$5+AU39*AU$5+AV39*AV$5+AW39*AW$5+AX39*AX$5+AY39*AY$5+AZ39*AZ$5+BA39*BA$5+BB39*BB$5+BC39*BC$5+BD39*BD$5+BE39*BE$5+BF39*BF$5)/1000)</f>
        <v>0.39952863302018821</v>
      </c>
      <c r="BS39" s="193">
        <f t="shared" ref="BS39:BS70" si="11">BI39/1000-1</f>
        <v>0.46399999999999997</v>
      </c>
      <c r="BT39" s="535">
        <f t="shared" si="9"/>
        <v>33</v>
      </c>
      <c r="BV39" s="176"/>
    </row>
    <row r="40" spans="1:74" x14ac:dyDescent="0.25">
      <c r="A40" s="183" t="s">
        <v>48</v>
      </c>
      <c r="B40" s="188" t="s">
        <v>48</v>
      </c>
      <c r="C40" s="181"/>
      <c r="D40" s="182"/>
      <c r="E40" s="182">
        <v>618</v>
      </c>
      <c r="F40" s="182"/>
      <c r="G40" s="182"/>
      <c r="H40" s="182"/>
      <c r="I40" s="182">
        <v>62</v>
      </c>
      <c r="J40" s="182"/>
      <c r="K40" s="505">
        <v>62</v>
      </c>
      <c r="L40" s="182"/>
      <c r="M40" s="182"/>
      <c r="N40" s="182">
        <v>248</v>
      </c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>
        <v>5</v>
      </c>
      <c r="Z40" s="182"/>
      <c r="AA40" s="182">
        <v>5</v>
      </c>
      <c r="AB40" s="182"/>
      <c r="AC40" s="182"/>
      <c r="AD40" s="182"/>
      <c r="AE40" s="182"/>
      <c r="AF40" s="182"/>
      <c r="AG40" s="182"/>
      <c r="AH40" s="182"/>
      <c r="AI40" s="182"/>
      <c r="AJ40" s="182"/>
      <c r="AK40" s="182"/>
      <c r="AL40" s="182"/>
      <c r="AM40" s="182"/>
      <c r="AN40" s="182"/>
      <c r="AO40" s="182"/>
      <c r="AP40" s="182"/>
      <c r="AQ40" s="182"/>
      <c r="AR40" s="182"/>
      <c r="AS40" s="182"/>
      <c r="AT40" s="182"/>
      <c r="AU40" s="182"/>
      <c r="AV40" s="182"/>
      <c r="AW40" s="182"/>
      <c r="AX40" s="182"/>
      <c r="AY40" s="182"/>
      <c r="AZ40" s="182"/>
      <c r="BA40" s="182"/>
      <c r="BB40" s="182"/>
      <c r="BC40" s="182"/>
      <c r="BD40" s="182"/>
      <c r="BE40" s="182"/>
      <c r="BF40" s="182"/>
      <c r="BG40" s="196">
        <f t="shared" si="5"/>
        <v>0.56863603238752114</v>
      </c>
      <c r="BH40" s="196">
        <f t="shared" si="6"/>
        <v>0.89380970506411461</v>
      </c>
      <c r="BI40" s="192">
        <v>1755</v>
      </c>
      <c r="BJ40" s="42">
        <f t="shared" si="7"/>
        <v>3.075279716739447</v>
      </c>
      <c r="BK40" s="180" t="s">
        <v>13</v>
      </c>
      <c r="BL40" s="23" t="s">
        <v>14</v>
      </c>
      <c r="BM40" s="38"/>
      <c r="BN40" s="38">
        <v>0</v>
      </c>
      <c r="BO40" s="507">
        <f t="shared" ref="BO40:BO71" si="12">SUM(C40:BF40)</f>
        <v>1000</v>
      </c>
      <c r="BP40" s="187">
        <v>1.17</v>
      </c>
      <c r="BR40" s="196">
        <f t="shared" si="10"/>
        <v>0.32517367267659347</v>
      </c>
      <c r="BS40" s="193">
        <f t="shared" si="11"/>
        <v>0.75499999999999989</v>
      </c>
      <c r="BT40" s="535">
        <f t="shared" si="9"/>
        <v>34</v>
      </c>
      <c r="BV40" s="141" t="s">
        <v>114</v>
      </c>
    </row>
    <row r="41" spans="1:74" x14ac:dyDescent="0.25">
      <c r="A41" s="183" t="s">
        <v>93</v>
      </c>
      <c r="B41" s="188" t="s">
        <v>93</v>
      </c>
      <c r="C41" s="181"/>
      <c r="D41" s="182"/>
      <c r="E41" s="182">
        <v>500</v>
      </c>
      <c r="F41" s="182"/>
      <c r="G41" s="182"/>
      <c r="H41" s="182"/>
      <c r="I41" s="182"/>
      <c r="J41" s="182"/>
      <c r="K41" s="505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  <c r="AH41" s="182"/>
      <c r="AI41" s="182"/>
      <c r="AJ41" s="182"/>
      <c r="AK41" s="182"/>
      <c r="AL41" s="182"/>
      <c r="AM41" s="182"/>
      <c r="AN41" s="182"/>
      <c r="AO41" s="182">
        <v>125</v>
      </c>
      <c r="AP41" s="182"/>
      <c r="AQ41" s="182">
        <v>375</v>
      </c>
      <c r="AR41" s="182"/>
      <c r="AS41" s="182"/>
      <c r="AT41" s="182"/>
      <c r="AU41" s="182"/>
      <c r="AV41" s="182"/>
      <c r="AW41" s="182"/>
      <c r="AX41" s="182"/>
      <c r="AY41" s="182"/>
      <c r="AZ41" s="182"/>
      <c r="BA41" s="182"/>
      <c r="BB41" s="182"/>
      <c r="BC41" s="182"/>
      <c r="BD41" s="182"/>
      <c r="BE41" s="182"/>
      <c r="BF41" s="182"/>
      <c r="BG41" s="196">
        <f t="shared" si="5"/>
        <v>0.5472204917559651</v>
      </c>
      <c r="BH41" s="196">
        <f t="shared" si="6"/>
        <v>0.88412599528912295</v>
      </c>
      <c r="BI41" s="192">
        <v>1750</v>
      </c>
      <c r="BJ41" s="42">
        <f t="shared" si="7"/>
        <v>2.9681913459795446</v>
      </c>
      <c r="BK41" s="180" t="s">
        <v>13</v>
      </c>
      <c r="BL41" s="23" t="s">
        <v>14</v>
      </c>
      <c r="BM41" s="38"/>
      <c r="BN41" s="38">
        <v>0</v>
      </c>
      <c r="BO41" s="507">
        <f t="shared" si="12"/>
        <v>1000</v>
      </c>
      <c r="BP41" s="187">
        <v>1.35</v>
      </c>
      <c r="BR41" s="196">
        <f t="shared" si="10"/>
        <v>0.33690550353315785</v>
      </c>
      <c r="BS41" s="193">
        <f t="shared" si="11"/>
        <v>0.75</v>
      </c>
      <c r="BT41" s="535">
        <f t="shared" si="9"/>
        <v>35</v>
      </c>
      <c r="BV41" s="176"/>
    </row>
    <row r="42" spans="1:74" x14ac:dyDescent="0.25">
      <c r="A42" s="184" t="s">
        <v>540</v>
      </c>
      <c r="B42" s="189" t="s">
        <v>540</v>
      </c>
      <c r="C42" s="182">
        <v>350</v>
      </c>
      <c r="D42" s="182"/>
      <c r="E42" s="182"/>
      <c r="F42" s="182"/>
      <c r="G42" s="182"/>
      <c r="H42" s="182"/>
      <c r="I42" s="182"/>
      <c r="J42" s="182"/>
      <c r="K42" s="505"/>
      <c r="L42" s="182"/>
      <c r="M42" s="182"/>
      <c r="N42" s="182">
        <v>125</v>
      </c>
      <c r="O42" s="182"/>
      <c r="P42" s="182">
        <v>525</v>
      </c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  <c r="AH42" s="182"/>
      <c r="AI42" s="182"/>
      <c r="AJ42" s="182"/>
      <c r="AK42" s="182"/>
      <c r="AL42" s="182"/>
      <c r="AM42" s="182"/>
      <c r="AN42" s="182"/>
      <c r="AO42" s="182"/>
      <c r="AP42" s="182"/>
      <c r="AQ42" s="182"/>
      <c r="AR42" s="182"/>
      <c r="AS42" s="182"/>
      <c r="AT42" s="182"/>
      <c r="AU42" s="182"/>
      <c r="AV42" s="182"/>
      <c r="AW42" s="182"/>
      <c r="AX42" s="182"/>
      <c r="AY42" s="182"/>
      <c r="AZ42" s="182"/>
      <c r="BA42" s="182"/>
      <c r="BB42" s="182"/>
      <c r="BC42" s="182"/>
      <c r="BD42" s="182"/>
      <c r="BE42" s="182"/>
      <c r="BF42" s="182"/>
      <c r="BG42" s="196">
        <f t="shared" si="5"/>
        <v>0.43005347060886301</v>
      </c>
      <c r="BH42" s="196">
        <f t="shared" si="6"/>
        <v>0.77720297315699072</v>
      </c>
      <c r="BI42" s="192">
        <v>1840</v>
      </c>
      <c r="BJ42" s="42">
        <f t="shared" si="7"/>
        <v>2.8806032924139453</v>
      </c>
      <c r="BK42" s="180" t="s">
        <v>13</v>
      </c>
      <c r="BL42" s="38">
        <v>30</v>
      </c>
      <c r="BM42" s="38"/>
      <c r="BN42" s="38">
        <v>0</v>
      </c>
      <c r="BO42" s="507">
        <f t="shared" si="12"/>
        <v>1000</v>
      </c>
      <c r="BP42" s="187">
        <v>1.21</v>
      </c>
      <c r="BR42" s="196">
        <f t="shared" si="10"/>
        <v>0.34714950254812771</v>
      </c>
      <c r="BS42" s="193">
        <f t="shared" si="11"/>
        <v>0.84000000000000008</v>
      </c>
      <c r="BT42" s="535">
        <f t="shared" si="9"/>
        <v>36</v>
      </c>
      <c r="BV42" s="176"/>
    </row>
    <row r="43" spans="1:74" x14ac:dyDescent="0.25">
      <c r="A43" s="183" t="s">
        <v>50</v>
      </c>
      <c r="B43" s="188" t="s">
        <v>50</v>
      </c>
      <c r="C43" s="181"/>
      <c r="D43" s="182"/>
      <c r="E43" s="182">
        <v>918</v>
      </c>
      <c r="F43" s="182"/>
      <c r="G43" s="182"/>
      <c r="H43" s="182"/>
      <c r="I43" s="182"/>
      <c r="J43" s="182"/>
      <c r="K43" s="505"/>
      <c r="L43" s="182"/>
      <c r="M43" s="182"/>
      <c r="N43" s="182"/>
      <c r="O43" s="182">
        <v>18</v>
      </c>
      <c r="P43" s="182">
        <v>55</v>
      </c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  <c r="AI43" s="182"/>
      <c r="AJ43" s="182"/>
      <c r="AK43" s="182"/>
      <c r="AL43" s="182"/>
      <c r="AM43" s="182"/>
      <c r="AN43" s="182">
        <v>9</v>
      </c>
      <c r="AO43" s="182"/>
      <c r="AP43" s="182"/>
      <c r="AQ43" s="182"/>
      <c r="AR43" s="182"/>
      <c r="AS43" s="182"/>
      <c r="AT43" s="182"/>
      <c r="AU43" s="182"/>
      <c r="AV43" s="182"/>
      <c r="AW43" s="182"/>
      <c r="AX43" s="182"/>
      <c r="AY43" s="182"/>
      <c r="AZ43" s="182"/>
      <c r="BA43" s="182"/>
      <c r="BB43" s="182"/>
      <c r="BC43" s="182"/>
      <c r="BD43" s="182"/>
      <c r="BE43" s="182"/>
      <c r="BF43" s="182"/>
      <c r="BG43" s="196">
        <f t="shared" si="5"/>
        <v>0.57081374681319053</v>
      </c>
      <c r="BH43" s="196">
        <f t="shared" si="6"/>
        <v>0.88746539367976873</v>
      </c>
      <c r="BI43" s="192">
        <v>1770</v>
      </c>
      <c r="BJ43" s="42">
        <f t="shared" si="7"/>
        <v>3.1580445258866821</v>
      </c>
      <c r="BK43" s="180" t="s">
        <v>13</v>
      </c>
      <c r="BL43" s="38">
        <v>30</v>
      </c>
      <c r="BM43" s="38"/>
      <c r="BN43" s="38">
        <v>0</v>
      </c>
      <c r="BO43" s="507">
        <f t="shared" si="12"/>
        <v>1000</v>
      </c>
      <c r="BP43" s="187">
        <v>1.42</v>
      </c>
      <c r="BR43" s="196">
        <f t="shared" si="10"/>
        <v>0.31665164686657815</v>
      </c>
      <c r="BS43" s="193">
        <f t="shared" si="11"/>
        <v>0.77</v>
      </c>
      <c r="BT43" s="535">
        <f t="shared" si="9"/>
        <v>37</v>
      </c>
      <c r="BV43" s="176"/>
    </row>
    <row r="44" spans="1:74" x14ac:dyDescent="0.25">
      <c r="A44" s="183" t="s">
        <v>51</v>
      </c>
      <c r="B44" s="188" t="s">
        <v>51</v>
      </c>
      <c r="C44" s="181"/>
      <c r="D44" s="182"/>
      <c r="E44" s="182">
        <v>593</v>
      </c>
      <c r="F44" s="182"/>
      <c r="G44" s="182"/>
      <c r="H44" s="182"/>
      <c r="I44" s="182">
        <v>327</v>
      </c>
      <c r="J44" s="182"/>
      <c r="K44" s="505">
        <v>30</v>
      </c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>
        <v>5</v>
      </c>
      <c r="Z44" s="182"/>
      <c r="AA44" s="182">
        <v>5</v>
      </c>
      <c r="AB44" s="182"/>
      <c r="AC44" s="182"/>
      <c r="AD44" s="182"/>
      <c r="AE44" s="182"/>
      <c r="AF44" s="182"/>
      <c r="AG44" s="182"/>
      <c r="AH44" s="182"/>
      <c r="AI44" s="182"/>
      <c r="AJ44" s="182"/>
      <c r="AK44" s="182"/>
      <c r="AL44" s="182"/>
      <c r="AM44" s="182">
        <v>40</v>
      </c>
      <c r="AN44" s="182"/>
      <c r="AO44" s="182"/>
      <c r="AP44" s="182"/>
      <c r="AQ44" s="182"/>
      <c r="AR44" s="182"/>
      <c r="AS44" s="182"/>
      <c r="AT44" s="182"/>
      <c r="AU44" s="182"/>
      <c r="AV44" s="182"/>
      <c r="AW44" s="182"/>
      <c r="AX44" s="182"/>
      <c r="AY44" s="182"/>
      <c r="AZ44" s="182"/>
      <c r="BA44" s="182"/>
      <c r="BB44" s="182"/>
      <c r="BC44" s="182"/>
      <c r="BD44" s="182"/>
      <c r="BE44" s="182"/>
      <c r="BF44" s="182"/>
      <c r="BG44" s="196">
        <f t="shared" si="5"/>
        <v>0.45366768428030058</v>
      </c>
      <c r="BH44" s="196">
        <f t="shared" si="6"/>
        <v>0.81666723835971944</v>
      </c>
      <c r="BI44" s="192">
        <v>1780</v>
      </c>
      <c r="BJ44" s="42">
        <f t="shared" si="7"/>
        <v>2.7548243207516863</v>
      </c>
      <c r="BK44" s="180" t="s">
        <v>13</v>
      </c>
      <c r="BL44" s="23">
        <v>30</v>
      </c>
      <c r="BM44" s="38"/>
      <c r="BN44" s="38">
        <v>0</v>
      </c>
      <c r="BO44" s="507">
        <f t="shared" si="12"/>
        <v>1000</v>
      </c>
      <c r="BP44" s="187">
        <v>1.22</v>
      </c>
      <c r="BR44" s="196">
        <f t="shared" si="10"/>
        <v>0.36299955407941886</v>
      </c>
      <c r="BS44" s="193">
        <f t="shared" si="11"/>
        <v>0.78</v>
      </c>
      <c r="BT44" s="535">
        <f t="shared" si="9"/>
        <v>38</v>
      </c>
      <c r="BV44" s="176" t="s">
        <v>114</v>
      </c>
    </row>
    <row r="45" spans="1:74" x14ac:dyDescent="0.25">
      <c r="A45" s="183" t="s">
        <v>429</v>
      </c>
      <c r="B45" s="188" t="s">
        <v>429</v>
      </c>
      <c r="C45" s="181"/>
      <c r="D45" s="182"/>
      <c r="E45" s="182">
        <v>593</v>
      </c>
      <c r="F45" s="182"/>
      <c r="G45" s="182"/>
      <c r="H45" s="182"/>
      <c r="I45" s="182"/>
      <c r="J45" s="182">
        <v>327</v>
      </c>
      <c r="K45" s="505">
        <v>30</v>
      </c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>
        <v>5</v>
      </c>
      <c r="Z45" s="182"/>
      <c r="AA45" s="182">
        <v>5</v>
      </c>
      <c r="AB45" s="182"/>
      <c r="AC45" s="182"/>
      <c r="AD45" s="182"/>
      <c r="AE45" s="182"/>
      <c r="AF45" s="182"/>
      <c r="AG45" s="182"/>
      <c r="AH45" s="182"/>
      <c r="AI45" s="182"/>
      <c r="AJ45" s="182"/>
      <c r="AK45" s="182"/>
      <c r="AL45" s="182"/>
      <c r="AM45" s="182">
        <v>40</v>
      </c>
      <c r="AN45" s="182"/>
      <c r="AO45" s="182"/>
      <c r="AP45" s="182"/>
      <c r="AQ45" s="182"/>
      <c r="AR45" s="182"/>
      <c r="AS45" s="182"/>
      <c r="AT45" s="182"/>
      <c r="AU45" s="182"/>
      <c r="AV45" s="182"/>
      <c r="AW45" s="182"/>
      <c r="AX45" s="182"/>
      <c r="AY45" s="182"/>
      <c r="AZ45" s="182"/>
      <c r="BA45" s="182"/>
      <c r="BB45" s="182"/>
      <c r="BC45" s="182"/>
      <c r="BD45" s="182"/>
      <c r="BE45" s="182"/>
      <c r="BF45" s="182"/>
      <c r="BG45" s="196">
        <f t="shared" si="5"/>
        <v>0.51629708411723418</v>
      </c>
      <c r="BH45" s="196">
        <f t="shared" si="6"/>
        <v>0.85185229444788435</v>
      </c>
      <c r="BI45" s="192">
        <v>1780</v>
      </c>
      <c r="BJ45" s="42">
        <f t="shared" si="7"/>
        <v>2.9801355163420578</v>
      </c>
      <c r="BK45" s="180" t="s">
        <v>18</v>
      </c>
      <c r="BL45" s="38">
        <v>31</v>
      </c>
      <c r="BM45" s="38"/>
      <c r="BN45" s="38">
        <v>0</v>
      </c>
      <c r="BO45" s="507">
        <f t="shared" si="12"/>
        <v>1000</v>
      </c>
      <c r="BP45" s="187">
        <v>1.28</v>
      </c>
      <c r="BR45" s="196">
        <f t="shared" si="10"/>
        <v>0.33555521033065022</v>
      </c>
      <c r="BS45" s="193">
        <f t="shared" si="11"/>
        <v>0.78</v>
      </c>
      <c r="BT45" s="535">
        <f t="shared" si="9"/>
        <v>39</v>
      </c>
      <c r="BV45" s="141" t="s">
        <v>114</v>
      </c>
    </row>
    <row r="46" spans="1:74" x14ac:dyDescent="0.25">
      <c r="A46" s="183" t="s">
        <v>53</v>
      </c>
      <c r="B46" s="188" t="s">
        <v>53</v>
      </c>
      <c r="C46" s="181"/>
      <c r="D46" s="182"/>
      <c r="E46" s="182">
        <v>915.5</v>
      </c>
      <c r="F46" s="182"/>
      <c r="G46" s="182"/>
      <c r="H46" s="182"/>
      <c r="I46" s="182"/>
      <c r="J46" s="182"/>
      <c r="K46" s="505"/>
      <c r="L46" s="182"/>
      <c r="M46" s="182"/>
      <c r="N46" s="182"/>
      <c r="O46" s="182">
        <v>18</v>
      </c>
      <c r="P46" s="182">
        <v>55</v>
      </c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2">
        <v>2.5</v>
      </c>
      <c r="AB46" s="182"/>
      <c r="AC46" s="182"/>
      <c r="AD46" s="182"/>
      <c r="AE46" s="182"/>
      <c r="AF46" s="182"/>
      <c r="AG46" s="182"/>
      <c r="AH46" s="182"/>
      <c r="AI46" s="182"/>
      <c r="AJ46" s="182"/>
      <c r="AK46" s="182"/>
      <c r="AL46" s="182"/>
      <c r="AM46" s="182"/>
      <c r="AN46" s="182">
        <v>9</v>
      </c>
      <c r="AO46" s="182"/>
      <c r="AP46" s="182"/>
      <c r="AQ46" s="182"/>
      <c r="AR46" s="182"/>
      <c r="AS46" s="182"/>
      <c r="AT46" s="182"/>
      <c r="AU46" s="182"/>
      <c r="AV46" s="182"/>
      <c r="AW46" s="182"/>
      <c r="AX46" s="182"/>
      <c r="AY46" s="182"/>
      <c r="AZ46" s="182"/>
      <c r="BA46" s="182"/>
      <c r="BB46" s="182"/>
      <c r="BC46" s="182"/>
      <c r="BD46" s="182"/>
      <c r="BE46" s="182"/>
      <c r="BF46" s="182"/>
      <c r="BG46" s="196">
        <f t="shared" si="5"/>
        <v>0.56814437546484176</v>
      </c>
      <c r="BH46" s="196">
        <f t="shared" si="6"/>
        <v>0.8859572742739219</v>
      </c>
      <c r="BI46" s="192">
        <v>1770</v>
      </c>
      <c r="BJ46" s="42">
        <f t="shared" si="7"/>
        <v>3.1465053927868749</v>
      </c>
      <c r="BK46" s="180" t="s">
        <v>13</v>
      </c>
      <c r="BL46" s="23" t="s">
        <v>14</v>
      </c>
      <c r="BM46" s="38"/>
      <c r="BN46" s="38">
        <v>0</v>
      </c>
      <c r="BO46" s="507">
        <f t="shared" si="12"/>
        <v>1000</v>
      </c>
      <c r="BP46" s="187">
        <v>1.42</v>
      </c>
      <c r="BR46" s="196">
        <f t="shared" si="10"/>
        <v>0.31781289880908015</v>
      </c>
      <c r="BS46" s="193">
        <f t="shared" si="11"/>
        <v>0.77</v>
      </c>
      <c r="BT46" s="535">
        <f t="shared" si="9"/>
        <v>40</v>
      </c>
      <c r="BV46" s="141" t="s">
        <v>114</v>
      </c>
    </row>
    <row r="47" spans="1:74" x14ac:dyDescent="0.25">
      <c r="A47" s="183" t="s">
        <v>1790</v>
      </c>
      <c r="B47" s="188" t="s">
        <v>1790</v>
      </c>
      <c r="C47" s="181"/>
      <c r="D47" s="378"/>
      <c r="E47" s="378">
        <v>520</v>
      </c>
      <c r="F47" s="378"/>
      <c r="G47" s="378"/>
      <c r="H47" s="378"/>
      <c r="I47" s="378">
        <v>315</v>
      </c>
      <c r="J47" s="378"/>
      <c r="K47" s="378">
        <v>100</v>
      </c>
      <c r="L47" s="378"/>
      <c r="M47" s="378"/>
      <c r="N47" s="378"/>
      <c r="O47" s="378">
        <v>21</v>
      </c>
      <c r="P47" s="378">
        <v>14</v>
      </c>
      <c r="Q47" s="378"/>
      <c r="R47" s="378"/>
      <c r="S47" s="378"/>
      <c r="T47" s="378"/>
      <c r="U47" s="378"/>
      <c r="V47" s="378"/>
      <c r="W47" s="378"/>
      <c r="X47" s="378"/>
      <c r="Y47" s="378"/>
      <c r="Z47" s="378"/>
      <c r="AA47" s="378"/>
      <c r="AB47" s="378"/>
      <c r="AC47" s="378"/>
      <c r="AD47" s="378"/>
      <c r="AE47" s="378"/>
      <c r="AF47" s="378"/>
      <c r="AG47" s="378"/>
      <c r="AH47" s="378"/>
      <c r="AI47" s="378"/>
      <c r="AJ47" s="378"/>
      <c r="AK47" s="378"/>
      <c r="AL47" s="378"/>
      <c r="AM47" s="378">
        <v>30</v>
      </c>
      <c r="AN47" s="378"/>
      <c r="AO47" s="378"/>
      <c r="AP47" s="378"/>
      <c r="AQ47" s="378"/>
      <c r="AR47" s="378"/>
      <c r="AS47" s="378"/>
      <c r="AT47" s="378"/>
      <c r="AU47" s="378"/>
      <c r="AV47" s="378"/>
      <c r="AW47" s="378"/>
      <c r="AX47" s="378"/>
      <c r="AY47" s="378"/>
      <c r="AZ47" s="378"/>
      <c r="BA47" s="378"/>
      <c r="BB47" s="378"/>
      <c r="BC47" s="378"/>
      <c r="BD47" s="378"/>
      <c r="BE47" s="378"/>
      <c r="BF47" s="378"/>
      <c r="BG47" s="196">
        <v>0.66800000000000004</v>
      </c>
      <c r="BH47" s="196">
        <v>1.0429999999999999</v>
      </c>
      <c r="BI47" s="192">
        <v>1600</v>
      </c>
      <c r="BJ47" s="534">
        <v>2.6230000000000002</v>
      </c>
      <c r="BK47" s="180" t="s">
        <v>13</v>
      </c>
      <c r="BL47" s="534">
        <v>4</v>
      </c>
      <c r="BM47" s="38"/>
      <c r="BN47" s="38">
        <v>0</v>
      </c>
      <c r="BO47" s="507">
        <f t="shared" si="12"/>
        <v>1000</v>
      </c>
      <c r="BP47" s="534">
        <v>0.92</v>
      </c>
      <c r="BR47" s="196">
        <f t="shared" si="10"/>
        <v>0.33744667821178703</v>
      </c>
      <c r="BS47" s="193">
        <f t="shared" si="11"/>
        <v>0.60000000000000009</v>
      </c>
      <c r="BT47" s="535">
        <f t="shared" si="9"/>
        <v>41</v>
      </c>
      <c r="BV47" s="141"/>
    </row>
    <row r="48" spans="1:74" x14ac:dyDescent="0.25">
      <c r="A48" s="183" t="s">
        <v>1791</v>
      </c>
      <c r="B48" s="188" t="s">
        <v>1791</v>
      </c>
      <c r="C48" s="181"/>
      <c r="D48" s="378"/>
      <c r="E48" s="378">
        <v>530</v>
      </c>
      <c r="F48" s="378"/>
      <c r="G48" s="378"/>
      <c r="H48" s="378"/>
      <c r="I48" s="378">
        <v>325</v>
      </c>
      <c r="J48" s="378"/>
      <c r="K48" s="378">
        <v>100</v>
      </c>
      <c r="L48" s="378"/>
      <c r="M48" s="378"/>
      <c r="N48" s="378"/>
      <c r="O48" s="378">
        <v>21</v>
      </c>
      <c r="P48" s="378">
        <v>14</v>
      </c>
      <c r="Q48" s="378"/>
      <c r="R48" s="378"/>
      <c r="S48" s="378"/>
      <c r="T48" s="378"/>
      <c r="U48" s="378"/>
      <c r="V48" s="378"/>
      <c r="W48" s="378"/>
      <c r="X48" s="378"/>
      <c r="Y48" s="378"/>
      <c r="Z48" s="378"/>
      <c r="AA48" s="378"/>
      <c r="AB48" s="378"/>
      <c r="AC48" s="378"/>
      <c r="AD48" s="378"/>
      <c r="AE48" s="378"/>
      <c r="AF48" s="378"/>
      <c r="AG48" s="378"/>
      <c r="AH48" s="378"/>
      <c r="AI48" s="378"/>
      <c r="AJ48" s="378"/>
      <c r="AK48" s="378"/>
      <c r="AL48" s="378"/>
      <c r="AM48" s="378"/>
      <c r="AN48" s="378">
        <v>10</v>
      </c>
      <c r="AO48" s="378"/>
      <c r="AP48" s="378"/>
      <c r="AQ48" s="378"/>
      <c r="AR48" s="378"/>
      <c r="AS48" s="378"/>
      <c r="AT48" s="378"/>
      <c r="AU48" s="378"/>
      <c r="AV48" s="378"/>
      <c r="AW48" s="378"/>
      <c r="AX48" s="378"/>
      <c r="AY48" s="378"/>
      <c r="AZ48" s="378"/>
      <c r="BA48" s="378"/>
      <c r="BB48" s="378"/>
      <c r="BC48" s="378"/>
      <c r="BD48" s="378"/>
      <c r="BE48" s="378"/>
      <c r="BF48" s="378"/>
      <c r="BG48" s="196">
        <v>0.66</v>
      </c>
      <c r="BH48" s="196">
        <v>1.0369999999999999</v>
      </c>
      <c r="BI48" s="192">
        <v>1600</v>
      </c>
      <c r="BJ48" s="534">
        <v>2.6</v>
      </c>
      <c r="BK48" s="180" t="s">
        <v>13</v>
      </c>
      <c r="BL48" s="38">
        <v>4</v>
      </c>
      <c r="BM48" s="38"/>
      <c r="BN48" s="38">
        <v>0</v>
      </c>
      <c r="BO48" s="507">
        <f t="shared" si="12"/>
        <v>1000</v>
      </c>
      <c r="BP48" s="534">
        <v>0.92</v>
      </c>
      <c r="BR48" s="196">
        <f t="shared" si="10"/>
        <v>0.34072412122934098</v>
      </c>
      <c r="BS48" s="193">
        <f t="shared" si="11"/>
        <v>0.60000000000000009</v>
      </c>
      <c r="BT48" s="535">
        <f t="shared" si="9"/>
        <v>42</v>
      </c>
      <c r="BV48" s="177"/>
    </row>
    <row r="49" spans="1:74" x14ac:dyDescent="0.25">
      <c r="A49" s="188" t="s">
        <v>227</v>
      </c>
      <c r="B49" s="188" t="s">
        <v>227</v>
      </c>
      <c r="C49" s="378"/>
      <c r="D49" s="182"/>
      <c r="E49" s="182">
        <v>369</v>
      </c>
      <c r="F49" s="182"/>
      <c r="G49" s="182"/>
      <c r="H49" s="182"/>
      <c r="I49" s="182"/>
      <c r="J49" s="182"/>
      <c r="K49" s="505"/>
      <c r="L49" s="182"/>
      <c r="M49" s="182"/>
      <c r="N49" s="182"/>
      <c r="O49" s="182"/>
      <c r="P49" s="182">
        <v>582</v>
      </c>
      <c r="Q49" s="182"/>
      <c r="R49" s="182"/>
      <c r="S49" s="182"/>
      <c r="T49" s="182"/>
      <c r="U49" s="182"/>
      <c r="V49" s="182"/>
      <c r="W49" s="182"/>
      <c r="X49" s="182">
        <v>5</v>
      </c>
      <c r="Y49" s="182"/>
      <c r="Z49" s="182"/>
      <c r="AA49" s="182"/>
      <c r="AB49" s="182"/>
      <c r="AC49" s="182"/>
      <c r="AD49" s="182"/>
      <c r="AE49" s="182"/>
      <c r="AF49" s="182"/>
      <c r="AG49" s="182"/>
      <c r="AH49" s="182"/>
      <c r="AI49" s="182"/>
      <c r="AJ49" s="182">
        <v>1</v>
      </c>
      <c r="AK49" s="182">
        <v>43</v>
      </c>
      <c r="AL49" s="182"/>
      <c r="AM49" s="182"/>
      <c r="AN49" s="182"/>
      <c r="AO49" s="182"/>
      <c r="AP49" s="182"/>
      <c r="AQ49" s="182"/>
      <c r="AR49" s="182"/>
      <c r="AS49" s="182"/>
      <c r="AT49" s="182"/>
      <c r="AU49" s="182"/>
      <c r="AV49" s="182"/>
      <c r="AW49" s="182"/>
      <c r="AX49" s="182"/>
      <c r="AY49" s="182"/>
      <c r="AZ49" s="182"/>
      <c r="BA49" s="182"/>
      <c r="BB49" s="182"/>
      <c r="BC49" s="182"/>
      <c r="BD49" s="182"/>
      <c r="BE49" s="182"/>
      <c r="BF49" s="182"/>
      <c r="BG49" s="196">
        <f t="shared" ref="BG49:BG58" si="13">((BO49-(BI49*BR49))/BS49)/1000</f>
        <v>0.41820451910631951</v>
      </c>
      <c r="BH49" s="196">
        <f t="shared" ref="BH49:BH58" si="14">BR49+BG49</f>
        <v>0.76659703735476725</v>
      </c>
      <c r="BI49" s="192">
        <v>1850</v>
      </c>
      <c r="BJ49" s="42">
        <f t="shared" ref="BJ49:BJ58" si="15">1/(BH49-BG49)</f>
        <v>2.8703257033977807</v>
      </c>
      <c r="BK49" s="180" t="s">
        <v>13</v>
      </c>
      <c r="BL49" s="23" t="s">
        <v>14</v>
      </c>
      <c r="BM49" s="38"/>
      <c r="BN49" s="38">
        <v>0</v>
      </c>
      <c r="BO49" s="507">
        <f t="shared" si="12"/>
        <v>1000</v>
      </c>
      <c r="BP49" s="187">
        <v>1.52</v>
      </c>
      <c r="BR49" s="196">
        <f t="shared" si="10"/>
        <v>0.3483925182484478</v>
      </c>
      <c r="BS49" s="193">
        <f t="shared" si="11"/>
        <v>0.85000000000000009</v>
      </c>
      <c r="BT49" s="535">
        <f t="shared" si="9"/>
        <v>43</v>
      </c>
      <c r="BV49" s="141" t="s">
        <v>272</v>
      </c>
    </row>
    <row r="50" spans="1:74" x14ac:dyDescent="0.25">
      <c r="A50" s="183" t="s">
        <v>1782</v>
      </c>
      <c r="B50" s="188" t="s">
        <v>1782</v>
      </c>
      <c r="C50" s="181"/>
      <c r="D50" s="534"/>
      <c r="E50" s="534"/>
      <c r="F50" s="534"/>
      <c r="G50" s="534">
        <v>979</v>
      </c>
      <c r="H50" s="534"/>
      <c r="I50" s="534"/>
      <c r="J50" s="534"/>
      <c r="K50" s="534"/>
      <c r="L50" s="534"/>
      <c r="M50" s="534"/>
      <c r="N50" s="534"/>
      <c r="O50" s="534"/>
      <c r="P50" s="534">
        <v>10</v>
      </c>
      <c r="Q50" s="534"/>
      <c r="R50" s="534"/>
      <c r="S50" s="534"/>
      <c r="T50" s="534"/>
      <c r="U50" s="534"/>
      <c r="V50" s="534"/>
      <c r="W50" s="534"/>
      <c r="X50" s="534"/>
      <c r="Y50" s="534"/>
      <c r="Z50" s="534">
        <v>1</v>
      </c>
      <c r="AA50" s="534">
        <v>3</v>
      </c>
      <c r="AB50" s="534"/>
      <c r="AC50" s="534"/>
      <c r="AD50" s="534"/>
      <c r="AE50" s="534"/>
      <c r="AF50" s="534"/>
      <c r="AG50" s="534"/>
      <c r="AH50" s="534"/>
      <c r="AI50" s="534"/>
      <c r="AJ50" s="534"/>
      <c r="AK50" s="534"/>
      <c r="AL50" s="534"/>
      <c r="AM50" s="534"/>
      <c r="AN50" s="534">
        <v>7</v>
      </c>
      <c r="AO50" s="534"/>
      <c r="AP50" s="534"/>
      <c r="AQ50" s="534"/>
      <c r="AR50" s="534"/>
      <c r="AS50" s="534"/>
      <c r="AT50" s="534"/>
      <c r="AU50" s="534"/>
      <c r="AV50" s="534"/>
      <c r="AW50" s="534"/>
      <c r="AX50" s="534"/>
      <c r="AY50" s="534"/>
      <c r="AZ50" s="534"/>
      <c r="BA50" s="534"/>
      <c r="BB50" s="534"/>
      <c r="BC50" s="534"/>
      <c r="BD50" s="534"/>
      <c r="BE50" s="534"/>
      <c r="BF50" s="534"/>
      <c r="BG50" s="196">
        <f t="shared" si="13"/>
        <v>0.49777616196997676</v>
      </c>
      <c r="BH50" s="196">
        <f t="shared" si="14"/>
        <v>0.84144728200560492</v>
      </c>
      <c r="BI50" s="192">
        <v>1780</v>
      </c>
      <c r="BJ50" s="42">
        <f t="shared" si="15"/>
        <v>2.909758608451972</v>
      </c>
      <c r="BK50" s="180" t="s">
        <v>18</v>
      </c>
      <c r="BL50" s="534">
        <v>31</v>
      </c>
      <c r="BM50" s="38"/>
      <c r="BN50" s="38">
        <v>0</v>
      </c>
      <c r="BO50" s="507">
        <f t="shared" si="12"/>
        <v>1000</v>
      </c>
      <c r="BP50" s="187">
        <v>1.24</v>
      </c>
      <c r="BR50" s="196">
        <f t="shared" si="10"/>
        <v>0.34367112003562811</v>
      </c>
      <c r="BS50" s="193">
        <f t="shared" si="11"/>
        <v>0.78</v>
      </c>
      <c r="BT50" s="535">
        <f t="shared" si="9"/>
        <v>44</v>
      </c>
      <c r="BV50" s="141" t="s">
        <v>114</v>
      </c>
    </row>
    <row r="51" spans="1:74" x14ac:dyDescent="0.25">
      <c r="A51" s="188" t="s">
        <v>430</v>
      </c>
      <c r="B51" s="188" t="s">
        <v>430</v>
      </c>
      <c r="C51" s="181"/>
      <c r="D51" s="378"/>
      <c r="E51" s="378"/>
      <c r="F51" s="378"/>
      <c r="G51" s="378">
        <v>758</v>
      </c>
      <c r="H51" s="378"/>
      <c r="I51" s="378"/>
      <c r="J51" s="378">
        <v>197.5</v>
      </c>
      <c r="K51" s="378"/>
      <c r="L51" s="378"/>
      <c r="M51" s="378"/>
      <c r="N51" s="378"/>
      <c r="O51" s="378">
        <v>11</v>
      </c>
      <c r="P51" s="378">
        <v>11</v>
      </c>
      <c r="Q51" s="378"/>
      <c r="R51" s="378"/>
      <c r="S51" s="378"/>
      <c r="T51" s="378"/>
      <c r="U51" s="378"/>
      <c r="V51" s="378"/>
      <c r="W51" s="378"/>
      <c r="X51" s="378"/>
      <c r="Y51" s="378"/>
      <c r="Z51" s="378"/>
      <c r="AA51" s="378"/>
      <c r="AB51" s="378"/>
      <c r="AC51" s="378"/>
      <c r="AD51" s="378"/>
      <c r="AE51" s="378"/>
      <c r="AF51" s="378"/>
      <c r="AG51" s="378"/>
      <c r="AH51" s="378"/>
      <c r="AI51" s="378"/>
      <c r="AJ51" s="378"/>
      <c r="AK51" s="378"/>
      <c r="AL51" s="378"/>
      <c r="AM51" s="378"/>
      <c r="AN51" s="378"/>
      <c r="AO51" s="378"/>
      <c r="AP51" s="378"/>
      <c r="AQ51" s="378"/>
      <c r="AR51" s="378"/>
      <c r="AS51" s="378">
        <v>22.5</v>
      </c>
      <c r="AT51" s="378"/>
      <c r="AU51" s="378"/>
      <c r="AV51" s="378"/>
      <c r="AW51" s="378"/>
      <c r="AX51" s="378"/>
      <c r="AY51" s="378"/>
      <c r="AZ51" s="378"/>
      <c r="BA51" s="378"/>
      <c r="BB51" s="378"/>
      <c r="BC51" s="378"/>
      <c r="BD51" s="378"/>
      <c r="BE51" s="378"/>
      <c r="BF51" s="378"/>
      <c r="BG51" s="196">
        <f t="shared" si="13"/>
        <v>0.92484159052079762</v>
      </c>
      <c r="BH51" s="196">
        <f t="shared" si="14"/>
        <v>1.283227727013865</v>
      </c>
      <c r="BI51" s="192">
        <v>1500</v>
      </c>
      <c r="BJ51" s="42">
        <f t="shared" si="15"/>
        <v>2.7902865043423462</v>
      </c>
      <c r="BK51" s="180" t="s">
        <v>13</v>
      </c>
      <c r="BL51" s="23" t="s">
        <v>54</v>
      </c>
      <c r="BM51" s="38"/>
      <c r="BN51" s="38">
        <v>0</v>
      </c>
      <c r="BO51" s="507">
        <f t="shared" si="12"/>
        <v>1000</v>
      </c>
      <c r="BP51" s="369">
        <v>1.2</v>
      </c>
      <c r="BR51" s="196">
        <f t="shared" si="10"/>
        <v>0.35838613649306744</v>
      </c>
      <c r="BS51" s="193">
        <f t="shared" si="11"/>
        <v>0.5</v>
      </c>
      <c r="BT51" s="535">
        <f t="shared" si="9"/>
        <v>45</v>
      </c>
      <c r="BV51" s="141" t="s">
        <v>114</v>
      </c>
    </row>
    <row r="52" spans="1:74" x14ac:dyDescent="0.25">
      <c r="A52" s="189" t="s">
        <v>231</v>
      </c>
      <c r="B52" s="189" t="s">
        <v>231</v>
      </c>
      <c r="C52" s="534"/>
      <c r="D52" s="182"/>
      <c r="E52" s="182"/>
      <c r="F52" s="182"/>
      <c r="G52" s="182">
        <v>727.5</v>
      </c>
      <c r="H52" s="182"/>
      <c r="I52" s="182">
        <v>218</v>
      </c>
      <c r="J52" s="182"/>
      <c r="K52" s="505"/>
      <c r="L52" s="182"/>
      <c r="M52" s="182"/>
      <c r="N52" s="182"/>
      <c r="O52" s="182">
        <v>8</v>
      </c>
      <c r="P52" s="182"/>
      <c r="Q52" s="182"/>
      <c r="R52" s="182"/>
      <c r="S52" s="182"/>
      <c r="T52" s="182"/>
      <c r="U52" s="182"/>
      <c r="V52" s="182"/>
      <c r="W52" s="182"/>
      <c r="X52" s="182"/>
      <c r="Y52" s="182"/>
      <c r="Z52" s="182"/>
      <c r="AA52" s="182">
        <v>3</v>
      </c>
      <c r="AB52" s="182"/>
      <c r="AC52" s="182"/>
      <c r="AD52" s="182"/>
      <c r="AE52" s="182"/>
      <c r="AF52" s="182">
        <v>14.5</v>
      </c>
      <c r="AG52" s="182"/>
      <c r="AH52" s="182">
        <v>29</v>
      </c>
      <c r="AI52" s="182"/>
      <c r="AJ52" s="182"/>
      <c r="AK52" s="182"/>
      <c r="AL52" s="182"/>
      <c r="AM52" s="182"/>
      <c r="AN52" s="182"/>
      <c r="AO52" s="182"/>
      <c r="AP52" s="182"/>
      <c r="AQ52" s="182"/>
      <c r="AR52" s="182"/>
      <c r="AS52" s="182"/>
      <c r="AT52" s="182"/>
      <c r="AU52" s="182"/>
      <c r="AV52" s="182"/>
      <c r="AW52" s="182"/>
      <c r="AX52" s="182"/>
      <c r="AY52" s="182"/>
      <c r="AZ52" s="182"/>
      <c r="BA52" s="182"/>
      <c r="BB52" s="182"/>
      <c r="BC52" s="182"/>
      <c r="BD52" s="182"/>
      <c r="BE52" s="182"/>
      <c r="BF52" s="182"/>
      <c r="BG52" s="196">
        <f t="shared" si="13"/>
        <v>0.8639855381197401</v>
      </c>
      <c r="BH52" s="196">
        <f t="shared" si="14"/>
        <v>1.2426570254131601</v>
      </c>
      <c r="BI52" s="192">
        <v>1500</v>
      </c>
      <c r="BJ52" s="42">
        <f t="shared" si="15"/>
        <v>2.640811451497358</v>
      </c>
      <c r="BK52" s="180" t="s">
        <v>13</v>
      </c>
      <c r="BL52" s="23" t="s">
        <v>14</v>
      </c>
      <c r="BM52" s="38"/>
      <c r="BN52" s="38">
        <v>0</v>
      </c>
      <c r="BO52" s="507">
        <f t="shared" si="12"/>
        <v>1000</v>
      </c>
      <c r="BP52" s="187">
        <v>1.29</v>
      </c>
      <c r="BR52" s="196">
        <f t="shared" si="10"/>
        <v>0.37867148729341998</v>
      </c>
      <c r="BS52" s="193">
        <f t="shared" si="11"/>
        <v>0.5</v>
      </c>
      <c r="BT52" s="535">
        <f t="shared" si="9"/>
        <v>46</v>
      </c>
      <c r="BV52" s="141" t="s">
        <v>114</v>
      </c>
    </row>
    <row r="53" spans="1:74" x14ac:dyDescent="0.25">
      <c r="A53" s="185" t="s">
        <v>1780</v>
      </c>
      <c r="B53" s="190" t="s">
        <v>1780</v>
      </c>
      <c r="C53" s="181"/>
      <c r="D53" s="182"/>
      <c r="E53" s="182"/>
      <c r="F53" s="182"/>
      <c r="G53" s="182">
        <v>760</v>
      </c>
      <c r="H53" s="182"/>
      <c r="I53" s="182">
        <v>225</v>
      </c>
      <c r="J53" s="182"/>
      <c r="K53" s="505"/>
      <c r="L53" s="182"/>
      <c r="M53" s="182"/>
      <c r="N53" s="182"/>
      <c r="O53" s="182"/>
      <c r="P53" s="182">
        <v>10</v>
      </c>
      <c r="Q53" s="182"/>
      <c r="R53" s="182"/>
      <c r="S53" s="182"/>
      <c r="T53" s="182"/>
      <c r="U53" s="182"/>
      <c r="V53" s="182"/>
      <c r="W53" s="182"/>
      <c r="X53" s="182"/>
      <c r="Y53" s="182"/>
      <c r="Z53" s="182">
        <v>1</v>
      </c>
      <c r="AA53" s="182">
        <v>4</v>
      </c>
      <c r="AB53" s="182"/>
      <c r="AC53" s="182"/>
      <c r="AD53" s="182"/>
      <c r="AE53" s="182"/>
      <c r="AF53" s="182"/>
      <c r="AG53" s="182"/>
      <c r="AH53" s="182"/>
      <c r="AI53" s="182"/>
      <c r="AJ53" s="182"/>
      <c r="AK53" s="182"/>
      <c r="AL53" s="182"/>
      <c r="AM53" s="182"/>
      <c r="AN53" s="182"/>
      <c r="AO53" s="182"/>
      <c r="AP53" s="182"/>
      <c r="AQ53" s="182"/>
      <c r="AR53" s="182"/>
      <c r="AS53" s="182"/>
      <c r="AT53" s="182"/>
      <c r="AU53" s="182"/>
      <c r="AV53" s="182"/>
      <c r="AW53" s="182"/>
      <c r="AX53" s="182"/>
      <c r="AY53" s="182"/>
      <c r="AZ53" s="182"/>
      <c r="BA53" s="182"/>
      <c r="BB53" s="182"/>
      <c r="BC53" s="182"/>
      <c r="BD53" s="182"/>
      <c r="BE53" s="182"/>
      <c r="BF53" s="182"/>
      <c r="BG53" s="196">
        <f t="shared" si="13"/>
        <v>0.86872547916581921</v>
      </c>
      <c r="BH53" s="196">
        <f t="shared" si="14"/>
        <v>1.2458169861105461</v>
      </c>
      <c r="BI53" s="192">
        <v>1500</v>
      </c>
      <c r="BJ53" s="42">
        <f t="shared" si="15"/>
        <v>2.6518762199186239</v>
      </c>
      <c r="BK53" s="180" t="s">
        <v>18</v>
      </c>
      <c r="BL53" s="38">
        <v>42</v>
      </c>
      <c r="BM53" s="38"/>
      <c r="BN53" s="38">
        <v>0</v>
      </c>
      <c r="BO53" s="507">
        <f t="shared" si="12"/>
        <v>1000</v>
      </c>
      <c r="BP53" s="187">
        <v>1.19</v>
      </c>
      <c r="BR53" s="196">
        <f t="shared" si="10"/>
        <v>0.37709150694472693</v>
      </c>
      <c r="BS53" s="193">
        <f t="shared" si="11"/>
        <v>0.5</v>
      </c>
      <c r="BT53" s="535">
        <f t="shared" si="9"/>
        <v>47</v>
      </c>
      <c r="BV53" s="141" t="s">
        <v>114</v>
      </c>
    </row>
    <row r="54" spans="1:74" x14ac:dyDescent="0.25">
      <c r="A54" s="185" t="s">
        <v>1781</v>
      </c>
      <c r="B54" s="190" t="s">
        <v>1781</v>
      </c>
      <c r="C54" s="181"/>
      <c r="D54" s="182"/>
      <c r="E54" s="182"/>
      <c r="F54" s="182"/>
      <c r="G54" s="182">
        <v>760</v>
      </c>
      <c r="H54" s="182"/>
      <c r="I54" s="182"/>
      <c r="J54" s="182">
        <v>225</v>
      </c>
      <c r="K54" s="505"/>
      <c r="L54" s="182"/>
      <c r="M54" s="182"/>
      <c r="N54" s="182"/>
      <c r="O54" s="182"/>
      <c r="P54" s="182">
        <v>10</v>
      </c>
      <c r="Q54" s="182"/>
      <c r="R54" s="182"/>
      <c r="S54" s="182"/>
      <c r="T54" s="182"/>
      <c r="U54" s="182"/>
      <c r="V54" s="182"/>
      <c r="W54" s="182"/>
      <c r="X54" s="182"/>
      <c r="Y54" s="182"/>
      <c r="Z54" s="182">
        <v>1</v>
      </c>
      <c r="AA54" s="182">
        <v>4</v>
      </c>
      <c r="AB54" s="182"/>
      <c r="AC54" s="182"/>
      <c r="AD54" s="182"/>
      <c r="AE54" s="182"/>
      <c r="AF54" s="182"/>
      <c r="AG54" s="182"/>
      <c r="AH54" s="182"/>
      <c r="AI54" s="182"/>
      <c r="AJ54" s="182"/>
      <c r="AK54" s="182"/>
      <c r="AL54" s="182"/>
      <c r="AM54" s="182"/>
      <c r="AN54" s="182"/>
      <c r="AO54" s="182"/>
      <c r="AP54" s="182"/>
      <c r="AQ54" s="182"/>
      <c r="AR54" s="182"/>
      <c r="AS54" s="182"/>
      <c r="AT54" s="182"/>
      <c r="AU54" s="182"/>
      <c r="AV54" s="182"/>
      <c r="AW54" s="182"/>
      <c r="AX54" s="182"/>
      <c r="AY54" s="182"/>
      <c r="AZ54" s="182"/>
      <c r="BA54" s="182"/>
      <c r="BB54" s="182"/>
      <c r="BC54" s="182"/>
      <c r="BD54" s="182"/>
      <c r="BE54" s="182"/>
      <c r="BF54" s="182"/>
      <c r="BG54" s="196">
        <f t="shared" si="13"/>
        <v>0.92537664745456183</v>
      </c>
      <c r="BH54" s="196">
        <f t="shared" si="14"/>
        <v>1.2835844316363745</v>
      </c>
      <c r="BI54" s="192">
        <v>1500</v>
      </c>
      <c r="BJ54" s="42">
        <f t="shared" si="15"/>
        <v>2.7916757930990075</v>
      </c>
      <c r="BK54" s="180" t="s">
        <v>18</v>
      </c>
      <c r="BL54" s="38">
        <v>42</v>
      </c>
      <c r="BM54" s="38"/>
      <c r="BN54" s="38">
        <v>0</v>
      </c>
      <c r="BO54" s="507">
        <f t="shared" si="12"/>
        <v>1000</v>
      </c>
      <c r="BP54" s="187">
        <v>1.25</v>
      </c>
      <c r="BR54" s="196">
        <f t="shared" si="10"/>
        <v>0.35820778418181271</v>
      </c>
      <c r="BS54" s="193">
        <f t="shared" si="11"/>
        <v>0.5</v>
      </c>
      <c r="BT54" s="535">
        <f t="shared" si="9"/>
        <v>48</v>
      </c>
      <c r="BV54" s="176" t="s">
        <v>114</v>
      </c>
    </row>
    <row r="55" spans="1:74" x14ac:dyDescent="0.25">
      <c r="A55" s="185" t="s">
        <v>56</v>
      </c>
      <c r="B55" s="190" t="s">
        <v>56</v>
      </c>
      <c r="C55" s="181"/>
      <c r="D55" s="182"/>
      <c r="E55" s="182"/>
      <c r="F55" s="182"/>
      <c r="G55" s="182">
        <v>972</v>
      </c>
      <c r="H55" s="182"/>
      <c r="I55" s="182"/>
      <c r="J55" s="182"/>
      <c r="K55" s="505"/>
      <c r="L55" s="182"/>
      <c r="M55" s="182"/>
      <c r="N55" s="182"/>
      <c r="O55" s="182">
        <v>14</v>
      </c>
      <c r="P55" s="182">
        <v>14</v>
      </c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182"/>
      <c r="AF55" s="182"/>
      <c r="AG55" s="182"/>
      <c r="AH55" s="182"/>
      <c r="AI55" s="182"/>
      <c r="AJ55" s="182"/>
      <c r="AK55" s="182"/>
      <c r="AL55" s="182"/>
      <c r="AM55" s="182"/>
      <c r="AN55" s="182"/>
      <c r="AO55" s="182"/>
      <c r="AP55" s="182"/>
      <c r="AQ55" s="182"/>
      <c r="AR55" s="182"/>
      <c r="AS55" s="182"/>
      <c r="AT55" s="182"/>
      <c r="AU55" s="182"/>
      <c r="AV55" s="182"/>
      <c r="AW55" s="182"/>
      <c r="AX55" s="182"/>
      <c r="AY55" s="182"/>
      <c r="AZ55" s="182"/>
      <c r="BA55" s="182"/>
      <c r="BB55" s="182"/>
      <c r="BC55" s="182"/>
      <c r="BD55" s="182"/>
      <c r="BE55" s="182"/>
      <c r="BF55" s="182"/>
      <c r="BG55" s="196">
        <f t="shared" si="13"/>
        <v>0.66874645458664106</v>
      </c>
      <c r="BH55" s="196">
        <f t="shared" si="14"/>
        <v>1.0113614876282673</v>
      </c>
      <c r="BI55" s="192">
        <v>1650</v>
      </c>
      <c r="BJ55" s="42">
        <f t="shared" si="15"/>
        <v>2.9187277368489095</v>
      </c>
      <c r="BK55" s="180" t="s">
        <v>13</v>
      </c>
      <c r="BL55" s="38">
        <v>42</v>
      </c>
      <c r="BM55" s="38"/>
      <c r="BN55" s="38">
        <v>0</v>
      </c>
      <c r="BO55" s="507">
        <f t="shared" si="12"/>
        <v>1000</v>
      </c>
      <c r="BP55" s="187">
        <v>1.4</v>
      </c>
      <c r="BR55" s="196">
        <f t="shared" si="10"/>
        <v>0.34261503304162627</v>
      </c>
      <c r="BS55" s="193">
        <f t="shared" si="11"/>
        <v>0.64999999999999991</v>
      </c>
      <c r="BT55" s="535">
        <f t="shared" si="9"/>
        <v>49</v>
      </c>
      <c r="BV55" s="176"/>
    </row>
    <row r="56" spans="1:74" x14ac:dyDescent="0.25">
      <c r="A56" s="190" t="s">
        <v>57</v>
      </c>
      <c r="B56" s="190" t="s">
        <v>57</v>
      </c>
      <c r="C56" s="181"/>
      <c r="D56" s="182"/>
      <c r="E56" s="182"/>
      <c r="F56" s="182"/>
      <c r="G56" s="182">
        <v>668</v>
      </c>
      <c r="H56" s="182"/>
      <c r="I56" s="182">
        <v>200.5</v>
      </c>
      <c r="J56" s="182"/>
      <c r="K56" s="505"/>
      <c r="L56" s="182"/>
      <c r="M56" s="182"/>
      <c r="N56" s="182"/>
      <c r="O56" s="182">
        <v>6.5</v>
      </c>
      <c r="P56" s="182"/>
      <c r="Q56" s="182"/>
      <c r="R56" s="182"/>
      <c r="S56" s="182">
        <v>85</v>
      </c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>
        <v>13.5</v>
      </c>
      <c r="AG56" s="182"/>
      <c r="AH56" s="182">
        <v>26.5</v>
      </c>
      <c r="AI56" s="182"/>
      <c r="AJ56" s="182"/>
      <c r="AK56" s="182"/>
      <c r="AL56" s="182"/>
      <c r="AM56" s="182"/>
      <c r="AN56" s="182"/>
      <c r="AO56" s="182"/>
      <c r="AP56" s="182"/>
      <c r="AQ56" s="182"/>
      <c r="AR56" s="182"/>
      <c r="AS56" s="182"/>
      <c r="AT56" s="182"/>
      <c r="AU56" s="182"/>
      <c r="AV56" s="182"/>
      <c r="AW56" s="182"/>
      <c r="AX56" s="182"/>
      <c r="AY56" s="182"/>
      <c r="AZ56" s="182"/>
      <c r="BA56" s="182"/>
      <c r="BB56" s="182"/>
      <c r="BC56" s="182"/>
      <c r="BD56" s="182"/>
      <c r="BE56" s="182"/>
      <c r="BF56" s="182"/>
      <c r="BG56" s="196">
        <f t="shared" si="13"/>
        <v>0.74011906964012053</v>
      </c>
      <c r="BH56" s="196">
        <f t="shared" si="14"/>
        <v>1.2429421926000861</v>
      </c>
      <c r="BI56" s="192">
        <v>1400</v>
      </c>
      <c r="BJ56" s="42">
        <f t="shared" si="15"/>
        <v>1.9887709103616926</v>
      </c>
      <c r="BK56" s="180" t="s">
        <v>13</v>
      </c>
      <c r="BL56" s="38">
        <v>42</v>
      </c>
      <c r="BM56" s="38"/>
      <c r="BN56" s="38">
        <v>0</v>
      </c>
      <c r="BO56" s="507">
        <f t="shared" si="12"/>
        <v>1000</v>
      </c>
      <c r="BP56" s="187"/>
      <c r="BR56" s="196">
        <f t="shared" si="10"/>
        <v>0.50282312295996556</v>
      </c>
      <c r="BS56" s="193">
        <f t="shared" si="11"/>
        <v>0.39999999999999991</v>
      </c>
      <c r="BT56" s="535">
        <f t="shared" si="9"/>
        <v>50</v>
      </c>
      <c r="BV56" s="176"/>
    </row>
    <row r="57" spans="1:74" x14ac:dyDescent="0.25">
      <c r="A57" s="190" t="s">
        <v>58</v>
      </c>
      <c r="B57" s="190" t="s">
        <v>58</v>
      </c>
      <c r="C57" s="181"/>
      <c r="D57" s="182"/>
      <c r="E57" s="182">
        <v>673</v>
      </c>
      <c r="F57" s="182"/>
      <c r="G57" s="182"/>
      <c r="H57" s="182"/>
      <c r="I57" s="182">
        <v>200</v>
      </c>
      <c r="J57" s="182"/>
      <c r="K57" s="505"/>
      <c r="L57" s="182"/>
      <c r="M57" s="182"/>
      <c r="N57" s="182"/>
      <c r="O57" s="182">
        <v>27</v>
      </c>
      <c r="P57" s="182"/>
      <c r="Q57" s="182"/>
      <c r="R57" s="182"/>
      <c r="S57" s="182"/>
      <c r="T57" s="182"/>
      <c r="U57" s="182"/>
      <c r="V57" s="182">
        <v>100</v>
      </c>
      <c r="W57" s="182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  <c r="AH57" s="182"/>
      <c r="AI57" s="182"/>
      <c r="AJ57" s="182"/>
      <c r="AK57" s="182"/>
      <c r="AL57" s="182"/>
      <c r="AM57" s="182"/>
      <c r="AN57" s="182"/>
      <c r="AO57" s="182"/>
      <c r="AP57" s="182"/>
      <c r="AQ57" s="182"/>
      <c r="AR57" s="182"/>
      <c r="AS57" s="182"/>
      <c r="AT57" s="182"/>
      <c r="AU57" s="182"/>
      <c r="AV57" s="182"/>
      <c r="AW57" s="182"/>
      <c r="AX57" s="182"/>
      <c r="AY57" s="182"/>
      <c r="AZ57" s="182"/>
      <c r="BA57" s="182"/>
      <c r="BB57" s="182"/>
      <c r="BC57" s="182"/>
      <c r="BD57" s="182"/>
      <c r="BE57" s="182"/>
      <c r="BF57" s="182"/>
      <c r="BG57" s="196">
        <f t="shared" si="13"/>
        <v>0.59512435527581076</v>
      </c>
      <c r="BH57" s="196">
        <f t="shared" si="14"/>
        <v>0.99695272204738172</v>
      </c>
      <c r="BI57" s="192">
        <v>1600</v>
      </c>
      <c r="BJ57" s="42">
        <f t="shared" si="15"/>
        <v>2.4886247032143305</v>
      </c>
      <c r="BK57" s="180" t="s">
        <v>18</v>
      </c>
      <c r="BL57" s="38">
        <v>31</v>
      </c>
      <c r="BM57" s="38"/>
      <c r="BN57" s="38">
        <v>0</v>
      </c>
      <c r="BO57" s="507">
        <f t="shared" si="12"/>
        <v>1000</v>
      </c>
      <c r="BP57" s="187">
        <v>1.19</v>
      </c>
      <c r="BR57" s="196">
        <f t="shared" si="10"/>
        <v>0.40182836677157091</v>
      </c>
      <c r="BS57" s="193">
        <f t="shared" si="11"/>
        <v>0.60000000000000009</v>
      </c>
      <c r="BT57" s="535">
        <f t="shared" si="9"/>
        <v>51</v>
      </c>
      <c r="BV57" s="176"/>
    </row>
    <row r="58" spans="1:74" x14ac:dyDescent="0.25">
      <c r="A58" s="183" t="s">
        <v>59</v>
      </c>
      <c r="B58" s="188" t="s">
        <v>59</v>
      </c>
      <c r="C58" s="181"/>
      <c r="D58" s="182"/>
      <c r="E58" s="182">
        <v>865</v>
      </c>
      <c r="F58" s="182"/>
      <c r="G58" s="182"/>
      <c r="H58" s="182"/>
      <c r="I58" s="182"/>
      <c r="J58" s="182"/>
      <c r="K58" s="505"/>
      <c r="L58" s="182"/>
      <c r="M58" s="182"/>
      <c r="N58" s="182"/>
      <c r="O58" s="182">
        <v>17</v>
      </c>
      <c r="P58" s="182">
        <v>80</v>
      </c>
      <c r="Q58" s="182"/>
      <c r="R58" s="182"/>
      <c r="S58" s="182"/>
      <c r="T58" s="182"/>
      <c r="U58" s="182"/>
      <c r="V58" s="182"/>
      <c r="W58" s="182"/>
      <c r="X58" s="182"/>
      <c r="Y58" s="182"/>
      <c r="Z58" s="182"/>
      <c r="AA58" s="182"/>
      <c r="AB58" s="182"/>
      <c r="AC58" s="182"/>
      <c r="AD58" s="182"/>
      <c r="AE58" s="182">
        <v>29</v>
      </c>
      <c r="AF58" s="182"/>
      <c r="AG58" s="182"/>
      <c r="AH58" s="182"/>
      <c r="AI58" s="182"/>
      <c r="AJ58" s="182"/>
      <c r="AK58" s="182"/>
      <c r="AL58" s="182"/>
      <c r="AM58" s="182"/>
      <c r="AN58" s="182">
        <v>9</v>
      </c>
      <c r="AO58" s="182"/>
      <c r="AP58" s="182"/>
      <c r="AQ58" s="182"/>
      <c r="AR58" s="182"/>
      <c r="AS58" s="182"/>
      <c r="AT58" s="182"/>
      <c r="AU58" s="182"/>
      <c r="AV58" s="182"/>
      <c r="AW58" s="182"/>
      <c r="AX58" s="182"/>
      <c r="AY58" s="182"/>
      <c r="AZ58" s="182"/>
      <c r="BA58" s="182"/>
      <c r="BB58" s="182"/>
      <c r="BC58" s="182"/>
      <c r="BD58" s="182"/>
      <c r="BE58" s="182"/>
      <c r="BF58" s="182"/>
      <c r="BG58" s="196">
        <f t="shared" si="13"/>
        <v>0.5050326159366002</v>
      </c>
      <c r="BH58" s="196">
        <f t="shared" si="14"/>
        <v>0.82694099776736274</v>
      </c>
      <c r="BI58" s="192">
        <v>1820</v>
      </c>
      <c r="BJ58" s="42">
        <f t="shared" si="15"/>
        <v>3.106473942408035</v>
      </c>
      <c r="BK58" s="180" t="s">
        <v>18</v>
      </c>
      <c r="BL58" s="38">
        <v>31</v>
      </c>
      <c r="BM58" s="38"/>
      <c r="BN58" s="38">
        <v>0</v>
      </c>
      <c r="BO58" s="507">
        <f t="shared" si="12"/>
        <v>1000</v>
      </c>
      <c r="BP58" s="187">
        <v>1.41</v>
      </c>
      <c r="BR58" s="196">
        <f t="shared" si="10"/>
        <v>0.32190838183076254</v>
      </c>
      <c r="BS58" s="193">
        <f t="shared" si="11"/>
        <v>0.82000000000000006</v>
      </c>
      <c r="BT58" s="535">
        <f t="shared" si="9"/>
        <v>52</v>
      </c>
      <c r="BV58" s="141" t="s">
        <v>114</v>
      </c>
    </row>
    <row r="59" spans="1:74" s="77" customFormat="1" x14ac:dyDescent="0.25">
      <c r="A59" s="183" t="s">
        <v>1772</v>
      </c>
      <c r="B59" s="188" t="s">
        <v>1772</v>
      </c>
      <c r="C59" s="181"/>
      <c r="D59" s="378"/>
      <c r="E59" s="378"/>
      <c r="F59" s="378"/>
      <c r="G59" s="378"/>
      <c r="H59" s="378"/>
      <c r="I59" s="378">
        <v>69</v>
      </c>
      <c r="J59" s="378"/>
      <c r="K59" s="378"/>
      <c r="L59" s="378"/>
      <c r="M59" s="378"/>
      <c r="N59" s="378"/>
      <c r="O59" s="378"/>
      <c r="P59" s="378"/>
      <c r="Q59" s="378"/>
      <c r="R59" s="378"/>
      <c r="S59" s="378"/>
      <c r="T59" s="378">
        <v>138</v>
      </c>
      <c r="U59" s="378"/>
      <c r="V59" s="378"/>
      <c r="W59" s="378"/>
      <c r="X59" s="378"/>
      <c r="Y59" s="378"/>
      <c r="Z59" s="378"/>
      <c r="AA59" s="378"/>
      <c r="AB59" s="378"/>
      <c r="AC59" s="378"/>
      <c r="AD59" s="378"/>
      <c r="AE59" s="378"/>
      <c r="AF59" s="378"/>
      <c r="AG59" s="378"/>
      <c r="AH59" s="378"/>
      <c r="AI59" s="378">
        <v>103</v>
      </c>
      <c r="AJ59" s="378"/>
      <c r="AK59" s="378"/>
      <c r="AL59" s="378"/>
      <c r="AM59" s="378"/>
      <c r="AN59" s="378"/>
      <c r="AO59" s="378"/>
      <c r="AP59" s="378"/>
      <c r="AQ59" s="378"/>
      <c r="AR59" s="378"/>
      <c r="AS59" s="378"/>
      <c r="AT59" s="378"/>
      <c r="AU59" s="378">
        <v>690</v>
      </c>
      <c r="AV59" s="378"/>
      <c r="AW59" s="378"/>
      <c r="AX59" s="378"/>
      <c r="AY59" s="378"/>
      <c r="AZ59" s="378"/>
      <c r="BA59" s="378"/>
      <c r="BB59" s="378"/>
      <c r="BC59" s="378"/>
      <c r="BD59" s="378"/>
      <c r="BE59" s="378"/>
      <c r="BF59" s="378"/>
      <c r="BG59" s="196">
        <v>0.66100000000000003</v>
      </c>
      <c r="BH59" s="196">
        <v>1.3839999999999999</v>
      </c>
      <c r="BI59" s="192">
        <v>1200</v>
      </c>
      <c r="BJ59" s="534">
        <v>1.383</v>
      </c>
      <c r="BK59" s="180" t="s">
        <v>13</v>
      </c>
      <c r="BL59" s="149" t="s">
        <v>1773</v>
      </c>
      <c r="BM59" s="149"/>
      <c r="BN59" s="149">
        <v>0</v>
      </c>
      <c r="BO59" s="507">
        <f t="shared" si="12"/>
        <v>1000</v>
      </c>
      <c r="BP59" s="534">
        <v>1.9990000000000001</v>
      </c>
      <c r="BR59" s="196">
        <f t="shared" si="10"/>
        <v>0.72430744223772459</v>
      </c>
      <c r="BS59" s="193">
        <f t="shared" si="11"/>
        <v>0.19999999999999996</v>
      </c>
      <c r="BT59" s="535">
        <f t="shared" si="9"/>
        <v>53</v>
      </c>
      <c r="BV59" s="176"/>
    </row>
    <row r="60" spans="1:74" x14ac:dyDescent="0.25">
      <c r="A60" s="183" t="s">
        <v>603</v>
      </c>
      <c r="B60" s="188" t="s">
        <v>603</v>
      </c>
      <c r="C60" s="181"/>
      <c r="D60" s="378"/>
      <c r="E60" s="378">
        <v>350</v>
      </c>
      <c r="F60" s="378"/>
      <c r="G60" s="378"/>
      <c r="H60" s="378"/>
      <c r="I60" s="378"/>
      <c r="J60" s="378"/>
      <c r="K60" s="378"/>
      <c r="L60" s="378"/>
      <c r="M60" s="378"/>
      <c r="N60" s="378">
        <v>125</v>
      </c>
      <c r="O60" s="378"/>
      <c r="P60" s="378">
        <v>525</v>
      </c>
      <c r="Q60" s="378"/>
      <c r="R60" s="378"/>
      <c r="S60" s="378"/>
      <c r="T60" s="378"/>
      <c r="U60" s="378"/>
      <c r="V60" s="378"/>
      <c r="W60" s="378"/>
      <c r="X60" s="378"/>
      <c r="Y60" s="378"/>
      <c r="Z60" s="378"/>
      <c r="AA60" s="378"/>
      <c r="AB60" s="378"/>
      <c r="AC60" s="378"/>
      <c r="AD60" s="378"/>
      <c r="AE60" s="378"/>
      <c r="AF60" s="378"/>
      <c r="AG60" s="378"/>
      <c r="AH60" s="378"/>
      <c r="AI60" s="378"/>
      <c r="AJ60" s="378"/>
      <c r="AK60" s="378"/>
      <c r="AL60" s="378"/>
      <c r="AM60" s="378"/>
      <c r="AN60" s="378"/>
      <c r="AO60" s="378"/>
      <c r="AP60" s="378"/>
      <c r="AQ60" s="378"/>
      <c r="AR60" s="378"/>
      <c r="AS60" s="378"/>
      <c r="AT60" s="378"/>
      <c r="AU60" s="378"/>
      <c r="AV60" s="378"/>
      <c r="AW60" s="378"/>
      <c r="AX60" s="378"/>
      <c r="AY60" s="378"/>
      <c r="AZ60" s="378"/>
      <c r="BA60" s="378"/>
      <c r="BB60" s="378"/>
      <c r="BC60" s="378"/>
      <c r="BD60" s="378"/>
      <c r="BE60" s="378"/>
      <c r="BF60" s="378"/>
      <c r="BG60" s="196">
        <v>0.434</v>
      </c>
      <c r="BH60" s="196">
        <v>0.77900000000000003</v>
      </c>
      <c r="BI60" s="192">
        <v>1840</v>
      </c>
      <c r="BJ60" s="534">
        <v>2.899</v>
      </c>
      <c r="BK60" s="180" t="s">
        <v>18</v>
      </c>
      <c r="BL60" s="38">
        <v>30</v>
      </c>
      <c r="BM60" s="38"/>
      <c r="BN60" s="38">
        <v>0</v>
      </c>
      <c r="BO60" s="507">
        <f t="shared" si="12"/>
        <v>1000</v>
      </c>
      <c r="BP60" s="534">
        <v>1.2270000000000001</v>
      </c>
      <c r="BR60" s="196">
        <f t="shared" si="10"/>
        <v>0.34541339143701655</v>
      </c>
      <c r="BS60" s="193">
        <f t="shared" si="11"/>
        <v>0.84000000000000008</v>
      </c>
      <c r="BT60" s="535">
        <f t="shared" si="9"/>
        <v>54</v>
      </c>
      <c r="BV60" s="141"/>
    </row>
    <row r="61" spans="1:74" x14ac:dyDescent="0.25">
      <c r="A61" s="183" t="s">
        <v>602</v>
      </c>
      <c r="B61" s="188" t="s">
        <v>602</v>
      </c>
      <c r="C61" s="181"/>
      <c r="D61" s="378">
        <v>578</v>
      </c>
      <c r="E61" s="378"/>
      <c r="F61" s="378"/>
      <c r="G61" s="378"/>
      <c r="H61" s="378"/>
      <c r="I61" s="378">
        <v>422</v>
      </c>
      <c r="J61" s="378"/>
      <c r="K61" s="378"/>
      <c r="L61" s="378"/>
      <c r="M61" s="378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  <c r="AA61" s="378"/>
      <c r="AB61" s="378"/>
      <c r="AC61" s="378"/>
      <c r="AD61" s="378"/>
      <c r="AE61" s="378"/>
      <c r="AF61" s="378"/>
      <c r="AG61" s="378"/>
      <c r="AH61" s="378"/>
      <c r="AI61" s="378"/>
      <c r="AJ61" s="378"/>
      <c r="AK61" s="378"/>
      <c r="AL61" s="378"/>
      <c r="AM61" s="378"/>
      <c r="AN61" s="378"/>
      <c r="AO61" s="378"/>
      <c r="AP61" s="378"/>
      <c r="AQ61" s="378"/>
      <c r="AR61" s="378"/>
      <c r="AS61" s="378"/>
      <c r="AT61" s="378"/>
      <c r="AU61" s="378"/>
      <c r="AV61" s="378"/>
      <c r="AW61" s="378"/>
      <c r="AX61" s="378"/>
      <c r="AY61" s="378"/>
      <c r="AZ61" s="378"/>
      <c r="BA61" s="378"/>
      <c r="BB61" s="378"/>
      <c r="BC61" s="378"/>
      <c r="BD61" s="378"/>
      <c r="BE61" s="378"/>
      <c r="BF61" s="378"/>
      <c r="BG61" s="196">
        <v>0.55200000000000005</v>
      </c>
      <c r="BH61" s="196">
        <v>0.94599999999999995</v>
      </c>
      <c r="BI61" s="192">
        <v>1640</v>
      </c>
      <c r="BJ61" s="534">
        <v>2.5379999999999998</v>
      </c>
      <c r="BK61" s="180" t="s">
        <v>13</v>
      </c>
      <c r="BL61" s="20">
        <v>3</v>
      </c>
      <c r="BM61" s="20"/>
      <c r="BN61" s="38">
        <v>0</v>
      </c>
      <c r="BO61" s="507">
        <f t="shared" si="12"/>
        <v>1000</v>
      </c>
      <c r="BP61" s="534">
        <v>1.125</v>
      </c>
      <c r="BR61" s="196">
        <f t="shared" si="10"/>
        <v>0.38934572202864887</v>
      </c>
      <c r="BS61" s="193">
        <f t="shared" si="11"/>
        <v>0.6399999999999999</v>
      </c>
      <c r="BT61" s="535">
        <f t="shared" si="9"/>
        <v>55</v>
      </c>
      <c r="BV61" s="176"/>
    </row>
    <row r="62" spans="1:74" x14ac:dyDescent="0.25">
      <c r="A62" s="183" t="s">
        <v>1770</v>
      </c>
      <c r="B62" s="188" t="s">
        <v>1770</v>
      </c>
      <c r="C62" s="181"/>
      <c r="D62" s="378"/>
      <c r="E62" s="378">
        <v>535</v>
      </c>
      <c r="F62" s="378"/>
      <c r="G62" s="378"/>
      <c r="H62" s="378"/>
      <c r="I62" s="378">
        <v>325</v>
      </c>
      <c r="J62" s="378"/>
      <c r="K62" s="378">
        <v>105</v>
      </c>
      <c r="L62" s="378"/>
      <c r="M62" s="378"/>
      <c r="N62" s="378"/>
      <c r="O62" s="378">
        <v>21</v>
      </c>
      <c r="P62" s="378">
        <v>14</v>
      </c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  <c r="AD62" s="378"/>
      <c r="AE62" s="378"/>
      <c r="AF62" s="378"/>
      <c r="AG62" s="378"/>
      <c r="AH62" s="378"/>
      <c r="AI62" s="378"/>
      <c r="AJ62" s="378"/>
      <c r="AK62" s="378"/>
      <c r="AL62" s="378"/>
      <c r="AM62" s="378"/>
      <c r="AN62" s="378"/>
      <c r="AO62" s="378"/>
      <c r="AP62" s="378"/>
      <c r="AQ62" s="378"/>
      <c r="AR62" s="378"/>
      <c r="AS62" s="378"/>
      <c r="AT62" s="378"/>
      <c r="AU62" s="378"/>
      <c r="AV62" s="378"/>
      <c r="AW62" s="378"/>
      <c r="AX62" s="378"/>
      <c r="AY62" s="378"/>
      <c r="AZ62" s="378"/>
      <c r="BA62" s="378"/>
      <c r="BB62" s="378"/>
      <c r="BC62" s="378"/>
      <c r="BD62" s="378"/>
      <c r="BE62" s="378"/>
      <c r="BF62" s="378"/>
      <c r="BG62" s="196">
        <v>0.64200000000000002</v>
      </c>
      <c r="BH62" s="196">
        <v>1.026</v>
      </c>
      <c r="BI62" s="192">
        <v>1600</v>
      </c>
      <c r="BJ62" s="534">
        <v>2.6019999999999999</v>
      </c>
      <c r="BK62" s="180" t="s">
        <v>13</v>
      </c>
      <c r="BL62" s="20">
        <v>4</v>
      </c>
      <c r="BM62" s="20"/>
      <c r="BN62" s="38">
        <v>0</v>
      </c>
      <c r="BO62" s="507">
        <f t="shared" si="12"/>
        <v>1000</v>
      </c>
      <c r="BP62" s="534">
        <v>1.9990000000000001</v>
      </c>
      <c r="BR62" s="196">
        <f t="shared" si="10"/>
        <v>0.33901222699227485</v>
      </c>
      <c r="BS62" s="193">
        <f t="shared" si="11"/>
        <v>0.60000000000000009</v>
      </c>
      <c r="BT62" s="535">
        <f t="shared" si="9"/>
        <v>56</v>
      </c>
      <c r="BV62" s="176"/>
    </row>
    <row r="63" spans="1:74" x14ac:dyDescent="0.25">
      <c r="A63" s="183" t="s">
        <v>60</v>
      </c>
      <c r="B63" s="188" t="s">
        <v>60</v>
      </c>
      <c r="C63" s="181"/>
      <c r="D63" s="182"/>
      <c r="E63" s="182">
        <v>980</v>
      </c>
      <c r="F63" s="182"/>
      <c r="G63" s="182"/>
      <c r="H63" s="182"/>
      <c r="I63" s="182"/>
      <c r="J63" s="182"/>
      <c r="K63" s="505"/>
      <c r="L63" s="182"/>
      <c r="M63" s="182"/>
      <c r="N63" s="182"/>
      <c r="O63" s="182">
        <v>15</v>
      </c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2"/>
      <c r="AF63" s="182">
        <v>5</v>
      </c>
      <c r="AG63" s="182"/>
      <c r="AH63" s="182"/>
      <c r="AI63" s="182"/>
      <c r="AJ63" s="182"/>
      <c r="AK63" s="182"/>
      <c r="AL63" s="182"/>
      <c r="AM63" s="182"/>
      <c r="AN63" s="182"/>
      <c r="AO63" s="182"/>
      <c r="AP63" s="182"/>
      <c r="AQ63" s="182"/>
      <c r="AR63" s="182"/>
      <c r="AS63" s="182"/>
      <c r="AT63" s="182"/>
      <c r="AU63" s="182"/>
      <c r="AV63" s="182"/>
      <c r="AW63" s="182"/>
      <c r="AX63" s="182"/>
      <c r="AY63" s="182"/>
      <c r="AZ63" s="182"/>
      <c r="BA63" s="182"/>
      <c r="BB63" s="182"/>
      <c r="BC63" s="182"/>
      <c r="BD63" s="182"/>
      <c r="BE63" s="182"/>
      <c r="BF63" s="182"/>
      <c r="BG63" s="196">
        <f t="shared" ref="BG63:BG81" si="16">((BO63-(BI63*BR63))/BS63)/1000</f>
        <v>1.3999256147010519</v>
      </c>
      <c r="BH63" s="196">
        <f t="shared" ref="BH63:BH81" si="17">BR63+BG63</f>
        <v>1.7142325819293229</v>
      </c>
      <c r="BI63" s="192">
        <v>1400</v>
      </c>
      <c r="BJ63" s="42">
        <f t="shared" ref="BJ63:BJ82" si="18">1/(BH63-BG63)</f>
        <v>3.1816030322793711</v>
      </c>
      <c r="BK63" s="180" t="s">
        <v>18</v>
      </c>
      <c r="BL63" s="20">
        <v>31</v>
      </c>
      <c r="BM63" s="20"/>
      <c r="BN63" s="38">
        <v>0</v>
      </c>
      <c r="BO63" s="507">
        <f t="shared" si="12"/>
        <v>1000</v>
      </c>
      <c r="BP63" s="187">
        <v>1.44</v>
      </c>
      <c r="BR63" s="196">
        <f t="shared" si="10"/>
        <v>0.31430696722827095</v>
      </c>
      <c r="BS63" s="193">
        <f t="shared" si="11"/>
        <v>0.39999999999999991</v>
      </c>
      <c r="BT63" s="535">
        <f t="shared" si="9"/>
        <v>57</v>
      </c>
      <c r="BV63" s="176"/>
    </row>
    <row r="64" spans="1:74" x14ac:dyDescent="0.25">
      <c r="A64" s="183" t="s">
        <v>61</v>
      </c>
      <c r="B64" s="188" t="s">
        <v>61</v>
      </c>
      <c r="C64" s="181"/>
      <c r="D64" s="182"/>
      <c r="E64" s="182">
        <v>980</v>
      </c>
      <c r="F64" s="182"/>
      <c r="G64" s="182"/>
      <c r="H64" s="182"/>
      <c r="I64" s="182"/>
      <c r="J64" s="182"/>
      <c r="K64" s="505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>
        <v>20</v>
      </c>
      <c r="AG64" s="182"/>
      <c r="AH64" s="182"/>
      <c r="AI64" s="182"/>
      <c r="AJ64" s="182"/>
      <c r="AK64" s="182"/>
      <c r="AL64" s="182"/>
      <c r="AM64" s="182"/>
      <c r="AN64" s="182"/>
      <c r="AO64" s="182"/>
      <c r="AP64" s="182"/>
      <c r="AQ64" s="182"/>
      <c r="AR64" s="182"/>
      <c r="AS64" s="182"/>
      <c r="AT64" s="182"/>
      <c r="AU64" s="182"/>
      <c r="AV64" s="182"/>
      <c r="AW64" s="182"/>
      <c r="AX64" s="182"/>
      <c r="AY64" s="182"/>
      <c r="AZ64" s="182"/>
      <c r="BA64" s="182"/>
      <c r="BB64" s="182"/>
      <c r="BC64" s="182"/>
      <c r="BD64" s="182"/>
      <c r="BE64" s="182"/>
      <c r="BF64" s="182"/>
      <c r="BG64" s="196">
        <f t="shared" si="16"/>
        <v>1.397939575247952</v>
      </c>
      <c r="BH64" s="196">
        <f t="shared" si="17"/>
        <v>1.7128139823199657</v>
      </c>
      <c r="BI64" s="192">
        <v>1400</v>
      </c>
      <c r="BJ64" s="42">
        <f t="shared" si="18"/>
        <v>3.17586941821948</v>
      </c>
      <c r="BK64" s="180" t="s">
        <v>18</v>
      </c>
      <c r="BL64" s="20">
        <v>31</v>
      </c>
      <c r="BM64" s="20"/>
      <c r="BN64" s="38">
        <v>0</v>
      </c>
      <c r="BO64" s="507">
        <f t="shared" si="12"/>
        <v>1000</v>
      </c>
      <c r="BP64" s="187">
        <v>1.44</v>
      </c>
      <c r="BR64" s="196">
        <f t="shared" si="10"/>
        <v>0.31487440707201381</v>
      </c>
      <c r="BS64" s="193">
        <f t="shared" si="11"/>
        <v>0.39999999999999991</v>
      </c>
      <c r="BT64" s="535">
        <f t="shared" si="9"/>
        <v>58</v>
      </c>
      <c r="BV64" s="176"/>
    </row>
    <row r="65" spans="1:74" x14ac:dyDescent="0.25">
      <c r="A65" s="183" t="s">
        <v>62</v>
      </c>
      <c r="B65" s="188" t="s">
        <v>62</v>
      </c>
      <c r="C65" s="181"/>
      <c r="D65" s="182"/>
      <c r="E65" s="182">
        <v>980</v>
      </c>
      <c r="F65" s="182"/>
      <c r="G65" s="182"/>
      <c r="H65" s="182"/>
      <c r="I65" s="182"/>
      <c r="J65" s="182"/>
      <c r="K65" s="505"/>
      <c r="L65" s="182"/>
      <c r="M65" s="182"/>
      <c r="N65" s="182"/>
      <c r="O65" s="182">
        <v>10</v>
      </c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>
        <v>10</v>
      </c>
      <c r="AG65" s="182"/>
      <c r="AH65" s="182"/>
      <c r="AI65" s="182"/>
      <c r="AJ65" s="182"/>
      <c r="AK65" s="182"/>
      <c r="AL65" s="182"/>
      <c r="AM65" s="182"/>
      <c r="AN65" s="182"/>
      <c r="AO65" s="182"/>
      <c r="AP65" s="182"/>
      <c r="AQ65" s="182"/>
      <c r="AR65" s="182"/>
      <c r="AS65" s="182"/>
      <c r="AT65" s="182"/>
      <c r="AU65" s="182"/>
      <c r="AV65" s="182"/>
      <c r="AW65" s="182"/>
      <c r="AX65" s="182"/>
      <c r="AY65" s="182"/>
      <c r="AZ65" s="182"/>
      <c r="BA65" s="182"/>
      <c r="BB65" s="182"/>
      <c r="BC65" s="182"/>
      <c r="BD65" s="182"/>
      <c r="BE65" s="182"/>
      <c r="BF65" s="182"/>
      <c r="BG65" s="196">
        <f t="shared" si="16"/>
        <v>1.3992636015500184</v>
      </c>
      <c r="BH65" s="196">
        <f t="shared" si="17"/>
        <v>1.7137597153928703</v>
      </c>
      <c r="BI65" s="192">
        <v>1400</v>
      </c>
      <c r="BJ65" s="42">
        <f t="shared" si="18"/>
        <v>3.1796895286905902</v>
      </c>
      <c r="BK65" s="180" t="s">
        <v>13</v>
      </c>
      <c r="BL65" s="20">
        <v>42</v>
      </c>
      <c r="BM65" s="20"/>
      <c r="BN65" s="38">
        <v>0</v>
      </c>
      <c r="BO65" s="507">
        <f t="shared" si="12"/>
        <v>1000</v>
      </c>
      <c r="BP65" s="187">
        <v>1.44</v>
      </c>
      <c r="BR65" s="196">
        <f t="shared" si="10"/>
        <v>0.31449611384285192</v>
      </c>
      <c r="BS65" s="193">
        <f t="shared" si="11"/>
        <v>0.39999999999999991</v>
      </c>
      <c r="BT65" s="535">
        <f t="shared" si="9"/>
        <v>59</v>
      </c>
      <c r="BV65" s="176"/>
    </row>
    <row r="66" spans="1:74" x14ac:dyDescent="0.25">
      <c r="A66" s="183" t="s">
        <v>63</v>
      </c>
      <c r="B66" s="188" t="s">
        <v>63</v>
      </c>
      <c r="C66" s="181"/>
      <c r="D66" s="182"/>
      <c r="E66" s="182">
        <v>980</v>
      </c>
      <c r="F66" s="182"/>
      <c r="G66" s="182"/>
      <c r="H66" s="182"/>
      <c r="I66" s="182"/>
      <c r="J66" s="182"/>
      <c r="K66" s="505"/>
      <c r="L66" s="182"/>
      <c r="M66" s="182"/>
      <c r="N66" s="182"/>
      <c r="O66" s="182">
        <v>15</v>
      </c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  <c r="AC66" s="182"/>
      <c r="AD66" s="182"/>
      <c r="AE66" s="182"/>
      <c r="AF66" s="182">
        <v>5</v>
      </c>
      <c r="AG66" s="182"/>
      <c r="AH66" s="182"/>
      <c r="AI66" s="182"/>
      <c r="AJ66" s="182"/>
      <c r="AK66" s="182"/>
      <c r="AL66" s="182"/>
      <c r="AM66" s="182"/>
      <c r="AN66" s="182"/>
      <c r="AO66" s="182"/>
      <c r="AP66" s="182"/>
      <c r="AQ66" s="182"/>
      <c r="AR66" s="182"/>
      <c r="AS66" s="182"/>
      <c r="AT66" s="182"/>
      <c r="AU66" s="182"/>
      <c r="AV66" s="182"/>
      <c r="AW66" s="182"/>
      <c r="AX66" s="182"/>
      <c r="AY66" s="182"/>
      <c r="AZ66" s="182"/>
      <c r="BA66" s="182"/>
      <c r="BB66" s="182"/>
      <c r="BC66" s="182"/>
      <c r="BD66" s="182"/>
      <c r="BE66" s="182"/>
      <c r="BF66" s="182"/>
      <c r="BG66" s="196">
        <f t="shared" si="16"/>
        <v>1.2094553278200157</v>
      </c>
      <c r="BH66" s="196">
        <f t="shared" si="17"/>
        <v>1.5237622950482868</v>
      </c>
      <c r="BI66" s="192">
        <v>1450</v>
      </c>
      <c r="BJ66" s="42">
        <f t="shared" si="18"/>
        <v>3.1816030322793711</v>
      </c>
      <c r="BK66" s="180" t="s">
        <v>13</v>
      </c>
      <c r="BL66" s="20">
        <v>42</v>
      </c>
      <c r="BM66" s="20"/>
      <c r="BN66" s="38">
        <v>0</v>
      </c>
      <c r="BO66" s="507">
        <f t="shared" si="12"/>
        <v>1000</v>
      </c>
      <c r="BP66" s="187">
        <v>1.44</v>
      </c>
      <c r="BR66" s="196">
        <f t="shared" si="10"/>
        <v>0.31430696722827095</v>
      </c>
      <c r="BS66" s="193">
        <f t="shared" si="11"/>
        <v>0.44999999999999996</v>
      </c>
      <c r="BT66" s="535">
        <f t="shared" si="9"/>
        <v>60</v>
      </c>
      <c r="BV66" s="176"/>
    </row>
    <row r="67" spans="1:74" x14ac:dyDescent="0.25">
      <c r="A67" s="183" t="s">
        <v>64</v>
      </c>
      <c r="B67" s="188" t="s">
        <v>64</v>
      </c>
      <c r="C67" s="181"/>
      <c r="D67" s="182"/>
      <c r="E67" s="182">
        <v>980</v>
      </c>
      <c r="F67" s="182"/>
      <c r="G67" s="182"/>
      <c r="H67" s="182"/>
      <c r="I67" s="182"/>
      <c r="J67" s="182"/>
      <c r="K67" s="505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  <c r="W67" s="182"/>
      <c r="X67" s="182"/>
      <c r="Y67" s="182"/>
      <c r="Z67" s="182"/>
      <c r="AA67" s="182"/>
      <c r="AB67" s="182"/>
      <c r="AC67" s="182"/>
      <c r="AD67" s="182"/>
      <c r="AE67" s="182"/>
      <c r="AF67" s="182">
        <v>20</v>
      </c>
      <c r="AG67" s="182"/>
      <c r="AH67" s="182"/>
      <c r="AI67" s="182"/>
      <c r="AJ67" s="182"/>
      <c r="AK67" s="182"/>
      <c r="AL67" s="182"/>
      <c r="AM67" s="182"/>
      <c r="AN67" s="182"/>
      <c r="AO67" s="182"/>
      <c r="AP67" s="182"/>
      <c r="AQ67" s="182"/>
      <c r="AR67" s="182"/>
      <c r="AS67" s="182"/>
      <c r="AT67" s="182"/>
      <c r="AU67" s="182"/>
      <c r="AV67" s="182"/>
      <c r="AW67" s="182"/>
      <c r="AX67" s="182"/>
      <c r="AY67" s="182"/>
      <c r="AZ67" s="182"/>
      <c r="BA67" s="182"/>
      <c r="BB67" s="182"/>
      <c r="BC67" s="182"/>
      <c r="BD67" s="182"/>
      <c r="BE67" s="182"/>
      <c r="BF67" s="182"/>
      <c r="BG67" s="196">
        <f t="shared" si="16"/>
        <v>1.2076269105457333</v>
      </c>
      <c r="BH67" s="196">
        <f t="shared" si="17"/>
        <v>1.5225013176177471</v>
      </c>
      <c r="BI67" s="192">
        <v>1450</v>
      </c>
      <c r="BJ67" s="42">
        <f t="shared" si="18"/>
        <v>3.17586941821948</v>
      </c>
      <c r="BK67" s="180" t="s">
        <v>13</v>
      </c>
      <c r="BL67" s="20">
        <v>42</v>
      </c>
      <c r="BM67" s="20"/>
      <c r="BN67" s="38">
        <v>0</v>
      </c>
      <c r="BO67" s="507">
        <f t="shared" si="12"/>
        <v>1000</v>
      </c>
      <c r="BP67" s="187">
        <v>1.44</v>
      </c>
      <c r="BR67" s="196">
        <f t="shared" si="10"/>
        <v>0.31487440707201381</v>
      </c>
      <c r="BS67" s="193">
        <f t="shared" si="11"/>
        <v>0.44999999999999996</v>
      </c>
      <c r="BT67" s="535">
        <f t="shared" si="9"/>
        <v>61</v>
      </c>
      <c r="BV67" s="176"/>
    </row>
    <row r="68" spans="1:74" x14ac:dyDescent="0.25">
      <c r="A68" s="183" t="s">
        <v>65</v>
      </c>
      <c r="B68" s="188" t="s">
        <v>65</v>
      </c>
      <c r="C68" s="181"/>
      <c r="D68" s="182"/>
      <c r="E68" s="182">
        <v>980</v>
      </c>
      <c r="F68" s="182"/>
      <c r="G68" s="182"/>
      <c r="H68" s="182"/>
      <c r="I68" s="182"/>
      <c r="J68" s="182"/>
      <c r="K68" s="505"/>
      <c r="L68" s="182"/>
      <c r="M68" s="182"/>
      <c r="N68" s="182"/>
      <c r="O68" s="182">
        <v>10</v>
      </c>
      <c r="P68" s="182"/>
      <c r="Q68" s="182"/>
      <c r="R68" s="182"/>
      <c r="S68" s="182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182"/>
      <c r="AF68" s="182">
        <v>10</v>
      </c>
      <c r="AG68" s="182"/>
      <c r="AH68" s="182"/>
      <c r="AI68" s="182"/>
      <c r="AJ68" s="182"/>
      <c r="AK68" s="182"/>
      <c r="AL68" s="182"/>
      <c r="AM68" s="182"/>
      <c r="AN68" s="182"/>
      <c r="AO68" s="182"/>
      <c r="AP68" s="182"/>
      <c r="AQ68" s="182"/>
      <c r="AR68" s="182"/>
      <c r="AS68" s="182"/>
      <c r="AT68" s="182"/>
      <c r="AU68" s="182"/>
      <c r="AV68" s="182"/>
      <c r="AW68" s="182"/>
      <c r="AX68" s="182"/>
      <c r="AY68" s="182"/>
      <c r="AZ68" s="182"/>
      <c r="BA68" s="182"/>
      <c r="BB68" s="182"/>
      <c r="BC68" s="182"/>
      <c r="BD68" s="182"/>
      <c r="BE68" s="182"/>
      <c r="BF68" s="182"/>
      <c r="BG68" s="196">
        <f t="shared" si="16"/>
        <v>1.208845855395255</v>
      </c>
      <c r="BH68" s="196">
        <f t="shared" si="17"/>
        <v>1.5233419692381069</v>
      </c>
      <c r="BI68" s="192">
        <v>1450</v>
      </c>
      <c r="BJ68" s="42">
        <f t="shared" si="18"/>
        <v>3.1796895286905902</v>
      </c>
      <c r="BK68" s="180" t="s">
        <v>13</v>
      </c>
      <c r="BL68" s="20">
        <v>42</v>
      </c>
      <c r="BM68" s="20"/>
      <c r="BN68" s="38">
        <v>0</v>
      </c>
      <c r="BO68" s="507">
        <f t="shared" si="12"/>
        <v>1000</v>
      </c>
      <c r="BP68" s="187">
        <v>1.44</v>
      </c>
      <c r="BR68" s="196">
        <f t="shared" si="10"/>
        <v>0.31449611384285192</v>
      </c>
      <c r="BS68" s="193">
        <f t="shared" si="11"/>
        <v>0.44999999999999996</v>
      </c>
      <c r="BT68" s="535">
        <f t="shared" si="9"/>
        <v>62</v>
      </c>
      <c r="BV68" s="176"/>
    </row>
    <row r="69" spans="1:74" s="186" customFormat="1" x14ac:dyDescent="0.25">
      <c r="A69" s="188" t="s">
        <v>66</v>
      </c>
      <c r="B69" s="188" t="s">
        <v>66</v>
      </c>
      <c r="C69" s="194"/>
      <c r="D69" s="534"/>
      <c r="E69" s="534">
        <v>980</v>
      </c>
      <c r="F69" s="534"/>
      <c r="G69" s="534"/>
      <c r="H69" s="534"/>
      <c r="I69" s="534"/>
      <c r="J69" s="534"/>
      <c r="K69" s="534"/>
      <c r="L69" s="534"/>
      <c r="M69" s="534"/>
      <c r="N69" s="534"/>
      <c r="O69" s="534">
        <v>15</v>
      </c>
      <c r="P69" s="534"/>
      <c r="Q69" s="534"/>
      <c r="R69" s="534"/>
      <c r="S69" s="534"/>
      <c r="T69" s="534"/>
      <c r="U69" s="534"/>
      <c r="V69" s="534"/>
      <c r="W69" s="534"/>
      <c r="X69" s="534"/>
      <c r="Y69" s="534"/>
      <c r="Z69" s="534"/>
      <c r="AA69" s="534"/>
      <c r="AB69" s="534"/>
      <c r="AC69" s="534"/>
      <c r="AD69" s="534"/>
      <c r="AE69" s="534"/>
      <c r="AF69" s="534">
        <v>5</v>
      </c>
      <c r="AG69" s="534"/>
      <c r="AH69" s="534"/>
      <c r="AI69" s="534"/>
      <c r="AJ69" s="534"/>
      <c r="AK69" s="534"/>
      <c r="AL69" s="534"/>
      <c r="AM69" s="534"/>
      <c r="AN69" s="534"/>
      <c r="AO69" s="534"/>
      <c r="AP69" s="534"/>
      <c r="AQ69" s="534"/>
      <c r="AR69" s="534"/>
      <c r="AS69" s="534"/>
      <c r="AT69" s="534"/>
      <c r="AU69" s="534"/>
      <c r="AV69" s="534"/>
      <c r="AW69" s="534"/>
      <c r="AX69" s="534"/>
      <c r="AY69" s="534"/>
      <c r="AZ69" s="534"/>
      <c r="BA69" s="534"/>
      <c r="BB69" s="534"/>
      <c r="BC69" s="534"/>
      <c r="BD69" s="534"/>
      <c r="BE69" s="534"/>
      <c r="BF69" s="534"/>
      <c r="BG69" s="196">
        <f t="shared" si="16"/>
        <v>1.0570790983151872</v>
      </c>
      <c r="BH69" s="196">
        <f t="shared" si="17"/>
        <v>1.3713860655434582</v>
      </c>
      <c r="BI69" s="534">
        <v>1500</v>
      </c>
      <c r="BJ69" s="196">
        <f t="shared" si="18"/>
        <v>3.1816030322793711</v>
      </c>
      <c r="BK69" s="534" t="s">
        <v>13</v>
      </c>
      <c r="BL69" s="534">
        <v>42</v>
      </c>
      <c r="BM69" s="534"/>
      <c r="BN69" s="534">
        <v>0</v>
      </c>
      <c r="BO69" s="507">
        <f t="shared" si="12"/>
        <v>1000</v>
      </c>
      <c r="BP69" s="187">
        <v>1.44</v>
      </c>
      <c r="BQ69" s="242"/>
      <c r="BR69" s="196">
        <f t="shared" si="10"/>
        <v>0.31430696722827095</v>
      </c>
      <c r="BS69" s="534">
        <f t="shared" si="11"/>
        <v>0.5</v>
      </c>
      <c r="BT69" s="535">
        <f t="shared" si="9"/>
        <v>63</v>
      </c>
      <c r="BU69" s="242"/>
      <c r="BV69" s="176"/>
    </row>
    <row r="70" spans="1:74" x14ac:dyDescent="0.25">
      <c r="A70" s="183" t="s">
        <v>67</v>
      </c>
      <c r="B70" s="188" t="s">
        <v>67</v>
      </c>
      <c r="C70" s="181"/>
      <c r="D70" s="182"/>
      <c r="E70" s="182">
        <v>980</v>
      </c>
      <c r="F70" s="182"/>
      <c r="G70" s="182"/>
      <c r="H70" s="182"/>
      <c r="I70" s="182"/>
      <c r="J70" s="182"/>
      <c r="K70" s="505"/>
      <c r="L70" s="182"/>
      <c r="M70" s="182"/>
      <c r="N70" s="182"/>
      <c r="O70" s="182"/>
      <c r="P70" s="182"/>
      <c r="Q70" s="182"/>
      <c r="R70" s="182"/>
      <c r="S70" s="182"/>
      <c r="T70" s="182"/>
      <c r="U70" s="182"/>
      <c r="V70" s="182"/>
      <c r="W70" s="182"/>
      <c r="X70" s="182"/>
      <c r="Y70" s="182"/>
      <c r="Z70" s="182"/>
      <c r="AA70" s="182"/>
      <c r="AB70" s="182"/>
      <c r="AC70" s="182"/>
      <c r="AD70" s="182"/>
      <c r="AE70" s="182"/>
      <c r="AF70" s="182">
        <v>20</v>
      </c>
      <c r="AG70" s="182"/>
      <c r="AH70" s="182"/>
      <c r="AI70" s="182"/>
      <c r="AJ70" s="182"/>
      <c r="AK70" s="182"/>
      <c r="AL70" s="182"/>
      <c r="AM70" s="182"/>
      <c r="AN70" s="182"/>
      <c r="AO70" s="182"/>
      <c r="AP70" s="182"/>
      <c r="AQ70" s="182"/>
      <c r="AR70" s="182"/>
      <c r="AS70" s="182"/>
      <c r="AT70" s="182"/>
      <c r="AU70" s="182"/>
      <c r="AV70" s="182"/>
      <c r="AW70" s="182"/>
      <c r="AX70" s="182"/>
      <c r="AY70" s="182"/>
      <c r="AZ70" s="182"/>
      <c r="BA70" s="182"/>
      <c r="BB70" s="182"/>
      <c r="BC70" s="182"/>
      <c r="BD70" s="182"/>
      <c r="BE70" s="182"/>
      <c r="BF70" s="182"/>
      <c r="BG70" s="196">
        <f t="shared" si="16"/>
        <v>1.0553767787839585</v>
      </c>
      <c r="BH70" s="196">
        <f t="shared" si="17"/>
        <v>1.3702511858559723</v>
      </c>
      <c r="BI70" s="192">
        <v>1500</v>
      </c>
      <c r="BJ70" s="42">
        <f t="shared" si="18"/>
        <v>3.17586941821948</v>
      </c>
      <c r="BK70" s="180" t="s">
        <v>13</v>
      </c>
      <c r="BL70" s="20">
        <v>42</v>
      </c>
      <c r="BM70" s="20"/>
      <c r="BN70" s="38">
        <v>0</v>
      </c>
      <c r="BO70" s="507">
        <f t="shared" si="12"/>
        <v>1000</v>
      </c>
      <c r="BP70" s="187">
        <v>1.44</v>
      </c>
      <c r="BR70" s="196">
        <f t="shared" si="10"/>
        <v>0.31487440707201381</v>
      </c>
      <c r="BS70" s="193">
        <f t="shared" si="11"/>
        <v>0.5</v>
      </c>
      <c r="BT70" s="535">
        <f t="shared" si="9"/>
        <v>64</v>
      </c>
      <c r="BV70" s="176"/>
    </row>
    <row r="71" spans="1:74" x14ac:dyDescent="0.25">
      <c r="A71" s="183" t="s">
        <v>68</v>
      </c>
      <c r="B71" s="188" t="s">
        <v>68</v>
      </c>
      <c r="C71" s="181"/>
      <c r="D71" s="182"/>
      <c r="E71" s="182">
        <v>980</v>
      </c>
      <c r="F71" s="182"/>
      <c r="G71" s="182"/>
      <c r="H71" s="182"/>
      <c r="I71" s="182"/>
      <c r="J71" s="182"/>
      <c r="K71" s="505"/>
      <c r="L71" s="182"/>
      <c r="M71" s="182"/>
      <c r="N71" s="182"/>
      <c r="O71" s="182">
        <v>10</v>
      </c>
      <c r="P71" s="182"/>
      <c r="Q71" s="182"/>
      <c r="R71" s="182"/>
      <c r="S71" s="182"/>
      <c r="T71" s="182"/>
      <c r="U71" s="182"/>
      <c r="V71" s="182"/>
      <c r="W71" s="182"/>
      <c r="X71" s="182"/>
      <c r="Y71" s="182"/>
      <c r="Z71" s="182"/>
      <c r="AA71" s="182"/>
      <c r="AB71" s="182"/>
      <c r="AC71" s="182"/>
      <c r="AD71" s="182"/>
      <c r="AE71" s="182"/>
      <c r="AF71" s="182">
        <v>10</v>
      </c>
      <c r="AG71" s="182"/>
      <c r="AH71" s="182"/>
      <c r="AI71" s="182"/>
      <c r="AJ71" s="182"/>
      <c r="AK71" s="182"/>
      <c r="AL71" s="182"/>
      <c r="AM71" s="182"/>
      <c r="AN71" s="182"/>
      <c r="AO71" s="182"/>
      <c r="AP71" s="182"/>
      <c r="AQ71" s="182"/>
      <c r="AR71" s="182"/>
      <c r="AS71" s="182"/>
      <c r="AT71" s="182"/>
      <c r="AU71" s="182"/>
      <c r="AV71" s="182"/>
      <c r="AW71" s="182"/>
      <c r="AX71" s="182"/>
      <c r="AY71" s="182"/>
      <c r="AZ71" s="182"/>
      <c r="BA71" s="182"/>
      <c r="BB71" s="182"/>
      <c r="BC71" s="182"/>
      <c r="BD71" s="182"/>
      <c r="BE71" s="182"/>
      <c r="BF71" s="182"/>
      <c r="BG71" s="196">
        <f t="shared" si="16"/>
        <v>1.0565116584714442</v>
      </c>
      <c r="BH71" s="196">
        <f t="shared" si="17"/>
        <v>1.3710077723142962</v>
      </c>
      <c r="BI71" s="192">
        <v>1500</v>
      </c>
      <c r="BJ71" s="42">
        <f t="shared" si="18"/>
        <v>3.1796895286905902</v>
      </c>
      <c r="BK71" s="180" t="s">
        <v>13</v>
      </c>
      <c r="BL71" s="20">
        <v>42</v>
      </c>
      <c r="BM71" s="20"/>
      <c r="BN71" s="38">
        <v>0</v>
      </c>
      <c r="BO71" s="507">
        <f t="shared" si="12"/>
        <v>1000</v>
      </c>
      <c r="BP71" s="187">
        <v>1.44</v>
      </c>
      <c r="BR71" s="196">
        <f t="shared" ref="BR71:BR102" si="19">((C71*C$5+D71*D$5+E71*E$5+F71*F$5+G71*G$5+H71*H$5+I71*I$5+J71*J$5+L71*L$5+M71*M$5+N71*N$5+O71*O$5+P71*P$5+Q71*Q$5+R71*R$5+S71*S$5+T71*T$5+U71*U$5+V71*V$5+W71*W$5+X71*X$5+Y71*Y$5+Z71*Z$5+AA71*AA$5+AB71*AB$5+AC71*AC$5+AD71*AD$5+AE71*AE$5+AF71*AF$5+AG71*AG$5+AH71*AH$5+AI71*AI$5+AJ71*AJ$5+AK71*AK$5+AL71*AL$5+AM71*AM$5+AN71*AN$5+AO71*AO$5+AP71*AP$5+AQ71*AQ$5+AR71*AR$5+AS71*AS$5+AT71*AT$5+AU71*AU$5+AV71*AV$5+AW71*AW$5+AX71*AX$5+AY71*AY$5+AZ71*AZ$5+BA71*BA$5+BB71*BB$5+BC71*BC$5+BD71*BD$5+BE71*BE$5+BF71*BF$5)/1000)</f>
        <v>0.31449611384285192</v>
      </c>
      <c r="BS71" s="193">
        <f t="shared" ref="BS71:BS102" si="20">BI71/1000-1</f>
        <v>0.5</v>
      </c>
      <c r="BT71" s="535">
        <f t="shared" si="9"/>
        <v>65</v>
      </c>
      <c r="BV71" s="176"/>
    </row>
    <row r="72" spans="1:74" x14ac:dyDescent="0.25">
      <c r="A72" s="183" t="s">
        <v>69</v>
      </c>
      <c r="B72" s="188" t="s">
        <v>69</v>
      </c>
      <c r="C72" s="181"/>
      <c r="D72" s="182"/>
      <c r="E72" s="182">
        <v>980</v>
      </c>
      <c r="F72" s="182"/>
      <c r="G72" s="182"/>
      <c r="H72" s="182"/>
      <c r="I72" s="182"/>
      <c r="J72" s="182"/>
      <c r="K72" s="505"/>
      <c r="L72" s="182"/>
      <c r="M72" s="182"/>
      <c r="N72" s="182"/>
      <c r="O72" s="182">
        <v>15</v>
      </c>
      <c r="P72" s="182"/>
      <c r="Q72" s="182"/>
      <c r="R72" s="182"/>
      <c r="S72" s="182"/>
      <c r="T72" s="182"/>
      <c r="U72" s="182"/>
      <c r="V72" s="182"/>
      <c r="W72" s="182"/>
      <c r="X72" s="182"/>
      <c r="Y72" s="182"/>
      <c r="Z72" s="182"/>
      <c r="AA72" s="182"/>
      <c r="AB72" s="182"/>
      <c r="AC72" s="182"/>
      <c r="AD72" s="182"/>
      <c r="AE72" s="182"/>
      <c r="AF72" s="182">
        <v>5</v>
      </c>
      <c r="AG72" s="182"/>
      <c r="AH72" s="182"/>
      <c r="AI72" s="182"/>
      <c r="AJ72" s="182"/>
      <c r="AK72" s="182"/>
      <c r="AL72" s="182"/>
      <c r="AM72" s="182"/>
      <c r="AN72" s="182"/>
      <c r="AO72" s="182"/>
      <c r="AP72" s="182"/>
      <c r="AQ72" s="182"/>
      <c r="AR72" s="182"/>
      <c r="AS72" s="182"/>
      <c r="AT72" s="182"/>
      <c r="AU72" s="182"/>
      <c r="AV72" s="182"/>
      <c r="AW72" s="182"/>
      <c r="AX72" s="182"/>
      <c r="AY72" s="182"/>
      <c r="AZ72" s="182"/>
      <c r="BA72" s="182"/>
      <c r="BB72" s="182"/>
      <c r="BC72" s="182"/>
      <c r="BD72" s="182"/>
      <c r="BE72" s="182"/>
      <c r="BF72" s="182"/>
      <c r="BG72" s="196">
        <f t="shared" si="16"/>
        <v>0.93240763781123648</v>
      </c>
      <c r="BH72" s="196">
        <f t="shared" si="17"/>
        <v>1.2467146050395075</v>
      </c>
      <c r="BI72" s="192">
        <v>1550</v>
      </c>
      <c r="BJ72" s="42">
        <f t="shared" si="18"/>
        <v>3.1816030322793711</v>
      </c>
      <c r="BK72" s="180" t="s">
        <v>13</v>
      </c>
      <c r="BL72" s="38">
        <v>42</v>
      </c>
      <c r="BM72" s="38"/>
      <c r="BN72" s="38">
        <v>0</v>
      </c>
      <c r="BO72" s="507">
        <f t="shared" ref="BO72:BO103" si="21">SUM(C72:BF72)</f>
        <v>1000</v>
      </c>
      <c r="BP72" s="187">
        <v>1.44</v>
      </c>
      <c r="BR72" s="196">
        <f t="shared" si="19"/>
        <v>0.31430696722827095</v>
      </c>
      <c r="BS72" s="193">
        <f t="shared" si="20"/>
        <v>0.55000000000000004</v>
      </c>
      <c r="BT72" s="535">
        <f t="shared" si="9"/>
        <v>66</v>
      </c>
      <c r="BV72" s="176"/>
    </row>
    <row r="73" spans="1:74" x14ac:dyDescent="0.25">
      <c r="A73" s="183" t="s">
        <v>70</v>
      </c>
      <c r="B73" s="188" t="s">
        <v>70</v>
      </c>
      <c r="C73" s="181"/>
      <c r="D73" s="182"/>
      <c r="E73" s="182">
        <v>980</v>
      </c>
      <c r="F73" s="182"/>
      <c r="G73" s="182"/>
      <c r="H73" s="182"/>
      <c r="I73" s="182"/>
      <c r="J73" s="182"/>
      <c r="K73" s="505"/>
      <c r="L73" s="182"/>
      <c r="M73" s="182"/>
      <c r="N73" s="182"/>
      <c r="O73" s="182"/>
      <c r="P73" s="182"/>
      <c r="Q73" s="182"/>
      <c r="R73" s="182"/>
      <c r="S73" s="182"/>
      <c r="T73" s="182"/>
      <c r="U73" s="182"/>
      <c r="V73" s="182"/>
      <c r="W73" s="182"/>
      <c r="X73" s="182"/>
      <c r="Y73" s="182"/>
      <c r="Z73" s="182"/>
      <c r="AA73" s="182"/>
      <c r="AB73" s="182"/>
      <c r="AC73" s="182"/>
      <c r="AD73" s="182"/>
      <c r="AE73" s="182"/>
      <c r="AF73" s="182">
        <v>20</v>
      </c>
      <c r="AG73" s="182"/>
      <c r="AH73" s="182"/>
      <c r="AI73" s="182"/>
      <c r="AJ73" s="182"/>
      <c r="AK73" s="182"/>
      <c r="AL73" s="182"/>
      <c r="AM73" s="182"/>
      <c r="AN73" s="182"/>
      <c r="AO73" s="182"/>
      <c r="AP73" s="182"/>
      <c r="AQ73" s="182"/>
      <c r="AR73" s="182"/>
      <c r="AS73" s="182"/>
      <c r="AT73" s="182"/>
      <c r="AU73" s="182"/>
      <c r="AV73" s="182"/>
      <c r="AW73" s="182"/>
      <c r="AX73" s="182"/>
      <c r="AY73" s="182"/>
      <c r="AZ73" s="182"/>
      <c r="BA73" s="182"/>
      <c r="BB73" s="182"/>
      <c r="BC73" s="182"/>
      <c r="BD73" s="182"/>
      <c r="BE73" s="182"/>
      <c r="BF73" s="182"/>
      <c r="BG73" s="196">
        <f t="shared" si="16"/>
        <v>0.93080848916068826</v>
      </c>
      <c r="BH73" s="196">
        <f t="shared" si="17"/>
        <v>1.245682896232702</v>
      </c>
      <c r="BI73" s="192">
        <v>1550</v>
      </c>
      <c r="BJ73" s="42">
        <f t="shared" si="18"/>
        <v>3.17586941821948</v>
      </c>
      <c r="BK73" s="180" t="s">
        <v>13</v>
      </c>
      <c r="BL73" s="38">
        <v>42</v>
      </c>
      <c r="BM73" s="38"/>
      <c r="BN73" s="38">
        <v>0</v>
      </c>
      <c r="BO73" s="507">
        <f t="shared" si="21"/>
        <v>1000</v>
      </c>
      <c r="BP73" s="187">
        <v>1.44</v>
      </c>
      <c r="BR73" s="196">
        <f t="shared" si="19"/>
        <v>0.31487440707201381</v>
      </c>
      <c r="BS73" s="193">
        <f t="shared" si="20"/>
        <v>0.55000000000000004</v>
      </c>
      <c r="BT73" s="535">
        <f t="shared" si="9"/>
        <v>67</v>
      </c>
      <c r="BV73" s="176"/>
    </row>
    <row r="74" spans="1:74" x14ac:dyDescent="0.25">
      <c r="A74" s="188" t="s">
        <v>71</v>
      </c>
      <c r="B74" s="188" t="s">
        <v>71</v>
      </c>
      <c r="C74" s="378"/>
      <c r="D74" s="182"/>
      <c r="E74" s="182">
        <v>980</v>
      </c>
      <c r="F74" s="182"/>
      <c r="G74" s="182"/>
      <c r="H74" s="182"/>
      <c r="I74" s="182"/>
      <c r="J74" s="182"/>
      <c r="K74" s="505"/>
      <c r="L74" s="182"/>
      <c r="M74" s="182"/>
      <c r="N74" s="182"/>
      <c r="O74" s="182">
        <v>10</v>
      </c>
      <c r="P74" s="182"/>
      <c r="Q74" s="182"/>
      <c r="R74" s="182"/>
      <c r="S74" s="182"/>
      <c r="T74" s="182"/>
      <c r="U74" s="182"/>
      <c r="V74" s="182"/>
      <c r="W74" s="182"/>
      <c r="X74" s="182"/>
      <c r="Y74" s="182"/>
      <c r="Z74" s="182"/>
      <c r="AA74" s="182"/>
      <c r="AB74" s="182"/>
      <c r="AC74" s="182"/>
      <c r="AD74" s="182"/>
      <c r="AE74" s="182"/>
      <c r="AF74" s="182">
        <v>10</v>
      </c>
      <c r="AG74" s="182"/>
      <c r="AH74" s="182"/>
      <c r="AI74" s="182"/>
      <c r="AJ74" s="182"/>
      <c r="AK74" s="182"/>
      <c r="AL74" s="182"/>
      <c r="AM74" s="182"/>
      <c r="AN74" s="182"/>
      <c r="AO74" s="182"/>
      <c r="AP74" s="182"/>
      <c r="AQ74" s="182"/>
      <c r="AR74" s="182"/>
      <c r="AS74" s="182"/>
      <c r="AT74" s="182"/>
      <c r="AU74" s="182"/>
      <c r="AV74" s="182"/>
      <c r="AW74" s="182"/>
      <c r="AX74" s="182"/>
      <c r="AY74" s="182"/>
      <c r="AZ74" s="182"/>
      <c r="BA74" s="182"/>
      <c r="BB74" s="182"/>
      <c r="BC74" s="182"/>
      <c r="BD74" s="182"/>
      <c r="BE74" s="182"/>
      <c r="BF74" s="182"/>
      <c r="BG74" s="196">
        <f t="shared" si="16"/>
        <v>0.93187458826105363</v>
      </c>
      <c r="BH74" s="196">
        <f t="shared" si="17"/>
        <v>1.2463707021039054</v>
      </c>
      <c r="BI74" s="192">
        <v>1550</v>
      </c>
      <c r="BJ74" s="42">
        <f t="shared" si="18"/>
        <v>3.1796895286905911</v>
      </c>
      <c r="BK74" s="180" t="s">
        <v>13</v>
      </c>
      <c r="BL74" s="38">
        <v>42</v>
      </c>
      <c r="BM74" s="38"/>
      <c r="BN74" s="38">
        <v>0</v>
      </c>
      <c r="BO74" s="507">
        <f t="shared" si="21"/>
        <v>1000</v>
      </c>
      <c r="BP74" s="187">
        <v>1.44</v>
      </c>
      <c r="BR74" s="196">
        <f t="shared" si="19"/>
        <v>0.31449611384285192</v>
      </c>
      <c r="BS74" s="193">
        <f t="shared" si="20"/>
        <v>0.55000000000000004</v>
      </c>
      <c r="BT74" s="535">
        <f t="shared" ref="BT74:BT137" si="22">BT73+1</f>
        <v>68</v>
      </c>
      <c r="BV74" s="176"/>
    </row>
    <row r="75" spans="1:74" x14ac:dyDescent="0.25">
      <c r="A75" s="188" t="s">
        <v>72</v>
      </c>
      <c r="B75" s="188" t="s">
        <v>72</v>
      </c>
      <c r="C75" s="378"/>
      <c r="D75" s="378"/>
      <c r="E75" s="378"/>
      <c r="F75" s="378"/>
      <c r="G75" s="378">
        <v>553</v>
      </c>
      <c r="H75" s="378"/>
      <c r="I75" s="378">
        <v>276</v>
      </c>
      <c r="J75" s="378"/>
      <c r="K75" s="378">
        <v>56</v>
      </c>
      <c r="L75" s="378"/>
      <c r="M75" s="378"/>
      <c r="N75" s="378"/>
      <c r="O75" s="378">
        <v>17</v>
      </c>
      <c r="P75" s="378">
        <v>41</v>
      </c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  <c r="AD75" s="378"/>
      <c r="AE75" s="378"/>
      <c r="AF75" s="378">
        <v>19</v>
      </c>
      <c r="AG75" s="378">
        <v>19</v>
      </c>
      <c r="AH75" s="378">
        <v>19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R75" s="378"/>
      <c r="AS75" s="378"/>
      <c r="AT75" s="378"/>
      <c r="AU75" s="378"/>
      <c r="AV75" s="378"/>
      <c r="AW75" s="378"/>
      <c r="AX75" s="378"/>
      <c r="AY75" s="378"/>
      <c r="AZ75" s="378"/>
      <c r="BA75" s="378"/>
      <c r="BB75" s="378"/>
      <c r="BC75" s="378"/>
      <c r="BD75" s="378"/>
      <c r="BE75" s="378"/>
      <c r="BF75" s="378"/>
      <c r="BG75" s="196">
        <f t="shared" si="16"/>
        <v>1.5759612067847217</v>
      </c>
      <c r="BH75" s="195">
        <f t="shared" si="17"/>
        <v>1.9441216654979032</v>
      </c>
      <c r="BI75" s="378">
        <v>1325</v>
      </c>
      <c r="BJ75" s="195">
        <f t="shared" si="18"/>
        <v>2.7162069590397224</v>
      </c>
      <c r="BK75" s="378" t="s">
        <v>13</v>
      </c>
      <c r="BL75" s="378">
        <v>42</v>
      </c>
      <c r="BM75" s="378"/>
      <c r="BN75" s="378">
        <v>0</v>
      </c>
      <c r="BO75" s="507">
        <f t="shared" si="21"/>
        <v>1000</v>
      </c>
      <c r="BP75" s="369">
        <v>1.1074999999999999</v>
      </c>
      <c r="BQ75" s="186"/>
      <c r="BR75" s="195">
        <f t="shared" si="19"/>
        <v>0.36816045871318154</v>
      </c>
      <c r="BS75" s="378">
        <f t="shared" si="20"/>
        <v>0.32499999999999996</v>
      </c>
      <c r="BT75" s="535">
        <f t="shared" si="22"/>
        <v>69</v>
      </c>
      <c r="BU75" s="186"/>
      <c r="BV75" s="176"/>
    </row>
    <row r="76" spans="1:74" s="77" customFormat="1" x14ac:dyDescent="0.25">
      <c r="A76" s="188" t="s">
        <v>431</v>
      </c>
      <c r="B76" s="188" t="s">
        <v>431</v>
      </c>
      <c r="C76" s="181"/>
      <c r="D76" s="182"/>
      <c r="E76" s="182"/>
      <c r="F76" s="182"/>
      <c r="G76" s="182">
        <v>553</v>
      </c>
      <c r="H76" s="182"/>
      <c r="I76" s="182"/>
      <c r="J76" s="182">
        <v>276</v>
      </c>
      <c r="K76" s="505"/>
      <c r="L76" s="182"/>
      <c r="M76" s="182"/>
      <c r="N76" s="182"/>
      <c r="O76" s="182">
        <v>17</v>
      </c>
      <c r="P76" s="182">
        <v>41</v>
      </c>
      <c r="Q76" s="182"/>
      <c r="R76" s="182"/>
      <c r="S76" s="182"/>
      <c r="T76" s="182"/>
      <c r="U76" s="182"/>
      <c r="V76" s="182"/>
      <c r="W76" s="182"/>
      <c r="X76" s="182"/>
      <c r="Y76" s="182"/>
      <c r="Z76" s="182"/>
      <c r="AA76" s="182"/>
      <c r="AB76" s="182"/>
      <c r="AC76" s="182"/>
      <c r="AD76" s="182"/>
      <c r="AE76" s="182"/>
      <c r="AF76" s="182">
        <v>19</v>
      </c>
      <c r="AG76" s="182">
        <v>19</v>
      </c>
      <c r="AH76" s="182">
        <v>19</v>
      </c>
      <c r="AI76" s="182">
        <v>56</v>
      </c>
      <c r="AJ76" s="182"/>
      <c r="AK76" s="182"/>
      <c r="AL76" s="182"/>
      <c r="AM76" s="182"/>
      <c r="AN76" s="182"/>
      <c r="AO76" s="182"/>
      <c r="AP76" s="182"/>
      <c r="AQ76" s="182"/>
      <c r="AR76" s="182"/>
      <c r="AS76" s="182"/>
      <c r="AT76" s="182"/>
      <c r="AU76" s="182"/>
      <c r="AV76" s="182"/>
      <c r="AW76" s="182"/>
      <c r="AX76" s="182"/>
      <c r="AY76" s="182"/>
      <c r="AZ76" s="182"/>
      <c r="BA76" s="182"/>
      <c r="BB76" s="182"/>
      <c r="BC76" s="182"/>
      <c r="BD76" s="182"/>
      <c r="BE76" s="182"/>
      <c r="BF76" s="182"/>
      <c r="BG76" s="196">
        <f t="shared" si="16"/>
        <v>1.5733708449978938</v>
      </c>
      <c r="BH76" s="196">
        <f t="shared" si="17"/>
        <v>1.9421666754701086</v>
      </c>
      <c r="BI76" s="192">
        <v>1325</v>
      </c>
      <c r="BJ76" s="42">
        <f t="shared" si="18"/>
        <v>2.7115274018135636</v>
      </c>
      <c r="BK76" s="180" t="s">
        <v>13</v>
      </c>
      <c r="BL76" s="172">
        <v>42</v>
      </c>
      <c r="BM76" s="172"/>
      <c r="BN76" s="172">
        <v>0</v>
      </c>
      <c r="BO76" s="507">
        <f t="shared" si="21"/>
        <v>1000</v>
      </c>
      <c r="BP76" s="187">
        <v>1.0528999999999999</v>
      </c>
      <c r="BR76" s="196">
        <f t="shared" si="19"/>
        <v>0.36879583047221476</v>
      </c>
      <c r="BS76" s="193">
        <f t="shared" si="20"/>
        <v>0.32499999999999996</v>
      </c>
      <c r="BT76" s="535">
        <f t="shared" si="22"/>
        <v>70</v>
      </c>
      <c r="BV76" s="176"/>
    </row>
    <row r="77" spans="1:74" s="77" customFormat="1" x14ac:dyDescent="0.25">
      <c r="A77" s="188" t="s">
        <v>73</v>
      </c>
      <c r="B77" s="188" t="s">
        <v>73</v>
      </c>
      <c r="C77" s="181"/>
      <c r="D77" s="182"/>
      <c r="E77" s="182"/>
      <c r="F77" s="182"/>
      <c r="G77" s="182">
        <v>596</v>
      </c>
      <c r="H77" s="182"/>
      <c r="I77" s="182">
        <v>298</v>
      </c>
      <c r="J77" s="182"/>
      <c r="K77" s="505">
        <v>30</v>
      </c>
      <c r="L77" s="182"/>
      <c r="M77" s="182"/>
      <c r="N77" s="182"/>
      <c r="O77" s="182">
        <v>17</v>
      </c>
      <c r="P77" s="182">
        <v>29</v>
      </c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82"/>
      <c r="AD77" s="182"/>
      <c r="AE77" s="182"/>
      <c r="AF77" s="182">
        <v>10</v>
      </c>
      <c r="AG77" s="182">
        <v>10</v>
      </c>
      <c r="AH77" s="182">
        <v>10</v>
      </c>
      <c r="AI77" s="182"/>
      <c r="AJ77" s="182"/>
      <c r="AK77" s="182"/>
      <c r="AL77" s="182"/>
      <c r="AM77" s="182"/>
      <c r="AN77" s="182"/>
      <c r="AO77" s="182"/>
      <c r="AP77" s="182"/>
      <c r="AQ77" s="182"/>
      <c r="AR77" s="182"/>
      <c r="AS77" s="182"/>
      <c r="AT77" s="182"/>
      <c r="AU77" s="182"/>
      <c r="AV77" s="182"/>
      <c r="AW77" s="182"/>
      <c r="AX77" s="182"/>
      <c r="AY77" s="182"/>
      <c r="AZ77" s="182"/>
      <c r="BA77" s="182"/>
      <c r="BB77" s="182"/>
      <c r="BC77" s="182"/>
      <c r="BD77" s="182"/>
      <c r="BE77" s="182"/>
      <c r="BF77" s="182"/>
      <c r="BG77" s="196">
        <f t="shared" si="16"/>
        <v>1.1759808123539981</v>
      </c>
      <c r="BH77" s="196">
        <f t="shared" si="17"/>
        <v>1.5542720088242845</v>
      </c>
      <c r="BI77" s="192">
        <v>1400</v>
      </c>
      <c r="BJ77" s="42">
        <f t="shared" si="18"/>
        <v>2.6434662221343732</v>
      </c>
      <c r="BK77" s="180" t="s">
        <v>13</v>
      </c>
      <c r="BL77" s="172">
        <v>42</v>
      </c>
      <c r="BM77" s="172"/>
      <c r="BN77" s="172">
        <v>0</v>
      </c>
      <c r="BO77" s="507">
        <f t="shared" si="21"/>
        <v>1000</v>
      </c>
      <c r="BP77" s="187">
        <v>1.1157999999999999</v>
      </c>
      <c r="BR77" s="196">
        <f t="shared" si="19"/>
        <v>0.37829119647028636</v>
      </c>
      <c r="BS77" s="193">
        <f t="shared" si="20"/>
        <v>0.39999999999999991</v>
      </c>
      <c r="BT77" s="535">
        <f t="shared" si="22"/>
        <v>71</v>
      </c>
      <c r="BV77" s="141"/>
    </row>
    <row r="78" spans="1:74" x14ac:dyDescent="0.25">
      <c r="A78" s="188" t="s">
        <v>432</v>
      </c>
      <c r="B78" s="188" t="s">
        <v>432</v>
      </c>
      <c r="C78" s="181"/>
      <c r="D78" s="182"/>
      <c r="E78" s="182"/>
      <c r="F78" s="182"/>
      <c r="G78" s="182">
        <v>596</v>
      </c>
      <c r="H78" s="182"/>
      <c r="I78" s="182"/>
      <c r="J78" s="182">
        <v>298</v>
      </c>
      <c r="K78" s="505"/>
      <c r="L78" s="182"/>
      <c r="M78" s="182"/>
      <c r="N78" s="182"/>
      <c r="O78" s="182">
        <v>17</v>
      </c>
      <c r="P78" s="182">
        <v>29</v>
      </c>
      <c r="Q78" s="182"/>
      <c r="R78" s="182"/>
      <c r="S78" s="182"/>
      <c r="T78" s="182"/>
      <c r="U78" s="182"/>
      <c r="V78" s="182"/>
      <c r="W78" s="182"/>
      <c r="X78" s="182"/>
      <c r="Y78" s="182"/>
      <c r="Z78" s="182"/>
      <c r="AA78" s="182"/>
      <c r="AB78" s="182"/>
      <c r="AC78" s="182"/>
      <c r="AD78" s="182"/>
      <c r="AE78" s="182"/>
      <c r="AF78" s="182">
        <v>10</v>
      </c>
      <c r="AG78" s="182">
        <v>10</v>
      </c>
      <c r="AH78" s="182">
        <v>10</v>
      </c>
      <c r="AI78" s="182">
        <v>30</v>
      </c>
      <c r="AJ78" s="182"/>
      <c r="AK78" s="182"/>
      <c r="AL78" s="182"/>
      <c r="AM78" s="182"/>
      <c r="AN78" s="182"/>
      <c r="AO78" s="182"/>
      <c r="AP78" s="182"/>
      <c r="AQ78" s="182"/>
      <c r="AR78" s="182"/>
      <c r="AS78" s="182"/>
      <c r="AT78" s="182"/>
      <c r="AU78" s="182"/>
      <c r="AV78" s="182"/>
      <c r="AW78" s="182"/>
      <c r="AX78" s="182"/>
      <c r="AY78" s="182"/>
      <c r="AZ78" s="182"/>
      <c r="BA78" s="182"/>
      <c r="BB78" s="182"/>
      <c r="BC78" s="182"/>
      <c r="BD78" s="182"/>
      <c r="BE78" s="182"/>
      <c r="BF78" s="182"/>
      <c r="BG78" s="196">
        <f t="shared" si="16"/>
        <v>1.2188934739143058</v>
      </c>
      <c r="BH78" s="196">
        <f t="shared" si="17"/>
        <v>1.58492390993879</v>
      </c>
      <c r="BI78" s="192">
        <v>1400</v>
      </c>
      <c r="BJ78" s="42">
        <f t="shared" si="18"/>
        <v>2.7320132469342222</v>
      </c>
      <c r="BK78" s="180" t="s">
        <v>13</v>
      </c>
      <c r="BL78" s="38">
        <v>42</v>
      </c>
      <c r="BM78" s="38"/>
      <c r="BN78" s="38">
        <v>0</v>
      </c>
      <c r="BO78" s="507">
        <f t="shared" si="21"/>
        <v>1000</v>
      </c>
      <c r="BP78" s="187">
        <v>1.1284000000000001</v>
      </c>
      <c r="BR78" s="196">
        <f t="shared" si="19"/>
        <v>0.3660304360244841</v>
      </c>
      <c r="BS78" s="193">
        <f t="shared" si="20"/>
        <v>0.39999999999999991</v>
      </c>
      <c r="BT78" s="535">
        <f t="shared" si="22"/>
        <v>72</v>
      </c>
      <c r="BV78" s="141"/>
    </row>
    <row r="79" spans="1:74" x14ac:dyDescent="0.25">
      <c r="A79" s="188" t="s">
        <v>433</v>
      </c>
      <c r="B79" s="188" t="s">
        <v>433</v>
      </c>
      <c r="C79" s="181"/>
      <c r="D79" s="182">
        <v>634.5</v>
      </c>
      <c r="E79" s="182"/>
      <c r="F79" s="182"/>
      <c r="G79" s="182"/>
      <c r="H79" s="182"/>
      <c r="I79" s="182">
        <v>317</v>
      </c>
      <c r="J79" s="182"/>
      <c r="K79" s="505"/>
      <c r="L79" s="182"/>
      <c r="M79" s="182"/>
      <c r="N79" s="182"/>
      <c r="O79" s="182">
        <v>7</v>
      </c>
      <c r="P79" s="182"/>
      <c r="Q79" s="182"/>
      <c r="R79" s="182"/>
      <c r="S79" s="182"/>
      <c r="T79" s="182"/>
      <c r="U79" s="182"/>
      <c r="V79" s="182"/>
      <c r="W79" s="182"/>
      <c r="X79" s="182"/>
      <c r="Y79" s="182"/>
      <c r="Z79" s="182"/>
      <c r="AA79" s="182">
        <v>2.5</v>
      </c>
      <c r="AB79" s="182"/>
      <c r="AC79" s="182"/>
      <c r="AD79" s="182"/>
      <c r="AE79" s="182"/>
      <c r="AF79" s="182">
        <v>14</v>
      </c>
      <c r="AG79" s="182"/>
      <c r="AH79" s="182">
        <v>25</v>
      </c>
      <c r="AI79" s="182"/>
      <c r="AJ79" s="182"/>
      <c r="AK79" s="182"/>
      <c r="AL79" s="182"/>
      <c r="AM79" s="182"/>
      <c r="AN79" s="182"/>
      <c r="AO79" s="182"/>
      <c r="AP79" s="182"/>
      <c r="AQ79" s="182"/>
      <c r="AR79" s="182"/>
      <c r="AS79" s="182"/>
      <c r="AT79" s="182"/>
      <c r="AU79" s="182"/>
      <c r="AV79" s="182"/>
      <c r="AW79" s="182"/>
      <c r="AX79" s="182"/>
      <c r="AY79" s="182"/>
      <c r="AZ79" s="182"/>
      <c r="BA79" s="182"/>
      <c r="BB79" s="182"/>
      <c r="BC79" s="182"/>
      <c r="BD79" s="182"/>
      <c r="BE79" s="182"/>
      <c r="BF79" s="182"/>
      <c r="BG79" s="196">
        <f t="shared" si="16"/>
        <v>0.86844498606891374</v>
      </c>
      <c r="BH79" s="196">
        <f t="shared" si="17"/>
        <v>1.2456299907126092</v>
      </c>
      <c r="BI79" s="192">
        <v>1500</v>
      </c>
      <c r="BJ79" s="42">
        <f t="shared" si="18"/>
        <v>2.6512188652479476</v>
      </c>
      <c r="BK79" s="180" t="s">
        <v>13</v>
      </c>
      <c r="BL79" s="38">
        <v>42</v>
      </c>
      <c r="BM79" s="38"/>
      <c r="BN79" s="38">
        <v>0</v>
      </c>
      <c r="BO79" s="507">
        <f t="shared" si="21"/>
        <v>1000</v>
      </c>
      <c r="BP79" s="187">
        <v>1.2170000000000001</v>
      </c>
      <c r="BR79" s="196">
        <f t="shared" si="19"/>
        <v>0.37718500464369542</v>
      </c>
      <c r="BS79" s="193">
        <f t="shared" si="20"/>
        <v>0.5</v>
      </c>
      <c r="BT79" s="535">
        <f t="shared" si="22"/>
        <v>73</v>
      </c>
      <c r="BV79" s="176" t="s">
        <v>114</v>
      </c>
    </row>
    <row r="80" spans="1:74" x14ac:dyDescent="0.25">
      <c r="A80" s="189" t="s">
        <v>434</v>
      </c>
      <c r="B80" s="189" t="s">
        <v>434</v>
      </c>
      <c r="C80" s="534"/>
      <c r="D80" s="182"/>
      <c r="E80" s="182"/>
      <c r="F80" s="182"/>
      <c r="G80" s="182">
        <v>713</v>
      </c>
      <c r="H80" s="182"/>
      <c r="I80" s="182">
        <v>213</v>
      </c>
      <c r="J80" s="182"/>
      <c r="K80" s="505"/>
      <c r="L80" s="182"/>
      <c r="M80" s="182"/>
      <c r="N80" s="182"/>
      <c r="O80" s="182">
        <v>8</v>
      </c>
      <c r="P80" s="182">
        <v>15</v>
      </c>
      <c r="Q80" s="182"/>
      <c r="R80" s="182"/>
      <c r="S80" s="182"/>
      <c r="T80" s="182"/>
      <c r="U80" s="182"/>
      <c r="V80" s="182"/>
      <c r="W80" s="182"/>
      <c r="X80" s="182"/>
      <c r="Y80" s="182">
        <v>2.5</v>
      </c>
      <c r="Z80" s="182"/>
      <c r="AA80" s="182">
        <v>5</v>
      </c>
      <c r="AB80" s="182"/>
      <c r="AC80" s="182"/>
      <c r="AD80" s="182"/>
      <c r="AE80" s="182"/>
      <c r="AF80" s="182"/>
      <c r="AG80" s="182"/>
      <c r="AH80" s="182">
        <v>28.5</v>
      </c>
      <c r="AI80" s="182"/>
      <c r="AJ80" s="182"/>
      <c r="AK80" s="182"/>
      <c r="AL80" s="182"/>
      <c r="AM80" s="182"/>
      <c r="AN80" s="182">
        <v>15</v>
      </c>
      <c r="AO80" s="182"/>
      <c r="AP80" s="182"/>
      <c r="AQ80" s="182"/>
      <c r="AR80" s="182"/>
      <c r="AS80" s="182"/>
      <c r="AT80" s="182"/>
      <c r="AU80" s="182"/>
      <c r="AV80" s="182"/>
      <c r="AW80" s="182"/>
      <c r="AX80" s="182"/>
      <c r="AY80" s="182"/>
      <c r="AZ80" s="182"/>
      <c r="BA80" s="182"/>
      <c r="BB80" s="182"/>
      <c r="BC80" s="182"/>
      <c r="BD80" s="182"/>
      <c r="BE80" s="182"/>
      <c r="BF80" s="182"/>
      <c r="BG80" s="196">
        <f t="shared" si="16"/>
        <v>0.65738321506129593</v>
      </c>
      <c r="BH80" s="196">
        <f t="shared" si="17"/>
        <v>1.0358645094133099</v>
      </c>
      <c r="BI80" s="192">
        <v>1600</v>
      </c>
      <c r="BJ80" s="42">
        <f t="shared" si="18"/>
        <v>2.6421385017509755</v>
      </c>
      <c r="BK80" s="180" t="s">
        <v>13</v>
      </c>
      <c r="BL80" s="38">
        <v>42</v>
      </c>
      <c r="BM80" s="38"/>
      <c r="BN80" s="38">
        <v>0</v>
      </c>
      <c r="BO80" s="507">
        <f t="shared" si="21"/>
        <v>1000</v>
      </c>
      <c r="BP80" s="187">
        <v>1.1633</v>
      </c>
      <c r="BR80" s="196">
        <f t="shared" si="19"/>
        <v>0.378481294352014</v>
      </c>
      <c r="BS80" s="193">
        <f t="shared" si="20"/>
        <v>0.60000000000000009</v>
      </c>
      <c r="BT80" s="535">
        <f t="shared" si="22"/>
        <v>74</v>
      </c>
      <c r="BV80" s="176" t="s">
        <v>114</v>
      </c>
    </row>
    <row r="81" spans="1:74" x14ac:dyDescent="0.25">
      <c r="A81" s="189" t="s">
        <v>435</v>
      </c>
      <c r="B81" s="189" t="s">
        <v>435</v>
      </c>
      <c r="C81" s="534"/>
      <c r="D81" s="182"/>
      <c r="E81" s="182"/>
      <c r="F81" s="182"/>
      <c r="G81" s="182">
        <v>713</v>
      </c>
      <c r="H81" s="182"/>
      <c r="I81" s="182"/>
      <c r="J81" s="182">
        <v>213</v>
      </c>
      <c r="K81" s="505"/>
      <c r="L81" s="182"/>
      <c r="M81" s="182"/>
      <c r="N81" s="182"/>
      <c r="O81" s="182">
        <v>8</v>
      </c>
      <c r="P81" s="182">
        <v>15</v>
      </c>
      <c r="Q81" s="182"/>
      <c r="R81" s="182"/>
      <c r="S81" s="182"/>
      <c r="T81" s="182"/>
      <c r="U81" s="182"/>
      <c r="V81" s="182"/>
      <c r="W81" s="182"/>
      <c r="X81" s="182"/>
      <c r="Y81" s="182">
        <v>2.5</v>
      </c>
      <c r="Z81" s="182"/>
      <c r="AA81" s="182">
        <v>5</v>
      </c>
      <c r="AB81" s="182"/>
      <c r="AC81" s="182"/>
      <c r="AD81" s="182"/>
      <c r="AE81" s="182"/>
      <c r="AF81" s="182"/>
      <c r="AG81" s="182"/>
      <c r="AH81" s="182">
        <v>28.5</v>
      </c>
      <c r="AI81" s="182"/>
      <c r="AJ81" s="182"/>
      <c r="AK81" s="182"/>
      <c r="AL81" s="182"/>
      <c r="AM81" s="182"/>
      <c r="AN81" s="182">
        <v>15</v>
      </c>
      <c r="AO81" s="182"/>
      <c r="AP81" s="182"/>
      <c r="AQ81" s="182"/>
      <c r="AR81" s="182"/>
      <c r="AS81" s="182"/>
      <c r="AT81" s="182"/>
      <c r="AU81" s="182"/>
      <c r="AV81" s="182"/>
      <c r="AW81" s="182"/>
      <c r="AX81" s="182"/>
      <c r="AY81" s="182"/>
      <c r="AZ81" s="182"/>
      <c r="BA81" s="182"/>
      <c r="BB81" s="182"/>
      <c r="BC81" s="182"/>
      <c r="BD81" s="182"/>
      <c r="BE81" s="182"/>
      <c r="BF81" s="182"/>
      <c r="BG81" s="196">
        <f t="shared" si="16"/>
        <v>0.70505412408056356</v>
      </c>
      <c r="BH81" s="196">
        <f t="shared" si="17"/>
        <v>1.0656588275503522</v>
      </c>
      <c r="BI81" s="192">
        <v>1600</v>
      </c>
      <c r="BJ81" s="42">
        <f t="shared" si="18"/>
        <v>2.7731196802977354</v>
      </c>
      <c r="BK81" s="180" t="s">
        <v>13</v>
      </c>
      <c r="BL81" s="38">
        <v>42</v>
      </c>
      <c r="BM81" s="38"/>
      <c r="BN81" s="38">
        <v>0</v>
      </c>
      <c r="BO81" s="507">
        <f t="shared" si="21"/>
        <v>1000</v>
      </c>
      <c r="BP81" s="187">
        <v>1.1771</v>
      </c>
      <c r="BR81" s="196">
        <f t="shared" si="19"/>
        <v>0.36060470346978857</v>
      </c>
      <c r="BS81" s="193">
        <f t="shared" si="20"/>
        <v>0.60000000000000009</v>
      </c>
      <c r="BT81" s="535">
        <f t="shared" si="22"/>
        <v>75</v>
      </c>
      <c r="BV81" s="176" t="s">
        <v>114</v>
      </c>
    </row>
    <row r="82" spans="1:74" x14ac:dyDescent="0.25">
      <c r="A82" s="188" t="s">
        <v>600</v>
      </c>
      <c r="B82" s="188" t="s">
        <v>600</v>
      </c>
      <c r="C82" s="181"/>
      <c r="D82" s="182">
        <v>930</v>
      </c>
      <c r="E82" s="182"/>
      <c r="F82" s="182"/>
      <c r="G82" s="182"/>
      <c r="H82" s="182"/>
      <c r="I82" s="182"/>
      <c r="J82" s="182"/>
      <c r="K82" s="505"/>
      <c r="L82" s="182"/>
      <c r="M82" s="182"/>
      <c r="N82" s="182"/>
      <c r="O82" s="182"/>
      <c r="P82" s="182">
        <v>56</v>
      </c>
      <c r="Q82" s="182"/>
      <c r="R82" s="182"/>
      <c r="S82" s="182"/>
      <c r="T82" s="182"/>
      <c r="U82" s="182"/>
      <c r="V82" s="182"/>
      <c r="W82" s="182"/>
      <c r="X82" s="182"/>
      <c r="Y82" s="182"/>
      <c r="Z82" s="182"/>
      <c r="AA82" s="182">
        <v>5</v>
      </c>
      <c r="AB82" s="182"/>
      <c r="AC82" s="182"/>
      <c r="AD82" s="182"/>
      <c r="AE82" s="182"/>
      <c r="AF82" s="182"/>
      <c r="AG82" s="182"/>
      <c r="AH82" s="182"/>
      <c r="AI82" s="182"/>
      <c r="AJ82" s="182"/>
      <c r="AK82" s="182"/>
      <c r="AL82" s="182"/>
      <c r="AM82" s="182"/>
      <c r="AN82" s="182">
        <v>9</v>
      </c>
      <c r="AO82" s="182"/>
      <c r="AP82" s="182"/>
      <c r="AQ82" s="182"/>
      <c r="AR82" s="182"/>
      <c r="AS82" s="182"/>
      <c r="AT82" s="182"/>
      <c r="AU82" s="182"/>
      <c r="AV82" s="182"/>
      <c r="AW82" s="182"/>
      <c r="AX82" s="182"/>
      <c r="AY82" s="182"/>
      <c r="AZ82" s="182"/>
      <c r="BA82" s="182"/>
      <c r="BB82" s="182"/>
      <c r="BC82" s="182"/>
      <c r="BD82" s="182"/>
      <c r="BE82" s="182"/>
      <c r="BF82" s="182"/>
      <c r="BG82" s="196">
        <v>0.61299999999999999</v>
      </c>
      <c r="BH82" s="196">
        <v>0.93500000000000005</v>
      </c>
      <c r="BI82" s="192">
        <v>1725</v>
      </c>
      <c r="BJ82" s="42">
        <f t="shared" si="18"/>
        <v>3.1055900621118004</v>
      </c>
      <c r="BK82" s="180" t="s">
        <v>13</v>
      </c>
      <c r="BL82" s="38">
        <v>31</v>
      </c>
      <c r="BM82" s="38"/>
      <c r="BN82" s="38">
        <v>0</v>
      </c>
      <c r="BO82" s="507">
        <f t="shared" si="21"/>
        <v>1000</v>
      </c>
      <c r="BP82" s="187">
        <v>1.1659999999999999</v>
      </c>
      <c r="BR82" s="196">
        <f t="shared" si="19"/>
        <v>0.32217777386464536</v>
      </c>
      <c r="BS82" s="193">
        <f t="shared" si="20"/>
        <v>0.72500000000000009</v>
      </c>
      <c r="BT82" s="535">
        <f t="shared" si="22"/>
        <v>76</v>
      </c>
      <c r="BV82" s="176" t="s">
        <v>114</v>
      </c>
    </row>
    <row r="83" spans="1:74" x14ac:dyDescent="0.25">
      <c r="A83" s="188" t="s">
        <v>1797</v>
      </c>
      <c r="B83" s="188" t="s">
        <v>1797</v>
      </c>
      <c r="C83" s="181"/>
      <c r="D83" s="378">
        <v>641</v>
      </c>
      <c r="E83" s="378"/>
      <c r="F83" s="378"/>
      <c r="G83" s="378"/>
      <c r="H83" s="378"/>
      <c r="I83" s="378">
        <v>320</v>
      </c>
      <c r="J83" s="378"/>
      <c r="K83" s="378"/>
      <c r="L83" s="378"/>
      <c r="M83" s="378"/>
      <c r="N83" s="378"/>
      <c r="O83" s="378"/>
      <c r="P83" s="378"/>
      <c r="Q83" s="378"/>
      <c r="R83" s="378"/>
      <c r="S83" s="378"/>
      <c r="T83" s="378"/>
      <c r="U83" s="378"/>
      <c r="V83" s="378"/>
      <c r="W83" s="378"/>
      <c r="X83" s="378"/>
      <c r="Y83" s="378"/>
      <c r="Z83" s="378"/>
      <c r="AA83" s="378"/>
      <c r="AB83" s="378"/>
      <c r="AC83" s="378"/>
      <c r="AD83" s="378"/>
      <c r="AE83" s="378"/>
      <c r="AF83" s="378">
        <v>14</v>
      </c>
      <c r="AG83" s="378"/>
      <c r="AH83" s="378">
        <v>25</v>
      </c>
      <c r="AI83" s="378"/>
      <c r="AJ83" s="378"/>
      <c r="AK83" s="378"/>
      <c r="AL83" s="378"/>
      <c r="AM83" s="378"/>
      <c r="AN83" s="378"/>
      <c r="AO83" s="378"/>
      <c r="AP83" s="378"/>
      <c r="AQ83" s="378"/>
      <c r="AR83" s="378"/>
      <c r="AS83" s="378"/>
      <c r="AT83" s="378"/>
      <c r="AU83" s="378"/>
      <c r="AV83" s="378"/>
      <c r="AW83" s="378"/>
      <c r="AX83" s="378"/>
      <c r="AY83" s="378"/>
      <c r="AZ83" s="378"/>
      <c r="BA83" s="378"/>
      <c r="BB83" s="378"/>
      <c r="BC83" s="378"/>
      <c r="BD83" s="378"/>
      <c r="BE83" s="378"/>
      <c r="BF83" s="378"/>
      <c r="BG83" s="196">
        <v>0.89100000000000001</v>
      </c>
      <c r="BH83" s="196">
        <v>1.2609999999999999</v>
      </c>
      <c r="BI83" s="192">
        <v>1500</v>
      </c>
      <c r="BJ83" s="534">
        <v>2.7050000000000001</v>
      </c>
      <c r="BK83" s="180" t="s">
        <v>13</v>
      </c>
      <c r="BL83" s="38">
        <v>31</v>
      </c>
      <c r="BM83" s="38"/>
      <c r="BN83" s="38">
        <v>0</v>
      </c>
      <c r="BO83" s="507">
        <f t="shared" si="21"/>
        <v>1000</v>
      </c>
      <c r="BP83" s="534">
        <v>1.19</v>
      </c>
      <c r="BR83" s="196">
        <f t="shared" si="19"/>
        <v>0.37601567218404042</v>
      </c>
      <c r="BS83" s="193">
        <f t="shared" si="20"/>
        <v>0.5</v>
      </c>
      <c r="BT83" s="535">
        <f t="shared" si="22"/>
        <v>77</v>
      </c>
      <c r="BV83" s="176"/>
    </row>
    <row r="84" spans="1:74" x14ac:dyDescent="0.25">
      <c r="A84" s="188" t="s">
        <v>1798</v>
      </c>
      <c r="B84" s="188" t="s">
        <v>1798</v>
      </c>
      <c r="C84" s="181"/>
      <c r="D84" s="378">
        <v>641</v>
      </c>
      <c r="E84" s="378"/>
      <c r="F84" s="378"/>
      <c r="G84" s="378"/>
      <c r="H84" s="378"/>
      <c r="I84" s="378"/>
      <c r="J84" s="378">
        <v>320</v>
      </c>
      <c r="K84" s="378"/>
      <c r="L84" s="378"/>
      <c r="M84" s="378"/>
      <c r="N84" s="378"/>
      <c r="O84" s="378"/>
      <c r="P84" s="378"/>
      <c r="Q84" s="378"/>
      <c r="R84" s="378"/>
      <c r="S84" s="378"/>
      <c r="T84" s="378"/>
      <c r="U84" s="378"/>
      <c r="V84" s="378"/>
      <c r="W84" s="378"/>
      <c r="X84" s="378"/>
      <c r="Y84" s="378"/>
      <c r="Z84" s="378"/>
      <c r="AA84" s="378"/>
      <c r="AB84" s="378"/>
      <c r="AC84" s="378"/>
      <c r="AD84" s="378"/>
      <c r="AE84" s="378"/>
      <c r="AF84" s="378">
        <v>14</v>
      </c>
      <c r="AG84" s="378"/>
      <c r="AH84" s="378">
        <v>25</v>
      </c>
      <c r="AI84" s="378"/>
      <c r="AJ84" s="378"/>
      <c r="AK84" s="378"/>
      <c r="AL84" s="378"/>
      <c r="AM84" s="378"/>
      <c r="AN84" s="378"/>
      <c r="AO84" s="378"/>
      <c r="AP84" s="378"/>
      <c r="AQ84" s="378"/>
      <c r="AR84" s="378"/>
      <c r="AS84" s="378"/>
      <c r="AT84" s="378"/>
      <c r="AU84" s="378"/>
      <c r="AV84" s="378"/>
      <c r="AW84" s="378"/>
      <c r="AX84" s="378"/>
      <c r="AY84" s="378"/>
      <c r="AZ84" s="378"/>
      <c r="BA84" s="378"/>
      <c r="BB84" s="378"/>
      <c r="BC84" s="378"/>
      <c r="BD84" s="378"/>
      <c r="BE84" s="378"/>
      <c r="BF84" s="378"/>
      <c r="BG84" s="196">
        <v>0.95499999999999996</v>
      </c>
      <c r="BH84" s="196">
        <v>1.3029999999999999</v>
      </c>
      <c r="BI84" s="192">
        <v>1500</v>
      </c>
      <c r="BJ84" s="534">
        <v>2.87</v>
      </c>
      <c r="BK84" s="180" t="s">
        <v>13</v>
      </c>
      <c r="BL84" s="38">
        <v>31</v>
      </c>
      <c r="BM84" s="38"/>
      <c r="BN84" s="38">
        <v>0</v>
      </c>
      <c r="BO84" s="507">
        <f t="shared" si="21"/>
        <v>1000</v>
      </c>
      <c r="BP84" s="534">
        <v>1.19</v>
      </c>
      <c r="BR84" s="196">
        <f t="shared" si="19"/>
        <v>0.34915882203234022</v>
      </c>
      <c r="BS84" s="193">
        <f t="shared" si="20"/>
        <v>0.5</v>
      </c>
      <c r="BT84" s="535">
        <f t="shared" si="22"/>
        <v>78</v>
      </c>
      <c r="BV84" s="176"/>
    </row>
    <row r="85" spans="1:74" x14ac:dyDescent="0.25">
      <c r="A85" s="183" t="s">
        <v>541</v>
      </c>
      <c r="B85" s="188" t="s">
        <v>541</v>
      </c>
      <c r="C85" s="181"/>
      <c r="D85" s="182">
        <v>641</v>
      </c>
      <c r="E85" s="182"/>
      <c r="F85" s="182"/>
      <c r="G85" s="182"/>
      <c r="H85" s="182"/>
      <c r="I85" s="182">
        <v>320</v>
      </c>
      <c r="J85" s="182"/>
      <c r="K85" s="505"/>
      <c r="L85" s="182"/>
      <c r="M85" s="182"/>
      <c r="N85" s="182"/>
      <c r="O85" s="182"/>
      <c r="P85" s="182"/>
      <c r="Q85" s="182"/>
      <c r="R85" s="182"/>
      <c r="S85" s="182"/>
      <c r="T85" s="182"/>
      <c r="U85" s="182"/>
      <c r="V85" s="182"/>
      <c r="W85" s="182"/>
      <c r="X85" s="182"/>
      <c r="Y85" s="182"/>
      <c r="Z85" s="182"/>
      <c r="AA85" s="182"/>
      <c r="AB85" s="182"/>
      <c r="AC85" s="182"/>
      <c r="AD85" s="182"/>
      <c r="AE85" s="182"/>
      <c r="AF85" s="182">
        <v>14</v>
      </c>
      <c r="AG85" s="182"/>
      <c r="AH85" s="182">
        <v>25</v>
      </c>
      <c r="AI85" s="182"/>
      <c r="AJ85" s="182"/>
      <c r="AK85" s="182"/>
      <c r="AL85" s="182"/>
      <c r="AM85" s="182"/>
      <c r="AN85" s="182"/>
      <c r="AO85" s="182"/>
      <c r="AP85" s="182"/>
      <c r="AQ85" s="182"/>
      <c r="AR85" s="182"/>
      <c r="AS85" s="182"/>
      <c r="AT85" s="182"/>
      <c r="AU85" s="182"/>
      <c r="AV85" s="182"/>
      <c r="AW85" s="182"/>
      <c r="AX85" s="182"/>
      <c r="AY85" s="182"/>
      <c r="AZ85" s="182"/>
      <c r="BA85" s="182"/>
      <c r="BB85" s="182"/>
      <c r="BC85" s="182"/>
      <c r="BD85" s="182"/>
      <c r="BE85" s="182"/>
      <c r="BF85" s="182"/>
      <c r="BG85" s="196">
        <v>0.86</v>
      </c>
      <c r="BH85" s="196">
        <v>1.24</v>
      </c>
      <c r="BI85" s="192">
        <v>1500</v>
      </c>
      <c r="BJ85" s="42">
        <f>1/(BH85-BG85)</f>
        <v>2.6315789473684212</v>
      </c>
      <c r="BK85" s="180" t="s">
        <v>542</v>
      </c>
      <c r="BL85" s="38">
        <v>31</v>
      </c>
      <c r="BM85" s="38"/>
      <c r="BN85" s="38">
        <v>0</v>
      </c>
      <c r="BO85" s="507">
        <f t="shared" si="21"/>
        <v>1000</v>
      </c>
      <c r="BP85" s="187">
        <v>1.1911</v>
      </c>
      <c r="BR85" s="196">
        <f t="shared" si="19"/>
        <v>0.37601567218404042</v>
      </c>
      <c r="BS85" s="193">
        <f t="shared" si="20"/>
        <v>0.5</v>
      </c>
      <c r="BT85" s="535">
        <f t="shared" si="22"/>
        <v>79</v>
      </c>
      <c r="BV85" s="176"/>
    </row>
    <row r="86" spans="1:74" x14ac:dyDescent="0.25">
      <c r="A86" s="183" t="s">
        <v>601</v>
      </c>
      <c r="B86" s="188" t="s">
        <v>601</v>
      </c>
      <c r="C86" s="181"/>
      <c r="D86" s="378"/>
      <c r="E86" s="378">
        <v>569</v>
      </c>
      <c r="F86" s="378"/>
      <c r="G86" s="378"/>
      <c r="H86" s="378"/>
      <c r="I86" s="378">
        <v>285</v>
      </c>
      <c r="J86" s="378"/>
      <c r="K86" s="378">
        <v>103</v>
      </c>
      <c r="L86" s="378"/>
      <c r="M86" s="378"/>
      <c r="N86" s="378"/>
      <c r="O86" s="378">
        <v>20</v>
      </c>
      <c r="P86" s="378">
        <v>15</v>
      </c>
      <c r="Q86" s="378"/>
      <c r="R86" s="378"/>
      <c r="S86" s="378"/>
      <c r="T86" s="378"/>
      <c r="U86" s="378"/>
      <c r="V86" s="378"/>
      <c r="W86" s="378"/>
      <c r="X86" s="378"/>
      <c r="Y86" s="378"/>
      <c r="Z86" s="378"/>
      <c r="AA86" s="378">
        <v>5</v>
      </c>
      <c r="AB86" s="378"/>
      <c r="AC86" s="378"/>
      <c r="AD86" s="378"/>
      <c r="AE86" s="378"/>
      <c r="AF86" s="378">
        <v>3</v>
      </c>
      <c r="AG86" s="378"/>
      <c r="AH86" s="378"/>
      <c r="AI86" s="378"/>
      <c r="AJ86" s="378"/>
      <c r="AK86" s="378"/>
      <c r="AL86" s="378"/>
      <c r="AM86" s="378"/>
      <c r="AN86" s="378"/>
      <c r="AO86" s="378"/>
      <c r="AP86" s="378"/>
      <c r="AQ86" s="378"/>
      <c r="AR86" s="378"/>
      <c r="AS86" s="378"/>
      <c r="AT86" s="378"/>
      <c r="AU86" s="378"/>
      <c r="AV86" s="378"/>
      <c r="AW86" s="378"/>
      <c r="AX86" s="378"/>
      <c r="AY86" s="378"/>
      <c r="AZ86" s="378"/>
      <c r="BA86" s="378"/>
      <c r="BB86" s="378"/>
      <c r="BC86" s="378"/>
      <c r="BD86" s="378"/>
      <c r="BE86" s="378"/>
      <c r="BF86" s="378"/>
      <c r="BG86" s="196">
        <v>0.748</v>
      </c>
      <c r="BH86" s="196">
        <v>1.127</v>
      </c>
      <c r="BI86" s="192">
        <v>1550</v>
      </c>
      <c r="BJ86" s="534">
        <v>2.6749999999999998</v>
      </c>
      <c r="BK86" s="180" t="s">
        <v>18</v>
      </c>
      <c r="BL86" s="38">
        <v>4</v>
      </c>
      <c r="BM86" s="38"/>
      <c r="BN86" s="38">
        <v>0</v>
      </c>
      <c r="BO86" s="507">
        <f t="shared" si="21"/>
        <v>1000</v>
      </c>
      <c r="BP86" s="534">
        <v>1.091</v>
      </c>
      <c r="BR86" s="196">
        <f t="shared" si="19"/>
        <v>0.33526937221273412</v>
      </c>
      <c r="BS86" s="193">
        <f t="shared" si="20"/>
        <v>0.55000000000000004</v>
      </c>
      <c r="BT86" s="535">
        <f t="shared" si="22"/>
        <v>80</v>
      </c>
      <c r="BV86" s="176" t="s">
        <v>114</v>
      </c>
    </row>
    <row r="87" spans="1:74" x14ac:dyDescent="0.25">
      <c r="A87" s="190" t="s">
        <v>436</v>
      </c>
      <c r="B87" s="190" t="s">
        <v>436</v>
      </c>
      <c r="C87" s="181"/>
      <c r="D87" s="182"/>
      <c r="E87" s="182"/>
      <c r="F87" s="182"/>
      <c r="G87" s="182">
        <v>655</v>
      </c>
      <c r="H87" s="182"/>
      <c r="I87" s="182"/>
      <c r="J87" s="182"/>
      <c r="K87" s="505"/>
      <c r="L87" s="182"/>
      <c r="M87" s="182">
        <v>327</v>
      </c>
      <c r="N87" s="182"/>
      <c r="O87" s="182">
        <v>18</v>
      </c>
      <c r="P87" s="182"/>
      <c r="Q87" s="182"/>
      <c r="R87" s="182"/>
      <c r="S87" s="182"/>
      <c r="T87" s="182"/>
      <c r="U87" s="182"/>
      <c r="V87" s="182"/>
      <c r="W87" s="182"/>
      <c r="X87" s="182"/>
      <c r="Y87" s="182"/>
      <c r="Z87" s="182"/>
      <c r="AA87" s="182"/>
      <c r="AB87" s="182"/>
      <c r="AC87" s="182"/>
      <c r="AD87" s="182"/>
      <c r="AE87" s="182"/>
      <c r="AF87" s="182"/>
      <c r="AG87" s="182"/>
      <c r="AH87" s="182"/>
      <c r="AI87" s="182"/>
      <c r="AJ87" s="182"/>
      <c r="AK87" s="182"/>
      <c r="AL87" s="182"/>
      <c r="AM87" s="182"/>
      <c r="AN87" s="182"/>
      <c r="AO87" s="182"/>
      <c r="AP87" s="182"/>
      <c r="AQ87" s="182"/>
      <c r="AR87" s="182"/>
      <c r="AS87" s="182"/>
      <c r="AT87" s="182"/>
      <c r="AU87" s="182"/>
      <c r="AV87" s="182"/>
      <c r="AW87" s="182"/>
      <c r="AX87" s="182"/>
      <c r="AY87" s="182"/>
      <c r="AZ87" s="182"/>
      <c r="BA87" s="182"/>
      <c r="BB87" s="182"/>
      <c r="BC87" s="182"/>
      <c r="BD87" s="182"/>
      <c r="BE87" s="182"/>
      <c r="BF87" s="182"/>
      <c r="BG87" s="196">
        <f t="shared" ref="BG87:BG110" si="23">((BO87-(BI87*BR87))/BS87)/1000</f>
        <v>1.7437033200254455</v>
      </c>
      <c r="BH87" s="196">
        <f t="shared" ref="BH87:BH110" si="24">BR87+BG87</f>
        <v>2.1105410154041886</v>
      </c>
      <c r="BI87" s="192">
        <v>1300</v>
      </c>
      <c r="BJ87" s="42">
        <f t="shared" ref="BJ87:BJ110" si="25">1/(BH87-BG87)</f>
        <v>2.7260012059762446</v>
      </c>
      <c r="BK87" s="180" t="s">
        <v>18</v>
      </c>
      <c r="BL87" s="38">
        <v>42</v>
      </c>
      <c r="BM87" s="38"/>
      <c r="BN87" s="38">
        <v>0</v>
      </c>
      <c r="BO87" s="507">
        <f t="shared" si="21"/>
        <v>1000</v>
      </c>
      <c r="BP87" s="187">
        <v>1.3</v>
      </c>
      <c r="BR87" s="196">
        <f t="shared" si="19"/>
        <v>0.36683769537874333</v>
      </c>
      <c r="BS87" s="193">
        <f t="shared" si="20"/>
        <v>0.30000000000000004</v>
      </c>
      <c r="BT87" s="535">
        <f t="shared" si="22"/>
        <v>81</v>
      </c>
      <c r="BV87" s="176"/>
    </row>
    <row r="88" spans="1:74" x14ac:dyDescent="0.25">
      <c r="A88" s="190" t="s">
        <v>437</v>
      </c>
      <c r="B88" s="190" t="s">
        <v>437</v>
      </c>
      <c r="C88" s="181"/>
      <c r="D88" s="182"/>
      <c r="E88" s="182"/>
      <c r="F88" s="182"/>
      <c r="G88" s="182">
        <v>801</v>
      </c>
      <c r="H88" s="182"/>
      <c r="I88" s="182"/>
      <c r="J88" s="182"/>
      <c r="K88" s="505"/>
      <c r="L88" s="182"/>
      <c r="M88" s="182">
        <v>159</v>
      </c>
      <c r="N88" s="182"/>
      <c r="O88" s="182">
        <v>40</v>
      </c>
      <c r="P88" s="182"/>
      <c r="Q88" s="182"/>
      <c r="R88" s="182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182"/>
      <c r="AF88" s="182"/>
      <c r="AG88" s="182"/>
      <c r="AH88" s="182"/>
      <c r="AI88" s="182"/>
      <c r="AJ88" s="182"/>
      <c r="AK88" s="182"/>
      <c r="AL88" s="182"/>
      <c r="AM88" s="182"/>
      <c r="AN88" s="182"/>
      <c r="AO88" s="182"/>
      <c r="AP88" s="182"/>
      <c r="AQ88" s="182"/>
      <c r="AR88" s="182"/>
      <c r="AS88" s="182"/>
      <c r="AT88" s="182"/>
      <c r="AU88" s="182"/>
      <c r="AV88" s="182"/>
      <c r="AW88" s="182"/>
      <c r="AX88" s="182"/>
      <c r="AY88" s="182"/>
      <c r="AZ88" s="182"/>
      <c r="BA88" s="182"/>
      <c r="BB88" s="182"/>
      <c r="BC88" s="182"/>
      <c r="BD88" s="182"/>
      <c r="BE88" s="182"/>
      <c r="BF88" s="182"/>
      <c r="BG88" s="196">
        <f t="shared" si="23"/>
        <v>1.2557064521087646</v>
      </c>
      <c r="BH88" s="196">
        <f t="shared" si="24"/>
        <v>1.6112188943634034</v>
      </c>
      <c r="BI88" s="192">
        <v>1400</v>
      </c>
      <c r="BJ88" s="42">
        <f t="shared" si="25"/>
        <v>2.8128410743040653</v>
      </c>
      <c r="BK88" s="180" t="s">
        <v>18</v>
      </c>
      <c r="BL88" s="38">
        <v>42</v>
      </c>
      <c r="BM88" s="38"/>
      <c r="BN88" s="38">
        <v>0</v>
      </c>
      <c r="BO88" s="507">
        <f t="shared" si="21"/>
        <v>1000</v>
      </c>
      <c r="BP88" s="187">
        <v>1.32</v>
      </c>
      <c r="BR88" s="196">
        <f t="shared" si="19"/>
        <v>0.35551244225463879</v>
      </c>
      <c r="BS88" s="193">
        <f t="shared" si="20"/>
        <v>0.39999999999999991</v>
      </c>
      <c r="BT88" s="535">
        <f t="shared" si="22"/>
        <v>82</v>
      </c>
      <c r="BV88" s="176"/>
    </row>
    <row r="89" spans="1:74" x14ac:dyDescent="0.25">
      <c r="A89" s="185" t="s">
        <v>438</v>
      </c>
      <c r="B89" s="190" t="s">
        <v>438</v>
      </c>
      <c r="C89" s="181"/>
      <c r="D89" s="182"/>
      <c r="E89" s="182"/>
      <c r="F89" s="182"/>
      <c r="G89" s="182">
        <v>769</v>
      </c>
      <c r="H89" s="182"/>
      <c r="I89" s="182"/>
      <c r="J89" s="182"/>
      <c r="K89" s="505"/>
      <c r="L89" s="182"/>
      <c r="M89" s="182"/>
      <c r="N89" s="182">
        <v>231</v>
      </c>
      <c r="O89" s="182"/>
      <c r="P89" s="182"/>
      <c r="Q89" s="182"/>
      <c r="R89" s="182"/>
      <c r="S89" s="182"/>
      <c r="T89" s="182"/>
      <c r="U89" s="182"/>
      <c r="V89" s="182"/>
      <c r="W89" s="182"/>
      <c r="X89" s="182"/>
      <c r="Y89" s="182"/>
      <c r="Z89" s="182"/>
      <c r="AA89" s="182"/>
      <c r="AB89" s="182"/>
      <c r="AC89" s="182"/>
      <c r="AD89" s="182"/>
      <c r="AE89" s="182"/>
      <c r="AF89" s="182"/>
      <c r="AG89" s="182"/>
      <c r="AH89" s="182"/>
      <c r="AI89" s="182"/>
      <c r="AJ89" s="182"/>
      <c r="AK89" s="182"/>
      <c r="AL89" s="182"/>
      <c r="AM89" s="182"/>
      <c r="AN89" s="182"/>
      <c r="AO89" s="182"/>
      <c r="AP89" s="182"/>
      <c r="AQ89" s="182"/>
      <c r="AR89" s="182"/>
      <c r="AS89" s="182"/>
      <c r="AT89" s="182"/>
      <c r="AU89" s="182"/>
      <c r="AV89" s="182"/>
      <c r="AW89" s="182"/>
      <c r="AX89" s="182"/>
      <c r="AY89" s="182"/>
      <c r="AZ89" s="182"/>
      <c r="BA89" s="182"/>
      <c r="BB89" s="182"/>
      <c r="BC89" s="182"/>
      <c r="BD89" s="182"/>
      <c r="BE89" s="182"/>
      <c r="BF89" s="182"/>
      <c r="BG89" s="196">
        <f t="shared" si="23"/>
        <v>0.57721375858361923</v>
      </c>
      <c r="BH89" s="196">
        <f t="shared" si="24"/>
        <v>0.92777279916683486</v>
      </c>
      <c r="BI89" s="192">
        <v>1700</v>
      </c>
      <c r="BJ89" s="42">
        <f t="shared" si="25"/>
        <v>2.8525865381658022</v>
      </c>
      <c r="BK89" s="180" t="s">
        <v>18</v>
      </c>
      <c r="BL89" s="38">
        <v>31</v>
      </c>
      <c r="BM89" s="38"/>
      <c r="BN89" s="38">
        <v>0</v>
      </c>
      <c r="BO89" s="507">
        <f t="shared" si="21"/>
        <v>1000</v>
      </c>
      <c r="BP89" s="187">
        <v>1.33</v>
      </c>
      <c r="BR89" s="196">
        <f t="shared" si="19"/>
        <v>0.35055904058321563</v>
      </c>
      <c r="BS89" s="193">
        <f t="shared" si="20"/>
        <v>0.7</v>
      </c>
      <c r="BT89" s="535">
        <f t="shared" si="22"/>
        <v>83</v>
      </c>
      <c r="BV89" s="176"/>
    </row>
    <row r="90" spans="1:74" x14ac:dyDescent="0.25">
      <c r="A90" s="190" t="s">
        <v>439</v>
      </c>
      <c r="B90" s="190" t="s">
        <v>439</v>
      </c>
      <c r="C90" s="181"/>
      <c r="D90" s="182"/>
      <c r="E90" s="182"/>
      <c r="F90" s="182"/>
      <c r="G90" s="182">
        <v>698</v>
      </c>
      <c r="H90" s="182"/>
      <c r="I90" s="182"/>
      <c r="J90" s="182"/>
      <c r="K90" s="505"/>
      <c r="L90" s="182"/>
      <c r="M90" s="182"/>
      <c r="N90" s="182">
        <v>208</v>
      </c>
      <c r="O90" s="182"/>
      <c r="P90" s="182"/>
      <c r="Q90" s="182"/>
      <c r="R90" s="182"/>
      <c r="S90" s="182"/>
      <c r="T90" s="182">
        <v>94</v>
      </c>
      <c r="U90" s="182"/>
      <c r="V90" s="182"/>
      <c r="W90" s="182"/>
      <c r="X90" s="182"/>
      <c r="Y90" s="182"/>
      <c r="Z90" s="182"/>
      <c r="AA90" s="182"/>
      <c r="AB90" s="182"/>
      <c r="AC90" s="182"/>
      <c r="AD90" s="182"/>
      <c r="AE90" s="182"/>
      <c r="AF90" s="182"/>
      <c r="AG90" s="182"/>
      <c r="AH90" s="182"/>
      <c r="AI90" s="182"/>
      <c r="AJ90" s="182"/>
      <c r="AK90" s="182"/>
      <c r="AL90" s="182"/>
      <c r="AM90" s="182"/>
      <c r="AN90" s="182"/>
      <c r="AO90" s="182"/>
      <c r="AP90" s="182"/>
      <c r="AQ90" s="182"/>
      <c r="AR90" s="182"/>
      <c r="AS90" s="182"/>
      <c r="AT90" s="182"/>
      <c r="AU90" s="182"/>
      <c r="AV90" s="182"/>
      <c r="AW90" s="182"/>
      <c r="AX90" s="182"/>
      <c r="AY90" s="182"/>
      <c r="AZ90" s="182"/>
      <c r="BA90" s="182"/>
      <c r="BB90" s="182"/>
      <c r="BC90" s="182"/>
      <c r="BD90" s="182"/>
      <c r="BE90" s="182"/>
      <c r="BF90" s="182"/>
      <c r="BG90" s="196">
        <f t="shared" si="23"/>
        <v>0.68433687461651316</v>
      </c>
      <c r="BH90" s="196">
        <f t="shared" si="24"/>
        <v>1.2956437497050102</v>
      </c>
      <c r="BI90" s="192">
        <v>1300</v>
      </c>
      <c r="BJ90" s="42">
        <f t="shared" si="25"/>
        <v>1.6358396097790215</v>
      </c>
      <c r="BK90" s="180" t="s">
        <v>18</v>
      </c>
      <c r="BL90" s="38">
        <v>31</v>
      </c>
      <c r="BM90" s="38"/>
      <c r="BN90" s="38">
        <v>0</v>
      </c>
      <c r="BO90" s="507">
        <f t="shared" si="21"/>
        <v>1000</v>
      </c>
      <c r="BP90" s="187">
        <v>0.87480000000000002</v>
      </c>
      <c r="BR90" s="196">
        <f t="shared" si="19"/>
        <v>0.6113068750884969</v>
      </c>
      <c r="BS90" s="193">
        <f t="shared" si="20"/>
        <v>0.30000000000000004</v>
      </c>
      <c r="BT90" s="535">
        <f t="shared" si="22"/>
        <v>84</v>
      </c>
      <c r="BV90" s="176"/>
    </row>
    <row r="91" spans="1:74" x14ac:dyDescent="0.25">
      <c r="A91" s="190" t="s">
        <v>440</v>
      </c>
      <c r="B91" s="190" t="s">
        <v>440</v>
      </c>
      <c r="C91" s="181"/>
      <c r="D91" s="182"/>
      <c r="E91" s="182"/>
      <c r="F91" s="182"/>
      <c r="G91" s="182">
        <v>708</v>
      </c>
      <c r="H91" s="182"/>
      <c r="I91" s="182"/>
      <c r="J91" s="182"/>
      <c r="K91" s="505"/>
      <c r="L91" s="182"/>
      <c r="M91" s="182"/>
      <c r="N91" s="182">
        <v>212</v>
      </c>
      <c r="O91" s="182"/>
      <c r="P91" s="182"/>
      <c r="Q91" s="182"/>
      <c r="R91" s="182"/>
      <c r="S91" s="182"/>
      <c r="T91" s="182">
        <v>80</v>
      </c>
      <c r="U91" s="182"/>
      <c r="V91" s="182"/>
      <c r="W91" s="182"/>
      <c r="X91" s="182"/>
      <c r="Y91" s="182"/>
      <c r="Z91" s="182"/>
      <c r="AA91" s="182"/>
      <c r="AB91" s="182"/>
      <c r="AC91" s="182"/>
      <c r="AD91" s="182"/>
      <c r="AE91" s="182"/>
      <c r="AF91" s="182"/>
      <c r="AG91" s="182"/>
      <c r="AH91" s="182"/>
      <c r="AI91" s="182"/>
      <c r="AJ91" s="182"/>
      <c r="AK91" s="182"/>
      <c r="AL91" s="182"/>
      <c r="AM91" s="182"/>
      <c r="AN91" s="182"/>
      <c r="AO91" s="182"/>
      <c r="AP91" s="182"/>
      <c r="AQ91" s="182"/>
      <c r="AR91" s="182"/>
      <c r="AS91" s="182"/>
      <c r="AT91" s="182"/>
      <c r="AU91" s="182"/>
      <c r="AV91" s="182"/>
      <c r="AW91" s="182"/>
      <c r="AX91" s="182"/>
      <c r="AY91" s="182"/>
      <c r="AZ91" s="182"/>
      <c r="BA91" s="182"/>
      <c r="BB91" s="182"/>
      <c r="BC91" s="182"/>
      <c r="BD91" s="182"/>
      <c r="BE91" s="182"/>
      <c r="BF91" s="182"/>
      <c r="BG91" s="196">
        <f t="shared" si="23"/>
        <v>0.64895073068048903</v>
      </c>
      <c r="BH91" s="196">
        <f t="shared" si="24"/>
        <v>1.2214449856892511</v>
      </c>
      <c r="BI91" s="192">
        <v>1350</v>
      </c>
      <c r="BJ91" s="42">
        <f t="shared" si="25"/>
        <v>1.7467424192487224</v>
      </c>
      <c r="BK91" s="180" t="s">
        <v>13</v>
      </c>
      <c r="BL91" s="534">
        <v>42</v>
      </c>
      <c r="BM91" s="38"/>
      <c r="BN91" s="38">
        <v>0</v>
      </c>
      <c r="BO91" s="507">
        <f t="shared" si="21"/>
        <v>1000</v>
      </c>
      <c r="BP91" s="187">
        <v>0.88529999999999998</v>
      </c>
      <c r="BR91" s="196">
        <f t="shared" si="19"/>
        <v>0.57249425500876205</v>
      </c>
      <c r="BS91" s="193">
        <f t="shared" si="20"/>
        <v>0.35000000000000009</v>
      </c>
      <c r="BT91" s="535">
        <f t="shared" si="22"/>
        <v>85</v>
      </c>
      <c r="BV91" s="176"/>
    </row>
    <row r="92" spans="1:74" x14ac:dyDescent="0.25">
      <c r="A92" s="190" t="s">
        <v>441</v>
      </c>
      <c r="B92" s="190" t="s">
        <v>441</v>
      </c>
      <c r="C92" s="378"/>
      <c r="D92" s="182"/>
      <c r="E92" s="182"/>
      <c r="F92" s="182"/>
      <c r="G92" s="182">
        <v>712</v>
      </c>
      <c r="H92" s="182"/>
      <c r="I92" s="182"/>
      <c r="J92" s="182"/>
      <c r="K92" s="505"/>
      <c r="L92" s="182"/>
      <c r="M92" s="182"/>
      <c r="N92" s="182">
        <v>213</v>
      </c>
      <c r="O92" s="182"/>
      <c r="P92" s="182"/>
      <c r="Q92" s="182"/>
      <c r="R92" s="182"/>
      <c r="S92" s="182"/>
      <c r="T92" s="182">
        <v>75</v>
      </c>
      <c r="U92" s="182"/>
      <c r="V92" s="182"/>
      <c r="W92" s="182"/>
      <c r="X92" s="182"/>
      <c r="Y92" s="182"/>
      <c r="Z92" s="182"/>
      <c r="AA92" s="182"/>
      <c r="AB92" s="182"/>
      <c r="AC92" s="182"/>
      <c r="AD92" s="182"/>
      <c r="AE92" s="182"/>
      <c r="AF92" s="182"/>
      <c r="AG92" s="182"/>
      <c r="AH92" s="182"/>
      <c r="AI92" s="182"/>
      <c r="AJ92" s="182"/>
      <c r="AK92" s="182"/>
      <c r="AL92" s="182"/>
      <c r="AM92" s="182"/>
      <c r="AN92" s="182"/>
      <c r="AO92" s="182"/>
      <c r="AP92" s="182"/>
      <c r="AQ92" s="182"/>
      <c r="AR92" s="182"/>
      <c r="AS92" s="182"/>
      <c r="AT92" s="182"/>
      <c r="AU92" s="182"/>
      <c r="AV92" s="182"/>
      <c r="AW92" s="182"/>
      <c r="AX92" s="182"/>
      <c r="AY92" s="182"/>
      <c r="AZ92" s="182"/>
      <c r="BA92" s="182"/>
      <c r="BB92" s="182"/>
      <c r="BC92" s="182"/>
      <c r="BD92" s="182"/>
      <c r="BE92" s="182"/>
      <c r="BF92" s="182"/>
      <c r="BG92" s="196">
        <f t="shared" si="23"/>
        <v>0.54484375466841428</v>
      </c>
      <c r="BH92" s="196">
        <f t="shared" si="24"/>
        <v>1.1034598247631531</v>
      </c>
      <c r="BI92" s="192">
        <v>1400</v>
      </c>
      <c r="BJ92" s="42">
        <f t="shared" si="25"/>
        <v>1.7901382604879312</v>
      </c>
      <c r="BK92" s="180" t="s">
        <v>13</v>
      </c>
      <c r="BL92" s="38">
        <v>42</v>
      </c>
      <c r="BM92" s="38"/>
      <c r="BN92" s="38">
        <v>0</v>
      </c>
      <c r="BO92" s="507">
        <f t="shared" si="21"/>
        <v>1000</v>
      </c>
      <c r="BP92" s="187">
        <v>0.89229999999999998</v>
      </c>
      <c r="BR92" s="196">
        <f t="shared" si="19"/>
        <v>0.55861607009473879</v>
      </c>
      <c r="BS92" s="193">
        <f t="shared" si="20"/>
        <v>0.39999999999999991</v>
      </c>
      <c r="BT92" s="535">
        <f t="shared" si="22"/>
        <v>86</v>
      </c>
      <c r="BV92" s="176"/>
    </row>
    <row r="93" spans="1:74" x14ac:dyDescent="0.25">
      <c r="A93" s="190" t="s">
        <v>139</v>
      </c>
      <c r="B93" s="190" t="s">
        <v>139</v>
      </c>
      <c r="C93" s="378"/>
      <c r="D93" s="182"/>
      <c r="E93" s="182"/>
      <c r="F93" s="182"/>
      <c r="G93" s="182">
        <v>704</v>
      </c>
      <c r="H93" s="182"/>
      <c r="I93" s="182"/>
      <c r="J93" s="182"/>
      <c r="K93" s="505"/>
      <c r="L93" s="182"/>
      <c r="M93" s="182"/>
      <c r="N93" s="182">
        <v>211</v>
      </c>
      <c r="O93" s="182"/>
      <c r="P93" s="182"/>
      <c r="Q93" s="182"/>
      <c r="R93" s="182"/>
      <c r="S93" s="182"/>
      <c r="T93" s="182"/>
      <c r="U93" s="182">
        <v>85</v>
      </c>
      <c r="V93" s="182"/>
      <c r="W93" s="182"/>
      <c r="X93" s="182"/>
      <c r="Y93" s="182"/>
      <c r="Z93" s="182"/>
      <c r="AA93" s="182"/>
      <c r="AB93" s="182"/>
      <c r="AC93" s="182"/>
      <c r="AD93" s="182"/>
      <c r="AE93" s="182"/>
      <c r="AF93" s="182"/>
      <c r="AG93" s="182"/>
      <c r="AH93" s="182"/>
      <c r="AI93" s="182"/>
      <c r="AJ93" s="182"/>
      <c r="AK93" s="182"/>
      <c r="AL93" s="182"/>
      <c r="AM93" s="182"/>
      <c r="AN93" s="182"/>
      <c r="AO93" s="182"/>
      <c r="AP93" s="182"/>
      <c r="AQ93" s="182"/>
      <c r="AR93" s="182"/>
      <c r="AS93" s="182"/>
      <c r="AT93" s="182"/>
      <c r="AU93" s="182"/>
      <c r="AV93" s="182"/>
      <c r="AW93" s="182"/>
      <c r="AX93" s="182"/>
      <c r="AY93" s="182"/>
      <c r="AZ93" s="182"/>
      <c r="BA93" s="182"/>
      <c r="BB93" s="182"/>
      <c r="BC93" s="182"/>
      <c r="BD93" s="182"/>
      <c r="BE93" s="182"/>
      <c r="BF93" s="182"/>
      <c r="BG93" s="196">
        <f t="shared" si="23"/>
        <v>0.59448922342814614</v>
      </c>
      <c r="BH93" s="196">
        <f t="shared" si="24"/>
        <v>1.1389208738772472</v>
      </c>
      <c r="BI93" s="192">
        <v>1400</v>
      </c>
      <c r="BJ93" s="42">
        <f t="shared" si="25"/>
        <v>1.8367778566420618</v>
      </c>
      <c r="BK93" s="180" t="s">
        <v>13</v>
      </c>
      <c r="BL93" s="38">
        <v>30</v>
      </c>
      <c r="BM93" s="38"/>
      <c r="BN93" s="38">
        <v>0</v>
      </c>
      <c r="BO93" s="507">
        <f t="shared" si="21"/>
        <v>1000</v>
      </c>
      <c r="BP93" s="187">
        <v>0.92049999999999998</v>
      </c>
      <c r="BR93" s="196">
        <f t="shared" si="19"/>
        <v>0.54443165044910113</v>
      </c>
      <c r="BS93" s="193">
        <f t="shared" si="20"/>
        <v>0.39999999999999991</v>
      </c>
      <c r="BT93" s="535">
        <f t="shared" si="22"/>
        <v>87</v>
      </c>
      <c r="BV93" s="176"/>
    </row>
    <row r="94" spans="1:74" s="186" customFormat="1" x14ac:dyDescent="0.25">
      <c r="A94" s="190" t="s">
        <v>74</v>
      </c>
      <c r="B94" s="190" t="s">
        <v>74</v>
      </c>
      <c r="C94" s="378"/>
      <c r="D94" s="534"/>
      <c r="E94" s="534"/>
      <c r="F94" s="534"/>
      <c r="G94" s="534">
        <v>730</v>
      </c>
      <c r="H94" s="534"/>
      <c r="I94" s="534"/>
      <c r="J94" s="534"/>
      <c r="K94" s="534"/>
      <c r="L94" s="534"/>
      <c r="M94" s="534"/>
      <c r="N94" s="534">
        <v>219</v>
      </c>
      <c r="O94" s="534"/>
      <c r="P94" s="534">
        <v>44</v>
      </c>
      <c r="Q94" s="534"/>
      <c r="R94" s="534"/>
      <c r="S94" s="534"/>
      <c r="T94" s="534"/>
      <c r="U94" s="534"/>
      <c r="V94" s="534"/>
      <c r="W94" s="534"/>
      <c r="X94" s="534"/>
      <c r="Y94" s="534"/>
      <c r="Z94" s="534"/>
      <c r="AA94" s="534"/>
      <c r="AB94" s="534"/>
      <c r="AC94" s="534"/>
      <c r="AD94" s="534"/>
      <c r="AE94" s="534"/>
      <c r="AF94" s="534"/>
      <c r="AG94" s="534"/>
      <c r="AH94" s="534"/>
      <c r="AI94" s="534"/>
      <c r="AJ94" s="534"/>
      <c r="AK94" s="534"/>
      <c r="AL94" s="534"/>
      <c r="AM94" s="534"/>
      <c r="AN94" s="534">
        <v>7</v>
      </c>
      <c r="AO94" s="534"/>
      <c r="AP94" s="534"/>
      <c r="AQ94" s="534"/>
      <c r="AR94" s="534"/>
      <c r="AS94" s="534"/>
      <c r="AT94" s="534"/>
      <c r="AU94" s="534"/>
      <c r="AV94" s="534"/>
      <c r="AW94" s="534"/>
      <c r="AX94" s="534"/>
      <c r="AY94" s="534"/>
      <c r="AZ94" s="534"/>
      <c r="BA94" s="534"/>
      <c r="BB94" s="534"/>
      <c r="BC94" s="534"/>
      <c r="BD94" s="534"/>
      <c r="BE94" s="534"/>
      <c r="BF94" s="534"/>
      <c r="BG94" s="196">
        <f t="shared" si="23"/>
        <v>0.51488614910821584</v>
      </c>
      <c r="BH94" s="196">
        <f t="shared" si="24"/>
        <v>0.86564922806183764</v>
      </c>
      <c r="BI94" s="534">
        <v>1750</v>
      </c>
      <c r="BJ94" s="196">
        <f t="shared" si="25"/>
        <v>2.8509271927454511</v>
      </c>
      <c r="BK94" s="534" t="s">
        <v>13</v>
      </c>
      <c r="BL94" s="534">
        <v>30</v>
      </c>
      <c r="BM94" s="534"/>
      <c r="BN94" s="534">
        <v>0</v>
      </c>
      <c r="BO94" s="534">
        <f t="shared" si="21"/>
        <v>1000</v>
      </c>
      <c r="BP94" s="187">
        <v>1.32</v>
      </c>
      <c r="BQ94" s="242"/>
      <c r="BR94" s="196">
        <f t="shared" si="19"/>
        <v>0.3507630789536218</v>
      </c>
      <c r="BS94" s="534">
        <f t="shared" si="20"/>
        <v>0.75</v>
      </c>
      <c r="BT94" s="535">
        <f t="shared" si="22"/>
        <v>88</v>
      </c>
      <c r="BU94" s="242"/>
      <c r="BV94" s="176"/>
    </row>
    <row r="95" spans="1:74" x14ac:dyDescent="0.25">
      <c r="A95" s="190" t="s">
        <v>442</v>
      </c>
      <c r="B95" s="190" t="s">
        <v>442</v>
      </c>
      <c r="C95" s="378"/>
      <c r="D95" s="182"/>
      <c r="E95" s="182"/>
      <c r="F95" s="182"/>
      <c r="G95" s="182">
        <v>747</v>
      </c>
      <c r="H95" s="182"/>
      <c r="I95" s="182"/>
      <c r="J95" s="182"/>
      <c r="K95" s="505"/>
      <c r="L95" s="182"/>
      <c r="M95" s="182"/>
      <c r="N95" s="182">
        <v>224</v>
      </c>
      <c r="O95" s="182"/>
      <c r="P95" s="182">
        <v>22</v>
      </c>
      <c r="Q95" s="182"/>
      <c r="R95" s="182"/>
      <c r="S95" s="182"/>
      <c r="T95" s="182"/>
      <c r="U95" s="182"/>
      <c r="V95" s="182"/>
      <c r="W95" s="182"/>
      <c r="X95" s="182"/>
      <c r="Y95" s="182"/>
      <c r="Z95" s="182"/>
      <c r="AA95" s="182"/>
      <c r="AB95" s="182"/>
      <c r="AC95" s="182"/>
      <c r="AD95" s="182"/>
      <c r="AE95" s="182"/>
      <c r="AF95" s="182"/>
      <c r="AG95" s="182"/>
      <c r="AH95" s="182"/>
      <c r="AI95" s="182"/>
      <c r="AJ95" s="182"/>
      <c r="AK95" s="182"/>
      <c r="AL95" s="182"/>
      <c r="AM95" s="182"/>
      <c r="AN95" s="182">
        <v>7</v>
      </c>
      <c r="AO95" s="182"/>
      <c r="AP95" s="182"/>
      <c r="AQ95" s="182"/>
      <c r="AR95" s="182"/>
      <c r="AS95" s="182"/>
      <c r="AT95" s="182"/>
      <c r="AU95" s="182"/>
      <c r="AV95" s="182"/>
      <c r="AW95" s="182"/>
      <c r="AX95" s="182"/>
      <c r="AY95" s="182"/>
      <c r="AZ95" s="182"/>
      <c r="BA95" s="182"/>
      <c r="BB95" s="182"/>
      <c r="BC95" s="182"/>
      <c r="BD95" s="182"/>
      <c r="BE95" s="182"/>
      <c r="BF95" s="182"/>
      <c r="BG95" s="196">
        <f t="shared" si="23"/>
        <v>0.54518896754408719</v>
      </c>
      <c r="BH95" s="196">
        <f t="shared" si="24"/>
        <v>0.8957617203154129</v>
      </c>
      <c r="BI95" s="192">
        <v>1725</v>
      </c>
      <c r="BJ95" s="42">
        <f t="shared" si="25"/>
        <v>2.8524749630279671</v>
      </c>
      <c r="BK95" s="180" t="s">
        <v>13</v>
      </c>
      <c r="BL95" s="38">
        <v>30</v>
      </c>
      <c r="BM95" s="38"/>
      <c r="BN95" s="38">
        <v>0</v>
      </c>
      <c r="BO95" s="507">
        <f t="shared" si="21"/>
        <v>1000</v>
      </c>
      <c r="BP95" s="187">
        <v>1.33</v>
      </c>
      <c r="BR95" s="196">
        <f t="shared" si="19"/>
        <v>0.35057275277132566</v>
      </c>
      <c r="BS95" s="193">
        <f t="shared" si="20"/>
        <v>0.72500000000000009</v>
      </c>
      <c r="BT95" s="535">
        <f t="shared" si="22"/>
        <v>89</v>
      </c>
      <c r="BV95" s="176"/>
    </row>
    <row r="96" spans="1:74" x14ac:dyDescent="0.25">
      <c r="A96" s="188" t="s">
        <v>75</v>
      </c>
      <c r="B96" s="188" t="s">
        <v>75</v>
      </c>
      <c r="C96" s="378"/>
      <c r="D96" s="182"/>
      <c r="E96" s="182">
        <v>200</v>
      </c>
      <c r="F96" s="182"/>
      <c r="G96" s="182"/>
      <c r="H96" s="182"/>
      <c r="I96" s="182"/>
      <c r="J96" s="182"/>
      <c r="K96" s="505"/>
      <c r="L96" s="182"/>
      <c r="M96" s="182"/>
      <c r="N96" s="182"/>
      <c r="O96" s="182"/>
      <c r="P96" s="182">
        <v>800</v>
      </c>
      <c r="Q96" s="182"/>
      <c r="R96" s="182"/>
      <c r="S96" s="182"/>
      <c r="T96" s="182"/>
      <c r="U96" s="182"/>
      <c r="V96" s="182"/>
      <c r="W96" s="182"/>
      <c r="X96" s="182"/>
      <c r="Y96" s="182"/>
      <c r="Z96" s="182"/>
      <c r="AA96" s="182"/>
      <c r="AB96" s="182"/>
      <c r="AC96" s="182"/>
      <c r="AD96" s="182"/>
      <c r="AE96" s="182"/>
      <c r="AF96" s="182"/>
      <c r="AG96" s="182"/>
      <c r="AH96" s="182"/>
      <c r="AI96" s="182"/>
      <c r="AJ96" s="182"/>
      <c r="AK96" s="182"/>
      <c r="AL96" s="182"/>
      <c r="AM96" s="182"/>
      <c r="AN96" s="182"/>
      <c r="AO96" s="182"/>
      <c r="AP96" s="182"/>
      <c r="AQ96" s="182"/>
      <c r="AR96" s="182"/>
      <c r="AS96" s="182"/>
      <c r="AT96" s="182"/>
      <c r="AU96" s="182"/>
      <c r="AV96" s="182"/>
      <c r="AW96" s="182"/>
      <c r="AX96" s="182"/>
      <c r="AY96" s="182"/>
      <c r="AZ96" s="182"/>
      <c r="BA96" s="182"/>
      <c r="BB96" s="182"/>
      <c r="BC96" s="182"/>
      <c r="BD96" s="182"/>
      <c r="BE96" s="182"/>
      <c r="BF96" s="182"/>
      <c r="BG96" s="196">
        <f t="shared" si="23"/>
        <v>0.5289588286670871</v>
      </c>
      <c r="BH96" s="196">
        <f t="shared" si="24"/>
        <v>0.87871197049832594</v>
      </c>
      <c r="BI96" s="192">
        <v>1740</v>
      </c>
      <c r="BJ96" s="42">
        <f t="shared" si="25"/>
        <v>2.8591594481873592</v>
      </c>
      <c r="BK96" s="180" t="s">
        <v>13</v>
      </c>
      <c r="BL96" s="38">
        <v>30</v>
      </c>
      <c r="BM96" s="38"/>
      <c r="BN96" s="38">
        <v>0</v>
      </c>
      <c r="BO96" s="507">
        <f t="shared" si="21"/>
        <v>1000</v>
      </c>
      <c r="BP96" s="187">
        <v>1.25</v>
      </c>
      <c r="BR96" s="196">
        <f t="shared" si="19"/>
        <v>0.34975314183123879</v>
      </c>
      <c r="BS96" s="193">
        <f t="shared" si="20"/>
        <v>0.74</v>
      </c>
      <c r="BT96" s="535">
        <f t="shared" si="22"/>
        <v>90</v>
      </c>
      <c r="BV96" s="176"/>
    </row>
    <row r="97" spans="1:74" s="77" customFormat="1" x14ac:dyDescent="0.25">
      <c r="A97" s="188" t="s">
        <v>76</v>
      </c>
      <c r="B97" s="188" t="s">
        <v>76</v>
      </c>
      <c r="C97" s="378"/>
      <c r="D97" s="182"/>
      <c r="E97" s="182"/>
      <c r="F97" s="182"/>
      <c r="G97" s="182"/>
      <c r="H97" s="182">
        <v>1000</v>
      </c>
      <c r="I97" s="182"/>
      <c r="J97" s="182"/>
      <c r="K97" s="505"/>
      <c r="L97" s="182"/>
      <c r="M97" s="182"/>
      <c r="N97" s="182"/>
      <c r="O97" s="182"/>
      <c r="P97" s="182"/>
      <c r="Q97" s="182"/>
      <c r="R97" s="182"/>
      <c r="S97" s="182"/>
      <c r="T97" s="182"/>
      <c r="U97" s="182"/>
      <c r="V97" s="182"/>
      <c r="W97" s="182"/>
      <c r="X97" s="182"/>
      <c r="Y97" s="182"/>
      <c r="Z97" s="182"/>
      <c r="AA97" s="182"/>
      <c r="AB97" s="182"/>
      <c r="AC97" s="182"/>
      <c r="AD97" s="182"/>
      <c r="AE97" s="182"/>
      <c r="AF97" s="182"/>
      <c r="AG97" s="182"/>
      <c r="AH97" s="182"/>
      <c r="AI97" s="182"/>
      <c r="AJ97" s="182"/>
      <c r="AK97" s="182"/>
      <c r="AL97" s="182"/>
      <c r="AM97" s="182"/>
      <c r="AN97" s="182"/>
      <c r="AO97" s="182"/>
      <c r="AP97" s="182"/>
      <c r="AQ97" s="182"/>
      <c r="AR97" s="182"/>
      <c r="AS97" s="182"/>
      <c r="AT97" s="182"/>
      <c r="AU97" s="182"/>
      <c r="AV97" s="182"/>
      <c r="AW97" s="182"/>
      <c r="AX97" s="182"/>
      <c r="AY97" s="182"/>
      <c r="AZ97" s="182"/>
      <c r="BA97" s="182"/>
      <c r="BB97" s="182"/>
      <c r="BC97" s="182"/>
      <c r="BD97" s="182"/>
      <c r="BE97" s="182"/>
      <c r="BF97" s="182"/>
      <c r="BG97" s="196">
        <f t="shared" si="23"/>
        <v>0.69371560220145911</v>
      </c>
      <c r="BH97" s="196">
        <f t="shared" si="24"/>
        <v>1.0264943043645207</v>
      </c>
      <c r="BI97" s="192">
        <v>1650</v>
      </c>
      <c r="BJ97" s="42">
        <f t="shared" si="25"/>
        <v>3.0049999999999994</v>
      </c>
      <c r="BK97" s="180" t="s">
        <v>18</v>
      </c>
      <c r="BL97" s="172">
        <v>30</v>
      </c>
      <c r="BM97" s="172"/>
      <c r="BN97" s="172">
        <v>0</v>
      </c>
      <c r="BO97" s="507">
        <f t="shared" si="21"/>
        <v>1000</v>
      </c>
      <c r="BP97" s="187">
        <v>1.01</v>
      </c>
      <c r="BR97" s="196">
        <f t="shared" si="19"/>
        <v>0.3327787021630616</v>
      </c>
      <c r="BS97" s="193">
        <f t="shared" si="20"/>
        <v>0.64999999999999991</v>
      </c>
      <c r="BT97" s="535">
        <f t="shared" si="22"/>
        <v>91</v>
      </c>
      <c r="BV97" s="176"/>
    </row>
    <row r="98" spans="1:74" x14ac:dyDescent="0.25">
      <c r="A98" s="191" t="s">
        <v>77</v>
      </c>
      <c r="B98" s="191" t="s">
        <v>77</v>
      </c>
      <c r="C98" s="378"/>
      <c r="D98" s="182"/>
      <c r="E98" s="182"/>
      <c r="F98" s="182"/>
      <c r="G98" s="182"/>
      <c r="H98" s="182"/>
      <c r="I98" s="182"/>
      <c r="J98" s="182"/>
      <c r="K98" s="505"/>
      <c r="L98" s="182"/>
      <c r="M98" s="182"/>
      <c r="N98" s="182"/>
      <c r="O98" s="182"/>
      <c r="P98" s="182"/>
      <c r="Q98" s="182"/>
      <c r="R98" s="182"/>
      <c r="S98" s="182"/>
      <c r="T98" s="182"/>
      <c r="U98" s="182"/>
      <c r="V98" s="182"/>
      <c r="W98" s="182"/>
      <c r="X98" s="182"/>
      <c r="Y98" s="182"/>
      <c r="Z98" s="182"/>
      <c r="AA98" s="182"/>
      <c r="AB98" s="182"/>
      <c r="AC98" s="182"/>
      <c r="AD98" s="182"/>
      <c r="AE98" s="182"/>
      <c r="AF98" s="182"/>
      <c r="AG98" s="182"/>
      <c r="AH98" s="182"/>
      <c r="AI98" s="182">
        <v>200</v>
      </c>
      <c r="AJ98" s="182"/>
      <c r="AK98" s="182"/>
      <c r="AL98" s="182"/>
      <c r="AM98" s="182"/>
      <c r="AN98" s="182"/>
      <c r="AO98" s="182"/>
      <c r="AP98" s="182">
        <v>800</v>
      </c>
      <c r="AQ98" s="182"/>
      <c r="AR98" s="182"/>
      <c r="AS98" s="182"/>
      <c r="AT98" s="182"/>
      <c r="AU98" s="182"/>
      <c r="AV98" s="182"/>
      <c r="AW98" s="182"/>
      <c r="AX98" s="182"/>
      <c r="AY98" s="182"/>
      <c r="AZ98" s="182"/>
      <c r="BA98" s="182"/>
      <c r="BB98" s="182"/>
      <c r="BC98" s="182"/>
      <c r="BD98" s="182"/>
      <c r="BE98" s="182"/>
      <c r="BF98" s="182"/>
      <c r="BG98" s="196">
        <f t="shared" si="23"/>
        <v>0.95292716691983692</v>
      </c>
      <c r="BH98" s="196">
        <f t="shared" si="24"/>
        <v>1.3019514446132245</v>
      </c>
      <c r="BI98" s="192">
        <v>1500</v>
      </c>
      <c r="BJ98" s="42">
        <f t="shared" si="25"/>
        <v>2.8651302041472437</v>
      </c>
      <c r="BK98" s="180" t="s">
        <v>18</v>
      </c>
      <c r="BL98" s="38">
        <v>30</v>
      </c>
      <c r="BM98" s="38"/>
      <c r="BN98" s="38">
        <v>0</v>
      </c>
      <c r="BO98" s="507">
        <f t="shared" si="21"/>
        <v>1000</v>
      </c>
      <c r="BP98" s="187">
        <v>0.72</v>
      </c>
      <c r="BR98" s="196">
        <f t="shared" si="19"/>
        <v>0.34902427769338767</v>
      </c>
      <c r="BS98" s="193">
        <f t="shared" si="20"/>
        <v>0.5</v>
      </c>
      <c r="BT98" s="535">
        <f t="shared" si="22"/>
        <v>92</v>
      </c>
      <c r="BV98" s="176"/>
    </row>
    <row r="99" spans="1:74" x14ac:dyDescent="0.25">
      <c r="A99" s="191" t="s">
        <v>443</v>
      </c>
      <c r="B99" s="191" t="s">
        <v>443</v>
      </c>
      <c r="C99" s="378">
        <v>667</v>
      </c>
      <c r="D99" s="182"/>
      <c r="E99" s="182"/>
      <c r="F99" s="182"/>
      <c r="G99" s="182"/>
      <c r="H99" s="182"/>
      <c r="I99" s="182"/>
      <c r="J99" s="182"/>
      <c r="K99" s="505"/>
      <c r="L99" s="182"/>
      <c r="M99" s="182"/>
      <c r="N99" s="182">
        <v>267</v>
      </c>
      <c r="O99" s="182"/>
      <c r="P99" s="182"/>
      <c r="Q99" s="182"/>
      <c r="R99" s="182"/>
      <c r="S99" s="182">
        <v>66</v>
      </c>
      <c r="T99" s="182"/>
      <c r="U99" s="182"/>
      <c r="V99" s="182"/>
      <c r="W99" s="182"/>
      <c r="X99" s="182"/>
      <c r="Y99" s="182"/>
      <c r="Z99" s="182"/>
      <c r="AA99" s="182"/>
      <c r="AB99" s="182"/>
      <c r="AC99" s="182"/>
      <c r="AD99" s="182"/>
      <c r="AE99" s="182"/>
      <c r="AF99" s="182"/>
      <c r="AG99" s="182"/>
      <c r="AH99" s="182"/>
      <c r="AI99" s="182"/>
      <c r="AJ99" s="182"/>
      <c r="AK99" s="182"/>
      <c r="AL99" s="182"/>
      <c r="AM99" s="182"/>
      <c r="AN99" s="182"/>
      <c r="AO99" s="182"/>
      <c r="AP99" s="182"/>
      <c r="AQ99" s="182"/>
      <c r="AR99" s="182"/>
      <c r="AS99" s="182"/>
      <c r="AT99" s="182"/>
      <c r="AU99" s="182"/>
      <c r="AV99" s="182"/>
      <c r="AW99" s="182"/>
      <c r="AX99" s="182"/>
      <c r="AY99" s="182"/>
      <c r="AZ99" s="182"/>
      <c r="BA99" s="182"/>
      <c r="BB99" s="182"/>
      <c r="BC99" s="182"/>
      <c r="BD99" s="182"/>
      <c r="BE99" s="182"/>
      <c r="BF99" s="182"/>
      <c r="BG99" s="196">
        <f t="shared" si="23"/>
        <v>0.46772816705896547</v>
      </c>
      <c r="BH99" s="196">
        <f t="shared" si="24"/>
        <v>0.90321733357474798</v>
      </c>
      <c r="BI99" s="192">
        <v>1625</v>
      </c>
      <c r="BJ99" s="42">
        <f t="shared" si="25"/>
        <v>2.2962683733345157</v>
      </c>
      <c r="BK99" s="180" t="s">
        <v>13</v>
      </c>
      <c r="BL99" s="38">
        <v>40</v>
      </c>
      <c r="BM99" s="38"/>
      <c r="BN99" s="38">
        <v>0</v>
      </c>
      <c r="BO99" s="507">
        <f t="shared" si="21"/>
        <v>1000</v>
      </c>
      <c r="BP99" s="187">
        <v>1.1000000000000001</v>
      </c>
      <c r="BR99" s="196">
        <f t="shared" si="19"/>
        <v>0.43548916651578251</v>
      </c>
      <c r="BS99" s="193">
        <f t="shared" si="20"/>
        <v>0.625</v>
      </c>
      <c r="BT99" s="535">
        <f t="shared" si="22"/>
        <v>93</v>
      </c>
      <c r="BV99" s="176"/>
    </row>
    <row r="100" spans="1:74" s="77" customFormat="1" x14ac:dyDescent="0.25">
      <c r="A100" s="190" t="s">
        <v>78</v>
      </c>
      <c r="B100" s="190" t="s">
        <v>78</v>
      </c>
      <c r="C100" s="378"/>
      <c r="D100" s="182"/>
      <c r="E100" s="182"/>
      <c r="F100" s="182"/>
      <c r="G100" s="182">
        <v>1000</v>
      </c>
      <c r="H100" s="182"/>
      <c r="I100" s="182"/>
      <c r="J100" s="182"/>
      <c r="K100" s="505"/>
      <c r="L100" s="182"/>
      <c r="M100" s="182"/>
      <c r="N100" s="182"/>
      <c r="O100" s="182"/>
      <c r="P100" s="182"/>
      <c r="Q100" s="182"/>
      <c r="R100" s="182"/>
      <c r="S100" s="182"/>
      <c r="T100" s="182"/>
      <c r="U100" s="182"/>
      <c r="V100" s="182"/>
      <c r="W100" s="182"/>
      <c r="X100" s="182"/>
      <c r="Y100" s="182"/>
      <c r="Z100" s="182"/>
      <c r="AA100" s="182"/>
      <c r="AB100" s="182"/>
      <c r="AC100" s="182"/>
      <c r="AD100" s="182"/>
      <c r="AE100" s="182"/>
      <c r="AF100" s="182"/>
      <c r="AG100" s="182"/>
      <c r="AH100" s="182"/>
      <c r="AI100" s="182"/>
      <c r="AJ100" s="182"/>
      <c r="AK100" s="182"/>
      <c r="AL100" s="182"/>
      <c r="AM100" s="182"/>
      <c r="AN100" s="182"/>
      <c r="AO100" s="182"/>
      <c r="AP100" s="182"/>
      <c r="AQ100" s="182"/>
      <c r="AR100" s="182"/>
      <c r="AS100" s="182"/>
      <c r="AT100" s="182"/>
      <c r="AU100" s="182"/>
      <c r="AV100" s="182"/>
      <c r="AW100" s="182"/>
      <c r="AX100" s="182"/>
      <c r="AY100" s="182"/>
      <c r="AZ100" s="182"/>
      <c r="BA100" s="182"/>
      <c r="BB100" s="182"/>
      <c r="BC100" s="182"/>
      <c r="BD100" s="182"/>
      <c r="BE100" s="182"/>
      <c r="BF100" s="182"/>
      <c r="BG100" s="196">
        <f t="shared" si="23"/>
        <v>0.53615761302812903</v>
      </c>
      <c r="BH100" s="196">
        <f t="shared" si="24"/>
        <v>0.87780435030178805</v>
      </c>
      <c r="BI100" s="192">
        <v>1750</v>
      </c>
      <c r="BJ100" s="42">
        <f t="shared" si="25"/>
        <v>2.927</v>
      </c>
      <c r="BK100" s="180" t="s">
        <v>18</v>
      </c>
      <c r="BL100" s="172">
        <v>31</v>
      </c>
      <c r="BM100" s="172"/>
      <c r="BN100" s="172">
        <v>0</v>
      </c>
      <c r="BO100" s="507">
        <f t="shared" si="21"/>
        <v>1000</v>
      </c>
      <c r="BP100" s="187">
        <v>1.41</v>
      </c>
      <c r="BR100" s="196">
        <f t="shared" si="19"/>
        <v>0.34164673727365902</v>
      </c>
      <c r="BS100" s="193">
        <f t="shared" si="20"/>
        <v>0.75</v>
      </c>
      <c r="BT100" s="535">
        <f t="shared" si="22"/>
        <v>94</v>
      </c>
      <c r="BV100" s="176"/>
    </row>
    <row r="101" spans="1:74" s="77" customFormat="1" x14ac:dyDescent="0.25">
      <c r="A101" s="188" t="s">
        <v>79</v>
      </c>
      <c r="B101" s="188" t="s">
        <v>79</v>
      </c>
      <c r="C101" s="378"/>
      <c r="D101" s="182">
        <v>533</v>
      </c>
      <c r="E101" s="182"/>
      <c r="F101" s="182"/>
      <c r="G101" s="182"/>
      <c r="H101" s="182"/>
      <c r="I101" s="182">
        <v>327</v>
      </c>
      <c r="J101" s="182"/>
      <c r="K101" s="505"/>
      <c r="L101" s="182"/>
      <c r="M101" s="182"/>
      <c r="N101" s="182"/>
      <c r="O101" s="182">
        <v>17</v>
      </c>
      <c r="P101" s="182"/>
      <c r="Q101" s="182"/>
      <c r="R101" s="182"/>
      <c r="S101" s="182">
        <v>123</v>
      </c>
      <c r="T101" s="182"/>
      <c r="U101" s="182"/>
      <c r="V101" s="182"/>
      <c r="W101" s="182"/>
      <c r="X101" s="182"/>
      <c r="Y101" s="182"/>
      <c r="Z101" s="182"/>
      <c r="AA101" s="182"/>
      <c r="AB101" s="182"/>
      <c r="AC101" s="182"/>
      <c r="AD101" s="182"/>
      <c r="AE101" s="182"/>
      <c r="AF101" s="182"/>
      <c r="AG101" s="182"/>
      <c r="AH101" s="182"/>
      <c r="AI101" s="182"/>
      <c r="AJ101" s="182"/>
      <c r="AK101" s="182"/>
      <c r="AL101" s="182"/>
      <c r="AM101" s="182"/>
      <c r="AN101" s="182"/>
      <c r="AO101" s="182"/>
      <c r="AP101" s="182"/>
      <c r="AQ101" s="182"/>
      <c r="AR101" s="182"/>
      <c r="AS101" s="182"/>
      <c r="AT101" s="182"/>
      <c r="AU101" s="182"/>
      <c r="AV101" s="182"/>
      <c r="AW101" s="182"/>
      <c r="AX101" s="182"/>
      <c r="AY101" s="182"/>
      <c r="AZ101" s="182"/>
      <c r="BA101" s="182"/>
      <c r="BB101" s="182"/>
      <c r="BC101" s="182"/>
      <c r="BD101" s="182"/>
      <c r="BE101" s="182"/>
      <c r="BF101" s="182"/>
      <c r="BG101" s="196">
        <f t="shared" si="23"/>
        <v>0.89286946494656971</v>
      </c>
      <c r="BH101" s="196">
        <f t="shared" si="24"/>
        <v>1.4560534345742844</v>
      </c>
      <c r="BI101" s="192">
        <v>1300</v>
      </c>
      <c r="BJ101" s="42">
        <f t="shared" si="25"/>
        <v>1.7756187212875338</v>
      </c>
      <c r="BK101" s="180" t="s">
        <v>18</v>
      </c>
      <c r="BL101" s="172">
        <v>42</v>
      </c>
      <c r="BM101" s="172"/>
      <c r="BN101" s="172">
        <v>0</v>
      </c>
      <c r="BO101" s="507">
        <f t="shared" si="21"/>
        <v>1000</v>
      </c>
      <c r="BP101" s="187">
        <v>0.93479999999999996</v>
      </c>
      <c r="BR101" s="196">
        <f t="shared" si="19"/>
        <v>0.56318396962771466</v>
      </c>
      <c r="BS101" s="193">
        <f t="shared" si="20"/>
        <v>0.30000000000000004</v>
      </c>
      <c r="BT101" s="535">
        <f t="shared" si="22"/>
        <v>95</v>
      </c>
      <c r="BV101" s="176"/>
    </row>
    <row r="102" spans="1:74" x14ac:dyDescent="0.25">
      <c r="A102" s="183" t="s">
        <v>80</v>
      </c>
      <c r="B102" s="188" t="s">
        <v>80</v>
      </c>
      <c r="C102" s="181"/>
      <c r="D102" s="182">
        <v>559</v>
      </c>
      <c r="E102" s="182"/>
      <c r="F102" s="182"/>
      <c r="G102" s="182"/>
      <c r="H102" s="182"/>
      <c r="I102" s="182">
        <v>343</v>
      </c>
      <c r="J102" s="182"/>
      <c r="K102" s="505"/>
      <c r="L102" s="182"/>
      <c r="M102" s="182"/>
      <c r="N102" s="182"/>
      <c r="O102" s="182">
        <v>18</v>
      </c>
      <c r="P102" s="182"/>
      <c r="Q102" s="182"/>
      <c r="R102" s="182"/>
      <c r="S102" s="182"/>
      <c r="T102" s="182"/>
      <c r="U102" s="182">
        <v>80</v>
      </c>
      <c r="V102" s="182"/>
      <c r="W102" s="182"/>
      <c r="X102" s="182"/>
      <c r="Y102" s="182"/>
      <c r="Z102" s="182"/>
      <c r="AA102" s="182"/>
      <c r="AB102" s="182"/>
      <c r="AC102" s="182"/>
      <c r="AD102" s="182"/>
      <c r="AE102" s="182"/>
      <c r="AF102" s="182"/>
      <c r="AG102" s="182"/>
      <c r="AH102" s="182"/>
      <c r="AI102" s="182"/>
      <c r="AJ102" s="182"/>
      <c r="AK102" s="182"/>
      <c r="AL102" s="182"/>
      <c r="AM102" s="182"/>
      <c r="AN102" s="182"/>
      <c r="AO102" s="182"/>
      <c r="AP102" s="182"/>
      <c r="AQ102" s="182"/>
      <c r="AR102" s="182"/>
      <c r="AS102" s="182"/>
      <c r="AT102" s="182"/>
      <c r="AU102" s="182"/>
      <c r="AV102" s="182"/>
      <c r="AW102" s="182"/>
      <c r="AX102" s="182"/>
      <c r="AY102" s="182"/>
      <c r="AZ102" s="182"/>
      <c r="BA102" s="182"/>
      <c r="BB102" s="182"/>
      <c r="BC102" s="182"/>
      <c r="BD102" s="182"/>
      <c r="BE102" s="182"/>
      <c r="BF102" s="182"/>
      <c r="BG102" s="196">
        <f t="shared" si="23"/>
        <v>0.89633277178434267</v>
      </c>
      <c r="BH102" s="196">
        <f t="shared" si="24"/>
        <v>1.4587175167571866</v>
      </c>
      <c r="BI102" s="192">
        <v>1300</v>
      </c>
      <c r="BJ102" s="42">
        <f t="shared" si="25"/>
        <v>1.7781421152316059</v>
      </c>
      <c r="BK102" s="180" t="s">
        <v>18</v>
      </c>
      <c r="BL102" s="23" t="s">
        <v>54</v>
      </c>
      <c r="BM102" s="38"/>
      <c r="BN102" s="38">
        <v>0</v>
      </c>
      <c r="BO102" s="507">
        <f t="shared" si="21"/>
        <v>1000</v>
      </c>
      <c r="BP102" s="187">
        <v>0.89559999999999995</v>
      </c>
      <c r="BR102" s="196">
        <f t="shared" si="19"/>
        <v>0.56238474497284396</v>
      </c>
      <c r="BS102" s="193">
        <f t="shared" si="20"/>
        <v>0.30000000000000004</v>
      </c>
      <c r="BT102" s="535">
        <f t="shared" si="22"/>
        <v>96</v>
      </c>
      <c r="BV102" s="176"/>
    </row>
    <row r="103" spans="1:74" x14ac:dyDescent="0.25">
      <c r="A103" s="189" t="s">
        <v>81</v>
      </c>
      <c r="B103" s="189" t="s">
        <v>81</v>
      </c>
      <c r="C103" s="534"/>
      <c r="D103" s="182">
        <v>552</v>
      </c>
      <c r="E103" s="182"/>
      <c r="F103" s="182"/>
      <c r="G103" s="182"/>
      <c r="H103" s="182"/>
      <c r="I103" s="182"/>
      <c r="J103" s="182"/>
      <c r="K103" s="505">
        <v>238</v>
      </c>
      <c r="L103" s="182"/>
      <c r="M103" s="182"/>
      <c r="N103" s="182"/>
      <c r="O103" s="182"/>
      <c r="P103" s="182"/>
      <c r="Q103" s="182"/>
      <c r="R103" s="182"/>
      <c r="S103" s="182">
        <v>210</v>
      </c>
      <c r="T103" s="182"/>
      <c r="U103" s="182"/>
      <c r="V103" s="182"/>
      <c r="W103" s="182"/>
      <c r="X103" s="182"/>
      <c r="Y103" s="182"/>
      <c r="Z103" s="182"/>
      <c r="AA103" s="182"/>
      <c r="AB103" s="182"/>
      <c r="AC103" s="182"/>
      <c r="AD103" s="182"/>
      <c r="AE103" s="182"/>
      <c r="AF103" s="182"/>
      <c r="AG103" s="182"/>
      <c r="AH103" s="182"/>
      <c r="AI103" s="182"/>
      <c r="AJ103" s="182"/>
      <c r="AK103" s="182"/>
      <c r="AL103" s="182"/>
      <c r="AM103" s="182"/>
      <c r="AN103" s="182"/>
      <c r="AO103" s="182"/>
      <c r="AP103" s="182"/>
      <c r="AQ103" s="182"/>
      <c r="AR103" s="182"/>
      <c r="AS103" s="182"/>
      <c r="AT103" s="182"/>
      <c r="AU103" s="182"/>
      <c r="AV103" s="182"/>
      <c r="AW103" s="182"/>
      <c r="AX103" s="182"/>
      <c r="AY103" s="182"/>
      <c r="AZ103" s="182"/>
      <c r="BA103" s="182"/>
      <c r="BB103" s="182"/>
      <c r="BC103" s="182"/>
      <c r="BD103" s="182"/>
      <c r="BE103" s="182"/>
      <c r="BF103" s="182"/>
      <c r="BG103" s="196">
        <f t="shared" si="23"/>
        <v>2.1600793650793659</v>
      </c>
      <c r="BH103" s="196">
        <f t="shared" si="24"/>
        <v>2.7242063492063502</v>
      </c>
      <c r="BI103" s="192">
        <v>1160</v>
      </c>
      <c r="BJ103" s="42">
        <f t="shared" si="25"/>
        <v>1.772650534608891</v>
      </c>
      <c r="BK103" s="180" t="s">
        <v>18</v>
      </c>
      <c r="BL103" s="534">
        <v>31</v>
      </c>
      <c r="BM103" s="38"/>
      <c r="BN103" s="38">
        <v>0</v>
      </c>
      <c r="BO103" s="507">
        <f t="shared" si="21"/>
        <v>1000</v>
      </c>
      <c r="BP103" s="187">
        <v>0.74490000000000001</v>
      </c>
      <c r="BR103" s="196">
        <f t="shared" ref="BR103:BR130" si="26">((C103*C$5+D103*D$5+E103*E$5+F103*F$5+G103*G$5+H103*H$5+I103*I$5+J103*J$5+L103*L$5+M103*M$5+N103*N$5+O103*O$5+P103*P$5+Q103*Q$5+R103*R$5+S103*S$5+T103*T$5+U103*U$5+V103*V$5+W103*W$5+X103*X$5+Y103*Y$5+Z103*Z$5+AA103*AA$5+AB103*AB$5+AC103*AC$5+AD103*AD$5+AE103*AE$5+AF103*AF$5+AG103*AG$5+AH103*AH$5+AI103*AI$5+AJ103*AJ$5+AK103*AK$5+AL103*AL$5+AM103*AM$5+AN103*AN$5+AO103*AO$5+AP103*AP$5+AQ103*AQ$5+AR103*AR$5+AS103*AS$5+AT103*AT$5+AU103*AU$5+AV103*AV$5+AW103*AW$5+AX103*AX$5+AY103*AY$5+AZ103*AZ$5+BA103*BA$5+BB103*BB$5+BC103*BC$5+BD103*BD$5+BE103*BE$5+BF103*BF$5)/1000)</f>
        <v>0.56412698412698414</v>
      </c>
      <c r="BS103" s="193">
        <f t="shared" ref="BS103:BS130" si="27">BI103/1000-1</f>
        <v>0.15999999999999992</v>
      </c>
      <c r="BT103" s="535">
        <f t="shared" si="22"/>
        <v>97</v>
      </c>
      <c r="BV103" s="176"/>
    </row>
    <row r="104" spans="1:74" x14ac:dyDescent="0.25">
      <c r="A104" s="189" t="s">
        <v>82</v>
      </c>
      <c r="B104" s="189" t="s">
        <v>82</v>
      </c>
      <c r="C104" s="534"/>
      <c r="D104" s="182">
        <v>601</v>
      </c>
      <c r="E104" s="182"/>
      <c r="F104" s="182"/>
      <c r="G104" s="182"/>
      <c r="H104" s="182"/>
      <c r="I104" s="182"/>
      <c r="J104" s="182"/>
      <c r="K104" s="505">
        <v>260</v>
      </c>
      <c r="L104" s="182"/>
      <c r="M104" s="182"/>
      <c r="N104" s="182"/>
      <c r="O104" s="182"/>
      <c r="P104" s="182"/>
      <c r="Q104" s="182"/>
      <c r="R104" s="182"/>
      <c r="S104" s="182"/>
      <c r="T104" s="182"/>
      <c r="U104" s="182">
        <v>139</v>
      </c>
      <c r="V104" s="182"/>
      <c r="W104" s="182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  <c r="AI104" s="182"/>
      <c r="AJ104" s="182"/>
      <c r="AK104" s="182"/>
      <c r="AL104" s="182"/>
      <c r="AM104" s="182"/>
      <c r="AN104" s="182"/>
      <c r="AO104" s="182"/>
      <c r="AP104" s="182"/>
      <c r="AQ104" s="182"/>
      <c r="AR104" s="182"/>
      <c r="AS104" s="182"/>
      <c r="AT104" s="182"/>
      <c r="AU104" s="182"/>
      <c r="AV104" s="182"/>
      <c r="AW104" s="182"/>
      <c r="AX104" s="182"/>
      <c r="AY104" s="182"/>
      <c r="AZ104" s="182"/>
      <c r="BA104" s="182"/>
      <c r="BB104" s="182"/>
      <c r="BC104" s="182"/>
      <c r="BD104" s="182"/>
      <c r="BE104" s="182"/>
      <c r="BF104" s="182"/>
      <c r="BG104" s="196">
        <f t="shared" si="23"/>
        <v>2.2147723475355061</v>
      </c>
      <c r="BH104" s="196">
        <f t="shared" si="24"/>
        <v>2.7713554720133677</v>
      </c>
      <c r="BI104" s="192">
        <v>1160</v>
      </c>
      <c r="BJ104" s="42">
        <f t="shared" si="25"/>
        <v>1.7966768233192731</v>
      </c>
      <c r="BK104" s="180" t="s">
        <v>13</v>
      </c>
      <c r="BL104" s="534">
        <v>42</v>
      </c>
      <c r="BM104" s="38"/>
      <c r="BN104" s="38">
        <v>0</v>
      </c>
      <c r="BO104" s="507">
        <f t="shared" ref="BO104:BO130" si="28">SUM(C104:BF104)</f>
        <v>1000</v>
      </c>
      <c r="BP104" s="187">
        <v>0.74960000000000004</v>
      </c>
      <c r="BR104" s="196">
        <f t="shared" si="26"/>
        <v>0.5565831244778614</v>
      </c>
      <c r="BS104" s="193">
        <f t="shared" si="27"/>
        <v>0.15999999999999992</v>
      </c>
      <c r="BT104" s="535">
        <f t="shared" si="22"/>
        <v>98</v>
      </c>
      <c r="BV104" s="176"/>
    </row>
    <row r="105" spans="1:74" x14ac:dyDescent="0.25">
      <c r="A105" s="189" t="s">
        <v>365</v>
      </c>
      <c r="B105" s="189" t="s">
        <v>365</v>
      </c>
      <c r="C105" s="534"/>
      <c r="D105" s="182">
        <v>520</v>
      </c>
      <c r="E105" s="182"/>
      <c r="F105" s="182"/>
      <c r="G105" s="182"/>
      <c r="H105" s="182"/>
      <c r="I105" s="182">
        <v>175</v>
      </c>
      <c r="J105" s="182"/>
      <c r="K105" s="505">
        <v>75</v>
      </c>
      <c r="L105" s="182"/>
      <c r="M105" s="182"/>
      <c r="N105" s="182"/>
      <c r="O105" s="182"/>
      <c r="P105" s="182"/>
      <c r="Q105" s="182"/>
      <c r="R105" s="182"/>
      <c r="S105" s="182">
        <v>230</v>
      </c>
      <c r="T105" s="182"/>
      <c r="U105" s="182"/>
      <c r="V105" s="182"/>
      <c r="W105" s="182"/>
      <c r="X105" s="182"/>
      <c r="Y105" s="182"/>
      <c r="Z105" s="182"/>
      <c r="AA105" s="182"/>
      <c r="AB105" s="182"/>
      <c r="AC105" s="182"/>
      <c r="AD105" s="182"/>
      <c r="AE105" s="182"/>
      <c r="AF105" s="182"/>
      <c r="AG105" s="182"/>
      <c r="AH105" s="182"/>
      <c r="AI105" s="182"/>
      <c r="AJ105" s="182"/>
      <c r="AK105" s="182"/>
      <c r="AL105" s="182"/>
      <c r="AM105" s="182"/>
      <c r="AN105" s="182"/>
      <c r="AO105" s="182"/>
      <c r="AP105" s="182"/>
      <c r="AQ105" s="182"/>
      <c r="AR105" s="182"/>
      <c r="AS105" s="182"/>
      <c r="AT105" s="182"/>
      <c r="AU105" s="182"/>
      <c r="AV105" s="182"/>
      <c r="AW105" s="182"/>
      <c r="AX105" s="182"/>
      <c r="AY105" s="182"/>
      <c r="AZ105" s="182"/>
      <c r="BA105" s="182"/>
      <c r="BB105" s="182"/>
      <c r="BC105" s="182"/>
      <c r="BD105" s="182"/>
      <c r="BE105" s="182"/>
      <c r="BF105" s="182"/>
      <c r="BG105" s="196">
        <f t="shared" si="23"/>
        <v>1.1729366001143005</v>
      </c>
      <c r="BH105" s="196">
        <f t="shared" si="24"/>
        <v>1.8493077447781281</v>
      </c>
      <c r="BI105" s="192">
        <v>1175</v>
      </c>
      <c r="BJ105" s="42">
        <f t="shared" si="25"/>
        <v>1.4784782110966954</v>
      </c>
      <c r="BK105" s="180" t="s">
        <v>13</v>
      </c>
      <c r="BL105" s="534">
        <v>42</v>
      </c>
      <c r="BM105" s="38"/>
      <c r="BN105" s="38">
        <v>0</v>
      </c>
      <c r="BO105" s="507">
        <f t="shared" si="28"/>
        <v>1000</v>
      </c>
      <c r="BP105" s="187">
        <v>0.73</v>
      </c>
      <c r="BR105" s="196">
        <f t="shared" si="26"/>
        <v>0.67637114466382753</v>
      </c>
      <c r="BS105" s="193">
        <f t="shared" si="27"/>
        <v>0.17500000000000004</v>
      </c>
      <c r="BT105" s="535">
        <f t="shared" si="22"/>
        <v>99</v>
      </c>
      <c r="BV105" s="176"/>
    </row>
    <row r="106" spans="1:74" x14ac:dyDescent="0.25">
      <c r="A106" s="525" t="s">
        <v>1778</v>
      </c>
      <c r="B106" s="525" t="s">
        <v>1778</v>
      </c>
      <c r="C106" s="181"/>
      <c r="D106" s="378"/>
      <c r="E106" s="378">
        <v>484</v>
      </c>
      <c r="F106" s="378"/>
      <c r="G106" s="378"/>
      <c r="H106" s="378"/>
      <c r="I106" s="378">
        <v>240</v>
      </c>
      <c r="J106" s="378"/>
      <c r="K106" s="378">
        <v>60</v>
      </c>
      <c r="L106" s="378"/>
      <c r="M106" s="378"/>
      <c r="N106" s="378"/>
      <c r="O106" s="378">
        <v>10</v>
      </c>
      <c r="P106" s="378"/>
      <c r="Q106" s="378"/>
      <c r="R106" s="378">
        <v>206</v>
      </c>
      <c r="S106" s="378"/>
      <c r="T106" s="378"/>
      <c r="U106" s="378"/>
      <c r="V106" s="378"/>
      <c r="W106" s="378"/>
      <c r="X106" s="378"/>
      <c r="Y106" s="378"/>
      <c r="Z106" s="378"/>
      <c r="AA106" s="378"/>
      <c r="AB106" s="378"/>
      <c r="AC106" s="378"/>
      <c r="AD106" s="378"/>
      <c r="AE106" s="378"/>
      <c r="AF106" s="378"/>
      <c r="AG106" s="378"/>
      <c r="AH106" s="378"/>
      <c r="AI106" s="378"/>
      <c r="AJ106" s="378"/>
      <c r="AK106" s="378"/>
      <c r="AL106" s="378"/>
      <c r="AM106" s="378"/>
      <c r="AN106" s="378"/>
      <c r="AO106" s="378"/>
      <c r="AP106" s="378"/>
      <c r="AQ106" s="378"/>
      <c r="AR106" s="378"/>
      <c r="AS106" s="378"/>
      <c r="AT106" s="378"/>
      <c r="AU106" s="378"/>
      <c r="AV106" s="378"/>
      <c r="AW106" s="378"/>
      <c r="AX106" s="378"/>
      <c r="AY106" s="378"/>
      <c r="AZ106" s="378"/>
      <c r="BA106" s="378"/>
      <c r="BB106" s="378"/>
      <c r="BC106" s="378"/>
      <c r="BD106" s="378"/>
      <c r="BE106" s="378"/>
      <c r="BF106" s="378"/>
      <c r="BG106" s="195">
        <f t="shared" si="23"/>
        <v>1.0775686248797982</v>
      </c>
      <c r="BH106" s="195">
        <f t="shared" si="24"/>
        <v>1.7313071873998318</v>
      </c>
      <c r="BI106" s="378">
        <v>1200</v>
      </c>
      <c r="BJ106" s="195">
        <f t="shared" si="25"/>
        <v>1.5296634730330068</v>
      </c>
      <c r="BK106" s="378" t="s">
        <v>13</v>
      </c>
      <c r="BL106" s="378">
        <v>42</v>
      </c>
      <c r="BM106" s="378"/>
      <c r="BN106" s="378">
        <v>0</v>
      </c>
      <c r="BO106" s="378">
        <f t="shared" si="28"/>
        <v>1000</v>
      </c>
      <c r="BP106" s="369">
        <v>0.78700000000000003</v>
      </c>
      <c r="BQ106" s="186"/>
      <c r="BR106" s="195">
        <f t="shared" si="26"/>
        <v>0.65373856252003371</v>
      </c>
      <c r="BS106" s="378">
        <f t="shared" si="27"/>
        <v>0.19999999999999996</v>
      </c>
      <c r="BT106" s="535">
        <f t="shared" si="22"/>
        <v>100</v>
      </c>
      <c r="BU106" s="186"/>
      <c r="BV106" s="141"/>
    </row>
    <row r="107" spans="1:74" x14ac:dyDescent="0.25">
      <c r="A107" s="184" t="s">
        <v>83</v>
      </c>
      <c r="B107" s="189" t="s">
        <v>83</v>
      </c>
      <c r="C107" s="182"/>
      <c r="D107" s="182"/>
      <c r="E107" s="182"/>
      <c r="F107" s="182"/>
      <c r="G107" s="182">
        <v>714</v>
      </c>
      <c r="H107" s="182"/>
      <c r="I107" s="182">
        <v>214</v>
      </c>
      <c r="J107" s="182"/>
      <c r="K107" s="505"/>
      <c r="L107" s="182"/>
      <c r="M107" s="182"/>
      <c r="N107" s="182"/>
      <c r="O107" s="182">
        <v>8</v>
      </c>
      <c r="P107" s="182">
        <v>15</v>
      </c>
      <c r="Q107" s="182"/>
      <c r="R107" s="182"/>
      <c r="S107" s="182"/>
      <c r="T107" s="182"/>
      <c r="U107" s="182"/>
      <c r="V107" s="182"/>
      <c r="W107" s="182"/>
      <c r="X107" s="182"/>
      <c r="Y107" s="182">
        <v>5</v>
      </c>
      <c r="Z107" s="182"/>
      <c r="AA107" s="182"/>
      <c r="AB107" s="182"/>
      <c r="AC107" s="182"/>
      <c r="AD107" s="182"/>
      <c r="AE107" s="182"/>
      <c r="AF107" s="182"/>
      <c r="AG107" s="182"/>
      <c r="AH107" s="182">
        <v>29</v>
      </c>
      <c r="AI107" s="182"/>
      <c r="AJ107" s="182"/>
      <c r="AK107" s="182"/>
      <c r="AL107" s="182"/>
      <c r="AM107" s="182"/>
      <c r="AN107" s="182">
        <v>15</v>
      </c>
      <c r="AO107" s="182"/>
      <c r="AP107" s="182"/>
      <c r="AQ107" s="182"/>
      <c r="AR107" s="182"/>
      <c r="AS107" s="182"/>
      <c r="AT107" s="182"/>
      <c r="AU107" s="182"/>
      <c r="AV107" s="182"/>
      <c r="AW107" s="182"/>
      <c r="AX107" s="182"/>
      <c r="AY107" s="182"/>
      <c r="AZ107" s="182"/>
      <c r="BA107" s="182"/>
      <c r="BB107" s="182"/>
      <c r="BC107" s="182"/>
      <c r="BD107" s="182"/>
      <c r="BE107" s="182"/>
      <c r="BF107" s="182"/>
      <c r="BG107" s="196">
        <f t="shared" si="23"/>
        <v>0.66014635855853254</v>
      </c>
      <c r="BH107" s="196">
        <f t="shared" si="24"/>
        <v>1.0375914740990828</v>
      </c>
      <c r="BI107" s="192">
        <v>1600</v>
      </c>
      <c r="BJ107" s="42">
        <f t="shared" si="25"/>
        <v>2.6493918157289453</v>
      </c>
      <c r="BK107" s="180" t="s">
        <v>13</v>
      </c>
      <c r="BL107" s="38">
        <v>42</v>
      </c>
      <c r="BM107" s="38"/>
      <c r="BN107" s="38">
        <v>0</v>
      </c>
      <c r="BO107" s="507">
        <f t="shared" si="28"/>
        <v>1000</v>
      </c>
      <c r="BP107" s="187">
        <v>1.1499999999999999</v>
      </c>
      <c r="BR107" s="196">
        <f t="shared" si="26"/>
        <v>0.37744511554055027</v>
      </c>
      <c r="BS107" s="193">
        <f t="shared" si="27"/>
        <v>0.60000000000000009</v>
      </c>
      <c r="BT107" s="535">
        <f t="shared" si="22"/>
        <v>101</v>
      </c>
      <c r="BV107" s="141"/>
    </row>
    <row r="108" spans="1:74" s="242" customFormat="1" x14ac:dyDescent="0.25">
      <c r="A108" s="189" t="s">
        <v>364</v>
      </c>
      <c r="B108" s="189" t="s">
        <v>364</v>
      </c>
      <c r="C108" s="379"/>
      <c r="D108" s="379"/>
      <c r="E108" s="379"/>
      <c r="F108" s="379"/>
      <c r="G108" s="379">
        <v>714</v>
      </c>
      <c r="H108" s="379"/>
      <c r="I108" s="379"/>
      <c r="J108" s="379">
        <v>214</v>
      </c>
      <c r="K108" s="505"/>
      <c r="L108" s="379"/>
      <c r="M108" s="379"/>
      <c r="N108" s="379"/>
      <c r="O108" s="379">
        <v>8</v>
      </c>
      <c r="P108" s="379">
        <v>15</v>
      </c>
      <c r="Q108" s="379"/>
      <c r="R108" s="379"/>
      <c r="S108" s="379"/>
      <c r="T108" s="379"/>
      <c r="U108" s="379"/>
      <c r="V108" s="379"/>
      <c r="W108" s="379"/>
      <c r="X108" s="379"/>
      <c r="Y108" s="379">
        <v>5</v>
      </c>
      <c r="Z108" s="379"/>
      <c r="AA108" s="379"/>
      <c r="AB108" s="379"/>
      <c r="AC108" s="379"/>
      <c r="AD108" s="379"/>
      <c r="AE108" s="379"/>
      <c r="AF108" s="379"/>
      <c r="AG108" s="379"/>
      <c r="AH108" s="379">
        <v>29</v>
      </c>
      <c r="AI108" s="379"/>
      <c r="AJ108" s="379"/>
      <c r="AK108" s="379"/>
      <c r="AL108" s="379"/>
      <c r="AM108" s="379"/>
      <c r="AN108" s="379">
        <v>15</v>
      </c>
      <c r="AO108" s="379"/>
      <c r="AP108" s="379"/>
      <c r="AQ108" s="379"/>
      <c r="AR108" s="379"/>
      <c r="AS108" s="379"/>
      <c r="AT108" s="379"/>
      <c r="AU108" s="379"/>
      <c r="AV108" s="379"/>
      <c r="AW108" s="379"/>
      <c r="AX108" s="379"/>
      <c r="AY108" s="379"/>
      <c r="AZ108" s="379"/>
      <c r="BA108" s="379"/>
      <c r="BB108" s="379"/>
      <c r="BC108" s="379"/>
      <c r="BD108" s="379"/>
      <c r="BE108" s="379"/>
      <c r="BF108" s="379"/>
      <c r="BG108" s="196">
        <f t="shared" si="23"/>
        <v>0.70804107466239796</v>
      </c>
      <c r="BH108" s="196">
        <f t="shared" si="24"/>
        <v>1.0675256716639987</v>
      </c>
      <c r="BI108" s="379">
        <v>1600</v>
      </c>
      <c r="BJ108" s="196">
        <f t="shared" si="25"/>
        <v>2.7817603545209675</v>
      </c>
      <c r="BK108" s="379" t="s">
        <v>13</v>
      </c>
      <c r="BL108" s="379">
        <v>42</v>
      </c>
      <c r="BM108" s="379"/>
      <c r="BN108" s="379">
        <v>0</v>
      </c>
      <c r="BO108" s="507">
        <f t="shared" si="28"/>
        <v>1000</v>
      </c>
      <c r="BP108" s="187">
        <v>1.17</v>
      </c>
      <c r="BR108" s="196">
        <f t="shared" si="26"/>
        <v>0.35948459700160074</v>
      </c>
      <c r="BS108" s="379">
        <f t="shared" si="27"/>
        <v>0.60000000000000009</v>
      </c>
      <c r="BT108" s="535">
        <f t="shared" si="22"/>
        <v>102</v>
      </c>
      <c r="BV108" s="176"/>
    </row>
    <row r="109" spans="1:74" x14ac:dyDescent="0.25">
      <c r="A109" s="189" t="s">
        <v>444</v>
      </c>
      <c r="B109" s="189" t="s">
        <v>444</v>
      </c>
      <c r="C109" s="534"/>
      <c r="D109" s="182">
        <v>641</v>
      </c>
      <c r="E109" s="182"/>
      <c r="F109" s="182"/>
      <c r="G109" s="182"/>
      <c r="H109" s="182"/>
      <c r="I109" s="182">
        <v>320</v>
      </c>
      <c r="J109" s="182"/>
      <c r="K109" s="505"/>
      <c r="L109" s="182"/>
      <c r="M109" s="182"/>
      <c r="N109" s="182"/>
      <c r="O109" s="182"/>
      <c r="P109" s="182"/>
      <c r="Q109" s="182"/>
      <c r="R109" s="182"/>
      <c r="S109" s="182"/>
      <c r="T109" s="182"/>
      <c r="U109" s="182"/>
      <c r="V109" s="182"/>
      <c r="W109" s="182"/>
      <c r="X109" s="182"/>
      <c r="Y109" s="182"/>
      <c r="Z109" s="182"/>
      <c r="AA109" s="182"/>
      <c r="AB109" s="182"/>
      <c r="AC109" s="182"/>
      <c r="AD109" s="182"/>
      <c r="AE109" s="182"/>
      <c r="AF109" s="182">
        <v>14</v>
      </c>
      <c r="AG109" s="182"/>
      <c r="AH109" s="182">
        <v>25</v>
      </c>
      <c r="AI109" s="182"/>
      <c r="AJ109" s="182"/>
      <c r="AK109" s="182"/>
      <c r="AL109" s="182"/>
      <c r="AM109" s="182"/>
      <c r="AN109" s="182"/>
      <c r="AO109" s="182"/>
      <c r="AP109" s="182"/>
      <c r="AQ109" s="182"/>
      <c r="AR109" s="182"/>
      <c r="AS109" s="182"/>
      <c r="AT109" s="182"/>
      <c r="AU109" s="182"/>
      <c r="AV109" s="182"/>
      <c r="AW109" s="182"/>
      <c r="AX109" s="182"/>
      <c r="AY109" s="182"/>
      <c r="AZ109" s="182"/>
      <c r="BA109" s="182"/>
      <c r="BB109" s="182"/>
      <c r="BC109" s="182"/>
      <c r="BD109" s="182"/>
      <c r="BE109" s="182"/>
      <c r="BF109" s="182"/>
      <c r="BG109" s="196">
        <f t="shared" si="23"/>
        <v>0.75850128748134071</v>
      </c>
      <c r="BH109" s="196">
        <f t="shared" si="24"/>
        <v>1.134516959665381</v>
      </c>
      <c r="BI109" s="192">
        <v>1550</v>
      </c>
      <c r="BJ109" s="42">
        <f t="shared" si="25"/>
        <v>2.6594636180764071</v>
      </c>
      <c r="BK109" s="180" t="s">
        <v>18</v>
      </c>
      <c r="BL109" s="38">
        <v>31</v>
      </c>
      <c r="BM109" s="38"/>
      <c r="BN109" s="38">
        <v>0</v>
      </c>
      <c r="BO109" s="507">
        <f t="shared" si="28"/>
        <v>1000</v>
      </c>
      <c r="BP109" s="187">
        <v>1.1904999999999999</v>
      </c>
      <c r="BR109" s="196">
        <f t="shared" si="26"/>
        <v>0.37601567218404042</v>
      </c>
      <c r="BS109" s="193">
        <f t="shared" si="27"/>
        <v>0.55000000000000004</v>
      </c>
      <c r="BT109" s="535">
        <f t="shared" si="22"/>
        <v>103</v>
      </c>
      <c r="BV109" s="176"/>
    </row>
    <row r="110" spans="1:74" x14ac:dyDescent="0.25">
      <c r="A110" s="189" t="s">
        <v>445</v>
      </c>
      <c r="B110" s="189" t="s">
        <v>445</v>
      </c>
      <c r="C110" s="534"/>
      <c r="D110" s="182">
        <v>641</v>
      </c>
      <c r="E110" s="182"/>
      <c r="F110" s="182"/>
      <c r="G110" s="182"/>
      <c r="H110" s="182"/>
      <c r="I110" s="182"/>
      <c r="J110" s="182">
        <v>320</v>
      </c>
      <c r="K110" s="505"/>
      <c r="L110" s="182"/>
      <c r="M110" s="182"/>
      <c r="N110" s="182"/>
      <c r="O110" s="182"/>
      <c r="P110" s="182"/>
      <c r="Q110" s="182"/>
      <c r="R110" s="182"/>
      <c r="S110" s="182"/>
      <c r="T110" s="182"/>
      <c r="U110" s="182"/>
      <c r="V110" s="182"/>
      <c r="W110" s="182"/>
      <c r="X110" s="182"/>
      <c r="Y110" s="182"/>
      <c r="Z110" s="182"/>
      <c r="AA110" s="182"/>
      <c r="AB110" s="182"/>
      <c r="AC110" s="182"/>
      <c r="AD110" s="182"/>
      <c r="AE110" s="182"/>
      <c r="AF110" s="182">
        <v>14</v>
      </c>
      <c r="AG110" s="182"/>
      <c r="AH110" s="182">
        <v>25</v>
      </c>
      <c r="AI110" s="182"/>
      <c r="AJ110" s="182"/>
      <c r="AK110" s="182"/>
      <c r="AL110" s="182"/>
      <c r="AM110" s="182"/>
      <c r="AN110" s="182"/>
      <c r="AO110" s="182"/>
      <c r="AP110" s="182"/>
      <c r="AQ110" s="182"/>
      <c r="AR110" s="182"/>
      <c r="AS110" s="182"/>
      <c r="AT110" s="182"/>
      <c r="AU110" s="182"/>
      <c r="AV110" s="182"/>
      <c r="AW110" s="182"/>
      <c r="AX110" s="182"/>
      <c r="AY110" s="182"/>
      <c r="AZ110" s="182"/>
      <c r="BA110" s="182"/>
      <c r="BB110" s="182"/>
      <c r="BC110" s="182"/>
      <c r="BD110" s="182"/>
      <c r="BE110" s="182"/>
      <c r="BF110" s="182"/>
      <c r="BG110" s="196">
        <f t="shared" si="23"/>
        <v>0.8341887742724956</v>
      </c>
      <c r="BH110" s="196">
        <f t="shared" si="24"/>
        <v>1.1833475963048359</v>
      </c>
      <c r="BI110" s="192">
        <v>1550</v>
      </c>
      <c r="BJ110" s="42">
        <f t="shared" si="25"/>
        <v>2.8640261591539469</v>
      </c>
      <c r="BK110" s="180" t="s">
        <v>18</v>
      </c>
      <c r="BL110" s="38">
        <v>31</v>
      </c>
      <c r="BM110" s="38"/>
      <c r="BN110" s="38">
        <v>0</v>
      </c>
      <c r="BO110" s="507">
        <f t="shared" si="28"/>
        <v>1000</v>
      </c>
      <c r="BP110" s="187">
        <v>1.2</v>
      </c>
      <c r="BR110" s="196">
        <f t="shared" si="26"/>
        <v>0.34915882203234022</v>
      </c>
      <c r="BS110" s="193">
        <f t="shared" si="27"/>
        <v>0.55000000000000004</v>
      </c>
      <c r="BT110" s="535">
        <f t="shared" si="22"/>
        <v>104</v>
      </c>
      <c r="BV110" s="176"/>
    </row>
    <row r="111" spans="1:74" s="552" customFormat="1" x14ac:dyDescent="0.25">
      <c r="A111" s="549" t="s">
        <v>606</v>
      </c>
      <c r="B111" s="549" t="s">
        <v>606</v>
      </c>
      <c r="C111" s="550"/>
      <c r="D111" s="550">
        <v>606</v>
      </c>
      <c r="E111" s="550"/>
      <c r="F111" s="550"/>
      <c r="G111" s="550"/>
      <c r="H111" s="550"/>
      <c r="I111" s="550">
        <v>242</v>
      </c>
      <c r="J111" s="550"/>
      <c r="K111" s="550"/>
      <c r="L111" s="550"/>
      <c r="M111" s="550"/>
      <c r="N111" s="550"/>
      <c r="O111" s="550"/>
      <c r="P111" s="550"/>
      <c r="Q111" s="550"/>
      <c r="R111" s="550"/>
      <c r="S111" s="550"/>
      <c r="T111" s="550"/>
      <c r="U111" s="550"/>
      <c r="V111" s="550">
        <v>111</v>
      </c>
      <c r="W111" s="550"/>
      <c r="X111" s="550"/>
      <c r="Y111" s="550"/>
      <c r="Z111" s="550"/>
      <c r="AA111" s="550"/>
      <c r="AB111" s="550"/>
      <c r="AC111" s="550"/>
      <c r="AD111" s="550"/>
      <c r="AE111" s="550"/>
      <c r="AF111" s="550">
        <v>15</v>
      </c>
      <c r="AG111" s="550"/>
      <c r="AH111" s="550">
        <v>26</v>
      </c>
      <c r="AI111" s="550"/>
      <c r="AJ111" s="550"/>
      <c r="AK111" s="550"/>
      <c r="AL111" s="550"/>
      <c r="AM111" s="550"/>
      <c r="AN111" s="550"/>
      <c r="AO111" s="550"/>
      <c r="AP111" s="550"/>
      <c r="AQ111" s="550"/>
      <c r="AR111" s="550"/>
      <c r="AS111" s="550"/>
      <c r="AT111" s="550"/>
      <c r="AU111" s="550"/>
      <c r="AV111" s="550"/>
      <c r="AW111" s="550"/>
      <c r="AX111" s="550"/>
      <c r="AY111" s="550"/>
      <c r="AZ111" s="550"/>
      <c r="BA111" s="550"/>
      <c r="BB111" s="550"/>
      <c r="BC111" s="550"/>
      <c r="BD111" s="550"/>
      <c r="BE111" s="550"/>
      <c r="BF111" s="550"/>
      <c r="BG111" s="551">
        <v>0.65900000000000003</v>
      </c>
      <c r="BH111" s="551">
        <v>1.07</v>
      </c>
      <c r="BI111" s="550">
        <v>1550</v>
      </c>
      <c r="BJ111" s="550">
        <v>2.4350000000000001</v>
      </c>
      <c r="BK111" s="550" t="s">
        <v>18</v>
      </c>
      <c r="BL111" s="550">
        <v>3</v>
      </c>
      <c r="BM111" s="550"/>
      <c r="BN111" s="550">
        <v>0</v>
      </c>
      <c r="BO111" s="550">
        <f t="shared" si="28"/>
        <v>1000</v>
      </c>
      <c r="BP111" s="550">
        <v>0.96440000000000003</v>
      </c>
      <c r="BR111" s="551">
        <f t="shared" si="26"/>
        <v>0.4202025594493633</v>
      </c>
      <c r="BS111" s="550">
        <f t="shared" si="27"/>
        <v>0.55000000000000004</v>
      </c>
      <c r="BT111" s="553">
        <f t="shared" si="22"/>
        <v>105</v>
      </c>
      <c r="BV111" s="554"/>
    </row>
    <row r="112" spans="1:74" x14ac:dyDescent="0.25">
      <c r="A112" s="189" t="s">
        <v>85</v>
      </c>
      <c r="B112" s="189" t="s">
        <v>85</v>
      </c>
      <c r="C112" s="534"/>
      <c r="D112" s="38">
        <v>990</v>
      </c>
      <c r="E112" s="38"/>
      <c r="F112" s="38"/>
      <c r="G112" s="38"/>
      <c r="H112" s="38"/>
      <c r="I112" s="38"/>
      <c r="J112" s="38"/>
      <c r="K112" s="505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>
        <v>10</v>
      </c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42">
        <f>((BO112-(BI112*BR112))/BS112)/1000</f>
        <v>0.65735402215896188</v>
      </c>
      <c r="BH112" s="42">
        <f>BR112+BG112</f>
        <v>0.97491413068174237</v>
      </c>
      <c r="BI112" s="192">
        <v>1700</v>
      </c>
      <c r="BJ112" s="42">
        <f>1/(BH112-BG112)</f>
        <v>3.1490101343389103</v>
      </c>
      <c r="BK112" s="38" t="s">
        <v>18</v>
      </c>
      <c r="BL112" s="38">
        <v>31</v>
      </c>
      <c r="BM112" s="38"/>
      <c r="BN112" s="38">
        <v>0</v>
      </c>
      <c r="BO112" s="507">
        <f t="shared" si="28"/>
        <v>1000</v>
      </c>
      <c r="BP112" s="83">
        <v>1.22</v>
      </c>
      <c r="BR112" s="196">
        <f t="shared" si="26"/>
        <v>0.31756010852278044</v>
      </c>
      <c r="BS112" s="20">
        <f t="shared" si="27"/>
        <v>0.7</v>
      </c>
      <c r="BT112" s="535">
        <f t="shared" si="22"/>
        <v>106</v>
      </c>
      <c r="BV112" s="176"/>
    </row>
    <row r="113" spans="1:74" s="552" customFormat="1" x14ac:dyDescent="0.25">
      <c r="A113" s="549" t="s">
        <v>605</v>
      </c>
      <c r="B113" s="549" t="s">
        <v>605</v>
      </c>
      <c r="C113" s="550"/>
      <c r="D113" s="550">
        <v>943</v>
      </c>
      <c r="E113" s="550"/>
      <c r="F113" s="550"/>
      <c r="G113" s="550"/>
      <c r="H113" s="550"/>
      <c r="I113" s="550"/>
      <c r="J113" s="550"/>
      <c r="K113" s="550"/>
      <c r="L113" s="550"/>
      <c r="M113" s="550"/>
      <c r="N113" s="550"/>
      <c r="O113" s="550"/>
      <c r="P113" s="550"/>
      <c r="Q113" s="550"/>
      <c r="R113" s="550"/>
      <c r="S113" s="550"/>
      <c r="T113" s="550"/>
      <c r="U113" s="550"/>
      <c r="V113" s="550">
        <v>47</v>
      </c>
      <c r="W113" s="550"/>
      <c r="X113" s="550"/>
      <c r="Y113" s="550"/>
      <c r="Z113" s="550"/>
      <c r="AA113" s="550"/>
      <c r="AB113" s="550"/>
      <c r="AC113" s="550"/>
      <c r="AD113" s="550"/>
      <c r="AE113" s="550"/>
      <c r="AF113" s="550"/>
      <c r="AG113" s="550"/>
      <c r="AH113" s="550"/>
      <c r="AI113" s="550"/>
      <c r="AJ113" s="550"/>
      <c r="AK113" s="550"/>
      <c r="AL113" s="550"/>
      <c r="AM113" s="550"/>
      <c r="AN113" s="550">
        <v>10</v>
      </c>
      <c r="AO113" s="550"/>
      <c r="AP113" s="550"/>
      <c r="AQ113" s="550"/>
      <c r="AR113" s="550"/>
      <c r="AS113" s="550"/>
      <c r="AT113" s="550"/>
      <c r="AU113" s="550"/>
      <c r="AV113" s="550"/>
      <c r="AW113" s="550"/>
      <c r="AX113" s="550"/>
      <c r="AY113" s="550"/>
      <c r="AZ113" s="550"/>
      <c r="BA113" s="550"/>
      <c r="BB113" s="550"/>
      <c r="BC113" s="550"/>
      <c r="BD113" s="550"/>
      <c r="BE113" s="550"/>
      <c r="BF113" s="550"/>
      <c r="BG113" s="551">
        <v>0.61199999999999999</v>
      </c>
      <c r="BH113" s="551">
        <v>0.94799999999999995</v>
      </c>
      <c r="BI113" s="550">
        <v>1700</v>
      </c>
      <c r="BJ113" s="550">
        <v>3.004</v>
      </c>
      <c r="BK113" s="550" t="s">
        <v>13</v>
      </c>
      <c r="BL113" s="550">
        <v>3</v>
      </c>
      <c r="BM113" s="550"/>
      <c r="BN113" s="550">
        <v>0</v>
      </c>
      <c r="BO113" s="550">
        <f t="shared" si="28"/>
        <v>1000</v>
      </c>
      <c r="BP113" s="550">
        <v>1.0840000000000001</v>
      </c>
      <c r="BR113" s="551">
        <f t="shared" si="26"/>
        <v>0.34180614026881218</v>
      </c>
      <c r="BS113" s="550">
        <f t="shared" si="27"/>
        <v>0.7</v>
      </c>
      <c r="BT113" s="553">
        <f t="shared" si="22"/>
        <v>107</v>
      </c>
      <c r="BV113" s="554"/>
    </row>
    <row r="114" spans="1:74" x14ac:dyDescent="0.25">
      <c r="A114" s="189" t="s">
        <v>84</v>
      </c>
      <c r="B114" s="189" t="s">
        <v>84</v>
      </c>
      <c r="C114" s="534"/>
      <c r="D114" s="534">
        <v>858</v>
      </c>
      <c r="E114" s="534"/>
      <c r="F114" s="534"/>
      <c r="G114" s="534"/>
      <c r="H114" s="534"/>
      <c r="I114" s="534"/>
      <c r="J114" s="534"/>
      <c r="K114" s="534"/>
      <c r="L114" s="534"/>
      <c r="M114" s="534"/>
      <c r="N114" s="534"/>
      <c r="O114" s="534"/>
      <c r="P114" s="534"/>
      <c r="Q114" s="534"/>
      <c r="R114" s="534"/>
      <c r="S114" s="534"/>
      <c r="T114" s="534">
        <v>142</v>
      </c>
      <c r="U114" s="534"/>
      <c r="V114" s="534"/>
      <c r="W114" s="534"/>
      <c r="X114" s="534"/>
      <c r="Y114" s="534"/>
      <c r="Z114" s="534"/>
      <c r="AA114" s="534"/>
      <c r="AB114" s="534"/>
      <c r="AC114" s="534"/>
      <c r="AD114" s="534"/>
      <c r="AE114" s="534"/>
      <c r="AF114" s="534"/>
      <c r="AG114" s="534"/>
      <c r="AH114" s="534"/>
      <c r="AI114" s="534"/>
      <c r="AJ114" s="534"/>
      <c r="AK114" s="534"/>
      <c r="AL114" s="534"/>
      <c r="AM114" s="534"/>
      <c r="AN114" s="534"/>
      <c r="AO114" s="534"/>
      <c r="AP114" s="534"/>
      <c r="AQ114" s="534"/>
      <c r="AR114" s="534"/>
      <c r="AS114" s="534"/>
      <c r="AT114" s="534"/>
      <c r="AU114" s="534"/>
      <c r="AV114" s="534"/>
      <c r="AW114" s="534"/>
      <c r="AX114" s="534"/>
      <c r="AY114" s="534"/>
      <c r="AZ114" s="534"/>
      <c r="BA114" s="534"/>
      <c r="BB114" s="534"/>
      <c r="BC114" s="534"/>
      <c r="BD114" s="534"/>
      <c r="BE114" s="534"/>
      <c r="BF114" s="534"/>
      <c r="BG114" s="42">
        <f t="shared" ref="BG114:BG120" si="29">((BO114-(BI114*BR114))/BS114)/1000</f>
        <v>0.70321428571428679</v>
      </c>
      <c r="BH114" s="42">
        <f t="shared" ref="BH114:BH120" si="30">BR114+BG114</f>
        <v>1.4193452380952389</v>
      </c>
      <c r="BI114" s="192">
        <v>1200</v>
      </c>
      <c r="BJ114" s="196">
        <f t="shared" ref="BJ114:BJ120" si="31">1/(BH114-BG114)</f>
        <v>1.3963926523148538</v>
      </c>
      <c r="BK114" s="38" t="s">
        <v>18</v>
      </c>
      <c r="BL114" s="38">
        <v>31</v>
      </c>
      <c r="BM114" s="38"/>
      <c r="BN114" s="38">
        <v>0</v>
      </c>
      <c r="BO114" s="507">
        <f t="shared" si="28"/>
        <v>1000</v>
      </c>
      <c r="BP114" s="187">
        <v>0.71050000000000002</v>
      </c>
      <c r="BR114" s="196">
        <f t="shared" si="26"/>
        <v>0.71613095238095226</v>
      </c>
      <c r="BS114" s="20">
        <f t="shared" si="27"/>
        <v>0.19999999999999996</v>
      </c>
      <c r="BT114" s="535">
        <f t="shared" si="22"/>
        <v>108</v>
      </c>
      <c r="BV114" s="176"/>
    </row>
    <row r="115" spans="1:74" x14ac:dyDescent="0.25">
      <c r="A115" s="188" t="s">
        <v>446</v>
      </c>
      <c r="B115" s="188" t="s">
        <v>446</v>
      </c>
      <c r="C115" s="37"/>
      <c r="D115" s="534"/>
      <c r="E115" s="534">
        <v>649</v>
      </c>
      <c r="F115" s="534"/>
      <c r="G115" s="534"/>
      <c r="H115" s="534"/>
      <c r="I115" s="534">
        <v>325</v>
      </c>
      <c r="J115" s="534"/>
      <c r="K115" s="534"/>
      <c r="L115" s="534"/>
      <c r="M115" s="534"/>
      <c r="N115" s="534"/>
      <c r="O115" s="534"/>
      <c r="P115" s="534">
        <v>26</v>
      </c>
      <c r="Q115" s="534"/>
      <c r="R115" s="534"/>
      <c r="S115" s="534"/>
      <c r="T115" s="534"/>
      <c r="U115" s="534"/>
      <c r="V115" s="534"/>
      <c r="W115" s="534"/>
      <c r="X115" s="534"/>
      <c r="Y115" s="534"/>
      <c r="Z115" s="534"/>
      <c r="AA115" s="534"/>
      <c r="AB115" s="534"/>
      <c r="AC115" s="534"/>
      <c r="AD115" s="534"/>
      <c r="AE115" s="534"/>
      <c r="AF115" s="534"/>
      <c r="AG115" s="534"/>
      <c r="AH115" s="534"/>
      <c r="AI115" s="534"/>
      <c r="AJ115" s="534"/>
      <c r="AK115" s="534"/>
      <c r="AL115" s="534"/>
      <c r="AM115" s="534"/>
      <c r="AN115" s="534"/>
      <c r="AO115" s="534"/>
      <c r="AP115" s="534"/>
      <c r="AQ115" s="534"/>
      <c r="AR115" s="534"/>
      <c r="AS115" s="534"/>
      <c r="AT115" s="534"/>
      <c r="AU115" s="534"/>
      <c r="AV115" s="534"/>
      <c r="AW115" s="534"/>
      <c r="AX115" s="534"/>
      <c r="AY115" s="534"/>
      <c r="AZ115" s="534"/>
      <c r="BA115" s="534"/>
      <c r="BB115" s="534"/>
      <c r="BC115" s="534"/>
      <c r="BD115" s="534"/>
      <c r="BE115" s="534"/>
      <c r="BF115" s="534"/>
      <c r="BG115" s="42">
        <f t="shared" si="29"/>
        <v>0.49139078687344068</v>
      </c>
      <c r="BH115" s="42">
        <f t="shared" si="30"/>
        <v>0.86207559934880962</v>
      </c>
      <c r="BI115" s="192">
        <v>1730</v>
      </c>
      <c r="BJ115" s="196">
        <f t="shared" si="31"/>
        <v>2.6977096615374481</v>
      </c>
      <c r="BK115" s="38" t="s">
        <v>18</v>
      </c>
      <c r="BL115" s="38">
        <v>42</v>
      </c>
      <c r="BM115" s="38"/>
      <c r="BN115" s="38">
        <v>0</v>
      </c>
      <c r="BO115" s="38">
        <f t="shared" si="28"/>
        <v>1000</v>
      </c>
      <c r="BP115" s="187">
        <v>1.254</v>
      </c>
      <c r="BR115" s="196">
        <f t="shared" si="26"/>
        <v>0.370684812475369</v>
      </c>
      <c r="BS115" s="20">
        <f t="shared" si="27"/>
        <v>0.73</v>
      </c>
      <c r="BT115" s="535">
        <f t="shared" si="22"/>
        <v>109</v>
      </c>
      <c r="BV115" s="176"/>
    </row>
    <row r="116" spans="1:74" x14ac:dyDescent="0.25">
      <c r="A116" s="188" t="s">
        <v>447</v>
      </c>
      <c r="B116" s="188" t="s">
        <v>447</v>
      </c>
      <c r="C116" s="37"/>
      <c r="D116" s="534"/>
      <c r="E116" s="534">
        <v>649</v>
      </c>
      <c r="F116" s="534"/>
      <c r="G116" s="534"/>
      <c r="H116" s="534"/>
      <c r="I116" s="534"/>
      <c r="J116" s="534">
        <v>325</v>
      </c>
      <c r="K116" s="534"/>
      <c r="L116" s="534"/>
      <c r="M116" s="534"/>
      <c r="N116" s="534"/>
      <c r="O116" s="534"/>
      <c r="P116" s="534">
        <v>26</v>
      </c>
      <c r="Q116" s="534"/>
      <c r="R116" s="534"/>
      <c r="S116" s="534"/>
      <c r="T116" s="534"/>
      <c r="U116" s="534"/>
      <c r="V116" s="534"/>
      <c r="W116" s="534"/>
      <c r="X116" s="534"/>
      <c r="Y116" s="534"/>
      <c r="Z116" s="534"/>
      <c r="AA116" s="534"/>
      <c r="AB116" s="534"/>
      <c r="AC116" s="534"/>
      <c r="AD116" s="534"/>
      <c r="AE116" s="534"/>
      <c r="AF116" s="534"/>
      <c r="AG116" s="534"/>
      <c r="AH116" s="534"/>
      <c r="AI116" s="534"/>
      <c r="AJ116" s="534"/>
      <c r="AK116" s="534"/>
      <c r="AL116" s="534"/>
      <c r="AM116" s="534"/>
      <c r="AN116" s="534"/>
      <c r="AO116" s="534"/>
      <c r="AP116" s="534"/>
      <c r="AQ116" s="534"/>
      <c r="AR116" s="534"/>
      <c r="AS116" s="534"/>
      <c r="AT116" s="534"/>
      <c r="AU116" s="534"/>
      <c r="AV116" s="534"/>
      <c r="AW116" s="534"/>
      <c r="AX116" s="534"/>
      <c r="AY116" s="534"/>
      <c r="AZ116" s="534"/>
      <c r="BA116" s="534"/>
      <c r="BB116" s="534"/>
      <c r="BC116" s="534"/>
      <c r="BD116" s="534"/>
      <c r="BE116" s="534"/>
      <c r="BF116" s="534"/>
      <c r="BG116" s="42">
        <f t="shared" si="29"/>
        <v>0.55603232795988544</v>
      </c>
      <c r="BH116" s="42">
        <f t="shared" si="30"/>
        <v>0.89944065199993384</v>
      </c>
      <c r="BI116" s="192">
        <v>1730</v>
      </c>
      <c r="BJ116" s="196">
        <f t="shared" si="31"/>
        <v>2.9119853247453014</v>
      </c>
      <c r="BK116" s="38" t="s">
        <v>13</v>
      </c>
      <c r="BL116" s="23" t="s">
        <v>86</v>
      </c>
      <c r="BM116" s="38"/>
      <c r="BN116" s="38">
        <v>0</v>
      </c>
      <c r="BO116" s="508">
        <f t="shared" si="28"/>
        <v>1000</v>
      </c>
      <c r="BP116" s="187">
        <v>1.37</v>
      </c>
      <c r="BR116" s="196">
        <f t="shared" si="26"/>
        <v>0.34340832404004834</v>
      </c>
      <c r="BS116" s="20">
        <f t="shared" si="27"/>
        <v>0.73</v>
      </c>
      <c r="BT116" s="535">
        <f t="shared" si="22"/>
        <v>110</v>
      </c>
      <c r="BV116" s="176"/>
    </row>
    <row r="117" spans="1:74" x14ac:dyDescent="0.25">
      <c r="A117" s="188" t="s">
        <v>87</v>
      </c>
      <c r="B117" s="188" t="s">
        <v>87</v>
      </c>
      <c r="C117" s="37"/>
      <c r="D117" s="534"/>
      <c r="E117" s="534">
        <v>714</v>
      </c>
      <c r="F117" s="534"/>
      <c r="G117" s="534"/>
      <c r="H117" s="534"/>
      <c r="I117" s="534"/>
      <c r="J117" s="534"/>
      <c r="K117" s="534"/>
      <c r="L117" s="534"/>
      <c r="M117" s="534"/>
      <c r="N117" s="534">
        <v>286</v>
      </c>
      <c r="O117" s="534"/>
      <c r="P117" s="534"/>
      <c r="Q117" s="534"/>
      <c r="R117" s="534"/>
      <c r="S117" s="534"/>
      <c r="T117" s="534"/>
      <c r="U117" s="534"/>
      <c r="V117" s="534"/>
      <c r="W117" s="534"/>
      <c r="X117" s="534"/>
      <c r="Y117" s="534"/>
      <c r="Z117" s="534"/>
      <c r="AA117" s="534"/>
      <c r="AB117" s="534"/>
      <c r="AC117" s="534"/>
      <c r="AD117" s="534"/>
      <c r="AE117" s="534"/>
      <c r="AF117" s="534"/>
      <c r="AG117" s="534"/>
      <c r="AH117" s="534"/>
      <c r="AI117" s="534"/>
      <c r="AJ117" s="534"/>
      <c r="AK117" s="534"/>
      <c r="AL117" s="534"/>
      <c r="AM117" s="534"/>
      <c r="AN117" s="534"/>
      <c r="AO117" s="534"/>
      <c r="AP117" s="534"/>
      <c r="AQ117" s="534"/>
      <c r="AR117" s="534"/>
      <c r="AS117" s="534"/>
      <c r="AT117" s="534"/>
      <c r="AU117" s="534"/>
      <c r="AV117" s="534"/>
      <c r="AW117" s="534"/>
      <c r="AX117" s="534"/>
      <c r="AY117" s="534"/>
      <c r="AZ117" s="534"/>
      <c r="BA117" s="534"/>
      <c r="BB117" s="534"/>
      <c r="BC117" s="534"/>
      <c r="BD117" s="534"/>
      <c r="BE117" s="534"/>
      <c r="BF117" s="534"/>
      <c r="BG117" s="42">
        <f t="shared" si="29"/>
        <v>0.42307862613048064</v>
      </c>
      <c r="BH117" s="42">
        <f t="shared" si="30"/>
        <v>0.75494887327876958</v>
      </c>
      <c r="BI117" s="192">
        <v>1885</v>
      </c>
      <c r="BJ117" s="196">
        <f t="shared" si="31"/>
        <v>3.0132258272407646</v>
      </c>
      <c r="BK117" s="38" t="s">
        <v>18</v>
      </c>
      <c r="BL117" s="23" t="s">
        <v>14</v>
      </c>
      <c r="BM117" s="38"/>
      <c r="BN117" s="38">
        <v>0</v>
      </c>
      <c r="BO117" s="509">
        <f t="shared" si="28"/>
        <v>1000</v>
      </c>
      <c r="BP117" s="187">
        <v>1.35</v>
      </c>
      <c r="BR117" s="196">
        <f t="shared" si="26"/>
        <v>0.33187024714828894</v>
      </c>
      <c r="BS117" s="20">
        <f t="shared" si="27"/>
        <v>0.88500000000000001</v>
      </c>
      <c r="BT117" s="535">
        <f t="shared" si="22"/>
        <v>111</v>
      </c>
      <c r="BV117" s="176"/>
    </row>
    <row r="118" spans="1:74" x14ac:dyDescent="0.25">
      <c r="A118" s="188" t="s">
        <v>88</v>
      </c>
      <c r="B118" s="188" t="s">
        <v>88</v>
      </c>
      <c r="C118" s="37"/>
      <c r="D118" s="534"/>
      <c r="E118" s="534">
        <v>680</v>
      </c>
      <c r="F118" s="534"/>
      <c r="G118" s="534"/>
      <c r="H118" s="534"/>
      <c r="I118" s="534"/>
      <c r="J118" s="534"/>
      <c r="K118" s="534"/>
      <c r="L118" s="534"/>
      <c r="M118" s="534"/>
      <c r="N118" s="534">
        <v>273</v>
      </c>
      <c r="O118" s="534"/>
      <c r="P118" s="534">
        <v>38</v>
      </c>
      <c r="Q118" s="534"/>
      <c r="R118" s="534"/>
      <c r="S118" s="534"/>
      <c r="T118" s="534"/>
      <c r="U118" s="534"/>
      <c r="V118" s="534"/>
      <c r="W118" s="534"/>
      <c r="X118" s="534"/>
      <c r="Y118" s="534"/>
      <c r="Z118" s="534"/>
      <c r="AA118" s="534"/>
      <c r="AB118" s="534"/>
      <c r="AC118" s="534"/>
      <c r="AD118" s="534"/>
      <c r="AE118" s="534"/>
      <c r="AF118" s="534"/>
      <c r="AG118" s="534"/>
      <c r="AH118" s="534"/>
      <c r="AI118" s="534"/>
      <c r="AJ118" s="534"/>
      <c r="AK118" s="534"/>
      <c r="AL118" s="534"/>
      <c r="AM118" s="534"/>
      <c r="AN118" s="534">
        <v>9</v>
      </c>
      <c r="AO118" s="534"/>
      <c r="AP118" s="534"/>
      <c r="AQ118" s="534"/>
      <c r="AR118" s="534"/>
      <c r="AS118" s="534"/>
      <c r="AT118" s="534"/>
      <c r="AU118" s="534"/>
      <c r="AV118" s="534"/>
      <c r="AW118" s="534"/>
      <c r="AX118" s="534"/>
      <c r="AY118" s="534"/>
      <c r="AZ118" s="534"/>
      <c r="BA118" s="534"/>
      <c r="BB118" s="534"/>
      <c r="BC118" s="534"/>
      <c r="BD118" s="534"/>
      <c r="BE118" s="534"/>
      <c r="BF118" s="534"/>
      <c r="BG118" s="42">
        <f t="shared" si="29"/>
        <v>0.48065043419161008</v>
      </c>
      <c r="BH118" s="42">
        <f t="shared" si="30"/>
        <v>0.81354419461077476</v>
      </c>
      <c r="BI118" s="192">
        <v>1820</v>
      </c>
      <c r="BJ118" s="196">
        <f t="shared" si="31"/>
        <v>3.003961380173799</v>
      </c>
      <c r="BK118" s="38" t="s">
        <v>18</v>
      </c>
      <c r="BL118" s="23" t="s">
        <v>14</v>
      </c>
      <c r="BM118" s="38"/>
      <c r="BN118" s="38">
        <v>0</v>
      </c>
      <c r="BO118" s="510">
        <f t="shared" si="28"/>
        <v>1000</v>
      </c>
      <c r="BP118" s="187">
        <v>1.34</v>
      </c>
      <c r="BR118" s="196">
        <f t="shared" si="26"/>
        <v>0.33289376041916469</v>
      </c>
      <c r="BS118" s="20">
        <f t="shared" si="27"/>
        <v>0.82000000000000006</v>
      </c>
      <c r="BT118" s="535">
        <f t="shared" si="22"/>
        <v>112</v>
      </c>
      <c r="BV118" s="176"/>
    </row>
    <row r="119" spans="1:74" x14ac:dyDescent="0.25">
      <c r="A119" s="188" t="s">
        <v>89</v>
      </c>
      <c r="B119" s="188" t="s">
        <v>89</v>
      </c>
      <c r="C119" s="37"/>
      <c r="D119" s="534"/>
      <c r="E119" s="534">
        <v>710</v>
      </c>
      <c r="F119" s="534"/>
      <c r="G119" s="534"/>
      <c r="H119" s="534"/>
      <c r="I119" s="534"/>
      <c r="J119" s="534"/>
      <c r="K119" s="534"/>
      <c r="L119" s="534"/>
      <c r="M119" s="534"/>
      <c r="N119" s="534">
        <v>285</v>
      </c>
      <c r="O119" s="534"/>
      <c r="P119" s="534"/>
      <c r="Q119" s="534"/>
      <c r="R119" s="534"/>
      <c r="S119" s="534"/>
      <c r="T119" s="534"/>
      <c r="U119" s="534"/>
      <c r="V119" s="534"/>
      <c r="W119" s="534"/>
      <c r="X119" s="534"/>
      <c r="Y119" s="534"/>
      <c r="Z119" s="534"/>
      <c r="AA119" s="534"/>
      <c r="AB119" s="534"/>
      <c r="AC119" s="534"/>
      <c r="AD119" s="534"/>
      <c r="AE119" s="534"/>
      <c r="AF119" s="534">
        <v>5</v>
      </c>
      <c r="AG119" s="534"/>
      <c r="AH119" s="534"/>
      <c r="AI119" s="534"/>
      <c r="AJ119" s="534"/>
      <c r="AK119" s="534"/>
      <c r="AL119" s="534"/>
      <c r="AM119" s="534"/>
      <c r="AN119" s="534"/>
      <c r="AO119" s="534"/>
      <c r="AP119" s="534"/>
      <c r="AQ119" s="534"/>
      <c r="AR119" s="534"/>
      <c r="AS119" s="534"/>
      <c r="AT119" s="534"/>
      <c r="AU119" s="534"/>
      <c r="AV119" s="534"/>
      <c r="AW119" s="534"/>
      <c r="AX119" s="534"/>
      <c r="AY119" s="534"/>
      <c r="AZ119" s="534"/>
      <c r="BA119" s="534"/>
      <c r="BB119" s="534"/>
      <c r="BC119" s="534"/>
      <c r="BD119" s="534"/>
      <c r="BE119" s="534"/>
      <c r="BF119" s="534"/>
      <c r="BG119" s="42">
        <f t="shared" si="29"/>
        <v>0.88142911416711645</v>
      </c>
      <c r="BH119" s="42">
        <f t="shared" si="30"/>
        <v>1.2138252349465266</v>
      </c>
      <c r="BI119" s="192">
        <v>1550</v>
      </c>
      <c r="BJ119" s="196">
        <f t="shared" si="31"/>
        <v>3.0084586957729131</v>
      </c>
      <c r="BK119" s="38" t="s">
        <v>13</v>
      </c>
      <c r="BL119" s="38">
        <v>30</v>
      </c>
      <c r="BM119" s="38"/>
      <c r="BN119" s="38">
        <v>0</v>
      </c>
      <c r="BO119" s="518">
        <f t="shared" si="28"/>
        <v>1000</v>
      </c>
      <c r="BP119" s="187">
        <v>1.35</v>
      </c>
      <c r="BQ119" s="242"/>
      <c r="BR119" s="196">
        <f t="shared" si="26"/>
        <v>0.33239612077941028</v>
      </c>
      <c r="BS119" s="20">
        <f t="shared" si="27"/>
        <v>0.55000000000000004</v>
      </c>
      <c r="BT119" s="535">
        <f t="shared" si="22"/>
        <v>113</v>
      </c>
      <c r="BV119" s="176"/>
    </row>
    <row r="120" spans="1:74" x14ac:dyDescent="0.25">
      <c r="A120" s="189" t="s">
        <v>90</v>
      </c>
      <c r="B120" s="189" t="s">
        <v>90</v>
      </c>
      <c r="C120" s="534"/>
      <c r="D120" s="534"/>
      <c r="E120" s="534">
        <v>433</v>
      </c>
      <c r="F120" s="534"/>
      <c r="G120" s="534"/>
      <c r="H120" s="534"/>
      <c r="I120" s="534">
        <v>264</v>
      </c>
      <c r="J120" s="534"/>
      <c r="K120" s="534"/>
      <c r="L120" s="534"/>
      <c r="M120" s="534"/>
      <c r="N120" s="534">
        <v>303</v>
      </c>
      <c r="O120" s="534"/>
      <c r="P120" s="534"/>
      <c r="Q120" s="534"/>
      <c r="R120" s="534"/>
      <c r="S120" s="534"/>
      <c r="T120" s="534"/>
      <c r="U120" s="534"/>
      <c r="V120" s="534"/>
      <c r="W120" s="534"/>
      <c r="X120" s="534"/>
      <c r="Y120" s="534"/>
      <c r="Z120" s="534"/>
      <c r="AA120" s="534"/>
      <c r="AB120" s="534"/>
      <c r="AC120" s="534"/>
      <c r="AD120" s="534"/>
      <c r="AE120" s="534"/>
      <c r="AF120" s="534"/>
      <c r="AG120" s="534"/>
      <c r="AH120" s="534"/>
      <c r="AI120" s="534"/>
      <c r="AJ120" s="534"/>
      <c r="AK120" s="534"/>
      <c r="AL120" s="534"/>
      <c r="AM120" s="534"/>
      <c r="AN120" s="534"/>
      <c r="AO120" s="534"/>
      <c r="AP120" s="534"/>
      <c r="AQ120" s="534"/>
      <c r="AR120" s="534"/>
      <c r="AS120" s="534"/>
      <c r="AT120" s="534"/>
      <c r="AU120" s="534"/>
      <c r="AV120" s="534"/>
      <c r="AW120" s="534"/>
      <c r="AX120" s="534"/>
      <c r="AY120" s="534"/>
      <c r="AZ120" s="534"/>
      <c r="BA120" s="534"/>
      <c r="BB120" s="534"/>
      <c r="BC120" s="534"/>
      <c r="BD120" s="534"/>
      <c r="BE120" s="534"/>
      <c r="BF120" s="534"/>
      <c r="BG120" s="42">
        <f t="shared" si="29"/>
        <v>0.44829506901295252</v>
      </c>
      <c r="BH120" s="42">
        <f t="shared" si="30"/>
        <v>0.82759718229311574</v>
      </c>
      <c r="BI120" s="192">
        <v>1750</v>
      </c>
      <c r="BJ120" s="196">
        <f t="shared" si="31"/>
        <v>2.6364208502613109</v>
      </c>
      <c r="BK120" s="38" t="s">
        <v>18</v>
      </c>
      <c r="BL120" s="38">
        <v>30</v>
      </c>
      <c r="BM120" s="38"/>
      <c r="BN120" s="38">
        <v>0</v>
      </c>
      <c r="BO120" s="519">
        <f t="shared" si="28"/>
        <v>1000</v>
      </c>
      <c r="BP120" s="187">
        <v>1.29</v>
      </c>
      <c r="BQ120" s="242"/>
      <c r="BR120" s="196">
        <f t="shared" si="26"/>
        <v>0.37930211328016322</v>
      </c>
      <c r="BS120" s="20">
        <f t="shared" si="27"/>
        <v>0.75</v>
      </c>
      <c r="BT120" s="535">
        <f t="shared" si="22"/>
        <v>114</v>
      </c>
      <c r="BV120" s="176"/>
    </row>
    <row r="121" spans="1:74" x14ac:dyDescent="0.25">
      <c r="A121" s="188" t="s">
        <v>604</v>
      </c>
      <c r="B121" s="188" t="s">
        <v>604</v>
      </c>
      <c r="C121" s="37"/>
      <c r="D121" s="37">
        <v>482</v>
      </c>
      <c r="E121" s="37"/>
      <c r="F121" s="37"/>
      <c r="G121" s="37"/>
      <c r="H121" s="37"/>
      <c r="I121" s="37">
        <v>290</v>
      </c>
      <c r="J121" s="37"/>
      <c r="K121" s="378"/>
      <c r="L121" s="37"/>
      <c r="M121" s="37"/>
      <c r="N121" s="37">
        <v>195</v>
      </c>
      <c r="O121" s="37"/>
      <c r="P121" s="37">
        <v>27</v>
      </c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>
        <v>6</v>
      </c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42">
        <v>0.52900000000000003</v>
      </c>
      <c r="BH121" s="42">
        <v>0.91300000000000003</v>
      </c>
      <c r="BI121" s="192">
        <v>1675</v>
      </c>
      <c r="BJ121" s="20">
        <v>2.6469999999999998</v>
      </c>
      <c r="BK121" s="38" t="s">
        <v>18</v>
      </c>
      <c r="BL121" s="38">
        <v>30</v>
      </c>
      <c r="BM121" s="38"/>
      <c r="BN121" s="38">
        <v>0</v>
      </c>
      <c r="BO121" s="526">
        <f t="shared" si="28"/>
        <v>1000</v>
      </c>
      <c r="BP121" s="79">
        <v>1.105</v>
      </c>
      <c r="BR121" s="196">
        <f t="shared" si="26"/>
        <v>0.3802832044210786</v>
      </c>
      <c r="BS121" s="20">
        <f t="shared" si="27"/>
        <v>0.67500000000000004</v>
      </c>
      <c r="BT121" s="535">
        <f t="shared" si="22"/>
        <v>115</v>
      </c>
      <c r="BV121" s="176"/>
    </row>
    <row r="122" spans="1:74" x14ac:dyDescent="0.25">
      <c r="A122" s="189" t="s">
        <v>537</v>
      </c>
      <c r="B122" s="189" t="s">
        <v>537</v>
      </c>
      <c r="C122" s="534">
        <v>350</v>
      </c>
      <c r="D122" s="534"/>
      <c r="E122" s="534"/>
      <c r="F122" s="534"/>
      <c r="G122" s="534"/>
      <c r="H122" s="534"/>
      <c r="I122" s="534"/>
      <c r="J122" s="534"/>
      <c r="K122" s="534"/>
      <c r="L122" s="534"/>
      <c r="M122" s="534"/>
      <c r="N122" s="534">
        <v>125</v>
      </c>
      <c r="O122" s="534"/>
      <c r="P122" s="534">
        <v>525</v>
      </c>
      <c r="Q122" s="534"/>
      <c r="R122" s="534"/>
      <c r="S122" s="534"/>
      <c r="T122" s="534"/>
      <c r="U122" s="534"/>
      <c r="V122" s="534"/>
      <c r="W122" s="534"/>
      <c r="X122" s="534"/>
      <c r="Y122" s="534"/>
      <c r="Z122" s="534"/>
      <c r="AA122" s="534"/>
      <c r="AB122" s="534"/>
      <c r="AC122" s="534"/>
      <c r="AD122" s="534"/>
      <c r="AE122" s="534"/>
      <c r="AF122" s="534"/>
      <c r="AG122" s="534"/>
      <c r="AH122" s="534"/>
      <c r="AI122" s="534"/>
      <c r="AJ122" s="534"/>
      <c r="AK122" s="534"/>
      <c r="AL122" s="534"/>
      <c r="AM122" s="534"/>
      <c r="AN122" s="534"/>
      <c r="AO122" s="534"/>
      <c r="AP122" s="534"/>
      <c r="AQ122" s="534"/>
      <c r="AR122" s="534"/>
      <c r="AS122" s="534"/>
      <c r="AT122" s="534"/>
      <c r="AU122" s="534"/>
      <c r="AV122" s="534"/>
      <c r="AW122" s="534"/>
      <c r="AX122" s="534"/>
      <c r="AY122" s="534"/>
      <c r="AZ122" s="534"/>
      <c r="BA122" s="534"/>
      <c r="BB122" s="534"/>
      <c r="BC122" s="534"/>
      <c r="BD122" s="534"/>
      <c r="BE122" s="534"/>
      <c r="BF122" s="534"/>
      <c r="BG122" s="196">
        <f>((BO122-(BI122*BR122))/BS122)/1000</f>
        <v>0.43005347060886301</v>
      </c>
      <c r="BH122" s="196">
        <f>BR122+BG122</f>
        <v>0.77720297315699072</v>
      </c>
      <c r="BI122" s="526">
        <v>1840</v>
      </c>
      <c r="BJ122" s="196">
        <f>1/(BH122-BG122)</f>
        <v>2.8806032924139453</v>
      </c>
      <c r="BK122" s="526" t="s">
        <v>13</v>
      </c>
      <c r="BL122" s="526">
        <v>30</v>
      </c>
      <c r="BM122" s="38"/>
      <c r="BN122" s="38">
        <v>0</v>
      </c>
      <c r="BO122" s="526">
        <f t="shared" si="28"/>
        <v>1000</v>
      </c>
      <c r="BP122" s="187">
        <v>1.21</v>
      </c>
      <c r="BR122" s="196">
        <f t="shared" si="26"/>
        <v>0.34714950254812771</v>
      </c>
      <c r="BS122" s="526">
        <f t="shared" si="27"/>
        <v>0.84000000000000008</v>
      </c>
      <c r="BT122" s="535">
        <f t="shared" si="22"/>
        <v>116</v>
      </c>
      <c r="BV122" s="176"/>
    </row>
    <row r="123" spans="1:74" x14ac:dyDescent="0.25">
      <c r="A123" s="188" t="s">
        <v>91</v>
      </c>
      <c r="B123" s="188" t="s">
        <v>91</v>
      </c>
      <c r="C123" s="37"/>
      <c r="D123" s="534"/>
      <c r="E123" s="534">
        <v>586</v>
      </c>
      <c r="F123" s="534"/>
      <c r="G123" s="534"/>
      <c r="H123" s="534"/>
      <c r="I123" s="534">
        <v>294</v>
      </c>
      <c r="J123" s="534"/>
      <c r="K123" s="534"/>
      <c r="L123" s="534"/>
      <c r="M123" s="534"/>
      <c r="N123" s="534"/>
      <c r="O123" s="534">
        <v>12</v>
      </c>
      <c r="P123" s="534">
        <v>24</v>
      </c>
      <c r="Q123" s="534"/>
      <c r="R123" s="534"/>
      <c r="S123" s="534"/>
      <c r="T123" s="534"/>
      <c r="U123" s="534"/>
      <c r="V123" s="534"/>
      <c r="W123" s="534"/>
      <c r="X123" s="534"/>
      <c r="Y123" s="534"/>
      <c r="Z123" s="534"/>
      <c r="AA123" s="534">
        <v>8</v>
      </c>
      <c r="AB123" s="534"/>
      <c r="AC123" s="534"/>
      <c r="AD123" s="534"/>
      <c r="AE123" s="534"/>
      <c r="AF123" s="534">
        <v>3</v>
      </c>
      <c r="AG123" s="534"/>
      <c r="AH123" s="534"/>
      <c r="AI123" s="534">
        <v>73</v>
      </c>
      <c r="AJ123" s="534"/>
      <c r="AK123" s="534"/>
      <c r="AL123" s="534"/>
      <c r="AM123" s="534"/>
      <c r="AN123" s="534"/>
      <c r="AO123" s="534"/>
      <c r="AP123" s="534"/>
      <c r="AQ123" s="534"/>
      <c r="AR123" s="534"/>
      <c r="AS123" s="534"/>
      <c r="AT123" s="534"/>
      <c r="AU123" s="534"/>
      <c r="AV123" s="534"/>
      <c r="AW123" s="534"/>
      <c r="AX123" s="534"/>
      <c r="AY123" s="534"/>
      <c r="AZ123" s="534"/>
      <c r="BA123" s="534"/>
      <c r="BB123" s="534"/>
      <c r="BC123" s="534"/>
      <c r="BD123" s="534"/>
      <c r="BE123" s="534"/>
      <c r="BF123" s="534"/>
      <c r="BG123" s="42">
        <f>((BO123-(BI123*BR123))/BS123)/1000</f>
        <v>0.86476456267792645</v>
      </c>
      <c r="BH123" s="42">
        <f>BR123+BG123</f>
        <v>1.2431763751186176</v>
      </c>
      <c r="BI123" s="192">
        <v>1500</v>
      </c>
      <c r="BJ123" s="196">
        <f>1/(BH123-BG123)</f>
        <v>2.6426236367997396</v>
      </c>
      <c r="BK123" s="38" t="s">
        <v>13</v>
      </c>
      <c r="BL123" s="38">
        <v>30</v>
      </c>
      <c r="BM123" s="38"/>
      <c r="BN123" s="38">
        <v>0</v>
      </c>
      <c r="BO123" s="534">
        <f t="shared" si="28"/>
        <v>1000</v>
      </c>
      <c r="BP123" s="187">
        <v>1.1100000000000001</v>
      </c>
      <c r="BR123" s="196">
        <f t="shared" si="26"/>
        <v>0.37841181244069116</v>
      </c>
      <c r="BS123" s="20">
        <f t="shared" si="27"/>
        <v>0.5</v>
      </c>
      <c r="BT123" s="535">
        <f t="shared" si="22"/>
        <v>117</v>
      </c>
      <c r="BV123" s="176" t="s">
        <v>114</v>
      </c>
    </row>
    <row r="124" spans="1:74" x14ac:dyDescent="0.25">
      <c r="A124" s="188" t="s">
        <v>448</v>
      </c>
      <c r="B124" s="188" t="s">
        <v>448</v>
      </c>
      <c r="C124" s="37"/>
      <c r="D124" s="534"/>
      <c r="E124" s="534">
        <v>586</v>
      </c>
      <c r="F124" s="534"/>
      <c r="G124" s="534"/>
      <c r="H124" s="534"/>
      <c r="I124" s="534"/>
      <c r="J124" s="534">
        <v>294</v>
      </c>
      <c r="K124" s="534"/>
      <c r="L124" s="534"/>
      <c r="M124" s="534"/>
      <c r="N124" s="534"/>
      <c r="O124" s="534">
        <v>12</v>
      </c>
      <c r="P124" s="534">
        <v>24</v>
      </c>
      <c r="Q124" s="534"/>
      <c r="R124" s="534"/>
      <c r="S124" s="534"/>
      <c r="T124" s="534"/>
      <c r="U124" s="534"/>
      <c r="V124" s="534"/>
      <c r="W124" s="534"/>
      <c r="X124" s="534"/>
      <c r="Y124" s="534"/>
      <c r="Z124" s="534"/>
      <c r="AA124" s="534">
        <v>8</v>
      </c>
      <c r="AB124" s="534"/>
      <c r="AC124" s="534"/>
      <c r="AD124" s="534"/>
      <c r="AE124" s="534"/>
      <c r="AF124" s="534">
        <v>3</v>
      </c>
      <c r="AG124" s="534"/>
      <c r="AH124" s="534"/>
      <c r="AI124" s="534">
        <v>73</v>
      </c>
      <c r="AJ124" s="534"/>
      <c r="AK124" s="534"/>
      <c r="AL124" s="534"/>
      <c r="AM124" s="534"/>
      <c r="AN124" s="534"/>
      <c r="AO124" s="534"/>
      <c r="AP124" s="534"/>
      <c r="AQ124" s="534"/>
      <c r="AR124" s="534"/>
      <c r="AS124" s="534"/>
      <c r="AT124" s="534"/>
      <c r="AU124" s="534"/>
      <c r="AV124" s="534"/>
      <c r="AW124" s="534"/>
      <c r="AX124" s="534"/>
      <c r="AY124" s="534"/>
      <c r="AZ124" s="534"/>
      <c r="BA124" s="534"/>
      <c r="BB124" s="534"/>
      <c r="BC124" s="534"/>
      <c r="BD124" s="534"/>
      <c r="BE124" s="534"/>
      <c r="BF124" s="534"/>
      <c r="BG124" s="42">
        <f>((BO124-(BI124*BR124))/BS124)/1000</f>
        <v>0.93878875590855027</v>
      </c>
      <c r="BH124" s="42">
        <f>BR124+BG124</f>
        <v>1.2925258372723669</v>
      </c>
      <c r="BI124" s="192">
        <v>1500</v>
      </c>
      <c r="BJ124" s="196">
        <f>1/(BH124-BG124)</f>
        <v>2.8269583616864455</v>
      </c>
      <c r="BK124" s="38" t="s">
        <v>13</v>
      </c>
      <c r="BL124" s="38">
        <v>36</v>
      </c>
      <c r="BM124" s="38"/>
      <c r="BN124" s="38">
        <v>0</v>
      </c>
      <c r="BO124" s="534">
        <f t="shared" si="28"/>
        <v>1000</v>
      </c>
      <c r="BP124" s="187">
        <v>1.26</v>
      </c>
      <c r="BR124" s="196">
        <f t="shared" si="26"/>
        <v>0.3537370813638166</v>
      </c>
      <c r="BS124" s="534">
        <f t="shared" si="27"/>
        <v>0.5</v>
      </c>
      <c r="BT124" s="535">
        <f t="shared" si="22"/>
        <v>118</v>
      </c>
      <c r="BV124" s="176" t="s">
        <v>114</v>
      </c>
    </row>
    <row r="125" spans="1:74" x14ac:dyDescent="0.25">
      <c r="A125" s="188" t="s">
        <v>1806</v>
      </c>
      <c r="B125" s="188" t="s">
        <v>1806</v>
      </c>
      <c r="C125" s="37"/>
      <c r="D125" s="37">
        <v>578</v>
      </c>
      <c r="E125" s="37"/>
      <c r="F125" s="37"/>
      <c r="G125" s="37"/>
      <c r="H125" s="37"/>
      <c r="I125" s="37">
        <v>422</v>
      </c>
      <c r="J125" s="37"/>
      <c r="K125" s="378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42">
        <v>0.58399999999999996</v>
      </c>
      <c r="BH125" s="42">
        <v>0.96599999999999997</v>
      </c>
      <c r="BI125" s="192">
        <v>1640</v>
      </c>
      <c r="BJ125" s="20">
        <v>2.6179999999999999</v>
      </c>
      <c r="BK125" s="38" t="s">
        <v>13</v>
      </c>
      <c r="BL125" s="38">
        <v>3</v>
      </c>
      <c r="BM125" s="38"/>
      <c r="BN125" s="38">
        <v>0</v>
      </c>
      <c r="BO125" s="545">
        <f t="shared" si="28"/>
        <v>1000</v>
      </c>
      <c r="BP125" s="79">
        <v>1.125</v>
      </c>
      <c r="BR125" s="196">
        <f t="shared" si="26"/>
        <v>0.38934572202864887</v>
      </c>
      <c r="BS125" s="20">
        <f t="shared" si="27"/>
        <v>0.6399999999999999</v>
      </c>
      <c r="BT125" s="535">
        <f t="shared" si="22"/>
        <v>119</v>
      </c>
      <c r="BV125" s="176"/>
    </row>
    <row r="126" spans="1:74" x14ac:dyDescent="0.25">
      <c r="A126" s="188" t="s">
        <v>1807</v>
      </c>
      <c r="B126" s="188" t="s">
        <v>1808</v>
      </c>
      <c r="C126" s="37"/>
      <c r="D126" s="37">
        <v>578</v>
      </c>
      <c r="E126" s="37"/>
      <c r="F126" s="37"/>
      <c r="G126" s="37"/>
      <c r="H126" s="37"/>
      <c r="I126" s="37"/>
      <c r="J126" s="37">
        <v>422</v>
      </c>
      <c r="K126" s="378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42">
        <v>0.65500000000000003</v>
      </c>
      <c r="BH126" s="42">
        <v>1.0089999999999999</v>
      </c>
      <c r="BI126" s="192">
        <v>1640</v>
      </c>
      <c r="BJ126" s="20">
        <v>2.8250000000000002</v>
      </c>
      <c r="BK126" s="38" t="s">
        <v>13</v>
      </c>
      <c r="BL126" s="38">
        <v>3</v>
      </c>
      <c r="BM126" s="38"/>
      <c r="BN126" s="38">
        <v>0</v>
      </c>
      <c r="BO126" s="545">
        <f t="shared" si="28"/>
        <v>1000</v>
      </c>
      <c r="BP126" s="79">
        <v>1.125</v>
      </c>
      <c r="BR126" s="196">
        <f t="shared" si="26"/>
        <v>0.3539282508910942</v>
      </c>
      <c r="BS126" s="20">
        <f t="shared" si="27"/>
        <v>0.6399999999999999</v>
      </c>
      <c r="BT126" s="535">
        <f t="shared" si="22"/>
        <v>120</v>
      </c>
      <c r="BV126" s="176"/>
    </row>
    <row r="127" spans="1:74" x14ac:dyDescent="0.25">
      <c r="A127" s="188" t="s">
        <v>1809</v>
      </c>
      <c r="B127" s="188" t="s">
        <v>1809</v>
      </c>
      <c r="C127" s="37"/>
      <c r="D127" s="37"/>
      <c r="E127" s="37"/>
      <c r="F127" s="37"/>
      <c r="G127" s="37">
        <v>529</v>
      </c>
      <c r="H127" s="37"/>
      <c r="I127" s="37">
        <v>210</v>
      </c>
      <c r="J127" s="37"/>
      <c r="K127" s="378">
        <v>121</v>
      </c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>
        <v>140</v>
      </c>
      <c r="AX127" s="37"/>
      <c r="AY127" s="37"/>
      <c r="AZ127" s="37"/>
      <c r="BA127" s="37"/>
      <c r="BB127" s="37"/>
      <c r="BC127" s="37"/>
      <c r="BD127" s="37"/>
      <c r="BE127" s="37"/>
      <c r="BF127" s="37"/>
      <c r="BG127" s="42">
        <v>0.79400000000000004</v>
      </c>
      <c r="BH127" s="42">
        <v>1.631</v>
      </c>
      <c r="BI127" s="192">
        <v>1100</v>
      </c>
      <c r="BJ127" s="20">
        <v>1.1950000000000001</v>
      </c>
      <c r="BK127" s="38" t="s">
        <v>13</v>
      </c>
      <c r="BL127" s="38" t="s">
        <v>1810</v>
      </c>
      <c r="BM127" s="38"/>
      <c r="BN127" s="38">
        <v>0</v>
      </c>
      <c r="BO127" s="546">
        <f t="shared" si="28"/>
        <v>1000</v>
      </c>
      <c r="BP127" s="79">
        <v>0.503</v>
      </c>
      <c r="BR127" s="196">
        <f t="shared" si="26"/>
        <v>0.79901392143674954</v>
      </c>
      <c r="BS127" s="20">
        <f t="shared" si="27"/>
        <v>0.10000000000000009</v>
      </c>
      <c r="BT127" s="535">
        <f t="shared" si="22"/>
        <v>121</v>
      </c>
      <c r="BV127" s="176"/>
    </row>
    <row r="128" spans="1:74" x14ac:dyDescent="0.25">
      <c r="A128" s="188" t="s">
        <v>1811</v>
      </c>
      <c r="B128" s="188" t="s">
        <v>1811</v>
      </c>
      <c r="C128" s="37"/>
      <c r="D128" s="37">
        <v>604</v>
      </c>
      <c r="E128" s="37"/>
      <c r="F128" s="37"/>
      <c r="G128" s="37"/>
      <c r="H128" s="37"/>
      <c r="I128" s="37">
        <v>204</v>
      </c>
      <c r="J128" s="37"/>
      <c r="K128" s="378">
        <v>88</v>
      </c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>
        <v>104</v>
      </c>
      <c r="AX128" s="37"/>
      <c r="AY128" s="37"/>
      <c r="AZ128" s="37"/>
      <c r="BA128" s="37"/>
      <c r="BB128" s="37"/>
      <c r="BC128" s="37"/>
      <c r="BD128" s="37"/>
      <c r="BE128" s="37"/>
      <c r="BF128" s="37"/>
      <c r="BG128" s="42">
        <v>0.81</v>
      </c>
      <c r="BH128" s="42">
        <v>1.5089999999999999</v>
      </c>
      <c r="BI128" s="38">
        <v>1200</v>
      </c>
      <c r="BJ128" s="20">
        <v>1.4634</v>
      </c>
      <c r="BK128" s="38" t="s">
        <v>13</v>
      </c>
      <c r="BL128" s="38">
        <v>42</v>
      </c>
      <c r="BM128" s="38"/>
      <c r="BN128" s="38">
        <v>0</v>
      </c>
      <c r="BO128" s="547">
        <f t="shared" si="28"/>
        <v>1000</v>
      </c>
      <c r="BP128" s="79">
        <v>0.57099999999999995</v>
      </c>
      <c r="BR128" s="196">
        <f t="shared" si="26"/>
        <v>0.67445645826076106</v>
      </c>
      <c r="BS128" s="20">
        <f t="shared" si="27"/>
        <v>0.19999999999999996</v>
      </c>
      <c r="BT128" s="535">
        <f t="shared" si="22"/>
        <v>122</v>
      </c>
      <c r="BV128" s="176"/>
    </row>
    <row r="129" spans="1:74" x14ac:dyDescent="0.25">
      <c r="A129" s="188" t="s">
        <v>1812</v>
      </c>
      <c r="B129" s="188" t="s">
        <v>1812</v>
      </c>
      <c r="C129" s="37"/>
      <c r="D129" s="37">
        <v>627</v>
      </c>
      <c r="E129" s="37"/>
      <c r="F129" s="37"/>
      <c r="G129" s="37"/>
      <c r="H129" s="37"/>
      <c r="I129" s="37"/>
      <c r="J129" s="37"/>
      <c r="K129" s="378">
        <v>271</v>
      </c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>
        <v>102</v>
      </c>
      <c r="AX129" s="37"/>
      <c r="AY129" s="37"/>
      <c r="AZ129" s="37"/>
      <c r="BA129" s="37"/>
      <c r="BB129" s="37"/>
      <c r="BC129" s="37"/>
      <c r="BD129" s="37"/>
      <c r="BE129" s="37"/>
      <c r="BF129" s="37"/>
      <c r="BG129" s="42">
        <v>1.363</v>
      </c>
      <c r="BH129" s="42">
        <v>2.0369999999999999</v>
      </c>
      <c r="BI129" s="38">
        <v>1160</v>
      </c>
      <c r="BJ129" s="20">
        <v>1.4637</v>
      </c>
      <c r="BK129" s="38" t="s">
        <v>13</v>
      </c>
      <c r="BL129" s="38">
        <v>42</v>
      </c>
      <c r="BM129" s="38"/>
      <c r="BN129" s="38">
        <v>0</v>
      </c>
      <c r="BO129" s="547">
        <f t="shared" si="28"/>
        <v>1000</v>
      </c>
      <c r="BP129" s="79">
        <v>0.57699999999999996</v>
      </c>
      <c r="BR129" s="196">
        <f t="shared" si="26"/>
        <v>0.57487665368284391</v>
      </c>
      <c r="BS129" s="20">
        <f t="shared" si="27"/>
        <v>0.15999999999999992</v>
      </c>
      <c r="BT129" s="535">
        <f t="shared" si="22"/>
        <v>123</v>
      </c>
      <c r="BV129" s="176"/>
    </row>
    <row r="130" spans="1:74" x14ac:dyDescent="0.25">
      <c r="A130" s="188" t="s">
        <v>1813</v>
      </c>
      <c r="B130" s="188" t="s">
        <v>1813</v>
      </c>
      <c r="C130" s="37"/>
      <c r="D130" s="37">
        <v>591</v>
      </c>
      <c r="E130" s="37"/>
      <c r="F130" s="37"/>
      <c r="G130" s="37"/>
      <c r="H130" s="37"/>
      <c r="I130" s="37">
        <v>200</v>
      </c>
      <c r="J130" s="37"/>
      <c r="K130" s="378">
        <v>85</v>
      </c>
      <c r="L130" s="37"/>
      <c r="M130" s="37"/>
      <c r="N130" s="37"/>
      <c r="O130" s="37"/>
      <c r="P130" s="37"/>
      <c r="Q130" s="37"/>
      <c r="R130" s="37"/>
      <c r="S130" s="37"/>
      <c r="T130" s="37">
        <v>124</v>
      </c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42">
        <v>0.78900000000000003</v>
      </c>
      <c r="BH130" s="42">
        <v>1.4910000000000001</v>
      </c>
      <c r="BI130" s="38">
        <v>1200</v>
      </c>
      <c r="BJ130" s="20">
        <v>1.425</v>
      </c>
      <c r="BK130" s="38" t="s">
        <v>13</v>
      </c>
      <c r="BL130" s="38">
        <v>42</v>
      </c>
      <c r="BM130" s="38"/>
      <c r="BN130" s="38">
        <v>0</v>
      </c>
      <c r="BO130" s="548">
        <f t="shared" si="28"/>
        <v>1000</v>
      </c>
      <c r="BP130" s="79">
        <v>0.625</v>
      </c>
      <c r="BR130" s="196">
        <f t="shared" si="26"/>
        <v>0.67268002322880371</v>
      </c>
      <c r="BS130" s="20">
        <f t="shared" si="27"/>
        <v>0.19999999999999996</v>
      </c>
      <c r="BT130" s="535">
        <f t="shared" si="22"/>
        <v>124</v>
      </c>
      <c r="BV130" s="176"/>
    </row>
    <row r="131" spans="1:74" x14ac:dyDescent="0.25">
      <c r="A131" s="33"/>
      <c r="B131" s="33"/>
      <c r="C131" s="37"/>
      <c r="D131" s="37"/>
      <c r="E131" s="37"/>
      <c r="F131" s="37"/>
      <c r="G131" s="37"/>
      <c r="H131" s="37"/>
      <c r="I131" s="37"/>
      <c r="J131" s="37"/>
      <c r="K131" s="378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42"/>
      <c r="BH131" s="42"/>
      <c r="BI131" s="38"/>
      <c r="BJ131" s="20"/>
      <c r="BK131" s="38"/>
      <c r="BL131" s="38"/>
      <c r="BM131" s="38"/>
      <c r="BN131" s="38"/>
      <c r="BO131" s="38"/>
      <c r="BP131" s="79"/>
      <c r="BR131" s="42"/>
      <c r="BS131" s="20"/>
      <c r="BT131" s="535">
        <f t="shared" si="22"/>
        <v>125</v>
      </c>
      <c r="BV131" s="176"/>
    </row>
    <row r="132" spans="1:74" x14ac:dyDescent="0.25">
      <c r="A132" s="33"/>
      <c r="B132" s="33"/>
      <c r="C132" s="37"/>
      <c r="D132" s="37"/>
      <c r="E132" s="37"/>
      <c r="F132" s="37"/>
      <c r="G132" s="37"/>
      <c r="H132" s="37"/>
      <c r="I132" s="37"/>
      <c r="J132" s="37"/>
      <c r="K132" s="378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42"/>
      <c r="BH132" s="42"/>
      <c r="BI132" s="38"/>
      <c r="BJ132" s="20"/>
      <c r="BK132" s="38"/>
      <c r="BL132" s="38"/>
      <c r="BM132" s="38"/>
      <c r="BN132" s="38"/>
      <c r="BO132" s="38"/>
      <c r="BP132" s="79"/>
      <c r="BR132" s="42"/>
      <c r="BS132" s="20"/>
      <c r="BT132" s="535">
        <f t="shared" si="22"/>
        <v>126</v>
      </c>
      <c r="BV132" s="176"/>
    </row>
    <row r="133" spans="1:74" x14ac:dyDescent="0.25">
      <c r="A133" s="33"/>
      <c r="B133" s="33"/>
      <c r="C133" s="37"/>
      <c r="D133" s="37"/>
      <c r="E133" s="37"/>
      <c r="F133" s="37"/>
      <c r="G133" s="37"/>
      <c r="H133" s="37"/>
      <c r="I133" s="37"/>
      <c r="J133" s="37"/>
      <c r="K133" s="378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42"/>
      <c r="BH133" s="42"/>
      <c r="BI133" s="38"/>
      <c r="BJ133" s="20"/>
      <c r="BK133" s="38"/>
      <c r="BL133" s="38"/>
      <c r="BM133" s="38"/>
      <c r="BN133" s="38"/>
      <c r="BO133" s="38"/>
      <c r="BP133" s="79"/>
      <c r="BR133" s="42"/>
      <c r="BS133" s="20"/>
      <c r="BT133" s="535">
        <f t="shared" si="22"/>
        <v>127</v>
      </c>
      <c r="BV133" s="176"/>
    </row>
    <row r="134" spans="1:74" x14ac:dyDescent="0.25">
      <c r="A134" s="33"/>
      <c r="B134" s="33"/>
      <c r="C134" s="37"/>
      <c r="D134" s="37"/>
      <c r="E134" s="37"/>
      <c r="F134" s="37"/>
      <c r="G134" s="37"/>
      <c r="H134" s="37"/>
      <c r="I134" s="37"/>
      <c r="J134" s="37"/>
      <c r="K134" s="378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42"/>
      <c r="BH134" s="42"/>
      <c r="BI134" s="38"/>
      <c r="BJ134" s="20"/>
      <c r="BK134" s="38"/>
      <c r="BL134" s="38"/>
      <c r="BM134" s="38"/>
      <c r="BN134" s="38"/>
      <c r="BO134" s="38"/>
      <c r="BP134" s="79"/>
      <c r="BR134" s="42"/>
      <c r="BS134" s="20"/>
      <c r="BT134" s="535">
        <f t="shared" si="22"/>
        <v>128</v>
      </c>
      <c r="BV134" s="176"/>
    </row>
    <row r="135" spans="1:74" x14ac:dyDescent="0.25">
      <c r="A135" s="33"/>
      <c r="B135" s="33"/>
      <c r="C135" s="37"/>
      <c r="D135" s="37"/>
      <c r="E135" s="37"/>
      <c r="F135" s="37"/>
      <c r="G135" s="37"/>
      <c r="H135" s="37"/>
      <c r="I135" s="37"/>
      <c r="J135" s="37"/>
      <c r="K135" s="378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42"/>
      <c r="BH135" s="42"/>
      <c r="BI135" s="38"/>
      <c r="BJ135" s="20"/>
      <c r="BK135" s="38"/>
      <c r="BL135" s="38"/>
      <c r="BM135" s="38"/>
      <c r="BN135" s="38"/>
      <c r="BO135" s="38"/>
      <c r="BP135" s="79"/>
      <c r="BR135" s="42"/>
      <c r="BS135" s="20"/>
      <c r="BT135" s="535">
        <f t="shared" si="22"/>
        <v>129</v>
      </c>
      <c r="BV135" s="176"/>
    </row>
    <row r="136" spans="1:74" x14ac:dyDescent="0.25">
      <c r="A136" s="33"/>
      <c r="B136" s="33"/>
      <c r="C136" s="37"/>
      <c r="D136" s="37"/>
      <c r="E136" s="37"/>
      <c r="F136" s="37"/>
      <c r="G136" s="37"/>
      <c r="H136" s="37"/>
      <c r="I136" s="37"/>
      <c r="J136" s="37"/>
      <c r="K136" s="378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42"/>
      <c r="BH136" s="42"/>
      <c r="BI136" s="38"/>
      <c r="BJ136" s="20"/>
      <c r="BK136" s="38"/>
      <c r="BL136" s="38"/>
      <c r="BM136" s="38"/>
      <c r="BN136" s="38"/>
      <c r="BO136" s="38"/>
      <c r="BP136" s="79"/>
      <c r="BR136" s="42"/>
      <c r="BS136" s="20"/>
      <c r="BT136" s="535">
        <f t="shared" si="22"/>
        <v>130</v>
      </c>
      <c r="BV136" s="176"/>
    </row>
    <row r="137" spans="1:74" x14ac:dyDescent="0.25">
      <c r="A137" s="33"/>
      <c r="B137" s="33"/>
      <c r="C137" s="37"/>
      <c r="D137" s="37"/>
      <c r="E137" s="37"/>
      <c r="F137" s="37"/>
      <c r="G137" s="37"/>
      <c r="H137" s="37"/>
      <c r="I137" s="37"/>
      <c r="J137" s="37"/>
      <c r="K137" s="378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42"/>
      <c r="BH137" s="42"/>
      <c r="BI137" s="38"/>
      <c r="BJ137" s="20"/>
      <c r="BK137" s="38"/>
      <c r="BL137" s="38"/>
      <c r="BM137" s="38"/>
      <c r="BN137" s="38"/>
      <c r="BO137" s="38"/>
      <c r="BP137" s="79"/>
      <c r="BR137" s="42"/>
      <c r="BS137" s="20"/>
      <c r="BT137" s="535">
        <f t="shared" si="22"/>
        <v>131</v>
      </c>
      <c r="BV137" s="176"/>
    </row>
    <row r="138" spans="1:74" x14ac:dyDescent="0.25">
      <c r="A138" s="33"/>
      <c r="B138" s="33"/>
      <c r="C138" s="37"/>
      <c r="D138" s="37"/>
      <c r="E138" s="37"/>
      <c r="F138" s="37"/>
      <c r="G138" s="37"/>
      <c r="H138" s="37"/>
      <c r="I138" s="37"/>
      <c r="J138" s="37"/>
      <c r="K138" s="378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42"/>
      <c r="BH138" s="42"/>
      <c r="BI138" s="38"/>
      <c r="BJ138" s="20"/>
      <c r="BK138" s="38"/>
      <c r="BL138" s="38"/>
      <c r="BM138" s="38"/>
      <c r="BN138" s="38"/>
      <c r="BO138" s="38"/>
      <c r="BP138" s="79"/>
      <c r="BR138" s="42"/>
      <c r="BS138" s="20"/>
      <c r="BT138" s="535">
        <f t="shared" ref="BT138:BT159" si="32">BT137+1</f>
        <v>132</v>
      </c>
      <c r="BV138" s="176"/>
    </row>
    <row r="139" spans="1:74" x14ac:dyDescent="0.25">
      <c r="A139" s="33"/>
      <c r="B139" s="33"/>
      <c r="C139" s="37"/>
      <c r="D139" s="37"/>
      <c r="E139" s="37"/>
      <c r="F139" s="37"/>
      <c r="G139" s="37"/>
      <c r="H139" s="37"/>
      <c r="I139" s="37"/>
      <c r="J139" s="37"/>
      <c r="K139" s="378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42"/>
      <c r="BH139" s="42"/>
      <c r="BI139" s="38"/>
      <c r="BJ139" s="20"/>
      <c r="BK139" s="38"/>
      <c r="BL139" s="38"/>
      <c r="BM139" s="38"/>
      <c r="BN139" s="38"/>
      <c r="BO139" s="38"/>
      <c r="BP139" s="79"/>
      <c r="BR139" s="42"/>
      <c r="BS139" s="20"/>
      <c r="BT139" s="535">
        <f t="shared" si="32"/>
        <v>133</v>
      </c>
      <c r="BV139" s="176"/>
    </row>
    <row r="140" spans="1:74" x14ac:dyDescent="0.25">
      <c r="A140" s="33"/>
      <c r="B140" s="33"/>
      <c r="C140" s="37"/>
      <c r="D140" s="37"/>
      <c r="E140" s="37"/>
      <c r="F140" s="37"/>
      <c r="G140" s="37"/>
      <c r="H140" s="37"/>
      <c r="I140" s="37"/>
      <c r="J140" s="37"/>
      <c r="K140" s="378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42"/>
      <c r="BH140" s="42"/>
      <c r="BI140" s="38"/>
      <c r="BJ140" s="20"/>
      <c r="BK140" s="38"/>
      <c r="BL140" s="38"/>
      <c r="BM140" s="38"/>
      <c r="BN140" s="38"/>
      <c r="BO140" s="38"/>
      <c r="BP140" s="79"/>
      <c r="BR140" s="42"/>
      <c r="BS140" s="20"/>
      <c r="BT140" s="535">
        <f t="shared" si="32"/>
        <v>134</v>
      </c>
      <c r="BV140" s="176"/>
    </row>
    <row r="141" spans="1:74" x14ac:dyDescent="0.25">
      <c r="A141" s="33"/>
      <c r="B141" s="33"/>
      <c r="C141" s="37"/>
      <c r="D141" s="37"/>
      <c r="E141" s="37"/>
      <c r="F141" s="37"/>
      <c r="G141" s="37"/>
      <c r="H141" s="37"/>
      <c r="I141" s="37"/>
      <c r="J141" s="37"/>
      <c r="K141" s="378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42"/>
      <c r="BH141" s="42"/>
      <c r="BI141" s="38"/>
      <c r="BJ141" s="20"/>
      <c r="BK141" s="38"/>
      <c r="BL141" s="38"/>
      <c r="BM141" s="38"/>
      <c r="BN141" s="38"/>
      <c r="BO141" s="38"/>
      <c r="BP141" s="79"/>
      <c r="BR141" s="42"/>
      <c r="BS141" s="20"/>
      <c r="BT141" s="535">
        <f t="shared" si="32"/>
        <v>135</v>
      </c>
      <c r="BV141" s="176"/>
    </row>
    <row r="142" spans="1:74" x14ac:dyDescent="0.25">
      <c r="A142" s="33"/>
      <c r="B142" s="33"/>
      <c r="C142" s="37"/>
      <c r="D142" s="37"/>
      <c r="E142" s="37"/>
      <c r="F142" s="37"/>
      <c r="G142" s="37"/>
      <c r="H142" s="37"/>
      <c r="I142" s="37"/>
      <c r="J142" s="37"/>
      <c r="K142" s="378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42"/>
      <c r="BH142" s="42"/>
      <c r="BI142" s="38"/>
      <c r="BJ142" s="20"/>
      <c r="BK142" s="38"/>
      <c r="BL142" s="38"/>
      <c r="BM142" s="38"/>
      <c r="BN142" s="38"/>
      <c r="BO142" s="38"/>
      <c r="BP142" s="79"/>
      <c r="BR142" s="42"/>
      <c r="BS142" s="20"/>
      <c r="BT142" s="535">
        <f t="shared" si="32"/>
        <v>136</v>
      </c>
      <c r="BV142" s="176"/>
    </row>
    <row r="143" spans="1:74" x14ac:dyDescent="0.25">
      <c r="A143" s="33"/>
      <c r="B143" s="33"/>
      <c r="C143" s="37"/>
      <c r="D143" s="37"/>
      <c r="E143" s="37"/>
      <c r="F143" s="37"/>
      <c r="G143" s="37"/>
      <c r="H143" s="37"/>
      <c r="I143" s="37"/>
      <c r="J143" s="37"/>
      <c r="K143" s="378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42"/>
      <c r="BH143" s="42"/>
      <c r="BI143" s="38"/>
      <c r="BJ143" s="20"/>
      <c r="BK143" s="38"/>
      <c r="BL143" s="38"/>
      <c r="BM143" s="38"/>
      <c r="BN143" s="38"/>
      <c r="BO143" s="38"/>
      <c r="BP143" s="79"/>
      <c r="BR143" s="42"/>
      <c r="BS143" s="20"/>
      <c r="BT143" s="535">
        <f t="shared" si="32"/>
        <v>137</v>
      </c>
      <c r="BV143" s="176"/>
    </row>
    <row r="144" spans="1:74" x14ac:dyDescent="0.25">
      <c r="A144" s="33"/>
      <c r="B144" s="33"/>
      <c r="C144" s="37"/>
      <c r="D144" s="37"/>
      <c r="E144" s="37"/>
      <c r="F144" s="37"/>
      <c r="G144" s="37"/>
      <c r="H144" s="37"/>
      <c r="I144" s="37"/>
      <c r="J144" s="37"/>
      <c r="K144" s="378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42"/>
      <c r="BH144" s="42"/>
      <c r="BI144" s="38"/>
      <c r="BJ144" s="20"/>
      <c r="BK144" s="38"/>
      <c r="BL144" s="38"/>
      <c r="BM144" s="38"/>
      <c r="BN144" s="38"/>
      <c r="BO144" s="38"/>
      <c r="BP144" s="79"/>
      <c r="BR144" s="42"/>
      <c r="BS144" s="20"/>
      <c r="BT144" s="535">
        <f t="shared" si="32"/>
        <v>138</v>
      </c>
      <c r="BV144" s="176"/>
    </row>
    <row r="145" spans="1:74" x14ac:dyDescent="0.25">
      <c r="A145" s="33"/>
      <c r="B145" s="33"/>
      <c r="C145" s="37"/>
      <c r="D145" s="37"/>
      <c r="E145" s="37"/>
      <c r="F145" s="37"/>
      <c r="G145" s="37"/>
      <c r="H145" s="37"/>
      <c r="I145" s="37"/>
      <c r="J145" s="37"/>
      <c r="K145" s="378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42"/>
      <c r="BH145" s="42"/>
      <c r="BI145" s="38"/>
      <c r="BJ145" s="20"/>
      <c r="BK145" s="38"/>
      <c r="BL145" s="38"/>
      <c r="BM145" s="38"/>
      <c r="BN145" s="38"/>
      <c r="BO145" s="38"/>
      <c r="BP145" s="79"/>
      <c r="BR145" s="42"/>
      <c r="BS145" s="20"/>
      <c r="BT145" s="535">
        <f t="shared" si="32"/>
        <v>139</v>
      </c>
      <c r="BV145" s="176"/>
    </row>
    <row r="146" spans="1:74" x14ac:dyDescent="0.25">
      <c r="A146" s="33"/>
      <c r="B146" s="33"/>
      <c r="C146" s="37"/>
      <c r="D146" s="37"/>
      <c r="E146" s="37"/>
      <c r="F146" s="37"/>
      <c r="G146" s="37"/>
      <c r="H146" s="37"/>
      <c r="I146" s="37"/>
      <c r="J146" s="37"/>
      <c r="K146" s="378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42"/>
      <c r="BH146" s="42"/>
      <c r="BI146" s="38"/>
      <c r="BJ146" s="20"/>
      <c r="BK146" s="38"/>
      <c r="BL146" s="38"/>
      <c r="BM146" s="38"/>
      <c r="BN146" s="38"/>
      <c r="BO146" s="38"/>
      <c r="BP146" s="79"/>
      <c r="BR146" s="42"/>
      <c r="BS146" s="20"/>
      <c r="BT146" s="535">
        <f t="shared" si="32"/>
        <v>140</v>
      </c>
      <c r="BV146" s="176"/>
    </row>
    <row r="147" spans="1:74" x14ac:dyDescent="0.25">
      <c r="A147" s="33"/>
      <c r="B147" s="33"/>
      <c r="C147" s="37"/>
      <c r="D147" s="37"/>
      <c r="E147" s="37"/>
      <c r="F147" s="37"/>
      <c r="G147" s="37"/>
      <c r="H147" s="37"/>
      <c r="I147" s="37"/>
      <c r="J147" s="37"/>
      <c r="K147" s="378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42"/>
      <c r="BH147" s="42"/>
      <c r="BI147" s="38"/>
      <c r="BJ147" s="20"/>
      <c r="BK147" s="38"/>
      <c r="BL147" s="38"/>
      <c r="BM147" s="38"/>
      <c r="BN147" s="38"/>
      <c r="BO147" s="38"/>
      <c r="BP147" s="79"/>
      <c r="BR147" s="42"/>
      <c r="BS147" s="20"/>
      <c r="BT147" s="535">
        <f t="shared" si="32"/>
        <v>141</v>
      </c>
      <c r="BV147" s="176"/>
    </row>
    <row r="148" spans="1:74" x14ac:dyDescent="0.25">
      <c r="A148" s="33"/>
      <c r="B148" s="33"/>
      <c r="C148" s="37"/>
      <c r="D148" s="37"/>
      <c r="E148" s="37"/>
      <c r="F148" s="37"/>
      <c r="G148" s="37"/>
      <c r="H148" s="37"/>
      <c r="I148" s="37"/>
      <c r="J148" s="37"/>
      <c r="K148" s="378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42"/>
      <c r="BH148" s="42"/>
      <c r="BI148" s="38"/>
      <c r="BJ148" s="20"/>
      <c r="BK148" s="38"/>
      <c r="BL148" s="38"/>
      <c r="BM148" s="38"/>
      <c r="BN148" s="38"/>
      <c r="BO148" s="38"/>
      <c r="BP148" s="79"/>
      <c r="BR148" s="42"/>
      <c r="BS148" s="20"/>
      <c r="BT148" s="535">
        <f t="shared" si="32"/>
        <v>142</v>
      </c>
      <c r="BV148" s="176"/>
    </row>
    <row r="149" spans="1:74" x14ac:dyDescent="0.25">
      <c r="A149" s="33"/>
      <c r="B149" s="33"/>
      <c r="C149" s="37"/>
      <c r="D149" s="37"/>
      <c r="E149" s="37"/>
      <c r="F149" s="37"/>
      <c r="G149" s="37"/>
      <c r="H149" s="37"/>
      <c r="I149" s="37"/>
      <c r="J149" s="37"/>
      <c r="K149" s="378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42"/>
      <c r="BH149" s="42"/>
      <c r="BI149" s="38"/>
      <c r="BJ149" s="20"/>
      <c r="BK149" s="38"/>
      <c r="BL149" s="38"/>
      <c r="BM149" s="38"/>
      <c r="BN149" s="38"/>
      <c r="BO149" s="38"/>
      <c r="BP149" s="79"/>
      <c r="BR149" s="42"/>
      <c r="BS149" s="20"/>
      <c r="BT149" s="535">
        <f t="shared" si="32"/>
        <v>143</v>
      </c>
      <c r="BV149" s="176"/>
    </row>
    <row r="150" spans="1:74" x14ac:dyDescent="0.25">
      <c r="A150" s="33"/>
      <c r="B150" s="33"/>
      <c r="C150" s="37"/>
      <c r="D150" s="37"/>
      <c r="E150" s="37"/>
      <c r="F150" s="37"/>
      <c r="G150" s="37"/>
      <c r="H150" s="37"/>
      <c r="I150" s="37"/>
      <c r="J150" s="37"/>
      <c r="K150" s="378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42"/>
      <c r="BH150" s="42"/>
      <c r="BI150" s="38"/>
      <c r="BJ150" s="20"/>
      <c r="BK150" s="38"/>
      <c r="BL150" s="38"/>
      <c r="BM150" s="38"/>
      <c r="BN150" s="38"/>
      <c r="BO150" s="38"/>
      <c r="BP150" s="79"/>
      <c r="BR150" s="42"/>
      <c r="BS150" s="20"/>
      <c r="BT150" s="535">
        <f t="shared" si="32"/>
        <v>144</v>
      </c>
      <c r="BV150" s="176"/>
    </row>
    <row r="151" spans="1:74" x14ac:dyDescent="0.25">
      <c r="A151" s="33"/>
      <c r="B151" s="33"/>
      <c r="C151" s="37"/>
      <c r="D151" s="37"/>
      <c r="E151" s="37"/>
      <c r="F151" s="37"/>
      <c r="G151" s="37"/>
      <c r="H151" s="37"/>
      <c r="I151" s="37"/>
      <c r="J151" s="37"/>
      <c r="K151" s="378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42"/>
      <c r="BH151" s="42"/>
      <c r="BI151" s="38"/>
      <c r="BJ151" s="20"/>
      <c r="BK151" s="38"/>
      <c r="BL151" s="38"/>
      <c r="BM151" s="38"/>
      <c r="BN151" s="38"/>
      <c r="BO151" s="38"/>
      <c r="BP151" s="79"/>
      <c r="BR151" s="42"/>
      <c r="BS151" s="20"/>
      <c r="BT151" s="535">
        <f t="shared" si="32"/>
        <v>145</v>
      </c>
      <c r="BV151" s="176"/>
    </row>
    <row r="152" spans="1:74" x14ac:dyDescent="0.25">
      <c r="A152" s="33"/>
      <c r="B152" s="33"/>
      <c r="C152" s="37"/>
      <c r="D152" s="37"/>
      <c r="E152" s="37"/>
      <c r="F152" s="37"/>
      <c r="G152" s="37"/>
      <c r="H152" s="37"/>
      <c r="I152" s="37"/>
      <c r="J152" s="37"/>
      <c r="K152" s="378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42"/>
      <c r="BH152" s="42"/>
      <c r="BI152" s="38"/>
      <c r="BJ152" s="20"/>
      <c r="BK152" s="38"/>
      <c r="BL152" s="38"/>
      <c r="BM152" s="38"/>
      <c r="BN152" s="38"/>
      <c r="BO152" s="38"/>
      <c r="BP152" s="79"/>
      <c r="BR152" s="42"/>
      <c r="BS152" s="20"/>
      <c r="BT152" s="535">
        <f t="shared" si="32"/>
        <v>146</v>
      </c>
      <c r="BV152" s="176"/>
    </row>
    <row r="153" spans="1:74" x14ac:dyDescent="0.25">
      <c r="A153" s="33"/>
      <c r="B153" s="33"/>
      <c r="C153" s="37"/>
      <c r="D153" s="37"/>
      <c r="E153" s="37"/>
      <c r="F153" s="37"/>
      <c r="G153" s="37"/>
      <c r="H153" s="37"/>
      <c r="I153" s="37"/>
      <c r="J153" s="37"/>
      <c r="K153" s="378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42"/>
      <c r="BH153" s="42"/>
      <c r="BI153" s="38"/>
      <c r="BJ153" s="20"/>
      <c r="BK153" s="38"/>
      <c r="BL153" s="38"/>
      <c r="BM153" s="38"/>
      <c r="BN153" s="38"/>
      <c r="BO153" s="38"/>
      <c r="BP153" s="79"/>
      <c r="BR153" s="42"/>
      <c r="BS153" s="20"/>
      <c r="BT153" s="535">
        <f t="shared" si="32"/>
        <v>147</v>
      </c>
      <c r="BV153" s="176"/>
    </row>
    <row r="154" spans="1:74" x14ac:dyDescent="0.25">
      <c r="A154" s="33"/>
      <c r="B154" s="33"/>
      <c r="C154" s="37"/>
      <c r="D154" s="37"/>
      <c r="E154" s="37"/>
      <c r="F154" s="37"/>
      <c r="G154" s="37"/>
      <c r="H154" s="37"/>
      <c r="I154" s="37"/>
      <c r="J154" s="37"/>
      <c r="K154" s="378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42"/>
      <c r="BH154" s="42"/>
      <c r="BI154" s="38"/>
      <c r="BJ154" s="20"/>
      <c r="BK154" s="38"/>
      <c r="BL154" s="38"/>
      <c r="BM154" s="38"/>
      <c r="BN154" s="38"/>
      <c r="BO154" s="38"/>
      <c r="BP154" s="79"/>
      <c r="BR154" s="42"/>
      <c r="BS154" s="20"/>
      <c r="BT154" s="535">
        <f t="shared" si="32"/>
        <v>148</v>
      </c>
      <c r="BV154" s="176"/>
    </row>
    <row r="155" spans="1:74" x14ac:dyDescent="0.25">
      <c r="A155" s="33"/>
      <c r="B155" s="33"/>
      <c r="C155" s="37"/>
      <c r="D155" s="37"/>
      <c r="E155" s="37"/>
      <c r="F155" s="37"/>
      <c r="G155" s="37"/>
      <c r="H155" s="37"/>
      <c r="I155" s="37"/>
      <c r="J155" s="37"/>
      <c r="K155" s="378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42"/>
      <c r="BH155" s="42"/>
      <c r="BI155" s="38"/>
      <c r="BJ155" s="20"/>
      <c r="BK155" s="38"/>
      <c r="BL155" s="38"/>
      <c r="BM155" s="38"/>
      <c r="BN155" s="38"/>
      <c r="BO155" s="38"/>
      <c r="BP155" s="79"/>
      <c r="BR155" s="42"/>
      <c r="BS155" s="20"/>
      <c r="BT155" s="535">
        <f t="shared" si="32"/>
        <v>149</v>
      </c>
      <c r="BV155" s="176"/>
    </row>
    <row r="156" spans="1:74" x14ac:dyDescent="0.25">
      <c r="A156" s="33"/>
      <c r="B156" s="33"/>
      <c r="C156" s="37"/>
      <c r="D156" s="37"/>
      <c r="E156" s="37"/>
      <c r="F156" s="37"/>
      <c r="G156" s="37"/>
      <c r="H156" s="37"/>
      <c r="I156" s="37"/>
      <c r="J156" s="37"/>
      <c r="K156" s="378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42"/>
      <c r="BH156" s="42"/>
      <c r="BI156" s="38"/>
      <c r="BJ156" s="20"/>
      <c r="BK156" s="38"/>
      <c r="BL156" s="38"/>
      <c r="BM156" s="38"/>
      <c r="BN156" s="38"/>
      <c r="BO156" s="38"/>
      <c r="BP156" s="79"/>
      <c r="BR156" s="42"/>
      <c r="BS156" s="20"/>
      <c r="BT156" s="535">
        <f t="shared" si="32"/>
        <v>150</v>
      </c>
      <c r="BV156" s="176"/>
    </row>
    <row r="157" spans="1:74" ht="15" x14ac:dyDescent="0.25">
      <c r="A157" s="33"/>
      <c r="B157" s="33"/>
      <c r="C157" s="37"/>
      <c r="D157" s="37"/>
      <c r="E157" s="37"/>
      <c r="F157" s="37"/>
      <c r="G157" s="37"/>
      <c r="H157" s="37"/>
      <c r="I157" s="37"/>
      <c r="J157" s="37"/>
      <c r="K157" s="378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42"/>
      <c r="BH157" s="42"/>
      <c r="BI157" s="38"/>
      <c r="BJ157" s="20"/>
      <c r="BK157" s="38"/>
      <c r="BL157" s="38"/>
      <c r="BM157" s="38"/>
      <c r="BN157" s="38"/>
      <c r="BO157" s="38"/>
      <c r="BP157" s="79"/>
      <c r="BR157" s="42"/>
      <c r="BS157" s="20"/>
      <c r="BT157" s="535">
        <f t="shared" si="32"/>
        <v>151</v>
      </c>
    </row>
    <row r="158" spans="1:74" ht="15" x14ac:dyDescent="0.25">
      <c r="A158" s="33"/>
      <c r="B158" s="33"/>
      <c r="C158" s="37"/>
      <c r="D158" s="37"/>
      <c r="E158" s="37"/>
      <c r="F158" s="37"/>
      <c r="G158" s="37"/>
      <c r="H158" s="37"/>
      <c r="I158" s="37"/>
      <c r="J158" s="37"/>
      <c r="K158" s="378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42"/>
      <c r="BH158" s="42"/>
      <c r="BI158" s="38"/>
      <c r="BJ158" s="20"/>
      <c r="BK158" s="38"/>
      <c r="BL158" s="38"/>
      <c r="BM158" s="38"/>
      <c r="BN158" s="38"/>
      <c r="BO158" s="38"/>
      <c r="BP158" s="79"/>
      <c r="BR158" s="42"/>
      <c r="BS158" s="20"/>
      <c r="BT158" s="535">
        <f t="shared" si="32"/>
        <v>152</v>
      </c>
    </row>
    <row r="159" spans="1:74" ht="15" x14ac:dyDescent="0.25">
      <c r="A159" s="33" t="s">
        <v>491</v>
      </c>
      <c r="B159" s="33" t="s">
        <v>491</v>
      </c>
      <c r="C159" s="37" t="e">
        <f>#REF!</f>
        <v>#REF!</v>
      </c>
      <c r="D159" s="224" t="e">
        <f>#REF!</f>
        <v>#REF!</v>
      </c>
      <c r="E159" s="224" t="e">
        <f>#REF!</f>
        <v>#REF!</v>
      </c>
      <c r="F159" s="224" t="e">
        <f>#REF!</f>
        <v>#REF!</v>
      </c>
      <c r="G159" s="224" t="e">
        <f>#REF!</f>
        <v>#REF!</v>
      </c>
      <c r="H159" s="224" t="e">
        <f>#REF!</f>
        <v>#REF!</v>
      </c>
      <c r="I159" s="224" t="e">
        <f>#REF!</f>
        <v>#REF!</v>
      </c>
      <c r="J159" s="224" t="e">
        <f>#REF!</f>
        <v>#REF!</v>
      </c>
      <c r="K159" s="378"/>
      <c r="L159" s="224" t="e">
        <f>#REF!</f>
        <v>#REF!</v>
      </c>
      <c r="M159" s="224" t="e">
        <f>#REF!</f>
        <v>#REF!</v>
      </c>
      <c r="N159" s="224" t="e">
        <f>#REF!</f>
        <v>#REF!</v>
      </c>
      <c r="O159" s="224" t="e">
        <f>#REF!</f>
        <v>#REF!</v>
      </c>
      <c r="P159" s="224" t="e">
        <f>#REF!</f>
        <v>#REF!</v>
      </c>
      <c r="Q159" s="224" t="e">
        <f>#REF!</f>
        <v>#REF!</v>
      </c>
      <c r="R159" s="224" t="e">
        <f>#REF!</f>
        <v>#REF!</v>
      </c>
      <c r="S159" s="224" t="e">
        <f>#REF!</f>
        <v>#REF!</v>
      </c>
      <c r="T159" s="224" t="e">
        <f>#REF!</f>
        <v>#REF!</v>
      </c>
      <c r="U159" s="224" t="e">
        <f>#REF!</f>
        <v>#REF!</v>
      </c>
      <c r="V159" s="224" t="e">
        <f>#REF!</f>
        <v>#REF!</v>
      </c>
      <c r="W159" s="224" t="e">
        <f>#REF!</f>
        <v>#REF!</v>
      </c>
      <c r="X159" s="224" t="e">
        <f>#REF!</f>
        <v>#REF!</v>
      </c>
      <c r="Y159" s="224" t="e">
        <f>#REF!</f>
        <v>#REF!</v>
      </c>
      <c r="Z159" s="224" t="e">
        <f>#REF!</f>
        <v>#REF!</v>
      </c>
      <c r="AA159" s="224" t="e">
        <f>#REF!</f>
        <v>#REF!</v>
      </c>
      <c r="AB159" s="224" t="e">
        <f>#REF!</f>
        <v>#REF!</v>
      </c>
      <c r="AC159" s="224" t="e">
        <f>#REF!</f>
        <v>#REF!</v>
      </c>
      <c r="AD159" s="224" t="e">
        <f>#REF!</f>
        <v>#REF!</v>
      </c>
      <c r="AE159" s="224" t="e">
        <f>#REF!</f>
        <v>#REF!</v>
      </c>
      <c r="AF159" s="224" t="e">
        <f>#REF!</f>
        <v>#REF!</v>
      </c>
      <c r="AG159" s="224" t="e">
        <f>#REF!</f>
        <v>#REF!</v>
      </c>
      <c r="AH159" s="224" t="e">
        <f>#REF!</f>
        <v>#REF!</v>
      </c>
      <c r="AI159" s="224" t="e">
        <f>#REF!</f>
        <v>#REF!</v>
      </c>
      <c r="AJ159" s="224" t="e">
        <f>#REF!</f>
        <v>#REF!</v>
      </c>
      <c r="AK159" s="224" t="e">
        <f>#REF!</f>
        <v>#REF!</v>
      </c>
      <c r="AL159" s="224" t="e">
        <f>#REF!</f>
        <v>#REF!</v>
      </c>
      <c r="AM159" s="224" t="e">
        <f>#REF!</f>
        <v>#REF!</v>
      </c>
      <c r="AN159" s="224" t="e">
        <f>#REF!</f>
        <v>#REF!</v>
      </c>
      <c r="AO159" s="224" t="e">
        <f>#REF!</f>
        <v>#REF!</v>
      </c>
      <c r="AP159" s="224" t="e">
        <f>#REF!</f>
        <v>#REF!</v>
      </c>
      <c r="AQ159" s="224" t="e">
        <f>#REF!</f>
        <v>#REF!</v>
      </c>
      <c r="AR159" s="224" t="e">
        <f>#REF!</f>
        <v>#REF!</v>
      </c>
      <c r="AS159" s="224" t="e">
        <f>#REF!</f>
        <v>#REF!</v>
      </c>
      <c r="AT159" s="224" t="e">
        <f>#REF!</f>
        <v>#REF!</v>
      </c>
      <c r="AU159" s="224" t="e">
        <f>#REF!</f>
        <v>#REF!</v>
      </c>
      <c r="AV159" s="224" t="e">
        <f>#REF!</f>
        <v>#REF!</v>
      </c>
      <c r="AW159" s="224" t="e">
        <f>#REF!</f>
        <v>#REF!</v>
      </c>
      <c r="AX159" s="224" t="e">
        <f>#REF!</f>
        <v>#REF!</v>
      </c>
      <c r="AY159" s="224" t="e">
        <f>#REF!</f>
        <v>#REF!</v>
      </c>
      <c r="AZ159" s="224" t="e">
        <f>#REF!</f>
        <v>#REF!</v>
      </c>
      <c r="BA159" s="224" t="e">
        <f>#REF!</f>
        <v>#REF!</v>
      </c>
      <c r="BB159" s="224" t="e">
        <f>#REF!</f>
        <v>#REF!</v>
      </c>
      <c r="BC159" s="224" t="e">
        <f>#REF!</f>
        <v>#REF!</v>
      </c>
      <c r="BD159" s="224" t="e">
        <f>#REF!</f>
        <v>#REF!</v>
      </c>
      <c r="BE159" s="224" t="e">
        <f>#REF!</f>
        <v>#REF!</v>
      </c>
      <c r="BF159" s="224" t="e">
        <f>#REF!</f>
        <v>#REF!</v>
      </c>
      <c r="BG159" s="42" t="e">
        <f>#REF!</f>
        <v>#REF!</v>
      </c>
      <c r="BH159" s="42" t="e">
        <f>#REF!</f>
        <v>#REF!</v>
      </c>
      <c r="BI159" s="225" t="e">
        <f>#REF!</f>
        <v>#REF!</v>
      </c>
      <c r="BJ159" s="196" t="e">
        <f>1/(BH159-BG159)</f>
        <v>#REF!</v>
      </c>
      <c r="BK159" s="38"/>
      <c r="BL159" s="38"/>
      <c r="BM159" s="38"/>
      <c r="BN159" s="38">
        <v>0</v>
      </c>
      <c r="BO159" s="38" t="e">
        <f>#REF!</f>
        <v>#REF!</v>
      </c>
      <c r="BP159" s="79"/>
      <c r="BR159" s="196" t="e">
        <f>((C159*C$5+D159*D$5+E159*E$5+F159*F$5+G159*G$5+H159*H$5+I159*I$5+J159*J$5+L159*L$5+M159*M$5+N159*N$5+O159*O$5+P159*P$5+Q159*Q$5+R159*R$5+S159*S$5+T159*T$5+U159*U$5+V159*V$5+W159*W$5+X159*X$5+Y159*Y$5+Z159*Z$5+AA159*AA$5+AB159*AB$5+AC159*AC$5+AD159*AD$5+AE159*AE$5+AF159*AF$5+AG159*AG$5+AH159*AH$5+AI159*AI$5+AJ159*AJ$5+AK159*AK$5+AL159*AL$5+AM159*AM$5+AN159*AN$5+AO159*AO$5+AP159*AP$5+AQ159*AQ$5+AR159*AR$5+AS159*AS$5+AT159*AT$5+AU159*AU$5+AV159*AV$5+AW159*AW$5+AX159*AX$5+AY159*AY$5+AZ159*AZ$5+BA159*BA$5+BB159*BB$5+BC159*BC$5+BD159*BD$5+BE159*BE$5+BF159*BF$5)/1000)</f>
        <v>#REF!</v>
      </c>
      <c r="BS159" s="340" t="e">
        <f>BI159/1000-1</f>
        <v>#REF!</v>
      </c>
      <c r="BT159" s="535">
        <f t="shared" si="32"/>
        <v>153</v>
      </c>
    </row>
  </sheetData>
  <sheetProtection selectLockedCells="1" selectUnlockedCells="1"/>
  <sortState ref="A8:BV124">
    <sortCondition ref="A8:A124"/>
  </sortState>
  <mergeCells count="7">
    <mergeCell ref="A1:BO1"/>
    <mergeCell ref="BG2:BO2"/>
    <mergeCell ref="A4:B4"/>
    <mergeCell ref="A6:B6"/>
    <mergeCell ref="A5:B5"/>
    <mergeCell ref="A2:B2"/>
    <mergeCell ref="C2:BF2"/>
  </mergeCells>
  <conditionalFormatting sqref="A4:A5 A1 BG2:BG3 A2:C3 BQ160:XFD1048576 A7:BO7 BQ7:BS7 BQ1:XFD6 A6:B6 C101 A40:A93 C78:BF96 C98:BF100 BP4:BP75 C40:BF75 BQ8:BQ96 BQ98:BQ110 BI11:BO39 A160:BH1048576 BH11:BH17 A8:BF39 BH8:BO10 BG8:BG17 C102:BF110 BM108:BN108 BR8:BS110 BG18:BH110 BJ108 BU7:XFD159 BI109:BN114 BI40:BN107 BO40:BO114 BI115:BO119 BQ111:BS119 BQ131:BS159 BI131:BO1048576 A95:A110 C4:BO6 A111:BG120 BI120:BN121 BM122:BN122 C122:BF122 A121:A122 C121:BG121 A123:BG124 A131:BG159 C125:BG130 BI123:BN130 BQ121:BQ130 BS120:BS130">
    <cfRule type="cellIs" dxfId="41" priority="48" operator="equal">
      <formula>0</formula>
    </cfRule>
  </conditionalFormatting>
  <conditionalFormatting sqref="BH111:BH121 BH123:BH159">
    <cfRule type="cellIs" dxfId="40" priority="45" operator="equal">
      <formula>0</formula>
    </cfRule>
  </conditionalFormatting>
  <conditionalFormatting sqref="BT7:BT159">
    <cfRule type="cellIs" dxfId="39" priority="44" operator="equal">
      <formula>0</formula>
    </cfRule>
  </conditionalFormatting>
  <conditionalFormatting sqref="BP78:BP96 BP98:BP119 BP121:BP1048576">
    <cfRule type="cellIs" dxfId="38" priority="43" operator="equal">
      <formula>0</formula>
    </cfRule>
  </conditionalFormatting>
  <conditionalFormatting sqref="C97:BF97 BQ97">
    <cfRule type="cellIs" dxfId="37" priority="42" operator="equal">
      <formula>0</formula>
    </cfRule>
  </conditionalFormatting>
  <conditionalFormatting sqref="BP97">
    <cfRule type="cellIs" dxfId="36" priority="40" operator="equal">
      <formula>0</formula>
    </cfRule>
  </conditionalFormatting>
  <conditionalFormatting sqref="C76:BF76">
    <cfRule type="cellIs" dxfId="35" priority="39" operator="equal">
      <formula>0</formula>
    </cfRule>
  </conditionalFormatting>
  <conditionalFormatting sqref="BP76">
    <cfRule type="cellIs" dxfId="34" priority="37" operator="equal">
      <formula>0</formula>
    </cfRule>
  </conditionalFormatting>
  <conditionalFormatting sqref="C77:BF77">
    <cfRule type="cellIs" dxfId="33" priority="36" operator="equal">
      <formula>0</formula>
    </cfRule>
  </conditionalFormatting>
  <conditionalFormatting sqref="BP77">
    <cfRule type="cellIs" dxfId="32" priority="34" operator="equal">
      <formula>0</formula>
    </cfRule>
  </conditionalFormatting>
  <conditionalFormatting sqref="D101:BF101">
    <cfRule type="cellIs" dxfId="31" priority="33" operator="equal">
      <formula>0</formula>
    </cfRule>
  </conditionalFormatting>
  <conditionalFormatting sqref="B40:B47 B53:B110">
    <cfRule type="cellIs" dxfId="30" priority="31" operator="equal">
      <formula>0</formula>
    </cfRule>
  </conditionalFormatting>
  <conditionalFormatting sqref="BI108 BK108:BL108">
    <cfRule type="cellIs" dxfId="29" priority="30" operator="equal">
      <formula>0</formula>
    </cfRule>
  </conditionalFormatting>
  <conditionalFormatting sqref="BO120 BQ120:BR120 BR121:BR124">
    <cfRule type="cellIs" dxfId="28" priority="29" operator="equal">
      <formula>0</formula>
    </cfRule>
  </conditionalFormatting>
  <conditionalFormatting sqref="BP120">
    <cfRule type="cellIs" dxfId="27" priority="28" operator="equal">
      <formula>0</formula>
    </cfRule>
  </conditionalFormatting>
  <conditionalFormatting sqref="A94">
    <cfRule type="cellIs" dxfId="26" priority="27" operator="equal">
      <formula>0</formula>
    </cfRule>
  </conditionalFormatting>
  <conditionalFormatting sqref="B48:B52">
    <cfRule type="cellIs" dxfId="25" priority="26" operator="equal">
      <formula>0</formula>
    </cfRule>
  </conditionalFormatting>
  <conditionalFormatting sqref="BO121">
    <cfRule type="cellIs" dxfId="24" priority="25" operator="equal">
      <formula>0</formula>
    </cfRule>
  </conditionalFormatting>
  <conditionalFormatting sqref="BG122 BI122:BL122">
    <cfRule type="cellIs" dxfId="23" priority="24" operator="equal">
      <formula>0</formula>
    </cfRule>
  </conditionalFormatting>
  <conditionalFormatting sqref="BH122">
    <cfRule type="cellIs" dxfId="22" priority="23" operator="equal">
      <formula>0</formula>
    </cfRule>
  </conditionalFormatting>
  <conditionalFormatting sqref="BO122">
    <cfRule type="cellIs" dxfId="21" priority="22" operator="equal">
      <formula>0</formula>
    </cfRule>
  </conditionalFormatting>
  <conditionalFormatting sqref="B121:B122">
    <cfRule type="cellIs" dxfId="20" priority="21" operator="equal">
      <formula>0</formula>
    </cfRule>
  </conditionalFormatting>
  <conditionalFormatting sqref="BO123">
    <cfRule type="cellIs" dxfId="19" priority="20" operator="equal">
      <formula>0</formula>
    </cfRule>
  </conditionalFormatting>
  <conditionalFormatting sqref="BO124">
    <cfRule type="cellIs" dxfId="18" priority="19" operator="equal">
      <formula>0</formula>
    </cfRule>
  </conditionalFormatting>
  <conditionalFormatting sqref="A125:B126">
    <cfRule type="cellIs" dxfId="17" priority="18" operator="equal">
      <formula>0</formula>
    </cfRule>
  </conditionalFormatting>
  <conditionalFormatting sqref="BO125">
    <cfRule type="cellIs" dxfId="16" priority="17" operator="equal">
      <formula>0</formula>
    </cfRule>
  </conditionalFormatting>
  <conditionalFormatting sqref="BO126">
    <cfRule type="cellIs" dxfId="15" priority="16" operator="equal">
      <formula>0</formula>
    </cfRule>
  </conditionalFormatting>
  <conditionalFormatting sqref="BR125">
    <cfRule type="cellIs" dxfId="14" priority="15" operator="equal">
      <formula>0</formula>
    </cfRule>
  </conditionalFormatting>
  <conditionalFormatting sqref="BR126">
    <cfRule type="cellIs" dxfId="13" priority="14" operator="equal">
      <formula>0</formula>
    </cfRule>
  </conditionalFormatting>
  <conditionalFormatting sqref="A127:B127">
    <cfRule type="cellIs" dxfId="12" priority="13" operator="equal">
      <formula>0</formula>
    </cfRule>
  </conditionalFormatting>
  <conditionalFormatting sqref="BO127">
    <cfRule type="cellIs" dxfId="11" priority="12" operator="equal">
      <formula>0</formula>
    </cfRule>
  </conditionalFormatting>
  <conditionalFormatting sqref="BR127">
    <cfRule type="cellIs" dxfId="10" priority="11" operator="equal">
      <formula>0</formula>
    </cfRule>
  </conditionalFormatting>
  <conditionalFormatting sqref="A128:B128">
    <cfRule type="cellIs" dxfId="9" priority="10" operator="equal">
      <formula>0</formula>
    </cfRule>
  </conditionalFormatting>
  <conditionalFormatting sqref="BO128">
    <cfRule type="cellIs" dxfId="8" priority="9" operator="equal">
      <formula>0</formula>
    </cfRule>
  </conditionalFormatting>
  <conditionalFormatting sqref="BR128">
    <cfRule type="cellIs" dxfId="7" priority="8" operator="equal">
      <formula>0</formula>
    </cfRule>
  </conditionalFormatting>
  <conditionalFormatting sqref="A129:B129">
    <cfRule type="cellIs" dxfId="6" priority="7" operator="equal">
      <formula>0</formula>
    </cfRule>
  </conditionalFormatting>
  <conditionalFormatting sqref="BO129">
    <cfRule type="cellIs" dxfId="5" priority="6" operator="equal">
      <formula>0</formula>
    </cfRule>
  </conditionalFormatting>
  <conditionalFormatting sqref="BR129">
    <cfRule type="cellIs" dxfId="4" priority="5" operator="equal">
      <formula>0</formula>
    </cfRule>
  </conditionalFormatting>
  <conditionalFormatting sqref="A130">
    <cfRule type="cellIs" dxfId="3" priority="4" operator="equal">
      <formula>0</formula>
    </cfRule>
  </conditionalFormatting>
  <conditionalFormatting sqref="B130">
    <cfRule type="cellIs" dxfId="2" priority="3" operator="equal">
      <formula>0</formula>
    </cfRule>
  </conditionalFormatting>
  <conditionalFormatting sqref="BO130">
    <cfRule type="cellIs" dxfId="1" priority="2" operator="equal">
      <formula>0</formula>
    </cfRule>
  </conditionalFormatting>
  <conditionalFormatting sqref="BR130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headerFooter>
    <oddFooter>&amp;L&amp;F
Sheet Printed: &amp;T &amp;D
PRIVATE AND 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Bulk Plant Input</vt:lpstr>
      <vt:lpstr>Bulk Plant Loading</vt:lpstr>
      <vt:lpstr>Management Sheet</vt:lpstr>
      <vt:lpstr>BLEND INCOMPATIBILITIES</vt:lpstr>
      <vt:lpstr>ADDITIVE INCOMPATIBILITIES</vt:lpstr>
      <vt:lpstr>ADDITIVE NAME CROSS-REFERENCE</vt:lpstr>
      <vt:lpstr>Base Blend Property Calculation</vt:lpstr>
      <vt:lpstr>BagSize</vt:lpstr>
      <vt:lpstr>Client_List</vt:lpstr>
      <vt:lpstr>'ADDITIVE INCOMPATIBILITIES'!Print_Area</vt:lpstr>
      <vt:lpstr>'Bulk Plant Batch Loading'!Print_Area</vt:lpstr>
      <vt:lpstr>'Bulk Plant Loading'!Print_Area</vt:lpstr>
      <vt:lpstr>'MTS Sheet'!Print_Area</vt:lpstr>
      <vt:lpstr>SiloSize</vt:lpstr>
    </vt:vector>
  </TitlesOfParts>
  <Company>Sanjel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Schneider</dc:creator>
  <cp:lastModifiedBy>Jason Schneider</cp:lastModifiedBy>
  <cp:lastPrinted>2016-11-07T23:15:56Z</cp:lastPrinted>
  <dcterms:created xsi:type="dcterms:W3CDTF">2015-01-08T22:49:14Z</dcterms:created>
  <dcterms:modified xsi:type="dcterms:W3CDTF">2017-08-17T22:01:35Z</dcterms:modified>
</cp:coreProperties>
</file>