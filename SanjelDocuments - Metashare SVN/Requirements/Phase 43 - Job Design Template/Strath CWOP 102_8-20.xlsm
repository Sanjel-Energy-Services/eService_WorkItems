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P:\Client Solutions\Clients\Strathcona Resources\1. Primary\2020\62-3 W6\(12-9) 102_8-20-62-3 W6\CWOP (in progress)\CWOP File\"/>
    </mc:Choice>
  </mc:AlternateContent>
  <xr:revisionPtr revIDLastSave="0" documentId="13_ncr:1_{59BC0A0B-0568-4B7C-8D7E-F0BA80949B1D}" xr6:coauthVersionLast="45" xr6:coauthVersionMax="45" xr10:uidLastSave="{00000000-0000-0000-0000-000000000000}"/>
  <bookViews>
    <workbookView xWindow="28680" yWindow="-120" windowWidth="29040" windowHeight="15840" tabRatio="803" activeTab="5" xr2:uid="{00000000-000D-0000-FFFF-FFFF00000000}"/>
  </bookViews>
  <sheets>
    <sheet name="Instructions" sheetId="11" r:id="rId1"/>
    <sheet name="Input" sheetId="1" r:id="rId2"/>
    <sheet name="Prejob Meeting" sheetId="4" r:id="rId3"/>
    <sheet name="HP Calcs" sheetId="10" r:id="rId4"/>
    <sheet name="Approval Sheet" sheetId="2" r:id="rId5"/>
    <sheet name="Test Results" sheetId="6" r:id="rId6"/>
    <sheet name="High Profile Call Sand Box" sheetId="3" r:id="rId7"/>
    <sheet name="Printable HP " sheetId="8" r:id="rId8"/>
    <sheet name="District AAR" sheetId="5" r:id="rId9"/>
    <sheet name="Calgary AAR" sheetId="7" r:id="rId10"/>
  </sheets>
  <functionGroups builtInGroupCount="19"/>
  <definedNames>
    <definedName name="ENG_TYPE">'HP Calcs'!$AK$10:$AT$14</definedName>
    <definedName name="_xlnm.Print_Area" localSheetId="4">'Approval Sheet'!$A$1:$Q$50</definedName>
    <definedName name="_xlnm.Print_Area" localSheetId="3">'HP Calcs'!$A$1:$M$52</definedName>
    <definedName name="_xlnm.Print_Area" localSheetId="2">'Prejob Meeting'!$A$1:$G$73</definedName>
    <definedName name="RATE_PRES">'HP Calcs'!$AK$18:$AP$21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2" l="1"/>
  <c r="I3" i="2"/>
  <c r="I5" i="2"/>
  <c r="I9" i="2"/>
  <c r="I4" i="2"/>
  <c r="Y11" i="2"/>
  <c r="Z11" i="2"/>
  <c r="Z10" i="2"/>
  <c r="Y10" i="2"/>
  <c r="Z9" i="2"/>
  <c r="Y9" i="2"/>
  <c r="B41" i="6"/>
  <c r="C41" i="6"/>
  <c r="D41" i="6"/>
  <c r="A41" i="6"/>
  <c r="J9" i="1"/>
  <c r="K9" i="1" s="1"/>
  <c r="J8" i="1"/>
  <c r="K8" i="1" s="1"/>
  <c r="J7" i="1"/>
  <c r="K7" i="1" s="1"/>
  <c r="J6" i="1"/>
  <c r="K6" i="1" s="1"/>
  <c r="I9" i="1"/>
  <c r="I8" i="1"/>
  <c r="I7" i="1"/>
  <c r="I6" i="1"/>
  <c r="H5" i="2"/>
  <c r="H8" i="2" l="1"/>
  <c r="I8" i="2" s="1"/>
  <c r="H6" i="2"/>
  <c r="I6" i="2" s="1"/>
  <c r="X11" i="2"/>
  <c r="X9" i="2"/>
  <c r="D42" i="6"/>
  <c r="D43" i="6" s="1"/>
  <c r="C42" i="6"/>
  <c r="A42" i="6"/>
  <c r="A43" i="6" s="1"/>
  <c r="B42" i="6"/>
  <c r="B43" i="6" s="1"/>
  <c r="C43" i="6" l="1"/>
  <c r="H7" i="2"/>
  <c r="I7" i="2" s="1"/>
  <c r="F28" i="2" l="1"/>
  <c r="C4" i="10"/>
  <c r="B4" i="4"/>
  <c r="C5" i="10" l="1"/>
  <c r="B5" i="2" l="1"/>
  <c r="E4" i="10" l="1"/>
  <c r="AL11" i="10"/>
  <c r="AL12" i="10"/>
  <c r="AL10" i="10"/>
  <c r="P5" i="10" l="1"/>
  <c r="P6" i="10" l="1"/>
  <c r="B9" i="2"/>
  <c r="F37" i="2"/>
  <c r="E37" i="2"/>
  <c r="D37" i="2"/>
  <c r="B37" i="2"/>
  <c r="A37" i="2"/>
  <c r="H37" i="2" s="1"/>
  <c r="G31" i="2"/>
  <c r="G30" i="2"/>
  <c r="G29" i="2"/>
  <c r="Q28" i="2"/>
  <c r="O29" i="2" s="1"/>
  <c r="P28" i="2"/>
  <c r="N29" i="2" s="1"/>
  <c r="G28" i="2"/>
  <c r="C28" i="2"/>
  <c r="C37" i="2" s="1"/>
  <c r="P7" i="10" l="1"/>
  <c r="I37" i="2"/>
  <c r="M37" i="2" s="1"/>
  <c r="G37" i="2"/>
  <c r="H2" i="2"/>
  <c r="X6" i="2" s="1"/>
  <c r="P8" i="10" l="1"/>
  <c r="L43" i="2"/>
  <c r="L44" i="2" s="1"/>
  <c r="L41" i="2"/>
  <c r="L42" i="2" s="1"/>
  <c r="O37" i="2"/>
  <c r="N37" i="2"/>
  <c r="N41" i="2" s="1"/>
  <c r="H3" i="2"/>
  <c r="X14" i="2"/>
  <c r="M38" i="2"/>
  <c r="P9" i="10" l="1"/>
  <c r="N38" i="2"/>
  <c r="P41" i="2"/>
  <c r="O38" i="2"/>
  <c r="N43" i="2"/>
  <c r="N42" i="2"/>
  <c r="P10" i="10" l="1"/>
  <c r="P42" i="2"/>
  <c r="H9" i="2"/>
  <c r="Z6" i="2" s="1"/>
  <c r="N44" i="2"/>
  <c r="O42" i="2"/>
  <c r="M41" i="2"/>
  <c r="P11" i="10" l="1"/>
  <c r="M43" i="2"/>
  <c r="M44" i="2" s="1"/>
  <c r="M42" i="2"/>
  <c r="H4" i="2"/>
  <c r="Y6" i="2" s="1"/>
  <c r="O44" i="2"/>
  <c r="P43" i="2"/>
  <c r="P12" i="10" l="1"/>
  <c r="Y13" i="2"/>
  <c r="P44" i="2"/>
  <c r="P13" i="10" l="1"/>
  <c r="P14" i="10" l="1"/>
  <c r="J1" i="6"/>
  <c r="B1" i="6"/>
  <c r="B6" i="2"/>
  <c r="B4" i="2"/>
  <c r="B3" i="2"/>
  <c r="B2" i="2"/>
  <c r="G3" i="4"/>
  <c r="G2" i="4"/>
  <c r="B7" i="4"/>
  <c r="B6" i="4"/>
  <c r="B5" i="4"/>
  <c r="B2" i="4"/>
  <c r="AE14" i="10" l="1"/>
  <c r="P15" i="10"/>
  <c r="D34" i="10"/>
  <c r="D35" i="10" s="1"/>
  <c r="D36" i="10" s="1"/>
  <c r="AP21" i="10"/>
  <c r="Y14" i="10" s="1"/>
  <c r="AM21" i="10"/>
  <c r="AP20" i="10"/>
  <c r="AM20" i="10"/>
  <c r="AP19" i="10"/>
  <c r="W14" i="10" s="1"/>
  <c r="AM19" i="10"/>
  <c r="E5" i="10" s="1"/>
  <c r="AR14" i="10"/>
  <c r="AT14" i="10" s="1"/>
  <c r="AQ14" i="10"/>
  <c r="AS14" i="10" s="1"/>
  <c r="AR13" i="10"/>
  <c r="AT13" i="10" s="1"/>
  <c r="AQ13" i="10"/>
  <c r="AS13" i="10" s="1"/>
  <c r="AP12" i="10"/>
  <c r="AR12" i="10" s="1"/>
  <c r="AT12" i="10" s="1"/>
  <c r="AO12" i="10"/>
  <c r="AQ12" i="10" s="1"/>
  <c r="AS12" i="10" s="1"/>
  <c r="AP11" i="10"/>
  <c r="AR11" i="10" s="1"/>
  <c r="AO11" i="10"/>
  <c r="AQ11" i="10" s="1"/>
  <c r="AP10" i="10"/>
  <c r="AR10" i="10" s="1"/>
  <c r="AT10" i="10" s="1"/>
  <c r="AO10" i="10"/>
  <c r="AQ10" i="10" s="1"/>
  <c r="AS10" i="10" s="1"/>
  <c r="B5" i="10"/>
  <c r="AO5" i="10"/>
  <c r="AK4" i="10"/>
  <c r="AM11" i="10" l="1"/>
  <c r="AM10" i="10"/>
  <c r="AM12" i="10"/>
  <c r="AM14" i="10"/>
  <c r="AM13" i="10"/>
  <c r="AN12" i="10"/>
  <c r="AN13" i="10"/>
  <c r="AN10" i="10"/>
  <c r="AN14" i="10"/>
  <c r="AN11" i="10"/>
  <c r="AE4" i="10"/>
  <c r="AC4" i="10"/>
  <c r="AD4" i="10"/>
  <c r="AC5" i="10"/>
  <c r="AD5" i="10"/>
  <c r="AE5" i="10"/>
  <c r="AE6" i="10"/>
  <c r="AC6" i="10"/>
  <c r="AD6" i="10"/>
  <c r="AD7" i="10"/>
  <c r="AE7" i="10"/>
  <c r="AC7" i="10"/>
  <c r="AC8" i="10"/>
  <c r="AD8" i="10"/>
  <c r="AE8" i="10"/>
  <c r="AD9" i="10"/>
  <c r="AE9" i="10"/>
  <c r="AC9" i="10"/>
  <c r="AC10" i="10"/>
  <c r="AD10" i="10"/>
  <c r="AE10" i="10"/>
  <c r="AD11" i="10"/>
  <c r="AE11" i="10"/>
  <c r="AC11" i="10"/>
  <c r="AC12" i="10"/>
  <c r="AD12" i="10"/>
  <c r="AE12" i="10"/>
  <c r="AD13" i="10"/>
  <c r="AE13" i="10"/>
  <c r="AC13" i="10"/>
  <c r="AD14" i="10"/>
  <c r="R14" i="10"/>
  <c r="B8" i="2"/>
  <c r="AC14" i="10"/>
  <c r="S14" i="10"/>
  <c r="Q4" i="10"/>
  <c r="Q5" i="10"/>
  <c r="R5" i="10"/>
  <c r="S5" i="10"/>
  <c r="Q6" i="10"/>
  <c r="S6" i="10"/>
  <c r="R6" i="10"/>
  <c r="Q7" i="10"/>
  <c r="S7" i="10"/>
  <c r="R7" i="10"/>
  <c r="Q8" i="10"/>
  <c r="R8" i="10"/>
  <c r="S8" i="10"/>
  <c r="R9" i="10"/>
  <c r="Q9" i="10"/>
  <c r="S9" i="10"/>
  <c r="R10" i="10"/>
  <c r="Q10" i="10"/>
  <c r="S10" i="10"/>
  <c r="R11" i="10"/>
  <c r="Q11" i="10"/>
  <c r="S11" i="10"/>
  <c r="Q12" i="10"/>
  <c r="R12" i="10"/>
  <c r="S12" i="10"/>
  <c r="S13" i="10"/>
  <c r="Q13" i="10"/>
  <c r="R13" i="10"/>
  <c r="W5" i="10"/>
  <c r="X5" i="10"/>
  <c r="Y5" i="10"/>
  <c r="W6" i="10"/>
  <c r="Y6" i="10"/>
  <c r="X6" i="10"/>
  <c r="Y7" i="10"/>
  <c r="X7" i="10"/>
  <c r="W7" i="10"/>
  <c r="X8" i="10"/>
  <c r="Y8" i="10"/>
  <c r="W8" i="10"/>
  <c r="W9" i="10"/>
  <c r="X9" i="10"/>
  <c r="Y9" i="10"/>
  <c r="X10" i="10"/>
  <c r="W10" i="10"/>
  <c r="Y10" i="10"/>
  <c r="W11" i="10"/>
  <c r="Y11" i="10"/>
  <c r="X11" i="10"/>
  <c r="Y12" i="10"/>
  <c r="W12" i="10"/>
  <c r="X12" i="10"/>
  <c r="W13" i="10"/>
  <c r="X13" i="10"/>
  <c r="Y13" i="10"/>
  <c r="X14" i="10"/>
  <c r="AA4" i="10"/>
  <c r="AB4" i="10"/>
  <c r="Z4" i="10"/>
  <c r="Z5" i="10"/>
  <c r="AA5" i="10"/>
  <c r="AB5" i="10"/>
  <c r="AA6" i="10"/>
  <c r="AB6" i="10"/>
  <c r="Z6" i="10"/>
  <c r="Z7" i="10"/>
  <c r="AA7" i="10"/>
  <c r="AB7" i="10"/>
  <c r="AB8" i="10"/>
  <c r="Z8" i="10"/>
  <c r="AA8" i="10"/>
  <c r="Z9" i="10"/>
  <c r="AA9" i="10"/>
  <c r="AB9" i="10"/>
  <c r="AB10" i="10"/>
  <c r="Z10" i="10"/>
  <c r="AA10" i="10"/>
  <c r="Z11" i="10"/>
  <c r="AB11" i="10"/>
  <c r="AA11" i="10"/>
  <c r="AB12" i="10"/>
  <c r="Z12" i="10"/>
  <c r="AA12" i="10"/>
  <c r="Z13" i="10"/>
  <c r="AB13" i="10"/>
  <c r="AA13" i="10"/>
  <c r="Z15" i="10"/>
  <c r="AD15" i="10"/>
  <c r="AA15" i="10"/>
  <c r="AE15" i="10"/>
  <c r="R15" i="10"/>
  <c r="AB15" i="10"/>
  <c r="Q15" i="10"/>
  <c r="S15" i="10"/>
  <c r="W15" i="10"/>
  <c r="Y15" i="10"/>
  <c r="X15" i="10"/>
  <c r="AC15" i="10"/>
  <c r="P16" i="10"/>
  <c r="AH14" i="10" s="1"/>
  <c r="AA14" i="10"/>
  <c r="Q14" i="10"/>
  <c r="Z14" i="10"/>
  <c r="AB14" i="10"/>
  <c r="S4" i="10"/>
  <c r="W4" i="10"/>
  <c r="X4" i="10"/>
  <c r="R4" i="10"/>
  <c r="Y4" i="10"/>
  <c r="AH2" i="10"/>
  <c r="AI14" i="10"/>
  <c r="AI2" i="10"/>
  <c r="AH3" i="10"/>
  <c r="AI3" i="10"/>
  <c r="AH4" i="10"/>
  <c r="AI5" i="10"/>
  <c r="AI4" i="10"/>
  <c r="AH5" i="10"/>
  <c r="AH6" i="10"/>
  <c r="AI6" i="10"/>
  <c r="AI7" i="10"/>
  <c r="AH7" i="10"/>
  <c r="AH8" i="10"/>
  <c r="AI8" i="10"/>
  <c r="AH9" i="10"/>
  <c r="AI9" i="10"/>
  <c r="AH10" i="10"/>
  <c r="AI10" i="10"/>
  <c r="AI11" i="10"/>
  <c r="AH11" i="10"/>
  <c r="AH12" i="10"/>
  <c r="AI12" i="10"/>
  <c r="AH13" i="10"/>
  <c r="AI13" i="10"/>
  <c r="AT11" i="10"/>
  <c r="E34" i="10"/>
  <c r="F34" i="10"/>
  <c r="AS11" i="10"/>
  <c r="D37" i="10"/>
  <c r="E36" i="10"/>
  <c r="F36" i="10"/>
  <c r="E35" i="10"/>
  <c r="F35" i="10"/>
  <c r="V15" i="10" l="1"/>
  <c r="U15" i="10"/>
  <c r="U4" i="10"/>
  <c r="T4" i="10"/>
  <c r="AB16" i="10"/>
  <c r="AC16" i="10"/>
  <c r="Z16" i="10"/>
  <c r="AD16" i="10"/>
  <c r="AA16" i="10"/>
  <c r="Q16" i="10"/>
  <c r="U16" i="10"/>
  <c r="Y16" i="10"/>
  <c r="AE16" i="10"/>
  <c r="R16" i="10"/>
  <c r="V16" i="10"/>
  <c r="S16" i="10"/>
  <c r="W16" i="10"/>
  <c r="T16" i="10"/>
  <c r="X16" i="10"/>
  <c r="P17" i="10"/>
  <c r="T5" i="10"/>
  <c r="V5" i="10"/>
  <c r="U5" i="10"/>
  <c r="T6" i="10"/>
  <c r="V6" i="10"/>
  <c r="U6" i="10"/>
  <c r="V7" i="10"/>
  <c r="T7" i="10"/>
  <c r="U7" i="10"/>
  <c r="T8" i="10"/>
  <c r="U8" i="10"/>
  <c r="V8" i="10"/>
  <c r="V9" i="10"/>
  <c r="T9" i="10"/>
  <c r="U9" i="10"/>
  <c r="T10" i="10"/>
  <c r="U10" i="10"/>
  <c r="V10" i="10"/>
  <c r="V11" i="10"/>
  <c r="T11" i="10"/>
  <c r="U11" i="10"/>
  <c r="V12" i="10"/>
  <c r="T12" i="10"/>
  <c r="U12" i="10"/>
  <c r="T13" i="10"/>
  <c r="U13" i="10"/>
  <c r="V13" i="10"/>
  <c r="U14" i="10"/>
  <c r="V14" i="10"/>
  <c r="T14" i="10"/>
  <c r="V4" i="10"/>
  <c r="T15" i="10"/>
  <c r="E37" i="10"/>
  <c r="F37" i="10"/>
  <c r="D38" i="10"/>
  <c r="Z17" i="10" l="1"/>
  <c r="AD17" i="10"/>
  <c r="AA17" i="10"/>
  <c r="AE17" i="10"/>
  <c r="AB17" i="10"/>
  <c r="T17" i="10"/>
  <c r="X17" i="10"/>
  <c r="Q17" i="10"/>
  <c r="U17" i="10"/>
  <c r="Y17" i="10"/>
  <c r="AC17" i="10"/>
  <c r="R17" i="10"/>
  <c r="W17" i="10"/>
  <c r="S17" i="10"/>
  <c r="V17" i="10"/>
  <c r="P18" i="10"/>
  <c r="AH15" i="10"/>
  <c r="AI15" i="10"/>
  <c r="F38" i="10"/>
  <c r="E38" i="10"/>
  <c r="D39" i="10"/>
  <c r="AB18" i="10" l="1"/>
  <c r="AC18" i="10"/>
  <c r="Z18" i="10"/>
  <c r="AD18" i="10"/>
  <c r="AE18" i="10"/>
  <c r="S18" i="10"/>
  <c r="W18" i="10"/>
  <c r="T18" i="10"/>
  <c r="X18" i="10"/>
  <c r="Q18" i="10"/>
  <c r="Y18" i="10"/>
  <c r="AA18" i="10"/>
  <c r="R18" i="10"/>
  <c r="U18" i="10"/>
  <c r="V18" i="10"/>
  <c r="AH16" i="10"/>
  <c r="P19" i="10"/>
  <c r="AI16" i="10"/>
  <c r="D40" i="10"/>
  <c r="F39" i="10"/>
  <c r="E39" i="10"/>
  <c r="Z19" i="10" l="1"/>
  <c r="AD19" i="10"/>
  <c r="AA19" i="10"/>
  <c r="AE19" i="10"/>
  <c r="AB19" i="10"/>
  <c r="R19" i="10"/>
  <c r="V19" i="10"/>
  <c r="AC19" i="10"/>
  <c r="S19" i="10"/>
  <c r="W19" i="10"/>
  <c r="X19" i="10"/>
  <c r="T19" i="10"/>
  <c r="U19" i="10"/>
  <c r="Q19" i="10"/>
  <c r="Y19" i="10"/>
  <c r="P20" i="10"/>
  <c r="AH17" i="10"/>
  <c r="AI17" i="10"/>
  <c r="E40" i="10"/>
  <c r="F40" i="10"/>
  <c r="AB20" i="10" l="1"/>
  <c r="AC20" i="10"/>
  <c r="Z20" i="10"/>
  <c r="AD20" i="10"/>
  <c r="Q20" i="10"/>
  <c r="U20" i="10"/>
  <c r="Y20" i="10"/>
  <c r="R20" i="10"/>
  <c r="V20" i="10"/>
  <c r="W20" i="10"/>
  <c r="AE20" i="10"/>
  <c r="X20" i="10"/>
  <c r="AA20" i="10"/>
  <c r="S20" i="10"/>
  <c r="T20" i="10"/>
  <c r="AH18" i="10"/>
  <c r="AI18" i="10"/>
  <c r="P21" i="10"/>
  <c r="Z21" i="10" l="1"/>
  <c r="AD21" i="10"/>
  <c r="AA21" i="10"/>
  <c r="AE21" i="10"/>
  <c r="AB21" i="10"/>
  <c r="AC21" i="10"/>
  <c r="T21" i="10"/>
  <c r="X21" i="10"/>
  <c r="Q21" i="10"/>
  <c r="U21" i="10"/>
  <c r="Y21" i="10"/>
  <c r="V21" i="10"/>
  <c r="R21" i="10"/>
  <c r="S21" i="10"/>
  <c r="W21" i="10"/>
  <c r="AH19" i="10"/>
  <c r="P22" i="10"/>
  <c r="AI19" i="10"/>
  <c r="AB22" i="10" l="1"/>
  <c r="AC22" i="10"/>
  <c r="Z22" i="10"/>
  <c r="AD22" i="10"/>
  <c r="S22" i="10"/>
  <c r="W22" i="10"/>
  <c r="AA22" i="10"/>
  <c r="T22" i="10"/>
  <c r="X22" i="10"/>
  <c r="AE22" i="10"/>
  <c r="U22" i="10"/>
  <c r="Y22" i="10"/>
  <c r="V22" i="10"/>
  <c r="Q22" i="10"/>
  <c r="R22" i="10"/>
  <c r="AI20" i="10"/>
  <c r="AH20" i="10"/>
  <c r="P23" i="10"/>
  <c r="Z23" i="10" l="1"/>
  <c r="AD23" i="10"/>
  <c r="AA23" i="10"/>
  <c r="AE23" i="10"/>
  <c r="AB23" i="10"/>
  <c r="R23" i="10"/>
  <c r="V23" i="10"/>
  <c r="S23" i="10"/>
  <c r="W23" i="10"/>
  <c r="T23" i="10"/>
  <c r="Q23" i="10"/>
  <c r="AC23" i="10"/>
  <c r="U23" i="10"/>
  <c r="X23" i="10"/>
  <c r="Y23" i="10"/>
  <c r="P24" i="10"/>
  <c r="AI21" i="10"/>
  <c r="AH21" i="10"/>
  <c r="AB24" i="10" l="1"/>
  <c r="AC24" i="10"/>
  <c r="Z24" i="10"/>
  <c r="AD24" i="10"/>
  <c r="AA24" i="10"/>
  <c r="Q24" i="10"/>
  <c r="U24" i="10"/>
  <c r="Y24" i="10"/>
  <c r="AE24" i="10"/>
  <c r="R24" i="10"/>
  <c r="V24" i="10"/>
  <c r="S24" i="10"/>
  <c r="W24" i="10"/>
  <c r="X24" i="10"/>
  <c r="T24" i="10"/>
  <c r="AH22" i="10"/>
  <c r="AI22" i="10"/>
  <c r="P25" i="10"/>
  <c r="Z25" i="10" l="1"/>
  <c r="AD25" i="10"/>
  <c r="AA25" i="10"/>
  <c r="AE25" i="10"/>
  <c r="AB25" i="10"/>
  <c r="T25" i="10"/>
  <c r="X25" i="10"/>
  <c r="Q25" i="10"/>
  <c r="U25" i="10"/>
  <c r="Y25" i="10"/>
  <c r="R25" i="10"/>
  <c r="S25" i="10"/>
  <c r="AC25" i="10"/>
  <c r="V25" i="10"/>
  <c r="W25" i="10"/>
  <c r="AH23" i="10"/>
  <c r="AI23" i="10"/>
  <c r="P26" i="10"/>
  <c r="AB26" i="10" l="1"/>
  <c r="AC26" i="10"/>
  <c r="Z26" i="10"/>
  <c r="AD26" i="10"/>
  <c r="AE26" i="10"/>
  <c r="S26" i="10"/>
  <c r="W26" i="10"/>
  <c r="T26" i="10"/>
  <c r="X26" i="10"/>
  <c r="Q26" i="10"/>
  <c r="Y26" i="10"/>
  <c r="U26" i="10"/>
  <c r="AA26" i="10"/>
  <c r="V26" i="10"/>
  <c r="R26" i="10"/>
  <c r="AI24" i="10"/>
  <c r="P27" i="10"/>
  <c r="AH24" i="10"/>
  <c r="Z27" i="10" l="1"/>
  <c r="AD27" i="10"/>
  <c r="AA27" i="10"/>
  <c r="AE27" i="10"/>
  <c r="AB27" i="10"/>
  <c r="R27" i="10"/>
  <c r="V27" i="10"/>
  <c r="AC27" i="10"/>
  <c r="S27" i="10"/>
  <c r="W27" i="10"/>
  <c r="X27" i="10"/>
  <c r="Q27" i="10"/>
  <c r="Y27" i="10"/>
  <c r="T27" i="10"/>
  <c r="U27" i="10"/>
  <c r="P28" i="10"/>
  <c r="AI25" i="10"/>
  <c r="AH25" i="10"/>
  <c r="AB28" i="10" l="1"/>
  <c r="AC28" i="10"/>
  <c r="Z28" i="10"/>
  <c r="AD28" i="10"/>
  <c r="Q28" i="10"/>
  <c r="U28" i="10"/>
  <c r="Y28" i="10"/>
  <c r="R28" i="10"/>
  <c r="V28" i="10"/>
  <c r="AA28" i="10"/>
  <c r="W28" i="10"/>
  <c r="S28" i="10"/>
  <c r="T28" i="10"/>
  <c r="AE28" i="10"/>
  <c r="X28" i="10"/>
  <c r="AH26" i="10"/>
  <c r="AI26" i="10"/>
  <c r="P29" i="10"/>
  <c r="Z29" i="10" l="1"/>
  <c r="AD29" i="10"/>
  <c r="AA29" i="10"/>
  <c r="AE29" i="10"/>
  <c r="AB29" i="10"/>
  <c r="AC29" i="10"/>
  <c r="T29" i="10"/>
  <c r="X29" i="10"/>
  <c r="Q29" i="10"/>
  <c r="U29" i="10"/>
  <c r="W29" i="10"/>
  <c r="Y29" i="10"/>
  <c r="V29" i="10"/>
  <c r="R29" i="10"/>
  <c r="S29" i="10"/>
  <c r="AH27" i="10"/>
  <c r="P30" i="10"/>
  <c r="AI27" i="10"/>
  <c r="AB30" i="10" l="1"/>
  <c r="AC30" i="10"/>
  <c r="Z30" i="10"/>
  <c r="AD30" i="10"/>
  <c r="S30" i="10"/>
  <c r="W30" i="10"/>
  <c r="AA30" i="10"/>
  <c r="Q30" i="10"/>
  <c r="V30" i="10"/>
  <c r="R30" i="10"/>
  <c r="X30" i="10"/>
  <c r="AE30" i="10"/>
  <c r="T30" i="10"/>
  <c r="Y30" i="10"/>
  <c r="U30" i="10"/>
  <c r="AI28" i="10"/>
  <c r="P31" i="10"/>
  <c r="AH28" i="10"/>
  <c r="Z31" i="10" l="1"/>
  <c r="AD31" i="10"/>
  <c r="AA31" i="10"/>
  <c r="AE31" i="10"/>
  <c r="AB31" i="10"/>
  <c r="R31" i="10"/>
  <c r="V31" i="10"/>
  <c r="S31" i="10"/>
  <c r="X31" i="10"/>
  <c r="U31" i="10"/>
  <c r="Q31" i="10"/>
  <c r="T31" i="10"/>
  <c r="Y31" i="10"/>
  <c r="AC31" i="10"/>
  <c r="W31" i="10"/>
  <c r="P32" i="10"/>
  <c r="AI29" i="10"/>
  <c r="AH29" i="10"/>
  <c r="AB32" i="10" l="1"/>
  <c r="AC32" i="10"/>
  <c r="Z32" i="10"/>
  <c r="AD32" i="10"/>
  <c r="AA32" i="10"/>
  <c r="Q32" i="10"/>
  <c r="U32" i="10"/>
  <c r="Y32" i="10"/>
  <c r="AE32" i="10"/>
  <c r="T32" i="10"/>
  <c r="W32" i="10"/>
  <c r="S32" i="10"/>
  <c r="V32" i="10"/>
  <c r="R32" i="10"/>
  <c r="X32" i="10"/>
  <c r="AH30" i="10"/>
  <c r="AI30" i="10"/>
  <c r="P33" i="10"/>
  <c r="Z33" i="10" l="1"/>
  <c r="AD33" i="10"/>
  <c r="AA33" i="10"/>
  <c r="AE33" i="10"/>
  <c r="AB33" i="10"/>
  <c r="T33" i="10"/>
  <c r="X33" i="10"/>
  <c r="AC33" i="10"/>
  <c r="Q33" i="10"/>
  <c r="V33" i="10"/>
  <c r="Y33" i="10"/>
  <c r="U33" i="10"/>
  <c r="R33" i="10"/>
  <c r="W33" i="10"/>
  <c r="S33" i="10"/>
  <c r="AH31" i="10"/>
  <c r="P34" i="10"/>
  <c r="AI31" i="10"/>
  <c r="AB34" i="10" l="1"/>
  <c r="AC34" i="10"/>
  <c r="Z34" i="10"/>
  <c r="AD34" i="10"/>
  <c r="AE34" i="10"/>
  <c r="S34" i="10"/>
  <c r="W34" i="10"/>
  <c r="R34" i="10"/>
  <c r="X34" i="10"/>
  <c r="V34" i="10"/>
  <c r="AA34" i="10"/>
  <c r="T34" i="10"/>
  <c r="Y34" i="10"/>
  <c r="U34" i="10"/>
  <c r="Q34" i="10"/>
  <c r="AI32" i="10"/>
  <c r="P35" i="10"/>
  <c r="AH32" i="10"/>
  <c r="Z35" i="10" l="1"/>
  <c r="AD35" i="10"/>
  <c r="AA35" i="10"/>
  <c r="AE35" i="10"/>
  <c r="AB35" i="10"/>
  <c r="R35" i="10"/>
  <c r="V35" i="10"/>
  <c r="AC35" i="10"/>
  <c r="T35" i="10"/>
  <c r="Y35" i="10"/>
  <c r="Q35" i="10"/>
  <c r="X35" i="10"/>
  <c r="U35" i="10"/>
  <c r="W35" i="10"/>
  <c r="S35" i="10"/>
  <c r="P36" i="10"/>
  <c r="AI33" i="10"/>
  <c r="AH33" i="10"/>
  <c r="AB36" i="10" l="1"/>
  <c r="AC36" i="10"/>
  <c r="Z36" i="10"/>
  <c r="AD36" i="10"/>
  <c r="Q36" i="10"/>
  <c r="U36" i="10"/>
  <c r="Y36" i="10"/>
  <c r="V36" i="10"/>
  <c r="S36" i="10"/>
  <c r="AE36" i="10"/>
  <c r="R36" i="10"/>
  <c r="W36" i="10"/>
  <c r="AA36" i="10"/>
  <c r="X36" i="10"/>
  <c r="T36" i="10"/>
  <c r="AH34" i="10"/>
  <c r="AI34" i="10"/>
  <c r="P37" i="10"/>
  <c r="Z37" i="10" l="1"/>
  <c r="AD37" i="10"/>
  <c r="AA37" i="10"/>
  <c r="AE37" i="10"/>
  <c r="AB37" i="10"/>
  <c r="AC37" i="10"/>
  <c r="T37" i="10"/>
  <c r="X37" i="10"/>
  <c r="R37" i="10"/>
  <c r="W37" i="10"/>
  <c r="U37" i="10"/>
  <c r="Q37" i="10"/>
  <c r="S37" i="10"/>
  <c r="Y37" i="10"/>
  <c r="V37" i="10"/>
  <c r="AH35" i="10"/>
  <c r="AI35" i="10"/>
  <c r="P38" i="10"/>
  <c r="AB38" i="10" l="1"/>
  <c r="AC38" i="10"/>
  <c r="Z38" i="10"/>
  <c r="AD38" i="10"/>
  <c r="S38" i="10"/>
  <c r="W38" i="10"/>
  <c r="AA38" i="10"/>
  <c r="AE38" i="10"/>
  <c r="T38" i="10"/>
  <c r="Y38" i="10"/>
  <c r="V38" i="10"/>
  <c r="R38" i="10"/>
  <c r="U38" i="10"/>
  <c r="Q38" i="10"/>
  <c r="X38" i="10"/>
  <c r="AI36" i="10"/>
  <c r="P39" i="10"/>
  <c r="AH36" i="10"/>
  <c r="Z39" i="10" l="1"/>
  <c r="AD39" i="10"/>
  <c r="AA39" i="10"/>
  <c r="AE39" i="10"/>
  <c r="AB39" i="10"/>
  <c r="R39" i="10"/>
  <c r="V39" i="10"/>
  <c r="U39" i="10"/>
  <c r="Y39" i="10"/>
  <c r="AC39" i="10"/>
  <c r="Q39" i="10"/>
  <c r="W39" i="10"/>
  <c r="S39" i="10"/>
  <c r="X39" i="10"/>
  <c r="T39" i="10"/>
  <c r="P40" i="10"/>
  <c r="AH37" i="10"/>
  <c r="AI37" i="10"/>
  <c r="AB40" i="10" l="1"/>
  <c r="AC40" i="10"/>
  <c r="Z40" i="10"/>
  <c r="AD40" i="10"/>
  <c r="AA40" i="10"/>
  <c r="Q40" i="10"/>
  <c r="U40" i="10"/>
  <c r="Y40" i="10"/>
  <c r="AE40" i="10"/>
  <c r="R40" i="10"/>
  <c r="W40" i="10"/>
  <c r="T40" i="10"/>
  <c r="S40" i="10"/>
  <c r="X40" i="10"/>
  <c r="V40" i="10"/>
  <c r="AH38" i="10"/>
  <c r="AI38" i="10"/>
  <c r="P41" i="10"/>
  <c r="Z41" i="10" l="1"/>
  <c r="AD41" i="10"/>
  <c r="AA41" i="10"/>
  <c r="AE41" i="10"/>
  <c r="AB41" i="10"/>
  <c r="T41" i="10"/>
  <c r="X41" i="10"/>
  <c r="S41" i="10"/>
  <c r="Y41" i="10"/>
  <c r="V41" i="10"/>
  <c r="R41" i="10"/>
  <c r="U41" i="10"/>
  <c r="AC41" i="10"/>
  <c r="Q41" i="10"/>
  <c r="W41" i="10"/>
  <c r="AH39" i="10"/>
  <c r="AI39" i="10"/>
  <c r="P42" i="10"/>
  <c r="AB42" i="10" l="1"/>
  <c r="AC42" i="10"/>
  <c r="Z42" i="10"/>
  <c r="AD42" i="10"/>
  <c r="AE42" i="10"/>
  <c r="T42" i="10"/>
  <c r="X42" i="10"/>
  <c r="V42" i="10"/>
  <c r="S42" i="10"/>
  <c r="Q42" i="10"/>
  <c r="U42" i="10"/>
  <c r="Y42" i="10"/>
  <c r="R42" i="10"/>
  <c r="AA42" i="10"/>
  <c r="W42" i="10"/>
  <c r="AI40" i="10"/>
  <c r="P43" i="10"/>
  <c r="AH40" i="10"/>
  <c r="Z43" i="10" l="1"/>
  <c r="AD43" i="10"/>
  <c r="AA43" i="10"/>
  <c r="AE43" i="10"/>
  <c r="AB43" i="10"/>
  <c r="AC43" i="10"/>
  <c r="S43" i="10"/>
  <c r="W43" i="10"/>
  <c r="U43" i="10"/>
  <c r="V43" i="10"/>
  <c r="T43" i="10"/>
  <c r="X43" i="10"/>
  <c r="Q43" i="10"/>
  <c r="Y43" i="10"/>
  <c r="R43" i="10"/>
  <c r="P44" i="10"/>
  <c r="AI41" i="10"/>
  <c r="AH41" i="10"/>
  <c r="AB44" i="10" l="1"/>
  <c r="AC44" i="10"/>
  <c r="Z44" i="10"/>
  <c r="AD44" i="10"/>
  <c r="AA44" i="10"/>
  <c r="R44" i="10"/>
  <c r="V44" i="10"/>
  <c r="T44" i="10"/>
  <c r="U44" i="10"/>
  <c r="AE44" i="10"/>
  <c r="S44" i="10"/>
  <c r="W44" i="10"/>
  <c r="X44" i="10"/>
  <c r="Q44" i="10"/>
  <c r="Y44" i="10"/>
  <c r="AH42" i="10"/>
  <c r="AI42" i="10"/>
  <c r="X16" i="2" l="1"/>
  <c r="X10" i="2"/>
  <c r="X15" i="2" l="1"/>
  <c r="X8" i="2"/>
  <c r="Y7" i="2"/>
  <c r="Z7" i="2"/>
  <c r="X13" i="2"/>
  <c r="Y8" i="2"/>
  <c r="Z8" i="2"/>
  <c r="Y16" i="2" l="1"/>
  <c r="Y15" i="2"/>
  <c r="Y14" i="2"/>
  <c r="Z16" i="2"/>
  <c r="Z15" i="2"/>
  <c r="Z14" i="2"/>
  <c r="Z13" i="2"/>
  <c r="X7" i="2"/>
</calcChain>
</file>

<file path=xl/sharedStrings.xml><?xml version="1.0" encoding="utf-8"?>
<sst xmlns="http://schemas.openxmlformats.org/spreadsheetml/2006/main" count="735" uniqueCount="456">
  <si>
    <t>Client</t>
  </si>
  <si>
    <t>Rig</t>
  </si>
  <si>
    <t>LSD</t>
  </si>
  <si>
    <t>Current Program Number</t>
  </si>
  <si>
    <t>Job Type</t>
  </si>
  <si>
    <t>District</t>
  </si>
  <si>
    <t>Client Solutions Rep</t>
  </si>
  <si>
    <t>TS Rep</t>
  </si>
  <si>
    <t>Current Risk Score</t>
  </si>
  <si>
    <t>Main Risk Sources</t>
  </si>
  <si>
    <t>Well Data</t>
  </si>
  <si>
    <t>Previous Wells</t>
  </si>
  <si>
    <t>Any previous wells with same client and same configuration?</t>
  </si>
  <si>
    <t>What was the highest surface pressure of last 1 to 3 wells?</t>
  </si>
  <si>
    <t>What what were the rates at that pressure?</t>
  </si>
  <si>
    <t>Any action items identified from last jobs?</t>
  </si>
  <si>
    <t>Materials</t>
  </si>
  <si>
    <t>Review program for preflush, cement and displacement materials</t>
  </si>
  <si>
    <t>Any new products?</t>
  </si>
  <si>
    <t>Any product related special PPE or procedures needed?</t>
  </si>
  <si>
    <t>Has district inventory been checked?</t>
  </si>
  <si>
    <t>Sanjel inventory checked?</t>
  </si>
  <si>
    <t>Field Blend Testing</t>
  </si>
  <si>
    <t>Approval range via the client or Sanjel default?</t>
  </si>
  <si>
    <t>Field blend testing required?</t>
  </si>
  <si>
    <t>Are tests completed?</t>
  </si>
  <si>
    <t>What is number and size of cuts required</t>
  </si>
  <si>
    <t>Does client require all cement to be tested or one cut?</t>
  </si>
  <si>
    <t>Will cement be held at district or shipped to location?</t>
  </si>
  <si>
    <t>Does Sanjel want each cut tested?</t>
  </si>
  <si>
    <t>Well Simulations</t>
  </si>
  <si>
    <t>What completion tools if any are in the hole?</t>
  </si>
  <si>
    <t>Other?</t>
  </si>
  <si>
    <t>Any burst ports? (what is presure?)</t>
  </si>
  <si>
    <t>Simulation completed?</t>
  </si>
  <si>
    <t>Simulated Rates</t>
  </si>
  <si>
    <t>Simulated Excess</t>
  </si>
  <si>
    <t>Other assumptions?</t>
  </si>
  <si>
    <t>Actual Directional Survey</t>
  </si>
  <si>
    <t>What is maximum anticipated surface pressure?</t>
  </si>
  <si>
    <t>What is pressure test value(s)?</t>
  </si>
  <si>
    <t>What Sanjel equipment is planned at this time?</t>
  </si>
  <si>
    <t>Any 3rd party equipment?</t>
  </si>
  <si>
    <t>Equipment and Job Procedures</t>
  </si>
  <si>
    <t>Any products needing to be prehydrated or premixed before the job?</t>
  </si>
  <si>
    <t>Any unusual procedures to be used for this job?</t>
  </si>
  <si>
    <t>Any non-typical samples required on this job?</t>
  </si>
  <si>
    <t>Contingencies</t>
  </si>
  <si>
    <t>List any known contingencies and consequent actions at this time:</t>
  </si>
  <si>
    <t>Extended shut downs?</t>
  </si>
  <si>
    <t>Higher than expected pressures?</t>
  </si>
  <si>
    <t>If we don’t bump the plug?</t>
  </si>
  <si>
    <t>Action Items from this meeting</t>
  </si>
  <si>
    <t>Attendance</t>
  </si>
  <si>
    <t>Operations Summary Sheet</t>
  </si>
  <si>
    <t>Client:</t>
  </si>
  <si>
    <t>Well name:</t>
  </si>
  <si>
    <t>Location:</t>
  </si>
  <si>
    <t>Rig:</t>
  </si>
  <si>
    <t>Program #:</t>
  </si>
  <si>
    <t>HHP Requirement:</t>
  </si>
  <si>
    <t>HP</t>
  </si>
  <si>
    <t>Simulated Pressure:</t>
  </si>
  <si>
    <t>MPa</t>
  </si>
  <si>
    <t>Placement Time</t>
  </si>
  <si>
    <t>Lead Volume</t>
  </si>
  <si>
    <t>Tail Volume</t>
  </si>
  <si>
    <t xml:space="preserve">Annular DP Volume </t>
  </si>
  <si>
    <t xml:space="preserve">Design Mix Rate </t>
  </si>
  <si>
    <t xml:space="preserve">Pump-Out Time </t>
  </si>
  <si>
    <t xml:space="preserve">Plug Drop Time </t>
  </si>
  <si>
    <t xml:space="preserve">Hesitation Time </t>
  </si>
  <si>
    <t>Lead Placement Time</t>
  </si>
  <si>
    <t>Tail Placement Time</t>
  </si>
  <si>
    <t>m³</t>
  </si>
  <si>
    <t>m³/min</t>
  </si>
  <si>
    <t>min</t>
  </si>
  <si>
    <t>(Liner only)</t>
  </si>
  <si>
    <t>Circ out Total Annular Volume</t>
  </si>
  <si>
    <t xml:space="preserve">Reduced Mix Rate </t>
  </si>
  <si>
    <t>As much from template as possible to fill in related fields</t>
  </si>
  <si>
    <t>Lead Min</t>
  </si>
  <si>
    <t>Lead Max</t>
  </si>
  <si>
    <t>Lead Placement</t>
  </si>
  <si>
    <t>Pilot</t>
  </si>
  <si>
    <t>Expected Job Date</t>
  </si>
  <si>
    <t>What was planned</t>
  </si>
  <si>
    <t>What Happened</t>
  </si>
  <si>
    <t>Why</t>
  </si>
  <si>
    <t>Improves</t>
  </si>
  <si>
    <t>Sustains</t>
  </si>
  <si>
    <t>AAR (After Action Review)</t>
  </si>
  <si>
    <t>Purpose:</t>
  </si>
  <si>
    <r>
      <t>1.</t>
    </r>
    <r>
      <rPr>
        <sz val="7"/>
        <color theme="1"/>
        <rFont val="Times New Roman"/>
        <family val="1"/>
      </rPr>
      <t xml:space="preserve">       </t>
    </r>
    <r>
      <rPr>
        <sz val="11"/>
        <color theme="1"/>
        <rFont val="Calibri"/>
        <family val="2"/>
        <scheme val="minor"/>
      </rPr>
      <t>To guide and improve the work of future training</t>
    </r>
  </si>
  <si>
    <t>Ground rules</t>
  </si>
  <si>
    <r>
      <t>1.</t>
    </r>
    <r>
      <rPr>
        <sz val="7"/>
        <color theme="1"/>
        <rFont val="Times New Roman"/>
        <family val="1"/>
      </rPr>
      <t xml:space="preserve">       </t>
    </r>
    <r>
      <rPr>
        <sz val="11"/>
        <color theme="1"/>
        <rFont val="Calibri"/>
        <family val="2"/>
        <scheme val="minor"/>
      </rPr>
      <t>Appoint scribe to record the AAR</t>
    </r>
  </si>
  <si>
    <r>
      <t>2.</t>
    </r>
    <r>
      <rPr>
        <sz val="7"/>
        <color theme="1"/>
        <rFont val="Times New Roman"/>
        <family val="1"/>
      </rPr>
      <t xml:space="preserve">       </t>
    </r>
    <r>
      <rPr>
        <sz val="11"/>
        <color theme="1"/>
        <rFont val="Calibri"/>
        <family val="2"/>
        <scheme val="minor"/>
      </rPr>
      <t>Keep this to 15min or less</t>
    </r>
  </si>
  <si>
    <r>
      <t>3.</t>
    </r>
    <r>
      <rPr>
        <sz val="7"/>
        <color theme="1"/>
        <rFont val="Times New Roman"/>
        <family val="1"/>
      </rPr>
      <t xml:space="preserve">       </t>
    </r>
    <r>
      <rPr>
        <sz val="11"/>
        <color theme="1"/>
        <rFont val="Calibri"/>
        <family val="2"/>
        <scheme val="minor"/>
      </rPr>
      <t>Everyone will contribute to follow-up on needed actions identified.</t>
    </r>
  </si>
  <si>
    <r>
      <t>4.</t>
    </r>
    <r>
      <rPr>
        <sz val="7"/>
        <color theme="1"/>
        <rFont val="Times New Roman"/>
        <family val="1"/>
      </rPr>
      <t xml:space="preserve">       </t>
    </r>
    <r>
      <rPr>
        <sz val="11"/>
        <color theme="1"/>
        <rFont val="Calibri"/>
        <family val="2"/>
        <scheme val="minor"/>
      </rPr>
      <t>Does not grade success or failure</t>
    </r>
  </si>
  <si>
    <r>
      <t>5.</t>
    </r>
    <r>
      <rPr>
        <sz val="7"/>
        <color theme="1"/>
        <rFont val="Times New Roman"/>
        <family val="1"/>
      </rPr>
      <t xml:space="preserve">       </t>
    </r>
    <r>
      <rPr>
        <sz val="11"/>
        <color theme="1"/>
        <rFont val="Calibri"/>
        <family val="2"/>
        <scheme val="minor"/>
      </rPr>
      <t>There are always weaknesses to improve and strengths to sustain</t>
    </r>
  </si>
  <si>
    <r>
      <t>6.</t>
    </r>
    <r>
      <rPr>
        <sz val="7"/>
        <color theme="1"/>
        <rFont val="Times New Roman"/>
        <family val="1"/>
      </rPr>
      <t xml:space="preserve">       </t>
    </r>
    <r>
      <rPr>
        <sz val="11"/>
        <color theme="1"/>
        <rFont val="Calibri"/>
        <family val="2"/>
        <scheme val="minor"/>
      </rPr>
      <t>It is important for everyone to participate and everyone views have equal value</t>
    </r>
  </si>
  <si>
    <r>
      <t>7.</t>
    </r>
    <r>
      <rPr>
        <sz val="7"/>
        <color theme="1"/>
        <rFont val="Times New Roman"/>
        <family val="1"/>
      </rPr>
      <t xml:space="preserve">       </t>
    </r>
    <r>
      <rPr>
        <sz val="11"/>
        <color theme="1"/>
        <rFont val="Calibri"/>
        <family val="2"/>
        <scheme val="minor"/>
      </rPr>
      <t>No Blame. Focus on the what and why and not the who</t>
    </r>
  </si>
  <si>
    <r>
      <t>8.</t>
    </r>
    <r>
      <rPr>
        <sz val="7"/>
        <color theme="1"/>
        <rFont val="Times New Roman"/>
        <family val="1"/>
      </rPr>
      <t xml:space="preserve">       </t>
    </r>
    <r>
      <rPr>
        <sz val="11"/>
        <color theme="1"/>
        <rFont val="Calibri"/>
        <family val="2"/>
        <scheme val="minor"/>
      </rPr>
      <t>There are no right or wrong answers</t>
    </r>
  </si>
  <si>
    <r>
      <t>9.</t>
    </r>
    <r>
      <rPr>
        <sz val="7"/>
        <color theme="1"/>
        <rFont val="Times New Roman"/>
        <family val="1"/>
      </rPr>
      <t xml:space="preserve">       </t>
    </r>
    <r>
      <rPr>
        <sz val="11"/>
        <color theme="1"/>
        <rFont val="Calibri"/>
        <family val="2"/>
        <scheme val="minor"/>
      </rPr>
      <t>Be open to new ideas</t>
    </r>
  </si>
  <si>
    <r>
      <t>10.</t>
    </r>
    <r>
      <rPr>
        <sz val="7"/>
        <color theme="1"/>
        <rFont val="Times New Roman"/>
        <family val="1"/>
      </rPr>
      <t xml:space="preserve">   </t>
    </r>
    <r>
      <rPr>
        <sz val="11"/>
        <color theme="1"/>
        <rFont val="Calibri"/>
        <family val="2"/>
        <scheme val="minor"/>
      </rPr>
      <t>If you have a point, arrive at tit promptly</t>
    </r>
  </si>
  <si>
    <r>
      <t>11.</t>
    </r>
    <r>
      <rPr>
        <sz val="7"/>
        <color theme="1"/>
        <rFont val="Times New Roman"/>
        <family val="1"/>
      </rPr>
      <t xml:space="preserve">   </t>
    </r>
    <r>
      <rPr>
        <sz val="11"/>
        <color theme="1"/>
        <rFont val="Calibri"/>
        <family val="2"/>
        <scheme val="minor"/>
      </rPr>
      <t>Confidentiality will be maintained</t>
    </r>
  </si>
  <si>
    <t>Format:</t>
  </si>
  <si>
    <r>
      <t>1.</t>
    </r>
    <r>
      <rPr>
        <sz val="7"/>
        <color theme="1"/>
        <rFont val="Times New Roman"/>
        <family val="1"/>
      </rPr>
      <t xml:space="preserve">       </t>
    </r>
    <r>
      <rPr>
        <sz val="11"/>
        <color theme="1"/>
        <rFont val="Calibri"/>
        <family val="2"/>
        <scheme val="minor"/>
      </rPr>
      <t>What was planned</t>
    </r>
  </si>
  <si>
    <r>
      <t>a.</t>
    </r>
    <r>
      <rPr>
        <sz val="7"/>
        <color theme="1"/>
        <rFont val="Times New Roman"/>
        <family val="1"/>
      </rPr>
      <t xml:space="preserve">       </t>
    </r>
    <r>
      <rPr>
        <sz val="11"/>
        <color theme="1"/>
        <rFont val="Calibri"/>
        <family val="2"/>
        <scheme val="minor"/>
      </rPr>
      <t>Intent of the Action</t>
    </r>
  </si>
  <si>
    <r>
      <t>b.</t>
    </r>
    <r>
      <rPr>
        <sz val="7"/>
        <color theme="1"/>
        <rFont val="Times New Roman"/>
        <family val="1"/>
      </rPr>
      <t xml:space="preserve">       </t>
    </r>
    <r>
      <rPr>
        <sz val="11"/>
        <color theme="1"/>
        <rFont val="Calibri"/>
        <family val="2"/>
        <scheme val="minor"/>
      </rPr>
      <t>Key task assignments</t>
    </r>
  </si>
  <si>
    <r>
      <t>c.</t>
    </r>
    <r>
      <rPr>
        <sz val="7"/>
        <color theme="1"/>
        <rFont val="Times New Roman"/>
        <family val="1"/>
      </rPr>
      <t xml:space="preserve">       </t>
    </r>
    <r>
      <rPr>
        <sz val="11"/>
        <color theme="1"/>
        <rFont val="Calibri"/>
        <family val="2"/>
        <scheme val="minor"/>
      </rPr>
      <t>Desired End State (what does right look like)</t>
    </r>
  </si>
  <si>
    <r>
      <t>2.</t>
    </r>
    <r>
      <rPr>
        <sz val="7"/>
        <color theme="1"/>
        <rFont val="Times New Roman"/>
        <family val="1"/>
      </rPr>
      <t xml:space="preserve">       </t>
    </r>
    <r>
      <rPr>
        <sz val="11"/>
        <color theme="1"/>
        <rFont val="Calibri"/>
        <family val="2"/>
        <scheme val="minor"/>
      </rPr>
      <t>What Actually happened</t>
    </r>
  </si>
  <si>
    <r>
      <t>a.</t>
    </r>
    <r>
      <rPr>
        <sz val="7"/>
        <color theme="1"/>
        <rFont val="Times New Roman"/>
        <family val="1"/>
      </rPr>
      <t xml:space="preserve">       </t>
    </r>
    <r>
      <rPr>
        <sz val="11"/>
        <color theme="1"/>
        <rFont val="Calibri"/>
        <family val="2"/>
        <scheme val="minor"/>
      </rPr>
      <t>Establish facts</t>
    </r>
  </si>
  <si>
    <r>
      <t>b.</t>
    </r>
    <r>
      <rPr>
        <sz val="7"/>
        <color theme="1"/>
        <rFont val="Times New Roman"/>
        <family val="1"/>
      </rPr>
      <t xml:space="preserve">       </t>
    </r>
    <r>
      <rPr>
        <sz val="11"/>
        <color theme="1"/>
        <rFont val="Calibri"/>
        <family val="2"/>
        <scheme val="minor"/>
      </rPr>
      <t>Compare against standards and plan</t>
    </r>
  </si>
  <si>
    <r>
      <t>c.</t>
    </r>
    <r>
      <rPr>
        <sz val="7"/>
        <color theme="1"/>
        <rFont val="Times New Roman"/>
        <family val="1"/>
      </rPr>
      <t xml:space="preserve">       </t>
    </r>
    <r>
      <rPr>
        <sz val="11"/>
        <color theme="1"/>
        <rFont val="Calibri"/>
        <family val="2"/>
        <scheme val="minor"/>
      </rPr>
      <t>Multiple perspectives to be used to get shared picture of what happened</t>
    </r>
  </si>
  <si>
    <r>
      <t>3.</t>
    </r>
    <r>
      <rPr>
        <sz val="7"/>
        <color theme="1"/>
        <rFont val="Times New Roman"/>
        <family val="1"/>
      </rPr>
      <t xml:space="preserve">       </t>
    </r>
    <r>
      <rPr>
        <sz val="11"/>
        <color theme="1"/>
        <rFont val="Calibri"/>
        <family val="2"/>
        <scheme val="minor"/>
      </rPr>
      <t>Why did it happen?</t>
    </r>
  </si>
  <si>
    <r>
      <t>a.</t>
    </r>
    <r>
      <rPr>
        <sz val="7"/>
        <color theme="1"/>
        <rFont val="Times New Roman"/>
        <family val="1"/>
      </rPr>
      <t xml:space="preserve">       </t>
    </r>
    <r>
      <rPr>
        <sz val="11"/>
        <color theme="1"/>
        <rFont val="Calibri"/>
        <family val="2"/>
        <scheme val="minor"/>
      </rPr>
      <t>Cause and Effect</t>
    </r>
  </si>
  <si>
    <r>
      <t>b.</t>
    </r>
    <r>
      <rPr>
        <sz val="7"/>
        <color theme="1"/>
        <rFont val="Times New Roman"/>
        <family val="1"/>
      </rPr>
      <t xml:space="preserve">       </t>
    </r>
    <r>
      <rPr>
        <sz val="11"/>
        <color theme="1"/>
        <rFont val="Calibri"/>
        <family val="2"/>
        <scheme val="minor"/>
      </rPr>
      <t>Focus on what not who</t>
    </r>
  </si>
  <si>
    <r>
      <t>4.</t>
    </r>
    <r>
      <rPr>
        <sz val="7"/>
        <color theme="1"/>
        <rFont val="Times New Roman"/>
        <family val="1"/>
      </rPr>
      <t xml:space="preserve">       </t>
    </r>
    <r>
      <rPr>
        <sz val="11"/>
        <color theme="1"/>
        <rFont val="Calibri"/>
        <family val="2"/>
        <scheme val="minor"/>
      </rPr>
      <t>What to do next time</t>
    </r>
  </si>
  <si>
    <r>
      <t>a.</t>
    </r>
    <r>
      <rPr>
        <sz val="7"/>
        <color theme="1"/>
        <rFont val="Times New Roman"/>
        <family val="1"/>
      </rPr>
      <t xml:space="preserve">       </t>
    </r>
    <r>
      <rPr>
        <sz val="11"/>
        <color theme="1"/>
        <rFont val="Calibri"/>
        <family val="2"/>
        <scheme val="minor"/>
      </rPr>
      <t>Improves</t>
    </r>
  </si>
  <si>
    <r>
      <t xml:space="preserve">                                                               </t>
    </r>
    <r>
      <rPr>
        <sz val="11"/>
        <color theme="1"/>
        <rFont val="Calibri"/>
        <family val="2"/>
        <scheme val="minor"/>
      </rPr>
      <t>i.</t>
    </r>
    <r>
      <rPr>
        <sz val="7"/>
        <color theme="1"/>
        <rFont val="Times New Roman"/>
        <family val="1"/>
      </rPr>
      <t xml:space="preserve">      </t>
    </r>
    <r>
      <rPr>
        <sz val="11"/>
        <color theme="1"/>
        <rFont val="Calibri"/>
        <family val="2"/>
        <scheme val="minor"/>
      </rPr>
      <t>Focus on items the group can fix</t>
    </r>
  </si>
  <si>
    <r>
      <t xml:space="preserve">                                                             </t>
    </r>
    <r>
      <rPr>
        <sz val="11"/>
        <color theme="1"/>
        <rFont val="Calibri"/>
        <family val="2"/>
        <scheme val="minor"/>
      </rPr>
      <t>ii.</t>
    </r>
    <r>
      <rPr>
        <sz val="7"/>
        <color theme="1"/>
        <rFont val="Times New Roman"/>
        <family val="1"/>
      </rPr>
      <t xml:space="preserve">      </t>
    </r>
    <r>
      <rPr>
        <sz val="11"/>
        <color theme="1"/>
        <rFont val="Calibri"/>
        <family val="2"/>
        <scheme val="minor"/>
      </rPr>
      <t>Correct weaknesses</t>
    </r>
  </si>
  <si>
    <r>
      <t>b.</t>
    </r>
    <r>
      <rPr>
        <sz val="7"/>
        <color theme="1"/>
        <rFont val="Times New Roman"/>
        <family val="1"/>
      </rPr>
      <t xml:space="preserve">       </t>
    </r>
    <r>
      <rPr>
        <sz val="11"/>
        <color theme="1"/>
        <rFont val="Calibri"/>
        <family val="2"/>
        <scheme val="minor"/>
      </rPr>
      <t>Sustains</t>
    </r>
  </si>
  <si>
    <r>
      <t xml:space="preserve">                                                               </t>
    </r>
    <r>
      <rPr>
        <sz val="11"/>
        <color theme="1"/>
        <rFont val="Calibri"/>
        <family val="2"/>
        <scheme val="minor"/>
      </rPr>
      <t>i.</t>
    </r>
    <r>
      <rPr>
        <sz val="7"/>
        <color theme="1"/>
        <rFont val="Times New Roman"/>
        <family val="1"/>
      </rPr>
      <t xml:space="preserve">      </t>
    </r>
    <r>
      <rPr>
        <sz val="11"/>
        <color theme="1"/>
        <rFont val="Calibri"/>
        <family val="2"/>
        <scheme val="minor"/>
      </rPr>
      <t>Things we need to carry on doing</t>
    </r>
  </si>
  <si>
    <t>Well</t>
  </si>
  <si>
    <t>Blend 1</t>
  </si>
  <si>
    <t>Blend 2</t>
  </si>
  <si>
    <t>Blend 3</t>
  </si>
  <si>
    <t>Time to Bottom</t>
  </si>
  <si>
    <t>BHP</t>
  </si>
  <si>
    <t>Minutes</t>
  </si>
  <si>
    <t>Blend 4</t>
  </si>
  <si>
    <t>Blend 5</t>
  </si>
  <si>
    <t>Blend 6</t>
  </si>
  <si>
    <t>Blend 7</t>
  </si>
  <si>
    <t>Blend 8</t>
  </si>
  <si>
    <t>Blend 9</t>
  </si>
  <si>
    <t>Blend 10</t>
  </si>
  <si>
    <t>Requested Tests</t>
  </si>
  <si>
    <t>Field Blend</t>
  </si>
  <si>
    <t>Hesitation</t>
  </si>
  <si>
    <t>Thickening Times</t>
  </si>
  <si>
    <t>Pilot FL</t>
  </si>
  <si>
    <t>Field FL</t>
  </si>
  <si>
    <t>Pilot FW</t>
  </si>
  <si>
    <t>Field FW</t>
  </si>
  <si>
    <t>Pilot UCA</t>
  </si>
  <si>
    <t>Field UCA</t>
  </si>
  <si>
    <t>Pilot Rheology</t>
  </si>
  <si>
    <t>Field Rheology</t>
  </si>
  <si>
    <t>Lead Pilot</t>
  </si>
  <si>
    <t>Lead Field</t>
  </si>
  <si>
    <t>Tail Pilot</t>
  </si>
  <si>
    <t>Tail Field</t>
  </si>
  <si>
    <t>Lead</t>
  </si>
  <si>
    <t>Tail</t>
  </si>
  <si>
    <t>Fluid Loss</t>
  </si>
  <si>
    <t>Free Water</t>
  </si>
  <si>
    <t>300 RPM</t>
  </si>
  <si>
    <t>Time to 0.35 Mpa</t>
  </si>
  <si>
    <t>Time to 3.5 Mpa</t>
  </si>
  <si>
    <t>8 Hour</t>
  </si>
  <si>
    <t>16 Hour</t>
  </si>
  <si>
    <t>24 Hour</t>
  </si>
  <si>
    <t>48 Hour</t>
  </si>
  <si>
    <t>Strength</t>
  </si>
  <si>
    <t>Thickening Times 100 Bc (Minutes)</t>
  </si>
  <si>
    <t xml:space="preserve">Attendance </t>
  </si>
  <si>
    <t xml:space="preserve"> </t>
  </si>
  <si>
    <t>Number of Trucks</t>
  </si>
  <si>
    <t>Units</t>
  </si>
  <si>
    <t>Tail Placement</t>
  </si>
  <si>
    <t>Tail Max</t>
  </si>
  <si>
    <t>Tail Min</t>
  </si>
  <si>
    <t>Field Blend Test</t>
  </si>
  <si>
    <t>Time</t>
  </si>
  <si>
    <t>Min</t>
  </si>
  <si>
    <t>Max</t>
  </si>
  <si>
    <t xml:space="preserve">Yes </t>
  </si>
  <si>
    <t>No</t>
  </si>
  <si>
    <t>Yes</t>
  </si>
  <si>
    <t xml:space="preserve">Client </t>
  </si>
  <si>
    <t>Sanjel</t>
  </si>
  <si>
    <t>TS</t>
  </si>
  <si>
    <t>CS</t>
  </si>
  <si>
    <t>N/A</t>
  </si>
  <si>
    <t>All Equipment Pre-trips completed (SUP)</t>
  </si>
  <si>
    <r>
      <t>All job exceptions/risk discussed - H</t>
    </r>
    <r>
      <rPr>
        <vertAlign val="subscript"/>
        <sz val="9"/>
        <color rgb="FF181717"/>
        <rFont val="Arial"/>
        <family val="2"/>
      </rPr>
      <t>2</t>
    </r>
    <r>
      <rPr>
        <sz val="10"/>
        <color rgb="FF181717"/>
        <rFont val="Arial"/>
        <family val="2"/>
      </rPr>
      <t>S, fluids, pressure (CO)</t>
    </r>
  </si>
  <si>
    <t>All material volumes/mass verified before leaving base (SUP)</t>
  </si>
  <si>
    <t xml:space="preserve">JMP is completed and reviewed with drivers (CO &amp; SUP) </t>
  </si>
  <si>
    <t xml:space="preserve">Crew has sufficient rest and hours to perform the job (CO) (SUP) </t>
  </si>
  <si>
    <t>All SDS documents available for Supervisor (CO)</t>
  </si>
  <si>
    <t xml:space="preserve">All contingency plans and back up/standby equipment discussed (CO) (SUP) (AM) </t>
  </si>
  <si>
    <t xml:space="preserve">All planned pre-job lab test results in job package (CO) (SUP) </t>
  </si>
  <si>
    <t xml:space="preserve">Crew has all required HSE training and PPE required for job (CO) (SUP) (AM) </t>
  </si>
  <si>
    <t xml:space="preserve">Crew is certified to drive equipment assigned (CO) (SUP) (AM) </t>
  </si>
  <si>
    <t xml:space="preserve">All field crew experienced with job and deemed competent (CO) (SUP) (AM) </t>
  </si>
  <si>
    <t>Supervisor has the required knowledge to complete the job? (AM)</t>
  </si>
  <si>
    <t>Treating equipment and cement heads inspected/approved per SCS 05 (AM)</t>
  </si>
  <si>
    <t xml:space="preserve">Material </t>
  </si>
  <si>
    <t>AAR conducted on location post job and to be sent with the email.</t>
  </si>
  <si>
    <t>CSV file to be sent post job email - ensure you have a data stick.</t>
  </si>
  <si>
    <t xml:space="preserve">No SSE's in critical roles. </t>
  </si>
  <si>
    <t xml:space="preserve">Will we be able to complete this job within HOS? (CWOP question perhaps) </t>
  </si>
  <si>
    <t>Equipment Checks</t>
  </si>
  <si>
    <t xml:space="preserve">No </t>
  </si>
  <si>
    <t xml:space="preserve">SBS / MTS has been checked to confirm products in Program?  </t>
  </si>
  <si>
    <t xml:space="preserve">Who is the Single Point of Contact for this cement job? </t>
  </si>
  <si>
    <t xml:space="preserve">Bulker and P-tanks were blown down prior to loading and blending cement. (Should be discussed upon the CWOP) </t>
  </si>
  <si>
    <t>Questions to prompt when performing the HP call</t>
  </si>
  <si>
    <t>SQPR SANJEL Bifold</t>
  </si>
  <si>
    <t xml:space="preserve">Contingencies </t>
  </si>
  <si>
    <t>Set at:_______MPa</t>
  </si>
  <si>
    <t xml:space="preserve">Personnel </t>
  </si>
  <si>
    <t>________</t>
  </si>
  <si>
    <t>Has a Benchmark been completed prior to this job? Are the parameters within specification?</t>
  </si>
  <si>
    <t xml:space="preserve">Have all Cement products have been accounted for? </t>
  </si>
  <si>
    <t xml:space="preserve">Double Preflush / Spacer chemicals have been considered. </t>
  </si>
  <si>
    <t>Supervisor has cement pre-job testing / simulation results?</t>
  </si>
  <si>
    <t xml:space="preserve">All team members are competent in the job scope. </t>
  </si>
  <si>
    <t>Mechanical PRV's have been set to 5% higher than programmed Pressure Test.</t>
  </si>
  <si>
    <t>Unit was Pressure Tested and inspected prior to this job.</t>
  </si>
  <si>
    <t>Cement head and manifold tested and serviced prior to job.</t>
  </si>
  <si>
    <t>Horse Power limits of the Pumper can achieve rates and pressures on this job.</t>
  </si>
  <si>
    <t>What is the pressure rating of the weakest component in pumping system / wellbore?</t>
  </si>
  <si>
    <t>Tractor(s) have had a forced regen before leaving yard. Decreases likelihood of needing one during a HP job.</t>
  </si>
  <si>
    <t>Pickup contains all the necessary chemical, BOM, equipment (heads, plugs, crossovers required).</t>
  </si>
  <si>
    <t>Loss of returns - decrease rates, LCF-7, drop plug on-the-fly, etc.</t>
  </si>
  <si>
    <t>Bulk Delivery Issues - What to do if you have loss of delivery.</t>
  </si>
  <si>
    <t>Density above or below set point.</t>
  </si>
  <si>
    <t>HMI shuts down.</t>
  </si>
  <si>
    <t>Water delivery issues.</t>
  </si>
  <si>
    <t>Plumbing, bean, water screens and Coriolis inspected and scoped to be free of cement debris.</t>
  </si>
  <si>
    <t xml:space="preserve">What is more critical Density or Rate. What is density targets 25+/- </t>
  </si>
  <si>
    <t>Mechanical PRV's have been set to 5% higher than programmed Pressure Test. Set at _____Mpa</t>
  </si>
  <si>
    <t xml:space="preserve">Supervisor understands rate and pressure expectations? What are they? </t>
  </si>
  <si>
    <t xml:space="preserve">High Profile Callout sheet (Score of 80 points and above) </t>
  </si>
  <si>
    <r>
      <t>All job exceptions/risk discussed - H</t>
    </r>
    <r>
      <rPr>
        <b/>
        <vertAlign val="subscript"/>
        <sz val="9"/>
        <color theme="0"/>
        <rFont val="Arial"/>
        <family val="2"/>
      </rPr>
      <t>2</t>
    </r>
    <r>
      <rPr>
        <b/>
        <sz val="10"/>
        <color theme="0"/>
        <rFont val="Arial"/>
        <family val="2"/>
      </rPr>
      <t>S, fluids, pressure (CO)</t>
    </r>
  </si>
  <si>
    <t>Mechanical PRV's have been set to 5% higher than programmed Pressure Test. Set at:  _____MPa</t>
  </si>
  <si>
    <t xml:space="preserve">Post job requirements will be met? Calculations, AAR uploaded to invoice, samples retrieved? </t>
  </si>
  <si>
    <t xml:space="preserve">Bulk Plant has printed off all relative SDS documents for crew? </t>
  </si>
  <si>
    <t xml:space="preserve">Supervisor and crew have previous experience with this type of job? </t>
  </si>
  <si>
    <t>Unit pumps were inspected and pressure tested prior to this job</t>
  </si>
  <si>
    <t xml:space="preserve">If plug doesn’t bump? How much if any will the client allow to go over after we have done our checks. </t>
  </si>
  <si>
    <t>Bulk Delivery Issues - What to do if you have loss of delivery / loss of blower / Line plugs off</t>
  </si>
  <si>
    <t xml:space="preserve">What is more critical, Density or Rate. What is density targets 25+/- </t>
  </si>
  <si>
    <t xml:space="preserve">Pressures start to exceed simulation pressures. Set Toe Port open? </t>
  </si>
  <si>
    <t>Water delivery issues</t>
  </si>
  <si>
    <t>Density above or below set point</t>
  </si>
  <si>
    <t xml:space="preserve">Is extra iron required for this job? Extra water and bulk hoses? </t>
  </si>
  <si>
    <t xml:space="preserve">Bulk source samples (composite), water samples and mud samples retrieved, labeled with time and source captured properly? </t>
  </si>
  <si>
    <t xml:space="preserve">Who is the most at risk driver? </t>
  </si>
  <si>
    <t xml:space="preserve">Cement head, Plumbing, water screens, Coriolis / bean (if possible) and sample catcher inspected for debris?  </t>
  </si>
  <si>
    <t>After Action Review, Calculations and CSV file attached to eService before submitting (Done in Field</t>
  </si>
  <si>
    <t>What is convoy protocol? Who's in the front, who's in the back, what radio channel</t>
  </si>
  <si>
    <t>Updated mud properties used?</t>
  </si>
  <si>
    <t>Surface Volume</t>
  </si>
  <si>
    <t>Annular Volume</t>
  </si>
  <si>
    <t>Safe Pump Time</t>
  </si>
  <si>
    <t>Lead Pilot test target TT100</t>
  </si>
  <si>
    <t>Tail Pilot test target TT100</t>
  </si>
  <si>
    <t>-</t>
  </si>
  <si>
    <t>Blend Testing</t>
  </si>
  <si>
    <t>SPT</t>
  </si>
  <si>
    <t>Min TT100</t>
  </si>
  <si>
    <t>Min Target TT100</t>
  </si>
  <si>
    <t>Actual Pilot</t>
  </si>
  <si>
    <t>Max TT100</t>
  </si>
  <si>
    <t>PRGNum</t>
  </si>
  <si>
    <t>JobType</t>
  </si>
  <si>
    <t>WellName</t>
  </si>
  <si>
    <t>DownholeLocation</t>
  </si>
  <si>
    <t>ServicePoint</t>
  </si>
  <si>
    <t>BlendBase</t>
  </si>
  <si>
    <t>MixWater</t>
  </si>
  <si>
    <t>CementSource</t>
  </si>
  <si>
    <t>Density</t>
  </si>
  <si>
    <t>Blend</t>
  </si>
  <si>
    <t>BHCT</t>
  </si>
  <si>
    <t>BHST</t>
  </si>
  <si>
    <t>TMD</t>
  </si>
  <si>
    <t>TVD</t>
  </si>
  <si>
    <t>Pressure</t>
  </si>
  <si>
    <t>Salt</t>
  </si>
  <si>
    <t>SaltConc</t>
  </si>
  <si>
    <t>TT100</t>
  </si>
  <si>
    <t>TT100Max</t>
  </si>
  <si>
    <t>TT100Min</t>
  </si>
  <si>
    <t>TT70</t>
  </si>
  <si>
    <t>TT70Max</t>
  </si>
  <si>
    <t>TT70Min</t>
  </si>
  <si>
    <t>TT40</t>
  </si>
  <si>
    <t>TT40Max</t>
  </si>
  <si>
    <t>TT40Min</t>
  </si>
  <si>
    <t>CSMax</t>
  </si>
  <si>
    <t>CSMin</t>
  </si>
  <si>
    <t>FL</t>
  </si>
  <si>
    <t>FLMax</t>
  </si>
  <si>
    <t>CI</t>
  </si>
  <si>
    <t>CIMax</t>
  </si>
  <si>
    <t>Additive 1</t>
  </si>
  <si>
    <t>Additive 6</t>
  </si>
  <si>
    <t>Additive 2</t>
  </si>
  <si>
    <t>Additive 3</t>
  </si>
  <si>
    <t>Additive 4</t>
  </si>
  <si>
    <t>Additive 5</t>
  </si>
  <si>
    <t>Additive 7</t>
  </si>
  <si>
    <t>Additive 8</t>
  </si>
  <si>
    <t>Additive 9</t>
  </si>
  <si>
    <t>Additive 10</t>
  </si>
  <si>
    <t>Matrix Score</t>
  </si>
  <si>
    <t>Angle</t>
  </si>
  <si>
    <t>Lab</t>
  </si>
  <si>
    <t>HorsePower Req.</t>
  </si>
  <si>
    <t>Enter data in Yellow cells</t>
  </si>
  <si>
    <t>Chart Title</t>
  </si>
  <si>
    <t>Twin</t>
  </si>
  <si>
    <t>Engine Type</t>
  </si>
  <si>
    <t>2 x C13 475HHP</t>
  </si>
  <si>
    <t>Single or Twin</t>
  </si>
  <si>
    <t>Mix or Displ</t>
  </si>
  <si>
    <t>SCS limits</t>
  </si>
  <si>
    <t>3.5"</t>
  </si>
  <si>
    <t>Single</t>
  </si>
  <si>
    <t>Max HP Mixing</t>
  </si>
  <si>
    <t>Mixing</t>
  </si>
  <si>
    <t>Displacing</t>
  </si>
  <si>
    <t>Max HP Displacing</t>
  </si>
  <si>
    <t>Design Rate</t>
  </si>
  <si>
    <t>Losses</t>
  </si>
  <si>
    <t>Design Pressure</t>
  </si>
  <si>
    <t>Displ</t>
  </si>
  <si>
    <t>Mix</t>
  </si>
  <si>
    <t>Net HP Displ</t>
  </si>
  <si>
    <t>Net HP Mix</t>
  </si>
  <si>
    <t>Net KW Displ</t>
  </si>
  <si>
    <t>Net KW Mix</t>
  </si>
  <si>
    <t>Horsepower</t>
  </si>
  <si>
    <t>HHP</t>
  </si>
  <si>
    <t>Plunger size</t>
  </si>
  <si>
    <t>Max Pres (psi)</t>
  </si>
  <si>
    <t>Max Pres (MPa)</t>
  </si>
  <si>
    <t>Rate Low</t>
  </si>
  <si>
    <t>Rate High (single)</t>
  </si>
  <si>
    <t>Rate High (Twin)</t>
  </si>
  <si>
    <t>4.0"</t>
  </si>
  <si>
    <t>4.5"</t>
  </si>
  <si>
    <t>Notes:</t>
  </si>
  <si>
    <t>Engine HP from Liguo calcs located here.</t>
  </si>
  <si>
    <t>All HP numbers are average of RPM range</t>
  </si>
  <si>
    <t>Rates</t>
  </si>
  <si>
    <t>Mix Pres</t>
  </si>
  <si>
    <t>Displ Pres</t>
  </si>
  <si>
    <t>CSRep</t>
  </si>
  <si>
    <t>TSRep</t>
  </si>
  <si>
    <t>Viscosity</t>
  </si>
  <si>
    <t>Mud</t>
  </si>
  <si>
    <t>Spacer</t>
  </si>
  <si>
    <t>Preflush</t>
  </si>
  <si>
    <t>Scavenger</t>
  </si>
  <si>
    <t>Leading Cement</t>
  </si>
  <si>
    <t>Displacement Volume</t>
  </si>
  <si>
    <t>Step Down</t>
  </si>
  <si>
    <t>Step Down Displacement Vol.</t>
  </si>
  <si>
    <t>Step Down Displacement Rate</t>
  </si>
  <si>
    <t xml:space="preserve">Design Displacement Rate </t>
  </si>
  <si>
    <t>Step Down #</t>
  </si>
  <si>
    <t>*** Safe Pump Time (SPT) - NEW ***</t>
  </si>
  <si>
    <t xml:space="preserve">Displacement Rate </t>
  </si>
  <si>
    <t>1)</t>
  </si>
  <si>
    <t>Enter number of trucks used for the operation</t>
  </si>
  <si>
    <t>2)</t>
  </si>
  <si>
    <t>Enter job volumes in to sheet to determine Target Lead &amp; Tail Placement times, Min TT100, and Targer TT100</t>
  </si>
  <si>
    <t>3)</t>
  </si>
  <si>
    <t>Select blend with pilot equal to or greater than the Min Target TT100</t>
  </si>
  <si>
    <t>4)</t>
  </si>
  <si>
    <t>Enter pilot test values into "Actual Pilot" part of the sheet (Cells O27 and O29)</t>
  </si>
  <si>
    <t>5)</t>
  </si>
  <si>
    <t>Min and Max TT100 will be based on the Actual Pilot value</t>
  </si>
  <si>
    <t>6)</t>
  </si>
  <si>
    <t>Automatic Pass/Fail of Field Blend will be based on Actual Pilot value</t>
  </si>
  <si>
    <t>7)</t>
  </si>
  <si>
    <t>Laboratory can pass field blend tests within the min/max range</t>
  </si>
  <si>
    <t>8)</t>
  </si>
  <si>
    <t>If the Field Blend test is outside the acceptable range, CS will decide on plan moving forward</t>
  </si>
  <si>
    <t>Review Horsepower</t>
  </si>
  <si>
    <t>Any specialized data  to be recorded during this job?</t>
  </si>
  <si>
    <t>Start new Master Well Sheet filling in client info, requested tests</t>
  </si>
  <si>
    <t>Insert applicable pilot tests including TT curves</t>
  </si>
  <si>
    <t>Update CWOP checklist, Horsepower Calc and Safe Pump Time</t>
  </si>
  <si>
    <t>Insert lab tests as they finish</t>
  </si>
  <si>
    <t>Book CWOP</t>
  </si>
  <si>
    <t>Final CWOP prep, insert any missing data</t>
  </si>
  <si>
    <t>Ops</t>
  </si>
  <si>
    <t>Hold High Profile Call</t>
  </si>
  <si>
    <t>Conduct District AAR</t>
  </si>
  <si>
    <t>Chair Calgary AAR</t>
  </si>
  <si>
    <t>Send Approval sheet to Ops upon completion of lab testing</t>
  </si>
  <si>
    <t>9)</t>
  </si>
  <si>
    <t>Use "Tail Volume" when only 1 cement is used</t>
  </si>
  <si>
    <t>Hesitation Default: 30 Stage tool, 60 liner</t>
  </si>
  <si>
    <t>2 x C9 375HHP</t>
  </si>
  <si>
    <t>2 x C13 520HHP</t>
  </si>
  <si>
    <t>1 x DD15 560HHP</t>
  </si>
  <si>
    <t>1 x DD16 600HHP</t>
  </si>
  <si>
    <t>Mixing HP</t>
  </si>
  <si>
    <t>Displacing HP</t>
  </si>
  <si>
    <t>Engine HP</t>
  </si>
  <si>
    <t>Liner</t>
  </si>
  <si>
    <t>Strath Hz Lator</t>
  </si>
  <si>
    <t>Grande Prairie</t>
  </si>
  <si>
    <t>Thermal 40</t>
  </si>
  <si>
    <t>CFR-5</t>
  </si>
  <si>
    <t>CFL-4</t>
  </si>
  <si>
    <t>HTR-2</t>
  </si>
  <si>
    <t>FWC-2</t>
  </si>
  <si>
    <t>CDF-6P</t>
  </si>
  <si>
    <t>Mark Astley</t>
  </si>
  <si>
    <t>PD 529</t>
  </si>
  <si>
    <t>Liner, Depth, Temp, Hesitation</t>
  </si>
  <si>
    <t>Backup water, bulker for backup blower</t>
  </si>
  <si>
    <t>Rate can be slowed if there is bulk delivery issues - density is more important</t>
  </si>
  <si>
    <t>Bulk delivery issues (rate or density most important?)</t>
  </si>
  <si>
    <t>maximum allowed is 60 min</t>
  </si>
  <si>
    <t>slow down</t>
  </si>
  <si>
    <t>Client supplied head and plug</t>
  </si>
  <si>
    <t>Density Sensitivity</t>
  </si>
  <si>
    <t>Stay within +/- 25 kg</t>
  </si>
  <si>
    <r>
      <rPr>
        <b/>
        <i/>
        <u/>
        <sz val="11"/>
        <color theme="1"/>
        <rFont val="Calibri"/>
        <family val="2"/>
        <scheme val="minor"/>
      </rPr>
      <t>Import tools:</t>
    </r>
    <r>
      <rPr>
        <sz val="11"/>
        <color theme="1"/>
        <rFont val="Calibri"/>
        <family val="2"/>
        <scheme val="minor"/>
      </rPr>
      <t xml:space="preserve"> TD Cementing swivel, TD Cement/Pluh Loading Head, Flag Indicator Sub, TD Positive ball drop Sub, drill pipe pump down plug</t>
    </r>
  </si>
  <si>
    <t>Pilot Hes</t>
  </si>
  <si>
    <t>FB</t>
  </si>
  <si>
    <t>FB Hes</t>
  </si>
  <si>
    <t>Import Liner Hanger, Tier 1 Toe Port, Tier 1 Float collar, Tier 1 float shoe</t>
  </si>
  <si>
    <t>P/T dependant, Standoff 100% build - 75% lateral</t>
  </si>
  <si>
    <t>Simulation model based on previous pressure match model</t>
  </si>
  <si>
    <t>57 MPa Nominal Surface Pressure</t>
  </si>
  <si>
    <t>TBD</t>
  </si>
  <si>
    <t>Mud Report from Last Well</t>
  </si>
  <si>
    <t>Well Plan - Survey not provided</t>
  </si>
  <si>
    <t>PRG2001091</t>
  </si>
  <si>
    <t>100/08-20-62-3W6</t>
  </si>
  <si>
    <t>Field</t>
  </si>
  <si>
    <t>Liner - Blend 1</t>
  </si>
  <si>
    <t>Jason Schneider</t>
  </si>
  <si>
    <t>Visweep DM IS | MCR-9L in Wet Show &amp; Displacement, WWM across liner top</t>
  </si>
  <si>
    <t>Single test for client</t>
  </si>
  <si>
    <t>10% excess</t>
  </si>
  <si>
    <t>4 Displacement fluids - Inhibitedwater with MCR-9L, Inhibited water, Water wet max, Invert. Slow down with 5 m3 left in displacement.</t>
  </si>
  <si>
    <t>We already have a 0.75 m3 wet shoe. Confirm plug was dropped Stop at calculated displacement point, follow work instruction for displacement, and confirm
plug has been dropped. If the plug has been dropped, confirm aeration calculation, consult with Client Representative on location and continue to displace as directed. Follow MOC procedure.</t>
  </si>
  <si>
    <t>REV 8</t>
  </si>
  <si>
    <r>
      <t>Held until approved -</t>
    </r>
    <r>
      <rPr>
        <b/>
        <sz val="11"/>
        <color theme="1"/>
        <rFont val="Calibri"/>
        <family val="2"/>
        <scheme val="minor"/>
      </rPr>
      <t xml:space="preserve"> Approved Dec 2, 2020</t>
    </r>
  </si>
  <si>
    <t>Pilot Hesitation</t>
  </si>
  <si>
    <t>Field Blend Hesitation</t>
  </si>
  <si>
    <t>Strathcona</t>
  </si>
  <si>
    <t>Confirm volume to slow down prior to bump.</t>
  </si>
  <si>
    <t>Need a bulk sample from P-Tank for Strathcona and Sanjel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</si>
</sst>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0" x14ac:knownFonts="1">
    <font>
      <sz val="11"/>
      <color theme="1"/>
      <name val="Calibri"/>
      <family val="2"/>
      <scheme val="minor"/>
    </font>
    <font>
      <sz val="11"/>
      <color rgb="FFFF0000"/>
      <name val="Calibri"/>
      <family val="2"/>
      <scheme val="minor"/>
    </font>
    <font>
      <b/>
      <sz val="11"/>
      <color theme="1"/>
      <name val="Calibri"/>
      <family val="2"/>
      <scheme val="minor"/>
    </font>
    <font>
      <b/>
      <sz val="22"/>
      <color theme="1"/>
      <name val="Calibri"/>
      <family val="2"/>
      <scheme val="minor"/>
    </font>
    <font>
      <i/>
      <sz val="11"/>
      <color theme="1"/>
      <name val="Calibri"/>
      <family val="2"/>
      <scheme val="minor"/>
    </font>
    <font>
      <sz val="11"/>
      <color theme="1"/>
      <name val="Calibri"/>
      <family val="2"/>
      <scheme val="minor"/>
    </font>
    <font>
      <b/>
      <u/>
      <sz val="11"/>
      <color rgb="FF000000"/>
      <name val="Calibri"/>
      <family val="2"/>
    </font>
    <font>
      <sz val="11"/>
      <color theme="1"/>
      <name val="Calibri"/>
      <family val="2"/>
    </font>
    <font>
      <sz val="7"/>
      <color theme="1"/>
      <name val="Times New Roman"/>
      <family val="1"/>
    </font>
    <font>
      <sz val="9"/>
      <color theme="1"/>
      <name val="Calibri"/>
      <family val="2"/>
      <scheme val="minor"/>
    </font>
    <font>
      <b/>
      <sz val="20"/>
      <color theme="1"/>
      <name val="Calibri"/>
      <family val="2"/>
      <scheme val="minor"/>
    </font>
    <font>
      <b/>
      <sz val="11"/>
      <color theme="0"/>
      <name val="Calibri"/>
      <family val="2"/>
      <scheme val="minor"/>
    </font>
    <font>
      <sz val="11"/>
      <color theme="0"/>
      <name val="Calibri"/>
      <family val="2"/>
      <scheme val="minor"/>
    </font>
    <font>
      <sz val="10"/>
      <color rgb="FF181717"/>
      <name val="Arial"/>
      <family val="2"/>
    </font>
    <font>
      <vertAlign val="subscript"/>
      <sz val="9"/>
      <color rgb="FF181717"/>
      <name val="Arial"/>
      <family val="2"/>
    </font>
    <font>
      <sz val="10"/>
      <color theme="1"/>
      <name val="Arial"/>
      <family val="2"/>
    </font>
    <font>
      <b/>
      <sz val="10"/>
      <color theme="0"/>
      <name val="Arial"/>
      <family val="2"/>
    </font>
    <font>
      <b/>
      <vertAlign val="subscript"/>
      <sz val="9"/>
      <color theme="0"/>
      <name val="Arial"/>
      <family val="2"/>
    </font>
    <font>
      <b/>
      <u/>
      <sz val="11"/>
      <color theme="1"/>
      <name val="Calibri"/>
      <family val="2"/>
      <scheme val="minor"/>
    </font>
    <font>
      <sz val="8"/>
      <name val="Calibri"/>
      <family val="2"/>
      <scheme val="minor"/>
    </font>
    <font>
      <u/>
      <sz val="11"/>
      <color theme="10"/>
      <name val="Calibri"/>
      <family val="2"/>
      <scheme val="minor"/>
    </font>
    <font>
      <sz val="10"/>
      <name val="Arial"/>
      <family val="2"/>
    </font>
    <font>
      <b/>
      <sz val="10"/>
      <name val="Arial"/>
      <family val="2"/>
    </font>
    <font>
      <b/>
      <sz val="10"/>
      <color rgb="FFFF0000"/>
      <name val="Arial"/>
      <family val="2"/>
    </font>
    <font>
      <b/>
      <sz val="10"/>
      <color rgb="FF03D7ED"/>
      <name val="Arial"/>
      <family val="2"/>
    </font>
    <font>
      <sz val="10"/>
      <color theme="0"/>
      <name val="Arial"/>
      <family val="2"/>
    </font>
    <font>
      <sz val="10"/>
      <color rgb="FFFF0000"/>
      <name val="Arial"/>
      <family val="2"/>
    </font>
    <font>
      <b/>
      <sz val="12"/>
      <color theme="1"/>
      <name val="Calibri"/>
      <family val="2"/>
      <scheme val="minor"/>
    </font>
    <font>
      <b/>
      <i/>
      <sz val="12"/>
      <color theme="1"/>
      <name val="Calibri"/>
      <family val="2"/>
      <scheme val="minor"/>
    </font>
    <font>
      <b/>
      <i/>
      <u/>
      <sz val="11"/>
      <color theme="1"/>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7" tint="0.39997558519241921"/>
        <bgColor indexed="64"/>
      </patternFill>
    </fill>
    <fill>
      <patternFill patternType="solid">
        <fgColor theme="1"/>
        <bgColor indexed="64"/>
      </patternFill>
    </fill>
    <fill>
      <patternFill patternType="solid">
        <fgColor rgb="FFFFFF00"/>
        <bgColor indexed="64"/>
      </patternFill>
    </fill>
    <fill>
      <patternFill patternType="solid">
        <fgColor rgb="FF92D050"/>
        <bgColor indexed="64"/>
      </patternFill>
    </fill>
    <fill>
      <patternFill patternType="solid">
        <fgColor theme="2"/>
        <bgColor indexed="64"/>
      </patternFill>
    </fill>
    <fill>
      <patternFill patternType="solid">
        <fgColor theme="5"/>
        <bgColor indexed="64"/>
      </patternFill>
    </fill>
    <fill>
      <patternFill patternType="solid">
        <fgColor rgb="FF00B0F0"/>
        <bgColor indexed="64"/>
      </patternFill>
    </fill>
    <fill>
      <patternFill patternType="solid">
        <fgColor theme="7" tint="0.59999389629810485"/>
        <bgColor indexed="64"/>
      </patternFill>
    </fill>
    <fill>
      <patternFill patternType="solid">
        <fgColor rgb="FFFF7C80"/>
        <bgColor indexed="64"/>
      </patternFill>
    </fill>
    <fill>
      <patternFill patternType="solid">
        <fgColor rgb="FF66FFFF"/>
        <bgColor indexed="64"/>
      </patternFill>
    </fill>
    <fill>
      <patternFill patternType="solid">
        <fgColor rgb="FFFF99FF"/>
        <bgColor indexed="64"/>
      </patternFill>
    </fill>
  </fills>
  <borders count="5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medium">
        <color indexed="64"/>
      </left>
      <right style="medium">
        <color rgb="FF181717"/>
      </right>
      <top style="medium">
        <color indexed="64"/>
      </top>
      <bottom style="medium">
        <color rgb="FF181717"/>
      </bottom>
      <diagonal/>
    </border>
    <border>
      <left/>
      <right style="medium">
        <color indexed="64"/>
      </right>
      <top style="medium">
        <color indexed="64"/>
      </top>
      <bottom style="medium">
        <color rgb="FF181717"/>
      </bottom>
      <diagonal/>
    </border>
    <border>
      <left style="medium">
        <color indexed="64"/>
      </left>
      <right style="medium">
        <color rgb="FF181717"/>
      </right>
      <top/>
      <bottom style="medium">
        <color rgb="FF181717"/>
      </bottom>
      <diagonal/>
    </border>
    <border>
      <left/>
      <right style="medium">
        <color indexed="64"/>
      </right>
      <top/>
      <bottom style="medium">
        <color rgb="FF181717"/>
      </bottom>
      <diagonal/>
    </border>
    <border>
      <left style="medium">
        <color indexed="64"/>
      </left>
      <right style="medium">
        <color rgb="FF181717"/>
      </right>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4">
    <xf numFmtId="0" fontId="0" fillId="0" borderId="0"/>
    <xf numFmtId="0" fontId="5" fillId="0" borderId="0"/>
    <xf numFmtId="0" fontId="20" fillId="0" borderId="0" applyNumberFormat="0" applyFill="0" applyBorder="0" applyAlignment="0" applyProtection="0"/>
    <xf numFmtId="9" fontId="5" fillId="0" borderId="0" applyFont="0" applyFill="0" applyBorder="0" applyAlignment="0" applyProtection="0"/>
    <xf numFmtId="0" fontId="5" fillId="0" borderId="0"/>
    <xf numFmtId="0" fontId="5" fillId="0" borderId="0"/>
    <xf numFmtId="0" fontId="2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cellStyleXfs>
  <cellXfs count="321">
    <xf numFmtId="0" fontId="0" fillId="0" borderId="0" xfId="0"/>
    <xf numFmtId="0" fontId="0" fillId="0" borderId="0" xfId="0" applyAlignment="1"/>
    <xf numFmtId="0" fontId="0" fillId="0" borderId="0" xfId="0" applyAlignment="1">
      <alignment horizontal="right"/>
    </xf>
    <xf numFmtId="0" fontId="0" fillId="0" borderId="0" xfId="0" applyAlignment="1">
      <alignment horizontal="left"/>
    </xf>
    <xf numFmtId="0" fontId="0" fillId="0" borderId="0" xfId="0" applyFill="1" applyAlignment="1">
      <alignment horizontal="right"/>
    </xf>
    <xf numFmtId="1" fontId="0" fillId="0" borderId="0" xfId="0" applyNumberFormat="1" applyAlignment="1">
      <alignment horizontal="center"/>
    </xf>
    <xf numFmtId="0" fontId="0" fillId="0" borderId="0" xfId="0" applyAlignment="1">
      <alignment wrapText="1"/>
    </xf>
    <xf numFmtId="0" fontId="0" fillId="0" borderId="20" xfId="0" applyBorder="1"/>
    <xf numFmtId="0" fontId="0" fillId="0" borderId="9" xfId="0"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1" fillId="0" borderId="0" xfId="0" applyFont="1"/>
    <xf numFmtId="0" fontId="6" fillId="0" borderId="21" xfId="0" applyFont="1" applyFill="1" applyBorder="1"/>
    <xf numFmtId="0" fontId="7" fillId="0" borderId="22" xfId="0" applyFont="1" applyFill="1" applyBorder="1" applyAlignment="1">
      <alignment wrapText="1"/>
    </xf>
    <xf numFmtId="0" fontId="7" fillId="0" borderId="22" xfId="0" applyFont="1" applyFill="1" applyBorder="1"/>
    <xf numFmtId="0" fontId="0" fillId="0" borderId="0" xfId="0" applyAlignment="1">
      <alignment vertical="center"/>
    </xf>
    <xf numFmtId="0" fontId="0" fillId="0" borderId="0" xfId="0" applyAlignment="1">
      <alignment horizontal="left" vertical="center" indent="5"/>
    </xf>
    <xf numFmtId="0" fontId="0" fillId="0" borderId="0" xfId="0" applyAlignment="1">
      <alignment horizontal="left" vertical="center" indent="10"/>
    </xf>
    <xf numFmtId="0" fontId="8" fillId="0" borderId="0" xfId="0" applyFont="1" applyAlignment="1">
      <alignment horizontal="left" vertical="center" indent="15"/>
    </xf>
    <xf numFmtId="0" fontId="0" fillId="4" borderId="0" xfId="0" applyFill="1"/>
    <xf numFmtId="0" fontId="9" fillId="0" borderId="14" xfId="0" applyFont="1" applyBorder="1" applyAlignment="1">
      <alignment horizontal="center" wrapText="1"/>
    </xf>
    <xf numFmtId="0" fontId="0" fillId="0" borderId="14" xfId="0" applyBorder="1"/>
    <xf numFmtId="0" fontId="9" fillId="0" borderId="14" xfId="0" applyFont="1" applyBorder="1" applyAlignment="1">
      <alignment horizontal="center"/>
    </xf>
    <xf numFmtId="0" fontId="0" fillId="0" borderId="14" xfId="0" applyBorder="1" applyAlignment="1">
      <alignment horizontal="center" wrapText="1"/>
    </xf>
    <xf numFmtId="0" fontId="0" fillId="0" borderId="14" xfId="0" applyBorder="1" applyAlignment="1">
      <alignment horizontal="center"/>
    </xf>
    <xf numFmtId="0" fontId="0" fillId="0" borderId="4" xfId="0" applyBorder="1"/>
    <xf numFmtId="0" fontId="0" fillId="0" borderId="6" xfId="0" applyBorder="1"/>
    <xf numFmtId="0" fontId="0" fillId="0" borderId="18" xfId="0" applyBorder="1"/>
    <xf numFmtId="0" fontId="0" fillId="0" borderId="7" xfId="0" applyBorder="1"/>
    <xf numFmtId="0" fontId="0" fillId="0" borderId="0" xfId="0" applyBorder="1" applyAlignment="1">
      <alignment vertical="top" wrapText="1"/>
    </xf>
    <xf numFmtId="0" fontId="0" fillId="2" borderId="0" xfId="0" applyFill="1" applyAlignment="1">
      <alignment wrapText="1"/>
    </xf>
    <xf numFmtId="1" fontId="0" fillId="2" borderId="17" xfId="0" applyNumberFormat="1" applyFill="1" applyBorder="1" applyAlignment="1">
      <alignment horizontal="center" vertical="center"/>
    </xf>
    <xf numFmtId="1" fontId="0" fillId="2" borderId="19" xfId="0" applyNumberFormat="1" applyFill="1" applyBorder="1" applyAlignment="1">
      <alignment horizontal="center" vertical="center"/>
    </xf>
    <xf numFmtId="0" fontId="0" fillId="2" borderId="18" xfId="0" applyFill="1" applyBorder="1" applyAlignment="1">
      <alignment wrapText="1"/>
    </xf>
    <xf numFmtId="0" fontId="2" fillId="2" borderId="23" xfId="0" applyFont="1" applyFill="1" applyBorder="1" applyAlignment="1">
      <alignment horizontal="center" vertical="center" wrapText="1"/>
    </xf>
    <xf numFmtId="0" fontId="0" fillId="2" borderId="7" xfId="0" applyFill="1" applyBorder="1" applyAlignment="1">
      <alignment wrapText="1"/>
    </xf>
    <xf numFmtId="0" fontId="0" fillId="2" borderId="8" xfId="0" applyFill="1" applyBorder="1" applyAlignment="1">
      <alignment wrapText="1"/>
    </xf>
    <xf numFmtId="1" fontId="0" fillId="0" borderId="0" xfId="0" applyNumberFormat="1"/>
    <xf numFmtId="0" fontId="0" fillId="0" borderId="27" xfId="0" applyBorder="1"/>
    <xf numFmtId="0" fontId="0" fillId="0" borderId="14" xfId="0" applyFill="1" applyBorder="1" applyAlignment="1">
      <alignment horizontal="center"/>
    </xf>
    <xf numFmtId="0" fontId="0" fillId="0" borderId="27" xfId="0" applyBorder="1" applyAlignment="1">
      <alignment horizontal="center"/>
    </xf>
    <xf numFmtId="0" fontId="0" fillId="0" borderId="29" xfId="0" applyBorder="1"/>
    <xf numFmtId="0" fontId="12" fillId="5" borderId="0" xfId="0" applyFont="1" applyFill="1"/>
    <xf numFmtId="0" fontId="13" fillId="0" borderId="33" xfId="0" applyFont="1" applyBorder="1" applyAlignment="1">
      <alignment vertical="center" wrapText="1"/>
    </xf>
    <xf numFmtId="0" fontId="13" fillId="0" borderId="9" xfId="0" applyFont="1" applyBorder="1" applyAlignment="1">
      <alignment vertical="center" wrapText="1"/>
    </xf>
    <xf numFmtId="0" fontId="0" fillId="0" borderId="0" xfId="0" applyBorder="1"/>
    <xf numFmtId="0" fontId="0" fillId="0" borderId="8" xfId="0" applyBorder="1"/>
    <xf numFmtId="0" fontId="0" fillId="0" borderId="13" xfId="0" applyBorder="1"/>
    <xf numFmtId="0" fontId="0" fillId="0" borderId="15" xfId="0" applyBorder="1"/>
    <xf numFmtId="0" fontId="0" fillId="0" borderId="16" xfId="0" applyBorder="1"/>
    <xf numFmtId="0" fontId="0" fillId="0" borderId="19" xfId="0" applyBorder="1"/>
    <xf numFmtId="0" fontId="0" fillId="5" borderId="0" xfId="0" applyFill="1"/>
    <xf numFmtId="0" fontId="0" fillId="5" borderId="13" xfId="0" applyFill="1" applyBorder="1"/>
    <xf numFmtId="0" fontId="0" fillId="5" borderId="15" xfId="0" applyFill="1" applyBorder="1"/>
    <xf numFmtId="0" fontId="2" fillId="0" borderId="10" xfId="0" applyFont="1" applyBorder="1" applyAlignment="1">
      <alignment horizontal="center"/>
    </xf>
    <xf numFmtId="0" fontId="2" fillId="0" borderId="12" xfId="0" applyFont="1" applyBorder="1" applyAlignment="1">
      <alignment horizontal="center"/>
    </xf>
    <xf numFmtId="2" fontId="13" fillId="0" borderId="32" xfId="0" applyNumberFormat="1" applyFont="1" applyBorder="1" applyAlignment="1">
      <alignment horizontal="center" vertical="center" wrapText="1"/>
    </xf>
    <xf numFmtId="0" fontId="13" fillId="0" borderId="34" xfId="0" applyFont="1" applyBorder="1" applyAlignment="1">
      <alignment horizontal="center" vertical="center" wrapText="1"/>
    </xf>
    <xf numFmtId="0" fontId="0" fillId="6" borderId="18" xfId="0" applyFill="1" applyBorder="1"/>
    <xf numFmtId="0" fontId="0" fillId="6" borderId="0" xfId="0" applyFill="1" applyBorder="1"/>
    <xf numFmtId="0" fontId="13" fillId="6" borderId="30" xfId="0" applyFont="1" applyFill="1" applyBorder="1" applyAlignment="1">
      <alignment horizontal="center" vertical="center" wrapText="1"/>
    </xf>
    <xf numFmtId="0" fontId="13" fillId="6" borderId="31" xfId="0" applyFont="1" applyFill="1" applyBorder="1" applyAlignment="1">
      <alignment vertical="center" wrapText="1"/>
    </xf>
    <xf numFmtId="0" fontId="13" fillId="7" borderId="32" xfId="0" applyFont="1" applyFill="1" applyBorder="1" applyAlignment="1">
      <alignment horizontal="center" vertical="center" wrapText="1"/>
    </xf>
    <xf numFmtId="0" fontId="13" fillId="7" borderId="33" xfId="0" applyFont="1" applyFill="1" applyBorder="1" applyAlignment="1">
      <alignment vertical="center" wrapText="1"/>
    </xf>
    <xf numFmtId="0" fontId="13" fillId="8" borderId="32" xfId="0" applyFont="1" applyFill="1" applyBorder="1" applyAlignment="1">
      <alignment horizontal="center" vertical="center" wrapText="1"/>
    </xf>
    <xf numFmtId="0" fontId="13" fillId="9" borderId="32" xfId="0" applyFont="1" applyFill="1" applyBorder="1" applyAlignment="1">
      <alignment horizontal="center" vertical="center" wrapText="1"/>
    </xf>
    <xf numFmtId="0" fontId="13" fillId="9" borderId="33" xfId="0" applyFont="1" applyFill="1" applyBorder="1" applyAlignment="1">
      <alignment vertical="center" wrapText="1"/>
    </xf>
    <xf numFmtId="0" fontId="0" fillId="9" borderId="18" xfId="0" applyFill="1" applyBorder="1"/>
    <xf numFmtId="0" fontId="0" fillId="9" borderId="0" xfId="0" applyFill="1" applyBorder="1"/>
    <xf numFmtId="0" fontId="13" fillId="10" borderId="32" xfId="0" applyFont="1" applyFill="1" applyBorder="1" applyAlignment="1">
      <alignment horizontal="center" vertical="center" wrapText="1"/>
    </xf>
    <xf numFmtId="0" fontId="15" fillId="10" borderId="33" xfId="0" applyFont="1" applyFill="1" applyBorder="1" applyAlignment="1">
      <alignment vertical="center" wrapText="1"/>
    </xf>
    <xf numFmtId="0" fontId="0" fillId="10" borderId="18" xfId="0" applyFill="1" applyBorder="1"/>
    <xf numFmtId="0" fontId="0" fillId="10" borderId="0" xfId="0" applyFill="1" applyBorder="1"/>
    <xf numFmtId="0" fontId="13" fillId="11" borderId="32" xfId="0" applyFont="1" applyFill="1" applyBorder="1" applyAlignment="1">
      <alignment horizontal="center" vertical="center" wrapText="1"/>
    </xf>
    <xf numFmtId="0" fontId="13" fillId="11" borderId="33" xfId="0" applyFont="1" applyFill="1" applyBorder="1" applyAlignment="1">
      <alignment vertical="center" wrapText="1"/>
    </xf>
    <xf numFmtId="0" fontId="0" fillId="11" borderId="18" xfId="0" applyFill="1" applyBorder="1"/>
    <xf numFmtId="0" fontId="0" fillId="11" borderId="0" xfId="0" applyFill="1" applyBorder="1"/>
    <xf numFmtId="0" fontId="13" fillId="12" borderId="32" xfId="0" applyFont="1" applyFill="1" applyBorder="1" applyAlignment="1">
      <alignment horizontal="center" vertical="center" wrapText="1"/>
    </xf>
    <xf numFmtId="0" fontId="13" fillId="12" borderId="33" xfId="0" applyFont="1" applyFill="1" applyBorder="1" applyAlignment="1">
      <alignment vertical="center" wrapText="1"/>
    </xf>
    <xf numFmtId="0" fontId="0" fillId="12" borderId="18" xfId="0" applyFill="1" applyBorder="1"/>
    <xf numFmtId="0" fontId="0" fillId="12" borderId="0" xfId="0" applyFill="1" applyBorder="1"/>
    <xf numFmtId="0" fontId="0" fillId="12" borderId="0" xfId="0" applyFill="1"/>
    <xf numFmtId="0" fontId="13" fillId="13" borderId="32" xfId="0" applyFont="1" applyFill="1" applyBorder="1" applyAlignment="1">
      <alignment horizontal="center" vertical="center" wrapText="1"/>
    </xf>
    <xf numFmtId="0" fontId="13" fillId="13" borderId="33" xfId="0" applyFont="1" applyFill="1" applyBorder="1" applyAlignment="1">
      <alignment vertical="center" wrapText="1"/>
    </xf>
    <xf numFmtId="0" fontId="0" fillId="13" borderId="18" xfId="0" applyFill="1" applyBorder="1"/>
    <xf numFmtId="0" fontId="0" fillId="13" borderId="0" xfId="0" applyFill="1" applyBorder="1"/>
    <xf numFmtId="0" fontId="13" fillId="14" borderId="32" xfId="0" applyFont="1" applyFill="1" applyBorder="1" applyAlignment="1">
      <alignment horizontal="center" vertical="center" wrapText="1"/>
    </xf>
    <xf numFmtId="0" fontId="13" fillId="14" borderId="33" xfId="0" applyFont="1" applyFill="1" applyBorder="1" applyAlignment="1">
      <alignment vertical="center" wrapText="1"/>
    </xf>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18" xfId="0" applyFill="1" applyBorder="1"/>
    <xf numFmtId="0" fontId="0" fillId="14" borderId="20" xfId="0" applyFill="1" applyBorder="1"/>
    <xf numFmtId="0" fontId="13" fillId="0" borderId="32" xfId="0" applyFont="1" applyFill="1" applyBorder="1" applyAlignment="1">
      <alignment horizontal="center" vertical="center" wrapText="1"/>
    </xf>
    <xf numFmtId="0" fontId="13" fillId="0" borderId="33" xfId="0" applyFont="1" applyFill="1" applyBorder="1" applyAlignment="1">
      <alignment vertical="center" wrapText="1"/>
    </xf>
    <xf numFmtId="0" fontId="0" fillId="7" borderId="18" xfId="0" applyFill="1" applyBorder="1"/>
    <xf numFmtId="0" fontId="0" fillId="7" borderId="0" xfId="0" applyFill="1" applyBorder="1"/>
    <xf numFmtId="0" fontId="15" fillId="8" borderId="33" xfId="0" applyFont="1" applyFill="1" applyBorder="1" applyAlignment="1">
      <alignment vertical="center" wrapText="1"/>
    </xf>
    <xf numFmtId="0" fontId="0" fillId="8" borderId="18" xfId="0" applyFill="1" applyBorder="1"/>
    <xf numFmtId="0" fontId="0" fillId="8" borderId="0" xfId="0" applyFill="1" applyBorder="1"/>
    <xf numFmtId="0" fontId="16" fillId="5" borderId="14" xfId="0" applyFont="1" applyFill="1" applyBorder="1" applyAlignment="1">
      <alignment horizontal="center" vertical="center" wrapText="1"/>
    </xf>
    <xf numFmtId="0" fontId="16" fillId="5" borderId="14" xfId="0" applyFont="1" applyFill="1" applyBorder="1" applyAlignment="1">
      <alignment vertical="center" wrapText="1"/>
    </xf>
    <xf numFmtId="2" fontId="16" fillId="5" borderId="14" xfId="0" applyNumberFormat="1" applyFont="1" applyFill="1" applyBorder="1" applyAlignment="1">
      <alignment horizontal="center" vertical="center" wrapText="1"/>
    </xf>
    <xf numFmtId="0" fontId="16" fillId="5" borderId="29" xfId="0" applyFont="1" applyFill="1" applyBorder="1" applyAlignment="1">
      <alignment vertical="center" wrapText="1"/>
    </xf>
    <xf numFmtId="0" fontId="0" fillId="3" borderId="13" xfId="0" applyFont="1" applyFill="1" applyBorder="1"/>
    <xf numFmtId="0" fontId="0" fillId="3" borderId="15" xfId="0" applyFont="1" applyFill="1" applyBorder="1"/>
    <xf numFmtId="0" fontId="16" fillId="5" borderId="27" xfId="0" applyFont="1" applyFill="1" applyBorder="1" applyAlignment="1">
      <alignment horizontal="center" vertical="center" wrapText="1"/>
    </xf>
    <xf numFmtId="0" fontId="16" fillId="5" borderId="28" xfId="0" applyFont="1" applyFill="1" applyBorder="1" applyAlignment="1">
      <alignment vertical="center" wrapText="1"/>
    </xf>
    <xf numFmtId="0" fontId="0" fillId="5" borderId="38" xfId="0" applyFill="1" applyBorder="1"/>
    <xf numFmtId="0" fontId="0" fillId="5" borderId="39" xfId="0" applyFill="1" applyBorder="1"/>
    <xf numFmtId="0" fontId="0" fillId="0" borderId="10" xfId="0" applyBorder="1"/>
    <xf numFmtId="0" fontId="0" fillId="0" borderId="11" xfId="0" applyBorder="1"/>
    <xf numFmtId="0" fontId="0" fillId="0" borderId="12" xfId="0" applyBorder="1"/>
    <xf numFmtId="0" fontId="0" fillId="0" borderId="17" xfId="0" applyBorder="1"/>
    <xf numFmtId="0" fontId="0" fillId="0" borderId="0" xfId="0" applyBorder="1" applyAlignment="1">
      <alignment horizontal="center"/>
    </xf>
    <xf numFmtId="0" fontId="2" fillId="2" borderId="11" xfId="0" applyFont="1" applyFill="1" applyBorder="1" applyAlignment="1">
      <alignment horizontal="center" vertical="center" wrapText="1"/>
    </xf>
    <xf numFmtId="0" fontId="0" fillId="2" borderId="13" xfId="0" applyFill="1" applyBorder="1" applyAlignment="1">
      <alignment horizontal="center" wrapText="1"/>
    </xf>
    <xf numFmtId="0" fontId="0" fillId="2" borderId="14" xfId="0" applyFill="1" applyBorder="1" applyAlignment="1">
      <alignment horizontal="center" wrapText="1"/>
    </xf>
    <xf numFmtId="0" fontId="0" fillId="2" borderId="8" xfId="0" applyFill="1" applyBorder="1" applyAlignment="1">
      <alignment vertical="top" wrapText="1"/>
    </xf>
    <xf numFmtId="0" fontId="0" fillId="2" borderId="29" xfId="0" applyFill="1" applyBorder="1" applyAlignment="1">
      <alignment horizontal="center" wrapText="1"/>
    </xf>
    <xf numFmtId="0" fontId="0" fillId="2" borderId="14" xfId="0" applyFill="1" applyBorder="1" applyAlignment="1">
      <alignment horizontal="center"/>
    </xf>
    <xf numFmtId="0" fontId="0" fillId="2" borderId="15" xfId="0" applyFill="1" applyBorder="1" applyAlignment="1">
      <alignment horizontal="center"/>
    </xf>
    <xf numFmtId="0" fontId="0" fillId="2" borderId="40" xfId="0" applyFill="1" applyBorder="1" applyAlignment="1">
      <alignment horizontal="center" vertical="center" wrapText="1"/>
    </xf>
    <xf numFmtId="1" fontId="2" fillId="2" borderId="16" xfId="0" applyNumberFormat="1" applyFont="1" applyFill="1" applyBorder="1" applyAlignment="1">
      <alignment horizontal="center" vertical="center" wrapText="1"/>
    </xf>
    <xf numFmtId="0" fontId="0" fillId="2" borderId="0" xfId="0" applyFill="1" applyAlignment="1">
      <alignment vertical="top" wrapText="1"/>
    </xf>
    <xf numFmtId="0" fontId="0" fillId="2" borderId="25" xfId="0" applyFill="1" applyBorder="1" applyAlignment="1">
      <alignment horizontal="center" vertical="center" wrapText="1"/>
    </xf>
    <xf numFmtId="0" fontId="0" fillId="2" borderId="24" xfId="0"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41" xfId="0" applyFont="1" applyFill="1" applyBorder="1" applyAlignment="1">
      <alignment horizontal="center" vertical="center" wrapText="1"/>
    </xf>
    <xf numFmtId="0" fontId="0" fillId="0" borderId="14" xfId="0" applyBorder="1" applyAlignment="1">
      <alignment horizontal="left"/>
    </xf>
    <xf numFmtId="20" fontId="0" fillId="0" borderId="14" xfId="0" applyNumberFormat="1" applyBorder="1" applyAlignment="1">
      <alignment horizontal="left"/>
    </xf>
    <xf numFmtId="0" fontId="0" fillId="0" borderId="14" xfId="0" applyBorder="1" applyAlignment="1"/>
    <xf numFmtId="0" fontId="0" fillId="0" borderId="48" xfId="0" applyFill="1" applyBorder="1" applyAlignment="1"/>
    <xf numFmtId="0" fontId="0" fillId="0" borderId="14" xfId="0" applyFill="1" applyBorder="1" applyAlignment="1"/>
    <xf numFmtId="0" fontId="0" fillId="6" borderId="0" xfId="0" applyFill="1"/>
    <xf numFmtId="164" fontId="0" fillId="0" borderId="0" xfId="0" applyNumberFormat="1"/>
    <xf numFmtId="0" fontId="21" fillId="0" borderId="0" xfId="0" applyFont="1"/>
    <xf numFmtId="0" fontId="22" fillId="3" borderId="0" xfId="0" applyFont="1" applyFill="1" applyAlignment="1">
      <alignment horizontal="center"/>
    </xf>
    <xf numFmtId="0" fontId="22" fillId="0" borderId="0" xfId="0" applyFont="1" applyAlignment="1">
      <alignment horizontal="center"/>
    </xf>
    <xf numFmtId="0" fontId="23" fillId="6" borderId="0" xfId="0" applyFont="1" applyFill="1"/>
    <xf numFmtId="0" fontId="24" fillId="6" borderId="0" xfId="0" applyFont="1" applyFill="1"/>
    <xf numFmtId="164" fontId="23" fillId="0" borderId="0" xfId="0" applyNumberFormat="1" applyFont="1"/>
    <xf numFmtId="164" fontId="24" fillId="0" borderId="0" xfId="0" applyNumberFormat="1" applyFont="1"/>
    <xf numFmtId="0" fontId="20" fillId="0" borderId="0" xfId="2"/>
    <xf numFmtId="0" fontId="25" fillId="0" borderId="0" xfId="0" applyFont="1"/>
    <xf numFmtId="164" fontId="25" fillId="0" borderId="0" xfId="0" applyNumberFormat="1" applyFont="1"/>
    <xf numFmtId="0" fontId="26" fillId="0" borderId="0" xfId="0" applyFont="1"/>
    <xf numFmtId="164" fontId="26" fillId="0" borderId="0" xfId="0" applyNumberFormat="1" applyFont="1"/>
    <xf numFmtId="2" fontId="26" fillId="0" borderId="0" xfId="0" applyNumberFormat="1" applyFont="1"/>
    <xf numFmtId="0" fontId="0" fillId="0" borderId="36" xfId="0" applyBorder="1"/>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5" xfId="0" applyFill="1" applyBorder="1" applyAlignment="1">
      <alignment horizontal="center" wrapText="1"/>
    </xf>
    <xf numFmtId="0" fontId="0" fillId="3" borderId="13" xfId="0" applyFill="1" applyBorder="1" applyAlignment="1">
      <alignment horizontal="center" wrapText="1"/>
    </xf>
    <xf numFmtId="1" fontId="0" fillId="2" borderId="14" xfId="0" applyNumberFormat="1" applyFill="1" applyBorder="1" applyAlignment="1">
      <alignment horizontal="center"/>
    </xf>
    <xf numFmtId="1" fontId="0" fillId="2" borderId="15" xfId="0" applyNumberFormat="1" applyFill="1" applyBorder="1" applyAlignment="1">
      <alignment horizontal="center"/>
    </xf>
    <xf numFmtId="0" fontId="0" fillId="2" borderId="20" xfId="0" applyFill="1" applyBorder="1" applyAlignment="1">
      <alignment horizontal="right"/>
    </xf>
    <xf numFmtId="0" fontId="0" fillId="2" borderId="17" xfId="0" applyFill="1" applyBorder="1" applyAlignment="1">
      <alignment horizontal="center" wrapText="1"/>
    </xf>
    <xf numFmtId="0" fontId="4" fillId="2" borderId="8" xfId="0" applyFont="1" applyFill="1" applyBorder="1"/>
    <xf numFmtId="0" fontId="0" fillId="2" borderId="8" xfId="0" applyFill="1" applyBorder="1"/>
    <xf numFmtId="0" fontId="0" fillId="2" borderId="9" xfId="0" applyFill="1" applyBorder="1" applyAlignment="1">
      <alignment horizontal="right"/>
    </xf>
    <xf numFmtId="0" fontId="0" fillId="2" borderId="51" xfId="0" applyFill="1" applyBorder="1" applyAlignment="1">
      <alignment horizontal="center" vertical="center" wrapText="1"/>
    </xf>
    <xf numFmtId="0" fontId="0" fillId="2" borderId="50" xfId="0" applyFill="1" applyBorder="1" applyAlignment="1">
      <alignment horizontal="center" vertical="center" wrapText="1"/>
    </xf>
    <xf numFmtId="0" fontId="2" fillId="2" borderId="26" xfId="0" applyFont="1" applyFill="1" applyBorder="1" applyAlignment="1">
      <alignment horizontal="center" vertical="center" wrapText="1"/>
    </xf>
    <xf numFmtId="0" fontId="0" fillId="2" borderId="26" xfId="0" applyFill="1" applyBorder="1" applyAlignment="1">
      <alignment horizontal="center" vertical="center" wrapText="1"/>
    </xf>
    <xf numFmtId="0" fontId="0" fillId="2" borderId="49" xfId="0" applyFill="1" applyBorder="1" applyAlignment="1">
      <alignment horizontal="center" vertical="center" wrapText="1"/>
    </xf>
    <xf numFmtId="0" fontId="18" fillId="2" borderId="51" xfId="0" applyFont="1" applyFill="1" applyBorder="1" applyAlignment="1">
      <alignment horizontal="center" vertical="center" wrapText="1"/>
    </xf>
    <xf numFmtId="0" fontId="2" fillId="2" borderId="52" xfId="0" applyFont="1" applyFill="1" applyBorder="1" applyAlignment="1">
      <alignment horizontal="center" vertical="center" wrapText="1"/>
    </xf>
    <xf numFmtId="0" fontId="2" fillId="2" borderId="0" xfId="0" applyFont="1" applyFill="1" applyAlignment="1">
      <alignment horizontal="center" vertical="center" wrapText="1"/>
    </xf>
    <xf numFmtId="0" fontId="2" fillId="2" borderId="18" xfId="0" applyFont="1" applyFill="1" applyBorder="1" applyAlignment="1">
      <alignment horizontal="center" vertical="center" wrapText="1"/>
    </xf>
    <xf numFmtId="0" fontId="0" fillId="2" borderId="0" xfId="0" applyFill="1" applyAlignment="1">
      <alignment horizontal="center" vertical="center" wrapText="1"/>
    </xf>
    <xf numFmtId="0" fontId="0" fillId="2" borderId="0" xfId="0" applyFill="1" applyAlignment="1">
      <alignment horizontal="right" wrapText="1"/>
    </xf>
    <xf numFmtId="0" fontId="0" fillId="2" borderId="0" xfId="0" applyFill="1" applyAlignment="1">
      <alignment horizontal="left"/>
    </xf>
    <xf numFmtId="0" fontId="2" fillId="2" borderId="0" xfId="0" applyFont="1" applyFill="1" applyAlignment="1">
      <alignment horizontal="center" wrapText="1"/>
    </xf>
    <xf numFmtId="1" fontId="0" fillId="2" borderId="43" xfId="0" applyNumberFormat="1" applyFill="1" applyBorder="1" applyAlignment="1">
      <alignment horizontal="center" vertical="center" wrapText="1"/>
    </xf>
    <xf numFmtId="1" fontId="0" fillId="2" borderId="41" xfId="0" applyNumberFormat="1" applyFill="1" applyBorder="1" applyAlignment="1">
      <alignment horizontal="center" vertical="center" wrapText="1"/>
    </xf>
    <xf numFmtId="1" fontId="0" fillId="2" borderId="44" xfId="0" applyNumberFormat="1" applyFill="1" applyBorder="1" applyAlignment="1">
      <alignment horizontal="center" vertical="center" wrapText="1"/>
    </xf>
    <xf numFmtId="0" fontId="0" fillId="2" borderId="46" xfId="0" applyFill="1" applyBorder="1" applyAlignment="1">
      <alignment horizontal="center" vertical="center" wrapText="1"/>
    </xf>
    <xf numFmtId="0" fontId="0" fillId="2" borderId="47" xfId="0" applyFill="1" applyBorder="1" applyAlignment="1">
      <alignment horizontal="center" vertical="center" wrapText="1"/>
    </xf>
    <xf numFmtId="0" fontId="0" fillId="2" borderId="45" xfId="0" applyFill="1" applyBorder="1" applyAlignment="1">
      <alignment horizontal="center" vertical="center" wrapText="1"/>
    </xf>
    <xf numFmtId="1" fontId="0" fillId="2" borderId="42" xfId="0" applyNumberFormat="1" applyFill="1" applyBorder="1" applyAlignment="1">
      <alignment horizontal="center" vertical="center" wrapText="1"/>
    </xf>
    <xf numFmtId="0" fontId="2" fillId="2" borderId="8"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0" xfId="0" applyFill="1" applyBorder="1" applyAlignment="1">
      <alignment wrapText="1"/>
    </xf>
    <xf numFmtId="0" fontId="4" fillId="2" borderId="0" xfId="0" applyFont="1" applyFill="1" applyBorder="1" applyAlignment="1">
      <alignment horizontal="center" wrapText="1"/>
    </xf>
    <xf numFmtId="0" fontId="4" fillId="2" borderId="0" xfId="0" applyFont="1" applyFill="1" applyBorder="1"/>
    <xf numFmtId="0" fontId="0" fillId="2" borderId="0" xfId="0" applyFill="1" applyBorder="1"/>
    <xf numFmtId="0" fontId="4" fillId="2" borderId="8" xfId="0" applyFont="1" applyFill="1" applyBorder="1" applyAlignment="1">
      <alignment vertical="top" wrapText="1"/>
    </xf>
    <xf numFmtId="0" fontId="0" fillId="2" borderId="9" xfId="0" applyFill="1" applyBorder="1"/>
    <xf numFmtId="0" fontId="0" fillId="0" borderId="14" xfId="0" applyBorder="1" applyAlignment="1">
      <alignment horizontal="center"/>
    </xf>
    <xf numFmtId="0" fontId="0" fillId="0" borderId="0" xfId="0" applyAlignment="1">
      <alignment horizontal="center"/>
    </xf>
    <xf numFmtId="0" fontId="0" fillId="0" borderId="53" xfId="0" applyBorder="1"/>
    <xf numFmtId="0" fontId="12" fillId="5" borderId="53" xfId="0" applyFont="1" applyFill="1" applyBorder="1"/>
    <xf numFmtId="0" fontId="27" fillId="2" borderId="0" xfId="0" applyFont="1" applyFill="1" applyAlignment="1"/>
    <xf numFmtId="0" fontId="0" fillId="2" borderId="27" xfId="0" applyFill="1" applyBorder="1" applyAlignment="1">
      <alignment horizontal="center" wrapText="1"/>
    </xf>
    <xf numFmtId="0" fontId="0" fillId="3" borderId="14" xfId="0" applyFill="1" applyBorder="1" applyAlignment="1" applyProtection="1">
      <alignment horizontal="center" wrapText="1"/>
      <protection locked="0"/>
    </xf>
    <xf numFmtId="0" fontId="4" fillId="3" borderId="14" xfId="0" applyFont="1" applyFill="1" applyBorder="1" applyAlignment="1" applyProtection="1">
      <alignment horizontal="center" wrapText="1"/>
      <protection locked="0"/>
    </xf>
    <xf numFmtId="0" fontId="0" fillId="3" borderId="17" xfId="0" applyFill="1" applyBorder="1" applyAlignment="1" applyProtection="1">
      <alignment horizontal="center" wrapText="1"/>
      <protection locked="0"/>
    </xf>
    <xf numFmtId="1" fontId="0" fillId="0" borderId="42" xfId="0" applyNumberFormat="1" applyBorder="1" applyAlignment="1" applyProtection="1">
      <alignment horizontal="center" vertical="center" wrapText="1"/>
      <protection locked="0"/>
    </xf>
    <xf numFmtId="0" fontId="0" fillId="0" borderId="0" xfId="0" applyAlignment="1" applyProtection="1">
      <alignment horizontal="left"/>
      <protection locked="0"/>
    </xf>
    <xf numFmtId="0" fontId="0" fillId="6" borderId="0" xfId="0" applyFill="1" applyAlignment="1" applyProtection="1">
      <alignment horizontal="left"/>
      <protection locked="0"/>
    </xf>
    <xf numFmtId="0" fontId="0" fillId="0" borderId="0" xfId="0" applyAlignment="1" applyProtection="1">
      <alignment horizontal="center"/>
      <protection locked="0"/>
    </xf>
    <xf numFmtId="0" fontId="0" fillId="6" borderId="0" xfId="0" applyFill="1" applyAlignment="1" applyProtection="1">
      <alignment horizontal="center"/>
      <protection locked="0"/>
    </xf>
    <xf numFmtId="1" fontId="0" fillId="0" borderId="0" xfId="0" applyNumberFormat="1" applyAlignment="1" applyProtection="1">
      <alignment horizontal="center"/>
      <protection locked="0"/>
    </xf>
    <xf numFmtId="2" fontId="26" fillId="0" borderId="0" xfId="0" applyNumberFormat="1" applyFont="1" applyAlignment="1">
      <alignment wrapText="1"/>
    </xf>
    <xf numFmtId="164" fontId="26" fillId="0" borderId="0" xfId="0" applyNumberFormat="1" applyFont="1" applyAlignment="1">
      <alignment wrapText="1"/>
    </xf>
    <xf numFmtId="164" fontId="0" fillId="0" borderId="0" xfId="0" applyNumberFormat="1" applyAlignment="1">
      <alignment vertical="center" wrapText="1"/>
    </xf>
    <xf numFmtId="0" fontId="0" fillId="0" borderId="14" xfId="0" applyBorder="1" applyAlignment="1">
      <alignment horizontal="center"/>
    </xf>
    <xf numFmtId="0" fontId="0" fillId="0" borderId="14" xfId="0" applyBorder="1" applyAlignment="1">
      <alignment horizontal="center" vertical="center"/>
    </xf>
    <xf numFmtId="0" fontId="0" fillId="0" borderId="14" xfId="0" applyBorder="1" applyAlignment="1">
      <alignment horizontal="center" wrapText="1"/>
    </xf>
    <xf numFmtId="0" fontId="0" fillId="6" borderId="14" xfId="0" applyFill="1" applyBorder="1" applyAlignment="1">
      <alignment horizontal="center"/>
    </xf>
    <xf numFmtId="0" fontId="21" fillId="0" borderId="0" xfId="6" applyNumberFormat="1" applyFont="1" applyFill="1" applyBorder="1" applyProtection="1"/>
    <xf numFmtId="0" fontId="21" fillId="0" borderId="0" xfId="6"/>
    <xf numFmtId="0" fontId="0" fillId="0" borderId="27" xfId="0" applyBorder="1" applyAlignment="1">
      <alignment horizontal="center" vertical="center"/>
    </xf>
    <xf numFmtId="0" fontId="0" fillId="6" borderId="27" xfId="0" applyFill="1" applyBorder="1" applyAlignment="1">
      <alignment horizontal="center"/>
    </xf>
    <xf numFmtId="0" fontId="0" fillId="6" borderId="14" xfId="0" applyFill="1" applyBorder="1" applyAlignment="1">
      <alignment horizontal="center"/>
    </xf>
    <xf numFmtId="2" fontId="0" fillId="0" borderId="0" xfId="0" applyNumberFormat="1" applyAlignment="1">
      <alignment horizontal="center"/>
    </xf>
    <xf numFmtId="2" fontId="0" fillId="0" borderId="14" xfId="0" applyNumberFormat="1" applyBorder="1" applyAlignment="1">
      <alignment horizontal="center"/>
    </xf>
    <xf numFmtId="2" fontId="0" fillId="0" borderId="0" xfId="0" applyNumberFormat="1" applyBorder="1" applyAlignment="1">
      <alignment horizontal="center"/>
    </xf>
    <xf numFmtId="0" fontId="12" fillId="0" borderId="0" xfId="0" applyFont="1" applyAlignment="1">
      <alignment horizontal="right"/>
    </xf>
    <xf numFmtId="0" fontId="10" fillId="0" borderId="0" xfId="0" applyFont="1" applyBorder="1" applyAlignment="1">
      <alignment horizontal="center" vertical="center" wrapText="1"/>
    </xf>
    <xf numFmtId="0" fontId="0" fillId="2" borderId="0" xfId="0" applyFill="1" applyBorder="1" applyAlignment="1">
      <alignment horizontal="center" vertical="center" wrapText="1"/>
    </xf>
    <xf numFmtId="0" fontId="0" fillId="2" borderId="0" xfId="0" applyFill="1" applyBorder="1" applyAlignment="1">
      <alignment horizontal="center" wrapText="1"/>
    </xf>
    <xf numFmtId="1" fontId="0" fillId="2" borderId="0" xfId="0" applyNumberFormat="1" applyFill="1" applyBorder="1" applyAlignment="1">
      <alignment horizontal="center"/>
    </xf>
    <xf numFmtId="0" fontId="0" fillId="2" borderId="0" xfId="0" applyFill="1" applyBorder="1" applyAlignment="1">
      <alignment horizontal="right"/>
    </xf>
    <xf numFmtId="16" fontId="0" fillId="0" borderId="0" xfId="0" applyNumberFormat="1" applyFill="1" applyAlignment="1">
      <alignment horizontal="left"/>
    </xf>
    <xf numFmtId="0" fontId="2" fillId="0" borderId="0" xfId="0" applyFont="1"/>
    <xf numFmtId="0" fontId="0" fillId="0" borderId="14" xfId="0" applyBorder="1" applyAlignment="1">
      <alignment horizontal="center"/>
    </xf>
    <xf numFmtId="0" fontId="0" fillId="0" borderId="29" xfId="0" applyBorder="1" applyAlignment="1">
      <alignment horizontal="center"/>
    </xf>
    <xf numFmtId="0" fontId="0" fillId="0" borderId="35" xfId="0" applyBorder="1" applyAlignment="1">
      <alignment horizontal="center"/>
    </xf>
    <xf numFmtId="0" fontId="0" fillId="0" borderId="14" xfId="0" applyBorder="1" applyAlignment="1">
      <alignment horizontal="left" vertical="center" wrapText="1"/>
    </xf>
    <xf numFmtId="0" fontId="0" fillId="0" borderId="29" xfId="0" applyBorder="1" applyAlignment="1">
      <alignment horizontal="left" vertical="center" wrapText="1"/>
    </xf>
    <xf numFmtId="0" fontId="11" fillId="5" borderId="0" xfId="0" applyFont="1" applyFill="1" applyAlignment="1">
      <alignment horizontal="center"/>
    </xf>
    <xf numFmtId="0" fontId="11" fillId="5" borderId="0" xfId="0" applyFont="1" applyFill="1" applyBorder="1" applyAlignment="1">
      <alignment horizontal="center"/>
    </xf>
    <xf numFmtId="0" fontId="0" fillId="0" borderId="49" xfId="0" applyBorder="1" applyAlignment="1">
      <alignment horizontal="center" wrapText="1"/>
    </xf>
    <xf numFmtId="0" fontId="0" fillId="0" borderId="54" xfId="0" applyBorder="1" applyAlignment="1">
      <alignment horizontal="center" wrapText="1"/>
    </xf>
    <xf numFmtId="0" fontId="0" fillId="0" borderId="50" xfId="0" applyBorder="1" applyAlignment="1">
      <alignment horizontal="center" wrapText="1"/>
    </xf>
    <xf numFmtId="0" fontId="2" fillId="0" borderId="14" xfId="0" applyFont="1" applyBorder="1" applyAlignment="1">
      <alignment horizontal="center"/>
    </xf>
    <xf numFmtId="0" fontId="0" fillId="6" borderId="14" xfId="0" applyFill="1" applyBorder="1" applyAlignment="1">
      <alignment horizontal="center"/>
    </xf>
    <xf numFmtId="0" fontId="0" fillId="6" borderId="29" xfId="0" applyFill="1" applyBorder="1" applyAlignment="1">
      <alignment horizontal="center"/>
    </xf>
    <xf numFmtId="0" fontId="0" fillId="0" borderId="36" xfId="0" applyBorder="1" applyAlignment="1">
      <alignment horizontal="center"/>
    </xf>
    <xf numFmtId="0" fontId="0" fillId="0" borderId="28" xfId="0" applyBorder="1" applyAlignment="1">
      <alignment horizontal="left" vertical="top" wrapText="1"/>
    </xf>
    <xf numFmtId="0" fontId="0" fillId="0" borderId="55" xfId="0" applyBorder="1" applyAlignment="1">
      <alignment horizontal="left" vertical="top" wrapText="1"/>
    </xf>
    <xf numFmtId="0" fontId="0" fillId="0" borderId="56" xfId="0" applyBorder="1" applyAlignment="1">
      <alignment horizontal="left" vertical="top" wrapText="1"/>
    </xf>
    <xf numFmtId="0" fontId="0" fillId="0" borderId="57" xfId="0" applyBorder="1" applyAlignment="1">
      <alignment horizontal="left" vertical="top" wrapText="1"/>
    </xf>
    <xf numFmtId="0" fontId="0" fillId="0" borderId="0" xfId="0" applyBorder="1" applyAlignment="1">
      <alignment horizontal="left" vertical="top" wrapText="1"/>
    </xf>
    <xf numFmtId="0" fontId="0" fillId="0" borderId="53" xfId="0" applyBorder="1" applyAlignment="1">
      <alignment horizontal="left" vertical="top" wrapText="1"/>
    </xf>
    <xf numFmtId="0" fontId="0" fillId="0" borderId="49" xfId="0" applyBorder="1" applyAlignment="1">
      <alignment horizontal="left" vertical="top" wrapText="1"/>
    </xf>
    <xf numFmtId="0" fontId="0" fillId="0" borderId="54" xfId="0" applyBorder="1" applyAlignment="1">
      <alignment horizontal="left" vertical="top" wrapText="1"/>
    </xf>
    <xf numFmtId="0" fontId="0" fillId="0" borderId="50" xfId="0" applyBorder="1" applyAlignment="1">
      <alignment horizontal="left" vertical="top" wrapText="1"/>
    </xf>
    <xf numFmtId="0" fontId="0" fillId="0" borderId="14" xfId="0" applyBorder="1" applyAlignment="1">
      <alignment horizontal="left" wrapText="1"/>
    </xf>
    <xf numFmtId="0" fontId="0" fillId="0" borderId="29" xfId="0" applyBorder="1" applyAlignment="1">
      <alignment horizontal="left" wrapText="1"/>
    </xf>
    <xf numFmtId="0" fontId="0" fillId="0" borderId="36" xfId="0" applyBorder="1" applyAlignment="1">
      <alignment horizontal="left" wrapText="1"/>
    </xf>
    <xf numFmtId="0" fontId="0" fillId="0" borderId="35" xfId="0" applyBorder="1" applyAlignment="1">
      <alignment horizontal="left" wrapText="1"/>
    </xf>
    <xf numFmtId="0" fontId="0" fillId="0" borderId="28" xfId="0" applyBorder="1" applyAlignment="1">
      <alignment horizontal="left" wrapText="1"/>
    </xf>
    <xf numFmtId="0" fontId="0" fillId="0" borderId="55" xfId="0" applyBorder="1" applyAlignment="1">
      <alignment horizontal="left" wrapText="1"/>
    </xf>
    <xf numFmtId="0" fontId="0" fillId="0" borderId="56" xfId="0" applyBorder="1" applyAlignment="1">
      <alignment horizontal="left" wrapText="1"/>
    </xf>
    <xf numFmtId="0" fontId="0" fillId="0" borderId="57" xfId="0" applyBorder="1" applyAlignment="1">
      <alignment horizontal="left" wrapText="1"/>
    </xf>
    <xf numFmtId="0" fontId="0" fillId="0" borderId="0" xfId="0" applyBorder="1" applyAlignment="1">
      <alignment horizontal="left" wrapText="1"/>
    </xf>
    <xf numFmtId="0" fontId="0" fillId="0" borderId="53" xfId="0" applyBorder="1" applyAlignment="1">
      <alignment horizontal="left" wrapText="1"/>
    </xf>
    <xf numFmtId="0" fontId="0" fillId="0" borderId="49" xfId="0" applyBorder="1" applyAlignment="1">
      <alignment horizontal="left" wrapText="1"/>
    </xf>
    <xf numFmtId="0" fontId="0" fillId="0" borderId="54" xfId="0" applyBorder="1" applyAlignment="1">
      <alignment horizontal="left" wrapText="1"/>
    </xf>
    <xf numFmtId="0" fontId="0" fillId="0" borderId="50" xfId="0" applyBorder="1" applyAlignment="1">
      <alignment horizontal="left" wrapText="1"/>
    </xf>
    <xf numFmtId="0" fontId="0" fillId="0" borderId="48" xfId="0" applyBorder="1" applyAlignment="1">
      <alignment horizontal="center"/>
    </xf>
    <xf numFmtId="0" fontId="0" fillId="0" borderId="27" xfId="0" applyBorder="1" applyAlignment="1">
      <alignment horizontal="left"/>
    </xf>
    <xf numFmtId="0" fontId="0" fillId="0" borderId="14" xfId="0" applyBorder="1" applyAlignment="1">
      <alignment horizontal="center" wrapText="1"/>
    </xf>
    <xf numFmtId="0" fontId="0" fillId="0" borderId="14" xfId="0" applyBorder="1" applyAlignment="1">
      <alignment horizontal="left"/>
    </xf>
    <xf numFmtId="0" fontId="0" fillId="0" borderId="29" xfId="0" applyBorder="1" applyAlignment="1">
      <alignment horizontal="left"/>
    </xf>
    <xf numFmtId="9" fontId="0" fillId="0" borderId="14" xfId="3" applyFont="1" applyBorder="1" applyAlignment="1">
      <alignment horizontal="center"/>
    </xf>
    <xf numFmtId="0" fontId="0" fillId="0" borderId="36" xfId="0" applyBorder="1" applyAlignment="1">
      <alignment horizontal="left"/>
    </xf>
    <xf numFmtId="0" fontId="0" fillId="6" borderId="14" xfId="0" applyFill="1" applyBorder="1" applyAlignment="1">
      <alignment horizontal="left"/>
    </xf>
    <xf numFmtId="0" fontId="21" fillId="6" borderId="0" xfId="0" applyFont="1" applyFill="1" applyAlignment="1">
      <alignment horizontal="left"/>
    </xf>
    <xf numFmtId="0" fontId="0" fillId="0" borderId="0" xfId="0" applyAlignment="1">
      <alignment horizontal="center"/>
    </xf>
    <xf numFmtId="164" fontId="0" fillId="0" borderId="0" xfId="0" applyNumberFormat="1" applyAlignment="1">
      <alignment horizontal="center" vertical="center" wrapText="1"/>
    </xf>
    <xf numFmtId="0" fontId="2" fillId="2" borderId="42" xfId="0" applyFont="1" applyFill="1" applyBorder="1" applyAlignment="1">
      <alignment horizontal="center" vertical="center" wrapText="1"/>
    </xf>
    <xf numFmtId="0" fontId="2" fillId="2" borderId="45"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28" fillId="3" borderId="1" xfId="0" applyFont="1" applyFill="1" applyBorder="1" applyAlignment="1">
      <alignment horizontal="center" vertical="top" wrapText="1"/>
    </xf>
    <xf numFmtId="0" fontId="28" fillId="3" borderId="2" xfId="0" applyFont="1" applyFill="1" applyBorder="1" applyAlignment="1">
      <alignment horizontal="center" vertical="top" wrapText="1"/>
    </xf>
    <xf numFmtId="0" fontId="28" fillId="3" borderId="3" xfId="0" applyFont="1" applyFill="1" applyBorder="1" applyAlignment="1">
      <alignment horizontal="center" vertical="top" wrapText="1"/>
    </xf>
    <xf numFmtId="0" fontId="0" fillId="0" borderId="14" xfId="0" applyBorder="1" applyAlignment="1">
      <alignment horizontal="center" vertical="center"/>
    </xf>
    <xf numFmtId="0" fontId="0" fillId="0" borderId="29" xfId="0" applyFill="1" applyBorder="1" applyAlignment="1">
      <alignment horizontal="left"/>
    </xf>
    <xf numFmtId="0" fontId="0" fillId="0" borderId="35" xfId="0" applyFill="1" applyBorder="1" applyAlignment="1">
      <alignment horizontal="left"/>
    </xf>
    <xf numFmtId="0" fontId="2" fillId="0" borderId="14" xfId="0" applyFont="1" applyFill="1" applyBorder="1" applyAlignment="1">
      <alignment horizontal="center" vertical="center"/>
    </xf>
    <xf numFmtId="0" fontId="0" fillId="0" borderId="14" xfId="0" applyFill="1" applyBorder="1" applyAlignment="1">
      <alignment horizontal="left"/>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1" fillId="5" borderId="4" xfId="0" applyFont="1" applyFill="1" applyBorder="1" applyAlignment="1">
      <alignment horizontal="center"/>
    </xf>
    <xf numFmtId="0" fontId="11" fillId="5" borderId="5" xfId="0" applyFont="1" applyFill="1" applyBorder="1" applyAlignment="1">
      <alignment horizontal="center"/>
    </xf>
    <xf numFmtId="0" fontId="11" fillId="5" borderId="6" xfId="0" applyFont="1" applyFill="1" applyBorder="1" applyAlignment="1">
      <alignment horizontal="center"/>
    </xf>
    <xf numFmtId="0" fontId="11" fillId="5" borderId="1" xfId="0" applyFont="1" applyFill="1" applyBorder="1" applyAlignment="1">
      <alignment horizontal="center"/>
    </xf>
    <xf numFmtId="0" fontId="11" fillId="5" borderId="2" xfId="0" applyFont="1" applyFill="1"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36" xfId="0" applyFill="1" applyBorder="1" applyAlignment="1">
      <alignment horizontal="left"/>
    </xf>
    <xf numFmtId="0" fontId="2" fillId="0" borderId="29" xfId="0" applyFont="1" applyFill="1" applyBorder="1" applyAlignment="1">
      <alignment horizontal="center" vertical="center"/>
    </xf>
    <xf numFmtId="0" fontId="16" fillId="0" borderId="29" xfId="0" applyFont="1" applyFill="1" applyBorder="1" applyAlignment="1">
      <alignment horizontal="left" vertical="center" wrapText="1"/>
    </xf>
    <xf numFmtId="0" fontId="16" fillId="0" borderId="36" xfId="0" applyFont="1" applyFill="1" applyBorder="1" applyAlignment="1">
      <alignment horizontal="left" vertical="center" wrapText="1"/>
    </xf>
    <xf numFmtId="2" fontId="15" fillId="0" borderId="29" xfId="0" applyNumberFormat="1" applyFont="1" applyFill="1" applyBorder="1" applyAlignment="1">
      <alignment horizontal="left" vertical="center" wrapText="1"/>
    </xf>
    <xf numFmtId="2" fontId="15" fillId="0" borderId="36" xfId="0" applyNumberFormat="1" applyFont="1" applyFill="1" applyBorder="1" applyAlignment="1">
      <alignment horizontal="left" vertical="center" wrapText="1"/>
    </xf>
    <xf numFmtId="0" fontId="15" fillId="3" borderId="29" xfId="0" applyFont="1" applyFill="1" applyBorder="1" applyAlignment="1">
      <alignment horizontal="left" vertical="center" wrapText="1"/>
    </xf>
    <xf numFmtId="0" fontId="15" fillId="3" borderId="37" xfId="0" applyFont="1" applyFill="1" applyBorder="1" applyAlignment="1">
      <alignment horizontal="left" vertical="center" wrapText="1"/>
    </xf>
    <xf numFmtId="0" fontId="0" fillId="0" borderId="37" xfId="0" applyBorder="1" applyAlignment="1">
      <alignment horizontal="left"/>
    </xf>
    <xf numFmtId="0" fontId="15" fillId="0" borderId="29" xfId="0" applyFont="1" applyFill="1" applyBorder="1" applyAlignment="1">
      <alignment horizontal="left" vertical="center" wrapText="1"/>
    </xf>
    <xf numFmtId="0" fontId="15" fillId="0" borderId="36" xfId="0" applyFont="1" applyFill="1" applyBorder="1" applyAlignment="1">
      <alignment horizontal="left" vertical="center" wrapText="1"/>
    </xf>
    <xf numFmtId="0" fontId="7" fillId="0" borderId="18" xfId="0" applyFont="1" applyFill="1" applyBorder="1" applyAlignment="1">
      <alignment horizontal="left"/>
    </xf>
    <xf numFmtId="0" fontId="7" fillId="0" borderId="20" xfId="0" applyFont="1" applyFill="1" applyBorder="1" applyAlignment="1">
      <alignment horizontal="left"/>
    </xf>
    <xf numFmtId="0" fontId="6" fillId="0" borderId="4" xfId="0" applyFont="1" applyFill="1" applyBorder="1" applyAlignment="1">
      <alignment horizontal="center"/>
    </xf>
    <xf numFmtId="0" fontId="6" fillId="0" borderId="6" xfId="0" applyFont="1" applyFill="1" applyBorder="1" applyAlignment="1">
      <alignment horizontal="center"/>
    </xf>
    <xf numFmtId="0" fontId="7" fillId="0" borderId="7" xfId="0" applyFont="1" applyFill="1" applyBorder="1" applyAlignment="1">
      <alignment horizontal="left"/>
    </xf>
    <xf numFmtId="0" fontId="7" fillId="0" borderId="9" xfId="0" applyFont="1" applyFill="1" applyBorder="1" applyAlignment="1">
      <alignment horizontal="left"/>
    </xf>
  </cellXfs>
  <cellStyles count="24">
    <cellStyle name="Hyperlink" xfId="2" builtinId="8"/>
    <cellStyle name="Normal" xfId="0" builtinId="0"/>
    <cellStyle name="Normal 10" xfId="7" xr:uid="{D5D713D7-0E8E-4E33-BD09-FCF3847214AD}"/>
    <cellStyle name="Normal 10 2" xfId="8" xr:uid="{9F9852C0-D35A-4437-8714-8B156CC78E4D}"/>
    <cellStyle name="Normal 11" xfId="6" xr:uid="{1CB93DE1-1C75-4247-AF3C-67ED9B5B3778}"/>
    <cellStyle name="Normal 16" xfId="5" xr:uid="{8B134B93-C4EE-4F2C-9D38-AD36060C1BB1}"/>
    <cellStyle name="Normal 17" xfId="4" xr:uid="{C5962701-1A0A-4051-A71B-7F9BB70CB3F7}"/>
    <cellStyle name="Normal 2" xfId="9" xr:uid="{34916E4D-6E1A-45AE-8538-087164457659}"/>
    <cellStyle name="Normal 2 2" xfId="10" xr:uid="{2339D26E-2A4C-4D67-A770-934128E522B4}"/>
    <cellStyle name="Normal 3" xfId="1" xr:uid="{00000000-0005-0000-0000-000002000000}"/>
    <cellStyle name="Normal 3 2" xfId="11" xr:uid="{1464CCBF-1395-4400-A96C-73E3DD7AA632}"/>
    <cellStyle name="Normal 4" xfId="12" xr:uid="{9A15D164-04A5-4C93-916D-4402549A7BBE}"/>
    <cellStyle name="Normal 4 2" xfId="13" xr:uid="{909C1265-A7FA-47C7-AA94-D32A9A735F13}"/>
    <cellStyle name="Normal 5" xfId="14" xr:uid="{A82E09D2-3F42-4E04-9C93-3EFB4AC351A0}"/>
    <cellStyle name="Normal 5 2" xfId="15" xr:uid="{5B74CF9E-B294-4873-B609-B871BB1969FB}"/>
    <cellStyle name="Normal 6" xfId="16" xr:uid="{B8FF223A-4625-44E3-B7DD-C8145170984E}"/>
    <cellStyle name="Normal 6 2" xfId="17" xr:uid="{7D972753-EC28-4B5F-8376-27E3B04B9F86}"/>
    <cellStyle name="Normal 7" xfId="18" xr:uid="{28C57E09-D817-4E8A-B9F0-BB6929903C7C}"/>
    <cellStyle name="Normal 7 2" xfId="19" xr:uid="{DF533E55-BE5A-4B72-B904-DC6E0389EAA4}"/>
    <cellStyle name="Normal 8" xfId="20" xr:uid="{2C5256B2-3E0F-4B97-AAFC-F1561E5E0AAF}"/>
    <cellStyle name="Normal 8 2" xfId="21" xr:uid="{A980637B-2A49-45AA-BB88-9CAA058F4A2E}"/>
    <cellStyle name="Normal 9" xfId="22" xr:uid="{31E396FF-25E0-42A2-B0EB-4DBECFAC7999}"/>
    <cellStyle name="Normal 9 2" xfId="23" xr:uid="{68262F61-851F-46C6-8162-97347C85813E}"/>
    <cellStyle name="Percent" xfId="3" builtinId="5"/>
  </cellStyles>
  <dxfs count="2">
    <dxf>
      <fill>
        <patternFill>
          <bgColor rgb="FFFFC000"/>
        </patternFill>
      </fill>
    </dxf>
    <dxf>
      <fill>
        <patternFill>
          <bgColor rgb="FFFFC000"/>
        </patternFill>
      </fill>
    </dxf>
  </dxfs>
  <tableStyles count="0" defaultTableStyle="TableStyleMedium2" defaultPivotStyle="PivotStyleLight16"/>
  <colors>
    <mruColors>
      <color rgb="FFFF99FF"/>
      <color rgb="FFCCCC00"/>
      <color rgb="FFFF6600"/>
      <color rgb="FFCC3300"/>
      <color rgb="FFCCCCFF"/>
      <color rgb="FF9999FF"/>
      <color rgb="FF66FFFF"/>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Required HHP vs Available HHP per</a:t>
            </a:r>
            <a:r>
              <a:rPr lang="en-CA" baseline="0"/>
              <a:t> Engine Type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'HP Calcs'!$AL$9</c:f>
              <c:strCache>
                <c:ptCount val="1"/>
                <c:pt idx="0">
                  <c:v>Engine HP</c:v>
                </c:pt>
              </c:strCache>
            </c:strRef>
          </c:tx>
          <c:spPr>
            <a:solidFill>
              <a:schemeClr val="tx1"/>
            </a:solidFill>
            <a:ln>
              <a:noFill/>
            </a:ln>
            <a:effectLst/>
          </c:spPr>
          <c:invertIfNegative val="0"/>
          <c:cat>
            <c:strRef>
              <c:f>'HP Calcs'!$AK$10:$AK$14</c:f>
              <c:strCache>
                <c:ptCount val="5"/>
                <c:pt idx="0">
                  <c:v>2 x C9 375HHP</c:v>
                </c:pt>
                <c:pt idx="1">
                  <c:v>2 x C13 475HHP</c:v>
                </c:pt>
                <c:pt idx="2">
                  <c:v>2 x C13 520HHP</c:v>
                </c:pt>
                <c:pt idx="3">
                  <c:v>1 x DD15 560HHP</c:v>
                </c:pt>
                <c:pt idx="4">
                  <c:v>1 x DD16 600HHP</c:v>
                </c:pt>
              </c:strCache>
            </c:strRef>
          </c:cat>
          <c:val>
            <c:numRef>
              <c:f>'HP Calcs'!$AL$10:$AL$14</c:f>
              <c:numCache>
                <c:formatCode>General</c:formatCode>
                <c:ptCount val="5"/>
                <c:pt idx="0">
                  <c:v>726</c:v>
                </c:pt>
                <c:pt idx="1">
                  <c:v>848</c:v>
                </c:pt>
                <c:pt idx="2">
                  <c:v>914</c:v>
                </c:pt>
                <c:pt idx="3">
                  <c:v>507</c:v>
                </c:pt>
                <c:pt idx="4">
                  <c:v>538</c:v>
                </c:pt>
              </c:numCache>
            </c:numRef>
          </c:val>
          <c:extLst>
            <c:ext xmlns:c16="http://schemas.microsoft.com/office/drawing/2014/chart" uri="{C3380CC4-5D6E-409C-BE32-E72D297353CC}">
              <c16:uniqueId val="{00000000-1D94-4E6B-A94C-3D26108FD2C6}"/>
            </c:ext>
          </c:extLst>
        </c:ser>
        <c:dLbls>
          <c:showLegendKey val="0"/>
          <c:showVal val="0"/>
          <c:showCatName val="0"/>
          <c:showSerName val="0"/>
          <c:showPercent val="0"/>
          <c:showBubbleSize val="0"/>
        </c:dLbls>
        <c:gapWidth val="219"/>
        <c:overlap val="-27"/>
        <c:axId val="505971256"/>
        <c:axId val="505969944"/>
      </c:barChart>
      <c:lineChart>
        <c:grouping val="standard"/>
        <c:varyColors val="0"/>
        <c:ser>
          <c:idx val="1"/>
          <c:order val="1"/>
          <c:tx>
            <c:strRef>
              <c:f>'HP Calcs'!$AM$9</c:f>
              <c:strCache>
                <c:ptCount val="1"/>
                <c:pt idx="0">
                  <c:v>Mixing HP</c:v>
                </c:pt>
              </c:strCache>
            </c:strRef>
          </c:tx>
          <c:spPr>
            <a:ln w="28575" cap="rnd">
              <a:solidFill>
                <a:schemeClr val="accent2"/>
              </a:solidFill>
              <a:round/>
            </a:ln>
            <a:effectLst/>
          </c:spPr>
          <c:marker>
            <c:symbol val="none"/>
          </c:marker>
          <c:cat>
            <c:strRef>
              <c:f>'HP Calcs'!$AK$10:$AK$14</c:f>
              <c:strCache>
                <c:ptCount val="5"/>
                <c:pt idx="0">
                  <c:v>2 x C9 375HHP</c:v>
                </c:pt>
                <c:pt idx="1">
                  <c:v>2 x C13 475HHP</c:v>
                </c:pt>
                <c:pt idx="2">
                  <c:v>2 x C13 520HHP</c:v>
                </c:pt>
                <c:pt idx="3">
                  <c:v>1 x DD15 560HHP</c:v>
                </c:pt>
                <c:pt idx="4">
                  <c:v>1 x DD16 600HHP</c:v>
                </c:pt>
              </c:strCache>
            </c:strRef>
          </c:cat>
          <c:val>
            <c:numRef>
              <c:f>'HP Calcs'!$AM$10:$AM$14</c:f>
              <c:numCache>
                <c:formatCode>0.0</c:formatCode>
                <c:ptCount val="5"/>
                <c:pt idx="0">
                  <c:v>250.32000000000005</c:v>
                </c:pt>
                <c:pt idx="1">
                  <c:v>250.32000000000005</c:v>
                </c:pt>
                <c:pt idx="2">
                  <c:v>250.32000000000005</c:v>
                </c:pt>
                <c:pt idx="3">
                  <c:v>250.32000000000005</c:v>
                </c:pt>
                <c:pt idx="4">
                  <c:v>250.32000000000005</c:v>
                </c:pt>
              </c:numCache>
            </c:numRef>
          </c:val>
          <c:smooth val="0"/>
          <c:extLst>
            <c:ext xmlns:c16="http://schemas.microsoft.com/office/drawing/2014/chart" uri="{C3380CC4-5D6E-409C-BE32-E72D297353CC}">
              <c16:uniqueId val="{00000001-1D94-4E6B-A94C-3D26108FD2C6}"/>
            </c:ext>
          </c:extLst>
        </c:ser>
        <c:ser>
          <c:idx val="2"/>
          <c:order val="2"/>
          <c:tx>
            <c:strRef>
              <c:f>'HP Calcs'!$AN$9</c:f>
              <c:strCache>
                <c:ptCount val="1"/>
                <c:pt idx="0">
                  <c:v>Displacing HP</c:v>
                </c:pt>
              </c:strCache>
            </c:strRef>
          </c:tx>
          <c:spPr>
            <a:ln w="28575" cap="rnd">
              <a:solidFill>
                <a:srgbClr val="FF0000"/>
              </a:solidFill>
              <a:round/>
            </a:ln>
            <a:effectLst/>
          </c:spPr>
          <c:marker>
            <c:symbol val="none"/>
          </c:marker>
          <c:cat>
            <c:strRef>
              <c:f>'HP Calcs'!$AK$10:$AK$14</c:f>
              <c:strCache>
                <c:ptCount val="5"/>
                <c:pt idx="0">
                  <c:v>2 x C9 375HHP</c:v>
                </c:pt>
                <c:pt idx="1">
                  <c:v>2 x C13 475HHP</c:v>
                </c:pt>
                <c:pt idx="2">
                  <c:v>2 x C13 520HHP</c:v>
                </c:pt>
                <c:pt idx="3">
                  <c:v>1 x DD15 560HHP</c:v>
                </c:pt>
                <c:pt idx="4">
                  <c:v>1 x DD16 600HHP</c:v>
                </c:pt>
              </c:strCache>
            </c:strRef>
          </c:cat>
          <c:val>
            <c:numRef>
              <c:f>'HP Calcs'!$AN$10:$AN$14</c:f>
              <c:numCache>
                <c:formatCode>0.0</c:formatCode>
                <c:ptCount val="5"/>
                <c:pt idx="0">
                  <c:v>643.67999999999995</c:v>
                </c:pt>
                <c:pt idx="1">
                  <c:v>643.67999999999995</c:v>
                </c:pt>
                <c:pt idx="2">
                  <c:v>643.67999999999995</c:v>
                </c:pt>
                <c:pt idx="3">
                  <c:v>643.67999999999995</c:v>
                </c:pt>
                <c:pt idx="4">
                  <c:v>643.67999999999995</c:v>
                </c:pt>
              </c:numCache>
            </c:numRef>
          </c:val>
          <c:smooth val="0"/>
          <c:extLst>
            <c:ext xmlns:c16="http://schemas.microsoft.com/office/drawing/2014/chart" uri="{C3380CC4-5D6E-409C-BE32-E72D297353CC}">
              <c16:uniqueId val="{00000002-1D94-4E6B-A94C-3D26108FD2C6}"/>
            </c:ext>
          </c:extLst>
        </c:ser>
        <c:dLbls>
          <c:showLegendKey val="0"/>
          <c:showVal val="0"/>
          <c:showCatName val="0"/>
          <c:showSerName val="0"/>
          <c:showPercent val="0"/>
          <c:showBubbleSize val="0"/>
        </c:dLbls>
        <c:marker val="1"/>
        <c:smooth val="0"/>
        <c:axId val="505971256"/>
        <c:axId val="505969944"/>
      </c:lineChart>
      <c:catAx>
        <c:axId val="505971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969944"/>
        <c:crosses val="autoZero"/>
        <c:auto val="1"/>
        <c:lblAlgn val="ctr"/>
        <c:lblOffset val="100"/>
        <c:noMultiLvlLbl val="0"/>
      </c:catAx>
      <c:valAx>
        <c:axId val="505969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HHP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97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Lead Cement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'Approval Sheet'!$X$5</c:f>
              <c:strCache>
                <c:ptCount val="1"/>
                <c:pt idx="0">
                  <c:v>Time</c:v>
                </c:pt>
              </c:strCache>
            </c:strRef>
          </c:tx>
          <c:spPr>
            <a:solidFill>
              <a:schemeClr val="tx1"/>
            </a:solidFill>
            <a:ln>
              <a:noFill/>
            </a:ln>
            <a:effectLst/>
          </c:spPr>
          <c:invertIfNegative val="0"/>
          <c:cat>
            <c:strRef>
              <c:f>'Approval Sheet'!$W$6:$W$11</c:f>
              <c:strCache>
                <c:ptCount val="6"/>
                <c:pt idx="0">
                  <c:v>Lead Placement</c:v>
                </c:pt>
                <c:pt idx="1">
                  <c:v>Safe Pump Time</c:v>
                </c:pt>
                <c:pt idx="2">
                  <c:v>Pilot</c:v>
                </c:pt>
                <c:pt idx="3">
                  <c:v>Pilot Hesitation</c:v>
                </c:pt>
                <c:pt idx="4">
                  <c:v>Field Blend Test</c:v>
                </c:pt>
                <c:pt idx="5">
                  <c:v>Field Blend Hesitation</c:v>
                </c:pt>
              </c:strCache>
            </c:strRef>
          </c:cat>
          <c:val>
            <c:numRef>
              <c:f>'Approval Sheet'!$X$6:$X$11</c:f>
              <c:numCache>
                <c:formatCode>0</c:formatCode>
                <c:ptCount val="6"/>
                <c:pt idx="0">
                  <c:v>210.57499999999999</c:v>
                </c:pt>
                <c:pt idx="1">
                  <c:v>330.57499999999999</c:v>
                </c:pt>
                <c:pt idx="2">
                  <c:v>430</c:v>
                </c:pt>
                <c:pt idx="3">
                  <c:v>448.5</c:v>
                </c:pt>
                <c:pt idx="4">
                  <c:v>433</c:v>
                </c:pt>
                <c:pt idx="5" formatCode="0.00">
                  <c:v>410</c:v>
                </c:pt>
              </c:numCache>
            </c:numRef>
          </c:val>
          <c:extLst>
            <c:ext xmlns:c16="http://schemas.microsoft.com/office/drawing/2014/chart" uri="{C3380CC4-5D6E-409C-BE32-E72D297353CC}">
              <c16:uniqueId val="{00000000-8429-400A-90AF-E688D818F8EA}"/>
            </c:ext>
          </c:extLst>
        </c:ser>
        <c:dLbls>
          <c:showLegendKey val="0"/>
          <c:showVal val="0"/>
          <c:showCatName val="0"/>
          <c:showSerName val="0"/>
          <c:showPercent val="0"/>
          <c:showBubbleSize val="0"/>
        </c:dLbls>
        <c:gapWidth val="219"/>
        <c:overlap val="-27"/>
        <c:axId val="682456416"/>
        <c:axId val="682456744"/>
      </c:barChart>
      <c:lineChart>
        <c:grouping val="standard"/>
        <c:varyColors val="0"/>
        <c:ser>
          <c:idx val="1"/>
          <c:order val="1"/>
          <c:tx>
            <c:strRef>
              <c:f>'Approval Sheet'!$Y$5</c:f>
              <c:strCache>
                <c:ptCount val="1"/>
                <c:pt idx="0">
                  <c:v>Min</c:v>
                </c:pt>
              </c:strCache>
            </c:strRef>
          </c:tx>
          <c:spPr>
            <a:ln w="28575" cap="rnd">
              <a:solidFill>
                <a:srgbClr val="FF0000"/>
              </a:solidFill>
              <a:round/>
            </a:ln>
            <a:effectLst/>
          </c:spPr>
          <c:marker>
            <c:symbol val="none"/>
          </c:marker>
          <c:cat>
            <c:strRef>
              <c:f>'Approval Sheet'!$W$6:$W$11</c:f>
              <c:strCache>
                <c:ptCount val="6"/>
                <c:pt idx="0">
                  <c:v>Lead Placement</c:v>
                </c:pt>
                <c:pt idx="1">
                  <c:v>Safe Pump Time</c:v>
                </c:pt>
                <c:pt idx="2">
                  <c:v>Pilot</c:v>
                </c:pt>
                <c:pt idx="3">
                  <c:v>Pilot Hesitation</c:v>
                </c:pt>
                <c:pt idx="4">
                  <c:v>Field Blend Test</c:v>
                </c:pt>
                <c:pt idx="5">
                  <c:v>Field Blend Hesitation</c:v>
                </c:pt>
              </c:strCache>
            </c:strRef>
          </c:cat>
          <c:val>
            <c:numRef>
              <c:f>'Approval Sheet'!$Y$6:$Y$11</c:f>
              <c:numCache>
                <c:formatCode>0</c:formatCode>
                <c:ptCount val="6"/>
                <c:pt idx="0">
                  <c:v>365.5</c:v>
                </c:pt>
                <c:pt idx="1">
                  <c:v>365.5</c:v>
                </c:pt>
                <c:pt idx="2">
                  <c:v>365.5</c:v>
                </c:pt>
                <c:pt idx="3">
                  <c:v>365.5</c:v>
                </c:pt>
                <c:pt idx="4">
                  <c:v>365.5</c:v>
                </c:pt>
                <c:pt idx="5">
                  <c:v>365.5</c:v>
                </c:pt>
              </c:numCache>
            </c:numRef>
          </c:val>
          <c:smooth val="0"/>
          <c:extLst>
            <c:ext xmlns:c16="http://schemas.microsoft.com/office/drawing/2014/chart" uri="{C3380CC4-5D6E-409C-BE32-E72D297353CC}">
              <c16:uniqueId val="{00000001-8429-400A-90AF-E688D818F8EA}"/>
            </c:ext>
          </c:extLst>
        </c:ser>
        <c:ser>
          <c:idx val="2"/>
          <c:order val="2"/>
          <c:tx>
            <c:strRef>
              <c:f>'Approval Sheet'!$Z$5</c:f>
              <c:strCache>
                <c:ptCount val="1"/>
                <c:pt idx="0">
                  <c:v>Max</c:v>
                </c:pt>
              </c:strCache>
            </c:strRef>
          </c:tx>
          <c:spPr>
            <a:ln w="28575" cap="rnd">
              <a:solidFill>
                <a:srgbClr val="FFC000"/>
              </a:solidFill>
              <a:round/>
            </a:ln>
            <a:effectLst/>
          </c:spPr>
          <c:marker>
            <c:symbol val="none"/>
          </c:marker>
          <c:cat>
            <c:strRef>
              <c:f>'Approval Sheet'!$W$6:$W$11</c:f>
              <c:strCache>
                <c:ptCount val="6"/>
                <c:pt idx="0">
                  <c:v>Lead Placement</c:v>
                </c:pt>
                <c:pt idx="1">
                  <c:v>Safe Pump Time</c:v>
                </c:pt>
                <c:pt idx="2">
                  <c:v>Pilot</c:v>
                </c:pt>
                <c:pt idx="3">
                  <c:v>Pilot Hesitation</c:v>
                </c:pt>
                <c:pt idx="4">
                  <c:v>Field Blend Test</c:v>
                </c:pt>
                <c:pt idx="5">
                  <c:v>Field Blend Hesitation</c:v>
                </c:pt>
              </c:strCache>
            </c:strRef>
          </c:cat>
          <c:val>
            <c:numRef>
              <c:f>'Approval Sheet'!$Z$6:$Z$11</c:f>
              <c:numCache>
                <c:formatCode>0</c:formatCode>
                <c:ptCount val="6"/>
                <c:pt idx="0">
                  <c:v>602</c:v>
                </c:pt>
                <c:pt idx="1">
                  <c:v>602</c:v>
                </c:pt>
                <c:pt idx="2">
                  <c:v>602</c:v>
                </c:pt>
                <c:pt idx="3">
                  <c:v>602</c:v>
                </c:pt>
                <c:pt idx="4">
                  <c:v>602</c:v>
                </c:pt>
                <c:pt idx="5">
                  <c:v>602</c:v>
                </c:pt>
              </c:numCache>
            </c:numRef>
          </c:val>
          <c:smooth val="0"/>
          <c:extLst>
            <c:ext xmlns:c16="http://schemas.microsoft.com/office/drawing/2014/chart" uri="{C3380CC4-5D6E-409C-BE32-E72D297353CC}">
              <c16:uniqueId val="{00000002-8429-400A-90AF-E688D818F8EA}"/>
            </c:ext>
          </c:extLst>
        </c:ser>
        <c:dLbls>
          <c:showLegendKey val="0"/>
          <c:showVal val="0"/>
          <c:showCatName val="0"/>
          <c:showSerName val="0"/>
          <c:showPercent val="0"/>
          <c:showBubbleSize val="0"/>
        </c:dLbls>
        <c:marker val="1"/>
        <c:smooth val="0"/>
        <c:axId val="682456416"/>
        <c:axId val="682456744"/>
      </c:lineChart>
      <c:catAx>
        <c:axId val="68245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456744"/>
        <c:crosses val="autoZero"/>
        <c:auto val="1"/>
        <c:lblAlgn val="ctr"/>
        <c:lblOffset val="100"/>
        <c:noMultiLvlLbl val="0"/>
      </c:catAx>
      <c:valAx>
        <c:axId val="6824567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45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Tail</a:t>
            </a:r>
            <a:r>
              <a:rPr lang="en-US" baseline="0"/>
              <a:t> Cement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'Approval Sheet'!$X$12</c:f>
              <c:strCache>
                <c:ptCount val="1"/>
                <c:pt idx="0">
                  <c:v>Time</c:v>
                </c:pt>
              </c:strCache>
            </c:strRef>
          </c:tx>
          <c:spPr>
            <a:solidFill>
              <a:schemeClr val="tx1"/>
            </a:solidFill>
            <a:ln>
              <a:noFill/>
            </a:ln>
            <a:effectLst/>
          </c:spPr>
          <c:invertIfNegative val="0"/>
          <c:cat>
            <c:strRef>
              <c:f>'Approval Sheet'!$W$13:$W$16</c:f>
              <c:strCache>
                <c:ptCount val="4"/>
                <c:pt idx="0">
                  <c:v>Tail Placement</c:v>
                </c:pt>
                <c:pt idx="1">
                  <c:v>Safe Pump Time</c:v>
                </c:pt>
                <c:pt idx="2">
                  <c:v>Pilot</c:v>
                </c:pt>
                <c:pt idx="3">
                  <c:v>Field Blend Test</c:v>
                </c:pt>
              </c:strCache>
            </c:strRef>
          </c:cat>
          <c:val>
            <c:numRef>
              <c:f>'Approval Sheet'!$X$13:$X$16</c:f>
              <c:numCache>
                <c:formatCode>0</c:formatCode>
                <c:ptCount val="4"/>
                <c:pt idx="0">
                  <c:v>0</c:v>
                </c:pt>
                <c:pt idx="1">
                  <c:v>0</c:v>
                </c:pt>
                <c:pt idx="2">
                  <c:v>0</c:v>
                </c:pt>
                <c:pt idx="3">
                  <c:v>0</c:v>
                </c:pt>
              </c:numCache>
            </c:numRef>
          </c:val>
          <c:extLst>
            <c:ext xmlns:c16="http://schemas.microsoft.com/office/drawing/2014/chart" uri="{C3380CC4-5D6E-409C-BE32-E72D297353CC}">
              <c16:uniqueId val="{00000000-DCD2-4D7A-9934-BB89B9B357A3}"/>
            </c:ext>
          </c:extLst>
        </c:ser>
        <c:dLbls>
          <c:showLegendKey val="0"/>
          <c:showVal val="0"/>
          <c:showCatName val="0"/>
          <c:showSerName val="0"/>
          <c:showPercent val="0"/>
          <c:showBubbleSize val="0"/>
        </c:dLbls>
        <c:gapWidth val="219"/>
        <c:overlap val="-27"/>
        <c:axId val="687485400"/>
        <c:axId val="687481792"/>
      </c:barChart>
      <c:lineChart>
        <c:grouping val="standard"/>
        <c:varyColors val="0"/>
        <c:ser>
          <c:idx val="1"/>
          <c:order val="1"/>
          <c:tx>
            <c:strRef>
              <c:f>'Approval Sheet'!$Y$12</c:f>
              <c:strCache>
                <c:ptCount val="1"/>
                <c:pt idx="0">
                  <c:v>Min</c:v>
                </c:pt>
              </c:strCache>
            </c:strRef>
          </c:tx>
          <c:spPr>
            <a:ln w="28575" cap="rnd">
              <a:solidFill>
                <a:srgbClr val="FF0000"/>
              </a:solidFill>
              <a:round/>
            </a:ln>
            <a:effectLst/>
          </c:spPr>
          <c:marker>
            <c:symbol val="none"/>
          </c:marker>
          <c:cat>
            <c:strRef>
              <c:f>'Approval Sheet'!$W$13:$W$16</c:f>
              <c:strCache>
                <c:ptCount val="4"/>
                <c:pt idx="0">
                  <c:v>Tail Placement</c:v>
                </c:pt>
                <c:pt idx="1">
                  <c:v>Safe Pump Time</c:v>
                </c:pt>
                <c:pt idx="2">
                  <c:v>Pilot</c:v>
                </c:pt>
                <c:pt idx="3">
                  <c:v>Field Blend Test</c:v>
                </c:pt>
              </c:strCache>
            </c:strRef>
          </c:cat>
          <c:val>
            <c:numRef>
              <c:f>'Approval Sheet'!$Y$13:$Y$16</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1-DCD2-4D7A-9934-BB89B9B357A3}"/>
            </c:ext>
          </c:extLst>
        </c:ser>
        <c:ser>
          <c:idx val="2"/>
          <c:order val="2"/>
          <c:tx>
            <c:strRef>
              <c:f>'Approval Sheet'!$Z$12</c:f>
              <c:strCache>
                <c:ptCount val="1"/>
                <c:pt idx="0">
                  <c:v>Max</c:v>
                </c:pt>
              </c:strCache>
            </c:strRef>
          </c:tx>
          <c:spPr>
            <a:ln w="28575" cap="rnd">
              <a:solidFill>
                <a:srgbClr val="FFC000"/>
              </a:solidFill>
              <a:round/>
            </a:ln>
            <a:effectLst/>
          </c:spPr>
          <c:marker>
            <c:symbol val="none"/>
          </c:marker>
          <c:cat>
            <c:strRef>
              <c:f>'Approval Sheet'!$W$13:$W$16</c:f>
              <c:strCache>
                <c:ptCount val="4"/>
                <c:pt idx="0">
                  <c:v>Tail Placement</c:v>
                </c:pt>
                <c:pt idx="1">
                  <c:v>Safe Pump Time</c:v>
                </c:pt>
                <c:pt idx="2">
                  <c:v>Pilot</c:v>
                </c:pt>
                <c:pt idx="3">
                  <c:v>Field Blend Test</c:v>
                </c:pt>
              </c:strCache>
            </c:strRef>
          </c:cat>
          <c:val>
            <c:numRef>
              <c:f>'Approval Sheet'!$Z$13:$Z$16</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DCD2-4D7A-9934-BB89B9B357A3}"/>
            </c:ext>
          </c:extLst>
        </c:ser>
        <c:dLbls>
          <c:showLegendKey val="0"/>
          <c:showVal val="0"/>
          <c:showCatName val="0"/>
          <c:showSerName val="0"/>
          <c:showPercent val="0"/>
          <c:showBubbleSize val="0"/>
        </c:dLbls>
        <c:marker val="1"/>
        <c:smooth val="0"/>
        <c:axId val="687485400"/>
        <c:axId val="687481792"/>
      </c:lineChart>
      <c:catAx>
        <c:axId val="68748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481792"/>
        <c:crosses val="autoZero"/>
        <c:auto val="1"/>
        <c:lblAlgn val="ctr"/>
        <c:lblOffset val="100"/>
        <c:noMultiLvlLbl val="0"/>
      </c:catAx>
      <c:valAx>
        <c:axId val="68748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48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4193509902171318E-2"/>
          <c:y val="6.4814814814814811E-2"/>
          <c:w val="0.86398786089238844"/>
          <c:h val="0.74350320793234181"/>
        </c:manualLayout>
      </c:layout>
      <c:scatterChart>
        <c:scatterStyle val="smoothMarker"/>
        <c:varyColors val="0"/>
        <c:ser>
          <c:idx val="1"/>
          <c:order val="0"/>
          <c:tx>
            <c:strRef>
              <c:f>Input!$N$2</c:f>
              <c:strCache>
                <c:ptCount val="1"/>
                <c:pt idx="0">
                  <c:v>Pilot</c:v>
                </c:pt>
              </c:strCache>
            </c:strRef>
          </c:tx>
          <c:spPr>
            <a:ln w="28575" cap="rnd">
              <a:solidFill>
                <a:schemeClr val="accent2"/>
              </a:solidFill>
              <a:round/>
            </a:ln>
            <a:effectLst/>
          </c:spPr>
          <c:marker>
            <c:symbol val="none"/>
          </c:marker>
          <c:xVal>
            <c:numRef>
              <c:f>Input!$M$3:$M$1000</c:f>
              <c:numCache>
                <c:formatCode>General</c:formatCode>
                <c:ptCount val="998"/>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pt idx="401">
                  <c:v>200.5</c:v>
                </c:pt>
                <c:pt idx="402">
                  <c:v>201</c:v>
                </c:pt>
                <c:pt idx="403">
                  <c:v>201.5</c:v>
                </c:pt>
                <c:pt idx="404">
                  <c:v>202</c:v>
                </c:pt>
                <c:pt idx="405">
                  <c:v>202.5</c:v>
                </c:pt>
                <c:pt idx="406">
                  <c:v>203</c:v>
                </c:pt>
                <c:pt idx="407">
                  <c:v>203.5</c:v>
                </c:pt>
                <c:pt idx="408">
                  <c:v>204</c:v>
                </c:pt>
                <c:pt idx="409">
                  <c:v>204.5</c:v>
                </c:pt>
                <c:pt idx="410">
                  <c:v>205</c:v>
                </c:pt>
                <c:pt idx="411">
                  <c:v>205.5</c:v>
                </c:pt>
                <c:pt idx="412">
                  <c:v>206</c:v>
                </c:pt>
                <c:pt idx="413">
                  <c:v>206.5</c:v>
                </c:pt>
                <c:pt idx="414">
                  <c:v>207</c:v>
                </c:pt>
                <c:pt idx="415">
                  <c:v>207.5</c:v>
                </c:pt>
                <c:pt idx="416">
                  <c:v>208</c:v>
                </c:pt>
                <c:pt idx="417">
                  <c:v>208.5</c:v>
                </c:pt>
                <c:pt idx="418">
                  <c:v>209</c:v>
                </c:pt>
                <c:pt idx="419">
                  <c:v>209.5</c:v>
                </c:pt>
                <c:pt idx="420">
                  <c:v>210</c:v>
                </c:pt>
                <c:pt idx="421">
                  <c:v>210.5</c:v>
                </c:pt>
                <c:pt idx="422">
                  <c:v>211</c:v>
                </c:pt>
                <c:pt idx="423">
                  <c:v>211.5</c:v>
                </c:pt>
                <c:pt idx="424">
                  <c:v>212</c:v>
                </c:pt>
                <c:pt idx="425">
                  <c:v>212.5</c:v>
                </c:pt>
                <c:pt idx="426">
                  <c:v>213</c:v>
                </c:pt>
                <c:pt idx="427">
                  <c:v>213.5</c:v>
                </c:pt>
                <c:pt idx="428">
                  <c:v>214</c:v>
                </c:pt>
                <c:pt idx="429">
                  <c:v>214.5</c:v>
                </c:pt>
                <c:pt idx="430">
                  <c:v>215</c:v>
                </c:pt>
                <c:pt idx="431">
                  <c:v>215.5</c:v>
                </c:pt>
                <c:pt idx="432">
                  <c:v>216</c:v>
                </c:pt>
                <c:pt idx="433">
                  <c:v>216.5</c:v>
                </c:pt>
                <c:pt idx="434">
                  <c:v>217</c:v>
                </c:pt>
                <c:pt idx="435">
                  <c:v>217.5</c:v>
                </c:pt>
                <c:pt idx="436">
                  <c:v>218</c:v>
                </c:pt>
                <c:pt idx="437">
                  <c:v>218.5</c:v>
                </c:pt>
                <c:pt idx="438">
                  <c:v>219</c:v>
                </c:pt>
                <c:pt idx="439">
                  <c:v>219.5</c:v>
                </c:pt>
                <c:pt idx="440">
                  <c:v>220</c:v>
                </c:pt>
                <c:pt idx="441">
                  <c:v>220.5</c:v>
                </c:pt>
                <c:pt idx="442">
                  <c:v>221</c:v>
                </c:pt>
                <c:pt idx="443">
                  <c:v>221.5</c:v>
                </c:pt>
                <c:pt idx="444">
                  <c:v>222</c:v>
                </c:pt>
                <c:pt idx="445">
                  <c:v>222.5</c:v>
                </c:pt>
                <c:pt idx="446">
                  <c:v>223</c:v>
                </c:pt>
                <c:pt idx="447">
                  <c:v>223.5</c:v>
                </c:pt>
                <c:pt idx="448">
                  <c:v>224</c:v>
                </c:pt>
                <c:pt idx="449">
                  <c:v>224.5</c:v>
                </c:pt>
                <c:pt idx="450">
                  <c:v>225</c:v>
                </c:pt>
                <c:pt idx="451">
                  <c:v>225.5</c:v>
                </c:pt>
                <c:pt idx="452">
                  <c:v>226</c:v>
                </c:pt>
                <c:pt idx="453">
                  <c:v>226.5</c:v>
                </c:pt>
                <c:pt idx="454">
                  <c:v>227</c:v>
                </c:pt>
                <c:pt idx="455">
                  <c:v>227.5</c:v>
                </c:pt>
                <c:pt idx="456">
                  <c:v>228</c:v>
                </c:pt>
                <c:pt idx="457">
                  <c:v>228.5</c:v>
                </c:pt>
                <c:pt idx="458">
                  <c:v>229</c:v>
                </c:pt>
                <c:pt idx="459">
                  <c:v>229.5</c:v>
                </c:pt>
                <c:pt idx="460">
                  <c:v>230</c:v>
                </c:pt>
                <c:pt idx="461">
                  <c:v>230.5</c:v>
                </c:pt>
                <c:pt idx="462">
                  <c:v>231</c:v>
                </c:pt>
                <c:pt idx="463">
                  <c:v>231.5</c:v>
                </c:pt>
                <c:pt idx="464">
                  <c:v>232</c:v>
                </c:pt>
                <c:pt idx="465">
                  <c:v>232.5</c:v>
                </c:pt>
                <c:pt idx="466">
                  <c:v>233</c:v>
                </c:pt>
                <c:pt idx="467">
                  <c:v>233.5</c:v>
                </c:pt>
                <c:pt idx="468">
                  <c:v>234</c:v>
                </c:pt>
                <c:pt idx="469">
                  <c:v>234.5</c:v>
                </c:pt>
                <c:pt idx="470">
                  <c:v>235</c:v>
                </c:pt>
                <c:pt idx="471">
                  <c:v>235.5</c:v>
                </c:pt>
                <c:pt idx="472">
                  <c:v>236</c:v>
                </c:pt>
                <c:pt idx="473">
                  <c:v>236.5</c:v>
                </c:pt>
                <c:pt idx="474">
                  <c:v>237</c:v>
                </c:pt>
                <c:pt idx="475">
                  <c:v>237.5</c:v>
                </c:pt>
                <c:pt idx="476">
                  <c:v>238</c:v>
                </c:pt>
                <c:pt idx="477">
                  <c:v>238.5</c:v>
                </c:pt>
                <c:pt idx="478">
                  <c:v>239</c:v>
                </c:pt>
                <c:pt idx="479">
                  <c:v>239.5</c:v>
                </c:pt>
                <c:pt idx="480">
                  <c:v>240</c:v>
                </c:pt>
                <c:pt idx="481">
                  <c:v>240.5</c:v>
                </c:pt>
                <c:pt idx="482">
                  <c:v>241</c:v>
                </c:pt>
                <c:pt idx="483">
                  <c:v>241.5</c:v>
                </c:pt>
                <c:pt idx="484">
                  <c:v>242</c:v>
                </c:pt>
                <c:pt idx="485">
                  <c:v>242.5</c:v>
                </c:pt>
                <c:pt idx="486">
                  <c:v>243</c:v>
                </c:pt>
                <c:pt idx="487">
                  <c:v>243.5</c:v>
                </c:pt>
                <c:pt idx="488">
                  <c:v>244</c:v>
                </c:pt>
                <c:pt idx="489">
                  <c:v>244.5</c:v>
                </c:pt>
                <c:pt idx="490">
                  <c:v>245</c:v>
                </c:pt>
                <c:pt idx="491">
                  <c:v>245.5</c:v>
                </c:pt>
                <c:pt idx="492">
                  <c:v>246</c:v>
                </c:pt>
                <c:pt idx="493">
                  <c:v>246.5</c:v>
                </c:pt>
                <c:pt idx="494">
                  <c:v>247</c:v>
                </c:pt>
                <c:pt idx="495">
                  <c:v>247.5</c:v>
                </c:pt>
                <c:pt idx="496">
                  <c:v>248</c:v>
                </c:pt>
                <c:pt idx="497">
                  <c:v>248.5</c:v>
                </c:pt>
                <c:pt idx="498">
                  <c:v>249</c:v>
                </c:pt>
                <c:pt idx="499">
                  <c:v>249.5</c:v>
                </c:pt>
                <c:pt idx="500">
                  <c:v>250</c:v>
                </c:pt>
                <c:pt idx="501">
                  <c:v>250.5</c:v>
                </c:pt>
                <c:pt idx="502">
                  <c:v>251</c:v>
                </c:pt>
                <c:pt idx="503">
                  <c:v>251.5</c:v>
                </c:pt>
                <c:pt idx="504">
                  <c:v>252</c:v>
                </c:pt>
                <c:pt idx="505">
                  <c:v>252.5</c:v>
                </c:pt>
                <c:pt idx="506">
                  <c:v>253</c:v>
                </c:pt>
                <c:pt idx="507">
                  <c:v>253.5</c:v>
                </c:pt>
                <c:pt idx="508">
                  <c:v>254</c:v>
                </c:pt>
                <c:pt idx="509">
                  <c:v>254.5</c:v>
                </c:pt>
                <c:pt idx="510">
                  <c:v>255</c:v>
                </c:pt>
                <c:pt idx="511">
                  <c:v>255.5</c:v>
                </c:pt>
                <c:pt idx="512">
                  <c:v>256</c:v>
                </c:pt>
                <c:pt idx="513">
                  <c:v>256.5</c:v>
                </c:pt>
                <c:pt idx="514">
                  <c:v>257</c:v>
                </c:pt>
                <c:pt idx="515">
                  <c:v>257.5</c:v>
                </c:pt>
                <c:pt idx="516">
                  <c:v>258</c:v>
                </c:pt>
                <c:pt idx="517">
                  <c:v>258.5</c:v>
                </c:pt>
                <c:pt idx="518">
                  <c:v>259</c:v>
                </c:pt>
                <c:pt idx="519">
                  <c:v>259.5</c:v>
                </c:pt>
                <c:pt idx="520">
                  <c:v>260</c:v>
                </c:pt>
                <c:pt idx="521">
                  <c:v>260.5</c:v>
                </c:pt>
                <c:pt idx="522">
                  <c:v>261</c:v>
                </c:pt>
                <c:pt idx="523">
                  <c:v>261.5</c:v>
                </c:pt>
                <c:pt idx="524">
                  <c:v>262</c:v>
                </c:pt>
                <c:pt idx="525">
                  <c:v>262.5</c:v>
                </c:pt>
                <c:pt idx="526">
                  <c:v>263</c:v>
                </c:pt>
                <c:pt idx="527">
                  <c:v>263.5</c:v>
                </c:pt>
                <c:pt idx="528">
                  <c:v>264</c:v>
                </c:pt>
                <c:pt idx="529">
                  <c:v>264.5</c:v>
                </c:pt>
                <c:pt idx="530">
                  <c:v>265</c:v>
                </c:pt>
                <c:pt idx="531">
                  <c:v>265.5</c:v>
                </c:pt>
                <c:pt idx="532">
                  <c:v>266</c:v>
                </c:pt>
                <c:pt idx="533">
                  <c:v>266.5</c:v>
                </c:pt>
                <c:pt idx="534">
                  <c:v>267</c:v>
                </c:pt>
                <c:pt idx="535">
                  <c:v>267.5</c:v>
                </c:pt>
                <c:pt idx="536">
                  <c:v>268</c:v>
                </c:pt>
                <c:pt idx="537">
                  <c:v>268.5</c:v>
                </c:pt>
                <c:pt idx="538">
                  <c:v>269</c:v>
                </c:pt>
                <c:pt idx="539">
                  <c:v>269.5</c:v>
                </c:pt>
                <c:pt idx="540">
                  <c:v>270</c:v>
                </c:pt>
                <c:pt idx="541">
                  <c:v>270.5</c:v>
                </c:pt>
                <c:pt idx="542">
                  <c:v>271</c:v>
                </c:pt>
                <c:pt idx="543">
                  <c:v>271.5</c:v>
                </c:pt>
                <c:pt idx="544">
                  <c:v>272</c:v>
                </c:pt>
                <c:pt idx="545">
                  <c:v>272.5</c:v>
                </c:pt>
                <c:pt idx="546">
                  <c:v>273</c:v>
                </c:pt>
                <c:pt idx="547">
                  <c:v>273.5</c:v>
                </c:pt>
                <c:pt idx="548">
                  <c:v>274</c:v>
                </c:pt>
                <c:pt idx="549">
                  <c:v>274.5</c:v>
                </c:pt>
                <c:pt idx="550">
                  <c:v>275</c:v>
                </c:pt>
                <c:pt idx="551">
                  <c:v>275.5</c:v>
                </c:pt>
                <c:pt idx="552">
                  <c:v>276</c:v>
                </c:pt>
                <c:pt idx="553">
                  <c:v>276.5</c:v>
                </c:pt>
                <c:pt idx="554">
                  <c:v>277</c:v>
                </c:pt>
                <c:pt idx="555">
                  <c:v>277.5</c:v>
                </c:pt>
                <c:pt idx="556">
                  <c:v>278</c:v>
                </c:pt>
                <c:pt idx="557">
                  <c:v>278.5</c:v>
                </c:pt>
                <c:pt idx="558">
                  <c:v>279</c:v>
                </c:pt>
                <c:pt idx="559">
                  <c:v>279.5</c:v>
                </c:pt>
                <c:pt idx="560">
                  <c:v>280</c:v>
                </c:pt>
                <c:pt idx="561">
                  <c:v>280.5</c:v>
                </c:pt>
                <c:pt idx="562">
                  <c:v>281</c:v>
                </c:pt>
                <c:pt idx="563">
                  <c:v>281.5</c:v>
                </c:pt>
                <c:pt idx="564">
                  <c:v>282</c:v>
                </c:pt>
                <c:pt idx="565">
                  <c:v>282.5</c:v>
                </c:pt>
                <c:pt idx="566">
                  <c:v>283</c:v>
                </c:pt>
                <c:pt idx="567">
                  <c:v>283.5</c:v>
                </c:pt>
                <c:pt idx="568">
                  <c:v>284</c:v>
                </c:pt>
                <c:pt idx="569">
                  <c:v>284.5</c:v>
                </c:pt>
                <c:pt idx="570">
                  <c:v>285</c:v>
                </c:pt>
                <c:pt idx="571">
                  <c:v>285.5</c:v>
                </c:pt>
                <c:pt idx="572">
                  <c:v>286</c:v>
                </c:pt>
                <c:pt idx="573">
                  <c:v>286.5</c:v>
                </c:pt>
                <c:pt idx="574">
                  <c:v>287</c:v>
                </c:pt>
                <c:pt idx="575">
                  <c:v>287.5</c:v>
                </c:pt>
                <c:pt idx="576">
                  <c:v>288</c:v>
                </c:pt>
                <c:pt idx="577">
                  <c:v>288.5</c:v>
                </c:pt>
                <c:pt idx="578">
                  <c:v>289</c:v>
                </c:pt>
                <c:pt idx="579">
                  <c:v>289.5</c:v>
                </c:pt>
                <c:pt idx="580">
                  <c:v>290</c:v>
                </c:pt>
                <c:pt idx="581">
                  <c:v>290.5</c:v>
                </c:pt>
                <c:pt idx="582">
                  <c:v>291</c:v>
                </c:pt>
                <c:pt idx="583">
                  <c:v>291.5</c:v>
                </c:pt>
                <c:pt idx="584">
                  <c:v>292</c:v>
                </c:pt>
                <c:pt idx="585">
                  <c:v>292.5</c:v>
                </c:pt>
                <c:pt idx="586">
                  <c:v>293</c:v>
                </c:pt>
                <c:pt idx="587">
                  <c:v>293.5</c:v>
                </c:pt>
                <c:pt idx="588">
                  <c:v>294</c:v>
                </c:pt>
                <c:pt idx="589">
                  <c:v>294.5</c:v>
                </c:pt>
                <c:pt idx="590">
                  <c:v>295</c:v>
                </c:pt>
                <c:pt idx="591">
                  <c:v>295.5</c:v>
                </c:pt>
                <c:pt idx="592">
                  <c:v>296</c:v>
                </c:pt>
                <c:pt idx="593">
                  <c:v>296.5</c:v>
                </c:pt>
                <c:pt idx="594">
                  <c:v>297</c:v>
                </c:pt>
                <c:pt idx="595">
                  <c:v>297.5</c:v>
                </c:pt>
                <c:pt idx="596">
                  <c:v>298</c:v>
                </c:pt>
                <c:pt idx="597">
                  <c:v>298.5</c:v>
                </c:pt>
                <c:pt idx="598">
                  <c:v>299</c:v>
                </c:pt>
                <c:pt idx="599">
                  <c:v>299.5</c:v>
                </c:pt>
                <c:pt idx="600">
                  <c:v>300</c:v>
                </c:pt>
                <c:pt idx="601">
                  <c:v>300.5</c:v>
                </c:pt>
                <c:pt idx="602">
                  <c:v>301</c:v>
                </c:pt>
                <c:pt idx="603">
                  <c:v>301.5</c:v>
                </c:pt>
                <c:pt idx="604">
                  <c:v>302</c:v>
                </c:pt>
                <c:pt idx="605">
                  <c:v>302.5</c:v>
                </c:pt>
                <c:pt idx="606">
                  <c:v>303</c:v>
                </c:pt>
                <c:pt idx="607">
                  <c:v>303.5</c:v>
                </c:pt>
                <c:pt idx="608">
                  <c:v>304</c:v>
                </c:pt>
                <c:pt idx="609">
                  <c:v>304.5</c:v>
                </c:pt>
                <c:pt idx="610">
                  <c:v>305</c:v>
                </c:pt>
                <c:pt idx="611">
                  <c:v>305.5</c:v>
                </c:pt>
                <c:pt idx="612">
                  <c:v>306</c:v>
                </c:pt>
                <c:pt idx="613">
                  <c:v>306.5</c:v>
                </c:pt>
                <c:pt idx="614">
                  <c:v>307</c:v>
                </c:pt>
                <c:pt idx="615">
                  <c:v>307.5</c:v>
                </c:pt>
                <c:pt idx="616">
                  <c:v>308</c:v>
                </c:pt>
                <c:pt idx="617">
                  <c:v>308.5</c:v>
                </c:pt>
                <c:pt idx="618">
                  <c:v>309</c:v>
                </c:pt>
                <c:pt idx="619">
                  <c:v>309.5</c:v>
                </c:pt>
                <c:pt idx="620">
                  <c:v>310</c:v>
                </c:pt>
                <c:pt idx="621">
                  <c:v>310.5</c:v>
                </c:pt>
                <c:pt idx="622">
                  <c:v>311</c:v>
                </c:pt>
                <c:pt idx="623">
                  <c:v>311.5</c:v>
                </c:pt>
                <c:pt idx="624">
                  <c:v>312</c:v>
                </c:pt>
                <c:pt idx="625">
                  <c:v>312.5</c:v>
                </c:pt>
                <c:pt idx="626">
                  <c:v>313</c:v>
                </c:pt>
                <c:pt idx="627">
                  <c:v>313.5</c:v>
                </c:pt>
                <c:pt idx="628">
                  <c:v>314</c:v>
                </c:pt>
                <c:pt idx="629">
                  <c:v>314.5</c:v>
                </c:pt>
                <c:pt idx="630">
                  <c:v>315</c:v>
                </c:pt>
                <c:pt idx="631">
                  <c:v>315.5</c:v>
                </c:pt>
                <c:pt idx="632">
                  <c:v>316</c:v>
                </c:pt>
                <c:pt idx="633">
                  <c:v>316.5</c:v>
                </c:pt>
                <c:pt idx="634">
                  <c:v>317</c:v>
                </c:pt>
                <c:pt idx="635">
                  <c:v>317.5</c:v>
                </c:pt>
                <c:pt idx="636">
                  <c:v>318</c:v>
                </c:pt>
                <c:pt idx="637">
                  <c:v>318.5</c:v>
                </c:pt>
                <c:pt idx="638">
                  <c:v>319</c:v>
                </c:pt>
                <c:pt idx="639">
                  <c:v>319.5</c:v>
                </c:pt>
                <c:pt idx="640">
                  <c:v>320</c:v>
                </c:pt>
                <c:pt idx="641">
                  <c:v>320.5</c:v>
                </c:pt>
                <c:pt idx="642">
                  <c:v>321</c:v>
                </c:pt>
                <c:pt idx="643">
                  <c:v>321.5</c:v>
                </c:pt>
                <c:pt idx="644">
                  <c:v>322</c:v>
                </c:pt>
                <c:pt idx="645">
                  <c:v>322.5</c:v>
                </c:pt>
                <c:pt idx="646">
                  <c:v>323</c:v>
                </c:pt>
                <c:pt idx="647">
                  <c:v>323.5</c:v>
                </c:pt>
                <c:pt idx="648">
                  <c:v>324</c:v>
                </c:pt>
                <c:pt idx="649">
                  <c:v>324.5</c:v>
                </c:pt>
                <c:pt idx="650">
                  <c:v>325</c:v>
                </c:pt>
                <c:pt idx="651">
                  <c:v>325.5</c:v>
                </c:pt>
                <c:pt idx="652">
                  <c:v>326</c:v>
                </c:pt>
                <c:pt idx="653">
                  <c:v>326.5</c:v>
                </c:pt>
                <c:pt idx="654">
                  <c:v>327</c:v>
                </c:pt>
                <c:pt idx="655">
                  <c:v>327.5</c:v>
                </c:pt>
                <c:pt idx="656">
                  <c:v>328</c:v>
                </c:pt>
                <c:pt idx="657">
                  <c:v>328.5</c:v>
                </c:pt>
                <c:pt idx="658">
                  <c:v>329</c:v>
                </c:pt>
                <c:pt idx="659">
                  <c:v>329.5</c:v>
                </c:pt>
                <c:pt idx="660">
                  <c:v>330</c:v>
                </c:pt>
                <c:pt idx="661">
                  <c:v>330.5</c:v>
                </c:pt>
                <c:pt idx="662">
                  <c:v>331</c:v>
                </c:pt>
                <c:pt idx="663">
                  <c:v>331.5</c:v>
                </c:pt>
                <c:pt idx="664">
                  <c:v>332</c:v>
                </c:pt>
                <c:pt idx="665">
                  <c:v>332.5</c:v>
                </c:pt>
                <c:pt idx="666">
                  <c:v>333</c:v>
                </c:pt>
                <c:pt idx="667">
                  <c:v>333.5</c:v>
                </c:pt>
                <c:pt idx="668">
                  <c:v>334</c:v>
                </c:pt>
                <c:pt idx="669">
                  <c:v>334.5</c:v>
                </c:pt>
                <c:pt idx="670">
                  <c:v>335</c:v>
                </c:pt>
                <c:pt idx="671">
                  <c:v>335.5</c:v>
                </c:pt>
                <c:pt idx="672">
                  <c:v>336</c:v>
                </c:pt>
                <c:pt idx="673">
                  <c:v>336.5</c:v>
                </c:pt>
                <c:pt idx="674">
                  <c:v>337</c:v>
                </c:pt>
                <c:pt idx="675">
                  <c:v>337.5</c:v>
                </c:pt>
                <c:pt idx="676">
                  <c:v>338</c:v>
                </c:pt>
                <c:pt idx="677">
                  <c:v>338.5</c:v>
                </c:pt>
                <c:pt idx="678">
                  <c:v>339</c:v>
                </c:pt>
                <c:pt idx="679">
                  <c:v>339.5</c:v>
                </c:pt>
                <c:pt idx="680">
                  <c:v>340</c:v>
                </c:pt>
                <c:pt idx="681">
                  <c:v>340.5</c:v>
                </c:pt>
                <c:pt idx="682">
                  <c:v>341</c:v>
                </c:pt>
                <c:pt idx="683">
                  <c:v>341.5</c:v>
                </c:pt>
                <c:pt idx="684">
                  <c:v>342</c:v>
                </c:pt>
                <c:pt idx="685">
                  <c:v>342.5</c:v>
                </c:pt>
                <c:pt idx="686">
                  <c:v>343</c:v>
                </c:pt>
                <c:pt idx="687">
                  <c:v>343.5</c:v>
                </c:pt>
                <c:pt idx="688">
                  <c:v>344</c:v>
                </c:pt>
                <c:pt idx="689">
                  <c:v>344.5</c:v>
                </c:pt>
                <c:pt idx="690">
                  <c:v>345</c:v>
                </c:pt>
                <c:pt idx="691">
                  <c:v>345.5</c:v>
                </c:pt>
                <c:pt idx="692">
                  <c:v>346</c:v>
                </c:pt>
                <c:pt idx="693">
                  <c:v>346.5</c:v>
                </c:pt>
                <c:pt idx="694">
                  <c:v>347</c:v>
                </c:pt>
                <c:pt idx="695">
                  <c:v>347.5</c:v>
                </c:pt>
                <c:pt idx="696">
                  <c:v>348</c:v>
                </c:pt>
                <c:pt idx="697">
                  <c:v>348.5</c:v>
                </c:pt>
                <c:pt idx="698">
                  <c:v>349</c:v>
                </c:pt>
                <c:pt idx="699">
                  <c:v>349.5</c:v>
                </c:pt>
                <c:pt idx="700">
                  <c:v>350</c:v>
                </c:pt>
                <c:pt idx="701">
                  <c:v>350.5</c:v>
                </c:pt>
                <c:pt idx="702">
                  <c:v>351</c:v>
                </c:pt>
                <c:pt idx="703">
                  <c:v>351.5</c:v>
                </c:pt>
                <c:pt idx="704">
                  <c:v>352</c:v>
                </c:pt>
                <c:pt idx="705">
                  <c:v>352.5</c:v>
                </c:pt>
                <c:pt idx="706">
                  <c:v>353</c:v>
                </c:pt>
                <c:pt idx="707">
                  <c:v>353.5</c:v>
                </c:pt>
                <c:pt idx="708">
                  <c:v>354</c:v>
                </c:pt>
                <c:pt idx="709">
                  <c:v>354.5</c:v>
                </c:pt>
                <c:pt idx="710">
                  <c:v>355</c:v>
                </c:pt>
                <c:pt idx="711">
                  <c:v>355.5</c:v>
                </c:pt>
                <c:pt idx="712">
                  <c:v>356</c:v>
                </c:pt>
                <c:pt idx="713">
                  <c:v>356.5</c:v>
                </c:pt>
                <c:pt idx="714">
                  <c:v>357</c:v>
                </c:pt>
                <c:pt idx="715">
                  <c:v>357.5</c:v>
                </c:pt>
                <c:pt idx="716">
                  <c:v>358</c:v>
                </c:pt>
                <c:pt idx="717">
                  <c:v>358.5</c:v>
                </c:pt>
                <c:pt idx="718">
                  <c:v>359</c:v>
                </c:pt>
                <c:pt idx="719">
                  <c:v>359.5</c:v>
                </c:pt>
                <c:pt idx="720">
                  <c:v>360</c:v>
                </c:pt>
                <c:pt idx="721">
                  <c:v>360.5</c:v>
                </c:pt>
                <c:pt idx="722">
                  <c:v>361</c:v>
                </c:pt>
                <c:pt idx="723">
                  <c:v>361.5</c:v>
                </c:pt>
                <c:pt idx="724">
                  <c:v>362</c:v>
                </c:pt>
                <c:pt idx="725">
                  <c:v>362.5</c:v>
                </c:pt>
                <c:pt idx="726">
                  <c:v>363</c:v>
                </c:pt>
                <c:pt idx="727">
                  <c:v>363.5</c:v>
                </c:pt>
                <c:pt idx="728">
                  <c:v>364</c:v>
                </c:pt>
                <c:pt idx="729">
                  <c:v>364.5</c:v>
                </c:pt>
                <c:pt idx="730">
                  <c:v>365</c:v>
                </c:pt>
                <c:pt idx="731">
                  <c:v>365.5</c:v>
                </c:pt>
                <c:pt idx="732">
                  <c:v>366</c:v>
                </c:pt>
                <c:pt idx="733">
                  <c:v>366.5</c:v>
                </c:pt>
                <c:pt idx="734">
                  <c:v>367</c:v>
                </c:pt>
                <c:pt idx="735">
                  <c:v>367.5</c:v>
                </c:pt>
                <c:pt idx="736">
                  <c:v>368</c:v>
                </c:pt>
                <c:pt idx="737">
                  <c:v>368.5</c:v>
                </c:pt>
                <c:pt idx="738">
                  <c:v>369</c:v>
                </c:pt>
                <c:pt idx="739">
                  <c:v>369.5</c:v>
                </c:pt>
                <c:pt idx="740">
                  <c:v>370</c:v>
                </c:pt>
                <c:pt idx="741">
                  <c:v>370.5</c:v>
                </c:pt>
                <c:pt idx="742">
                  <c:v>371</c:v>
                </c:pt>
                <c:pt idx="743">
                  <c:v>371.5</c:v>
                </c:pt>
                <c:pt idx="744">
                  <c:v>372</c:v>
                </c:pt>
                <c:pt idx="745">
                  <c:v>372.5</c:v>
                </c:pt>
                <c:pt idx="746">
                  <c:v>373</c:v>
                </c:pt>
                <c:pt idx="747">
                  <c:v>373.5</c:v>
                </c:pt>
                <c:pt idx="748">
                  <c:v>374</c:v>
                </c:pt>
                <c:pt idx="749">
                  <c:v>374.5</c:v>
                </c:pt>
                <c:pt idx="750">
                  <c:v>375</c:v>
                </c:pt>
                <c:pt idx="751">
                  <c:v>375.5</c:v>
                </c:pt>
                <c:pt idx="752">
                  <c:v>376</c:v>
                </c:pt>
                <c:pt idx="753">
                  <c:v>376.5</c:v>
                </c:pt>
                <c:pt idx="754">
                  <c:v>377</c:v>
                </c:pt>
                <c:pt idx="755">
                  <c:v>377.5</c:v>
                </c:pt>
                <c:pt idx="756">
                  <c:v>378</c:v>
                </c:pt>
                <c:pt idx="757">
                  <c:v>378.5</c:v>
                </c:pt>
                <c:pt idx="758">
                  <c:v>379</c:v>
                </c:pt>
                <c:pt idx="759">
                  <c:v>379.5</c:v>
                </c:pt>
                <c:pt idx="760">
                  <c:v>380</c:v>
                </c:pt>
                <c:pt idx="761">
                  <c:v>380.5</c:v>
                </c:pt>
                <c:pt idx="762">
                  <c:v>381</c:v>
                </c:pt>
                <c:pt idx="763">
                  <c:v>381.5</c:v>
                </c:pt>
                <c:pt idx="764">
                  <c:v>382</c:v>
                </c:pt>
                <c:pt idx="765">
                  <c:v>382.5</c:v>
                </c:pt>
                <c:pt idx="766">
                  <c:v>383</c:v>
                </c:pt>
                <c:pt idx="767">
                  <c:v>383.5</c:v>
                </c:pt>
                <c:pt idx="768">
                  <c:v>384</c:v>
                </c:pt>
                <c:pt idx="769">
                  <c:v>384.5</c:v>
                </c:pt>
                <c:pt idx="770">
                  <c:v>385</c:v>
                </c:pt>
                <c:pt idx="771">
                  <c:v>385.5</c:v>
                </c:pt>
                <c:pt idx="772">
                  <c:v>386</c:v>
                </c:pt>
                <c:pt idx="773">
                  <c:v>386.5</c:v>
                </c:pt>
                <c:pt idx="774">
                  <c:v>387</c:v>
                </c:pt>
                <c:pt idx="775">
                  <c:v>387.5</c:v>
                </c:pt>
                <c:pt idx="776">
                  <c:v>388</c:v>
                </c:pt>
                <c:pt idx="777">
                  <c:v>388.5</c:v>
                </c:pt>
                <c:pt idx="778">
                  <c:v>389</c:v>
                </c:pt>
                <c:pt idx="779">
                  <c:v>389.5</c:v>
                </c:pt>
                <c:pt idx="780">
                  <c:v>390</c:v>
                </c:pt>
                <c:pt idx="781">
                  <c:v>390.5</c:v>
                </c:pt>
                <c:pt idx="782">
                  <c:v>391</c:v>
                </c:pt>
                <c:pt idx="783">
                  <c:v>391.5</c:v>
                </c:pt>
                <c:pt idx="784">
                  <c:v>392</c:v>
                </c:pt>
                <c:pt idx="785">
                  <c:v>392.5</c:v>
                </c:pt>
                <c:pt idx="786">
                  <c:v>393</c:v>
                </c:pt>
                <c:pt idx="787">
                  <c:v>393.5</c:v>
                </c:pt>
                <c:pt idx="788">
                  <c:v>394</c:v>
                </c:pt>
                <c:pt idx="789">
                  <c:v>394.5</c:v>
                </c:pt>
                <c:pt idx="790">
                  <c:v>395</c:v>
                </c:pt>
                <c:pt idx="791">
                  <c:v>395.5</c:v>
                </c:pt>
                <c:pt idx="792">
                  <c:v>396</c:v>
                </c:pt>
                <c:pt idx="793">
                  <c:v>396.5</c:v>
                </c:pt>
                <c:pt idx="794">
                  <c:v>397</c:v>
                </c:pt>
                <c:pt idx="795">
                  <c:v>397.5</c:v>
                </c:pt>
                <c:pt idx="796">
                  <c:v>398</c:v>
                </c:pt>
                <c:pt idx="797">
                  <c:v>398.5</c:v>
                </c:pt>
                <c:pt idx="798">
                  <c:v>399</c:v>
                </c:pt>
                <c:pt idx="799">
                  <c:v>399.5</c:v>
                </c:pt>
                <c:pt idx="800">
                  <c:v>400</c:v>
                </c:pt>
                <c:pt idx="801">
                  <c:v>400.5</c:v>
                </c:pt>
                <c:pt idx="802">
                  <c:v>401</c:v>
                </c:pt>
                <c:pt idx="803">
                  <c:v>401.5</c:v>
                </c:pt>
                <c:pt idx="804">
                  <c:v>402</c:v>
                </c:pt>
                <c:pt idx="805">
                  <c:v>402.5</c:v>
                </c:pt>
                <c:pt idx="806">
                  <c:v>403</c:v>
                </c:pt>
                <c:pt idx="807">
                  <c:v>403.5</c:v>
                </c:pt>
                <c:pt idx="808">
                  <c:v>404</c:v>
                </c:pt>
                <c:pt idx="809">
                  <c:v>404.5</c:v>
                </c:pt>
                <c:pt idx="810">
                  <c:v>405</c:v>
                </c:pt>
                <c:pt idx="811">
                  <c:v>405.5</c:v>
                </c:pt>
                <c:pt idx="812">
                  <c:v>406</c:v>
                </c:pt>
                <c:pt idx="813">
                  <c:v>406.5</c:v>
                </c:pt>
                <c:pt idx="814">
                  <c:v>407</c:v>
                </c:pt>
                <c:pt idx="815">
                  <c:v>407.5</c:v>
                </c:pt>
                <c:pt idx="816">
                  <c:v>408</c:v>
                </c:pt>
                <c:pt idx="817">
                  <c:v>408.5</c:v>
                </c:pt>
                <c:pt idx="818">
                  <c:v>409</c:v>
                </c:pt>
                <c:pt idx="819">
                  <c:v>409.5</c:v>
                </c:pt>
                <c:pt idx="820">
                  <c:v>410</c:v>
                </c:pt>
                <c:pt idx="821">
                  <c:v>410.5</c:v>
                </c:pt>
                <c:pt idx="822">
                  <c:v>411</c:v>
                </c:pt>
                <c:pt idx="823">
                  <c:v>411.5</c:v>
                </c:pt>
                <c:pt idx="824">
                  <c:v>412</c:v>
                </c:pt>
                <c:pt idx="825">
                  <c:v>412.5</c:v>
                </c:pt>
                <c:pt idx="826">
                  <c:v>413</c:v>
                </c:pt>
                <c:pt idx="827">
                  <c:v>413.5</c:v>
                </c:pt>
                <c:pt idx="828">
                  <c:v>414</c:v>
                </c:pt>
                <c:pt idx="829">
                  <c:v>414.5</c:v>
                </c:pt>
                <c:pt idx="830">
                  <c:v>415</c:v>
                </c:pt>
                <c:pt idx="831">
                  <c:v>415.5</c:v>
                </c:pt>
                <c:pt idx="832">
                  <c:v>416</c:v>
                </c:pt>
                <c:pt idx="833">
                  <c:v>416.5</c:v>
                </c:pt>
                <c:pt idx="834">
                  <c:v>417</c:v>
                </c:pt>
                <c:pt idx="835">
                  <c:v>417.5</c:v>
                </c:pt>
                <c:pt idx="836">
                  <c:v>418</c:v>
                </c:pt>
                <c:pt idx="837">
                  <c:v>418.5</c:v>
                </c:pt>
                <c:pt idx="838">
                  <c:v>419</c:v>
                </c:pt>
                <c:pt idx="839">
                  <c:v>419.5</c:v>
                </c:pt>
                <c:pt idx="840">
                  <c:v>420</c:v>
                </c:pt>
                <c:pt idx="841">
                  <c:v>420.5</c:v>
                </c:pt>
                <c:pt idx="842">
                  <c:v>421</c:v>
                </c:pt>
                <c:pt idx="843">
                  <c:v>421.5</c:v>
                </c:pt>
                <c:pt idx="844">
                  <c:v>422</c:v>
                </c:pt>
                <c:pt idx="845">
                  <c:v>422.5</c:v>
                </c:pt>
                <c:pt idx="846">
                  <c:v>423</c:v>
                </c:pt>
                <c:pt idx="847">
                  <c:v>423.5</c:v>
                </c:pt>
                <c:pt idx="848">
                  <c:v>424</c:v>
                </c:pt>
                <c:pt idx="849">
                  <c:v>424.5</c:v>
                </c:pt>
                <c:pt idx="850">
                  <c:v>425</c:v>
                </c:pt>
                <c:pt idx="851">
                  <c:v>425.5</c:v>
                </c:pt>
                <c:pt idx="852">
                  <c:v>426</c:v>
                </c:pt>
                <c:pt idx="853">
                  <c:v>426.5</c:v>
                </c:pt>
                <c:pt idx="854">
                  <c:v>427</c:v>
                </c:pt>
                <c:pt idx="855">
                  <c:v>427.5</c:v>
                </c:pt>
                <c:pt idx="856">
                  <c:v>428</c:v>
                </c:pt>
                <c:pt idx="857">
                  <c:v>428.5</c:v>
                </c:pt>
                <c:pt idx="858">
                  <c:v>429</c:v>
                </c:pt>
                <c:pt idx="859">
                  <c:v>429.5</c:v>
                </c:pt>
                <c:pt idx="860">
                  <c:v>430</c:v>
                </c:pt>
                <c:pt idx="861">
                  <c:v>430.5</c:v>
                </c:pt>
                <c:pt idx="862">
                  <c:v>431</c:v>
                </c:pt>
                <c:pt idx="863">
                  <c:v>431.5</c:v>
                </c:pt>
                <c:pt idx="864">
                  <c:v>432</c:v>
                </c:pt>
                <c:pt idx="865">
                  <c:v>432.5</c:v>
                </c:pt>
                <c:pt idx="866">
                  <c:v>433</c:v>
                </c:pt>
                <c:pt idx="867">
                  <c:v>433.5</c:v>
                </c:pt>
                <c:pt idx="868">
                  <c:v>434</c:v>
                </c:pt>
                <c:pt idx="869">
                  <c:v>434.5</c:v>
                </c:pt>
                <c:pt idx="870">
                  <c:v>435</c:v>
                </c:pt>
                <c:pt idx="871">
                  <c:v>435.5</c:v>
                </c:pt>
                <c:pt idx="872">
                  <c:v>436</c:v>
                </c:pt>
                <c:pt idx="873">
                  <c:v>436.5</c:v>
                </c:pt>
                <c:pt idx="874">
                  <c:v>437</c:v>
                </c:pt>
                <c:pt idx="875">
                  <c:v>437.5</c:v>
                </c:pt>
                <c:pt idx="876">
                  <c:v>438</c:v>
                </c:pt>
                <c:pt idx="877">
                  <c:v>438.5</c:v>
                </c:pt>
                <c:pt idx="878">
                  <c:v>439</c:v>
                </c:pt>
                <c:pt idx="879">
                  <c:v>439.5</c:v>
                </c:pt>
                <c:pt idx="880">
                  <c:v>440</c:v>
                </c:pt>
                <c:pt idx="881">
                  <c:v>440.5</c:v>
                </c:pt>
                <c:pt idx="882">
                  <c:v>441</c:v>
                </c:pt>
                <c:pt idx="883">
                  <c:v>441.5</c:v>
                </c:pt>
                <c:pt idx="884">
                  <c:v>442</c:v>
                </c:pt>
                <c:pt idx="885">
                  <c:v>442.5</c:v>
                </c:pt>
                <c:pt idx="886">
                  <c:v>443</c:v>
                </c:pt>
                <c:pt idx="887">
                  <c:v>443.5</c:v>
                </c:pt>
                <c:pt idx="888">
                  <c:v>444</c:v>
                </c:pt>
                <c:pt idx="889">
                  <c:v>444.5</c:v>
                </c:pt>
                <c:pt idx="890">
                  <c:v>445</c:v>
                </c:pt>
                <c:pt idx="891">
                  <c:v>445.5</c:v>
                </c:pt>
                <c:pt idx="892">
                  <c:v>446</c:v>
                </c:pt>
                <c:pt idx="893">
                  <c:v>446.5</c:v>
                </c:pt>
                <c:pt idx="894">
                  <c:v>447</c:v>
                </c:pt>
                <c:pt idx="895">
                  <c:v>447.5</c:v>
                </c:pt>
                <c:pt idx="896">
                  <c:v>448</c:v>
                </c:pt>
                <c:pt idx="897">
                  <c:v>448.5</c:v>
                </c:pt>
                <c:pt idx="898">
                  <c:v>449</c:v>
                </c:pt>
                <c:pt idx="899">
                  <c:v>449.5</c:v>
                </c:pt>
                <c:pt idx="900">
                  <c:v>450</c:v>
                </c:pt>
                <c:pt idx="901">
                  <c:v>450.5</c:v>
                </c:pt>
                <c:pt idx="902">
                  <c:v>451</c:v>
                </c:pt>
                <c:pt idx="903">
                  <c:v>451.5</c:v>
                </c:pt>
                <c:pt idx="904">
                  <c:v>452</c:v>
                </c:pt>
                <c:pt idx="905">
                  <c:v>452.5</c:v>
                </c:pt>
                <c:pt idx="906">
                  <c:v>453</c:v>
                </c:pt>
                <c:pt idx="907">
                  <c:v>453.5</c:v>
                </c:pt>
                <c:pt idx="908">
                  <c:v>454</c:v>
                </c:pt>
                <c:pt idx="909">
                  <c:v>454.5</c:v>
                </c:pt>
                <c:pt idx="910">
                  <c:v>455</c:v>
                </c:pt>
                <c:pt idx="911">
                  <c:v>455.5</c:v>
                </c:pt>
                <c:pt idx="912">
                  <c:v>456</c:v>
                </c:pt>
                <c:pt idx="913">
                  <c:v>456.5</c:v>
                </c:pt>
                <c:pt idx="914">
                  <c:v>457</c:v>
                </c:pt>
                <c:pt idx="915">
                  <c:v>457.5</c:v>
                </c:pt>
                <c:pt idx="916">
                  <c:v>458</c:v>
                </c:pt>
                <c:pt idx="917">
                  <c:v>458.5</c:v>
                </c:pt>
                <c:pt idx="918">
                  <c:v>459</c:v>
                </c:pt>
                <c:pt idx="919">
                  <c:v>459.5</c:v>
                </c:pt>
                <c:pt idx="920">
                  <c:v>460</c:v>
                </c:pt>
                <c:pt idx="921">
                  <c:v>460.5</c:v>
                </c:pt>
                <c:pt idx="922">
                  <c:v>461</c:v>
                </c:pt>
                <c:pt idx="923">
                  <c:v>461.5</c:v>
                </c:pt>
                <c:pt idx="924">
                  <c:v>462</c:v>
                </c:pt>
                <c:pt idx="925">
                  <c:v>462.5</c:v>
                </c:pt>
                <c:pt idx="926">
                  <c:v>463</c:v>
                </c:pt>
                <c:pt idx="927">
                  <c:v>463.5</c:v>
                </c:pt>
                <c:pt idx="928">
                  <c:v>464</c:v>
                </c:pt>
                <c:pt idx="929">
                  <c:v>464.5</c:v>
                </c:pt>
                <c:pt idx="930">
                  <c:v>465</c:v>
                </c:pt>
                <c:pt idx="931">
                  <c:v>465.5</c:v>
                </c:pt>
                <c:pt idx="932">
                  <c:v>466</c:v>
                </c:pt>
                <c:pt idx="933">
                  <c:v>466.5</c:v>
                </c:pt>
                <c:pt idx="934">
                  <c:v>467</c:v>
                </c:pt>
                <c:pt idx="935">
                  <c:v>467.5</c:v>
                </c:pt>
                <c:pt idx="936">
                  <c:v>468</c:v>
                </c:pt>
                <c:pt idx="937">
                  <c:v>468.5</c:v>
                </c:pt>
                <c:pt idx="938">
                  <c:v>469</c:v>
                </c:pt>
                <c:pt idx="939">
                  <c:v>469.5</c:v>
                </c:pt>
                <c:pt idx="940">
                  <c:v>470</c:v>
                </c:pt>
                <c:pt idx="941">
                  <c:v>470.5</c:v>
                </c:pt>
                <c:pt idx="942">
                  <c:v>471</c:v>
                </c:pt>
                <c:pt idx="943">
                  <c:v>471.5</c:v>
                </c:pt>
                <c:pt idx="944">
                  <c:v>472</c:v>
                </c:pt>
                <c:pt idx="945">
                  <c:v>472.5</c:v>
                </c:pt>
                <c:pt idx="946">
                  <c:v>473</c:v>
                </c:pt>
                <c:pt idx="947">
                  <c:v>473.5</c:v>
                </c:pt>
                <c:pt idx="948">
                  <c:v>474</c:v>
                </c:pt>
                <c:pt idx="949">
                  <c:v>474.5</c:v>
                </c:pt>
                <c:pt idx="950">
                  <c:v>475</c:v>
                </c:pt>
                <c:pt idx="951">
                  <c:v>475.5</c:v>
                </c:pt>
                <c:pt idx="952">
                  <c:v>476</c:v>
                </c:pt>
                <c:pt idx="953">
                  <c:v>476.5</c:v>
                </c:pt>
                <c:pt idx="954">
                  <c:v>477</c:v>
                </c:pt>
                <c:pt idx="955">
                  <c:v>477.5</c:v>
                </c:pt>
                <c:pt idx="956">
                  <c:v>478</c:v>
                </c:pt>
                <c:pt idx="957">
                  <c:v>478.5</c:v>
                </c:pt>
                <c:pt idx="958">
                  <c:v>479</c:v>
                </c:pt>
                <c:pt idx="959">
                  <c:v>479.5</c:v>
                </c:pt>
                <c:pt idx="960">
                  <c:v>480</c:v>
                </c:pt>
                <c:pt idx="961">
                  <c:v>480.5</c:v>
                </c:pt>
                <c:pt idx="962">
                  <c:v>481</c:v>
                </c:pt>
                <c:pt idx="963">
                  <c:v>481.5</c:v>
                </c:pt>
                <c:pt idx="964">
                  <c:v>482</c:v>
                </c:pt>
                <c:pt idx="965">
                  <c:v>482.5</c:v>
                </c:pt>
                <c:pt idx="966">
                  <c:v>483</c:v>
                </c:pt>
                <c:pt idx="967">
                  <c:v>483.5</c:v>
                </c:pt>
                <c:pt idx="968">
                  <c:v>484</c:v>
                </c:pt>
                <c:pt idx="969">
                  <c:v>484.5</c:v>
                </c:pt>
                <c:pt idx="970">
                  <c:v>485</c:v>
                </c:pt>
                <c:pt idx="971">
                  <c:v>485.5</c:v>
                </c:pt>
                <c:pt idx="972">
                  <c:v>486</c:v>
                </c:pt>
                <c:pt idx="973">
                  <c:v>486.5</c:v>
                </c:pt>
                <c:pt idx="974">
                  <c:v>487</c:v>
                </c:pt>
                <c:pt idx="975">
                  <c:v>487.5</c:v>
                </c:pt>
                <c:pt idx="976">
                  <c:v>488</c:v>
                </c:pt>
                <c:pt idx="977">
                  <c:v>488.5</c:v>
                </c:pt>
                <c:pt idx="978">
                  <c:v>489</c:v>
                </c:pt>
                <c:pt idx="979">
                  <c:v>489.5</c:v>
                </c:pt>
                <c:pt idx="980">
                  <c:v>490</c:v>
                </c:pt>
                <c:pt idx="981">
                  <c:v>490.5</c:v>
                </c:pt>
                <c:pt idx="982">
                  <c:v>491</c:v>
                </c:pt>
                <c:pt idx="983">
                  <c:v>491.5</c:v>
                </c:pt>
                <c:pt idx="984">
                  <c:v>492</c:v>
                </c:pt>
                <c:pt idx="985">
                  <c:v>492.5</c:v>
                </c:pt>
                <c:pt idx="986">
                  <c:v>493</c:v>
                </c:pt>
                <c:pt idx="987">
                  <c:v>493.5</c:v>
                </c:pt>
                <c:pt idx="988">
                  <c:v>494</c:v>
                </c:pt>
                <c:pt idx="989">
                  <c:v>494.5</c:v>
                </c:pt>
                <c:pt idx="990">
                  <c:v>495</c:v>
                </c:pt>
                <c:pt idx="991">
                  <c:v>495.5</c:v>
                </c:pt>
                <c:pt idx="992">
                  <c:v>496</c:v>
                </c:pt>
                <c:pt idx="993">
                  <c:v>496.5</c:v>
                </c:pt>
                <c:pt idx="994">
                  <c:v>497</c:v>
                </c:pt>
                <c:pt idx="995">
                  <c:v>497.5</c:v>
                </c:pt>
                <c:pt idx="996">
                  <c:v>498</c:v>
                </c:pt>
                <c:pt idx="997">
                  <c:v>498.5</c:v>
                </c:pt>
              </c:numCache>
            </c:numRef>
          </c:xVal>
          <c:yVal>
            <c:numRef>
              <c:f>Input!$N$3:$N$1000</c:f>
              <c:numCache>
                <c:formatCode>General</c:formatCode>
                <c:ptCount val="998"/>
                <c:pt idx="0">
                  <c:v>12.849464416503906</c:v>
                </c:pt>
                <c:pt idx="1">
                  <c:v>13.399208068847656</c:v>
                </c:pt>
                <c:pt idx="2">
                  <c:v>14.249087333679199</c:v>
                </c:pt>
                <c:pt idx="3">
                  <c:v>14.5970458984375</c:v>
                </c:pt>
                <c:pt idx="4">
                  <c:v>15.058060646057129</c:v>
                </c:pt>
                <c:pt idx="5">
                  <c:v>15.426405906677246</c:v>
                </c:pt>
                <c:pt idx="6">
                  <c:v>15.697866439819336</c:v>
                </c:pt>
                <c:pt idx="7">
                  <c:v>15.890993118286133</c:v>
                </c:pt>
                <c:pt idx="8">
                  <c:v>15.957802772521973</c:v>
                </c:pt>
                <c:pt idx="9">
                  <c:v>15.984580993652344</c:v>
                </c:pt>
                <c:pt idx="10">
                  <c:v>15.92387580871582</c:v>
                </c:pt>
                <c:pt idx="11">
                  <c:v>15.698515892028809</c:v>
                </c:pt>
                <c:pt idx="12">
                  <c:v>15.56025505065918</c:v>
                </c:pt>
                <c:pt idx="13">
                  <c:v>15.109652519226074</c:v>
                </c:pt>
                <c:pt idx="14">
                  <c:v>14.993460655212402</c:v>
                </c:pt>
                <c:pt idx="15">
                  <c:v>14.931674003601074</c:v>
                </c:pt>
                <c:pt idx="16">
                  <c:v>14.58556079864502</c:v>
                </c:pt>
                <c:pt idx="17">
                  <c:v>14.288419723510742</c:v>
                </c:pt>
                <c:pt idx="18">
                  <c:v>14.13774299621582</c:v>
                </c:pt>
                <c:pt idx="19">
                  <c:v>13.698593139648438</c:v>
                </c:pt>
                <c:pt idx="20">
                  <c:v>13.485997200012207</c:v>
                </c:pt>
                <c:pt idx="21">
                  <c:v>13.301613807678223</c:v>
                </c:pt>
                <c:pt idx="22">
                  <c:v>13.089649200439453</c:v>
                </c:pt>
                <c:pt idx="23">
                  <c:v>12.879589080810547</c:v>
                </c:pt>
                <c:pt idx="24">
                  <c:v>12.751883506774902</c:v>
                </c:pt>
                <c:pt idx="25">
                  <c:v>12.586318969726563</c:v>
                </c:pt>
                <c:pt idx="26">
                  <c:v>12.397402763366699</c:v>
                </c:pt>
                <c:pt idx="27">
                  <c:v>12.209449768066406</c:v>
                </c:pt>
                <c:pt idx="28">
                  <c:v>12.04436206817627</c:v>
                </c:pt>
                <c:pt idx="29">
                  <c:v>11.855575561523438</c:v>
                </c:pt>
                <c:pt idx="30">
                  <c:v>11.684235572814941</c:v>
                </c:pt>
                <c:pt idx="31">
                  <c:v>11.609211921691895</c:v>
                </c:pt>
                <c:pt idx="32">
                  <c:v>11.465049743652344</c:v>
                </c:pt>
                <c:pt idx="33">
                  <c:v>11.303685188293457</c:v>
                </c:pt>
                <c:pt idx="34">
                  <c:v>11.161404609680176</c:v>
                </c:pt>
                <c:pt idx="35">
                  <c:v>11.046112060546875</c:v>
                </c:pt>
                <c:pt idx="36">
                  <c:v>10.840056419372559</c:v>
                </c:pt>
                <c:pt idx="37">
                  <c:v>10.760747909545898</c:v>
                </c:pt>
                <c:pt idx="38">
                  <c:v>10.617008209228516</c:v>
                </c:pt>
                <c:pt idx="39">
                  <c:v>10.426244735717773</c:v>
                </c:pt>
                <c:pt idx="40">
                  <c:v>10.345733642578125</c:v>
                </c:pt>
                <c:pt idx="41">
                  <c:v>10.194258689880371</c:v>
                </c:pt>
                <c:pt idx="42">
                  <c:v>10.067391395568848</c:v>
                </c:pt>
                <c:pt idx="43">
                  <c:v>9.941676139831543</c:v>
                </c:pt>
                <c:pt idx="44">
                  <c:v>9.8486509323120117</c:v>
                </c:pt>
                <c:pt idx="45">
                  <c:v>9.7264547348022461</c:v>
                </c:pt>
                <c:pt idx="46">
                  <c:v>9.6093931198120117</c:v>
                </c:pt>
                <c:pt idx="47">
                  <c:v>9.5526304244995117</c:v>
                </c:pt>
                <c:pt idx="48">
                  <c:v>9.4087352752685547</c:v>
                </c:pt>
                <c:pt idx="49">
                  <c:v>9.3152847290039063</c:v>
                </c:pt>
                <c:pt idx="50">
                  <c:v>9.280914306640625</c:v>
                </c:pt>
                <c:pt idx="51">
                  <c:v>9.1269817352294922</c:v>
                </c:pt>
                <c:pt idx="52">
                  <c:v>9.0445728302001953</c:v>
                </c:pt>
                <c:pt idx="53">
                  <c:v>8.9731817245483398</c:v>
                </c:pt>
                <c:pt idx="54">
                  <c:v>8.8343305587768555</c:v>
                </c:pt>
                <c:pt idx="55">
                  <c:v>8.7702417373657227</c:v>
                </c:pt>
                <c:pt idx="56">
                  <c:v>8.6429319381713867</c:v>
                </c:pt>
                <c:pt idx="57">
                  <c:v>8.7158088684082031</c:v>
                </c:pt>
                <c:pt idx="58">
                  <c:v>8.657200813293457</c:v>
                </c:pt>
                <c:pt idx="59">
                  <c:v>8.5277976989746094</c:v>
                </c:pt>
                <c:pt idx="60">
                  <c:v>8.4599037170410156</c:v>
                </c:pt>
                <c:pt idx="61">
                  <c:v>8.3918437957763672</c:v>
                </c:pt>
                <c:pt idx="62">
                  <c:v>8.3356237411499023</c:v>
                </c:pt>
                <c:pt idx="63">
                  <c:v>8.2709465026855469</c:v>
                </c:pt>
                <c:pt idx="64">
                  <c:v>8.2176399230957031</c:v>
                </c:pt>
                <c:pt idx="65">
                  <c:v>8.1553258895874023</c:v>
                </c:pt>
                <c:pt idx="66">
                  <c:v>8.0867767333984375</c:v>
                </c:pt>
                <c:pt idx="67">
                  <c:v>8.0130281448364258</c:v>
                </c:pt>
                <c:pt idx="68">
                  <c:v>7.9010310173034668</c:v>
                </c:pt>
                <c:pt idx="69">
                  <c:v>7.8299427032470703</c:v>
                </c:pt>
                <c:pt idx="70">
                  <c:v>7.7756314277648926</c:v>
                </c:pt>
                <c:pt idx="71">
                  <c:v>7.6400322914123535</c:v>
                </c:pt>
                <c:pt idx="72">
                  <c:v>7.4688081741333008</c:v>
                </c:pt>
                <c:pt idx="73">
                  <c:v>7.2928156852722168</c:v>
                </c:pt>
                <c:pt idx="74">
                  <c:v>7.3322210311889648</c:v>
                </c:pt>
                <c:pt idx="75">
                  <c:v>7.2099761962890625</c:v>
                </c:pt>
                <c:pt idx="76">
                  <c:v>7.2225341796875</c:v>
                </c:pt>
                <c:pt idx="77">
                  <c:v>7.1099443435668945</c:v>
                </c:pt>
                <c:pt idx="78">
                  <c:v>7.195065975189209</c:v>
                </c:pt>
                <c:pt idx="79">
                  <c:v>7.220423698425293</c:v>
                </c:pt>
                <c:pt idx="80">
                  <c:v>7.140568733215332</c:v>
                </c:pt>
                <c:pt idx="81">
                  <c:v>7.3313922882080078</c:v>
                </c:pt>
                <c:pt idx="82">
                  <c:v>7.1852002143859863</c:v>
                </c:pt>
                <c:pt idx="83">
                  <c:v>7.2983007431030273</c:v>
                </c:pt>
                <c:pt idx="84">
                  <c:v>7.2665934562683105</c:v>
                </c:pt>
                <c:pt idx="85">
                  <c:v>7.0584473609924316</c:v>
                </c:pt>
                <c:pt idx="86">
                  <c:v>7.0282840728759766</c:v>
                </c:pt>
                <c:pt idx="87">
                  <c:v>7.064363956451416</c:v>
                </c:pt>
                <c:pt idx="88">
                  <c:v>7.098423957824707</c:v>
                </c:pt>
                <c:pt idx="89">
                  <c:v>7.0734686851501465</c:v>
                </c:pt>
                <c:pt idx="90">
                  <c:v>7.1656703948974609</c:v>
                </c:pt>
                <c:pt idx="91">
                  <c:v>6.7628345489501953</c:v>
                </c:pt>
                <c:pt idx="92">
                  <c:v>6.4307169914245605</c:v>
                </c:pt>
                <c:pt idx="93">
                  <c:v>6.4548587799072266</c:v>
                </c:pt>
                <c:pt idx="94">
                  <c:v>6.4827256202697754</c:v>
                </c:pt>
                <c:pt idx="95">
                  <c:v>6.4724664688110352</c:v>
                </c:pt>
                <c:pt idx="96">
                  <c:v>6.4282450675964355</c:v>
                </c:pt>
                <c:pt idx="97">
                  <c:v>6.2934045791625977</c:v>
                </c:pt>
                <c:pt idx="98">
                  <c:v>6.3058018684387207</c:v>
                </c:pt>
                <c:pt idx="99">
                  <c:v>6.4666919708251953</c:v>
                </c:pt>
                <c:pt idx="100">
                  <c:v>6.6469941139221191</c:v>
                </c:pt>
                <c:pt idx="101">
                  <c:v>6.5419301986694336</c:v>
                </c:pt>
                <c:pt idx="102">
                  <c:v>6.3429656028747559</c:v>
                </c:pt>
                <c:pt idx="103">
                  <c:v>6.288116455078125</c:v>
                </c:pt>
                <c:pt idx="104">
                  <c:v>6.5639896392822266</c:v>
                </c:pt>
                <c:pt idx="105">
                  <c:v>6.3207292556762695</c:v>
                </c:pt>
                <c:pt idx="106">
                  <c:v>6.3587708473205566</c:v>
                </c:pt>
                <c:pt idx="107">
                  <c:v>6.300971508026123</c:v>
                </c:pt>
                <c:pt idx="108">
                  <c:v>6.2890210151672363</c:v>
                </c:pt>
                <c:pt idx="109">
                  <c:v>6.2708110809326172</c:v>
                </c:pt>
                <c:pt idx="110">
                  <c:v>6.0797557830810547</c:v>
                </c:pt>
                <c:pt idx="111">
                  <c:v>6.1325497627258301</c:v>
                </c:pt>
                <c:pt idx="112">
                  <c:v>6.1440315246582031</c:v>
                </c:pt>
                <c:pt idx="113">
                  <c:v>5.9855766296386719</c:v>
                </c:pt>
                <c:pt idx="114">
                  <c:v>6.0167875289916992</c:v>
                </c:pt>
                <c:pt idx="115">
                  <c:v>6.0668716430664063</c:v>
                </c:pt>
                <c:pt idx="116">
                  <c:v>5.9868307113647461</c:v>
                </c:pt>
                <c:pt idx="117">
                  <c:v>5.9998645782470703</c:v>
                </c:pt>
                <c:pt idx="118">
                  <c:v>5.938511848449707</c:v>
                </c:pt>
                <c:pt idx="119">
                  <c:v>5.9382390975952148</c:v>
                </c:pt>
                <c:pt idx="120">
                  <c:v>5.9546031951904297</c:v>
                </c:pt>
                <c:pt idx="121">
                  <c:v>5.8773965835571289</c:v>
                </c:pt>
                <c:pt idx="122">
                  <c:v>5.8075852394104004</c:v>
                </c:pt>
                <c:pt idx="123">
                  <c:v>5.8320207595825195</c:v>
                </c:pt>
                <c:pt idx="124">
                  <c:v>5.8634815216064453</c:v>
                </c:pt>
                <c:pt idx="125">
                  <c:v>5.8398022651672363</c:v>
                </c:pt>
                <c:pt idx="126">
                  <c:v>5.8538823127746582</c:v>
                </c:pt>
                <c:pt idx="127">
                  <c:v>5.7710099220275879</c:v>
                </c:pt>
                <c:pt idx="128">
                  <c:v>5.7598991394042969</c:v>
                </c:pt>
                <c:pt idx="129">
                  <c:v>5.7789111137390137</c:v>
                </c:pt>
                <c:pt idx="130">
                  <c:v>5.7907776832580566</c:v>
                </c:pt>
                <c:pt idx="131">
                  <c:v>5.9326033592224121</c:v>
                </c:pt>
                <c:pt idx="132">
                  <c:v>6.0370244979858398</c:v>
                </c:pt>
                <c:pt idx="133">
                  <c:v>5.9546399116516113</c:v>
                </c:pt>
                <c:pt idx="134">
                  <c:v>5.9689164161682129</c:v>
                </c:pt>
                <c:pt idx="135">
                  <c:v>5.9479737281799316</c:v>
                </c:pt>
                <c:pt idx="136">
                  <c:v>5.9955782890319824</c:v>
                </c:pt>
                <c:pt idx="137">
                  <c:v>6.0594711303710938</c:v>
                </c:pt>
                <c:pt idx="138">
                  <c:v>6.0673460960388184</c:v>
                </c:pt>
                <c:pt idx="139">
                  <c:v>6.0791311264038086</c:v>
                </c:pt>
                <c:pt idx="140">
                  <c:v>6.0953197479248047</c:v>
                </c:pt>
                <c:pt idx="141">
                  <c:v>6.0970907211303711</c:v>
                </c:pt>
                <c:pt idx="142">
                  <c:v>6.1156883239746094</c:v>
                </c:pt>
                <c:pt idx="143">
                  <c:v>6.1087961196899414</c:v>
                </c:pt>
                <c:pt idx="144">
                  <c:v>6.1616964340209961</c:v>
                </c:pt>
                <c:pt idx="145">
                  <c:v>6.1498198509216309</c:v>
                </c:pt>
                <c:pt idx="146">
                  <c:v>6.222714900970459</c:v>
                </c:pt>
                <c:pt idx="147">
                  <c:v>6.1803913116455078</c:v>
                </c:pt>
                <c:pt idx="148">
                  <c:v>6.1134634017944336</c:v>
                </c:pt>
                <c:pt idx="149">
                  <c:v>6.0313286781311035</c:v>
                </c:pt>
                <c:pt idx="150">
                  <c:v>6.1011629104614258</c:v>
                </c:pt>
                <c:pt idx="151">
                  <c:v>6.2224335670471191</c:v>
                </c:pt>
                <c:pt idx="152">
                  <c:v>6.2658052444458008</c:v>
                </c:pt>
                <c:pt idx="153">
                  <c:v>6.0967197418212891</c:v>
                </c:pt>
                <c:pt idx="154">
                  <c:v>5.9370179176330566</c:v>
                </c:pt>
                <c:pt idx="155">
                  <c:v>5.8042731285095215</c:v>
                </c:pt>
                <c:pt idx="156">
                  <c:v>5.8967738151550293</c:v>
                </c:pt>
                <c:pt idx="157">
                  <c:v>5.9387011528015137</c:v>
                </c:pt>
                <c:pt idx="158">
                  <c:v>6.0253982543945313</c:v>
                </c:pt>
                <c:pt idx="159">
                  <c:v>5.9776096343994141</c:v>
                </c:pt>
                <c:pt idx="160">
                  <c:v>6.0022969245910645</c:v>
                </c:pt>
                <c:pt idx="161">
                  <c:v>5.917078971862793</c:v>
                </c:pt>
                <c:pt idx="162">
                  <c:v>5.9791908264160156</c:v>
                </c:pt>
                <c:pt idx="163">
                  <c:v>5.9852299690246582</c:v>
                </c:pt>
                <c:pt idx="164">
                  <c:v>5.8782525062561035</c:v>
                </c:pt>
                <c:pt idx="165">
                  <c:v>5.937708854675293</c:v>
                </c:pt>
                <c:pt idx="166">
                  <c:v>5.8529901504516602</c:v>
                </c:pt>
                <c:pt idx="167">
                  <c:v>5.9251523017883301</c:v>
                </c:pt>
                <c:pt idx="168">
                  <c:v>5.7965760231018066</c:v>
                </c:pt>
                <c:pt idx="169">
                  <c:v>5.8861451148986816</c:v>
                </c:pt>
                <c:pt idx="170">
                  <c:v>5.8911457061767578</c:v>
                </c:pt>
                <c:pt idx="171">
                  <c:v>5.9209890365600586</c:v>
                </c:pt>
                <c:pt idx="172">
                  <c:v>5.9400596618652344</c:v>
                </c:pt>
                <c:pt idx="173">
                  <c:v>5.9207911491394043</c:v>
                </c:pt>
                <c:pt idx="174">
                  <c:v>5.9075965881347656</c:v>
                </c:pt>
                <c:pt idx="175">
                  <c:v>5.9337663650512695</c:v>
                </c:pt>
                <c:pt idx="176">
                  <c:v>5.8049745559692383</c:v>
                </c:pt>
                <c:pt idx="177">
                  <c:v>5.9636111259460449</c:v>
                </c:pt>
                <c:pt idx="178">
                  <c:v>5.9324684143066406</c:v>
                </c:pt>
                <c:pt idx="179">
                  <c:v>6.0047616958618164</c:v>
                </c:pt>
                <c:pt idx="180">
                  <c:v>6.029329776763916</c:v>
                </c:pt>
                <c:pt idx="181">
                  <c:v>5.9802899360656738</c:v>
                </c:pt>
                <c:pt idx="182">
                  <c:v>6.0257229804992676</c:v>
                </c:pt>
                <c:pt idx="183">
                  <c:v>6.0983772277832031</c:v>
                </c:pt>
                <c:pt idx="184">
                  <c:v>6.0980286598205566</c:v>
                </c:pt>
                <c:pt idx="185">
                  <c:v>6.121027946472168</c:v>
                </c:pt>
                <c:pt idx="186">
                  <c:v>6.1275334358215332</c:v>
                </c:pt>
                <c:pt idx="187">
                  <c:v>6.1528444290161133</c:v>
                </c:pt>
                <c:pt idx="188">
                  <c:v>6.1096315383911133</c:v>
                </c:pt>
                <c:pt idx="189">
                  <c:v>6.1984143257141113</c:v>
                </c:pt>
                <c:pt idx="190">
                  <c:v>6.1018939018249512</c:v>
                </c:pt>
                <c:pt idx="191">
                  <c:v>6.2282981872558594</c:v>
                </c:pt>
                <c:pt idx="192">
                  <c:v>6.1891593933105469</c:v>
                </c:pt>
                <c:pt idx="193">
                  <c:v>6.2336082458496094</c:v>
                </c:pt>
                <c:pt idx="194">
                  <c:v>6.2023410797119141</c:v>
                </c:pt>
                <c:pt idx="195">
                  <c:v>6.2278733253479004</c:v>
                </c:pt>
                <c:pt idx="196">
                  <c:v>6.360074520111084</c:v>
                </c:pt>
                <c:pt idx="197">
                  <c:v>6.2153100967407227</c:v>
                </c:pt>
                <c:pt idx="198">
                  <c:v>6.1275506019592285</c:v>
                </c:pt>
                <c:pt idx="199">
                  <c:v>6.0356473922729492</c:v>
                </c:pt>
                <c:pt idx="200">
                  <c:v>6.0724730491638184</c:v>
                </c:pt>
                <c:pt idx="201">
                  <c:v>6.0503988265991211</c:v>
                </c:pt>
                <c:pt idx="202">
                  <c:v>6.0943427085876465</c:v>
                </c:pt>
                <c:pt idx="203">
                  <c:v>6.0976290702819824</c:v>
                </c:pt>
                <c:pt idx="204">
                  <c:v>6.0499625205993652</c:v>
                </c:pt>
                <c:pt idx="205">
                  <c:v>6.0930018424987793</c:v>
                </c:pt>
                <c:pt idx="206">
                  <c:v>6.0561962127685547</c:v>
                </c:pt>
                <c:pt idx="207">
                  <c:v>6.0182304382324219</c:v>
                </c:pt>
                <c:pt idx="208">
                  <c:v>6.0115981101989746</c:v>
                </c:pt>
                <c:pt idx="209">
                  <c:v>6.0572948455810547</c:v>
                </c:pt>
                <c:pt idx="210">
                  <c:v>6.0512475967407227</c:v>
                </c:pt>
                <c:pt idx="211">
                  <c:v>5.9893336296081543</c:v>
                </c:pt>
                <c:pt idx="212">
                  <c:v>6.0396285057067871</c:v>
                </c:pt>
                <c:pt idx="213">
                  <c:v>5.9041929244995117</c:v>
                </c:pt>
                <c:pt idx="214">
                  <c:v>6.02886962890625</c:v>
                </c:pt>
                <c:pt idx="215">
                  <c:v>6.0379505157470703</c:v>
                </c:pt>
                <c:pt idx="216">
                  <c:v>6.0130505561828613</c:v>
                </c:pt>
                <c:pt idx="217">
                  <c:v>5.953010082244873</c:v>
                </c:pt>
                <c:pt idx="218">
                  <c:v>5.8084359169006348</c:v>
                </c:pt>
                <c:pt idx="219">
                  <c:v>5.7597227096557617</c:v>
                </c:pt>
                <c:pt idx="220">
                  <c:v>5.9181427955627441</c:v>
                </c:pt>
                <c:pt idx="221">
                  <c:v>6.2821211814880371</c:v>
                </c:pt>
                <c:pt idx="222">
                  <c:v>6.2514715194702148</c:v>
                </c:pt>
                <c:pt idx="223">
                  <c:v>6.1619462966918945</c:v>
                </c:pt>
                <c:pt idx="224">
                  <c:v>5.9788632392883301</c:v>
                </c:pt>
                <c:pt idx="225">
                  <c:v>6.0244078636169434</c:v>
                </c:pt>
                <c:pt idx="226">
                  <c:v>6.1094837188720703</c:v>
                </c:pt>
                <c:pt idx="227">
                  <c:v>6.1646013259887695</c:v>
                </c:pt>
                <c:pt idx="228">
                  <c:v>6.204167366027832</c:v>
                </c:pt>
                <c:pt idx="229">
                  <c:v>6.1433753967285156</c:v>
                </c:pt>
                <c:pt idx="230">
                  <c:v>6.2198224067687988</c:v>
                </c:pt>
                <c:pt idx="231">
                  <c:v>6.2276229858398438</c:v>
                </c:pt>
                <c:pt idx="232">
                  <c:v>6.2334742546081543</c:v>
                </c:pt>
                <c:pt idx="233">
                  <c:v>6.2560653686523438</c:v>
                </c:pt>
                <c:pt idx="234">
                  <c:v>6.3024845123291016</c:v>
                </c:pt>
                <c:pt idx="235">
                  <c:v>6.3205776214599609</c:v>
                </c:pt>
                <c:pt idx="236">
                  <c:v>6.2832937240600586</c:v>
                </c:pt>
                <c:pt idx="237">
                  <c:v>6.2557492256164551</c:v>
                </c:pt>
                <c:pt idx="238">
                  <c:v>6.3966622352600098</c:v>
                </c:pt>
                <c:pt idx="239">
                  <c:v>6.5472259521484375</c:v>
                </c:pt>
                <c:pt idx="240">
                  <c:v>6.4424505233764648</c:v>
                </c:pt>
                <c:pt idx="241">
                  <c:v>6.2259249687194824</c:v>
                </c:pt>
                <c:pt idx="242">
                  <c:v>6.1529350280761719</c:v>
                </c:pt>
                <c:pt idx="243">
                  <c:v>6.0973129272460938</c:v>
                </c:pt>
                <c:pt idx="244">
                  <c:v>6.1629438400268555</c:v>
                </c:pt>
                <c:pt idx="245">
                  <c:v>6.2251405715942383</c:v>
                </c:pt>
                <c:pt idx="246">
                  <c:v>6.1785473823547363</c:v>
                </c:pt>
                <c:pt idx="247">
                  <c:v>6.1168866157531738</c:v>
                </c:pt>
                <c:pt idx="248">
                  <c:v>6.1547961235046387</c:v>
                </c:pt>
                <c:pt idx="249">
                  <c:v>6.2067980766296387</c:v>
                </c:pt>
                <c:pt idx="250">
                  <c:v>6.1793746948242188</c:v>
                </c:pt>
                <c:pt idx="251">
                  <c:v>6.1863393783569336</c:v>
                </c:pt>
                <c:pt idx="252">
                  <c:v>6.152350902557373</c:v>
                </c:pt>
                <c:pt idx="253">
                  <c:v>6.1199870109558105</c:v>
                </c:pt>
                <c:pt idx="254">
                  <c:v>6.1522712707519531</c:v>
                </c:pt>
                <c:pt idx="255">
                  <c:v>6.1177530288696289</c:v>
                </c:pt>
                <c:pt idx="256">
                  <c:v>6.1149506568908691</c:v>
                </c:pt>
                <c:pt idx="257">
                  <c:v>6.0674209594726563</c:v>
                </c:pt>
                <c:pt idx="258">
                  <c:v>6.0522298812866211</c:v>
                </c:pt>
                <c:pt idx="259">
                  <c:v>6.0784873962402344</c:v>
                </c:pt>
                <c:pt idx="260">
                  <c:v>6.0354652404785156</c:v>
                </c:pt>
                <c:pt idx="261">
                  <c:v>6.0472674369812012</c:v>
                </c:pt>
                <c:pt idx="262">
                  <c:v>5.9714770317077637</c:v>
                </c:pt>
                <c:pt idx="263">
                  <c:v>5.9750313758850098</c:v>
                </c:pt>
                <c:pt idx="264">
                  <c:v>5.9005084037780762</c:v>
                </c:pt>
                <c:pt idx="265">
                  <c:v>5.9309978485107422</c:v>
                </c:pt>
                <c:pt idx="266">
                  <c:v>6.0482034683227539</c:v>
                </c:pt>
                <c:pt idx="267">
                  <c:v>6.3311209678649902</c:v>
                </c:pt>
                <c:pt idx="268">
                  <c:v>6.332878589630127</c:v>
                </c:pt>
                <c:pt idx="269">
                  <c:v>6.2190117835998535</c:v>
                </c:pt>
                <c:pt idx="270">
                  <c:v>6.1534295082092285</c:v>
                </c:pt>
                <c:pt idx="271">
                  <c:v>6.1850056648254395</c:v>
                </c:pt>
                <c:pt idx="272">
                  <c:v>6.2407779693603516</c:v>
                </c:pt>
                <c:pt idx="273">
                  <c:v>6.2316722869873047</c:v>
                </c:pt>
                <c:pt idx="274">
                  <c:v>6.2706618309020996</c:v>
                </c:pt>
                <c:pt idx="275">
                  <c:v>6.3320183753967285</c:v>
                </c:pt>
                <c:pt idx="276">
                  <c:v>6.2615566253662109</c:v>
                </c:pt>
                <c:pt idx="277">
                  <c:v>6.3463830947875977</c:v>
                </c:pt>
                <c:pt idx="278">
                  <c:v>6.340752124786377</c:v>
                </c:pt>
                <c:pt idx="279">
                  <c:v>6.5632877349853516</c:v>
                </c:pt>
                <c:pt idx="280">
                  <c:v>6.581080436706543</c:v>
                </c:pt>
                <c:pt idx="281">
                  <c:v>6.386749267578125</c:v>
                </c:pt>
                <c:pt idx="282">
                  <c:v>6.2786159515380859</c:v>
                </c:pt>
                <c:pt idx="283">
                  <c:v>6.2090053558349609</c:v>
                </c:pt>
                <c:pt idx="284">
                  <c:v>6.2279791831970215</c:v>
                </c:pt>
                <c:pt idx="285">
                  <c:v>6.3716568946838379</c:v>
                </c:pt>
                <c:pt idx="286">
                  <c:v>6.45281982421875</c:v>
                </c:pt>
                <c:pt idx="287">
                  <c:v>6.4046163558959961</c:v>
                </c:pt>
                <c:pt idx="288">
                  <c:v>6.4027700424194336</c:v>
                </c:pt>
                <c:pt idx="289">
                  <c:v>6.1902980804443359</c:v>
                </c:pt>
                <c:pt idx="290">
                  <c:v>6.2800135612487793</c:v>
                </c:pt>
                <c:pt idx="291">
                  <c:v>6.2515401840209961</c:v>
                </c:pt>
                <c:pt idx="292">
                  <c:v>6.2794289588928223</c:v>
                </c:pt>
                <c:pt idx="293">
                  <c:v>6.3165616989135742</c:v>
                </c:pt>
                <c:pt idx="294">
                  <c:v>6.2546377182006836</c:v>
                </c:pt>
                <c:pt idx="295">
                  <c:v>6.2343878746032715</c:v>
                </c:pt>
                <c:pt idx="296">
                  <c:v>6.2360391616821289</c:v>
                </c:pt>
                <c:pt idx="297">
                  <c:v>6.2521829605102539</c:v>
                </c:pt>
                <c:pt idx="298">
                  <c:v>6.2315001487731934</c:v>
                </c:pt>
                <c:pt idx="299">
                  <c:v>6.2193999290466309</c:v>
                </c:pt>
                <c:pt idx="300">
                  <c:v>6.1648788452148438</c:v>
                </c:pt>
                <c:pt idx="301">
                  <c:v>6.1830072402954102</c:v>
                </c:pt>
                <c:pt idx="302">
                  <c:v>6.238861083984375</c:v>
                </c:pt>
                <c:pt idx="303">
                  <c:v>6.1978273391723633</c:v>
                </c:pt>
                <c:pt idx="304">
                  <c:v>6.1174535751342773</c:v>
                </c:pt>
                <c:pt idx="305">
                  <c:v>6.0865349769592285</c:v>
                </c:pt>
                <c:pt idx="306">
                  <c:v>6.0373773574829102</c:v>
                </c:pt>
                <c:pt idx="307">
                  <c:v>6.1991977691650391</c:v>
                </c:pt>
                <c:pt idx="308">
                  <c:v>6.178645133972168</c:v>
                </c:pt>
                <c:pt idx="309">
                  <c:v>6.1696457862854004</c:v>
                </c:pt>
                <c:pt idx="310">
                  <c:v>6.1026902198791504</c:v>
                </c:pt>
                <c:pt idx="311">
                  <c:v>6.183018684387207</c:v>
                </c:pt>
                <c:pt idx="312">
                  <c:v>6.1811137199401855</c:v>
                </c:pt>
                <c:pt idx="313">
                  <c:v>6.1663532257080078</c:v>
                </c:pt>
                <c:pt idx="314">
                  <c:v>6.1511664390563965</c:v>
                </c:pt>
                <c:pt idx="315">
                  <c:v>6.2415308952331543</c:v>
                </c:pt>
                <c:pt idx="316">
                  <c:v>6.1964907646179199</c:v>
                </c:pt>
                <c:pt idx="317">
                  <c:v>6.2689995765686035</c:v>
                </c:pt>
                <c:pt idx="318">
                  <c:v>6.3280344009399414</c:v>
                </c:pt>
                <c:pt idx="319">
                  <c:v>6.3081860542297363</c:v>
                </c:pt>
                <c:pt idx="320">
                  <c:v>6.3319091796875</c:v>
                </c:pt>
                <c:pt idx="321">
                  <c:v>6.3711185455322266</c:v>
                </c:pt>
                <c:pt idx="322">
                  <c:v>6.383387565612793</c:v>
                </c:pt>
                <c:pt idx="323">
                  <c:v>6.4413180351257324</c:v>
                </c:pt>
                <c:pt idx="324">
                  <c:v>6.4427323341369629</c:v>
                </c:pt>
                <c:pt idx="325">
                  <c:v>6.5019502639770508</c:v>
                </c:pt>
                <c:pt idx="326">
                  <c:v>6.4034223556518555</c:v>
                </c:pt>
                <c:pt idx="327">
                  <c:v>6.3890771865844727</c:v>
                </c:pt>
                <c:pt idx="328">
                  <c:v>6.2747740745544434</c:v>
                </c:pt>
                <c:pt idx="329">
                  <c:v>6.3013620376586914</c:v>
                </c:pt>
                <c:pt idx="330">
                  <c:v>6.3154807090759277</c:v>
                </c:pt>
                <c:pt idx="331">
                  <c:v>6.389075756072998</c:v>
                </c:pt>
                <c:pt idx="332">
                  <c:v>6.4252967834472656</c:v>
                </c:pt>
                <c:pt idx="333">
                  <c:v>6.3725185394287109</c:v>
                </c:pt>
                <c:pt idx="334">
                  <c:v>6.4319362640380859</c:v>
                </c:pt>
                <c:pt idx="335">
                  <c:v>6.3975944519042969</c:v>
                </c:pt>
                <c:pt idx="336">
                  <c:v>6.2913565635681152</c:v>
                </c:pt>
                <c:pt idx="337">
                  <c:v>6.3104152679443359</c:v>
                </c:pt>
                <c:pt idx="338">
                  <c:v>6.2899818420410156</c:v>
                </c:pt>
                <c:pt idx="339">
                  <c:v>6.347266674041748</c:v>
                </c:pt>
                <c:pt idx="340">
                  <c:v>6.3014602661132813</c:v>
                </c:pt>
                <c:pt idx="341">
                  <c:v>6.2898659706115723</c:v>
                </c:pt>
                <c:pt idx="342">
                  <c:v>6.2586565017700195</c:v>
                </c:pt>
                <c:pt idx="343">
                  <c:v>6.235593318939209</c:v>
                </c:pt>
                <c:pt idx="344">
                  <c:v>6.2519888877868652</c:v>
                </c:pt>
                <c:pt idx="345">
                  <c:v>6.2249670028686523</c:v>
                </c:pt>
                <c:pt idx="346">
                  <c:v>6.2244577407836914</c:v>
                </c:pt>
                <c:pt idx="347">
                  <c:v>6.208925724029541</c:v>
                </c:pt>
                <c:pt idx="348">
                  <c:v>6.219182014465332</c:v>
                </c:pt>
                <c:pt idx="349">
                  <c:v>6.1350240707397461</c:v>
                </c:pt>
                <c:pt idx="350">
                  <c:v>6.1475982666015625</c:v>
                </c:pt>
                <c:pt idx="351">
                  <c:v>6.1726770401000977</c:v>
                </c:pt>
                <c:pt idx="352">
                  <c:v>6.178372859954834</c:v>
                </c:pt>
                <c:pt idx="353">
                  <c:v>6.2461342811584473</c:v>
                </c:pt>
                <c:pt idx="354">
                  <c:v>6.2078089714050293</c:v>
                </c:pt>
                <c:pt idx="355">
                  <c:v>6.2384262084960938</c:v>
                </c:pt>
                <c:pt idx="356">
                  <c:v>6.221916675567627</c:v>
                </c:pt>
                <c:pt idx="357">
                  <c:v>6.1771640777587891</c:v>
                </c:pt>
                <c:pt idx="358">
                  <c:v>6.2106485366821289</c:v>
                </c:pt>
                <c:pt idx="359">
                  <c:v>6.2395482063293457</c:v>
                </c:pt>
                <c:pt idx="360">
                  <c:v>6.2596235275268555</c:v>
                </c:pt>
                <c:pt idx="361">
                  <c:v>6.2076320648193359</c:v>
                </c:pt>
                <c:pt idx="362">
                  <c:v>6.3729767799377441</c:v>
                </c:pt>
                <c:pt idx="363">
                  <c:v>6.3491039276123047</c:v>
                </c:pt>
                <c:pt idx="364">
                  <c:v>6.3816900253295898</c:v>
                </c:pt>
                <c:pt idx="365">
                  <c:v>6.3563780784606934</c:v>
                </c:pt>
                <c:pt idx="366">
                  <c:v>6.4173665046691895</c:v>
                </c:pt>
                <c:pt idx="367">
                  <c:v>6.396303653717041</c:v>
                </c:pt>
                <c:pt idx="368">
                  <c:v>6.3720011711120605</c:v>
                </c:pt>
                <c:pt idx="369">
                  <c:v>6.4221096038818359</c:v>
                </c:pt>
                <c:pt idx="370">
                  <c:v>6.3456206321716309</c:v>
                </c:pt>
                <c:pt idx="371">
                  <c:v>6.3761396408081055</c:v>
                </c:pt>
                <c:pt idx="372">
                  <c:v>6.4120907783508301</c:v>
                </c:pt>
                <c:pt idx="373">
                  <c:v>6.4740524291992188</c:v>
                </c:pt>
                <c:pt idx="374">
                  <c:v>6.4021992683410645</c:v>
                </c:pt>
                <c:pt idx="375">
                  <c:v>6.3976311683654785</c:v>
                </c:pt>
                <c:pt idx="376">
                  <c:v>6.3732132911682129</c:v>
                </c:pt>
                <c:pt idx="377">
                  <c:v>6.4109902381896973</c:v>
                </c:pt>
                <c:pt idx="378">
                  <c:v>6.3831048011779785</c:v>
                </c:pt>
                <c:pt idx="379">
                  <c:v>6.3508243560791016</c:v>
                </c:pt>
                <c:pt idx="380">
                  <c:v>6.3156309127807617</c:v>
                </c:pt>
                <c:pt idx="381">
                  <c:v>6.2938590049743652</c:v>
                </c:pt>
                <c:pt idx="382">
                  <c:v>6.4077720642089844</c:v>
                </c:pt>
                <c:pt idx="383">
                  <c:v>6.3697724342346191</c:v>
                </c:pt>
                <c:pt idx="384">
                  <c:v>6.2837209701538086</c:v>
                </c:pt>
                <c:pt idx="385">
                  <c:v>6.2758502960205078</c:v>
                </c:pt>
                <c:pt idx="386">
                  <c:v>6.2452669143676758</c:v>
                </c:pt>
                <c:pt idx="387">
                  <c:v>6.256622314453125</c:v>
                </c:pt>
                <c:pt idx="388">
                  <c:v>6.2631525993347168</c:v>
                </c:pt>
                <c:pt idx="389">
                  <c:v>6.2850403785705566</c:v>
                </c:pt>
                <c:pt idx="390">
                  <c:v>6.2465376853942871</c:v>
                </c:pt>
                <c:pt idx="391">
                  <c:v>6.2470459938049316</c:v>
                </c:pt>
                <c:pt idx="392">
                  <c:v>6.2183980941772461</c:v>
                </c:pt>
                <c:pt idx="393">
                  <c:v>6.2053451538085938</c:v>
                </c:pt>
                <c:pt idx="394">
                  <c:v>6.1803531646728516</c:v>
                </c:pt>
                <c:pt idx="395">
                  <c:v>6.1409997940063477</c:v>
                </c:pt>
                <c:pt idx="396">
                  <c:v>6.1966638565063477</c:v>
                </c:pt>
                <c:pt idx="397">
                  <c:v>6.2293844223022461</c:v>
                </c:pt>
                <c:pt idx="398">
                  <c:v>6.1846003532409668</c:v>
                </c:pt>
                <c:pt idx="399">
                  <c:v>6.1791834831237793</c:v>
                </c:pt>
                <c:pt idx="400">
                  <c:v>6.0955681800842285</c:v>
                </c:pt>
                <c:pt idx="401">
                  <c:v>6.1528973579406738</c:v>
                </c:pt>
                <c:pt idx="402">
                  <c:v>6.2490839958190918</c:v>
                </c:pt>
                <c:pt idx="403">
                  <c:v>6.2202186584472656</c:v>
                </c:pt>
                <c:pt idx="404">
                  <c:v>6.2493305206298828</c:v>
                </c:pt>
                <c:pt idx="405">
                  <c:v>6.2727861404418945</c:v>
                </c:pt>
                <c:pt idx="406">
                  <c:v>6.3401889801025391</c:v>
                </c:pt>
                <c:pt idx="407">
                  <c:v>6.3460378646850586</c:v>
                </c:pt>
                <c:pt idx="408">
                  <c:v>6.3227415084838867</c:v>
                </c:pt>
                <c:pt idx="409">
                  <c:v>6.369788646697998</c:v>
                </c:pt>
                <c:pt idx="410">
                  <c:v>6.4272246360778809</c:v>
                </c:pt>
                <c:pt idx="411">
                  <c:v>6.3641877174377441</c:v>
                </c:pt>
                <c:pt idx="412">
                  <c:v>6.3959240913391113</c:v>
                </c:pt>
                <c:pt idx="413">
                  <c:v>6.4689507484436035</c:v>
                </c:pt>
                <c:pt idx="414">
                  <c:v>6.4580492973327637</c:v>
                </c:pt>
                <c:pt idx="415">
                  <c:v>6.4833869934082031</c:v>
                </c:pt>
                <c:pt idx="416">
                  <c:v>6.4200191497802734</c:v>
                </c:pt>
                <c:pt idx="417">
                  <c:v>6.4133777618408203</c:v>
                </c:pt>
                <c:pt idx="418">
                  <c:v>6.4860286712646484</c:v>
                </c:pt>
                <c:pt idx="419">
                  <c:v>6.4095406532287598</c:v>
                </c:pt>
                <c:pt idx="420">
                  <c:v>6.462440013885498</c:v>
                </c:pt>
                <c:pt idx="421">
                  <c:v>6.4480710029602051</c:v>
                </c:pt>
                <c:pt idx="422">
                  <c:v>6.5137228965759277</c:v>
                </c:pt>
                <c:pt idx="423">
                  <c:v>6.433962345123291</c:v>
                </c:pt>
                <c:pt idx="424">
                  <c:v>6.3822860717773438</c:v>
                </c:pt>
                <c:pt idx="425">
                  <c:v>6.2959275245666504</c:v>
                </c:pt>
                <c:pt idx="426">
                  <c:v>6.4452662467956543</c:v>
                </c:pt>
                <c:pt idx="427">
                  <c:v>6.383122444152832</c:v>
                </c:pt>
                <c:pt idx="428">
                  <c:v>6.3811969757080078</c:v>
                </c:pt>
                <c:pt idx="429">
                  <c:v>6.3758511543273926</c:v>
                </c:pt>
                <c:pt idx="430">
                  <c:v>6.4063496589660645</c:v>
                </c:pt>
                <c:pt idx="431">
                  <c:v>6.3846344947814941</c:v>
                </c:pt>
                <c:pt idx="432">
                  <c:v>6.2907395362854004</c:v>
                </c:pt>
                <c:pt idx="433">
                  <c:v>6.331693172454834</c:v>
                </c:pt>
                <c:pt idx="434">
                  <c:v>6.3432192802429199</c:v>
                </c:pt>
                <c:pt idx="435">
                  <c:v>6.3128781318664551</c:v>
                </c:pt>
                <c:pt idx="436">
                  <c:v>6.3057417869567871</c:v>
                </c:pt>
                <c:pt idx="437">
                  <c:v>6.2969083786010742</c:v>
                </c:pt>
                <c:pt idx="438">
                  <c:v>6.1896481513977051</c:v>
                </c:pt>
                <c:pt idx="439">
                  <c:v>6.1574687957763672</c:v>
                </c:pt>
                <c:pt idx="440">
                  <c:v>6.2935967445373535</c:v>
                </c:pt>
                <c:pt idx="441">
                  <c:v>6.1962032318115234</c:v>
                </c:pt>
                <c:pt idx="442">
                  <c:v>6.2732205390930176</c:v>
                </c:pt>
                <c:pt idx="443">
                  <c:v>6.2308168411254883</c:v>
                </c:pt>
                <c:pt idx="444">
                  <c:v>6.3301658630371094</c:v>
                </c:pt>
                <c:pt idx="445">
                  <c:v>6.3212165832519531</c:v>
                </c:pt>
                <c:pt idx="446">
                  <c:v>6.2896676063537598</c:v>
                </c:pt>
                <c:pt idx="447">
                  <c:v>6.2218036651611328</c:v>
                </c:pt>
                <c:pt idx="448">
                  <c:v>6.2026658058166504</c:v>
                </c:pt>
                <c:pt idx="449">
                  <c:v>6.2699518203735352</c:v>
                </c:pt>
                <c:pt idx="450">
                  <c:v>6.2410187721252441</c:v>
                </c:pt>
                <c:pt idx="451">
                  <c:v>6.3134751319885254</c:v>
                </c:pt>
                <c:pt idx="452">
                  <c:v>6.3082370758056641</c:v>
                </c:pt>
                <c:pt idx="453">
                  <c:v>6.4006681442260742</c:v>
                </c:pt>
                <c:pt idx="454">
                  <c:v>6.4045195579528809</c:v>
                </c:pt>
                <c:pt idx="455">
                  <c:v>6.4473199844360352</c:v>
                </c:pt>
                <c:pt idx="456">
                  <c:v>6.5891890525817871</c:v>
                </c:pt>
                <c:pt idx="457">
                  <c:v>6.4834790229797363</c:v>
                </c:pt>
                <c:pt idx="458">
                  <c:v>6.4874649047851563</c:v>
                </c:pt>
                <c:pt idx="459">
                  <c:v>6.4819197654724121</c:v>
                </c:pt>
                <c:pt idx="460">
                  <c:v>6.4723443984985352</c:v>
                </c:pt>
                <c:pt idx="461">
                  <c:v>6.5025510787963867</c:v>
                </c:pt>
                <c:pt idx="462">
                  <c:v>6.5005974769592285</c:v>
                </c:pt>
                <c:pt idx="463">
                  <c:v>6.4632987976074219</c:v>
                </c:pt>
                <c:pt idx="464">
                  <c:v>6.561617374420166</c:v>
                </c:pt>
                <c:pt idx="465">
                  <c:v>6.5259537696838379</c:v>
                </c:pt>
                <c:pt idx="466">
                  <c:v>6.4360904693603516</c:v>
                </c:pt>
                <c:pt idx="467">
                  <c:v>6.468867301940918</c:v>
                </c:pt>
                <c:pt idx="468">
                  <c:v>6.4280643463134766</c:v>
                </c:pt>
                <c:pt idx="469">
                  <c:v>6.4497647285461426</c:v>
                </c:pt>
                <c:pt idx="470">
                  <c:v>6.4931020736694336</c:v>
                </c:pt>
                <c:pt idx="471">
                  <c:v>6.4059238433837891</c:v>
                </c:pt>
                <c:pt idx="472">
                  <c:v>6.3474249839782715</c:v>
                </c:pt>
                <c:pt idx="473">
                  <c:v>6.1958727836608887</c:v>
                </c:pt>
                <c:pt idx="474">
                  <c:v>6.1703782081604004</c:v>
                </c:pt>
                <c:pt idx="475">
                  <c:v>6.176264762878418</c:v>
                </c:pt>
                <c:pt idx="476">
                  <c:v>6.2424221038818359</c:v>
                </c:pt>
                <c:pt idx="477">
                  <c:v>6.3367376327514648</c:v>
                </c:pt>
                <c:pt idx="478">
                  <c:v>6.3376326560974121</c:v>
                </c:pt>
                <c:pt idx="479">
                  <c:v>6.3254952430725098</c:v>
                </c:pt>
                <c:pt idx="480">
                  <c:v>6.3497095108032227</c:v>
                </c:pt>
                <c:pt idx="481">
                  <c:v>6.2475156784057617</c:v>
                </c:pt>
                <c:pt idx="482">
                  <c:v>6.2156314849853516</c:v>
                </c:pt>
                <c:pt idx="483">
                  <c:v>6.2300782203674316</c:v>
                </c:pt>
                <c:pt idx="484">
                  <c:v>6.2341618537902832</c:v>
                </c:pt>
                <c:pt idx="485">
                  <c:v>6.228065013885498</c:v>
                </c:pt>
                <c:pt idx="486">
                  <c:v>6.2973475456237793</c:v>
                </c:pt>
                <c:pt idx="487">
                  <c:v>6.1615686416625977</c:v>
                </c:pt>
                <c:pt idx="488">
                  <c:v>6.0755696296691895</c:v>
                </c:pt>
                <c:pt idx="489">
                  <c:v>6.0524282455444336</c:v>
                </c:pt>
                <c:pt idx="490">
                  <c:v>6.2443842887878418</c:v>
                </c:pt>
                <c:pt idx="491">
                  <c:v>6.2373852729797363</c:v>
                </c:pt>
                <c:pt idx="492">
                  <c:v>6.4431157112121582</c:v>
                </c:pt>
                <c:pt idx="493">
                  <c:v>6.3326239585876465</c:v>
                </c:pt>
                <c:pt idx="494">
                  <c:v>6.2481446266174316</c:v>
                </c:pt>
                <c:pt idx="495">
                  <c:v>6.3066792488098145</c:v>
                </c:pt>
                <c:pt idx="496">
                  <c:v>6.3021478652954102</c:v>
                </c:pt>
                <c:pt idx="497">
                  <c:v>6.2365021705627441</c:v>
                </c:pt>
                <c:pt idx="498">
                  <c:v>6.3522639274597168</c:v>
                </c:pt>
                <c:pt idx="499">
                  <c:v>6.3347725868225098</c:v>
                </c:pt>
                <c:pt idx="500">
                  <c:v>6.3847994804382324</c:v>
                </c:pt>
                <c:pt idx="501">
                  <c:v>6.4308576583862305</c:v>
                </c:pt>
                <c:pt idx="502">
                  <c:v>6.5413875579833984</c:v>
                </c:pt>
                <c:pt idx="503">
                  <c:v>6.4687871932983398</c:v>
                </c:pt>
                <c:pt idx="504">
                  <c:v>6.4928808212280273</c:v>
                </c:pt>
                <c:pt idx="505">
                  <c:v>6.5820956230163574</c:v>
                </c:pt>
                <c:pt idx="506">
                  <c:v>6.5558156967163086</c:v>
                </c:pt>
                <c:pt idx="507">
                  <c:v>6.5185551643371582</c:v>
                </c:pt>
                <c:pt idx="508">
                  <c:v>6.5389885902404785</c:v>
                </c:pt>
                <c:pt idx="509">
                  <c:v>6.5243191719055176</c:v>
                </c:pt>
                <c:pt idx="510">
                  <c:v>6.4483146667480469</c:v>
                </c:pt>
                <c:pt idx="511">
                  <c:v>6.551112174987793</c:v>
                </c:pt>
                <c:pt idx="512">
                  <c:v>6.5831437110900879</c:v>
                </c:pt>
                <c:pt idx="513">
                  <c:v>6.551544189453125</c:v>
                </c:pt>
                <c:pt idx="514">
                  <c:v>6.465792179107666</c:v>
                </c:pt>
                <c:pt idx="515">
                  <c:v>6.3881525993347168</c:v>
                </c:pt>
                <c:pt idx="516">
                  <c:v>6.4122743606567383</c:v>
                </c:pt>
                <c:pt idx="517">
                  <c:v>6.440605640411377</c:v>
                </c:pt>
                <c:pt idx="518">
                  <c:v>6.4414553642272949</c:v>
                </c:pt>
                <c:pt idx="519">
                  <c:v>6.4710969924926758</c:v>
                </c:pt>
                <c:pt idx="520">
                  <c:v>6.4798803329467773</c:v>
                </c:pt>
                <c:pt idx="521">
                  <c:v>6.4546799659729004</c:v>
                </c:pt>
                <c:pt idx="522">
                  <c:v>6.3735942840576172</c:v>
                </c:pt>
                <c:pt idx="523">
                  <c:v>6.4189839363098145</c:v>
                </c:pt>
                <c:pt idx="524">
                  <c:v>6.3967065811157227</c:v>
                </c:pt>
                <c:pt idx="525">
                  <c:v>6.4363889694213867</c:v>
                </c:pt>
                <c:pt idx="526">
                  <c:v>6.3755545616149902</c:v>
                </c:pt>
                <c:pt idx="527">
                  <c:v>6.2869863510131836</c:v>
                </c:pt>
                <c:pt idx="528">
                  <c:v>6.3757729530334473</c:v>
                </c:pt>
                <c:pt idx="529">
                  <c:v>6.4136996269226074</c:v>
                </c:pt>
                <c:pt idx="530">
                  <c:v>6.3620004653930664</c:v>
                </c:pt>
                <c:pt idx="531">
                  <c:v>6.3820652961730957</c:v>
                </c:pt>
                <c:pt idx="532">
                  <c:v>6.2771973609924316</c:v>
                </c:pt>
                <c:pt idx="533">
                  <c:v>6.2770147323608398</c:v>
                </c:pt>
                <c:pt idx="534">
                  <c:v>6.3615970611572266</c:v>
                </c:pt>
                <c:pt idx="535">
                  <c:v>6.3094816207885742</c:v>
                </c:pt>
                <c:pt idx="536">
                  <c:v>6.4068365097045898</c:v>
                </c:pt>
                <c:pt idx="537">
                  <c:v>6.4511079788208008</c:v>
                </c:pt>
                <c:pt idx="538">
                  <c:v>6.4157195091247559</c:v>
                </c:pt>
                <c:pt idx="539">
                  <c:v>6.5134210586547852</c:v>
                </c:pt>
                <c:pt idx="540">
                  <c:v>6.4201221466064453</c:v>
                </c:pt>
                <c:pt idx="541">
                  <c:v>6.4775481224060059</c:v>
                </c:pt>
                <c:pt idx="542">
                  <c:v>6.3727078437805176</c:v>
                </c:pt>
                <c:pt idx="543">
                  <c:v>6.4427027702331543</c:v>
                </c:pt>
                <c:pt idx="544">
                  <c:v>6.4177703857421875</c:v>
                </c:pt>
                <c:pt idx="545">
                  <c:v>6.5157380104064941</c:v>
                </c:pt>
                <c:pt idx="546">
                  <c:v>6.5480184555053711</c:v>
                </c:pt>
                <c:pt idx="547">
                  <c:v>6.5728621482849121</c:v>
                </c:pt>
                <c:pt idx="548">
                  <c:v>6.6065688133239746</c:v>
                </c:pt>
                <c:pt idx="549">
                  <c:v>6.6006841659545898</c:v>
                </c:pt>
                <c:pt idx="550">
                  <c:v>6.5921120643615723</c:v>
                </c:pt>
                <c:pt idx="551">
                  <c:v>6.6111640930175781</c:v>
                </c:pt>
                <c:pt idx="552">
                  <c:v>6.6196446418762207</c:v>
                </c:pt>
                <c:pt idx="553">
                  <c:v>6.5782041549682617</c:v>
                </c:pt>
                <c:pt idx="554">
                  <c:v>6.7166619300842285</c:v>
                </c:pt>
                <c:pt idx="555">
                  <c:v>6.6765785217285156</c:v>
                </c:pt>
                <c:pt idx="556">
                  <c:v>6.5538759231567383</c:v>
                </c:pt>
                <c:pt idx="557">
                  <c:v>6.5666580200195313</c:v>
                </c:pt>
                <c:pt idx="558">
                  <c:v>6.7687339782714844</c:v>
                </c:pt>
                <c:pt idx="559">
                  <c:v>6.7618069648742676</c:v>
                </c:pt>
                <c:pt idx="560">
                  <c:v>6.6439399719238281</c:v>
                </c:pt>
                <c:pt idx="561">
                  <c:v>6.5991907119750977</c:v>
                </c:pt>
                <c:pt idx="562">
                  <c:v>6.5770754814147949</c:v>
                </c:pt>
                <c:pt idx="563">
                  <c:v>6.6023745536804199</c:v>
                </c:pt>
                <c:pt idx="564">
                  <c:v>6.5636687278747559</c:v>
                </c:pt>
                <c:pt idx="565">
                  <c:v>6.6120238304138184</c:v>
                </c:pt>
                <c:pt idx="566">
                  <c:v>6.5346450805664063</c:v>
                </c:pt>
                <c:pt idx="567">
                  <c:v>6.495582103729248</c:v>
                </c:pt>
                <c:pt idx="568">
                  <c:v>6.5680403709411621</c:v>
                </c:pt>
                <c:pt idx="569">
                  <c:v>6.5878515243530273</c:v>
                </c:pt>
                <c:pt idx="570">
                  <c:v>6.5295267105102539</c:v>
                </c:pt>
                <c:pt idx="571">
                  <c:v>6.5548367500305176</c:v>
                </c:pt>
                <c:pt idx="572">
                  <c:v>6.5310497283935547</c:v>
                </c:pt>
                <c:pt idx="573">
                  <c:v>6.5368533134460449</c:v>
                </c:pt>
                <c:pt idx="574">
                  <c:v>6.5548233985900879</c:v>
                </c:pt>
                <c:pt idx="575">
                  <c:v>6.5683803558349609</c:v>
                </c:pt>
                <c:pt idx="576">
                  <c:v>6.393061637878418</c:v>
                </c:pt>
                <c:pt idx="577">
                  <c:v>6.5226039886474609</c:v>
                </c:pt>
                <c:pt idx="578">
                  <c:v>6.5085816383361816</c:v>
                </c:pt>
                <c:pt idx="579">
                  <c:v>6.5724072456359863</c:v>
                </c:pt>
                <c:pt idx="580">
                  <c:v>6.4842920303344727</c:v>
                </c:pt>
                <c:pt idx="581">
                  <c:v>6.5943727493286133</c:v>
                </c:pt>
                <c:pt idx="582">
                  <c:v>6.6606411933898926</c:v>
                </c:pt>
                <c:pt idx="583">
                  <c:v>6.6055359840393066</c:v>
                </c:pt>
                <c:pt idx="584">
                  <c:v>6.5223674774169922</c:v>
                </c:pt>
                <c:pt idx="585">
                  <c:v>6.5435028076171875</c:v>
                </c:pt>
                <c:pt idx="586">
                  <c:v>6.5189986228942871</c:v>
                </c:pt>
                <c:pt idx="587">
                  <c:v>6.6217727661132813</c:v>
                </c:pt>
                <c:pt idx="588">
                  <c:v>6.6921653747558594</c:v>
                </c:pt>
                <c:pt idx="589">
                  <c:v>6.7614293098449707</c:v>
                </c:pt>
                <c:pt idx="590">
                  <c:v>6.7853636741638184</c:v>
                </c:pt>
                <c:pt idx="591">
                  <c:v>6.7824392318725586</c:v>
                </c:pt>
                <c:pt idx="592">
                  <c:v>6.8072037696838379</c:v>
                </c:pt>
                <c:pt idx="593">
                  <c:v>6.8193178176879883</c:v>
                </c:pt>
                <c:pt idx="594">
                  <c:v>6.8349113464355469</c:v>
                </c:pt>
                <c:pt idx="595">
                  <c:v>6.888831615447998</c:v>
                </c:pt>
                <c:pt idx="596">
                  <c:v>6.8526039123535156</c:v>
                </c:pt>
                <c:pt idx="597">
                  <c:v>6.9330630302429199</c:v>
                </c:pt>
                <c:pt idx="598">
                  <c:v>6.9329738616943359</c:v>
                </c:pt>
                <c:pt idx="599">
                  <c:v>6.8899531364440918</c:v>
                </c:pt>
                <c:pt idx="600">
                  <c:v>6.9951262474060059</c:v>
                </c:pt>
                <c:pt idx="601">
                  <c:v>7.138279914855957</c:v>
                </c:pt>
                <c:pt idx="602">
                  <c:v>6.9889421463012695</c:v>
                </c:pt>
                <c:pt idx="603">
                  <c:v>6.8047451972961426</c:v>
                </c:pt>
                <c:pt idx="604">
                  <c:v>6.7180562019348145</c:v>
                </c:pt>
                <c:pt idx="605">
                  <c:v>6.7970991134643555</c:v>
                </c:pt>
                <c:pt idx="606">
                  <c:v>6.9447555541992188</c:v>
                </c:pt>
                <c:pt idx="607">
                  <c:v>6.9375505447387695</c:v>
                </c:pt>
                <c:pt idx="608">
                  <c:v>6.9703230857849121</c:v>
                </c:pt>
                <c:pt idx="609">
                  <c:v>6.9832077026367188</c:v>
                </c:pt>
                <c:pt idx="610">
                  <c:v>6.9433555603027344</c:v>
                </c:pt>
                <c:pt idx="611">
                  <c:v>6.7822732925415039</c:v>
                </c:pt>
                <c:pt idx="612">
                  <c:v>6.7931423187255859</c:v>
                </c:pt>
                <c:pt idx="613">
                  <c:v>6.6486606597900391</c:v>
                </c:pt>
                <c:pt idx="614">
                  <c:v>6.8022994995117188</c:v>
                </c:pt>
                <c:pt idx="615">
                  <c:v>6.8498306274414063</c:v>
                </c:pt>
                <c:pt idx="616">
                  <c:v>6.8409872055053711</c:v>
                </c:pt>
                <c:pt idx="617">
                  <c:v>6.7835817337036133</c:v>
                </c:pt>
                <c:pt idx="618">
                  <c:v>6.683474063873291</c:v>
                </c:pt>
                <c:pt idx="619">
                  <c:v>6.803800106048584</c:v>
                </c:pt>
                <c:pt idx="620">
                  <c:v>6.9016542434692383</c:v>
                </c:pt>
                <c:pt idx="621">
                  <c:v>6.9575257301330566</c:v>
                </c:pt>
                <c:pt idx="622">
                  <c:v>6.9304852485656738</c:v>
                </c:pt>
                <c:pt idx="623">
                  <c:v>6.9048018455505371</c:v>
                </c:pt>
                <c:pt idx="624">
                  <c:v>6.9002103805541992</c:v>
                </c:pt>
                <c:pt idx="625">
                  <c:v>6.9341959953308105</c:v>
                </c:pt>
                <c:pt idx="626">
                  <c:v>6.7891550064086914</c:v>
                </c:pt>
                <c:pt idx="627">
                  <c:v>6.7323040962219238</c:v>
                </c:pt>
                <c:pt idx="628">
                  <c:v>6.839383602142334</c:v>
                </c:pt>
                <c:pt idx="629">
                  <c:v>7.0019845962524414</c:v>
                </c:pt>
                <c:pt idx="630">
                  <c:v>7.1418442726135254</c:v>
                </c:pt>
                <c:pt idx="631">
                  <c:v>7.1792745590209961</c:v>
                </c:pt>
                <c:pt idx="632">
                  <c:v>7.1690030097961426</c:v>
                </c:pt>
                <c:pt idx="633">
                  <c:v>7.0875177383422852</c:v>
                </c:pt>
                <c:pt idx="634">
                  <c:v>7.0955567359924316</c:v>
                </c:pt>
                <c:pt idx="635">
                  <c:v>7.126950740814209</c:v>
                </c:pt>
                <c:pt idx="636">
                  <c:v>7.2024478912353516</c:v>
                </c:pt>
                <c:pt idx="637">
                  <c:v>7.2064652442932129</c:v>
                </c:pt>
                <c:pt idx="638">
                  <c:v>7.2886710166931152</c:v>
                </c:pt>
                <c:pt idx="639">
                  <c:v>7.3084344863891602</c:v>
                </c:pt>
                <c:pt idx="640">
                  <c:v>7.3044085502624512</c:v>
                </c:pt>
                <c:pt idx="641">
                  <c:v>7.3809280395507813</c:v>
                </c:pt>
                <c:pt idx="642">
                  <c:v>7.3619027137756348</c:v>
                </c:pt>
                <c:pt idx="643">
                  <c:v>7.4719042778015137</c:v>
                </c:pt>
                <c:pt idx="644">
                  <c:v>7.5249218940734863</c:v>
                </c:pt>
                <c:pt idx="645">
                  <c:v>7.4561042785644531</c:v>
                </c:pt>
                <c:pt idx="646">
                  <c:v>7.3421478271484375</c:v>
                </c:pt>
                <c:pt idx="647">
                  <c:v>7.3008160591125488</c:v>
                </c:pt>
                <c:pt idx="648">
                  <c:v>7.3709111213684082</c:v>
                </c:pt>
                <c:pt idx="649">
                  <c:v>7.417353630065918</c:v>
                </c:pt>
                <c:pt idx="650">
                  <c:v>7.5387701988220215</c:v>
                </c:pt>
                <c:pt idx="651">
                  <c:v>7.4824280738830566</c:v>
                </c:pt>
                <c:pt idx="652">
                  <c:v>7.5075216293334961</c:v>
                </c:pt>
                <c:pt idx="653">
                  <c:v>7.5242018699645996</c:v>
                </c:pt>
                <c:pt idx="654">
                  <c:v>7.4342741966247559</c:v>
                </c:pt>
                <c:pt idx="655">
                  <c:v>7.446624755859375</c:v>
                </c:pt>
                <c:pt idx="656">
                  <c:v>7.3792705535888672</c:v>
                </c:pt>
                <c:pt idx="657">
                  <c:v>7.4535284042358398</c:v>
                </c:pt>
                <c:pt idx="658">
                  <c:v>7.4700675010681152</c:v>
                </c:pt>
                <c:pt idx="659">
                  <c:v>7.5131988525390625</c:v>
                </c:pt>
                <c:pt idx="660">
                  <c:v>7.5601868629455566</c:v>
                </c:pt>
                <c:pt idx="661">
                  <c:v>7.5569887161254883</c:v>
                </c:pt>
                <c:pt idx="662">
                  <c:v>7.4836664199829102</c:v>
                </c:pt>
                <c:pt idx="663">
                  <c:v>7.5731968879699707</c:v>
                </c:pt>
                <c:pt idx="664">
                  <c:v>7.6321125030517578</c:v>
                </c:pt>
                <c:pt idx="665">
                  <c:v>7.6473493576049805</c:v>
                </c:pt>
                <c:pt idx="666">
                  <c:v>7.6648507118225098</c:v>
                </c:pt>
                <c:pt idx="667">
                  <c:v>7.6887173652648926</c:v>
                </c:pt>
                <c:pt idx="668">
                  <c:v>7.7118954658508301</c:v>
                </c:pt>
                <c:pt idx="669">
                  <c:v>7.6231651306152344</c:v>
                </c:pt>
                <c:pt idx="670">
                  <c:v>7.690760612487793</c:v>
                </c:pt>
                <c:pt idx="671">
                  <c:v>7.7833237648010254</c:v>
                </c:pt>
                <c:pt idx="672">
                  <c:v>7.7768912315368652</c:v>
                </c:pt>
                <c:pt idx="673">
                  <c:v>7.8967766761779785</c:v>
                </c:pt>
                <c:pt idx="674">
                  <c:v>7.8029046058654785</c:v>
                </c:pt>
                <c:pt idx="675">
                  <c:v>7.7660765647888184</c:v>
                </c:pt>
                <c:pt idx="676">
                  <c:v>7.874903678894043</c:v>
                </c:pt>
                <c:pt idx="677">
                  <c:v>7.9554171562194824</c:v>
                </c:pt>
                <c:pt idx="678">
                  <c:v>8.0024518966674805</c:v>
                </c:pt>
                <c:pt idx="679">
                  <c:v>8.0423507690429688</c:v>
                </c:pt>
                <c:pt idx="680">
                  <c:v>8.0774946212768555</c:v>
                </c:pt>
                <c:pt idx="681">
                  <c:v>8.1774816513061523</c:v>
                </c:pt>
                <c:pt idx="682">
                  <c:v>8.2695255279541016</c:v>
                </c:pt>
                <c:pt idx="683">
                  <c:v>8.2689056396484375</c:v>
                </c:pt>
                <c:pt idx="684">
                  <c:v>8.3596048355102539</c:v>
                </c:pt>
                <c:pt idx="685">
                  <c:v>8.439763069152832</c:v>
                </c:pt>
                <c:pt idx="686">
                  <c:v>8.3911256790161133</c:v>
                </c:pt>
                <c:pt idx="687">
                  <c:v>8.4354877471923828</c:v>
                </c:pt>
                <c:pt idx="688">
                  <c:v>8.4959421157836914</c:v>
                </c:pt>
                <c:pt idx="689">
                  <c:v>8.5926084518432617</c:v>
                </c:pt>
                <c:pt idx="690">
                  <c:v>8.5587053298950195</c:v>
                </c:pt>
                <c:pt idx="691">
                  <c:v>8.5285005569458008</c:v>
                </c:pt>
                <c:pt idx="692">
                  <c:v>8.5947675704956055</c:v>
                </c:pt>
                <c:pt idx="693">
                  <c:v>8.6465530395507813</c:v>
                </c:pt>
                <c:pt idx="694">
                  <c:v>8.6678409576416016</c:v>
                </c:pt>
                <c:pt idx="695">
                  <c:v>8.6801290512084961</c:v>
                </c:pt>
                <c:pt idx="696">
                  <c:v>8.7301921844482422</c:v>
                </c:pt>
                <c:pt idx="697">
                  <c:v>8.7774829864501953</c:v>
                </c:pt>
                <c:pt idx="698">
                  <c:v>8.7141819000244141</c:v>
                </c:pt>
                <c:pt idx="699">
                  <c:v>8.79937744140625</c:v>
                </c:pt>
                <c:pt idx="700">
                  <c:v>8.8275966644287109</c:v>
                </c:pt>
                <c:pt idx="701">
                  <c:v>8.8402652740478516</c:v>
                </c:pt>
                <c:pt idx="702">
                  <c:v>8.8578968048095703</c:v>
                </c:pt>
                <c:pt idx="703">
                  <c:v>8.9200296401977539</c:v>
                </c:pt>
                <c:pt idx="704">
                  <c:v>8.9748020172119141</c:v>
                </c:pt>
                <c:pt idx="705">
                  <c:v>9.0165815353393555</c:v>
                </c:pt>
                <c:pt idx="706">
                  <c:v>9.0331087112426758</c:v>
                </c:pt>
                <c:pt idx="707">
                  <c:v>9.0744514465332031</c:v>
                </c:pt>
                <c:pt idx="708">
                  <c:v>9.1428298950195313</c:v>
                </c:pt>
                <c:pt idx="709">
                  <c:v>9.1338119506835938</c:v>
                </c:pt>
                <c:pt idx="710">
                  <c:v>8.9355859756469727</c:v>
                </c:pt>
                <c:pt idx="711">
                  <c:v>9.0372390747070313</c:v>
                </c:pt>
                <c:pt idx="712">
                  <c:v>9.2125396728515625</c:v>
                </c:pt>
                <c:pt idx="713">
                  <c:v>9.4039077758789063</c:v>
                </c:pt>
                <c:pt idx="714">
                  <c:v>9.5228195190429688</c:v>
                </c:pt>
                <c:pt idx="715">
                  <c:v>9.5050315856933594</c:v>
                </c:pt>
                <c:pt idx="716">
                  <c:v>9.4744043350219727</c:v>
                </c:pt>
                <c:pt idx="717">
                  <c:v>9.5587120056152344</c:v>
                </c:pt>
                <c:pt idx="718">
                  <c:v>9.6518020629882813</c:v>
                </c:pt>
                <c:pt idx="719">
                  <c:v>9.8457565307617188</c:v>
                </c:pt>
                <c:pt idx="720">
                  <c:v>9.7624502182006836</c:v>
                </c:pt>
                <c:pt idx="721">
                  <c:v>9.7027778625488281</c:v>
                </c:pt>
                <c:pt idx="722">
                  <c:v>9.8537178039550781</c:v>
                </c:pt>
                <c:pt idx="723">
                  <c:v>10.080863952636719</c:v>
                </c:pt>
                <c:pt idx="724">
                  <c:v>10.221771240234375</c:v>
                </c:pt>
                <c:pt idx="725">
                  <c:v>10.281292915344238</c:v>
                </c:pt>
                <c:pt idx="726">
                  <c:v>10.275711059570313</c:v>
                </c:pt>
                <c:pt idx="727">
                  <c:v>10.343116760253906</c:v>
                </c:pt>
                <c:pt idx="728">
                  <c:v>10.38617992401123</c:v>
                </c:pt>
                <c:pt idx="729">
                  <c:v>10.527041435241699</c:v>
                </c:pt>
                <c:pt idx="730">
                  <c:v>10.6021728515625</c:v>
                </c:pt>
                <c:pt idx="731">
                  <c:v>10.697565078735352</c:v>
                </c:pt>
                <c:pt idx="732">
                  <c:v>10.759557723999023</c:v>
                </c:pt>
                <c:pt idx="733">
                  <c:v>10.775035858154297</c:v>
                </c:pt>
                <c:pt idx="734">
                  <c:v>10.900014877319336</c:v>
                </c:pt>
                <c:pt idx="735">
                  <c:v>10.947420120239258</c:v>
                </c:pt>
                <c:pt idx="736">
                  <c:v>11.093741416931152</c:v>
                </c:pt>
                <c:pt idx="737">
                  <c:v>11.138871192932129</c:v>
                </c:pt>
                <c:pt idx="738">
                  <c:v>11.230686187744141</c:v>
                </c:pt>
                <c:pt idx="739">
                  <c:v>11.257330894470215</c:v>
                </c:pt>
                <c:pt idx="740">
                  <c:v>11.406983375549316</c:v>
                </c:pt>
                <c:pt idx="741">
                  <c:v>11.332907676696777</c:v>
                </c:pt>
                <c:pt idx="742">
                  <c:v>11.445217132568359</c:v>
                </c:pt>
                <c:pt idx="743">
                  <c:v>11.5592041015625</c:v>
                </c:pt>
                <c:pt idx="744">
                  <c:v>11.608037948608398</c:v>
                </c:pt>
                <c:pt idx="745">
                  <c:v>11.645443916320801</c:v>
                </c:pt>
                <c:pt idx="746">
                  <c:v>11.667807579040527</c:v>
                </c:pt>
                <c:pt idx="747">
                  <c:v>11.81489372253418</c:v>
                </c:pt>
                <c:pt idx="748">
                  <c:v>11.899041175842285</c:v>
                </c:pt>
                <c:pt idx="749">
                  <c:v>11.979030609130859</c:v>
                </c:pt>
                <c:pt idx="750">
                  <c:v>12.105871200561523</c:v>
                </c:pt>
                <c:pt idx="751">
                  <c:v>12.181859970092773</c:v>
                </c:pt>
                <c:pt idx="752">
                  <c:v>12.24151611328125</c:v>
                </c:pt>
                <c:pt idx="753">
                  <c:v>12.324238777160645</c:v>
                </c:pt>
                <c:pt idx="754">
                  <c:v>12.398917198181152</c:v>
                </c:pt>
                <c:pt idx="755">
                  <c:v>12.492061614990234</c:v>
                </c:pt>
                <c:pt idx="756">
                  <c:v>12.614254951477051</c:v>
                </c:pt>
                <c:pt idx="757">
                  <c:v>12.632962226867676</c:v>
                </c:pt>
                <c:pt idx="758">
                  <c:v>12.762585639953613</c:v>
                </c:pt>
                <c:pt idx="759">
                  <c:v>12.855277061462402</c:v>
                </c:pt>
                <c:pt idx="760">
                  <c:v>12.88383674621582</c:v>
                </c:pt>
                <c:pt idx="761">
                  <c:v>13.063621520996094</c:v>
                </c:pt>
                <c:pt idx="762">
                  <c:v>13.110793113708496</c:v>
                </c:pt>
                <c:pt idx="763">
                  <c:v>13.286107063293457</c:v>
                </c:pt>
                <c:pt idx="764">
                  <c:v>13.38231372833252</c:v>
                </c:pt>
                <c:pt idx="765">
                  <c:v>13.540197372436523</c:v>
                </c:pt>
                <c:pt idx="766">
                  <c:v>13.545461654663086</c:v>
                </c:pt>
                <c:pt idx="767">
                  <c:v>13.653011322021484</c:v>
                </c:pt>
                <c:pt idx="768">
                  <c:v>13.808271408081055</c:v>
                </c:pt>
                <c:pt idx="769">
                  <c:v>13.896930694580078</c:v>
                </c:pt>
                <c:pt idx="770">
                  <c:v>14.064042091369629</c:v>
                </c:pt>
                <c:pt idx="771">
                  <c:v>14.204133033752441</c:v>
                </c:pt>
                <c:pt idx="772">
                  <c:v>14.417428016662598</c:v>
                </c:pt>
                <c:pt idx="773">
                  <c:v>14.570869445800781</c:v>
                </c:pt>
                <c:pt idx="774">
                  <c:v>14.716350555419922</c:v>
                </c:pt>
                <c:pt idx="775">
                  <c:v>14.757948875427246</c:v>
                </c:pt>
                <c:pt idx="776">
                  <c:v>14.926556587219238</c:v>
                </c:pt>
                <c:pt idx="777">
                  <c:v>15.028753280639648</c:v>
                </c:pt>
                <c:pt idx="778">
                  <c:v>15.17225456237793</c:v>
                </c:pt>
                <c:pt idx="779">
                  <c:v>15.316750526428223</c:v>
                </c:pt>
                <c:pt idx="780">
                  <c:v>15.49470329284668</c:v>
                </c:pt>
                <c:pt idx="781">
                  <c:v>15.656929969787598</c:v>
                </c:pt>
                <c:pt idx="782">
                  <c:v>15.881248474121094</c:v>
                </c:pt>
                <c:pt idx="783">
                  <c:v>15.946944236755371</c:v>
                </c:pt>
                <c:pt idx="784">
                  <c:v>16.037466049194336</c:v>
                </c:pt>
                <c:pt idx="785">
                  <c:v>16.343482971191406</c:v>
                </c:pt>
                <c:pt idx="786">
                  <c:v>16.338336944580078</c:v>
                </c:pt>
                <c:pt idx="787">
                  <c:v>16.371362686157227</c:v>
                </c:pt>
                <c:pt idx="788">
                  <c:v>16.53575325012207</c:v>
                </c:pt>
                <c:pt idx="789">
                  <c:v>16.684106826782227</c:v>
                </c:pt>
                <c:pt idx="790">
                  <c:v>16.851299285888672</c:v>
                </c:pt>
                <c:pt idx="791">
                  <c:v>17.031494140625</c:v>
                </c:pt>
                <c:pt idx="792">
                  <c:v>17.247997283935547</c:v>
                </c:pt>
                <c:pt idx="793">
                  <c:v>17.410850524902344</c:v>
                </c:pt>
                <c:pt idx="794">
                  <c:v>17.670450210571289</c:v>
                </c:pt>
                <c:pt idx="795">
                  <c:v>17.790027618408203</c:v>
                </c:pt>
                <c:pt idx="796">
                  <c:v>17.968317031860352</c:v>
                </c:pt>
                <c:pt idx="797">
                  <c:v>18.238487243652344</c:v>
                </c:pt>
                <c:pt idx="798">
                  <c:v>18.402233123779297</c:v>
                </c:pt>
                <c:pt idx="799">
                  <c:v>18.647199630737305</c:v>
                </c:pt>
                <c:pt idx="800">
                  <c:v>18.83270263671875</c:v>
                </c:pt>
                <c:pt idx="801">
                  <c:v>19.117269515991211</c:v>
                </c:pt>
                <c:pt idx="802">
                  <c:v>19.451807022094727</c:v>
                </c:pt>
                <c:pt idx="803">
                  <c:v>19.605047225952148</c:v>
                </c:pt>
                <c:pt idx="804">
                  <c:v>19.984287261962891</c:v>
                </c:pt>
                <c:pt idx="805">
                  <c:v>20.236154556274414</c:v>
                </c:pt>
                <c:pt idx="806">
                  <c:v>20.324440002441406</c:v>
                </c:pt>
                <c:pt idx="807">
                  <c:v>20.66956901550293</c:v>
                </c:pt>
                <c:pt idx="808">
                  <c:v>21.038108825683594</c:v>
                </c:pt>
                <c:pt idx="809">
                  <c:v>21.683076858520508</c:v>
                </c:pt>
                <c:pt idx="810">
                  <c:v>22.076732635498047</c:v>
                </c:pt>
                <c:pt idx="811">
                  <c:v>22.187685012817383</c:v>
                </c:pt>
                <c:pt idx="812">
                  <c:v>22.311752319335938</c:v>
                </c:pt>
                <c:pt idx="813">
                  <c:v>22.731483459472656</c:v>
                </c:pt>
                <c:pt idx="814">
                  <c:v>23.118219375610352</c:v>
                </c:pt>
                <c:pt idx="815">
                  <c:v>23.475152969360352</c:v>
                </c:pt>
                <c:pt idx="816">
                  <c:v>24.060022354125977</c:v>
                </c:pt>
                <c:pt idx="817">
                  <c:v>24.530401229858398</c:v>
                </c:pt>
                <c:pt idx="818">
                  <c:v>24.950521469116211</c:v>
                </c:pt>
                <c:pt idx="819">
                  <c:v>25.556503295898438</c:v>
                </c:pt>
                <c:pt idx="820">
                  <c:v>26.166488647460938</c:v>
                </c:pt>
                <c:pt idx="821">
                  <c:v>26.584421157836914</c:v>
                </c:pt>
                <c:pt idx="822">
                  <c:v>27.033296585083008</c:v>
                </c:pt>
                <c:pt idx="823">
                  <c:v>27.621824264526367</c:v>
                </c:pt>
                <c:pt idx="824">
                  <c:v>28.087625503540039</c:v>
                </c:pt>
                <c:pt idx="825">
                  <c:v>28.540275573730469</c:v>
                </c:pt>
                <c:pt idx="826">
                  <c:v>29.27552604675293</c:v>
                </c:pt>
                <c:pt idx="827">
                  <c:v>29.981908798217773</c:v>
                </c:pt>
                <c:pt idx="828">
                  <c:v>30.942228317260742</c:v>
                </c:pt>
                <c:pt idx="829">
                  <c:v>31.938371658325195</c:v>
                </c:pt>
                <c:pt idx="830">
                  <c:v>32.411422729492188</c:v>
                </c:pt>
                <c:pt idx="831">
                  <c:v>33.432392120361328</c:v>
                </c:pt>
                <c:pt idx="832">
                  <c:v>34.114986419677734</c:v>
                </c:pt>
                <c:pt idx="833">
                  <c:v>35.036781311035156</c:v>
                </c:pt>
                <c:pt idx="834">
                  <c:v>36.245838165283203</c:v>
                </c:pt>
                <c:pt idx="835">
                  <c:v>37.178440093994141</c:v>
                </c:pt>
                <c:pt idx="836">
                  <c:v>38.274578094482422</c:v>
                </c:pt>
                <c:pt idx="837">
                  <c:v>39.486831665039063</c:v>
                </c:pt>
                <c:pt idx="838">
                  <c:v>41.373615264892578</c:v>
                </c:pt>
                <c:pt idx="839">
                  <c:v>42.974502563476563</c:v>
                </c:pt>
                <c:pt idx="840">
                  <c:v>44.859981536865234</c:v>
                </c:pt>
                <c:pt idx="841">
                  <c:v>46.547969818115234</c:v>
                </c:pt>
                <c:pt idx="842">
                  <c:v>48.640026092529297</c:v>
                </c:pt>
                <c:pt idx="843">
                  <c:v>50.838520050048828</c:v>
                </c:pt>
                <c:pt idx="844">
                  <c:v>53.204120635986328</c:v>
                </c:pt>
                <c:pt idx="845">
                  <c:v>55.6021195517066</c:v>
                </c:pt>
                <c:pt idx="846">
                  <c:v>58.1332515434082</c:v>
                </c:pt>
                <c:pt idx="847">
                  <c:v>60.779606285808498</c:v>
                </c:pt>
                <c:pt idx="848">
                  <c:v>63.546428974464398</c:v>
                </c:pt>
                <c:pt idx="849">
                  <c:v>66.439203577887</c:v>
                </c:pt>
                <c:pt idx="850">
                  <c:v>69.463663707015598</c:v>
                </c:pt>
                <c:pt idx="851">
                  <c:v>72.625803979494194</c:v>
                </c:pt>
                <c:pt idx="852">
                  <c:v>75.931891901279002</c:v>
                </c:pt>
                <c:pt idx="853">
                  <c:v>79.388480289119599</c:v>
                </c:pt>
                <c:pt idx="854">
                  <c:v>83.002420258539004</c:v>
                </c:pt>
                <c:pt idx="855">
                  <c:v>86.780874803058097</c:v>
                </c:pt>
                <c:pt idx="856">
                  <c:v>90.731332991573694</c:v>
                </c:pt>
                <c:pt idx="857">
                  <c:v>94.861624812034407</c:v>
                </c:pt>
                <c:pt idx="858">
                  <c:v>99.179936690833401</c:v>
                </c:pt>
                <c:pt idx="859">
                  <c:v>103.694827718677</c:v>
                </c:pt>
              </c:numCache>
            </c:numRef>
          </c:yVal>
          <c:smooth val="1"/>
          <c:extLst>
            <c:ext xmlns:c16="http://schemas.microsoft.com/office/drawing/2014/chart" uri="{C3380CC4-5D6E-409C-BE32-E72D297353CC}">
              <c16:uniqueId val="{00000001-065F-4201-BD7F-B2F9AF941BA7}"/>
            </c:ext>
          </c:extLst>
        </c:ser>
        <c:ser>
          <c:idx val="2"/>
          <c:order val="1"/>
          <c:tx>
            <c:strRef>
              <c:f>Input!$O$2</c:f>
              <c:strCache>
                <c:ptCount val="1"/>
                <c:pt idx="0">
                  <c:v>Pilot Hes</c:v>
                </c:pt>
              </c:strCache>
            </c:strRef>
          </c:tx>
          <c:spPr>
            <a:ln w="28575" cap="rnd">
              <a:solidFill>
                <a:schemeClr val="accent3"/>
              </a:solidFill>
              <a:round/>
            </a:ln>
            <a:effectLst/>
          </c:spPr>
          <c:marker>
            <c:symbol val="none"/>
          </c:marker>
          <c:xVal>
            <c:numRef>
              <c:f>Input!$M$3:$M$1000</c:f>
              <c:numCache>
                <c:formatCode>General</c:formatCode>
                <c:ptCount val="998"/>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pt idx="401">
                  <c:v>200.5</c:v>
                </c:pt>
                <c:pt idx="402">
                  <c:v>201</c:v>
                </c:pt>
                <c:pt idx="403">
                  <c:v>201.5</c:v>
                </c:pt>
                <c:pt idx="404">
                  <c:v>202</c:v>
                </c:pt>
                <c:pt idx="405">
                  <c:v>202.5</c:v>
                </c:pt>
                <c:pt idx="406">
                  <c:v>203</c:v>
                </c:pt>
                <c:pt idx="407">
                  <c:v>203.5</c:v>
                </c:pt>
                <c:pt idx="408">
                  <c:v>204</c:v>
                </c:pt>
                <c:pt idx="409">
                  <c:v>204.5</c:v>
                </c:pt>
                <c:pt idx="410">
                  <c:v>205</c:v>
                </c:pt>
                <c:pt idx="411">
                  <c:v>205.5</c:v>
                </c:pt>
                <c:pt idx="412">
                  <c:v>206</c:v>
                </c:pt>
                <c:pt idx="413">
                  <c:v>206.5</c:v>
                </c:pt>
                <c:pt idx="414">
                  <c:v>207</c:v>
                </c:pt>
                <c:pt idx="415">
                  <c:v>207.5</c:v>
                </c:pt>
                <c:pt idx="416">
                  <c:v>208</c:v>
                </c:pt>
                <c:pt idx="417">
                  <c:v>208.5</c:v>
                </c:pt>
                <c:pt idx="418">
                  <c:v>209</c:v>
                </c:pt>
                <c:pt idx="419">
                  <c:v>209.5</c:v>
                </c:pt>
                <c:pt idx="420">
                  <c:v>210</c:v>
                </c:pt>
                <c:pt idx="421">
                  <c:v>210.5</c:v>
                </c:pt>
                <c:pt idx="422">
                  <c:v>211</c:v>
                </c:pt>
                <c:pt idx="423">
                  <c:v>211.5</c:v>
                </c:pt>
                <c:pt idx="424">
                  <c:v>212</c:v>
                </c:pt>
                <c:pt idx="425">
                  <c:v>212.5</c:v>
                </c:pt>
                <c:pt idx="426">
                  <c:v>213</c:v>
                </c:pt>
                <c:pt idx="427">
                  <c:v>213.5</c:v>
                </c:pt>
                <c:pt idx="428">
                  <c:v>214</c:v>
                </c:pt>
                <c:pt idx="429">
                  <c:v>214.5</c:v>
                </c:pt>
                <c:pt idx="430">
                  <c:v>215</c:v>
                </c:pt>
                <c:pt idx="431">
                  <c:v>215.5</c:v>
                </c:pt>
                <c:pt idx="432">
                  <c:v>216</c:v>
                </c:pt>
                <c:pt idx="433">
                  <c:v>216.5</c:v>
                </c:pt>
                <c:pt idx="434">
                  <c:v>217</c:v>
                </c:pt>
                <c:pt idx="435">
                  <c:v>217.5</c:v>
                </c:pt>
                <c:pt idx="436">
                  <c:v>218</c:v>
                </c:pt>
                <c:pt idx="437">
                  <c:v>218.5</c:v>
                </c:pt>
                <c:pt idx="438">
                  <c:v>219</c:v>
                </c:pt>
                <c:pt idx="439">
                  <c:v>219.5</c:v>
                </c:pt>
                <c:pt idx="440">
                  <c:v>220</c:v>
                </c:pt>
                <c:pt idx="441">
                  <c:v>220.5</c:v>
                </c:pt>
                <c:pt idx="442">
                  <c:v>221</c:v>
                </c:pt>
                <c:pt idx="443">
                  <c:v>221.5</c:v>
                </c:pt>
                <c:pt idx="444">
                  <c:v>222</c:v>
                </c:pt>
                <c:pt idx="445">
                  <c:v>222.5</c:v>
                </c:pt>
                <c:pt idx="446">
                  <c:v>223</c:v>
                </c:pt>
                <c:pt idx="447">
                  <c:v>223.5</c:v>
                </c:pt>
                <c:pt idx="448">
                  <c:v>224</c:v>
                </c:pt>
                <c:pt idx="449">
                  <c:v>224.5</c:v>
                </c:pt>
                <c:pt idx="450">
                  <c:v>225</c:v>
                </c:pt>
                <c:pt idx="451">
                  <c:v>225.5</c:v>
                </c:pt>
                <c:pt idx="452">
                  <c:v>226</c:v>
                </c:pt>
                <c:pt idx="453">
                  <c:v>226.5</c:v>
                </c:pt>
                <c:pt idx="454">
                  <c:v>227</c:v>
                </c:pt>
                <c:pt idx="455">
                  <c:v>227.5</c:v>
                </c:pt>
                <c:pt idx="456">
                  <c:v>228</c:v>
                </c:pt>
                <c:pt idx="457">
                  <c:v>228.5</c:v>
                </c:pt>
                <c:pt idx="458">
                  <c:v>229</c:v>
                </c:pt>
                <c:pt idx="459">
                  <c:v>229.5</c:v>
                </c:pt>
                <c:pt idx="460">
                  <c:v>230</c:v>
                </c:pt>
                <c:pt idx="461">
                  <c:v>230.5</c:v>
                </c:pt>
                <c:pt idx="462">
                  <c:v>231</c:v>
                </c:pt>
                <c:pt idx="463">
                  <c:v>231.5</c:v>
                </c:pt>
                <c:pt idx="464">
                  <c:v>232</c:v>
                </c:pt>
                <c:pt idx="465">
                  <c:v>232.5</c:v>
                </c:pt>
                <c:pt idx="466">
                  <c:v>233</c:v>
                </c:pt>
                <c:pt idx="467">
                  <c:v>233.5</c:v>
                </c:pt>
                <c:pt idx="468">
                  <c:v>234</c:v>
                </c:pt>
                <c:pt idx="469">
                  <c:v>234.5</c:v>
                </c:pt>
                <c:pt idx="470">
                  <c:v>235</c:v>
                </c:pt>
                <c:pt idx="471">
                  <c:v>235.5</c:v>
                </c:pt>
                <c:pt idx="472">
                  <c:v>236</c:v>
                </c:pt>
                <c:pt idx="473">
                  <c:v>236.5</c:v>
                </c:pt>
                <c:pt idx="474">
                  <c:v>237</c:v>
                </c:pt>
                <c:pt idx="475">
                  <c:v>237.5</c:v>
                </c:pt>
                <c:pt idx="476">
                  <c:v>238</c:v>
                </c:pt>
                <c:pt idx="477">
                  <c:v>238.5</c:v>
                </c:pt>
                <c:pt idx="478">
                  <c:v>239</c:v>
                </c:pt>
                <c:pt idx="479">
                  <c:v>239.5</c:v>
                </c:pt>
                <c:pt idx="480">
                  <c:v>240</c:v>
                </c:pt>
                <c:pt idx="481">
                  <c:v>240.5</c:v>
                </c:pt>
                <c:pt idx="482">
                  <c:v>241</c:v>
                </c:pt>
                <c:pt idx="483">
                  <c:v>241.5</c:v>
                </c:pt>
                <c:pt idx="484">
                  <c:v>242</c:v>
                </c:pt>
                <c:pt idx="485">
                  <c:v>242.5</c:v>
                </c:pt>
                <c:pt idx="486">
                  <c:v>243</c:v>
                </c:pt>
                <c:pt idx="487">
                  <c:v>243.5</c:v>
                </c:pt>
                <c:pt idx="488">
                  <c:v>244</c:v>
                </c:pt>
                <c:pt idx="489">
                  <c:v>244.5</c:v>
                </c:pt>
                <c:pt idx="490">
                  <c:v>245</c:v>
                </c:pt>
                <c:pt idx="491">
                  <c:v>245.5</c:v>
                </c:pt>
                <c:pt idx="492">
                  <c:v>246</c:v>
                </c:pt>
                <c:pt idx="493">
                  <c:v>246.5</c:v>
                </c:pt>
                <c:pt idx="494">
                  <c:v>247</c:v>
                </c:pt>
                <c:pt idx="495">
                  <c:v>247.5</c:v>
                </c:pt>
                <c:pt idx="496">
                  <c:v>248</c:v>
                </c:pt>
                <c:pt idx="497">
                  <c:v>248.5</c:v>
                </c:pt>
                <c:pt idx="498">
                  <c:v>249</c:v>
                </c:pt>
                <c:pt idx="499">
                  <c:v>249.5</c:v>
                </c:pt>
                <c:pt idx="500">
                  <c:v>250</c:v>
                </c:pt>
                <c:pt idx="501">
                  <c:v>250.5</c:v>
                </c:pt>
                <c:pt idx="502">
                  <c:v>251</c:v>
                </c:pt>
                <c:pt idx="503">
                  <c:v>251.5</c:v>
                </c:pt>
                <c:pt idx="504">
                  <c:v>252</c:v>
                </c:pt>
                <c:pt idx="505">
                  <c:v>252.5</c:v>
                </c:pt>
                <c:pt idx="506">
                  <c:v>253</c:v>
                </c:pt>
                <c:pt idx="507">
                  <c:v>253.5</c:v>
                </c:pt>
                <c:pt idx="508">
                  <c:v>254</c:v>
                </c:pt>
                <c:pt idx="509">
                  <c:v>254.5</c:v>
                </c:pt>
                <c:pt idx="510">
                  <c:v>255</c:v>
                </c:pt>
                <c:pt idx="511">
                  <c:v>255.5</c:v>
                </c:pt>
                <c:pt idx="512">
                  <c:v>256</c:v>
                </c:pt>
                <c:pt idx="513">
                  <c:v>256.5</c:v>
                </c:pt>
                <c:pt idx="514">
                  <c:v>257</c:v>
                </c:pt>
                <c:pt idx="515">
                  <c:v>257.5</c:v>
                </c:pt>
                <c:pt idx="516">
                  <c:v>258</c:v>
                </c:pt>
                <c:pt idx="517">
                  <c:v>258.5</c:v>
                </c:pt>
                <c:pt idx="518">
                  <c:v>259</c:v>
                </c:pt>
                <c:pt idx="519">
                  <c:v>259.5</c:v>
                </c:pt>
                <c:pt idx="520">
                  <c:v>260</c:v>
                </c:pt>
                <c:pt idx="521">
                  <c:v>260.5</c:v>
                </c:pt>
                <c:pt idx="522">
                  <c:v>261</c:v>
                </c:pt>
                <c:pt idx="523">
                  <c:v>261.5</c:v>
                </c:pt>
                <c:pt idx="524">
                  <c:v>262</c:v>
                </c:pt>
                <c:pt idx="525">
                  <c:v>262.5</c:v>
                </c:pt>
                <c:pt idx="526">
                  <c:v>263</c:v>
                </c:pt>
                <c:pt idx="527">
                  <c:v>263.5</c:v>
                </c:pt>
                <c:pt idx="528">
                  <c:v>264</c:v>
                </c:pt>
                <c:pt idx="529">
                  <c:v>264.5</c:v>
                </c:pt>
                <c:pt idx="530">
                  <c:v>265</c:v>
                </c:pt>
                <c:pt idx="531">
                  <c:v>265.5</c:v>
                </c:pt>
                <c:pt idx="532">
                  <c:v>266</c:v>
                </c:pt>
                <c:pt idx="533">
                  <c:v>266.5</c:v>
                </c:pt>
                <c:pt idx="534">
                  <c:v>267</c:v>
                </c:pt>
                <c:pt idx="535">
                  <c:v>267.5</c:v>
                </c:pt>
                <c:pt idx="536">
                  <c:v>268</c:v>
                </c:pt>
                <c:pt idx="537">
                  <c:v>268.5</c:v>
                </c:pt>
                <c:pt idx="538">
                  <c:v>269</c:v>
                </c:pt>
                <c:pt idx="539">
                  <c:v>269.5</c:v>
                </c:pt>
                <c:pt idx="540">
                  <c:v>270</c:v>
                </c:pt>
                <c:pt idx="541">
                  <c:v>270.5</c:v>
                </c:pt>
                <c:pt idx="542">
                  <c:v>271</c:v>
                </c:pt>
                <c:pt idx="543">
                  <c:v>271.5</c:v>
                </c:pt>
                <c:pt idx="544">
                  <c:v>272</c:v>
                </c:pt>
                <c:pt idx="545">
                  <c:v>272.5</c:v>
                </c:pt>
                <c:pt idx="546">
                  <c:v>273</c:v>
                </c:pt>
                <c:pt idx="547">
                  <c:v>273.5</c:v>
                </c:pt>
                <c:pt idx="548">
                  <c:v>274</c:v>
                </c:pt>
                <c:pt idx="549">
                  <c:v>274.5</c:v>
                </c:pt>
                <c:pt idx="550">
                  <c:v>275</c:v>
                </c:pt>
                <c:pt idx="551">
                  <c:v>275.5</c:v>
                </c:pt>
                <c:pt idx="552">
                  <c:v>276</c:v>
                </c:pt>
                <c:pt idx="553">
                  <c:v>276.5</c:v>
                </c:pt>
                <c:pt idx="554">
                  <c:v>277</c:v>
                </c:pt>
                <c:pt idx="555">
                  <c:v>277.5</c:v>
                </c:pt>
                <c:pt idx="556">
                  <c:v>278</c:v>
                </c:pt>
                <c:pt idx="557">
                  <c:v>278.5</c:v>
                </c:pt>
                <c:pt idx="558">
                  <c:v>279</c:v>
                </c:pt>
                <c:pt idx="559">
                  <c:v>279.5</c:v>
                </c:pt>
                <c:pt idx="560">
                  <c:v>280</c:v>
                </c:pt>
                <c:pt idx="561">
                  <c:v>280.5</c:v>
                </c:pt>
                <c:pt idx="562">
                  <c:v>281</c:v>
                </c:pt>
                <c:pt idx="563">
                  <c:v>281.5</c:v>
                </c:pt>
                <c:pt idx="564">
                  <c:v>282</c:v>
                </c:pt>
                <c:pt idx="565">
                  <c:v>282.5</c:v>
                </c:pt>
                <c:pt idx="566">
                  <c:v>283</c:v>
                </c:pt>
                <c:pt idx="567">
                  <c:v>283.5</c:v>
                </c:pt>
                <c:pt idx="568">
                  <c:v>284</c:v>
                </c:pt>
                <c:pt idx="569">
                  <c:v>284.5</c:v>
                </c:pt>
                <c:pt idx="570">
                  <c:v>285</c:v>
                </c:pt>
                <c:pt idx="571">
                  <c:v>285.5</c:v>
                </c:pt>
                <c:pt idx="572">
                  <c:v>286</c:v>
                </c:pt>
                <c:pt idx="573">
                  <c:v>286.5</c:v>
                </c:pt>
                <c:pt idx="574">
                  <c:v>287</c:v>
                </c:pt>
                <c:pt idx="575">
                  <c:v>287.5</c:v>
                </c:pt>
                <c:pt idx="576">
                  <c:v>288</c:v>
                </c:pt>
                <c:pt idx="577">
                  <c:v>288.5</c:v>
                </c:pt>
                <c:pt idx="578">
                  <c:v>289</c:v>
                </c:pt>
                <c:pt idx="579">
                  <c:v>289.5</c:v>
                </c:pt>
                <c:pt idx="580">
                  <c:v>290</c:v>
                </c:pt>
                <c:pt idx="581">
                  <c:v>290.5</c:v>
                </c:pt>
                <c:pt idx="582">
                  <c:v>291</c:v>
                </c:pt>
                <c:pt idx="583">
                  <c:v>291.5</c:v>
                </c:pt>
                <c:pt idx="584">
                  <c:v>292</c:v>
                </c:pt>
                <c:pt idx="585">
                  <c:v>292.5</c:v>
                </c:pt>
                <c:pt idx="586">
                  <c:v>293</c:v>
                </c:pt>
                <c:pt idx="587">
                  <c:v>293.5</c:v>
                </c:pt>
                <c:pt idx="588">
                  <c:v>294</c:v>
                </c:pt>
                <c:pt idx="589">
                  <c:v>294.5</c:v>
                </c:pt>
                <c:pt idx="590">
                  <c:v>295</c:v>
                </c:pt>
                <c:pt idx="591">
                  <c:v>295.5</c:v>
                </c:pt>
                <c:pt idx="592">
                  <c:v>296</c:v>
                </c:pt>
                <c:pt idx="593">
                  <c:v>296.5</c:v>
                </c:pt>
                <c:pt idx="594">
                  <c:v>297</c:v>
                </c:pt>
                <c:pt idx="595">
                  <c:v>297.5</c:v>
                </c:pt>
                <c:pt idx="596">
                  <c:v>298</c:v>
                </c:pt>
                <c:pt idx="597">
                  <c:v>298.5</c:v>
                </c:pt>
                <c:pt idx="598">
                  <c:v>299</c:v>
                </c:pt>
                <c:pt idx="599">
                  <c:v>299.5</c:v>
                </c:pt>
                <c:pt idx="600">
                  <c:v>300</c:v>
                </c:pt>
                <c:pt idx="601">
                  <c:v>300.5</c:v>
                </c:pt>
                <c:pt idx="602">
                  <c:v>301</c:v>
                </c:pt>
                <c:pt idx="603">
                  <c:v>301.5</c:v>
                </c:pt>
                <c:pt idx="604">
                  <c:v>302</c:v>
                </c:pt>
                <c:pt idx="605">
                  <c:v>302.5</c:v>
                </c:pt>
                <c:pt idx="606">
                  <c:v>303</c:v>
                </c:pt>
                <c:pt idx="607">
                  <c:v>303.5</c:v>
                </c:pt>
                <c:pt idx="608">
                  <c:v>304</c:v>
                </c:pt>
                <c:pt idx="609">
                  <c:v>304.5</c:v>
                </c:pt>
                <c:pt idx="610">
                  <c:v>305</c:v>
                </c:pt>
                <c:pt idx="611">
                  <c:v>305.5</c:v>
                </c:pt>
                <c:pt idx="612">
                  <c:v>306</c:v>
                </c:pt>
                <c:pt idx="613">
                  <c:v>306.5</c:v>
                </c:pt>
                <c:pt idx="614">
                  <c:v>307</c:v>
                </c:pt>
                <c:pt idx="615">
                  <c:v>307.5</c:v>
                </c:pt>
                <c:pt idx="616">
                  <c:v>308</c:v>
                </c:pt>
                <c:pt idx="617">
                  <c:v>308.5</c:v>
                </c:pt>
                <c:pt idx="618">
                  <c:v>309</c:v>
                </c:pt>
                <c:pt idx="619">
                  <c:v>309.5</c:v>
                </c:pt>
                <c:pt idx="620">
                  <c:v>310</c:v>
                </c:pt>
                <c:pt idx="621">
                  <c:v>310.5</c:v>
                </c:pt>
                <c:pt idx="622">
                  <c:v>311</c:v>
                </c:pt>
                <c:pt idx="623">
                  <c:v>311.5</c:v>
                </c:pt>
                <c:pt idx="624">
                  <c:v>312</c:v>
                </c:pt>
                <c:pt idx="625">
                  <c:v>312.5</c:v>
                </c:pt>
                <c:pt idx="626">
                  <c:v>313</c:v>
                </c:pt>
                <c:pt idx="627">
                  <c:v>313.5</c:v>
                </c:pt>
                <c:pt idx="628">
                  <c:v>314</c:v>
                </c:pt>
                <c:pt idx="629">
                  <c:v>314.5</c:v>
                </c:pt>
                <c:pt idx="630">
                  <c:v>315</c:v>
                </c:pt>
                <c:pt idx="631">
                  <c:v>315.5</c:v>
                </c:pt>
                <c:pt idx="632">
                  <c:v>316</c:v>
                </c:pt>
                <c:pt idx="633">
                  <c:v>316.5</c:v>
                </c:pt>
                <c:pt idx="634">
                  <c:v>317</c:v>
                </c:pt>
                <c:pt idx="635">
                  <c:v>317.5</c:v>
                </c:pt>
                <c:pt idx="636">
                  <c:v>318</c:v>
                </c:pt>
                <c:pt idx="637">
                  <c:v>318.5</c:v>
                </c:pt>
                <c:pt idx="638">
                  <c:v>319</c:v>
                </c:pt>
                <c:pt idx="639">
                  <c:v>319.5</c:v>
                </c:pt>
                <c:pt idx="640">
                  <c:v>320</c:v>
                </c:pt>
                <c:pt idx="641">
                  <c:v>320.5</c:v>
                </c:pt>
                <c:pt idx="642">
                  <c:v>321</c:v>
                </c:pt>
                <c:pt idx="643">
                  <c:v>321.5</c:v>
                </c:pt>
                <c:pt idx="644">
                  <c:v>322</c:v>
                </c:pt>
                <c:pt idx="645">
                  <c:v>322.5</c:v>
                </c:pt>
                <c:pt idx="646">
                  <c:v>323</c:v>
                </c:pt>
                <c:pt idx="647">
                  <c:v>323.5</c:v>
                </c:pt>
                <c:pt idx="648">
                  <c:v>324</c:v>
                </c:pt>
                <c:pt idx="649">
                  <c:v>324.5</c:v>
                </c:pt>
                <c:pt idx="650">
                  <c:v>325</c:v>
                </c:pt>
                <c:pt idx="651">
                  <c:v>325.5</c:v>
                </c:pt>
                <c:pt idx="652">
                  <c:v>326</c:v>
                </c:pt>
                <c:pt idx="653">
                  <c:v>326.5</c:v>
                </c:pt>
                <c:pt idx="654">
                  <c:v>327</c:v>
                </c:pt>
                <c:pt idx="655">
                  <c:v>327.5</c:v>
                </c:pt>
                <c:pt idx="656">
                  <c:v>328</c:v>
                </c:pt>
                <c:pt idx="657">
                  <c:v>328.5</c:v>
                </c:pt>
                <c:pt idx="658">
                  <c:v>329</c:v>
                </c:pt>
                <c:pt idx="659">
                  <c:v>329.5</c:v>
                </c:pt>
                <c:pt idx="660">
                  <c:v>330</c:v>
                </c:pt>
                <c:pt idx="661">
                  <c:v>330.5</c:v>
                </c:pt>
                <c:pt idx="662">
                  <c:v>331</c:v>
                </c:pt>
                <c:pt idx="663">
                  <c:v>331.5</c:v>
                </c:pt>
                <c:pt idx="664">
                  <c:v>332</c:v>
                </c:pt>
                <c:pt idx="665">
                  <c:v>332.5</c:v>
                </c:pt>
                <c:pt idx="666">
                  <c:v>333</c:v>
                </c:pt>
                <c:pt idx="667">
                  <c:v>333.5</c:v>
                </c:pt>
                <c:pt idx="668">
                  <c:v>334</c:v>
                </c:pt>
                <c:pt idx="669">
                  <c:v>334.5</c:v>
                </c:pt>
                <c:pt idx="670">
                  <c:v>335</c:v>
                </c:pt>
                <c:pt idx="671">
                  <c:v>335.5</c:v>
                </c:pt>
                <c:pt idx="672">
                  <c:v>336</c:v>
                </c:pt>
                <c:pt idx="673">
                  <c:v>336.5</c:v>
                </c:pt>
                <c:pt idx="674">
                  <c:v>337</c:v>
                </c:pt>
                <c:pt idx="675">
                  <c:v>337.5</c:v>
                </c:pt>
                <c:pt idx="676">
                  <c:v>338</c:v>
                </c:pt>
                <c:pt idx="677">
                  <c:v>338.5</c:v>
                </c:pt>
                <c:pt idx="678">
                  <c:v>339</c:v>
                </c:pt>
                <c:pt idx="679">
                  <c:v>339.5</c:v>
                </c:pt>
                <c:pt idx="680">
                  <c:v>340</c:v>
                </c:pt>
                <c:pt idx="681">
                  <c:v>340.5</c:v>
                </c:pt>
                <c:pt idx="682">
                  <c:v>341</c:v>
                </c:pt>
                <c:pt idx="683">
                  <c:v>341.5</c:v>
                </c:pt>
                <c:pt idx="684">
                  <c:v>342</c:v>
                </c:pt>
                <c:pt idx="685">
                  <c:v>342.5</c:v>
                </c:pt>
                <c:pt idx="686">
                  <c:v>343</c:v>
                </c:pt>
                <c:pt idx="687">
                  <c:v>343.5</c:v>
                </c:pt>
                <c:pt idx="688">
                  <c:v>344</c:v>
                </c:pt>
                <c:pt idx="689">
                  <c:v>344.5</c:v>
                </c:pt>
                <c:pt idx="690">
                  <c:v>345</c:v>
                </c:pt>
                <c:pt idx="691">
                  <c:v>345.5</c:v>
                </c:pt>
                <c:pt idx="692">
                  <c:v>346</c:v>
                </c:pt>
                <c:pt idx="693">
                  <c:v>346.5</c:v>
                </c:pt>
                <c:pt idx="694">
                  <c:v>347</c:v>
                </c:pt>
                <c:pt idx="695">
                  <c:v>347.5</c:v>
                </c:pt>
                <c:pt idx="696">
                  <c:v>348</c:v>
                </c:pt>
                <c:pt idx="697">
                  <c:v>348.5</c:v>
                </c:pt>
                <c:pt idx="698">
                  <c:v>349</c:v>
                </c:pt>
                <c:pt idx="699">
                  <c:v>349.5</c:v>
                </c:pt>
                <c:pt idx="700">
                  <c:v>350</c:v>
                </c:pt>
                <c:pt idx="701">
                  <c:v>350.5</c:v>
                </c:pt>
                <c:pt idx="702">
                  <c:v>351</c:v>
                </c:pt>
                <c:pt idx="703">
                  <c:v>351.5</c:v>
                </c:pt>
                <c:pt idx="704">
                  <c:v>352</c:v>
                </c:pt>
                <c:pt idx="705">
                  <c:v>352.5</c:v>
                </c:pt>
                <c:pt idx="706">
                  <c:v>353</c:v>
                </c:pt>
                <c:pt idx="707">
                  <c:v>353.5</c:v>
                </c:pt>
                <c:pt idx="708">
                  <c:v>354</c:v>
                </c:pt>
                <c:pt idx="709">
                  <c:v>354.5</c:v>
                </c:pt>
                <c:pt idx="710">
                  <c:v>355</c:v>
                </c:pt>
                <c:pt idx="711">
                  <c:v>355.5</c:v>
                </c:pt>
                <c:pt idx="712">
                  <c:v>356</c:v>
                </c:pt>
                <c:pt idx="713">
                  <c:v>356.5</c:v>
                </c:pt>
                <c:pt idx="714">
                  <c:v>357</c:v>
                </c:pt>
                <c:pt idx="715">
                  <c:v>357.5</c:v>
                </c:pt>
                <c:pt idx="716">
                  <c:v>358</c:v>
                </c:pt>
                <c:pt idx="717">
                  <c:v>358.5</c:v>
                </c:pt>
                <c:pt idx="718">
                  <c:v>359</c:v>
                </c:pt>
                <c:pt idx="719">
                  <c:v>359.5</c:v>
                </c:pt>
                <c:pt idx="720">
                  <c:v>360</c:v>
                </c:pt>
                <c:pt idx="721">
                  <c:v>360.5</c:v>
                </c:pt>
                <c:pt idx="722">
                  <c:v>361</c:v>
                </c:pt>
                <c:pt idx="723">
                  <c:v>361.5</c:v>
                </c:pt>
                <c:pt idx="724">
                  <c:v>362</c:v>
                </c:pt>
                <c:pt idx="725">
                  <c:v>362.5</c:v>
                </c:pt>
                <c:pt idx="726">
                  <c:v>363</c:v>
                </c:pt>
                <c:pt idx="727">
                  <c:v>363.5</c:v>
                </c:pt>
                <c:pt idx="728">
                  <c:v>364</c:v>
                </c:pt>
                <c:pt idx="729">
                  <c:v>364.5</c:v>
                </c:pt>
                <c:pt idx="730">
                  <c:v>365</c:v>
                </c:pt>
                <c:pt idx="731">
                  <c:v>365.5</c:v>
                </c:pt>
                <c:pt idx="732">
                  <c:v>366</c:v>
                </c:pt>
                <c:pt idx="733">
                  <c:v>366.5</c:v>
                </c:pt>
                <c:pt idx="734">
                  <c:v>367</c:v>
                </c:pt>
                <c:pt idx="735">
                  <c:v>367.5</c:v>
                </c:pt>
                <c:pt idx="736">
                  <c:v>368</c:v>
                </c:pt>
                <c:pt idx="737">
                  <c:v>368.5</c:v>
                </c:pt>
                <c:pt idx="738">
                  <c:v>369</c:v>
                </c:pt>
                <c:pt idx="739">
                  <c:v>369.5</c:v>
                </c:pt>
                <c:pt idx="740">
                  <c:v>370</c:v>
                </c:pt>
                <c:pt idx="741">
                  <c:v>370.5</c:v>
                </c:pt>
                <c:pt idx="742">
                  <c:v>371</c:v>
                </c:pt>
                <c:pt idx="743">
                  <c:v>371.5</c:v>
                </c:pt>
                <c:pt idx="744">
                  <c:v>372</c:v>
                </c:pt>
                <c:pt idx="745">
                  <c:v>372.5</c:v>
                </c:pt>
                <c:pt idx="746">
                  <c:v>373</c:v>
                </c:pt>
                <c:pt idx="747">
                  <c:v>373.5</c:v>
                </c:pt>
                <c:pt idx="748">
                  <c:v>374</c:v>
                </c:pt>
                <c:pt idx="749">
                  <c:v>374.5</c:v>
                </c:pt>
                <c:pt idx="750">
                  <c:v>375</c:v>
                </c:pt>
                <c:pt idx="751">
                  <c:v>375.5</c:v>
                </c:pt>
                <c:pt idx="752">
                  <c:v>376</c:v>
                </c:pt>
                <c:pt idx="753">
                  <c:v>376.5</c:v>
                </c:pt>
                <c:pt idx="754">
                  <c:v>377</c:v>
                </c:pt>
                <c:pt idx="755">
                  <c:v>377.5</c:v>
                </c:pt>
                <c:pt idx="756">
                  <c:v>378</c:v>
                </c:pt>
                <c:pt idx="757">
                  <c:v>378.5</c:v>
                </c:pt>
                <c:pt idx="758">
                  <c:v>379</c:v>
                </c:pt>
                <c:pt idx="759">
                  <c:v>379.5</c:v>
                </c:pt>
                <c:pt idx="760">
                  <c:v>380</c:v>
                </c:pt>
                <c:pt idx="761">
                  <c:v>380.5</c:v>
                </c:pt>
                <c:pt idx="762">
                  <c:v>381</c:v>
                </c:pt>
                <c:pt idx="763">
                  <c:v>381.5</c:v>
                </c:pt>
                <c:pt idx="764">
                  <c:v>382</c:v>
                </c:pt>
                <c:pt idx="765">
                  <c:v>382.5</c:v>
                </c:pt>
                <c:pt idx="766">
                  <c:v>383</c:v>
                </c:pt>
                <c:pt idx="767">
                  <c:v>383.5</c:v>
                </c:pt>
                <c:pt idx="768">
                  <c:v>384</c:v>
                </c:pt>
                <c:pt idx="769">
                  <c:v>384.5</c:v>
                </c:pt>
                <c:pt idx="770">
                  <c:v>385</c:v>
                </c:pt>
                <c:pt idx="771">
                  <c:v>385.5</c:v>
                </c:pt>
                <c:pt idx="772">
                  <c:v>386</c:v>
                </c:pt>
                <c:pt idx="773">
                  <c:v>386.5</c:v>
                </c:pt>
                <c:pt idx="774">
                  <c:v>387</c:v>
                </c:pt>
                <c:pt idx="775">
                  <c:v>387.5</c:v>
                </c:pt>
                <c:pt idx="776">
                  <c:v>388</c:v>
                </c:pt>
                <c:pt idx="777">
                  <c:v>388.5</c:v>
                </c:pt>
                <c:pt idx="778">
                  <c:v>389</c:v>
                </c:pt>
                <c:pt idx="779">
                  <c:v>389.5</c:v>
                </c:pt>
                <c:pt idx="780">
                  <c:v>390</c:v>
                </c:pt>
                <c:pt idx="781">
                  <c:v>390.5</c:v>
                </c:pt>
                <c:pt idx="782">
                  <c:v>391</c:v>
                </c:pt>
                <c:pt idx="783">
                  <c:v>391.5</c:v>
                </c:pt>
                <c:pt idx="784">
                  <c:v>392</c:v>
                </c:pt>
                <c:pt idx="785">
                  <c:v>392.5</c:v>
                </c:pt>
                <c:pt idx="786">
                  <c:v>393</c:v>
                </c:pt>
                <c:pt idx="787">
                  <c:v>393.5</c:v>
                </c:pt>
                <c:pt idx="788">
                  <c:v>394</c:v>
                </c:pt>
                <c:pt idx="789">
                  <c:v>394.5</c:v>
                </c:pt>
                <c:pt idx="790">
                  <c:v>395</c:v>
                </c:pt>
                <c:pt idx="791">
                  <c:v>395.5</c:v>
                </c:pt>
                <c:pt idx="792">
                  <c:v>396</c:v>
                </c:pt>
                <c:pt idx="793">
                  <c:v>396.5</c:v>
                </c:pt>
                <c:pt idx="794">
                  <c:v>397</c:v>
                </c:pt>
                <c:pt idx="795">
                  <c:v>397.5</c:v>
                </c:pt>
                <c:pt idx="796">
                  <c:v>398</c:v>
                </c:pt>
                <c:pt idx="797">
                  <c:v>398.5</c:v>
                </c:pt>
                <c:pt idx="798">
                  <c:v>399</c:v>
                </c:pt>
                <c:pt idx="799">
                  <c:v>399.5</c:v>
                </c:pt>
                <c:pt idx="800">
                  <c:v>400</c:v>
                </c:pt>
                <c:pt idx="801">
                  <c:v>400.5</c:v>
                </c:pt>
                <c:pt idx="802">
                  <c:v>401</c:v>
                </c:pt>
                <c:pt idx="803">
                  <c:v>401.5</c:v>
                </c:pt>
                <c:pt idx="804">
                  <c:v>402</c:v>
                </c:pt>
                <c:pt idx="805">
                  <c:v>402.5</c:v>
                </c:pt>
                <c:pt idx="806">
                  <c:v>403</c:v>
                </c:pt>
                <c:pt idx="807">
                  <c:v>403.5</c:v>
                </c:pt>
                <c:pt idx="808">
                  <c:v>404</c:v>
                </c:pt>
                <c:pt idx="809">
                  <c:v>404.5</c:v>
                </c:pt>
                <c:pt idx="810">
                  <c:v>405</c:v>
                </c:pt>
                <c:pt idx="811">
                  <c:v>405.5</c:v>
                </c:pt>
                <c:pt idx="812">
                  <c:v>406</c:v>
                </c:pt>
                <c:pt idx="813">
                  <c:v>406.5</c:v>
                </c:pt>
                <c:pt idx="814">
                  <c:v>407</c:v>
                </c:pt>
                <c:pt idx="815">
                  <c:v>407.5</c:v>
                </c:pt>
                <c:pt idx="816">
                  <c:v>408</c:v>
                </c:pt>
                <c:pt idx="817">
                  <c:v>408.5</c:v>
                </c:pt>
                <c:pt idx="818">
                  <c:v>409</c:v>
                </c:pt>
                <c:pt idx="819">
                  <c:v>409.5</c:v>
                </c:pt>
                <c:pt idx="820">
                  <c:v>410</c:v>
                </c:pt>
                <c:pt idx="821">
                  <c:v>410.5</c:v>
                </c:pt>
                <c:pt idx="822">
                  <c:v>411</c:v>
                </c:pt>
                <c:pt idx="823">
                  <c:v>411.5</c:v>
                </c:pt>
                <c:pt idx="824">
                  <c:v>412</c:v>
                </c:pt>
                <c:pt idx="825">
                  <c:v>412.5</c:v>
                </c:pt>
                <c:pt idx="826">
                  <c:v>413</c:v>
                </c:pt>
                <c:pt idx="827">
                  <c:v>413.5</c:v>
                </c:pt>
                <c:pt idx="828">
                  <c:v>414</c:v>
                </c:pt>
                <c:pt idx="829">
                  <c:v>414.5</c:v>
                </c:pt>
                <c:pt idx="830">
                  <c:v>415</c:v>
                </c:pt>
                <c:pt idx="831">
                  <c:v>415.5</c:v>
                </c:pt>
                <c:pt idx="832">
                  <c:v>416</c:v>
                </c:pt>
                <c:pt idx="833">
                  <c:v>416.5</c:v>
                </c:pt>
                <c:pt idx="834">
                  <c:v>417</c:v>
                </c:pt>
                <c:pt idx="835">
                  <c:v>417.5</c:v>
                </c:pt>
                <c:pt idx="836">
                  <c:v>418</c:v>
                </c:pt>
                <c:pt idx="837">
                  <c:v>418.5</c:v>
                </c:pt>
                <c:pt idx="838">
                  <c:v>419</c:v>
                </c:pt>
                <c:pt idx="839">
                  <c:v>419.5</c:v>
                </c:pt>
                <c:pt idx="840">
                  <c:v>420</c:v>
                </c:pt>
                <c:pt idx="841">
                  <c:v>420.5</c:v>
                </c:pt>
                <c:pt idx="842">
                  <c:v>421</c:v>
                </c:pt>
                <c:pt idx="843">
                  <c:v>421.5</c:v>
                </c:pt>
                <c:pt idx="844">
                  <c:v>422</c:v>
                </c:pt>
                <c:pt idx="845">
                  <c:v>422.5</c:v>
                </c:pt>
                <c:pt idx="846">
                  <c:v>423</c:v>
                </c:pt>
                <c:pt idx="847">
                  <c:v>423.5</c:v>
                </c:pt>
                <c:pt idx="848">
                  <c:v>424</c:v>
                </c:pt>
                <c:pt idx="849">
                  <c:v>424.5</c:v>
                </c:pt>
                <c:pt idx="850">
                  <c:v>425</c:v>
                </c:pt>
                <c:pt idx="851">
                  <c:v>425.5</c:v>
                </c:pt>
                <c:pt idx="852">
                  <c:v>426</c:v>
                </c:pt>
                <c:pt idx="853">
                  <c:v>426.5</c:v>
                </c:pt>
                <c:pt idx="854">
                  <c:v>427</c:v>
                </c:pt>
                <c:pt idx="855">
                  <c:v>427.5</c:v>
                </c:pt>
                <c:pt idx="856">
                  <c:v>428</c:v>
                </c:pt>
                <c:pt idx="857">
                  <c:v>428.5</c:v>
                </c:pt>
                <c:pt idx="858">
                  <c:v>429</c:v>
                </c:pt>
                <c:pt idx="859">
                  <c:v>429.5</c:v>
                </c:pt>
                <c:pt idx="860">
                  <c:v>430</c:v>
                </c:pt>
                <c:pt idx="861">
                  <c:v>430.5</c:v>
                </c:pt>
                <c:pt idx="862">
                  <c:v>431</c:v>
                </c:pt>
                <c:pt idx="863">
                  <c:v>431.5</c:v>
                </c:pt>
                <c:pt idx="864">
                  <c:v>432</c:v>
                </c:pt>
                <c:pt idx="865">
                  <c:v>432.5</c:v>
                </c:pt>
                <c:pt idx="866">
                  <c:v>433</c:v>
                </c:pt>
                <c:pt idx="867">
                  <c:v>433.5</c:v>
                </c:pt>
                <c:pt idx="868">
                  <c:v>434</c:v>
                </c:pt>
                <c:pt idx="869">
                  <c:v>434.5</c:v>
                </c:pt>
                <c:pt idx="870">
                  <c:v>435</c:v>
                </c:pt>
                <c:pt idx="871">
                  <c:v>435.5</c:v>
                </c:pt>
                <c:pt idx="872">
                  <c:v>436</c:v>
                </c:pt>
                <c:pt idx="873">
                  <c:v>436.5</c:v>
                </c:pt>
                <c:pt idx="874">
                  <c:v>437</c:v>
                </c:pt>
                <c:pt idx="875">
                  <c:v>437.5</c:v>
                </c:pt>
                <c:pt idx="876">
                  <c:v>438</c:v>
                </c:pt>
                <c:pt idx="877">
                  <c:v>438.5</c:v>
                </c:pt>
                <c:pt idx="878">
                  <c:v>439</c:v>
                </c:pt>
                <c:pt idx="879">
                  <c:v>439.5</c:v>
                </c:pt>
                <c:pt idx="880">
                  <c:v>440</c:v>
                </c:pt>
                <c:pt idx="881">
                  <c:v>440.5</c:v>
                </c:pt>
                <c:pt idx="882">
                  <c:v>441</c:v>
                </c:pt>
                <c:pt idx="883">
                  <c:v>441.5</c:v>
                </c:pt>
                <c:pt idx="884">
                  <c:v>442</c:v>
                </c:pt>
                <c:pt idx="885">
                  <c:v>442.5</c:v>
                </c:pt>
                <c:pt idx="886">
                  <c:v>443</c:v>
                </c:pt>
                <c:pt idx="887">
                  <c:v>443.5</c:v>
                </c:pt>
                <c:pt idx="888">
                  <c:v>444</c:v>
                </c:pt>
                <c:pt idx="889">
                  <c:v>444.5</c:v>
                </c:pt>
                <c:pt idx="890">
                  <c:v>445</c:v>
                </c:pt>
                <c:pt idx="891">
                  <c:v>445.5</c:v>
                </c:pt>
                <c:pt idx="892">
                  <c:v>446</c:v>
                </c:pt>
                <c:pt idx="893">
                  <c:v>446.5</c:v>
                </c:pt>
                <c:pt idx="894">
                  <c:v>447</c:v>
                </c:pt>
                <c:pt idx="895">
                  <c:v>447.5</c:v>
                </c:pt>
                <c:pt idx="896">
                  <c:v>448</c:v>
                </c:pt>
                <c:pt idx="897">
                  <c:v>448.5</c:v>
                </c:pt>
                <c:pt idx="898">
                  <c:v>449</c:v>
                </c:pt>
                <c:pt idx="899">
                  <c:v>449.5</c:v>
                </c:pt>
                <c:pt idx="900">
                  <c:v>450</c:v>
                </c:pt>
                <c:pt idx="901">
                  <c:v>450.5</c:v>
                </c:pt>
                <c:pt idx="902">
                  <c:v>451</c:v>
                </c:pt>
                <c:pt idx="903">
                  <c:v>451.5</c:v>
                </c:pt>
                <c:pt idx="904">
                  <c:v>452</c:v>
                </c:pt>
                <c:pt idx="905">
                  <c:v>452.5</c:v>
                </c:pt>
                <c:pt idx="906">
                  <c:v>453</c:v>
                </c:pt>
                <c:pt idx="907">
                  <c:v>453.5</c:v>
                </c:pt>
                <c:pt idx="908">
                  <c:v>454</c:v>
                </c:pt>
                <c:pt idx="909">
                  <c:v>454.5</c:v>
                </c:pt>
                <c:pt idx="910">
                  <c:v>455</c:v>
                </c:pt>
                <c:pt idx="911">
                  <c:v>455.5</c:v>
                </c:pt>
                <c:pt idx="912">
                  <c:v>456</c:v>
                </c:pt>
                <c:pt idx="913">
                  <c:v>456.5</c:v>
                </c:pt>
                <c:pt idx="914">
                  <c:v>457</c:v>
                </c:pt>
                <c:pt idx="915">
                  <c:v>457.5</c:v>
                </c:pt>
                <c:pt idx="916">
                  <c:v>458</c:v>
                </c:pt>
                <c:pt idx="917">
                  <c:v>458.5</c:v>
                </c:pt>
                <c:pt idx="918">
                  <c:v>459</c:v>
                </c:pt>
                <c:pt idx="919">
                  <c:v>459.5</c:v>
                </c:pt>
                <c:pt idx="920">
                  <c:v>460</c:v>
                </c:pt>
                <c:pt idx="921">
                  <c:v>460.5</c:v>
                </c:pt>
                <c:pt idx="922">
                  <c:v>461</c:v>
                </c:pt>
                <c:pt idx="923">
                  <c:v>461.5</c:v>
                </c:pt>
                <c:pt idx="924">
                  <c:v>462</c:v>
                </c:pt>
                <c:pt idx="925">
                  <c:v>462.5</c:v>
                </c:pt>
                <c:pt idx="926">
                  <c:v>463</c:v>
                </c:pt>
                <c:pt idx="927">
                  <c:v>463.5</c:v>
                </c:pt>
                <c:pt idx="928">
                  <c:v>464</c:v>
                </c:pt>
                <c:pt idx="929">
                  <c:v>464.5</c:v>
                </c:pt>
                <c:pt idx="930">
                  <c:v>465</c:v>
                </c:pt>
                <c:pt idx="931">
                  <c:v>465.5</c:v>
                </c:pt>
                <c:pt idx="932">
                  <c:v>466</c:v>
                </c:pt>
                <c:pt idx="933">
                  <c:v>466.5</c:v>
                </c:pt>
                <c:pt idx="934">
                  <c:v>467</c:v>
                </c:pt>
                <c:pt idx="935">
                  <c:v>467.5</c:v>
                </c:pt>
                <c:pt idx="936">
                  <c:v>468</c:v>
                </c:pt>
                <c:pt idx="937">
                  <c:v>468.5</c:v>
                </c:pt>
                <c:pt idx="938">
                  <c:v>469</c:v>
                </c:pt>
                <c:pt idx="939">
                  <c:v>469.5</c:v>
                </c:pt>
                <c:pt idx="940">
                  <c:v>470</c:v>
                </c:pt>
                <c:pt idx="941">
                  <c:v>470.5</c:v>
                </c:pt>
                <c:pt idx="942">
                  <c:v>471</c:v>
                </c:pt>
                <c:pt idx="943">
                  <c:v>471.5</c:v>
                </c:pt>
                <c:pt idx="944">
                  <c:v>472</c:v>
                </c:pt>
                <c:pt idx="945">
                  <c:v>472.5</c:v>
                </c:pt>
                <c:pt idx="946">
                  <c:v>473</c:v>
                </c:pt>
                <c:pt idx="947">
                  <c:v>473.5</c:v>
                </c:pt>
                <c:pt idx="948">
                  <c:v>474</c:v>
                </c:pt>
                <c:pt idx="949">
                  <c:v>474.5</c:v>
                </c:pt>
                <c:pt idx="950">
                  <c:v>475</c:v>
                </c:pt>
                <c:pt idx="951">
                  <c:v>475.5</c:v>
                </c:pt>
                <c:pt idx="952">
                  <c:v>476</c:v>
                </c:pt>
                <c:pt idx="953">
                  <c:v>476.5</c:v>
                </c:pt>
                <c:pt idx="954">
                  <c:v>477</c:v>
                </c:pt>
                <c:pt idx="955">
                  <c:v>477.5</c:v>
                </c:pt>
                <c:pt idx="956">
                  <c:v>478</c:v>
                </c:pt>
                <c:pt idx="957">
                  <c:v>478.5</c:v>
                </c:pt>
                <c:pt idx="958">
                  <c:v>479</c:v>
                </c:pt>
                <c:pt idx="959">
                  <c:v>479.5</c:v>
                </c:pt>
                <c:pt idx="960">
                  <c:v>480</c:v>
                </c:pt>
                <c:pt idx="961">
                  <c:v>480.5</c:v>
                </c:pt>
                <c:pt idx="962">
                  <c:v>481</c:v>
                </c:pt>
                <c:pt idx="963">
                  <c:v>481.5</c:v>
                </c:pt>
                <c:pt idx="964">
                  <c:v>482</c:v>
                </c:pt>
                <c:pt idx="965">
                  <c:v>482.5</c:v>
                </c:pt>
                <c:pt idx="966">
                  <c:v>483</c:v>
                </c:pt>
                <c:pt idx="967">
                  <c:v>483.5</c:v>
                </c:pt>
                <c:pt idx="968">
                  <c:v>484</c:v>
                </c:pt>
                <c:pt idx="969">
                  <c:v>484.5</c:v>
                </c:pt>
                <c:pt idx="970">
                  <c:v>485</c:v>
                </c:pt>
                <c:pt idx="971">
                  <c:v>485.5</c:v>
                </c:pt>
                <c:pt idx="972">
                  <c:v>486</c:v>
                </c:pt>
                <c:pt idx="973">
                  <c:v>486.5</c:v>
                </c:pt>
                <c:pt idx="974">
                  <c:v>487</c:v>
                </c:pt>
                <c:pt idx="975">
                  <c:v>487.5</c:v>
                </c:pt>
                <c:pt idx="976">
                  <c:v>488</c:v>
                </c:pt>
                <c:pt idx="977">
                  <c:v>488.5</c:v>
                </c:pt>
                <c:pt idx="978">
                  <c:v>489</c:v>
                </c:pt>
                <c:pt idx="979">
                  <c:v>489.5</c:v>
                </c:pt>
                <c:pt idx="980">
                  <c:v>490</c:v>
                </c:pt>
                <c:pt idx="981">
                  <c:v>490.5</c:v>
                </c:pt>
                <c:pt idx="982">
                  <c:v>491</c:v>
                </c:pt>
                <c:pt idx="983">
                  <c:v>491.5</c:v>
                </c:pt>
                <c:pt idx="984">
                  <c:v>492</c:v>
                </c:pt>
                <c:pt idx="985">
                  <c:v>492.5</c:v>
                </c:pt>
                <c:pt idx="986">
                  <c:v>493</c:v>
                </c:pt>
                <c:pt idx="987">
                  <c:v>493.5</c:v>
                </c:pt>
                <c:pt idx="988">
                  <c:v>494</c:v>
                </c:pt>
                <c:pt idx="989">
                  <c:v>494.5</c:v>
                </c:pt>
                <c:pt idx="990">
                  <c:v>495</c:v>
                </c:pt>
                <c:pt idx="991">
                  <c:v>495.5</c:v>
                </c:pt>
                <c:pt idx="992">
                  <c:v>496</c:v>
                </c:pt>
                <c:pt idx="993">
                  <c:v>496.5</c:v>
                </c:pt>
                <c:pt idx="994">
                  <c:v>497</c:v>
                </c:pt>
                <c:pt idx="995">
                  <c:v>497.5</c:v>
                </c:pt>
                <c:pt idx="996">
                  <c:v>498</c:v>
                </c:pt>
                <c:pt idx="997">
                  <c:v>498.5</c:v>
                </c:pt>
              </c:numCache>
            </c:numRef>
          </c:xVal>
          <c:yVal>
            <c:numRef>
              <c:f>Input!$O$3:$O$1000</c:f>
              <c:numCache>
                <c:formatCode>General</c:formatCode>
                <c:ptCount val="998"/>
                <c:pt idx="0">
                  <c:v>21.01513671875</c:v>
                </c:pt>
                <c:pt idx="1">
                  <c:v>21.007684707641602</c:v>
                </c:pt>
                <c:pt idx="2">
                  <c:v>21.675853729248047</c:v>
                </c:pt>
                <c:pt idx="3">
                  <c:v>22.415407180786133</c:v>
                </c:pt>
                <c:pt idx="4">
                  <c:v>22.262922286987305</c:v>
                </c:pt>
                <c:pt idx="5">
                  <c:v>22.493438720703125</c:v>
                </c:pt>
                <c:pt idx="6">
                  <c:v>23.020359039306641</c:v>
                </c:pt>
                <c:pt idx="7">
                  <c:v>22.495538711547852</c:v>
                </c:pt>
                <c:pt idx="8">
                  <c:v>22.752571105957031</c:v>
                </c:pt>
                <c:pt idx="9">
                  <c:v>22.693227767944336</c:v>
                </c:pt>
                <c:pt idx="10">
                  <c:v>21.951101303100586</c:v>
                </c:pt>
                <c:pt idx="11">
                  <c:v>21.804544448852539</c:v>
                </c:pt>
                <c:pt idx="12">
                  <c:v>21.567226409912109</c:v>
                </c:pt>
                <c:pt idx="13">
                  <c:v>21.138618469238281</c:v>
                </c:pt>
                <c:pt idx="14">
                  <c:v>20.868322372436523</c:v>
                </c:pt>
                <c:pt idx="15">
                  <c:v>20.563938140869141</c:v>
                </c:pt>
                <c:pt idx="16">
                  <c:v>20.23554801940918</c:v>
                </c:pt>
                <c:pt idx="17">
                  <c:v>20.050765991210938</c:v>
                </c:pt>
                <c:pt idx="18">
                  <c:v>20.03968620300293</c:v>
                </c:pt>
                <c:pt idx="19">
                  <c:v>19.943626403808594</c:v>
                </c:pt>
                <c:pt idx="20">
                  <c:v>19.580469131469727</c:v>
                </c:pt>
                <c:pt idx="21">
                  <c:v>19.430952072143555</c:v>
                </c:pt>
                <c:pt idx="22">
                  <c:v>19.065238952636719</c:v>
                </c:pt>
                <c:pt idx="23">
                  <c:v>18.55150032043457</c:v>
                </c:pt>
                <c:pt idx="24">
                  <c:v>18.425754547119141</c:v>
                </c:pt>
                <c:pt idx="25">
                  <c:v>18.281700134277344</c:v>
                </c:pt>
                <c:pt idx="26">
                  <c:v>18.348020553588867</c:v>
                </c:pt>
                <c:pt idx="27">
                  <c:v>18.51756477355957</c:v>
                </c:pt>
                <c:pt idx="28">
                  <c:v>18.51240348815918</c:v>
                </c:pt>
                <c:pt idx="29">
                  <c:v>18.310115814208984</c:v>
                </c:pt>
                <c:pt idx="30">
                  <c:v>18.275632858276367</c:v>
                </c:pt>
                <c:pt idx="31">
                  <c:v>18.232021331787109</c:v>
                </c:pt>
                <c:pt idx="32">
                  <c:v>18.304910659790039</c:v>
                </c:pt>
                <c:pt idx="33">
                  <c:v>17.953659057617188</c:v>
                </c:pt>
                <c:pt idx="34">
                  <c:v>17.800291061401367</c:v>
                </c:pt>
                <c:pt idx="35">
                  <c:v>17.685506820678711</c:v>
                </c:pt>
                <c:pt idx="36">
                  <c:v>17.422063827514648</c:v>
                </c:pt>
                <c:pt idx="37">
                  <c:v>16.835535049438477</c:v>
                </c:pt>
                <c:pt idx="38">
                  <c:v>16.59889030456543</c:v>
                </c:pt>
                <c:pt idx="39">
                  <c:v>16.402141571044922</c:v>
                </c:pt>
                <c:pt idx="40">
                  <c:v>16.213493347167969</c:v>
                </c:pt>
                <c:pt idx="41">
                  <c:v>16.064878463745117</c:v>
                </c:pt>
                <c:pt idx="42">
                  <c:v>15.982425689697266</c:v>
                </c:pt>
                <c:pt idx="43">
                  <c:v>15.754250526428223</c:v>
                </c:pt>
                <c:pt idx="44">
                  <c:v>15.684931755065918</c:v>
                </c:pt>
                <c:pt idx="45">
                  <c:v>15.833389282226563</c:v>
                </c:pt>
                <c:pt idx="46">
                  <c:v>15.769928932189941</c:v>
                </c:pt>
                <c:pt idx="47">
                  <c:v>15.363547325134277</c:v>
                </c:pt>
                <c:pt idx="48">
                  <c:v>15.115060806274414</c:v>
                </c:pt>
                <c:pt idx="49">
                  <c:v>15.069987297058105</c:v>
                </c:pt>
                <c:pt idx="50">
                  <c:v>14.835309982299805</c:v>
                </c:pt>
                <c:pt idx="51">
                  <c:v>14.759791374206543</c:v>
                </c:pt>
                <c:pt idx="52">
                  <c:v>14.724620819091797</c:v>
                </c:pt>
                <c:pt idx="53">
                  <c:v>14.838786125183105</c:v>
                </c:pt>
                <c:pt idx="54">
                  <c:v>14.620518684387207</c:v>
                </c:pt>
                <c:pt idx="55">
                  <c:v>14.538589477539063</c:v>
                </c:pt>
                <c:pt idx="56">
                  <c:v>14.727105140686035</c:v>
                </c:pt>
                <c:pt idx="57">
                  <c:v>14.701017379760742</c:v>
                </c:pt>
                <c:pt idx="58">
                  <c:v>14.733448028564453</c:v>
                </c:pt>
                <c:pt idx="59">
                  <c:v>14.715672492980957</c:v>
                </c:pt>
                <c:pt idx="60">
                  <c:v>14.663126945495605</c:v>
                </c:pt>
                <c:pt idx="61">
                  <c:v>14.463230133056641</c:v>
                </c:pt>
                <c:pt idx="62">
                  <c:v>14.52146053314209</c:v>
                </c:pt>
                <c:pt idx="63">
                  <c:v>14.358891487121582</c:v>
                </c:pt>
                <c:pt idx="64">
                  <c:v>14.371520042419434</c:v>
                </c:pt>
                <c:pt idx="65">
                  <c:v>14.297616958618164</c:v>
                </c:pt>
                <c:pt idx="66">
                  <c:v>14.20329475402832</c:v>
                </c:pt>
                <c:pt idx="67">
                  <c:v>13.855196952819824</c:v>
                </c:pt>
                <c:pt idx="68">
                  <c:v>13.302038192749023</c:v>
                </c:pt>
                <c:pt idx="69">
                  <c:v>12.658771514892578</c:v>
                </c:pt>
                <c:pt idx="70">
                  <c:v>12.715468406677246</c:v>
                </c:pt>
                <c:pt idx="71">
                  <c:v>12.628347396850586</c:v>
                </c:pt>
                <c:pt idx="72">
                  <c:v>12.591670989990234</c:v>
                </c:pt>
                <c:pt idx="73">
                  <c:v>12.596765518188477</c:v>
                </c:pt>
                <c:pt idx="74">
                  <c:v>12.542790412902832</c:v>
                </c:pt>
                <c:pt idx="75">
                  <c:v>12.374983787536621</c:v>
                </c:pt>
                <c:pt idx="76">
                  <c:v>12.092886924743652</c:v>
                </c:pt>
                <c:pt idx="77">
                  <c:v>12.126172065734863</c:v>
                </c:pt>
                <c:pt idx="78">
                  <c:v>12.143109321594238</c:v>
                </c:pt>
                <c:pt idx="79">
                  <c:v>12.045713424682617</c:v>
                </c:pt>
                <c:pt idx="80">
                  <c:v>11.985208511352539</c:v>
                </c:pt>
                <c:pt idx="81">
                  <c:v>12.100397109985352</c:v>
                </c:pt>
                <c:pt idx="82">
                  <c:v>11.978903770446777</c:v>
                </c:pt>
                <c:pt idx="83">
                  <c:v>11.979135513305664</c:v>
                </c:pt>
                <c:pt idx="84">
                  <c:v>11.921005249023438</c:v>
                </c:pt>
                <c:pt idx="85">
                  <c:v>11.468219757080078</c:v>
                </c:pt>
                <c:pt idx="86">
                  <c:v>11.418219566345215</c:v>
                </c:pt>
                <c:pt idx="87">
                  <c:v>11.452596664428711</c:v>
                </c:pt>
                <c:pt idx="88">
                  <c:v>11.679763793945313</c:v>
                </c:pt>
                <c:pt idx="89">
                  <c:v>11.871337890625</c:v>
                </c:pt>
                <c:pt idx="90">
                  <c:v>11.715227127075195</c:v>
                </c:pt>
                <c:pt idx="91">
                  <c:v>11.353458404541016</c:v>
                </c:pt>
                <c:pt idx="92">
                  <c:v>11.221808433532715</c:v>
                </c:pt>
                <c:pt idx="93">
                  <c:v>11.230410575866699</c:v>
                </c:pt>
                <c:pt idx="94">
                  <c:v>11.158703804016113</c:v>
                </c:pt>
                <c:pt idx="95">
                  <c:v>10.995682716369629</c:v>
                </c:pt>
                <c:pt idx="96">
                  <c:v>10.889538764953613</c:v>
                </c:pt>
                <c:pt idx="97">
                  <c:v>10.729946136474609</c:v>
                </c:pt>
                <c:pt idx="98">
                  <c:v>10.831540107727051</c:v>
                </c:pt>
                <c:pt idx="99">
                  <c:v>10.805952072143555</c:v>
                </c:pt>
                <c:pt idx="100">
                  <c:v>10.839366912841797</c:v>
                </c:pt>
                <c:pt idx="101">
                  <c:v>10.994101524353027</c:v>
                </c:pt>
                <c:pt idx="102">
                  <c:v>10.96030330657959</c:v>
                </c:pt>
                <c:pt idx="103">
                  <c:v>10.84982967376709</c:v>
                </c:pt>
                <c:pt idx="104">
                  <c:v>10.566715240478516</c:v>
                </c:pt>
                <c:pt idx="105">
                  <c:v>10.36747932434082</c:v>
                </c:pt>
                <c:pt idx="106">
                  <c:v>10.334668159484863</c:v>
                </c:pt>
                <c:pt idx="107">
                  <c:v>10.270628929138184</c:v>
                </c:pt>
                <c:pt idx="108">
                  <c:v>10.272905349731445</c:v>
                </c:pt>
                <c:pt idx="109">
                  <c:v>10.178146362304688</c:v>
                </c:pt>
                <c:pt idx="110">
                  <c:v>10.072853088378906</c:v>
                </c:pt>
                <c:pt idx="111">
                  <c:v>10.110956192016602</c:v>
                </c:pt>
                <c:pt idx="112">
                  <c:v>10.165653228759766</c:v>
                </c:pt>
                <c:pt idx="113">
                  <c:v>10.168098449707031</c:v>
                </c:pt>
                <c:pt idx="114">
                  <c:v>10.170675277709961</c:v>
                </c:pt>
                <c:pt idx="115">
                  <c:v>10.055658340454102</c:v>
                </c:pt>
                <c:pt idx="116">
                  <c:v>10.0125732421875</c:v>
                </c:pt>
                <c:pt idx="117">
                  <c:v>9.9265766143798828</c:v>
                </c:pt>
                <c:pt idx="118">
                  <c:v>9.9669504165649414</c:v>
                </c:pt>
                <c:pt idx="119">
                  <c:v>9.9816770553588867</c:v>
                </c:pt>
                <c:pt idx="120">
                  <c:v>9.7781028747558594</c:v>
                </c:pt>
                <c:pt idx="121">
                  <c:v>9.7242155075073242</c:v>
                </c:pt>
                <c:pt idx="122">
                  <c:v>9.6853170394897461</c:v>
                </c:pt>
                <c:pt idx="123">
                  <c:v>9.8162345886230469</c:v>
                </c:pt>
                <c:pt idx="124">
                  <c:v>9.9146785736083984</c:v>
                </c:pt>
                <c:pt idx="125">
                  <c:v>9.9065647125244141</c:v>
                </c:pt>
                <c:pt idx="126">
                  <c:v>9.8833179473876953</c:v>
                </c:pt>
                <c:pt idx="127">
                  <c:v>9.5981788635253906</c:v>
                </c:pt>
                <c:pt idx="128">
                  <c:v>9.8656387329101563</c:v>
                </c:pt>
                <c:pt idx="129">
                  <c:v>9.8321828842163086</c:v>
                </c:pt>
                <c:pt idx="130">
                  <c:v>9.7991065979003906</c:v>
                </c:pt>
                <c:pt idx="131">
                  <c:v>9.720454216003418</c:v>
                </c:pt>
                <c:pt idx="132">
                  <c:v>9.5119867324829102</c:v>
                </c:pt>
                <c:pt idx="133">
                  <c:v>9.5682182312011719</c:v>
                </c:pt>
                <c:pt idx="134">
                  <c:v>9.6541833877563477</c:v>
                </c:pt>
                <c:pt idx="135">
                  <c:v>9.6048145294189453</c:v>
                </c:pt>
                <c:pt idx="136">
                  <c:v>9.4938125610351563</c:v>
                </c:pt>
                <c:pt idx="137">
                  <c:v>9.5669345855712891</c:v>
                </c:pt>
                <c:pt idx="138">
                  <c:v>9.6053810119628906</c:v>
                </c:pt>
                <c:pt idx="139">
                  <c:v>9.5957317352294922</c:v>
                </c:pt>
                <c:pt idx="140">
                  <c:v>9.5224714279174805</c:v>
                </c:pt>
                <c:pt idx="141">
                  <c:v>9.5185117721557617</c:v>
                </c:pt>
                <c:pt idx="142">
                  <c:v>9.5554285049438477</c:v>
                </c:pt>
                <c:pt idx="143">
                  <c:v>9.5212574005126953</c:v>
                </c:pt>
                <c:pt idx="144">
                  <c:v>9.5305452346801758</c:v>
                </c:pt>
                <c:pt idx="145">
                  <c:v>9.5194082260131836</c:v>
                </c:pt>
                <c:pt idx="146">
                  <c:v>9.481236457824707</c:v>
                </c:pt>
                <c:pt idx="147">
                  <c:v>9.4472379684448242</c:v>
                </c:pt>
                <c:pt idx="148">
                  <c:v>9.5346794128417969</c:v>
                </c:pt>
                <c:pt idx="149">
                  <c:v>9.4768009185791016</c:v>
                </c:pt>
                <c:pt idx="150">
                  <c:v>9.5527744293212891</c:v>
                </c:pt>
                <c:pt idx="151">
                  <c:v>9.6252002716064453</c:v>
                </c:pt>
                <c:pt idx="152">
                  <c:v>9.5318470001220703</c:v>
                </c:pt>
                <c:pt idx="153">
                  <c:v>9.5048246383666992</c:v>
                </c:pt>
                <c:pt idx="154">
                  <c:v>9.5459136962890625</c:v>
                </c:pt>
                <c:pt idx="155">
                  <c:v>9.5392093658447266</c:v>
                </c:pt>
                <c:pt idx="156">
                  <c:v>9.5584726333618164</c:v>
                </c:pt>
                <c:pt idx="157">
                  <c:v>9.54931640625</c:v>
                </c:pt>
                <c:pt idx="158">
                  <c:v>9.5338420867919922</c:v>
                </c:pt>
                <c:pt idx="159">
                  <c:v>9.5109958648681641</c:v>
                </c:pt>
                <c:pt idx="160">
                  <c:v>9.4901561737060547</c:v>
                </c:pt>
                <c:pt idx="161">
                  <c:v>9.5157003402709961</c:v>
                </c:pt>
                <c:pt idx="162">
                  <c:v>9.5429553985595703</c:v>
                </c:pt>
                <c:pt idx="163">
                  <c:v>9.6352138519287109</c:v>
                </c:pt>
                <c:pt idx="164">
                  <c:v>9.6284723281860352</c:v>
                </c:pt>
                <c:pt idx="165">
                  <c:v>9.7711200714111328</c:v>
                </c:pt>
                <c:pt idx="166">
                  <c:v>9.6957664489746094</c:v>
                </c:pt>
                <c:pt idx="167">
                  <c:v>9.6397733688354492</c:v>
                </c:pt>
                <c:pt idx="168">
                  <c:v>9.5483980178833008</c:v>
                </c:pt>
                <c:pt idx="169">
                  <c:v>9.7077264785766602</c:v>
                </c:pt>
                <c:pt idx="170">
                  <c:v>9.6950349807739258</c:v>
                </c:pt>
                <c:pt idx="171">
                  <c:v>9.7475271224975586</c:v>
                </c:pt>
                <c:pt idx="172">
                  <c:v>9.6724519729614258</c:v>
                </c:pt>
                <c:pt idx="173">
                  <c:v>9.6912879943847656</c:v>
                </c:pt>
                <c:pt idx="174">
                  <c:v>9.6473703384399414</c:v>
                </c:pt>
                <c:pt idx="175">
                  <c:v>9.7349023818969727</c:v>
                </c:pt>
                <c:pt idx="176">
                  <c:v>9.6724567413330078</c:v>
                </c:pt>
                <c:pt idx="177">
                  <c:v>9.7624568939208984</c:v>
                </c:pt>
                <c:pt idx="178">
                  <c:v>9.7538576126098633</c:v>
                </c:pt>
                <c:pt idx="179">
                  <c:v>9.7890424728393555</c:v>
                </c:pt>
                <c:pt idx="180">
                  <c:v>9.7684879302978516</c:v>
                </c:pt>
                <c:pt idx="181">
                  <c:v>9.6894292831420898</c:v>
                </c:pt>
                <c:pt idx="182">
                  <c:v>9.728266716003418</c:v>
                </c:pt>
                <c:pt idx="183">
                  <c:v>9.761775016784668</c:v>
                </c:pt>
                <c:pt idx="184">
                  <c:v>9.7478313446044922</c:v>
                </c:pt>
                <c:pt idx="185">
                  <c:v>9.763422966003418</c:v>
                </c:pt>
                <c:pt idx="186">
                  <c:v>9.7944097518920898</c:v>
                </c:pt>
                <c:pt idx="187">
                  <c:v>9.7626800537109375</c:v>
                </c:pt>
                <c:pt idx="188">
                  <c:v>9.8083200454711914</c:v>
                </c:pt>
                <c:pt idx="189">
                  <c:v>9.7408514022827148</c:v>
                </c:pt>
                <c:pt idx="190">
                  <c:v>9.731414794921875</c:v>
                </c:pt>
                <c:pt idx="191">
                  <c:v>9.7704372406005859</c:v>
                </c:pt>
                <c:pt idx="192">
                  <c:v>9.7465066909790039</c:v>
                </c:pt>
                <c:pt idx="193">
                  <c:v>9.7570791244506836</c:v>
                </c:pt>
                <c:pt idx="194">
                  <c:v>9.7670488357543945</c:v>
                </c:pt>
                <c:pt idx="195">
                  <c:v>9.7034397125244141</c:v>
                </c:pt>
                <c:pt idx="196">
                  <c:v>9.7687816619873047</c:v>
                </c:pt>
                <c:pt idx="197">
                  <c:v>9.7398881912231445</c:v>
                </c:pt>
                <c:pt idx="198">
                  <c:v>9.7347984313964844</c:v>
                </c:pt>
                <c:pt idx="199">
                  <c:v>9.7518148422241211</c:v>
                </c:pt>
                <c:pt idx="200">
                  <c:v>9.7235860824584961</c:v>
                </c:pt>
                <c:pt idx="201">
                  <c:v>9.8007984161376953</c:v>
                </c:pt>
                <c:pt idx="202">
                  <c:v>9.7567691802978516</c:v>
                </c:pt>
                <c:pt idx="203">
                  <c:v>9.7689476013183594</c:v>
                </c:pt>
                <c:pt idx="204">
                  <c:v>9.7693290710449219</c:v>
                </c:pt>
                <c:pt idx="205">
                  <c:v>9.7643871307373047</c:v>
                </c:pt>
                <c:pt idx="206">
                  <c:v>9.7148551940917969</c:v>
                </c:pt>
                <c:pt idx="207">
                  <c:v>9.739497184753418</c:v>
                </c:pt>
                <c:pt idx="208">
                  <c:v>9.776031494140625</c:v>
                </c:pt>
                <c:pt idx="209">
                  <c:v>9.7355070114135742</c:v>
                </c:pt>
                <c:pt idx="210">
                  <c:v>9.7617568969726563</c:v>
                </c:pt>
                <c:pt idx="211">
                  <c:v>9.7643327713012695</c:v>
                </c:pt>
                <c:pt idx="212">
                  <c:v>9.7054166793823242</c:v>
                </c:pt>
                <c:pt idx="213">
                  <c:v>9.7706699371337891</c:v>
                </c:pt>
                <c:pt idx="214">
                  <c:v>9.7475728988647461</c:v>
                </c:pt>
                <c:pt idx="215">
                  <c:v>9.7598209381103516</c:v>
                </c:pt>
                <c:pt idx="216">
                  <c:v>9.7935543060302734</c:v>
                </c:pt>
                <c:pt idx="217">
                  <c:v>9.7371244430541992</c:v>
                </c:pt>
                <c:pt idx="218">
                  <c:v>9.7817955017089844</c:v>
                </c:pt>
                <c:pt idx="219">
                  <c:v>9.7739038467407227</c:v>
                </c:pt>
                <c:pt idx="220">
                  <c:v>9.8323259353637695</c:v>
                </c:pt>
                <c:pt idx="221">
                  <c:v>0.68444156646728005</c:v>
                </c:pt>
                <c:pt idx="222">
                  <c:v>0.68444156646728005</c:v>
                </c:pt>
                <c:pt idx="223">
                  <c:v>0.68444156646728005</c:v>
                </c:pt>
                <c:pt idx="224">
                  <c:v>0.68444156646728005</c:v>
                </c:pt>
                <c:pt idx="225">
                  <c:v>0.68444156646728005</c:v>
                </c:pt>
                <c:pt idx="226">
                  <c:v>0.68444156646728005</c:v>
                </c:pt>
                <c:pt idx="227">
                  <c:v>0.68444156646728005</c:v>
                </c:pt>
                <c:pt idx="228">
                  <c:v>0.68444156646728005</c:v>
                </c:pt>
                <c:pt idx="229">
                  <c:v>0.68444156646728005</c:v>
                </c:pt>
                <c:pt idx="230">
                  <c:v>0.68444156646728005</c:v>
                </c:pt>
                <c:pt idx="231">
                  <c:v>0.68444156646728005</c:v>
                </c:pt>
                <c:pt idx="232">
                  <c:v>0.68444156646728005</c:v>
                </c:pt>
                <c:pt idx="233">
                  <c:v>0.68444156646728005</c:v>
                </c:pt>
                <c:pt idx="234">
                  <c:v>0.68444156646728005</c:v>
                </c:pt>
                <c:pt idx="235">
                  <c:v>0.68444156646728005</c:v>
                </c:pt>
                <c:pt idx="236">
                  <c:v>0.68444156646728005</c:v>
                </c:pt>
                <c:pt idx="237">
                  <c:v>0.68444156646728005</c:v>
                </c:pt>
                <c:pt idx="238">
                  <c:v>0.68444156646728005</c:v>
                </c:pt>
                <c:pt idx="239">
                  <c:v>0.68444156646728005</c:v>
                </c:pt>
                <c:pt idx="240">
                  <c:v>0.68444156646728005</c:v>
                </c:pt>
                <c:pt idx="241">
                  <c:v>0.68444156646728005</c:v>
                </c:pt>
                <c:pt idx="242">
                  <c:v>0.68444156646728005</c:v>
                </c:pt>
                <c:pt idx="243">
                  <c:v>0.68444156646728005</c:v>
                </c:pt>
                <c:pt idx="244">
                  <c:v>0.68444156646728005</c:v>
                </c:pt>
                <c:pt idx="245">
                  <c:v>0.68444156646728005</c:v>
                </c:pt>
                <c:pt idx="246">
                  <c:v>0.68444156646728005</c:v>
                </c:pt>
                <c:pt idx="247">
                  <c:v>0.68444156646728005</c:v>
                </c:pt>
                <c:pt idx="248">
                  <c:v>0.68444156646728005</c:v>
                </c:pt>
                <c:pt idx="249">
                  <c:v>0.68444156646728005</c:v>
                </c:pt>
                <c:pt idx="250">
                  <c:v>0.68444156646728005</c:v>
                </c:pt>
                <c:pt idx="251">
                  <c:v>0.68444156646728005</c:v>
                </c:pt>
                <c:pt idx="252">
                  <c:v>0.68444156646728005</c:v>
                </c:pt>
                <c:pt idx="253">
                  <c:v>0.68444156646728005</c:v>
                </c:pt>
                <c:pt idx="254">
                  <c:v>0.68444156646728005</c:v>
                </c:pt>
                <c:pt idx="255">
                  <c:v>0.68444156646728005</c:v>
                </c:pt>
                <c:pt idx="256">
                  <c:v>0.68444156646728005</c:v>
                </c:pt>
                <c:pt idx="257">
                  <c:v>0.68444156646728005</c:v>
                </c:pt>
                <c:pt idx="258">
                  <c:v>0.68444156646728005</c:v>
                </c:pt>
                <c:pt idx="259">
                  <c:v>0.68444156646728005</c:v>
                </c:pt>
                <c:pt idx="260">
                  <c:v>0.68444156646728005</c:v>
                </c:pt>
                <c:pt idx="261">
                  <c:v>0.68444156646728005</c:v>
                </c:pt>
                <c:pt idx="262">
                  <c:v>0.68444156646728005</c:v>
                </c:pt>
                <c:pt idx="263">
                  <c:v>0.68444156646728005</c:v>
                </c:pt>
                <c:pt idx="264">
                  <c:v>0.68444156646728005</c:v>
                </c:pt>
                <c:pt idx="265">
                  <c:v>0.68444156646728005</c:v>
                </c:pt>
                <c:pt idx="266">
                  <c:v>0.68444156646728005</c:v>
                </c:pt>
                <c:pt idx="267">
                  <c:v>0.68444156646728005</c:v>
                </c:pt>
                <c:pt idx="268">
                  <c:v>0.68444156646728005</c:v>
                </c:pt>
                <c:pt idx="269">
                  <c:v>0.68444156646728005</c:v>
                </c:pt>
                <c:pt idx="270">
                  <c:v>0.68444156646728005</c:v>
                </c:pt>
                <c:pt idx="271">
                  <c:v>0.68444156646728005</c:v>
                </c:pt>
                <c:pt idx="272">
                  <c:v>0.68444156646728005</c:v>
                </c:pt>
                <c:pt idx="273">
                  <c:v>0.68444156646728005</c:v>
                </c:pt>
                <c:pt idx="274">
                  <c:v>0.68444156646728005</c:v>
                </c:pt>
                <c:pt idx="275">
                  <c:v>0.68444156646728005</c:v>
                </c:pt>
                <c:pt idx="276">
                  <c:v>0.68444156646728005</c:v>
                </c:pt>
                <c:pt idx="277">
                  <c:v>0.68444156646728005</c:v>
                </c:pt>
                <c:pt idx="278">
                  <c:v>0.68444156646728005</c:v>
                </c:pt>
                <c:pt idx="279">
                  <c:v>0.68444156646728005</c:v>
                </c:pt>
                <c:pt idx="280">
                  <c:v>0.68444156646728005</c:v>
                </c:pt>
                <c:pt idx="281">
                  <c:v>0.68444156646728005</c:v>
                </c:pt>
                <c:pt idx="282">
                  <c:v>0.68444156646728005</c:v>
                </c:pt>
                <c:pt idx="283">
                  <c:v>0.68444156646728005</c:v>
                </c:pt>
                <c:pt idx="284">
                  <c:v>0.68444156646728005</c:v>
                </c:pt>
                <c:pt idx="285">
                  <c:v>0.68444156646728005</c:v>
                </c:pt>
                <c:pt idx="286">
                  <c:v>0.68444156646728005</c:v>
                </c:pt>
                <c:pt idx="287">
                  <c:v>0.68444156646728005</c:v>
                </c:pt>
                <c:pt idx="288">
                  <c:v>0.68444156646728005</c:v>
                </c:pt>
                <c:pt idx="289">
                  <c:v>0.68444156646728005</c:v>
                </c:pt>
                <c:pt idx="290">
                  <c:v>0.68444156646728005</c:v>
                </c:pt>
                <c:pt idx="291">
                  <c:v>0.68444156646728005</c:v>
                </c:pt>
                <c:pt idx="292">
                  <c:v>0.68444156646728005</c:v>
                </c:pt>
                <c:pt idx="293">
                  <c:v>0.68444156646728005</c:v>
                </c:pt>
                <c:pt idx="294">
                  <c:v>0.68444156646728005</c:v>
                </c:pt>
                <c:pt idx="295">
                  <c:v>0.68444156646728005</c:v>
                </c:pt>
                <c:pt idx="296">
                  <c:v>0.68444156646728005</c:v>
                </c:pt>
                <c:pt idx="297">
                  <c:v>0.68444156646728005</c:v>
                </c:pt>
                <c:pt idx="298">
                  <c:v>0.68444156646728005</c:v>
                </c:pt>
                <c:pt idx="299">
                  <c:v>0.68444156646728005</c:v>
                </c:pt>
                <c:pt idx="300">
                  <c:v>0.68444156646728005</c:v>
                </c:pt>
                <c:pt idx="301">
                  <c:v>0.68444156646728005</c:v>
                </c:pt>
                <c:pt idx="302">
                  <c:v>0.68444156646728005</c:v>
                </c:pt>
                <c:pt idx="303">
                  <c:v>0.68444156646728005</c:v>
                </c:pt>
                <c:pt idx="304">
                  <c:v>0.68444156646728005</c:v>
                </c:pt>
                <c:pt idx="305">
                  <c:v>0.68444156646728005</c:v>
                </c:pt>
                <c:pt idx="306">
                  <c:v>0.68444156646728005</c:v>
                </c:pt>
                <c:pt idx="307">
                  <c:v>0.68444156646728005</c:v>
                </c:pt>
                <c:pt idx="308">
                  <c:v>0.68444156646728005</c:v>
                </c:pt>
                <c:pt idx="309">
                  <c:v>0.68444156646728005</c:v>
                </c:pt>
                <c:pt idx="310">
                  <c:v>0.68444156646728005</c:v>
                </c:pt>
                <c:pt idx="311">
                  <c:v>0.68444156646728005</c:v>
                </c:pt>
                <c:pt idx="312">
                  <c:v>0.68444156646728005</c:v>
                </c:pt>
                <c:pt idx="313">
                  <c:v>0.68444156646728005</c:v>
                </c:pt>
                <c:pt idx="314">
                  <c:v>0.68444156646728005</c:v>
                </c:pt>
                <c:pt idx="315">
                  <c:v>0.68444156646728005</c:v>
                </c:pt>
                <c:pt idx="316">
                  <c:v>0.68444156646728005</c:v>
                </c:pt>
                <c:pt idx="317">
                  <c:v>0.68444156646728005</c:v>
                </c:pt>
                <c:pt idx="318">
                  <c:v>0.68444156646728005</c:v>
                </c:pt>
                <c:pt idx="319">
                  <c:v>0.68444156646728005</c:v>
                </c:pt>
                <c:pt idx="320">
                  <c:v>0.68444156646728005</c:v>
                </c:pt>
                <c:pt idx="321">
                  <c:v>0.68444156646728005</c:v>
                </c:pt>
                <c:pt idx="322">
                  <c:v>0.68444156646728005</c:v>
                </c:pt>
                <c:pt idx="323">
                  <c:v>0.68444156646728005</c:v>
                </c:pt>
                <c:pt idx="324">
                  <c:v>0.68444156646728005</c:v>
                </c:pt>
                <c:pt idx="325">
                  <c:v>0.68444156646728005</c:v>
                </c:pt>
                <c:pt idx="326">
                  <c:v>0.68444156646728005</c:v>
                </c:pt>
                <c:pt idx="327">
                  <c:v>0.68444156646728005</c:v>
                </c:pt>
                <c:pt idx="328">
                  <c:v>0.68444156646728005</c:v>
                </c:pt>
                <c:pt idx="329">
                  <c:v>0.68444156646728005</c:v>
                </c:pt>
                <c:pt idx="330">
                  <c:v>0.68444156646728005</c:v>
                </c:pt>
                <c:pt idx="331">
                  <c:v>0.68444156646728005</c:v>
                </c:pt>
                <c:pt idx="332">
                  <c:v>0.68444156646728005</c:v>
                </c:pt>
                <c:pt idx="333">
                  <c:v>0.68444156646728005</c:v>
                </c:pt>
                <c:pt idx="334">
                  <c:v>0.68444156646728005</c:v>
                </c:pt>
                <c:pt idx="335">
                  <c:v>0.68444156646728005</c:v>
                </c:pt>
                <c:pt idx="336">
                  <c:v>0.68444156646728005</c:v>
                </c:pt>
                <c:pt idx="337">
                  <c:v>0.68444156646728005</c:v>
                </c:pt>
                <c:pt idx="338">
                  <c:v>0.68444156646728005</c:v>
                </c:pt>
                <c:pt idx="339">
                  <c:v>0.68444156646728005</c:v>
                </c:pt>
                <c:pt idx="340">
                  <c:v>0.68444156646728005</c:v>
                </c:pt>
                <c:pt idx="341">
                  <c:v>12.072044372558594</c:v>
                </c:pt>
                <c:pt idx="342">
                  <c:v>11.321038246154785</c:v>
                </c:pt>
                <c:pt idx="343">
                  <c:v>11.083308219909668</c:v>
                </c:pt>
                <c:pt idx="344">
                  <c:v>11.049990653991699</c:v>
                </c:pt>
                <c:pt idx="345">
                  <c:v>10.962056159973145</c:v>
                </c:pt>
                <c:pt idx="346">
                  <c:v>10.925723075866699</c:v>
                </c:pt>
                <c:pt idx="347">
                  <c:v>10.915902137756348</c:v>
                </c:pt>
                <c:pt idx="348">
                  <c:v>10.88651180267334</c:v>
                </c:pt>
                <c:pt idx="349">
                  <c:v>10.765944480895996</c:v>
                </c:pt>
                <c:pt idx="350">
                  <c:v>10.864394187927246</c:v>
                </c:pt>
                <c:pt idx="351">
                  <c:v>10.872463226318359</c:v>
                </c:pt>
                <c:pt idx="352">
                  <c:v>10.863624572753906</c:v>
                </c:pt>
                <c:pt idx="353">
                  <c:v>10.8388671875</c:v>
                </c:pt>
                <c:pt idx="354">
                  <c:v>10.832158088684082</c:v>
                </c:pt>
                <c:pt idx="355">
                  <c:v>10.859041213989258</c:v>
                </c:pt>
                <c:pt idx="356">
                  <c:v>10.876749038696289</c:v>
                </c:pt>
                <c:pt idx="357">
                  <c:v>10.813762664794922</c:v>
                </c:pt>
                <c:pt idx="358">
                  <c:v>10.884075164794922</c:v>
                </c:pt>
                <c:pt idx="359">
                  <c:v>10.831852912902832</c:v>
                </c:pt>
                <c:pt idx="360">
                  <c:v>10.894718170166016</c:v>
                </c:pt>
                <c:pt idx="361">
                  <c:v>10.808667182922363</c:v>
                </c:pt>
                <c:pt idx="362">
                  <c:v>10.811326026916504</c:v>
                </c:pt>
                <c:pt idx="363">
                  <c:v>10.871721267700195</c:v>
                </c:pt>
                <c:pt idx="364">
                  <c:v>10.8587646484375</c:v>
                </c:pt>
                <c:pt idx="365">
                  <c:v>10.823940277099609</c:v>
                </c:pt>
                <c:pt idx="366">
                  <c:v>10.839998245239258</c:v>
                </c:pt>
                <c:pt idx="367">
                  <c:v>10.869966506958008</c:v>
                </c:pt>
                <c:pt idx="368">
                  <c:v>10.761046409606934</c:v>
                </c:pt>
                <c:pt idx="369">
                  <c:v>10.861335754394531</c:v>
                </c:pt>
                <c:pt idx="370">
                  <c:v>10.853488922119141</c:v>
                </c:pt>
                <c:pt idx="371">
                  <c:v>10.852069854736328</c:v>
                </c:pt>
                <c:pt idx="372">
                  <c:v>10.816174507141113</c:v>
                </c:pt>
                <c:pt idx="373">
                  <c:v>10.850468635559082</c:v>
                </c:pt>
                <c:pt idx="374">
                  <c:v>10.79071044921875</c:v>
                </c:pt>
                <c:pt idx="375">
                  <c:v>10.745901107788086</c:v>
                </c:pt>
                <c:pt idx="376">
                  <c:v>10.80314826965332</c:v>
                </c:pt>
                <c:pt idx="377">
                  <c:v>10.810686111450195</c:v>
                </c:pt>
                <c:pt idx="378">
                  <c:v>10.87903881072998</c:v>
                </c:pt>
                <c:pt idx="379">
                  <c:v>10.814645767211914</c:v>
                </c:pt>
                <c:pt idx="380">
                  <c:v>10.841896057128906</c:v>
                </c:pt>
                <c:pt idx="381">
                  <c:v>10.855328559875488</c:v>
                </c:pt>
                <c:pt idx="382">
                  <c:v>10.844000816345215</c:v>
                </c:pt>
                <c:pt idx="383">
                  <c:v>10.858509063720703</c:v>
                </c:pt>
                <c:pt idx="384">
                  <c:v>10.846341133117676</c:v>
                </c:pt>
                <c:pt idx="385">
                  <c:v>10.809833526611328</c:v>
                </c:pt>
                <c:pt idx="386">
                  <c:v>10.756649971008301</c:v>
                </c:pt>
                <c:pt idx="387">
                  <c:v>10.765228271484375</c:v>
                </c:pt>
                <c:pt idx="388">
                  <c:v>10.760346412658691</c:v>
                </c:pt>
                <c:pt idx="389">
                  <c:v>10.816096305847168</c:v>
                </c:pt>
                <c:pt idx="390">
                  <c:v>10.793558120727539</c:v>
                </c:pt>
                <c:pt idx="391">
                  <c:v>10.802398681640625</c:v>
                </c:pt>
                <c:pt idx="392">
                  <c:v>10.759086608886719</c:v>
                </c:pt>
                <c:pt idx="393">
                  <c:v>10.829615592956543</c:v>
                </c:pt>
                <c:pt idx="394">
                  <c:v>10.780075073242188</c:v>
                </c:pt>
                <c:pt idx="395">
                  <c:v>10.772159576416016</c:v>
                </c:pt>
                <c:pt idx="396">
                  <c:v>10.785443305969238</c:v>
                </c:pt>
                <c:pt idx="397">
                  <c:v>10.716000556945801</c:v>
                </c:pt>
                <c:pt idx="398">
                  <c:v>10.738113403320313</c:v>
                </c:pt>
                <c:pt idx="399">
                  <c:v>10.77091121673584</c:v>
                </c:pt>
                <c:pt idx="400">
                  <c:v>10.734660148620605</c:v>
                </c:pt>
                <c:pt idx="401">
                  <c:v>10.768453598022461</c:v>
                </c:pt>
                <c:pt idx="402">
                  <c:v>10.813129425048828</c:v>
                </c:pt>
                <c:pt idx="403">
                  <c:v>10.809283256530762</c:v>
                </c:pt>
                <c:pt idx="404">
                  <c:v>10.804430961608887</c:v>
                </c:pt>
                <c:pt idx="405">
                  <c:v>10.786660194396973</c:v>
                </c:pt>
                <c:pt idx="406">
                  <c:v>10.756457328796387</c:v>
                </c:pt>
                <c:pt idx="407">
                  <c:v>10.765947341918945</c:v>
                </c:pt>
                <c:pt idx="408">
                  <c:v>10.717536926269531</c:v>
                </c:pt>
                <c:pt idx="409">
                  <c:v>10.727499961853027</c:v>
                </c:pt>
                <c:pt idx="410">
                  <c:v>10.741602897644043</c:v>
                </c:pt>
                <c:pt idx="411">
                  <c:v>10.746583938598633</c:v>
                </c:pt>
                <c:pt idx="412">
                  <c:v>10.681240081787109</c:v>
                </c:pt>
                <c:pt idx="413">
                  <c:v>10.708656311035156</c:v>
                </c:pt>
                <c:pt idx="414">
                  <c:v>10.723322868347168</c:v>
                </c:pt>
                <c:pt idx="415">
                  <c:v>10.748286247253418</c:v>
                </c:pt>
                <c:pt idx="416">
                  <c:v>10.700556755065918</c:v>
                </c:pt>
                <c:pt idx="417">
                  <c:v>10.688230514526367</c:v>
                </c:pt>
                <c:pt idx="418">
                  <c:v>10.746858596801758</c:v>
                </c:pt>
                <c:pt idx="419">
                  <c:v>10.75076961517334</c:v>
                </c:pt>
                <c:pt idx="420">
                  <c:v>10.786249160766602</c:v>
                </c:pt>
                <c:pt idx="421">
                  <c:v>10.683162689208984</c:v>
                </c:pt>
                <c:pt idx="422">
                  <c:v>10.672309875488281</c:v>
                </c:pt>
                <c:pt idx="423">
                  <c:v>10.646515846252441</c:v>
                </c:pt>
                <c:pt idx="424">
                  <c:v>10.673686027526855</c:v>
                </c:pt>
                <c:pt idx="425">
                  <c:v>10.666736602783203</c:v>
                </c:pt>
                <c:pt idx="426">
                  <c:v>10.731201171875</c:v>
                </c:pt>
                <c:pt idx="427">
                  <c:v>10.73283576965332</c:v>
                </c:pt>
                <c:pt idx="428">
                  <c:v>10.746129035949707</c:v>
                </c:pt>
                <c:pt idx="429">
                  <c:v>10.732441902160645</c:v>
                </c:pt>
                <c:pt idx="430">
                  <c:v>10.694544792175293</c:v>
                </c:pt>
                <c:pt idx="431">
                  <c:v>10.684420585632324</c:v>
                </c:pt>
                <c:pt idx="432">
                  <c:v>10.724120140075684</c:v>
                </c:pt>
                <c:pt idx="433">
                  <c:v>10.71052360534668</c:v>
                </c:pt>
                <c:pt idx="434">
                  <c:v>10.685123443603516</c:v>
                </c:pt>
                <c:pt idx="435">
                  <c:v>10.655866622924805</c:v>
                </c:pt>
                <c:pt idx="436">
                  <c:v>10.624847412109375</c:v>
                </c:pt>
                <c:pt idx="437">
                  <c:v>10.693832397460938</c:v>
                </c:pt>
                <c:pt idx="438">
                  <c:v>10.666537284851074</c:v>
                </c:pt>
                <c:pt idx="439">
                  <c:v>10.686543464660645</c:v>
                </c:pt>
                <c:pt idx="440">
                  <c:v>10.684917449951172</c:v>
                </c:pt>
                <c:pt idx="441">
                  <c:v>10.689536094665527</c:v>
                </c:pt>
                <c:pt idx="442">
                  <c:v>10.700952529907227</c:v>
                </c:pt>
                <c:pt idx="443">
                  <c:v>10.619143486022949</c:v>
                </c:pt>
                <c:pt idx="444">
                  <c:v>10.626134872436523</c:v>
                </c:pt>
                <c:pt idx="445">
                  <c:v>10.649757385253906</c:v>
                </c:pt>
                <c:pt idx="446">
                  <c:v>10.664133071899414</c:v>
                </c:pt>
                <c:pt idx="447">
                  <c:v>10.640192031860352</c:v>
                </c:pt>
                <c:pt idx="448">
                  <c:v>10.734983444213867</c:v>
                </c:pt>
                <c:pt idx="449">
                  <c:v>10.68231201171875</c:v>
                </c:pt>
                <c:pt idx="450">
                  <c:v>10.692177772521973</c:v>
                </c:pt>
                <c:pt idx="451">
                  <c:v>10.693628311157227</c:v>
                </c:pt>
                <c:pt idx="452">
                  <c:v>10.72623348236084</c:v>
                </c:pt>
                <c:pt idx="453">
                  <c:v>10.708419799804688</c:v>
                </c:pt>
                <c:pt idx="454">
                  <c:v>10.646778106689453</c:v>
                </c:pt>
                <c:pt idx="455">
                  <c:v>10.678668022155762</c:v>
                </c:pt>
                <c:pt idx="456">
                  <c:v>10.694387435913086</c:v>
                </c:pt>
                <c:pt idx="457">
                  <c:v>10.674955368041992</c:v>
                </c:pt>
                <c:pt idx="458">
                  <c:v>10.673284530639648</c:v>
                </c:pt>
                <c:pt idx="459">
                  <c:v>10.668501853942871</c:v>
                </c:pt>
                <c:pt idx="460">
                  <c:v>10.656986236572266</c:v>
                </c:pt>
                <c:pt idx="461">
                  <c:v>10.621429443359375</c:v>
                </c:pt>
                <c:pt idx="462">
                  <c:v>10.653786659240723</c:v>
                </c:pt>
                <c:pt idx="463">
                  <c:v>10.70908260345459</c:v>
                </c:pt>
                <c:pt idx="464">
                  <c:v>10.686409950256348</c:v>
                </c:pt>
                <c:pt idx="465">
                  <c:v>10.624797821044922</c:v>
                </c:pt>
                <c:pt idx="466">
                  <c:v>10.621650695800781</c:v>
                </c:pt>
                <c:pt idx="467">
                  <c:v>10.653934478759766</c:v>
                </c:pt>
                <c:pt idx="468">
                  <c:v>10.612730026245117</c:v>
                </c:pt>
                <c:pt idx="469">
                  <c:v>10.609169960021973</c:v>
                </c:pt>
                <c:pt idx="470">
                  <c:v>10.653101921081543</c:v>
                </c:pt>
                <c:pt idx="471">
                  <c:v>10.563817024230957</c:v>
                </c:pt>
                <c:pt idx="472">
                  <c:v>10.579530715942383</c:v>
                </c:pt>
                <c:pt idx="473">
                  <c:v>10.602388381958008</c:v>
                </c:pt>
                <c:pt idx="474">
                  <c:v>10.557643890380859</c:v>
                </c:pt>
                <c:pt idx="475">
                  <c:v>10.539555549621582</c:v>
                </c:pt>
                <c:pt idx="476">
                  <c:v>10.622208595275879</c:v>
                </c:pt>
                <c:pt idx="477">
                  <c:v>10.583827018737793</c:v>
                </c:pt>
                <c:pt idx="478">
                  <c:v>10.621700286865234</c:v>
                </c:pt>
                <c:pt idx="479">
                  <c:v>10.590302467346191</c:v>
                </c:pt>
                <c:pt idx="480">
                  <c:v>10.590046882629395</c:v>
                </c:pt>
                <c:pt idx="481">
                  <c:v>10.574467658996582</c:v>
                </c:pt>
                <c:pt idx="482">
                  <c:v>10.522319793701172</c:v>
                </c:pt>
                <c:pt idx="483">
                  <c:v>10.55256462097168</c:v>
                </c:pt>
                <c:pt idx="484">
                  <c:v>10.572417259216309</c:v>
                </c:pt>
                <c:pt idx="485">
                  <c:v>10.519075393676758</c:v>
                </c:pt>
                <c:pt idx="486">
                  <c:v>10.520718574523926</c:v>
                </c:pt>
                <c:pt idx="487">
                  <c:v>10.586599349975586</c:v>
                </c:pt>
                <c:pt idx="488">
                  <c:v>10.541255950927734</c:v>
                </c:pt>
                <c:pt idx="489">
                  <c:v>10.520410537719727</c:v>
                </c:pt>
                <c:pt idx="490">
                  <c:v>10.574105262756348</c:v>
                </c:pt>
                <c:pt idx="491">
                  <c:v>10.575661659240723</c:v>
                </c:pt>
                <c:pt idx="492">
                  <c:v>10.519246101379395</c:v>
                </c:pt>
                <c:pt idx="493">
                  <c:v>10.554423332214355</c:v>
                </c:pt>
                <c:pt idx="494">
                  <c:v>10.531674385070801</c:v>
                </c:pt>
                <c:pt idx="495">
                  <c:v>10.572890281677246</c:v>
                </c:pt>
                <c:pt idx="496">
                  <c:v>10.549365043640137</c:v>
                </c:pt>
                <c:pt idx="497">
                  <c:v>10.602629661560059</c:v>
                </c:pt>
                <c:pt idx="498">
                  <c:v>10.54692268371582</c:v>
                </c:pt>
                <c:pt idx="499">
                  <c:v>10.573816299438477</c:v>
                </c:pt>
                <c:pt idx="500">
                  <c:v>10.622227668762207</c:v>
                </c:pt>
                <c:pt idx="501">
                  <c:v>10.558038711547852</c:v>
                </c:pt>
                <c:pt idx="502">
                  <c:v>10.601048469543457</c:v>
                </c:pt>
                <c:pt idx="503">
                  <c:v>10.511442184448242</c:v>
                </c:pt>
                <c:pt idx="504">
                  <c:v>10.5174560546875</c:v>
                </c:pt>
                <c:pt idx="505">
                  <c:v>10.536413192749023</c:v>
                </c:pt>
                <c:pt idx="506">
                  <c:v>10.58531379699707</c:v>
                </c:pt>
                <c:pt idx="507">
                  <c:v>10.494075775146484</c:v>
                </c:pt>
                <c:pt idx="508">
                  <c:v>10.553685188293457</c:v>
                </c:pt>
                <c:pt idx="509">
                  <c:v>10.51514720916748</c:v>
                </c:pt>
                <c:pt idx="510">
                  <c:v>10.54029655456543</c:v>
                </c:pt>
                <c:pt idx="511">
                  <c:v>10.511418342590332</c:v>
                </c:pt>
                <c:pt idx="512">
                  <c:v>10.567507743835449</c:v>
                </c:pt>
                <c:pt idx="513">
                  <c:v>10.566370964050293</c:v>
                </c:pt>
                <c:pt idx="514">
                  <c:v>10.563577651977539</c:v>
                </c:pt>
                <c:pt idx="515">
                  <c:v>10.558218955993652</c:v>
                </c:pt>
                <c:pt idx="516">
                  <c:v>10.524724006652832</c:v>
                </c:pt>
                <c:pt idx="517">
                  <c:v>10.495478630065918</c:v>
                </c:pt>
                <c:pt idx="518">
                  <c:v>10.532049179077148</c:v>
                </c:pt>
                <c:pt idx="519">
                  <c:v>10.55199146270752</c:v>
                </c:pt>
                <c:pt idx="520">
                  <c:v>10.496949195861816</c:v>
                </c:pt>
                <c:pt idx="521">
                  <c:v>10.544471740722656</c:v>
                </c:pt>
                <c:pt idx="522">
                  <c:v>10.541683197021484</c:v>
                </c:pt>
                <c:pt idx="523">
                  <c:v>10.544200897216797</c:v>
                </c:pt>
                <c:pt idx="524">
                  <c:v>10.552577018737793</c:v>
                </c:pt>
                <c:pt idx="525">
                  <c:v>10.549091339111328</c:v>
                </c:pt>
                <c:pt idx="526">
                  <c:v>10.565834045410156</c:v>
                </c:pt>
                <c:pt idx="527">
                  <c:v>10.531731605529785</c:v>
                </c:pt>
                <c:pt idx="528">
                  <c:v>10.525627136230469</c:v>
                </c:pt>
                <c:pt idx="529">
                  <c:v>10.552892684936523</c:v>
                </c:pt>
                <c:pt idx="530">
                  <c:v>10.471536636352539</c:v>
                </c:pt>
                <c:pt idx="531">
                  <c:v>10.527480125427246</c:v>
                </c:pt>
                <c:pt idx="532">
                  <c:v>10.526424407958984</c:v>
                </c:pt>
                <c:pt idx="533">
                  <c:v>10.512792587280273</c:v>
                </c:pt>
                <c:pt idx="534">
                  <c:v>10.529011726379395</c:v>
                </c:pt>
                <c:pt idx="535">
                  <c:v>10.521291732788086</c:v>
                </c:pt>
                <c:pt idx="536">
                  <c:v>10.538116455078125</c:v>
                </c:pt>
                <c:pt idx="537">
                  <c:v>10.518780708312988</c:v>
                </c:pt>
                <c:pt idx="538">
                  <c:v>10.549683570861816</c:v>
                </c:pt>
                <c:pt idx="539">
                  <c:v>10.546773910522461</c:v>
                </c:pt>
                <c:pt idx="540">
                  <c:v>10.505995750427246</c:v>
                </c:pt>
                <c:pt idx="541">
                  <c:v>10.512253761291504</c:v>
                </c:pt>
                <c:pt idx="542">
                  <c:v>10.590161323547363</c:v>
                </c:pt>
                <c:pt idx="543">
                  <c:v>10.533943176269531</c:v>
                </c:pt>
                <c:pt idx="544">
                  <c:v>10.53966236114502</c:v>
                </c:pt>
                <c:pt idx="545">
                  <c:v>10.591926574707031</c:v>
                </c:pt>
                <c:pt idx="546">
                  <c:v>10.60804557800293</c:v>
                </c:pt>
                <c:pt idx="547">
                  <c:v>10.530869483947754</c:v>
                </c:pt>
                <c:pt idx="548">
                  <c:v>10.585939407348633</c:v>
                </c:pt>
                <c:pt idx="549">
                  <c:v>10.570413589477539</c:v>
                </c:pt>
                <c:pt idx="550">
                  <c:v>10.592284202575684</c:v>
                </c:pt>
                <c:pt idx="551">
                  <c:v>10.569042205810547</c:v>
                </c:pt>
                <c:pt idx="552">
                  <c:v>10.564408302307129</c:v>
                </c:pt>
                <c:pt idx="553">
                  <c:v>10.577944755554199</c:v>
                </c:pt>
                <c:pt idx="554">
                  <c:v>10.617483139038086</c:v>
                </c:pt>
                <c:pt idx="555">
                  <c:v>10.528803825378418</c:v>
                </c:pt>
                <c:pt idx="556">
                  <c:v>10.535511016845703</c:v>
                </c:pt>
                <c:pt idx="557">
                  <c:v>10.534733772277832</c:v>
                </c:pt>
                <c:pt idx="558">
                  <c:v>10.562752723693848</c:v>
                </c:pt>
                <c:pt idx="559">
                  <c:v>10.547244071960449</c:v>
                </c:pt>
                <c:pt idx="560">
                  <c:v>10.571598052978516</c:v>
                </c:pt>
                <c:pt idx="561">
                  <c:v>10.551549911499023</c:v>
                </c:pt>
                <c:pt idx="562">
                  <c:v>10.538825035095215</c:v>
                </c:pt>
                <c:pt idx="563">
                  <c:v>10.545872688293457</c:v>
                </c:pt>
                <c:pt idx="564">
                  <c:v>10.572494506835938</c:v>
                </c:pt>
                <c:pt idx="565">
                  <c:v>10.505757331848145</c:v>
                </c:pt>
                <c:pt idx="566">
                  <c:v>10.556645393371582</c:v>
                </c:pt>
                <c:pt idx="567">
                  <c:v>10.558883666992188</c:v>
                </c:pt>
                <c:pt idx="568">
                  <c:v>10.55524730682373</c:v>
                </c:pt>
                <c:pt idx="569">
                  <c:v>10.547087669372559</c:v>
                </c:pt>
                <c:pt idx="570">
                  <c:v>10.568926811218262</c:v>
                </c:pt>
                <c:pt idx="571">
                  <c:v>10.534790992736816</c:v>
                </c:pt>
                <c:pt idx="572">
                  <c:v>10.541165351867676</c:v>
                </c:pt>
                <c:pt idx="573">
                  <c:v>10.584283828735352</c:v>
                </c:pt>
                <c:pt idx="574">
                  <c:v>10.553333282470703</c:v>
                </c:pt>
                <c:pt idx="575">
                  <c:v>10.601384162902832</c:v>
                </c:pt>
                <c:pt idx="576">
                  <c:v>10.568099975585938</c:v>
                </c:pt>
                <c:pt idx="577">
                  <c:v>10.587942123413086</c:v>
                </c:pt>
                <c:pt idx="578">
                  <c:v>10.50428581237793</c:v>
                </c:pt>
                <c:pt idx="579">
                  <c:v>10.53947925567627</c:v>
                </c:pt>
                <c:pt idx="580">
                  <c:v>10.533140182495117</c:v>
                </c:pt>
                <c:pt idx="581">
                  <c:v>10.571209907531738</c:v>
                </c:pt>
                <c:pt idx="582">
                  <c:v>10.544440269470215</c:v>
                </c:pt>
                <c:pt idx="583">
                  <c:v>10.555098533630371</c:v>
                </c:pt>
                <c:pt idx="584">
                  <c:v>10.601415634155273</c:v>
                </c:pt>
                <c:pt idx="585">
                  <c:v>10.540851593017578</c:v>
                </c:pt>
                <c:pt idx="586">
                  <c:v>10.580920219421387</c:v>
                </c:pt>
                <c:pt idx="587">
                  <c:v>10.59953784942627</c:v>
                </c:pt>
                <c:pt idx="588">
                  <c:v>10.585080146789551</c:v>
                </c:pt>
                <c:pt idx="589">
                  <c:v>10.585125923156738</c:v>
                </c:pt>
                <c:pt idx="590">
                  <c:v>10.526789665222168</c:v>
                </c:pt>
                <c:pt idx="591">
                  <c:v>10.547499656677246</c:v>
                </c:pt>
                <c:pt idx="592">
                  <c:v>10.597662925720215</c:v>
                </c:pt>
                <c:pt idx="593">
                  <c:v>10.63199520111084</c:v>
                </c:pt>
                <c:pt idx="594">
                  <c:v>10.631579399108887</c:v>
                </c:pt>
                <c:pt idx="595">
                  <c:v>10.590433120727539</c:v>
                </c:pt>
                <c:pt idx="596">
                  <c:v>10.604166030883789</c:v>
                </c:pt>
                <c:pt idx="597">
                  <c:v>10.608197212219238</c:v>
                </c:pt>
                <c:pt idx="598">
                  <c:v>10.604907989501953</c:v>
                </c:pt>
                <c:pt idx="599">
                  <c:v>10.56403923034668</c:v>
                </c:pt>
                <c:pt idx="600">
                  <c:v>10.607021331787109</c:v>
                </c:pt>
                <c:pt idx="601">
                  <c:v>10.590008735656738</c:v>
                </c:pt>
                <c:pt idx="602">
                  <c:v>10.694221496582031</c:v>
                </c:pt>
                <c:pt idx="603">
                  <c:v>10.66966438293457</c:v>
                </c:pt>
                <c:pt idx="604">
                  <c:v>10.650121688842773</c:v>
                </c:pt>
                <c:pt idx="605">
                  <c:v>10.629208564758301</c:v>
                </c:pt>
                <c:pt idx="606">
                  <c:v>10.605335235595703</c:v>
                </c:pt>
                <c:pt idx="607">
                  <c:v>10.61393928527832</c:v>
                </c:pt>
                <c:pt idx="608">
                  <c:v>10.632768630981445</c:v>
                </c:pt>
                <c:pt idx="609">
                  <c:v>10.64360237121582</c:v>
                </c:pt>
                <c:pt idx="610">
                  <c:v>10.606027603149414</c:v>
                </c:pt>
                <c:pt idx="611">
                  <c:v>10.614901542663574</c:v>
                </c:pt>
                <c:pt idx="612">
                  <c:v>10.629824638366699</c:v>
                </c:pt>
                <c:pt idx="613">
                  <c:v>10.608030319213867</c:v>
                </c:pt>
                <c:pt idx="614">
                  <c:v>10.629304885864258</c:v>
                </c:pt>
                <c:pt idx="615">
                  <c:v>10.666600227355957</c:v>
                </c:pt>
                <c:pt idx="616">
                  <c:v>10.673859596252441</c:v>
                </c:pt>
                <c:pt idx="617">
                  <c:v>10.658119201660156</c:v>
                </c:pt>
                <c:pt idx="618">
                  <c:v>10.648623466491699</c:v>
                </c:pt>
                <c:pt idx="619">
                  <c:v>10.628481864929199</c:v>
                </c:pt>
                <c:pt idx="620">
                  <c:v>10.67674732208252</c:v>
                </c:pt>
                <c:pt idx="621">
                  <c:v>10.620216369628906</c:v>
                </c:pt>
                <c:pt idx="622">
                  <c:v>10.652622222900391</c:v>
                </c:pt>
                <c:pt idx="623">
                  <c:v>10.662600517272949</c:v>
                </c:pt>
                <c:pt idx="624">
                  <c:v>10.613485336303711</c:v>
                </c:pt>
                <c:pt idx="625">
                  <c:v>10.674823760986328</c:v>
                </c:pt>
                <c:pt idx="626">
                  <c:v>10.737476348876953</c:v>
                </c:pt>
                <c:pt idx="627">
                  <c:v>10.664963722229004</c:v>
                </c:pt>
                <c:pt idx="628">
                  <c:v>10.661376953125</c:v>
                </c:pt>
                <c:pt idx="629">
                  <c:v>10.638516426086426</c:v>
                </c:pt>
                <c:pt idx="630">
                  <c:v>10.688344955444336</c:v>
                </c:pt>
                <c:pt idx="631">
                  <c:v>10.690079689025879</c:v>
                </c:pt>
                <c:pt idx="632">
                  <c:v>10.691811561584473</c:v>
                </c:pt>
                <c:pt idx="633">
                  <c:v>10.672517776489258</c:v>
                </c:pt>
                <c:pt idx="634">
                  <c:v>10.696078300476074</c:v>
                </c:pt>
                <c:pt idx="635">
                  <c:v>10.696417808532715</c:v>
                </c:pt>
                <c:pt idx="636">
                  <c:v>10.683518409729004</c:v>
                </c:pt>
                <c:pt idx="637">
                  <c:v>10.708184242248535</c:v>
                </c:pt>
                <c:pt idx="638">
                  <c:v>10.746524810791016</c:v>
                </c:pt>
                <c:pt idx="639">
                  <c:v>10.728348731994629</c:v>
                </c:pt>
                <c:pt idx="640">
                  <c:v>10.74565315246582</c:v>
                </c:pt>
                <c:pt idx="641">
                  <c:v>10.740886688232422</c:v>
                </c:pt>
                <c:pt idx="642">
                  <c:v>10.723786354064941</c:v>
                </c:pt>
                <c:pt idx="643">
                  <c:v>10.720484733581543</c:v>
                </c:pt>
                <c:pt idx="644">
                  <c:v>10.713651657104492</c:v>
                </c:pt>
                <c:pt idx="645">
                  <c:v>10.737074851989746</c:v>
                </c:pt>
                <c:pt idx="646">
                  <c:v>10.764582633972168</c:v>
                </c:pt>
                <c:pt idx="647">
                  <c:v>10.761538505554199</c:v>
                </c:pt>
                <c:pt idx="648">
                  <c:v>10.766033172607422</c:v>
                </c:pt>
                <c:pt idx="649">
                  <c:v>10.79522705078125</c:v>
                </c:pt>
                <c:pt idx="650">
                  <c:v>10.810911178588867</c:v>
                </c:pt>
                <c:pt idx="651">
                  <c:v>10.84227466583252</c:v>
                </c:pt>
                <c:pt idx="652">
                  <c:v>10.820597648620605</c:v>
                </c:pt>
                <c:pt idx="653">
                  <c:v>10.835650444030762</c:v>
                </c:pt>
                <c:pt idx="654">
                  <c:v>10.832656860351563</c:v>
                </c:pt>
                <c:pt idx="655">
                  <c:v>10.824596405029297</c:v>
                </c:pt>
                <c:pt idx="656">
                  <c:v>10.857844352722168</c:v>
                </c:pt>
                <c:pt idx="657">
                  <c:v>10.817559242248535</c:v>
                </c:pt>
                <c:pt idx="658">
                  <c:v>10.817143440246582</c:v>
                </c:pt>
                <c:pt idx="659">
                  <c:v>10.832333564758301</c:v>
                </c:pt>
                <c:pt idx="660">
                  <c:v>10.806659698486328</c:v>
                </c:pt>
                <c:pt idx="661">
                  <c:v>10.874563217163086</c:v>
                </c:pt>
                <c:pt idx="662">
                  <c:v>10.898279190063477</c:v>
                </c:pt>
                <c:pt idx="663">
                  <c:v>10.894357681274414</c:v>
                </c:pt>
                <c:pt idx="664">
                  <c:v>10.859989166259766</c:v>
                </c:pt>
                <c:pt idx="665">
                  <c:v>10.908664703369141</c:v>
                </c:pt>
                <c:pt idx="666">
                  <c:v>10.924674987792969</c:v>
                </c:pt>
                <c:pt idx="667">
                  <c:v>10.929717063903809</c:v>
                </c:pt>
                <c:pt idx="668">
                  <c:v>10.999334335327148</c:v>
                </c:pt>
                <c:pt idx="669">
                  <c:v>10.980498313903809</c:v>
                </c:pt>
                <c:pt idx="670">
                  <c:v>10.983968734741211</c:v>
                </c:pt>
                <c:pt idx="671">
                  <c:v>11.000927925109863</c:v>
                </c:pt>
                <c:pt idx="672">
                  <c:v>11.040414810180664</c:v>
                </c:pt>
                <c:pt idx="673">
                  <c:v>11.014477729797363</c:v>
                </c:pt>
                <c:pt idx="674">
                  <c:v>10.996176719665527</c:v>
                </c:pt>
                <c:pt idx="675">
                  <c:v>10.988539695739746</c:v>
                </c:pt>
                <c:pt idx="676">
                  <c:v>11.057829856872559</c:v>
                </c:pt>
                <c:pt idx="677">
                  <c:v>11.092008590698242</c:v>
                </c:pt>
                <c:pt idx="678">
                  <c:v>11.056291580200195</c:v>
                </c:pt>
                <c:pt idx="679">
                  <c:v>11.051350593566895</c:v>
                </c:pt>
                <c:pt idx="680">
                  <c:v>11.092145919799805</c:v>
                </c:pt>
                <c:pt idx="681">
                  <c:v>11.104289054870605</c:v>
                </c:pt>
                <c:pt idx="682">
                  <c:v>11.160529136657715</c:v>
                </c:pt>
                <c:pt idx="683">
                  <c:v>11.08660888671875</c:v>
                </c:pt>
                <c:pt idx="684">
                  <c:v>11.165414810180664</c:v>
                </c:pt>
                <c:pt idx="685">
                  <c:v>11.197088241577148</c:v>
                </c:pt>
                <c:pt idx="686">
                  <c:v>11.200808525085449</c:v>
                </c:pt>
                <c:pt idx="687">
                  <c:v>11.182895660400391</c:v>
                </c:pt>
                <c:pt idx="688">
                  <c:v>11.200268745422363</c:v>
                </c:pt>
                <c:pt idx="689">
                  <c:v>11.257616996765137</c:v>
                </c:pt>
                <c:pt idx="690">
                  <c:v>11.263382911682129</c:v>
                </c:pt>
                <c:pt idx="691">
                  <c:v>11.251482009887695</c:v>
                </c:pt>
                <c:pt idx="692">
                  <c:v>11.301557540893555</c:v>
                </c:pt>
                <c:pt idx="693">
                  <c:v>11.364330291748047</c:v>
                </c:pt>
                <c:pt idx="694">
                  <c:v>11.367600440979004</c:v>
                </c:pt>
                <c:pt idx="695">
                  <c:v>11.381689071655273</c:v>
                </c:pt>
                <c:pt idx="696">
                  <c:v>11.326744079589844</c:v>
                </c:pt>
                <c:pt idx="697">
                  <c:v>11.356192588806152</c:v>
                </c:pt>
                <c:pt idx="698">
                  <c:v>11.417716979980469</c:v>
                </c:pt>
                <c:pt idx="699">
                  <c:v>11.442331314086914</c:v>
                </c:pt>
                <c:pt idx="700">
                  <c:v>11.44925594329834</c:v>
                </c:pt>
                <c:pt idx="701">
                  <c:v>11.503959655761719</c:v>
                </c:pt>
                <c:pt idx="702">
                  <c:v>11.486902236938477</c:v>
                </c:pt>
                <c:pt idx="703">
                  <c:v>11.483952522277832</c:v>
                </c:pt>
                <c:pt idx="704">
                  <c:v>11.531854629516602</c:v>
                </c:pt>
                <c:pt idx="705">
                  <c:v>11.540359497070313</c:v>
                </c:pt>
                <c:pt idx="706">
                  <c:v>11.570684432983398</c:v>
                </c:pt>
                <c:pt idx="707">
                  <c:v>11.573407173156738</c:v>
                </c:pt>
                <c:pt idx="708">
                  <c:v>11.637080192565918</c:v>
                </c:pt>
                <c:pt idx="709">
                  <c:v>11.655616760253906</c:v>
                </c:pt>
                <c:pt idx="710">
                  <c:v>11.671272277832031</c:v>
                </c:pt>
                <c:pt idx="711">
                  <c:v>11.721452713012695</c:v>
                </c:pt>
                <c:pt idx="712">
                  <c:v>11.726997375488281</c:v>
                </c:pt>
                <c:pt idx="713">
                  <c:v>11.749323844909668</c:v>
                </c:pt>
                <c:pt idx="714">
                  <c:v>11.790319442749023</c:v>
                </c:pt>
                <c:pt idx="715">
                  <c:v>11.820387840270996</c:v>
                </c:pt>
                <c:pt idx="716">
                  <c:v>11.820230484008789</c:v>
                </c:pt>
                <c:pt idx="717">
                  <c:v>11.880023002624512</c:v>
                </c:pt>
                <c:pt idx="718">
                  <c:v>11.894172668457031</c:v>
                </c:pt>
                <c:pt idx="719">
                  <c:v>11.934666633605957</c:v>
                </c:pt>
                <c:pt idx="720">
                  <c:v>11.958930969238281</c:v>
                </c:pt>
                <c:pt idx="721">
                  <c:v>12.02247142791748</c:v>
                </c:pt>
                <c:pt idx="722">
                  <c:v>12.000128746032715</c:v>
                </c:pt>
                <c:pt idx="723">
                  <c:v>12.021819114685059</c:v>
                </c:pt>
                <c:pt idx="724">
                  <c:v>12.079022407531738</c:v>
                </c:pt>
                <c:pt idx="725">
                  <c:v>12.118640899658203</c:v>
                </c:pt>
                <c:pt idx="726">
                  <c:v>12.12041187286377</c:v>
                </c:pt>
                <c:pt idx="727">
                  <c:v>12.226192474365234</c:v>
                </c:pt>
                <c:pt idx="728">
                  <c:v>12.267613410949707</c:v>
                </c:pt>
                <c:pt idx="729">
                  <c:v>12.301258087158203</c:v>
                </c:pt>
                <c:pt idx="730">
                  <c:v>12.337557792663574</c:v>
                </c:pt>
                <c:pt idx="731">
                  <c:v>12.333820343017578</c:v>
                </c:pt>
                <c:pt idx="732">
                  <c:v>12.389263153076172</c:v>
                </c:pt>
                <c:pt idx="733">
                  <c:v>12.367619514465332</c:v>
                </c:pt>
                <c:pt idx="734">
                  <c:v>12.448150634765625</c:v>
                </c:pt>
                <c:pt idx="735">
                  <c:v>12.51541805267334</c:v>
                </c:pt>
                <c:pt idx="736">
                  <c:v>12.513352394104004</c:v>
                </c:pt>
                <c:pt idx="737">
                  <c:v>12.557804107666016</c:v>
                </c:pt>
                <c:pt idx="738">
                  <c:v>12.564426422119141</c:v>
                </c:pt>
                <c:pt idx="739">
                  <c:v>12.640188217163086</c:v>
                </c:pt>
                <c:pt idx="740">
                  <c:v>12.716679573059082</c:v>
                </c:pt>
                <c:pt idx="741">
                  <c:v>12.783553123474121</c:v>
                </c:pt>
                <c:pt idx="742">
                  <c:v>12.807746887207031</c:v>
                </c:pt>
                <c:pt idx="743">
                  <c:v>12.830946922302246</c:v>
                </c:pt>
                <c:pt idx="744">
                  <c:v>12.918237686157227</c:v>
                </c:pt>
                <c:pt idx="745">
                  <c:v>12.950807571411133</c:v>
                </c:pt>
                <c:pt idx="746">
                  <c:v>12.967679023742676</c:v>
                </c:pt>
                <c:pt idx="747">
                  <c:v>13.03363037109375</c:v>
                </c:pt>
                <c:pt idx="748">
                  <c:v>13.033317565917969</c:v>
                </c:pt>
                <c:pt idx="749">
                  <c:v>13.069745063781738</c:v>
                </c:pt>
                <c:pt idx="750">
                  <c:v>13.143407821655273</c:v>
                </c:pt>
                <c:pt idx="751">
                  <c:v>13.158798217773438</c:v>
                </c:pt>
                <c:pt idx="752">
                  <c:v>13.227423667907715</c:v>
                </c:pt>
                <c:pt idx="753">
                  <c:v>13.317317008972168</c:v>
                </c:pt>
                <c:pt idx="754">
                  <c:v>13.318364143371582</c:v>
                </c:pt>
                <c:pt idx="755">
                  <c:v>13.401594161987305</c:v>
                </c:pt>
                <c:pt idx="756">
                  <c:v>13.507757186889648</c:v>
                </c:pt>
                <c:pt idx="757">
                  <c:v>13.570025444030762</c:v>
                </c:pt>
                <c:pt idx="758">
                  <c:v>13.605079650878906</c:v>
                </c:pt>
                <c:pt idx="759">
                  <c:v>13.651299476623535</c:v>
                </c:pt>
                <c:pt idx="760">
                  <c:v>13.713521957397461</c:v>
                </c:pt>
                <c:pt idx="761">
                  <c:v>13.739909172058105</c:v>
                </c:pt>
                <c:pt idx="762">
                  <c:v>13.83940315246582</c:v>
                </c:pt>
                <c:pt idx="763">
                  <c:v>13.978055953979492</c:v>
                </c:pt>
                <c:pt idx="764">
                  <c:v>13.959917068481445</c:v>
                </c:pt>
                <c:pt idx="765">
                  <c:v>14.067141532897949</c:v>
                </c:pt>
                <c:pt idx="766">
                  <c:v>14.072882652282715</c:v>
                </c:pt>
                <c:pt idx="767">
                  <c:v>14.133703231811523</c:v>
                </c:pt>
                <c:pt idx="768">
                  <c:v>14.230672836303711</c:v>
                </c:pt>
                <c:pt idx="769">
                  <c:v>14.286300659179688</c:v>
                </c:pt>
                <c:pt idx="770">
                  <c:v>14.325168609619141</c:v>
                </c:pt>
                <c:pt idx="771">
                  <c:v>14.487649917602539</c:v>
                </c:pt>
                <c:pt idx="772">
                  <c:v>14.525212287902832</c:v>
                </c:pt>
                <c:pt idx="773">
                  <c:v>14.604798316955566</c:v>
                </c:pt>
                <c:pt idx="774">
                  <c:v>14.614897727966309</c:v>
                </c:pt>
                <c:pt idx="775">
                  <c:v>14.719623565673828</c:v>
                </c:pt>
                <c:pt idx="776">
                  <c:v>14.769805908203125</c:v>
                </c:pt>
                <c:pt idx="777">
                  <c:v>14.884767532348633</c:v>
                </c:pt>
                <c:pt idx="778">
                  <c:v>14.920808792114258</c:v>
                </c:pt>
                <c:pt idx="779">
                  <c:v>15.112922668457031</c:v>
                </c:pt>
                <c:pt idx="780">
                  <c:v>15.117159843444824</c:v>
                </c:pt>
                <c:pt idx="781">
                  <c:v>15.162412643432617</c:v>
                </c:pt>
                <c:pt idx="782">
                  <c:v>15.286734580993652</c:v>
                </c:pt>
                <c:pt idx="783">
                  <c:v>15.329255104064941</c:v>
                </c:pt>
                <c:pt idx="784">
                  <c:v>15.444704055786133</c:v>
                </c:pt>
                <c:pt idx="785">
                  <c:v>15.5185546875</c:v>
                </c:pt>
                <c:pt idx="786">
                  <c:v>15.636442184448242</c:v>
                </c:pt>
                <c:pt idx="787">
                  <c:v>15.610557556152344</c:v>
                </c:pt>
                <c:pt idx="788">
                  <c:v>15.773748397827148</c:v>
                </c:pt>
                <c:pt idx="789">
                  <c:v>15.836621284484863</c:v>
                </c:pt>
                <c:pt idx="790">
                  <c:v>15.920052528381348</c:v>
                </c:pt>
                <c:pt idx="791">
                  <c:v>16.046262741088867</c:v>
                </c:pt>
                <c:pt idx="792">
                  <c:v>16.148897171020508</c:v>
                </c:pt>
                <c:pt idx="793">
                  <c:v>16.205839157104492</c:v>
                </c:pt>
                <c:pt idx="794">
                  <c:v>16.260438919067383</c:v>
                </c:pt>
                <c:pt idx="795">
                  <c:v>16.424825668334961</c:v>
                </c:pt>
                <c:pt idx="796">
                  <c:v>16.477054595947266</c:v>
                </c:pt>
                <c:pt idx="797">
                  <c:v>16.585813522338867</c:v>
                </c:pt>
                <c:pt idx="798">
                  <c:v>16.631448745727539</c:v>
                </c:pt>
                <c:pt idx="799">
                  <c:v>16.818635940551758</c:v>
                </c:pt>
                <c:pt idx="800">
                  <c:v>16.893571853637695</c:v>
                </c:pt>
                <c:pt idx="801">
                  <c:v>17.001689910888672</c:v>
                </c:pt>
                <c:pt idx="802">
                  <c:v>17.106292724609375</c:v>
                </c:pt>
                <c:pt idx="803">
                  <c:v>17.228116989135742</c:v>
                </c:pt>
                <c:pt idx="804">
                  <c:v>17.337711334228516</c:v>
                </c:pt>
                <c:pt idx="805">
                  <c:v>17.460702896118164</c:v>
                </c:pt>
                <c:pt idx="806">
                  <c:v>17.567283630371094</c:v>
                </c:pt>
                <c:pt idx="807">
                  <c:v>17.679174423217773</c:v>
                </c:pt>
                <c:pt idx="808">
                  <c:v>17.813934326171875</c:v>
                </c:pt>
                <c:pt idx="809">
                  <c:v>17.950504302978516</c:v>
                </c:pt>
                <c:pt idx="810">
                  <c:v>18.048913955688477</c:v>
                </c:pt>
                <c:pt idx="811">
                  <c:v>18.192087173461914</c:v>
                </c:pt>
                <c:pt idx="812">
                  <c:v>18.259820938110352</c:v>
                </c:pt>
                <c:pt idx="813">
                  <c:v>18.414878845214844</c:v>
                </c:pt>
                <c:pt idx="814">
                  <c:v>18.567586898803711</c:v>
                </c:pt>
                <c:pt idx="815">
                  <c:v>18.721405029296875</c:v>
                </c:pt>
                <c:pt idx="816">
                  <c:v>18.78656005859375</c:v>
                </c:pt>
                <c:pt idx="817">
                  <c:v>18.895698547363281</c:v>
                </c:pt>
                <c:pt idx="818">
                  <c:v>19.069942474365234</c:v>
                </c:pt>
                <c:pt idx="819">
                  <c:v>19.207630157470703</c:v>
                </c:pt>
                <c:pt idx="820">
                  <c:v>19.36311149597168</c:v>
                </c:pt>
                <c:pt idx="821">
                  <c:v>19.533954620361328</c:v>
                </c:pt>
                <c:pt idx="822">
                  <c:v>19.646448135375977</c:v>
                </c:pt>
                <c:pt idx="823">
                  <c:v>19.821605682373047</c:v>
                </c:pt>
                <c:pt idx="824">
                  <c:v>19.978588104248047</c:v>
                </c:pt>
                <c:pt idx="825">
                  <c:v>20.141727447509766</c:v>
                </c:pt>
                <c:pt idx="826">
                  <c:v>20.223188400268555</c:v>
                </c:pt>
                <c:pt idx="827">
                  <c:v>20.452123641967773</c:v>
                </c:pt>
                <c:pt idx="828">
                  <c:v>20.590629577636719</c:v>
                </c:pt>
                <c:pt idx="829">
                  <c:v>20.737678527832031</c:v>
                </c:pt>
                <c:pt idx="830">
                  <c:v>20.860414505004883</c:v>
                </c:pt>
                <c:pt idx="831">
                  <c:v>21.098489761352539</c:v>
                </c:pt>
                <c:pt idx="832">
                  <c:v>21.253290176391602</c:v>
                </c:pt>
                <c:pt idx="833">
                  <c:v>21.464530944824219</c:v>
                </c:pt>
                <c:pt idx="834">
                  <c:v>21.57183837890625</c:v>
                </c:pt>
                <c:pt idx="835">
                  <c:v>21.73088264465332</c:v>
                </c:pt>
                <c:pt idx="836">
                  <c:v>21.936199188232422</c:v>
                </c:pt>
                <c:pt idx="837">
                  <c:v>22.191263198852539</c:v>
                </c:pt>
                <c:pt idx="838">
                  <c:v>22.377082824707031</c:v>
                </c:pt>
                <c:pt idx="839">
                  <c:v>22.584529876708984</c:v>
                </c:pt>
                <c:pt idx="840">
                  <c:v>22.766443252563477</c:v>
                </c:pt>
                <c:pt idx="841">
                  <c:v>22.985479354858398</c:v>
                </c:pt>
                <c:pt idx="842">
                  <c:v>23.174922943115234</c:v>
                </c:pt>
                <c:pt idx="843">
                  <c:v>23.440313339233398</c:v>
                </c:pt>
                <c:pt idx="844">
                  <c:v>23.685813903808594</c:v>
                </c:pt>
                <c:pt idx="845">
                  <c:v>23.871753692626953</c:v>
                </c:pt>
                <c:pt idx="846">
                  <c:v>24.223209381103516</c:v>
                </c:pt>
                <c:pt idx="847">
                  <c:v>24.497234344482422</c:v>
                </c:pt>
                <c:pt idx="848">
                  <c:v>24.738269805908203</c:v>
                </c:pt>
                <c:pt idx="849">
                  <c:v>25.089073181152344</c:v>
                </c:pt>
                <c:pt idx="850">
                  <c:v>25.388631820678711</c:v>
                </c:pt>
                <c:pt idx="851">
                  <c:v>25.655551910400391</c:v>
                </c:pt>
                <c:pt idx="852">
                  <c:v>25.922588348388672</c:v>
                </c:pt>
                <c:pt idx="853">
                  <c:v>26.24420166015625</c:v>
                </c:pt>
                <c:pt idx="854">
                  <c:v>26.611572265625</c:v>
                </c:pt>
                <c:pt idx="855">
                  <c:v>26.976028442382813</c:v>
                </c:pt>
                <c:pt idx="856">
                  <c:v>27.430353164672852</c:v>
                </c:pt>
                <c:pt idx="857">
                  <c:v>27.929924011230469</c:v>
                </c:pt>
                <c:pt idx="858">
                  <c:v>28.380979537963867</c:v>
                </c:pt>
                <c:pt idx="859">
                  <c:v>28.893535614013672</c:v>
                </c:pt>
                <c:pt idx="860">
                  <c:v>29.423673629760742</c:v>
                </c:pt>
                <c:pt idx="861">
                  <c:v>29.948616027832031</c:v>
                </c:pt>
                <c:pt idx="862">
                  <c:v>30.433811187744141</c:v>
                </c:pt>
                <c:pt idx="863">
                  <c:v>31.055057525634766</c:v>
                </c:pt>
                <c:pt idx="864">
                  <c:v>31.646677017211914</c:v>
                </c:pt>
                <c:pt idx="865">
                  <c:v>32.388580322265625</c:v>
                </c:pt>
                <c:pt idx="866">
                  <c:v>33.252899169921875</c:v>
                </c:pt>
                <c:pt idx="867">
                  <c:v>33.960071563720703</c:v>
                </c:pt>
                <c:pt idx="868">
                  <c:v>34.625053405761719</c:v>
                </c:pt>
                <c:pt idx="869">
                  <c:v>35.547866821289063</c:v>
                </c:pt>
                <c:pt idx="870">
                  <c:v>36.190090179443359</c:v>
                </c:pt>
                <c:pt idx="871">
                  <c:v>37.00799560546875</c:v>
                </c:pt>
                <c:pt idx="872">
                  <c:v>37.955657958984375</c:v>
                </c:pt>
                <c:pt idx="873">
                  <c:v>39.141700744628906</c:v>
                </c:pt>
                <c:pt idx="874">
                  <c:v>40.401199340820313</c:v>
                </c:pt>
                <c:pt idx="875">
                  <c:v>41.615039825439453</c:v>
                </c:pt>
                <c:pt idx="876">
                  <c:v>43.050045013427734</c:v>
                </c:pt>
                <c:pt idx="877">
                  <c:v>44.275627136230469</c:v>
                </c:pt>
                <c:pt idx="878">
                  <c:v>45.696365356445313</c:v>
                </c:pt>
                <c:pt idx="879">
                  <c:v>47.708583831787109</c:v>
                </c:pt>
                <c:pt idx="880">
                  <c:v>49.538097381591797</c:v>
                </c:pt>
                <c:pt idx="881">
                  <c:v>51.6254083344893</c:v>
                </c:pt>
                <c:pt idx="882">
                  <c:v>53.751715816225001</c:v>
                </c:pt>
                <c:pt idx="883">
                  <c:v>55.965600009753103</c:v>
                </c:pt>
                <c:pt idx="884">
                  <c:v>58.270667957101097</c:v>
                </c:pt>
                <c:pt idx="885">
                  <c:v>60.670675264358302</c:v>
                </c:pt>
                <c:pt idx="886">
                  <c:v>63.169532220621797</c:v>
                </c:pt>
                <c:pt idx="887">
                  <c:v>65.771310168956404</c:v>
                </c:pt>
                <c:pt idx="888">
                  <c:v>68.480248139765607</c:v>
                </c:pt>
                <c:pt idx="889">
                  <c:v>71.300759757364204</c:v>
                </c:pt>
                <c:pt idx="890">
                  <c:v>74.237440431020602</c:v>
                </c:pt>
                <c:pt idx="891">
                  <c:v>77.295074842174202</c:v>
                </c:pt>
                <c:pt idx="892">
                  <c:v>80.4786447400311</c:v>
                </c:pt>
                <c:pt idx="893">
                  <c:v>83.793337058239004</c:v>
                </c:pt>
                <c:pt idx="894">
                  <c:v>87.244552365867307</c:v>
                </c:pt>
                <c:pt idx="895">
                  <c:v>90.837913666455705</c:v>
                </c:pt>
                <c:pt idx="896">
                  <c:v>94.579275559475505</c:v>
                </c:pt>
                <c:pt idx="897">
                  <c:v>98.474733779123198</c:v>
                </c:pt>
                <c:pt idx="898">
                  <c:v>102.53063512599201</c:v>
                </c:pt>
                <c:pt idx="899">
                  <c:v>106.75358780779899</c:v>
                </c:pt>
              </c:numCache>
            </c:numRef>
          </c:yVal>
          <c:smooth val="1"/>
          <c:extLst>
            <c:ext xmlns:c16="http://schemas.microsoft.com/office/drawing/2014/chart" uri="{C3380CC4-5D6E-409C-BE32-E72D297353CC}">
              <c16:uniqueId val="{00000002-065F-4201-BD7F-B2F9AF941BA7}"/>
            </c:ext>
          </c:extLst>
        </c:ser>
        <c:ser>
          <c:idx val="3"/>
          <c:order val="2"/>
          <c:tx>
            <c:strRef>
              <c:f>Input!$P$2</c:f>
              <c:strCache>
                <c:ptCount val="1"/>
                <c:pt idx="0">
                  <c:v>FB</c:v>
                </c:pt>
              </c:strCache>
            </c:strRef>
          </c:tx>
          <c:spPr>
            <a:ln w="28575" cap="rnd">
              <a:solidFill>
                <a:schemeClr val="accent4"/>
              </a:solidFill>
              <a:round/>
            </a:ln>
            <a:effectLst/>
          </c:spPr>
          <c:marker>
            <c:symbol val="none"/>
          </c:marker>
          <c:xVal>
            <c:numRef>
              <c:f>Input!$M$3:$M$1000</c:f>
              <c:numCache>
                <c:formatCode>General</c:formatCode>
                <c:ptCount val="998"/>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pt idx="401">
                  <c:v>200.5</c:v>
                </c:pt>
                <c:pt idx="402">
                  <c:v>201</c:v>
                </c:pt>
                <c:pt idx="403">
                  <c:v>201.5</c:v>
                </c:pt>
                <c:pt idx="404">
                  <c:v>202</c:v>
                </c:pt>
                <c:pt idx="405">
                  <c:v>202.5</c:v>
                </c:pt>
                <c:pt idx="406">
                  <c:v>203</c:v>
                </c:pt>
                <c:pt idx="407">
                  <c:v>203.5</c:v>
                </c:pt>
                <c:pt idx="408">
                  <c:v>204</c:v>
                </c:pt>
                <c:pt idx="409">
                  <c:v>204.5</c:v>
                </c:pt>
                <c:pt idx="410">
                  <c:v>205</c:v>
                </c:pt>
                <c:pt idx="411">
                  <c:v>205.5</c:v>
                </c:pt>
                <c:pt idx="412">
                  <c:v>206</c:v>
                </c:pt>
                <c:pt idx="413">
                  <c:v>206.5</c:v>
                </c:pt>
                <c:pt idx="414">
                  <c:v>207</c:v>
                </c:pt>
                <c:pt idx="415">
                  <c:v>207.5</c:v>
                </c:pt>
                <c:pt idx="416">
                  <c:v>208</c:v>
                </c:pt>
                <c:pt idx="417">
                  <c:v>208.5</c:v>
                </c:pt>
                <c:pt idx="418">
                  <c:v>209</c:v>
                </c:pt>
                <c:pt idx="419">
                  <c:v>209.5</c:v>
                </c:pt>
                <c:pt idx="420">
                  <c:v>210</c:v>
                </c:pt>
                <c:pt idx="421">
                  <c:v>210.5</c:v>
                </c:pt>
                <c:pt idx="422">
                  <c:v>211</c:v>
                </c:pt>
                <c:pt idx="423">
                  <c:v>211.5</c:v>
                </c:pt>
                <c:pt idx="424">
                  <c:v>212</c:v>
                </c:pt>
                <c:pt idx="425">
                  <c:v>212.5</c:v>
                </c:pt>
                <c:pt idx="426">
                  <c:v>213</c:v>
                </c:pt>
                <c:pt idx="427">
                  <c:v>213.5</c:v>
                </c:pt>
                <c:pt idx="428">
                  <c:v>214</c:v>
                </c:pt>
                <c:pt idx="429">
                  <c:v>214.5</c:v>
                </c:pt>
                <c:pt idx="430">
                  <c:v>215</c:v>
                </c:pt>
                <c:pt idx="431">
                  <c:v>215.5</c:v>
                </c:pt>
                <c:pt idx="432">
                  <c:v>216</c:v>
                </c:pt>
                <c:pt idx="433">
                  <c:v>216.5</c:v>
                </c:pt>
                <c:pt idx="434">
                  <c:v>217</c:v>
                </c:pt>
                <c:pt idx="435">
                  <c:v>217.5</c:v>
                </c:pt>
                <c:pt idx="436">
                  <c:v>218</c:v>
                </c:pt>
                <c:pt idx="437">
                  <c:v>218.5</c:v>
                </c:pt>
                <c:pt idx="438">
                  <c:v>219</c:v>
                </c:pt>
                <c:pt idx="439">
                  <c:v>219.5</c:v>
                </c:pt>
                <c:pt idx="440">
                  <c:v>220</c:v>
                </c:pt>
                <c:pt idx="441">
                  <c:v>220.5</c:v>
                </c:pt>
                <c:pt idx="442">
                  <c:v>221</c:v>
                </c:pt>
                <c:pt idx="443">
                  <c:v>221.5</c:v>
                </c:pt>
                <c:pt idx="444">
                  <c:v>222</c:v>
                </c:pt>
                <c:pt idx="445">
                  <c:v>222.5</c:v>
                </c:pt>
                <c:pt idx="446">
                  <c:v>223</c:v>
                </c:pt>
                <c:pt idx="447">
                  <c:v>223.5</c:v>
                </c:pt>
                <c:pt idx="448">
                  <c:v>224</c:v>
                </c:pt>
                <c:pt idx="449">
                  <c:v>224.5</c:v>
                </c:pt>
                <c:pt idx="450">
                  <c:v>225</c:v>
                </c:pt>
                <c:pt idx="451">
                  <c:v>225.5</c:v>
                </c:pt>
                <c:pt idx="452">
                  <c:v>226</c:v>
                </c:pt>
                <c:pt idx="453">
                  <c:v>226.5</c:v>
                </c:pt>
                <c:pt idx="454">
                  <c:v>227</c:v>
                </c:pt>
                <c:pt idx="455">
                  <c:v>227.5</c:v>
                </c:pt>
                <c:pt idx="456">
                  <c:v>228</c:v>
                </c:pt>
                <c:pt idx="457">
                  <c:v>228.5</c:v>
                </c:pt>
                <c:pt idx="458">
                  <c:v>229</c:v>
                </c:pt>
                <c:pt idx="459">
                  <c:v>229.5</c:v>
                </c:pt>
                <c:pt idx="460">
                  <c:v>230</c:v>
                </c:pt>
                <c:pt idx="461">
                  <c:v>230.5</c:v>
                </c:pt>
                <c:pt idx="462">
                  <c:v>231</c:v>
                </c:pt>
                <c:pt idx="463">
                  <c:v>231.5</c:v>
                </c:pt>
                <c:pt idx="464">
                  <c:v>232</c:v>
                </c:pt>
                <c:pt idx="465">
                  <c:v>232.5</c:v>
                </c:pt>
                <c:pt idx="466">
                  <c:v>233</c:v>
                </c:pt>
                <c:pt idx="467">
                  <c:v>233.5</c:v>
                </c:pt>
                <c:pt idx="468">
                  <c:v>234</c:v>
                </c:pt>
                <c:pt idx="469">
                  <c:v>234.5</c:v>
                </c:pt>
                <c:pt idx="470">
                  <c:v>235</c:v>
                </c:pt>
                <c:pt idx="471">
                  <c:v>235.5</c:v>
                </c:pt>
                <c:pt idx="472">
                  <c:v>236</c:v>
                </c:pt>
                <c:pt idx="473">
                  <c:v>236.5</c:v>
                </c:pt>
                <c:pt idx="474">
                  <c:v>237</c:v>
                </c:pt>
                <c:pt idx="475">
                  <c:v>237.5</c:v>
                </c:pt>
                <c:pt idx="476">
                  <c:v>238</c:v>
                </c:pt>
                <c:pt idx="477">
                  <c:v>238.5</c:v>
                </c:pt>
                <c:pt idx="478">
                  <c:v>239</c:v>
                </c:pt>
                <c:pt idx="479">
                  <c:v>239.5</c:v>
                </c:pt>
                <c:pt idx="480">
                  <c:v>240</c:v>
                </c:pt>
                <c:pt idx="481">
                  <c:v>240.5</c:v>
                </c:pt>
                <c:pt idx="482">
                  <c:v>241</c:v>
                </c:pt>
                <c:pt idx="483">
                  <c:v>241.5</c:v>
                </c:pt>
                <c:pt idx="484">
                  <c:v>242</c:v>
                </c:pt>
                <c:pt idx="485">
                  <c:v>242.5</c:v>
                </c:pt>
                <c:pt idx="486">
                  <c:v>243</c:v>
                </c:pt>
                <c:pt idx="487">
                  <c:v>243.5</c:v>
                </c:pt>
                <c:pt idx="488">
                  <c:v>244</c:v>
                </c:pt>
                <c:pt idx="489">
                  <c:v>244.5</c:v>
                </c:pt>
                <c:pt idx="490">
                  <c:v>245</c:v>
                </c:pt>
                <c:pt idx="491">
                  <c:v>245.5</c:v>
                </c:pt>
                <c:pt idx="492">
                  <c:v>246</c:v>
                </c:pt>
                <c:pt idx="493">
                  <c:v>246.5</c:v>
                </c:pt>
                <c:pt idx="494">
                  <c:v>247</c:v>
                </c:pt>
                <c:pt idx="495">
                  <c:v>247.5</c:v>
                </c:pt>
                <c:pt idx="496">
                  <c:v>248</c:v>
                </c:pt>
                <c:pt idx="497">
                  <c:v>248.5</c:v>
                </c:pt>
                <c:pt idx="498">
                  <c:v>249</c:v>
                </c:pt>
                <c:pt idx="499">
                  <c:v>249.5</c:v>
                </c:pt>
                <c:pt idx="500">
                  <c:v>250</c:v>
                </c:pt>
                <c:pt idx="501">
                  <c:v>250.5</c:v>
                </c:pt>
                <c:pt idx="502">
                  <c:v>251</c:v>
                </c:pt>
                <c:pt idx="503">
                  <c:v>251.5</c:v>
                </c:pt>
                <c:pt idx="504">
                  <c:v>252</c:v>
                </c:pt>
                <c:pt idx="505">
                  <c:v>252.5</c:v>
                </c:pt>
                <c:pt idx="506">
                  <c:v>253</c:v>
                </c:pt>
                <c:pt idx="507">
                  <c:v>253.5</c:v>
                </c:pt>
                <c:pt idx="508">
                  <c:v>254</c:v>
                </c:pt>
                <c:pt idx="509">
                  <c:v>254.5</c:v>
                </c:pt>
                <c:pt idx="510">
                  <c:v>255</c:v>
                </c:pt>
                <c:pt idx="511">
                  <c:v>255.5</c:v>
                </c:pt>
                <c:pt idx="512">
                  <c:v>256</c:v>
                </c:pt>
                <c:pt idx="513">
                  <c:v>256.5</c:v>
                </c:pt>
                <c:pt idx="514">
                  <c:v>257</c:v>
                </c:pt>
                <c:pt idx="515">
                  <c:v>257.5</c:v>
                </c:pt>
                <c:pt idx="516">
                  <c:v>258</c:v>
                </c:pt>
                <c:pt idx="517">
                  <c:v>258.5</c:v>
                </c:pt>
                <c:pt idx="518">
                  <c:v>259</c:v>
                </c:pt>
                <c:pt idx="519">
                  <c:v>259.5</c:v>
                </c:pt>
                <c:pt idx="520">
                  <c:v>260</c:v>
                </c:pt>
                <c:pt idx="521">
                  <c:v>260.5</c:v>
                </c:pt>
                <c:pt idx="522">
                  <c:v>261</c:v>
                </c:pt>
                <c:pt idx="523">
                  <c:v>261.5</c:v>
                </c:pt>
                <c:pt idx="524">
                  <c:v>262</c:v>
                </c:pt>
                <c:pt idx="525">
                  <c:v>262.5</c:v>
                </c:pt>
                <c:pt idx="526">
                  <c:v>263</c:v>
                </c:pt>
                <c:pt idx="527">
                  <c:v>263.5</c:v>
                </c:pt>
                <c:pt idx="528">
                  <c:v>264</c:v>
                </c:pt>
                <c:pt idx="529">
                  <c:v>264.5</c:v>
                </c:pt>
                <c:pt idx="530">
                  <c:v>265</c:v>
                </c:pt>
                <c:pt idx="531">
                  <c:v>265.5</c:v>
                </c:pt>
                <c:pt idx="532">
                  <c:v>266</c:v>
                </c:pt>
                <c:pt idx="533">
                  <c:v>266.5</c:v>
                </c:pt>
                <c:pt idx="534">
                  <c:v>267</c:v>
                </c:pt>
                <c:pt idx="535">
                  <c:v>267.5</c:v>
                </c:pt>
                <c:pt idx="536">
                  <c:v>268</c:v>
                </c:pt>
                <c:pt idx="537">
                  <c:v>268.5</c:v>
                </c:pt>
                <c:pt idx="538">
                  <c:v>269</c:v>
                </c:pt>
                <c:pt idx="539">
                  <c:v>269.5</c:v>
                </c:pt>
                <c:pt idx="540">
                  <c:v>270</c:v>
                </c:pt>
                <c:pt idx="541">
                  <c:v>270.5</c:v>
                </c:pt>
                <c:pt idx="542">
                  <c:v>271</c:v>
                </c:pt>
                <c:pt idx="543">
                  <c:v>271.5</c:v>
                </c:pt>
                <c:pt idx="544">
                  <c:v>272</c:v>
                </c:pt>
                <c:pt idx="545">
                  <c:v>272.5</c:v>
                </c:pt>
                <c:pt idx="546">
                  <c:v>273</c:v>
                </c:pt>
                <c:pt idx="547">
                  <c:v>273.5</c:v>
                </c:pt>
                <c:pt idx="548">
                  <c:v>274</c:v>
                </c:pt>
                <c:pt idx="549">
                  <c:v>274.5</c:v>
                </c:pt>
                <c:pt idx="550">
                  <c:v>275</c:v>
                </c:pt>
                <c:pt idx="551">
                  <c:v>275.5</c:v>
                </c:pt>
                <c:pt idx="552">
                  <c:v>276</c:v>
                </c:pt>
                <c:pt idx="553">
                  <c:v>276.5</c:v>
                </c:pt>
                <c:pt idx="554">
                  <c:v>277</c:v>
                </c:pt>
                <c:pt idx="555">
                  <c:v>277.5</c:v>
                </c:pt>
                <c:pt idx="556">
                  <c:v>278</c:v>
                </c:pt>
                <c:pt idx="557">
                  <c:v>278.5</c:v>
                </c:pt>
                <c:pt idx="558">
                  <c:v>279</c:v>
                </c:pt>
                <c:pt idx="559">
                  <c:v>279.5</c:v>
                </c:pt>
                <c:pt idx="560">
                  <c:v>280</c:v>
                </c:pt>
                <c:pt idx="561">
                  <c:v>280.5</c:v>
                </c:pt>
                <c:pt idx="562">
                  <c:v>281</c:v>
                </c:pt>
                <c:pt idx="563">
                  <c:v>281.5</c:v>
                </c:pt>
                <c:pt idx="564">
                  <c:v>282</c:v>
                </c:pt>
                <c:pt idx="565">
                  <c:v>282.5</c:v>
                </c:pt>
                <c:pt idx="566">
                  <c:v>283</c:v>
                </c:pt>
                <c:pt idx="567">
                  <c:v>283.5</c:v>
                </c:pt>
                <c:pt idx="568">
                  <c:v>284</c:v>
                </c:pt>
                <c:pt idx="569">
                  <c:v>284.5</c:v>
                </c:pt>
                <c:pt idx="570">
                  <c:v>285</c:v>
                </c:pt>
                <c:pt idx="571">
                  <c:v>285.5</c:v>
                </c:pt>
                <c:pt idx="572">
                  <c:v>286</c:v>
                </c:pt>
                <c:pt idx="573">
                  <c:v>286.5</c:v>
                </c:pt>
                <c:pt idx="574">
                  <c:v>287</c:v>
                </c:pt>
                <c:pt idx="575">
                  <c:v>287.5</c:v>
                </c:pt>
                <c:pt idx="576">
                  <c:v>288</c:v>
                </c:pt>
                <c:pt idx="577">
                  <c:v>288.5</c:v>
                </c:pt>
                <c:pt idx="578">
                  <c:v>289</c:v>
                </c:pt>
                <c:pt idx="579">
                  <c:v>289.5</c:v>
                </c:pt>
                <c:pt idx="580">
                  <c:v>290</c:v>
                </c:pt>
                <c:pt idx="581">
                  <c:v>290.5</c:v>
                </c:pt>
                <c:pt idx="582">
                  <c:v>291</c:v>
                </c:pt>
                <c:pt idx="583">
                  <c:v>291.5</c:v>
                </c:pt>
                <c:pt idx="584">
                  <c:v>292</c:v>
                </c:pt>
                <c:pt idx="585">
                  <c:v>292.5</c:v>
                </c:pt>
                <c:pt idx="586">
                  <c:v>293</c:v>
                </c:pt>
                <c:pt idx="587">
                  <c:v>293.5</c:v>
                </c:pt>
                <c:pt idx="588">
                  <c:v>294</c:v>
                </c:pt>
                <c:pt idx="589">
                  <c:v>294.5</c:v>
                </c:pt>
                <c:pt idx="590">
                  <c:v>295</c:v>
                </c:pt>
                <c:pt idx="591">
                  <c:v>295.5</c:v>
                </c:pt>
                <c:pt idx="592">
                  <c:v>296</c:v>
                </c:pt>
                <c:pt idx="593">
                  <c:v>296.5</c:v>
                </c:pt>
                <c:pt idx="594">
                  <c:v>297</c:v>
                </c:pt>
                <c:pt idx="595">
                  <c:v>297.5</c:v>
                </c:pt>
                <c:pt idx="596">
                  <c:v>298</c:v>
                </c:pt>
                <c:pt idx="597">
                  <c:v>298.5</c:v>
                </c:pt>
                <c:pt idx="598">
                  <c:v>299</c:v>
                </c:pt>
                <c:pt idx="599">
                  <c:v>299.5</c:v>
                </c:pt>
                <c:pt idx="600">
                  <c:v>300</c:v>
                </c:pt>
                <c:pt idx="601">
                  <c:v>300.5</c:v>
                </c:pt>
                <c:pt idx="602">
                  <c:v>301</c:v>
                </c:pt>
                <c:pt idx="603">
                  <c:v>301.5</c:v>
                </c:pt>
                <c:pt idx="604">
                  <c:v>302</c:v>
                </c:pt>
                <c:pt idx="605">
                  <c:v>302.5</c:v>
                </c:pt>
                <c:pt idx="606">
                  <c:v>303</c:v>
                </c:pt>
                <c:pt idx="607">
                  <c:v>303.5</c:v>
                </c:pt>
                <c:pt idx="608">
                  <c:v>304</c:v>
                </c:pt>
                <c:pt idx="609">
                  <c:v>304.5</c:v>
                </c:pt>
                <c:pt idx="610">
                  <c:v>305</c:v>
                </c:pt>
                <c:pt idx="611">
                  <c:v>305.5</c:v>
                </c:pt>
                <c:pt idx="612">
                  <c:v>306</c:v>
                </c:pt>
                <c:pt idx="613">
                  <c:v>306.5</c:v>
                </c:pt>
                <c:pt idx="614">
                  <c:v>307</c:v>
                </c:pt>
                <c:pt idx="615">
                  <c:v>307.5</c:v>
                </c:pt>
                <c:pt idx="616">
                  <c:v>308</c:v>
                </c:pt>
                <c:pt idx="617">
                  <c:v>308.5</c:v>
                </c:pt>
                <c:pt idx="618">
                  <c:v>309</c:v>
                </c:pt>
                <c:pt idx="619">
                  <c:v>309.5</c:v>
                </c:pt>
                <c:pt idx="620">
                  <c:v>310</c:v>
                </c:pt>
                <c:pt idx="621">
                  <c:v>310.5</c:v>
                </c:pt>
                <c:pt idx="622">
                  <c:v>311</c:v>
                </c:pt>
                <c:pt idx="623">
                  <c:v>311.5</c:v>
                </c:pt>
                <c:pt idx="624">
                  <c:v>312</c:v>
                </c:pt>
                <c:pt idx="625">
                  <c:v>312.5</c:v>
                </c:pt>
                <c:pt idx="626">
                  <c:v>313</c:v>
                </c:pt>
                <c:pt idx="627">
                  <c:v>313.5</c:v>
                </c:pt>
                <c:pt idx="628">
                  <c:v>314</c:v>
                </c:pt>
                <c:pt idx="629">
                  <c:v>314.5</c:v>
                </c:pt>
                <c:pt idx="630">
                  <c:v>315</c:v>
                </c:pt>
                <c:pt idx="631">
                  <c:v>315.5</c:v>
                </c:pt>
                <c:pt idx="632">
                  <c:v>316</c:v>
                </c:pt>
                <c:pt idx="633">
                  <c:v>316.5</c:v>
                </c:pt>
                <c:pt idx="634">
                  <c:v>317</c:v>
                </c:pt>
                <c:pt idx="635">
                  <c:v>317.5</c:v>
                </c:pt>
                <c:pt idx="636">
                  <c:v>318</c:v>
                </c:pt>
                <c:pt idx="637">
                  <c:v>318.5</c:v>
                </c:pt>
                <c:pt idx="638">
                  <c:v>319</c:v>
                </c:pt>
                <c:pt idx="639">
                  <c:v>319.5</c:v>
                </c:pt>
                <c:pt idx="640">
                  <c:v>320</c:v>
                </c:pt>
                <c:pt idx="641">
                  <c:v>320.5</c:v>
                </c:pt>
                <c:pt idx="642">
                  <c:v>321</c:v>
                </c:pt>
                <c:pt idx="643">
                  <c:v>321.5</c:v>
                </c:pt>
                <c:pt idx="644">
                  <c:v>322</c:v>
                </c:pt>
                <c:pt idx="645">
                  <c:v>322.5</c:v>
                </c:pt>
                <c:pt idx="646">
                  <c:v>323</c:v>
                </c:pt>
                <c:pt idx="647">
                  <c:v>323.5</c:v>
                </c:pt>
                <c:pt idx="648">
                  <c:v>324</c:v>
                </c:pt>
                <c:pt idx="649">
                  <c:v>324.5</c:v>
                </c:pt>
                <c:pt idx="650">
                  <c:v>325</c:v>
                </c:pt>
                <c:pt idx="651">
                  <c:v>325.5</c:v>
                </c:pt>
                <c:pt idx="652">
                  <c:v>326</c:v>
                </c:pt>
                <c:pt idx="653">
                  <c:v>326.5</c:v>
                </c:pt>
                <c:pt idx="654">
                  <c:v>327</c:v>
                </c:pt>
                <c:pt idx="655">
                  <c:v>327.5</c:v>
                </c:pt>
                <c:pt idx="656">
                  <c:v>328</c:v>
                </c:pt>
                <c:pt idx="657">
                  <c:v>328.5</c:v>
                </c:pt>
                <c:pt idx="658">
                  <c:v>329</c:v>
                </c:pt>
                <c:pt idx="659">
                  <c:v>329.5</c:v>
                </c:pt>
                <c:pt idx="660">
                  <c:v>330</c:v>
                </c:pt>
                <c:pt idx="661">
                  <c:v>330.5</c:v>
                </c:pt>
                <c:pt idx="662">
                  <c:v>331</c:v>
                </c:pt>
                <c:pt idx="663">
                  <c:v>331.5</c:v>
                </c:pt>
                <c:pt idx="664">
                  <c:v>332</c:v>
                </c:pt>
                <c:pt idx="665">
                  <c:v>332.5</c:v>
                </c:pt>
                <c:pt idx="666">
                  <c:v>333</c:v>
                </c:pt>
                <c:pt idx="667">
                  <c:v>333.5</c:v>
                </c:pt>
                <c:pt idx="668">
                  <c:v>334</c:v>
                </c:pt>
                <c:pt idx="669">
                  <c:v>334.5</c:v>
                </c:pt>
                <c:pt idx="670">
                  <c:v>335</c:v>
                </c:pt>
                <c:pt idx="671">
                  <c:v>335.5</c:v>
                </c:pt>
                <c:pt idx="672">
                  <c:v>336</c:v>
                </c:pt>
                <c:pt idx="673">
                  <c:v>336.5</c:v>
                </c:pt>
                <c:pt idx="674">
                  <c:v>337</c:v>
                </c:pt>
                <c:pt idx="675">
                  <c:v>337.5</c:v>
                </c:pt>
                <c:pt idx="676">
                  <c:v>338</c:v>
                </c:pt>
                <c:pt idx="677">
                  <c:v>338.5</c:v>
                </c:pt>
                <c:pt idx="678">
                  <c:v>339</c:v>
                </c:pt>
                <c:pt idx="679">
                  <c:v>339.5</c:v>
                </c:pt>
                <c:pt idx="680">
                  <c:v>340</c:v>
                </c:pt>
                <c:pt idx="681">
                  <c:v>340.5</c:v>
                </c:pt>
                <c:pt idx="682">
                  <c:v>341</c:v>
                </c:pt>
                <c:pt idx="683">
                  <c:v>341.5</c:v>
                </c:pt>
                <c:pt idx="684">
                  <c:v>342</c:v>
                </c:pt>
                <c:pt idx="685">
                  <c:v>342.5</c:v>
                </c:pt>
                <c:pt idx="686">
                  <c:v>343</c:v>
                </c:pt>
                <c:pt idx="687">
                  <c:v>343.5</c:v>
                </c:pt>
                <c:pt idx="688">
                  <c:v>344</c:v>
                </c:pt>
                <c:pt idx="689">
                  <c:v>344.5</c:v>
                </c:pt>
                <c:pt idx="690">
                  <c:v>345</c:v>
                </c:pt>
                <c:pt idx="691">
                  <c:v>345.5</c:v>
                </c:pt>
                <c:pt idx="692">
                  <c:v>346</c:v>
                </c:pt>
                <c:pt idx="693">
                  <c:v>346.5</c:v>
                </c:pt>
                <c:pt idx="694">
                  <c:v>347</c:v>
                </c:pt>
                <c:pt idx="695">
                  <c:v>347.5</c:v>
                </c:pt>
                <c:pt idx="696">
                  <c:v>348</c:v>
                </c:pt>
                <c:pt idx="697">
                  <c:v>348.5</c:v>
                </c:pt>
                <c:pt idx="698">
                  <c:v>349</c:v>
                </c:pt>
                <c:pt idx="699">
                  <c:v>349.5</c:v>
                </c:pt>
                <c:pt idx="700">
                  <c:v>350</c:v>
                </c:pt>
                <c:pt idx="701">
                  <c:v>350.5</c:v>
                </c:pt>
                <c:pt idx="702">
                  <c:v>351</c:v>
                </c:pt>
                <c:pt idx="703">
                  <c:v>351.5</c:v>
                </c:pt>
                <c:pt idx="704">
                  <c:v>352</c:v>
                </c:pt>
                <c:pt idx="705">
                  <c:v>352.5</c:v>
                </c:pt>
                <c:pt idx="706">
                  <c:v>353</c:v>
                </c:pt>
                <c:pt idx="707">
                  <c:v>353.5</c:v>
                </c:pt>
                <c:pt idx="708">
                  <c:v>354</c:v>
                </c:pt>
                <c:pt idx="709">
                  <c:v>354.5</c:v>
                </c:pt>
                <c:pt idx="710">
                  <c:v>355</c:v>
                </c:pt>
                <c:pt idx="711">
                  <c:v>355.5</c:v>
                </c:pt>
                <c:pt idx="712">
                  <c:v>356</c:v>
                </c:pt>
                <c:pt idx="713">
                  <c:v>356.5</c:v>
                </c:pt>
                <c:pt idx="714">
                  <c:v>357</c:v>
                </c:pt>
                <c:pt idx="715">
                  <c:v>357.5</c:v>
                </c:pt>
                <c:pt idx="716">
                  <c:v>358</c:v>
                </c:pt>
                <c:pt idx="717">
                  <c:v>358.5</c:v>
                </c:pt>
                <c:pt idx="718">
                  <c:v>359</c:v>
                </c:pt>
                <c:pt idx="719">
                  <c:v>359.5</c:v>
                </c:pt>
                <c:pt idx="720">
                  <c:v>360</c:v>
                </c:pt>
                <c:pt idx="721">
                  <c:v>360.5</c:v>
                </c:pt>
                <c:pt idx="722">
                  <c:v>361</c:v>
                </c:pt>
                <c:pt idx="723">
                  <c:v>361.5</c:v>
                </c:pt>
                <c:pt idx="724">
                  <c:v>362</c:v>
                </c:pt>
                <c:pt idx="725">
                  <c:v>362.5</c:v>
                </c:pt>
                <c:pt idx="726">
                  <c:v>363</c:v>
                </c:pt>
                <c:pt idx="727">
                  <c:v>363.5</c:v>
                </c:pt>
                <c:pt idx="728">
                  <c:v>364</c:v>
                </c:pt>
                <c:pt idx="729">
                  <c:v>364.5</c:v>
                </c:pt>
                <c:pt idx="730">
                  <c:v>365</c:v>
                </c:pt>
                <c:pt idx="731">
                  <c:v>365.5</c:v>
                </c:pt>
                <c:pt idx="732">
                  <c:v>366</c:v>
                </c:pt>
                <c:pt idx="733">
                  <c:v>366.5</c:v>
                </c:pt>
                <c:pt idx="734">
                  <c:v>367</c:v>
                </c:pt>
                <c:pt idx="735">
                  <c:v>367.5</c:v>
                </c:pt>
                <c:pt idx="736">
                  <c:v>368</c:v>
                </c:pt>
                <c:pt idx="737">
                  <c:v>368.5</c:v>
                </c:pt>
                <c:pt idx="738">
                  <c:v>369</c:v>
                </c:pt>
                <c:pt idx="739">
                  <c:v>369.5</c:v>
                </c:pt>
                <c:pt idx="740">
                  <c:v>370</c:v>
                </c:pt>
                <c:pt idx="741">
                  <c:v>370.5</c:v>
                </c:pt>
                <c:pt idx="742">
                  <c:v>371</c:v>
                </c:pt>
                <c:pt idx="743">
                  <c:v>371.5</c:v>
                </c:pt>
                <c:pt idx="744">
                  <c:v>372</c:v>
                </c:pt>
                <c:pt idx="745">
                  <c:v>372.5</c:v>
                </c:pt>
                <c:pt idx="746">
                  <c:v>373</c:v>
                </c:pt>
                <c:pt idx="747">
                  <c:v>373.5</c:v>
                </c:pt>
                <c:pt idx="748">
                  <c:v>374</c:v>
                </c:pt>
                <c:pt idx="749">
                  <c:v>374.5</c:v>
                </c:pt>
                <c:pt idx="750">
                  <c:v>375</c:v>
                </c:pt>
                <c:pt idx="751">
                  <c:v>375.5</c:v>
                </c:pt>
                <c:pt idx="752">
                  <c:v>376</c:v>
                </c:pt>
                <c:pt idx="753">
                  <c:v>376.5</c:v>
                </c:pt>
                <c:pt idx="754">
                  <c:v>377</c:v>
                </c:pt>
                <c:pt idx="755">
                  <c:v>377.5</c:v>
                </c:pt>
                <c:pt idx="756">
                  <c:v>378</c:v>
                </c:pt>
                <c:pt idx="757">
                  <c:v>378.5</c:v>
                </c:pt>
                <c:pt idx="758">
                  <c:v>379</c:v>
                </c:pt>
                <c:pt idx="759">
                  <c:v>379.5</c:v>
                </c:pt>
                <c:pt idx="760">
                  <c:v>380</c:v>
                </c:pt>
                <c:pt idx="761">
                  <c:v>380.5</c:v>
                </c:pt>
                <c:pt idx="762">
                  <c:v>381</c:v>
                </c:pt>
                <c:pt idx="763">
                  <c:v>381.5</c:v>
                </c:pt>
                <c:pt idx="764">
                  <c:v>382</c:v>
                </c:pt>
                <c:pt idx="765">
                  <c:v>382.5</c:v>
                </c:pt>
                <c:pt idx="766">
                  <c:v>383</c:v>
                </c:pt>
                <c:pt idx="767">
                  <c:v>383.5</c:v>
                </c:pt>
                <c:pt idx="768">
                  <c:v>384</c:v>
                </c:pt>
                <c:pt idx="769">
                  <c:v>384.5</c:v>
                </c:pt>
                <c:pt idx="770">
                  <c:v>385</c:v>
                </c:pt>
                <c:pt idx="771">
                  <c:v>385.5</c:v>
                </c:pt>
                <c:pt idx="772">
                  <c:v>386</c:v>
                </c:pt>
                <c:pt idx="773">
                  <c:v>386.5</c:v>
                </c:pt>
                <c:pt idx="774">
                  <c:v>387</c:v>
                </c:pt>
                <c:pt idx="775">
                  <c:v>387.5</c:v>
                </c:pt>
                <c:pt idx="776">
                  <c:v>388</c:v>
                </c:pt>
                <c:pt idx="777">
                  <c:v>388.5</c:v>
                </c:pt>
                <c:pt idx="778">
                  <c:v>389</c:v>
                </c:pt>
                <c:pt idx="779">
                  <c:v>389.5</c:v>
                </c:pt>
                <c:pt idx="780">
                  <c:v>390</c:v>
                </c:pt>
                <c:pt idx="781">
                  <c:v>390.5</c:v>
                </c:pt>
                <c:pt idx="782">
                  <c:v>391</c:v>
                </c:pt>
                <c:pt idx="783">
                  <c:v>391.5</c:v>
                </c:pt>
                <c:pt idx="784">
                  <c:v>392</c:v>
                </c:pt>
                <c:pt idx="785">
                  <c:v>392.5</c:v>
                </c:pt>
                <c:pt idx="786">
                  <c:v>393</c:v>
                </c:pt>
                <c:pt idx="787">
                  <c:v>393.5</c:v>
                </c:pt>
                <c:pt idx="788">
                  <c:v>394</c:v>
                </c:pt>
                <c:pt idx="789">
                  <c:v>394.5</c:v>
                </c:pt>
                <c:pt idx="790">
                  <c:v>395</c:v>
                </c:pt>
                <c:pt idx="791">
                  <c:v>395.5</c:v>
                </c:pt>
                <c:pt idx="792">
                  <c:v>396</c:v>
                </c:pt>
                <c:pt idx="793">
                  <c:v>396.5</c:v>
                </c:pt>
                <c:pt idx="794">
                  <c:v>397</c:v>
                </c:pt>
                <c:pt idx="795">
                  <c:v>397.5</c:v>
                </c:pt>
                <c:pt idx="796">
                  <c:v>398</c:v>
                </c:pt>
                <c:pt idx="797">
                  <c:v>398.5</c:v>
                </c:pt>
                <c:pt idx="798">
                  <c:v>399</c:v>
                </c:pt>
                <c:pt idx="799">
                  <c:v>399.5</c:v>
                </c:pt>
                <c:pt idx="800">
                  <c:v>400</c:v>
                </c:pt>
                <c:pt idx="801">
                  <c:v>400.5</c:v>
                </c:pt>
                <c:pt idx="802">
                  <c:v>401</c:v>
                </c:pt>
                <c:pt idx="803">
                  <c:v>401.5</c:v>
                </c:pt>
                <c:pt idx="804">
                  <c:v>402</c:v>
                </c:pt>
                <c:pt idx="805">
                  <c:v>402.5</c:v>
                </c:pt>
                <c:pt idx="806">
                  <c:v>403</c:v>
                </c:pt>
                <c:pt idx="807">
                  <c:v>403.5</c:v>
                </c:pt>
                <c:pt idx="808">
                  <c:v>404</c:v>
                </c:pt>
                <c:pt idx="809">
                  <c:v>404.5</c:v>
                </c:pt>
                <c:pt idx="810">
                  <c:v>405</c:v>
                </c:pt>
                <c:pt idx="811">
                  <c:v>405.5</c:v>
                </c:pt>
                <c:pt idx="812">
                  <c:v>406</c:v>
                </c:pt>
                <c:pt idx="813">
                  <c:v>406.5</c:v>
                </c:pt>
                <c:pt idx="814">
                  <c:v>407</c:v>
                </c:pt>
                <c:pt idx="815">
                  <c:v>407.5</c:v>
                </c:pt>
                <c:pt idx="816">
                  <c:v>408</c:v>
                </c:pt>
                <c:pt idx="817">
                  <c:v>408.5</c:v>
                </c:pt>
                <c:pt idx="818">
                  <c:v>409</c:v>
                </c:pt>
                <c:pt idx="819">
                  <c:v>409.5</c:v>
                </c:pt>
                <c:pt idx="820">
                  <c:v>410</c:v>
                </c:pt>
                <c:pt idx="821">
                  <c:v>410.5</c:v>
                </c:pt>
                <c:pt idx="822">
                  <c:v>411</c:v>
                </c:pt>
                <c:pt idx="823">
                  <c:v>411.5</c:v>
                </c:pt>
                <c:pt idx="824">
                  <c:v>412</c:v>
                </c:pt>
                <c:pt idx="825">
                  <c:v>412.5</c:v>
                </c:pt>
                <c:pt idx="826">
                  <c:v>413</c:v>
                </c:pt>
                <c:pt idx="827">
                  <c:v>413.5</c:v>
                </c:pt>
                <c:pt idx="828">
                  <c:v>414</c:v>
                </c:pt>
                <c:pt idx="829">
                  <c:v>414.5</c:v>
                </c:pt>
                <c:pt idx="830">
                  <c:v>415</c:v>
                </c:pt>
                <c:pt idx="831">
                  <c:v>415.5</c:v>
                </c:pt>
                <c:pt idx="832">
                  <c:v>416</c:v>
                </c:pt>
                <c:pt idx="833">
                  <c:v>416.5</c:v>
                </c:pt>
                <c:pt idx="834">
                  <c:v>417</c:v>
                </c:pt>
                <c:pt idx="835">
                  <c:v>417.5</c:v>
                </c:pt>
                <c:pt idx="836">
                  <c:v>418</c:v>
                </c:pt>
                <c:pt idx="837">
                  <c:v>418.5</c:v>
                </c:pt>
                <c:pt idx="838">
                  <c:v>419</c:v>
                </c:pt>
                <c:pt idx="839">
                  <c:v>419.5</c:v>
                </c:pt>
                <c:pt idx="840">
                  <c:v>420</c:v>
                </c:pt>
                <c:pt idx="841">
                  <c:v>420.5</c:v>
                </c:pt>
                <c:pt idx="842">
                  <c:v>421</c:v>
                </c:pt>
                <c:pt idx="843">
                  <c:v>421.5</c:v>
                </c:pt>
                <c:pt idx="844">
                  <c:v>422</c:v>
                </c:pt>
                <c:pt idx="845">
                  <c:v>422.5</c:v>
                </c:pt>
                <c:pt idx="846">
                  <c:v>423</c:v>
                </c:pt>
                <c:pt idx="847">
                  <c:v>423.5</c:v>
                </c:pt>
                <c:pt idx="848">
                  <c:v>424</c:v>
                </c:pt>
                <c:pt idx="849">
                  <c:v>424.5</c:v>
                </c:pt>
                <c:pt idx="850">
                  <c:v>425</c:v>
                </c:pt>
                <c:pt idx="851">
                  <c:v>425.5</c:v>
                </c:pt>
                <c:pt idx="852">
                  <c:v>426</c:v>
                </c:pt>
                <c:pt idx="853">
                  <c:v>426.5</c:v>
                </c:pt>
                <c:pt idx="854">
                  <c:v>427</c:v>
                </c:pt>
                <c:pt idx="855">
                  <c:v>427.5</c:v>
                </c:pt>
                <c:pt idx="856">
                  <c:v>428</c:v>
                </c:pt>
                <c:pt idx="857">
                  <c:v>428.5</c:v>
                </c:pt>
                <c:pt idx="858">
                  <c:v>429</c:v>
                </c:pt>
                <c:pt idx="859">
                  <c:v>429.5</c:v>
                </c:pt>
                <c:pt idx="860">
                  <c:v>430</c:v>
                </c:pt>
                <c:pt idx="861">
                  <c:v>430.5</c:v>
                </c:pt>
                <c:pt idx="862">
                  <c:v>431</c:v>
                </c:pt>
                <c:pt idx="863">
                  <c:v>431.5</c:v>
                </c:pt>
                <c:pt idx="864">
                  <c:v>432</c:v>
                </c:pt>
                <c:pt idx="865">
                  <c:v>432.5</c:v>
                </c:pt>
                <c:pt idx="866">
                  <c:v>433</c:v>
                </c:pt>
                <c:pt idx="867">
                  <c:v>433.5</c:v>
                </c:pt>
                <c:pt idx="868">
                  <c:v>434</c:v>
                </c:pt>
                <c:pt idx="869">
                  <c:v>434.5</c:v>
                </c:pt>
                <c:pt idx="870">
                  <c:v>435</c:v>
                </c:pt>
                <c:pt idx="871">
                  <c:v>435.5</c:v>
                </c:pt>
                <c:pt idx="872">
                  <c:v>436</c:v>
                </c:pt>
                <c:pt idx="873">
                  <c:v>436.5</c:v>
                </c:pt>
                <c:pt idx="874">
                  <c:v>437</c:v>
                </c:pt>
                <c:pt idx="875">
                  <c:v>437.5</c:v>
                </c:pt>
                <c:pt idx="876">
                  <c:v>438</c:v>
                </c:pt>
                <c:pt idx="877">
                  <c:v>438.5</c:v>
                </c:pt>
                <c:pt idx="878">
                  <c:v>439</c:v>
                </c:pt>
                <c:pt idx="879">
                  <c:v>439.5</c:v>
                </c:pt>
                <c:pt idx="880">
                  <c:v>440</c:v>
                </c:pt>
                <c:pt idx="881">
                  <c:v>440.5</c:v>
                </c:pt>
                <c:pt idx="882">
                  <c:v>441</c:v>
                </c:pt>
                <c:pt idx="883">
                  <c:v>441.5</c:v>
                </c:pt>
                <c:pt idx="884">
                  <c:v>442</c:v>
                </c:pt>
                <c:pt idx="885">
                  <c:v>442.5</c:v>
                </c:pt>
                <c:pt idx="886">
                  <c:v>443</c:v>
                </c:pt>
                <c:pt idx="887">
                  <c:v>443.5</c:v>
                </c:pt>
                <c:pt idx="888">
                  <c:v>444</c:v>
                </c:pt>
                <c:pt idx="889">
                  <c:v>444.5</c:v>
                </c:pt>
                <c:pt idx="890">
                  <c:v>445</c:v>
                </c:pt>
                <c:pt idx="891">
                  <c:v>445.5</c:v>
                </c:pt>
                <c:pt idx="892">
                  <c:v>446</c:v>
                </c:pt>
                <c:pt idx="893">
                  <c:v>446.5</c:v>
                </c:pt>
                <c:pt idx="894">
                  <c:v>447</c:v>
                </c:pt>
                <c:pt idx="895">
                  <c:v>447.5</c:v>
                </c:pt>
                <c:pt idx="896">
                  <c:v>448</c:v>
                </c:pt>
                <c:pt idx="897">
                  <c:v>448.5</c:v>
                </c:pt>
                <c:pt idx="898">
                  <c:v>449</c:v>
                </c:pt>
                <c:pt idx="899">
                  <c:v>449.5</c:v>
                </c:pt>
                <c:pt idx="900">
                  <c:v>450</c:v>
                </c:pt>
                <c:pt idx="901">
                  <c:v>450.5</c:v>
                </c:pt>
                <c:pt idx="902">
                  <c:v>451</c:v>
                </c:pt>
                <c:pt idx="903">
                  <c:v>451.5</c:v>
                </c:pt>
                <c:pt idx="904">
                  <c:v>452</c:v>
                </c:pt>
                <c:pt idx="905">
                  <c:v>452.5</c:v>
                </c:pt>
                <c:pt idx="906">
                  <c:v>453</c:v>
                </c:pt>
                <c:pt idx="907">
                  <c:v>453.5</c:v>
                </c:pt>
                <c:pt idx="908">
                  <c:v>454</c:v>
                </c:pt>
                <c:pt idx="909">
                  <c:v>454.5</c:v>
                </c:pt>
                <c:pt idx="910">
                  <c:v>455</c:v>
                </c:pt>
                <c:pt idx="911">
                  <c:v>455.5</c:v>
                </c:pt>
                <c:pt idx="912">
                  <c:v>456</c:v>
                </c:pt>
                <c:pt idx="913">
                  <c:v>456.5</c:v>
                </c:pt>
                <c:pt idx="914">
                  <c:v>457</c:v>
                </c:pt>
                <c:pt idx="915">
                  <c:v>457.5</c:v>
                </c:pt>
                <c:pt idx="916">
                  <c:v>458</c:v>
                </c:pt>
                <c:pt idx="917">
                  <c:v>458.5</c:v>
                </c:pt>
                <c:pt idx="918">
                  <c:v>459</c:v>
                </c:pt>
                <c:pt idx="919">
                  <c:v>459.5</c:v>
                </c:pt>
                <c:pt idx="920">
                  <c:v>460</c:v>
                </c:pt>
                <c:pt idx="921">
                  <c:v>460.5</c:v>
                </c:pt>
                <c:pt idx="922">
                  <c:v>461</c:v>
                </c:pt>
                <c:pt idx="923">
                  <c:v>461.5</c:v>
                </c:pt>
                <c:pt idx="924">
                  <c:v>462</c:v>
                </c:pt>
                <c:pt idx="925">
                  <c:v>462.5</c:v>
                </c:pt>
                <c:pt idx="926">
                  <c:v>463</c:v>
                </c:pt>
                <c:pt idx="927">
                  <c:v>463.5</c:v>
                </c:pt>
                <c:pt idx="928">
                  <c:v>464</c:v>
                </c:pt>
                <c:pt idx="929">
                  <c:v>464.5</c:v>
                </c:pt>
                <c:pt idx="930">
                  <c:v>465</c:v>
                </c:pt>
                <c:pt idx="931">
                  <c:v>465.5</c:v>
                </c:pt>
                <c:pt idx="932">
                  <c:v>466</c:v>
                </c:pt>
                <c:pt idx="933">
                  <c:v>466.5</c:v>
                </c:pt>
                <c:pt idx="934">
                  <c:v>467</c:v>
                </c:pt>
                <c:pt idx="935">
                  <c:v>467.5</c:v>
                </c:pt>
                <c:pt idx="936">
                  <c:v>468</c:v>
                </c:pt>
                <c:pt idx="937">
                  <c:v>468.5</c:v>
                </c:pt>
                <c:pt idx="938">
                  <c:v>469</c:v>
                </c:pt>
                <c:pt idx="939">
                  <c:v>469.5</c:v>
                </c:pt>
                <c:pt idx="940">
                  <c:v>470</c:v>
                </c:pt>
                <c:pt idx="941">
                  <c:v>470.5</c:v>
                </c:pt>
                <c:pt idx="942">
                  <c:v>471</c:v>
                </c:pt>
                <c:pt idx="943">
                  <c:v>471.5</c:v>
                </c:pt>
                <c:pt idx="944">
                  <c:v>472</c:v>
                </c:pt>
                <c:pt idx="945">
                  <c:v>472.5</c:v>
                </c:pt>
                <c:pt idx="946">
                  <c:v>473</c:v>
                </c:pt>
                <c:pt idx="947">
                  <c:v>473.5</c:v>
                </c:pt>
                <c:pt idx="948">
                  <c:v>474</c:v>
                </c:pt>
                <c:pt idx="949">
                  <c:v>474.5</c:v>
                </c:pt>
                <c:pt idx="950">
                  <c:v>475</c:v>
                </c:pt>
                <c:pt idx="951">
                  <c:v>475.5</c:v>
                </c:pt>
                <c:pt idx="952">
                  <c:v>476</c:v>
                </c:pt>
                <c:pt idx="953">
                  <c:v>476.5</c:v>
                </c:pt>
                <c:pt idx="954">
                  <c:v>477</c:v>
                </c:pt>
                <c:pt idx="955">
                  <c:v>477.5</c:v>
                </c:pt>
                <c:pt idx="956">
                  <c:v>478</c:v>
                </c:pt>
                <c:pt idx="957">
                  <c:v>478.5</c:v>
                </c:pt>
                <c:pt idx="958">
                  <c:v>479</c:v>
                </c:pt>
                <c:pt idx="959">
                  <c:v>479.5</c:v>
                </c:pt>
                <c:pt idx="960">
                  <c:v>480</c:v>
                </c:pt>
                <c:pt idx="961">
                  <c:v>480.5</c:v>
                </c:pt>
                <c:pt idx="962">
                  <c:v>481</c:v>
                </c:pt>
                <c:pt idx="963">
                  <c:v>481.5</c:v>
                </c:pt>
                <c:pt idx="964">
                  <c:v>482</c:v>
                </c:pt>
                <c:pt idx="965">
                  <c:v>482.5</c:v>
                </c:pt>
                <c:pt idx="966">
                  <c:v>483</c:v>
                </c:pt>
                <c:pt idx="967">
                  <c:v>483.5</c:v>
                </c:pt>
                <c:pt idx="968">
                  <c:v>484</c:v>
                </c:pt>
                <c:pt idx="969">
                  <c:v>484.5</c:v>
                </c:pt>
                <c:pt idx="970">
                  <c:v>485</c:v>
                </c:pt>
                <c:pt idx="971">
                  <c:v>485.5</c:v>
                </c:pt>
                <c:pt idx="972">
                  <c:v>486</c:v>
                </c:pt>
                <c:pt idx="973">
                  <c:v>486.5</c:v>
                </c:pt>
                <c:pt idx="974">
                  <c:v>487</c:v>
                </c:pt>
                <c:pt idx="975">
                  <c:v>487.5</c:v>
                </c:pt>
                <c:pt idx="976">
                  <c:v>488</c:v>
                </c:pt>
                <c:pt idx="977">
                  <c:v>488.5</c:v>
                </c:pt>
                <c:pt idx="978">
                  <c:v>489</c:v>
                </c:pt>
                <c:pt idx="979">
                  <c:v>489.5</c:v>
                </c:pt>
                <c:pt idx="980">
                  <c:v>490</c:v>
                </c:pt>
                <c:pt idx="981">
                  <c:v>490.5</c:v>
                </c:pt>
                <c:pt idx="982">
                  <c:v>491</c:v>
                </c:pt>
                <c:pt idx="983">
                  <c:v>491.5</c:v>
                </c:pt>
                <c:pt idx="984">
                  <c:v>492</c:v>
                </c:pt>
                <c:pt idx="985">
                  <c:v>492.5</c:v>
                </c:pt>
                <c:pt idx="986">
                  <c:v>493</c:v>
                </c:pt>
                <c:pt idx="987">
                  <c:v>493.5</c:v>
                </c:pt>
                <c:pt idx="988">
                  <c:v>494</c:v>
                </c:pt>
                <c:pt idx="989">
                  <c:v>494.5</c:v>
                </c:pt>
                <c:pt idx="990">
                  <c:v>495</c:v>
                </c:pt>
                <c:pt idx="991">
                  <c:v>495.5</c:v>
                </c:pt>
                <c:pt idx="992">
                  <c:v>496</c:v>
                </c:pt>
                <c:pt idx="993">
                  <c:v>496.5</c:v>
                </c:pt>
                <c:pt idx="994">
                  <c:v>497</c:v>
                </c:pt>
                <c:pt idx="995">
                  <c:v>497.5</c:v>
                </c:pt>
                <c:pt idx="996">
                  <c:v>498</c:v>
                </c:pt>
                <c:pt idx="997">
                  <c:v>498.5</c:v>
                </c:pt>
              </c:numCache>
            </c:numRef>
          </c:xVal>
          <c:yVal>
            <c:numRef>
              <c:f>Input!$P$3:$P$1000</c:f>
              <c:numCache>
                <c:formatCode>General</c:formatCode>
                <c:ptCount val="998"/>
                <c:pt idx="0">
                  <c:v>12.623592376708901</c:v>
                </c:pt>
                <c:pt idx="1">
                  <c:v>13.009713172912598</c:v>
                </c:pt>
                <c:pt idx="2">
                  <c:v>13.351720809936523</c:v>
                </c:pt>
                <c:pt idx="3">
                  <c:v>13.64915943145752</c:v>
                </c:pt>
                <c:pt idx="4">
                  <c:v>13.554137229919434</c:v>
                </c:pt>
                <c:pt idx="5">
                  <c:v>13.502267837524414</c:v>
                </c:pt>
                <c:pt idx="6">
                  <c:v>13.473445892333984</c:v>
                </c:pt>
                <c:pt idx="7">
                  <c:v>13.317850112915039</c:v>
                </c:pt>
                <c:pt idx="8">
                  <c:v>13.26500415802002</c:v>
                </c:pt>
                <c:pt idx="9">
                  <c:v>13.144404411315918</c:v>
                </c:pt>
                <c:pt idx="10">
                  <c:v>13.060375213623047</c:v>
                </c:pt>
                <c:pt idx="11">
                  <c:v>13.013442039489746</c:v>
                </c:pt>
                <c:pt idx="12">
                  <c:v>12.803963661193848</c:v>
                </c:pt>
                <c:pt idx="13">
                  <c:v>12.682500839233398</c:v>
                </c:pt>
                <c:pt idx="14">
                  <c:v>12.603745460510254</c:v>
                </c:pt>
                <c:pt idx="15">
                  <c:v>12.460012435913086</c:v>
                </c:pt>
                <c:pt idx="16">
                  <c:v>12.371759414672852</c:v>
                </c:pt>
                <c:pt idx="17">
                  <c:v>12.217326164245605</c:v>
                </c:pt>
                <c:pt idx="18">
                  <c:v>12.070990562438965</c:v>
                </c:pt>
                <c:pt idx="19">
                  <c:v>11.973668098449707</c:v>
                </c:pt>
                <c:pt idx="20">
                  <c:v>11.878170967102051</c:v>
                </c:pt>
                <c:pt idx="21">
                  <c:v>11.70611572265625</c:v>
                </c:pt>
                <c:pt idx="22">
                  <c:v>11.646538734436035</c:v>
                </c:pt>
                <c:pt idx="23">
                  <c:v>11.644049644470215</c:v>
                </c:pt>
                <c:pt idx="24">
                  <c:v>11.499941825866699</c:v>
                </c:pt>
                <c:pt idx="25">
                  <c:v>11.39161491394043</c:v>
                </c:pt>
                <c:pt idx="26">
                  <c:v>11.343320846557617</c:v>
                </c:pt>
                <c:pt idx="27">
                  <c:v>11.248507499694824</c:v>
                </c:pt>
                <c:pt idx="28">
                  <c:v>11.011791229248047</c:v>
                </c:pt>
                <c:pt idx="29">
                  <c:v>11.046750068664551</c:v>
                </c:pt>
                <c:pt idx="30">
                  <c:v>10.988484382629395</c:v>
                </c:pt>
                <c:pt idx="31">
                  <c:v>10.842727661132813</c:v>
                </c:pt>
                <c:pt idx="32">
                  <c:v>10.804043769836426</c:v>
                </c:pt>
                <c:pt idx="33">
                  <c:v>10.62455940246582</c:v>
                </c:pt>
                <c:pt idx="34">
                  <c:v>10.610745429992676</c:v>
                </c:pt>
                <c:pt idx="35">
                  <c:v>10.511712074279785</c:v>
                </c:pt>
                <c:pt idx="36">
                  <c:v>10.304093360900879</c:v>
                </c:pt>
                <c:pt idx="37">
                  <c:v>10.113218307495117</c:v>
                </c:pt>
                <c:pt idx="38">
                  <c:v>9.943812370300293</c:v>
                </c:pt>
                <c:pt idx="39">
                  <c:v>9.7344875335693359</c:v>
                </c:pt>
                <c:pt idx="40">
                  <c:v>9.7989873886108398</c:v>
                </c:pt>
                <c:pt idx="41">
                  <c:v>9.6884899139404297</c:v>
                </c:pt>
                <c:pt idx="42">
                  <c:v>9.5887832641601563</c:v>
                </c:pt>
                <c:pt idx="43">
                  <c:v>9.4421510696411133</c:v>
                </c:pt>
                <c:pt idx="44">
                  <c:v>9.3703022003173828</c:v>
                </c:pt>
                <c:pt idx="45">
                  <c:v>9.3029317855834961</c:v>
                </c:pt>
                <c:pt idx="46">
                  <c:v>9.2210884094238281</c:v>
                </c:pt>
                <c:pt idx="47">
                  <c:v>8.9078664779663086</c:v>
                </c:pt>
                <c:pt idx="48">
                  <c:v>8.720550537109375</c:v>
                </c:pt>
                <c:pt idx="49">
                  <c:v>8.5554904937744141</c:v>
                </c:pt>
                <c:pt idx="50">
                  <c:v>8.6327476501464844</c:v>
                </c:pt>
                <c:pt idx="51">
                  <c:v>8.3980846405029297</c:v>
                </c:pt>
                <c:pt idx="52">
                  <c:v>8.3925342559814453</c:v>
                </c:pt>
                <c:pt idx="53">
                  <c:v>8.3029928207397461</c:v>
                </c:pt>
                <c:pt idx="54">
                  <c:v>8.2996702194213867</c:v>
                </c:pt>
                <c:pt idx="55">
                  <c:v>8.2746524810791016</c:v>
                </c:pt>
                <c:pt idx="56">
                  <c:v>8.168182373046875</c:v>
                </c:pt>
                <c:pt idx="57">
                  <c:v>8.1720123291015625</c:v>
                </c:pt>
                <c:pt idx="58">
                  <c:v>8.1317539215087891</c:v>
                </c:pt>
                <c:pt idx="59">
                  <c:v>8.0535907745361328</c:v>
                </c:pt>
                <c:pt idx="60">
                  <c:v>7.9776453971862793</c:v>
                </c:pt>
                <c:pt idx="61">
                  <c:v>7.5811672210693359</c:v>
                </c:pt>
                <c:pt idx="62">
                  <c:v>7.5951118469238281</c:v>
                </c:pt>
                <c:pt idx="63">
                  <c:v>7.6463799476623535</c:v>
                </c:pt>
                <c:pt idx="64">
                  <c:v>7.6139340400695801</c:v>
                </c:pt>
                <c:pt idx="65">
                  <c:v>7.638221263885498</c:v>
                </c:pt>
                <c:pt idx="66">
                  <c:v>7.6139488220214844</c:v>
                </c:pt>
                <c:pt idx="67">
                  <c:v>7.6295051574707031</c:v>
                </c:pt>
                <c:pt idx="68">
                  <c:v>7.5668401718139648</c:v>
                </c:pt>
                <c:pt idx="69">
                  <c:v>7.5706467628479004</c:v>
                </c:pt>
                <c:pt idx="70">
                  <c:v>7.4208707809448242</c:v>
                </c:pt>
                <c:pt idx="71">
                  <c:v>7.4288225173950195</c:v>
                </c:pt>
                <c:pt idx="72">
                  <c:v>7.3700194358825684</c:v>
                </c:pt>
                <c:pt idx="73">
                  <c:v>7.2716116905212402</c:v>
                </c:pt>
                <c:pt idx="74">
                  <c:v>7.269195556640625</c:v>
                </c:pt>
                <c:pt idx="75">
                  <c:v>7.2999248504638672</c:v>
                </c:pt>
                <c:pt idx="76">
                  <c:v>7.286221981048584</c:v>
                </c:pt>
                <c:pt idx="77">
                  <c:v>7.0491652488708496</c:v>
                </c:pt>
                <c:pt idx="78">
                  <c:v>7.174828052520752</c:v>
                </c:pt>
                <c:pt idx="79">
                  <c:v>7.1662955284118652</c:v>
                </c:pt>
                <c:pt idx="80">
                  <c:v>7.1451787948608398</c:v>
                </c:pt>
                <c:pt idx="81">
                  <c:v>7.0704145431518555</c:v>
                </c:pt>
                <c:pt idx="82">
                  <c:v>6.768010139465332</c:v>
                </c:pt>
                <c:pt idx="83">
                  <c:v>6.8978390693664551</c:v>
                </c:pt>
                <c:pt idx="84">
                  <c:v>6.9342207908630371</c:v>
                </c:pt>
                <c:pt idx="85">
                  <c:v>6.970949649810791</c:v>
                </c:pt>
                <c:pt idx="86">
                  <c:v>6.9686427116394043</c:v>
                </c:pt>
                <c:pt idx="87">
                  <c:v>6.8984789848327637</c:v>
                </c:pt>
                <c:pt idx="88">
                  <c:v>6.8999519348144531</c:v>
                </c:pt>
                <c:pt idx="89">
                  <c:v>6.9974126815795898</c:v>
                </c:pt>
                <c:pt idx="90">
                  <c:v>6.927731990814209</c:v>
                </c:pt>
                <c:pt idx="91">
                  <c:v>7.012061595916748</c:v>
                </c:pt>
                <c:pt idx="92">
                  <c:v>6.8879084587097168</c:v>
                </c:pt>
                <c:pt idx="93">
                  <c:v>6.8867583274841309</c:v>
                </c:pt>
                <c:pt idx="94">
                  <c:v>6.8691544532775879</c:v>
                </c:pt>
                <c:pt idx="95">
                  <c:v>6.8782143592834473</c:v>
                </c:pt>
                <c:pt idx="96">
                  <c:v>6.8430814743041992</c:v>
                </c:pt>
                <c:pt idx="97">
                  <c:v>6.8340663909912109</c:v>
                </c:pt>
                <c:pt idx="98">
                  <c:v>6.8314385414123535</c:v>
                </c:pt>
                <c:pt idx="99">
                  <c:v>6.8396692276000977</c:v>
                </c:pt>
                <c:pt idx="100">
                  <c:v>6.7331132888793945</c:v>
                </c:pt>
                <c:pt idx="101">
                  <c:v>6.7227048873901367</c:v>
                </c:pt>
                <c:pt idx="102">
                  <c:v>6.7500510215759277</c:v>
                </c:pt>
                <c:pt idx="103">
                  <c:v>6.6974196434020996</c:v>
                </c:pt>
                <c:pt idx="104">
                  <c:v>6.7022933959960938</c:v>
                </c:pt>
                <c:pt idx="105">
                  <c:v>6.6708803176879883</c:v>
                </c:pt>
                <c:pt idx="106">
                  <c:v>6.7194113731384277</c:v>
                </c:pt>
                <c:pt idx="107">
                  <c:v>6.7202944755554199</c:v>
                </c:pt>
                <c:pt idx="108">
                  <c:v>6.603607177734375</c:v>
                </c:pt>
                <c:pt idx="109">
                  <c:v>6.5722918510437012</c:v>
                </c:pt>
                <c:pt idx="110">
                  <c:v>6.6177153587341309</c:v>
                </c:pt>
                <c:pt idx="111">
                  <c:v>6.5766782760620117</c:v>
                </c:pt>
                <c:pt idx="112">
                  <c:v>6.5201764106750488</c:v>
                </c:pt>
                <c:pt idx="113">
                  <c:v>6.4290609359741211</c:v>
                </c:pt>
                <c:pt idx="114">
                  <c:v>6.6126532554626465</c:v>
                </c:pt>
                <c:pt idx="115">
                  <c:v>6.6255331039428711</c:v>
                </c:pt>
                <c:pt idx="116">
                  <c:v>6.6256189346313477</c:v>
                </c:pt>
                <c:pt idx="117">
                  <c:v>6.4904842376708984</c:v>
                </c:pt>
                <c:pt idx="118">
                  <c:v>6.4679841995239258</c:v>
                </c:pt>
                <c:pt idx="119">
                  <c:v>6.5694460868835449</c:v>
                </c:pt>
                <c:pt idx="120">
                  <c:v>6.5275187492370605</c:v>
                </c:pt>
                <c:pt idx="121">
                  <c:v>6.4582781791687012</c:v>
                </c:pt>
                <c:pt idx="122">
                  <c:v>6.4841461181640625</c:v>
                </c:pt>
                <c:pt idx="123">
                  <c:v>6.39306640625</c:v>
                </c:pt>
                <c:pt idx="124">
                  <c:v>6.328972339630127</c:v>
                </c:pt>
                <c:pt idx="125">
                  <c:v>6.3074831962585449</c:v>
                </c:pt>
                <c:pt idx="126">
                  <c:v>6.3252520561218262</c:v>
                </c:pt>
                <c:pt idx="127">
                  <c:v>6.3023910522460938</c:v>
                </c:pt>
                <c:pt idx="128">
                  <c:v>6.2620477676391602</c:v>
                </c:pt>
                <c:pt idx="129">
                  <c:v>6.3067488670349121</c:v>
                </c:pt>
                <c:pt idx="130">
                  <c:v>6.2665629386901855</c:v>
                </c:pt>
                <c:pt idx="131">
                  <c:v>6.2504806518554688</c:v>
                </c:pt>
                <c:pt idx="132">
                  <c:v>6.3317131996154785</c:v>
                </c:pt>
                <c:pt idx="133">
                  <c:v>6.3510360717773438</c:v>
                </c:pt>
                <c:pt idx="134">
                  <c:v>6.4077849388122559</c:v>
                </c:pt>
                <c:pt idx="135">
                  <c:v>6.3586831092834473</c:v>
                </c:pt>
                <c:pt idx="136">
                  <c:v>6.383328914642334</c:v>
                </c:pt>
                <c:pt idx="137">
                  <c:v>6.3251218795776367</c:v>
                </c:pt>
                <c:pt idx="138">
                  <c:v>6.2874317169189453</c:v>
                </c:pt>
                <c:pt idx="139">
                  <c:v>6.3059096336364746</c:v>
                </c:pt>
                <c:pt idx="140">
                  <c:v>6.351036548614502</c:v>
                </c:pt>
                <c:pt idx="141">
                  <c:v>6.3308043479919434</c:v>
                </c:pt>
                <c:pt idx="142">
                  <c:v>6.3925995826721191</c:v>
                </c:pt>
                <c:pt idx="143">
                  <c:v>6.3334197998046875</c:v>
                </c:pt>
                <c:pt idx="144">
                  <c:v>6.3311886787414551</c:v>
                </c:pt>
                <c:pt idx="145">
                  <c:v>6.2309656143188477</c:v>
                </c:pt>
                <c:pt idx="146">
                  <c:v>6.3277034759521484</c:v>
                </c:pt>
                <c:pt idx="147">
                  <c:v>6.316380500793457</c:v>
                </c:pt>
                <c:pt idx="148">
                  <c:v>6.4327168464660645</c:v>
                </c:pt>
                <c:pt idx="149">
                  <c:v>6.4196057319641113</c:v>
                </c:pt>
                <c:pt idx="150">
                  <c:v>6.3499264717102051</c:v>
                </c:pt>
                <c:pt idx="151">
                  <c:v>6.3999247550964355</c:v>
                </c:pt>
                <c:pt idx="152">
                  <c:v>6.3973817825317383</c:v>
                </c:pt>
                <c:pt idx="153">
                  <c:v>6.3807158470153809</c:v>
                </c:pt>
                <c:pt idx="154">
                  <c:v>6.3835492134094238</c:v>
                </c:pt>
                <c:pt idx="155">
                  <c:v>6.4088311195373535</c:v>
                </c:pt>
                <c:pt idx="156">
                  <c:v>6.3653831481933594</c:v>
                </c:pt>
                <c:pt idx="157">
                  <c:v>6.3483414649963379</c:v>
                </c:pt>
                <c:pt idx="158">
                  <c:v>6.2959861755371094</c:v>
                </c:pt>
                <c:pt idx="159">
                  <c:v>6.3312506675720215</c:v>
                </c:pt>
                <c:pt idx="160">
                  <c:v>6.3298916816711426</c:v>
                </c:pt>
                <c:pt idx="161">
                  <c:v>6.2860608100891113</c:v>
                </c:pt>
                <c:pt idx="162">
                  <c:v>6.3177871704101563</c:v>
                </c:pt>
                <c:pt idx="163">
                  <c:v>6.3696584701538086</c:v>
                </c:pt>
                <c:pt idx="164">
                  <c:v>6.3353710174560547</c:v>
                </c:pt>
                <c:pt idx="165">
                  <c:v>6.387169361114502</c:v>
                </c:pt>
                <c:pt idx="166">
                  <c:v>6.3802928924560547</c:v>
                </c:pt>
                <c:pt idx="167">
                  <c:v>6.3799514770507813</c:v>
                </c:pt>
                <c:pt idx="168">
                  <c:v>6.3446588516235352</c:v>
                </c:pt>
                <c:pt idx="169">
                  <c:v>6.3947081565856934</c:v>
                </c:pt>
                <c:pt idx="170">
                  <c:v>6.3575177192687988</c:v>
                </c:pt>
                <c:pt idx="171">
                  <c:v>6.3817510604858398</c:v>
                </c:pt>
                <c:pt idx="172">
                  <c:v>6.3253540992736816</c:v>
                </c:pt>
                <c:pt idx="173">
                  <c:v>6.391108512878418</c:v>
                </c:pt>
                <c:pt idx="174">
                  <c:v>6.338010311126709</c:v>
                </c:pt>
                <c:pt idx="175">
                  <c:v>6.3240222930908203</c:v>
                </c:pt>
                <c:pt idx="176">
                  <c:v>6.3264455795288086</c:v>
                </c:pt>
                <c:pt idx="177">
                  <c:v>6.3578581809997559</c:v>
                </c:pt>
                <c:pt idx="178">
                  <c:v>6.331634521484375</c:v>
                </c:pt>
                <c:pt idx="179">
                  <c:v>6.356266975402832</c:v>
                </c:pt>
                <c:pt idx="180">
                  <c:v>6.3994755744934082</c:v>
                </c:pt>
                <c:pt idx="181">
                  <c:v>6.3952727317810059</c:v>
                </c:pt>
                <c:pt idx="182">
                  <c:v>6.4426546096801758</c:v>
                </c:pt>
                <c:pt idx="183">
                  <c:v>6.3675756454467773</c:v>
                </c:pt>
                <c:pt idx="184">
                  <c:v>6.3575806617736816</c:v>
                </c:pt>
                <c:pt idx="185">
                  <c:v>6.3351421356201172</c:v>
                </c:pt>
                <c:pt idx="186">
                  <c:v>6.3679976463317871</c:v>
                </c:pt>
                <c:pt idx="187">
                  <c:v>6.3942975997924805</c:v>
                </c:pt>
                <c:pt idx="188">
                  <c:v>6.3945088386535645</c:v>
                </c:pt>
                <c:pt idx="189">
                  <c:v>6.3624200820922852</c:v>
                </c:pt>
                <c:pt idx="190">
                  <c:v>6.3778491020202637</c:v>
                </c:pt>
                <c:pt idx="191">
                  <c:v>6.3048267364501953</c:v>
                </c:pt>
                <c:pt idx="192">
                  <c:v>6.302436351776123</c:v>
                </c:pt>
                <c:pt idx="193">
                  <c:v>6.3271956443786621</c:v>
                </c:pt>
                <c:pt idx="194">
                  <c:v>6.3336091041564941</c:v>
                </c:pt>
                <c:pt idx="195">
                  <c:v>6.3158917427062988</c:v>
                </c:pt>
                <c:pt idx="196">
                  <c:v>6.3146772384643555</c:v>
                </c:pt>
                <c:pt idx="197">
                  <c:v>6.3254494667053223</c:v>
                </c:pt>
                <c:pt idx="198">
                  <c:v>6.2915158271789551</c:v>
                </c:pt>
                <c:pt idx="199">
                  <c:v>6.2483396530151367</c:v>
                </c:pt>
                <c:pt idx="200">
                  <c:v>6.2594714164733887</c:v>
                </c:pt>
                <c:pt idx="201">
                  <c:v>6.2828335762023926</c:v>
                </c:pt>
                <c:pt idx="202">
                  <c:v>6.2811102867126465</c:v>
                </c:pt>
                <c:pt idx="203">
                  <c:v>6.4063677787780762</c:v>
                </c:pt>
                <c:pt idx="204">
                  <c:v>6.3740496635437012</c:v>
                </c:pt>
                <c:pt idx="205">
                  <c:v>6.3227229118347168</c:v>
                </c:pt>
                <c:pt idx="206">
                  <c:v>6.3918271064758301</c:v>
                </c:pt>
                <c:pt idx="207">
                  <c:v>6.3418416976928711</c:v>
                </c:pt>
                <c:pt idx="208">
                  <c:v>6.296074390411377</c:v>
                </c:pt>
                <c:pt idx="209">
                  <c:v>6.3257598876953125</c:v>
                </c:pt>
                <c:pt idx="210">
                  <c:v>6.3726100921630859</c:v>
                </c:pt>
                <c:pt idx="211">
                  <c:v>6.3738999366760254</c:v>
                </c:pt>
                <c:pt idx="212">
                  <c:v>6.3709964752197266</c:v>
                </c:pt>
                <c:pt idx="213">
                  <c:v>6.3745760917663574</c:v>
                </c:pt>
                <c:pt idx="214">
                  <c:v>6.3350772857666016</c:v>
                </c:pt>
                <c:pt idx="215">
                  <c:v>6.3832464218139648</c:v>
                </c:pt>
                <c:pt idx="216">
                  <c:v>6.3949871063232422</c:v>
                </c:pt>
                <c:pt idx="217">
                  <c:v>6.3523697853088379</c:v>
                </c:pt>
                <c:pt idx="218">
                  <c:v>6.4241361618041992</c:v>
                </c:pt>
                <c:pt idx="219">
                  <c:v>6.3830804824829102</c:v>
                </c:pt>
                <c:pt idx="220">
                  <c:v>6.3426194190979004</c:v>
                </c:pt>
                <c:pt idx="221">
                  <c:v>6.2961225509643555</c:v>
                </c:pt>
                <c:pt idx="222">
                  <c:v>6.3457503318786621</c:v>
                </c:pt>
                <c:pt idx="223">
                  <c:v>6.3072195053100586</c:v>
                </c:pt>
                <c:pt idx="224">
                  <c:v>6.3241133689880371</c:v>
                </c:pt>
                <c:pt idx="225">
                  <c:v>6.3254127502441406</c:v>
                </c:pt>
                <c:pt idx="226">
                  <c:v>6.3928594589233398</c:v>
                </c:pt>
                <c:pt idx="227">
                  <c:v>6.3653397560119629</c:v>
                </c:pt>
                <c:pt idx="228">
                  <c:v>6.3434085845947266</c:v>
                </c:pt>
                <c:pt idx="229">
                  <c:v>6.4049482345581055</c:v>
                </c:pt>
                <c:pt idx="230">
                  <c:v>6.320406436920166</c:v>
                </c:pt>
                <c:pt idx="231">
                  <c:v>6.2800674438476563</c:v>
                </c:pt>
                <c:pt idx="232">
                  <c:v>6.3223838806152344</c:v>
                </c:pt>
                <c:pt idx="233">
                  <c:v>6.3069190979003906</c:v>
                </c:pt>
                <c:pt idx="234">
                  <c:v>6.3440642356872559</c:v>
                </c:pt>
                <c:pt idx="235">
                  <c:v>6.3018307685852051</c:v>
                </c:pt>
                <c:pt idx="236">
                  <c:v>6.3435778617858887</c:v>
                </c:pt>
                <c:pt idx="237">
                  <c:v>6.3553905487060547</c:v>
                </c:pt>
                <c:pt idx="238">
                  <c:v>6.2910923957824707</c:v>
                </c:pt>
                <c:pt idx="239">
                  <c:v>6.3074250221252441</c:v>
                </c:pt>
                <c:pt idx="240">
                  <c:v>6.3813681602478027</c:v>
                </c:pt>
                <c:pt idx="241">
                  <c:v>6.4037261009216309</c:v>
                </c:pt>
                <c:pt idx="242">
                  <c:v>6.3618264198303223</c:v>
                </c:pt>
                <c:pt idx="243">
                  <c:v>6.3981733322143555</c:v>
                </c:pt>
                <c:pt idx="244">
                  <c:v>6.3859376907348633</c:v>
                </c:pt>
                <c:pt idx="245">
                  <c:v>6.4085578918457031</c:v>
                </c:pt>
                <c:pt idx="246">
                  <c:v>6.4255752563476563</c:v>
                </c:pt>
                <c:pt idx="247">
                  <c:v>6.4445571899414063</c:v>
                </c:pt>
                <c:pt idx="248">
                  <c:v>6.4832801818847656</c:v>
                </c:pt>
                <c:pt idx="249">
                  <c:v>6.441497802734375</c:v>
                </c:pt>
                <c:pt idx="250">
                  <c:v>6.4526467323303223</c:v>
                </c:pt>
                <c:pt idx="251">
                  <c:v>6.4289069175720215</c:v>
                </c:pt>
                <c:pt idx="252">
                  <c:v>6.3769979476928711</c:v>
                </c:pt>
                <c:pt idx="253">
                  <c:v>6.4407157897949219</c:v>
                </c:pt>
                <c:pt idx="254">
                  <c:v>6.4162158966064453</c:v>
                </c:pt>
                <c:pt idx="255">
                  <c:v>6.4369959831237793</c:v>
                </c:pt>
                <c:pt idx="256">
                  <c:v>6.4008345603942871</c:v>
                </c:pt>
                <c:pt idx="257">
                  <c:v>6.3474373817443848</c:v>
                </c:pt>
                <c:pt idx="258">
                  <c:v>6.3008427619934082</c:v>
                </c:pt>
                <c:pt idx="259">
                  <c:v>6.3408684730529785</c:v>
                </c:pt>
                <c:pt idx="260">
                  <c:v>6.3987865447998047</c:v>
                </c:pt>
                <c:pt idx="261">
                  <c:v>6.3917465209960938</c:v>
                </c:pt>
                <c:pt idx="262">
                  <c:v>6.3922743797302246</c:v>
                </c:pt>
                <c:pt idx="263">
                  <c:v>6.3125209808349609</c:v>
                </c:pt>
                <c:pt idx="264">
                  <c:v>6.3580451011657715</c:v>
                </c:pt>
                <c:pt idx="265">
                  <c:v>6.3474373817443848</c:v>
                </c:pt>
                <c:pt idx="266">
                  <c:v>6.357602596282959</c:v>
                </c:pt>
                <c:pt idx="267">
                  <c:v>6.3515925407409668</c:v>
                </c:pt>
                <c:pt idx="268">
                  <c:v>6.3376469612121582</c:v>
                </c:pt>
                <c:pt idx="269">
                  <c:v>6.3396201133728027</c:v>
                </c:pt>
                <c:pt idx="270">
                  <c:v>6.4541268348693848</c:v>
                </c:pt>
                <c:pt idx="271">
                  <c:v>6.3639240264892578</c:v>
                </c:pt>
                <c:pt idx="272">
                  <c:v>6.411381721496582</c:v>
                </c:pt>
                <c:pt idx="273">
                  <c:v>6.4134855270385742</c:v>
                </c:pt>
                <c:pt idx="274">
                  <c:v>6.3757681846618652</c:v>
                </c:pt>
                <c:pt idx="275">
                  <c:v>6.4313850402832031</c:v>
                </c:pt>
                <c:pt idx="276">
                  <c:v>6.4531540870666504</c:v>
                </c:pt>
                <c:pt idx="277">
                  <c:v>6.4272069931030273</c:v>
                </c:pt>
                <c:pt idx="278">
                  <c:v>6.5026092529296875</c:v>
                </c:pt>
                <c:pt idx="279">
                  <c:v>6.3899717330932617</c:v>
                </c:pt>
                <c:pt idx="280">
                  <c:v>6.393155574798584</c:v>
                </c:pt>
                <c:pt idx="281">
                  <c:v>6.4192419052124023</c:v>
                </c:pt>
                <c:pt idx="282">
                  <c:v>6.4123849868774414</c:v>
                </c:pt>
                <c:pt idx="283">
                  <c:v>6.3852310180664063</c:v>
                </c:pt>
                <c:pt idx="284">
                  <c:v>6.4153218269348145</c:v>
                </c:pt>
                <c:pt idx="285">
                  <c:v>6.5119619369506836</c:v>
                </c:pt>
                <c:pt idx="286">
                  <c:v>6.4359521865844727</c:v>
                </c:pt>
                <c:pt idx="287">
                  <c:v>6.4329471588134766</c:v>
                </c:pt>
                <c:pt idx="288">
                  <c:v>6.4359583854675293</c:v>
                </c:pt>
                <c:pt idx="289">
                  <c:v>6.4733691215515137</c:v>
                </c:pt>
                <c:pt idx="290">
                  <c:v>6.5026540756225586</c:v>
                </c:pt>
                <c:pt idx="291">
                  <c:v>6.4783105850219727</c:v>
                </c:pt>
                <c:pt idx="292">
                  <c:v>6.4705686569213867</c:v>
                </c:pt>
                <c:pt idx="293">
                  <c:v>6.4023380279541016</c:v>
                </c:pt>
                <c:pt idx="294">
                  <c:v>6.4549078941345215</c:v>
                </c:pt>
                <c:pt idx="295">
                  <c:v>6.4696083068847656</c:v>
                </c:pt>
                <c:pt idx="296">
                  <c:v>6.4947776794433594</c:v>
                </c:pt>
                <c:pt idx="297">
                  <c:v>6.4544758796691895</c:v>
                </c:pt>
                <c:pt idx="298">
                  <c:v>6.4562244415283203</c:v>
                </c:pt>
                <c:pt idx="299">
                  <c:v>6.3955202102661133</c:v>
                </c:pt>
                <c:pt idx="300">
                  <c:v>6.3897700309753418</c:v>
                </c:pt>
                <c:pt idx="301">
                  <c:v>6.4915680885314941</c:v>
                </c:pt>
                <c:pt idx="302">
                  <c:v>6.4489679336547852</c:v>
                </c:pt>
                <c:pt idx="303">
                  <c:v>6.470801830291748</c:v>
                </c:pt>
                <c:pt idx="304">
                  <c:v>6.4051632881164551</c:v>
                </c:pt>
                <c:pt idx="305">
                  <c:v>6.3794455528259277</c:v>
                </c:pt>
                <c:pt idx="306">
                  <c:v>6.4160423278808594</c:v>
                </c:pt>
                <c:pt idx="307">
                  <c:v>6.4818744659423828</c:v>
                </c:pt>
                <c:pt idx="308">
                  <c:v>6.3707199096679688</c:v>
                </c:pt>
                <c:pt idx="309">
                  <c:v>6.5444836616516113</c:v>
                </c:pt>
                <c:pt idx="310">
                  <c:v>6.4821114540100098</c:v>
                </c:pt>
                <c:pt idx="311">
                  <c:v>6.4520683288574219</c:v>
                </c:pt>
                <c:pt idx="312">
                  <c:v>6.4947595596313477</c:v>
                </c:pt>
                <c:pt idx="313">
                  <c:v>6.5032739639282227</c:v>
                </c:pt>
                <c:pt idx="314">
                  <c:v>6.5607695579528809</c:v>
                </c:pt>
                <c:pt idx="315">
                  <c:v>6.4719328880310059</c:v>
                </c:pt>
                <c:pt idx="316">
                  <c:v>6.5056147575378418</c:v>
                </c:pt>
                <c:pt idx="317">
                  <c:v>6.6152248382568359</c:v>
                </c:pt>
                <c:pt idx="318">
                  <c:v>6.6273822784423828</c:v>
                </c:pt>
                <c:pt idx="319">
                  <c:v>6.6364307403564453</c:v>
                </c:pt>
                <c:pt idx="320">
                  <c:v>6.4919314384460449</c:v>
                </c:pt>
                <c:pt idx="321">
                  <c:v>6.6068897247314453</c:v>
                </c:pt>
                <c:pt idx="322">
                  <c:v>6.5759639739990234</c:v>
                </c:pt>
                <c:pt idx="323">
                  <c:v>6.583777904510498</c:v>
                </c:pt>
                <c:pt idx="324">
                  <c:v>6.5030097961425781</c:v>
                </c:pt>
                <c:pt idx="325">
                  <c:v>6.5541329383850098</c:v>
                </c:pt>
                <c:pt idx="326">
                  <c:v>6.512150764465332</c:v>
                </c:pt>
                <c:pt idx="327">
                  <c:v>6.5797257423400879</c:v>
                </c:pt>
                <c:pt idx="328">
                  <c:v>6.5056667327880859</c:v>
                </c:pt>
                <c:pt idx="329">
                  <c:v>6.5989532470703125</c:v>
                </c:pt>
                <c:pt idx="330">
                  <c:v>6.5511794090270996</c:v>
                </c:pt>
                <c:pt idx="331">
                  <c:v>6.5903444290161133</c:v>
                </c:pt>
                <c:pt idx="332">
                  <c:v>6.559600830078125</c:v>
                </c:pt>
                <c:pt idx="333">
                  <c:v>6.6652722358703613</c:v>
                </c:pt>
                <c:pt idx="334">
                  <c:v>6.5517950057983398</c:v>
                </c:pt>
                <c:pt idx="335">
                  <c:v>6.4774351119995117</c:v>
                </c:pt>
                <c:pt idx="336">
                  <c:v>6.6303315162658691</c:v>
                </c:pt>
                <c:pt idx="337">
                  <c:v>6.6226296424865723</c:v>
                </c:pt>
                <c:pt idx="338">
                  <c:v>6.6009635925292969</c:v>
                </c:pt>
                <c:pt idx="339">
                  <c:v>6.519620418548584</c:v>
                </c:pt>
                <c:pt idx="340">
                  <c:v>6.5383181571960449</c:v>
                </c:pt>
                <c:pt idx="341">
                  <c:v>6.5473384857177734</c:v>
                </c:pt>
                <c:pt idx="342">
                  <c:v>6.5667734146118164</c:v>
                </c:pt>
                <c:pt idx="343">
                  <c:v>6.5350532531738281</c:v>
                </c:pt>
                <c:pt idx="344">
                  <c:v>6.5248160362243652</c:v>
                </c:pt>
                <c:pt idx="345">
                  <c:v>6.5084419250488281</c:v>
                </c:pt>
                <c:pt idx="346">
                  <c:v>6.4889602661132813</c:v>
                </c:pt>
                <c:pt idx="347">
                  <c:v>6.4828143119812012</c:v>
                </c:pt>
                <c:pt idx="348">
                  <c:v>6.4433503150939941</c:v>
                </c:pt>
                <c:pt idx="349">
                  <c:v>6.5333161354064941</c:v>
                </c:pt>
                <c:pt idx="350">
                  <c:v>6.5174665451049805</c:v>
                </c:pt>
                <c:pt idx="351">
                  <c:v>6.4332537651062012</c:v>
                </c:pt>
                <c:pt idx="352">
                  <c:v>6.5380063056945801</c:v>
                </c:pt>
                <c:pt idx="353">
                  <c:v>6.5355992317199707</c:v>
                </c:pt>
                <c:pt idx="354">
                  <c:v>6.5492186546325684</c:v>
                </c:pt>
                <c:pt idx="355">
                  <c:v>6.5110030174255371</c:v>
                </c:pt>
                <c:pt idx="356">
                  <c:v>6.4586544036865234</c:v>
                </c:pt>
                <c:pt idx="357">
                  <c:v>6.5242547988891602</c:v>
                </c:pt>
                <c:pt idx="358">
                  <c:v>6.5856876373291016</c:v>
                </c:pt>
                <c:pt idx="359">
                  <c:v>6.5456357002258301</c:v>
                </c:pt>
                <c:pt idx="360">
                  <c:v>6.5353240966796875</c:v>
                </c:pt>
                <c:pt idx="361">
                  <c:v>6.6017599105834961</c:v>
                </c:pt>
                <c:pt idx="362">
                  <c:v>6.5252285003662109</c:v>
                </c:pt>
                <c:pt idx="363">
                  <c:v>6.4717049598693848</c:v>
                </c:pt>
                <c:pt idx="364">
                  <c:v>6.4883785247802734</c:v>
                </c:pt>
                <c:pt idx="365">
                  <c:v>6.5221133232116699</c:v>
                </c:pt>
                <c:pt idx="366">
                  <c:v>6.5176539421081543</c:v>
                </c:pt>
                <c:pt idx="367">
                  <c:v>6.4984207153320313</c:v>
                </c:pt>
                <c:pt idx="368">
                  <c:v>6.5650691986083984</c:v>
                </c:pt>
                <c:pt idx="369">
                  <c:v>6.6032042503356934</c:v>
                </c:pt>
                <c:pt idx="370">
                  <c:v>6.5488390922546387</c:v>
                </c:pt>
                <c:pt idx="371">
                  <c:v>6.5657415390014648</c:v>
                </c:pt>
                <c:pt idx="372">
                  <c:v>6.5484223365783691</c:v>
                </c:pt>
                <c:pt idx="373">
                  <c:v>6.5788044929504395</c:v>
                </c:pt>
                <c:pt idx="374">
                  <c:v>6.5838198661804199</c:v>
                </c:pt>
                <c:pt idx="375">
                  <c:v>6.600365161895752</c:v>
                </c:pt>
                <c:pt idx="376">
                  <c:v>6.5959682464599609</c:v>
                </c:pt>
                <c:pt idx="377">
                  <c:v>6.6290340423583984</c:v>
                </c:pt>
                <c:pt idx="378">
                  <c:v>6.695411205291748</c:v>
                </c:pt>
                <c:pt idx="379">
                  <c:v>6.6588191986083984</c:v>
                </c:pt>
                <c:pt idx="380">
                  <c:v>6.6939735412597656</c:v>
                </c:pt>
                <c:pt idx="381">
                  <c:v>6.6773200035095215</c:v>
                </c:pt>
                <c:pt idx="382">
                  <c:v>6.6972737312316895</c:v>
                </c:pt>
                <c:pt idx="383">
                  <c:v>6.6565818786621094</c:v>
                </c:pt>
                <c:pt idx="384">
                  <c:v>6.6670598983764648</c:v>
                </c:pt>
                <c:pt idx="385">
                  <c:v>6.6595087051391602</c:v>
                </c:pt>
                <c:pt idx="386">
                  <c:v>6.6514792442321777</c:v>
                </c:pt>
                <c:pt idx="387">
                  <c:v>6.6306543350219727</c:v>
                </c:pt>
                <c:pt idx="388">
                  <c:v>6.6097488403320313</c:v>
                </c:pt>
                <c:pt idx="389">
                  <c:v>6.5931134223937988</c:v>
                </c:pt>
                <c:pt idx="390">
                  <c:v>6.5619430541992188</c:v>
                </c:pt>
                <c:pt idx="391">
                  <c:v>6.5476980209350586</c:v>
                </c:pt>
                <c:pt idx="392">
                  <c:v>6.5486335754394531</c:v>
                </c:pt>
                <c:pt idx="393">
                  <c:v>6.5946660041809082</c:v>
                </c:pt>
                <c:pt idx="394">
                  <c:v>6.6157517433166504</c:v>
                </c:pt>
                <c:pt idx="395">
                  <c:v>6.7000279426574707</c:v>
                </c:pt>
                <c:pt idx="396">
                  <c:v>6.6648335456848145</c:v>
                </c:pt>
                <c:pt idx="397">
                  <c:v>6.6616072654724121</c:v>
                </c:pt>
                <c:pt idx="398">
                  <c:v>6.6690120697021484</c:v>
                </c:pt>
                <c:pt idx="399">
                  <c:v>6.6403532028198242</c:v>
                </c:pt>
                <c:pt idx="400">
                  <c:v>6.6201410293579102</c:v>
                </c:pt>
                <c:pt idx="401">
                  <c:v>6.6301779747009277</c:v>
                </c:pt>
                <c:pt idx="402">
                  <c:v>6.6197676658630371</c:v>
                </c:pt>
                <c:pt idx="403">
                  <c:v>6.6106829643249512</c:v>
                </c:pt>
                <c:pt idx="404">
                  <c:v>6.6555356979370117</c:v>
                </c:pt>
                <c:pt idx="405">
                  <c:v>6.6211495399475098</c:v>
                </c:pt>
                <c:pt idx="406">
                  <c:v>6.6434235572814941</c:v>
                </c:pt>
                <c:pt idx="407">
                  <c:v>6.597902774810791</c:v>
                </c:pt>
                <c:pt idx="408">
                  <c:v>6.5880846977233887</c:v>
                </c:pt>
                <c:pt idx="409">
                  <c:v>6.5484380722045898</c:v>
                </c:pt>
                <c:pt idx="410">
                  <c:v>6.6515598297119141</c:v>
                </c:pt>
                <c:pt idx="411">
                  <c:v>6.585207462310791</c:v>
                </c:pt>
                <c:pt idx="412">
                  <c:v>6.6226463317871094</c:v>
                </c:pt>
                <c:pt idx="413">
                  <c:v>6.5803160667419434</c:v>
                </c:pt>
                <c:pt idx="414">
                  <c:v>6.628119945526123</c:v>
                </c:pt>
                <c:pt idx="415">
                  <c:v>6.5803894996643066</c:v>
                </c:pt>
                <c:pt idx="416">
                  <c:v>6.5765237808227539</c:v>
                </c:pt>
                <c:pt idx="417">
                  <c:v>6.6522188186645508</c:v>
                </c:pt>
                <c:pt idx="418">
                  <c:v>6.5823612213134766</c:v>
                </c:pt>
                <c:pt idx="419">
                  <c:v>6.6049208641052246</c:v>
                </c:pt>
                <c:pt idx="420">
                  <c:v>6.653954029083252</c:v>
                </c:pt>
                <c:pt idx="421">
                  <c:v>6.6332297325134277</c:v>
                </c:pt>
                <c:pt idx="422">
                  <c:v>6.6485433578491211</c:v>
                </c:pt>
                <c:pt idx="423">
                  <c:v>6.6032557487487793</c:v>
                </c:pt>
                <c:pt idx="424">
                  <c:v>6.6952390670776367</c:v>
                </c:pt>
                <c:pt idx="425">
                  <c:v>6.650367259979248</c:v>
                </c:pt>
                <c:pt idx="426">
                  <c:v>6.6338706016540527</c:v>
                </c:pt>
                <c:pt idx="427">
                  <c:v>6.5658245086669922</c:v>
                </c:pt>
                <c:pt idx="428">
                  <c:v>6.5956330299377441</c:v>
                </c:pt>
                <c:pt idx="429">
                  <c:v>6.5856523513793945</c:v>
                </c:pt>
                <c:pt idx="430">
                  <c:v>6.5539135932922363</c:v>
                </c:pt>
                <c:pt idx="431">
                  <c:v>6.5754332542419434</c:v>
                </c:pt>
                <c:pt idx="432">
                  <c:v>6.5208449363708496</c:v>
                </c:pt>
                <c:pt idx="433">
                  <c:v>6.5252971649169922</c:v>
                </c:pt>
                <c:pt idx="434">
                  <c:v>6.620638370513916</c:v>
                </c:pt>
                <c:pt idx="435">
                  <c:v>6.6343250274658203</c:v>
                </c:pt>
                <c:pt idx="436">
                  <c:v>6.6427984237670898</c:v>
                </c:pt>
                <c:pt idx="437">
                  <c:v>6.560089111328125</c:v>
                </c:pt>
                <c:pt idx="438">
                  <c:v>6.6344971656799316</c:v>
                </c:pt>
                <c:pt idx="439">
                  <c:v>6.5884485244750977</c:v>
                </c:pt>
                <c:pt idx="440">
                  <c:v>6.5941944122314453</c:v>
                </c:pt>
                <c:pt idx="441">
                  <c:v>6.6750569343566895</c:v>
                </c:pt>
                <c:pt idx="442">
                  <c:v>6.671299934387207</c:v>
                </c:pt>
                <c:pt idx="443">
                  <c:v>6.6395139694213867</c:v>
                </c:pt>
                <c:pt idx="444">
                  <c:v>6.6193275451660156</c:v>
                </c:pt>
                <c:pt idx="445">
                  <c:v>6.6005373001098633</c:v>
                </c:pt>
                <c:pt idx="446">
                  <c:v>6.6263265609741211</c:v>
                </c:pt>
                <c:pt idx="447">
                  <c:v>6.6236052513122559</c:v>
                </c:pt>
                <c:pt idx="448">
                  <c:v>6.5172562599182129</c:v>
                </c:pt>
                <c:pt idx="449">
                  <c:v>6.4665579795837402</c:v>
                </c:pt>
                <c:pt idx="450">
                  <c:v>6.5703859329223633</c:v>
                </c:pt>
                <c:pt idx="451">
                  <c:v>6.5933413505554199</c:v>
                </c:pt>
                <c:pt idx="452">
                  <c:v>6.5939698219299316</c:v>
                </c:pt>
                <c:pt idx="453">
                  <c:v>6.6195254325866699</c:v>
                </c:pt>
                <c:pt idx="454">
                  <c:v>6.622617244720459</c:v>
                </c:pt>
                <c:pt idx="455">
                  <c:v>6.6230754852294922</c:v>
                </c:pt>
                <c:pt idx="456">
                  <c:v>6.5415000915527344</c:v>
                </c:pt>
                <c:pt idx="457">
                  <c:v>6.5501346588134766</c:v>
                </c:pt>
                <c:pt idx="458">
                  <c:v>6.538489818572998</c:v>
                </c:pt>
                <c:pt idx="459">
                  <c:v>6.6677412986755371</c:v>
                </c:pt>
                <c:pt idx="460">
                  <c:v>6.6089553833007813</c:v>
                </c:pt>
                <c:pt idx="461">
                  <c:v>6.5930500030517578</c:v>
                </c:pt>
                <c:pt idx="462">
                  <c:v>6.5865554809570313</c:v>
                </c:pt>
                <c:pt idx="463">
                  <c:v>6.575141429901123</c:v>
                </c:pt>
                <c:pt idx="464">
                  <c:v>6.5564384460449219</c:v>
                </c:pt>
                <c:pt idx="465">
                  <c:v>6.5525503158569336</c:v>
                </c:pt>
                <c:pt idx="466">
                  <c:v>6.5334062576293945</c:v>
                </c:pt>
                <c:pt idx="467">
                  <c:v>6.5846562385559082</c:v>
                </c:pt>
                <c:pt idx="468">
                  <c:v>6.5766754150390625</c:v>
                </c:pt>
                <c:pt idx="469">
                  <c:v>6.5754151344299316</c:v>
                </c:pt>
                <c:pt idx="470">
                  <c:v>6.648350715637207</c:v>
                </c:pt>
                <c:pt idx="471">
                  <c:v>6.67608642578125</c:v>
                </c:pt>
                <c:pt idx="472">
                  <c:v>6.6397290229797363</c:v>
                </c:pt>
                <c:pt idx="473">
                  <c:v>6.6655063629150391</c:v>
                </c:pt>
                <c:pt idx="474">
                  <c:v>6.7329535484313965</c:v>
                </c:pt>
                <c:pt idx="475">
                  <c:v>6.5602741241455078</c:v>
                </c:pt>
                <c:pt idx="476">
                  <c:v>6.5676097869873047</c:v>
                </c:pt>
                <c:pt idx="477">
                  <c:v>6.5367941856384277</c:v>
                </c:pt>
                <c:pt idx="478">
                  <c:v>6.5991311073303223</c:v>
                </c:pt>
                <c:pt idx="479">
                  <c:v>6.570521354675293</c:v>
                </c:pt>
                <c:pt idx="480">
                  <c:v>6.6125068664550781</c:v>
                </c:pt>
                <c:pt idx="481">
                  <c:v>6.5786342620849609</c:v>
                </c:pt>
                <c:pt idx="482">
                  <c:v>6.5689358711242676</c:v>
                </c:pt>
                <c:pt idx="483">
                  <c:v>6.6802725791931152</c:v>
                </c:pt>
                <c:pt idx="484">
                  <c:v>6.5967307090759277</c:v>
                </c:pt>
                <c:pt idx="485">
                  <c:v>6.6962442398071289</c:v>
                </c:pt>
                <c:pt idx="486">
                  <c:v>6.6589455604553223</c:v>
                </c:pt>
                <c:pt idx="487">
                  <c:v>6.5991978645324707</c:v>
                </c:pt>
                <c:pt idx="488">
                  <c:v>6.6193275451660156</c:v>
                </c:pt>
                <c:pt idx="489">
                  <c:v>6.6273045539855957</c:v>
                </c:pt>
                <c:pt idx="490">
                  <c:v>6.6465635299682617</c:v>
                </c:pt>
                <c:pt idx="491">
                  <c:v>6.6309986114501953</c:v>
                </c:pt>
                <c:pt idx="492">
                  <c:v>6.6327705383300781</c:v>
                </c:pt>
                <c:pt idx="493">
                  <c:v>6.6522760391235352</c:v>
                </c:pt>
                <c:pt idx="494">
                  <c:v>6.6164393424987793</c:v>
                </c:pt>
                <c:pt idx="495">
                  <c:v>6.6286048889160156</c:v>
                </c:pt>
                <c:pt idx="496">
                  <c:v>6.6394085884094238</c:v>
                </c:pt>
                <c:pt idx="497">
                  <c:v>6.6569843292236328</c:v>
                </c:pt>
                <c:pt idx="498">
                  <c:v>6.6531062126159668</c:v>
                </c:pt>
                <c:pt idx="499">
                  <c:v>6.6654653549194336</c:v>
                </c:pt>
                <c:pt idx="500">
                  <c:v>6.6496648788452148</c:v>
                </c:pt>
                <c:pt idx="501">
                  <c:v>6.6814084053039551</c:v>
                </c:pt>
                <c:pt idx="502">
                  <c:v>6.7252840995788574</c:v>
                </c:pt>
                <c:pt idx="503">
                  <c:v>6.7886300086975098</c:v>
                </c:pt>
                <c:pt idx="504">
                  <c:v>6.8048319816589355</c:v>
                </c:pt>
                <c:pt idx="505">
                  <c:v>6.8309345245361328</c:v>
                </c:pt>
                <c:pt idx="506">
                  <c:v>6.8163137435913086</c:v>
                </c:pt>
                <c:pt idx="507">
                  <c:v>6.8318557739257813</c:v>
                </c:pt>
                <c:pt idx="508">
                  <c:v>6.7954449653625488</c:v>
                </c:pt>
                <c:pt idx="509">
                  <c:v>6.7480807304382324</c:v>
                </c:pt>
                <c:pt idx="510">
                  <c:v>6.8264455795288086</c:v>
                </c:pt>
                <c:pt idx="511">
                  <c:v>6.7457590103149414</c:v>
                </c:pt>
                <c:pt idx="512">
                  <c:v>6.7743930816650391</c:v>
                </c:pt>
                <c:pt idx="513">
                  <c:v>6.7641477584838867</c:v>
                </c:pt>
                <c:pt idx="514">
                  <c:v>6.8053898811340332</c:v>
                </c:pt>
                <c:pt idx="515">
                  <c:v>6.7754120826721191</c:v>
                </c:pt>
                <c:pt idx="516">
                  <c:v>6.7919273376464844</c:v>
                </c:pt>
                <c:pt idx="517">
                  <c:v>6.7918357849121094</c:v>
                </c:pt>
                <c:pt idx="518">
                  <c:v>6.8390393257141113</c:v>
                </c:pt>
                <c:pt idx="519">
                  <c:v>6.7605962753295898</c:v>
                </c:pt>
                <c:pt idx="520">
                  <c:v>6.7202320098876953</c:v>
                </c:pt>
                <c:pt idx="521">
                  <c:v>6.7265334129333496</c:v>
                </c:pt>
                <c:pt idx="522">
                  <c:v>6.7556018829345703</c:v>
                </c:pt>
                <c:pt idx="523">
                  <c:v>6.7479133605957031</c:v>
                </c:pt>
                <c:pt idx="524">
                  <c:v>6.7630748748779297</c:v>
                </c:pt>
                <c:pt idx="525">
                  <c:v>6.6970043182373047</c:v>
                </c:pt>
                <c:pt idx="526">
                  <c:v>6.7292828559875488</c:v>
                </c:pt>
                <c:pt idx="527">
                  <c:v>6.7751379013061523</c:v>
                </c:pt>
                <c:pt idx="528">
                  <c:v>6.7481575012207031</c:v>
                </c:pt>
                <c:pt idx="529">
                  <c:v>6.7455167770385742</c:v>
                </c:pt>
                <c:pt idx="530">
                  <c:v>6.7454853057861328</c:v>
                </c:pt>
                <c:pt idx="531">
                  <c:v>6.797551155090332</c:v>
                </c:pt>
                <c:pt idx="532">
                  <c:v>6.7631392478942871</c:v>
                </c:pt>
                <c:pt idx="533">
                  <c:v>6.8672299385070801</c:v>
                </c:pt>
                <c:pt idx="534">
                  <c:v>6.8569817543029785</c:v>
                </c:pt>
                <c:pt idx="535">
                  <c:v>6.8523168563842773</c:v>
                </c:pt>
                <c:pt idx="536">
                  <c:v>6.8555846214294434</c:v>
                </c:pt>
                <c:pt idx="537">
                  <c:v>6.8100180625915527</c:v>
                </c:pt>
                <c:pt idx="538">
                  <c:v>6.8557949066162109</c:v>
                </c:pt>
                <c:pt idx="539">
                  <c:v>6.8216814994812012</c:v>
                </c:pt>
                <c:pt idx="540">
                  <c:v>6.8671431541442871</c:v>
                </c:pt>
                <c:pt idx="541">
                  <c:v>6.8709478378295898</c:v>
                </c:pt>
                <c:pt idx="542">
                  <c:v>6.8723077774047852</c:v>
                </c:pt>
                <c:pt idx="543">
                  <c:v>6.8134264945983887</c:v>
                </c:pt>
                <c:pt idx="544">
                  <c:v>6.8195352554321289</c:v>
                </c:pt>
                <c:pt idx="545">
                  <c:v>6.865236759185791</c:v>
                </c:pt>
                <c:pt idx="546">
                  <c:v>6.856809139251709</c:v>
                </c:pt>
                <c:pt idx="547">
                  <c:v>6.8684649467468262</c:v>
                </c:pt>
                <c:pt idx="548">
                  <c:v>6.8405055999755859</c:v>
                </c:pt>
                <c:pt idx="549">
                  <c:v>6.8269195556640625</c:v>
                </c:pt>
                <c:pt idx="550">
                  <c:v>6.8796825408935547</c:v>
                </c:pt>
                <c:pt idx="551">
                  <c:v>6.8414731025695801</c:v>
                </c:pt>
                <c:pt idx="552">
                  <c:v>6.8361043930053711</c:v>
                </c:pt>
                <c:pt idx="553">
                  <c:v>6.848388671875</c:v>
                </c:pt>
                <c:pt idx="554">
                  <c:v>6.8362798690795898</c:v>
                </c:pt>
                <c:pt idx="555">
                  <c:v>6.9019055366516113</c:v>
                </c:pt>
                <c:pt idx="556">
                  <c:v>6.8277420997619629</c:v>
                </c:pt>
                <c:pt idx="557">
                  <c:v>6.8814706802368164</c:v>
                </c:pt>
                <c:pt idx="558">
                  <c:v>6.8495421409606934</c:v>
                </c:pt>
                <c:pt idx="559">
                  <c:v>6.8709254264831543</c:v>
                </c:pt>
                <c:pt idx="560">
                  <c:v>6.8374195098876953</c:v>
                </c:pt>
                <c:pt idx="561">
                  <c:v>6.8623852729797363</c:v>
                </c:pt>
                <c:pt idx="562">
                  <c:v>6.9135284423828125</c:v>
                </c:pt>
                <c:pt idx="563">
                  <c:v>6.8823881149291992</c:v>
                </c:pt>
                <c:pt idx="564">
                  <c:v>6.8576054573059082</c:v>
                </c:pt>
                <c:pt idx="565">
                  <c:v>6.9128308296203613</c:v>
                </c:pt>
                <c:pt idx="566">
                  <c:v>6.904475212097168</c:v>
                </c:pt>
                <c:pt idx="567">
                  <c:v>6.9496808052062988</c:v>
                </c:pt>
                <c:pt idx="568">
                  <c:v>6.9367189407348633</c:v>
                </c:pt>
                <c:pt idx="569">
                  <c:v>6.9768528938293457</c:v>
                </c:pt>
                <c:pt idx="570">
                  <c:v>6.9781394004821777</c:v>
                </c:pt>
                <c:pt idx="571">
                  <c:v>6.9731278419494629</c:v>
                </c:pt>
                <c:pt idx="572">
                  <c:v>6.9813222885131836</c:v>
                </c:pt>
                <c:pt idx="573">
                  <c:v>6.9544486999511719</c:v>
                </c:pt>
                <c:pt idx="574">
                  <c:v>6.9778523445129395</c:v>
                </c:pt>
                <c:pt idx="575">
                  <c:v>6.9765100479125977</c:v>
                </c:pt>
                <c:pt idx="576">
                  <c:v>7.0362744331359863</c:v>
                </c:pt>
                <c:pt idx="577">
                  <c:v>7.0369243621826172</c:v>
                </c:pt>
                <c:pt idx="578">
                  <c:v>7.0440840721130371</c:v>
                </c:pt>
                <c:pt idx="579">
                  <c:v>7.0662250518798828</c:v>
                </c:pt>
                <c:pt idx="580">
                  <c:v>7.0019316673278809</c:v>
                </c:pt>
                <c:pt idx="581">
                  <c:v>7.0887966156005859</c:v>
                </c:pt>
                <c:pt idx="582">
                  <c:v>7.0670337677001953</c:v>
                </c:pt>
                <c:pt idx="583">
                  <c:v>7.0581479072570801</c:v>
                </c:pt>
                <c:pt idx="584">
                  <c:v>7.0856013298034668</c:v>
                </c:pt>
                <c:pt idx="585">
                  <c:v>7.0524983406066895</c:v>
                </c:pt>
                <c:pt idx="586">
                  <c:v>7.0872068405151367</c:v>
                </c:pt>
                <c:pt idx="587">
                  <c:v>7.1030426025390625</c:v>
                </c:pt>
                <c:pt idx="588">
                  <c:v>7.0263199806213379</c:v>
                </c:pt>
                <c:pt idx="589">
                  <c:v>7.0901145935058594</c:v>
                </c:pt>
                <c:pt idx="590">
                  <c:v>7.1099390983581543</c:v>
                </c:pt>
                <c:pt idx="591">
                  <c:v>7.0679645538330078</c:v>
                </c:pt>
                <c:pt idx="592">
                  <c:v>7.0709047317504883</c:v>
                </c:pt>
                <c:pt idx="593">
                  <c:v>7.0927562713623047</c:v>
                </c:pt>
                <c:pt idx="594">
                  <c:v>7.1096129417419434</c:v>
                </c:pt>
                <c:pt idx="595">
                  <c:v>7.0350069999694824</c:v>
                </c:pt>
                <c:pt idx="596">
                  <c:v>7.1072731018066406</c:v>
                </c:pt>
                <c:pt idx="597">
                  <c:v>7.2563409805297852</c:v>
                </c:pt>
                <c:pt idx="598">
                  <c:v>7.0527963638305664</c:v>
                </c:pt>
                <c:pt idx="599">
                  <c:v>7.1011133193969727</c:v>
                </c:pt>
                <c:pt idx="600">
                  <c:v>7.0758209228515625</c:v>
                </c:pt>
                <c:pt idx="601">
                  <c:v>7.117279052734375</c:v>
                </c:pt>
                <c:pt idx="602">
                  <c:v>7.0686707496643066</c:v>
                </c:pt>
                <c:pt idx="603">
                  <c:v>7.1663546562194824</c:v>
                </c:pt>
                <c:pt idx="604">
                  <c:v>7.129486083984375</c:v>
                </c:pt>
                <c:pt idx="605">
                  <c:v>7.1876721382141113</c:v>
                </c:pt>
                <c:pt idx="606">
                  <c:v>7.1647047996520996</c:v>
                </c:pt>
                <c:pt idx="607">
                  <c:v>7.1935625076293945</c:v>
                </c:pt>
                <c:pt idx="608">
                  <c:v>7.1572790145874023</c:v>
                </c:pt>
                <c:pt idx="609">
                  <c:v>7.2025599479675293</c:v>
                </c:pt>
                <c:pt idx="610">
                  <c:v>7.1882686614990234</c:v>
                </c:pt>
                <c:pt idx="611">
                  <c:v>7.2376041412353516</c:v>
                </c:pt>
                <c:pt idx="612">
                  <c:v>7.2419109344482422</c:v>
                </c:pt>
                <c:pt idx="613">
                  <c:v>7.2679314613342285</c:v>
                </c:pt>
                <c:pt idx="614">
                  <c:v>7.247931957244873</c:v>
                </c:pt>
                <c:pt idx="615">
                  <c:v>7.3010258674621582</c:v>
                </c:pt>
                <c:pt idx="616">
                  <c:v>7.2346811294555664</c:v>
                </c:pt>
                <c:pt idx="617">
                  <c:v>7.2866058349609375</c:v>
                </c:pt>
                <c:pt idx="618">
                  <c:v>7.2821140289306641</c:v>
                </c:pt>
                <c:pt idx="619">
                  <c:v>7.2436943054199219</c:v>
                </c:pt>
                <c:pt idx="620">
                  <c:v>7.2689785957336426</c:v>
                </c:pt>
                <c:pt idx="621">
                  <c:v>7.4260573387145996</c:v>
                </c:pt>
                <c:pt idx="622">
                  <c:v>7.4424729347229004</c:v>
                </c:pt>
                <c:pt idx="623">
                  <c:v>7.3533434867858887</c:v>
                </c:pt>
                <c:pt idx="624">
                  <c:v>7.4132823944091797</c:v>
                </c:pt>
                <c:pt idx="625">
                  <c:v>7.4729952812194824</c:v>
                </c:pt>
                <c:pt idx="626">
                  <c:v>7.5320687294006348</c:v>
                </c:pt>
                <c:pt idx="627">
                  <c:v>7.4195952415466309</c:v>
                </c:pt>
                <c:pt idx="628">
                  <c:v>7.4410924911499023</c:v>
                </c:pt>
                <c:pt idx="629">
                  <c:v>7.486445426940918</c:v>
                </c:pt>
                <c:pt idx="630">
                  <c:v>7.4161567687988281</c:v>
                </c:pt>
                <c:pt idx="631">
                  <c:v>7.5355830192565918</c:v>
                </c:pt>
                <c:pt idx="632">
                  <c:v>7.5021023750305176</c:v>
                </c:pt>
                <c:pt idx="633">
                  <c:v>7.4924235343933105</c:v>
                </c:pt>
                <c:pt idx="634">
                  <c:v>7.5054583549499512</c:v>
                </c:pt>
                <c:pt idx="635">
                  <c:v>7.5261435508728027</c:v>
                </c:pt>
                <c:pt idx="636">
                  <c:v>7.5229659080505371</c:v>
                </c:pt>
                <c:pt idx="637">
                  <c:v>7.6006035804748535</c:v>
                </c:pt>
                <c:pt idx="638">
                  <c:v>7.5217480659484863</c:v>
                </c:pt>
                <c:pt idx="639">
                  <c:v>7.5785503387451172</c:v>
                </c:pt>
                <c:pt idx="640">
                  <c:v>7.6371698379516602</c:v>
                </c:pt>
                <c:pt idx="641">
                  <c:v>7.6108522415161133</c:v>
                </c:pt>
                <c:pt idx="642">
                  <c:v>7.6021637916564941</c:v>
                </c:pt>
                <c:pt idx="643">
                  <c:v>7.6879911422729492</c:v>
                </c:pt>
                <c:pt idx="644">
                  <c:v>7.7264833450317383</c:v>
                </c:pt>
                <c:pt idx="645">
                  <c:v>7.7661218643188477</c:v>
                </c:pt>
                <c:pt idx="646">
                  <c:v>7.696495532989502</c:v>
                </c:pt>
                <c:pt idx="647">
                  <c:v>7.7998361587524414</c:v>
                </c:pt>
                <c:pt idx="648">
                  <c:v>7.8002653121948242</c:v>
                </c:pt>
                <c:pt idx="649">
                  <c:v>7.7468948364257813</c:v>
                </c:pt>
                <c:pt idx="650">
                  <c:v>7.8499674797058105</c:v>
                </c:pt>
                <c:pt idx="651">
                  <c:v>7.8591547012329102</c:v>
                </c:pt>
                <c:pt idx="652">
                  <c:v>7.9100055694580078</c:v>
                </c:pt>
                <c:pt idx="653">
                  <c:v>7.842799186706543</c:v>
                </c:pt>
                <c:pt idx="654">
                  <c:v>7.9060111045837402</c:v>
                </c:pt>
                <c:pt idx="655">
                  <c:v>7.8781032562255859</c:v>
                </c:pt>
                <c:pt idx="656">
                  <c:v>7.9121875762939453</c:v>
                </c:pt>
                <c:pt idx="657">
                  <c:v>7.9822258949279785</c:v>
                </c:pt>
                <c:pt idx="658">
                  <c:v>7.9724082946777344</c:v>
                </c:pt>
                <c:pt idx="659">
                  <c:v>7.968630313873291</c:v>
                </c:pt>
                <c:pt idx="660">
                  <c:v>8.0038661956787109</c:v>
                </c:pt>
                <c:pt idx="661">
                  <c:v>8.0829229354858398</c:v>
                </c:pt>
                <c:pt idx="662">
                  <c:v>8.0355987548828125</c:v>
                </c:pt>
                <c:pt idx="663">
                  <c:v>8.0404205322265625</c:v>
                </c:pt>
                <c:pt idx="664">
                  <c:v>8.1139411926269531</c:v>
                </c:pt>
                <c:pt idx="665">
                  <c:v>8.1003952026367188</c:v>
                </c:pt>
                <c:pt idx="666">
                  <c:v>8.153651237487793</c:v>
                </c:pt>
                <c:pt idx="667">
                  <c:v>8.1029539108276367</c:v>
                </c:pt>
                <c:pt idx="668">
                  <c:v>8.177180290222168</c:v>
                </c:pt>
                <c:pt idx="669">
                  <c:v>8.2009038925170898</c:v>
                </c:pt>
                <c:pt idx="670">
                  <c:v>8.254786491394043</c:v>
                </c:pt>
                <c:pt idx="671">
                  <c:v>8.2693414688110352</c:v>
                </c:pt>
                <c:pt idx="672">
                  <c:v>8.2807750701904297</c:v>
                </c:pt>
                <c:pt idx="673">
                  <c:v>8.3560371398925781</c:v>
                </c:pt>
                <c:pt idx="674">
                  <c:v>8.3629894256591797</c:v>
                </c:pt>
                <c:pt idx="675">
                  <c:v>8.3319931030273438</c:v>
                </c:pt>
                <c:pt idx="676">
                  <c:v>8.3169717788696289</c:v>
                </c:pt>
                <c:pt idx="677">
                  <c:v>8.4602775573730469</c:v>
                </c:pt>
                <c:pt idx="678">
                  <c:v>8.4190940856933594</c:v>
                </c:pt>
                <c:pt idx="679">
                  <c:v>8.4472923278808594</c:v>
                </c:pt>
                <c:pt idx="680">
                  <c:v>8.486572265625</c:v>
                </c:pt>
                <c:pt idx="681">
                  <c:v>8.5455875396728516</c:v>
                </c:pt>
                <c:pt idx="682">
                  <c:v>8.5868549346923828</c:v>
                </c:pt>
                <c:pt idx="683">
                  <c:v>8.5287647247314453</c:v>
                </c:pt>
                <c:pt idx="684">
                  <c:v>8.6023111343383789</c:v>
                </c:pt>
                <c:pt idx="685">
                  <c:v>8.6488237380981445</c:v>
                </c:pt>
                <c:pt idx="686">
                  <c:v>8.6058673858642578</c:v>
                </c:pt>
                <c:pt idx="687">
                  <c:v>8.669581413269043</c:v>
                </c:pt>
                <c:pt idx="688">
                  <c:v>8.6376237869262695</c:v>
                </c:pt>
                <c:pt idx="689">
                  <c:v>8.7164220809936523</c:v>
                </c:pt>
                <c:pt idx="690">
                  <c:v>8.7923526763916016</c:v>
                </c:pt>
                <c:pt idx="691">
                  <c:v>8.8751659393310547</c:v>
                </c:pt>
                <c:pt idx="692">
                  <c:v>8.8652286529541016</c:v>
                </c:pt>
                <c:pt idx="693">
                  <c:v>8.9052152633666992</c:v>
                </c:pt>
                <c:pt idx="694">
                  <c:v>8.9097738265991211</c:v>
                </c:pt>
                <c:pt idx="695">
                  <c:v>9.0028190612792969</c:v>
                </c:pt>
                <c:pt idx="696">
                  <c:v>9.0461711883544922</c:v>
                </c:pt>
                <c:pt idx="697">
                  <c:v>9.112025260925293</c:v>
                </c:pt>
                <c:pt idx="698">
                  <c:v>9.100102424621582</c:v>
                </c:pt>
                <c:pt idx="699">
                  <c:v>9.1300430297851563</c:v>
                </c:pt>
                <c:pt idx="700">
                  <c:v>9.2135229110717773</c:v>
                </c:pt>
                <c:pt idx="701">
                  <c:v>9.2566471099853516</c:v>
                </c:pt>
                <c:pt idx="702">
                  <c:v>9.2725276947021484</c:v>
                </c:pt>
                <c:pt idx="703">
                  <c:v>9.3658933639526367</c:v>
                </c:pt>
                <c:pt idx="704">
                  <c:v>9.3753833770751953</c:v>
                </c:pt>
                <c:pt idx="705">
                  <c:v>9.4095211029052734</c:v>
                </c:pt>
                <c:pt idx="706">
                  <c:v>9.3840856552124023</c:v>
                </c:pt>
                <c:pt idx="707">
                  <c:v>9.4697818756103516</c:v>
                </c:pt>
                <c:pt idx="708">
                  <c:v>9.4923830032348633</c:v>
                </c:pt>
                <c:pt idx="709">
                  <c:v>9.5837678909301758</c:v>
                </c:pt>
                <c:pt idx="710">
                  <c:v>9.653864860534668</c:v>
                </c:pt>
                <c:pt idx="711">
                  <c:v>9.6129331588745117</c:v>
                </c:pt>
                <c:pt idx="712">
                  <c:v>9.7441253662109375</c:v>
                </c:pt>
                <c:pt idx="713">
                  <c:v>9.7772665023803711</c:v>
                </c:pt>
                <c:pt idx="714">
                  <c:v>9.8163719177246094</c:v>
                </c:pt>
                <c:pt idx="715">
                  <c:v>9.8326320648193359</c:v>
                </c:pt>
                <c:pt idx="716">
                  <c:v>9.9136209487915039</c:v>
                </c:pt>
                <c:pt idx="717">
                  <c:v>9.9485454559326172</c:v>
                </c:pt>
                <c:pt idx="718">
                  <c:v>10.026348114013672</c:v>
                </c:pt>
                <c:pt idx="719">
                  <c:v>10.05381965637207</c:v>
                </c:pt>
                <c:pt idx="720">
                  <c:v>10.068537712097168</c:v>
                </c:pt>
                <c:pt idx="721">
                  <c:v>10.086069107055664</c:v>
                </c:pt>
                <c:pt idx="722">
                  <c:v>10.21405029296875</c:v>
                </c:pt>
                <c:pt idx="723">
                  <c:v>10.286036491394043</c:v>
                </c:pt>
                <c:pt idx="724">
                  <c:v>10.280689239501953</c:v>
                </c:pt>
                <c:pt idx="725">
                  <c:v>10.35976505279541</c:v>
                </c:pt>
                <c:pt idx="726">
                  <c:v>10.45933723449707</c:v>
                </c:pt>
                <c:pt idx="727">
                  <c:v>10.405093193054199</c:v>
                </c:pt>
                <c:pt idx="728">
                  <c:v>10.579507827758789</c:v>
                </c:pt>
                <c:pt idx="729">
                  <c:v>10.59882926940918</c:v>
                </c:pt>
                <c:pt idx="730">
                  <c:v>10.653493881225586</c:v>
                </c:pt>
                <c:pt idx="731">
                  <c:v>10.718647003173828</c:v>
                </c:pt>
                <c:pt idx="732">
                  <c:v>10.820137023925781</c:v>
                </c:pt>
                <c:pt idx="733">
                  <c:v>10.93231201171875</c:v>
                </c:pt>
                <c:pt idx="734">
                  <c:v>10.972410202026367</c:v>
                </c:pt>
                <c:pt idx="735">
                  <c:v>11.02587890625</c:v>
                </c:pt>
                <c:pt idx="736">
                  <c:v>11.084660530090332</c:v>
                </c:pt>
                <c:pt idx="737">
                  <c:v>11.124853134155273</c:v>
                </c:pt>
                <c:pt idx="738">
                  <c:v>11.186655044555664</c:v>
                </c:pt>
                <c:pt idx="739">
                  <c:v>11.26223087310791</c:v>
                </c:pt>
                <c:pt idx="740">
                  <c:v>11.330183982849121</c:v>
                </c:pt>
                <c:pt idx="741">
                  <c:v>11.402538299560547</c:v>
                </c:pt>
                <c:pt idx="742">
                  <c:v>11.48789119720459</c:v>
                </c:pt>
                <c:pt idx="743">
                  <c:v>11.513362884521484</c:v>
                </c:pt>
                <c:pt idx="744">
                  <c:v>11.631187438964844</c:v>
                </c:pt>
                <c:pt idx="745">
                  <c:v>11.716741561889648</c:v>
                </c:pt>
                <c:pt idx="746">
                  <c:v>11.75987720489502</c:v>
                </c:pt>
                <c:pt idx="747">
                  <c:v>11.858585357666016</c:v>
                </c:pt>
                <c:pt idx="748">
                  <c:v>11.960971832275391</c:v>
                </c:pt>
                <c:pt idx="749">
                  <c:v>12.118227005004883</c:v>
                </c:pt>
                <c:pt idx="750">
                  <c:v>12.126921653747559</c:v>
                </c:pt>
                <c:pt idx="751">
                  <c:v>12.209980964660645</c:v>
                </c:pt>
                <c:pt idx="752">
                  <c:v>12.242871284484863</c:v>
                </c:pt>
                <c:pt idx="753">
                  <c:v>12.408220291137695</c:v>
                </c:pt>
                <c:pt idx="754">
                  <c:v>12.466259956359863</c:v>
                </c:pt>
                <c:pt idx="755">
                  <c:v>12.542667388916016</c:v>
                </c:pt>
                <c:pt idx="756">
                  <c:v>12.643264770507813</c:v>
                </c:pt>
                <c:pt idx="757">
                  <c:v>12.713719367980957</c:v>
                </c:pt>
                <c:pt idx="758">
                  <c:v>12.784034729003906</c:v>
                </c:pt>
                <c:pt idx="759">
                  <c:v>12.923892021179199</c:v>
                </c:pt>
                <c:pt idx="760">
                  <c:v>12.967765808105469</c:v>
                </c:pt>
                <c:pt idx="761">
                  <c:v>13.037136077880859</c:v>
                </c:pt>
                <c:pt idx="762">
                  <c:v>13.207029342651367</c:v>
                </c:pt>
                <c:pt idx="763">
                  <c:v>13.268835067749023</c:v>
                </c:pt>
                <c:pt idx="764">
                  <c:v>13.403852462768555</c:v>
                </c:pt>
                <c:pt idx="765">
                  <c:v>13.466642379760742</c:v>
                </c:pt>
                <c:pt idx="766">
                  <c:v>13.556171417236328</c:v>
                </c:pt>
                <c:pt idx="767">
                  <c:v>13.601901054382324</c:v>
                </c:pt>
                <c:pt idx="768">
                  <c:v>13.780661582946777</c:v>
                </c:pt>
                <c:pt idx="769">
                  <c:v>13.847026824951172</c:v>
                </c:pt>
                <c:pt idx="770">
                  <c:v>13.967377662658691</c:v>
                </c:pt>
                <c:pt idx="771">
                  <c:v>14.025631904602051</c:v>
                </c:pt>
                <c:pt idx="772">
                  <c:v>14.196213722229004</c:v>
                </c:pt>
                <c:pt idx="773">
                  <c:v>14.29383373260498</c:v>
                </c:pt>
                <c:pt idx="774">
                  <c:v>14.443774223327637</c:v>
                </c:pt>
                <c:pt idx="775">
                  <c:v>14.513800621032715</c:v>
                </c:pt>
                <c:pt idx="776">
                  <c:v>14.589441299438477</c:v>
                </c:pt>
                <c:pt idx="777">
                  <c:v>14.742178916931152</c:v>
                </c:pt>
                <c:pt idx="778">
                  <c:v>14.848079681396484</c:v>
                </c:pt>
                <c:pt idx="779">
                  <c:v>14.920199394226074</c:v>
                </c:pt>
                <c:pt idx="780">
                  <c:v>15.05476188659668</c:v>
                </c:pt>
                <c:pt idx="781">
                  <c:v>15.228691101074219</c:v>
                </c:pt>
                <c:pt idx="782">
                  <c:v>15.307904243469238</c:v>
                </c:pt>
                <c:pt idx="783">
                  <c:v>15.418558120727539</c:v>
                </c:pt>
                <c:pt idx="784">
                  <c:v>15.527370452880859</c:v>
                </c:pt>
                <c:pt idx="785">
                  <c:v>15.604911804199219</c:v>
                </c:pt>
                <c:pt idx="786">
                  <c:v>15.822637557983398</c:v>
                </c:pt>
                <c:pt idx="787">
                  <c:v>15.918007850646973</c:v>
                </c:pt>
                <c:pt idx="788">
                  <c:v>16.103397369384766</c:v>
                </c:pt>
                <c:pt idx="789">
                  <c:v>16.265474319458008</c:v>
                </c:pt>
                <c:pt idx="790">
                  <c:v>16.407052993774414</c:v>
                </c:pt>
                <c:pt idx="791">
                  <c:v>16.530084609985352</c:v>
                </c:pt>
                <c:pt idx="792">
                  <c:v>16.651212692260742</c:v>
                </c:pt>
                <c:pt idx="793">
                  <c:v>16.925859451293945</c:v>
                </c:pt>
                <c:pt idx="794">
                  <c:v>17.053731918334961</c:v>
                </c:pt>
                <c:pt idx="795">
                  <c:v>17.17161750793457</c:v>
                </c:pt>
                <c:pt idx="796">
                  <c:v>17.384490966796875</c:v>
                </c:pt>
                <c:pt idx="797">
                  <c:v>17.54621696472168</c:v>
                </c:pt>
                <c:pt idx="798">
                  <c:v>17.686075210571289</c:v>
                </c:pt>
                <c:pt idx="799">
                  <c:v>17.893585205078125</c:v>
                </c:pt>
                <c:pt idx="800">
                  <c:v>18.079601287841797</c:v>
                </c:pt>
                <c:pt idx="801">
                  <c:v>18.218494415283203</c:v>
                </c:pt>
                <c:pt idx="802">
                  <c:v>18.426294326782227</c:v>
                </c:pt>
                <c:pt idx="803">
                  <c:v>18.604160308837891</c:v>
                </c:pt>
                <c:pt idx="804">
                  <c:v>18.870395660400391</c:v>
                </c:pt>
                <c:pt idx="805">
                  <c:v>19.028200149536133</c:v>
                </c:pt>
                <c:pt idx="806">
                  <c:v>19.292280197143555</c:v>
                </c:pt>
                <c:pt idx="807">
                  <c:v>19.401716232299805</c:v>
                </c:pt>
                <c:pt idx="808">
                  <c:v>19.648618698120117</c:v>
                </c:pt>
                <c:pt idx="809">
                  <c:v>19.916530609130859</c:v>
                </c:pt>
                <c:pt idx="810">
                  <c:v>20.094108581542969</c:v>
                </c:pt>
                <c:pt idx="811">
                  <c:v>20.343545913696289</c:v>
                </c:pt>
                <c:pt idx="812">
                  <c:v>20.59375</c:v>
                </c:pt>
                <c:pt idx="813">
                  <c:v>20.838712692260742</c:v>
                </c:pt>
                <c:pt idx="814">
                  <c:v>21.137723922729492</c:v>
                </c:pt>
                <c:pt idx="815">
                  <c:v>21.460988998413086</c:v>
                </c:pt>
                <c:pt idx="816">
                  <c:v>21.686674118041992</c:v>
                </c:pt>
                <c:pt idx="817">
                  <c:v>21.917558670043945</c:v>
                </c:pt>
                <c:pt idx="818">
                  <c:v>22.093109130859375</c:v>
                </c:pt>
                <c:pt idx="819">
                  <c:v>22.405673980712891</c:v>
                </c:pt>
                <c:pt idx="820">
                  <c:v>22.705204010009766</c:v>
                </c:pt>
                <c:pt idx="821">
                  <c:v>23.06640625</c:v>
                </c:pt>
                <c:pt idx="822">
                  <c:v>23.46668815612793</c:v>
                </c:pt>
                <c:pt idx="823">
                  <c:v>23.6968994140625</c:v>
                </c:pt>
                <c:pt idx="824">
                  <c:v>24.046545028686523</c:v>
                </c:pt>
                <c:pt idx="825">
                  <c:v>24.429088592529297</c:v>
                </c:pt>
                <c:pt idx="826">
                  <c:v>24.782632827758789</c:v>
                </c:pt>
                <c:pt idx="827">
                  <c:v>25.20880126953125</c:v>
                </c:pt>
                <c:pt idx="828">
                  <c:v>25.551950454711914</c:v>
                </c:pt>
                <c:pt idx="829">
                  <c:v>26.033742904663086</c:v>
                </c:pt>
                <c:pt idx="830">
                  <c:v>26.672023773193359</c:v>
                </c:pt>
                <c:pt idx="831">
                  <c:v>27.222555160522461</c:v>
                </c:pt>
                <c:pt idx="832">
                  <c:v>27.77922248840332</c:v>
                </c:pt>
                <c:pt idx="833">
                  <c:v>28.430965423583984</c:v>
                </c:pt>
                <c:pt idx="834">
                  <c:v>29.033927917480469</c:v>
                </c:pt>
                <c:pt idx="835">
                  <c:v>29.593456268310547</c:v>
                </c:pt>
                <c:pt idx="836">
                  <c:v>30.238662719726563</c:v>
                </c:pt>
                <c:pt idx="837">
                  <c:v>31.063503265380859</c:v>
                </c:pt>
                <c:pt idx="838">
                  <c:v>31.947977066040039</c:v>
                </c:pt>
                <c:pt idx="839">
                  <c:v>32.878047943115234</c:v>
                </c:pt>
                <c:pt idx="840">
                  <c:v>33.823970794677734</c:v>
                </c:pt>
                <c:pt idx="841">
                  <c:v>34.954387664794922</c:v>
                </c:pt>
                <c:pt idx="842">
                  <c:v>36.207157135009766</c:v>
                </c:pt>
                <c:pt idx="843">
                  <c:v>37.9046630859375</c:v>
                </c:pt>
                <c:pt idx="844">
                  <c:v>38.938636779785156</c:v>
                </c:pt>
                <c:pt idx="845">
                  <c:v>40.502521514892578</c:v>
                </c:pt>
                <c:pt idx="846">
                  <c:v>42.483837127685547</c:v>
                </c:pt>
                <c:pt idx="847">
                  <c:v>44.8287353515625</c:v>
                </c:pt>
                <c:pt idx="848">
                  <c:v>47.042724609375</c:v>
                </c:pt>
                <c:pt idx="849">
                  <c:v>49.744667053222656</c:v>
                </c:pt>
                <c:pt idx="850">
                  <c:v>52.302059173583984</c:v>
                </c:pt>
                <c:pt idx="851">
                  <c:v>54.087779998779297</c:v>
                </c:pt>
                <c:pt idx="852">
                  <c:v>47.028793334960938</c:v>
                </c:pt>
                <c:pt idx="853">
                  <c:v>47.425300598144531</c:v>
                </c:pt>
                <c:pt idx="854">
                  <c:v>49.179428100585938</c:v>
                </c:pt>
                <c:pt idx="855">
                  <c:v>51.349369049072266</c:v>
                </c:pt>
                <c:pt idx="856">
                  <c:v>53.803474426269531</c:v>
                </c:pt>
                <c:pt idx="857">
                  <c:v>56.807533264160156</c:v>
                </c:pt>
                <c:pt idx="858">
                  <c:v>60.680213928222656</c:v>
                </c:pt>
                <c:pt idx="859">
                  <c:v>64.787605285644531</c:v>
                </c:pt>
                <c:pt idx="860">
                  <c:v>63.079097747802734</c:v>
                </c:pt>
                <c:pt idx="861">
                  <c:v>66.512191772460938</c:v>
                </c:pt>
                <c:pt idx="862">
                  <c:v>70.916694641113281</c:v>
                </c:pt>
                <c:pt idx="863">
                  <c:v>75.585403442382813</c:v>
                </c:pt>
                <c:pt idx="864">
                  <c:v>82.287284851074219</c:v>
                </c:pt>
                <c:pt idx="865">
                  <c:v>88.360458374023438</c:v>
                </c:pt>
                <c:pt idx="866">
                  <c:v>96.254913330078125</c:v>
                </c:pt>
                <c:pt idx="867">
                  <c:v>106.09529876708984</c:v>
                </c:pt>
              </c:numCache>
            </c:numRef>
          </c:yVal>
          <c:smooth val="1"/>
          <c:extLst>
            <c:ext xmlns:c16="http://schemas.microsoft.com/office/drawing/2014/chart" uri="{C3380CC4-5D6E-409C-BE32-E72D297353CC}">
              <c16:uniqueId val="{00000003-065F-4201-BD7F-B2F9AF941BA7}"/>
            </c:ext>
          </c:extLst>
        </c:ser>
        <c:ser>
          <c:idx val="4"/>
          <c:order val="3"/>
          <c:tx>
            <c:strRef>
              <c:f>Input!$Q$2</c:f>
              <c:strCache>
                <c:ptCount val="1"/>
                <c:pt idx="0">
                  <c:v>FB Hes</c:v>
                </c:pt>
              </c:strCache>
            </c:strRef>
          </c:tx>
          <c:spPr>
            <a:ln w="28575" cap="rnd">
              <a:solidFill>
                <a:schemeClr val="accent5"/>
              </a:solidFill>
              <a:round/>
            </a:ln>
            <a:effectLst/>
          </c:spPr>
          <c:marker>
            <c:symbol val="none"/>
          </c:marker>
          <c:xVal>
            <c:numRef>
              <c:f>Input!$M$3:$M$1000</c:f>
              <c:numCache>
                <c:formatCode>General</c:formatCode>
                <c:ptCount val="998"/>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pt idx="161">
                  <c:v>80.5</c:v>
                </c:pt>
                <c:pt idx="162">
                  <c:v>81</c:v>
                </c:pt>
                <c:pt idx="163">
                  <c:v>81.5</c:v>
                </c:pt>
                <c:pt idx="164">
                  <c:v>82</c:v>
                </c:pt>
                <c:pt idx="165">
                  <c:v>82.5</c:v>
                </c:pt>
                <c:pt idx="166">
                  <c:v>83</c:v>
                </c:pt>
                <c:pt idx="167">
                  <c:v>83.5</c:v>
                </c:pt>
                <c:pt idx="168">
                  <c:v>84</c:v>
                </c:pt>
                <c:pt idx="169">
                  <c:v>84.5</c:v>
                </c:pt>
                <c:pt idx="170">
                  <c:v>85</c:v>
                </c:pt>
                <c:pt idx="171">
                  <c:v>85.5</c:v>
                </c:pt>
                <c:pt idx="172">
                  <c:v>86</c:v>
                </c:pt>
                <c:pt idx="173">
                  <c:v>86.5</c:v>
                </c:pt>
                <c:pt idx="174">
                  <c:v>87</c:v>
                </c:pt>
                <c:pt idx="175">
                  <c:v>87.5</c:v>
                </c:pt>
                <c:pt idx="176">
                  <c:v>88</c:v>
                </c:pt>
                <c:pt idx="177">
                  <c:v>88.5</c:v>
                </c:pt>
                <c:pt idx="178">
                  <c:v>89</c:v>
                </c:pt>
                <c:pt idx="179">
                  <c:v>89.5</c:v>
                </c:pt>
                <c:pt idx="180">
                  <c:v>90</c:v>
                </c:pt>
                <c:pt idx="181">
                  <c:v>90.5</c:v>
                </c:pt>
                <c:pt idx="182">
                  <c:v>91</c:v>
                </c:pt>
                <c:pt idx="183">
                  <c:v>91.5</c:v>
                </c:pt>
                <c:pt idx="184">
                  <c:v>92</c:v>
                </c:pt>
                <c:pt idx="185">
                  <c:v>92.5</c:v>
                </c:pt>
                <c:pt idx="186">
                  <c:v>93</c:v>
                </c:pt>
                <c:pt idx="187">
                  <c:v>93.5</c:v>
                </c:pt>
                <c:pt idx="188">
                  <c:v>94</c:v>
                </c:pt>
                <c:pt idx="189">
                  <c:v>94.5</c:v>
                </c:pt>
                <c:pt idx="190">
                  <c:v>95</c:v>
                </c:pt>
                <c:pt idx="191">
                  <c:v>95.5</c:v>
                </c:pt>
                <c:pt idx="192">
                  <c:v>96</c:v>
                </c:pt>
                <c:pt idx="193">
                  <c:v>96.5</c:v>
                </c:pt>
                <c:pt idx="194">
                  <c:v>97</c:v>
                </c:pt>
                <c:pt idx="195">
                  <c:v>97.5</c:v>
                </c:pt>
                <c:pt idx="196">
                  <c:v>98</c:v>
                </c:pt>
                <c:pt idx="197">
                  <c:v>98.5</c:v>
                </c:pt>
                <c:pt idx="198">
                  <c:v>99</c:v>
                </c:pt>
                <c:pt idx="199">
                  <c:v>99.5</c:v>
                </c:pt>
                <c:pt idx="200">
                  <c:v>100</c:v>
                </c:pt>
                <c:pt idx="201">
                  <c:v>100.5</c:v>
                </c:pt>
                <c:pt idx="202">
                  <c:v>101</c:v>
                </c:pt>
                <c:pt idx="203">
                  <c:v>101.5</c:v>
                </c:pt>
                <c:pt idx="204">
                  <c:v>102</c:v>
                </c:pt>
                <c:pt idx="205">
                  <c:v>102.5</c:v>
                </c:pt>
                <c:pt idx="206">
                  <c:v>103</c:v>
                </c:pt>
                <c:pt idx="207">
                  <c:v>103.5</c:v>
                </c:pt>
                <c:pt idx="208">
                  <c:v>104</c:v>
                </c:pt>
                <c:pt idx="209">
                  <c:v>104.5</c:v>
                </c:pt>
                <c:pt idx="210">
                  <c:v>105</c:v>
                </c:pt>
                <c:pt idx="211">
                  <c:v>105.5</c:v>
                </c:pt>
                <c:pt idx="212">
                  <c:v>106</c:v>
                </c:pt>
                <c:pt idx="213">
                  <c:v>106.5</c:v>
                </c:pt>
                <c:pt idx="214">
                  <c:v>107</c:v>
                </c:pt>
                <c:pt idx="215">
                  <c:v>107.5</c:v>
                </c:pt>
                <c:pt idx="216">
                  <c:v>108</c:v>
                </c:pt>
                <c:pt idx="217">
                  <c:v>108.5</c:v>
                </c:pt>
                <c:pt idx="218">
                  <c:v>109</c:v>
                </c:pt>
                <c:pt idx="219">
                  <c:v>109.5</c:v>
                </c:pt>
                <c:pt idx="220">
                  <c:v>110</c:v>
                </c:pt>
                <c:pt idx="221">
                  <c:v>110.5</c:v>
                </c:pt>
                <c:pt idx="222">
                  <c:v>111</c:v>
                </c:pt>
                <c:pt idx="223">
                  <c:v>111.5</c:v>
                </c:pt>
                <c:pt idx="224">
                  <c:v>112</c:v>
                </c:pt>
                <c:pt idx="225">
                  <c:v>112.5</c:v>
                </c:pt>
                <c:pt idx="226">
                  <c:v>113</c:v>
                </c:pt>
                <c:pt idx="227">
                  <c:v>113.5</c:v>
                </c:pt>
                <c:pt idx="228">
                  <c:v>114</c:v>
                </c:pt>
                <c:pt idx="229">
                  <c:v>114.5</c:v>
                </c:pt>
                <c:pt idx="230">
                  <c:v>115</c:v>
                </c:pt>
                <c:pt idx="231">
                  <c:v>115.5</c:v>
                </c:pt>
                <c:pt idx="232">
                  <c:v>116</c:v>
                </c:pt>
                <c:pt idx="233">
                  <c:v>116.5</c:v>
                </c:pt>
                <c:pt idx="234">
                  <c:v>117</c:v>
                </c:pt>
                <c:pt idx="235">
                  <c:v>117.5</c:v>
                </c:pt>
                <c:pt idx="236">
                  <c:v>118</c:v>
                </c:pt>
                <c:pt idx="237">
                  <c:v>118.5</c:v>
                </c:pt>
                <c:pt idx="238">
                  <c:v>119</c:v>
                </c:pt>
                <c:pt idx="239">
                  <c:v>119.5</c:v>
                </c:pt>
                <c:pt idx="240">
                  <c:v>120</c:v>
                </c:pt>
                <c:pt idx="241">
                  <c:v>120.5</c:v>
                </c:pt>
                <c:pt idx="242">
                  <c:v>121</c:v>
                </c:pt>
                <c:pt idx="243">
                  <c:v>121.5</c:v>
                </c:pt>
                <c:pt idx="244">
                  <c:v>122</c:v>
                </c:pt>
                <c:pt idx="245">
                  <c:v>122.5</c:v>
                </c:pt>
                <c:pt idx="246">
                  <c:v>123</c:v>
                </c:pt>
                <c:pt idx="247">
                  <c:v>123.5</c:v>
                </c:pt>
                <c:pt idx="248">
                  <c:v>124</c:v>
                </c:pt>
                <c:pt idx="249">
                  <c:v>124.5</c:v>
                </c:pt>
                <c:pt idx="250">
                  <c:v>125</c:v>
                </c:pt>
                <c:pt idx="251">
                  <c:v>125.5</c:v>
                </c:pt>
                <c:pt idx="252">
                  <c:v>126</c:v>
                </c:pt>
                <c:pt idx="253">
                  <c:v>126.5</c:v>
                </c:pt>
                <c:pt idx="254">
                  <c:v>127</c:v>
                </c:pt>
                <c:pt idx="255">
                  <c:v>127.5</c:v>
                </c:pt>
                <c:pt idx="256">
                  <c:v>128</c:v>
                </c:pt>
                <c:pt idx="257">
                  <c:v>128.5</c:v>
                </c:pt>
                <c:pt idx="258">
                  <c:v>129</c:v>
                </c:pt>
                <c:pt idx="259">
                  <c:v>129.5</c:v>
                </c:pt>
                <c:pt idx="260">
                  <c:v>130</c:v>
                </c:pt>
                <c:pt idx="261">
                  <c:v>130.5</c:v>
                </c:pt>
                <c:pt idx="262">
                  <c:v>131</c:v>
                </c:pt>
                <c:pt idx="263">
                  <c:v>131.5</c:v>
                </c:pt>
                <c:pt idx="264">
                  <c:v>132</c:v>
                </c:pt>
                <c:pt idx="265">
                  <c:v>132.5</c:v>
                </c:pt>
                <c:pt idx="266">
                  <c:v>133</c:v>
                </c:pt>
                <c:pt idx="267">
                  <c:v>133.5</c:v>
                </c:pt>
                <c:pt idx="268">
                  <c:v>134</c:v>
                </c:pt>
                <c:pt idx="269">
                  <c:v>134.5</c:v>
                </c:pt>
                <c:pt idx="270">
                  <c:v>135</c:v>
                </c:pt>
                <c:pt idx="271">
                  <c:v>135.5</c:v>
                </c:pt>
                <c:pt idx="272">
                  <c:v>136</c:v>
                </c:pt>
                <c:pt idx="273">
                  <c:v>136.5</c:v>
                </c:pt>
                <c:pt idx="274">
                  <c:v>137</c:v>
                </c:pt>
                <c:pt idx="275">
                  <c:v>137.5</c:v>
                </c:pt>
                <c:pt idx="276">
                  <c:v>138</c:v>
                </c:pt>
                <c:pt idx="277">
                  <c:v>138.5</c:v>
                </c:pt>
                <c:pt idx="278">
                  <c:v>139</c:v>
                </c:pt>
                <c:pt idx="279">
                  <c:v>139.5</c:v>
                </c:pt>
                <c:pt idx="280">
                  <c:v>140</c:v>
                </c:pt>
                <c:pt idx="281">
                  <c:v>140.5</c:v>
                </c:pt>
                <c:pt idx="282">
                  <c:v>141</c:v>
                </c:pt>
                <c:pt idx="283">
                  <c:v>141.5</c:v>
                </c:pt>
                <c:pt idx="284">
                  <c:v>142</c:v>
                </c:pt>
                <c:pt idx="285">
                  <c:v>142.5</c:v>
                </c:pt>
                <c:pt idx="286">
                  <c:v>143</c:v>
                </c:pt>
                <c:pt idx="287">
                  <c:v>143.5</c:v>
                </c:pt>
                <c:pt idx="288">
                  <c:v>144</c:v>
                </c:pt>
                <c:pt idx="289">
                  <c:v>144.5</c:v>
                </c:pt>
                <c:pt idx="290">
                  <c:v>145</c:v>
                </c:pt>
                <c:pt idx="291">
                  <c:v>145.5</c:v>
                </c:pt>
                <c:pt idx="292">
                  <c:v>146</c:v>
                </c:pt>
                <c:pt idx="293">
                  <c:v>146.5</c:v>
                </c:pt>
                <c:pt idx="294">
                  <c:v>147</c:v>
                </c:pt>
                <c:pt idx="295">
                  <c:v>147.5</c:v>
                </c:pt>
                <c:pt idx="296">
                  <c:v>148</c:v>
                </c:pt>
                <c:pt idx="297">
                  <c:v>148.5</c:v>
                </c:pt>
                <c:pt idx="298">
                  <c:v>149</c:v>
                </c:pt>
                <c:pt idx="299">
                  <c:v>149.5</c:v>
                </c:pt>
                <c:pt idx="300">
                  <c:v>150</c:v>
                </c:pt>
                <c:pt idx="301">
                  <c:v>150.5</c:v>
                </c:pt>
                <c:pt idx="302">
                  <c:v>151</c:v>
                </c:pt>
                <c:pt idx="303">
                  <c:v>151.5</c:v>
                </c:pt>
                <c:pt idx="304">
                  <c:v>152</c:v>
                </c:pt>
                <c:pt idx="305">
                  <c:v>152.5</c:v>
                </c:pt>
                <c:pt idx="306">
                  <c:v>153</c:v>
                </c:pt>
                <c:pt idx="307">
                  <c:v>153.5</c:v>
                </c:pt>
                <c:pt idx="308">
                  <c:v>154</c:v>
                </c:pt>
                <c:pt idx="309">
                  <c:v>154.5</c:v>
                </c:pt>
                <c:pt idx="310">
                  <c:v>155</c:v>
                </c:pt>
                <c:pt idx="311">
                  <c:v>155.5</c:v>
                </c:pt>
                <c:pt idx="312">
                  <c:v>156</c:v>
                </c:pt>
                <c:pt idx="313">
                  <c:v>156.5</c:v>
                </c:pt>
                <c:pt idx="314">
                  <c:v>157</c:v>
                </c:pt>
                <c:pt idx="315">
                  <c:v>157.5</c:v>
                </c:pt>
                <c:pt idx="316">
                  <c:v>158</c:v>
                </c:pt>
                <c:pt idx="317">
                  <c:v>158.5</c:v>
                </c:pt>
                <c:pt idx="318">
                  <c:v>159</c:v>
                </c:pt>
                <c:pt idx="319">
                  <c:v>159.5</c:v>
                </c:pt>
                <c:pt idx="320">
                  <c:v>160</c:v>
                </c:pt>
                <c:pt idx="321">
                  <c:v>160.5</c:v>
                </c:pt>
                <c:pt idx="322">
                  <c:v>161</c:v>
                </c:pt>
                <c:pt idx="323">
                  <c:v>161.5</c:v>
                </c:pt>
                <c:pt idx="324">
                  <c:v>162</c:v>
                </c:pt>
                <c:pt idx="325">
                  <c:v>162.5</c:v>
                </c:pt>
                <c:pt idx="326">
                  <c:v>163</c:v>
                </c:pt>
                <c:pt idx="327">
                  <c:v>163.5</c:v>
                </c:pt>
                <c:pt idx="328">
                  <c:v>164</c:v>
                </c:pt>
                <c:pt idx="329">
                  <c:v>164.5</c:v>
                </c:pt>
                <c:pt idx="330">
                  <c:v>165</c:v>
                </c:pt>
                <c:pt idx="331">
                  <c:v>165.5</c:v>
                </c:pt>
                <c:pt idx="332">
                  <c:v>166</c:v>
                </c:pt>
                <c:pt idx="333">
                  <c:v>166.5</c:v>
                </c:pt>
                <c:pt idx="334">
                  <c:v>167</c:v>
                </c:pt>
                <c:pt idx="335">
                  <c:v>167.5</c:v>
                </c:pt>
                <c:pt idx="336">
                  <c:v>168</c:v>
                </c:pt>
                <c:pt idx="337">
                  <c:v>168.5</c:v>
                </c:pt>
                <c:pt idx="338">
                  <c:v>169</c:v>
                </c:pt>
                <c:pt idx="339">
                  <c:v>169.5</c:v>
                </c:pt>
                <c:pt idx="340">
                  <c:v>170</c:v>
                </c:pt>
                <c:pt idx="341">
                  <c:v>170.5</c:v>
                </c:pt>
                <c:pt idx="342">
                  <c:v>171</c:v>
                </c:pt>
                <c:pt idx="343">
                  <c:v>171.5</c:v>
                </c:pt>
                <c:pt idx="344">
                  <c:v>172</c:v>
                </c:pt>
                <c:pt idx="345">
                  <c:v>172.5</c:v>
                </c:pt>
                <c:pt idx="346">
                  <c:v>173</c:v>
                </c:pt>
                <c:pt idx="347">
                  <c:v>173.5</c:v>
                </c:pt>
                <c:pt idx="348">
                  <c:v>174</c:v>
                </c:pt>
                <c:pt idx="349">
                  <c:v>174.5</c:v>
                </c:pt>
                <c:pt idx="350">
                  <c:v>175</c:v>
                </c:pt>
                <c:pt idx="351">
                  <c:v>175.5</c:v>
                </c:pt>
                <c:pt idx="352">
                  <c:v>176</c:v>
                </c:pt>
                <c:pt idx="353">
                  <c:v>176.5</c:v>
                </c:pt>
                <c:pt idx="354">
                  <c:v>177</c:v>
                </c:pt>
                <c:pt idx="355">
                  <c:v>177.5</c:v>
                </c:pt>
                <c:pt idx="356">
                  <c:v>178</c:v>
                </c:pt>
                <c:pt idx="357">
                  <c:v>178.5</c:v>
                </c:pt>
                <c:pt idx="358">
                  <c:v>179</c:v>
                </c:pt>
                <c:pt idx="359">
                  <c:v>179.5</c:v>
                </c:pt>
                <c:pt idx="360">
                  <c:v>180</c:v>
                </c:pt>
                <c:pt idx="361">
                  <c:v>180.5</c:v>
                </c:pt>
                <c:pt idx="362">
                  <c:v>181</c:v>
                </c:pt>
                <c:pt idx="363">
                  <c:v>181.5</c:v>
                </c:pt>
                <c:pt idx="364">
                  <c:v>182</c:v>
                </c:pt>
                <c:pt idx="365">
                  <c:v>182.5</c:v>
                </c:pt>
                <c:pt idx="366">
                  <c:v>183</c:v>
                </c:pt>
                <c:pt idx="367">
                  <c:v>183.5</c:v>
                </c:pt>
                <c:pt idx="368">
                  <c:v>184</c:v>
                </c:pt>
                <c:pt idx="369">
                  <c:v>184.5</c:v>
                </c:pt>
                <c:pt idx="370">
                  <c:v>185</c:v>
                </c:pt>
                <c:pt idx="371">
                  <c:v>185.5</c:v>
                </c:pt>
                <c:pt idx="372">
                  <c:v>186</c:v>
                </c:pt>
                <c:pt idx="373">
                  <c:v>186.5</c:v>
                </c:pt>
                <c:pt idx="374">
                  <c:v>187</c:v>
                </c:pt>
                <c:pt idx="375">
                  <c:v>187.5</c:v>
                </c:pt>
                <c:pt idx="376">
                  <c:v>188</c:v>
                </c:pt>
                <c:pt idx="377">
                  <c:v>188.5</c:v>
                </c:pt>
                <c:pt idx="378">
                  <c:v>189</c:v>
                </c:pt>
                <c:pt idx="379">
                  <c:v>189.5</c:v>
                </c:pt>
                <c:pt idx="380">
                  <c:v>190</c:v>
                </c:pt>
                <c:pt idx="381">
                  <c:v>190.5</c:v>
                </c:pt>
                <c:pt idx="382">
                  <c:v>191</c:v>
                </c:pt>
                <c:pt idx="383">
                  <c:v>191.5</c:v>
                </c:pt>
                <c:pt idx="384">
                  <c:v>192</c:v>
                </c:pt>
                <c:pt idx="385">
                  <c:v>192.5</c:v>
                </c:pt>
                <c:pt idx="386">
                  <c:v>193</c:v>
                </c:pt>
                <c:pt idx="387">
                  <c:v>193.5</c:v>
                </c:pt>
                <c:pt idx="388">
                  <c:v>194</c:v>
                </c:pt>
                <c:pt idx="389">
                  <c:v>194.5</c:v>
                </c:pt>
                <c:pt idx="390">
                  <c:v>195</c:v>
                </c:pt>
                <c:pt idx="391">
                  <c:v>195.5</c:v>
                </c:pt>
                <c:pt idx="392">
                  <c:v>196</c:v>
                </c:pt>
                <c:pt idx="393">
                  <c:v>196.5</c:v>
                </c:pt>
                <c:pt idx="394">
                  <c:v>197</c:v>
                </c:pt>
                <c:pt idx="395">
                  <c:v>197.5</c:v>
                </c:pt>
                <c:pt idx="396">
                  <c:v>198</c:v>
                </c:pt>
                <c:pt idx="397">
                  <c:v>198.5</c:v>
                </c:pt>
                <c:pt idx="398">
                  <c:v>199</c:v>
                </c:pt>
                <c:pt idx="399">
                  <c:v>199.5</c:v>
                </c:pt>
                <c:pt idx="400">
                  <c:v>200</c:v>
                </c:pt>
                <c:pt idx="401">
                  <c:v>200.5</c:v>
                </c:pt>
                <c:pt idx="402">
                  <c:v>201</c:v>
                </c:pt>
                <c:pt idx="403">
                  <c:v>201.5</c:v>
                </c:pt>
                <c:pt idx="404">
                  <c:v>202</c:v>
                </c:pt>
                <c:pt idx="405">
                  <c:v>202.5</c:v>
                </c:pt>
                <c:pt idx="406">
                  <c:v>203</c:v>
                </c:pt>
                <c:pt idx="407">
                  <c:v>203.5</c:v>
                </c:pt>
                <c:pt idx="408">
                  <c:v>204</c:v>
                </c:pt>
                <c:pt idx="409">
                  <c:v>204.5</c:v>
                </c:pt>
                <c:pt idx="410">
                  <c:v>205</c:v>
                </c:pt>
                <c:pt idx="411">
                  <c:v>205.5</c:v>
                </c:pt>
                <c:pt idx="412">
                  <c:v>206</c:v>
                </c:pt>
                <c:pt idx="413">
                  <c:v>206.5</c:v>
                </c:pt>
                <c:pt idx="414">
                  <c:v>207</c:v>
                </c:pt>
                <c:pt idx="415">
                  <c:v>207.5</c:v>
                </c:pt>
                <c:pt idx="416">
                  <c:v>208</c:v>
                </c:pt>
                <c:pt idx="417">
                  <c:v>208.5</c:v>
                </c:pt>
                <c:pt idx="418">
                  <c:v>209</c:v>
                </c:pt>
                <c:pt idx="419">
                  <c:v>209.5</c:v>
                </c:pt>
                <c:pt idx="420">
                  <c:v>210</c:v>
                </c:pt>
                <c:pt idx="421">
                  <c:v>210.5</c:v>
                </c:pt>
                <c:pt idx="422">
                  <c:v>211</c:v>
                </c:pt>
                <c:pt idx="423">
                  <c:v>211.5</c:v>
                </c:pt>
                <c:pt idx="424">
                  <c:v>212</c:v>
                </c:pt>
                <c:pt idx="425">
                  <c:v>212.5</c:v>
                </c:pt>
                <c:pt idx="426">
                  <c:v>213</c:v>
                </c:pt>
                <c:pt idx="427">
                  <c:v>213.5</c:v>
                </c:pt>
                <c:pt idx="428">
                  <c:v>214</c:v>
                </c:pt>
                <c:pt idx="429">
                  <c:v>214.5</c:v>
                </c:pt>
                <c:pt idx="430">
                  <c:v>215</c:v>
                </c:pt>
                <c:pt idx="431">
                  <c:v>215.5</c:v>
                </c:pt>
                <c:pt idx="432">
                  <c:v>216</c:v>
                </c:pt>
                <c:pt idx="433">
                  <c:v>216.5</c:v>
                </c:pt>
                <c:pt idx="434">
                  <c:v>217</c:v>
                </c:pt>
                <c:pt idx="435">
                  <c:v>217.5</c:v>
                </c:pt>
                <c:pt idx="436">
                  <c:v>218</c:v>
                </c:pt>
                <c:pt idx="437">
                  <c:v>218.5</c:v>
                </c:pt>
                <c:pt idx="438">
                  <c:v>219</c:v>
                </c:pt>
                <c:pt idx="439">
                  <c:v>219.5</c:v>
                </c:pt>
                <c:pt idx="440">
                  <c:v>220</c:v>
                </c:pt>
                <c:pt idx="441">
                  <c:v>220.5</c:v>
                </c:pt>
                <c:pt idx="442">
                  <c:v>221</c:v>
                </c:pt>
                <c:pt idx="443">
                  <c:v>221.5</c:v>
                </c:pt>
                <c:pt idx="444">
                  <c:v>222</c:v>
                </c:pt>
                <c:pt idx="445">
                  <c:v>222.5</c:v>
                </c:pt>
                <c:pt idx="446">
                  <c:v>223</c:v>
                </c:pt>
                <c:pt idx="447">
                  <c:v>223.5</c:v>
                </c:pt>
                <c:pt idx="448">
                  <c:v>224</c:v>
                </c:pt>
                <c:pt idx="449">
                  <c:v>224.5</c:v>
                </c:pt>
                <c:pt idx="450">
                  <c:v>225</c:v>
                </c:pt>
                <c:pt idx="451">
                  <c:v>225.5</c:v>
                </c:pt>
                <c:pt idx="452">
                  <c:v>226</c:v>
                </c:pt>
                <c:pt idx="453">
                  <c:v>226.5</c:v>
                </c:pt>
                <c:pt idx="454">
                  <c:v>227</c:v>
                </c:pt>
                <c:pt idx="455">
                  <c:v>227.5</c:v>
                </c:pt>
                <c:pt idx="456">
                  <c:v>228</c:v>
                </c:pt>
                <c:pt idx="457">
                  <c:v>228.5</c:v>
                </c:pt>
                <c:pt idx="458">
                  <c:v>229</c:v>
                </c:pt>
                <c:pt idx="459">
                  <c:v>229.5</c:v>
                </c:pt>
                <c:pt idx="460">
                  <c:v>230</c:v>
                </c:pt>
                <c:pt idx="461">
                  <c:v>230.5</c:v>
                </c:pt>
                <c:pt idx="462">
                  <c:v>231</c:v>
                </c:pt>
                <c:pt idx="463">
                  <c:v>231.5</c:v>
                </c:pt>
                <c:pt idx="464">
                  <c:v>232</c:v>
                </c:pt>
                <c:pt idx="465">
                  <c:v>232.5</c:v>
                </c:pt>
                <c:pt idx="466">
                  <c:v>233</c:v>
                </c:pt>
                <c:pt idx="467">
                  <c:v>233.5</c:v>
                </c:pt>
                <c:pt idx="468">
                  <c:v>234</c:v>
                </c:pt>
                <c:pt idx="469">
                  <c:v>234.5</c:v>
                </c:pt>
                <c:pt idx="470">
                  <c:v>235</c:v>
                </c:pt>
                <c:pt idx="471">
                  <c:v>235.5</c:v>
                </c:pt>
                <c:pt idx="472">
                  <c:v>236</c:v>
                </c:pt>
                <c:pt idx="473">
                  <c:v>236.5</c:v>
                </c:pt>
                <c:pt idx="474">
                  <c:v>237</c:v>
                </c:pt>
                <c:pt idx="475">
                  <c:v>237.5</c:v>
                </c:pt>
                <c:pt idx="476">
                  <c:v>238</c:v>
                </c:pt>
                <c:pt idx="477">
                  <c:v>238.5</c:v>
                </c:pt>
                <c:pt idx="478">
                  <c:v>239</c:v>
                </c:pt>
                <c:pt idx="479">
                  <c:v>239.5</c:v>
                </c:pt>
                <c:pt idx="480">
                  <c:v>240</c:v>
                </c:pt>
                <c:pt idx="481">
                  <c:v>240.5</c:v>
                </c:pt>
                <c:pt idx="482">
                  <c:v>241</c:v>
                </c:pt>
                <c:pt idx="483">
                  <c:v>241.5</c:v>
                </c:pt>
                <c:pt idx="484">
                  <c:v>242</c:v>
                </c:pt>
                <c:pt idx="485">
                  <c:v>242.5</c:v>
                </c:pt>
                <c:pt idx="486">
                  <c:v>243</c:v>
                </c:pt>
                <c:pt idx="487">
                  <c:v>243.5</c:v>
                </c:pt>
                <c:pt idx="488">
                  <c:v>244</c:v>
                </c:pt>
                <c:pt idx="489">
                  <c:v>244.5</c:v>
                </c:pt>
                <c:pt idx="490">
                  <c:v>245</c:v>
                </c:pt>
                <c:pt idx="491">
                  <c:v>245.5</c:v>
                </c:pt>
                <c:pt idx="492">
                  <c:v>246</c:v>
                </c:pt>
                <c:pt idx="493">
                  <c:v>246.5</c:v>
                </c:pt>
                <c:pt idx="494">
                  <c:v>247</c:v>
                </c:pt>
                <c:pt idx="495">
                  <c:v>247.5</c:v>
                </c:pt>
                <c:pt idx="496">
                  <c:v>248</c:v>
                </c:pt>
                <c:pt idx="497">
                  <c:v>248.5</c:v>
                </c:pt>
                <c:pt idx="498">
                  <c:v>249</c:v>
                </c:pt>
                <c:pt idx="499">
                  <c:v>249.5</c:v>
                </c:pt>
                <c:pt idx="500">
                  <c:v>250</c:v>
                </c:pt>
                <c:pt idx="501">
                  <c:v>250.5</c:v>
                </c:pt>
                <c:pt idx="502">
                  <c:v>251</c:v>
                </c:pt>
                <c:pt idx="503">
                  <c:v>251.5</c:v>
                </c:pt>
                <c:pt idx="504">
                  <c:v>252</c:v>
                </c:pt>
                <c:pt idx="505">
                  <c:v>252.5</c:v>
                </c:pt>
                <c:pt idx="506">
                  <c:v>253</c:v>
                </c:pt>
                <c:pt idx="507">
                  <c:v>253.5</c:v>
                </c:pt>
                <c:pt idx="508">
                  <c:v>254</c:v>
                </c:pt>
                <c:pt idx="509">
                  <c:v>254.5</c:v>
                </c:pt>
                <c:pt idx="510">
                  <c:v>255</c:v>
                </c:pt>
                <c:pt idx="511">
                  <c:v>255.5</c:v>
                </c:pt>
                <c:pt idx="512">
                  <c:v>256</c:v>
                </c:pt>
                <c:pt idx="513">
                  <c:v>256.5</c:v>
                </c:pt>
                <c:pt idx="514">
                  <c:v>257</c:v>
                </c:pt>
                <c:pt idx="515">
                  <c:v>257.5</c:v>
                </c:pt>
                <c:pt idx="516">
                  <c:v>258</c:v>
                </c:pt>
                <c:pt idx="517">
                  <c:v>258.5</c:v>
                </c:pt>
                <c:pt idx="518">
                  <c:v>259</c:v>
                </c:pt>
                <c:pt idx="519">
                  <c:v>259.5</c:v>
                </c:pt>
                <c:pt idx="520">
                  <c:v>260</c:v>
                </c:pt>
                <c:pt idx="521">
                  <c:v>260.5</c:v>
                </c:pt>
                <c:pt idx="522">
                  <c:v>261</c:v>
                </c:pt>
                <c:pt idx="523">
                  <c:v>261.5</c:v>
                </c:pt>
                <c:pt idx="524">
                  <c:v>262</c:v>
                </c:pt>
                <c:pt idx="525">
                  <c:v>262.5</c:v>
                </c:pt>
                <c:pt idx="526">
                  <c:v>263</c:v>
                </c:pt>
                <c:pt idx="527">
                  <c:v>263.5</c:v>
                </c:pt>
                <c:pt idx="528">
                  <c:v>264</c:v>
                </c:pt>
                <c:pt idx="529">
                  <c:v>264.5</c:v>
                </c:pt>
                <c:pt idx="530">
                  <c:v>265</c:v>
                </c:pt>
                <c:pt idx="531">
                  <c:v>265.5</c:v>
                </c:pt>
                <c:pt idx="532">
                  <c:v>266</c:v>
                </c:pt>
                <c:pt idx="533">
                  <c:v>266.5</c:v>
                </c:pt>
                <c:pt idx="534">
                  <c:v>267</c:v>
                </c:pt>
                <c:pt idx="535">
                  <c:v>267.5</c:v>
                </c:pt>
                <c:pt idx="536">
                  <c:v>268</c:v>
                </c:pt>
                <c:pt idx="537">
                  <c:v>268.5</c:v>
                </c:pt>
                <c:pt idx="538">
                  <c:v>269</c:v>
                </c:pt>
                <c:pt idx="539">
                  <c:v>269.5</c:v>
                </c:pt>
                <c:pt idx="540">
                  <c:v>270</c:v>
                </c:pt>
                <c:pt idx="541">
                  <c:v>270.5</c:v>
                </c:pt>
                <c:pt idx="542">
                  <c:v>271</c:v>
                </c:pt>
                <c:pt idx="543">
                  <c:v>271.5</c:v>
                </c:pt>
                <c:pt idx="544">
                  <c:v>272</c:v>
                </c:pt>
                <c:pt idx="545">
                  <c:v>272.5</c:v>
                </c:pt>
                <c:pt idx="546">
                  <c:v>273</c:v>
                </c:pt>
                <c:pt idx="547">
                  <c:v>273.5</c:v>
                </c:pt>
                <c:pt idx="548">
                  <c:v>274</c:v>
                </c:pt>
                <c:pt idx="549">
                  <c:v>274.5</c:v>
                </c:pt>
                <c:pt idx="550">
                  <c:v>275</c:v>
                </c:pt>
                <c:pt idx="551">
                  <c:v>275.5</c:v>
                </c:pt>
                <c:pt idx="552">
                  <c:v>276</c:v>
                </c:pt>
                <c:pt idx="553">
                  <c:v>276.5</c:v>
                </c:pt>
                <c:pt idx="554">
                  <c:v>277</c:v>
                </c:pt>
                <c:pt idx="555">
                  <c:v>277.5</c:v>
                </c:pt>
                <c:pt idx="556">
                  <c:v>278</c:v>
                </c:pt>
                <c:pt idx="557">
                  <c:v>278.5</c:v>
                </c:pt>
                <c:pt idx="558">
                  <c:v>279</c:v>
                </c:pt>
                <c:pt idx="559">
                  <c:v>279.5</c:v>
                </c:pt>
                <c:pt idx="560">
                  <c:v>280</c:v>
                </c:pt>
                <c:pt idx="561">
                  <c:v>280.5</c:v>
                </c:pt>
                <c:pt idx="562">
                  <c:v>281</c:v>
                </c:pt>
                <c:pt idx="563">
                  <c:v>281.5</c:v>
                </c:pt>
                <c:pt idx="564">
                  <c:v>282</c:v>
                </c:pt>
                <c:pt idx="565">
                  <c:v>282.5</c:v>
                </c:pt>
                <c:pt idx="566">
                  <c:v>283</c:v>
                </c:pt>
                <c:pt idx="567">
                  <c:v>283.5</c:v>
                </c:pt>
                <c:pt idx="568">
                  <c:v>284</c:v>
                </c:pt>
                <c:pt idx="569">
                  <c:v>284.5</c:v>
                </c:pt>
                <c:pt idx="570">
                  <c:v>285</c:v>
                </c:pt>
                <c:pt idx="571">
                  <c:v>285.5</c:v>
                </c:pt>
                <c:pt idx="572">
                  <c:v>286</c:v>
                </c:pt>
                <c:pt idx="573">
                  <c:v>286.5</c:v>
                </c:pt>
                <c:pt idx="574">
                  <c:v>287</c:v>
                </c:pt>
                <c:pt idx="575">
                  <c:v>287.5</c:v>
                </c:pt>
                <c:pt idx="576">
                  <c:v>288</c:v>
                </c:pt>
                <c:pt idx="577">
                  <c:v>288.5</c:v>
                </c:pt>
                <c:pt idx="578">
                  <c:v>289</c:v>
                </c:pt>
                <c:pt idx="579">
                  <c:v>289.5</c:v>
                </c:pt>
                <c:pt idx="580">
                  <c:v>290</c:v>
                </c:pt>
                <c:pt idx="581">
                  <c:v>290.5</c:v>
                </c:pt>
                <c:pt idx="582">
                  <c:v>291</c:v>
                </c:pt>
                <c:pt idx="583">
                  <c:v>291.5</c:v>
                </c:pt>
                <c:pt idx="584">
                  <c:v>292</c:v>
                </c:pt>
                <c:pt idx="585">
                  <c:v>292.5</c:v>
                </c:pt>
                <c:pt idx="586">
                  <c:v>293</c:v>
                </c:pt>
                <c:pt idx="587">
                  <c:v>293.5</c:v>
                </c:pt>
                <c:pt idx="588">
                  <c:v>294</c:v>
                </c:pt>
                <c:pt idx="589">
                  <c:v>294.5</c:v>
                </c:pt>
                <c:pt idx="590">
                  <c:v>295</c:v>
                </c:pt>
                <c:pt idx="591">
                  <c:v>295.5</c:v>
                </c:pt>
                <c:pt idx="592">
                  <c:v>296</c:v>
                </c:pt>
                <c:pt idx="593">
                  <c:v>296.5</c:v>
                </c:pt>
                <c:pt idx="594">
                  <c:v>297</c:v>
                </c:pt>
                <c:pt idx="595">
                  <c:v>297.5</c:v>
                </c:pt>
                <c:pt idx="596">
                  <c:v>298</c:v>
                </c:pt>
                <c:pt idx="597">
                  <c:v>298.5</c:v>
                </c:pt>
                <c:pt idx="598">
                  <c:v>299</c:v>
                </c:pt>
                <c:pt idx="599">
                  <c:v>299.5</c:v>
                </c:pt>
                <c:pt idx="600">
                  <c:v>300</c:v>
                </c:pt>
                <c:pt idx="601">
                  <c:v>300.5</c:v>
                </c:pt>
                <c:pt idx="602">
                  <c:v>301</c:v>
                </c:pt>
                <c:pt idx="603">
                  <c:v>301.5</c:v>
                </c:pt>
                <c:pt idx="604">
                  <c:v>302</c:v>
                </c:pt>
                <c:pt idx="605">
                  <c:v>302.5</c:v>
                </c:pt>
                <c:pt idx="606">
                  <c:v>303</c:v>
                </c:pt>
                <c:pt idx="607">
                  <c:v>303.5</c:v>
                </c:pt>
                <c:pt idx="608">
                  <c:v>304</c:v>
                </c:pt>
                <c:pt idx="609">
                  <c:v>304.5</c:v>
                </c:pt>
                <c:pt idx="610">
                  <c:v>305</c:v>
                </c:pt>
                <c:pt idx="611">
                  <c:v>305.5</c:v>
                </c:pt>
                <c:pt idx="612">
                  <c:v>306</c:v>
                </c:pt>
                <c:pt idx="613">
                  <c:v>306.5</c:v>
                </c:pt>
                <c:pt idx="614">
                  <c:v>307</c:v>
                </c:pt>
                <c:pt idx="615">
                  <c:v>307.5</c:v>
                </c:pt>
                <c:pt idx="616">
                  <c:v>308</c:v>
                </c:pt>
                <c:pt idx="617">
                  <c:v>308.5</c:v>
                </c:pt>
                <c:pt idx="618">
                  <c:v>309</c:v>
                </c:pt>
                <c:pt idx="619">
                  <c:v>309.5</c:v>
                </c:pt>
                <c:pt idx="620">
                  <c:v>310</c:v>
                </c:pt>
                <c:pt idx="621">
                  <c:v>310.5</c:v>
                </c:pt>
                <c:pt idx="622">
                  <c:v>311</c:v>
                </c:pt>
                <c:pt idx="623">
                  <c:v>311.5</c:v>
                </c:pt>
                <c:pt idx="624">
                  <c:v>312</c:v>
                </c:pt>
                <c:pt idx="625">
                  <c:v>312.5</c:v>
                </c:pt>
                <c:pt idx="626">
                  <c:v>313</c:v>
                </c:pt>
                <c:pt idx="627">
                  <c:v>313.5</c:v>
                </c:pt>
                <c:pt idx="628">
                  <c:v>314</c:v>
                </c:pt>
                <c:pt idx="629">
                  <c:v>314.5</c:v>
                </c:pt>
                <c:pt idx="630">
                  <c:v>315</c:v>
                </c:pt>
                <c:pt idx="631">
                  <c:v>315.5</c:v>
                </c:pt>
                <c:pt idx="632">
                  <c:v>316</c:v>
                </c:pt>
                <c:pt idx="633">
                  <c:v>316.5</c:v>
                </c:pt>
                <c:pt idx="634">
                  <c:v>317</c:v>
                </c:pt>
                <c:pt idx="635">
                  <c:v>317.5</c:v>
                </c:pt>
                <c:pt idx="636">
                  <c:v>318</c:v>
                </c:pt>
                <c:pt idx="637">
                  <c:v>318.5</c:v>
                </c:pt>
                <c:pt idx="638">
                  <c:v>319</c:v>
                </c:pt>
                <c:pt idx="639">
                  <c:v>319.5</c:v>
                </c:pt>
                <c:pt idx="640">
                  <c:v>320</c:v>
                </c:pt>
                <c:pt idx="641">
                  <c:v>320.5</c:v>
                </c:pt>
                <c:pt idx="642">
                  <c:v>321</c:v>
                </c:pt>
                <c:pt idx="643">
                  <c:v>321.5</c:v>
                </c:pt>
                <c:pt idx="644">
                  <c:v>322</c:v>
                </c:pt>
                <c:pt idx="645">
                  <c:v>322.5</c:v>
                </c:pt>
                <c:pt idx="646">
                  <c:v>323</c:v>
                </c:pt>
                <c:pt idx="647">
                  <c:v>323.5</c:v>
                </c:pt>
                <c:pt idx="648">
                  <c:v>324</c:v>
                </c:pt>
                <c:pt idx="649">
                  <c:v>324.5</c:v>
                </c:pt>
                <c:pt idx="650">
                  <c:v>325</c:v>
                </c:pt>
                <c:pt idx="651">
                  <c:v>325.5</c:v>
                </c:pt>
                <c:pt idx="652">
                  <c:v>326</c:v>
                </c:pt>
                <c:pt idx="653">
                  <c:v>326.5</c:v>
                </c:pt>
                <c:pt idx="654">
                  <c:v>327</c:v>
                </c:pt>
                <c:pt idx="655">
                  <c:v>327.5</c:v>
                </c:pt>
                <c:pt idx="656">
                  <c:v>328</c:v>
                </c:pt>
                <c:pt idx="657">
                  <c:v>328.5</c:v>
                </c:pt>
                <c:pt idx="658">
                  <c:v>329</c:v>
                </c:pt>
                <c:pt idx="659">
                  <c:v>329.5</c:v>
                </c:pt>
                <c:pt idx="660">
                  <c:v>330</c:v>
                </c:pt>
                <c:pt idx="661">
                  <c:v>330.5</c:v>
                </c:pt>
                <c:pt idx="662">
                  <c:v>331</c:v>
                </c:pt>
                <c:pt idx="663">
                  <c:v>331.5</c:v>
                </c:pt>
                <c:pt idx="664">
                  <c:v>332</c:v>
                </c:pt>
                <c:pt idx="665">
                  <c:v>332.5</c:v>
                </c:pt>
                <c:pt idx="666">
                  <c:v>333</c:v>
                </c:pt>
                <c:pt idx="667">
                  <c:v>333.5</c:v>
                </c:pt>
                <c:pt idx="668">
                  <c:v>334</c:v>
                </c:pt>
                <c:pt idx="669">
                  <c:v>334.5</c:v>
                </c:pt>
                <c:pt idx="670">
                  <c:v>335</c:v>
                </c:pt>
                <c:pt idx="671">
                  <c:v>335.5</c:v>
                </c:pt>
                <c:pt idx="672">
                  <c:v>336</c:v>
                </c:pt>
                <c:pt idx="673">
                  <c:v>336.5</c:v>
                </c:pt>
                <c:pt idx="674">
                  <c:v>337</c:v>
                </c:pt>
                <c:pt idx="675">
                  <c:v>337.5</c:v>
                </c:pt>
                <c:pt idx="676">
                  <c:v>338</c:v>
                </c:pt>
                <c:pt idx="677">
                  <c:v>338.5</c:v>
                </c:pt>
                <c:pt idx="678">
                  <c:v>339</c:v>
                </c:pt>
                <c:pt idx="679">
                  <c:v>339.5</c:v>
                </c:pt>
                <c:pt idx="680">
                  <c:v>340</c:v>
                </c:pt>
                <c:pt idx="681">
                  <c:v>340.5</c:v>
                </c:pt>
                <c:pt idx="682">
                  <c:v>341</c:v>
                </c:pt>
                <c:pt idx="683">
                  <c:v>341.5</c:v>
                </c:pt>
                <c:pt idx="684">
                  <c:v>342</c:v>
                </c:pt>
                <c:pt idx="685">
                  <c:v>342.5</c:v>
                </c:pt>
                <c:pt idx="686">
                  <c:v>343</c:v>
                </c:pt>
                <c:pt idx="687">
                  <c:v>343.5</c:v>
                </c:pt>
                <c:pt idx="688">
                  <c:v>344</c:v>
                </c:pt>
                <c:pt idx="689">
                  <c:v>344.5</c:v>
                </c:pt>
                <c:pt idx="690">
                  <c:v>345</c:v>
                </c:pt>
                <c:pt idx="691">
                  <c:v>345.5</c:v>
                </c:pt>
                <c:pt idx="692">
                  <c:v>346</c:v>
                </c:pt>
                <c:pt idx="693">
                  <c:v>346.5</c:v>
                </c:pt>
                <c:pt idx="694">
                  <c:v>347</c:v>
                </c:pt>
                <c:pt idx="695">
                  <c:v>347.5</c:v>
                </c:pt>
                <c:pt idx="696">
                  <c:v>348</c:v>
                </c:pt>
                <c:pt idx="697">
                  <c:v>348.5</c:v>
                </c:pt>
                <c:pt idx="698">
                  <c:v>349</c:v>
                </c:pt>
                <c:pt idx="699">
                  <c:v>349.5</c:v>
                </c:pt>
                <c:pt idx="700">
                  <c:v>350</c:v>
                </c:pt>
                <c:pt idx="701">
                  <c:v>350.5</c:v>
                </c:pt>
                <c:pt idx="702">
                  <c:v>351</c:v>
                </c:pt>
                <c:pt idx="703">
                  <c:v>351.5</c:v>
                </c:pt>
                <c:pt idx="704">
                  <c:v>352</c:v>
                </c:pt>
                <c:pt idx="705">
                  <c:v>352.5</c:v>
                </c:pt>
                <c:pt idx="706">
                  <c:v>353</c:v>
                </c:pt>
                <c:pt idx="707">
                  <c:v>353.5</c:v>
                </c:pt>
                <c:pt idx="708">
                  <c:v>354</c:v>
                </c:pt>
                <c:pt idx="709">
                  <c:v>354.5</c:v>
                </c:pt>
                <c:pt idx="710">
                  <c:v>355</c:v>
                </c:pt>
                <c:pt idx="711">
                  <c:v>355.5</c:v>
                </c:pt>
                <c:pt idx="712">
                  <c:v>356</c:v>
                </c:pt>
                <c:pt idx="713">
                  <c:v>356.5</c:v>
                </c:pt>
                <c:pt idx="714">
                  <c:v>357</c:v>
                </c:pt>
                <c:pt idx="715">
                  <c:v>357.5</c:v>
                </c:pt>
                <c:pt idx="716">
                  <c:v>358</c:v>
                </c:pt>
                <c:pt idx="717">
                  <c:v>358.5</c:v>
                </c:pt>
                <c:pt idx="718">
                  <c:v>359</c:v>
                </c:pt>
                <c:pt idx="719">
                  <c:v>359.5</c:v>
                </c:pt>
                <c:pt idx="720">
                  <c:v>360</c:v>
                </c:pt>
                <c:pt idx="721">
                  <c:v>360.5</c:v>
                </c:pt>
                <c:pt idx="722">
                  <c:v>361</c:v>
                </c:pt>
                <c:pt idx="723">
                  <c:v>361.5</c:v>
                </c:pt>
                <c:pt idx="724">
                  <c:v>362</c:v>
                </c:pt>
                <c:pt idx="725">
                  <c:v>362.5</c:v>
                </c:pt>
                <c:pt idx="726">
                  <c:v>363</c:v>
                </c:pt>
                <c:pt idx="727">
                  <c:v>363.5</c:v>
                </c:pt>
                <c:pt idx="728">
                  <c:v>364</c:v>
                </c:pt>
                <c:pt idx="729">
                  <c:v>364.5</c:v>
                </c:pt>
                <c:pt idx="730">
                  <c:v>365</c:v>
                </c:pt>
                <c:pt idx="731">
                  <c:v>365.5</c:v>
                </c:pt>
                <c:pt idx="732">
                  <c:v>366</c:v>
                </c:pt>
                <c:pt idx="733">
                  <c:v>366.5</c:v>
                </c:pt>
                <c:pt idx="734">
                  <c:v>367</c:v>
                </c:pt>
                <c:pt idx="735">
                  <c:v>367.5</c:v>
                </c:pt>
                <c:pt idx="736">
                  <c:v>368</c:v>
                </c:pt>
                <c:pt idx="737">
                  <c:v>368.5</c:v>
                </c:pt>
                <c:pt idx="738">
                  <c:v>369</c:v>
                </c:pt>
                <c:pt idx="739">
                  <c:v>369.5</c:v>
                </c:pt>
                <c:pt idx="740">
                  <c:v>370</c:v>
                </c:pt>
                <c:pt idx="741">
                  <c:v>370.5</c:v>
                </c:pt>
                <c:pt idx="742">
                  <c:v>371</c:v>
                </c:pt>
                <c:pt idx="743">
                  <c:v>371.5</c:v>
                </c:pt>
                <c:pt idx="744">
                  <c:v>372</c:v>
                </c:pt>
                <c:pt idx="745">
                  <c:v>372.5</c:v>
                </c:pt>
                <c:pt idx="746">
                  <c:v>373</c:v>
                </c:pt>
                <c:pt idx="747">
                  <c:v>373.5</c:v>
                </c:pt>
                <c:pt idx="748">
                  <c:v>374</c:v>
                </c:pt>
                <c:pt idx="749">
                  <c:v>374.5</c:v>
                </c:pt>
                <c:pt idx="750">
                  <c:v>375</c:v>
                </c:pt>
                <c:pt idx="751">
                  <c:v>375.5</c:v>
                </c:pt>
                <c:pt idx="752">
                  <c:v>376</c:v>
                </c:pt>
                <c:pt idx="753">
                  <c:v>376.5</c:v>
                </c:pt>
                <c:pt idx="754">
                  <c:v>377</c:v>
                </c:pt>
                <c:pt idx="755">
                  <c:v>377.5</c:v>
                </c:pt>
                <c:pt idx="756">
                  <c:v>378</c:v>
                </c:pt>
                <c:pt idx="757">
                  <c:v>378.5</c:v>
                </c:pt>
                <c:pt idx="758">
                  <c:v>379</c:v>
                </c:pt>
                <c:pt idx="759">
                  <c:v>379.5</c:v>
                </c:pt>
                <c:pt idx="760">
                  <c:v>380</c:v>
                </c:pt>
                <c:pt idx="761">
                  <c:v>380.5</c:v>
                </c:pt>
                <c:pt idx="762">
                  <c:v>381</c:v>
                </c:pt>
                <c:pt idx="763">
                  <c:v>381.5</c:v>
                </c:pt>
                <c:pt idx="764">
                  <c:v>382</c:v>
                </c:pt>
                <c:pt idx="765">
                  <c:v>382.5</c:v>
                </c:pt>
                <c:pt idx="766">
                  <c:v>383</c:v>
                </c:pt>
                <c:pt idx="767">
                  <c:v>383.5</c:v>
                </c:pt>
                <c:pt idx="768">
                  <c:v>384</c:v>
                </c:pt>
                <c:pt idx="769">
                  <c:v>384.5</c:v>
                </c:pt>
                <c:pt idx="770">
                  <c:v>385</c:v>
                </c:pt>
                <c:pt idx="771">
                  <c:v>385.5</c:v>
                </c:pt>
                <c:pt idx="772">
                  <c:v>386</c:v>
                </c:pt>
                <c:pt idx="773">
                  <c:v>386.5</c:v>
                </c:pt>
                <c:pt idx="774">
                  <c:v>387</c:v>
                </c:pt>
                <c:pt idx="775">
                  <c:v>387.5</c:v>
                </c:pt>
                <c:pt idx="776">
                  <c:v>388</c:v>
                </c:pt>
                <c:pt idx="777">
                  <c:v>388.5</c:v>
                </c:pt>
                <c:pt idx="778">
                  <c:v>389</c:v>
                </c:pt>
                <c:pt idx="779">
                  <c:v>389.5</c:v>
                </c:pt>
                <c:pt idx="780">
                  <c:v>390</c:v>
                </c:pt>
                <c:pt idx="781">
                  <c:v>390.5</c:v>
                </c:pt>
                <c:pt idx="782">
                  <c:v>391</c:v>
                </c:pt>
                <c:pt idx="783">
                  <c:v>391.5</c:v>
                </c:pt>
                <c:pt idx="784">
                  <c:v>392</c:v>
                </c:pt>
                <c:pt idx="785">
                  <c:v>392.5</c:v>
                </c:pt>
                <c:pt idx="786">
                  <c:v>393</c:v>
                </c:pt>
                <c:pt idx="787">
                  <c:v>393.5</c:v>
                </c:pt>
                <c:pt idx="788">
                  <c:v>394</c:v>
                </c:pt>
                <c:pt idx="789">
                  <c:v>394.5</c:v>
                </c:pt>
                <c:pt idx="790">
                  <c:v>395</c:v>
                </c:pt>
                <c:pt idx="791">
                  <c:v>395.5</c:v>
                </c:pt>
                <c:pt idx="792">
                  <c:v>396</c:v>
                </c:pt>
                <c:pt idx="793">
                  <c:v>396.5</c:v>
                </c:pt>
                <c:pt idx="794">
                  <c:v>397</c:v>
                </c:pt>
                <c:pt idx="795">
                  <c:v>397.5</c:v>
                </c:pt>
                <c:pt idx="796">
                  <c:v>398</c:v>
                </c:pt>
                <c:pt idx="797">
                  <c:v>398.5</c:v>
                </c:pt>
                <c:pt idx="798">
                  <c:v>399</c:v>
                </c:pt>
                <c:pt idx="799">
                  <c:v>399.5</c:v>
                </c:pt>
                <c:pt idx="800">
                  <c:v>400</c:v>
                </c:pt>
                <c:pt idx="801">
                  <c:v>400.5</c:v>
                </c:pt>
                <c:pt idx="802">
                  <c:v>401</c:v>
                </c:pt>
                <c:pt idx="803">
                  <c:v>401.5</c:v>
                </c:pt>
                <c:pt idx="804">
                  <c:v>402</c:v>
                </c:pt>
                <c:pt idx="805">
                  <c:v>402.5</c:v>
                </c:pt>
                <c:pt idx="806">
                  <c:v>403</c:v>
                </c:pt>
                <c:pt idx="807">
                  <c:v>403.5</c:v>
                </c:pt>
                <c:pt idx="808">
                  <c:v>404</c:v>
                </c:pt>
                <c:pt idx="809">
                  <c:v>404.5</c:v>
                </c:pt>
                <c:pt idx="810">
                  <c:v>405</c:v>
                </c:pt>
                <c:pt idx="811">
                  <c:v>405.5</c:v>
                </c:pt>
                <c:pt idx="812">
                  <c:v>406</c:v>
                </c:pt>
                <c:pt idx="813">
                  <c:v>406.5</c:v>
                </c:pt>
                <c:pt idx="814">
                  <c:v>407</c:v>
                </c:pt>
                <c:pt idx="815">
                  <c:v>407.5</c:v>
                </c:pt>
                <c:pt idx="816">
                  <c:v>408</c:v>
                </c:pt>
                <c:pt idx="817">
                  <c:v>408.5</c:v>
                </c:pt>
                <c:pt idx="818">
                  <c:v>409</c:v>
                </c:pt>
                <c:pt idx="819">
                  <c:v>409.5</c:v>
                </c:pt>
                <c:pt idx="820">
                  <c:v>410</c:v>
                </c:pt>
                <c:pt idx="821">
                  <c:v>410.5</c:v>
                </c:pt>
                <c:pt idx="822">
                  <c:v>411</c:v>
                </c:pt>
                <c:pt idx="823">
                  <c:v>411.5</c:v>
                </c:pt>
                <c:pt idx="824">
                  <c:v>412</c:v>
                </c:pt>
                <c:pt idx="825">
                  <c:v>412.5</c:v>
                </c:pt>
                <c:pt idx="826">
                  <c:v>413</c:v>
                </c:pt>
                <c:pt idx="827">
                  <c:v>413.5</c:v>
                </c:pt>
                <c:pt idx="828">
                  <c:v>414</c:v>
                </c:pt>
                <c:pt idx="829">
                  <c:v>414.5</c:v>
                </c:pt>
                <c:pt idx="830">
                  <c:v>415</c:v>
                </c:pt>
                <c:pt idx="831">
                  <c:v>415.5</c:v>
                </c:pt>
                <c:pt idx="832">
                  <c:v>416</c:v>
                </c:pt>
                <c:pt idx="833">
                  <c:v>416.5</c:v>
                </c:pt>
                <c:pt idx="834">
                  <c:v>417</c:v>
                </c:pt>
                <c:pt idx="835">
                  <c:v>417.5</c:v>
                </c:pt>
                <c:pt idx="836">
                  <c:v>418</c:v>
                </c:pt>
                <c:pt idx="837">
                  <c:v>418.5</c:v>
                </c:pt>
                <c:pt idx="838">
                  <c:v>419</c:v>
                </c:pt>
                <c:pt idx="839">
                  <c:v>419.5</c:v>
                </c:pt>
                <c:pt idx="840">
                  <c:v>420</c:v>
                </c:pt>
                <c:pt idx="841">
                  <c:v>420.5</c:v>
                </c:pt>
                <c:pt idx="842">
                  <c:v>421</c:v>
                </c:pt>
                <c:pt idx="843">
                  <c:v>421.5</c:v>
                </c:pt>
                <c:pt idx="844">
                  <c:v>422</c:v>
                </c:pt>
                <c:pt idx="845">
                  <c:v>422.5</c:v>
                </c:pt>
                <c:pt idx="846">
                  <c:v>423</c:v>
                </c:pt>
                <c:pt idx="847">
                  <c:v>423.5</c:v>
                </c:pt>
                <c:pt idx="848">
                  <c:v>424</c:v>
                </c:pt>
                <c:pt idx="849">
                  <c:v>424.5</c:v>
                </c:pt>
                <c:pt idx="850">
                  <c:v>425</c:v>
                </c:pt>
                <c:pt idx="851">
                  <c:v>425.5</c:v>
                </c:pt>
                <c:pt idx="852">
                  <c:v>426</c:v>
                </c:pt>
                <c:pt idx="853">
                  <c:v>426.5</c:v>
                </c:pt>
                <c:pt idx="854">
                  <c:v>427</c:v>
                </c:pt>
                <c:pt idx="855">
                  <c:v>427.5</c:v>
                </c:pt>
                <c:pt idx="856">
                  <c:v>428</c:v>
                </c:pt>
                <c:pt idx="857">
                  <c:v>428.5</c:v>
                </c:pt>
                <c:pt idx="858">
                  <c:v>429</c:v>
                </c:pt>
                <c:pt idx="859">
                  <c:v>429.5</c:v>
                </c:pt>
                <c:pt idx="860">
                  <c:v>430</c:v>
                </c:pt>
                <c:pt idx="861">
                  <c:v>430.5</c:v>
                </c:pt>
                <c:pt idx="862">
                  <c:v>431</c:v>
                </c:pt>
                <c:pt idx="863">
                  <c:v>431.5</c:v>
                </c:pt>
                <c:pt idx="864">
                  <c:v>432</c:v>
                </c:pt>
                <c:pt idx="865">
                  <c:v>432.5</c:v>
                </c:pt>
                <c:pt idx="866">
                  <c:v>433</c:v>
                </c:pt>
                <c:pt idx="867">
                  <c:v>433.5</c:v>
                </c:pt>
                <c:pt idx="868">
                  <c:v>434</c:v>
                </c:pt>
                <c:pt idx="869">
                  <c:v>434.5</c:v>
                </c:pt>
                <c:pt idx="870">
                  <c:v>435</c:v>
                </c:pt>
                <c:pt idx="871">
                  <c:v>435.5</c:v>
                </c:pt>
                <c:pt idx="872">
                  <c:v>436</c:v>
                </c:pt>
                <c:pt idx="873">
                  <c:v>436.5</c:v>
                </c:pt>
                <c:pt idx="874">
                  <c:v>437</c:v>
                </c:pt>
                <c:pt idx="875">
                  <c:v>437.5</c:v>
                </c:pt>
                <c:pt idx="876">
                  <c:v>438</c:v>
                </c:pt>
                <c:pt idx="877">
                  <c:v>438.5</c:v>
                </c:pt>
                <c:pt idx="878">
                  <c:v>439</c:v>
                </c:pt>
                <c:pt idx="879">
                  <c:v>439.5</c:v>
                </c:pt>
                <c:pt idx="880">
                  <c:v>440</c:v>
                </c:pt>
                <c:pt idx="881">
                  <c:v>440.5</c:v>
                </c:pt>
                <c:pt idx="882">
                  <c:v>441</c:v>
                </c:pt>
                <c:pt idx="883">
                  <c:v>441.5</c:v>
                </c:pt>
                <c:pt idx="884">
                  <c:v>442</c:v>
                </c:pt>
                <c:pt idx="885">
                  <c:v>442.5</c:v>
                </c:pt>
                <c:pt idx="886">
                  <c:v>443</c:v>
                </c:pt>
                <c:pt idx="887">
                  <c:v>443.5</c:v>
                </c:pt>
                <c:pt idx="888">
                  <c:v>444</c:v>
                </c:pt>
                <c:pt idx="889">
                  <c:v>444.5</c:v>
                </c:pt>
                <c:pt idx="890">
                  <c:v>445</c:v>
                </c:pt>
                <c:pt idx="891">
                  <c:v>445.5</c:v>
                </c:pt>
                <c:pt idx="892">
                  <c:v>446</c:v>
                </c:pt>
                <c:pt idx="893">
                  <c:v>446.5</c:v>
                </c:pt>
                <c:pt idx="894">
                  <c:v>447</c:v>
                </c:pt>
                <c:pt idx="895">
                  <c:v>447.5</c:v>
                </c:pt>
                <c:pt idx="896">
                  <c:v>448</c:v>
                </c:pt>
                <c:pt idx="897">
                  <c:v>448.5</c:v>
                </c:pt>
                <c:pt idx="898">
                  <c:v>449</c:v>
                </c:pt>
                <c:pt idx="899">
                  <c:v>449.5</c:v>
                </c:pt>
                <c:pt idx="900">
                  <c:v>450</c:v>
                </c:pt>
                <c:pt idx="901">
                  <c:v>450.5</c:v>
                </c:pt>
                <c:pt idx="902">
                  <c:v>451</c:v>
                </c:pt>
                <c:pt idx="903">
                  <c:v>451.5</c:v>
                </c:pt>
                <c:pt idx="904">
                  <c:v>452</c:v>
                </c:pt>
                <c:pt idx="905">
                  <c:v>452.5</c:v>
                </c:pt>
                <c:pt idx="906">
                  <c:v>453</c:v>
                </c:pt>
                <c:pt idx="907">
                  <c:v>453.5</c:v>
                </c:pt>
                <c:pt idx="908">
                  <c:v>454</c:v>
                </c:pt>
                <c:pt idx="909">
                  <c:v>454.5</c:v>
                </c:pt>
                <c:pt idx="910">
                  <c:v>455</c:v>
                </c:pt>
                <c:pt idx="911">
                  <c:v>455.5</c:v>
                </c:pt>
                <c:pt idx="912">
                  <c:v>456</c:v>
                </c:pt>
                <c:pt idx="913">
                  <c:v>456.5</c:v>
                </c:pt>
                <c:pt idx="914">
                  <c:v>457</c:v>
                </c:pt>
                <c:pt idx="915">
                  <c:v>457.5</c:v>
                </c:pt>
                <c:pt idx="916">
                  <c:v>458</c:v>
                </c:pt>
                <c:pt idx="917">
                  <c:v>458.5</c:v>
                </c:pt>
                <c:pt idx="918">
                  <c:v>459</c:v>
                </c:pt>
                <c:pt idx="919">
                  <c:v>459.5</c:v>
                </c:pt>
                <c:pt idx="920">
                  <c:v>460</c:v>
                </c:pt>
                <c:pt idx="921">
                  <c:v>460.5</c:v>
                </c:pt>
                <c:pt idx="922">
                  <c:v>461</c:v>
                </c:pt>
                <c:pt idx="923">
                  <c:v>461.5</c:v>
                </c:pt>
                <c:pt idx="924">
                  <c:v>462</c:v>
                </c:pt>
                <c:pt idx="925">
                  <c:v>462.5</c:v>
                </c:pt>
                <c:pt idx="926">
                  <c:v>463</c:v>
                </c:pt>
                <c:pt idx="927">
                  <c:v>463.5</c:v>
                </c:pt>
                <c:pt idx="928">
                  <c:v>464</c:v>
                </c:pt>
                <c:pt idx="929">
                  <c:v>464.5</c:v>
                </c:pt>
                <c:pt idx="930">
                  <c:v>465</c:v>
                </c:pt>
                <c:pt idx="931">
                  <c:v>465.5</c:v>
                </c:pt>
                <c:pt idx="932">
                  <c:v>466</c:v>
                </c:pt>
                <c:pt idx="933">
                  <c:v>466.5</c:v>
                </c:pt>
                <c:pt idx="934">
                  <c:v>467</c:v>
                </c:pt>
                <c:pt idx="935">
                  <c:v>467.5</c:v>
                </c:pt>
                <c:pt idx="936">
                  <c:v>468</c:v>
                </c:pt>
                <c:pt idx="937">
                  <c:v>468.5</c:v>
                </c:pt>
                <c:pt idx="938">
                  <c:v>469</c:v>
                </c:pt>
                <c:pt idx="939">
                  <c:v>469.5</c:v>
                </c:pt>
                <c:pt idx="940">
                  <c:v>470</c:v>
                </c:pt>
                <c:pt idx="941">
                  <c:v>470.5</c:v>
                </c:pt>
                <c:pt idx="942">
                  <c:v>471</c:v>
                </c:pt>
                <c:pt idx="943">
                  <c:v>471.5</c:v>
                </c:pt>
                <c:pt idx="944">
                  <c:v>472</c:v>
                </c:pt>
                <c:pt idx="945">
                  <c:v>472.5</c:v>
                </c:pt>
                <c:pt idx="946">
                  <c:v>473</c:v>
                </c:pt>
                <c:pt idx="947">
                  <c:v>473.5</c:v>
                </c:pt>
                <c:pt idx="948">
                  <c:v>474</c:v>
                </c:pt>
                <c:pt idx="949">
                  <c:v>474.5</c:v>
                </c:pt>
                <c:pt idx="950">
                  <c:v>475</c:v>
                </c:pt>
                <c:pt idx="951">
                  <c:v>475.5</c:v>
                </c:pt>
                <c:pt idx="952">
                  <c:v>476</c:v>
                </c:pt>
                <c:pt idx="953">
                  <c:v>476.5</c:v>
                </c:pt>
                <c:pt idx="954">
                  <c:v>477</c:v>
                </c:pt>
                <c:pt idx="955">
                  <c:v>477.5</c:v>
                </c:pt>
                <c:pt idx="956">
                  <c:v>478</c:v>
                </c:pt>
                <c:pt idx="957">
                  <c:v>478.5</c:v>
                </c:pt>
                <c:pt idx="958">
                  <c:v>479</c:v>
                </c:pt>
                <c:pt idx="959">
                  <c:v>479.5</c:v>
                </c:pt>
                <c:pt idx="960">
                  <c:v>480</c:v>
                </c:pt>
                <c:pt idx="961">
                  <c:v>480.5</c:v>
                </c:pt>
                <c:pt idx="962">
                  <c:v>481</c:v>
                </c:pt>
                <c:pt idx="963">
                  <c:v>481.5</c:v>
                </c:pt>
                <c:pt idx="964">
                  <c:v>482</c:v>
                </c:pt>
                <c:pt idx="965">
                  <c:v>482.5</c:v>
                </c:pt>
                <c:pt idx="966">
                  <c:v>483</c:v>
                </c:pt>
                <c:pt idx="967">
                  <c:v>483.5</c:v>
                </c:pt>
                <c:pt idx="968">
                  <c:v>484</c:v>
                </c:pt>
                <c:pt idx="969">
                  <c:v>484.5</c:v>
                </c:pt>
                <c:pt idx="970">
                  <c:v>485</c:v>
                </c:pt>
                <c:pt idx="971">
                  <c:v>485.5</c:v>
                </c:pt>
                <c:pt idx="972">
                  <c:v>486</c:v>
                </c:pt>
                <c:pt idx="973">
                  <c:v>486.5</c:v>
                </c:pt>
                <c:pt idx="974">
                  <c:v>487</c:v>
                </c:pt>
                <c:pt idx="975">
                  <c:v>487.5</c:v>
                </c:pt>
                <c:pt idx="976">
                  <c:v>488</c:v>
                </c:pt>
                <c:pt idx="977">
                  <c:v>488.5</c:v>
                </c:pt>
                <c:pt idx="978">
                  <c:v>489</c:v>
                </c:pt>
                <c:pt idx="979">
                  <c:v>489.5</c:v>
                </c:pt>
                <c:pt idx="980">
                  <c:v>490</c:v>
                </c:pt>
                <c:pt idx="981">
                  <c:v>490.5</c:v>
                </c:pt>
                <c:pt idx="982">
                  <c:v>491</c:v>
                </c:pt>
                <c:pt idx="983">
                  <c:v>491.5</c:v>
                </c:pt>
                <c:pt idx="984">
                  <c:v>492</c:v>
                </c:pt>
                <c:pt idx="985">
                  <c:v>492.5</c:v>
                </c:pt>
                <c:pt idx="986">
                  <c:v>493</c:v>
                </c:pt>
                <c:pt idx="987">
                  <c:v>493.5</c:v>
                </c:pt>
                <c:pt idx="988">
                  <c:v>494</c:v>
                </c:pt>
                <c:pt idx="989">
                  <c:v>494.5</c:v>
                </c:pt>
                <c:pt idx="990">
                  <c:v>495</c:v>
                </c:pt>
                <c:pt idx="991">
                  <c:v>495.5</c:v>
                </c:pt>
                <c:pt idx="992">
                  <c:v>496</c:v>
                </c:pt>
                <c:pt idx="993">
                  <c:v>496.5</c:v>
                </c:pt>
                <c:pt idx="994">
                  <c:v>497</c:v>
                </c:pt>
                <c:pt idx="995">
                  <c:v>497.5</c:v>
                </c:pt>
                <c:pt idx="996">
                  <c:v>498</c:v>
                </c:pt>
                <c:pt idx="997">
                  <c:v>498.5</c:v>
                </c:pt>
              </c:numCache>
            </c:numRef>
          </c:xVal>
          <c:yVal>
            <c:numRef>
              <c:f>Input!$Q$3:$Q$1000</c:f>
              <c:numCache>
                <c:formatCode>General</c:formatCode>
                <c:ptCount val="998"/>
                <c:pt idx="0">
                  <c:v>11.557280540466309</c:v>
                </c:pt>
                <c:pt idx="1">
                  <c:v>11.654475212097168</c:v>
                </c:pt>
                <c:pt idx="2">
                  <c:v>12.163804054260254</c:v>
                </c:pt>
                <c:pt idx="3">
                  <c:v>12.301114082336426</c:v>
                </c:pt>
                <c:pt idx="4">
                  <c:v>12.515594482421875</c:v>
                </c:pt>
                <c:pt idx="5">
                  <c:v>12.370504379272461</c:v>
                </c:pt>
                <c:pt idx="6">
                  <c:v>12.33164119720459</c:v>
                </c:pt>
                <c:pt idx="7">
                  <c:v>12.024600028991699</c:v>
                </c:pt>
                <c:pt idx="8">
                  <c:v>11.976584434509277</c:v>
                </c:pt>
                <c:pt idx="9">
                  <c:v>11.755152702331543</c:v>
                </c:pt>
                <c:pt idx="10">
                  <c:v>11.577266693115234</c:v>
                </c:pt>
                <c:pt idx="11">
                  <c:v>11.539628028869629</c:v>
                </c:pt>
                <c:pt idx="12">
                  <c:v>11.483759880065918</c:v>
                </c:pt>
                <c:pt idx="13">
                  <c:v>11.396731376647949</c:v>
                </c:pt>
                <c:pt idx="14">
                  <c:v>11.342179298400879</c:v>
                </c:pt>
                <c:pt idx="15">
                  <c:v>11.266244888305664</c:v>
                </c:pt>
                <c:pt idx="16">
                  <c:v>11.162535667419434</c:v>
                </c:pt>
                <c:pt idx="17">
                  <c:v>11.123916625976563</c:v>
                </c:pt>
                <c:pt idx="18">
                  <c:v>11.071714401245117</c:v>
                </c:pt>
                <c:pt idx="19">
                  <c:v>10.972229957580566</c:v>
                </c:pt>
                <c:pt idx="20">
                  <c:v>11.031800270080566</c:v>
                </c:pt>
                <c:pt idx="21">
                  <c:v>10.93321418762207</c:v>
                </c:pt>
                <c:pt idx="22">
                  <c:v>10.862863540649414</c:v>
                </c:pt>
                <c:pt idx="23">
                  <c:v>10.787128448486328</c:v>
                </c:pt>
                <c:pt idx="24">
                  <c:v>10.678567886352539</c:v>
                </c:pt>
                <c:pt idx="25">
                  <c:v>10.582120895385742</c:v>
                </c:pt>
                <c:pt idx="26">
                  <c:v>10.340087890625</c:v>
                </c:pt>
                <c:pt idx="27">
                  <c:v>10.348141670227051</c:v>
                </c:pt>
                <c:pt idx="28">
                  <c:v>10.060900688171387</c:v>
                </c:pt>
                <c:pt idx="29">
                  <c:v>9.9433956146240234</c:v>
                </c:pt>
                <c:pt idx="30">
                  <c:v>9.8192367553710938</c:v>
                </c:pt>
                <c:pt idx="31">
                  <c:v>9.6387815475463867</c:v>
                </c:pt>
                <c:pt idx="32">
                  <c:v>9.5067682266235352</c:v>
                </c:pt>
                <c:pt idx="33">
                  <c:v>9.4054183959960938</c:v>
                </c:pt>
                <c:pt idx="34">
                  <c:v>9.238316535949707</c:v>
                </c:pt>
                <c:pt idx="35">
                  <c:v>9.0848503112792969</c:v>
                </c:pt>
                <c:pt idx="36">
                  <c:v>8.9145317077636719</c:v>
                </c:pt>
                <c:pt idx="37">
                  <c:v>8.8977260589599609</c:v>
                </c:pt>
                <c:pt idx="38">
                  <c:v>8.7407770156860352</c:v>
                </c:pt>
                <c:pt idx="39">
                  <c:v>8.5659246444702148</c:v>
                </c:pt>
                <c:pt idx="40">
                  <c:v>8.4909143447875977</c:v>
                </c:pt>
                <c:pt idx="41">
                  <c:v>8.3928565979003906</c:v>
                </c:pt>
                <c:pt idx="42">
                  <c:v>8.2504777908325195</c:v>
                </c:pt>
                <c:pt idx="43">
                  <c:v>8.1984319686889648</c:v>
                </c:pt>
                <c:pt idx="44">
                  <c:v>7.9994912147521973</c:v>
                </c:pt>
                <c:pt idx="45">
                  <c:v>8.0082731246948242</c:v>
                </c:pt>
                <c:pt idx="46">
                  <c:v>7.9305214881896973</c:v>
                </c:pt>
                <c:pt idx="47">
                  <c:v>7.8459906578063965</c:v>
                </c:pt>
                <c:pt idx="48">
                  <c:v>7.6441588401794434</c:v>
                </c:pt>
                <c:pt idx="49">
                  <c:v>7.6874089241027832</c:v>
                </c:pt>
                <c:pt idx="50">
                  <c:v>7.6061725616455078</c:v>
                </c:pt>
                <c:pt idx="51">
                  <c:v>7.531275749206543</c:v>
                </c:pt>
                <c:pt idx="52">
                  <c:v>7.5176229476928711</c:v>
                </c:pt>
                <c:pt idx="53">
                  <c:v>7.4073052406311035</c:v>
                </c:pt>
                <c:pt idx="54">
                  <c:v>7.2927484512329102</c:v>
                </c:pt>
                <c:pt idx="55">
                  <c:v>7.2548041343688965</c:v>
                </c:pt>
                <c:pt idx="56">
                  <c:v>7.1410984992980957</c:v>
                </c:pt>
                <c:pt idx="57">
                  <c:v>7.0761566162109375</c:v>
                </c:pt>
                <c:pt idx="58">
                  <c:v>7.0220670700073242</c:v>
                </c:pt>
                <c:pt idx="59">
                  <c:v>7.2712602615356445</c:v>
                </c:pt>
                <c:pt idx="60">
                  <c:v>6.8962454795837402</c:v>
                </c:pt>
                <c:pt idx="61">
                  <c:v>6.6565709114074707</c:v>
                </c:pt>
                <c:pt idx="62">
                  <c:v>6.6117267608642578</c:v>
                </c:pt>
                <c:pt idx="63">
                  <c:v>6.4783082008361816</c:v>
                </c:pt>
                <c:pt idx="64">
                  <c:v>6.3944282531738281</c:v>
                </c:pt>
                <c:pt idx="65">
                  <c:v>6.3424468040466309</c:v>
                </c:pt>
                <c:pt idx="66">
                  <c:v>6.175020694732666</c:v>
                </c:pt>
                <c:pt idx="67">
                  <c:v>6.3286075592041016</c:v>
                </c:pt>
                <c:pt idx="68">
                  <c:v>6.2295684814453125</c:v>
                </c:pt>
                <c:pt idx="69">
                  <c:v>6.2858977317810059</c:v>
                </c:pt>
                <c:pt idx="70">
                  <c:v>6.1896376609802246</c:v>
                </c:pt>
                <c:pt idx="71">
                  <c:v>6.174443244934082</c:v>
                </c:pt>
                <c:pt idx="72">
                  <c:v>6.2593703269958496</c:v>
                </c:pt>
                <c:pt idx="73">
                  <c:v>6.1105027198791504</c:v>
                </c:pt>
                <c:pt idx="74">
                  <c:v>6.158775806427002</c:v>
                </c:pt>
                <c:pt idx="75">
                  <c:v>6.1499977111816406</c:v>
                </c:pt>
                <c:pt idx="76">
                  <c:v>6.9536995887756348</c:v>
                </c:pt>
                <c:pt idx="77">
                  <c:v>6.1384868621826172</c:v>
                </c:pt>
                <c:pt idx="78">
                  <c:v>6.1144027709960938</c:v>
                </c:pt>
                <c:pt idx="79">
                  <c:v>6.0130577087402344</c:v>
                </c:pt>
                <c:pt idx="80">
                  <c:v>5.7570586204528809</c:v>
                </c:pt>
                <c:pt idx="81">
                  <c:v>5.5135579109191895</c:v>
                </c:pt>
                <c:pt idx="82">
                  <c:v>5.6945304870605469</c:v>
                </c:pt>
                <c:pt idx="83">
                  <c:v>5.9140586853027344</c:v>
                </c:pt>
                <c:pt idx="84">
                  <c:v>5.6306777000427246</c:v>
                </c:pt>
                <c:pt idx="85">
                  <c:v>5.6122860908508301</c:v>
                </c:pt>
                <c:pt idx="86">
                  <c:v>5.5036015510559082</c:v>
                </c:pt>
                <c:pt idx="87">
                  <c:v>5.4011087417602539</c:v>
                </c:pt>
                <c:pt idx="88">
                  <c:v>5.2652101516723633</c:v>
                </c:pt>
                <c:pt idx="89">
                  <c:v>5.2083110809326172</c:v>
                </c:pt>
                <c:pt idx="90">
                  <c:v>5.1757988929748535</c:v>
                </c:pt>
                <c:pt idx="91">
                  <c:v>5.0926098823547363</c:v>
                </c:pt>
                <c:pt idx="92">
                  <c:v>4.8767008781433105</c:v>
                </c:pt>
                <c:pt idx="93">
                  <c:v>4.9863071441650391</c:v>
                </c:pt>
                <c:pt idx="94">
                  <c:v>4.9669065475463867</c:v>
                </c:pt>
                <c:pt idx="95">
                  <c:v>4.9898686408996582</c:v>
                </c:pt>
                <c:pt idx="96">
                  <c:v>4.8734588623046875</c:v>
                </c:pt>
                <c:pt idx="97">
                  <c:v>4.807220458984375</c:v>
                </c:pt>
                <c:pt idx="98">
                  <c:v>4.7099671363830566</c:v>
                </c:pt>
                <c:pt idx="99">
                  <c:v>4.7223787307739258</c:v>
                </c:pt>
                <c:pt idx="100">
                  <c:v>4.6515240669250488</c:v>
                </c:pt>
                <c:pt idx="101">
                  <c:v>4.7371969223022461</c:v>
                </c:pt>
                <c:pt idx="102">
                  <c:v>4.6302480697631836</c:v>
                </c:pt>
                <c:pt idx="103">
                  <c:v>4.6385102272033691</c:v>
                </c:pt>
                <c:pt idx="104">
                  <c:v>4.6146707534790039</c:v>
                </c:pt>
                <c:pt idx="105">
                  <c:v>4.6994132995605469</c:v>
                </c:pt>
                <c:pt idx="106">
                  <c:v>4.5946788787841797</c:v>
                </c:pt>
                <c:pt idx="107">
                  <c:v>4.5948638916015625</c:v>
                </c:pt>
                <c:pt idx="108">
                  <c:v>4.5636768341064453</c:v>
                </c:pt>
                <c:pt idx="109">
                  <c:v>4.5557436943054199</c:v>
                </c:pt>
                <c:pt idx="110">
                  <c:v>4.6571812629699707</c:v>
                </c:pt>
                <c:pt idx="111">
                  <c:v>4.7876973152160645</c:v>
                </c:pt>
                <c:pt idx="112">
                  <c:v>4.7392792701721191</c:v>
                </c:pt>
                <c:pt idx="113">
                  <c:v>4.6537365913391113</c:v>
                </c:pt>
                <c:pt idx="114">
                  <c:v>4.7322225570678711</c:v>
                </c:pt>
                <c:pt idx="115">
                  <c:v>4.7535014152526855</c:v>
                </c:pt>
                <c:pt idx="116">
                  <c:v>4.8249320983886719</c:v>
                </c:pt>
                <c:pt idx="117">
                  <c:v>4.7729511260986328</c:v>
                </c:pt>
                <c:pt idx="118">
                  <c:v>4.871147632598877</c:v>
                </c:pt>
                <c:pt idx="119">
                  <c:v>4.9141473770141602</c:v>
                </c:pt>
                <c:pt idx="120">
                  <c:v>4.9567131996154785</c:v>
                </c:pt>
                <c:pt idx="121">
                  <c:v>4.9449348449707031</c:v>
                </c:pt>
                <c:pt idx="122">
                  <c:v>5.028104305267334</c:v>
                </c:pt>
                <c:pt idx="123">
                  <c:v>5.1166653633117676</c:v>
                </c:pt>
                <c:pt idx="124">
                  <c:v>4.9873800277709961</c:v>
                </c:pt>
                <c:pt idx="125">
                  <c:v>4.843775749206543</c:v>
                </c:pt>
                <c:pt idx="126">
                  <c:v>4.9286818504333496</c:v>
                </c:pt>
                <c:pt idx="127">
                  <c:v>4.9345574378967285</c:v>
                </c:pt>
                <c:pt idx="128">
                  <c:v>5.0687747001647949</c:v>
                </c:pt>
                <c:pt idx="129">
                  <c:v>5.1563940048217773</c:v>
                </c:pt>
                <c:pt idx="130">
                  <c:v>4.950904369354248</c:v>
                </c:pt>
                <c:pt idx="131">
                  <c:v>4.8535723686218262</c:v>
                </c:pt>
                <c:pt idx="132">
                  <c:v>4.8731808662414551</c:v>
                </c:pt>
                <c:pt idx="133">
                  <c:v>4.8344221115112305</c:v>
                </c:pt>
                <c:pt idx="134">
                  <c:v>4.9122676849365234</c:v>
                </c:pt>
                <c:pt idx="135">
                  <c:v>4.8415331840515137</c:v>
                </c:pt>
                <c:pt idx="136">
                  <c:v>4.9085769653320313</c:v>
                </c:pt>
                <c:pt idx="137">
                  <c:v>4.8529305458068848</c:v>
                </c:pt>
                <c:pt idx="138">
                  <c:v>4.756737232208252</c:v>
                </c:pt>
                <c:pt idx="139">
                  <c:v>4.7651200294494629</c:v>
                </c:pt>
                <c:pt idx="140">
                  <c:v>4.7351140975952148</c:v>
                </c:pt>
                <c:pt idx="141">
                  <c:v>4.7117371559143066</c:v>
                </c:pt>
                <c:pt idx="142">
                  <c:v>4.646705150604248</c:v>
                </c:pt>
                <c:pt idx="143">
                  <c:v>4.6211204528808594</c:v>
                </c:pt>
                <c:pt idx="144">
                  <c:v>4.5752787590026855</c:v>
                </c:pt>
                <c:pt idx="145">
                  <c:v>4.6235537528991699</c:v>
                </c:pt>
                <c:pt idx="146">
                  <c:v>4.5187392234802246</c:v>
                </c:pt>
                <c:pt idx="147">
                  <c:v>4.4528489112854004</c:v>
                </c:pt>
                <c:pt idx="148">
                  <c:v>4.5748734474182129</c:v>
                </c:pt>
                <c:pt idx="149">
                  <c:v>4.5739021301269531</c:v>
                </c:pt>
                <c:pt idx="150">
                  <c:v>4.4959864616394043</c:v>
                </c:pt>
                <c:pt idx="151">
                  <c:v>4.4354767799377441</c:v>
                </c:pt>
                <c:pt idx="152">
                  <c:v>4.5263242721557617</c:v>
                </c:pt>
                <c:pt idx="153">
                  <c:v>4.4634509086608887</c:v>
                </c:pt>
                <c:pt idx="154">
                  <c:v>4.4828896522521973</c:v>
                </c:pt>
                <c:pt idx="155">
                  <c:v>4.3486413955688477</c:v>
                </c:pt>
                <c:pt idx="156">
                  <c:v>4.3878402709960938</c:v>
                </c:pt>
                <c:pt idx="157">
                  <c:v>4.4712228775024414</c:v>
                </c:pt>
                <c:pt idx="158">
                  <c:v>4.5691514015197754</c:v>
                </c:pt>
                <c:pt idx="159">
                  <c:v>4.5078692436218262</c:v>
                </c:pt>
                <c:pt idx="160">
                  <c:v>4.5484714508056641</c:v>
                </c:pt>
                <c:pt idx="161">
                  <c:v>4.6097507476806641</c:v>
                </c:pt>
                <c:pt idx="162">
                  <c:v>4.7516212463378906</c:v>
                </c:pt>
                <c:pt idx="163">
                  <c:v>4.7712869644165039</c:v>
                </c:pt>
                <c:pt idx="164">
                  <c:v>4.8299398422241211</c:v>
                </c:pt>
                <c:pt idx="165">
                  <c:v>4.8041782379150391</c:v>
                </c:pt>
                <c:pt idx="166">
                  <c:v>4.7888274192810059</c:v>
                </c:pt>
                <c:pt idx="167">
                  <c:v>4.8874955177307129</c:v>
                </c:pt>
                <c:pt idx="168">
                  <c:v>4.8847122192382813</c:v>
                </c:pt>
                <c:pt idx="169">
                  <c:v>4.9159793853759766</c:v>
                </c:pt>
                <c:pt idx="170">
                  <c:v>4.9330892562866211</c:v>
                </c:pt>
                <c:pt idx="171">
                  <c:v>4.9102821350097656</c:v>
                </c:pt>
                <c:pt idx="172">
                  <c:v>4.9353270530700684</c:v>
                </c:pt>
                <c:pt idx="173">
                  <c:v>4.9207587242126465</c:v>
                </c:pt>
                <c:pt idx="174">
                  <c:v>5.0132346153259277</c:v>
                </c:pt>
                <c:pt idx="175">
                  <c:v>4.8820486068725586</c:v>
                </c:pt>
                <c:pt idx="176">
                  <c:v>4.8229794502258301</c:v>
                </c:pt>
                <c:pt idx="177">
                  <c:v>4.9033522605895996</c:v>
                </c:pt>
                <c:pt idx="178">
                  <c:v>4.9785866737365723</c:v>
                </c:pt>
                <c:pt idx="179">
                  <c:v>4.7664895057678223</c:v>
                </c:pt>
                <c:pt idx="180">
                  <c:v>4.7596173286437988</c:v>
                </c:pt>
                <c:pt idx="181">
                  <c:v>4.7461214065551758</c:v>
                </c:pt>
                <c:pt idx="182">
                  <c:v>4.8001289367675781</c:v>
                </c:pt>
                <c:pt idx="183">
                  <c:v>4.7394919395446777</c:v>
                </c:pt>
                <c:pt idx="184">
                  <c:v>4.7875566482543945</c:v>
                </c:pt>
                <c:pt idx="185">
                  <c:v>4.7606282234191895</c:v>
                </c:pt>
                <c:pt idx="186">
                  <c:v>4.742342472076416</c:v>
                </c:pt>
                <c:pt idx="187">
                  <c:v>4.7650108337402344</c:v>
                </c:pt>
                <c:pt idx="188">
                  <c:v>4.7625641822814941</c:v>
                </c:pt>
                <c:pt idx="189">
                  <c:v>4.7391777038574219</c:v>
                </c:pt>
                <c:pt idx="190">
                  <c:v>4.6107001304626465</c:v>
                </c:pt>
                <c:pt idx="191">
                  <c:v>4.603083610534668</c:v>
                </c:pt>
                <c:pt idx="192">
                  <c:v>4.6692700386047363</c:v>
                </c:pt>
                <c:pt idx="193">
                  <c:v>4.6593170166015625</c:v>
                </c:pt>
                <c:pt idx="194">
                  <c:v>4.4432554244995117</c:v>
                </c:pt>
                <c:pt idx="195">
                  <c:v>4.4124860763549805</c:v>
                </c:pt>
                <c:pt idx="196">
                  <c:v>4.5982851982116699</c:v>
                </c:pt>
                <c:pt idx="197">
                  <c:v>4.6548452377319336</c:v>
                </c:pt>
                <c:pt idx="198">
                  <c:v>4.5420961380004883</c:v>
                </c:pt>
                <c:pt idx="199">
                  <c:v>4.5535182952880859</c:v>
                </c:pt>
                <c:pt idx="200">
                  <c:v>4.567622184753418</c:v>
                </c:pt>
                <c:pt idx="201">
                  <c:v>4.5040640830993652</c:v>
                </c:pt>
                <c:pt idx="202">
                  <c:v>4.5167536735534668</c:v>
                </c:pt>
                <c:pt idx="203">
                  <c:v>4.4803471565246582</c:v>
                </c:pt>
                <c:pt idx="204">
                  <c:v>4.5040984153747559</c:v>
                </c:pt>
                <c:pt idx="205">
                  <c:v>4.6522507667541504</c:v>
                </c:pt>
                <c:pt idx="206">
                  <c:v>4.6186714172363281</c:v>
                </c:pt>
                <c:pt idx="207">
                  <c:v>4.6246128082275391</c:v>
                </c:pt>
                <c:pt idx="208">
                  <c:v>4.6692957878112793</c:v>
                </c:pt>
                <c:pt idx="209">
                  <c:v>4.7658343315124512</c:v>
                </c:pt>
                <c:pt idx="210">
                  <c:v>4.7363409996032715</c:v>
                </c:pt>
                <c:pt idx="211">
                  <c:v>4.7463293075561523</c:v>
                </c:pt>
                <c:pt idx="212">
                  <c:v>4.7720556259155273</c:v>
                </c:pt>
                <c:pt idx="213">
                  <c:v>4.8360657691955566</c:v>
                </c:pt>
                <c:pt idx="214">
                  <c:v>4.8109946250915527</c:v>
                </c:pt>
                <c:pt idx="215">
                  <c:v>4.8015918731689453</c:v>
                </c:pt>
                <c:pt idx="216">
                  <c:v>4.8854246139526367</c:v>
                </c:pt>
                <c:pt idx="217">
                  <c:v>4.8813905715942383</c:v>
                </c:pt>
                <c:pt idx="218">
                  <c:v>4.7858891487121582</c:v>
                </c:pt>
                <c:pt idx="219">
                  <c:v>4.8514986038208008</c:v>
                </c:pt>
                <c:pt idx="220">
                  <c:v>4.9373083114624023</c:v>
                </c:pt>
                <c:pt idx="221">
                  <c:v>0.5733875036239624</c:v>
                </c:pt>
                <c:pt idx="222">
                  <c:v>1.9112917361781001E-3</c:v>
                </c:pt>
                <c:pt idx="223">
                  <c:v>6.3287807279266417E-6</c:v>
                </c:pt>
                <c:pt idx="224">
                  <c:v>2.1095935665016441E-8</c:v>
                </c:pt>
                <c:pt idx="225">
                  <c:v>6.9854094730814609E-11</c:v>
                </c:pt>
                <c:pt idx="226">
                  <c:v>2.328469719554277E-13</c:v>
                </c:pt>
                <c:pt idx="227">
                  <c:v>7.7101645185899599E-16</c:v>
                </c:pt>
                <c:pt idx="228">
                  <c:v>2.5615165544128537E-18</c:v>
                </c:pt>
                <c:pt idx="229">
                  <c:v>8.5100220250420445E-21</c:v>
                </c:pt>
                <c:pt idx="230">
                  <c:v>2.8272497164082425E-23</c:v>
                </c:pt>
                <c:pt idx="231">
                  <c:v>9.3928564811993731E-26</c:v>
                </c:pt>
                <c:pt idx="232">
                  <c:v>3.1205503443753684E-28</c:v>
                </c:pt>
                <c:pt idx="233">
                  <c:v>1.0367277129054568E-30</c:v>
                </c:pt>
                <c:pt idx="234">
                  <c:v>3.4442781611199675E-33</c:v>
                </c:pt>
                <c:pt idx="235">
                  <c:v>1.1442784612274471E-35</c:v>
                </c:pt>
                <c:pt idx="236">
                  <c:v>3.8015896103591179E-38</c:v>
                </c:pt>
                <c:pt idx="237">
                  <c:v>1.2629903058959576E-40</c:v>
                </c:pt>
                <c:pt idx="238">
                  <c:v>4.189882408331203E-43</c:v>
                </c:pt>
                <c:pt idx="239">
                  <c:v>1.4012984643248171E-45</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6.9788861274719238</c:v>
                </c:pt>
                <c:pt idx="342">
                  <c:v>6.9245352745056152</c:v>
                </c:pt>
                <c:pt idx="343">
                  <c:v>6.7129607200622559</c:v>
                </c:pt>
                <c:pt idx="344">
                  <c:v>6.5814633369445801</c:v>
                </c:pt>
                <c:pt idx="345">
                  <c:v>6.437471866607666</c:v>
                </c:pt>
                <c:pt idx="346">
                  <c:v>6.3446178436279297</c:v>
                </c:pt>
                <c:pt idx="347">
                  <c:v>6.2759418487548828</c:v>
                </c:pt>
                <c:pt idx="348">
                  <c:v>6.2117695808410645</c:v>
                </c:pt>
                <c:pt idx="349">
                  <c:v>6.3433346748352051</c:v>
                </c:pt>
                <c:pt idx="350">
                  <c:v>6.3160533905029297</c:v>
                </c:pt>
                <c:pt idx="351">
                  <c:v>6.2340598106384277</c:v>
                </c:pt>
                <c:pt idx="352">
                  <c:v>6.2601885795593262</c:v>
                </c:pt>
                <c:pt idx="353">
                  <c:v>5.9998846054077148</c:v>
                </c:pt>
                <c:pt idx="354">
                  <c:v>5.8592023849487305</c:v>
                </c:pt>
                <c:pt idx="355">
                  <c:v>5.9078536033630371</c:v>
                </c:pt>
                <c:pt idx="356">
                  <c:v>5.9268560409545898</c:v>
                </c:pt>
                <c:pt idx="357">
                  <c:v>5.9030232429504395</c:v>
                </c:pt>
                <c:pt idx="358">
                  <c:v>5.8965396881103516</c:v>
                </c:pt>
                <c:pt idx="359">
                  <c:v>5.8650422096252441</c:v>
                </c:pt>
                <c:pt idx="360">
                  <c:v>5.81982421875</c:v>
                </c:pt>
                <c:pt idx="361">
                  <c:v>5.8345327377319336</c:v>
                </c:pt>
                <c:pt idx="362">
                  <c:v>5.7971572875976563</c:v>
                </c:pt>
                <c:pt idx="363">
                  <c:v>5.7599692344665527</c:v>
                </c:pt>
                <c:pt idx="364">
                  <c:v>5.7031793594360352</c:v>
                </c:pt>
                <c:pt idx="365">
                  <c:v>5.6411342620849609</c:v>
                </c:pt>
                <c:pt idx="366">
                  <c:v>5.6355586051940918</c:v>
                </c:pt>
                <c:pt idx="367">
                  <c:v>5.6619429588317871</c:v>
                </c:pt>
                <c:pt idx="368">
                  <c:v>5.6160345077514648</c:v>
                </c:pt>
                <c:pt idx="369">
                  <c:v>5.3149404525756836</c:v>
                </c:pt>
                <c:pt idx="370">
                  <c:v>5.4214897155761719</c:v>
                </c:pt>
                <c:pt idx="371">
                  <c:v>5.5721969604492188</c:v>
                </c:pt>
                <c:pt idx="372">
                  <c:v>5.6099457740783691</c:v>
                </c:pt>
                <c:pt idx="373">
                  <c:v>5.6239628791809082</c:v>
                </c:pt>
                <c:pt idx="374">
                  <c:v>5.6224727630615234</c:v>
                </c:pt>
                <c:pt idx="375">
                  <c:v>5.697472095489502</c:v>
                </c:pt>
                <c:pt idx="376">
                  <c:v>5.6447830200195313</c:v>
                </c:pt>
                <c:pt idx="377">
                  <c:v>5.651092529296875</c:v>
                </c:pt>
                <c:pt idx="378">
                  <c:v>5.6541891098022461</c:v>
                </c:pt>
                <c:pt idx="379">
                  <c:v>5.6040740013122559</c:v>
                </c:pt>
                <c:pt idx="380">
                  <c:v>5.6730303764343262</c:v>
                </c:pt>
                <c:pt idx="381">
                  <c:v>5.6717777252197266</c:v>
                </c:pt>
                <c:pt idx="382">
                  <c:v>5.7742576599121094</c:v>
                </c:pt>
                <c:pt idx="383">
                  <c:v>5.7757916450500488</c:v>
                </c:pt>
                <c:pt idx="384">
                  <c:v>5.7883319854736328</c:v>
                </c:pt>
                <c:pt idx="385">
                  <c:v>5.7903523445129395</c:v>
                </c:pt>
                <c:pt idx="386">
                  <c:v>5.7822976112365723</c:v>
                </c:pt>
                <c:pt idx="387">
                  <c:v>5.8723278045654297</c:v>
                </c:pt>
                <c:pt idx="388">
                  <c:v>5.8082275390625</c:v>
                </c:pt>
                <c:pt idx="389">
                  <c:v>5.8420252799987793</c:v>
                </c:pt>
                <c:pt idx="390">
                  <c:v>6.0893239974975586</c:v>
                </c:pt>
                <c:pt idx="391">
                  <c:v>5.9770917892456055</c:v>
                </c:pt>
                <c:pt idx="392">
                  <c:v>5.8273000717163086</c:v>
                </c:pt>
                <c:pt idx="393">
                  <c:v>5.9121966361999512</c:v>
                </c:pt>
                <c:pt idx="394">
                  <c:v>5.7867741584777832</c:v>
                </c:pt>
                <c:pt idx="395">
                  <c:v>5.7099699974060059</c:v>
                </c:pt>
                <c:pt idx="396">
                  <c:v>5.6791863441467285</c:v>
                </c:pt>
                <c:pt idx="397">
                  <c:v>5.6755251884460449</c:v>
                </c:pt>
                <c:pt idx="398">
                  <c:v>5.6561970710754395</c:v>
                </c:pt>
                <c:pt idx="399">
                  <c:v>5.6491403579711914</c:v>
                </c:pt>
                <c:pt idx="400">
                  <c:v>5.8015656471252441</c:v>
                </c:pt>
                <c:pt idx="401">
                  <c:v>5.7721719741821289</c:v>
                </c:pt>
                <c:pt idx="402">
                  <c:v>5.5842223167419434</c:v>
                </c:pt>
                <c:pt idx="403">
                  <c:v>5.5798182487487793</c:v>
                </c:pt>
                <c:pt idx="404">
                  <c:v>5.650972843170166</c:v>
                </c:pt>
                <c:pt idx="405">
                  <c:v>5.6356821060180664</c:v>
                </c:pt>
                <c:pt idx="406">
                  <c:v>5.609771728515625</c:v>
                </c:pt>
                <c:pt idx="407">
                  <c:v>5.5829377174377441</c:v>
                </c:pt>
                <c:pt idx="408">
                  <c:v>5.5126829147338867</c:v>
                </c:pt>
                <c:pt idx="409">
                  <c:v>5.4594674110412598</c:v>
                </c:pt>
                <c:pt idx="410">
                  <c:v>5.3758487701416016</c:v>
                </c:pt>
                <c:pt idx="411">
                  <c:v>5.3689618110656738</c:v>
                </c:pt>
                <c:pt idx="412">
                  <c:v>5.5089726448059082</c:v>
                </c:pt>
                <c:pt idx="413">
                  <c:v>5.421201229095459</c:v>
                </c:pt>
                <c:pt idx="414">
                  <c:v>5.3533945083618164</c:v>
                </c:pt>
                <c:pt idx="415">
                  <c:v>5.5397076606750488</c:v>
                </c:pt>
                <c:pt idx="416">
                  <c:v>5.609123706817627</c:v>
                </c:pt>
                <c:pt idx="417">
                  <c:v>5.553067684173584</c:v>
                </c:pt>
                <c:pt idx="418">
                  <c:v>5.4517965316772461</c:v>
                </c:pt>
                <c:pt idx="419">
                  <c:v>5.5401530265808105</c:v>
                </c:pt>
                <c:pt idx="420">
                  <c:v>5.4193801879882813</c:v>
                </c:pt>
                <c:pt idx="421">
                  <c:v>5.3668422698974609</c:v>
                </c:pt>
                <c:pt idx="422">
                  <c:v>5.5039987564086914</c:v>
                </c:pt>
                <c:pt idx="423">
                  <c:v>5.6541643142700195</c:v>
                </c:pt>
                <c:pt idx="424">
                  <c:v>5.6407051086425781</c:v>
                </c:pt>
                <c:pt idx="425">
                  <c:v>5.6266345977783203</c:v>
                </c:pt>
                <c:pt idx="426">
                  <c:v>5.6169099807739258</c:v>
                </c:pt>
                <c:pt idx="427">
                  <c:v>5.6958270072937012</c:v>
                </c:pt>
                <c:pt idx="428">
                  <c:v>5.6753096580505371</c:v>
                </c:pt>
                <c:pt idx="429">
                  <c:v>5.6803421974182129</c:v>
                </c:pt>
                <c:pt idx="430">
                  <c:v>5.6709861755371094</c:v>
                </c:pt>
                <c:pt idx="431">
                  <c:v>5.8137931823730469</c:v>
                </c:pt>
                <c:pt idx="432">
                  <c:v>5.8845949172973633</c:v>
                </c:pt>
                <c:pt idx="433">
                  <c:v>5.7892131805419922</c:v>
                </c:pt>
                <c:pt idx="434">
                  <c:v>5.8379683494567871</c:v>
                </c:pt>
                <c:pt idx="435">
                  <c:v>5.855048656463623</c:v>
                </c:pt>
                <c:pt idx="436">
                  <c:v>5.7197318077087402</c:v>
                </c:pt>
                <c:pt idx="437">
                  <c:v>5.6939105987548828</c:v>
                </c:pt>
                <c:pt idx="438">
                  <c:v>5.7760214805603027</c:v>
                </c:pt>
                <c:pt idx="439">
                  <c:v>5.784548282623291</c:v>
                </c:pt>
                <c:pt idx="440">
                  <c:v>5.7933363914489746</c:v>
                </c:pt>
                <c:pt idx="441">
                  <c:v>5.8706164360046387</c:v>
                </c:pt>
                <c:pt idx="442">
                  <c:v>5.8557157516479492</c:v>
                </c:pt>
                <c:pt idx="443">
                  <c:v>5.6368880271911621</c:v>
                </c:pt>
                <c:pt idx="444">
                  <c:v>5.5598363876342773</c:v>
                </c:pt>
                <c:pt idx="445">
                  <c:v>5.6660566329956055</c:v>
                </c:pt>
                <c:pt idx="446">
                  <c:v>5.7173366546630859</c:v>
                </c:pt>
                <c:pt idx="447">
                  <c:v>5.6730451583862305</c:v>
                </c:pt>
                <c:pt idx="448">
                  <c:v>5.7208766937255859</c:v>
                </c:pt>
                <c:pt idx="449">
                  <c:v>5.6397318840026855</c:v>
                </c:pt>
                <c:pt idx="450">
                  <c:v>5.5945749282836914</c:v>
                </c:pt>
                <c:pt idx="451">
                  <c:v>5.6623663902282715</c:v>
                </c:pt>
                <c:pt idx="452">
                  <c:v>5.5520443916320801</c:v>
                </c:pt>
                <c:pt idx="453">
                  <c:v>5.5414509773254395</c:v>
                </c:pt>
                <c:pt idx="454">
                  <c:v>5.5803942680358887</c:v>
                </c:pt>
                <c:pt idx="455">
                  <c:v>5.5803203582763672</c:v>
                </c:pt>
                <c:pt idx="456">
                  <c:v>5.5454058647155762</c:v>
                </c:pt>
                <c:pt idx="457">
                  <c:v>5.5562877655029297</c:v>
                </c:pt>
                <c:pt idx="458">
                  <c:v>5.5125255584716797</c:v>
                </c:pt>
                <c:pt idx="459">
                  <c:v>5.4507079124450684</c:v>
                </c:pt>
                <c:pt idx="460">
                  <c:v>5.4715466499328613</c:v>
                </c:pt>
                <c:pt idx="461">
                  <c:v>5.5428261756896973</c:v>
                </c:pt>
                <c:pt idx="462">
                  <c:v>5.4710783958435059</c:v>
                </c:pt>
                <c:pt idx="463">
                  <c:v>5.5017938613891602</c:v>
                </c:pt>
                <c:pt idx="464">
                  <c:v>5.4666643142700195</c:v>
                </c:pt>
                <c:pt idx="465">
                  <c:v>5.5770440101623535</c:v>
                </c:pt>
                <c:pt idx="466">
                  <c:v>5.6103549003601074</c:v>
                </c:pt>
                <c:pt idx="467">
                  <c:v>5.5389513969421387</c:v>
                </c:pt>
                <c:pt idx="468">
                  <c:v>5.5414605140686035</c:v>
                </c:pt>
                <c:pt idx="469">
                  <c:v>5.6029534339904785</c:v>
                </c:pt>
                <c:pt idx="470">
                  <c:v>5.644172191619873</c:v>
                </c:pt>
                <c:pt idx="471">
                  <c:v>5.6996641159057617</c:v>
                </c:pt>
                <c:pt idx="472">
                  <c:v>5.7912025451660156</c:v>
                </c:pt>
                <c:pt idx="473">
                  <c:v>5.6645259857177734</c:v>
                </c:pt>
                <c:pt idx="474">
                  <c:v>5.6758794784545898</c:v>
                </c:pt>
                <c:pt idx="475">
                  <c:v>5.8374438285827637</c:v>
                </c:pt>
                <c:pt idx="476">
                  <c:v>5.7847886085510254</c:v>
                </c:pt>
                <c:pt idx="477">
                  <c:v>5.7974562644958496</c:v>
                </c:pt>
                <c:pt idx="478">
                  <c:v>5.8246235847473145</c:v>
                </c:pt>
                <c:pt idx="479">
                  <c:v>5.8341121673583984</c:v>
                </c:pt>
                <c:pt idx="480">
                  <c:v>5.753211498260498</c:v>
                </c:pt>
                <c:pt idx="481">
                  <c:v>5.825657844543457</c:v>
                </c:pt>
                <c:pt idx="482">
                  <c:v>5.8726611137390137</c:v>
                </c:pt>
                <c:pt idx="483">
                  <c:v>5.7923917770385742</c:v>
                </c:pt>
                <c:pt idx="484">
                  <c:v>5.7437744140625</c:v>
                </c:pt>
                <c:pt idx="485">
                  <c:v>5.7916035652160645</c:v>
                </c:pt>
                <c:pt idx="486">
                  <c:v>5.8222560882568359</c:v>
                </c:pt>
                <c:pt idx="487">
                  <c:v>5.8595638275146484</c:v>
                </c:pt>
                <c:pt idx="488">
                  <c:v>5.8295278549194336</c:v>
                </c:pt>
                <c:pt idx="489">
                  <c:v>5.8402342796325684</c:v>
                </c:pt>
                <c:pt idx="490">
                  <c:v>5.8017086982727051</c:v>
                </c:pt>
                <c:pt idx="491">
                  <c:v>5.7624030113220215</c:v>
                </c:pt>
                <c:pt idx="492">
                  <c:v>5.8137164115905762</c:v>
                </c:pt>
                <c:pt idx="493">
                  <c:v>5.8010640144348145</c:v>
                </c:pt>
                <c:pt idx="494">
                  <c:v>5.7748055458068848</c:v>
                </c:pt>
                <c:pt idx="495">
                  <c:v>5.7230100631713867</c:v>
                </c:pt>
                <c:pt idx="496">
                  <c:v>5.6737861633300781</c:v>
                </c:pt>
                <c:pt idx="497">
                  <c:v>5.6898622512817383</c:v>
                </c:pt>
                <c:pt idx="498">
                  <c:v>5.7165842056274414</c:v>
                </c:pt>
                <c:pt idx="499">
                  <c:v>5.6512718200683594</c:v>
                </c:pt>
                <c:pt idx="500">
                  <c:v>5.6537861824035645</c:v>
                </c:pt>
                <c:pt idx="501">
                  <c:v>5.6657018661499023</c:v>
                </c:pt>
                <c:pt idx="502">
                  <c:v>5.6569786071777344</c:v>
                </c:pt>
                <c:pt idx="503">
                  <c:v>5.4602489471435547</c:v>
                </c:pt>
                <c:pt idx="504">
                  <c:v>5.5180630683898926</c:v>
                </c:pt>
                <c:pt idx="505">
                  <c:v>5.5764098167419434</c:v>
                </c:pt>
                <c:pt idx="506">
                  <c:v>5.6686697006225586</c:v>
                </c:pt>
                <c:pt idx="507">
                  <c:v>5.749725341796875</c:v>
                </c:pt>
                <c:pt idx="508">
                  <c:v>5.6638970375061035</c:v>
                </c:pt>
                <c:pt idx="509">
                  <c:v>5.5967135429382324</c:v>
                </c:pt>
                <c:pt idx="510">
                  <c:v>5.7065792083740234</c:v>
                </c:pt>
                <c:pt idx="511">
                  <c:v>5.675574779510498</c:v>
                </c:pt>
                <c:pt idx="512">
                  <c:v>5.6038722991943359</c:v>
                </c:pt>
                <c:pt idx="513">
                  <c:v>5.5596551895141602</c:v>
                </c:pt>
                <c:pt idx="514">
                  <c:v>5.6822595596313477</c:v>
                </c:pt>
                <c:pt idx="515">
                  <c:v>5.710914134979248</c:v>
                </c:pt>
                <c:pt idx="516">
                  <c:v>5.6513175964355469</c:v>
                </c:pt>
                <c:pt idx="517">
                  <c:v>5.7341251373291016</c:v>
                </c:pt>
                <c:pt idx="518">
                  <c:v>5.8502049446105957</c:v>
                </c:pt>
                <c:pt idx="519">
                  <c:v>5.8570394515991211</c:v>
                </c:pt>
                <c:pt idx="520">
                  <c:v>5.875704288482666</c:v>
                </c:pt>
                <c:pt idx="521">
                  <c:v>5.8677773475646973</c:v>
                </c:pt>
                <c:pt idx="522">
                  <c:v>5.8949203491210938</c:v>
                </c:pt>
                <c:pt idx="523">
                  <c:v>5.9204397201538086</c:v>
                </c:pt>
                <c:pt idx="524">
                  <c:v>5.9242806434631348</c:v>
                </c:pt>
                <c:pt idx="525">
                  <c:v>5.8913650512695313</c:v>
                </c:pt>
                <c:pt idx="526">
                  <c:v>5.9494504928588867</c:v>
                </c:pt>
                <c:pt idx="527">
                  <c:v>5.9294748306274414</c:v>
                </c:pt>
                <c:pt idx="528">
                  <c:v>5.9127936363220215</c:v>
                </c:pt>
                <c:pt idx="529">
                  <c:v>5.9063982963562012</c:v>
                </c:pt>
                <c:pt idx="530">
                  <c:v>5.974700927734375</c:v>
                </c:pt>
                <c:pt idx="531">
                  <c:v>5.9712376594543457</c:v>
                </c:pt>
                <c:pt idx="532">
                  <c:v>6.0443334579467773</c:v>
                </c:pt>
                <c:pt idx="533">
                  <c:v>5.9835629463195801</c:v>
                </c:pt>
                <c:pt idx="534">
                  <c:v>6.1175651550292969</c:v>
                </c:pt>
                <c:pt idx="535">
                  <c:v>6.0151610374450684</c:v>
                </c:pt>
                <c:pt idx="536">
                  <c:v>5.887169361114502</c:v>
                </c:pt>
                <c:pt idx="537">
                  <c:v>5.9759922027587891</c:v>
                </c:pt>
                <c:pt idx="538">
                  <c:v>5.9625430107116699</c:v>
                </c:pt>
                <c:pt idx="539">
                  <c:v>5.8159255981445313</c:v>
                </c:pt>
                <c:pt idx="540">
                  <c:v>5.8059902191162109</c:v>
                </c:pt>
                <c:pt idx="541">
                  <c:v>5.8746223449707031</c:v>
                </c:pt>
                <c:pt idx="542">
                  <c:v>5.9140009880065918</c:v>
                </c:pt>
                <c:pt idx="543">
                  <c:v>5.9247899055480957</c:v>
                </c:pt>
                <c:pt idx="544">
                  <c:v>5.8122854232788086</c:v>
                </c:pt>
                <c:pt idx="545">
                  <c:v>5.9048676490783691</c:v>
                </c:pt>
                <c:pt idx="546">
                  <c:v>5.8764429092407227</c:v>
                </c:pt>
                <c:pt idx="547">
                  <c:v>5.8169026374816895</c:v>
                </c:pt>
                <c:pt idx="548">
                  <c:v>5.8554344177246094</c:v>
                </c:pt>
                <c:pt idx="549">
                  <c:v>5.8620176315307617</c:v>
                </c:pt>
                <c:pt idx="550">
                  <c:v>5.8335700035095215</c:v>
                </c:pt>
                <c:pt idx="551">
                  <c:v>5.8569121360778809</c:v>
                </c:pt>
                <c:pt idx="552">
                  <c:v>5.873621940612793</c:v>
                </c:pt>
                <c:pt idx="553">
                  <c:v>5.8136367797851563</c:v>
                </c:pt>
                <c:pt idx="554">
                  <c:v>5.8014421463012695</c:v>
                </c:pt>
                <c:pt idx="555">
                  <c:v>5.7336812019348145</c:v>
                </c:pt>
                <c:pt idx="556">
                  <c:v>5.8656501770019531</c:v>
                </c:pt>
                <c:pt idx="557">
                  <c:v>5.9302153587341309</c:v>
                </c:pt>
                <c:pt idx="558">
                  <c:v>5.7517046928405762</c:v>
                </c:pt>
                <c:pt idx="559">
                  <c:v>5.8716940879821777</c:v>
                </c:pt>
                <c:pt idx="560">
                  <c:v>6.0668292045593262</c:v>
                </c:pt>
                <c:pt idx="561">
                  <c:v>6.0358810424804688</c:v>
                </c:pt>
                <c:pt idx="562">
                  <c:v>6.0904474258422852</c:v>
                </c:pt>
                <c:pt idx="563">
                  <c:v>6.0505056381225586</c:v>
                </c:pt>
                <c:pt idx="564">
                  <c:v>6.1028485298156738</c:v>
                </c:pt>
                <c:pt idx="565">
                  <c:v>6.0348272323608398</c:v>
                </c:pt>
                <c:pt idx="566">
                  <c:v>6.1579070091247559</c:v>
                </c:pt>
                <c:pt idx="567">
                  <c:v>6.1657609939575195</c:v>
                </c:pt>
                <c:pt idx="568">
                  <c:v>6.1507053375244141</c:v>
                </c:pt>
                <c:pt idx="569">
                  <c:v>6.2005500793457031</c:v>
                </c:pt>
                <c:pt idx="570">
                  <c:v>6.1501255035400391</c:v>
                </c:pt>
                <c:pt idx="571">
                  <c:v>6.2165040969848633</c:v>
                </c:pt>
                <c:pt idx="572">
                  <c:v>6.2925910949707031</c:v>
                </c:pt>
                <c:pt idx="573">
                  <c:v>6.2892169952392578</c:v>
                </c:pt>
                <c:pt idx="574">
                  <c:v>6.3052849769592285</c:v>
                </c:pt>
                <c:pt idx="575">
                  <c:v>6.3025593757629395</c:v>
                </c:pt>
                <c:pt idx="576">
                  <c:v>6.4403653144836426</c:v>
                </c:pt>
                <c:pt idx="577">
                  <c:v>6.3469300270080566</c:v>
                </c:pt>
                <c:pt idx="578">
                  <c:v>6.2982306480407715</c:v>
                </c:pt>
                <c:pt idx="579">
                  <c:v>6.3315176963806152</c:v>
                </c:pt>
                <c:pt idx="580">
                  <c:v>6.3482537269592285</c:v>
                </c:pt>
                <c:pt idx="581">
                  <c:v>6.2115697860717773</c:v>
                </c:pt>
                <c:pt idx="582">
                  <c:v>6.2374634742736816</c:v>
                </c:pt>
                <c:pt idx="583">
                  <c:v>6.2757120132446289</c:v>
                </c:pt>
                <c:pt idx="584">
                  <c:v>6.3072929382324219</c:v>
                </c:pt>
                <c:pt idx="585">
                  <c:v>6.2959213256835938</c:v>
                </c:pt>
                <c:pt idx="586">
                  <c:v>6.307497501373291</c:v>
                </c:pt>
                <c:pt idx="587">
                  <c:v>6.2800660133361816</c:v>
                </c:pt>
                <c:pt idx="588">
                  <c:v>6.2920880317687988</c:v>
                </c:pt>
                <c:pt idx="589">
                  <c:v>6.2388038635253906</c:v>
                </c:pt>
                <c:pt idx="590">
                  <c:v>6.2660441398620605</c:v>
                </c:pt>
                <c:pt idx="591">
                  <c:v>6.2981276512145996</c:v>
                </c:pt>
                <c:pt idx="592">
                  <c:v>6.2991600036621094</c:v>
                </c:pt>
                <c:pt idx="593">
                  <c:v>6.2569518089294434</c:v>
                </c:pt>
                <c:pt idx="594">
                  <c:v>6.2529120445251465</c:v>
                </c:pt>
                <c:pt idx="595">
                  <c:v>6.2839159965515137</c:v>
                </c:pt>
                <c:pt idx="596">
                  <c:v>6.2018966674804688</c:v>
                </c:pt>
                <c:pt idx="597">
                  <c:v>6.1150364875793457</c:v>
                </c:pt>
                <c:pt idx="598">
                  <c:v>6.1732010841369629</c:v>
                </c:pt>
                <c:pt idx="599">
                  <c:v>6.3493924140930176</c:v>
                </c:pt>
                <c:pt idx="600">
                  <c:v>6.3328447341918945</c:v>
                </c:pt>
                <c:pt idx="601">
                  <c:v>6.4823389053344727</c:v>
                </c:pt>
                <c:pt idx="602">
                  <c:v>6.3024682998657227</c:v>
                </c:pt>
                <c:pt idx="603">
                  <c:v>6.4040184020996094</c:v>
                </c:pt>
                <c:pt idx="604">
                  <c:v>6.3804903030395508</c:v>
                </c:pt>
                <c:pt idx="605">
                  <c:v>6.5260910987854004</c:v>
                </c:pt>
                <c:pt idx="606">
                  <c:v>6.4547257423400879</c:v>
                </c:pt>
                <c:pt idx="607">
                  <c:v>6.4758262634277344</c:v>
                </c:pt>
                <c:pt idx="608">
                  <c:v>6.5929756164550781</c:v>
                </c:pt>
                <c:pt idx="609">
                  <c:v>6.6108040809631348</c:v>
                </c:pt>
                <c:pt idx="610">
                  <c:v>6.6304116249084473</c:v>
                </c:pt>
                <c:pt idx="611">
                  <c:v>6.7739925384521484</c:v>
                </c:pt>
                <c:pt idx="612">
                  <c:v>6.6675705909729004</c:v>
                </c:pt>
                <c:pt idx="613">
                  <c:v>6.8035092353820801</c:v>
                </c:pt>
                <c:pt idx="614">
                  <c:v>6.8062052726745605</c:v>
                </c:pt>
                <c:pt idx="615">
                  <c:v>6.8493509292602539</c:v>
                </c:pt>
                <c:pt idx="616">
                  <c:v>6.8552393913269043</c:v>
                </c:pt>
                <c:pt idx="617">
                  <c:v>6.9724612236022949</c:v>
                </c:pt>
                <c:pt idx="618">
                  <c:v>7.0448493957519531</c:v>
                </c:pt>
                <c:pt idx="619">
                  <c:v>7.0191354751586914</c:v>
                </c:pt>
                <c:pt idx="620">
                  <c:v>7.1947722434997559</c:v>
                </c:pt>
                <c:pt idx="621">
                  <c:v>7.0674247741699219</c:v>
                </c:pt>
                <c:pt idx="622">
                  <c:v>6.8945884704589844</c:v>
                </c:pt>
                <c:pt idx="623">
                  <c:v>6.8142986297607422</c:v>
                </c:pt>
                <c:pt idx="624">
                  <c:v>6.9375476837158203</c:v>
                </c:pt>
                <c:pt idx="625">
                  <c:v>7.0083503723144531</c:v>
                </c:pt>
                <c:pt idx="626">
                  <c:v>7.1158347129821777</c:v>
                </c:pt>
                <c:pt idx="627">
                  <c:v>7.0998134613037109</c:v>
                </c:pt>
                <c:pt idx="628">
                  <c:v>6.9952192306518555</c:v>
                </c:pt>
                <c:pt idx="629">
                  <c:v>7.0825839042663574</c:v>
                </c:pt>
                <c:pt idx="630">
                  <c:v>7.0697751045227051</c:v>
                </c:pt>
                <c:pt idx="631">
                  <c:v>7.1109213829040527</c:v>
                </c:pt>
                <c:pt idx="632">
                  <c:v>7.0284223556518555</c:v>
                </c:pt>
                <c:pt idx="633">
                  <c:v>7.098416805267334</c:v>
                </c:pt>
                <c:pt idx="634">
                  <c:v>7.0951476097106934</c:v>
                </c:pt>
                <c:pt idx="635">
                  <c:v>7.1305108070373535</c:v>
                </c:pt>
                <c:pt idx="636">
                  <c:v>7.097203254699707</c:v>
                </c:pt>
                <c:pt idx="637">
                  <c:v>7.103309154510498</c:v>
                </c:pt>
                <c:pt idx="638">
                  <c:v>7.0077543258666992</c:v>
                </c:pt>
                <c:pt idx="639">
                  <c:v>7.1145877838134766</c:v>
                </c:pt>
                <c:pt idx="640">
                  <c:v>7.1245613098144531</c:v>
                </c:pt>
                <c:pt idx="641">
                  <c:v>6.8034915924072266</c:v>
                </c:pt>
                <c:pt idx="642">
                  <c:v>6.8557257652282715</c:v>
                </c:pt>
                <c:pt idx="643">
                  <c:v>7.244929313659668</c:v>
                </c:pt>
                <c:pt idx="644">
                  <c:v>7.3530464172363281</c:v>
                </c:pt>
                <c:pt idx="645">
                  <c:v>7.4045391082763672</c:v>
                </c:pt>
                <c:pt idx="646">
                  <c:v>7.453587532043457</c:v>
                </c:pt>
                <c:pt idx="647">
                  <c:v>7.4376883506774902</c:v>
                </c:pt>
                <c:pt idx="648">
                  <c:v>7.4373865127563477</c:v>
                </c:pt>
                <c:pt idx="649">
                  <c:v>7.3930802345275879</c:v>
                </c:pt>
                <c:pt idx="650">
                  <c:v>7.5337963104248047</c:v>
                </c:pt>
                <c:pt idx="651">
                  <c:v>7.5289669036865234</c:v>
                </c:pt>
                <c:pt idx="652">
                  <c:v>7.7299032211303711</c:v>
                </c:pt>
                <c:pt idx="653">
                  <c:v>7.710761547088623</c:v>
                </c:pt>
                <c:pt idx="654">
                  <c:v>7.8483867645263672</c:v>
                </c:pt>
                <c:pt idx="655">
                  <c:v>7.8600711822509766</c:v>
                </c:pt>
                <c:pt idx="656">
                  <c:v>7.9726991653442383</c:v>
                </c:pt>
                <c:pt idx="657">
                  <c:v>7.9698762893676758</c:v>
                </c:pt>
                <c:pt idx="658">
                  <c:v>8.0266733169555664</c:v>
                </c:pt>
                <c:pt idx="659">
                  <c:v>8.1305913925170898</c:v>
                </c:pt>
                <c:pt idx="660">
                  <c:v>8.1307144165039063</c:v>
                </c:pt>
                <c:pt idx="661">
                  <c:v>8.284977912902832</c:v>
                </c:pt>
                <c:pt idx="662">
                  <c:v>8.4496669769287109</c:v>
                </c:pt>
                <c:pt idx="663">
                  <c:v>8.4690055847167969</c:v>
                </c:pt>
                <c:pt idx="664">
                  <c:v>8.3510608673095703</c:v>
                </c:pt>
                <c:pt idx="665">
                  <c:v>8.2886486053466797</c:v>
                </c:pt>
                <c:pt idx="666">
                  <c:v>8.4123640060424805</c:v>
                </c:pt>
                <c:pt idx="667">
                  <c:v>8.475184440612793</c:v>
                </c:pt>
                <c:pt idx="668">
                  <c:v>8.6218700408935547</c:v>
                </c:pt>
                <c:pt idx="669">
                  <c:v>8.8462677001953125</c:v>
                </c:pt>
                <c:pt idx="670">
                  <c:v>8.835113525390625</c:v>
                </c:pt>
                <c:pt idx="671">
                  <c:v>8.6120977401733398</c:v>
                </c:pt>
                <c:pt idx="672">
                  <c:v>8.5724611282348633</c:v>
                </c:pt>
                <c:pt idx="673">
                  <c:v>8.6816797256469727</c:v>
                </c:pt>
                <c:pt idx="674">
                  <c:v>8.7696456909179688</c:v>
                </c:pt>
                <c:pt idx="675">
                  <c:v>8.8316335678100586</c:v>
                </c:pt>
                <c:pt idx="676">
                  <c:v>8.7806396484375</c:v>
                </c:pt>
                <c:pt idx="677">
                  <c:v>8.8262147903442383</c:v>
                </c:pt>
                <c:pt idx="678">
                  <c:v>8.9120283126831055</c:v>
                </c:pt>
                <c:pt idx="679">
                  <c:v>9.0060672760009766</c:v>
                </c:pt>
                <c:pt idx="680">
                  <c:v>9.0289707183837891</c:v>
                </c:pt>
                <c:pt idx="681">
                  <c:v>9.0292825698852539</c:v>
                </c:pt>
                <c:pt idx="682">
                  <c:v>8.888763427734375</c:v>
                </c:pt>
                <c:pt idx="683">
                  <c:v>8.7931833267211914</c:v>
                </c:pt>
                <c:pt idx="684">
                  <c:v>9.111445426940918</c:v>
                </c:pt>
                <c:pt idx="685">
                  <c:v>9.2976903915405273</c:v>
                </c:pt>
                <c:pt idx="686">
                  <c:v>9.3350315093994141</c:v>
                </c:pt>
                <c:pt idx="687">
                  <c:v>9.3611936569213867</c:v>
                </c:pt>
                <c:pt idx="688">
                  <c:v>9.4364652633666992</c:v>
                </c:pt>
                <c:pt idx="689">
                  <c:v>9.5500278472900391</c:v>
                </c:pt>
                <c:pt idx="690">
                  <c:v>9.6100654602050781</c:v>
                </c:pt>
                <c:pt idx="691">
                  <c:v>9.5911130905151367</c:v>
                </c:pt>
                <c:pt idx="692">
                  <c:v>9.6650514602661133</c:v>
                </c:pt>
                <c:pt idx="693">
                  <c:v>9.7608413696289063</c:v>
                </c:pt>
                <c:pt idx="694">
                  <c:v>9.8115577697753906</c:v>
                </c:pt>
                <c:pt idx="695">
                  <c:v>10.007939338684082</c:v>
                </c:pt>
                <c:pt idx="696">
                  <c:v>10.090837478637695</c:v>
                </c:pt>
                <c:pt idx="697">
                  <c:v>10.148394584655762</c:v>
                </c:pt>
                <c:pt idx="698">
                  <c:v>10.182427406311035</c:v>
                </c:pt>
                <c:pt idx="699">
                  <c:v>10.308775901794434</c:v>
                </c:pt>
                <c:pt idx="700">
                  <c:v>10.346529006958008</c:v>
                </c:pt>
                <c:pt idx="701">
                  <c:v>10.423952102661133</c:v>
                </c:pt>
                <c:pt idx="702">
                  <c:v>10.559271812438965</c:v>
                </c:pt>
                <c:pt idx="703">
                  <c:v>10.843105316162109</c:v>
                </c:pt>
                <c:pt idx="704">
                  <c:v>10.902026176452637</c:v>
                </c:pt>
                <c:pt idx="705">
                  <c:v>10.906864166259766</c:v>
                </c:pt>
                <c:pt idx="706">
                  <c:v>11.053343772888184</c:v>
                </c:pt>
                <c:pt idx="707">
                  <c:v>11.072042465209961</c:v>
                </c:pt>
                <c:pt idx="708">
                  <c:v>11.197653770446777</c:v>
                </c:pt>
                <c:pt idx="709">
                  <c:v>11.290805816650391</c:v>
                </c:pt>
                <c:pt idx="710">
                  <c:v>11.342378616333008</c:v>
                </c:pt>
                <c:pt idx="711">
                  <c:v>11.412006378173828</c:v>
                </c:pt>
                <c:pt idx="712">
                  <c:v>11.391427040100098</c:v>
                </c:pt>
                <c:pt idx="713">
                  <c:v>11.559188842773438</c:v>
                </c:pt>
                <c:pt idx="714">
                  <c:v>11.609992027282715</c:v>
                </c:pt>
                <c:pt idx="715">
                  <c:v>11.728346824645996</c:v>
                </c:pt>
                <c:pt idx="716">
                  <c:v>11.817200660705566</c:v>
                </c:pt>
                <c:pt idx="717">
                  <c:v>11.77674674987793</c:v>
                </c:pt>
                <c:pt idx="718">
                  <c:v>11.811915397644043</c:v>
                </c:pt>
                <c:pt idx="719">
                  <c:v>11.936471939086914</c:v>
                </c:pt>
                <c:pt idx="720">
                  <c:v>12.048380851745605</c:v>
                </c:pt>
                <c:pt idx="721">
                  <c:v>12.200541496276855</c:v>
                </c:pt>
                <c:pt idx="722">
                  <c:v>12.256853103637695</c:v>
                </c:pt>
                <c:pt idx="723">
                  <c:v>12.352665901184082</c:v>
                </c:pt>
                <c:pt idx="724">
                  <c:v>12.251193046569824</c:v>
                </c:pt>
                <c:pt idx="725">
                  <c:v>12.119719505310059</c:v>
                </c:pt>
                <c:pt idx="726">
                  <c:v>12.441530227661133</c:v>
                </c:pt>
                <c:pt idx="727">
                  <c:v>12.544261932373047</c:v>
                </c:pt>
                <c:pt idx="728">
                  <c:v>12.659913063049316</c:v>
                </c:pt>
                <c:pt idx="729">
                  <c:v>12.784829139709473</c:v>
                </c:pt>
                <c:pt idx="730">
                  <c:v>12.840182304382324</c:v>
                </c:pt>
                <c:pt idx="731">
                  <c:v>12.934507369995117</c:v>
                </c:pt>
                <c:pt idx="732">
                  <c:v>12.909475326538086</c:v>
                </c:pt>
                <c:pt idx="733">
                  <c:v>13.014430999755859</c:v>
                </c:pt>
                <c:pt idx="734">
                  <c:v>13.176577568054199</c:v>
                </c:pt>
                <c:pt idx="735">
                  <c:v>13.411989212036133</c:v>
                </c:pt>
                <c:pt idx="736">
                  <c:v>13.435173988342285</c:v>
                </c:pt>
                <c:pt idx="737">
                  <c:v>13.595412254333496</c:v>
                </c:pt>
                <c:pt idx="738">
                  <c:v>13.69171142578125</c:v>
                </c:pt>
                <c:pt idx="739">
                  <c:v>13.904150009155273</c:v>
                </c:pt>
                <c:pt idx="740">
                  <c:v>13.88575267791748</c:v>
                </c:pt>
                <c:pt idx="741">
                  <c:v>13.964390754699707</c:v>
                </c:pt>
                <c:pt idx="742">
                  <c:v>14.08155345916748</c:v>
                </c:pt>
                <c:pt idx="743">
                  <c:v>14.303678512573242</c:v>
                </c:pt>
                <c:pt idx="744">
                  <c:v>14.587233543395996</c:v>
                </c:pt>
                <c:pt idx="745">
                  <c:v>14.794561386108398</c:v>
                </c:pt>
                <c:pt idx="746">
                  <c:v>14.83957576751709</c:v>
                </c:pt>
                <c:pt idx="747">
                  <c:v>15.108944892883301</c:v>
                </c:pt>
                <c:pt idx="748">
                  <c:v>15.270101547241211</c:v>
                </c:pt>
                <c:pt idx="749">
                  <c:v>15.337005615234375</c:v>
                </c:pt>
                <c:pt idx="750">
                  <c:v>15.56580638885498</c:v>
                </c:pt>
                <c:pt idx="751">
                  <c:v>15.664265632629395</c:v>
                </c:pt>
                <c:pt idx="752">
                  <c:v>15.896054267883301</c:v>
                </c:pt>
                <c:pt idx="753">
                  <c:v>16.091180801391602</c:v>
                </c:pt>
                <c:pt idx="754">
                  <c:v>16.182994842529297</c:v>
                </c:pt>
                <c:pt idx="755">
                  <c:v>16.346292495727539</c:v>
                </c:pt>
                <c:pt idx="756">
                  <c:v>16.528667449951172</c:v>
                </c:pt>
                <c:pt idx="757">
                  <c:v>16.714424133300781</c:v>
                </c:pt>
                <c:pt idx="758">
                  <c:v>16.891220092773438</c:v>
                </c:pt>
                <c:pt idx="759">
                  <c:v>17.128433227539063</c:v>
                </c:pt>
                <c:pt idx="760">
                  <c:v>17.282634735107422</c:v>
                </c:pt>
                <c:pt idx="761">
                  <c:v>17.491739273071289</c:v>
                </c:pt>
                <c:pt idx="762">
                  <c:v>17.824256896972656</c:v>
                </c:pt>
                <c:pt idx="763">
                  <c:v>18.183193206787109</c:v>
                </c:pt>
                <c:pt idx="764">
                  <c:v>18.385129928588867</c:v>
                </c:pt>
                <c:pt idx="765">
                  <c:v>18.450178146362305</c:v>
                </c:pt>
                <c:pt idx="766">
                  <c:v>18.728425979614258</c:v>
                </c:pt>
                <c:pt idx="767">
                  <c:v>19.11332893371582</c:v>
                </c:pt>
                <c:pt idx="768">
                  <c:v>19.205326080322266</c:v>
                </c:pt>
                <c:pt idx="769">
                  <c:v>19.501913070678711</c:v>
                </c:pt>
                <c:pt idx="770">
                  <c:v>19.701080322265625</c:v>
                </c:pt>
                <c:pt idx="771">
                  <c:v>20.007802963256836</c:v>
                </c:pt>
                <c:pt idx="772">
                  <c:v>20.290647506713867</c:v>
                </c:pt>
                <c:pt idx="773">
                  <c:v>20.571680068969727</c:v>
                </c:pt>
                <c:pt idx="774">
                  <c:v>20.927925109863281</c:v>
                </c:pt>
                <c:pt idx="775">
                  <c:v>21.282114028930664</c:v>
                </c:pt>
                <c:pt idx="776">
                  <c:v>21.738595962524414</c:v>
                </c:pt>
                <c:pt idx="777">
                  <c:v>22.003211975097656</c:v>
                </c:pt>
                <c:pt idx="778">
                  <c:v>22.351108551025391</c:v>
                </c:pt>
                <c:pt idx="779">
                  <c:v>22.889308929443359</c:v>
                </c:pt>
                <c:pt idx="780">
                  <c:v>23.212551116943359</c:v>
                </c:pt>
                <c:pt idx="781">
                  <c:v>23.668689727783203</c:v>
                </c:pt>
                <c:pt idx="782">
                  <c:v>24.175027847290039</c:v>
                </c:pt>
                <c:pt idx="783">
                  <c:v>24.622171401977539</c:v>
                </c:pt>
                <c:pt idx="784">
                  <c:v>25.017478942871094</c:v>
                </c:pt>
                <c:pt idx="785">
                  <c:v>25.615488052368164</c:v>
                </c:pt>
                <c:pt idx="786">
                  <c:v>26.334280014038086</c:v>
                </c:pt>
                <c:pt idx="787">
                  <c:v>27.125289916992188</c:v>
                </c:pt>
                <c:pt idx="788">
                  <c:v>27.958438873291016</c:v>
                </c:pt>
                <c:pt idx="789">
                  <c:v>28.824140548706055</c:v>
                </c:pt>
                <c:pt idx="790">
                  <c:v>29.704540252685547</c:v>
                </c:pt>
                <c:pt idx="791">
                  <c:v>30.585084915161133</c:v>
                </c:pt>
                <c:pt idx="792">
                  <c:v>31.435718536376953</c:v>
                </c:pt>
                <c:pt idx="793">
                  <c:v>32.564628601074219</c:v>
                </c:pt>
                <c:pt idx="794">
                  <c:v>33.723537445068359</c:v>
                </c:pt>
                <c:pt idx="795">
                  <c:v>35.034934997558594</c:v>
                </c:pt>
                <c:pt idx="796">
                  <c:v>36.317829132080078</c:v>
                </c:pt>
                <c:pt idx="797">
                  <c:v>37.604923248291016</c:v>
                </c:pt>
                <c:pt idx="798">
                  <c:v>38.915782928466797</c:v>
                </c:pt>
                <c:pt idx="799">
                  <c:v>40.676937103271484</c:v>
                </c:pt>
                <c:pt idx="800">
                  <c:v>42.489906311035156</c:v>
                </c:pt>
                <c:pt idx="801">
                  <c:v>44.609470367431641</c:v>
                </c:pt>
                <c:pt idx="802">
                  <c:v>46.931564331054688</c:v>
                </c:pt>
                <c:pt idx="803">
                  <c:v>50.745548248291016</c:v>
                </c:pt>
                <c:pt idx="804">
                  <c:v>53.850517272949219</c:v>
                </c:pt>
                <c:pt idx="805">
                  <c:v>57.886962890625</c:v>
                </c:pt>
                <c:pt idx="806">
                  <c:v>61.00970458984375</c:v>
                </c:pt>
                <c:pt idx="807">
                  <c:v>68.188499450683594</c:v>
                </c:pt>
                <c:pt idx="808">
                  <c:v>71.302513122558594</c:v>
                </c:pt>
                <c:pt idx="809">
                  <c:v>69.4576416015625</c:v>
                </c:pt>
                <c:pt idx="810">
                  <c:v>57.031829833984375</c:v>
                </c:pt>
                <c:pt idx="811">
                  <c:v>55.233638763427734</c:v>
                </c:pt>
                <c:pt idx="812">
                  <c:v>56.205314636230469</c:v>
                </c:pt>
                <c:pt idx="813">
                  <c:v>58.717594146728516</c:v>
                </c:pt>
                <c:pt idx="814">
                  <c:v>60.982883453369141</c:v>
                </c:pt>
                <c:pt idx="815">
                  <c:v>64.854034423828125</c:v>
                </c:pt>
                <c:pt idx="816">
                  <c:v>68.971649169921875</c:v>
                </c:pt>
                <c:pt idx="817">
                  <c:v>75.071304321289063</c:v>
                </c:pt>
                <c:pt idx="818">
                  <c:v>81.772735595703125</c:v>
                </c:pt>
                <c:pt idx="819">
                  <c:v>89.911842346191406</c:v>
                </c:pt>
                <c:pt idx="820">
                  <c:v>99.67291259765625</c:v>
                </c:pt>
                <c:pt idx="821">
                  <c:v>111.88826751708984</c:v>
                </c:pt>
              </c:numCache>
            </c:numRef>
          </c:yVal>
          <c:smooth val="1"/>
          <c:extLst>
            <c:ext xmlns:c16="http://schemas.microsoft.com/office/drawing/2014/chart" uri="{C3380CC4-5D6E-409C-BE32-E72D297353CC}">
              <c16:uniqueId val="{00000004-065F-4201-BD7F-B2F9AF941BA7}"/>
            </c:ext>
          </c:extLst>
        </c:ser>
        <c:dLbls>
          <c:showLegendKey val="0"/>
          <c:showVal val="0"/>
          <c:showCatName val="0"/>
          <c:showSerName val="0"/>
          <c:showPercent val="0"/>
          <c:showBubbleSize val="0"/>
        </c:dLbls>
        <c:axId val="732752032"/>
        <c:axId val="732757608"/>
      </c:scatterChart>
      <c:valAx>
        <c:axId val="732752032"/>
        <c:scaling>
          <c:orientation val="minMax"/>
          <c:max val="45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757608"/>
        <c:crosses val="autoZero"/>
        <c:crossBetween val="midCat"/>
        <c:majorUnit val="50"/>
      </c:valAx>
      <c:valAx>
        <c:axId val="732757608"/>
        <c:scaling>
          <c:orientation val="minMax"/>
          <c:max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752032"/>
        <c:crosses val="autoZero"/>
        <c:crossBetween val="midCat"/>
      </c:valAx>
      <c:spPr>
        <a:noFill/>
        <a:ln w="25400">
          <a:noFill/>
        </a:ln>
        <a:effectLst/>
      </c:spPr>
    </c:plotArea>
    <c:legend>
      <c:legendPos val="r"/>
      <c:layout>
        <c:manualLayout>
          <c:xMode val="edge"/>
          <c:yMode val="edge"/>
          <c:x val="0.10802985564304464"/>
          <c:y val="6.597112860892386E-2"/>
          <c:w val="0.21305844806916796"/>
          <c:h val="0.28131935737332198"/>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333375</xdr:colOff>
          <xdr:row>1</xdr:row>
          <xdr:rowOff>104775</xdr:rowOff>
        </xdr:from>
        <xdr:to>
          <xdr:col>1</xdr:col>
          <xdr:colOff>790575</xdr:colOff>
          <xdr:row>3</xdr:row>
          <xdr:rowOff>114300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339587</xdr:colOff>
      <xdr:row>15</xdr:row>
      <xdr:rowOff>99184</xdr:rowOff>
    </xdr:from>
    <xdr:to>
      <xdr:col>30</xdr:col>
      <xdr:colOff>497343</xdr:colOff>
      <xdr:row>40</xdr:row>
      <xdr:rowOff>145866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290891" y="2956684"/>
          <a:ext cx="14254756" cy="4999682"/>
        </a:xfrm>
        <a:prstGeom prst="rect">
          <a:avLst/>
        </a:prstGeom>
      </xdr:spPr>
    </xdr:pic>
    <xdr:clientData/>
  </xdr:twoCellAnchor>
  <xdr:twoCellAnchor editAs="oneCell">
    <xdr:from>
      <xdr:col>7</xdr:col>
      <xdr:colOff>356152</xdr:colOff>
      <xdr:row>41</xdr:row>
      <xdr:rowOff>181550</xdr:rowOff>
    </xdr:from>
    <xdr:to>
      <xdr:col>30</xdr:col>
      <xdr:colOff>530087</xdr:colOff>
      <xdr:row>71</xdr:row>
      <xdr:rowOff>9789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8307456" y="8182550"/>
          <a:ext cx="14270935" cy="66613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xdr:colOff>
      <xdr:row>5</xdr:row>
      <xdr:rowOff>147637</xdr:rowOff>
    </xdr:from>
    <xdr:to>
      <xdr:col>12</xdr:col>
      <xdr:colOff>19050</xdr:colOff>
      <xdr:row>31</xdr:row>
      <xdr:rowOff>180975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112059</xdr:colOff>
      <xdr:row>9</xdr:row>
      <xdr:rowOff>11206</xdr:rowOff>
    </xdr:from>
    <xdr:to>
      <xdr:col>14</xdr:col>
      <xdr:colOff>649941</xdr:colOff>
      <xdr:row>22</xdr:row>
      <xdr:rowOff>171449</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376519</xdr:colOff>
      <xdr:row>8</xdr:row>
      <xdr:rowOff>156881</xdr:rowOff>
    </xdr:from>
    <xdr:to>
      <xdr:col>36</xdr:col>
      <xdr:colOff>448234</xdr:colOff>
      <xdr:row>22</xdr:row>
      <xdr:rowOff>16247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19050</xdr:rowOff>
    </xdr:from>
    <xdr:to>
      <xdr:col>11</xdr:col>
      <xdr:colOff>552449</xdr:colOff>
      <xdr:row>33</xdr:row>
      <xdr:rowOff>152400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EOS/Projects/400190%20-%20EOS%20Equipment%20Specifications%20Presentation/SCM%20Power%20Curves"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4:C13"/>
  <sheetViews>
    <sheetView workbookViewId="0">
      <selection activeCell="C17" sqref="C17"/>
    </sheetView>
  </sheetViews>
  <sheetFormatPr defaultRowHeight="15" x14ac:dyDescent="0.25"/>
  <cols>
    <col min="2" max="2" width="7.140625" customWidth="1"/>
    <col min="3" max="3" width="63.85546875" customWidth="1"/>
  </cols>
  <sheetData>
    <row r="4" spans="1:3" ht="30" customHeight="1" x14ac:dyDescent="0.25">
      <c r="A4" s="192">
        <v>1</v>
      </c>
      <c r="B4" s="192" t="s">
        <v>183</v>
      </c>
      <c r="C4" t="s">
        <v>387</v>
      </c>
    </row>
    <row r="5" spans="1:3" ht="30" customHeight="1" x14ac:dyDescent="0.25">
      <c r="A5" s="192">
        <v>2</v>
      </c>
      <c r="B5" s="192" t="s">
        <v>312</v>
      </c>
      <c r="C5" t="s">
        <v>388</v>
      </c>
    </row>
    <row r="6" spans="1:3" ht="30" customHeight="1" x14ac:dyDescent="0.25">
      <c r="A6" s="192">
        <v>3</v>
      </c>
      <c r="B6" s="192" t="s">
        <v>183</v>
      </c>
      <c r="C6" t="s">
        <v>389</v>
      </c>
    </row>
    <row r="7" spans="1:3" ht="30" customHeight="1" x14ac:dyDescent="0.25">
      <c r="A7" s="192">
        <v>4</v>
      </c>
      <c r="B7" s="192" t="s">
        <v>312</v>
      </c>
      <c r="C7" t="s">
        <v>390</v>
      </c>
    </row>
    <row r="8" spans="1:3" ht="30" customHeight="1" x14ac:dyDescent="0.25">
      <c r="A8" s="192">
        <v>5</v>
      </c>
      <c r="B8" s="192" t="s">
        <v>184</v>
      </c>
      <c r="C8" t="s">
        <v>391</v>
      </c>
    </row>
    <row r="9" spans="1:3" ht="30" customHeight="1" x14ac:dyDescent="0.25">
      <c r="A9" s="192">
        <v>6</v>
      </c>
      <c r="B9" s="192" t="s">
        <v>183</v>
      </c>
      <c r="C9" t="s">
        <v>392</v>
      </c>
    </row>
    <row r="10" spans="1:3" ht="30" customHeight="1" x14ac:dyDescent="0.25">
      <c r="A10" s="192">
        <v>7</v>
      </c>
      <c r="B10" s="192" t="s">
        <v>183</v>
      </c>
      <c r="C10" t="s">
        <v>397</v>
      </c>
    </row>
    <row r="11" spans="1:3" ht="30" customHeight="1" x14ac:dyDescent="0.25">
      <c r="A11" s="192">
        <v>8</v>
      </c>
      <c r="B11" s="192" t="s">
        <v>393</v>
      </c>
      <c r="C11" t="s">
        <v>394</v>
      </c>
    </row>
    <row r="12" spans="1:3" ht="30" customHeight="1" x14ac:dyDescent="0.25">
      <c r="A12" s="192">
        <v>9</v>
      </c>
      <c r="B12" s="192" t="s">
        <v>393</v>
      </c>
      <c r="C12" t="s">
        <v>395</v>
      </c>
    </row>
    <row r="13" spans="1:3" ht="30" customHeight="1" x14ac:dyDescent="0.25">
      <c r="A13" s="192">
        <v>10</v>
      </c>
      <c r="B13" s="192" t="s">
        <v>184</v>
      </c>
      <c r="C13" t="s">
        <v>396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2882"/>
  <sheetViews>
    <sheetView workbookViewId="0">
      <selection activeCell="B7" sqref="B7"/>
    </sheetView>
  </sheetViews>
  <sheetFormatPr defaultRowHeight="15" x14ac:dyDescent="0.25"/>
  <cols>
    <col min="1" max="1" width="21.140625" customWidth="1"/>
    <col min="2" max="2" width="28.140625" customWidth="1"/>
  </cols>
  <sheetData>
    <row r="1" spans="1:23" x14ac:dyDescent="0.25">
      <c r="A1" t="s">
        <v>80</v>
      </c>
      <c r="N1" t="s">
        <v>125</v>
      </c>
      <c r="O1" t="s">
        <v>126</v>
      </c>
      <c r="P1" t="s">
        <v>127</v>
      </c>
      <c r="Q1" t="s">
        <v>131</v>
      </c>
      <c r="R1" t="s">
        <v>132</v>
      </c>
      <c r="S1" t="s">
        <v>133</v>
      </c>
      <c r="T1" t="s">
        <v>134</v>
      </c>
      <c r="U1" t="s">
        <v>135</v>
      </c>
      <c r="V1" t="s">
        <v>136</v>
      </c>
      <c r="W1" t="s">
        <v>137</v>
      </c>
    </row>
    <row r="2" spans="1:23" x14ac:dyDescent="0.25">
      <c r="M2" t="s">
        <v>130</v>
      </c>
      <c r="N2" s="19" t="s">
        <v>84</v>
      </c>
      <c r="O2" s="19" t="s">
        <v>429</v>
      </c>
      <c r="P2" s="19" t="s">
        <v>430</v>
      </c>
      <c r="Q2" s="19" t="s">
        <v>431</v>
      </c>
      <c r="R2" s="19"/>
      <c r="S2" s="19"/>
      <c r="T2" s="19"/>
      <c r="U2" s="19"/>
      <c r="V2" s="19"/>
      <c r="W2" s="19"/>
    </row>
    <row r="3" spans="1:23" x14ac:dyDescent="0.25">
      <c r="M3">
        <v>0</v>
      </c>
      <c r="N3" s="214">
        <v>12.849464416503906</v>
      </c>
      <c r="O3" s="214">
        <v>21.01513671875</v>
      </c>
      <c r="P3" s="214">
        <v>12.623592376708901</v>
      </c>
      <c r="Q3" s="214">
        <v>11.557280540466309</v>
      </c>
    </row>
    <row r="4" spans="1:23" x14ac:dyDescent="0.25">
      <c r="M4">
        <v>0.5</v>
      </c>
      <c r="N4" s="214">
        <v>13.399208068847656</v>
      </c>
      <c r="O4" s="214">
        <v>21.007684707641602</v>
      </c>
      <c r="P4" s="214">
        <v>13.009713172912598</v>
      </c>
      <c r="Q4" s="214">
        <v>11.654475212097168</v>
      </c>
    </row>
    <row r="5" spans="1:23" x14ac:dyDescent="0.25">
      <c r="A5" s="21" t="s">
        <v>268</v>
      </c>
      <c r="B5" s="130" t="s">
        <v>439</v>
      </c>
      <c r="M5">
        <v>1</v>
      </c>
      <c r="N5" s="214">
        <v>14.249087333679199</v>
      </c>
      <c r="O5" s="214">
        <v>21.675853729248047</v>
      </c>
      <c r="P5" s="214">
        <v>13.351720809936523</v>
      </c>
      <c r="Q5" s="214">
        <v>12.163804054260254</v>
      </c>
    </row>
    <row r="6" spans="1:23" x14ac:dyDescent="0.25">
      <c r="A6" s="21" t="s">
        <v>310</v>
      </c>
      <c r="B6" s="130">
        <v>100.5</v>
      </c>
      <c r="I6" t="str">
        <f>N2</f>
        <v>Pilot</v>
      </c>
      <c r="J6" s="218">
        <f ca="1">_xlfn.IFNA(LOOKUP(100,N3:N9000,M3:M9001),0)</f>
        <v>429</v>
      </c>
      <c r="K6" t="str">
        <f ca="1">IF(J6="","",TRUNC(J6/60,0)&amp;"hr:"&amp;TRUNC((J6/60-TRUNC(J6/60,0))*60,0)&amp;"min")</f>
        <v>7hr:9min</v>
      </c>
      <c r="M6">
        <v>1.5</v>
      </c>
      <c r="N6" s="214">
        <v>14.5970458984375</v>
      </c>
      <c r="O6" s="214">
        <v>22.415407180786133</v>
      </c>
      <c r="P6" s="214">
        <v>13.64915943145752</v>
      </c>
      <c r="Q6" s="214">
        <v>12.301114082336426</v>
      </c>
    </row>
    <row r="7" spans="1:23" x14ac:dyDescent="0.25">
      <c r="A7" s="21" t="s">
        <v>0</v>
      </c>
      <c r="B7" s="130" t="s">
        <v>453</v>
      </c>
      <c r="I7" t="str">
        <f>O2</f>
        <v>Pilot Hes</v>
      </c>
      <c r="J7" s="218">
        <f ca="1">_xlfn.IFNA(LOOKUP(100,$O$3:$O$9000,$M$3:M9001),0)</f>
        <v>448.5</v>
      </c>
      <c r="K7" t="str">
        <f t="shared" ref="K7:K9" ca="1" si="0">IF(J7="","",TRUNC(J7/60,0)&amp;"hr:"&amp;TRUNC((J7/60-TRUNC(J7/60,0))*60,0)&amp;"min")</f>
        <v>7hr:28min</v>
      </c>
      <c r="M7">
        <v>2</v>
      </c>
      <c r="N7" s="214">
        <v>15.058060646057129</v>
      </c>
      <c r="O7" s="214">
        <v>22.262922286987305</v>
      </c>
      <c r="P7" s="214">
        <v>13.554137229919434</v>
      </c>
      <c r="Q7" s="214">
        <v>12.515594482421875</v>
      </c>
    </row>
    <row r="8" spans="1:23" x14ac:dyDescent="0.25">
      <c r="A8" s="21" t="s">
        <v>269</v>
      </c>
      <c r="B8" s="130" t="s">
        <v>408</v>
      </c>
      <c r="I8" t="str">
        <f>P2</f>
        <v>FB</v>
      </c>
      <c r="J8" s="218">
        <f ca="1">_xlfn.IFNA(LOOKUP(100,$P$3:$P$9000,$M$3:M9002),0)</f>
        <v>433</v>
      </c>
      <c r="K8" t="str">
        <f t="shared" ca="1" si="0"/>
        <v>7hr:13min</v>
      </c>
      <c r="M8">
        <v>2.5</v>
      </c>
      <c r="N8" s="214">
        <v>15.426405906677246</v>
      </c>
      <c r="O8" s="214">
        <v>22.493438720703125</v>
      </c>
      <c r="P8" s="214">
        <v>13.502267837524414</v>
      </c>
      <c r="Q8" s="214">
        <v>12.370504379272461</v>
      </c>
    </row>
    <row r="9" spans="1:23" x14ac:dyDescent="0.25">
      <c r="A9" s="21" t="s">
        <v>270</v>
      </c>
      <c r="B9" s="130" t="s">
        <v>409</v>
      </c>
      <c r="I9" t="str">
        <f>Q2</f>
        <v>FB Hes</v>
      </c>
      <c r="J9" s="218">
        <f ca="1">_xlfn.IFNA(LOOKUP(100,$Q$3:$Q$9000,$M$3:M9003),0)</f>
        <v>410</v>
      </c>
      <c r="K9" t="str">
        <f t="shared" ca="1" si="0"/>
        <v>6hr:50min</v>
      </c>
      <c r="M9">
        <v>3</v>
      </c>
      <c r="N9" s="214">
        <v>15.697866439819336</v>
      </c>
      <c r="O9" s="214">
        <v>23.020359039306641</v>
      </c>
      <c r="P9" s="214">
        <v>13.473445892333984</v>
      </c>
      <c r="Q9" s="214">
        <v>12.33164119720459</v>
      </c>
    </row>
    <row r="10" spans="1:23" x14ac:dyDescent="0.25">
      <c r="A10" s="21" t="s">
        <v>271</v>
      </c>
      <c r="B10" s="130" t="s">
        <v>440</v>
      </c>
      <c r="M10">
        <v>3.5</v>
      </c>
      <c r="N10" s="214">
        <v>15.890993118286133</v>
      </c>
      <c r="O10" s="214">
        <v>22.495538711547852</v>
      </c>
      <c r="P10" s="214">
        <v>13.317850112915039</v>
      </c>
      <c r="Q10" s="214">
        <v>12.024600028991699</v>
      </c>
    </row>
    <row r="11" spans="1:23" x14ac:dyDescent="0.25">
      <c r="A11" s="21" t="s">
        <v>272</v>
      </c>
      <c r="B11" s="130" t="s">
        <v>410</v>
      </c>
      <c r="M11">
        <v>4</v>
      </c>
      <c r="N11" s="214">
        <v>15.957802772521973</v>
      </c>
      <c r="O11" s="214">
        <v>22.752571105957031</v>
      </c>
      <c r="P11" s="214">
        <v>13.26500415802002</v>
      </c>
      <c r="Q11" s="214">
        <v>11.976584434509277</v>
      </c>
    </row>
    <row r="12" spans="1:23" x14ac:dyDescent="0.25">
      <c r="A12" s="21" t="s">
        <v>273</v>
      </c>
      <c r="B12" s="130" t="s">
        <v>411</v>
      </c>
      <c r="M12">
        <v>4.5</v>
      </c>
      <c r="N12" s="214">
        <v>15.984580993652344</v>
      </c>
      <c r="O12" s="214">
        <v>22.693227767944336</v>
      </c>
      <c r="P12" s="214">
        <v>13.144404411315918</v>
      </c>
      <c r="Q12" s="214">
        <v>11.755152702331543</v>
      </c>
    </row>
    <row r="13" spans="1:23" x14ac:dyDescent="0.25">
      <c r="A13" s="21" t="s">
        <v>274</v>
      </c>
      <c r="B13" s="130" t="s">
        <v>441</v>
      </c>
      <c r="M13">
        <v>5</v>
      </c>
      <c r="N13" s="214">
        <v>15.92387580871582</v>
      </c>
      <c r="O13" s="214">
        <v>21.951101303100586</v>
      </c>
      <c r="P13" s="214">
        <v>13.060375213623047</v>
      </c>
      <c r="Q13" s="214">
        <v>11.577266693115234</v>
      </c>
    </row>
    <row r="14" spans="1:23" x14ac:dyDescent="0.25">
      <c r="A14" s="21" t="s">
        <v>275</v>
      </c>
      <c r="B14" s="130" t="s">
        <v>441</v>
      </c>
      <c r="M14">
        <v>5.5</v>
      </c>
      <c r="N14" s="214">
        <v>15.698515892028809</v>
      </c>
      <c r="O14" s="214">
        <v>21.804544448852539</v>
      </c>
      <c r="P14" s="214">
        <v>13.013442039489746</v>
      </c>
      <c r="Q14" s="214">
        <v>11.539628028869629</v>
      </c>
    </row>
    <row r="15" spans="1:23" x14ac:dyDescent="0.25">
      <c r="A15" s="21" t="s">
        <v>276</v>
      </c>
      <c r="B15" s="130">
        <v>1885</v>
      </c>
      <c r="M15">
        <v>6</v>
      </c>
      <c r="N15" s="214">
        <v>15.56025505065918</v>
      </c>
      <c r="O15" s="214">
        <v>21.567226409912109</v>
      </c>
      <c r="P15" s="214">
        <v>12.803963661193848</v>
      </c>
      <c r="Q15" s="214">
        <v>11.483759880065918</v>
      </c>
    </row>
    <row r="16" spans="1:23" x14ac:dyDescent="0.25">
      <c r="A16" s="21" t="s">
        <v>277</v>
      </c>
      <c r="B16" s="130" t="s">
        <v>442</v>
      </c>
      <c r="M16">
        <v>6.5</v>
      </c>
      <c r="N16" s="214">
        <v>15.109652519226074</v>
      </c>
      <c r="O16" s="214">
        <v>21.138618469238281</v>
      </c>
      <c r="P16" s="214">
        <v>12.682500839233398</v>
      </c>
      <c r="Q16" s="214">
        <v>11.396731376647949</v>
      </c>
    </row>
    <row r="17" spans="1:17" x14ac:dyDescent="0.25">
      <c r="A17" s="21" t="s">
        <v>278</v>
      </c>
      <c r="B17" s="130">
        <v>98</v>
      </c>
      <c r="M17">
        <v>7</v>
      </c>
      <c r="N17" s="214">
        <v>14.993460655212402</v>
      </c>
      <c r="O17" s="214">
        <v>20.868322372436523</v>
      </c>
      <c r="P17" s="214">
        <v>12.603745460510254</v>
      </c>
      <c r="Q17" s="214">
        <v>11.342179298400879</v>
      </c>
    </row>
    <row r="18" spans="1:17" x14ac:dyDescent="0.25">
      <c r="A18" s="21" t="s">
        <v>279</v>
      </c>
      <c r="B18" s="130">
        <v>98</v>
      </c>
      <c r="M18">
        <v>7.5</v>
      </c>
      <c r="N18" s="214">
        <v>14.931674003601074</v>
      </c>
      <c r="O18" s="214">
        <v>20.563938140869141</v>
      </c>
      <c r="P18" s="214">
        <v>12.460012435913086</v>
      </c>
      <c r="Q18" s="214">
        <v>11.266244888305664</v>
      </c>
    </row>
    <row r="19" spans="1:17" x14ac:dyDescent="0.25">
      <c r="A19" s="21" t="s">
        <v>280</v>
      </c>
      <c r="B19" s="130">
        <v>6189</v>
      </c>
      <c r="M19">
        <v>8</v>
      </c>
      <c r="N19" s="214">
        <v>14.58556079864502</v>
      </c>
      <c r="O19" s="214">
        <v>20.23554801940918</v>
      </c>
      <c r="P19" s="214">
        <v>12.371759414672852</v>
      </c>
      <c r="Q19" s="214">
        <v>11.162535667419434</v>
      </c>
    </row>
    <row r="20" spans="1:17" x14ac:dyDescent="0.25">
      <c r="A20" s="21" t="s">
        <v>281</v>
      </c>
      <c r="B20" s="130">
        <v>3213</v>
      </c>
      <c r="M20">
        <v>8.5</v>
      </c>
      <c r="N20" s="214">
        <v>14.288419723510742</v>
      </c>
      <c r="O20" s="214">
        <v>20.050765991210938</v>
      </c>
      <c r="P20" s="214">
        <v>12.217326164245605</v>
      </c>
      <c r="Q20" s="214">
        <v>11.123916625976563</v>
      </c>
    </row>
    <row r="21" spans="1:17" x14ac:dyDescent="0.25">
      <c r="A21" s="21" t="s">
        <v>282</v>
      </c>
      <c r="B21" s="130">
        <v>26.5</v>
      </c>
      <c r="M21">
        <v>9</v>
      </c>
      <c r="N21" s="214">
        <v>14.13774299621582</v>
      </c>
      <c r="O21" s="214">
        <v>20.03968620300293</v>
      </c>
      <c r="P21" s="214">
        <v>12.070990562438965</v>
      </c>
      <c r="Q21" s="214">
        <v>11.071714401245117</v>
      </c>
    </row>
    <row r="22" spans="1:17" x14ac:dyDescent="0.25">
      <c r="A22" s="21" t="s">
        <v>283</v>
      </c>
      <c r="B22" s="130"/>
      <c r="M22">
        <v>9.5</v>
      </c>
      <c r="N22" s="214">
        <v>13.698593139648438</v>
      </c>
      <c r="O22" s="214">
        <v>19.943626403808594</v>
      </c>
      <c r="P22" s="214">
        <v>11.973668098449707</v>
      </c>
      <c r="Q22" s="214">
        <v>10.972229957580566</v>
      </c>
    </row>
    <row r="23" spans="1:17" x14ac:dyDescent="0.25">
      <c r="A23" s="21" t="s">
        <v>284</v>
      </c>
      <c r="B23" s="130"/>
      <c r="M23">
        <v>10</v>
      </c>
      <c r="N23" s="214">
        <v>13.485997200012207</v>
      </c>
      <c r="O23" s="214">
        <v>19.580469131469727</v>
      </c>
      <c r="P23" s="214">
        <v>11.878170967102051</v>
      </c>
      <c r="Q23" s="214">
        <v>11.031800270080566</v>
      </c>
    </row>
    <row r="24" spans="1:17" x14ac:dyDescent="0.25">
      <c r="A24" s="21" t="s">
        <v>285</v>
      </c>
      <c r="B24" s="130" t="s">
        <v>180</v>
      </c>
      <c r="M24">
        <v>10.5</v>
      </c>
      <c r="N24" s="214">
        <v>13.301613807678223</v>
      </c>
      <c r="O24" s="214">
        <v>19.430952072143555</v>
      </c>
      <c r="P24" s="214">
        <v>11.70611572265625</v>
      </c>
      <c r="Q24" s="214">
        <v>10.93321418762207</v>
      </c>
    </row>
    <row r="25" spans="1:17" x14ac:dyDescent="0.25">
      <c r="A25" s="21" t="s">
        <v>286</v>
      </c>
      <c r="B25" s="131">
        <v>0.4368055555555555</v>
      </c>
      <c r="M25">
        <v>11</v>
      </c>
      <c r="N25" s="214">
        <v>13.089649200439453</v>
      </c>
      <c r="O25" s="214">
        <v>19.065238952636719</v>
      </c>
      <c r="P25" s="214">
        <v>11.646538734436035</v>
      </c>
      <c r="Q25" s="214">
        <v>10.862863540649414</v>
      </c>
    </row>
    <row r="26" spans="1:17" x14ac:dyDescent="0.25">
      <c r="A26" s="21" t="s">
        <v>287</v>
      </c>
      <c r="B26" s="131">
        <v>0.26527777777777778</v>
      </c>
      <c r="M26">
        <v>11.5</v>
      </c>
      <c r="N26" s="214">
        <v>12.879589080810547</v>
      </c>
      <c r="O26" s="214">
        <v>18.55150032043457</v>
      </c>
      <c r="P26" s="214">
        <v>11.644049644470215</v>
      </c>
      <c r="Q26" s="214">
        <v>10.787128448486328</v>
      </c>
    </row>
    <row r="27" spans="1:17" x14ac:dyDescent="0.25">
      <c r="A27" s="21" t="s">
        <v>288</v>
      </c>
      <c r="B27" s="130" t="s">
        <v>179</v>
      </c>
      <c r="M27">
        <v>12</v>
      </c>
      <c r="N27" s="214">
        <v>12.751883506774902</v>
      </c>
      <c r="O27" s="214">
        <v>18.425754547119141</v>
      </c>
      <c r="P27" s="214">
        <v>11.499941825866699</v>
      </c>
      <c r="Q27" s="214">
        <v>10.678567886352539</v>
      </c>
    </row>
    <row r="28" spans="1:17" x14ac:dyDescent="0.25">
      <c r="A28" s="21" t="s">
        <v>289</v>
      </c>
      <c r="B28" s="131"/>
      <c r="M28">
        <v>12.5</v>
      </c>
      <c r="N28" s="214">
        <v>12.586318969726563</v>
      </c>
      <c r="O28" s="214">
        <v>18.281700134277344</v>
      </c>
      <c r="P28" s="214">
        <v>11.39161491394043</v>
      </c>
      <c r="Q28" s="214">
        <v>10.582120895385742</v>
      </c>
    </row>
    <row r="29" spans="1:17" x14ac:dyDescent="0.25">
      <c r="A29" s="21" t="s">
        <v>290</v>
      </c>
      <c r="B29" s="131"/>
      <c r="M29">
        <v>13</v>
      </c>
      <c r="N29" s="214">
        <v>12.397402763366699</v>
      </c>
      <c r="O29" s="214">
        <v>18.348020553588867</v>
      </c>
      <c r="P29" s="214">
        <v>11.343320846557617</v>
      </c>
      <c r="Q29" s="214">
        <v>10.340087890625</v>
      </c>
    </row>
    <row r="30" spans="1:17" x14ac:dyDescent="0.25">
      <c r="A30" s="21" t="s">
        <v>291</v>
      </c>
      <c r="B30" s="130" t="s">
        <v>179</v>
      </c>
      <c r="M30">
        <v>13.5</v>
      </c>
      <c r="N30" s="214">
        <v>12.209449768066406</v>
      </c>
      <c r="O30" s="214">
        <v>18.51756477355957</v>
      </c>
      <c r="P30" s="214">
        <v>11.248507499694824</v>
      </c>
      <c r="Q30" s="214">
        <v>10.348141670227051</v>
      </c>
    </row>
    <row r="31" spans="1:17" x14ac:dyDescent="0.25">
      <c r="A31" s="21" t="s">
        <v>292</v>
      </c>
      <c r="B31" s="130"/>
      <c r="M31">
        <v>14</v>
      </c>
      <c r="N31" s="214">
        <v>12.04436206817627</v>
      </c>
      <c r="O31" s="214">
        <v>18.51240348815918</v>
      </c>
      <c r="P31" s="214">
        <v>11.011791229248047</v>
      </c>
      <c r="Q31" s="214">
        <v>10.060900688171387</v>
      </c>
    </row>
    <row r="32" spans="1:17" x14ac:dyDescent="0.25">
      <c r="A32" s="21" t="s">
        <v>293</v>
      </c>
      <c r="B32" s="130"/>
      <c r="M32">
        <v>14.5</v>
      </c>
      <c r="N32" s="214">
        <v>11.855575561523438</v>
      </c>
      <c r="O32" s="214">
        <v>18.310115814208984</v>
      </c>
      <c r="P32" s="214">
        <v>11.046750068664551</v>
      </c>
      <c r="Q32" s="214">
        <v>9.9433956146240234</v>
      </c>
    </row>
    <row r="33" spans="1:17" x14ac:dyDescent="0.25">
      <c r="A33" s="21" t="s">
        <v>184</v>
      </c>
      <c r="B33" s="130"/>
      <c r="M33">
        <v>15</v>
      </c>
      <c r="N33" s="214">
        <v>11.684235572814941</v>
      </c>
      <c r="O33" s="214">
        <v>18.275632858276367</v>
      </c>
      <c r="P33" s="214">
        <v>10.988484382629395</v>
      </c>
      <c r="Q33" s="214">
        <v>9.8192367553710938</v>
      </c>
    </row>
    <row r="34" spans="1:17" x14ac:dyDescent="0.25">
      <c r="A34" s="21" t="s">
        <v>294</v>
      </c>
      <c r="B34" s="130"/>
      <c r="M34">
        <v>15.5</v>
      </c>
      <c r="N34" s="214">
        <v>11.609211921691895</v>
      </c>
      <c r="O34" s="214">
        <v>18.232021331787109</v>
      </c>
      <c r="P34" s="214">
        <v>10.842727661132813</v>
      </c>
      <c r="Q34" s="214">
        <v>9.6387815475463867</v>
      </c>
    </row>
    <row r="35" spans="1:17" x14ac:dyDescent="0.25">
      <c r="A35" s="21" t="s">
        <v>295</v>
      </c>
      <c r="B35" s="130"/>
      <c r="M35">
        <v>16</v>
      </c>
      <c r="N35" s="214">
        <v>11.465049743652344</v>
      </c>
      <c r="O35" s="214">
        <v>18.304910659790039</v>
      </c>
      <c r="P35" s="214">
        <v>10.804043769836426</v>
      </c>
      <c r="Q35" s="214">
        <v>9.5067682266235352</v>
      </c>
    </row>
    <row r="36" spans="1:17" x14ac:dyDescent="0.25">
      <c r="A36" s="21" t="s">
        <v>296</v>
      </c>
      <c r="B36" s="130" t="s">
        <v>179</v>
      </c>
      <c r="M36">
        <v>16.5</v>
      </c>
      <c r="N36" s="214">
        <v>11.303685188293457</v>
      </c>
      <c r="O36" s="214">
        <v>17.953659057617188</v>
      </c>
      <c r="P36" s="214">
        <v>10.62455940246582</v>
      </c>
      <c r="Q36" s="214">
        <v>9.4054183959960938</v>
      </c>
    </row>
    <row r="37" spans="1:17" x14ac:dyDescent="0.25">
      <c r="A37" s="21" t="s">
        <v>297</v>
      </c>
      <c r="B37" s="130"/>
      <c r="M37">
        <v>17</v>
      </c>
      <c r="N37" s="214">
        <v>11.161404609680176</v>
      </c>
      <c r="O37" s="214">
        <v>17.800291061401367</v>
      </c>
      <c r="P37" s="214">
        <v>10.610745429992676</v>
      </c>
      <c r="Q37" s="214">
        <v>9.238316535949707</v>
      </c>
    </row>
    <row r="38" spans="1:17" x14ac:dyDescent="0.25">
      <c r="A38" s="21" t="s">
        <v>283</v>
      </c>
      <c r="B38" s="130"/>
      <c r="M38">
        <v>17.5</v>
      </c>
      <c r="N38" s="214">
        <v>11.046112060546875</v>
      </c>
      <c r="O38" s="214">
        <v>17.685506820678711</v>
      </c>
      <c r="P38" s="214">
        <v>10.511712074279785</v>
      </c>
      <c r="Q38" s="214">
        <v>9.0848503112792969</v>
      </c>
    </row>
    <row r="39" spans="1:17" x14ac:dyDescent="0.25">
      <c r="A39" s="21" t="s">
        <v>284</v>
      </c>
      <c r="B39" s="130"/>
      <c r="M39">
        <v>18</v>
      </c>
      <c r="N39" s="214">
        <v>10.840056419372559</v>
      </c>
      <c r="O39" s="214">
        <v>17.422063827514648</v>
      </c>
      <c r="P39" s="214">
        <v>10.304093360900879</v>
      </c>
      <c r="Q39" s="214">
        <v>8.9145317077636719</v>
      </c>
    </row>
    <row r="40" spans="1:17" x14ac:dyDescent="0.25">
      <c r="A40" s="21" t="s">
        <v>298</v>
      </c>
      <c r="B40" s="130" t="s">
        <v>179</v>
      </c>
      <c r="M40">
        <v>18.5</v>
      </c>
      <c r="N40" s="214">
        <v>10.760747909545898</v>
      </c>
      <c r="O40" s="214">
        <v>16.835535049438477</v>
      </c>
      <c r="P40" s="214">
        <v>10.113218307495117</v>
      </c>
      <c r="Q40" s="214">
        <v>8.8977260589599609</v>
      </c>
    </row>
    <row r="41" spans="1:17" x14ac:dyDescent="0.25">
      <c r="A41" s="21" t="s">
        <v>299</v>
      </c>
      <c r="B41" s="130"/>
      <c r="M41">
        <v>19</v>
      </c>
      <c r="N41" s="214">
        <v>10.617008209228516</v>
      </c>
      <c r="O41" s="214">
        <v>16.59889030456543</v>
      </c>
      <c r="P41" s="214">
        <v>9.943812370300293</v>
      </c>
      <c r="Q41" s="214">
        <v>8.7407770156860352</v>
      </c>
    </row>
    <row r="42" spans="1:17" x14ac:dyDescent="0.25">
      <c r="A42" s="21" t="s">
        <v>300</v>
      </c>
      <c r="B42" s="130" t="s">
        <v>412</v>
      </c>
      <c r="C42" s="209">
        <v>0.15</v>
      </c>
      <c r="M42">
        <v>19.5</v>
      </c>
      <c r="N42" s="214">
        <v>10.426244735717773</v>
      </c>
      <c r="O42" s="214">
        <v>16.402141571044922</v>
      </c>
      <c r="P42" s="214">
        <v>9.7344875335693359</v>
      </c>
      <c r="Q42" s="214">
        <v>8.5659246444702148</v>
      </c>
    </row>
    <row r="43" spans="1:17" x14ac:dyDescent="0.25">
      <c r="A43" s="21" t="s">
        <v>302</v>
      </c>
      <c r="B43" s="130" t="s">
        <v>413</v>
      </c>
      <c r="C43" s="209">
        <v>0.6</v>
      </c>
      <c r="M43">
        <v>20</v>
      </c>
      <c r="N43" s="214">
        <v>10.345733642578125</v>
      </c>
      <c r="O43" s="214">
        <v>16.213493347167969</v>
      </c>
      <c r="P43" s="214">
        <v>9.7989873886108398</v>
      </c>
      <c r="Q43" s="214">
        <v>8.4909143447875977</v>
      </c>
    </row>
    <row r="44" spans="1:17" x14ac:dyDescent="0.25">
      <c r="A44" s="21" t="s">
        <v>303</v>
      </c>
      <c r="B44" s="130" t="s">
        <v>414</v>
      </c>
      <c r="C44" s="209">
        <v>0.2</v>
      </c>
      <c r="M44">
        <v>20.5</v>
      </c>
      <c r="N44" s="214">
        <v>10.194258689880371</v>
      </c>
      <c r="O44" s="214">
        <v>16.064878463745117</v>
      </c>
      <c r="P44" s="214">
        <v>9.6884899139404297</v>
      </c>
      <c r="Q44" s="214">
        <v>8.3928565979003906</v>
      </c>
    </row>
    <row r="45" spans="1:17" x14ac:dyDescent="0.25">
      <c r="A45" s="21" t="s">
        <v>304</v>
      </c>
      <c r="B45" s="130" t="s">
        <v>415</v>
      </c>
      <c r="C45" s="209">
        <v>2</v>
      </c>
      <c r="M45">
        <v>21</v>
      </c>
      <c r="N45" s="214">
        <v>10.067391395568848</v>
      </c>
      <c r="O45" s="214">
        <v>15.982425689697266</v>
      </c>
      <c r="P45" s="214">
        <v>9.5887832641601563</v>
      </c>
      <c r="Q45" s="214">
        <v>8.2504777908325195</v>
      </c>
    </row>
    <row r="46" spans="1:17" x14ac:dyDescent="0.25">
      <c r="A46" s="21" t="s">
        <v>305</v>
      </c>
      <c r="B46" s="130" t="s">
        <v>416</v>
      </c>
      <c r="C46" s="209">
        <v>0.15</v>
      </c>
      <c r="M46">
        <v>21.5</v>
      </c>
      <c r="N46" s="214">
        <v>9.941676139831543</v>
      </c>
      <c r="O46" s="214">
        <v>15.754250526428223</v>
      </c>
      <c r="P46" s="214">
        <v>9.4421510696411133</v>
      </c>
      <c r="Q46" s="214">
        <v>8.1984319686889648</v>
      </c>
    </row>
    <row r="47" spans="1:17" x14ac:dyDescent="0.25">
      <c r="A47" s="21" t="s">
        <v>301</v>
      </c>
      <c r="B47" s="130"/>
      <c r="C47" s="209"/>
      <c r="M47">
        <v>22</v>
      </c>
      <c r="N47" s="214">
        <v>9.8486509323120117</v>
      </c>
      <c r="O47" s="214">
        <v>15.684931755065918</v>
      </c>
      <c r="P47" s="214">
        <v>9.3703022003173828</v>
      </c>
      <c r="Q47" s="214">
        <v>7.9994912147521973</v>
      </c>
    </row>
    <row r="48" spans="1:17" x14ac:dyDescent="0.25">
      <c r="A48" s="21" t="s">
        <v>306</v>
      </c>
      <c r="B48" s="130"/>
      <c r="C48" s="209"/>
      <c r="M48">
        <v>22.5</v>
      </c>
      <c r="N48" s="214">
        <v>9.7264547348022461</v>
      </c>
      <c r="O48" s="214">
        <v>15.833389282226563</v>
      </c>
      <c r="P48" s="214">
        <v>9.3029317855834961</v>
      </c>
      <c r="Q48" s="214">
        <v>8.0082731246948242</v>
      </c>
    </row>
    <row r="49" spans="1:17" x14ac:dyDescent="0.25">
      <c r="A49" s="21" t="s">
        <v>307</v>
      </c>
      <c r="B49" s="130"/>
      <c r="C49" s="209"/>
      <c r="M49">
        <v>23</v>
      </c>
      <c r="N49" s="214">
        <v>9.6093931198120117</v>
      </c>
      <c r="O49" s="214">
        <v>15.769928932189941</v>
      </c>
      <c r="P49" s="214">
        <v>9.2210884094238281</v>
      </c>
      <c r="Q49" s="214">
        <v>7.9305214881896973</v>
      </c>
    </row>
    <row r="50" spans="1:17" x14ac:dyDescent="0.25">
      <c r="A50" s="21" t="s">
        <v>308</v>
      </c>
      <c r="B50" s="130"/>
      <c r="C50" s="209"/>
      <c r="M50">
        <v>23.5</v>
      </c>
      <c r="N50" s="214">
        <v>9.5526304244995117</v>
      </c>
      <c r="O50" s="214">
        <v>15.363547325134277</v>
      </c>
      <c r="P50" s="214">
        <v>8.9078664779663086</v>
      </c>
      <c r="Q50" s="214">
        <v>7.8459906578063965</v>
      </c>
    </row>
    <row r="51" spans="1:17" x14ac:dyDescent="0.25">
      <c r="A51" s="21" t="s">
        <v>309</v>
      </c>
      <c r="B51" s="130"/>
      <c r="C51" s="209"/>
      <c r="M51">
        <v>24</v>
      </c>
      <c r="N51" s="214">
        <v>9.4087352752685547</v>
      </c>
      <c r="O51" s="214">
        <v>15.115060806274414</v>
      </c>
      <c r="P51" s="214">
        <v>8.720550537109375</v>
      </c>
      <c r="Q51" s="214">
        <v>7.6441588401794434</v>
      </c>
    </row>
    <row r="52" spans="1:17" x14ac:dyDescent="0.25">
      <c r="A52" s="132" t="s">
        <v>311</v>
      </c>
      <c r="B52" s="130"/>
      <c r="M52">
        <v>24.5</v>
      </c>
      <c r="N52" s="214">
        <v>9.3152847290039063</v>
      </c>
      <c r="O52" s="214">
        <v>15.069987297058105</v>
      </c>
      <c r="P52" s="214">
        <v>8.5554904937744141</v>
      </c>
      <c r="Q52" s="214">
        <v>7.6874089241027832</v>
      </c>
    </row>
    <row r="53" spans="1:17" s="1" customFormat="1" x14ac:dyDescent="0.25">
      <c r="A53" s="134" t="s">
        <v>313</v>
      </c>
      <c r="B53" s="130">
        <v>679.4</v>
      </c>
      <c r="C53"/>
      <c r="M53" s="1">
        <v>25</v>
      </c>
      <c r="N53" s="214">
        <v>9.280914306640625</v>
      </c>
      <c r="O53" s="214">
        <v>14.835309982299805</v>
      </c>
      <c r="P53" s="214">
        <v>8.6327476501464844</v>
      </c>
      <c r="Q53" s="214">
        <v>7.6061725616455078</v>
      </c>
    </row>
    <row r="54" spans="1:17" x14ac:dyDescent="0.25">
      <c r="A54" s="134" t="s">
        <v>353</v>
      </c>
      <c r="B54" s="21" t="s">
        <v>417</v>
      </c>
      <c r="M54">
        <v>25.5</v>
      </c>
      <c r="N54" s="214">
        <v>9.1269817352294922</v>
      </c>
      <c r="O54" s="214">
        <v>14.759791374206543</v>
      </c>
      <c r="P54" s="214">
        <v>8.3980846405029297</v>
      </c>
      <c r="Q54" s="214">
        <v>7.531275749206543</v>
      </c>
    </row>
    <row r="55" spans="1:17" x14ac:dyDescent="0.25">
      <c r="A55" s="134" t="s">
        <v>354</v>
      </c>
      <c r="B55" s="21" t="s">
        <v>443</v>
      </c>
      <c r="M55">
        <v>26</v>
      </c>
      <c r="N55" s="214">
        <v>9.0445728302001953</v>
      </c>
      <c r="O55" s="214">
        <v>14.724620819091797</v>
      </c>
      <c r="P55" s="214">
        <v>8.3925342559814453</v>
      </c>
      <c r="Q55" s="214">
        <v>7.5176229476928711</v>
      </c>
    </row>
    <row r="56" spans="1:17" x14ac:dyDescent="0.25">
      <c r="A56" s="133"/>
      <c r="M56">
        <v>26.5</v>
      </c>
      <c r="N56" s="214">
        <v>8.9731817245483398</v>
      </c>
      <c r="O56" s="214">
        <v>14.838786125183105</v>
      </c>
      <c r="P56" s="214">
        <v>8.3029928207397461</v>
      </c>
      <c r="Q56" s="214">
        <v>7.4073052406311035</v>
      </c>
    </row>
    <row r="57" spans="1:17" x14ac:dyDescent="0.25">
      <c r="M57">
        <v>27</v>
      </c>
      <c r="N57" s="214">
        <v>8.8343305587768555</v>
      </c>
      <c r="O57" s="214">
        <v>14.620518684387207</v>
      </c>
      <c r="P57" s="214">
        <v>8.2996702194213867</v>
      </c>
      <c r="Q57" s="214">
        <v>7.2927484512329102</v>
      </c>
    </row>
    <row r="58" spans="1:17" x14ac:dyDescent="0.25">
      <c r="M58">
        <v>27.5</v>
      </c>
      <c r="N58" s="214">
        <v>8.7702417373657227</v>
      </c>
      <c r="O58" s="214">
        <v>14.538589477539063</v>
      </c>
      <c r="P58" s="214">
        <v>8.2746524810791016</v>
      </c>
      <c r="Q58" s="214">
        <v>7.2548041343688965</v>
      </c>
    </row>
    <row r="59" spans="1:17" x14ac:dyDescent="0.25">
      <c r="M59">
        <v>28</v>
      </c>
      <c r="N59" s="214">
        <v>8.6429319381713867</v>
      </c>
      <c r="O59" s="214">
        <v>14.727105140686035</v>
      </c>
      <c r="P59" s="214">
        <v>8.168182373046875</v>
      </c>
      <c r="Q59" s="214">
        <v>7.1410984992980957</v>
      </c>
    </row>
    <row r="60" spans="1:17" x14ac:dyDescent="0.25">
      <c r="M60">
        <v>28.5</v>
      </c>
      <c r="N60" s="214">
        <v>8.7158088684082031</v>
      </c>
      <c r="O60" s="214">
        <v>14.701017379760742</v>
      </c>
      <c r="P60" s="214">
        <v>8.1720123291015625</v>
      </c>
      <c r="Q60" s="214">
        <v>7.0761566162109375</v>
      </c>
    </row>
    <row r="61" spans="1:17" x14ac:dyDescent="0.25">
      <c r="M61">
        <v>29</v>
      </c>
      <c r="N61" s="214">
        <v>8.657200813293457</v>
      </c>
      <c r="O61" s="214">
        <v>14.733448028564453</v>
      </c>
      <c r="P61" s="214">
        <v>8.1317539215087891</v>
      </c>
      <c r="Q61" s="214">
        <v>7.0220670700073242</v>
      </c>
    </row>
    <row r="62" spans="1:17" x14ac:dyDescent="0.25">
      <c r="M62">
        <v>29.5</v>
      </c>
      <c r="N62" s="214">
        <v>8.5277976989746094</v>
      </c>
      <c r="O62" s="214">
        <v>14.715672492980957</v>
      </c>
      <c r="P62" s="214">
        <v>8.0535907745361328</v>
      </c>
      <c r="Q62" s="214">
        <v>7.2712602615356445</v>
      </c>
    </row>
    <row r="63" spans="1:17" x14ac:dyDescent="0.25">
      <c r="M63">
        <v>30</v>
      </c>
      <c r="N63" s="214">
        <v>8.4599037170410156</v>
      </c>
      <c r="O63" s="214">
        <v>14.663126945495605</v>
      </c>
      <c r="P63" s="214">
        <v>7.9776453971862793</v>
      </c>
      <c r="Q63" s="214">
        <v>6.8962454795837402</v>
      </c>
    </row>
    <row r="64" spans="1:17" x14ac:dyDescent="0.25">
      <c r="M64">
        <v>30.5</v>
      </c>
      <c r="N64" s="214">
        <v>8.3918437957763672</v>
      </c>
      <c r="O64" s="214">
        <v>14.463230133056641</v>
      </c>
      <c r="P64" s="214">
        <v>7.5811672210693359</v>
      </c>
      <c r="Q64" s="214">
        <v>6.6565709114074707</v>
      </c>
    </row>
    <row r="65" spans="13:17" x14ac:dyDescent="0.25">
      <c r="M65">
        <v>31</v>
      </c>
      <c r="N65" s="214">
        <v>8.3356237411499023</v>
      </c>
      <c r="O65" s="214">
        <v>14.52146053314209</v>
      </c>
      <c r="P65" s="214">
        <v>7.5951118469238281</v>
      </c>
      <c r="Q65" s="214">
        <v>6.6117267608642578</v>
      </c>
    </row>
    <row r="66" spans="13:17" x14ac:dyDescent="0.25">
      <c r="M66">
        <v>31.5</v>
      </c>
      <c r="N66" s="214">
        <v>8.2709465026855469</v>
      </c>
      <c r="O66" s="214">
        <v>14.358891487121582</v>
      </c>
      <c r="P66" s="214">
        <v>7.6463799476623535</v>
      </c>
      <c r="Q66" s="214">
        <v>6.4783082008361816</v>
      </c>
    </row>
    <row r="67" spans="13:17" x14ac:dyDescent="0.25">
      <c r="M67">
        <v>32</v>
      </c>
      <c r="N67" s="214">
        <v>8.2176399230957031</v>
      </c>
      <c r="O67" s="214">
        <v>14.371520042419434</v>
      </c>
      <c r="P67" s="214">
        <v>7.6139340400695801</v>
      </c>
      <c r="Q67" s="214">
        <v>6.3944282531738281</v>
      </c>
    </row>
    <row r="68" spans="13:17" x14ac:dyDescent="0.25">
      <c r="M68">
        <v>32.5</v>
      </c>
      <c r="N68" s="214">
        <v>8.1553258895874023</v>
      </c>
      <c r="O68" s="214">
        <v>14.297616958618164</v>
      </c>
      <c r="P68" s="214">
        <v>7.638221263885498</v>
      </c>
      <c r="Q68" s="214">
        <v>6.3424468040466309</v>
      </c>
    </row>
    <row r="69" spans="13:17" x14ac:dyDescent="0.25">
      <c r="M69">
        <v>33</v>
      </c>
      <c r="N69" s="214">
        <v>8.0867767333984375</v>
      </c>
      <c r="O69" s="214">
        <v>14.20329475402832</v>
      </c>
      <c r="P69" s="214">
        <v>7.6139488220214844</v>
      </c>
      <c r="Q69" s="214">
        <v>6.175020694732666</v>
      </c>
    </row>
    <row r="70" spans="13:17" x14ac:dyDescent="0.25">
      <c r="M70">
        <v>33.5</v>
      </c>
      <c r="N70" s="214">
        <v>8.0130281448364258</v>
      </c>
      <c r="O70" s="214">
        <v>13.855196952819824</v>
      </c>
      <c r="P70" s="214">
        <v>7.6295051574707031</v>
      </c>
      <c r="Q70" s="214">
        <v>6.3286075592041016</v>
      </c>
    </row>
    <row r="71" spans="13:17" x14ac:dyDescent="0.25">
      <c r="M71">
        <v>34</v>
      </c>
      <c r="N71" s="214">
        <v>7.9010310173034668</v>
      </c>
      <c r="O71" s="214">
        <v>13.302038192749023</v>
      </c>
      <c r="P71" s="214">
        <v>7.5668401718139648</v>
      </c>
      <c r="Q71" s="214">
        <v>6.2295684814453125</v>
      </c>
    </row>
    <row r="72" spans="13:17" x14ac:dyDescent="0.25">
      <c r="M72">
        <v>34.5</v>
      </c>
      <c r="N72" s="214">
        <v>7.8299427032470703</v>
      </c>
      <c r="O72" s="214">
        <v>12.658771514892578</v>
      </c>
      <c r="P72" s="214">
        <v>7.5706467628479004</v>
      </c>
      <c r="Q72" s="214">
        <v>6.2858977317810059</v>
      </c>
    </row>
    <row r="73" spans="13:17" x14ac:dyDescent="0.25">
      <c r="M73">
        <v>35</v>
      </c>
      <c r="N73" s="214">
        <v>7.7756314277648926</v>
      </c>
      <c r="O73" s="214">
        <v>12.715468406677246</v>
      </c>
      <c r="P73" s="214">
        <v>7.4208707809448242</v>
      </c>
      <c r="Q73" s="214">
        <v>6.1896376609802246</v>
      </c>
    </row>
    <row r="74" spans="13:17" x14ac:dyDescent="0.25">
      <c r="M74">
        <v>35.5</v>
      </c>
      <c r="N74" s="214">
        <v>7.6400322914123535</v>
      </c>
      <c r="O74" s="214">
        <v>12.628347396850586</v>
      </c>
      <c r="P74" s="214">
        <v>7.4288225173950195</v>
      </c>
      <c r="Q74" s="214">
        <v>6.174443244934082</v>
      </c>
    </row>
    <row r="75" spans="13:17" x14ac:dyDescent="0.25">
      <c r="M75">
        <v>36</v>
      </c>
      <c r="N75" s="214">
        <v>7.4688081741333008</v>
      </c>
      <c r="O75" s="214">
        <v>12.591670989990234</v>
      </c>
      <c r="P75" s="214">
        <v>7.3700194358825684</v>
      </c>
      <c r="Q75" s="214">
        <v>6.2593703269958496</v>
      </c>
    </row>
    <row r="76" spans="13:17" x14ac:dyDescent="0.25">
      <c r="M76">
        <v>36.5</v>
      </c>
      <c r="N76" s="214">
        <v>7.2928156852722168</v>
      </c>
      <c r="O76" s="214">
        <v>12.596765518188477</v>
      </c>
      <c r="P76" s="214">
        <v>7.2716116905212402</v>
      </c>
      <c r="Q76" s="214">
        <v>6.1105027198791504</v>
      </c>
    </row>
    <row r="77" spans="13:17" x14ac:dyDescent="0.25">
      <c r="M77">
        <v>37</v>
      </c>
      <c r="N77" s="214">
        <v>7.3322210311889648</v>
      </c>
      <c r="O77" s="214">
        <v>12.542790412902832</v>
      </c>
      <c r="P77" s="214">
        <v>7.269195556640625</v>
      </c>
      <c r="Q77" s="214">
        <v>6.158775806427002</v>
      </c>
    </row>
    <row r="78" spans="13:17" x14ac:dyDescent="0.25">
      <c r="M78">
        <v>37.5</v>
      </c>
      <c r="N78" s="214">
        <v>7.2099761962890625</v>
      </c>
      <c r="O78" s="214">
        <v>12.374983787536621</v>
      </c>
      <c r="P78" s="214">
        <v>7.2999248504638672</v>
      </c>
      <c r="Q78" s="214">
        <v>6.1499977111816406</v>
      </c>
    </row>
    <row r="79" spans="13:17" x14ac:dyDescent="0.25">
      <c r="M79">
        <v>38</v>
      </c>
      <c r="N79" s="214">
        <v>7.2225341796875</v>
      </c>
      <c r="O79" s="214">
        <v>12.092886924743652</v>
      </c>
      <c r="P79" s="214">
        <v>7.286221981048584</v>
      </c>
      <c r="Q79" s="214">
        <v>6.9536995887756348</v>
      </c>
    </row>
    <row r="80" spans="13:17" x14ac:dyDescent="0.25">
      <c r="M80">
        <v>38.5</v>
      </c>
      <c r="N80" s="214">
        <v>7.1099443435668945</v>
      </c>
      <c r="O80" s="214">
        <v>12.126172065734863</v>
      </c>
      <c r="P80" s="214">
        <v>7.0491652488708496</v>
      </c>
      <c r="Q80" s="214">
        <v>6.1384868621826172</v>
      </c>
    </row>
    <row r="81" spans="13:17" x14ac:dyDescent="0.25">
      <c r="M81">
        <v>39</v>
      </c>
      <c r="N81" s="214">
        <v>7.195065975189209</v>
      </c>
      <c r="O81" s="214">
        <v>12.143109321594238</v>
      </c>
      <c r="P81" s="214">
        <v>7.174828052520752</v>
      </c>
      <c r="Q81" s="214">
        <v>6.1144027709960938</v>
      </c>
    </row>
    <row r="82" spans="13:17" x14ac:dyDescent="0.25">
      <c r="M82">
        <v>39.5</v>
      </c>
      <c r="N82" s="214">
        <v>7.220423698425293</v>
      </c>
      <c r="O82" s="214">
        <v>12.045713424682617</v>
      </c>
      <c r="P82" s="214">
        <v>7.1662955284118652</v>
      </c>
      <c r="Q82" s="214">
        <v>6.0130577087402344</v>
      </c>
    </row>
    <row r="83" spans="13:17" x14ac:dyDescent="0.25">
      <c r="M83">
        <v>40</v>
      </c>
      <c r="N83" s="214">
        <v>7.140568733215332</v>
      </c>
      <c r="O83" s="214">
        <v>11.985208511352539</v>
      </c>
      <c r="P83" s="214">
        <v>7.1451787948608398</v>
      </c>
      <c r="Q83" s="214">
        <v>5.7570586204528809</v>
      </c>
    </row>
    <row r="84" spans="13:17" x14ac:dyDescent="0.25">
      <c r="M84">
        <v>40.5</v>
      </c>
      <c r="N84" s="214">
        <v>7.3313922882080078</v>
      </c>
      <c r="O84" s="214">
        <v>12.100397109985352</v>
      </c>
      <c r="P84" s="214">
        <v>7.0704145431518555</v>
      </c>
      <c r="Q84" s="214">
        <v>5.5135579109191895</v>
      </c>
    </row>
    <row r="85" spans="13:17" x14ac:dyDescent="0.25">
      <c r="M85">
        <v>41</v>
      </c>
      <c r="N85" s="214">
        <v>7.1852002143859863</v>
      </c>
      <c r="O85" s="214">
        <v>11.978903770446777</v>
      </c>
      <c r="P85" s="214">
        <v>6.768010139465332</v>
      </c>
      <c r="Q85" s="214">
        <v>5.6945304870605469</v>
      </c>
    </row>
    <row r="86" spans="13:17" x14ac:dyDescent="0.25">
      <c r="M86">
        <v>41.5</v>
      </c>
      <c r="N86" s="214">
        <v>7.2983007431030273</v>
      </c>
      <c r="O86" s="214">
        <v>11.979135513305664</v>
      </c>
      <c r="P86" s="214">
        <v>6.8978390693664551</v>
      </c>
      <c r="Q86" s="214">
        <v>5.9140586853027344</v>
      </c>
    </row>
    <row r="87" spans="13:17" x14ac:dyDescent="0.25">
      <c r="M87">
        <v>42</v>
      </c>
      <c r="N87" s="214">
        <v>7.2665934562683105</v>
      </c>
      <c r="O87" s="214">
        <v>11.921005249023438</v>
      </c>
      <c r="P87" s="214">
        <v>6.9342207908630371</v>
      </c>
      <c r="Q87" s="214">
        <v>5.6306777000427246</v>
      </c>
    </row>
    <row r="88" spans="13:17" x14ac:dyDescent="0.25">
      <c r="M88">
        <v>42.5</v>
      </c>
      <c r="N88" s="214">
        <v>7.0584473609924316</v>
      </c>
      <c r="O88" s="214">
        <v>11.468219757080078</v>
      </c>
      <c r="P88" s="214">
        <v>6.970949649810791</v>
      </c>
      <c r="Q88" s="214">
        <v>5.6122860908508301</v>
      </c>
    </row>
    <row r="89" spans="13:17" x14ac:dyDescent="0.25">
      <c r="M89">
        <v>43</v>
      </c>
      <c r="N89" s="214">
        <v>7.0282840728759766</v>
      </c>
      <c r="O89" s="214">
        <v>11.418219566345215</v>
      </c>
      <c r="P89" s="214">
        <v>6.9686427116394043</v>
      </c>
      <c r="Q89" s="214">
        <v>5.5036015510559082</v>
      </c>
    </row>
    <row r="90" spans="13:17" x14ac:dyDescent="0.25">
      <c r="M90">
        <v>43.5</v>
      </c>
      <c r="N90" s="214">
        <v>7.064363956451416</v>
      </c>
      <c r="O90" s="214">
        <v>11.452596664428711</v>
      </c>
      <c r="P90" s="214">
        <v>6.8984789848327637</v>
      </c>
      <c r="Q90" s="214">
        <v>5.4011087417602539</v>
      </c>
    </row>
    <row r="91" spans="13:17" x14ac:dyDescent="0.25">
      <c r="M91">
        <v>44</v>
      </c>
      <c r="N91" s="214">
        <v>7.098423957824707</v>
      </c>
      <c r="O91" s="214">
        <v>11.679763793945313</v>
      </c>
      <c r="P91" s="214">
        <v>6.8999519348144531</v>
      </c>
      <c r="Q91" s="214">
        <v>5.2652101516723633</v>
      </c>
    </row>
    <row r="92" spans="13:17" x14ac:dyDescent="0.25">
      <c r="M92">
        <v>44.5</v>
      </c>
      <c r="N92" s="214">
        <v>7.0734686851501465</v>
      </c>
      <c r="O92" s="214">
        <v>11.871337890625</v>
      </c>
      <c r="P92" s="214">
        <v>6.9974126815795898</v>
      </c>
      <c r="Q92" s="214">
        <v>5.2083110809326172</v>
      </c>
    </row>
    <row r="93" spans="13:17" x14ac:dyDescent="0.25">
      <c r="M93">
        <v>45</v>
      </c>
      <c r="N93" s="214">
        <v>7.1656703948974609</v>
      </c>
      <c r="O93" s="214">
        <v>11.715227127075195</v>
      </c>
      <c r="P93" s="214">
        <v>6.927731990814209</v>
      </c>
      <c r="Q93" s="214">
        <v>5.1757988929748535</v>
      </c>
    </row>
    <row r="94" spans="13:17" x14ac:dyDescent="0.25">
      <c r="M94">
        <v>45.5</v>
      </c>
      <c r="N94" s="214">
        <v>6.7628345489501953</v>
      </c>
      <c r="O94" s="214">
        <v>11.353458404541016</v>
      </c>
      <c r="P94" s="214">
        <v>7.012061595916748</v>
      </c>
      <c r="Q94" s="214">
        <v>5.0926098823547363</v>
      </c>
    </row>
    <row r="95" spans="13:17" x14ac:dyDescent="0.25">
      <c r="M95">
        <v>46</v>
      </c>
      <c r="N95" s="214">
        <v>6.4307169914245605</v>
      </c>
      <c r="O95" s="214">
        <v>11.221808433532715</v>
      </c>
      <c r="P95" s="214">
        <v>6.8879084587097168</v>
      </c>
      <c r="Q95" s="214">
        <v>4.8767008781433105</v>
      </c>
    </row>
    <row r="96" spans="13:17" x14ac:dyDescent="0.25">
      <c r="M96">
        <v>46.5</v>
      </c>
      <c r="N96" s="214">
        <v>6.4548587799072266</v>
      </c>
      <c r="O96" s="214">
        <v>11.230410575866699</v>
      </c>
      <c r="P96" s="214">
        <v>6.8867583274841309</v>
      </c>
      <c r="Q96" s="214">
        <v>4.9863071441650391</v>
      </c>
    </row>
    <row r="97" spans="13:17" x14ac:dyDescent="0.25">
      <c r="M97">
        <v>47</v>
      </c>
      <c r="N97" s="214">
        <v>6.4827256202697754</v>
      </c>
      <c r="O97" s="214">
        <v>11.158703804016113</v>
      </c>
      <c r="P97" s="214">
        <v>6.8691544532775879</v>
      </c>
      <c r="Q97" s="214">
        <v>4.9669065475463867</v>
      </c>
    </row>
    <row r="98" spans="13:17" x14ac:dyDescent="0.25">
      <c r="M98">
        <v>47.5</v>
      </c>
      <c r="N98" s="214">
        <v>6.4724664688110352</v>
      </c>
      <c r="O98" s="214">
        <v>10.995682716369629</v>
      </c>
      <c r="P98" s="214">
        <v>6.8782143592834473</v>
      </c>
      <c r="Q98" s="214">
        <v>4.9898686408996582</v>
      </c>
    </row>
    <row r="99" spans="13:17" x14ac:dyDescent="0.25">
      <c r="M99">
        <v>48</v>
      </c>
      <c r="N99" s="214">
        <v>6.4282450675964355</v>
      </c>
      <c r="O99" s="214">
        <v>10.889538764953613</v>
      </c>
      <c r="P99" s="214">
        <v>6.8430814743041992</v>
      </c>
      <c r="Q99" s="214">
        <v>4.8734588623046875</v>
      </c>
    </row>
    <row r="100" spans="13:17" x14ac:dyDescent="0.25">
      <c r="M100">
        <v>48.5</v>
      </c>
      <c r="N100" s="214">
        <v>6.2934045791625977</v>
      </c>
      <c r="O100" s="214">
        <v>10.729946136474609</v>
      </c>
      <c r="P100" s="214">
        <v>6.8340663909912109</v>
      </c>
      <c r="Q100" s="214">
        <v>4.807220458984375</v>
      </c>
    </row>
    <row r="101" spans="13:17" x14ac:dyDescent="0.25">
      <c r="M101">
        <v>49</v>
      </c>
      <c r="N101" s="214">
        <v>6.3058018684387207</v>
      </c>
      <c r="O101" s="214">
        <v>10.831540107727051</v>
      </c>
      <c r="P101" s="214">
        <v>6.8314385414123535</v>
      </c>
      <c r="Q101" s="214">
        <v>4.7099671363830566</v>
      </c>
    </row>
    <row r="102" spans="13:17" x14ac:dyDescent="0.25">
      <c r="M102">
        <v>49.5</v>
      </c>
      <c r="N102" s="214">
        <v>6.4666919708251953</v>
      </c>
      <c r="O102" s="214">
        <v>10.805952072143555</v>
      </c>
      <c r="P102" s="214">
        <v>6.8396692276000977</v>
      </c>
      <c r="Q102" s="214">
        <v>4.7223787307739258</v>
      </c>
    </row>
    <row r="103" spans="13:17" x14ac:dyDescent="0.25">
      <c r="M103">
        <v>50</v>
      </c>
      <c r="N103" s="214">
        <v>6.6469941139221191</v>
      </c>
      <c r="O103" s="214">
        <v>10.839366912841797</v>
      </c>
      <c r="P103" s="214">
        <v>6.7331132888793945</v>
      </c>
      <c r="Q103" s="214">
        <v>4.6515240669250488</v>
      </c>
    </row>
    <row r="104" spans="13:17" x14ac:dyDescent="0.25">
      <c r="M104">
        <v>50.5</v>
      </c>
      <c r="N104" s="214">
        <v>6.5419301986694336</v>
      </c>
      <c r="O104" s="214">
        <v>10.994101524353027</v>
      </c>
      <c r="P104" s="214">
        <v>6.7227048873901367</v>
      </c>
      <c r="Q104" s="214">
        <v>4.7371969223022461</v>
      </c>
    </row>
    <row r="105" spans="13:17" x14ac:dyDescent="0.25">
      <c r="M105">
        <v>51</v>
      </c>
      <c r="N105" s="214">
        <v>6.3429656028747559</v>
      </c>
      <c r="O105" s="214">
        <v>10.96030330657959</v>
      </c>
      <c r="P105" s="214">
        <v>6.7500510215759277</v>
      </c>
      <c r="Q105" s="214">
        <v>4.6302480697631836</v>
      </c>
    </row>
    <row r="106" spans="13:17" x14ac:dyDescent="0.25">
      <c r="M106">
        <v>51.5</v>
      </c>
      <c r="N106" s="214">
        <v>6.288116455078125</v>
      </c>
      <c r="O106" s="214">
        <v>10.84982967376709</v>
      </c>
      <c r="P106" s="214">
        <v>6.6974196434020996</v>
      </c>
      <c r="Q106" s="214">
        <v>4.6385102272033691</v>
      </c>
    </row>
    <row r="107" spans="13:17" x14ac:dyDescent="0.25">
      <c r="M107">
        <v>52</v>
      </c>
      <c r="N107" s="214">
        <v>6.5639896392822266</v>
      </c>
      <c r="O107" s="214">
        <v>10.566715240478516</v>
      </c>
      <c r="P107" s="214">
        <v>6.7022933959960938</v>
      </c>
      <c r="Q107" s="214">
        <v>4.6146707534790039</v>
      </c>
    </row>
    <row r="108" spans="13:17" x14ac:dyDescent="0.25">
      <c r="M108">
        <v>52.5</v>
      </c>
      <c r="N108" s="214">
        <v>6.3207292556762695</v>
      </c>
      <c r="O108" s="214">
        <v>10.36747932434082</v>
      </c>
      <c r="P108" s="214">
        <v>6.6708803176879883</v>
      </c>
      <c r="Q108" s="214">
        <v>4.6994132995605469</v>
      </c>
    </row>
    <row r="109" spans="13:17" x14ac:dyDescent="0.25">
      <c r="M109">
        <v>53</v>
      </c>
      <c r="N109" s="214">
        <v>6.3587708473205566</v>
      </c>
      <c r="O109" s="214">
        <v>10.334668159484863</v>
      </c>
      <c r="P109" s="214">
        <v>6.7194113731384277</v>
      </c>
      <c r="Q109" s="214">
        <v>4.5946788787841797</v>
      </c>
    </row>
    <row r="110" spans="13:17" x14ac:dyDescent="0.25">
      <c r="M110">
        <v>53.5</v>
      </c>
      <c r="N110" s="214">
        <v>6.300971508026123</v>
      </c>
      <c r="O110" s="214">
        <v>10.270628929138184</v>
      </c>
      <c r="P110" s="214">
        <v>6.7202944755554199</v>
      </c>
      <c r="Q110" s="214">
        <v>4.5948638916015625</v>
      </c>
    </row>
    <row r="111" spans="13:17" x14ac:dyDescent="0.25">
      <c r="M111">
        <v>54</v>
      </c>
      <c r="N111" s="214">
        <v>6.2890210151672363</v>
      </c>
      <c r="O111" s="214">
        <v>10.272905349731445</v>
      </c>
      <c r="P111" s="214">
        <v>6.603607177734375</v>
      </c>
      <c r="Q111" s="214">
        <v>4.5636768341064453</v>
      </c>
    </row>
    <row r="112" spans="13:17" x14ac:dyDescent="0.25">
      <c r="M112">
        <v>54.5</v>
      </c>
      <c r="N112" s="214">
        <v>6.2708110809326172</v>
      </c>
      <c r="O112" s="214">
        <v>10.178146362304688</v>
      </c>
      <c r="P112" s="214">
        <v>6.5722918510437012</v>
      </c>
      <c r="Q112" s="214">
        <v>4.5557436943054199</v>
      </c>
    </row>
    <row r="113" spans="13:17" x14ac:dyDescent="0.25">
      <c r="M113">
        <v>55</v>
      </c>
      <c r="N113" s="214">
        <v>6.0797557830810547</v>
      </c>
      <c r="O113" s="214">
        <v>10.072853088378906</v>
      </c>
      <c r="P113" s="214">
        <v>6.6177153587341309</v>
      </c>
      <c r="Q113" s="214">
        <v>4.6571812629699707</v>
      </c>
    </row>
    <row r="114" spans="13:17" x14ac:dyDescent="0.25">
      <c r="M114">
        <v>55.5</v>
      </c>
      <c r="N114" s="214">
        <v>6.1325497627258301</v>
      </c>
      <c r="O114" s="214">
        <v>10.110956192016602</v>
      </c>
      <c r="P114" s="214">
        <v>6.5766782760620117</v>
      </c>
      <c r="Q114" s="214">
        <v>4.7876973152160645</v>
      </c>
    </row>
    <row r="115" spans="13:17" x14ac:dyDescent="0.25">
      <c r="M115">
        <v>56</v>
      </c>
      <c r="N115" s="214">
        <v>6.1440315246582031</v>
      </c>
      <c r="O115" s="214">
        <v>10.165653228759766</v>
      </c>
      <c r="P115" s="214">
        <v>6.5201764106750488</v>
      </c>
      <c r="Q115" s="214">
        <v>4.7392792701721191</v>
      </c>
    </row>
    <row r="116" spans="13:17" x14ac:dyDescent="0.25">
      <c r="M116">
        <v>56.5</v>
      </c>
      <c r="N116" s="214">
        <v>5.9855766296386719</v>
      </c>
      <c r="O116" s="214">
        <v>10.168098449707031</v>
      </c>
      <c r="P116" s="214">
        <v>6.4290609359741211</v>
      </c>
      <c r="Q116" s="214">
        <v>4.6537365913391113</v>
      </c>
    </row>
    <row r="117" spans="13:17" x14ac:dyDescent="0.25">
      <c r="M117">
        <v>57</v>
      </c>
      <c r="N117" s="214">
        <v>6.0167875289916992</v>
      </c>
      <c r="O117" s="214">
        <v>10.170675277709961</v>
      </c>
      <c r="P117" s="214">
        <v>6.6126532554626465</v>
      </c>
      <c r="Q117" s="214">
        <v>4.7322225570678711</v>
      </c>
    </row>
    <row r="118" spans="13:17" x14ac:dyDescent="0.25">
      <c r="M118">
        <v>57.5</v>
      </c>
      <c r="N118" s="214">
        <v>6.0668716430664063</v>
      </c>
      <c r="O118" s="214">
        <v>10.055658340454102</v>
      </c>
      <c r="P118" s="214">
        <v>6.6255331039428711</v>
      </c>
      <c r="Q118" s="214">
        <v>4.7535014152526855</v>
      </c>
    </row>
    <row r="119" spans="13:17" x14ac:dyDescent="0.25">
      <c r="M119">
        <v>58</v>
      </c>
      <c r="N119" s="214">
        <v>5.9868307113647461</v>
      </c>
      <c r="O119" s="214">
        <v>10.0125732421875</v>
      </c>
      <c r="P119" s="214">
        <v>6.6256189346313477</v>
      </c>
      <c r="Q119" s="214">
        <v>4.8249320983886719</v>
      </c>
    </row>
    <row r="120" spans="13:17" x14ac:dyDescent="0.25">
      <c r="M120">
        <v>58.5</v>
      </c>
      <c r="N120" s="214">
        <v>5.9998645782470703</v>
      </c>
      <c r="O120" s="214">
        <v>9.9265766143798828</v>
      </c>
      <c r="P120" s="214">
        <v>6.4904842376708984</v>
      </c>
      <c r="Q120" s="214">
        <v>4.7729511260986328</v>
      </c>
    </row>
    <row r="121" spans="13:17" x14ac:dyDescent="0.25">
      <c r="M121">
        <v>59</v>
      </c>
      <c r="N121" s="214">
        <v>5.938511848449707</v>
      </c>
      <c r="O121" s="214">
        <v>9.9669504165649414</v>
      </c>
      <c r="P121" s="214">
        <v>6.4679841995239258</v>
      </c>
      <c r="Q121" s="214">
        <v>4.871147632598877</v>
      </c>
    </row>
    <row r="122" spans="13:17" x14ac:dyDescent="0.25">
      <c r="M122">
        <v>59.5</v>
      </c>
      <c r="N122" s="214">
        <v>5.9382390975952148</v>
      </c>
      <c r="O122" s="214">
        <v>9.9816770553588867</v>
      </c>
      <c r="P122" s="214">
        <v>6.5694460868835449</v>
      </c>
      <c r="Q122" s="214">
        <v>4.9141473770141602</v>
      </c>
    </row>
    <row r="123" spans="13:17" x14ac:dyDescent="0.25">
      <c r="M123">
        <v>60</v>
      </c>
      <c r="N123" s="214">
        <v>5.9546031951904297</v>
      </c>
      <c r="O123" s="214">
        <v>9.7781028747558594</v>
      </c>
      <c r="P123" s="214">
        <v>6.5275187492370605</v>
      </c>
      <c r="Q123" s="214">
        <v>4.9567131996154785</v>
      </c>
    </row>
    <row r="124" spans="13:17" x14ac:dyDescent="0.25">
      <c r="M124">
        <v>60.5</v>
      </c>
      <c r="N124" s="214">
        <v>5.8773965835571289</v>
      </c>
      <c r="O124" s="214">
        <v>9.7242155075073242</v>
      </c>
      <c r="P124" s="214">
        <v>6.4582781791687012</v>
      </c>
      <c r="Q124" s="214">
        <v>4.9449348449707031</v>
      </c>
    </row>
    <row r="125" spans="13:17" x14ac:dyDescent="0.25">
      <c r="M125">
        <v>61</v>
      </c>
      <c r="N125" s="214">
        <v>5.8075852394104004</v>
      </c>
      <c r="O125" s="214">
        <v>9.6853170394897461</v>
      </c>
      <c r="P125" s="214">
        <v>6.4841461181640625</v>
      </c>
      <c r="Q125" s="214">
        <v>5.028104305267334</v>
      </c>
    </row>
    <row r="126" spans="13:17" x14ac:dyDescent="0.25">
      <c r="M126">
        <v>61.5</v>
      </c>
      <c r="N126" s="214">
        <v>5.8320207595825195</v>
      </c>
      <c r="O126" s="214">
        <v>9.8162345886230469</v>
      </c>
      <c r="P126" s="214">
        <v>6.39306640625</v>
      </c>
      <c r="Q126" s="214">
        <v>5.1166653633117676</v>
      </c>
    </row>
    <row r="127" spans="13:17" x14ac:dyDescent="0.25">
      <c r="M127">
        <v>62</v>
      </c>
      <c r="N127" s="214">
        <v>5.8634815216064453</v>
      </c>
      <c r="O127" s="214">
        <v>9.9146785736083984</v>
      </c>
      <c r="P127" s="214">
        <v>6.328972339630127</v>
      </c>
      <c r="Q127" s="214">
        <v>4.9873800277709961</v>
      </c>
    </row>
    <row r="128" spans="13:17" x14ac:dyDescent="0.25">
      <c r="M128">
        <v>62.5</v>
      </c>
      <c r="N128" s="214">
        <v>5.8398022651672363</v>
      </c>
      <c r="O128" s="214">
        <v>9.9065647125244141</v>
      </c>
      <c r="P128" s="214">
        <v>6.3074831962585449</v>
      </c>
      <c r="Q128" s="214">
        <v>4.843775749206543</v>
      </c>
    </row>
    <row r="129" spans="13:17" x14ac:dyDescent="0.25">
      <c r="M129">
        <v>63</v>
      </c>
      <c r="N129" s="214">
        <v>5.8538823127746582</v>
      </c>
      <c r="O129" s="214">
        <v>9.8833179473876953</v>
      </c>
      <c r="P129" s="214">
        <v>6.3252520561218262</v>
      </c>
      <c r="Q129" s="214">
        <v>4.9286818504333496</v>
      </c>
    </row>
    <row r="130" spans="13:17" x14ac:dyDescent="0.25">
      <c r="M130">
        <v>63.5</v>
      </c>
      <c r="N130" s="214">
        <v>5.7710099220275879</v>
      </c>
      <c r="O130" s="214">
        <v>9.5981788635253906</v>
      </c>
      <c r="P130" s="214">
        <v>6.3023910522460938</v>
      </c>
      <c r="Q130" s="214">
        <v>4.9345574378967285</v>
      </c>
    </row>
    <row r="131" spans="13:17" x14ac:dyDescent="0.25">
      <c r="M131">
        <v>64</v>
      </c>
      <c r="N131" s="214">
        <v>5.7598991394042969</v>
      </c>
      <c r="O131" s="214">
        <v>9.8656387329101563</v>
      </c>
      <c r="P131" s="214">
        <v>6.2620477676391602</v>
      </c>
      <c r="Q131" s="214">
        <v>5.0687747001647949</v>
      </c>
    </row>
    <row r="132" spans="13:17" x14ac:dyDescent="0.25">
      <c r="M132">
        <v>64.5</v>
      </c>
      <c r="N132" s="214">
        <v>5.7789111137390137</v>
      </c>
      <c r="O132" s="214">
        <v>9.8321828842163086</v>
      </c>
      <c r="P132" s="214">
        <v>6.3067488670349121</v>
      </c>
      <c r="Q132" s="214">
        <v>5.1563940048217773</v>
      </c>
    </row>
    <row r="133" spans="13:17" x14ac:dyDescent="0.25">
      <c r="M133">
        <v>65</v>
      </c>
      <c r="N133" s="214">
        <v>5.7907776832580566</v>
      </c>
      <c r="O133" s="214">
        <v>9.7991065979003906</v>
      </c>
      <c r="P133" s="214">
        <v>6.2665629386901855</v>
      </c>
      <c r="Q133" s="214">
        <v>4.950904369354248</v>
      </c>
    </row>
    <row r="134" spans="13:17" x14ac:dyDescent="0.25">
      <c r="M134">
        <v>65.5</v>
      </c>
      <c r="N134" s="214">
        <v>5.9326033592224121</v>
      </c>
      <c r="O134" s="214">
        <v>9.720454216003418</v>
      </c>
      <c r="P134" s="214">
        <v>6.2504806518554688</v>
      </c>
      <c r="Q134" s="214">
        <v>4.8535723686218262</v>
      </c>
    </row>
    <row r="135" spans="13:17" x14ac:dyDescent="0.25">
      <c r="M135">
        <v>66</v>
      </c>
      <c r="N135" s="214">
        <v>6.0370244979858398</v>
      </c>
      <c r="O135" s="214">
        <v>9.5119867324829102</v>
      </c>
      <c r="P135" s="214">
        <v>6.3317131996154785</v>
      </c>
      <c r="Q135" s="214">
        <v>4.8731808662414551</v>
      </c>
    </row>
    <row r="136" spans="13:17" x14ac:dyDescent="0.25">
      <c r="M136">
        <v>66.5</v>
      </c>
      <c r="N136" s="214">
        <v>5.9546399116516113</v>
      </c>
      <c r="O136" s="214">
        <v>9.5682182312011719</v>
      </c>
      <c r="P136" s="214">
        <v>6.3510360717773438</v>
      </c>
      <c r="Q136" s="214">
        <v>4.8344221115112305</v>
      </c>
    </row>
    <row r="137" spans="13:17" x14ac:dyDescent="0.25">
      <c r="M137">
        <v>67</v>
      </c>
      <c r="N137" s="214">
        <v>5.9689164161682129</v>
      </c>
      <c r="O137" s="214">
        <v>9.6541833877563477</v>
      </c>
      <c r="P137" s="214">
        <v>6.4077849388122559</v>
      </c>
      <c r="Q137" s="214">
        <v>4.9122676849365234</v>
      </c>
    </row>
    <row r="138" spans="13:17" x14ac:dyDescent="0.25">
      <c r="M138">
        <v>67.5</v>
      </c>
      <c r="N138" s="214">
        <v>5.9479737281799316</v>
      </c>
      <c r="O138" s="214">
        <v>9.6048145294189453</v>
      </c>
      <c r="P138" s="214">
        <v>6.3586831092834473</v>
      </c>
      <c r="Q138" s="214">
        <v>4.8415331840515137</v>
      </c>
    </row>
    <row r="139" spans="13:17" x14ac:dyDescent="0.25">
      <c r="M139">
        <v>68</v>
      </c>
      <c r="N139" s="214">
        <v>5.9955782890319824</v>
      </c>
      <c r="O139" s="214">
        <v>9.4938125610351563</v>
      </c>
      <c r="P139" s="214">
        <v>6.383328914642334</v>
      </c>
      <c r="Q139" s="214">
        <v>4.9085769653320313</v>
      </c>
    </row>
    <row r="140" spans="13:17" x14ac:dyDescent="0.25">
      <c r="M140">
        <v>68.5</v>
      </c>
      <c r="N140" s="214">
        <v>6.0594711303710938</v>
      </c>
      <c r="O140" s="214">
        <v>9.5669345855712891</v>
      </c>
      <c r="P140" s="214">
        <v>6.3251218795776367</v>
      </c>
      <c r="Q140" s="214">
        <v>4.8529305458068848</v>
      </c>
    </row>
    <row r="141" spans="13:17" x14ac:dyDescent="0.25">
      <c r="M141">
        <v>69</v>
      </c>
      <c r="N141" s="214">
        <v>6.0673460960388184</v>
      </c>
      <c r="O141" s="214">
        <v>9.6053810119628906</v>
      </c>
      <c r="P141" s="214">
        <v>6.2874317169189453</v>
      </c>
      <c r="Q141" s="214">
        <v>4.756737232208252</v>
      </c>
    </row>
    <row r="142" spans="13:17" x14ac:dyDescent="0.25">
      <c r="M142">
        <v>69.5</v>
      </c>
      <c r="N142" s="214">
        <v>6.0791311264038086</v>
      </c>
      <c r="O142" s="214">
        <v>9.5957317352294922</v>
      </c>
      <c r="P142" s="214">
        <v>6.3059096336364746</v>
      </c>
      <c r="Q142" s="214">
        <v>4.7651200294494629</v>
      </c>
    </row>
    <row r="143" spans="13:17" x14ac:dyDescent="0.25">
      <c r="M143">
        <v>70</v>
      </c>
      <c r="N143" s="214">
        <v>6.0953197479248047</v>
      </c>
      <c r="O143" s="214">
        <v>9.5224714279174805</v>
      </c>
      <c r="P143" s="214">
        <v>6.351036548614502</v>
      </c>
      <c r="Q143" s="214">
        <v>4.7351140975952148</v>
      </c>
    </row>
    <row r="144" spans="13:17" x14ac:dyDescent="0.25">
      <c r="M144">
        <v>70.5</v>
      </c>
      <c r="N144" s="214">
        <v>6.0970907211303711</v>
      </c>
      <c r="O144" s="214">
        <v>9.5185117721557617</v>
      </c>
      <c r="P144" s="214">
        <v>6.3308043479919434</v>
      </c>
      <c r="Q144" s="214">
        <v>4.7117371559143066</v>
      </c>
    </row>
    <row r="145" spans="13:17" x14ac:dyDescent="0.25">
      <c r="M145">
        <v>71</v>
      </c>
      <c r="N145" s="214">
        <v>6.1156883239746094</v>
      </c>
      <c r="O145" s="214">
        <v>9.5554285049438477</v>
      </c>
      <c r="P145" s="214">
        <v>6.3925995826721191</v>
      </c>
      <c r="Q145" s="214">
        <v>4.646705150604248</v>
      </c>
    </row>
    <row r="146" spans="13:17" x14ac:dyDescent="0.25">
      <c r="M146">
        <v>71.5</v>
      </c>
      <c r="N146" s="214">
        <v>6.1087961196899414</v>
      </c>
      <c r="O146" s="214">
        <v>9.5212574005126953</v>
      </c>
      <c r="P146" s="214">
        <v>6.3334197998046875</v>
      </c>
      <c r="Q146" s="214">
        <v>4.6211204528808594</v>
      </c>
    </row>
    <row r="147" spans="13:17" x14ac:dyDescent="0.25">
      <c r="M147">
        <v>72</v>
      </c>
      <c r="N147" s="214">
        <v>6.1616964340209961</v>
      </c>
      <c r="O147" s="214">
        <v>9.5305452346801758</v>
      </c>
      <c r="P147" s="214">
        <v>6.3311886787414551</v>
      </c>
      <c r="Q147" s="214">
        <v>4.5752787590026855</v>
      </c>
    </row>
    <row r="148" spans="13:17" x14ac:dyDescent="0.25">
      <c r="M148">
        <v>72.5</v>
      </c>
      <c r="N148" s="214">
        <v>6.1498198509216309</v>
      </c>
      <c r="O148" s="214">
        <v>9.5194082260131836</v>
      </c>
      <c r="P148" s="214">
        <v>6.2309656143188477</v>
      </c>
      <c r="Q148" s="214">
        <v>4.6235537528991699</v>
      </c>
    </row>
    <row r="149" spans="13:17" x14ac:dyDescent="0.25">
      <c r="M149">
        <v>73</v>
      </c>
      <c r="N149" s="214">
        <v>6.222714900970459</v>
      </c>
      <c r="O149" s="214">
        <v>9.481236457824707</v>
      </c>
      <c r="P149" s="214">
        <v>6.3277034759521484</v>
      </c>
      <c r="Q149" s="214">
        <v>4.5187392234802246</v>
      </c>
    </row>
    <row r="150" spans="13:17" x14ac:dyDescent="0.25">
      <c r="M150">
        <v>73.5</v>
      </c>
      <c r="N150" s="214">
        <v>6.1803913116455078</v>
      </c>
      <c r="O150" s="214">
        <v>9.4472379684448242</v>
      </c>
      <c r="P150" s="214">
        <v>6.316380500793457</v>
      </c>
      <c r="Q150" s="214">
        <v>4.4528489112854004</v>
      </c>
    </row>
    <row r="151" spans="13:17" x14ac:dyDescent="0.25">
      <c r="M151">
        <v>74</v>
      </c>
      <c r="N151" s="214">
        <v>6.1134634017944336</v>
      </c>
      <c r="O151" s="214">
        <v>9.5346794128417969</v>
      </c>
      <c r="P151" s="214">
        <v>6.4327168464660645</v>
      </c>
      <c r="Q151" s="214">
        <v>4.5748734474182129</v>
      </c>
    </row>
    <row r="152" spans="13:17" x14ac:dyDescent="0.25">
      <c r="M152">
        <v>74.5</v>
      </c>
      <c r="N152" s="214">
        <v>6.0313286781311035</v>
      </c>
      <c r="O152" s="214">
        <v>9.4768009185791016</v>
      </c>
      <c r="P152" s="214">
        <v>6.4196057319641113</v>
      </c>
      <c r="Q152" s="214">
        <v>4.5739021301269531</v>
      </c>
    </row>
    <row r="153" spans="13:17" x14ac:dyDescent="0.25">
      <c r="M153">
        <v>75</v>
      </c>
      <c r="N153" s="214">
        <v>6.1011629104614258</v>
      </c>
      <c r="O153" s="214">
        <v>9.5527744293212891</v>
      </c>
      <c r="P153" s="214">
        <v>6.3499264717102051</v>
      </c>
      <c r="Q153" s="214">
        <v>4.4959864616394043</v>
      </c>
    </row>
    <row r="154" spans="13:17" x14ac:dyDescent="0.25">
      <c r="M154">
        <v>75.5</v>
      </c>
      <c r="N154" s="214">
        <v>6.2224335670471191</v>
      </c>
      <c r="O154" s="214">
        <v>9.6252002716064453</v>
      </c>
      <c r="P154" s="214">
        <v>6.3999247550964355</v>
      </c>
      <c r="Q154" s="214">
        <v>4.4354767799377441</v>
      </c>
    </row>
    <row r="155" spans="13:17" x14ac:dyDescent="0.25">
      <c r="M155">
        <v>76</v>
      </c>
      <c r="N155" s="214">
        <v>6.2658052444458008</v>
      </c>
      <c r="O155" s="214">
        <v>9.5318470001220703</v>
      </c>
      <c r="P155" s="214">
        <v>6.3973817825317383</v>
      </c>
      <c r="Q155" s="214">
        <v>4.5263242721557617</v>
      </c>
    </row>
    <row r="156" spans="13:17" x14ac:dyDescent="0.25">
      <c r="M156">
        <v>76.5</v>
      </c>
      <c r="N156" s="214">
        <v>6.0967197418212891</v>
      </c>
      <c r="O156" s="214">
        <v>9.5048246383666992</v>
      </c>
      <c r="P156" s="214">
        <v>6.3807158470153809</v>
      </c>
      <c r="Q156" s="214">
        <v>4.4634509086608887</v>
      </c>
    </row>
    <row r="157" spans="13:17" x14ac:dyDescent="0.25">
      <c r="M157">
        <v>77</v>
      </c>
      <c r="N157" s="214">
        <v>5.9370179176330566</v>
      </c>
      <c r="O157" s="214">
        <v>9.5459136962890625</v>
      </c>
      <c r="P157" s="214">
        <v>6.3835492134094238</v>
      </c>
      <c r="Q157" s="214">
        <v>4.4828896522521973</v>
      </c>
    </row>
    <row r="158" spans="13:17" x14ac:dyDescent="0.25">
      <c r="M158">
        <v>77.5</v>
      </c>
      <c r="N158" s="214">
        <v>5.8042731285095215</v>
      </c>
      <c r="O158" s="214">
        <v>9.5392093658447266</v>
      </c>
      <c r="P158" s="214">
        <v>6.4088311195373535</v>
      </c>
      <c r="Q158" s="214">
        <v>4.3486413955688477</v>
      </c>
    </row>
    <row r="159" spans="13:17" x14ac:dyDescent="0.25">
      <c r="M159">
        <v>78</v>
      </c>
      <c r="N159" s="214">
        <v>5.8967738151550293</v>
      </c>
      <c r="O159" s="214">
        <v>9.5584726333618164</v>
      </c>
      <c r="P159" s="214">
        <v>6.3653831481933594</v>
      </c>
      <c r="Q159" s="214">
        <v>4.3878402709960938</v>
      </c>
    </row>
    <row r="160" spans="13:17" x14ac:dyDescent="0.25">
      <c r="M160">
        <v>78.5</v>
      </c>
      <c r="N160" s="214">
        <v>5.9387011528015137</v>
      </c>
      <c r="O160" s="214">
        <v>9.54931640625</v>
      </c>
      <c r="P160" s="214">
        <v>6.3483414649963379</v>
      </c>
      <c r="Q160" s="214">
        <v>4.4712228775024414</v>
      </c>
    </row>
    <row r="161" spans="13:17" x14ac:dyDescent="0.25">
      <c r="M161">
        <v>79</v>
      </c>
      <c r="N161" s="214">
        <v>6.0253982543945313</v>
      </c>
      <c r="O161" s="214">
        <v>9.5338420867919922</v>
      </c>
      <c r="P161" s="214">
        <v>6.2959861755371094</v>
      </c>
      <c r="Q161" s="214">
        <v>4.5691514015197754</v>
      </c>
    </row>
    <row r="162" spans="13:17" x14ac:dyDescent="0.25">
      <c r="M162">
        <v>79.5</v>
      </c>
      <c r="N162" s="214">
        <v>5.9776096343994141</v>
      </c>
      <c r="O162" s="214">
        <v>9.5109958648681641</v>
      </c>
      <c r="P162" s="214">
        <v>6.3312506675720215</v>
      </c>
      <c r="Q162" s="214">
        <v>4.5078692436218262</v>
      </c>
    </row>
    <row r="163" spans="13:17" x14ac:dyDescent="0.25">
      <c r="M163">
        <v>80</v>
      </c>
      <c r="N163" s="214">
        <v>6.0022969245910645</v>
      </c>
      <c r="O163" s="214">
        <v>9.4901561737060547</v>
      </c>
      <c r="P163" s="214">
        <v>6.3298916816711426</v>
      </c>
      <c r="Q163" s="214">
        <v>4.5484714508056641</v>
      </c>
    </row>
    <row r="164" spans="13:17" x14ac:dyDescent="0.25">
      <c r="M164">
        <v>80.5</v>
      </c>
      <c r="N164" s="214">
        <v>5.917078971862793</v>
      </c>
      <c r="O164" s="214">
        <v>9.5157003402709961</v>
      </c>
      <c r="P164" s="214">
        <v>6.2860608100891113</v>
      </c>
      <c r="Q164" s="214">
        <v>4.6097507476806641</v>
      </c>
    </row>
    <row r="165" spans="13:17" x14ac:dyDescent="0.25">
      <c r="M165">
        <v>81</v>
      </c>
      <c r="N165" s="214">
        <v>5.9791908264160156</v>
      </c>
      <c r="O165" s="214">
        <v>9.5429553985595703</v>
      </c>
      <c r="P165" s="214">
        <v>6.3177871704101563</v>
      </c>
      <c r="Q165" s="214">
        <v>4.7516212463378906</v>
      </c>
    </row>
    <row r="166" spans="13:17" x14ac:dyDescent="0.25">
      <c r="M166">
        <v>81.5</v>
      </c>
      <c r="N166" s="214">
        <v>5.9852299690246582</v>
      </c>
      <c r="O166" s="214">
        <v>9.6352138519287109</v>
      </c>
      <c r="P166" s="214">
        <v>6.3696584701538086</v>
      </c>
      <c r="Q166" s="214">
        <v>4.7712869644165039</v>
      </c>
    </row>
    <row r="167" spans="13:17" x14ac:dyDescent="0.25">
      <c r="M167">
        <v>82</v>
      </c>
      <c r="N167" s="214">
        <v>5.8782525062561035</v>
      </c>
      <c r="O167" s="214">
        <v>9.6284723281860352</v>
      </c>
      <c r="P167" s="214">
        <v>6.3353710174560547</v>
      </c>
      <c r="Q167" s="214">
        <v>4.8299398422241211</v>
      </c>
    </row>
    <row r="168" spans="13:17" x14ac:dyDescent="0.25">
      <c r="M168">
        <v>82.5</v>
      </c>
      <c r="N168" s="214">
        <v>5.937708854675293</v>
      </c>
      <c r="O168" s="214">
        <v>9.7711200714111328</v>
      </c>
      <c r="P168" s="214">
        <v>6.387169361114502</v>
      </c>
      <c r="Q168" s="214">
        <v>4.8041782379150391</v>
      </c>
    </row>
    <row r="169" spans="13:17" x14ac:dyDescent="0.25">
      <c r="M169">
        <v>83</v>
      </c>
      <c r="N169" s="214">
        <v>5.8529901504516602</v>
      </c>
      <c r="O169" s="214">
        <v>9.6957664489746094</v>
      </c>
      <c r="P169" s="214">
        <v>6.3802928924560547</v>
      </c>
      <c r="Q169" s="214">
        <v>4.7888274192810059</v>
      </c>
    </row>
    <row r="170" spans="13:17" x14ac:dyDescent="0.25">
      <c r="M170">
        <v>83.5</v>
      </c>
      <c r="N170" s="214">
        <v>5.9251523017883301</v>
      </c>
      <c r="O170" s="214">
        <v>9.6397733688354492</v>
      </c>
      <c r="P170" s="214">
        <v>6.3799514770507813</v>
      </c>
      <c r="Q170" s="214">
        <v>4.8874955177307129</v>
      </c>
    </row>
    <row r="171" spans="13:17" x14ac:dyDescent="0.25">
      <c r="M171">
        <v>84</v>
      </c>
      <c r="N171" s="214">
        <v>5.7965760231018066</v>
      </c>
      <c r="O171" s="214">
        <v>9.5483980178833008</v>
      </c>
      <c r="P171" s="214">
        <v>6.3446588516235352</v>
      </c>
      <c r="Q171" s="214">
        <v>4.8847122192382813</v>
      </c>
    </row>
    <row r="172" spans="13:17" x14ac:dyDescent="0.25">
      <c r="M172">
        <v>84.5</v>
      </c>
      <c r="N172" s="214">
        <v>5.8861451148986816</v>
      </c>
      <c r="O172" s="214">
        <v>9.7077264785766602</v>
      </c>
      <c r="P172" s="214">
        <v>6.3947081565856934</v>
      </c>
      <c r="Q172" s="214">
        <v>4.9159793853759766</v>
      </c>
    </row>
    <row r="173" spans="13:17" x14ac:dyDescent="0.25">
      <c r="M173">
        <v>85</v>
      </c>
      <c r="N173" s="214">
        <v>5.8911457061767578</v>
      </c>
      <c r="O173" s="214">
        <v>9.6950349807739258</v>
      </c>
      <c r="P173" s="214">
        <v>6.3575177192687988</v>
      </c>
      <c r="Q173" s="214">
        <v>4.9330892562866211</v>
      </c>
    </row>
    <row r="174" spans="13:17" x14ac:dyDescent="0.25">
      <c r="M174">
        <v>85.5</v>
      </c>
      <c r="N174" s="214">
        <v>5.9209890365600586</v>
      </c>
      <c r="O174" s="214">
        <v>9.7475271224975586</v>
      </c>
      <c r="P174" s="214">
        <v>6.3817510604858398</v>
      </c>
      <c r="Q174" s="214">
        <v>4.9102821350097656</v>
      </c>
    </row>
    <row r="175" spans="13:17" x14ac:dyDescent="0.25">
      <c r="M175">
        <v>86</v>
      </c>
      <c r="N175" s="214">
        <v>5.9400596618652344</v>
      </c>
      <c r="O175" s="214">
        <v>9.6724519729614258</v>
      </c>
      <c r="P175" s="214">
        <v>6.3253540992736816</v>
      </c>
      <c r="Q175" s="214">
        <v>4.9353270530700684</v>
      </c>
    </row>
    <row r="176" spans="13:17" x14ac:dyDescent="0.25">
      <c r="M176">
        <v>86.5</v>
      </c>
      <c r="N176" s="214">
        <v>5.9207911491394043</v>
      </c>
      <c r="O176" s="214">
        <v>9.6912879943847656</v>
      </c>
      <c r="P176" s="214">
        <v>6.391108512878418</v>
      </c>
      <c r="Q176" s="214">
        <v>4.9207587242126465</v>
      </c>
    </row>
    <row r="177" spans="13:17" x14ac:dyDescent="0.25">
      <c r="M177">
        <v>87</v>
      </c>
      <c r="N177" s="214">
        <v>5.9075965881347656</v>
      </c>
      <c r="O177" s="214">
        <v>9.6473703384399414</v>
      </c>
      <c r="P177" s="214">
        <v>6.338010311126709</v>
      </c>
      <c r="Q177" s="214">
        <v>5.0132346153259277</v>
      </c>
    </row>
    <row r="178" spans="13:17" x14ac:dyDescent="0.25">
      <c r="M178">
        <v>87.5</v>
      </c>
      <c r="N178" s="214">
        <v>5.9337663650512695</v>
      </c>
      <c r="O178" s="214">
        <v>9.7349023818969727</v>
      </c>
      <c r="P178" s="214">
        <v>6.3240222930908203</v>
      </c>
      <c r="Q178" s="214">
        <v>4.8820486068725586</v>
      </c>
    </row>
    <row r="179" spans="13:17" x14ac:dyDescent="0.25">
      <c r="M179">
        <v>88</v>
      </c>
      <c r="N179" s="214">
        <v>5.8049745559692383</v>
      </c>
      <c r="O179" s="214">
        <v>9.6724567413330078</v>
      </c>
      <c r="P179" s="214">
        <v>6.3264455795288086</v>
      </c>
      <c r="Q179" s="214">
        <v>4.8229794502258301</v>
      </c>
    </row>
    <row r="180" spans="13:17" x14ac:dyDescent="0.25">
      <c r="M180">
        <v>88.5</v>
      </c>
      <c r="N180" s="214">
        <v>5.9636111259460449</v>
      </c>
      <c r="O180" s="214">
        <v>9.7624568939208984</v>
      </c>
      <c r="P180" s="214">
        <v>6.3578581809997559</v>
      </c>
      <c r="Q180" s="214">
        <v>4.9033522605895996</v>
      </c>
    </row>
    <row r="181" spans="13:17" x14ac:dyDescent="0.25">
      <c r="M181">
        <v>89</v>
      </c>
      <c r="N181" s="214">
        <v>5.9324684143066406</v>
      </c>
      <c r="O181" s="214">
        <v>9.7538576126098633</v>
      </c>
      <c r="P181" s="214">
        <v>6.331634521484375</v>
      </c>
      <c r="Q181" s="214">
        <v>4.9785866737365723</v>
      </c>
    </row>
    <row r="182" spans="13:17" x14ac:dyDescent="0.25">
      <c r="M182">
        <v>89.5</v>
      </c>
      <c r="N182" s="214">
        <v>6.0047616958618164</v>
      </c>
      <c r="O182" s="214">
        <v>9.7890424728393555</v>
      </c>
      <c r="P182" s="214">
        <v>6.356266975402832</v>
      </c>
      <c r="Q182" s="214">
        <v>4.7664895057678223</v>
      </c>
    </row>
    <row r="183" spans="13:17" x14ac:dyDescent="0.25">
      <c r="M183">
        <v>90</v>
      </c>
      <c r="N183" s="214">
        <v>6.029329776763916</v>
      </c>
      <c r="O183" s="214">
        <v>9.7684879302978516</v>
      </c>
      <c r="P183" s="214">
        <v>6.3994755744934082</v>
      </c>
      <c r="Q183" s="214">
        <v>4.7596173286437988</v>
      </c>
    </row>
    <row r="184" spans="13:17" x14ac:dyDescent="0.25">
      <c r="M184">
        <v>90.5</v>
      </c>
      <c r="N184" s="214">
        <v>5.9802899360656738</v>
      </c>
      <c r="O184" s="214">
        <v>9.6894292831420898</v>
      </c>
      <c r="P184" s="214">
        <v>6.3952727317810059</v>
      </c>
      <c r="Q184" s="214">
        <v>4.7461214065551758</v>
      </c>
    </row>
    <row r="185" spans="13:17" x14ac:dyDescent="0.25">
      <c r="M185">
        <v>91</v>
      </c>
      <c r="N185" s="214">
        <v>6.0257229804992676</v>
      </c>
      <c r="O185" s="214">
        <v>9.728266716003418</v>
      </c>
      <c r="P185" s="214">
        <v>6.4426546096801758</v>
      </c>
      <c r="Q185" s="214">
        <v>4.8001289367675781</v>
      </c>
    </row>
    <row r="186" spans="13:17" x14ac:dyDescent="0.25">
      <c r="M186">
        <v>91.5</v>
      </c>
      <c r="N186" s="214">
        <v>6.0983772277832031</v>
      </c>
      <c r="O186" s="214">
        <v>9.761775016784668</v>
      </c>
      <c r="P186" s="214">
        <v>6.3675756454467773</v>
      </c>
      <c r="Q186" s="214">
        <v>4.7394919395446777</v>
      </c>
    </row>
    <row r="187" spans="13:17" x14ac:dyDescent="0.25">
      <c r="M187">
        <v>92</v>
      </c>
      <c r="N187" s="214">
        <v>6.0980286598205566</v>
      </c>
      <c r="O187" s="214">
        <v>9.7478313446044922</v>
      </c>
      <c r="P187" s="214">
        <v>6.3575806617736816</v>
      </c>
      <c r="Q187" s="214">
        <v>4.7875566482543945</v>
      </c>
    </row>
    <row r="188" spans="13:17" x14ac:dyDescent="0.25">
      <c r="M188">
        <v>92.5</v>
      </c>
      <c r="N188" s="214">
        <v>6.121027946472168</v>
      </c>
      <c r="O188" s="214">
        <v>9.763422966003418</v>
      </c>
      <c r="P188" s="214">
        <v>6.3351421356201172</v>
      </c>
      <c r="Q188" s="214">
        <v>4.7606282234191895</v>
      </c>
    </row>
    <row r="189" spans="13:17" x14ac:dyDescent="0.25">
      <c r="M189">
        <v>93</v>
      </c>
      <c r="N189" s="214">
        <v>6.1275334358215332</v>
      </c>
      <c r="O189" s="214">
        <v>9.7944097518920898</v>
      </c>
      <c r="P189" s="214">
        <v>6.3679976463317871</v>
      </c>
      <c r="Q189" s="214">
        <v>4.742342472076416</v>
      </c>
    </row>
    <row r="190" spans="13:17" x14ac:dyDescent="0.25">
      <c r="M190">
        <v>93.5</v>
      </c>
      <c r="N190" s="214">
        <v>6.1528444290161133</v>
      </c>
      <c r="O190" s="214">
        <v>9.7626800537109375</v>
      </c>
      <c r="P190" s="214">
        <v>6.3942975997924805</v>
      </c>
      <c r="Q190" s="214">
        <v>4.7650108337402344</v>
      </c>
    </row>
    <row r="191" spans="13:17" x14ac:dyDescent="0.25">
      <c r="M191">
        <v>94</v>
      </c>
      <c r="N191" s="214">
        <v>6.1096315383911133</v>
      </c>
      <c r="O191" s="214">
        <v>9.8083200454711914</v>
      </c>
      <c r="P191" s="214">
        <v>6.3945088386535645</v>
      </c>
      <c r="Q191" s="214">
        <v>4.7625641822814941</v>
      </c>
    </row>
    <row r="192" spans="13:17" x14ac:dyDescent="0.25">
      <c r="M192">
        <v>94.5</v>
      </c>
      <c r="N192" s="214">
        <v>6.1984143257141113</v>
      </c>
      <c r="O192" s="214">
        <v>9.7408514022827148</v>
      </c>
      <c r="P192" s="214">
        <v>6.3624200820922852</v>
      </c>
      <c r="Q192" s="214">
        <v>4.7391777038574219</v>
      </c>
    </row>
    <row r="193" spans="13:17" x14ac:dyDescent="0.25">
      <c r="M193">
        <v>95</v>
      </c>
      <c r="N193" s="214">
        <v>6.1018939018249512</v>
      </c>
      <c r="O193" s="214">
        <v>9.731414794921875</v>
      </c>
      <c r="P193" s="214">
        <v>6.3778491020202637</v>
      </c>
      <c r="Q193" s="214">
        <v>4.6107001304626465</v>
      </c>
    </row>
    <row r="194" spans="13:17" x14ac:dyDescent="0.25">
      <c r="M194">
        <v>95.5</v>
      </c>
      <c r="N194" s="214">
        <v>6.2282981872558594</v>
      </c>
      <c r="O194" s="214">
        <v>9.7704372406005859</v>
      </c>
      <c r="P194" s="214">
        <v>6.3048267364501953</v>
      </c>
      <c r="Q194" s="214">
        <v>4.603083610534668</v>
      </c>
    </row>
    <row r="195" spans="13:17" x14ac:dyDescent="0.25">
      <c r="M195">
        <v>96</v>
      </c>
      <c r="N195" s="214">
        <v>6.1891593933105469</v>
      </c>
      <c r="O195" s="214">
        <v>9.7465066909790039</v>
      </c>
      <c r="P195" s="214">
        <v>6.302436351776123</v>
      </c>
      <c r="Q195" s="214">
        <v>4.6692700386047363</v>
      </c>
    </row>
    <row r="196" spans="13:17" x14ac:dyDescent="0.25">
      <c r="M196">
        <v>96.5</v>
      </c>
      <c r="N196" s="214">
        <v>6.2336082458496094</v>
      </c>
      <c r="O196" s="214">
        <v>9.7570791244506836</v>
      </c>
      <c r="P196" s="214">
        <v>6.3271956443786621</v>
      </c>
      <c r="Q196" s="214">
        <v>4.6593170166015625</v>
      </c>
    </row>
    <row r="197" spans="13:17" x14ac:dyDescent="0.25">
      <c r="M197">
        <v>97</v>
      </c>
      <c r="N197" s="214">
        <v>6.2023410797119141</v>
      </c>
      <c r="O197" s="214">
        <v>9.7670488357543945</v>
      </c>
      <c r="P197" s="214">
        <v>6.3336091041564941</v>
      </c>
      <c r="Q197" s="214">
        <v>4.4432554244995117</v>
      </c>
    </row>
    <row r="198" spans="13:17" x14ac:dyDescent="0.25">
      <c r="M198">
        <v>97.5</v>
      </c>
      <c r="N198" s="214">
        <v>6.2278733253479004</v>
      </c>
      <c r="O198" s="214">
        <v>9.7034397125244141</v>
      </c>
      <c r="P198" s="214">
        <v>6.3158917427062988</v>
      </c>
      <c r="Q198" s="214">
        <v>4.4124860763549805</v>
      </c>
    </row>
    <row r="199" spans="13:17" x14ac:dyDescent="0.25">
      <c r="M199">
        <v>98</v>
      </c>
      <c r="N199" s="214">
        <v>6.360074520111084</v>
      </c>
      <c r="O199" s="214">
        <v>9.7687816619873047</v>
      </c>
      <c r="P199" s="214">
        <v>6.3146772384643555</v>
      </c>
      <c r="Q199" s="214">
        <v>4.5982851982116699</v>
      </c>
    </row>
    <row r="200" spans="13:17" x14ac:dyDescent="0.25">
      <c r="M200">
        <v>98.5</v>
      </c>
      <c r="N200" s="214">
        <v>6.2153100967407227</v>
      </c>
      <c r="O200" s="214">
        <v>9.7398881912231445</v>
      </c>
      <c r="P200" s="214">
        <v>6.3254494667053223</v>
      </c>
      <c r="Q200" s="214">
        <v>4.6548452377319336</v>
      </c>
    </row>
    <row r="201" spans="13:17" x14ac:dyDescent="0.25">
      <c r="M201">
        <v>99</v>
      </c>
      <c r="N201" s="214">
        <v>6.1275506019592285</v>
      </c>
      <c r="O201" s="214">
        <v>9.7347984313964844</v>
      </c>
      <c r="P201" s="214">
        <v>6.2915158271789551</v>
      </c>
      <c r="Q201" s="214">
        <v>4.5420961380004883</v>
      </c>
    </row>
    <row r="202" spans="13:17" x14ac:dyDescent="0.25">
      <c r="M202">
        <v>99.5</v>
      </c>
      <c r="N202" s="214">
        <v>6.0356473922729492</v>
      </c>
      <c r="O202" s="214">
        <v>9.7518148422241211</v>
      </c>
      <c r="P202" s="214">
        <v>6.2483396530151367</v>
      </c>
      <c r="Q202" s="214">
        <v>4.5535182952880859</v>
      </c>
    </row>
    <row r="203" spans="13:17" x14ac:dyDescent="0.25">
      <c r="M203">
        <v>100</v>
      </c>
      <c r="N203" s="214">
        <v>6.0724730491638184</v>
      </c>
      <c r="O203" s="214">
        <v>9.7235860824584961</v>
      </c>
      <c r="P203" s="214">
        <v>6.2594714164733887</v>
      </c>
      <c r="Q203" s="214">
        <v>4.567622184753418</v>
      </c>
    </row>
    <row r="204" spans="13:17" x14ac:dyDescent="0.25">
      <c r="M204">
        <v>100.5</v>
      </c>
      <c r="N204" s="214">
        <v>6.0503988265991211</v>
      </c>
      <c r="O204" s="214">
        <v>9.8007984161376953</v>
      </c>
      <c r="P204" s="214">
        <v>6.2828335762023926</v>
      </c>
      <c r="Q204" s="214">
        <v>4.5040640830993652</v>
      </c>
    </row>
    <row r="205" spans="13:17" x14ac:dyDescent="0.25">
      <c r="M205">
        <v>101</v>
      </c>
      <c r="N205" s="214">
        <v>6.0943427085876465</v>
      </c>
      <c r="O205" s="214">
        <v>9.7567691802978516</v>
      </c>
      <c r="P205" s="214">
        <v>6.2811102867126465</v>
      </c>
      <c r="Q205" s="214">
        <v>4.5167536735534668</v>
      </c>
    </row>
    <row r="206" spans="13:17" x14ac:dyDescent="0.25">
      <c r="M206">
        <v>101.5</v>
      </c>
      <c r="N206" s="214">
        <v>6.0976290702819824</v>
      </c>
      <c r="O206" s="214">
        <v>9.7689476013183594</v>
      </c>
      <c r="P206" s="214">
        <v>6.4063677787780762</v>
      </c>
      <c r="Q206" s="214">
        <v>4.4803471565246582</v>
      </c>
    </row>
    <row r="207" spans="13:17" x14ac:dyDescent="0.25">
      <c r="M207">
        <v>102</v>
      </c>
      <c r="N207" s="214">
        <v>6.0499625205993652</v>
      </c>
      <c r="O207" s="214">
        <v>9.7693290710449219</v>
      </c>
      <c r="P207" s="214">
        <v>6.3740496635437012</v>
      </c>
      <c r="Q207" s="214">
        <v>4.5040984153747559</v>
      </c>
    </row>
    <row r="208" spans="13:17" x14ac:dyDescent="0.25">
      <c r="M208">
        <v>102.5</v>
      </c>
      <c r="N208" s="214">
        <v>6.0930018424987793</v>
      </c>
      <c r="O208" s="214">
        <v>9.7643871307373047</v>
      </c>
      <c r="P208" s="214">
        <v>6.3227229118347168</v>
      </c>
      <c r="Q208" s="214">
        <v>4.6522507667541504</v>
      </c>
    </row>
    <row r="209" spans="13:17" x14ac:dyDescent="0.25">
      <c r="M209">
        <v>103</v>
      </c>
      <c r="N209" s="214">
        <v>6.0561962127685547</v>
      </c>
      <c r="O209" s="214">
        <v>9.7148551940917969</v>
      </c>
      <c r="P209" s="214">
        <v>6.3918271064758301</v>
      </c>
      <c r="Q209" s="214">
        <v>4.6186714172363281</v>
      </c>
    </row>
    <row r="210" spans="13:17" x14ac:dyDescent="0.25">
      <c r="M210">
        <v>103.5</v>
      </c>
      <c r="N210" s="214">
        <v>6.0182304382324219</v>
      </c>
      <c r="O210" s="214">
        <v>9.739497184753418</v>
      </c>
      <c r="P210" s="214">
        <v>6.3418416976928711</v>
      </c>
      <c r="Q210" s="214">
        <v>4.6246128082275391</v>
      </c>
    </row>
    <row r="211" spans="13:17" x14ac:dyDescent="0.25">
      <c r="M211">
        <v>104</v>
      </c>
      <c r="N211" s="214">
        <v>6.0115981101989746</v>
      </c>
      <c r="O211" s="214">
        <v>9.776031494140625</v>
      </c>
      <c r="P211" s="214">
        <v>6.296074390411377</v>
      </c>
      <c r="Q211" s="214">
        <v>4.6692957878112793</v>
      </c>
    </row>
    <row r="212" spans="13:17" x14ac:dyDescent="0.25">
      <c r="M212">
        <v>104.5</v>
      </c>
      <c r="N212" s="214">
        <v>6.0572948455810547</v>
      </c>
      <c r="O212" s="214">
        <v>9.7355070114135742</v>
      </c>
      <c r="P212" s="214">
        <v>6.3257598876953125</v>
      </c>
      <c r="Q212" s="214">
        <v>4.7658343315124512</v>
      </c>
    </row>
    <row r="213" spans="13:17" x14ac:dyDescent="0.25">
      <c r="M213">
        <v>105</v>
      </c>
      <c r="N213" s="214">
        <v>6.0512475967407227</v>
      </c>
      <c r="O213" s="214">
        <v>9.7617568969726563</v>
      </c>
      <c r="P213" s="214">
        <v>6.3726100921630859</v>
      </c>
      <c r="Q213" s="214">
        <v>4.7363409996032715</v>
      </c>
    </row>
    <row r="214" spans="13:17" x14ac:dyDescent="0.25">
      <c r="M214">
        <v>105.5</v>
      </c>
      <c r="N214" s="214">
        <v>5.9893336296081543</v>
      </c>
      <c r="O214" s="214">
        <v>9.7643327713012695</v>
      </c>
      <c r="P214" s="214">
        <v>6.3738999366760254</v>
      </c>
      <c r="Q214" s="214">
        <v>4.7463293075561523</v>
      </c>
    </row>
    <row r="215" spans="13:17" x14ac:dyDescent="0.25">
      <c r="M215">
        <v>106</v>
      </c>
      <c r="N215" s="214">
        <v>6.0396285057067871</v>
      </c>
      <c r="O215" s="214">
        <v>9.7054166793823242</v>
      </c>
      <c r="P215" s="214">
        <v>6.3709964752197266</v>
      </c>
      <c r="Q215" s="214">
        <v>4.7720556259155273</v>
      </c>
    </row>
    <row r="216" spans="13:17" x14ac:dyDescent="0.25">
      <c r="M216">
        <v>106.5</v>
      </c>
      <c r="N216" s="214">
        <v>5.9041929244995117</v>
      </c>
      <c r="O216" s="214">
        <v>9.7706699371337891</v>
      </c>
      <c r="P216" s="214">
        <v>6.3745760917663574</v>
      </c>
      <c r="Q216" s="214">
        <v>4.8360657691955566</v>
      </c>
    </row>
    <row r="217" spans="13:17" x14ac:dyDescent="0.25">
      <c r="M217">
        <v>107</v>
      </c>
      <c r="N217" s="214">
        <v>6.02886962890625</v>
      </c>
      <c r="O217" s="214">
        <v>9.7475728988647461</v>
      </c>
      <c r="P217" s="214">
        <v>6.3350772857666016</v>
      </c>
      <c r="Q217" s="214">
        <v>4.8109946250915527</v>
      </c>
    </row>
    <row r="218" spans="13:17" x14ac:dyDescent="0.25">
      <c r="M218">
        <v>107.5</v>
      </c>
      <c r="N218" s="214">
        <v>6.0379505157470703</v>
      </c>
      <c r="O218" s="214">
        <v>9.7598209381103516</v>
      </c>
      <c r="P218" s="214">
        <v>6.3832464218139648</v>
      </c>
      <c r="Q218" s="214">
        <v>4.8015918731689453</v>
      </c>
    </row>
    <row r="219" spans="13:17" x14ac:dyDescent="0.25">
      <c r="M219">
        <v>108</v>
      </c>
      <c r="N219" s="214">
        <v>6.0130505561828613</v>
      </c>
      <c r="O219" s="214">
        <v>9.7935543060302734</v>
      </c>
      <c r="P219" s="214">
        <v>6.3949871063232422</v>
      </c>
      <c r="Q219" s="214">
        <v>4.8854246139526367</v>
      </c>
    </row>
    <row r="220" spans="13:17" x14ac:dyDescent="0.25">
      <c r="M220">
        <v>108.5</v>
      </c>
      <c r="N220" s="214">
        <v>5.953010082244873</v>
      </c>
      <c r="O220" s="214">
        <v>9.7371244430541992</v>
      </c>
      <c r="P220" s="214">
        <v>6.3523697853088379</v>
      </c>
      <c r="Q220" s="214">
        <v>4.8813905715942383</v>
      </c>
    </row>
    <row r="221" spans="13:17" x14ac:dyDescent="0.25">
      <c r="M221">
        <v>109</v>
      </c>
      <c r="N221" s="214">
        <v>5.8084359169006348</v>
      </c>
      <c r="O221" s="214">
        <v>9.7817955017089844</v>
      </c>
      <c r="P221" s="214">
        <v>6.4241361618041992</v>
      </c>
      <c r="Q221" s="214">
        <v>4.7858891487121582</v>
      </c>
    </row>
    <row r="222" spans="13:17" x14ac:dyDescent="0.25">
      <c r="M222">
        <v>109.5</v>
      </c>
      <c r="N222" s="214">
        <v>5.7597227096557617</v>
      </c>
      <c r="O222" s="214">
        <v>9.7739038467407227</v>
      </c>
      <c r="P222" s="214">
        <v>6.3830804824829102</v>
      </c>
      <c r="Q222" s="214">
        <v>4.8514986038208008</v>
      </c>
    </row>
    <row r="223" spans="13:17" x14ac:dyDescent="0.25">
      <c r="M223">
        <v>110</v>
      </c>
      <c r="N223" s="214">
        <v>5.9181427955627441</v>
      </c>
      <c r="O223" s="214">
        <v>9.8323259353637695</v>
      </c>
      <c r="P223" s="214">
        <v>6.3426194190979004</v>
      </c>
      <c r="Q223" s="214">
        <v>4.9373083114624023</v>
      </c>
    </row>
    <row r="224" spans="13:17" x14ac:dyDescent="0.25">
      <c r="M224">
        <v>110.5</v>
      </c>
      <c r="N224" s="214">
        <v>6.2821211814880371</v>
      </c>
      <c r="O224" s="214">
        <v>0.68444156646728005</v>
      </c>
      <c r="P224" s="214">
        <v>6.2961225509643555</v>
      </c>
      <c r="Q224" s="214">
        <v>0.5733875036239624</v>
      </c>
    </row>
    <row r="225" spans="13:17" x14ac:dyDescent="0.25">
      <c r="M225">
        <v>111</v>
      </c>
      <c r="N225" s="214">
        <v>6.2514715194702148</v>
      </c>
      <c r="O225" s="214">
        <v>0.68444156646728005</v>
      </c>
      <c r="P225" s="214">
        <v>6.3457503318786621</v>
      </c>
      <c r="Q225" s="214">
        <v>1.9112917361781001E-3</v>
      </c>
    </row>
    <row r="226" spans="13:17" x14ac:dyDescent="0.25">
      <c r="M226">
        <v>111.5</v>
      </c>
      <c r="N226" s="214">
        <v>6.1619462966918945</v>
      </c>
      <c r="O226" s="214">
        <v>0.68444156646728005</v>
      </c>
      <c r="P226" s="214">
        <v>6.3072195053100586</v>
      </c>
      <c r="Q226" s="214">
        <v>6.3287807279266417E-6</v>
      </c>
    </row>
    <row r="227" spans="13:17" x14ac:dyDescent="0.25">
      <c r="M227">
        <v>112</v>
      </c>
      <c r="N227" s="214">
        <v>5.9788632392883301</v>
      </c>
      <c r="O227" s="214">
        <v>0.68444156646728005</v>
      </c>
      <c r="P227" s="214">
        <v>6.3241133689880371</v>
      </c>
      <c r="Q227" s="214">
        <v>2.1095935665016441E-8</v>
      </c>
    </row>
    <row r="228" spans="13:17" x14ac:dyDescent="0.25">
      <c r="M228">
        <v>112.5</v>
      </c>
      <c r="N228" s="214">
        <v>6.0244078636169434</v>
      </c>
      <c r="O228" s="214">
        <v>0.68444156646728005</v>
      </c>
      <c r="P228" s="214">
        <v>6.3254127502441406</v>
      </c>
      <c r="Q228" s="214">
        <v>6.9854094730814609E-11</v>
      </c>
    </row>
    <row r="229" spans="13:17" x14ac:dyDescent="0.25">
      <c r="M229">
        <v>113</v>
      </c>
      <c r="N229" s="214">
        <v>6.1094837188720703</v>
      </c>
      <c r="O229" s="214">
        <v>0.68444156646728005</v>
      </c>
      <c r="P229" s="214">
        <v>6.3928594589233398</v>
      </c>
      <c r="Q229" s="214">
        <v>2.328469719554277E-13</v>
      </c>
    </row>
    <row r="230" spans="13:17" x14ac:dyDescent="0.25">
      <c r="M230">
        <v>113.5</v>
      </c>
      <c r="N230" s="214">
        <v>6.1646013259887695</v>
      </c>
      <c r="O230" s="214">
        <v>0.68444156646728005</v>
      </c>
      <c r="P230" s="214">
        <v>6.3653397560119629</v>
      </c>
      <c r="Q230" s="214">
        <v>7.7101645185899599E-16</v>
      </c>
    </row>
    <row r="231" spans="13:17" x14ac:dyDescent="0.25">
      <c r="M231">
        <v>114</v>
      </c>
      <c r="N231" s="214">
        <v>6.204167366027832</v>
      </c>
      <c r="O231" s="214">
        <v>0.68444156646728005</v>
      </c>
      <c r="P231" s="214">
        <v>6.3434085845947266</v>
      </c>
      <c r="Q231" s="214">
        <v>2.5615165544128537E-18</v>
      </c>
    </row>
    <row r="232" spans="13:17" x14ac:dyDescent="0.25">
      <c r="M232">
        <v>114.5</v>
      </c>
      <c r="N232" s="214">
        <v>6.1433753967285156</v>
      </c>
      <c r="O232" s="214">
        <v>0.68444156646728005</v>
      </c>
      <c r="P232" s="214">
        <v>6.4049482345581055</v>
      </c>
      <c r="Q232" s="214">
        <v>8.5100220250420445E-21</v>
      </c>
    </row>
    <row r="233" spans="13:17" x14ac:dyDescent="0.25">
      <c r="M233">
        <v>115</v>
      </c>
      <c r="N233" s="214">
        <v>6.2198224067687988</v>
      </c>
      <c r="O233" s="214">
        <v>0.68444156646728005</v>
      </c>
      <c r="P233" s="214">
        <v>6.320406436920166</v>
      </c>
      <c r="Q233" s="214">
        <v>2.8272497164082425E-23</v>
      </c>
    </row>
    <row r="234" spans="13:17" x14ac:dyDescent="0.25">
      <c r="M234">
        <v>115.5</v>
      </c>
      <c r="N234" s="214">
        <v>6.2276229858398438</v>
      </c>
      <c r="O234" s="214">
        <v>0.68444156646728005</v>
      </c>
      <c r="P234" s="214">
        <v>6.2800674438476563</v>
      </c>
      <c r="Q234" s="214">
        <v>9.3928564811993731E-26</v>
      </c>
    </row>
    <row r="235" spans="13:17" x14ac:dyDescent="0.25">
      <c r="M235">
        <v>116</v>
      </c>
      <c r="N235" s="214">
        <v>6.2334742546081543</v>
      </c>
      <c r="O235" s="214">
        <v>0.68444156646728005</v>
      </c>
      <c r="P235" s="214">
        <v>6.3223838806152344</v>
      </c>
      <c r="Q235" s="214">
        <v>3.1205503443753684E-28</v>
      </c>
    </row>
    <row r="236" spans="13:17" x14ac:dyDescent="0.25">
      <c r="M236">
        <v>116.5</v>
      </c>
      <c r="N236" s="214">
        <v>6.2560653686523438</v>
      </c>
      <c r="O236" s="214">
        <v>0.68444156646728005</v>
      </c>
      <c r="P236" s="214">
        <v>6.3069190979003906</v>
      </c>
      <c r="Q236" s="214">
        <v>1.0367277129054568E-30</v>
      </c>
    </row>
    <row r="237" spans="13:17" x14ac:dyDescent="0.25">
      <c r="M237">
        <v>117</v>
      </c>
      <c r="N237" s="214">
        <v>6.3024845123291016</v>
      </c>
      <c r="O237" s="214">
        <v>0.68444156646728005</v>
      </c>
      <c r="P237" s="214">
        <v>6.3440642356872559</v>
      </c>
      <c r="Q237" s="214">
        <v>3.4442781611199675E-33</v>
      </c>
    </row>
    <row r="238" spans="13:17" x14ac:dyDescent="0.25">
      <c r="M238">
        <v>117.5</v>
      </c>
      <c r="N238" s="214">
        <v>6.3205776214599609</v>
      </c>
      <c r="O238" s="214">
        <v>0.68444156646728005</v>
      </c>
      <c r="P238" s="214">
        <v>6.3018307685852051</v>
      </c>
      <c r="Q238" s="214">
        <v>1.1442784612274471E-35</v>
      </c>
    </row>
    <row r="239" spans="13:17" x14ac:dyDescent="0.25">
      <c r="M239">
        <v>118</v>
      </c>
      <c r="N239" s="214">
        <v>6.2832937240600586</v>
      </c>
      <c r="O239" s="214">
        <v>0.68444156646728005</v>
      </c>
      <c r="P239" s="214">
        <v>6.3435778617858887</v>
      </c>
      <c r="Q239" s="214">
        <v>3.8015896103591179E-38</v>
      </c>
    </row>
    <row r="240" spans="13:17" x14ac:dyDescent="0.25">
      <c r="M240">
        <v>118.5</v>
      </c>
      <c r="N240" s="214">
        <v>6.2557492256164551</v>
      </c>
      <c r="O240" s="214">
        <v>0.68444156646728005</v>
      </c>
      <c r="P240" s="214">
        <v>6.3553905487060547</v>
      </c>
      <c r="Q240" s="214">
        <v>1.2629903058959576E-40</v>
      </c>
    </row>
    <row r="241" spans="13:17" x14ac:dyDescent="0.25">
      <c r="M241">
        <v>119</v>
      </c>
      <c r="N241" s="214">
        <v>6.3966622352600098</v>
      </c>
      <c r="O241" s="214">
        <v>0.68444156646728005</v>
      </c>
      <c r="P241" s="214">
        <v>6.2910923957824707</v>
      </c>
      <c r="Q241" s="214">
        <v>4.189882408331203E-43</v>
      </c>
    </row>
    <row r="242" spans="13:17" x14ac:dyDescent="0.25">
      <c r="M242">
        <v>119.5</v>
      </c>
      <c r="N242" s="214">
        <v>6.5472259521484375</v>
      </c>
      <c r="O242" s="214">
        <v>0.68444156646728005</v>
      </c>
      <c r="P242" s="214">
        <v>6.3074250221252441</v>
      </c>
      <c r="Q242" s="214">
        <v>1.4012984643248171E-45</v>
      </c>
    </row>
    <row r="243" spans="13:17" x14ac:dyDescent="0.25">
      <c r="M243">
        <v>120</v>
      </c>
      <c r="N243" s="214">
        <v>6.4424505233764648</v>
      </c>
      <c r="O243" s="214">
        <v>0.68444156646728005</v>
      </c>
      <c r="P243" s="214">
        <v>6.3813681602478027</v>
      </c>
      <c r="Q243" s="214">
        <v>0</v>
      </c>
    </row>
    <row r="244" spans="13:17" x14ac:dyDescent="0.25">
      <c r="M244">
        <v>120.5</v>
      </c>
      <c r="N244" s="214">
        <v>6.2259249687194824</v>
      </c>
      <c r="O244" s="214">
        <v>0.68444156646728005</v>
      </c>
      <c r="P244" s="214">
        <v>6.4037261009216309</v>
      </c>
      <c r="Q244" s="214">
        <v>0</v>
      </c>
    </row>
    <row r="245" spans="13:17" x14ac:dyDescent="0.25">
      <c r="M245">
        <v>121</v>
      </c>
      <c r="N245" s="214">
        <v>6.1529350280761719</v>
      </c>
      <c r="O245" s="214">
        <v>0.68444156646728005</v>
      </c>
      <c r="P245" s="214">
        <v>6.3618264198303223</v>
      </c>
      <c r="Q245" s="214">
        <v>0</v>
      </c>
    </row>
    <row r="246" spans="13:17" x14ac:dyDescent="0.25">
      <c r="M246">
        <v>121.5</v>
      </c>
      <c r="N246" s="214">
        <v>6.0973129272460938</v>
      </c>
      <c r="O246" s="214">
        <v>0.68444156646728005</v>
      </c>
      <c r="P246" s="214">
        <v>6.3981733322143555</v>
      </c>
      <c r="Q246" s="214">
        <v>0</v>
      </c>
    </row>
    <row r="247" spans="13:17" x14ac:dyDescent="0.25">
      <c r="M247">
        <v>122</v>
      </c>
      <c r="N247" s="214">
        <v>6.1629438400268555</v>
      </c>
      <c r="O247" s="214">
        <v>0.68444156646728005</v>
      </c>
      <c r="P247" s="214">
        <v>6.3859376907348633</v>
      </c>
      <c r="Q247" s="214">
        <v>0</v>
      </c>
    </row>
    <row r="248" spans="13:17" x14ac:dyDescent="0.25">
      <c r="M248">
        <v>122.5</v>
      </c>
      <c r="N248" s="214">
        <v>6.2251405715942383</v>
      </c>
      <c r="O248" s="214">
        <v>0.68444156646728005</v>
      </c>
      <c r="P248" s="214">
        <v>6.4085578918457031</v>
      </c>
      <c r="Q248" s="214">
        <v>0</v>
      </c>
    </row>
    <row r="249" spans="13:17" x14ac:dyDescent="0.25">
      <c r="M249">
        <v>123</v>
      </c>
      <c r="N249" s="214">
        <v>6.1785473823547363</v>
      </c>
      <c r="O249" s="214">
        <v>0.68444156646728005</v>
      </c>
      <c r="P249" s="214">
        <v>6.4255752563476563</v>
      </c>
      <c r="Q249" s="214">
        <v>0</v>
      </c>
    </row>
    <row r="250" spans="13:17" x14ac:dyDescent="0.25">
      <c r="M250">
        <v>123.5</v>
      </c>
      <c r="N250" s="214">
        <v>6.1168866157531738</v>
      </c>
      <c r="O250" s="214">
        <v>0.68444156646728005</v>
      </c>
      <c r="P250" s="214">
        <v>6.4445571899414063</v>
      </c>
      <c r="Q250" s="214">
        <v>0</v>
      </c>
    </row>
    <row r="251" spans="13:17" x14ac:dyDescent="0.25">
      <c r="M251">
        <v>124</v>
      </c>
      <c r="N251" s="214">
        <v>6.1547961235046387</v>
      </c>
      <c r="O251" s="214">
        <v>0.68444156646728005</v>
      </c>
      <c r="P251" s="214">
        <v>6.4832801818847656</v>
      </c>
      <c r="Q251" s="214">
        <v>0</v>
      </c>
    </row>
    <row r="252" spans="13:17" x14ac:dyDescent="0.25">
      <c r="M252">
        <v>124.5</v>
      </c>
      <c r="N252" s="214">
        <v>6.2067980766296387</v>
      </c>
      <c r="O252" s="214">
        <v>0.68444156646728005</v>
      </c>
      <c r="P252" s="214">
        <v>6.441497802734375</v>
      </c>
      <c r="Q252" s="214">
        <v>0</v>
      </c>
    </row>
    <row r="253" spans="13:17" x14ac:dyDescent="0.25">
      <c r="M253">
        <v>125</v>
      </c>
      <c r="N253" s="214">
        <v>6.1793746948242188</v>
      </c>
      <c r="O253" s="214">
        <v>0.68444156646728005</v>
      </c>
      <c r="P253" s="214">
        <v>6.4526467323303223</v>
      </c>
      <c r="Q253" s="214">
        <v>0</v>
      </c>
    </row>
    <row r="254" spans="13:17" x14ac:dyDescent="0.25">
      <c r="M254">
        <v>125.5</v>
      </c>
      <c r="N254" s="214">
        <v>6.1863393783569336</v>
      </c>
      <c r="O254" s="214">
        <v>0.68444156646728005</v>
      </c>
      <c r="P254" s="214">
        <v>6.4289069175720215</v>
      </c>
      <c r="Q254" s="214">
        <v>0</v>
      </c>
    </row>
    <row r="255" spans="13:17" x14ac:dyDescent="0.25">
      <c r="M255">
        <v>126</v>
      </c>
      <c r="N255" s="214">
        <v>6.152350902557373</v>
      </c>
      <c r="O255" s="214">
        <v>0.68444156646728005</v>
      </c>
      <c r="P255" s="214">
        <v>6.3769979476928711</v>
      </c>
      <c r="Q255" s="214">
        <v>0</v>
      </c>
    </row>
    <row r="256" spans="13:17" x14ac:dyDescent="0.25">
      <c r="M256">
        <v>126.5</v>
      </c>
      <c r="N256" s="214">
        <v>6.1199870109558105</v>
      </c>
      <c r="O256" s="214">
        <v>0.68444156646728005</v>
      </c>
      <c r="P256" s="214">
        <v>6.4407157897949219</v>
      </c>
      <c r="Q256" s="214">
        <v>0</v>
      </c>
    </row>
    <row r="257" spans="13:17" x14ac:dyDescent="0.25">
      <c r="M257">
        <v>127</v>
      </c>
      <c r="N257" s="214">
        <v>6.1522712707519531</v>
      </c>
      <c r="O257" s="214">
        <v>0.68444156646728005</v>
      </c>
      <c r="P257" s="214">
        <v>6.4162158966064453</v>
      </c>
      <c r="Q257" s="214">
        <v>0</v>
      </c>
    </row>
    <row r="258" spans="13:17" x14ac:dyDescent="0.25">
      <c r="M258">
        <v>127.5</v>
      </c>
      <c r="N258" s="214">
        <v>6.1177530288696289</v>
      </c>
      <c r="O258" s="214">
        <v>0.68444156646728005</v>
      </c>
      <c r="P258" s="214">
        <v>6.4369959831237793</v>
      </c>
      <c r="Q258" s="214">
        <v>0</v>
      </c>
    </row>
    <row r="259" spans="13:17" x14ac:dyDescent="0.25">
      <c r="M259">
        <v>128</v>
      </c>
      <c r="N259" s="214">
        <v>6.1149506568908691</v>
      </c>
      <c r="O259" s="214">
        <v>0.68444156646728005</v>
      </c>
      <c r="P259" s="214">
        <v>6.4008345603942871</v>
      </c>
      <c r="Q259" s="214">
        <v>0</v>
      </c>
    </row>
    <row r="260" spans="13:17" x14ac:dyDescent="0.25">
      <c r="M260">
        <v>128.5</v>
      </c>
      <c r="N260" s="214">
        <v>6.0674209594726563</v>
      </c>
      <c r="O260" s="214">
        <v>0.68444156646728005</v>
      </c>
      <c r="P260" s="214">
        <v>6.3474373817443848</v>
      </c>
      <c r="Q260" s="214">
        <v>0</v>
      </c>
    </row>
    <row r="261" spans="13:17" x14ac:dyDescent="0.25">
      <c r="M261">
        <v>129</v>
      </c>
      <c r="N261" s="214">
        <v>6.0522298812866211</v>
      </c>
      <c r="O261" s="214">
        <v>0.68444156646728005</v>
      </c>
      <c r="P261" s="214">
        <v>6.3008427619934082</v>
      </c>
      <c r="Q261" s="214">
        <v>0</v>
      </c>
    </row>
    <row r="262" spans="13:17" x14ac:dyDescent="0.25">
      <c r="M262">
        <v>129.5</v>
      </c>
      <c r="N262" s="214">
        <v>6.0784873962402344</v>
      </c>
      <c r="O262" s="214">
        <v>0.68444156646728005</v>
      </c>
      <c r="P262" s="214">
        <v>6.3408684730529785</v>
      </c>
      <c r="Q262" s="214">
        <v>0</v>
      </c>
    </row>
    <row r="263" spans="13:17" x14ac:dyDescent="0.25">
      <c r="M263">
        <v>130</v>
      </c>
      <c r="N263" s="214">
        <v>6.0354652404785156</v>
      </c>
      <c r="O263" s="214">
        <v>0.68444156646728005</v>
      </c>
      <c r="P263" s="214">
        <v>6.3987865447998047</v>
      </c>
      <c r="Q263" s="214">
        <v>0</v>
      </c>
    </row>
    <row r="264" spans="13:17" x14ac:dyDescent="0.25">
      <c r="M264">
        <v>130.5</v>
      </c>
      <c r="N264" s="214">
        <v>6.0472674369812012</v>
      </c>
      <c r="O264" s="214">
        <v>0.68444156646728005</v>
      </c>
      <c r="P264" s="214">
        <v>6.3917465209960938</v>
      </c>
      <c r="Q264" s="214">
        <v>0</v>
      </c>
    </row>
    <row r="265" spans="13:17" x14ac:dyDescent="0.25">
      <c r="M265">
        <v>131</v>
      </c>
      <c r="N265" s="214">
        <v>5.9714770317077637</v>
      </c>
      <c r="O265" s="214">
        <v>0.68444156646728005</v>
      </c>
      <c r="P265" s="214">
        <v>6.3922743797302246</v>
      </c>
      <c r="Q265" s="214">
        <v>0</v>
      </c>
    </row>
    <row r="266" spans="13:17" x14ac:dyDescent="0.25">
      <c r="M266">
        <v>131.5</v>
      </c>
      <c r="N266" s="214">
        <v>5.9750313758850098</v>
      </c>
      <c r="O266" s="214">
        <v>0.68444156646728005</v>
      </c>
      <c r="P266" s="214">
        <v>6.3125209808349609</v>
      </c>
      <c r="Q266" s="214">
        <v>0</v>
      </c>
    </row>
    <row r="267" spans="13:17" x14ac:dyDescent="0.25">
      <c r="M267">
        <v>132</v>
      </c>
      <c r="N267" s="214">
        <v>5.9005084037780762</v>
      </c>
      <c r="O267" s="214">
        <v>0.68444156646728005</v>
      </c>
      <c r="P267" s="214">
        <v>6.3580451011657715</v>
      </c>
      <c r="Q267" s="214">
        <v>0</v>
      </c>
    </row>
    <row r="268" spans="13:17" x14ac:dyDescent="0.25">
      <c r="M268">
        <v>132.5</v>
      </c>
      <c r="N268" s="214">
        <v>5.9309978485107422</v>
      </c>
      <c r="O268" s="214">
        <v>0.68444156646728005</v>
      </c>
      <c r="P268" s="214">
        <v>6.3474373817443848</v>
      </c>
      <c r="Q268" s="214">
        <v>0</v>
      </c>
    </row>
    <row r="269" spans="13:17" x14ac:dyDescent="0.25">
      <c r="M269">
        <v>133</v>
      </c>
      <c r="N269" s="214">
        <v>6.0482034683227539</v>
      </c>
      <c r="O269" s="214">
        <v>0.68444156646728005</v>
      </c>
      <c r="P269" s="214">
        <v>6.357602596282959</v>
      </c>
      <c r="Q269" s="214">
        <v>0</v>
      </c>
    </row>
    <row r="270" spans="13:17" x14ac:dyDescent="0.25">
      <c r="M270">
        <v>133.5</v>
      </c>
      <c r="N270" s="214">
        <v>6.3311209678649902</v>
      </c>
      <c r="O270" s="214">
        <v>0.68444156646728005</v>
      </c>
      <c r="P270" s="214">
        <v>6.3515925407409668</v>
      </c>
      <c r="Q270" s="214">
        <v>0</v>
      </c>
    </row>
    <row r="271" spans="13:17" x14ac:dyDescent="0.25">
      <c r="M271">
        <v>134</v>
      </c>
      <c r="N271" s="214">
        <v>6.332878589630127</v>
      </c>
      <c r="O271" s="214">
        <v>0.68444156646728005</v>
      </c>
      <c r="P271" s="214">
        <v>6.3376469612121582</v>
      </c>
      <c r="Q271" s="214">
        <v>0</v>
      </c>
    </row>
    <row r="272" spans="13:17" x14ac:dyDescent="0.25">
      <c r="M272">
        <v>134.5</v>
      </c>
      <c r="N272" s="214">
        <v>6.2190117835998535</v>
      </c>
      <c r="O272" s="214">
        <v>0.68444156646728005</v>
      </c>
      <c r="P272" s="214">
        <v>6.3396201133728027</v>
      </c>
      <c r="Q272" s="214">
        <v>0</v>
      </c>
    </row>
    <row r="273" spans="13:17" x14ac:dyDescent="0.25">
      <c r="M273">
        <v>135</v>
      </c>
      <c r="N273" s="214">
        <v>6.1534295082092285</v>
      </c>
      <c r="O273" s="214">
        <v>0.68444156646728005</v>
      </c>
      <c r="P273" s="214">
        <v>6.4541268348693848</v>
      </c>
      <c r="Q273" s="214">
        <v>0</v>
      </c>
    </row>
    <row r="274" spans="13:17" x14ac:dyDescent="0.25">
      <c r="M274">
        <v>135.5</v>
      </c>
      <c r="N274" s="214">
        <v>6.1850056648254395</v>
      </c>
      <c r="O274" s="214">
        <v>0.68444156646728005</v>
      </c>
      <c r="P274" s="214">
        <v>6.3639240264892578</v>
      </c>
      <c r="Q274" s="214">
        <v>0</v>
      </c>
    </row>
    <row r="275" spans="13:17" x14ac:dyDescent="0.25">
      <c r="M275">
        <v>136</v>
      </c>
      <c r="N275" s="214">
        <v>6.2407779693603516</v>
      </c>
      <c r="O275" s="214">
        <v>0.68444156646728005</v>
      </c>
      <c r="P275" s="214">
        <v>6.411381721496582</v>
      </c>
      <c r="Q275" s="214">
        <v>0</v>
      </c>
    </row>
    <row r="276" spans="13:17" x14ac:dyDescent="0.25">
      <c r="M276">
        <v>136.5</v>
      </c>
      <c r="N276" s="214">
        <v>6.2316722869873047</v>
      </c>
      <c r="O276" s="214">
        <v>0.68444156646728005</v>
      </c>
      <c r="P276" s="214">
        <v>6.4134855270385742</v>
      </c>
      <c r="Q276" s="214">
        <v>0</v>
      </c>
    </row>
    <row r="277" spans="13:17" x14ac:dyDescent="0.25">
      <c r="M277">
        <v>137</v>
      </c>
      <c r="N277" s="214">
        <v>6.2706618309020996</v>
      </c>
      <c r="O277" s="214">
        <v>0.68444156646728005</v>
      </c>
      <c r="P277" s="214">
        <v>6.3757681846618652</v>
      </c>
      <c r="Q277" s="214">
        <v>0</v>
      </c>
    </row>
    <row r="278" spans="13:17" x14ac:dyDescent="0.25">
      <c r="M278">
        <v>137.5</v>
      </c>
      <c r="N278" s="214">
        <v>6.3320183753967285</v>
      </c>
      <c r="O278" s="214">
        <v>0.68444156646728005</v>
      </c>
      <c r="P278" s="214">
        <v>6.4313850402832031</v>
      </c>
      <c r="Q278" s="214">
        <v>0</v>
      </c>
    </row>
    <row r="279" spans="13:17" x14ac:dyDescent="0.25">
      <c r="M279">
        <v>138</v>
      </c>
      <c r="N279" s="214">
        <v>6.2615566253662109</v>
      </c>
      <c r="O279" s="214">
        <v>0.68444156646728005</v>
      </c>
      <c r="P279" s="214">
        <v>6.4531540870666504</v>
      </c>
      <c r="Q279" s="214">
        <v>0</v>
      </c>
    </row>
    <row r="280" spans="13:17" x14ac:dyDescent="0.25">
      <c r="M280">
        <v>138.5</v>
      </c>
      <c r="N280" s="214">
        <v>6.3463830947875977</v>
      </c>
      <c r="O280" s="214">
        <v>0.68444156646728005</v>
      </c>
      <c r="P280" s="214">
        <v>6.4272069931030273</v>
      </c>
      <c r="Q280" s="214">
        <v>0</v>
      </c>
    </row>
    <row r="281" spans="13:17" x14ac:dyDescent="0.25">
      <c r="M281">
        <v>139</v>
      </c>
      <c r="N281" s="214">
        <v>6.340752124786377</v>
      </c>
      <c r="O281" s="214">
        <v>0.68444156646728005</v>
      </c>
      <c r="P281" s="214">
        <v>6.5026092529296875</v>
      </c>
      <c r="Q281" s="214">
        <v>0</v>
      </c>
    </row>
    <row r="282" spans="13:17" x14ac:dyDescent="0.25">
      <c r="M282">
        <v>139.5</v>
      </c>
      <c r="N282" s="214">
        <v>6.5632877349853516</v>
      </c>
      <c r="O282" s="214">
        <v>0.68444156646728005</v>
      </c>
      <c r="P282" s="214">
        <v>6.3899717330932617</v>
      </c>
      <c r="Q282" s="214">
        <v>0</v>
      </c>
    </row>
    <row r="283" spans="13:17" x14ac:dyDescent="0.25">
      <c r="M283">
        <v>140</v>
      </c>
      <c r="N283" s="214">
        <v>6.581080436706543</v>
      </c>
      <c r="O283" s="214">
        <v>0.68444156646728005</v>
      </c>
      <c r="P283" s="214">
        <v>6.393155574798584</v>
      </c>
      <c r="Q283" s="214">
        <v>0</v>
      </c>
    </row>
    <row r="284" spans="13:17" x14ac:dyDescent="0.25">
      <c r="M284">
        <v>140.5</v>
      </c>
      <c r="N284" s="214">
        <v>6.386749267578125</v>
      </c>
      <c r="O284" s="214">
        <v>0.68444156646728005</v>
      </c>
      <c r="P284" s="214">
        <v>6.4192419052124023</v>
      </c>
      <c r="Q284" s="214">
        <v>0</v>
      </c>
    </row>
    <row r="285" spans="13:17" x14ac:dyDescent="0.25">
      <c r="M285">
        <v>141</v>
      </c>
      <c r="N285" s="214">
        <v>6.2786159515380859</v>
      </c>
      <c r="O285" s="214">
        <v>0.68444156646728005</v>
      </c>
      <c r="P285" s="214">
        <v>6.4123849868774414</v>
      </c>
      <c r="Q285" s="214">
        <v>0</v>
      </c>
    </row>
    <row r="286" spans="13:17" x14ac:dyDescent="0.25">
      <c r="M286">
        <v>141.5</v>
      </c>
      <c r="N286" s="214">
        <v>6.2090053558349609</v>
      </c>
      <c r="O286" s="214">
        <v>0.68444156646728005</v>
      </c>
      <c r="P286" s="214">
        <v>6.3852310180664063</v>
      </c>
      <c r="Q286" s="214">
        <v>0</v>
      </c>
    </row>
    <row r="287" spans="13:17" x14ac:dyDescent="0.25">
      <c r="M287">
        <v>142</v>
      </c>
      <c r="N287" s="214">
        <v>6.2279791831970215</v>
      </c>
      <c r="O287" s="214">
        <v>0.68444156646728005</v>
      </c>
      <c r="P287" s="214">
        <v>6.4153218269348145</v>
      </c>
      <c r="Q287" s="214">
        <v>0</v>
      </c>
    </row>
    <row r="288" spans="13:17" x14ac:dyDescent="0.25">
      <c r="M288">
        <v>142.5</v>
      </c>
      <c r="N288" s="214">
        <v>6.3716568946838379</v>
      </c>
      <c r="O288" s="214">
        <v>0.68444156646728005</v>
      </c>
      <c r="P288" s="214">
        <v>6.5119619369506836</v>
      </c>
      <c r="Q288" s="214">
        <v>0</v>
      </c>
    </row>
    <row r="289" spans="13:17" x14ac:dyDescent="0.25">
      <c r="M289">
        <v>143</v>
      </c>
      <c r="N289" s="214">
        <v>6.45281982421875</v>
      </c>
      <c r="O289" s="214">
        <v>0.68444156646728005</v>
      </c>
      <c r="P289" s="214">
        <v>6.4359521865844727</v>
      </c>
      <c r="Q289" s="214">
        <v>0</v>
      </c>
    </row>
    <row r="290" spans="13:17" x14ac:dyDescent="0.25">
      <c r="M290">
        <v>143.5</v>
      </c>
      <c r="N290" s="214">
        <v>6.4046163558959961</v>
      </c>
      <c r="O290" s="214">
        <v>0.68444156646728005</v>
      </c>
      <c r="P290" s="214">
        <v>6.4329471588134766</v>
      </c>
      <c r="Q290" s="214">
        <v>0</v>
      </c>
    </row>
    <row r="291" spans="13:17" x14ac:dyDescent="0.25">
      <c r="M291">
        <v>144</v>
      </c>
      <c r="N291" s="214">
        <v>6.4027700424194336</v>
      </c>
      <c r="O291" s="214">
        <v>0.68444156646728005</v>
      </c>
      <c r="P291" s="214">
        <v>6.4359583854675293</v>
      </c>
      <c r="Q291" s="214">
        <v>0</v>
      </c>
    </row>
    <row r="292" spans="13:17" x14ac:dyDescent="0.25">
      <c r="M292">
        <v>144.5</v>
      </c>
      <c r="N292" s="214">
        <v>6.1902980804443359</v>
      </c>
      <c r="O292" s="214">
        <v>0.68444156646728005</v>
      </c>
      <c r="P292" s="214">
        <v>6.4733691215515137</v>
      </c>
      <c r="Q292" s="214">
        <v>0</v>
      </c>
    </row>
    <row r="293" spans="13:17" x14ac:dyDescent="0.25">
      <c r="M293">
        <v>145</v>
      </c>
      <c r="N293" s="214">
        <v>6.2800135612487793</v>
      </c>
      <c r="O293" s="214">
        <v>0.68444156646728005</v>
      </c>
      <c r="P293" s="214">
        <v>6.5026540756225586</v>
      </c>
      <c r="Q293" s="214">
        <v>0</v>
      </c>
    </row>
    <row r="294" spans="13:17" x14ac:dyDescent="0.25">
      <c r="M294">
        <v>145.5</v>
      </c>
      <c r="N294" s="214">
        <v>6.2515401840209961</v>
      </c>
      <c r="O294" s="214">
        <v>0.68444156646728005</v>
      </c>
      <c r="P294" s="214">
        <v>6.4783105850219727</v>
      </c>
      <c r="Q294" s="214">
        <v>0</v>
      </c>
    </row>
    <row r="295" spans="13:17" x14ac:dyDescent="0.25">
      <c r="M295">
        <v>146</v>
      </c>
      <c r="N295" s="214">
        <v>6.2794289588928223</v>
      </c>
      <c r="O295" s="214">
        <v>0.68444156646728005</v>
      </c>
      <c r="P295" s="214">
        <v>6.4705686569213867</v>
      </c>
      <c r="Q295" s="214">
        <v>0</v>
      </c>
    </row>
    <row r="296" spans="13:17" x14ac:dyDescent="0.25">
      <c r="M296">
        <v>146.5</v>
      </c>
      <c r="N296" s="214">
        <v>6.3165616989135742</v>
      </c>
      <c r="O296" s="214">
        <v>0.68444156646728005</v>
      </c>
      <c r="P296" s="214">
        <v>6.4023380279541016</v>
      </c>
      <c r="Q296" s="214">
        <v>0</v>
      </c>
    </row>
    <row r="297" spans="13:17" x14ac:dyDescent="0.25">
      <c r="M297">
        <v>147</v>
      </c>
      <c r="N297" s="214">
        <v>6.2546377182006836</v>
      </c>
      <c r="O297" s="214">
        <v>0.68444156646728005</v>
      </c>
      <c r="P297" s="214">
        <v>6.4549078941345215</v>
      </c>
      <c r="Q297" s="214">
        <v>0</v>
      </c>
    </row>
    <row r="298" spans="13:17" x14ac:dyDescent="0.25">
      <c r="M298">
        <v>147.5</v>
      </c>
      <c r="N298" s="214">
        <v>6.2343878746032715</v>
      </c>
      <c r="O298" s="214">
        <v>0.68444156646728005</v>
      </c>
      <c r="P298" s="214">
        <v>6.4696083068847656</v>
      </c>
      <c r="Q298" s="214">
        <v>0</v>
      </c>
    </row>
    <row r="299" spans="13:17" x14ac:dyDescent="0.25">
      <c r="M299">
        <v>148</v>
      </c>
      <c r="N299" s="214">
        <v>6.2360391616821289</v>
      </c>
      <c r="O299" s="214">
        <v>0.68444156646728005</v>
      </c>
      <c r="P299" s="214">
        <v>6.4947776794433594</v>
      </c>
      <c r="Q299" s="214">
        <v>0</v>
      </c>
    </row>
    <row r="300" spans="13:17" x14ac:dyDescent="0.25">
      <c r="M300">
        <v>148.5</v>
      </c>
      <c r="N300" s="214">
        <v>6.2521829605102539</v>
      </c>
      <c r="O300" s="214">
        <v>0.68444156646728005</v>
      </c>
      <c r="P300" s="214">
        <v>6.4544758796691895</v>
      </c>
      <c r="Q300" s="214">
        <v>0</v>
      </c>
    </row>
    <row r="301" spans="13:17" x14ac:dyDescent="0.25">
      <c r="M301">
        <v>149</v>
      </c>
      <c r="N301" s="214">
        <v>6.2315001487731934</v>
      </c>
      <c r="O301" s="214">
        <v>0.68444156646728005</v>
      </c>
      <c r="P301" s="214">
        <v>6.4562244415283203</v>
      </c>
      <c r="Q301" s="214">
        <v>0</v>
      </c>
    </row>
    <row r="302" spans="13:17" x14ac:dyDescent="0.25">
      <c r="M302">
        <v>149.5</v>
      </c>
      <c r="N302" s="214">
        <v>6.2193999290466309</v>
      </c>
      <c r="O302" s="214">
        <v>0.68444156646728005</v>
      </c>
      <c r="P302" s="214">
        <v>6.3955202102661133</v>
      </c>
      <c r="Q302" s="214">
        <v>0</v>
      </c>
    </row>
    <row r="303" spans="13:17" x14ac:dyDescent="0.25">
      <c r="M303">
        <v>150</v>
      </c>
      <c r="N303" s="214">
        <v>6.1648788452148438</v>
      </c>
      <c r="O303" s="214">
        <v>0.68444156646728005</v>
      </c>
      <c r="P303" s="214">
        <v>6.3897700309753418</v>
      </c>
      <c r="Q303" s="214">
        <v>0</v>
      </c>
    </row>
    <row r="304" spans="13:17" x14ac:dyDescent="0.25">
      <c r="M304">
        <v>150.5</v>
      </c>
      <c r="N304" s="214">
        <v>6.1830072402954102</v>
      </c>
      <c r="O304" s="214">
        <v>0.68444156646728005</v>
      </c>
      <c r="P304" s="214">
        <v>6.4915680885314941</v>
      </c>
      <c r="Q304" s="214">
        <v>0</v>
      </c>
    </row>
    <row r="305" spans="13:17" x14ac:dyDescent="0.25">
      <c r="M305">
        <v>151</v>
      </c>
      <c r="N305" s="214">
        <v>6.238861083984375</v>
      </c>
      <c r="O305" s="214">
        <v>0.68444156646728005</v>
      </c>
      <c r="P305" s="214">
        <v>6.4489679336547852</v>
      </c>
      <c r="Q305" s="214">
        <v>0</v>
      </c>
    </row>
    <row r="306" spans="13:17" x14ac:dyDescent="0.25">
      <c r="M306">
        <v>151.5</v>
      </c>
      <c r="N306" s="214">
        <v>6.1978273391723633</v>
      </c>
      <c r="O306" s="214">
        <v>0.68444156646728005</v>
      </c>
      <c r="P306" s="214">
        <v>6.470801830291748</v>
      </c>
      <c r="Q306" s="214">
        <v>0</v>
      </c>
    </row>
    <row r="307" spans="13:17" x14ac:dyDescent="0.25">
      <c r="M307">
        <v>152</v>
      </c>
      <c r="N307" s="214">
        <v>6.1174535751342773</v>
      </c>
      <c r="O307" s="214">
        <v>0.68444156646728005</v>
      </c>
      <c r="P307" s="214">
        <v>6.4051632881164551</v>
      </c>
      <c r="Q307" s="214">
        <v>0</v>
      </c>
    </row>
    <row r="308" spans="13:17" x14ac:dyDescent="0.25">
      <c r="M308">
        <v>152.5</v>
      </c>
      <c r="N308" s="214">
        <v>6.0865349769592285</v>
      </c>
      <c r="O308" s="214">
        <v>0.68444156646728005</v>
      </c>
      <c r="P308" s="214">
        <v>6.3794455528259277</v>
      </c>
      <c r="Q308" s="214">
        <v>0</v>
      </c>
    </row>
    <row r="309" spans="13:17" x14ac:dyDescent="0.25">
      <c r="M309">
        <v>153</v>
      </c>
      <c r="N309" s="214">
        <v>6.0373773574829102</v>
      </c>
      <c r="O309" s="214">
        <v>0.68444156646728005</v>
      </c>
      <c r="P309" s="214">
        <v>6.4160423278808594</v>
      </c>
      <c r="Q309" s="214">
        <v>0</v>
      </c>
    </row>
    <row r="310" spans="13:17" x14ac:dyDescent="0.25">
      <c r="M310">
        <v>153.5</v>
      </c>
      <c r="N310" s="214">
        <v>6.1991977691650391</v>
      </c>
      <c r="O310" s="214">
        <v>0.68444156646728005</v>
      </c>
      <c r="P310" s="214">
        <v>6.4818744659423828</v>
      </c>
      <c r="Q310" s="214">
        <v>0</v>
      </c>
    </row>
    <row r="311" spans="13:17" x14ac:dyDescent="0.25">
      <c r="M311">
        <v>154</v>
      </c>
      <c r="N311" s="214">
        <v>6.178645133972168</v>
      </c>
      <c r="O311" s="214">
        <v>0.68444156646728005</v>
      </c>
      <c r="P311" s="214">
        <v>6.3707199096679688</v>
      </c>
      <c r="Q311" s="214">
        <v>0</v>
      </c>
    </row>
    <row r="312" spans="13:17" x14ac:dyDescent="0.25">
      <c r="M312">
        <v>154.5</v>
      </c>
      <c r="N312" s="214">
        <v>6.1696457862854004</v>
      </c>
      <c r="O312" s="214">
        <v>0.68444156646728005</v>
      </c>
      <c r="P312" s="214">
        <v>6.5444836616516113</v>
      </c>
      <c r="Q312" s="214">
        <v>0</v>
      </c>
    </row>
    <row r="313" spans="13:17" x14ac:dyDescent="0.25">
      <c r="M313">
        <v>155</v>
      </c>
      <c r="N313" s="214">
        <v>6.1026902198791504</v>
      </c>
      <c r="O313" s="214">
        <v>0.68444156646728005</v>
      </c>
      <c r="P313" s="214">
        <v>6.4821114540100098</v>
      </c>
      <c r="Q313" s="214">
        <v>0</v>
      </c>
    </row>
    <row r="314" spans="13:17" x14ac:dyDescent="0.25">
      <c r="M314">
        <v>155.5</v>
      </c>
      <c r="N314" s="214">
        <v>6.183018684387207</v>
      </c>
      <c r="O314" s="214">
        <v>0.68444156646728005</v>
      </c>
      <c r="P314" s="214">
        <v>6.4520683288574219</v>
      </c>
      <c r="Q314" s="214">
        <v>0</v>
      </c>
    </row>
    <row r="315" spans="13:17" x14ac:dyDescent="0.25">
      <c r="M315">
        <v>156</v>
      </c>
      <c r="N315" s="214">
        <v>6.1811137199401855</v>
      </c>
      <c r="O315" s="214">
        <v>0.68444156646728005</v>
      </c>
      <c r="P315" s="214">
        <v>6.4947595596313477</v>
      </c>
      <c r="Q315" s="214">
        <v>0</v>
      </c>
    </row>
    <row r="316" spans="13:17" x14ac:dyDescent="0.25">
      <c r="M316">
        <v>156.5</v>
      </c>
      <c r="N316" s="214">
        <v>6.1663532257080078</v>
      </c>
      <c r="O316" s="214">
        <v>0.68444156646728005</v>
      </c>
      <c r="P316" s="214">
        <v>6.5032739639282227</v>
      </c>
      <c r="Q316" s="214">
        <v>0</v>
      </c>
    </row>
    <row r="317" spans="13:17" x14ac:dyDescent="0.25">
      <c r="M317">
        <v>157</v>
      </c>
      <c r="N317" s="214">
        <v>6.1511664390563965</v>
      </c>
      <c r="O317" s="214">
        <v>0.68444156646728005</v>
      </c>
      <c r="P317" s="214">
        <v>6.5607695579528809</v>
      </c>
      <c r="Q317" s="214">
        <v>0</v>
      </c>
    </row>
    <row r="318" spans="13:17" x14ac:dyDescent="0.25">
      <c r="M318">
        <v>157.5</v>
      </c>
      <c r="N318" s="214">
        <v>6.2415308952331543</v>
      </c>
      <c r="O318" s="214">
        <v>0.68444156646728005</v>
      </c>
      <c r="P318" s="214">
        <v>6.4719328880310059</v>
      </c>
      <c r="Q318" s="214">
        <v>0</v>
      </c>
    </row>
    <row r="319" spans="13:17" x14ac:dyDescent="0.25">
      <c r="M319">
        <v>158</v>
      </c>
      <c r="N319" s="214">
        <v>6.1964907646179199</v>
      </c>
      <c r="O319" s="214">
        <v>0.68444156646728005</v>
      </c>
      <c r="P319" s="214">
        <v>6.5056147575378418</v>
      </c>
      <c r="Q319" s="214">
        <v>0</v>
      </c>
    </row>
    <row r="320" spans="13:17" x14ac:dyDescent="0.25">
      <c r="M320">
        <v>158.5</v>
      </c>
      <c r="N320" s="214">
        <v>6.2689995765686035</v>
      </c>
      <c r="O320" s="214">
        <v>0.68444156646728005</v>
      </c>
      <c r="P320" s="214">
        <v>6.6152248382568359</v>
      </c>
      <c r="Q320" s="214">
        <v>0</v>
      </c>
    </row>
    <row r="321" spans="13:17" x14ac:dyDescent="0.25">
      <c r="M321">
        <v>159</v>
      </c>
      <c r="N321" s="214">
        <v>6.3280344009399414</v>
      </c>
      <c r="O321" s="214">
        <v>0.68444156646728005</v>
      </c>
      <c r="P321" s="214">
        <v>6.6273822784423828</v>
      </c>
      <c r="Q321" s="214">
        <v>0</v>
      </c>
    </row>
    <row r="322" spans="13:17" x14ac:dyDescent="0.25">
      <c r="M322">
        <v>159.5</v>
      </c>
      <c r="N322" s="214">
        <v>6.3081860542297363</v>
      </c>
      <c r="O322" s="214">
        <v>0.68444156646728005</v>
      </c>
      <c r="P322" s="214">
        <v>6.6364307403564453</v>
      </c>
      <c r="Q322" s="214">
        <v>0</v>
      </c>
    </row>
    <row r="323" spans="13:17" x14ac:dyDescent="0.25">
      <c r="M323">
        <v>160</v>
      </c>
      <c r="N323" s="214">
        <v>6.3319091796875</v>
      </c>
      <c r="O323" s="214">
        <v>0.68444156646728005</v>
      </c>
      <c r="P323" s="214">
        <v>6.4919314384460449</v>
      </c>
      <c r="Q323" s="214">
        <v>0</v>
      </c>
    </row>
    <row r="324" spans="13:17" x14ac:dyDescent="0.25">
      <c r="M324">
        <v>160.5</v>
      </c>
      <c r="N324" s="214">
        <v>6.3711185455322266</v>
      </c>
      <c r="O324" s="214">
        <v>0.68444156646728005</v>
      </c>
      <c r="P324" s="214">
        <v>6.6068897247314453</v>
      </c>
      <c r="Q324" s="214">
        <v>0</v>
      </c>
    </row>
    <row r="325" spans="13:17" x14ac:dyDescent="0.25">
      <c r="M325">
        <v>161</v>
      </c>
      <c r="N325" s="214">
        <v>6.383387565612793</v>
      </c>
      <c r="O325" s="214">
        <v>0.68444156646728005</v>
      </c>
      <c r="P325" s="214">
        <v>6.5759639739990234</v>
      </c>
      <c r="Q325" s="214">
        <v>0</v>
      </c>
    </row>
    <row r="326" spans="13:17" x14ac:dyDescent="0.25">
      <c r="M326">
        <v>161.5</v>
      </c>
      <c r="N326" s="214">
        <v>6.4413180351257324</v>
      </c>
      <c r="O326" s="214">
        <v>0.68444156646728005</v>
      </c>
      <c r="P326" s="214">
        <v>6.583777904510498</v>
      </c>
      <c r="Q326" s="214">
        <v>0</v>
      </c>
    </row>
    <row r="327" spans="13:17" x14ac:dyDescent="0.25">
      <c r="M327">
        <v>162</v>
      </c>
      <c r="N327" s="214">
        <v>6.4427323341369629</v>
      </c>
      <c r="O327" s="214">
        <v>0.68444156646728005</v>
      </c>
      <c r="P327" s="214">
        <v>6.5030097961425781</v>
      </c>
      <c r="Q327" s="214">
        <v>0</v>
      </c>
    </row>
    <row r="328" spans="13:17" x14ac:dyDescent="0.25">
      <c r="M328">
        <v>162.5</v>
      </c>
      <c r="N328" s="214">
        <v>6.5019502639770508</v>
      </c>
      <c r="O328" s="214">
        <v>0.68444156646728005</v>
      </c>
      <c r="P328" s="214">
        <v>6.5541329383850098</v>
      </c>
      <c r="Q328" s="214">
        <v>0</v>
      </c>
    </row>
    <row r="329" spans="13:17" x14ac:dyDescent="0.25">
      <c r="M329">
        <v>163</v>
      </c>
      <c r="N329" s="214">
        <v>6.4034223556518555</v>
      </c>
      <c r="O329" s="214">
        <v>0.68444156646728005</v>
      </c>
      <c r="P329" s="214">
        <v>6.512150764465332</v>
      </c>
      <c r="Q329" s="214">
        <v>0</v>
      </c>
    </row>
    <row r="330" spans="13:17" x14ac:dyDescent="0.25">
      <c r="M330">
        <v>163.5</v>
      </c>
      <c r="N330" s="214">
        <v>6.3890771865844727</v>
      </c>
      <c r="O330" s="214">
        <v>0.68444156646728005</v>
      </c>
      <c r="P330" s="214">
        <v>6.5797257423400879</v>
      </c>
      <c r="Q330" s="214">
        <v>0</v>
      </c>
    </row>
    <row r="331" spans="13:17" x14ac:dyDescent="0.25">
      <c r="M331">
        <v>164</v>
      </c>
      <c r="N331" s="214">
        <v>6.2747740745544434</v>
      </c>
      <c r="O331" s="214">
        <v>0.68444156646728005</v>
      </c>
      <c r="P331" s="214">
        <v>6.5056667327880859</v>
      </c>
      <c r="Q331" s="214">
        <v>0</v>
      </c>
    </row>
    <row r="332" spans="13:17" x14ac:dyDescent="0.25">
      <c r="M332">
        <v>164.5</v>
      </c>
      <c r="N332" s="214">
        <v>6.3013620376586914</v>
      </c>
      <c r="O332" s="214">
        <v>0.68444156646728005</v>
      </c>
      <c r="P332" s="214">
        <v>6.5989532470703125</v>
      </c>
      <c r="Q332" s="214">
        <v>0</v>
      </c>
    </row>
    <row r="333" spans="13:17" x14ac:dyDescent="0.25">
      <c r="M333">
        <v>165</v>
      </c>
      <c r="N333" s="214">
        <v>6.3154807090759277</v>
      </c>
      <c r="O333" s="214">
        <v>0.68444156646728005</v>
      </c>
      <c r="P333" s="214">
        <v>6.5511794090270996</v>
      </c>
      <c r="Q333" s="214">
        <v>0</v>
      </c>
    </row>
    <row r="334" spans="13:17" x14ac:dyDescent="0.25">
      <c r="M334">
        <v>165.5</v>
      </c>
      <c r="N334" s="214">
        <v>6.389075756072998</v>
      </c>
      <c r="O334" s="214">
        <v>0.68444156646728005</v>
      </c>
      <c r="P334" s="214">
        <v>6.5903444290161133</v>
      </c>
      <c r="Q334" s="214">
        <v>0</v>
      </c>
    </row>
    <row r="335" spans="13:17" x14ac:dyDescent="0.25">
      <c r="M335">
        <v>166</v>
      </c>
      <c r="N335" s="214">
        <v>6.4252967834472656</v>
      </c>
      <c r="O335" s="214">
        <v>0.68444156646728005</v>
      </c>
      <c r="P335" s="214">
        <v>6.559600830078125</v>
      </c>
      <c r="Q335" s="214">
        <v>0</v>
      </c>
    </row>
    <row r="336" spans="13:17" x14ac:dyDescent="0.25">
      <c r="M336">
        <v>166.5</v>
      </c>
      <c r="N336" s="214">
        <v>6.3725185394287109</v>
      </c>
      <c r="O336" s="214">
        <v>0.68444156646728005</v>
      </c>
      <c r="P336" s="214">
        <v>6.6652722358703613</v>
      </c>
      <c r="Q336" s="214">
        <v>0</v>
      </c>
    </row>
    <row r="337" spans="13:17" x14ac:dyDescent="0.25">
      <c r="M337">
        <v>167</v>
      </c>
      <c r="N337" s="214">
        <v>6.4319362640380859</v>
      </c>
      <c r="O337" s="214">
        <v>0.68444156646728005</v>
      </c>
      <c r="P337" s="214">
        <v>6.5517950057983398</v>
      </c>
      <c r="Q337" s="214">
        <v>0</v>
      </c>
    </row>
    <row r="338" spans="13:17" x14ac:dyDescent="0.25">
      <c r="M338">
        <v>167.5</v>
      </c>
      <c r="N338" s="214">
        <v>6.3975944519042969</v>
      </c>
      <c r="O338" s="214">
        <v>0.68444156646728005</v>
      </c>
      <c r="P338" s="214">
        <v>6.4774351119995117</v>
      </c>
      <c r="Q338" s="214">
        <v>0</v>
      </c>
    </row>
    <row r="339" spans="13:17" x14ac:dyDescent="0.25">
      <c r="M339">
        <v>168</v>
      </c>
      <c r="N339" s="214">
        <v>6.2913565635681152</v>
      </c>
      <c r="O339" s="214">
        <v>0.68444156646728005</v>
      </c>
      <c r="P339" s="214">
        <v>6.6303315162658691</v>
      </c>
      <c r="Q339" s="214">
        <v>0</v>
      </c>
    </row>
    <row r="340" spans="13:17" x14ac:dyDescent="0.25">
      <c r="M340">
        <v>168.5</v>
      </c>
      <c r="N340" s="214">
        <v>6.3104152679443359</v>
      </c>
      <c r="O340" s="214">
        <v>0.68444156646728005</v>
      </c>
      <c r="P340" s="214">
        <v>6.6226296424865723</v>
      </c>
      <c r="Q340" s="214">
        <v>0</v>
      </c>
    </row>
    <row r="341" spans="13:17" x14ac:dyDescent="0.25">
      <c r="M341">
        <v>169</v>
      </c>
      <c r="N341" s="214">
        <v>6.2899818420410156</v>
      </c>
      <c r="O341" s="214">
        <v>0.68444156646728005</v>
      </c>
      <c r="P341" s="214">
        <v>6.6009635925292969</v>
      </c>
      <c r="Q341" s="214">
        <v>0</v>
      </c>
    </row>
    <row r="342" spans="13:17" x14ac:dyDescent="0.25">
      <c r="M342">
        <v>169.5</v>
      </c>
      <c r="N342" s="214">
        <v>6.347266674041748</v>
      </c>
      <c r="O342" s="214">
        <v>0.68444156646728005</v>
      </c>
      <c r="P342" s="214">
        <v>6.519620418548584</v>
      </c>
      <c r="Q342" s="214">
        <v>0</v>
      </c>
    </row>
    <row r="343" spans="13:17" x14ac:dyDescent="0.25">
      <c r="M343">
        <v>170</v>
      </c>
      <c r="N343" s="214">
        <v>6.3014602661132813</v>
      </c>
      <c r="O343" s="214">
        <v>0.68444156646728005</v>
      </c>
      <c r="P343" s="214">
        <v>6.5383181571960449</v>
      </c>
      <c r="Q343" s="214">
        <v>0</v>
      </c>
    </row>
    <row r="344" spans="13:17" x14ac:dyDescent="0.25">
      <c r="M344">
        <v>170.5</v>
      </c>
      <c r="N344" s="214">
        <v>6.2898659706115723</v>
      </c>
      <c r="O344" s="214">
        <v>12.072044372558594</v>
      </c>
      <c r="P344" s="214">
        <v>6.5473384857177734</v>
      </c>
      <c r="Q344" s="214">
        <v>6.9788861274719238</v>
      </c>
    </row>
    <row r="345" spans="13:17" x14ac:dyDescent="0.25">
      <c r="M345">
        <v>171</v>
      </c>
      <c r="N345" s="214">
        <v>6.2586565017700195</v>
      </c>
      <c r="O345" s="214">
        <v>11.321038246154785</v>
      </c>
      <c r="P345" s="214">
        <v>6.5667734146118164</v>
      </c>
      <c r="Q345" s="214">
        <v>6.9245352745056152</v>
      </c>
    </row>
    <row r="346" spans="13:17" x14ac:dyDescent="0.25">
      <c r="M346">
        <v>171.5</v>
      </c>
      <c r="N346" s="214">
        <v>6.235593318939209</v>
      </c>
      <c r="O346" s="214">
        <v>11.083308219909668</v>
      </c>
      <c r="P346" s="214">
        <v>6.5350532531738281</v>
      </c>
      <c r="Q346" s="214">
        <v>6.7129607200622559</v>
      </c>
    </row>
    <row r="347" spans="13:17" x14ac:dyDescent="0.25">
      <c r="M347">
        <v>172</v>
      </c>
      <c r="N347" s="214">
        <v>6.2519888877868652</v>
      </c>
      <c r="O347" s="214">
        <v>11.049990653991699</v>
      </c>
      <c r="P347" s="214">
        <v>6.5248160362243652</v>
      </c>
      <c r="Q347" s="214">
        <v>6.5814633369445801</v>
      </c>
    </row>
    <row r="348" spans="13:17" x14ac:dyDescent="0.25">
      <c r="M348">
        <v>172.5</v>
      </c>
      <c r="N348" s="214">
        <v>6.2249670028686523</v>
      </c>
      <c r="O348" s="214">
        <v>10.962056159973145</v>
      </c>
      <c r="P348" s="214">
        <v>6.5084419250488281</v>
      </c>
      <c r="Q348" s="214">
        <v>6.437471866607666</v>
      </c>
    </row>
    <row r="349" spans="13:17" x14ac:dyDescent="0.25">
      <c r="M349">
        <v>173</v>
      </c>
      <c r="N349" s="214">
        <v>6.2244577407836914</v>
      </c>
      <c r="O349" s="214">
        <v>10.925723075866699</v>
      </c>
      <c r="P349" s="214">
        <v>6.4889602661132813</v>
      </c>
      <c r="Q349" s="214">
        <v>6.3446178436279297</v>
      </c>
    </row>
    <row r="350" spans="13:17" x14ac:dyDescent="0.25">
      <c r="M350">
        <v>173.5</v>
      </c>
      <c r="N350" s="214">
        <v>6.208925724029541</v>
      </c>
      <c r="O350" s="214">
        <v>10.915902137756348</v>
      </c>
      <c r="P350" s="214">
        <v>6.4828143119812012</v>
      </c>
      <c r="Q350" s="214">
        <v>6.2759418487548828</v>
      </c>
    </row>
    <row r="351" spans="13:17" x14ac:dyDescent="0.25">
      <c r="M351">
        <v>174</v>
      </c>
      <c r="N351" s="214">
        <v>6.219182014465332</v>
      </c>
      <c r="O351" s="214">
        <v>10.88651180267334</v>
      </c>
      <c r="P351" s="214">
        <v>6.4433503150939941</v>
      </c>
      <c r="Q351" s="214">
        <v>6.2117695808410645</v>
      </c>
    </row>
    <row r="352" spans="13:17" x14ac:dyDescent="0.25">
      <c r="M352">
        <v>174.5</v>
      </c>
      <c r="N352" s="214">
        <v>6.1350240707397461</v>
      </c>
      <c r="O352" s="214">
        <v>10.765944480895996</v>
      </c>
      <c r="P352" s="214">
        <v>6.5333161354064941</v>
      </c>
      <c r="Q352" s="214">
        <v>6.3433346748352051</v>
      </c>
    </row>
    <row r="353" spans="13:17" x14ac:dyDescent="0.25">
      <c r="M353">
        <v>175</v>
      </c>
      <c r="N353" s="214">
        <v>6.1475982666015625</v>
      </c>
      <c r="O353" s="214">
        <v>10.864394187927246</v>
      </c>
      <c r="P353" s="214">
        <v>6.5174665451049805</v>
      </c>
      <c r="Q353" s="214">
        <v>6.3160533905029297</v>
      </c>
    </row>
    <row r="354" spans="13:17" x14ac:dyDescent="0.25">
      <c r="M354">
        <v>175.5</v>
      </c>
      <c r="N354" s="214">
        <v>6.1726770401000977</v>
      </c>
      <c r="O354" s="214">
        <v>10.872463226318359</v>
      </c>
      <c r="P354" s="214">
        <v>6.4332537651062012</v>
      </c>
      <c r="Q354" s="214">
        <v>6.2340598106384277</v>
      </c>
    </row>
    <row r="355" spans="13:17" x14ac:dyDescent="0.25">
      <c r="M355">
        <v>176</v>
      </c>
      <c r="N355" s="214">
        <v>6.178372859954834</v>
      </c>
      <c r="O355" s="214">
        <v>10.863624572753906</v>
      </c>
      <c r="P355" s="214">
        <v>6.5380063056945801</v>
      </c>
      <c r="Q355" s="214">
        <v>6.2601885795593262</v>
      </c>
    </row>
    <row r="356" spans="13:17" x14ac:dyDescent="0.25">
      <c r="M356">
        <v>176.5</v>
      </c>
      <c r="N356" s="214">
        <v>6.2461342811584473</v>
      </c>
      <c r="O356" s="214">
        <v>10.8388671875</v>
      </c>
      <c r="P356" s="214">
        <v>6.5355992317199707</v>
      </c>
      <c r="Q356" s="214">
        <v>5.9998846054077148</v>
      </c>
    </row>
    <row r="357" spans="13:17" x14ac:dyDescent="0.25">
      <c r="M357">
        <v>177</v>
      </c>
      <c r="N357" s="214">
        <v>6.2078089714050293</v>
      </c>
      <c r="O357" s="214">
        <v>10.832158088684082</v>
      </c>
      <c r="P357" s="214">
        <v>6.5492186546325684</v>
      </c>
      <c r="Q357" s="214">
        <v>5.8592023849487305</v>
      </c>
    </row>
    <row r="358" spans="13:17" x14ac:dyDescent="0.25">
      <c r="M358">
        <v>177.5</v>
      </c>
      <c r="N358" s="214">
        <v>6.2384262084960938</v>
      </c>
      <c r="O358" s="214">
        <v>10.859041213989258</v>
      </c>
      <c r="P358" s="214">
        <v>6.5110030174255371</v>
      </c>
      <c r="Q358" s="214">
        <v>5.9078536033630371</v>
      </c>
    </row>
    <row r="359" spans="13:17" x14ac:dyDescent="0.25">
      <c r="M359">
        <v>178</v>
      </c>
      <c r="N359" s="214">
        <v>6.221916675567627</v>
      </c>
      <c r="O359" s="214">
        <v>10.876749038696289</v>
      </c>
      <c r="P359" s="214">
        <v>6.4586544036865234</v>
      </c>
      <c r="Q359" s="214">
        <v>5.9268560409545898</v>
      </c>
    </row>
    <row r="360" spans="13:17" x14ac:dyDescent="0.25">
      <c r="M360">
        <v>178.5</v>
      </c>
      <c r="N360" s="214">
        <v>6.1771640777587891</v>
      </c>
      <c r="O360" s="214">
        <v>10.813762664794922</v>
      </c>
      <c r="P360" s="214">
        <v>6.5242547988891602</v>
      </c>
      <c r="Q360" s="214">
        <v>5.9030232429504395</v>
      </c>
    </row>
    <row r="361" spans="13:17" x14ac:dyDescent="0.25">
      <c r="M361">
        <v>179</v>
      </c>
      <c r="N361" s="214">
        <v>6.2106485366821289</v>
      </c>
      <c r="O361" s="214">
        <v>10.884075164794922</v>
      </c>
      <c r="P361" s="214">
        <v>6.5856876373291016</v>
      </c>
      <c r="Q361" s="214">
        <v>5.8965396881103516</v>
      </c>
    </row>
    <row r="362" spans="13:17" x14ac:dyDescent="0.25">
      <c r="M362">
        <v>179.5</v>
      </c>
      <c r="N362" s="214">
        <v>6.2395482063293457</v>
      </c>
      <c r="O362" s="214">
        <v>10.831852912902832</v>
      </c>
      <c r="P362" s="214">
        <v>6.5456357002258301</v>
      </c>
      <c r="Q362" s="214">
        <v>5.8650422096252441</v>
      </c>
    </row>
    <row r="363" spans="13:17" x14ac:dyDescent="0.25">
      <c r="M363">
        <v>180</v>
      </c>
      <c r="N363" s="214">
        <v>6.2596235275268555</v>
      </c>
      <c r="O363" s="214">
        <v>10.894718170166016</v>
      </c>
      <c r="P363" s="214">
        <v>6.5353240966796875</v>
      </c>
      <c r="Q363" s="214">
        <v>5.81982421875</v>
      </c>
    </row>
    <row r="364" spans="13:17" x14ac:dyDescent="0.25">
      <c r="M364">
        <v>180.5</v>
      </c>
      <c r="N364" s="214">
        <v>6.2076320648193359</v>
      </c>
      <c r="O364" s="214">
        <v>10.808667182922363</v>
      </c>
      <c r="P364" s="214">
        <v>6.6017599105834961</v>
      </c>
      <c r="Q364" s="214">
        <v>5.8345327377319336</v>
      </c>
    </row>
    <row r="365" spans="13:17" x14ac:dyDescent="0.25">
      <c r="M365">
        <v>181</v>
      </c>
      <c r="N365" s="214">
        <v>6.3729767799377441</v>
      </c>
      <c r="O365" s="214">
        <v>10.811326026916504</v>
      </c>
      <c r="P365" s="214">
        <v>6.5252285003662109</v>
      </c>
      <c r="Q365" s="214">
        <v>5.7971572875976563</v>
      </c>
    </row>
    <row r="366" spans="13:17" x14ac:dyDescent="0.25">
      <c r="M366">
        <v>181.5</v>
      </c>
      <c r="N366" s="214">
        <v>6.3491039276123047</v>
      </c>
      <c r="O366" s="214">
        <v>10.871721267700195</v>
      </c>
      <c r="P366" s="214">
        <v>6.4717049598693848</v>
      </c>
      <c r="Q366" s="214">
        <v>5.7599692344665527</v>
      </c>
    </row>
    <row r="367" spans="13:17" x14ac:dyDescent="0.25">
      <c r="M367">
        <v>182</v>
      </c>
      <c r="N367" s="214">
        <v>6.3816900253295898</v>
      </c>
      <c r="O367" s="214">
        <v>10.8587646484375</v>
      </c>
      <c r="P367" s="214">
        <v>6.4883785247802734</v>
      </c>
      <c r="Q367" s="214">
        <v>5.7031793594360352</v>
      </c>
    </row>
    <row r="368" spans="13:17" x14ac:dyDescent="0.25">
      <c r="M368">
        <v>182.5</v>
      </c>
      <c r="N368" s="214">
        <v>6.3563780784606934</v>
      </c>
      <c r="O368" s="214">
        <v>10.823940277099609</v>
      </c>
      <c r="P368" s="214">
        <v>6.5221133232116699</v>
      </c>
      <c r="Q368" s="214">
        <v>5.6411342620849609</v>
      </c>
    </row>
    <row r="369" spans="13:17" x14ac:dyDescent="0.25">
      <c r="M369">
        <v>183</v>
      </c>
      <c r="N369" s="214">
        <v>6.4173665046691895</v>
      </c>
      <c r="O369" s="214">
        <v>10.839998245239258</v>
      </c>
      <c r="P369" s="214">
        <v>6.5176539421081543</v>
      </c>
      <c r="Q369" s="214">
        <v>5.6355586051940918</v>
      </c>
    </row>
    <row r="370" spans="13:17" x14ac:dyDescent="0.25">
      <c r="M370">
        <v>183.5</v>
      </c>
      <c r="N370" s="214">
        <v>6.396303653717041</v>
      </c>
      <c r="O370" s="214">
        <v>10.869966506958008</v>
      </c>
      <c r="P370" s="214">
        <v>6.4984207153320313</v>
      </c>
      <c r="Q370" s="214">
        <v>5.6619429588317871</v>
      </c>
    </row>
    <row r="371" spans="13:17" x14ac:dyDescent="0.25">
      <c r="M371">
        <v>184</v>
      </c>
      <c r="N371" s="214">
        <v>6.3720011711120605</v>
      </c>
      <c r="O371" s="214">
        <v>10.761046409606934</v>
      </c>
      <c r="P371" s="214">
        <v>6.5650691986083984</v>
      </c>
      <c r="Q371" s="214">
        <v>5.6160345077514648</v>
      </c>
    </row>
    <row r="372" spans="13:17" x14ac:dyDescent="0.25">
      <c r="M372">
        <v>184.5</v>
      </c>
      <c r="N372" s="214">
        <v>6.4221096038818359</v>
      </c>
      <c r="O372" s="214">
        <v>10.861335754394531</v>
      </c>
      <c r="P372" s="214">
        <v>6.6032042503356934</v>
      </c>
      <c r="Q372" s="214">
        <v>5.3149404525756836</v>
      </c>
    </row>
    <row r="373" spans="13:17" x14ac:dyDescent="0.25">
      <c r="M373">
        <v>185</v>
      </c>
      <c r="N373" s="214">
        <v>6.3456206321716309</v>
      </c>
      <c r="O373" s="214">
        <v>10.853488922119141</v>
      </c>
      <c r="P373" s="214">
        <v>6.5488390922546387</v>
      </c>
      <c r="Q373" s="214">
        <v>5.4214897155761719</v>
      </c>
    </row>
    <row r="374" spans="13:17" x14ac:dyDescent="0.25">
      <c r="M374">
        <v>185.5</v>
      </c>
      <c r="N374" s="214">
        <v>6.3761396408081055</v>
      </c>
      <c r="O374" s="214">
        <v>10.852069854736328</v>
      </c>
      <c r="P374" s="214">
        <v>6.5657415390014648</v>
      </c>
      <c r="Q374" s="214">
        <v>5.5721969604492188</v>
      </c>
    </row>
    <row r="375" spans="13:17" x14ac:dyDescent="0.25">
      <c r="M375">
        <v>186</v>
      </c>
      <c r="N375" s="214">
        <v>6.4120907783508301</v>
      </c>
      <c r="O375" s="214">
        <v>10.816174507141113</v>
      </c>
      <c r="P375" s="214">
        <v>6.5484223365783691</v>
      </c>
      <c r="Q375" s="214">
        <v>5.6099457740783691</v>
      </c>
    </row>
    <row r="376" spans="13:17" x14ac:dyDescent="0.25">
      <c r="M376">
        <v>186.5</v>
      </c>
      <c r="N376" s="214">
        <v>6.4740524291992188</v>
      </c>
      <c r="O376" s="214">
        <v>10.850468635559082</v>
      </c>
      <c r="P376" s="214">
        <v>6.5788044929504395</v>
      </c>
      <c r="Q376" s="214">
        <v>5.6239628791809082</v>
      </c>
    </row>
    <row r="377" spans="13:17" x14ac:dyDescent="0.25">
      <c r="M377">
        <v>187</v>
      </c>
      <c r="N377" s="214">
        <v>6.4021992683410645</v>
      </c>
      <c r="O377" s="214">
        <v>10.79071044921875</v>
      </c>
      <c r="P377" s="214">
        <v>6.5838198661804199</v>
      </c>
      <c r="Q377" s="214">
        <v>5.6224727630615234</v>
      </c>
    </row>
    <row r="378" spans="13:17" x14ac:dyDescent="0.25">
      <c r="M378">
        <v>187.5</v>
      </c>
      <c r="N378" s="214">
        <v>6.3976311683654785</v>
      </c>
      <c r="O378" s="214">
        <v>10.745901107788086</v>
      </c>
      <c r="P378" s="214">
        <v>6.600365161895752</v>
      </c>
      <c r="Q378" s="214">
        <v>5.697472095489502</v>
      </c>
    </row>
    <row r="379" spans="13:17" x14ac:dyDescent="0.25">
      <c r="M379">
        <v>188</v>
      </c>
      <c r="N379" s="214">
        <v>6.3732132911682129</v>
      </c>
      <c r="O379" s="214">
        <v>10.80314826965332</v>
      </c>
      <c r="P379" s="214">
        <v>6.5959682464599609</v>
      </c>
      <c r="Q379" s="214">
        <v>5.6447830200195313</v>
      </c>
    </row>
    <row r="380" spans="13:17" x14ac:dyDescent="0.25">
      <c r="M380">
        <v>188.5</v>
      </c>
      <c r="N380" s="214">
        <v>6.4109902381896973</v>
      </c>
      <c r="O380" s="214">
        <v>10.810686111450195</v>
      </c>
      <c r="P380" s="214">
        <v>6.6290340423583984</v>
      </c>
      <c r="Q380" s="214">
        <v>5.651092529296875</v>
      </c>
    </row>
    <row r="381" spans="13:17" x14ac:dyDescent="0.25">
      <c r="M381">
        <v>189</v>
      </c>
      <c r="N381" s="214">
        <v>6.3831048011779785</v>
      </c>
      <c r="O381" s="214">
        <v>10.87903881072998</v>
      </c>
      <c r="P381" s="214">
        <v>6.695411205291748</v>
      </c>
      <c r="Q381" s="214">
        <v>5.6541891098022461</v>
      </c>
    </row>
    <row r="382" spans="13:17" x14ac:dyDescent="0.25">
      <c r="M382">
        <v>189.5</v>
      </c>
      <c r="N382" s="214">
        <v>6.3508243560791016</v>
      </c>
      <c r="O382" s="214">
        <v>10.814645767211914</v>
      </c>
      <c r="P382" s="214">
        <v>6.6588191986083984</v>
      </c>
      <c r="Q382" s="214">
        <v>5.6040740013122559</v>
      </c>
    </row>
    <row r="383" spans="13:17" x14ac:dyDescent="0.25">
      <c r="M383">
        <v>190</v>
      </c>
      <c r="N383" s="214">
        <v>6.3156309127807617</v>
      </c>
      <c r="O383" s="214">
        <v>10.841896057128906</v>
      </c>
      <c r="P383" s="214">
        <v>6.6939735412597656</v>
      </c>
      <c r="Q383" s="214">
        <v>5.6730303764343262</v>
      </c>
    </row>
    <row r="384" spans="13:17" x14ac:dyDescent="0.25">
      <c r="M384">
        <v>190.5</v>
      </c>
      <c r="N384" s="214">
        <v>6.2938590049743652</v>
      </c>
      <c r="O384" s="214">
        <v>10.855328559875488</v>
      </c>
      <c r="P384" s="214">
        <v>6.6773200035095215</v>
      </c>
      <c r="Q384" s="214">
        <v>5.6717777252197266</v>
      </c>
    </row>
    <row r="385" spans="13:17" x14ac:dyDescent="0.25">
      <c r="M385">
        <v>191</v>
      </c>
      <c r="N385" s="214">
        <v>6.4077720642089844</v>
      </c>
      <c r="O385" s="214">
        <v>10.844000816345215</v>
      </c>
      <c r="P385" s="214">
        <v>6.6972737312316895</v>
      </c>
      <c r="Q385" s="214">
        <v>5.7742576599121094</v>
      </c>
    </row>
    <row r="386" spans="13:17" x14ac:dyDescent="0.25">
      <c r="M386">
        <v>191.5</v>
      </c>
      <c r="N386" s="214">
        <v>6.3697724342346191</v>
      </c>
      <c r="O386" s="214">
        <v>10.858509063720703</v>
      </c>
      <c r="P386" s="214">
        <v>6.6565818786621094</v>
      </c>
      <c r="Q386" s="214">
        <v>5.7757916450500488</v>
      </c>
    </row>
    <row r="387" spans="13:17" x14ac:dyDescent="0.25">
      <c r="M387">
        <v>192</v>
      </c>
      <c r="N387" s="214">
        <v>6.2837209701538086</v>
      </c>
      <c r="O387" s="214">
        <v>10.846341133117676</v>
      </c>
      <c r="P387" s="214">
        <v>6.6670598983764648</v>
      </c>
      <c r="Q387" s="214">
        <v>5.7883319854736328</v>
      </c>
    </row>
    <row r="388" spans="13:17" x14ac:dyDescent="0.25">
      <c r="M388">
        <v>192.5</v>
      </c>
      <c r="N388" s="214">
        <v>6.2758502960205078</v>
      </c>
      <c r="O388" s="214">
        <v>10.809833526611328</v>
      </c>
      <c r="P388" s="214">
        <v>6.6595087051391602</v>
      </c>
      <c r="Q388" s="214">
        <v>5.7903523445129395</v>
      </c>
    </row>
    <row r="389" spans="13:17" x14ac:dyDescent="0.25">
      <c r="M389">
        <v>193</v>
      </c>
      <c r="N389" s="214">
        <v>6.2452669143676758</v>
      </c>
      <c r="O389" s="214">
        <v>10.756649971008301</v>
      </c>
      <c r="P389" s="214">
        <v>6.6514792442321777</v>
      </c>
      <c r="Q389" s="214">
        <v>5.7822976112365723</v>
      </c>
    </row>
    <row r="390" spans="13:17" x14ac:dyDescent="0.25">
      <c r="M390">
        <v>193.5</v>
      </c>
      <c r="N390" s="214">
        <v>6.256622314453125</v>
      </c>
      <c r="O390" s="214">
        <v>10.765228271484375</v>
      </c>
      <c r="P390" s="214">
        <v>6.6306543350219727</v>
      </c>
      <c r="Q390" s="214">
        <v>5.8723278045654297</v>
      </c>
    </row>
    <row r="391" spans="13:17" x14ac:dyDescent="0.25">
      <c r="M391">
        <v>194</v>
      </c>
      <c r="N391" s="214">
        <v>6.2631525993347168</v>
      </c>
      <c r="O391" s="214">
        <v>10.760346412658691</v>
      </c>
      <c r="P391" s="214">
        <v>6.6097488403320313</v>
      </c>
      <c r="Q391" s="214">
        <v>5.8082275390625</v>
      </c>
    </row>
    <row r="392" spans="13:17" x14ac:dyDescent="0.25">
      <c r="M392">
        <v>194.5</v>
      </c>
      <c r="N392" s="214">
        <v>6.2850403785705566</v>
      </c>
      <c r="O392" s="214">
        <v>10.816096305847168</v>
      </c>
      <c r="P392" s="214">
        <v>6.5931134223937988</v>
      </c>
      <c r="Q392" s="214">
        <v>5.8420252799987793</v>
      </c>
    </row>
    <row r="393" spans="13:17" x14ac:dyDescent="0.25">
      <c r="M393">
        <v>195</v>
      </c>
      <c r="N393" s="214">
        <v>6.2465376853942871</v>
      </c>
      <c r="O393" s="214">
        <v>10.793558120727539</v>
      </c>
      <c r="P393" s="214">
        <v>6.5619430541992188</v>
      </c>
      <c r="Q393" s="214">
        <v>6.0893239974975586</v>
      </c>
    </row>
    <row r="394" spans="13:17" x14ac:dyDescent="0.25">
      <c r="M394">
        <v>195.5</v>
      </c>
      <c r="N394" s="214">
        <v>6.2470459938049316</v>
      </c>
      <c r="O394" s="214">
        <v>10.802398681640625</v>
      </c>
      <c r="P394" s="214">
        <v>6.5476980209350586</v>
      </c>
      <c r="Q394" s="214">
        <v>5.9770917892456055</v>
      </c>
    </row>
    <row r="395" spans="13:17" x14ac:dyDescent="0.25">
      <c r="M395">
        <v>196</v>
      </c>
      <c r="N395" s="214">
        <v>6.2183980941772461</v>
      </c>
      <c r="O395" s="214">
        <v>10.759086608886719</v>
      </c>
      <c r="P395" s="214">
        <v>6.5486335754394531</v>
      </c>
      <c r="Q395" s="214">
        <v>5.8273000717163086</v>
      </c>
    </row>
    <row r="396" spans="13:17" x14ac:dyDescent="0.25">
      <c r="M396">
        <v>196.5</v>
      </c>
      <c r="N396" s="214">
        <v>6.2053451538085938</v>
      </c>
      <c r="O396" s="214">
        <v>10.829615592956543</v>
      </c>
      <c r="P396" s="214">
        <v>6.5946660041809082</v>
      </c>
      <c r="Q396" s="214">
        <v>5.9121966361999512</v>
      </c>
    </row>
    <row r="397" spans="13:17" x14ac:dyDescent="0.25">
      <c r="M397">
        <v>197</v>
      </c>
      <c r="N397" s="214">
        <v>6.1803531646728516</v>
      </c>
      <c r="O397" s="214">
        <v>10.780075073242188</v>
      </c>
      <c r="P397" s="214">
        <v>6.6157517433166504</v>
      </c>
      <c r="Q397" s="214">
        <v>5.7867741584777832</v>
      </c>
    </row>
    <row r="398" spans="13:17" x14ac:dyDescent="0.25">
      <c r="M398">
        <v>197.5</v>
      </c>
      <c r="N398" s="214">
        <v>6.1409997940063477</v>
      </c>
      <c r="O398" s="214">
        <v>10.772159576416016</v>
      </c>
      <c r="P398" s="214">
        <v>6.7000279426574707</v>
      </c>
      <c r="Q398" s="214">
        <v>5.7099699974060059</v>
      </c>
    </row>
    <row r="399" spans="13:17" x14ac:dyDescent="0.25">
      <c r="M399">
        <v>198</v>
      </c>
      <c r="N399" s="214">
        <v>6.1966638565063477</v>
      </c>
      <c r="O399" s="214">
        <v>10.785443305969238</v>
      </c>
      <c r="P399" s="214">
        <v>6.6648335456848145</v>
      </c>
      <c r="Q399" s="214">
        <v>5.6791863441467285</v>
      </c>
    </row>
    <row r="400" spans="13:17" x14ac:dyDescent="0.25">
      <c r="M400">
        <v>198.5</v>
      </c>
      <c r="N400" s="214">
        <v>6.2293844223022461</v>
      </c>
      <c r="O400" s="214">
        <v>10.716000556945801</v>
      </c>
      <c r="P400" s="214">
        <v>6.6616072654724121</v>
      </c>
      <c r="Q400" s="214">
        <v>5.6755251884460449</v>
      </c>
    </row>
    <row r="401" spans="13:17" x14ac:dyDescent="0.25">
      <c r="M401">
        <v>199</v>
      </c>
      <c r="N401" s="214">
        <v>6.1846003532409668</v>
      </c>
      <c r="O401" s="214">
        <v>10.738113403320313</v>
      </c>
      <c r="P401" s="214">
        <v>6.6690120697021484</v>
      </c>
      <c r="Q401" s="214">
        <v>5.6561970710754395</v>
      </c>
    </row>
    <row r="402" spans="13:17" x14ac:dyDescent="0.25">
      <c r="M402">
        <v>199.5</v>
      </c>
      <c r="N402" s="214">
        <v>6.1791834831237793</v>
      </c>
      <c r="O402" s="214">
        <v>10.77091121673584</v>
      </c>
      <c r="P402" s="214">
        <v>6.6403532028198242</v>
      </c>
      <c r="Q402" s="214">
        <v>5.6491403579711914</v>
      </c>
    </row>
    <row r="403" spans="13:17" x14ac:dyDescent="0.25">
      <c r="M403">
        <v>200</v>
      </c>
      <c r="N403" s="214">
        <v>6.0955681800842285</v>
      </c>
      <c r="O403" s="214">
        <v>10.734660148620605</v>
      </c>
      <c r="P403" s="214">
        <v>6.6201410293579102</v>
      </c>
      <c r="Q403" s="214">
        <v>5.8015656471252441</v>
      </c>
    </row>
    <row r="404" spans="13:17" x14ac:dyDescent="0.25">
      <c r="M404">
        <v>200.5</v>
      </c>
      <c r="N404" s="214">
        <v>6.1528973579406738</v>
      </c>
      <c r="O404" s="214">
        <v>10.768453598022461</v>
      </c>
      <c r="P404" s="214">
        <v>6.6301779747009277</v>
      </c>
      <c r="Q404" s="214">
        <v>5.7721719741821289</v>
      </c>
    </row>
    <row r="405" spans="13:17" x14ac:dyDescent="0.25">
      <c r="M405">
        <v>201</v>
      </c>
      <c r="N405" s="214">
        <v>6.2490839958190918</v>
      </c>
      <c r="O405" s="214">
        <v>10.813129425048828</v>
      </c>
      <c r="P405" s="214">
        <v>6.6197676658630371</v>
      </c>
      <c r="Q405" s="214">
        <v>5.5842223167419434</v>
      </c>
    </row>
    <row r="406" spans="13:17" x14ac:dyDescent="0.25">
      <c r="M406">
        <v>201.5</v>
      </c>
      <c r="N406" s="214">
        <v>6.2202186584472656</v>
      </c>
      <c r="O406" s="214">
        <v>10.809283256530762</v>
      </c>
      <c r="P406" s="214">
        <v>6.6106829643249512</v>
      </c>
      <c r="Q406" s="214">
        <v>5.5798182487487793</v>
      </c>
    </row>
    <row r="407" spans="13:17" x14ac:dyDescent="0.25">
      <c r="M407">
        <v>202</v>
      </c>
      <c r="N407" s="214">
        <v>6.2493305206298828</v>
      </c>
      <c r="O407" s="214">
        <v>10.804430961608887</v>
      </c>
      <c r="P407" s="214">
        <v>6.6555356979370117</v>
      </c>
      <c r="Q407" s="214">
        <v>5.650972843170166</v>
      </c>
    </row>
    <row r="408" spans="13:17" x14ac:dyDescent="0.25">
      <c r="M408">
        <v>202.5</v>
      </c>
      <c r="N408" s="214">
        <v>6.2727861404418945</v>
      </c>
      <c r="O408" s="214">
        <v>10.786660194396973</v>
      </c>
      <c r="P408" s="214">
        <v>6.6211495399475098</v>
      </c>
      <c r="Q408" s="214">
        <v>5.6356821060180664</v>
      </c>
    </row>
    <row r="409" spans="13:17" x14ac:dyDescent="0.25">
      <c r="M409">
        <v>203</v>
      </c>
      <c r="N409" s="214">
        <v>6.3401889801025391</v>
      </c>
      <c r="O409" s="214">
        <v>10.756457328796387</v>
      </c>
      <c r="P409" s="214">
        <v>6.6434235572814941</v>
      </c>
      <c r="Q409" s="214">
        <v>5.609771728515625</v>
      </c>
    </row>
    <row r="410" spans="13:17" x14ac:dyDescent="0.25">
      <c r="M410">
        <v>203.5</v>
      </c>
      <c r="N410" s="214">
        <v>6.3460378646850586</v>
      </c>
      <c r="O410" s="214">
        <v>10.765947341918945</v>
      </c>
      <c r="P410" s="214">
        <v>6.597902774810791</v>
      </c>
      <c r="Q410" s="214">
        <v>5.5829377174377441</v>
      </c>
    </row>
    <row r="411" spans="13:17" x14ac:dyDescent="0.25">
      <c r="M411">
        <v>204</v>
      </c>
      <c r="N411" s="214">
        <v>6.3227415084838867</v>
      </c>
      <c r="O411" s="214">
        <v>10.717536926269531</v>
      </c>
      <c r="P411" s="214">
        <v>6.5880846977233887</v>
      </c>
      <c r="Q411" s="214">
        <v>5.5126829147338867</v>
      </c>
    </row>
    <row r="412" spans="13:17" x14ac:dyDescent="0.25">
      <c r="M412">
        <v>204.5</v>
      </c>
      <c r="N412" s="214">
        <v>6.369788646697998</v>
      </c>
      <c r="O412" s="214">
        <v>10.727499961853027</v>
      </c>
      <c r="P412" s="214">
        <v>6.5484380722045898</v>
      </c>
      <c r="Q412" s="214">
        <v>5.4594674110412598</v>
      </c>
    </row>
    <row r="413" spans="13:17" x14ac:dyDescent="0.25">
      <c r="M413">
        <v>205</v>
      </c>
      <c r="N413" s="214">
        <v>6.4272246360778809</v>
      </c>
      <c r="O413" s="214">
        <v>10.741602897644043</v>
      </c>
      <c r="P413" s="214">
        <v>6.6515598297119141</v>
      </c>
      <c r="Q413" s="214">
        <v>5.3758487701416016</v>
      </c>
    </row>
    <row r="414" spans="13:17" x14ac:dyDescent="0.25">
      <c r="M414">
        <v>205.5</v>
      </c>
      <c r="N414" s="214">
        <v>6.3641877174377441</v>
      </c>
      <c r="O414" s="214">
        <v>10.746583938598633</v>
      </c>
      <c r="P414" s="214">
        <v>6.585207462310791</v>
      </c>
      <c r="Q414" s="214">
        <v>5.3689618110656738</v>
      </c>
    </row>
    <row r="415" spans="13:17" x14ac:dyDescent="0.25">
      <c r="M415">
        <v>206</v>
      </c>
      <c r="N415" s="214">
        <v>6.3959240913391113</v>
      </c>
      <c r="O415" s="214">
        <v>10.681240081787109</v>
      </c>
      <c r="P415" s="214">
        <v>6.6226463317871094</v>
      </c>
      <c r="Q415" s="214">
        <v>5.5089726448059082</v>
      </c>
    </row>
    <row r="416" spans="13:17" x14ac:dyDescent="0.25">
      <c r="M416">
        <v>206.5</v>
      </c>
      <c r="N416" s="214">
        <v>6.4689507484436035</v>
      </c>
      <c r="O416" s="214">
        <v>10.708656311035156</v>
      </c>
      <c r="P416" s="214">
        <v>6.5803160667419434</v>
      </c>
      <c r="Q416" s="214">
        <v>5.421201229095459</v>
      </c>
    </row>
    <row r="417" spans="13:17" x14ac:dyDescent="0.25">
      <c r="M417">
        <v>207</v>
      </c>
      <c r="N417" s="214">
        <v>6.4580492973327637</v>
      </c>
      <c r="O417" s="214">
        <v>10.723322868347168</v>
      </c>
      <c r="P417" s="214">
        <v>6.628119945526123</v>
      </c>
      <c r="Q417" s="214">
        <v>5.3533945083618164</v>
      </c>
    </row>
    <row r="418" spans="13:17" x14ac:dyDescent="0.25">
      <c r="M418">
        <v>207.5</v>
      </c>
      <c r="N418" s="214">
        <v>6.4833869934082031</v>
      </c>
      <c r="O418" s="214">
        <v>10.748286247253418</v>
      </c>
      <c r="P418" s="214">
        <v>6.5803894996643066</v>
      </c>
      <c r="Q418" s="214">
        <v>5.5397076606750488</v>
      </c>
    </row>
    <row r="419" spans="13:17" x14ac:dyDescent="0.25">
      <c r="M419">
        <v>208</v>
      </c>
      <c r="N419" s="214">
        <v>6.4200191497802734</v>
      </c>
      <c r="O419" s="214">
        <v>10.700556755065918</v>
      </c>
      <c r="P419" s="214">
        <v>6.5765237808227539</v>
      </c>
      <c r="Q419" s="214">
        <v>5.609123706817627</v>
      </c>
    </row>
    <row r="420" spans="13:17" x14ac:dyDescent="0.25">
      <c r="M420">
        <v>208.5</v>
      </c>
      <c r="N420" s="214">
        <v>6.4133777618408203</v>
      </c>
      <c r="O420" s="214">
        <v>10.688230514526367</v>
      </c>
      <c r="P420" s="214">
        <v>6.6522188186645508</v>
      </c>
      <c r="Q420" s="214">
        <v>5.553067684173584</v>
      </c>
    </row>
    <row r="421" spans="13:17" x14ac:dyDescent="0.25">
      <c r="M421">
        <v>209</v>
      </c>
      <c r="N421" s="214">
        <v>6.4860286712646484</v>
      </c>
      <c r="O421" s="214">
        <v>10.746858596801758</v>
      </c>
      <c r="P421" s="214">
        <v>6.5823612213134766</v>
      </c>
      <c r="Q421" s="214">
        <v>5.4517965316772461</v>
      </c>
    </row>
    <row r="422" spans="13:17" x14ac:dyDescent="0.25">
      <c r="M422">
        <v>209.5</v>
      </c>
      <c r="N422" s="214">
        <v>6.4095406532287598</v>
      </c>
      <c r="O422" s="214">
        <v>10.75076961517334</v>
      </c>
      <c r="P422" s="214">
        <v>6.6049208641052246</v>
      </c>
      <c r="Q422" s="214">
        <v>5.5401530265808105</v>
      </c>
    </row>
    <row r="423" spans="13:17" x14ac:dyDescent="0.25">
      <c r="M423">
        <v>210</v>
      </c>
      <c r="N423" s="214">
        <v>6.462440013885498</v>
      </c>
      <c r="O423" s="214">
        <v>10.786249160766602</v>
      </c>
      <c r="P423" s="214">
        <v>6.653954029083252</v>
      </c>
      <c r="Q423" s="214">
        <v>5.4193801879882813</v>
      </c>
    </row>
    <row r="424" spans="13:17" x14ac:dyDescent="0.25">
      <c r="M424">
        <v>210.5</v>
      </c>
      <c r="N424" s="214">
        <v>6.4480710029602051</v>
      </c>
      <c r="O424" s="214">
        <v>10.683162689208984</v>
      </c>
      <c r="P424" s="214">
        <v>6.6332297325134277</v>
      </c>
      <c r="Q424" s="214">
        <v>5.3668422698974609</v>
      </c>
    </row>
    <row r="425" spans="13:17" x14ac:dyDescent="0.25">
      <c r="M425">
        <v>211</v>
      </c>
      <c r="N425" s="214">
        <v>6.5137228965759277</v>
      </c>
      <c r="O425" s="214">
        <v>10.672309875488281</v>
      </c>
      <c r="P425" s="214">
        <v>6.6485433578491211</v>
      </c>
      <c r="Q425" s="214">
        <v>5.5039987564086914</v>
      </c>
    </row>
    <row r="426" spans="13:17" x14ac:dyDescent="0.25">
      <c r="M426">
        <v>211.5</v>
      </c>
      <c r="N426" s="214">
        <v>6.433962345123291</v>
      </c>
      <c r="O426" s="214">
        <v>10.646515846252441</v>
      </c>
      <c r="P426" s="214">
        <v>6.6032557487487793</v>
      </c>
      <c r="Q426" s="214">
        <v>5.6541643142700195</v>
      </c>
    </row>
    <row r="427" spans="13:17" x14ac:dyDescent="0.25">
      <c r="M427">
        <v>212</v>
      </c>
      <c r="N427" s="214">
        <v>6.3822860717773438</v>
      </c>
      <c r="O427" s="214">
        <v>10.673686027526855</v>
      </c>
      <c r="P427" s="214">
        <v>6.6952390670776367</v>
      </c>
      <c r="Q427" s="214">
        <v>5.6407051086425781</v>
      </c>
    </row>
    <row r="428" spans="13:17" x14ac:dyDescent="0.25">
      <c r="M428">
        <v>212.5</v>
      </c>
      <c r="N428" s="214">
        <v>6.2959275245666504</v>
      </c>
      <c r="O428" s="214">
        <v>10.666736602783203</v>
      </c>
      <c r="P428" s="214">
        <v>6.650367259979248</v>
      </c>
      <c r="Q428" s="214">
        <v>5.6266345977783203</v>
      </c>
    </row>
    <row r="429" spans="13:17" x14ac:dyDescent="0.25">
      <c r="M429">
        <v>213</v>
      </c>
      <c r="N429" s="214">
        <v>6.4452662467956543</v>
      </c>
      <c r="O429" s="214">
        <v>10.731201171875</v>
      </c>
      <c r="P429" s="214">
        <v>6.6338706016540527</v>
      </c>
      <c r="Q429" s="214">
        <v>5.6169099807739258</v>
      </c>
    </row>
    <row r="430" spans="13:17" x14ac:dyDescent="0.25">
      <c r="M430">
        <v>213.5</v>
      </c>
      <c r="N430" s="214">
        <v>6.383122444152832</v>
      </c>
      <c r="O430" s="214">
        <v>10.73283576965332</v>
      </c>
      <c r="P430" s="214">
        <v>6.5658245086669922</v>
      </c>
      <c r="Q430" s="214">
        <v>5.6958270072937012</v>
      </c>
    </row>
    <row r="431" spans="13:17" x14ac:dyDescent="0.25">
      <c r="M431">
        <v>214</v>
      </c>
      <c r="N431" s="214">
        <v>6.3811969757080078</v>
      </c>
      <c r="O431" s="214">
        <v>10.746129035949707</v>
      </c>
      <c r="P431" s="214">
        <v>6.5956330299377441</v>
      </c>
      <c r="Q431" s="214">
        <v>5.6753096580505371</v>
      </c>
    </row>
    <row r="432" spans="13:17" x14ac:dyDescent="0.25">
      <c r="M432">
        <v>214.5</v>
      </c>
      <c r="N432" s="214">
        <v>6.3758511543273926</v>
      </c>
      <c r="O432" s="214">
        <v>10.732441902160645</v>
      </c>
      <c r="P432" s="214">
        <v>6.5856523513793945</v>
      </c>
      <c r="Q432" s="214">
        <v>5.6803421974182129</v>
      </c>
    </row>
    <row r="433" spans="13:17" x14ac:dyDescent="0.25">
      <c r="M433">
        <v>215</v>
      </c>
      <c r="N433" s="214">
        <v>6.4063496589660645</v>
      </c>
      <c r="O433" s="214">
        <v>10.694544792175293</v>
      </c>
      <c r="P433" s="214">
        <v>6.5539135932922363</v>
      </c>
      <c r="Q433" s="214">
        <v>5.6709861755371094</v>
      </c>
    </row>
    <row r="434" spans="13:17" x14ac:dyDescent="0.25">
      <c r="M434">
        <v>215.5</v>
      </c>
      <c r="N434" s="214">
        <v>6.3846344947814941</v>
      </c>
      <c r="O434" s="214">
        <v>10.684420585632324</v>
      </c>
      <c r="P434" s="214">
        <v>6.5754332542419434</v>
      </c>
      <c r="Q434" s="214">
        <v>5.8137931823730469</v>
      </c>
    </row>
    <row r="435" spans="13:17" x14ac:dyDescent="0.25">
      <c r="M435">
        <v>216</v>
      </c>
      <c r="N435" s="214">
        <v>6.2907395362854004</v>
      </c>
      <c r="O435" s="214">
        <v>10.724120140075684</v>
      </c>
      <c r="P435" s="214">
        <v>6.5208449363708496</v>
      </c>
      <c r="Q435" s="214">
        <v>5.8845949172973633</v>
      </c>
    </row>
    <row r="436" spans="13:17" x14ac:dyDescent="0.25">
      <c r="M436">
        <v>216.5</v>
      </c>
      <c r="N436" s="214">
        <v>6.331693172454834</v>
      </c>
      <c r="O436" s="214">
        <v>10.71052360534668</v>
      </c>
      <c r="P436" s="214">
        <v>6.5252971649169922</v>
      </c>
      <c r="Q436" s="214">
        <v>5.7892131805419922</v>
      </c>
    </row>
    <row r="437" spans="13:17" x14ac:dyDescent="0.25">
      <c r="M437">
        <v>217</v>
      </c>
      <c r="N437" s="214">
        <v>6.3432192802429199</v>
      </c>
      <c r="O437" s="214">
        <v>10.685123443603516</v>
      </c>
      <c r="P437" s="214">
        <v>6.620638370513916</v>
      </c>
      <c r="Q437" s="214">
        <v>5.8379683494567871</v>
      </c>
    </row>
    <row r="438" spans="13:17" x14ac:dyDescent="0.25">
      <c r="M438">
        <v>217.5</v>
      </c>
      <c r="N438" s="214">
        <v>6.3128781318664551</v>
      </c>
      <c r="O438" s="214">
        <v>10.655866622924805</v>
      </c>
      <c r="P438" s="214">
        <v>6.6343250274658203</v>
      </c>
      <c r="Q438" s="214">
        <v>5.855048656463623</v>
      </c>
    </row>
    <row r="439" spans="13:17" x14ac:dyDescent="0.25">
      <c r="M439">
        <v>218</v>
      </c>
      <c r="N439" s="214">
        <v>6.3057417869567871</v>
      </c>
      <c r="O439" s="214">
        <v>10.624847412109375</v>
      </c>
      <c r="P439" s="214">
        <v>6.6427984237670898</v>
      </c>
      <c r="Q439" s="214">
        <v>5.7197318077087402</v>
      </c>
    </row>
    <row r="440" spans="13:17" x14ac:dyDescent="0.25">
      <c r="M440">
        <v>218.5</v>
      </c>
      <c r="N440" s="214">
        <v>6.2969083786010742</v>
      </c>
      <c r="O440" s="214">
        <v>10.693832397460938</v>
      </c>
      <c r="P440" s="214">
        <v>6.560089111328125</v>
      </c>
      <c r="Q440" s="214">
        <v>5.6939105987548828</v>
      </c>
    </row>
    <row r="441" spans="13:17" x14ac:dyDescent="0.25">
      <c r="M441">
        <v>219</v>
      </c>
      <c r="N441" s="214">
        <v>6.1896481513977051</v>
      </c>
      <c r="O441" s="214">
        <v>10.666537284851074</v>
      </c>
      <c r="P441" s="214">
        <v>6.6344971656799316</v>
      </c>
      <c r="Q441" s="214">
        <v>5.7760214805603027</v>
      </c>
    </row>
    <row r="442" spans="13:17" x14ac:dyDescent="0.25">
      <c r="M442">
        <v>219.5</v>
      </c>
      <c r="N442" s="214">
        <v>6.1574687957763672</v>
      </c>
      <c r="O442" s="214">
        <v>10.686543464660645</v>
      </c>
      <c r="P442" s="214">
        <v>6.5884485244750977</v>
      </c>
      <c r="Q442" s="214">
        <v>5.784548282623291</v>
      </c>
    </row>
    <row r="443" spans="13:17" x14ac:dyDescent="0.25">
      <c r="M443">
        <v>220</v>
      </c>
      <c r="N443" s="214">
        <v>6.2935967445373535</v>
      </c>
      <c r="O443" s="214">
        <v>10.684917449951172</v>
      </c>
      <c r="P443" s="214">
        <v>6.5941944122314453</v>
      </c>
      <c r="Q443" s="214">
        <v>5.7933363914489746</v>
      </c>
    </row>
    <row r="444" spans="13:17" x14ac:dyDescent="0.25">
      <c r="M444">
        <v>220.5</v>
      </c>
      <c r="N444" s="214">
        <v>6.1962032318115234</v>
      </c>
      <c r="O444" s="214">
        <v>10.689536094665527</v>
      </c>
      <c r="P444" s="214">
        <v>6.6750569343566895</v>
      </c>
      <c r="Q444" s="214">
        <v>5.8706164360046387</v>
      </c>
    </row>
    <row r="445" spans="13:17" x14ac:dyDescent="0.25">
      <c r="M445">
        <v>221</v>
      </c>
      <c r="N445" s="214">
        <v>6.2732205390930176</v>
      </c>
      <c r="O445" s="214">
        <v>10.700952529907227</v>
      </c>
      <c r="P445" s="214">
        <v>6.671299934387207</v>
      </c>
      <c r="Q445" s="214">
        <v>5.8557157516479492</v>
      </c>
    </row>
    <row r="446" spans="13:17" x14ac:dyDescent="0.25">
      <c r="M446">
        <v>221.5</v>
      </c>
      <c r="N446" s="214">
        <v>6.2308168411254883</v>
      </c>
      <c r="O446" s="214">
        <v>10.619143486022949</v>
      </c>
      <c r="P446" s="214">
        <v>6.6395139694213867</v>
      </c>
      <c r="Q446" s="214">
        <v>5.6368880271911621</v>
      </c>
    </row>
    <row r="447" spans="13:17" x14ac:dyDescent="0.25">
      <c r="M447">
        <v>222</v>
      </c>
      <c r="N447" s="214">
        <v>6.3301658630371094</v>
      </c>
      <c r="O447" s="214">
        <v>10.626134872436523</v>
      </c>
      <c r="P447" s="214">
        <v>6.6193275451660156</v>
      </c>
      <c r="Q447" s="214">
        <v>5.5598363876342773</v>
      </c>
    </row>
    <row r="448" spans="13:17" x14ac:dyDescent="0.25">
      <c r="M448">
        <v>222.5</v>
      </c>
      <c r="N448" s="214">
        <v>6.3212165832519531</v>
      </c>
      <c r="O448" s="214">
        <v>10.649757385253906</v>
      </c>
      <c r="P448" s="214">
        <v>6.6005373001098633</v>
      </c>
      <c r="Q448" s="214">
        <v>5.6660566329956055</v>
      </c>
    </row>
    <row r="449" spans="13:17" x14ac:dyDescent="0.25">
      <c r="M449">
        <v>223</v>
      </c>
      <c r="N449" s="214">
        <v>6.2896676063537598</v>
      </c>
      <c r="O449" s="214">
        <v>10.664133071899414</v>
      </c>
      <c r="P449" s="214">
        <v>6.6263265609741211</v>
      </c>
      <c r="Q449" s="214">
        <v>5.7173366546630859</v>
      </c>
    </row>
    <row r="450" spans="13:17" x14ac:dyDescent="0.25">
      <c r="M450">
        <v>223.5</v>
      </c>
      <c r="N450" s="214">
        <v>6.2218036651611328</v>
      </c>
      <c r="O450" s="214">
        <v>10.640192031860352</v>
      </c>
      <c r="P450" s="214">
        <v>6.6236052513122559</v>
      </c>
      <c r="Q450" s="214">
        <v>5.6730451583862305</v>
      </c>
    </row>
    <row r="451" spans="13:17" x14ac:dyDescent="0.25">
      <c r="M451">
        <v>224</v>
      </c>
      <c r="N451" s="214">
        <v>6.2026658058166504</v>
      </c>
      <c r="O451" s="214">
        <v>10.734983444213867</v>
      </c>
      <c r="P451" s="214">
        <v>6.5172562599182129</v>
      </c>
      <c r="Q451" s="214">
        <v>5.7208766937255859</v>
      </c>
    </row>
    <row r="452" spans="13:17" x14ac:dyDescent="0.25">
      <c r="M452">
        <v>224.5</v>
      </c>
      <c r="N452" s="214">
        <v>6.2699518203735352</v>
      </c>
      <c r="O452" s="214">
        <v>10.68231201171875</v>
      </c>
      <c r="P452" s="214">
        <v>6.4665579795837402</v>
      </c>
      <c r="Q452" s="214">
        <v>5.6397318840026855</v>
      </c>
    </row>
    <row r="453" spans="13:17" x14ac:dyDescent="0.25">
      <c r="M453">
        <v>225</v>
      </c>
      <c r="N453" s="214">
        <v>6.2410187721252441</v>
      </c>
      <c r="O453" s="214">
        <v>10.692177772521973</v>
      </c>
      <c r="P453" s="214">
        <v>6.5703859329223633</v>
      </c>
      <c r="Q453" s="214">
        <v>5.5945749282836914</v>
      </c>
    </row>
    <row r="454" spans="13:17" x14ac:dyDescent="0.25">
      <c r="M454">
        <v>225.5</v>
      </c>
      <c r="N454" s="214">
        <v>6.3134751319885254</v>
      </c>
      <c r="O454" s="214">
        <v>10.693628311157227</v>
      </c>
      <c r="P454" s="214">
        <v>6.5933413505554199</v>
      </c>
      <c r="Q454" s="214">
        <v>5.6623663902282715</v>
      </c>
    </row>
    <row r="455" spans="13:17" x14ac:dyDescent="0.25">
      <c r="M455">
        <v>226</v>
      </c>
      <c r="N455" s="214">
        <v>6.3082370758056641</v>
      </c>
      <c r="O455" s="214">
        <v>10.72623348236084</v>
      </c>
      <c r="P455" s="214">
        <v>6.5939698219299316</v>
      </c>
      <c r="Q455" s="214">
        <v>5.5520443916320801</v>
      </c>
    </row>
    <row r="456" spans="13:17" x14ac:dyDescent="0.25">
      <c r="M456">
        <v>226.5</v>
      </c>
      <c r="N456" s="214">
        <v>6.4006681442260742</v>
      </c>
      <c r="O456" s="214">
        <v>10.708419799804688</v>
      </c>
      <c r="P456" s="214">
        <v>6.6195254325866699</v>
      </c>
      <c r="Q456" s="214">
        <v>5.5414509773254395</v>
      </c>
    </row>
    <row r="457" spans="13:17" x14ac:dyDescent="0.25">
      <c r="M457">
        <v>227</v>
      </c>
      <c r="N457" s="214">
        <v>6.4045195579528809</v>
      </c>
      <c r="O457" s="214">
        <v>10.646778106689453</v>
      </c>
      <c r="P457" s="214">
        <v>6.622617244720459</v>
      </c>
      <c r="Q457" s="214">
        <v>5.5803942680358887</v>
      </c>
    </row>
    <row r="458" spans="13:17" x14ac:dyDescent="0.25">
      <c r="M458">
        <v>227.5</v>
      </c>
      <c r="N458" s="214">
        <v>6.4473199844360352</v>
      </c>
      <c r="O458" s="214">
        <v>10.678668022155762</v>
      </c>
      <c r="P458" s="214">
        <v>6.6230754852294922</v>
      </c>
      <c r="Q458" s="214">
        <v>5.5803203582763672</v>
      </c>
    </row>
    <row r="459" spans="13:17" x14ac:dyDescent="0.25">
      <c r="M459">
        <v>228</v>
      </c>
      <c r="N459" s="214">
        <v>6.5891890525817871</v>
      </c>
      <c r="O459" s="214">
        <v>10.694387435913086</v>
      </c>
      <c r="P459" s="214">
        <v>6.5415000915527344</v>
      </c>
      <c r="Q459" s="214">
        <v>5.5454058647155762</v>
      </c>
    </row>
    <row r="460" spans="13:17" x14ac:dyDescent="0.25">
      <c r="M460">
        <v>228.5</v>
      </c>
      <c r="N460" s="214">
        <v>6.4834790229797363</v>
      </c>
      <c r="O460" s="214">
        <v>10.674955368041992</v>
      </c>
      <c r="P460" s="214">
        <v>6.5501346588134766</v>
      </c>
      <c r="Q460" s="214">
        <v>5.5562877655029297</v>
      </c>
    </row>
    <row r="461" spans="13:17" x14ac:dyDescent="0.25">
      <c r="M461">
        <v>229</v>
      </c>
      <c r="N461" s="214">
        <v>6.4874649047851563</v>
      </c>
      <c r="O461" s="214">
        <v>10.673284530639648</v>
      </c>
      <c r="P461" s="214">
        <v>6.538489818572998</v>
      </c>
      <c r="Q461" s="214">
        <v>5.5125255584716797</v>
      </c>
    </row>
    <row r="462" spans="13:17" x14ac:dyDescent="0.25">
      <c r="M462">
        <v>229.5</v>
      </c>
      <c r="N462" s="214">
        <v>6.4819197654724121</v>
      </c>
      <c r="O462" s="214">
        <v>10.668501853942871</v>
      </c>
      <c r="P462" s="214">
        <v>6.6677412986755371</v>
      </c>
      <c r="Q462" s="214">
        <v>5.4507079124450684</v>
      </c>
    </row>
    <row r="463" spans="13:17" x14ac:dyDescent="0.25">
      <c r="M463">
        <v>230</v>
      </c>
      <c r="N463" s="214">
        <v>6.4723443984985352</v>
      </c>
      <c r="O463" s="214">
        <v>10.656986236572266</v>
      </c>
      <c r="P463" s="214">
        <v>6.6089553833007813</v>
      </c>
      <c r="Q463" s="214">
        <v>5.4715466499328613</v>
      </c>
    </row>
    <row r="464" spans="13:17" x14ac:dyDescent="0.25">
      <c r="M464">
        <v>230.5</v>
      </c>
      <c r="N464" s="214">
        <v>6.5025510787963867</v>
      </c>
      <c r="O464" s="214">
        <v>10.621429443359375</v>
      </c>
      <c r="P464" s="214">
        <v>6.5930500030517578</v>
      </c>
      <c r="Q464" s="214">
        <v>5.5428261756896973</v>
      </c>
    </row>
    <row r="465" spans="13:17" x14ac:dyDescent="0.25">
      <c r="M465">
        <v>231</v>
      </c>
      <c r="N465" s="214">
        <v>6.5005974769592285</v>
      </c>
      <c r="O465" s="214">
        <v>10.653786659240723</v>
      </c>
      <c r="P465" s="214">
        <v>6.5865554809570313</v>
      </c>
      <c r="Q465" s="214">
        <v>5.4710783958435059</v>
      </c>
    </row>
    <row r="466" spans="13:17" x14ac:dyDescent="0.25">
      <c r="M466">
        <v>231.5</v>
      </c>
      <c r="N466" s="214">
        <v>6.4632987976074219</v>
      </c>
      <c r="O466" s="214">
        <v>10.70908260345459</v>
      </c>
      <c r="P466" s="214">
        <v>6.575141429901123</v>
      </c>
      <c r="Q466" s="214">
        <v>5.5017938613891602</v>
      </c>
    </row>
    <row r="467" spans="13:17" x14ac:dyDescent="0.25">
      <c r="M467">
        <v>232</v>
      </c>
      <c r="N467" s="214">
        <v>6.561617374420166</v>
      </c>
      <c r="O467" s="214">
        <v>10.686409950256348</v>
      </c>
      <c r="P467" s="214">
        <v>6.5564384460449219</v>
      </c>
      <c r="Q467" s="214">
        <v>5.4666643142700195</v>
      </c>
    </row>
    <row r="468" spans="13:17" x14ac:dyDescent="0.25">
      <c r="M468">
        <v>232.5</v>
      </c>
      <c r="N468" s="214">
        <v>6.5259537696838379</v>
      </c>
      <c r="O468" s="214">
        <v>10.624797821044922</v>
      </c>
      <c r="P468" s="214">
        <v>6.5525503158569336</v>
      </c>
      <c r="Q468" s="214">
        <v>5.5770440101623535</v>
      </c>
    </row>
    <row r="469" spans="13:17" x14ac:dyDescent="0.25">
      <c r="M469">
        <v>233</v>
      </c>
      <c r="N469" s="214">
        <v>6.4360904693603516</v>
      </c>
      <c r="O469" s="214">
        <v>10.621650695800781</v>
      </c>
      <c r="P469" s="214">
        <v>6.5334062576293945</v>
      </c>
      <c r="Q469" s="214">
        <v>5.6103549003601074</v>
      </c>
    </row>
    <row r="470" spans="13:17" x14ac:dyDescent="0.25">
      <c r="M470">
        <v>233.5</v>
      </c>
      <c r="N470" s="214">
        <v>6.468867301940918</v>
      </c>
      <c r="O470" s="214">
        <v>10.653934478759766</v>
      </c>
      <c r="P470" s="214">
        <v>6.5846562385559082</v>
      </c>
      <c r="Q470" s="214">
        <v>5.5389513969421387</v>
      </c>
    </row>
    <row r="471" spans="13:17" x14ac:dyDescent="0.25">
      <c r="M471">
        <v>234</v>
      </c>
      <c r="N471" s="214">
        <v>6.4280643463134766</v>
      </c>
      <c r="O471" s="214">
        <v>10.612730026245117</v>
      </c>
      <c r="P471" s="214">
        <v>6.5766754150390625</v>
      </c>
      <c r="Q471" s="214">
        <v>5.5414605140686035</v>
      </c>
    </row>
    <row r="472" spans="13:17" x14ac:dyDescent="0.25">
      <c r="M472">
        <v>234.5</v>
      </c>
      <c r="N472" s="214">
        <v>6.4497647285461426</v>
      </c>
      <c r="O472" s="214">
        <v>10.609169960021973</v>
      </c>
      <c r="P472" s="214">
        <v>6.5754151344299316</v>
      </c>
      <c r="Q472" s="214">
        <v>5.6029534339904785</v>
      </c>
    </row>
    <row r="473" spans="13:17" x14ac:dyDescent="0.25">
      <c r="M473">
        <v>235</v>
      </c>
      <c r="N473" s="214">
        <v>6.4931020736694336</v>
      </c>
      <c r="O473" s="214">
        <v>10.653101921081543</v>
      </c>
      <c r="P473" s="214">
        <v>6.648350715637207</v>
      </c>
      <c r="Q473" s="214">
        <v>5.644172191619873</v>
      </c>
    </row>
    <row r="474" spans="13:17" x14ac:dyDescent="0.25">
      <c r="M474">
        <v>235.5</v>
      </c>
      <c r="N474" s="214">
        <v>6.4059238433837891</v>
      </c>
      <c r="O474" s="214">
        <v>10.563817024230957</v>
      </c>
      <c r="P474" s="214">
        <v>6.67608642578125</v>
      </c>
      <c r="Q474" s="214">
        <v>5.6996641159057617</v>
      </c>
    </row>
    <row r="475" spans="13:17" x14ac:dyDescent="0.25">
      <c r="M475">
        <v>236</v>
      </c>
      <c r="N475" s="214">
        <v>6.3474249839782715</v>
      </c>
      <c r="O475" s="214">
        <v>10.579530715942383</v>
      </c>
      <c r="P475" s="214">
        <v>6.6397290229797363</v>
      </c>
      <c r="Q475" s="214">
        <v>5.7912025451660156</v>
      </c>
    </row>
    <row r="476" spans="13:17" x14ac:dyDescent="0.25">
      <c r="M476">
        <v>236.5</v>
      </c>
      <c r="N476" s="214">
        <v>6.1958727836608887</v>
      </c>
      <c r="O476" s="214">
        <v>10.602388381958008</v>
      </c>
      <c r="P476" s="214">
        <v>6.6655063629150391</v>
      </c>
      <c r="Q476" s="214">
        <v>5.6645259857177734</v>
      </c>
    </row>
    <row r="477" spans="13:17" x14ac:dyDescent="0.25">
      <c r="M477">
        <v>237</v>
      </c>
      <c r="N477" s="214">
        <v>6.1703782081604004</v>
      </c>
      <c r="O477" s="214">
        <v>10.557643890380859</v>
      </c>
      <c r="P477" s="214">
        <v>6.7329535484313965</v>
      </c>
      <c r="Q477" s="214">
        <v>5.6758794784545898</v>
      </c>
    </row>
    <row r="478" spans="13:17" x14ac:dyDescent="0.25">
      <c r="M478">
        <v>237.5</v>
      </c>
      <c r="N478" s="214">
        <v>6.176264762878418</v>
      </c>
      <c r="O478" s="214">
        <v>10.539555549621582</v>
      </c>
      <c r="P478" s="214">
        <v>6.5602741241455078</v>
      </c>
      <c r="Q478" s="214">
        <v>5.8374438285827637</v>
      </c>
    </row>
    <row r="479" spans="13:17" x14ac:dyDescent="0.25">
      <c r="M479">
        <v>238</v>
      </c>
      <c r="N479" s="214">
        <v>6.2424221038818359</v>
      </c>
      <c r="O479" s="214">
        <v>10.622208595275879</v>
      </c>
      <c r="P479" s="214">
        <v>6.5676097869873047</v>
      </c>
      <c r="Q479" s="214">
        <v>5.7847886085510254</v>
      </c>
    </row>
    <row r="480" spans="13:17" x14ac:dyDescent="0.25">
      <c r="M480">
        <v>238.5</v>
      </c>
      <c r="N480" s="214">
        <v>6.3367376327514648</v>
      </c>
      <c r="O480" s="214">
        <v>10.583827018737793</v>
      </c>
      <c r="P480" s="214">
        <v>6.5367941856384277</v>
      </c>
      <c r="Q480" s="214">
        <v>5.7974562644958496</v>
      </c>
    </row>
    <row r="481" spans="13:17" x14ac:dyDescent="0.25">
      <c r="M481">
        <v>239</v>
      </c>
      <c r="N481" s="214">
        <v>6.3376326560974121</v>
      </c>
      <c r="O481" s="214">
        <v>10.621700286865234</v>
      </c>
      <c r="P481" s="214">
        <v>6.5991311073303223</v>
      </c>
      <c r="Q481" s="214">
        <v>5.8246235847473145</v>
      </c>
    </row>
    <row r="482" spans="13:17" x14ac:dyDescent="0.25">
      <c r="M482">
        <v>239.5</v>
      </c>
      <c r="N482" s="214">
        <v>6.3254952430725098</v>
      </c>
      <c r="O482" s="214">
        <v>10.590302467346191</v>
      </c>
      <c r="P482" s="214">
        <v>6.570521354675293</v>
      </c>
      <c r="Q482" s="214">
        <v>5.8341121673583984</v>
      </c>
    </row>
    <row r="483" spans="13:17" x14ac:dyDescent="0.25">
      <c r="M483">
        <v>240</v>
      </c>
      <c r="N483" s="214">
        <v>6.3497095108032227</v>
      </c>
      <c r="O483" s="214">
        <v>10.590046882629395</v>
      </c>
      <c r="P483" s="214">
        <v>6.6125068664550781</v>
      </c>
      <c r="Q483" s="214">
        <v>5.753211498260498</v>
      </c>
    </row>
    <row r="484" spans="13:17" x14ac:dyDescent="0.25">
      <c r="M484">
        <v>240.5</v>
      </c>
      <c r="N484" s="214">
        <v>6.2475156784057617</v>
      </c>
      <c r="O484" s="214">
        <v>10.574467658996582</v>
      </c>
      <c r="P484" s="214">
        <v>6.5786342620849609</v>
      </c>
      <c r="Q484" s="214">
        <v>5.825657844543457</v>
      </c>
    </row>
    <row r="485" spans="13:17" x14ac:dyDescent="0.25">
      <c r="M485">
        <v>241</v>
      </c>
      <c r="N485" s="214">
        <v>6.2156314849853516</v>
      </c>
      <c r="O485" s="214">
        <v>10.522319793701172</v>
      </c>
      <c r="P485" s="214">
        <v>6.5689358711242676</v>
      </c>
      <c r="Q485" s="214">
        <v>5.8726611137390137</v>
      </c>
    </row>
    <row r="486" spans="13:17" x14ac:dyDescent="0.25">
      <c r="M486">
        <v>241.5</v>
      </c>
      <c r="N486" s="214">
        <v>6.2300782203674316</v>
      </c>
      <c r="O486" s="214">
        <v>10.55256462097168</v>
      </c>
      <c r="P486" s="214">
        <v>6.6802725791931152</v>
      </c>
      <c r="Q486" s="214">
        <v>5.7923917770385742</v>
      </c>
    </row>
    <row r="487" spans="13:17" x14ac:dyDescent="0.25">
      <c r="M487">
        <v>242</v>
      </c>
      <c r="N487" s="214">
        <v>6.2341618537902832</v>
      </c>
      <c r="O487" s="214">
        <v>10.572417259216309</v>
      </c>
      <c r="P487" s="214">
        <v>6.5967307090759277</v>
      </c>
      <c r="Q487" s="214">
        <v>5.7437744140625</v>
      </c>
    </row>
    <row r="488" spans="13:17" x14ac:dyDescent="0.25">
      <c r="M488">
        <v>242.5</v>
      </c>
      <c r="N488" s="214">
        <v>6.228065013885498</v>
      </c>
      <c r="O488" s="214">
        <v>10.519075393676758</v>
      </c>
      <c r="P488" s="214">
        <v>6.6962442398071289</v>
      </c>
      <c r="Q488" s="214">
        <v>5.7916035652160645</v>
      </c>
    </row>
    <row r="489" spans="13:17" x14ac:dyDescent="0.25">
      <c r="M489">
        <v>243</v>
      </c>
      <c r="N489" s="214">
        <v>6.2973475456237793</v>
      </c>
      <c r="O489" s="214">
        <v>10.520718574523926</v>
      </c>
      <c r="P489" s="214">
        <v>6.6589455604553223</v>
      </c>
      <c r="Q489" s="214">
        <v>5.8222560882568359</v>
      </c>
    </row>
    <row r="490" spans="13:17" x14ac:dyDescent="0.25">
      <c r="M490">
        <v>243.5</v>
      </c>
      <c r="N490" s="214">
        <v>6.1615686416625977</v>
      </c>
      <c r="O490" s="214">
        <v>10.586599349975586</v>
      </c>
      <c r="P490" s="214">
        <v>6.5991978645324707</v>
      </c>
      <c r="Q490" s="214">
        <v>5.8595638275146484</v>
      </c>
    </row>
    <row r="491" spans="13:17" x14ac:dyDescent="0.25">
      <c r="M491">
        <v>244</v>
      </c>
      <c r="N491" s="214">
        <v>6.0755696296691895</v>
      </c>
      <c r="O491" s="214">
        <v>10.541255950927734</v>
      </c>
      <c r="P491" s="214">
        <v>6.6193275451660156</v>
      </c>
      <c r="Q491" s="214">
        <v>5.8295278549194336</v>
      </c>
    </row>
    <row r="492" spans="13:17" x14ac:dyDescent="0.25">
      <c r="M492">
        <v>244.5</v>
      </c>
      <c r="N492" s="214">
        <v>6.0524282455444336</v>
      </c>
      <c r="O492" s="214">
        <v>10.520410537719727</v>
      </c>
      <c r="P492" s="214">
        <v>6.6273045539855957</v>
      </c>
      <c r="Q492" s="214">
        <v>5.8402342796325684</v>
      </c>
    </row>
    <row r="493" spans="13:17" x14ac:dyDescent="0.25">
      <c r="M493">
        <v>245</v>
      </c>
      <c r="N493" s="214">
        <v>6.2443842887878418</v>
      </c>
      <c r="O493" s="214">
        <v>10.574105262756348</v>
      </c>
      <c r="P493" s="214">
        <v>6.6465635299682617</v>
      </c>
      <c r="Q493" s="214">
        <v>5.8017086982727051</v>
      </c>
    </row>
    <row r="494" spans="13:17" x14ac:dyDescent="0.25">
      <c r="M494">
        <v>245.5</v>
      </c>
      <c r="N494" s="214">
        <v>6.2373852729797363</v>
      </c>
      <c r="O494" s="214">
        <v>10.575661659240723</v>
      </c>
      <c r="P494" s="214">
        <v>6.6309986114501953</v>
      </c>
      <c r="Q494" s="214">
        <v>5.7624030113220215</v>
      </c>
    </row>
    <row r="495" spans="13:17" x14ac:dyDescent="0.25">
      <c r="M495">
        <v>246</v>
      </c>
      <c r="N495" s="214">
        <v>6.4431157112121582</v>
      </c>
      <c r="O495" s="214">
        <v>10.519246101379395</v>
      </c>
      <c r="P495" s="214">
        <v>6.6327705383300781</v>
      </c>
      <c r="Q495" s="214">
        <v>5.8137164115905762</v>
      </c>
    </row>
    <row r="496" spans="13:17" x14ac:dyDescent="0.25">
      <c r="M496">
        <v>246.5</v>
      </c>
      <c r="N496" s="214">
        <v>6.3326239585876465</v>
      </c>
      <c r="O496" s="214">
        <v>10.554423332214355</v>
      </c>
      <c r="P496" s="214">
        <v>6.6522760391235352</v>
      </c>
      <c r="Q496" s="214">
        <v>5.8010640144348145</v>
      </c>
    </row>
    <row r="497" spans="13:17" x14ac:dyDescent="0.25">
      <c r="M497">
        <v>247</v>
      </c>
      <c r="N497" s="214">
        <v>6.2481446266174316</v>
      </c>
      <c r="O497" s="214">
        <v>10.531674385070801</v>
      </c>
      <c r="P497" s="214">
        <v>6.6164393424987793</v>
      </c>
      <c r="Q497" s="214">
        <v>5.7748055458068848</v>
      </c>
    </row>
    <row r="498" spans="13:17" x14ac:dyDescent="0.25">
      <c r="M498">
        <v>247.5</v>
      </c>
      <c r="N498" s="214">
        <v>6.3066792488098145</v>
      </c>
      <c r="O498" s="214">
        <v>10.572890281677246</v>
      </c>
      <c r="P498" s="214">
        <v>6.6286048889160156</v>
      </c>
      <c r="Q498" s="214">
        <v>5.7230100631713867</v>
      </c>
    </row>
    <row r="499" spans="13:17" x14ac:dyDescent="0.25">
      <c r="M499">
        <v>248</v>
      </c>
      <c r="N499" s="214">
        <v>6.3021478652954102</v>
      </c>
      <c r="O499" s="214">
        <v>10.549365043640137</v>
      </c>
      <c r="P499" s="214">
        <v>6.6394085884094238</v>
      </c>
      <c r="Q499" s="214">
        <v>5.6737861633300781</v>
      </c>
    </row>
    <row r="500" spans="13:17" x14ac:dyDescent="0.25">
      <c r="M500">
        <v>248.5</v>
      </c>
      <c r="N500" s="214">
        <v>6.2365021705627441</v>
      </c>
      <c r="O500" s="214">
        <v>10.602629661560059</v>
      </c>
      <c r="P500" s="214">
        <v>6.6569843292236328</v>
      </c>
      <c r="Q500" s="214">
        <v>5.6898622512817383</v>
      </c>
    </row>
    <row r="501" spans="13:17" x14ac:dyDescent="0.25">
      <c r="M501">
        <v>249</v>
      </c>
      <c r="N501" s="214">
        <v>6.3522639274597168</v>
      </c>
      <c r="O501" s="214">
        <v>10.54692268371582</v>
      </c>
      <c r="P501" s="214">
        <v>6.6531062126159668</v>
      </c>
      <c r="Q501" s="214">
        <v>5.7165842056274414</v>
      </c>
    </row>
    <row r="502" spans="13:17" x14ac:dyDescent="0.25">
      <c r="M502">
        <v>249.5</v>
      </c>
      <c r="N502" s="214">
        <v>6.3347725868225098</v>
      </c>
      <c r="O502" s="214">
        <v>10.573816299438477</v>
      </c>
      <c r="P502" s="214">
        <v>6.6654653549194336</v>
      </c>
      <c r="Q502" s="214">
        <v>5.6512718200683594</v>
      </c>
    </row>
    <row r="503" spans="13:17" x14ac:dyDescent="0.25">
      <c r="M503">
        <v>250</v>
      </c>
      <c r="N503" s="214">
        <v>6.3847994804382324</v>
      </c>
      <c r="O503" s="214">
        <v>10.622227668762207</v>
      </c>
      <c r="P503" s="214">
        <v>6.6496648788452148</v>
      </c>
      <c r="Q503" s="214">
        <v>5.6537861824035645</v>
      </c>
    </row>
    <row r="504" spans="13:17" x14ac:dyDescent="0.25">
      <c r="M504">
        <v>250.5</v>
      </c>
      <c r="N504" s="214">
        <v>6.4308576583862305</v>
      </c>
      <c r="O504" s="214">
        <v>10.558038711547852</v>
      </c>
      <c r="P504" s="214">
        <v>6.6814084053039551</v>
      </c>
      <c r="Q504" s="214">
        <v>5.6657018661499023</v>
      </c>
    </row>
    <row r="505" spans="13:17" x14ac:dyDescent="0.25">
      <c r="M505">
        <v>251</v>
      </c>
      <c r="N505" s="214">
        <v>6.5413875579833984</v>
      </c>
      <c r="O505" s="214">
        <v>10.601048469543457</v>
      </c>
      <c r="P505" s="214">
        <v>6.7252840995788574</v>
      </c>
      <c r="Q505" s="214">
        <v>5.6569786071777344</v>
      </c>
    </row>
    <row r="506" spans="13:17" x14ac:dyDescent="0.25">
      <c r="M506">
        <v>251.5</v>
      </c>
      <c r="N506" s="214">
        <v>6.4687871932983398</v>
      </c>
      <c r="O506" s="214">
        <v>10.511442184448242</v>
      </c>
      <c r="P506" s="214">
        <v>6.7886300086975098</v>
      </c>
      <c r="Q506" s="214">
        <v>5.4602489471435547</v>
      </c>
    </row>
    <row r="507" spans="13:17" x14ac:dyDescent="0.25">
      <c r="M507">
        <v>252</v>
      </c>
      <c r="N507" s="214">
        <v>6.4928808212280273</v>
      </c>
      <c r="O507" s="214">
        <v>10.5174560546875</v>
      </c>
      <c r="P507" s="214">
        <v>6.8048319816589355</v>
      </c>
      <c r="Q507" s="214">
        <v>5.5180630683898926</v>
      </c>
    </row>
    <row r="508" spans="13:17" x14ac:dyDescent="0.25">
      <c r="M508">
        <v>252.5</v>
      </c>
      <c r="N508" s="214">
        <v>6.5820956230163574</v>
      </c>
      <c r="O508" s="214">
        <v>10.536413192749023</v>
      </c>
      <c r="P508" s="214">
        <v>6.8309345245361328</v>
      </c>
      <c r="Q508" s="214">
        <v>5.5764098167419434</v>
      </c>
    </row>
    <row r="509" spans="13:17" x14ac:dyDescent="0.25">
      <c r="M509">
        <v>253</v>
      </c>
      <c r="N509" s="214">
        <v>6.5558156967163086</v>
      </c>
      <c r="O509" s="214">
        <v>10.58531379699707</v>
      </c>
      <c r="P509" s="214">
        <v>6.8163137435913086</v>
      </c>
      <c r="Q509" s="214">
        <v>5.6686697006225586</v>
      </c>
    </row>
    <row r="510" spans="13:17" x14ac:dyDescent="0.25">
      <c r="M510">
        <v>253.5</v>
      </c>
      <c r="N510" s="214">
        <v>6.5185551643371582</v>
      </c>
      <c r="O510" s="214">
        <v>10.494075775146484</v>
      </c>
      <c r="P510" s="214">
        <v>6.8318557739257813</v>
      </c>
      <c r="Q510" s="214">
        <v>5.749725341796875</v>
      </c>
    </row>
    <row r="511" spans="13:17" x14ac:dyDescent="0.25">
      <c r="M511">
        <v>254</v>
      </c>
      <c r="N511" s="214">
        <v>6.5389885902404785</v>
      </c>
      <c r="O511" s="214">
        <v>10.553685188293457</v>
      </c>
      <c r="P511" s="214">
        <v>6.7954449653625488</v>
      </c>
      <c r="Q511" s="214">
        <v>5.6638970375061035</v>
      </c>
    </row>
    <row r="512" spans="13:17" x14ac:dyDescent="0.25">
      <c r="M512">
        <v>254.5</v>
      </c>
      <c r="N512" s="214">
        <v>6.5243191719055176</v>
      </c>
      <c r="O512" s="214">
        <v>10.51514720916748</v>
      </c>
      <c r="P512" s="214">
        <v>6.7480807304382324</v>
      </c>
      <c r="Q512" s="214">
        <v>5.5967135429382324</v>
      </c>
    </row>
    <row r="513" spans="13:17" x14ac:dyDescent="0.25">
      <c r="M513">
        <v>255</v>
      </c>
      <c r="N513" s="214">
        <v>6.4483146667480469</v>
      </c>
      <c r="O513" s="214">
        <v>10.54029655456543</v>
      </c>
      <c r="P513" s="214">
        <v>6.8264455795288086</v>
      </c>
      <c r="Q513" s="214">
        <v>5.7065792083740234</v>
      </c>
    </row>
    <row r="514" spans="13:17" x14ac:dyDescent="0.25">
      <c r="M514">
        <v>255.5</v>
      </c>
      <c r="N514" s="214">
        <v>6.551112174987793</v>
      </c>
      <c r="O514" s="214">
        <v>10.511418342590332</v>
      </c>
      <c r="P514" s="214">
        <v>6.7457590103149414</v>
      </c>
      <c r="Q514" s="214">
        <v>5.675574779510498</v>
      </c>
    </row>
    <row r="515" spans="13:17" x14ac:dyDescent="0.25">
      <c r="M515">
        <v>256</v>
      </c>
      <c r="N515" s="214">
        <v>6.5831437110900879</v>
      </c>
      <c r="O515" s="214">
        <v>10.567507743835449</v>
      </c>
      <c r="P515" s="214">
        <v>6.7743930816650391</v>
      </c>
      <c r="Q515" s="214">
        <v>5.6038722991943359</v>
      </c>
    </row>
    <row r="516" spans="13:17" x14ac:dyDescent="0.25">
      <c r="M516">
        <v>256.5</v>
      </c>
      <c r="N516" s="214">
        <v>6.551544189453125</v>
      </c>
      <c r="O516" s="214">
        <v>10.566370964050293</v>
      </c>
      <c r="P516" s="214">
        <v>6.7641477584838867</v>
      </c>
      <c r="Q516" s="214">
        <v>5.5596551895141602</v>
      </c>
    </row>
    <row r="517" spans="13:17" x14ac:dyDescent="0.25">
      <c r="M517">
        <v>257</v>
      </c>
      <c r="N517" s="214">
        <v>6.465792179107666</v>
      </c>
      <c r="O517" s="214">
        <v>10.563577651977539</v>
      </c>
      <c r="P517" s="214">
        <v>6.8053898811340332</v>
      </c>
      <c r="Q517" s="214">
        <v>5.6822595596313477</v>
      </c>
    </row>
    <row r="518" spans="13:17" x14ac:dyDescent="0.25">
      <c r="M518">
        <v>257.5</v>
      </c>
      <c r="N518" s="214">
        <v>6.3881525993347168</v>
      </c>
      <c r="O518" s="214">
        <v>10.558218955993652</v>
      </c>
      <c r="P518" s="214">
        <v>6.7754120826721191</v>
      </c>
      <c r="Q518" s="214">
        <v>5.710914134979248</v>
      </c>
    </row>
    <row r="519" spans="13:17" x14ac:dyDescent="0.25">
      <c r="M519">
        <v>258</v>
      </c>
      <c r="N519" s="214">
        <v>6.4122743606567383</v>
      </c>
      <c r="O519" s="214">
        <v>10.524724006652832</v>
      </c>
      <c r="P519" s="214">
        <v>6.7919273376464844</v>
      </c>
      <c r="Q519" s="214">
        <v>5.6513175964355469</v>
      </c>
    </row>
    <row r="520" spans="13:17" x14ac:dyDescent="0.25">
      <c r="M520">
        <v>258.5</v>
      </c>
      <c r="N520" s="214">
        <v>6.440605640411377</v>
      </c>
      <c r="O520" s="214">
        <v>10.495478630065918</v>
      </c>
      <c r="P520" s="214">
        <v>6.7918357849121094</v>
      </c>
      <c r="Q520" s="214">
        <v>5.7341251373291016</v>
      </c>
    </row>
    <row r="521" spans="13:17" x14ac:dyDescent="0.25">
      <c r="M521">
        <v>259</v>
      </c>
      <c r="N521" s="214">
        <v>6.4414553642272949</v>
      </c>
      <c r="O521" s="214">
        <v>10.532049179077148</v>
      </c>
      <c r="P521" s="214">
        <v>6.8390393257141113</v>
      </c>
      <c r="Q521" s="214">
        <v>5.8502049446105957</v>
      </c>
    </row>
    <row r="522" spans="13:17" x14ac:dyDescent="0.25">
      <c r="M522">
        <v>259.5</v>
      </c>
      <c r="N522" s="214">
        <v>6.4710969924926758</v>
      </c>
      <c r="O522" s="214">
        <v>10.55199146270752</v>
      </c>
      <c r="P522" s="214">
        <v>6.7605962753295898</v>
      </c>
      <c r="Q522" s="214">
        <v>5.8570394515991211</v>
      </c>
    </row>
    <row r="523" spans="13:17" x14ac:dyDescent="0.25">
      <c r="M523">
        <v>260</v>
      </c>
      <c r="N523" s="214">
        <v>6.4798803329467773</v>
      </c>
      <c r="O523" s="214">
        <v>10.496949195861816</v>
      </c>
      <c r="P523" s="214">
        <v>6.7202320098876953</v>
      </c>
      <c r="Q523" s="214">
        <v>5.875704288482666</v>
      </c>
    </row>
    <row r="524" spans="13:17" x14ac:dyDescent="0.25">
      <c r="M524">
        <v>260.5</v>
      </c>
      <c r="N524" s="214">
        <v>6.4546799659729004</v>
      </c>
      <c r="O524" s="214">
        <v>10.544471740722656</v>
      </c>
      <c r="P524" s="214">
        <v>6.7265334129333496</v>
      </c>
      <c r="Q524" s="214">
        <v>5.8677773475646973</v>
      </c>
    </row>
    <row r="525" spans="13:17" x14ac:dyDescent="0.25">
      <c r="M525">
        <v>261</v>
      </c>
      <c r="N525" s="214">
        <v>6.3735942840576172</v>
      </c>
      <c r="O525" s="214">
        <v>10.541683197021484</v>
      </c>
      <c r="P525" s="214">
        <v>6.7556018829345703</v>
      </c>
      <c r="Q525" s="214">
        <v>5.8949203491210938</v>
      </c>
    </row>
    <row r="526" spans="13:17" x14ac:dyDescent="0.25">
      <c r="M526">
        <v>261.5</v>
      </c>
      <c r="N526" s="214">
        <v>6.4189839363098145</v>
      </c>
      <c r="O526" s="214">
        <v>10.544200897216797</v>
      </c>
      <c r="P526" s="214">
        <v>6.7479133605957031</v>
      </c>
      <c r="Q526" s="214">
        <v>5.9204397201538086</v>
      </c>
    </row>
    <row r="527" spans="13:17" x14ac:dyDescent="0.25">
      <c r="M527">
        <v>262</v>
      </c>
      <c r="N527" s="214">
        <v>6.3967065811157227</v>
      </c>
      <c r="O527" s="214">
        <v>10.552577018737793</v>
      </c>
      <c r="P527" s="214">
        <v>6.7630748748779297</v>
      </c>
      <c r="Q527" s="214">
        <v>5.9242806434631348</v>
      </c>
    </row>
    <row r="528" spans="13:17" x14ac:dyDescent="0.25">
      <c r="M528">
        <v>262.5</v>
      </c>
      <c r="N528" s="214">
        <v>6.4363889694213867</v>
      </c>
      <c r="O528" s="214">
        <v>10.549091339111328</v>
      </c>
      <c r="P528" s="214">
        <v>6.6970043182373047</v>
      </c>
      <c r="Q528" s="214">
        <v>5.8913650512695313</v>
      </c>
    </row>
    <row r="529" spans="13:17" x14ac:dyDescent="0.25">
      <c r="M529">
        <v>263</v>
      </c>
      <c r="N529" s="214">
        <v>6.3755545616149902</v>
      </c>
      <c r="O529" s="214">
        <v>10.565834045410156</v>
      </c>
      <c r="P529" s="214">
        <v>6.7292828559875488</v>
      </c>
      <c r="Q529" s="214">
        <v>5.9494504928588867</v>
      </c>
    </row>
    <row r="530" spans="13:17" x14ac:dyDescent="0.25">
      <c r="M530">
        <v>263.5</v>
      </c>
      <c r="N530" s="214">
        <v>6.2869863510131836</v>
      </c>
      <c r="O530" s="214">
        <v>10.531731605529785</v>
      </c>
      <c r="P530" s="214">
        <v>6.7751379013061523</v>
      </c>
      <c r="Q530" s="214">
        <v>5.9294748306274414</v>
      </c>
    </row>
    <row r="531" spans="13:17" x14ac:dyDescent="0.25">
      <c r="M531">
        <v>264</v>
      </c>
      <c r="N531" s="214">
        <v>6.3757729530334473</v>
      </c>
      <c r="O531" s="214">
        <v>10.525627136230469</v>
      </c>
      <c r="P531" s="214">
        <v>6.7481575012207031</v>
      </c>
      <c r="Q531" s="214">
        <v>5.9127936363220215</v>
      </c>
    </row>
    <row r="532" spans="13:17" x14ac:dyDescent="0.25">
      <c r="M532">
        <v>264.5</v>
      </c>
      <c r="N532" s="214">
        <v>6.4136996269226074</v>
      </c>
      <c r="O532" s="214">
        <v>10.552892684936523</v>
      </c>
      <c r="P532" s="214">
        <v>6.7455167770385742</v>
      </c>
      <c r="Q532" s="214">
        <v>5.9063982963562012</v>
      </c>
    </row>
    <row r="533" spans="13:17" x14ac:dyDescent="0.25">
      <c r="M533">
        <v>265</v>
      </c>
      <c r="N533" s="214">
        <v>6.3620004653930664</v>
      </c>
      <c r="O533" s="214">
        <v>10.471536636352539</v>
      </c>
      <c r="P533" s="214">
        <v>6.7454853057861328</v>
      </c>
      <c r="Q533" s="214">
        <v>5.974700927734375</v>
      </c>
    </row>
    <row r="534" spans="13:17" x14ac:dyDescent="0.25">
      <c r="M534">
        <v>265.5</v>
      </c>
      <c r="N534" s="214">
        <v>6.3820652961730957</v>
      </c>
      <c r="O534" s="214">
        <v>10.527480125427246</v>
      </c>
      <c r="P534" s="214">
        <v>6.797551155090332</v>
      </c>
      <c r="Q534" s="214">
        <v>5.9712376594543457</v>
      </c>
    </row>
    <row r="535" spans="13:17" x14ac:dyDescent="0.25">
      <c r="M535">
        <v>266</v>
      </c>
      <c r="N535" s="214">
        <v>6.2771973609924316</v>
      </c>
      <c r="O535" s="214">
        <v>10.526424407958984</v>
      </c>
      <c r="P535" s="214">
        <v>6.7631392478942871</v>
      </c>
      <c r="Q535" s="214">
        <v>6.0443334579467773</v>
      </c>
    </row>
    <row r="536" spans="13:17" x14ac:dyDescent="0.25">
      <c r="M536">
        <v>266.5</v>
      </c>
      <c r="N536" s="214">
        <v>6.2770147323608398</v>
      </c>
      <c r="O536" s="214">
        <v>10.512792587280273</v>
      </c>
      <c r="P536" s="214">
        <v>6.8672299385070801</v>
      </c>
      <c r="Q536" s="214">
        <v>5.9835629463195801</v>
      </c>
    </row>
    <row r="537" spans="13:17" x14ac:dyDescent="0.25">
      <c r="M537">
        <v>267</v>
      </c>
      <c r="N537" s="214">
        <v>6.3615970611572266</v>
      </c>
      <c r="O537" s="214">
        <v>10.529011726379395</v>
      </c>
      <c r="P537" s="214">
        <v>6.8569817543029785</v>
      </c>
      <c r="Q537" s="214">
        <v>6.1175651550292969</v>
      </c>
    </row>
    <row r="538" spans="13:17" x14ac:dyDescent="0.25">
      <c r="M538">
        <v>267.5</v>
      </c>
      <c r="N538" s="214">
        <v>6.3094816207885742</v>
      </c>
      <c r="O538" s="214">
        <v>10.521291732788086</v>
      </c>
      <c r="P538" s="214">
        <v>6.8523168563842773</v>
      </c>
      <c r="Q538" s="214">
        <v>6.0151610374450684</v>
      </c>
    </row>
    <row r="539" spans="13:17" x14ac:dyDescent="0.25">
      <c r="M539">
        <v>268</v>
      </c>
      <c r="N539" s="214">
        <v>6.4068365097045898</v>
      </c>
      <c r="O539" s="214">
        <v>10.538116455078125</v>
      </c>
      <c r="P539" s="214">
        <v>6.8555846214294434</v>
      </c>
      <c r="Q539" s="214">
        <v>5.887169361114502</v>
      </c>
    </row>
    <row r="540" spans="13:17" x14ac:dyDescent="0.25">
      <c r="M540">
        <v>268.5</v>
      </c>
      <c r="N540" s="214">
        <v>6.4511079788208008</v>
      </c>
      <c r="O540" s="214">
        <v>10.518780708312988</v>
      </c>
      <c r="P540" s="214">
        <v>6.8100180625915527</v>
      </c>
      <c r="Q540" s="214">
        <v>5.9759922027587891</v>
      </c>
    </row>
    <row r="541" spans="13:17" x14ac:dyDescent="0.25">
      <c r="M541">
        <v>269</v>
      </c>
      <c r="N541" s="214">
        <v>6.4157195091247559</v>
      </c>
      <c r="O541" s="214">
        <v>10.549683570861816</v>
      </c>
      <c r="P541" s="214">
        <v>6.8557949066162109</v>
      </c>
      <c r="Q541" s="214">
        <v>5.9625430107116699</v>
      </c>
    </row>
    <row r="542" spans="13:17" x14ac:dyDescent="0.25">
      <c r="M542">
        <v>269.5</v>
      </c>
      <c r="N542" s="214">
        <v>6.5134210586547852</v>
      </c>
      <c r="O542" s="214">
        <v>10.546773910522461</v>
      </c>
      <c r="P542" s="214">
        <v>6.8216814994812012</v>
      </c>
      <c r="Q542" s="214">
        <v>5.8159255981445313</v>
      </c>
    </row>
    <row r="543" spans="13:17" x14ac:dyDescent="0.25">
      <c r="M543">
        <v>270</v>
      </c>
      <c r="N543" s="214">
        <v>6.4201221466064453</v>
      </c>
      <c r="O543" s="214">
        <v>10.505995750427246</v>
      </c>
      <c r="P543" s="214">
        <v>6.8671431541442871</v>
      </c>
      <c r="Q543" s="214">
        <v>5.8059902191162109</v>
      </c>
    </row>
    <row r="544" spans="13:17" x14ac:dyDescent="0.25">
      <c r="M544">
        <v>270.5</v>
      </c>
      <c r="N544" s="214">
        <v>6.4775481224060059</v>
      </c>
      <c r="O544" s="214">
        <v>10.512253761291504</v>
      </c>
      <c r="P544" s="214">
        <v>6.8709478378295898</v>
      </c>
      <c r="Q544" s="214">
        <v>5.8746223449707031</v>
      </c>
    </row>
    <row r="545" spans="13:17" x14ac:dyDescent="0.25">
      <c r="M545">
        <v>271</v>
      </c>
      <c r="N545" s="214">
        <v>6.3727078437805176</v>
      </c>
      <c r="O545" s="214">
        <v>10.590161323547363</v>
      </c>
      <c r="P545" s="214">
        <v>6.8723077774047852</v>
      </c>
      <c r="Q545" s="214">
        <v>5.9140009880065918</v>
      </c>
    </row>
    <row r="546" spans="13:17" x14ac:dyDescent="0.25">
      <c r="M546">
        <v>271.5</v>
      </c>
      <c r="N546" s="214">
        <v>6.4427027702331543</v>
      </c>
      <c r="O546" s="214">
        <v>10.533943176269531</v>
      </c>
      <c r="P546" s="214">
        <v>6.8134264945983887</v>
      </c>
      <c r="Q546" s="214">
        <v>5.9247899055480957</v>
      </c>
    </row>
    <row r="547" spans="13:17" x14ac:dyDescent="0.25">
      <c r="M547">
        <v>272</v>
      </c>
      <c r="N547" s="214">
        <v>6.4177703857421875</v>
      </c>
      <c r="O547" s="214">
        <v>10.53966236114502</v>
      </c>
      <c r="P547" s="214">
        <v>6.8195352554321289</v>
      </c>
      <c r="Q547" s="214">
        <v>5.8122854232788086</v>
      </c>
    </row>
    <row r="548" spans="13:17" x14ac:dyDescent="0.25">
      <c r="M548">
        <v>272.5</v>
      </c>
      <c r="N548" s="214">
        <v>6.5157380104064941</v>
      </c>
      <c r="O548" s="214">
        <v>10.591926574707031</v>
      </c>
      <c r="P548" s="214">
        <v>6.865236759185791</v>
      </c>
      <c r="Q548" s="214">
        <v>5.9048676490783691</v>
      </c>
    </row>
    <row r="549" spans="13:17" x14ac:dyDescent="0.25">
      <c r="M549">
        <v>273</v>
      </c>
      <c r="N549" s="214">
        <v>6.5480184555053711</v>
      </c>
      <c r="O549" s="214">
        <v>10.60804557800293</v>
      </c>
      <c r="P549" s="214">
        <v>6.856809139251709</v>
      </c>
      <c r="Q549" s="214">
        <v>5.8764429092407227</v>
      </c>
    </row>
    <row r="550" spans="13:17" x14ac:dyDescent="0.25">
      <c r="M550">
        <v>273.5</v>
      </c>
      <c r="N550" s="214">
        <v>6.5728621482849121</v>
      </c>
      <c r="O550" s="214">
        <v>10.530869483947754</v>
      </c>
      <c r="P550" s="214">
        <v>6.8684649467468262</v>
      </c>
      <c r="Q550" s="214">
        <v>5.8169026374816895</v>
      </c>
    </row>
    <row r="551" spans="13:17" x14ac:dyDescent="0.25">
      <c r="M551">
        <v>274</v>
      </c>
      <c r="N551" s="214">
        <v>6.6065688133239746</v>
      </c>
      <c r="O551" s="214">
        <v>10.585939407348633</v>
      </c>
      <c r="P551" s="214">
        <v>6.8405055999755859</v>
      </c>
      <c r="Q551" s="214">
        <v>5.8554344177246094</v>
      </c>
    </row>
    <row r="552" spans="13:17" x14ac:dyDescent="0.25">
      <c r="M552">
        <v>274.5</v>
      </c>
      <c r="N552" s="214">
        <v>6.6006841659545898</v>
      </c>
      <c r="O552" s="214">
        <v>10.570413589477539</v>
      </c>
      <c r="P552" s="214">
        <v>6.8269195556640625</v>
      </c>
      <c r="Q552" s="214">
        <v>5.8620176315307617</v>
      </c>
    </row>
    <row r="553" spans="13:17" x14ac:dyDescent="0.25">
      <c r="M553">
        <v>275</v>
      </c>
      <c r="N553" s="214">
        <v>6.5921120643615723</v>
      </c>
      <c r="O553" s="214">
        <v>10.592284202575684</v>
      </c>
      <c r="P553" s="214">
        <v>6.8796825408935547</v>
      </c>
      <c r="Q553" s="214">
        <v>5.8335700035095215</v>
      </c>
    </row>
    <row r="554" spans="13:17" x14ac:dyDescent="0.25">
      <c r="M554">
        <v>275.5</v>
      </c>
      <c r="N554" s="214">
        <v>6.6111640930175781</v>
      </c>
      <c r="O554" s="214">
        <v>10.569042205810547</v>
      </c>
      <c r="P554" s="214">
        <v>6.8414731025695801</v>
      </c>
      <c r="Q554" s="214">
        <v>5.8569121360778809</v>
      </c>
    </row>
    <row r="555" spans="13:17" x14ac:dyDescent="0.25">
      <c r="M555">
        <v>276</v>
      </c>
      <c r="N555" s="214">
        <v>6.6196446418762207</v>
      </c>
      <c r="O555" s="214">
        <v>10.564408302307129</v>
      </c>
      <c r="P555" s="214">
        <v>6.8361043930053711</v>
      </c>
      <c r="Q555" s="214">
        <v>5.873621940612793</v>
      </c>
    </row>
    <row r="556" spans="13:17" x14ac:dyDescent="0.25">
      <c r="M556">
        <v>276.5</v>
      </c>
      <c r="N556" s="214">
        <v>6.5782041549682617</v>
      </c>
      <c r="O556" s="214">
        <v>10.577944755554199</v>
      </c>
      <c r="P556" s="214">
        <v>6.848388671875</v>
      </c>
      <c r="Q556" s="214">
        <v>5.8136367797851563</v>
      </c>
    </row>
    <row r="557" spans="13:17" x14ac:dyDescent="0.25">
      <c r="M557">
        <v>277</v>
      </c>
      <c r="N557" s="214">
        <v>6.7166619300842285</v>
      </c>
      <c r="O557" s="214">
        <v>10.617483139038086</v>
      </c>
      <c r="P557" s="214">
        <v>6.8362798690795898</v>
      </c>
      <c r="Q557" s="214">
        <v>5.8014421463012695</v>
      </c>
    </row>
    <row r="558" spans="13:17" x14ac:dyDescent="0.25">
      <c r="M558">
        <v>277.5</v>
      </c>
      <c r="N558" s="214">
        <v>6.6765785217285156</v>
      </c>
      <c r="O558" s="214">
        <v>10.528803825378418</v>
      </c>
      <c r="P558" s="214">
        <v>6.9019055366516113</v>
      </c>
      <c r="Q558" s="214">
        <v>5.7336812019348145</v>
      </c>
    </row>
    <row r="559" spans="13:17" x14ac:dyDescent="0.25">
      <c r="M559">
        <v>278</v>
      </c>
      <c r="N559" s="214">
        <v>6.5538759231567383</v>
      </c>
      <c r="O559" s="214">
        <v>10.535511016845703</v>
      </c>
      <c r="P559" s="214">
        <v>6.8277420997619629</v>
      </c>
      <c r="Q559" s="214">
        <v>5.8656501770019531</v>
      </c>
    </row>
    <row r="560" spans="13:17" x14ac:dyDescent="0.25">
      <c r="M560">
        <v>278.5</v>
      </c>
      <c r="N560" s="214">
        <v>6.5666580200195313</v>
      </c>
      <c r="O560" s="214">
        <v>10.534733772277832</v>
      </c>
      <c r="P560" s="214">
        <v>6.8814706802368164</v>
      </c>
      <c r="Q560" s="214">
        <v>5.9302153587341309</v>
      </c>
    </row>
    <row r="561" spans="13:17" x14ac:dyDescent="0.25">
      <c r="M561">
        <v>279</v>
      </c>
      <c r="N561" s="214">
        <v>6.7687339782714844</v>
      </c>
      <c r="O561" s="214">
        <v>10.562752723693848</v>
      </c>
      <c r="P561" s="214">
        <v>6.8495421409606934</v>
      </c>
      <c r="Q561" s="214">
        <v>5.7517046928405762</v>
      </c>
    </row>
    <row r="562" spans="13:17" x14ac:dyDescent="0.25">
      <c r="M562">
        <v>279.5</v>
      </c>
      <c r="N562" s="214">
        <v>6.7618069648742676</v>
      </c>
      <c r="O562" s="214">
        <v>10.547244071960449</v>
      </c>
      <c r="P562" s="214">
        <v>6.8709254264831543</v>
      </c>
      <c r="Q562" s="214">
        <v>5.8716940879821777</v>
      </c>
    </row>
    <row r="563" spans="13:17" x14ac:dyDescent="0.25">
      <c r="M563">
        <v>280</v>
      </c>
      <c r="N563" s="214">
        <v>6.6439399719238281</v>
      </c>
      <c r="O563" s="214">
        <v>10.571598052978516</v>
      </c>
      <c r="P563" s="214">
        <v>6.8374195098876953</v>
      </c>
      <c r="Q563" s="214">
        <v>6.0668292045593262</v>
      </c>
    </row>
    <row r="564" spans="13:17" x14ac:dyDescent="0.25">
      <c r="M564">
        <v>280.5</v>
      </c>
      <c r="N564" s="214">
        <v>6.5991907119750977</v>
      </c>
      <c r="O564" s="214">
        <v>10.551549911499023</v>
      </c>
      <c r="P564" s="214">
        <v>6.8623852729797363</v>
      </c>
      <c r="Q564" s="214">
        <v>6.0358810424804688</v>
      </c>
    </row>
    <row r="565" spans="13:17" x14ac:dyDescent="0.25">
      <c r="M565">
        <v>281</v>
      </c>
      <c r="N565" s="214">
        <v>6.5770754814147949</v>
      </c>
      <c r="O565" s="214">
        <v>10.538825035095215</v>
      </c>
      <c r="P565" s="214">
        <v>6.9135284423828125</v>
      </c>
      <c r="Q565" s="214">
        <v>6.0904474258422852</v>
      </c>
    </row>
    <row r="566" spans="13:17" x14ac:dyDescent="0.25">
      <c r="M566">
        <v>281.5</v>
      </c>
      <c r="N566" s="214">
        <v>6.6023745536804199</v>
      </c>
      <c r="O566" s="214">
        <v>10.545872688293457</v>
      </c>
      <c r="P566" s="214">
        <v>6.8823881149291992</v>
      </c>
      <c r="Q566" s="214">
        <v>6.0505056381225586</v>
      </c>
    </row>
    <row r="567" spans="13:17" x14ac:dyDescent="0.25">
      <c r="M567">
        <v>282</v>
      </c>
      <c r="N567" s="214">
        <v>6.5636687278747559</v>
      </c>
      <c r="O567" s="214">
        <v>10.572494506835938</v>
      </c>
      <c r="P567" s="214">
        <v>6.8576054573059082</v>
      </c>
      <c r="Q567" s="214">
        <v>6.1028485298156738</v>
      </c>
    </row>
    <row r="568" spans="13:17" x14ac:dyDescent="0.25">
      <c r="M568">
        <v>282.5</v>
      </c>
      <c r="N568" s="214">
        <v>6.6120238304138184</v>
      </c>
      <c r="O568" s="214">
        <v>10.505757331848145</v>
      </c>
      <c r="P568" s="214">
        <v>6.9128308296203613</v>
      </c>
      <c r="Q568" s="214">
        <v>6.0348272323608398</v>
      </c>
    </row>
    <row r="569" spans="13:17" x14ac:dyDescent="0.25">
      <c r="M569">
        <v>283</v>
      </c>
      <c r="N569" s="214">
        <v>6.5346450805664063</v>
      </c>
      <c r="O569" s="214">
        <v>10.556645393371582</v>
      </c>
      <c r="P569" s="214">
        <v>6.904475212097168</v>
      </c>
      <c r="Q569" s="214">
        <v>6.1579070091247559</v>
      </c>
    </row>
    <row r="570" spans="13:17" x14ac:dyDescent="0.25">
      <c r="M570">
        <v>283.5</v>
      </c>
      <c r="N570" s="214">
        <v>6.495582103729248</v>
      </c>
      <c r="O570" s="214">
        <v>10.558883666992188</v>
      </c>
      <c r="P570" s="214">
        <v>6.9496808052062988</v>
      </c>
      <c r="Q570" s="214">
        <v>6.1657609939575195</v>
      </c>
    </row>
    <row r="571" spans="13:17" x14ac:dyDescent="0.25">
      <c r="M571">
        <v>284</v>
      </c>
      <c r="N571" s="214">
        <v>6.5680403709411621</v>
      </c>
      <c r="O571" s="214">
        <v>10.55524730682373</v>
      </c>
      <c r="P571" s="214">
        <v>6.9367189407348633</v>
      </c>
      <c r="Q571" s="214">
        <v>6.1507053375244141</v>
      </c>
    </row>
    <row r="572" spans="13:17" x14ac:dyDescent="0.25">
      <c r="M572">
        <v>284.5</v>
      </c>
      <c r="N572" s="214">
        <v>6.5878515243530273</v>
      </c>
      <c r="O572" s="214">
        <v>10.547087669372559</v>
      </c>
      <c r="P572" s="214">
        <v>6.9768528938293457</v>
      </c>
      <c r="Q572" s="214">
        <v>6.2005500793457031</v>
      </c>
    </row>
    <row r="573" spans="13:17" x14ac:dyDescent="0.25">
      <c r="M573">
        <v>285</v>
      </c>
      <c r="N573" s="214">
        <v>6.5295267105102539</v>
      </c>
      <c r="O573" s="214">
        <v>10.568926811218262</v>
      </c>
      <c r="P573" s="214">
        <v>6.9781394004821777</v>
      </c>
      <c r="Q573" s="214">
        <v>6.1501255035400391</v>
      </c>
    </row>
    <row r="574" spans="13:17" x14ac:dyDescent="0.25">
      <c r="M574">
        <v>285.5</v>
      </c>
      <c r="N574" s="214">
        <v>6.5548367500305176</v>
      </c>
      <c r="O574" s="214">
        <v>10.534790992736816</v>
      </c>
      <c r="P574" s="214">
        <v>6.9731278419494629</v>
      </c>
      <c r="Q574" s="214">
        <v>6.2165040969848633</v>
      </c>
    </row>
    <row r="575" spans="13:17" x14ac:dyDescent="0.25">
      <c r="M575">
        <v>286</v>
      </c>
      <c r="N575" s="214">
        <v>6.5310497283935547</v>
      </c>
      <c r="O575" s="214">
        <v>10.541165351867676</v>
      </c>
      <c r="P575" s="214">
        <v>6.9813222885131836</v>
      </c>
      <c r="Q575" s="214">
        <v>6.2925910949707031</v>
      </c>
    </row>
    <row r="576" spans="13:17" x14ac:dyDescent="0.25">
      <c r="M576">
        <v>286.5</v>
      </c>
      <c r="N576" s="214">
        <v>6.5368533134460449</v>
      </c>
      <c r="O576" s="214">
        <v>10.584283828735352</v>
      </c>
      <c r="P576" s="214">
        <v>6.9544486999511719</v>
      </c>
      <c r="Q576" s="214">
        <v>6.2892169952392578</v>
      </c>
    </row>
    <row r="577" spans="13:17" x14ac:dyDescent="0.25">
      <c r="M577">
        <v>287</v>
      </c>
      <c r="N577" s="214">
        <v>6.5548233985900879</v>
      </c>
      <c r="O577" s="214">
        <v>10.553333282470703</v>
      </c>
      <c r="P577" s="214">
        <v>6.9778523445129395</v>
      </c>
      <c r="Q577" s="214">
        <v>6.3052849769592285</v>
      </c>
    </row>
    <row r="578" spans="13:17" x14ac:dyDescent="0.25">
      <c r="M578">
        <v>287.5</v>
      </c>
      <c r="N578" s="214">
        <v>6.5683803558349609</v>
      </c>
      <c r="O578" s="214">
        <v>10.601384162902832</v>
      </c>
      <c r="P578" s="214">
        <v>6.9765100479125977</v>
      </c>
      <c r="Q578" s="214">
        <v>6.3025593757629395</v>
      </c>
    </row>
    <row r="579" spans="13:17" x14ac:dyDescent="0.25">
      <c r="M579">
        <v>288</v>
      </c>
      <c r="N579" s="214">
        <v>6.393061637878418</v>
      </c>
      <c r="O579" s="214">
        <v>10.568099975585938</v>
      </c>
      <c r="P579" s="214">
        <v>7.0362744331359863</v>
      </c>
      <c r="Q579" s="214">
        <v>6.4403653144836426</v>
      </c>
    </row>
    <row r="580" spans="13:17" x14ac:dyDescent="0.25">
      <c r="M580">
        <v>288.5</v>
      </c>
      <c r="N580" s="214">
        <v>6.5226039886474609</v>
      </c>
      <c r="O580" s="214">
        <v>10.587942123413086</v>
      </c>
      <c r="P580" s="214">
        <v>7.0369243621826172</v>
      </c>
      <c r="Q580" s="214">
        <v>6.3469300270080566</v>
      </c>
    </row>
    <row r="581" spans="13:17" x14ac:dyDescent="0.25">
      <c r="M581">
        <v>289</v>
      </c>
      <c r="N581" s="214">
        <v>6.5085816383361816</v>
      </c>
      <c r="O581" s="214">
        <v>10.50428581237793</v>
      </c>
      <c r="P581" s="214">
        <v>7.0440840721130371</v>
      </c>
      <c r="Q581" s="214">
        <v>6.2982306480407715</v>
      </c>
    </row>
    <row r="582" spans="13:17" x14ac:dyDescent="0.25">
      <c r="M582">
        <v>289.5</v>
      </c>
      <c r="N582" s="214">
        <v>6.5724072456359863</v>
      </c>
      <c r="O582" s="214">
        <v>10.53947925567627</v>
      </c>
      <c r="P582" s="214">
        <v>7.0662250518798828</v>
      </c>
      <c r="Q582" s="214">
        <v>6.3315176963806152</v>
      </c>
    </row>
    <row r="583" spans="13:17" x14ac:dyDescent="0.25">
      <c r="M583">
        <v>290</v>
      </c>
      <c r="N583" s="214">
        <v>6.4842920303344727</v>
      </c>
      <c r="O583" s="214">
        <v>10.533140182495117</v>
      </c>
      <c r="P583" s="214">
        <v>7.0019316673278809</v>
      </c>
      <c r="Q583" s="214">
        <v>6.3482537269592285</v>
      </c>
    </row>
    <row r="584" spans="13:17" x14ac:dyDescent="0.25">
      <c r="M584">
        <v>290.5</v>
      </c>
      <c r="N584" s="214">
        <v>6.5943727493286133</v>
      </c>
      <c r="O584" s="214">
        <v>10.571209907531738</v>
      </c>
      <c r="P584" s="214">
        <v>7.0887966156005859</v>
      </c>
      <c r="Q584" s="214">
        <v>6.2115697860717773</v>
      </c>
    </row>
    <row r="585" spans="13:17" x14ac:dyDescent="0.25">
      <c r="M585">
        <v>291</v>
      </c>
      <c r="N585" s="214">
        <v>6.6606411933898926</v>
      </c>
      <c r="O585" s="214">
        <v>10.544440269470215</v>
      </c>
      <c r="P585" s="214">
        <v>7.0670337677001953</v>
      </c>
      <c r="Q585" s="214">
        <v>6.2374634742736816</v>
      </c>
    </row>
    <row r="586" spans="13:17" x14ac:dyDescent="0.25">
      <c r="M586">
        <v>291.5</v>
      </c>
      <c r="N586" s="214">
        <v>6.6055359840393066</v>
      </c>
      <c r="O586" s="214">
        <v>10.555098533630371</v>
      </c>
      <c r="P586" s="214">
        <v>7.0581479072570801</v>
      </c>
      <c r="Q586" s="214">
        <v>6.2757120132446289</v>
      </c>
    </row>
    <row r="587" spans="13:17" x14ac:dyDescent="0.25">
      <c r="M587">
        <v>292</v>
      </c>
      <c r="N587" s="214">
        <v>6.5223674774169922</v>
      </c>
      <c r="O587" s="214">
        <v>10.601415634155273</v>
      </c>
      <c r="P587" s="214">
        <v>7.0856013298034668</v>
      </c>
      <c r="Q587" s="214">
        <v>6.3072929382324219</v>
      </c>
    </row>
    <row r="588" spans="13:17" x14ac:dyDescent="0.25">
      <c r="M588">
        <v>292.5</v>
      </c>
      <c r="N588" s="214">
        <v>6.5435028076171875</v>
      </c>
      <c r="O588" s="214">
        <v>10.540851593017578</v>
      </c>
      <c r="P588" s="214">
        <v>7.0524983406066895</v>
      </c>
      <c r="Q588" s="214">
        <v>6.2959213256835938</v>
      </c>
    </row>
    <row r="589" spans="13:17" x14ac:dyDescent="0.25">
      <c r="M589">
        <v>293</v>
      </c>
      <c r="N589" s="214">
        <v>6.5189986228942871</v>
      </c>
      <c r="O589" s="214">
        <v>10.580920219421387</v>
      </c>
      <c r="P589" s="214">
        <v>7.0872068405151367</v>
      </c>
      <c r="Q589" s="214">
        <v>6.307497501373291</v>
      </c>
    </row>
    <row r="590" spans="13:17" x14ac:dyDescent="0.25">
      <c r="M590">
        <v>293.5</v>
      </c>
      <c r="N590" s="214">
        <v>6.6217727661132813</v>
      </c>
      <c r="O590" s="214">
        <v>10.59953784942627</v>
      </c>
      <c r="P590" s="214">
        <v>7.1030426025390625</v>
      </c>
      <c r="Q590" s="214">
        <v>6.2800660133361816</v>
      </c>
    </row>
    <row r="591" spans="13:17" x14ac:dyDescent="0.25">
      <c r="M591">
        <v>294</v>
      </c>
      <c r="N591" s="214">
        <v>6.6921653747558594</v>
      </c>
      <c r="O591" s="214">
        <v>10.585080146789551</v>
      </c>
      <c r="P591" s="214">
        <v>7.0263199806213379</v>
      </c>
      <c r="Q591" s="214">
        <v>6.2920880317687988</v>
      </c>
    </row>
    <row r="592" spans="13:17" x14ac:dyDescent="0.25">
      <c r="M592">
        <v>294.5</v>
      </c>
      <c r="N592" s="214">
        <v>6.7614293098449707</v>
      </c>
      <c r="O592" s="214">
        <v>10.585125923156738</v>
      </c>
      <c r="P592" s="214">
        <v>7.0901145935058594</v>
      </c>
      <c r="Q592" s="214">
        <v>6.2388038635253906</v>
      </c>
    </row>
    <row r="593" spans="13:17" x14ac:dyDescent="0.25">
      <c r="M593">
        <v>295</v>
      </c>
      <c r="N593" s="214">
        <v>6.7853636741638184</v>
      </c>
      <c r="O593" s="214">
        <v>10.526789665222168</v>
      </c>
      <c r="P593" s="214">
        <v>7.1099390983581543</v>
      </c>
      <c r="Q593" s="214">
        <v>6.2660441398620605</v>
      </c>
    </row>
    <row r="594" spans="13:17" x14ac:dyDescent="0.25">
      <c r="M594">
        <v>295.5</v>
      </c>
      <c r="N594" s="214">
        <v>6.7824392318725586</v>
      </c>
      <c r="O594" s="214">
        <v>10.547499656677246</v>
      </c>
      <c r="P594" s="214">
        <v>7.0679645538330078</v>
      </c>
      <c r="Q594" s="214">
        <v>6.2981276512145996</v>
      </c>
    </row>
    <row r="595" spans="13:17" x14ac:dyDescent="0.25">
      <c r="M595">
        <v>296</v>
      </c>
      <c r="N595" s="214">
        <v>6.8072037696838379</v>
      </c>
      <c r="O595" s="214">
        <v>10.597662925720215</v>
      </c>
      <c r="P595" s="214">
        <v>7.0709047317504883</v>
      </c>
      <c r="Q595" s="214">
        <v>6.2991600036621094</v>
      </c>
    </row>
    <row r="596" spans="13:17" x14ac:dyDescent="0.25">
      <c r="M596">
        <v>296.5</v>
      </c>
      <c r="N596" s="214">
        <v>6.8193178176879883</v>
      </c>
      <c r="O596" s="214">
        <v>10.63199520111084</v>
      </c>
      <c r="P596" s="214">
        <v>7.0927562713623047</v>
      </c>
      <c r="Q596" s="214">
        <v>6.2569518089294434</v>
      </c>
    </row>
    <row r="597" spans="13:17" x14ac:dyDescent="0.25">
      <c r="M597">
        <v>297</v>
      </c>
      <c r="N597" s="214">
        <v>6.8349113464355469</v>
      </c>
      <c r="O597" s="214">
        <v>10.631579399108887</v>
      </c>
      <c r="P597" s="214">
        <v>7.1096129417419434</v>
      </c>
      <c r="Q597" s="214">
        <v>6.2529120445251465</v>
      </c>
    </row>
    <row r="598" spans="13:17" x14ac:dyDescent="0.25">
      <c r="M598">
        <v>297.5</v>
      </c>
      <c r="N598" s="214">
        <v>6.888831615447998</v>
      </c>
      <c r="O598" s="214">
        <v>10.590433120727539</v>
      </c>
      <c r="P598" s="214">
        <v>7.0350069999694824</v>
      </c>
      <c r="Q598" s="214">
        <v>6.2839159965515137</v>
      </c>
    </row>
    <row r="599" spans="13:17" x14ac:dyDescent="0.25">
      <c r="M599">
        <v>298</v>
      </c>
      <c r="N599" s="214">
        <v>6.8526039123535156</v>
      </c>
      <c r="O599" s="214">
        <v>10.604166030883789</v>
      </c>
      <c r="P599" s="214">
        <v>7.1072731018066406</v>
      </c>
      <c r="Q599" s="214">
        <v>6.2018966674804688</v>
      </c>
    </row>
    <row r="600" spans="13:17" x14ac:dyDescent="0.25">
      <c r="M600">
        <v>298.5</v>
      </c>
      <c r="N600" s="214">
        <v>6.9330630302429199</v>
      </c>
      <c r="O600" s="214">
        <v>10.608197212219238</v>
      </c>
      <c r="P600" s="214">
        <v>7.2563409805297852</v>
      </c>
      <c r="Q600" s="214">
        <v>6.1150364875793457</v>
      </c>
    </row>
    <row r="601" spans="13:17" x14ac:dyDescent="0.25">
      <c r="M601">
        <v>299</v>
      </c>
      <c r="N601" s="214">
        <v>6.9329738616943359</v>
      </c>
      <c r="O601" s="214">
        <v>10.604907989501953</v>
      </c>
      <c r="P601" s="214">
        <v>7.0527963638305664</v>
      </c>
      <c r="Q601" s="214">
        <v>6.1732010841369629</v>
      </c>
    </row>
    <row r="602" spans="13:17" x14ac:dyDescent="0.25">
      <c r="M602">
        <v>299.5</v>
      </c>
      <c r="N602" s="214">
        <v>6.8899531364440918</v>
      </c>
      <c r="O602" s="214">
        <v>10.56403923034668</v>
      </c>
      <c r="P602" s="214">
        <v>7.1011133193969727</v>
      </c>
      <c r="Q602" s="214">
        <v>6.3493924140930176</v>
      </c>
    </row>
    <row r="603" spans="13:17" x14ac:dyDescent="0.25">
      <c r="M603">
        <v>300</v>
      </c>
      <c r="N603" s="214">
        <v>6.9951262474060059</v>
      </c>
      <c r="O603" s="214">
        <v>10.607021331787109</v>
      </c>
      <c r="P603" s="214">
        <v>7.0758209228515625</v>
      </c>
      <c r="Q603" s="214">
        <v>6.3328447341918945</v>
      </c>
    </row>
    <row r="604" spans="13:17" x14ac:dyDescent="0.25">
      <c r="M604">
        <v>300.5</v>
      </c>
      <c r="N604" s="214">
        <v>7.138279914855957</v>
      </c>
      <c r="O604" s="214">
        <v>10.590008735656738</v>
      </c>
      <c r="P604" s="214">
        <v>7.117279052734375</v>
      </c>
      <c r="Q604" s="214">
        <v>6.4823389053344727</v>
      </c>
    </row>
    <row r="605" spans="13:17" x14ac:dyDescent="0.25">
      <c r="M605">
        <v>301</v>
      </c>
      <c r="N605" s="214">
        <v>6.9889421463012695</v>
      </c>
      <c r="O605" s="214">
        <v>10.694221496582031</v>
      </c>
      <c r="P605" s="214">
        <v>7.0686707496643066</v>
      </c>
      <c r="Q605" s="214">
        <v>6.3024682998657227</v>
      </c>
    </row>
    <row r="606" spans="13:17" x14ac:dyDescent="0.25">
      <c r="M606">
        <v>301.5</v>
      </c>
      <c r="N606" s="214">
        <v>6.8047451972961426</v>
      </c>
      <c r="O606" s="214">
        <v>10.66966438293457</v>
      </c>
      <c r="P606" s="214">
        <v>7.1663546562194824</v>
      </c>
      <c r="Q606" s="214">
        <v>6.4040184020996094</v>
      </c>
    </row>
    <row r="607" spans="13:17" x14ac:dyDescent="0.25">
      <c r="M607">
        <v>302</v>
      </c>
      <c r="N607" s="214">
        <v>6.7180562019348145</v>
      </c>
      <c r="O607" s="214">
        <v>10.650121688842773</v>
      </c>
      <c r="P607" s="214">
        <v>7.129486083984375</v>
      </c>
      <c r="Q607" s="214">
        <v>6.3804903030395508</v>
      </c>
    </row>
    <row r="608" spans="13:17" x14ac:dyDescent="0.25">
      <c r="M608">
        <v>302.5</v>
      </c>
      <c r="N608" s="214">
        <v>6.7970991134643555</v>
      </c>
      <c r="O608" s="214">
        <v>10.629208564758301</v>
      </c>
      <c r="P608" s="214">
        <v>7.1876721382141113</v>
      </c>
      <c r="Q608" s="214">
        <v>6.5260910987854004</v>
      </c>
    </row>
    <row r="609" spans="13:17" x14ac:dyDescent="0.25">
      <c r="M609">
        <v>303</v>
      </c>
      <c r="N609" s="214">
        <v>6.9447555541992188</v>
      </c>
      <c r="O609" s="214">
        <v>10.605335235595703</v>
      </c>
      <c r="P609" s="214">
        <v>7.1647047996520996</v>
      </c>
      <c r="Q609" s="214">
        <v>6.4547257423400879</v>
      </c>
    </row>
    <row r="610" spans="13:17" x14ac:dyDescent="0.25">
      <c r="M610">
        <v>303.5</v>
      </c>
      <c r="N610" s="214">
        <v>6.9375505447387695</v>
      </c>
      <c r="O610" s="214">
        <v>10.61393928527832</v>
      </c>
      <c r="P610" s="214">
        <v>7.1935625076293945</v>
      </c>
      <c r="Q610" s="214">
        <v>6.4758262634277344</v>
      </c>
    </row>
    <row r="611" spans="13:17" x14ac:dyDescent="0.25">
      <c r="M611">
        <v>304</v>
      </c>
      <c r="N611" s="214">
        <v>6.9703230857849121</v>
      </c>
      <c r="O611" s="214">
        <v>10.632768630981445</v>
      </c>
      <c r="P611" s="214">
        <v>7.1572790145874023</v>
      </c>
      <c r="Q611" s="214">
        <v>6.5929756164550781</v>
      </c>
    </row>
    <row r="612" spans="13:17" x14ac:dyDescent="0.25">
      <c r="M612">
        <v>304.5</v>
      </c>
      <c r="N612" s="214">
        <v>6.9832077026367188</v>
      </c>
      <c r="O612" s="214">
        <v>10.64360237121582</v>
      </c>
      <c r="P612" s="214">
        <v>7.2025599479675293</v>
      </c>
      <c r="Q612" s="214">
        <v>6.6108040809631348</v>
      </c>
    </row>
    <row r="613" spans="13:17" x14ac:dyDescent="0.25">
      <c r="M613">
        <v>305</v>
      </c>
      <c r="N613" s="214">
        <v>6.9433555603027344</v>
      </c>
      <c r="O613" s="214">
        <v>10.606027603149414</v>
      </c>
      <c r="P613" s="214">
        <v>7.1882686614990234</v>
      </c>
      <c r="Q613" s="214">
        <v>6.6304116249084473</v>
      </c>
    </row>
    <row r="614" spans="13:17" x14ac:dyDescent="0.25">
      <c r="M614">
        <v>305.5</v>
      </c>
      <c r="N614" s="214">
        <v>6.7822732925415039</v>
      </c>
      <c r="O614" s="214">
        <v>10.614901542663574</v>
      </c>
      <c r="P614" s="214">
        <v>7.2376041412353516</v>
      </c>
      <c r="Q614" s="214">
        <v>6.7739925384521484</v>
      </c>
    </row>
    <row r="615" spans="13:17" x14ac:dyDescent="0.25">
      <c r="M615">
        <v>306</v>
      </c>
      <c r="N615" s="214">
        <v>6.7931423187255859</v>
      </c>
      <c r="O615" s="214">
        <v>10.629824638366699</v>
      </c>
      <c r="P615" s="214">
        <v>7.2419109344482422</v>
      </c>
      <c r="Q615" s="214">
        <v>6.6675705909729004</v>
      </c>
    </row>
    <row r="616" spans="13:17" x14ac:dyDescent="0.25">
      <c r="M616">
        <v>306.5</v>
      </c>
      <c r="N616" s="214">
        <v>6.6486606597900391</v>
      </c>
      <c r="O616" s="214">
        <v>10.608030319213867</v>
      </c>
      <c r="P616" s="214">
        <v>7.2679314613342285</v>
      </c>
      <c r="Q616" s="214">
        <v>6.8035092353820801</v>
      </c>
    </row>
    <row r="617" spans="13:17" x14ac:dyDescent="0.25">
      <c r="M617">
        <v>307</v>
      </c>
      <c r="N617" s="214">
        <v>6.8022994995117188</v>
      </c>
      <c r="O617" s="214">
        <v>10.629304885864258</v>
      </c>
      <c r="P617" s="214">
        <v>7.247931957244873</v>
      </c>
      <c r="Q617" s="214">
        <v>6.8062052726745605</v>
      </c>
    </row>
    <row r="618" spans="13:17" x14ac:dyDescent="0.25">
      <c r="M618">
        <v>307.5</v>
      </c>
      <c r="N618" s="214">
        <v>6.8498306274414063</v>
      </c>
      <c r="O618" s="214">
        <v>10.666600227355957</v>
      </c>
      <c r="P618" s="214">
        <v>7.3010258674621582</v>
      </c>
      <c r="Q618" s="214">
        <v>6.8493509292602539</v>
      </c>
    </row>
    <row r="619" spans="13:17" x14ac:dyDescent="0.25">
      <c r="M619">
        <v>308</v>
      </c>
      <c r="N619" s="214">
        <v>6.8409872055053711</v>
      </c>
      <c r="O619" s="214">
        <v>10.673859596252441</v>
      </c>
      <c r="P619" s="214">
        <v>7.2346811294555664</v>
      </c>
      <c r="Q619" s="214">
        <v>6.8552393913269043</v>
      </c>
    </row>
    <row r="620" spans="13:17" x14ac:dyDescent="0.25">
      <c r="M620">
        <v>308.5</v>
      </c>
      <c r="N620" s="214">
        <v>6.7835817337036133</v>
      </c>
      <c r="O620" s="214">
        <v>10.658119201660156</v>
      </c>
      <c r="P620" s="214">
        <v>7.2866058349609375</v>
      </c>
      <c r="Q620" s="214">
        <v>6.9724612236022949</v>
      </c>
    </row>
    <row r="621" spans="13:17" x14ac:dyDescent="0.25">
      <c r="M621">
        <v>309</v>
      </c>
      <c r="N621" s="214">
        <v>6.683474063873291</v>
      </c>
      <c r="O621" s="214">
        <v>10.648623466491699</v>
      </c>
      <c r="P621" s="214">
        <v>7.2821140289306641</v>
      </c>
      <c r="Q621" s="214">
        <v>7.0448493957519531</v>
      </c>
    </row>
    <row r="622" spans="13:17" x14ac:dyDescent="0.25">
      <c r="M622">
        <v>309.5</v>
      </c>
      <c r="N622" s="214">
        <v>6.803800106048584</v>
      </c>
      <c r="O622" s="214">
        <v>10.628481864929199</v>
      </c>
      <c r="P622" s="214">
        <v>7.2436943054199219</v>
      </c>
      <c r="Q622" s="214">
        <v>7.0191354751586914</v>
      </c>
    </row>
    <row r="623" spans="13:17" x14ac:dyDescent="0.25">
      <c r="M623">
        <v>310</v>
      </c>
      <c r="N623" s="214">
        <v>6.9016542434692383</v>
      </c>
      <c r="O623" s="214">
        <v>10.67674732208252</v>
      </c>
      <c r="P623" s="214">
        <v>7.2689785957336426</v>
      </c>
      <c r="Q623" s="214">
        <v>7.1947722434997559</v>
      </c>
    </row>
    <row r="624" spans="13:17" x14ac:dyDescent="0.25">
      <c r="M624">
        <v>310.5</v>
      </c>
      <c r="N624" s="214">
        <v>6.9575257301330566</v>
      </c>
      <c r="O624" s="214">
        <v>10.620216369628906</v>
      </c>
      <c r="P624" s="214">
        <v>7.4260573387145996</v>
      </c>
      <c r="Q624" s="214">
        <v>7.0674247741699219</v>
      </c>
    </row>
    <row r="625" spans="13:17" x14ac:dyDescent="0.25">
      <c r="M625">
        <v>311</v>
      </c>
      <c r="N625" s="214">
        <v>6.9304852485656738</v>
      </c>
      <c r="O625" s="214">
        <v>10.652622222900391</v>
      </c>
      <c r="P625" s="214">
        <v>7.4424729347229004</v>
      </c>
      <c r="Q625" s="214">
        <v>6.8945884704589844</v>
      </c>
    </row>
    <row r="626" spans="13:17" x14ac:dyDescent="0.25">
      <c r="M626">
        <v>311.5</v>
      </c>
      <c r="N626" s="214">
        <v>6.9048018455505371</v>
      </c>
      <c r="O626" s="214">
        <v>10.662600517272949</v>
      </c>
      <c r="P626" s="214">
        <v>7.3533434867858887</v>
      </c>
      <c r="Q626" s="214">
        <v>6.8142986297607422</v>
      </c>
    </row>
    <row r="627" spans="13:17" x14ac:dyDescent="0.25">
      <c r="M627">
        <v>312</v>
      </c>
      <c r="N627" s="214">
        <v>6.9002103805541992</v>
      </c>
      <c r="O627" s="214">
        <v>10.613485336303711</v>
      </c>
      <c r="P627" s="214">
        <v>7.4132823944091797</v>
      </c>
      <c r="Q627" s="214">
        <v>6.9375476837158203</v>
      </c>
    </row>
    <row r="628" spans="13:17" x14ac:dyDescent="0.25">
      <c r="M628">
        <v>312.5</v>
      </c>
      <c r="N628" s="214">
        <v>6.9341959953308105</v>
      </c>
      <c r="O628" s="214">
        <v>10.674823760986328</v>
      </c>
      <c r="P628" s="214">
        <v>7.4729952812194824</v>
      </c>
      <c r="Q628" s="214">
        <v>7.0083503723144531</v>
      </c>
    </row>
    <row r="629" spans="13:17" x14ac:dyDescent="0.25">
      <c r="M629">
        <v>313</v>
      </c>
      <c r="N629" s="214">
        <v>6.7891550064086914</v>
      </c>
      <c r="O629" s="214">
        <v>10.737476348876953</v>
      </c>
      <c r="P629" s="214">
        <v>7.5320687294006348</v>
      </c>
      <c r="Q629" s="214">
        <v>7.1158347129821777</v>
      </c>
    </row>
    <row r="630" spans="13:17" x14ac:dyDescent="0.25">
      <c r="M630">
        <v>313.5</v>
      </c>
      <c r="N630" s="214">
        <v>6.7323040962219238</v>
      </c>
      <c r="O630" s="214">
        <v>10.664963722229004</v>
      </c>
      <c r="P630" s="214">
        <v>7.4195952415466309</v>
      </c>
      <c r="Q630" s="214">
        <v>7.0998134613037109</v>
      </c>
    </row>
    <row r="631" spans="13:17" x14ac:dyDescent="0.25">
      <c r="M631">
        <v>314</v>
      </c>
      <c r="N631" s="214">
        <v>6.839383602142334</v>
      </c>
      <c r="O631" s="214">
        <v>10.661376953125</v>
      </c>
      <c r="P631" s="214">
        <v>7.4410924911499023</v>
      </c>
      <c r="Q631" s="214">
        <v>6.9952192306518555</v>
      </c>
    </row>
    <row r="632" spans="13:17" x14ac:dyDescent="0.25">
      <c r="M632">
        <v>314.5</v>
      </c>
      <c r="N632" s="214">
        <v>7.0019845962524414</v>
      </c>
      <c r="O632" s="214">
        <v>10.638516426086426</v>
      </c>
      <c r="P632" s="214">
        <v>7.486445426940918</v>
      </c>
      <c r="Q632" s="214">
        <v>7.0825839042663574</v>
      </c>
    </row>
    <row r="633" spans="13:17" x14ac:dyDescent="0.25">
      <c r="M633">
        <v>315</v>
      </c>
      <c r="N633" s="214">
        <v>7.1418442726135254</v>
      </c>
      <c r="O633" s="214">
        <v>10.688344955444336</v>
      </c>
      <c r="P633" s="214">
        <v>7.4161567687988281</v>
      </c>
      <c r="Q633" s="214">
        <v>7.0697751045227051</v>
      </c>
    </row>
    <row r="634" spans="13:17" x14ac:dyDescent="0.25">
      <c r="M634">
        <v>315.5</v>
      </c>
      <c r="N634" s="214">
        <v>7.1792745590209961</v>
      </c>
      <c r="O634" s="214">
        <v>10.690079689025879</v>
      </c>
      <c r="P634" s="214">
        <v>7.5355830192565918</v>
      </c>
      <c r="Q634" s="214">
        <v>7.1109213829040527</v>
      </c>
    </row>
    <row r="635" spans="13:17" x14ac:dyDescent="0.25">
      <c r="M635">
        <v>316</v>
      </c>
      <c r="N635" s="214">
        <v>7.1690030097961426</v>
      </c>
      <c r="O635" s="214">
        <v>10.691811561584473</v>
      </c>
      <c r="P635" s="214">
        <v>7.5021023750305176</v>
      </c>
      <c r="Q635" s="214">
        <v>7.0284223556518555</v>
      </c>
    </row>
    <row r="636" spans="13:17" x14ac:dyDescent="0.25">
      <c r="M636">
        <v>316.5</v>
      </c>
      <c r="N636" s="214">
        <v>7.0875177383422852</v>
      </c>
      <c r="O636" s="214">
        <v>10.672517776489258</v>
      </c>
      <c r="P636" s="214">
        <v>7.4924235343933105</v>
      </c>
      <c r="Q636" s="214">
        <v>7.098416805267334</v>
      </c>
    </row>
    <row r="637" spans="13:17" x14ac:dyDescent="0.25">
      <c r="M637">
        <v>317</v>
      </c>
      <c r="N637" s="214">
        <v>7.0955567359924316</v>
      </c>
      <c r="O637" s="214">
        <v>10.696078300476074</v>
      </c>
      <c r="P637" s="214">
        <v>7.5054583549499512</v>
      </c>
      <c r="Q637" s="214">
        <v>7.0951476097106934</v>
      </c>
    </row>
    <row r="638" spans="13:17" x14ac:dyDescent="0.25">
      <c r="M638">
        <v>317.5</v>
      </c>
      <c r="N638" s="214">
        <v>7.126950740814209</v>
      </c>
      <c r="O638" s="214">
        <v>10.696417808532715</v>
      </c>
      <c r="P638" s="214">
        <v>7.5261435508728027</v>
      </c>
      <c r="Q638" s="214">
        <v>7.1305108070373535</v>
      </c>
    </row>
    <row r="639" spans="13:17" x14ac:dyDescent="0.25">
      <c r="M639">
        <v>318</v>
      </c>
      <c r="N639" s="214">
        <v>7.2024478912353516</v>
      </c>
      <c r="O639" s="214">
        <v>10.683518409729004</v>
      </c>
      <c r="P639" s="214">
        <v>7.5229659080505371</v>
      </c>
      <c r="Q639" s="214">
        <v>7.097203254699707</v>
      </c>
    </row>
    <row r="640" spans="13:17" x14ac:dyDescent="0.25">
      <c r="M640">
        <v>318.5</v>
      </c>
      <c r="N640" s="214">
        <v>7.2064652442932129</v>
      </c>
      <c r="O640" s="214">
        <v>10.708184242248535</v>
      </c>
      <c r="P640" s="214">
        <v>7.6006035804748535</v>
      </c>
      <c r="Q640" s="214">
        <v>7.103309154510498</v>
      </c>
    </row>
    <row r="641" spans="13:17" x14ac:dyDescent="0.25">
      <c r="M641">
        <v>319</v>
      </c>
      <c r="N641" s="214">
        <v>7.2886710166931152</v>
      </c>
      <c r="O641" s="214">
        <v>10.746524810791016</v>
      </c>
      <c r="P641" s="214">
        <v>7.5217480659484863</v>
      </c>
      <c r="Q641" s="214">
        <v>7.0077543258666992</v>
      </c>
    </row>
    <row r="642" spans="13:17" x14ac:dyDescent="0.25">
      <c r="M642">
        <v>319.5</v>
      </c>
      <c r="N642" s="214">
        <v>7.3084344863891602</v>
      </c>
      <c r="O642" s="214">
        <v>10.728348731994629</v>
      </c>
      <c r="P642" s="214">
        <v>7.5785503387451172</v>
      </c>
      <c r="Q642" s="214">
        <v>7.1145877838134766</v>
      </c>
    </row>
    <row r="643" spans="13:17" x14ac:dyDescent="0.25">
      <c r="M643">
        <v>320</v>
      </c>
      <c r="N643" s="214">
        <v>7.3044085502624512</v>
      </c>
      <c r="O643" s="214">
        <v>10.74565315246582</v>
      </c>
      <c r="P643" s="214">
        <v>7.6371698379516602</v>
      </c>
      <c r="Q643" s="214">
        <v>7.1245613098144531</v>
      </c>
    </row>
    <row r="644" spans="13:17" x14ac:dyDescent="0.25">
      <c r="M644">
        <v>320.5</v>
      </c>
      <c r="N644" s="214">
        <v>7.3809280395507813</v>
      </c>
      <c r="O644" s="214">
        <v>10.740886688232422</v>
      </c>
      <c r="P644" s="214">
        <v>7.6108522415161133</v>
      </c>
      <c r="Q644" s="214">
        <v>6.8034915924072266</v>
      </c>
    </row>
    <row r="645" spans="13:17" x14ac:dyDescent="0.25">
      <c r="M645">
        <v>321</v>
      </c>
      <c r="N645" s="214">
        <v>7.3619027137756348</v>
      </c>
      <c r="O645" s="214">
        <v>10.723786354064941</v>
      </c>
      <c r="P645" s="214">
        <v>7.6021637916564941</v>
      </c>
      <c r="Q645" s="214">
        <v>6.8557257652282715</v>
      </c>
    </row>
    <row r="646" spans="13:17" x14ac:dyDescent="0.25">
      <c r="M646">
        <v>321.5</v>
      </c>
      <c r="N646" s="214">
        <v>7.4719042778015137</v>
      </c>
      <c r="O646" s="214">
        <v>10.720484733581543</v>
      </c>
      <c r="P646" s="214">
        <v>7.6879911422729492</v>
      </c>
      <c r="Q646" s="214">
        <v>7.244929313659668</v>
      </c>
    </row>
    <row r="647" spans="13:17" x14ac:dyDescent="0.25">
      <c r="M647">
        <v>322</v>
      </c>
      <c r="N647" s="214">
        <v>7.5249218940734863</v>
      </c>
      <c r="O647" s="214">
        <v>10.713651657104492</v>
      </c>
      <c r="P647" s="214">
        <v>7.7264833450317383</v>
      </c>
      <c r="Q647" s="214">
        <v>7.3530464172363281</v>
      </c>
    </row>
    <row r="648" spans="13:17" x14ac:dyDescent="0.25">
      <c r="M648">
        <v>322.5</v>
      </c>
      <c r="N648" s="214">
        <v>7.4561042785644531</v>
      </c>
      <c r="O648" s="214">
        <v>10.737074851989746</v>
      </c>
      <c r="P648" s="214">
        <v>7.7661218643188477</v>
      </c>
      <c r="Q648" s="214">
        <v>7.4045391082763672</v>
      </c>
    </row>
    <row r="649" spans="13:17" x14ac:dyDescent="0.25">
      <c r="M649">
        <v>323</v>
      </c>
      <c r="N649" s="214">
        <v>7.3421478271484375</v>
      </c>
      <c r="O649" s="214">
        <v>10.764582633972168</v>
      </c>
      <c r="P649" s="214">
        <v>7.696495532989502</v>
      </c>
      <c r="Q649" s="214">
        <v>7.453587532043457</v>
      </c>
    </row>
    <row r="650" spans="13:17" x14ac:dyDescent="0.25">
      <c r="M650">
        <v>323.5</v>
      </c>
      <c r="N650" s="214">
        <v>7.3008160591125488</v>
      </c>
      <c r="O650" s="214">
        <v>10.761538505554199</v>
      </c>
      <c r="P650" s="214">
        <v>7.7998361587524414</v>
      </c>
      <c r="Q650" s="214">
        <v>7.4376883506774902</v>
      </c>
    </row>
    <row r="651" spans="13:17" x14ac:dyDescent="0.25">
      <c r="M651">
        <v>324</v>
      </c>
      <c r="N651" s="214">
        <v>7.3709111213684082</v>
      </c>
      <c r="O651" s="214">
        <v>10.766033172607422</v>
      </c>
      <c r="P651" s="214">
        <v>7.8002653121948242</v>
      </c>
      <c r="Q651" s="214">
        <v>7.4373865127563477</v>
      </c>
    </row>
    <row r="652" spans="13:17" x14ac:dyDescent="0.25">
      <c r="M652">
        <v>324.5</v>
      </c>
      <c r="N652" s="214">
        <v>7.417353630065918</v>
      </c>
      <c r="O652" s="214">
        <v>10.79522705078125</v>
      </c>
      <c r="P652" s="214">
        <v>7.7468948364257813</v>
      </c>
      <c r="Q652" s="214">
        <v>7.3930802345275879</v>
      </c>
    </row>
    <row r="653" spans="13:17" x14ac:dyDescent="0.25">
      <c r="M653">
        <v>325</v>
      </c>
      <c r="N653" s="214">
        <v>7.5387701988220215</v>
      </c>
      <c r="O653" s="214">
        <v>10.810911178588867</v>
      </c>
      <c r="P653" s="214">
        <v>7.8499674797058105</v>
      </c>
      <c r="Q653" s="214">
        <v>7.5337963104248047</v>
      </c>
    </row>
    <row r="654" spans="13:17" x14ac:dyDescent="0.25">
      <c r="M654">
        <v>325.5</v>
      </c>
      <c r="N654" s="214">
        <v>7.4824280738830566</v>
      </c>
      <c r="O654" s="214">
        <v>10.84227466583252</v>
      </c>
      <c r="P654" s="214">
        <v>7.8591547012329102</v>
      </c>
      <c r="Q654" s="214">
        <v>7.5289669036865234</v>
      </c>
    </row>
    <row r="655" spans="13:17" x14ac:dyDescent="0.25">
      <c r="M655">
        <v>326</v>
      </c>
      <c r="N655" s="214">
        <v>7.5075216293334961</v>
      </c>
      <c r="O655" s="214">
        <v>10.820597648620605</v>
      </c>
      <c r="P655" s="214">
        <v>7.9100055694580078</v>
      </c>
      <c r="Q655" s="214">
        <v>7.7299032211303711</v>
      </c>
    </row>
    <row r="656" spans="13:17" x14ac:dyDescent="0.25">
      <c r="M656">
        <v>326.5</v>
      </c>
      <c r="N656" s="214">
        <v>7.5242018699645996</v>
      </c>
      <c r="O656" s="214">
        <v>10.835650444030762</v>
      </c>
      <c r="P656" s="214">
        <v>7.842799186706543</v>
      </c>
      <c r="Q656" s="214">
        <v>7.710761547088623</v>
      </c>
    </row>
    <row r="657" spans="13:17" x14ac:dyDescent="0.25">
      <c r="M657">
        <v>327</v>
      </c>
      <c r="N657" s="214">
        <v>7.4342741966247559</v>
      </c>
      <c r="O657" s="214">
        <v>10.832656860351563</v>
      </c>
      <c r="P657" s="214">
        <v>7.9060111045837402</v>
      </c>
      <c r="Q657" s="214">
        <v>7.8483867645263672</v>
      </c>
    </row>
    <row r="658" spans="13:17" x14ac:dyDescent="0.25">
      <c r="M658">
        <v>327.5</v>
      </c>
      <c r="N658" s="214">
        <v>7.446624755859375</v>
      </c>
      <c r="O658" s="214">
        <v>10.824596405029297</v>
      </c>
      <c r="P658" s="214">
        <v>7.8781032562255859</v>
      </c>
      <c r="Q658" s="214">
        <v>7.8600711822509766</v>
      </c>
    </row>
    <row r="659" spans="13:17" x14ac:dyDescent="0.25">
      <c r="M659">
        <v>328</v>
      </c>
      <c r="N659" s="214">
        <v>7.3792705535888672</v>
      </c>
      <c r="O659" s="214">
        <v>10.857844352722168</v>
      </c>
      <c r="P659" s="214">
        <v>7.9121875762939453</v>
      </c>
      <c r="Q659" s="214">
        <v>7.9726991653442383</v>
      </c>
    </row>
    <row r="660" spans="13:17" x14ac:dyDescent="0.25">
      <c r="M660">
        <v>328.5</v>
      </c>
      <c r="N660" s="214">
        <v>7.4535284042358398</v>
      </c>
      <c r="O660" s="214">
        <v>10.817559242248535</v>
      </c>
      <c r="P660" s="214">
        <v>7.9822258949279785</v>
      </c>
      <c r="Q660" s="214">
        <v>7.9698762893676758</v>
      </c>
    </row>
    <row r="661" spans="13:17" x14ac:dyDescent="0.25">
      <c r="M661">
        <v>329</v>
      </c>
      <c r="N661" s="214">
        <v>7.4700675010681152</v>
      </c>
      <c r="O661" s="214">
        <v>10.817143440246582</v>
      </c>
      <c r="P661" s="214">
        <v>7.9724082946777344</v>
      </c>
      <c r="Q661" s="214">
        <v>8.0266733169555664</v>
      </c>
    </row>
    <row r="662" spans="13:17" x14ac:dyDescent="0.25">
      <c r="M662">
        <v>329.5</v>
      </c>
      <c r="N662" s="214">
        <v>7.5131988525390625</v>
      </c>
      <c r="O662" s="214">
        <v>10.832333564758301</v>
      </c>
      <c r="P662" s="214">
        <v>7.968630313873291</v>
      </c>
      <c r="Q662" s="214">
        <v>8.1305913925170898</v>
      </c>
    </row>
    <row r="663" spans="13:17" x14ac:dyDescent="0.25">
      <c r="M663">
        <v>330</v>
      </c>
      <c r="N663" s="214">
        <v>7.5601868629455566</v>
      </c>
      <c r="O663" s="214">
        <v>10.806659698486328</v>
      </c>
      <c r="P663" s="214">
        <v>8.0038661956787109</v>
      </c>
      <c r="Q663" s="214">
        <v>8.1307144165039063</v>
      </c>
    </row>
    <row r="664" spans="13:17" x14ac:dyDescent="0.25">
      <c r="M664">
        <v>330.5</v>
      </c>
      <c r="N664" s="214">
        <v>7.5569887161254883</v>
      </c>
      <c r="O664" s="214">
        <v>10.874563217163086</v>
      </c>
      <c r="P664" s="214">
        <v>8.0829229354858398</v>
      </c>
      <c r="Q664" s="214">
        <v>8.284977912902832</v>
      </c>
    </row>
    <row r="665" spans="13:17" x14ac:dyDescent="0.25">
      <c r="M665">
        <v>331</v>
      </c>
      <c r="N665" s="214">
        <v>7.4836664199829102</v>
      </c>
      <c r="O665" s="214">
        <v>10.898279190063477</v>
      </c>
      <c r="P665" s="214">
        <v>8.0355987548828125</v>
      </c>
      <c r="Q665" s="214">
        <v>8.4496669769287109</v>
      </c>
    </row>
    <row r="666" spans="13:17" x14ac:dyDescent="0.25">
      <c r="M666">
        <v>331.5</v>
      </c>
      <c r="N666" s="214">
        <v>7.5731968879699707</v>
      </c>
      <c r="O666" s="214">
        <v>10.894357681274414</v>
      </c>
      <c r="P666" s="214">
        <v>8.0404205322265625</v>
      </c>
      <c r="Q666" s="214">
        <v>8.4690055847167969</v>
      </c>
    </row>
    <row r="667" spans="13:17" x14ac:dyDescent="0.25">
      <c r="M667">
        <v>332</v>
      </c>
      <c r="N667" s="214">
        <v>7.6321125030517578</v>
      </c>
      <c r="O667" s="214">
        <v>10.859989166259766</v>
      </c>
      <c r="P667" s="214">
        <v>8.1139411926269531</v>
      </c>
      <c r="Q667" s="214">
        <v>8.3510608673095703</v>
      </c>
    </row>
    <row r="668" spans="13:17" x14ac:dyDescent="0.25">
      <c r="M668">
        <v>332.5</v>
      </c>
      <c r="N668" s="214">
        <v>7.6473493576049805</v>
      </c>
      <c r="O668" s="214">
        <v>10.908664703369141</v>
      </c>
      <c r="P668" s="214">
        <v>8.1003952026367188</v>
      </c>
      <c r="Q668" s="214">
        <v>8.2886486053466797</v>
      </c>
    </row>
    <row r="669" spans="13:17" x14ac:dyDescent="0.25">
      <c r="M669">
        <v>333</v>
      </c>
      <c r="N669" s="214">
        <v>7.6648507118225098</v>
      </c>
      <c r="O669" s="214">
        <v>10.924674987792969</v>
      </c>
      <c r="P669" s="214">
        <v>8.153651237487793</v>
      </c>
      <c r="Q669" s="214">
        <v>8.4123640060424805</v>
      </c>
    </row>
    <row r="670" spans="13:17" x14ac:dyDescent="0.25">
      <c r="M670">
        <v>333.5</v>
      </c>
      <c r="N670" s="214">
        <v>7.6887173652648926</v>
      </c>
      <c r="O670" s="214">
        <v>10.929717063903809</v>
      </c>
      <c r="P670" s="214">
        <v>8.1029539108276367</v>
      </c>
      <c r="Q670" s="214">
        <v>8.475184440612793</v>
      </c>
    </row>
    <row r="671" spans="13:17" x14ac:dyDescent="0.25">
      <c r="M671">
        <v>334</v>
      </c>
      <c r="N671" s="214">
        <v>7.7118954658508301</v>
      </c>
      <c r="O671" s="214">
        <v>10.999334335327148</v>
      </c>
      <c r="P671" s="214">
        <v>8.177180290222168</v>
      </c>
      <c r="Q671" s="214">
        <v>8.6218700408935547</v>
      </c>
    </row>
    <row r="672" spans="13:17" x14ac:dyDescent="0.25">
      <c r="M672">
        <v>334.5</v>
      </c>
      <c r="N672" s="214">
        <v>7.6231651306152344</v>
      </c>
      <c r="O672" s="214">
        <v>10.980498313903809</v>
      </c>
      <c r="P672" s="214">
        <v>8.2009038925170898</v>
      </c>
      <c r="Q672" s="214">
        <v>8.8462677001953125</v>
      </c>
    </row>
    <row r="673" spans="13:17" x14ac:dyDescent="0.25">
      <c r="M673">
        <v>335</v>
      </c>
      <c r="N673" s="214">
        <v>7.690760612487793</v>
      </c>
      <c r="O673" s="214">
        <v>10.983968734741211</v>
      </c>
      <c r="P673" s="214">
        <v>8.254786491394043</v>
      </c>
      <c r="Q673" s="214">
        <v>8.835113525390625</v>
      </c>
    </row>
    <row r="674" spans="13:17" x14ac:dyDescent="0.25">
      <c r="M674">
        <v>335.5</v>
      </c>
      <c r="N674" s="214">
        <v>7.7833237648010254</v>
      </c>
      <c r="O674" s="214">
        <v>11.000927925109863</v>
      </c>
      <c r="P674" s="214">
        <v>8.2693414688110352</v>
      </c>
      <c r="Q674" s="214">
        <v>8.6120977401733398</v>
      </c>
    </row>
    <row r="675" spans="13:17" x14ac:dyDescent="0.25">
      <c r="M675">
        <v>336</v>
      </c>
      <c r="N675" s="214">
        <v>7.7768912315368652</v>
      </c>
      <c r="O675" s="214">
        <v>11.040414810180664</v>
      </c>
      <c r="P675" s="214">
        <v>8.2807750701904297</v>
      </c>
      <c r="Q675" s="214">
        <v>8.5724611282348633</v>
      </c>
    </row>
    <row r="676" spans="13:17" x14ac:dyDescent="0.25">
      <c r="M676">
        <v>336.5</v>
      </c>
      <c r="N676" s="214">
        <v>7.8967766761779785</v>
      </c>
      <c r="O676" s="214">
        <v>11.014477729797363</v>
      </c>
      <c r="P676" s="214">
        <v>8.3560371398925781</v>
      </c>
      <c r="Q676" s="214">
        <v>8.6816797256469727</v>
      </c>
    </row>
    <row r="677" spans="13:17" x14ac:dyDescent="0.25">
      <c r="M677">
        <v>337</v>
      </c>
      <c r="N677" s="214">
        <v>7.8029046058654785</v>
      </c>
      <c r="O677" s="214">
        <v>10.996176719665527</v>
      </c>
      <c r="P677" s="214">
        <v>8.3629894256591797</v>
      </c>
      <c r="Q677" s="214">
        <v>8.7696456909179688</v>
      </c>
    </row>
    <row r="678" spans="13:17" x14ac:dyDescent="0.25">
      <c r="M678">
        <v>337.5</v>
      </c>
      <c r="N678" s="214">
        <v>7.7660765647888184</v>
      </c>
      <c r="O678" s="214">
        <v>10.988539695739746</v>
      </c>
      <c r="P678" s="214">
        <v>8.3319931030273438</v>
      </c>
      <c r="Q678" s="214">
        <v>8.8316335678100586</v>
      </c>
    </row>
    <row r="679" spans="13:17" x14ac:dyDescent="0.25">
      <c r="M679">
        <v>338</v>
      </c>
      <c r="N679" s="214">
        <v>7.874903678894043</v>
      </c>
      <c r="O679" s="214">
        <v>11.057829856872559</v>
      </c>
      <c r="P679" s="214">
        <v>8.3169717788696289</v>
      </c>
      <c r="Q679" s="214">
        <v>8.7806396484375</v>
      </c>
    </row>
    <row r="680" spans="13:17" x14ac:dyDescent="0.25">
      <c r="M680">
        <v>338.5</v>
      </c>
      <c r="N680" s="214">
        <v>7.9554171562194824</v>
      </c>
      <c r="O680" s="214">
        <v>11.092008590698242</v>
      </c>
      <c r="P680" s="214">
        <v>8.4602775573730469</v>
      </c>
      <c r="Q680" s="214">
        <v>8.8262147903442383</v>
      </c>
    </row>
    <row r="681" spans="13:17" x14ac:dyDescent="0.25">
      <c r="M681">
        <v>339</v>
      </c>
      <c r="N681" s="214">
        <v>8.0024518966674805</v>
      </c>
      <c r="O681" s="214">
        <v>11.056291580200195</v>
      </c>
      <c r="P681" s="214">
        <v>8.4190940856933594</v>
      </c>
      <c r="Q681" s="214">
        <v>8.9120283126831055</v>
      </c>
    </row>
    <row r="682" spans="13:17" x14ac:dyDescent="0.25">
      <c r="M682">
        <v>339.5</v>
      </c>
      <c r="N682" s="214">
        <v>8.0423507690429688</v>
      </c>
      <c r="O682" s="214">
        <v>11.051350593566895</v>
      </c>
      <c r="P682" s="214">
        <v>8.4472923278808594</v>
      </c>
      <c r="Q682" s="214">
        <v>9.0060672760009766</v>
      </c>
    </row>
    <row r="683" spans="13:17" x14ac:dyDescent="0.25">
      <c r="M683">
        <v>340</v>
      </c>
      <c r="N683" s="214">
        <v>8.0774946212768555</v>
      </c>
      <c r="O683" s="214">
        <v>11.092145919799805</v>
      </c>
      <c r="P683" s="214">
        <v>8.486572265625</v>
      </c>
      <c r="Q683" s="214">
        <v>9.0289707183837891</v>
      </c>
    </row>
    <row r="684" spans="13:17" x14ac:dyDescent="0.25">
      <c r="M684">
        <v>340.5</v>
      </c>
      <c r="N684" s="214">
        <v>8.1774816513061523</v>
      </c>
      <c r="O684" s="214">
        <v>11.104289054870605</v>
      </c>
      <c r="P684" s="214">
        <v>8.5455875396728516</v>
      </c>
      <c r="Q684" s="214">
        <v>9.0292825698852539</v>
      </c>
    </row>
    <row r="685" spans="13:17" x14ac:dyDescent="0.25">
      <c r="M685">
        <v>341</v>
      </c>
      <c r="N685" s="214">
        <v>8.2695255279541016</v>
      </c>
      <c r="O685" s="214">
        <v>11.160529136657715</v>
      </c>
      <c r="P685" s="214">
        <v>8.5868549346923828</v>
      </c>
      <c r="Q685" s="214">
        <v>8.888763427734375</v>
      </c>
    </row>
    <row r="686" spans="13:17" x14ac:dyDescent="0.25">
      <c r="M686">
        <v>341.5</v>
      </c>
      <c r="N686" s="214">
        <v>8.2689056396484375</v>
      </c>
      <c r="O686" s="214">
        <v>11.08660888671875</v>
      </c>
      <c r="P686" s="214">
        <v>8.5287647247314453</v>
      </c>
      <c r="Q686" s="214">
        <v>8.7931833267211914</v>
      </c>
    </row>
    <row r="687" spans="13:17" x14ac:dyDescent="0.25">
      <c r="M687">
        <v>342</v>
      </c>
      <c r="N687" s="214">
        <v>8.3596048355102539</v>
      </c>
      <c r="O687" s="214">
        <v>11.165414810180664</v>
      </c>
      <c r="P687" s="214">
        <v>8.6023111343383789</v>
      </c>
      <c r="Q687" s="214">
        <v>9.111445426940918</v>
      </c>
    </row>
    <row r="688" spans="13:17" x14ac:dyDescent="0.25">
      <c r="M688">
        <v>342.5</v>
      </c>
      <c r="N688" s="214">
        <v>8.439763069152832</v>
      </c>
      <c r="O688" s="214">
        <v>11.197088241577148</v>
      </c>
      <c r="P688" s="214">
        <v>8.6488237380981445</v>
      </c>
      <c r="Q688" s="214">
        <v>9.2976903915405273</v>
      </c>
    </row>
    <row r="689" spans="13:17" x14ac:dyDescent="0.25">
      <c r="M689">
        <v>343</v>
      </c>
      <c r="N689" s="214">
        <v>8.3911256790161133</v>
      </c>
      <c r="O689" s="214">
        <v>11.200808525085449</v>
      </c>
      <c r="P689" s="214">
        <v>8.6058673858642578</v>
      </c>
      <c r="Q689" s="214">
        <v>9.3350315093994141</v>
      </c>
    </row>
    <row r="690" spans="13:17" x14ac:dyDescent="0.25">
      <c r="M690">
        <v>343.5</v>
      </c>
      <c r="N690" s="214">
        <v>8.4354877471923828</v>
      </c>
      <c r="O690" s="214">
        <v>11.182895660400391</v>
      </c>
      <c r="P690" s="214">
        <v>8.669581413269043</v>
      </c>
      <c r="Q690" s="214">
        <v>9.3611936569213867</v>
      </c>
    </row>
    <row r="691" spans="13:17" x14ac:dyDescent="0.25">
      <c r="M691">
        <v>344</v>
      </c>
      <c r="N691" s="214">
        <v>8.4959421157836914</v>
      </c>
      <c r="O691" s="214">
        <v>11.200268745422363</v>
      </c>
      <c r="P691" s="214">
        <v>8.6376237869262695</v>
      </c>
      <c r="Q691" s="214">
        <v>9.4364652633666992</v>
      </c>
    </row>
    <row r="692" spans="13:17" x14ac:dyDescent="0.25">
      <c r="M692">
        <v>344.5</v>
      </c>
      <c r="N692" s="214">
        <v>8.5926084518432617</v>
      </c>
      <c r="O692" s="214">
        <v>11.257616996765137</v>
      </c>
      <c r="P692" s="214">
        <v>8.7164220809936523</v>
      </c>
      <c r="Q692" s="214">
        <v>9.5500278472900391</v>
      </c>
    </row>
    <row r="693" spans="13:17" x14ac:dyDescent="0.25">
      <c r="M693">
        <v>345</v>
      </c>
      <c r="N693" s="214">
        <v>8.5587053298950195</v>
      </c>
      <c r="O693" s="214">
        <v>11.263382911682129</v>
      </c>
      <c r="P693" s="214">
        <v>8.7923526763916016</v>
      </c>
      <c r="Q693" s="214">
        <v>9.6100654602050781</v>
      </c>
    </row>
    <row r="694" spans="13:17" x14ac:dyDescent="0.25">
      <c r="M694">
        <v>345.5</v>
      </c>
      <c r="N694" s="214">
        <v>8.5285005569458008</v>
      </c>
      <c r="O694" s="214">
        <v>11.251482009887695</v>
      </c>
      <c r="P694" s="214">
        <v>8.8751659393310547</v>
      </c>
      <c r="Q694" s="214">
        <v>9.5911130905151367</v>
      </c>
    </row>
    <row r="695" spans="13:17" x14ac:dyDescent="0.25">
      <c r="M695">
        <v>346</v>
      </c>
      <c r="N695" s="214">
        <v>8.5947675704956055</v>
      </c>
      <c r="O695" s="214">
        <v>11.301557540893555</v>
      </c>
      <c r="P695" s="214">
        <v>8.8652286529541016</v>
      </c>
      <c r="Q695" s="214">
        <v>9.6650514602661133</v>
      </c>
    </row>
    <row r="696" spans="13:17" x14ac:dyDescent="0.25">
      <c r="M696">
        <v>346.5</v>
      </c>
      <c r="N696" s="214">
        <v>8.6465530395507813</v>
      </c>
      <c r="O696" s="214">
        <v>11.364330291748047</v>
      </c>
      <c r="P696" s="214">
        <v>8.9052152633666992</v>
      </c>
      <c r="Q696" s="214">
        <v>9.7608413696289063</v>
      </c>
    </row>
    <row r="697" spans="13:17" x14ac:dyDescent="0.25">
      <c r="M697">
        <v>347</v>
      </c>
      <c r="N697" s="214">
        <v>8.6678409576416016</v>
      </c>
      <c r="O697" s="214">
        <v>11.367600440979004</v>
      </c>
      <c r="P697" s="214">
        <v>8.9097738265991211</v>
      </c>
      <c r="Q697" s="214">
        <v>9.8115577697753906</v>
      </c>
    </row>
    <row r="698" spans="13:17" x14ac:dyDescent="0.25">
      <c r="M698">
        <v>347.5</v>
      </c>
      <c r="N698" s="214">
        <v>8.6801290512084961</v>
      </c>
      <c r="O698" s="214">
        <v>11.381689071655273</v>
      </c>
      <c r="P698" s="214">
        <v>9.0028190612792969</v>
      </c>
      <c r="Q698" s="214">
        <v>10.007939338684082</v>
      </c>
    </row>
    <row r="699" spans="13:17" x14ac:dyDescent="0.25">
      <c r="M699">
        <v>348</v>
      </c>
      <c r="N699" s="214">
        <v>8.7301921844482422</v>
      </c>
      <c r="O699" s="214">
        <v>11.326744079589844</v>
      </c>
      <c r="P699" s="214">
        <v>9.0461711883544922</v>
      </c>
      <c r="Q699" s="214">
        <v>10.090837478637695</v>
      </c>
    </row>
    <row r="700" spans="13:17" x14ac:dyDescent="0.25">
      <c r="M700">
        <v>348.5</v>
      </c>
      <c r="N700" s="214">
        <v>8.7774829864501953</v>
      </c>
      <c r="O700" s="214">
        <v>11.356192588806152</v>
      </c>
      <c r="P700" s="214">
        <v>9.112025260925293</v>
      </c>
      <c r="Q700" s="214">
        <v>10.148394584655762</v>
      </c>
    </row>
    <row r="701" spans="13:17" x14ac:dyDescent="0.25">
      <c r="M701">
        <v>349</v>
      </c>
      <c r="N701" s="214">
        <v>8.7141819000244141</v>
      </c>
      <c r="O701" s="214">
        <v>11.417716979980469</v>
      </c>
      <c r="P701" s="214">
        <v>9.100102424621582</v>
      </c>
      <c r="Q701" s="214">
        <v>10.182427406311035</v>
      </c>
    </row>
    <row r="702" spans="13:17" x14ac:dyDescent="0.25">
      <c r="M702">
        <v>349.5</v>
      </c>
      <c r="N702" s="214">
        <v>8.79937744140625</v>
      </c>
      <c r="O702" s="214">
        <v>11.442331314086914</v>
      </c>
      <c r="P702" s="214">
        <v>9.1300430297851563</v>
      </c>
      <c r="Q702" s="214">
        <v>10.308775901794434</v>
      </c>
    </row>
    <row r="703" spans="13:17" x14ac:dyDescent="0.25">
      <c r="M703">
        <v>350</v>
      </c>
      <c r="N703" s="214">
        <v>8.8275966644287109</v>
      </c>
      <c r="O703" s="214">
        <v>11.44925594329834</v>
      </c>
      <c r="P703" s="214">
        <v>9.2135229110717773</v>
      </c>
      <c r="Q703" s="214">
        <v>10.346529006958008</v>
      </c>
    </row>
    <row r="704" spans="13:17" x14ac:dyDescent="0.25">
      <c r="M704">
        <v>350.5</v>
      </c>
      <c r="N704" s="214">
        <v>8.8402652740478516</v>
      </c>
      <c r="O704" s="214">
        <v>11.503959655761719</v>
      </c>
      <c r="P704" s="214">
        <v>9.2566471099853516</v>
      </c>
      <c r="Q704" s="214">
        <v>10.423952102661133</v>
      </c>
    </row>
    <row r="705" spans="13:17" x14ac:dyDescent="0.25">
      <c r="M705">
        <v>351</v>
      </c>
      <c r="N705" s="214">
        <v>8.8578968048095703</v>
      </c>
      <c r="O705" s="214">
        <v>11.486902236938477</v>
      </c>
      <c r="P705" s="214">
        <v>9.2725276947021484</v>
      </c>
      <c r="Q705" s="214">
        <v>10.559271812438965</v>
      </c>
    </row>
    <row r="706" spans="13:17" x14ac:dyDescent="0.25">
      <c r="M706">
        <v>351.5</v>
      </c>
      <c r="N706" s="214">
        <v>8.9200296401977539</v>
      </c>
      <c r="O706" s="214">
        <v>11.483952522277832</v>
      </c>
      <c r="P706" s="214">
        <v>9.3658933639526367</v>
      </c>
      <c r="Q706" s="214">
        <v>10.843105316162109</v>
      </c>
    </row>
    <row r="707" spans="13:17" x14ac:dyDescent="0.25">
      <c r="M707">
        <v>352</v>
      </c>
      <c r="N707" s="214">
        <v>8.9748020172119141</v>
      </c>
      <c r="O707" s="214">
        <v>11.531854629516602</v>
      </c>
      <c r="P707" s="214">
        <v>9.3753833770751953</v>
      </c>
      <c r="Q707" s="214">
        <v>10.902026176452637</v>
      </c>
    </row>
    <row r="708" spans="13:17" x14ac:dyDescent="0.25">
      <c r="M708">
        <v>352.5</v>
      </c>
      <c r="N708" s="214">
        <v>9.0165815353393555</v>
      </c>
      <c r="O708" s="214">
        <v>11.540359497070313</v>
      </c>
      <c r="P708" s="214">
        <v>9.4095211029052734</v>
      </c>
      <c r="Q708" s="214">
        <v>10.906864166259766</v>
      </c>
    </row>
    <row r="709" spans="13:17" x14ac:dyDescent="0.25">
      <c r="M709">
        <v>353</v>
      </c>
      <c r="N709" s="214">
        <v>9.0331087112426758</v>
      </c>
      <c r="O709" s="214">
        <v>11.570684432983398</v>
      </c>
      <c r="P709" s="214">
        <v>9.3840856552124023</v>
      </c>
      <c r="Q709" s="214">
        <v>11.053343772888184</v>
      </c>
    </row>
    <row r="710" spans="13:17" x14ac:dyDescent="0.25">
      <c r="M710">
        <v>353.5</v>
      </c>
      <c r="N710" s="214">
        <v>9.0744514465332031</v>
      </c>
      <c r="O710" s="214">
        <v>11.573407173156738</v>
      </c>
      <c r="P710" s="214">
        <v>9.4697818756103516</v>
      </c>
      <c r="Q710" s="214">
        <v>11.072042465209961</v>
      </c>
    </row>
    <row r="711" spans="13:17" x14ac:dyDescent="0.25">
      <c r="M711">
        <v>354</v>
      </c>
      <c r="N711" s="214">
        <v>9.1428298950195313</v>
      </c>
      <c r="O711" s="214">
        <v>11.637080192565918</v>
      </c>
      <c r="P711" s="214">
        <v>9.4923830032348633</v>
      </c>
      <c r="Q711" s="214">
        <v>11.197653770446777</v>
      </c>
    </row>
    <row r="712" spans="13:17" x14ac:dyDescent="0.25">
      <c r="M712">
        <v>354.5</v>
      </c>
      <c r="N712" s="214">
        <v>9.1338119506835938</v>
      </c>
      <c r="O712" s="214">
        <v>11.655616760253906</v>
      </c>
      <c r="P712" s="214">
        <v>9.5837678909301758</v>
      </c>
      <c r="Q712" s="214">
        <v>11.290805816650391</v>
      </c>
    </row>
    <row r="713" spans="13:17" x14ac:dyDescent="0.25">
      <c r="M713">
        <v>355</v>
      </c>
      <c r="N713" s="214">
        <v>8.9355859756469727</v>
      </c>
      <c r="O713" s="214">
        <v>11.671272277832031</v>
      </c>
      <c r="P713" s="214">
        <v>9.653864860534668</v>
      </c>
      <c r="Q713" s="214">
        <v>11.342378616333008</v>
      </c>
    </row>
    <row r="714" spans="13:17" x14ac:dyDescent="0.25">
      <c r="M714">
        <v>355.5</v>
      </c>
      <c r="N714" s="214">
        <v>9.0372390747070313</v>
      </c>
      <c r="O714" s="214">
        <v>11.721452713012695</v>
      </c>
      <c r="P714" s="214">
        <v>9.6129331588745117</v>
      </c>
      <c r="Q714" s="214">
        <v>11.412006378173828</v>
      </c>
    </row>
    <row r="715" spans="13:17" x14ac:dyDescent="0.25">
      <c r="M715">
        <v>356</v>
      </c>
      <c r="N715" s="214">
        <v>9.2125396728515625</v>
      </c>
      <c r="O715" s="214">
        <v>11.726997375488281</v>
      </c>
      <c r="P715" s="214">
        <v>9.7441253662109375</v>
      </c>
      <c r="Q715" s="214">
        <v>11.391427040100098</v>
      </c>
    </row>
    <row r="716" spans="13:17" x14ac:dyDescent="0.25">
      <c r="M716">
        <v>356.5</v>
      </c>
      <c r="N716" s="214">
        <v>9.4039077758789063</v>
      </c>
      <c r="O716" s="214">
        <v>11.749323844909668</v>
      </c>
      <c r="P716" s="214">
        <v>9.7772665023803711</v>
      </c>
      <c r="Q716" s="214">
        <v>11.559188842773438</v>
      </c>
    </row>
    <row r="717" spans="13:17" x14ac:dyDescent="0.25">
      <c r="M717">
        <v>357</v>
      </c>
      <c r="N717" s="214">
        <v>9.5228195190429688</v>
      </c>
      <c r="O717" s="214">
        <v>11.790319442749023</v>
      </c>
      <c r="P717" s="214">
        <v>9.8163719177246094</v>
      </c>
      <c r="Q717" s="214">
        <v>11.609992027282715</v>
      </c>
    </row>
    <row r="718" spans="13:17" x14ac:dyDescent="0.25">
      <c r="M718">
        <v>357.5</v>
      </c>
      <c r="N718" s="214">
        <v>9.5050315856933594</v>
      </c>
      <c r="O718" s="214">
        <v>11.820387840270996</v>
      </c>
      <c r="P718" s="214">
        <v>9.8326320648193359</v>
      </c>
      <c r="Q718" s="214">
        <v>11.728346824645996</v>
      </c>
    </row>
    <row r="719" spans="13:17" x14ac:dyDescent="0.25">
      <c r="M719">
        <v>358</v>
      </c>
      <c r="N719" s="214">
        <v>9.4744043350219727</v>
      </c>
      <c r="O719" s="214">
        <v>11.820230484008789</v>
      </c>
      <c r="P719" s="214">
        <v>9.9136209487915039</v>
      </c>
      <c r="Q719" s="214">
        <v>11.817200660705566</v>
      </c>
    </row>
    <row r="720" spans="13:17" x14ac:dyDescent="0.25">
      <c r="M720">
        <v>358.5</v>
      </c>
      <c r="N720" s="214">
        <v>9.5587120056152344</v>
      </c>
      <c r="O720" s="214">
        <v>11.880023002624512</v>
      </c>
      <c r="P720" s="214">
        <v>9.9485454559326172</v>
      </c>
      <c r="Q720" s="214">
        <v>11.77674674987793</v>
      </c>
    </row>
    <row r="721" spans="13:17" x14ac:dyDescent="0.25">
      <c r="M721">
        <v>359</v>
      </c>
      <c r="N721" s="214">
        <v>9.6518020629882813</v>
      </c>
      <c r="O721" s="214">
        <v>11.894172668457031</v>
      </c>
      <c r="P721" s="214">
        <v>10.026348114013672</v>
      </c>
      <c r="Q721" s="214">
        <v>11.811915397644043</v>
      </c>
    </row>
    <row r="722" spans="13:17" x14ac:dyDescent="0.25">
      <c r="M722">
        <v>359.5</v>
      </c>
      <c r="N722" s="214">
        <v>9.8457565307617188</v>
      </c>
      <c r="O722" s="214">
        <v>11.934666633605957</v>
      </c>
      <c r="P722" s="214">
        <v>10.05381965637207</v>
      </c>
      <c r="Q722" s="214">
        <v>11.936471939086914</v>
      </c>
    </row>
    <row r="723" spans="13:17" x14ac:dyDescent="0.25">
      <c r="M723">
        <v>360</v>
      </c>
      <c r="N723" s="214">
        <v>9.7624502182006836</v>
      </c>
      <c r="O723" s="214">
        <v>11.958930969238281</v>
      </c>
      <c r="P723" s="214">
        <v>10.068537712097168</v>
      </c>
      <c r="Q723" s="214">
        <v>12.048380851745605</v>
      </c>
    </row>
    <row r="724" spans="13:17" x14ac:dyDescent="0.25">
      <c r="M724">
        <v>360.5</v>
      </c>
      <c r="N724" s="214">
        <v>9.7027778625488281</v>
      </c>
      <c r="O724" s="214">
        <v>12.02247142791748</v>
      </c>
      <c r="P724" s="214">
        <v>10.086069107055664</v>
      </c>
      <c r="Q724" s="214">
        <v>12.200541496276855</v>
      </c>
    </row>
    <row r="725" spans="13:17" x14ac:dyDescent="0.25">
      <c r="M725">
        <v>361</v>
      </c>
      <c r="N725" s="214">
        <v>9.8537178039550781</v>
      </c>
      <c r="O725" s="214">
        <v>12.000128746032715</v>
      </c>
      <c r="P725" s="214">
        <v>10.21405029296875</v>
      </c>
      <c r="Q725" s="214">
        <v>12.256853103637695</v>
      </c>
    </row>
    <row r="726" spans="13:17" x14ac:dyDescent="0.25">
      <c r="M726">
        <v>361.5</v>
      </c>
      <c r="N726" s="214">
        <v>10.080863952636719</v>
      </c>
      <c r="O726" s="214">
        <v>12.021819114685059</v>
      </c>
      <c r="P726" s="214">
        <v>10.286036491394043</v>
      </c>
      <c r="Q726" s="214">
        <v>12.352665901184082</v>
      </c>
    </row>
    <row r="727" spans="13:17" x14ac:dyDescent="0.25">
      <c r="M727">
        <v>362</v>
      </c>
      <c r="N727" s="214">
        <v>10.221771240234375</v>
      </c>
      <c r="O727" s="214">
        <v>12.079022407531738</v>
      </c>
      <c r="P727" s="214">
        <v>10.280689239501953</v>
      </c>
      <c r="Q727" s="214">
        <v>12.251193046569824</v>
      </c>
    </row>
    <row r="728" spans="13:17" x14ac:dyDescent="0.25">
      <c r="M728">
        <v>362.5</v>
      </c>
      <c r="N728" s="214">
        <v>10.281292915344238</v>
      </c>
      <c r="O728" s="214">
        <v>12.118640899658203</v>
      </c>
      <c r="P728" s="214">
        <v>10.35976505279541</v>
      </c>
      <c r="Q728" s="214">
        <v>12.119719505310059</v>
      </c>
    </row>
    <row r="729" spans="13:17" x14ac:dyDescent="0.25">
      <c r="M729">
        <v>363</v>
      </c>
      <c r="N729" s="214">
        <v>10.275711059570313</v>
      </c>
      <c r="O729" s="214">
        <v>12.12041187286377</v>
      </c>
      <c r="P729" s="214">
        <v>10.45933723449707</v>
      </c>
      <c r="Q729" s="214">
        <v>12.441530227661133</v>
      </c>
    </row>
    <row r="730" spans="13:17" x14ac:dyDescent="0.25">
      <c r="M730">
        <v>363.5</v>
      </c>
      <c r="N730" s="214">
        <v>10.343116760253906</v>
      </c>
      <c r="O730" s="214">
        <v>12.226192474365234</v>
      </c>
      <c r="P730" s="214">
        <v>10.405093193054199</v>
      </c>
      <c r="Q730" s="214">
        <v>12.544261932373047</v>
      </c>
    </row>
    <row r="731" spans="13:17" x14ac:dyDescent="0.25">
      <c r="M731">
        <v>364</v>
      </c>
      <c r="N731" s="214">
        <v>10.38617992401123</v>
      </c>
      <c r="O731" s="214">
        <v>12.267613410949707</v>
      </c>
      <c r="P731" s="214">
        <v>10.579507827758789</v>
      </c>
      <c r="Q731" s="214">
        <v>12.659913063049316</v>
      </c>
    </row>
    <row r="732" spans="13:17" x14ac:dyDescent="0.25">
      <c r="M732">
        <v>364.5</v>
      </c>
      <c r="N732" s="214">
        <v>10.527041435241699</v>
      </c>
      <c r="O732" s="214">
        <v>12.301258087158203</v>
      </c>
      <c r="P732" s="214">
        <v>10.59882926940918</v>
      </c>
      <c r="Q732" s="214">
        <v>12.784829139709473</v>
      </c>
    </row>
    <row r="733" spans="13:17" x14ac:dyDescent="0.25">
      <c r="M733">
        <v>365</v>
      </c>
      <c r="N733" s="214">
        <v>10.6021728515625</v>
      </c>
      <c r="O733" s="214">
        <v>12.337557792663574</v>
      </c>
      <c r="P733" s="214">
        <v>10.653493881225586</v>
      </c>
      <c r="Q733" s="214">
        <v>12.840182304382324</v>
      </c>
    </row>
    <row r="734" spans="13:17" x14ac:dyDescent="0.25">
      <c r="M734">
        <v>365.5</v>
      </c>
      <c r="N734" s="214">
        <v>10.697565078735352</v>
      </c>
      <c r="O734" s="214">
        <v>12.333820343017578</v>
      </c>
      <c r="P734" s="214">
        <v>10.718647003173828</v>
      </c>
      <c r="Q734" s="214">
        <v>12.934507369995117</v>
      </c>
    </row>
    <row r="735" spans="13:17" x14ac:dyDescent="0.25">
      <c r="M735">
        <v>366</v>
      </c>
      <c r="N735" s="214">
        <v>10.759557723999023</v>
      </c>
      <c r="O735" s="214">
        <v>12.389263153076172</v>
      </c>
      <c r="P735" s="214">
        <v>10.820137023925781</v>
      </c>
      <c r="Q735" s="214">
        <v>12.909475326538086</v>
      </c>
    </row>
    <row r="736" spans="13:17" x14ac:dyDescent="0.25">
      <c r="M736">
        <v>366.5</v>
      </c>
      <c r="N736" s="214">
        <v>10.775035858154297</v>
      </c>
      <c r="O736" s="214">
        <v>12.367619514465332</v>
      </c>
      <c r="P736" s="214">
        <v>10.93231201171875</v>
      </c>
      <c r="Q736" s="214">
        <v>13.014430999755859</v>
      </c>
    </row>
    <row r="737" spans="13:17" x14ac:dyDescent="0.25">
      <c r="M737">
        <v>367</v>
      </c>
      <c r="N737" s="214">
        <v>10.900014877319336</v>
      </c>
      <c r="O737" s="214">
        <v>12.448150634765625</v>
      </c>
      <c r="P737" s="214">
        <v>10.972410202026367</v>
      </c>
      <c r="Q737" s="214">
        <v>13.176577568054199</v>
      </c>
    </row>
    <row r="738" spans="13:17" x14ac:dyDescent="0.25">
      <c r="M738">
        <v>367.5</v>
      </c>
      <c r="N738" s="214">
        <v>10.947420120239258</v>
      </c>
      <c r="O738" s="214">
        <v>12.51541805267334</v>
      </c>
      <c r="P738" s="214">
        <v>11.02587890625</v>
      </c>
      <c r="Q738" s="214">
        <v>13.411989212036133</v>
      </c>
    </row>
    <row r="739" spans="13:17" x14ac:dyDescent="0.25">
      <c r="M739">
        <v>368</v>
      </c>
      <c r="N739" s="214">
        <v>11.093741416931152</v>
      </c>
      <c r="O739" s="214">
        <v>12.513352394104004</v>
      </c>
      <c r="P739" s="214">
        <v>11.084660530090332</v>
      </c>
      <c r="Q739" s="214">
        <v>13.435173988342285</v>
      </c>
    </row>
    <row r="740" spans="13:17" x14ac:dyDescent="0.25">
      <c r="M740">
        <v>368.5</v>
      </c>
      <c r="N740" s="214">
        <v>11.138871192932129</v>
      </c>
      <c r="O740" s="214">
        <v>12.557804107666016</v>
      </c>
      <c r="P740" s="214">
        <v>11.124853134155273</v>
      </c>
      <c r="Q740" s="214">
        <v>13.595412254333496</v>
      </c>
    </row>
    <row r="741" spans="13:17" x14ac:dyDescent="0.25">
      <c r="M741">
        <v>369</v>
      </c>
      <c r="N741" s="214">
        <v>11.230686187744141</v>
      </c>
      <c r="O741" s="214">
        <v>12.564426422119141</v>
      </c>
      <c r="P741" s="214">
        <v>11.186655044555664</v>
      </c>
      <c r="Q741" s="214">
        <v>13.69171142578125</v>
      </c>
    </row>
    <row r="742" spans="13:17" x14ac:dyDescent="0.25">
      <c r="M742">
        <v>369.5</v>
      </c>
      <c r="N742" s="214">
        <v>11.257330894470215</v>
      </c>
      <c r="O742" s="214">
        <v>12.640188217163086</v>
      </c>
      <c r="P742" s="214">
        <v>11.26223087310791</v>
      </c>
      <c r="Q742" s="214">
        <v>13.904150009155273</v>
      </c>
    </row>
    <row r="743" spans="13:17" x14ac:dyDescent="0.25">
      <c r="M743">
        <v>370</v>
      </c>
      <c r="N743" s="214">
        <v>11.406983375549316</v>
      </c>
      <c r="O743" s="214">
        <v>12.716679573059082</v>
      </c>
      <c r="P743" s="214">
        <v>11.330183982849121</v>
      </c>
      <c r="Q743" s="214">
        <v>13.88575267791748</v>
      </c>
    </row>
    <row r="744" spans="13:17" x14ac:dyDescent="0.25">
      <c r="M744">
        <v>370.5</v>
      </c>
      <c r="N744" s="214">
        <v>11.332907676696777</v>
      </c>
      <c r="O744" s="214">
        <v>12.783553123474121</v>
      </c>
      <c r="P744" s="214">
        <v>11.402538299560547</v>
      </c>
      <c r="Q744" s="214">
        <v>13.964390754699707</v>
      </c>
    </row>
    <row r="745" spans="13:17" x14ac:dyDescent="0.25">
      <c r="M745">
        <v>371</v>
      </c>
      <c r="N745" s="214">
        <v>11.445217132568359</v>
      </c>
      <c r="O745" s="214">
        <v>12.807746887207031</v>
      </c>
      <c r="P745" s="214">
        <v>11.48789119720459</v>
      </c>
      <c r="Q745" s="214">
        <v>14.08155345916748</v>
      </c>
    </row>
    <row r="746" spans="13:17" x14ac:dyDescent="0.25">
      <c r="M746">
        <v>371.5</v>
      </c>
      <c r="N746" s="214">
        <v>11.5592041015625</v>
      </c>
      <c r="O746" s="214">
        <v>12.830946922302246</v>
      </c>
      <c r="P746" s="214">
        <v>11.513362884521484</v>
      </c>
      <c r="Q746" s="214">
        <v>14.303678512573242</v>
      </c>
    </row>
    <row r="747" spans="13:17" x14ac:dyDescent="0.25">
      <c r="M747">
        <v>372</v>
      </c>
      <c r="N747" s="214">
        <v>11.608037948608398</v>
      </c>
      <c r="O747" s="214">
        <v>12.918237686157227</v>
      </c>
      <c r="P747" s="214">
        <v>11.631187438964844</v>
      </c>
      <c r="Q747" s="214">
        <v>14.587233543395996</v>
      </c>
    </row>
    <row r="748" spans="13:17" x14ac:dyDescent="0.25">
      <c r="M748">
        <v>372.5</v>
      </c>
      <c r="N748" s="214">
        <v>11.645443916320801</v>
      </c>
      <c r="O748" s="214">
        <v>12.950807571411133</v>
      </c>
      <c r="P748" s="214">
        <v>11.716741561889648</v>
      </c>
      <c r="Q748" s="214">
        <v>14.794561386108398</v>
      </c>
    </row>
    <row r="749" spans="13:17" x14ac:dyDescent="0.25">
      <c r="M749">
        <v>373</v>
      </c>
      <c r="N749" s="214">
        <v>11.667807579040527</v>
      </c>
      <c r="O749" s="214">
        <v>12.967679023742676</v>
      </c>
      <c r="P749" s="214">
        <v>11.75987720489502</v>
      </c>
      <c r="Q749" s="214">
        <v>14.83957576751709</v>
      </c>
    </row>
    <row r="750" spans="13:17" x14ac:dyDescent="0.25">
      <c r="M750">
        <v>373.5</v>
      </c>
      <c r="N750" s="214">
        <v>11.81489372253418</v>
      </c>
      <c r="O750" s="214">
        <v>13.03363037109375</v>
      </c>
      <c r="P750" s="214">
        <v>11.858585357666016</v>
      </c>
      <c r="Q750" s="214">
        <v>15.108944892883301</v>
      </c>
    </row>
    <row r="751" spans="13:17" x14ac:dyDescent="0.25">
      <c r="M751">
        <v>374</v>
      </c>
      <c r="N751" s="214">
        <v>11.899041175842285</v>
      </c>
      <c r="O751" s="214">
        <v>13.033317565917969</v>
      </c>
      <c r="P751" s="214">
        <v>11.960971832275391</v>
      </c>
      <c r="Q751" s="214">
        <v>15.270101547241211</v>
      </c>
    </row>
    <row r="752" spans="13:17" x14ac:dyDescent="0.25">
      <c r="M752">
        <v>374.5</v>
      </c>
      <c r="N752" s="214">
        <v>11.979030609130859</v>
      </c>
      <c r="O752" s="214">
        <v>13.069745063781738</v>
      </c>
      <c r="P752" s="214">
        <v>12.118227005004883</v>
      </c>
      <c r="Q752" s="214">
        <v>15.337005615234375</v>
      </c>
    </row>
    <row r="753" spans="13:17" x14ac:dyDescent="0.25">
      <c r="M753">
        <v>375</v>
      </c>
      <c r="N753" s="214">
        <v>12.105871200561523</v>
      </c>
      <c r="O753" s="214">
        <v>13.143407821655273</v>
      </c>
      <c r="P753" s="214">
        <v>12.126921653747559</v>
      </c>
      <c r="Q753" s="214">
        <v>15.56580638885498</v>
      </c>
    </row>
    <row r="754" spans="13:17" x14ac:dyDescent="0.25">
      <c r="M754">
        <v>375.5</v>
      </c>
      <c r="N754" s="214">
        <v>12.181859970092773</v>
      </c>
      <c r="O754" s="214">
        <v>13.158798217773438</v>
      </c>
      <c r="P754" s="214">
        <v>12.209980964660645</v>
      </c>
      <c r="Q754" s="214">
        <v>15.664265632629395</v>
      </c>
    </row>
    <row r="755" spans="13:17" x14ac:dyDescent="0.25">
      <c r="M755">
        <v>376</v>
      </c>
      <c r="N755" s="214">
        <v>12.24151611328125</v>
      </c>
      <c r="O755" s="214">
        <v>13.227423667907715</v>
      </c>
      <c r="P755" s="214">
        <v>12.242871284484863</v>
      </c>
      <c r="Q755" s="214">
        <v>15.896054267883301</v>
      </c>
    </row>
    <row r="756" spans="13:17" x14ac:dyDescent="0.25">
      <c r="M756">
        <v>376.5</v>
      </c>
      <c r="N756" s="214">
        <v>12.324238777160645</v>
      </c>
      <c r="O756" s="214">
        <v>13.317317008972168</v>
      </c>
      <c r="P756" s="214">
        <v>12.408220291137695</v>
      </c>
      <c r="Q756" s="214">
        <v>16.091180801391602</v>
      </c>
    </row>
    <row r="757" spans="13:17" x14ac:dyDescent="0.25">
      <c r="M757">
        <v>377</v>
      </c>
      <c r="N757" s="214">
        <v>12.398917198181152</v>
      </c>
      <c r="O757" s="214">
        <v>13.318364143371582</v>
      </c>
      <c r="P757" s="214">
        <v>12.466259956359863</v>
      </c>
      <c r="Q757" s="214">
        <v>16.182994842529297</v>
      </c>
    </row>
    <row r="758" spans="13:17" x14ac:dyDescent="0.25">
      <c r="M758">
        <v>377.5</v>
      </c>
      <c r="N758" s="214">
        <v>12.492061614990234</v>
      </c>
      <c r="O758" s="214">
        <v>13.401594161987305</v>
      </c>
      <c r="P758" s="214">
        <v>12.542667388916016</v>
      </c>
      <c r="Q758" s="214">
        <v>16.346292495727539</v>
      </c>
    </row>
    <row r="759" spans="13:17" x14ac:dyDescent="0.25">
      <c r="M759">
        <v>378</v>
      </c>
      <c r="N759" s="214">
        <v>12.614254951477051</v>
      </c>
      <c r="O759" s="214">
        <v>13.507757186889648</v>
      </c>
      <c r="P759" s="214">
        <v>12.643264770507813</v>
      </c>
      <c r="Q759" s="214">
        <v>16.528667449951172</v>
      </c>
    </row>
    <row r="760" spans="13:17" x14ac:dyDescent="0.25">
      <c r="M760">
        <v>378.5</v>
      </c>
      <c r="N760" s="214">
        <v>12.632962226867676</v>
      </c>
      <c r="O760" s="214">
        <v>13.570025444030762</v>
      </c>
      <c r="P760" s="214">
        <v>12.713719367980957</v>
      </c>
      <c r="Q760" s="214">
        <v>16.714424133300781</v>
      </c>
    </row>
    <row r="761" spans="13:17" x14ac:dyDescent="0.25">
      <c r="M761">
        <v>379</v>
      </c>
      <c r="N761" s="214">
        <v>12.762585639953613</v>
      </c>
      <c r="O761" s="214">
        <v>13.605079650878906</v>
      </c>
      <c r="P761" s="214">
        <v>12.784034729003906</v>
      </c>
      <c r="Q761" s="214">
        <v>16.891220092773438</v>
      </c>
    </row>
    <row r="762" spans="13:17" x14ac:dyDescent="0.25">
      <c r="M762">
        <v>379.5</v>
      </c>
      <c r="N762" s="214">
        <v>12.855277061462402</v>
      </c>
      <c r="O762" s="214">
        <v>13.651299476623535</v>
      </c>
      <c r="P762" s="214">
        <v>12.923892021179199</v>
      </c>
      <c r="Q762" s="214">
        <v>17.128433227539063</v>
      </c>
    </row>
    <row r="763" spans="13:17" x14ac:dyDescent="0.25">
      <c r="M763">
        <v>380</v>
      </c>
      <c r="N763" s="214">
        <v>12.88383674621582</v>
      </c>
      <c r="O763" s="214">
        <v>13.713521957397461</v>
      </c>
      <c r="P763" s="214">
        <v>12.967765808105469</v>
      </c>
      <c r="Q763" s="214">
        <v>17.282634735107422</v>
      </c>
    </row>
    <row r="764" spans="13:17" x14ac:dyDescent="0.25">
      <c r="M764">
        <v>380.5</v>
      </c>
      <c r="N764" s="214">
        <v>13.063621520996094</v>
      </c>
      <c r="O764" s="214">
        <v>13.739909172058105</v>
      </c>
      <c r="P764" s="214">
        <v>13.037136077880859</v>
      </c>
      <c r="Q764" s="214">
        <v>17.491739273071289</v>
      </c>
    </row>
    <row r="765" spans="13:17" x14ac:dyDescent="0.25">
      <c r="M765">
        <v>381</v>
      </c>
      <c r="N765" s="214">
        <v>13.110793113708496</v>
      </c>
      <c r="O765" s="214">
        <v>13.83940315246582</v>
      </c>
      <c r="P765" s="214">
        <v>13.207029342651367</v>
      </c>
      <c r="Q765" s="214">
        <v>17.824256896972656</v>
      </c>
    </row>
    <row r="766" spans="13:17" x14ac:dyDescent="0.25">
      <c r="M766">
        <v>381.5</v>
      </c>
      <c r="N766" s="214">
        <v>13.286107063293457</v>
      </c>
      <c r="O766" s="214">
        <v>13.978055953979492</v>
      </c>
      <c r="P766" s="214">
        <v>13.268835067749023</v>
      </c>
      <c r="Q766" s="214">
        <v>18.183193206787109</v>
      </c>
    </row>
    <row r="767" spans="13:17" x14ac:dyDescent="0.25">
      <c r="M767">
        <v>382</v>
      </c>
      <c r="N767" s="214">
        <v>13.38231372833252</v>
      </c>
      <c r="O767" s="214">
        <v>13.959917068481445</v>
      </c>
      <c r="P767" s="214">
        <v>13.403852462768555</v>
      </c>
      <c r="Q767" s="214">
        <v>18.385129928588867</v>
      </c>
    </row>
    <row r="768" spans="13:17" x14ac:dyDescent="0.25">
      <c r="M768">
        <v>382.5</v>
      </c>
      <c r="N768" s="214">
        <v>13.540197372436523</v>
      </c>
      <c r="O768" s="214">
        <v>14.067141532897949</v>
      </c>
      <c r="P768" s="214">
        <v>13.466642379760742</v>
      </c>
      <c r="Q768" s="214">
        <v>18.450178146362305</v>
      </c>
    </row>
    <row r="769" spans="13:17" x14ac:dyDescent="0.25">
      <c r="M769">
        <v>383</v>
      </c>
      <c r="N769" s="214">
        <v>13.545461654663086</v>
      </c>
      <c r="O769" s="214">
        <v>14.072882652282715</v>
      </c>
      <c r="P769" s="214">
        <v>13.556171417236328</v>
      </c>
      <c r="Q769" s="214">
        <v>18.728425979614258</v>
      </c>
    </row>
    <row r="770" spans="13:17" x14ac:dyDescent="0.25">
      <c r="M770">
        <v>383.5</v>
      </c>
      <c r="N770" s="214">
        <v>13.653011322021484</v>
      </c>
      <c r="O770" s="214">
        <v>14.133703231811523</v>
      </c>
      <c r="P770" s="214">
        <v>13.601901054382324</v>
      </c>
      <c r="Q770" s="214">
        <v>19.11332893371582</v>
      </c>
    </row>
    <row r="771" spans="13:17" x14ac:dyDescent="0.25">
      <c r="M771">
        <v>384</v>
      </c>
      <c r="N771" s="214">
        <v>13.808271408081055</v>
      </c>
      <c r="O771" s="214">
        <v>14.230672836303711</v>
      </c>
      <c r="P771" s="214">
        <v>13.780661582946777</v>
      </c>
      <c r="Q771" s="214">
        <v>19.205326080322266</v>
      </c>
    </row>
    <row r="772" spans="13:17" x14ac:dyDescent="0.25">
      <c r="M772">
        <v>384.5</v>
      </c>
      <c r="N772" s="214">
        <v>13.896930694580078</v>
      </c>
      <c r="O772" s="214">
        <v>14.286300659179688</v>
      </c>
      <c r="P772" s="214">
        <v>13.847026824951172</v>
      </c>
      <c r="Q772" s="214">
        <v>19.501913070678711</v>
      </c>
    </row>
    <row r="773" spans="13:17" x14ac:dyDescent="0.25">
      <c r="M773">
        <v>385</v>
      </c>
      <c r="N773" s="214">
        <v>14.064042091369629</v>
      </c>
      <c r="O773" s="214">
        <v>14.325168609619141</v>
      </c>
      <c r="P773" s="214">
        <v>13.967377662658691</v>
      </c>
      <c r="Q773" s="214">
        <v>19.701080322265625</v>
      </c>
    </row>
    <row r="774" spans="13:17" x14ac:dyDescent="0.25">
      <c r="M774">
        <v>385.5</v>
      </c>
      <c r="N774" s="214">
        <v>14.204133033752441</v>
      </c>
      <c r="O774" s="214">
        <v>14.487649917602539</v>
      </c>
      <c r="P774" s="214">
        <v>14.025631904602051</v>
      </c>
      <c r="Q774" s="214">
        <v>20.007802963256836</v>
      </c>
    </row>
    <row r="775" spans="13:17" x14ac:dyDescent="0.25">
      <c r="M775">
        <v>386</v>
      </c>
      <c r="N775" s="214">
        <v>14.417428016662598</v>
      </c>
      <c r="O775" s="214">
        <v>14.525212287902832</v>
      </c>
      <c r="P775" s="214">
        <v>14.196213722229004</v>
      </c>
      <c r="Q775" s="214">
        <v>20.290647506713867</v>
      </c>
    </row>
    <row r="776" spans="13:17" x14ac:dyDescent="0.25">
      <c r="M776">
        <v>386.5</v>
      </c>
      <c r="N776" s="214">
        <v>14.570869445800781</v>
      </c>
      <c r="O776" s="214">
        <v>14.604798316955566</v>
      </c>
      <c r="P776" s="214">
        <v>14.29383373260498</v>
      </c>
      <c r="Q776" s="214">
        <v>20.571680068969727</v>
      </c>
    </row>
    <row r="777" spans="13:17" x14ac:dyDescent="0.25">
      <c r="M777">
        <v>387</v>
      </c>
      <c r="N777" s="214">
        <v>14.716350555419922</v>
      </c>
      <c r="O777" s="214">
        <v>14.614897727966309</v>
      </c>
      <c r="P777" s="214">
        <v>14.443774223327637</v>
      </c>
      <c r="Q777" s="214">
        <v>20.927925109863281</v>
      </c>
    </row>
    <row r="778" spans="13:17" x14ac:dyDescent="0.25">
      <c r="M778">
        <v>387.5</v>
      </c>
      <c r="N778" s="214">
        <v>14.757948875427246</v>
      </c>
      <c r="O778" s="214">
        <v>14.719623565673828</v>
      </c>
      <c r="P778" s="214">
        <v>14.513800621032715</v>
      </c>
      <c r="Q778" s="214">
        <v>21.282114028930664</v>
      </c>
    </row>
    <row r="779" spans="13:17" x14ac:dyDescent="0.25">
      <c r="M779">
        <v>388</v>
      </c>
      <c r="N779" s="214">
        <v>14.926556587219238</v>
      </c>
      <c r="O779" s="214">
        <v>14.769805908203125</v>
      </c>
      <c r="P779" s="214">
        <v>14.589441299438477</v>
      </c>
      <c r="Q779" s="214">
        <v>21.738595962524414</v>
      </c>
    </row>
    <row r="780" spans="13:17" x14ac:dyDescent="0.25">
      <c r="M780">
        <v>388.5</v>
      </c>
      <c r="N780" s="214">
        <v>15.028753280639648</v>
      </c>
      <c r="O780" s="214">
        <v>14.884767532348633</v>
      </c>
      <c r="P780" s="214">
        <v>14.742178916931152</v>
      </c>
      <c r="Q780" s="214">
        <v>22.003211975097656</v>
      </c>
    </row>
    <row r="781" spans="13:17" x14ac:dyDescent="0.25">
      <c r="M781">
        <v>389</v>
      </c>
      <c r="N781" s="214">
        <v>15.17225456237793</v>
      </c>
      <c r="O781" s="214">
        <v>14.920808792114258</v>
      </c>
      <c r="P781" s="214">
        <v>14.848079681396484</v>
      </c>
      <c r="Q781" s="214">
        <v>22.351108551025391</v>
      </c>
    </row>
    <row r="782" spans="13:17" x14ac:dyDescent="0.25">
      <c r="M782">
        <v>389.5</v>
      </c>
      <c r="N782" s="214">
        <v>15.316750526428223</v>
      </c>
      <c r="O782" s="214">
        <v>15.112922668457031</v>
      </c>
      <c r="P782" s="214">
        <v>14.920199394226074</v>
      </c>
      <c r="Q782" s="214">
        <v>22.889308929443359</v>
      </c>
    </row>
    <row r="783" spans="13:17" x14ac:dyDescent="0.25">
      <c r="M783">
        <v>390</v>
      </c>
      <c r="N783" s="214">
        <v>15.49470329284668</v>
      </c>
      <c r="O783" s="214">
        <v>15.117159843444824</v>
      </c>
      <c r="P783" s="214">
        <v>15.05476188659668</v>
      </c>
      <c r="Q783" s="214">
        <v>23.212551116943359</v>
      </c>
    </row>
    <row r="784" spans="13:17" x14ac:dyDescent="0.25">
      <c r="M784">
        <v>390.5</v>
      </c>
      <c r="N784" s="214">
        <v>15.656929969787598</v>
      </c>
      <c r="O784" s="214">
        <v>15.162412643432617</v>
      </c>
      <c r="P784" s="214">
        <v>15.228691101074219</v>
      </c>
      <c r="Q784" s="214">
        <v>23.668689727783203</v>
      </c>
    </row>
    <row r="785" spans="13:17" x14ac:dyDescent="0.25">
      <c r="M785">
        <v>391</v>
      </c>
      <c r="N785" s="214">
        <v>15.881248474121094</v>
      </c>
      <c r="O785" s="214">
        <v>15.286734580993652</v>
      </c>
      <c r="P785" s="214">
        <v>15.307904243469238</v>
      </c>
      <c r="Q785" s="214">
        <v>24.175027847290039</v>
      </c>
    </row>
    <row r="786" spans="13:17" x14ac:dyDescent="0.25">
      <c r="M786">
        <v>391.5</v>
      </c>
      <c r="N786" s="214">
        <v>15.946944236755371</v>
      </c>
      <c r="O786" s="214">
        <v>15.329255104064941</v>
      </c>
      <c r="P786" s="214">
        <v>15.418558120727539</v>
      </c>
      <c r="Q786" s="214">
        <v>24.622171401977539</v>
      </c>
    </row>
    <row r="787" spans="13:17" x14ac:dyDescent="0.25">
      <c r="M787">
        <v>392</v>
      </c>
      <c r="N787" s="214">
        <v>16.037466049194336</v>
      </c>
      <c r="O787" s="214">
        <v>15.444704055786133</v>
      </c>
      <c r="P787" s="214">
        <v>15.527370452880859</v>
      </c>
      <c r="Q787" s="214">
        <v>25.017478942871094</v>
      </c>
    </row>
    <row r="788" spans="13:17" x14ac:dyDescent="0.25">
      <c r="M788">
        <v>392.5</v>
      </c>
      <c r="N788" s="214">
        <v>16.343482971191406</v>
      </c>
      <c r="O788" s="214">
        <v>15.5185546875</v>
      </c>
      <c r="P788" s="214">
        <v>15.604911804199219</v>
      </c>
      <c r="Q788" s="214">
        <v>25.615488052368164</v>
      </c>
    </row>
    <row r="789" spans="13:17" x14ac:dyDescent="0.25">
      <c r="M789">
        <v>393</v>
      </c>
      <c r="N789" s="214">
        <v>16.338336944580078</v>
      </c>
      <c r="O789" s="214">
        <v>15.636442184448242</v>
      </c>
      <c r="P789" s="214">
        <v>15.822637557983398</v>
      </c>
      <c r="Q789" s="214">
        <v>26.334280014038086</v>
      </c>
    </row>
    <row r="790" spans="13:17" x14ac:dyDescent="0.25">
      <c r="M790">
        <v>393.5</v>
      </c>
      <c r="N790" s="214">
        <v>16.371362686157227</v>
      </c>
      <c r="O790" s="214">
        <v>15.610557556152344</v>
      </c>
      <c r="P790" s="214">
        <v>15.918007850646973</v>
      </c>
      <c r="Q790" s="214">
        <v>27.125289916992188</v>
      </c>
    </row>
    <row r="791" spans="13:17" x14ac:dyDescent="0.25">
      <c r="M791">
        <v>394</v>
      </c>
      <c r="N791" s="214">
        <v>16.53575325012207</v>
      </c>
      <c r="O791" s="214">
        <v>15.773748397827148</v>
      </c>
      <c r="P791" s="214">
        <v>16.103397369384766</v>
      </c>
      <c r="Q791" s="214">
        <v>27.958438873291016</v>
      </c>
    </row>
    <row r="792" spans="13:17" x14ac:dyDescent="0.25">
      <c r="M792">
        <v>394.5</v>
      </c>
      <c r="N792" s="214">
        <v>16.684106826782227</v>
      </c>
      <c r="O792" s="214">
        <v>15.836621284484863</v>
      </c>
      <c r="P792" s="214">
        <v>16.265474319458008</v>
      </c>
      <c r="Q792" s="214">
        <v>28.824140548706055</v>
      </c>
    </row>
    <row r="793" spans="13:17" x14ac:dyDescent="0.25">
      <c r="M793">
        <v>395</v>
      </c>
      <c r="N793" s="214">
        <v>16.851299285888672</v>
      </c>
      <c r="O793" s="214">
        <v>15.920052528381348</v>
      </c>
      <c r="P793" s="214">
        <v>16.407052993774414</v>
      </c>
      <c r="Q793" s="214">
        <v>29.704540252685547</v>
      </c>
    </row>
    <row r="794" spans="13:17" x14ac:dyDescent="0.25">
      <c r="M794">
        <v>395.5</v>
      </c>
      <c r="N794" s="214">
        <v>17.031494140625</v>
      </c>
      <c r="O794" s="214">
        <v>16.046262741088867</v>
      </c>
      <c r="P794" s="214">
        <v>16.530084609985352</v>
      </c>
      <c r="Q794" s="214">
        <v>30.585084915161133</v>
      </c>
    </row>
    <row r="795" spans="13:17" x14ac:dyDescent="0.25">
      <c r="M795">
        <v>396</v>
      </c>
      <c r="N795" s="214">
        <v>17.247997283935547</v>
      </c>
      <c r="O795" s="214">
        <v>16.148897171020508</v>
      </c>
      <c r="P795" s="214">
        <v>16.651212692260742</v>
      </c>
      <c r="Q795" s="214">
        <v>31.435718536376953</v>
      </c>
    </row>
    <row r="796" spans="13:17" x14ac:dyDescent="0.25">
      <c r="M796">
        <v>396.5</v>
      </c>
      <c r="N796" s="214">
        <v>17.410850524902344</v>
      </c>
      <c r="O796" s="214">
        <v>16.205839157104492</v>
      </c>
      <c r="P796" s="214">
        <v>16.925859451293945</v>
      </c>
      <c r="Q796" s="214">
        <v>32.564628601074219</v>
      </c>
    </row>
    <row r="797" spans="13:17" x14ac:dyDescent="0.25">
      <c r="M797">
        <v>397</v>
      </c>
      <c r="N797" s="214">
        <v>17.670450210571289</v>
      </c>
      <c r="O797" s="214">
        <v>16.260438919067383</v>
      </c>
      <c r="P797" s="214">
        <v>17.053731918334961</v>
      </c>
      <c r="Q797" s="214">
        <v>33.723537445068359</v>
      </c>
    </row>
    <row r="798" spans="13:17" x14ac:dyDescent="0.25">
      <c r="M798">
        <v>397.5</v>
      </c>
      <c r="N798" s="214">
        <v>17.790027618408203</v>
      </c>
      <c r="O798" s="214">
        <v>16.424825668334961</v>
      </c>
      <c r="P798" s="214">
        <v>17.17161750793457</v>
      </c>
      <c r="Q798" s="214">
        <v>35.034934997558594</v>
      </c>
    </row>
    <row r="799" spans="13:17" x14ac:dyDescent="0.25">
      <c r="M799">
        <v>398</v>
      </c>
      <c r="N799" s="214">
        <v>17.968317031860352</v>
      </c>
      <c r="O799" s="214">
        <v>16.477054595947266</v>
      </c>
      <c r="P799" s="214">
        <v>17.384490966796875</v>
      </c>
      <c r="Q799" s="214">
        <v>36.317829132080078</v>
      </c>
    </row>
    <row r="800" spans="13:17" x14ac:dyDescent="0.25">
      <c r="M800">
        <v>398.5</v>
      </c>
      <c r="N800" s="214">
        <v>18.238487243652344</v>
      </c>
      <c r="O800" s="214">
        <v>16.585813522338867</v>
      </c>
      <c r="P800" s="214">
        <v>17.54621696472168</v>
      </c>
      <c r="Q800" s="214">
        <v>37.604923248291016</v>
      </c>
    </row>
    <row r="801" spans="13:17" x14ac:dyDescent="0.25">
      <c r="M801">
        <v>399</v>
      </c>
      <c r="N801" s="214">
        <v>18.402233123779297</v>
      </c>
      <c r="O801" s="214">
        <v>16.631448745727539</v>
      </c>
      <c r="P801" s="214">
        <v>17.686075210571289</v>
      </c>
      <c r="Q801" s="214">
        <v>38.915782928466797</v>
      </c>
    </row>
    <row r="802" spans="13:17" x14ac:dyDescent="0.25">
      <c r="M802">
        <v>399.5</v>
      </c>
      <c r="N802" s="214">
        <v>18.647199630737305</v>
      </c>
      <c r="O802" s="214">
        <v>16.818635940551758</v>
      </c>
      <c r="P802" s="214">
        <v>17.893585205078125</v>
      </c>
      <c r="Q802" s="214">
        <v>40.676937103271484</v>
      </c>
    </row>
    <row r="803" spans="13:17" x14ac:dyDescent="0.25">
      <c r="M803">
        <v>400</v>
      </c>
      <c r="N803" s="214">
        <v>18.83270263671875</v>
      </c>
      <c r="O803" s="214">
        <v>16.893571853637695</v>
      </c>
      <c r="P803" s="214">
        <v>18.079601287841797</v>
      </c>
      <c r="Q803" s="214">
        <v>42.489906311035156</v>
      </c>
    </row>
    <row r="804" spans="13:17" x14ac:dyDescent="0.25">
      <c r="M804">
        <v>400.5</v>
      </c>
      <c r="N804" s="214">
        <v>19.117269515991211</v>
      </c>
      <c r="O804" s="214">
        <v>17.001689910888672</v>
      </c>
      <c r="P804" s="214">
        <v>18.218494415283203</v>
      </c>
      <c r="Q804" s="214">
        <v>44.609470367431641</v>
      </c>
    </row>
    <row r="805" spans="13:17" x14ac:dyDescent="0.25">
      <c r="M805">
        <v>401</v>
      </c>
      <c r="N805" s="214">
        <v>19.451807022094727</v>
      </c>
      <c r="O805" s="214">
        <v>17.106292724609375</v>
      </c>
      <c r="P805" s="214">
        <v>18.426294326782227</v>
      </c>
      <c r="Q805" s="214">
        <v>46.931564331054688</v>
      </c>
    </row>
    <row r="806" spans="13:17" x14ac:dyDescent="0.25">
      <c r="M806">
        <v>401.5</v>
      </c>
      <c r="N806" s="214">
        <v>19.605047225952148</v>
      </c>
      <c r="O806" s="214">
        <v>17.228116989135742</v>
      </c>
      <c r="P806" s="214">
        <v>18.604160308837891</v>
      </c>
      <c r="Q806" s="214">
        <v>50.745548248291016</v>
      </c>
    </row>
    <row r="807" spans="13:17" x14ac:dyDescent="0.25">
      <c r="M807">
        <v>402</v>
      </c>
      <c r="N807" s="214">
        <v>19.984287261962891</v>
      </c>
      <c r="O807" s="214">
        <v>17.337711334228516</v>
      </c>
      <c r="P807" s="214">
        <v>18.870395660400391</v>
      </c>
      <c r="Q807" s="214">
        <v>53.850517272949219</v>
      </c>
    </row>
    <row r="808" spans="13:17" x14ac:dyDescent="0.25">
      <c r="M808">
        <v>402.5</v>
      </c>
      <c r="N808" s="214">
        <v>20.236154556274414</v>
      </c>
      <c r="O808" s="214">
        <v>17.460702896118164</v>
      </c>
      <c r="P808" s="214">
        <v>19.028200149536133</v>
      </c>
      <c r="Q808" s="214">
        <v>57.886962890625</v>
      </c>
    </row>
    <row r="809" spans="13:17" x14ac:dyDescent="0.25">
      <c r="M809">
        <v>403</v>
      </c>
      <c r="N809" s="214">
        <v>20.324440002441406</v>
      </c>
      <c r="O809" s="214">
        <v>17.567283630371094</v>
      </c>
      <c r="P809" s="214">
        <v>19.292280197143555</v>
      </c>
      <c r="Q809" s="214">
        <v>61.00970458984375</v>
      </c>
    </row>
    <row r="810" spans="13:17" x14ac:dyDescent="0.25">
      <c r="M810">
        <v>403.5</v>
      </c>
      <c r="N810" s="214">
        <v>20.66956901550293</v>
      </c>
      <c r="O810" s="214">
        <v>17.679174423217773</v>
      </c>
      <c r="P810" s="214">
        <v>19.401716232299805</v>
      </c>
      <c r="Q810" s="214">
        <v>68.188499450683594</v>
      </c>
    </row>
    <row r="811" spans="13:17" x14ac:dyDescent="0.25">
      <c r="M811">
        <v>404</v>
      </c>
      <c r="N811" s="214">
        <v>21.038108825683594</v>
      </c>
      <c r="O811" s="214">
        <v>17.813934326171875</v>
      </c>
      <c r="P811" s="214">
        <v>19.648618698120117</v>
      </c>
      <c r="Q811" s="214">
        <v>71.302513122558594</v>
      </c>
    </row>
    <row r="812" spans="13:17" x14ac:dyDescent="0.25">
      <c r="M812">
        <v>404.5</v>
      </c>
      <c r="N812" s="214">
        <v>21.683076858520508</v>
      </c>
      <c r="O812" s="214">
        <v>17.950504302978516</v>
      </c>
      <c r="P812" s="214">
        <v>19.916530609130859</v>
      </c>
      <c r="Q812" s="214">
        <v>69.4576416015625</v>
      </c>
    </row>
    <row r="813" spans="13:17" x14ac:dyDescent="0.25">
      <c r="M813">
        <v>405</v>
      </c>
      <c r="N813" s="214">
        <v>22.076732635498047</v>
      </c>
      <c r="O813" s="214">
        <v>18.048913955688477</v>
      </c>
      <c r="P813" s="214">
        <v>20.094108581542969</v>
      </c>
      <c r="Q813" s="214">
        <v>57.031829833984375</v>
      </c>
    </row>
    <row r="814" spans="13:17" x14ac:dyDescent="0.25">
      <c r="M814">
        <v>405.5</v>
      </c>
      <c r="N814" s="214">
        <v>22.187685012817383</v>
      </c>
      <c r="O814" s="214">
        <v>18.192087173461914</v>
      </c>
      <c r="P814" s="214">
        <v>20.343545913696289</v>
      </c>
      <c r="Q814" s="214">
        <v>55.233638763427734</v>
      </c>
    </row>
    <row r="815" spans="13:17" x14ac:dyDescent="0.25">
      <c r="M815">
        <v>406</v>
      </c>
      <c r="N815" s="214">
        <v>22.311752319335938</v>
      </c>
      <c r="O815" s="214">
        <v>18.259820938110352</v>
      </c>
      <c r="P815" s="214">
        <v>20.59375</v>
      </c>
      <c r="Q815" s="214">
        <v>56.205314636230469</v>
      </c>
    </row>
    <row r="816" spans="13:17" x14ac:dyDescent="0.25">
      <c r="M816">
        <v>406.5</v>
      </c>
      <c r="N816" s="214">
        <v>22.731483459472656</v>
      </c>
      <c r="O816" s="214">
        <v>18.414878845214844</v>
      </c>
      <c r="P816" s="214">
        <v>20.838712692260742</v>
      </c>
      <c r="Q816" s="214">
        <v>58.717594146728516</v>
      </c>
    </row>
    <row r="817" spans="13:17" x14ac:dyDescent="0.25">
      <c r="M817">
        <v>407</v>
      </c>
      <c r="N817" s="214">
        <v>23.118219375610352</v>
      </c>
      <c r="O817" s="214">
        <v>18.567586898803711</v>
      </c>
      <c r="P817" s="214">
        <v>21.137723922729492</v>
      </c>
      <c r="Q817" s="214">
        <v>60.982883453369141</v>
      </c>
    </row>
    <row r="818" spans="13:17" x14ac:dyDescent="0.25">
      <c r="M818">
        <v>407.5</v>
      </c>
      <c r="N818" s="214">
        <v>23.475152969360352</v>
      </c>
      <c r="O818" s="214">
        <v>18.721405029296875</v>
      </c>
      <c r="P818" s="214">
        <v>21.460988998413086</v>
      </c>
      <c r="Q818" s="214">
        <v>64.854034423828125</v>
      </c>
    </row>
    <row r="819" spans="13:17" x14ac:dyDescent="0.25">
      <c r="M819">
        <v>408</v>
      </c>
      <c r="N819" s="214">
        <v>24.060022354125977</v>
      </c>
      <c r="O819" s="214">
        <v>18.78656005859375</v>
      </c>
      <c r="P819" s="214">
        <v>21.686674118041992</v>
      </c>
      <c r="Q819" s="214">
        <v>68.971649169921875</v>
      </c>
    </row>
    <row r="820" spans="13:17" x14ac:dyDescent="0.25">
      <c r="M820">
        <v>408.5</v>
      </c>
      <c r="N820" s="214">
        <v>24.530401229858398</v>
      </c>
      <c r="O820" s="214">
        <v>18.895698547363281</v>
      </c>
      <c r="P820" s="214">
        <v>21.917558670043945</v>
      </c>
      <c r="Q820" s="214">
        <v>75.071304321289063</v>
      </c>
    </row>
    <row r="821" spans="13:17" x14ac:dyDescent="0.25">
      <c r="M821">
        <v>409</v>
      </c>
      <c r="N821" s="214">
        <v>24.950521469116211</v>
      </c>
      <c r="O821" s="214">
        <v>19.069942474365234</v>
      </c>
      <c r="P821" s="214">
        <v>22.093109130859375</v>
      </c>
      <c r="Q821" s="214">
        <v>81.772735595703125</v>
      </c>
    </row>
    <row r="822" spans="13:17" x14ac:dyDescent="0.25">
      <c r="M822">
        <v>409.5</v>
      </c>
      <c r="N822" s="214">
        <v>25.556503295898438</v>
      </c>
      <c r="O822" s="214">
        <v>19.207630157470703</v>
      </c>
      <c r="P822" s="214">
        <v>22.405673980712891</v>
      </c>
      <c r="Q822" s="214">
        <v>89.911842346191406</v>
      </c>
    </row>
    <row r="823" spans="13:17" x14ac:dyDescent="0.25">
      <c r="M823">
        <v>410</v>
      </c>
      <c r="N823" s="214">
        <v>26.166488647460938</v>
      </c>
      <c r="O823" s="214">
        <v>19.36311149597168</v>
      </c>
      <c r="P823" s="214">
        <v>22.705204010009766</v>
      </c>
      <c r="Q823" s="214">
        <v>99.67291259765625</v>
      </c>
    </row>
    <row r="824" spans="13:17" x14ac:dyDescent="0.25">
      <c r="M824">
        <v>410.5</v>
      </c>
      <c r="N824" s="214">
        <v>26.584421157836914</v>
      </c>
      <c r="O824" s="214">
        <v>19.533954620361328</v>
      </c>
      <c r="P824" s="214">
        <v>23.06640625</v>
      </c>
      <c r="Q824" s="214">
        <v>111.88826751708984</v>
      </c>
    </row>
    <row r="825" spans="13:17" x14ac:dyDescent="0.25">
      <c r="M825">
        <v>411</v>
      </c>
      <c r="N825" s="214">
        <v>27.033296585083008</v>
      </c>
      <c r="O825" s="214">
        <v>19.646448135375977</v>
      </c>
      <c r="P825" s="214">
        <v>23.46668815612793</v>
      </c>
    </row>
    <row r="826" spans="13:17" x14ac:dyDescent="0.25">
      <c r="M826">
        <v>411.5</v>
      </c>
      <c r="N826" s="214">
        <v>27.621824264526367</v>
      </c>
      <c r="O826" s="214">
        <v>19.821605682373047</v>
      </c>
      <c r="P826" s="214">
        <v>23.6968994140625</v>
      </c>
    </row>
    <row r="827" spans="13:17" x14ac:dyDescent="0.25">
      <c r="M827">
        <v>412</v>
      </c>
      <c r="N827" s="214">
        <v>28.087625503540039</v>
      </c>
      <c r="O827" s="214">
        <v>19.978588104248047</v>
      </c>
      <c r="P827" s="214">
        <v>24.046545028686523</v>
      </c>
    </row>
    <row r="828" spans="13:17" x14ac:dyDescent="0.25">
      <c r="M828">
        <v>412.5</v>
      </c>
      <c r="N828" s="214">
        <v>28.540275573730469</v>
      </c>
      <c r="O828" s="214">
        <v>20.141727447509766</v>
      </c>
      <c r="P828" s="214">
        <v>24.429088592529297</v>
      </c>
    </row>
    <row r="829" spans="13:17" x14ac:dyDescent="0.25">
      <c r="M829">
        <v>413</v>
      </c>
      <c r="N829" s="214">
        <v>29.27552604675293</v>
      </c>
      <c r="O829" s="214">
        <v>20.223188400268555</v>
      </c>
      <c r="P829" s="214">
        <v>24.782632827758789</v>
      </c>
    </row>
    <row r="830" spans="13:17" x14ac:dyDescent="0.25">
      <c r="M830">
        <v>413.5</v>
      </c>
      <c r="N830" s="214">
        <v>29.981908798217773</v>
      </c>
      <c r="O830" s="214">
        <v>20.452123641967773</v>
      </c>
      <c r="P830" s="214">
        <v>25.20880126953125</v>
      </c>
    </row>
    <row r="831" spans="13:17" x14ac:dyDescent="0.25">
      <c r="M831">
        <v>414</v>
      </c>
      <c r="N831" s="214">
        <v>30.942228317260742</v>
      </c>
      <c r="O831" s="214">
        <v>20.590629577636719</v>
      </c>
      <c r="P831" s="214">
        <v>25.551950454711914</v>
      </c>
    </row>
    <row r="832" spans="13:17" x14ac:dyDescent="0.25">
      <c r="M832">
        <v>414.5</v>
      </c>
      <c r="N832" s="214">
        <v>31.938371658325195</v>
      </c>
      <c r="O832" s="214">
        <v>20.737678527832031</v>
      </c>
      <c r="P832" s="214">
        <v>26.033742904663086</v>
      </c>
    </row>
    <row r="833" spans="13:16" x14ac:dyDescent="0.25">
      <c r="M833">
        <v>415</v>
      </c>
      <c r="N833" s="214">
        <v>32.411422729492188</v>
      </c>
      <c r="O833" s="214">
        <v>20.860414505004883</v>
      </c>
      <c r="P833" s="214">
        <v>26.672023773193359</v>
      </c>
    </row>
    <row r="834" spans="13:16" x14ac:dyDescent="0.25">
      <c r="M834">
        <v>415.5</v>
      </c>
      <c r="N834" s="214">
        <v>33.432392120361328</v>
      </c>
      <c r="O834" s="214">
        <v>21.098489761352539</v>
      </c>
      <c r="P834" s="214">
        <v>27.222555160522461</v>
      </c>
    </row>
    <row r="835" spans="13:16" x14ac:dyDescent="0.25">
      <c r="M835">
        <v>416</v>
      </c>
      <c r="N835" s="214">
        <v>34.114986419677734</v>
      </c>
      <c r="O835" s="214">
        <v>21.253290176391602</v>
      </c>
      <c r="P835" s="214">
        <v>27.77922248840332</v>
      </c>
    </row>
    <row r="836" spans="13:16" x14ac:dyDescent="0.25">
      <c r="M836">
        <v>416.5</v>
      </c>
      <c r="N836" s="214">
        <v>35.036781311035156</v>
      </c>
      <c r="O836" s="214">
        <v>21.464530944824219</v>
      </c>
      <c r="P836" s="214">
        <v>28.430965423583984</v>
      </c>
    </row>
    <row r="837" spans="13:16" x14ac:dyDescent="0.25">
      <c r="M837">
        <v>417</v>
      </c>
      <c r="N837" s="214">
        <v>36.245838165283203</v>
      </c>
      <c r="O837" s="214">
        <v>21.57183837890625</v>
      </c>
      <c r="P837" s="214">
        <v>29.033927917480469</v>
      </c>
    </row>
    <row r="838" spans="13:16" x14ac:dyDescent="0.25">
      <c r="M838">
        <v>417.5</v>
      </c>
      <c r="N838" s="214">
        <v>37.178440093994141</v>
      </c>
      <c r="O838" s="214">
        <v>21.73088264465332</v>
      </c>
      <c r="P838" s="214">
        <v>29.593456268310547</v>
      </c>
    </row>
    <row r="839" spans="13:16" x14ac:dyDescent="0.25">
      <c r="M839">
        <v>418</v>
      </c>
      <c r="N839" s="214">
        <v>38.274578094482422</v>
      </c>
      <c r="O839" s="214">
        <v>21.936199188232422</v>
      </c>
      <c r="P839" s="214">
        <v>30.238662719726563</v>
      </c>
    </row>
    <row r="840" spans="13:16" x14ac:dyDescent="0.25">
      <c r="M840">
        <v>418.5</v>
      </c>
      <c r="N840" s="214">
        <v>39.486831665039063</v>
      </c>
      <c r="O840" s="214">
        <v>22.191263198852539</v>
      </c>
      <c r="P840" s="214">
        <v>31.063503265380859</v>
      </c>
    </row>
    <row r="841" spans="13:16" x14ac:dyDescent="0.25">
      <c r="M841">
        <v>419</v>
      </c>
      <c r="N841" s="214">
        <v>41.373615264892578</v>
      </c>
      <c r="O841" s="214">
        <v>22.377082824707031</v>
      </c>
      <c r="P841" s="214">
        <v>31.947977066040039</v>
      </c>
    </row>
    <row r="842" spans="13:16" x14ac:dyDescent="0.25">
      <c r="M842">
        <v>419.5</v>
      </c>
      <c r="N842" s="214">
        <v>42.974502563476563</v>
      </c>
      <c r="O842" s="214">
        <v>22.584529876708984</v>
      </c>
      <c r="P842" s="214">
        <v>32.878047943115234</v>
      </c>
    </row>
    <row r="843" spans="13:16" x14ac:dyDescent="0.25">
      <c r="M843">
        <v>420</v>
      </c>
      <c r="N843" s="214">
        <v>44.859981536865234</v>
      </c>
      <c r="O843" s="214">
        <v>22.766443252563477</v>
      </c>
      <c r="P843" s="214">
        <v>33.823970794677734</v>
      </c>
    </row>
    <row r="844" spans="13:16" x14ac:dyDescent="0.25">
      <c r="M844">
        <v>420.5</v>
      </c>
      <c r="N844" s="214">
        <v>46.547969818115234</v>
      </c>
      <c r="O844" s="214">
        <v>22.985479354858398</v>
      </c>
      <c r="P844" s="214">
        <v>34.954387664794922</v>
      </c>
    </row>
    <row r="845" spans="13:16" x14ac:dyDescent="0.25">
      <c r="M845">
        <v>421</v>
      </c>
      <c r="N845" s="214">
        <v>48.640026092529297</v>
      </c>
      <c r="O845" s="214">
        <v>23.174922943115234</v>
      </c>
      <c r="P845" s="214">
        <v>36.207157135009766</v>
      </c>
    </row>
    <row r="846" spans="13:16" x14ac:dyDescent="0.25">
      <c r="M846">
        <v>421.5</v>
      </c>
      <c r="N846" s="214">
        <v>50.838520050048828</v>
      </c>
      <c r="O846" s="214">
        <v>23.440313339233398</v>
      </c>
      <c r="P846" s="214">
        <v>37.9046630859375</v>
      </c>
    </row>
    <row r="847" spans="13:16" x14ac:dyDescent="0.25">
      <c r="M847">
        <v>422</v>
      </c>
      <c r="N847" s="214">
        <v>53.204120635986328</v>
      </c>
      <c r="O847" s="214">
        <v>23.685813903808594</v>
      </c>
      <c r="P847" s="214">
        <v>38.938636779785156</v>
      </c>
    </row>
    <row r="848" spans="13:16" x14ac:dyDescent="0.25">
      <c r="M848">
        <v>422.5</v>
      </c>
      <c r="N848" s="214">
        <v>55.6021195517066</v>
      </c>
      <c r="O848" s="214">
        <v>23.871753692626953</v>
      </c>
      <c r="P848" s="214">
        <v>40.502521514892578</v>
      </c>
    </row>
    <row r="849" spans="13:16" x14ac:dyDescent="0.25">
      <c r="M849">
        <v>423</v>
      </c>
      <c r="N849" s="214">
        <v>58.1332515434082</v>
      </c>
      <c r="O849" s="214">
        <v>24.223209381103516</v>
      </c>
      <c r="P849" s="214">
        <v>42.483837127685547</v>
      </c>
    </row>
    <row r="850" spans="13:16" x14ac:dyDescent="0.25">
      <c r="M850">
        <v>423.5</v>
      </c>
      <c r="N850" s="214">
        <v>60.779606285808498</v>
      </c>
      <c r="O850" s="214">
        <v>24.497234344482422</v>
      </c>
      <c r="P850" s="214">
        <v>44.8287353515625</v>
      </c>
    </row>
    <row r="851" spans="13:16" x14ac:dyDescent="0.25">
      <c r="M851">
        <v>424</v>
      </c>
      <c r="N851" s="214">
        <v>63.546428974464398</v>
      </c>
      <c r="O851" s="214">
        <v>24.738269805908203</v>
      </c>
      <c r="P851" s="214">
        <v>47.042724609375</v>
      </c>
    </row>
    <row r="852" spans="13:16" x14ac:dyDescent="0.25">
      <c r="M852">
        <v>424.5</v>
      </c>
      <c r="N852" s="214">
        <v>66.439203577887</v>
      </c>
      <c r="O852" s="214">
        <v>25.089073181152344</v>
      </c>
      <c r="P852" s="214">
        <v>49.744667053222656</v>
      </c>
    </row>
    <row r="853" spans="13:16" x14ac:dyDescent="0.25">
      <c r="M853">
        <v>425</v>
      </c>
      <c r="N853" s="214">
        <v>69.463663707015598</v>
      </c>
      <c r="O853" s="214">
        <v>25.388631820678711</v>
      </c>
      <c r="P853" s="214">
        <v>52.302059173583984</v>
      </c>
    </row>
    <row r="854" spans="13:16" x14ac:dyDescent="0.25">
      <c r="M854">
        <v>425.5</v>
      </c>
      <c r="N854" s="214">
        <v>72.625803979494194</v>
      </c>
      <c r="O854" s="214">
        <v>25.655551910400391</v>
      </c>
      <c r="P854" s="214">
        <v>54.087779998779297</v>
      </c>
    </row>
    <row r="855" spans="13:16" x14ac:dyDescent="0.25">
      <c r="M855">
        <v>426</v>
      </c>
      <c r="N855" s="214">
        <v>75.931891901279002</v>
      </c>
      <c r="O855" s="214">
        <v>25.922588348388672</v>
      </c>
      <c r="P855" s="214">
        <v>47.028793334960938</v>
      </c>
    </row>
    <row r="856" spans="13:16" x14ac:dyDescent="0.25">
      <c r="M856">
        <v>426.5</v>
      </c>
      <c r="N856" s="214">
        <v>79.388480289119599</v>
      </c>
      <c r="O856" s="214">
        <v>26.24420166015625</v>
      </c>
      <c r="P856" s="214">
        <v>47.425300598144531</v>
      </c>
    </row>
    <row r="857" spans="13:16" x14ac:dyDescent="0.25">
      <c r="M857">
        <v>427</v>
      </c>
      <c r="N857" s="214">
        <v>83.002420258539004</v>
      </c>
      <c r="O857" s="214">
        <v>26.611572265625</v>
      </c>
      <c r="P857" s="214">
        <v>49.179428100585938</v>
      </c>
    </row>
    <row r="858" spans="13:16" x14ac:dyDescent="0.25">
      <c r="M858">
        <v>427.5</v>
      </c>
      <c r="N858" s="214">
        <v>86.780874803058097</v>
      </c>
      <c r="O858" s="214">
        <v>26.976028442382813</v>
      </c>
      <c r="P858" s="214">
        <v>51.349369049072266</v>
      </c>
    </row>
    <row r="859" spans="13:16" x14ac:dyDescent="0.25">
      <c r="M859">
        <v>428</v>
      </c>
      <c r="N859" s="214">
        <v>90.731332991573694</v>
      </c>
      <c r="O859" s="214">
        <v>27.430353164672852</v>
      </c>
      <c r="P859" s="214">
        <v>53.803474426269531</v>
      </c>
    </row>
    <row r="860" spans="13:16" x14ac:dyDescent="0.25">
      <c r="M860">
        <v>428.5</v>
      </c>
      <c r="N860" s="214">
        <v>94.861624812034407</v>
      </c>
      <c r="O860" s="214">
        <v>27.929924011230469</v>
      </c>
      <c r="P860" s="214">
        <v>56.807533264160156</v>
      </c>
    </row>
    <row r="861" spans="13:16" x14ac:dyDescent="0.25">
      <c r="M861">
        <v>429</v>
      </c>
      <c r="N861" s="214">
        <v>99.179936690833401</v>
      </c>
      <c r="O861" s="214">
        <v>28.380979537963867</v>
      </c>
      <c r="P861" s="214">
        <v>60.680213928222656</v>
      </c>
    </row>
    <row r="862" spans="13:16" x14ac:dyDescent="0.25">
      <c r="M862">
        <v>429.5</v>
      </c>
      <c r="N862" s="214">
        <v>103.694827718677</v>
      </c>
      <c r="O862" s="214">
        <v>28.893535614013672</v>
      </c>
      <c r="P862" s="214">
        <v>64.787605285644531</v>
      </c>
    </row>
    <row r="863" spans="13:16" x14ac:dyDescent="0.25">
      <c r="M863">
        <v>430</v>
      </c>
      <c r="N863" s="213"/>
      <c r="O863" s="214">
        <v>29.423673629760742</v>
      </c>
      <c r="P863" s="214">
        <v>63.079097747802734</v>
      </c>
    </row>
    <row r="864" spans="13:16" x14ac:dyDescent="0.25">
      <c r="M864">
        <v>430.5</v>
      </c>
      <c r="N864" s="213"/>
      <c r="O864" s="214">
        <v>29.948616027832031</v>
      </c>
      <c r="P864" s="214">
        <v>66.512191772460938</v>
      </c>
    </row>
    <row r="865" spans="13:16" x14ac:dyDescent="0.25">
      <c r="M865">
        <v>431</v>
      </c>
      <c r="N865" s="213"/>
      <c r="O865" s="214">
        <v>30.433811187744141</v>
      </c>
      <c r="P865" s="214">
        <v>70.916694641113281</v>
      </c>
    </row>
    <row r="866" spans="13:16" x14ac:dyDescent="0.25">
      <c r="M866">
        <v>431.5</v>
      </c>
      <c r="O866" s="214">
        <v>31.055057525634766</v>
      </c>
      <c r="P866" s="214">
        <v>75.585403442382813</v>
      </c>
    </row>
    <row r="867" spans="13:16" x14ac:dyDescent="0.25">
      <c r="M867">
        <v>432</v>
      </c>
      <c r="O867" s="214">
        <v>31.646677017211914</v>
      </c>
      <c r="P867" s="214">
        <v>82.287284851074219</v>
      </c>
    </row>
    <row r="868" spans="13:16" x14ac:dyDescent="0.25">
      <c r="M868">
        <v>432.5</v>
      </c>
      <c r="O868" s="214">
        <v>32.388580322265625</v>
      </c>
      <c r="P868" s="214">
        <v>88.360458374023438</v>
      </c>
    </row>
    <row r="869" spans="13:16" x14ac:dyDescent="0.25">
      <c r="M869">
        <v>433</v>
      </c>
      <c r="O869" s="214">
        <v>33.252899169921875</v>
      </c>
      <c r="P869" s="214">
        <v>96.254913330078125</v>
      </c>
    </row>
    <row r="870" spans="13:16" x14ac:dyDescent="0.25">
      <c r="M870">
        <v>433.5</v>
      </c>
      <c r="O870" s="214">
        <v>33.960071563720703</v>
      </c>
      <c r="P870" s="214">
        <v>106.09529876708984</v>
      </c>
    </row>
    <row r="871" spans="13:16" x14ac:dyDescent="0.25">
      <c r="M871">
        <v>434</v>
      </c>
      <c r="O871" s="214">
        <v>34.625053405761719</v>
      </c>
    </row>
    <row r="872" spans="13:16" x14ac:dyDescent="0.25">
      <c r="M872">
        <v>434.5</v>
      </c>
      <c r="O872" s="214">
        <v>35.547866821289063</v>
      </c>
    </row>
    <row r="873" spans="13:16" x14ac:dyDescent="0.25">
      <c r="M873">
        <v>435</v>
      </c>
      <c r="O873" s="214">
        <v>36.190090179443359</v>
      </c>
    </row>
    <row r="874" spans="13:16" x14ac:dyDescent="0.25">
      <c r="M874">
        <v>435.5</v>
      </c>
      <c r="O874" s="214">
        <v>37.00799560546875</v>
      </c>
    </row>
    <row r="875" spans="13:16" x14ac:dyDescent="0.25">
      <c r="M875">
        <v>436</v>
      </c>
      <c r="O875" s="214">
        <v>37.955657958984375</v>
      </c>
    </row>
    <row r="876" spans="13:16" x14ac:dyDescent="0.25">
      <c r="M876">
        <v>436.5</v>
      </c>
      <c r="O876" s="214">
        <v>39.141700744628906</v>
      </c>
    </row>
    <row r="877" spans="13:16" x14ac:dyDescent="0.25">
      <c r="M877">
        <v>437</v>
      </c>
      <c r="O877" s="214">
        <v>40.401199340820313</v>
      </c>
    </row>
    <row r="878" spans="13:16" x14ac:dyDescent="0.25">
      <c r="M878">
        <v>437.5</v>
      </c>
      <c r="O878" s="214">
        <v>41.615039825439453</v>
      </c>
    </row>
    <row r="879" spans="13:16" x14ac:dyDescent="0.25">
      <c r="M879">
        <v>438</v>
      </c>
      <c r="O879" s="214">
        <v>43.050045013427734</v>
      </c>
    </row>
    <row r="880" spans="13:16" x14ac:dyDescent="0.25">
      <c r="M880">
        <v>438.5</v>
      </c>
      <c r="O880" s="214">
        <v>44.275627136230469</v>
      </c>
    </row>
    <row r="881" spans="13:15" x14ac:dyDescent="0.25">
      <c r="M881">
        <v>439</v>
      </c>
      <c r="O881" s="214">
        <v>45.696365356445313</v>
      </c>
    </row>
    <row r="882" spans="13:15" x14ac:dyDescent="0.25">
      <c r="M882">
        <v>439.5</v>
      </c>
      <c r="O882" s="214">
        <v>47.708583831787109</v>
      </c>
    </row>
    <row r="883" spans="13:15" x14ac:dyDescent="0.25">
      <c r="M883">
        <v>440</v>
      </c>
      <c r="O883" s="214">
        <v>49.538097381591797</v>
      </c>
    </row>
    <row r="884" spans="13:15" x14ac:dyDescent="0.25">
      <c r="M884">
        <v>440.5</v>
      </c>
      <c r="O884" s="214">
        <v>51.6254083344893</v>
      </c>
    </row>
    <row r="885" spans="13:15" x14ac:dyDescent="0.25">
      <c r="M885">
        <v>441</v>
      </c>
      <c r="O885" s="214">
        <v>53.751715816225001</v>
      </c>
    </row>
    <row r="886" spans="13:15" x14ac:dyDescent="0.25">
      <c r="M886">
        <v>441.5</v>
      </c>
      <c r="O886" s="214">
        <v>55.965600009753103</v>
      </c>
    </row>
    <row r="887" spans="13:15" x14ac:dyDescent="0.25">
      <c r="M887">
        <v>442</v>
      </c>
      <c r="O887" s="214">
        <v>58.270667957101097</v>
      </c>
    </row>
    <row r="888" spans="13:15" x14ac:dyDescent="0.25">
      <c r="M888">
        <v>442.5</v>
      </c>
      <c r="O888" s="214">
        <v>60.670675264358302</v>
      </c>
    </row>
    <row r="889" spans="13:15" x14ac:dyDescent="0.25">
      <c r="M889">
        <v>443</v>
      </c>
      <c r="O889" s="214">
        <v>63.169532220621797</v>
      </c>
    </row>
    <row r="890" spans="13:15" x14ac:dyDescent="0.25">
      <c r="M890">
        <v>443.5</v>
      </c>
      <c r="O890" s="214">
        <v>65.771310168956404</v>
      </c>
    </row>
    <row r="891" spans="13:15" x14ac:dyDescent="0.25">
      <c r="M891">
        <v>444</v>
      </c>
      <c r="O891" s="214">
        <v>68.480248139765607</v>
      </c>
    </row>
    <row r="892" spans="13:15" x14ac:dyDescent="0.25">
      <c r="M892">
        <v>444.5</v>
      </c>
      <c r="O892" s="214">
        <v>71.300759757364204</v>
      </c>
    </row>
    <row r="893" spans="13:15" x14ac:dyDescent="0.25">
      <c r="M893">
        <v>445</v>
      </c>
      <c r="O893" s="214">
        <v>74.237440431020602</v>
      </c>
    </row>
    <row r="894" spans="13:15" x14ac:dyDescent="0.25">
      <c r="M894">
        <v>445.5</v>
      </c>
      <c r="O894" s="214">
        <v>77.295074842174202</v>
      </c>
    </row>
    <row r="895" spans="13:15" x14ac:dyDescent="0.25">
      <c r="M895">
        <v>446</v>
      </c>
      <c r="O895" s="214">
        <v>80.4786447400311</v>
      </c>
    </row>
    <row r="896" spans="13:15" x14ac:dyDescent="0.25">
      <c r="M896">
        <v>446.5</v>
      </c>
      <c r="O896" s="214">
        <v>83.793337058239004</v>
      </c>
    </row>
    <row r="897" spans="13:15" x14ac:dyDescent="0.25">
      <c r="M897">
        <v>447</v>
      </c>
      <c r="O897" s="214">
        <v>87.244552365867307</v>
      </c>
    </row>
    <row r="898" spans="13:15" x14ac:dyDescent="0.25">
      <c r="M898">
        <v>447.5</v>
      </c>
      <c r="O898" s="214">
        <v>90.837913666455705</v>
      </c>
    </row>
    <row r="899" spans="13:15" x14ac:dyDescent="0.25">
      <c r="M899">
        <v>448</v>
      </c>
      <c r="O899" s="214">
        <v>94.579275559475505</v>
      </c>
    </row>
    <row r="900" spans="13:15" x14ac:dyDescent="0.25">
      <c r="M900">
        <v>448.5</v>
      </c>
      <c r="O900" s="214">
        <v>98.474733779123198</v>
      </c>
    </row>
    <row r="901" spans="13:15" x14ac:dyDescent="0.25">
      <c r="M901">
        <v>449</v>
      </c>
      <c r="O901" s="214">
        <v>102.53063512599201</v>
      </c>
    </row>
    <row r="902" spans="13:15" x14ac:dyDescent="0.25">
      <c r="M902">
        <v>449.5</v>
      </c>
      <c r="O902" s="214">
        <v>106.75358780779899</v>
      </c>
    </row>
    <row r="903" spans="13:15" x14ac:dyDescent="0.25">
      <c r="M903">
        <v>450</v>
      </c>
    </row>
    <row r="904" spans="13:15" x14ac:dyDescent="0.25">
      <c r="M904">
        <v>450.5</v>
      </c>
    </row>
    <row r="905" spans="13:15" x14ac:dyDescent="0.25">
      <c r="M905">
        <v>451</v>
      </c>
    </row>
    <row r="906" spans="13:15" x14ac:dyDescent="0.25">
      <c r="M906">
        <v>451.5</v>
      </c>
    </row>
    <row r="907" spans="13:15" x14ac:dyDescent="0.25">
      <c r="M907">
        <v>452</v>
      </c>
    </row>
    <row r="908" spans="13:15" x14ac:dyDescent="0.25">
      <c r="M908">
        <v>452.5</v>
      </c>
    </row>
    <row r="909" spans="13:15" x14ac:dyDescent="0.25">
      <c r="M909">
        <v>453</v>
      </c>
    </row>
    <row r="910" spans="13:15" x14ac:dyDescent="0.25">
      <c r="M910">
        <v>453.5</v>
      </c>
    </row>
    <row r="911" spans="13:15" x14ac:dyDescent="0.25">
      <c r="M911">
        <v>454</v>
      </c>
    </row>
    <row r="912" spans="13:15" x14ac:dyDescent="0.25">
      <c r="M912">
        <v>454.5</v>
      </c>
    </row>
    <row r="913" spans="13:13" x14ac:dyDescent="0.25">
      <c r="M913">
        <v>455</v>
      </c>
    </row>
    <row r="914" spans="13:13" x14ac:dyDescent="0.25">
      <c r="M914">
        <v>455.5</v>
      </c>
    </row>
    <row r="915" spans="13:13" x14ac:dyDescent="0.25">
      <c r="M915">
        <v>456</v>
      </c>
    </row>
    <row r="916" spans="13:13" x14ac:dyDescent="0.25">
      <c r="M916">
        <v>456.5</v>
      </c>
    </row>
    <row r="917" spans="13:13" x14ac:dyDescent="0.25">
      <c r="M917">
        <v>457</v>
      </c>
    </row>
    <row r="918" spans="13:13" x14ac:dyDescent="0.25">
      <c r="M918">
        <v>457.5</v>
      </c>
    </row>
    <row r="919" spans="13:13" x14ac:dyDescent="0.25">
      <c r="M919">
        <v>458</v>
      </c>
    </row>
    <row r="920" spans="13:13" x14ac:dyDescent="0.25">
      <c r="M920">
        <v>458.5</v>
      </c>
    </row>
    <row r="921" spans="13:13" x14ac:dyDescent="0.25">
      <c r="M921">
        <v>459</v>
      </c>
    </row>
    <row r="922" spans="13:13" x14ac:dyDescent="0.25">
      <c r="M922">
        <v>459.5</v>
      </c>
    </row>
    <row r="923" spans="13:13" x14ac:dyDescent="0.25">
      <c r="M923">
        <v>460</v>
      </c>
    </row>
    <row r="924" spans="13:13" x14ac:dyDescent="0.25">
      <c r="M924">
        <v>460.5</v>
      </c>
    </row>
    <row r="925" spans="13:13" x14ac:dyDescent="0.25">
      <c r="M925">
        <v>461</v>
      </c>
    </row>
    <row r="926" spans="13:13" x14ac:dyDescent="0.25">
      <c r="M926">
        <v>461.5</v>
      </c>
    </row>
    <row r="927" spans="13:13" x14ac:dyDescent="0.25">
      <c r="M927">
        <v>462</v>
      </c>
    </row>
    <row r="928" spans="13:13" x14ac:dyDescent="0.25">
      <c r="M928">
        <v>462.5</v>
      </c>
    </row>
    <row r="929" spans="13:13" x14ac:dyDescent="0.25">
      <c r="M929">
        <v>463</v>
      </c>
    </row>
    <row r="930" spans="13:13" x14ac:dyDescent="0.25">
      <c r="M930">
        <v>463.5</v>
      </c>
    </row>
    <row r="931" spans="13:13" x14ac:dyDescent="0.25">
      <c r="M931">
        <v>464</v>
      </c>
    </row>
    <row r="932" spans="13:13" x14ac:dyDescent="0.25">
      <c r="M932">
        <v>464.5</v>
      </c>
    </row>
    <row r="933" spans="13:13" x14ac:dyDescent="0.25">
      <c r="M933">
        <v>465</v>
      </c>
    </row>
    <row r="934" spans="13:13" x14ac:dyDescent="0.25">
      <c r="M934">
        <v>465.5</v>
      </c>
    </row>
    <row r="935" spans="13:13" x14ac:dyDescent="0.25">
      <c r="M935">
        <v>466</v>
      </c>
    </row>
    <row r="936" spans="13:13" x14ac:dyDescent="0.25">
      <c r="M936">
        <v>466.5</v>
      </c>
    </row>
    <row r="937" spans="13:13" x14ac:dyDescent="0.25">
      <c r="M937">
        <v>467</v>
      </c>
    </row>
    <row r="938" spans="13:13" x14ac:dyDescent="0.25">
      <c r="M938">
        <v>467.5</v>
      </c>
    </row>
    <row r="939" spans="13:13" x14ac:dyDescent="0.25">
      <c r="M939">
        <v>468</v>
      </c>
    </row>
    <row r="940" spans="13:13" x14ac:dyDescent="0.25">
      <c r="M940">
        <v>468.5</v>
      </c>
    </row>
    <row r="941" spans="13:13" x14ac:dyDescent="0.25">
      <c r="M941">
        <v>469</v>
      </c>
    </row>
    <row r="942" spans="13:13" x14ac:dyDescent="0.25">
      <c r="M942">
        <v>469.5</v>
      </c>
    </row>
    <row r="943" spans="13:13" x14ac:dyDescent="0.25">
      <c r="M943">
        <v>470</v>
      </c>
    </row>
    <row r="944" spans="13:13" x14ac:dyDescent="0.25">
      <c r="M944">
        <v>470.5</v>
      </c>
    </row>
    <row r="945" spans="13:13" x14ac:dyDescent="0.25">
      <c r="M945">
        <v>471</v>
      </c>
    </row>
    <row r="946" spans="13:13" x14ac:dyDescent="0.25">
      <c r="M946">
        <v>471.5</v>
      </c>
    </row>
    <row r="947" spans="13:13" x14ac:dyDescent="0.25">
      <c r="M947">
        <v>472</v>
      </c>
    </row>
    <row r="948" spans="13:13" x14ac:dyDescent="0.25">
      <c r="M948">
        <v>472.5</v>
      </c>
    </row>
    <row r="949" spans="13:13" x14ac:dyDescent="0.25">
      <c r="M949">
        <v>473</v>
      </c>
    </row>
    <row r="950" spans="13:13" x14ac:dyDescent="0.25">
      <c r="M950">
        <v>473.5</v>
      </c>
    </row>
    <row r="951" spans="13:13" x14ac:dyDescent="0.25">
      <c r="M951">
        <v>474</v>
      </c>
    </row>
    <row r="952" spans="13:13" x14ac:dyDescent="0.25">
      <c r="M952">
        <v>474.5</v>
      </c>
    </row>
    <row r="953" spans="13:13" x14ac:dyDescent="0.25">
      <c r="M953">
        <v>475</v>
      </c>
    </row>
    <row r="954" spans="13:13" x14ac:dyDescent="0.25">
      <c r="M954">
        <v>475.5</v>
      </c>
    </row>
    <row r="955" spans="13:13" x14ac:dyDescent="0.25">
      <c r="M955">
        <v>476</v>
      </c>
    </row>
    <row r="956" spans="13:13" x14ac:dyDescent="0.25">
      <c r="M956">
        <v>476.5</v>
      </c>
    </row>
    <row r="957" spans="13:13" x14ac:dyDescent="0.25">
      <c r="M957">
        <v>477</v>
      </c>
    </row>
    <row r="958" spans="13:13" x14ac:dyDescent="0.25">
      <c r="M958">
        <v>477.5</v>
      </c>
    </row>
    <row r="959" spans="13:13" x14ac:dyDescent="0.25">
      <c r="M959">
        <v>478</v>
      </c>
    </row>
    <row r="960" spans="13:13" x14ac:dyDescent="0.25">
      <c r="M960">
        <v>478.5</v>
      </c>
    </row>
    <row r="961" spans="13:13" x14ac:dyDescent="0.25">
      <c r="M961">
        <v>479</v>
      </c>
    </row>
    <row r="962" spans="13:13" x14ac:dyDescent="0.25">
      <c r="M962">
        <v>479.5</v>
      </c>
    </row>
    <row r="963" spans="13:13" x14ac:dyDescent="0.25">
      <c r="M963">
        <v>480</v>
      </c>
    </row>
    <row r="964" spans="13:13" x14ac:dyDescent="0.25">
      <c r="M964">
        <v>480.5</v>
      </c>
    </row>
    <row r="965" spans="13:13" x14ac:dyDescent="0.25">
      <c r="M965">
        <v>481</v>
      </c>
    </row>
    <row r="966" spans="13:13" x14ac:dyDescent="0.25">
      <c r="M966">
        <v>481.5</v>
      </c>
    </row>
    <row r="967" spans="13:13" x14ac:dyDescent="0.25">
      <c r="M967">
        <v>482</v>
      </c>
    </row>
    <row r="968" spans="13:13" x14ac:dyDescent="0.25">
      <c r="M968">
        <v>482.5</v>
      </c>
    </row>
    <row r="969" spans="13:13" x14ac:dyDescent="0.25">
      <c r="M969">
        <v>483</v>
      </c>
    </row>
    <row r="970" spans="13:13" x14ac:dyDescent="0.25">
      <c r="M970">
        <v>483.5</v>
      </c>
    </row>
    <row r="971" spans="13:13" x14ac:dyDescent="0.25">
      <c r="M971">
        <v>484</v>
      </c>
    </row>
    <row r="972" spans="13:13" x14ac:dyDescent="0.25">
      <c r="M972">
        <v>484.5</v>
      </c>
    </row>
    <row r="973" spans="13:13" x14ac:dyDescent="0.25">
      <c r="M973">
        <v>485</v>
      </c>
    </row>
    <row r="974" spans="13:13" x14ac:dyDescent="0.25">
      <c r="M974">
        <v>485.5</v>
      </c>
    </row>
    <row r="975" spans="13:13" x14ac:dyDescent="0.25">
      <c r="M975">
        <v>486</v>
      </c>
    </row>
    <row r="976" spans="13:13" x14ac:dyDescent="0.25">
      <c r="M976">
        <v>486.5</v>
      </c>
    </row>
    <row r="977" spans="13:13" x14ac:dyDescent="0.25">
      <c r="M977">
        <v>487</v>
      </c>
    </row>
    <row r="978" spans="13:13" x14ac:dyDescent="0.25">
      <c r="M978">
        <v>487.5</v>
      </c>
    </row>
    <row r="979" spans="13:13" x14ac:dyDescent="0.25">
      <c r="M979">
        <v>488</v>
      </c>
    </row>
    <row r="980" spans="13:13" x14ac:dyDescent="0.25">
      <c r="M980">
        <v>488.5</v>
      </c>
    </row>
    <row r="981" spans="13:13" x14ac:dyDescent="0.25">
      <c r="M981">
        <v>489</v>
      </c>
    </row>
    <row r="982" spans="13:13" x14ac:dyDescent="0.25">
      <c r="M982">
        <v>489.5</v>
      </c>
    </row>
    <row r="983" spans="13:13" x14ac:dyDescent="0.25">
      <c r="M983">
        <v>490</v>
      </c>
    </row>
    <row r="984" spans="13:13" x14ac:dyDescent="0.25">
      <c r="M984">
        <v>490.5</v>
      </c>
    </row>
    <row r="985" spans="13:13" x14ac:dyDescent="0.25">
      <c r="M985">
        <v>491</v>
      </c>
    </row>
    <row r="986" spans="13:13" x14ac:dyDescent="0.25">
      <c r="M986">
        <v>491.5</v>
      </c>
    </row>
    <row r="987" spans="13:13" x14ac:dyDescent="0.25">
      <c r="M987">
        <v>492</v>
      </c>
    </row>
    <row r="988" spans="13:13" x14ac:dyDescent="0.25">
      <c r="M988">
        <v>492.5</v>
      </c>
    </row>
    <row r="989" spans="13:13" x14ac:dyDescent="0.25">
      <c r="M989">
        <v>493</v>
      </c>
    </row>
    <row r="990" spans="13:13" x14ac:dyDescent="0.25">
      <c r="M990">
        <v>493.5</v>
      </c>
    </row>
    <row r="991" spans="13:13" x14ac:dyDescent="0.25">
      <c r="M991">
        <v>494</v>
      </c>
    </row>
    <row r="992" spans="13:13" x14ac:dyDescent="0.25">
      <c r="M992">
        <v>494.5</v>
      </c>
    </row>
    <row r="993" spans="13:13" x14ac:dyDescent="0.25">
      <c r="M993">
        <v>495</v>
      </c>
    </row>
    <row r="994" spans="13:13" x14ac:dyDescent="0.25">
      <c r="M994">
        <v>495.5</v>
      </c>
    </row>
    <row r="995" spans="13:13" x14ac:dyDescent="0.25">
      <c r="M995">
        <v>496</v>
      </c>
    </row>
    <row r="996" spans="13:13" x14ac:dyDescent="0.25">
      <c r="M996">
        <v>496.5</v>
      </c>
    </row>
    <row r="997" spans="13:13" x14ac:dyDescent="0.25">
      <c r="M997">
        <v>497</v>
      </c>
    </row>
    <row r="998" spans="13:13" x14ac:dyDescent="0.25">
      <c r="M998">
        <v>497.5</v>
      </c>
    </row>
    <row r="999" spans="13:13" x14ac:dyDescent="0.25">
      <c r="M999">
        <v>498</v>
      </c>
    </row>
    <row r="1000" spans="13:13" x14ac:dyDescent="0.25">
      <c r="M1000">
        <v>498.5</v>
      </c>
    </row>
    <row r="1001" spans="13:13" x14ac:dyDescent="0.25">
      <c r="M1001">
        <v>499</v>
      </c>
    </row>
    <row r="1002" spans="13:13" x14ac:dyDescent="0.25">
      <c r="M1002">
        <v>499.5</v>
      </c>
    </row>
    <row r="1003" spans="13:13" x14ac:dyDescent="0.25">
      <c r="M1003">
        <v>500</v>
      </c>
    </row>
    <row r="1004" spans="13:13" x14ac:dyDescent="0.25">
      <c r="M1004">
        <v>500.5</v>
      </c>
    </row>
    <row r="1005" spans="13:13" x14ac:dyDescent="0.25">
      <c r="M1005">
        <v>501</v>
      </c>
    </row>
    <row r="1006" spans="13:13" x14ac:dyDescent="0.25">
      <c r="M1006">
        <v>501.5</v>
      </c>
    </row>
    <row r="1007" spans="13:13" x14ac:dyDescent="0.25">
      <c r="M1007">
        <v>502</v>
      </c>
    </row>
    <row r="1008" spans="13:13" x14ac:dyDescent="0.25">
      <c r="M1008">
        <v>502.5</v>
      </c>
    </row>
    <row r="1009" spans="13:13" x14ac:dyDescent="0.25">
      <c r="M1009">
        <v>503</v>
      </c>
    </row>
    <row r="1010" spans="13:13" x14ac:dyDescent="0.25">
      <c r="M1010">
        <v>503.5</v>
      </c>
    </row>
    <row r="1011" spans="13:13" x14ac:dyDescent="0.25">
      <c r="M1011">
        <v>504</v>
      </c>
    </row>
    <row r="1012" spans="13:13" x14ac:dyDescent="0.25">
      <c r="M1012">
        <v>504.5</v>
      </c>
    </row>
    <row r="1013" spans="13:13" x14ac:dyDescent="0.25">
      <c r="M1013">
        <v>505</v>
      </c>
    </row>
    <row r="1014" spans="13:13" x14ac:dyDescent="0.25">
      <c r="M1014">
        <v>505.5</v>
      </c>
    </row>
    <row r="1015" spans="13:13" x14ac:dyDescent="0.25">
      <c r="M1015">
        <v>506</v>
      </c>
    </row>
    <row r="1016" spans="13:13" x14ac:dyDescent="0.25">
      <c r="M1016">
        <v>506.5</v>
      </c>
    </row>
    <row r="1017" spans="13:13" x14ac:dyDescent="0.25">
      <c r="M1017">
        <v>507</v>
      </c>
    </row>
    <row r="1018" spans="13:13" x14ac:dyDescent="0.25">
      <c r="M1018">
        <v>507.5</v>
      </c>
    </row>
    <row r="1019" spans="13:13" x14ac:dyDescent="0.25">
      <c r="M1019">
        <v>508</v>
      </c>
    </row>
    <row r="1020" spans="13:13" x14ac:dyDescent="0.25">
      <c r="M1020">
        <v>508.5</v>
      </c>
    </row>
    <row r="1021" spans="13:13" x14ac:dyDescent="0.25">
      <c r="M1021">
        <v>509</v>
      </c>
    </row>
    <row r="1022" spans="13:13" x14ac:dyDescent="0.25">
      <c r="M1022">
        <v>509.5</v>
      </c>
    </row>
    <row r="1023" spans="13:13" x14ac:dyDescent="0.25">
      <c r="M1023">
        <v>510</v>
      </c>
    </row>
    <row r="1024" spans="13:13" x14ac:dyDescent="0.25">
      <c r="M1024">
        <v>510.5</v>
      </c>
    </row>
    <row r="1025" spans="13:13" x14ac:dyDescent="0.25">
      <c r="M1025">
        <v>511</v>
      </c>
    </row>
    <row r="1026" spans="13:13" x14ac:dyDescent="0.25">
      <c r="M1026">
        <v>511.5</v>
      </c>
    </row>
    <row r="1027" spans="13:13" x14ac:dyDescent="0.25">
      <c r="M1027">
        <v>512</v>
      </c>
    </row>
    <row r="1028" spans="13:13" x14ac:dyDescent="0.25">
      <c r="M1028">
        <v>512.5</v>
      </c>
    </row>
    <row r="1029" spans="13:13" x14ac:dyDescent="0.25">
      <c r="M1029">
        <v>513</v>
      </c>
    </row>
    <row r="1030" spans="13:13" x14ac:dyDescent="0.25">
      <c r="M1030">
        <v>513.5</v>
      </c>
    </row>
    <row r="1031" spans="13:13" x14ac:dyDescent="0.25">
      <c r="M1031">
        <v>514</v>
      </c>
    </row>
    <row r="1032" spans="13:13" x14ac:dyDescent="0.25">
      <c r="M1032">
        <v>514.5</v>
      </c>
    </row>
    <row r="1033" spans="13:13" x14ac:dyDescent="0.25">
      <c r="M1033">
        <v>515</v>
      </c>
    </row>
    <row r="1034" spans="13:13" x14ac:dyDescent="0.25">
      <c r="M1034">
        <v>515.5</v>
      </c>
    </row>
    <row r="1035" spans="13:13" x14ac:dyDescent="0.25">
      <c r="M1035">
        <v>516</v>
      </c>
    </row>
    <row r="1036" spans="13:13" x14ac:dyDescent="0.25">
      <c r="M1036">
        <v>516.5</v>
      </c>
    </row>
    <row r="1037" spans="13:13" x14ac:dyDescent="0.25">
      <c r="M1037">
        <v>517</v>
      </c>
    </row>
    <row r="1038" spans="13:13" x14ac:dyDescent="0.25">
      <c r="M1038">
        <v>517.5</v>
      </c>
    </row>
    <row r="1039" spans="13:13" x14ac:dyDescent="0.25">
      <c r="M1039">
        <v>518</v>
      </c>
    </row>
    <row r="1040" spans="13:13" x14ac:dyDescent="0.25">
      <c r="M1040">
        <v>518.5</v>
      </c>
    </row>
    <row r="1041" spans="13:13" x14ac:dyDescent="0.25">
      <c r="M1041">
        <v>519</v>
      </c>
    </row>
    <row r="1042" spans="13:13" x14ac:dyDescent="0.25">
      <c r="M1042">
        <v>519.5</v>
      </c>
    </row>
    <row r="1043" spans="13:13" x14ac:dyDescent="0.25">
      <c r="M1043">
        <v>520</v>
      </c>
    </row>
    <row r="1044" spans="13:13" x14ac:dyDescent="0.25">
      <c r="M1044">
        <v>520.5</v>
      </c>
    </row>
    <row r="1045" spans="13:13" x14ac:dyDescent="0.25">
      <c r="M1045">
        <v>521</v>
      </c>
    </row>
    <row r="1046" spans="13:13" x14ac:dyDescent="0.25">
      <c r="M1046">
        <v>521.5</v>
      </c>
    </row>
    <row r="1047" spans="13:13" x14ac:dyDescent="0.25">
      <c r="M1047">
        <v>522</v>
      </c>
    </row>
    <row r="1048" spans="13:13" x14ac:dyDescent="0.25">
      <c r="M1048">
        <v>522.5</v>
      </c>
    </row>
    <row r="1049" spans="13:13" x14ac:dyDescent="0.25">
      <c r="M1049">
        <v>523</v>
      </c>
    </row>
    <row r="1050" spans="13:13" x14ac:dyDescent="0.25">
      <c r="M1050">
        <v>523.5</v>
      </c>
    </row>
    <row r="1051" spans="13:13" x14ac:dyDescent="0.25">
      <c r="M1051">
        <v>524</v>
      </c>
    </row>
    <row r="1052" spans="13:13" x14ac:dyDescent="0.25">
      <c r="M1052">
        <v>524.5</v>
      </c>
    </row>
    <row r="1053" spans="13:13" x14ac:dyDescent="0.25">
      <c r="M1053">
        <v>525</v>
      </c>
    </row>
    <row r="1054" spans="13:13" x14ac:dyDescent="0.25">
      <c r="M1054">
        <v>525.5</v>
      </c>
    </row>
    <row r="1055" spans="13:13" x14ac:dyDescent="0.25">
      <c r="M1055">
        <v>526</v>
      </c>
    </row>
    <row r="1056" spans="13:13" x14ac:dyDescent="0.25">
      <c r="M1056">
        <v>526.5</v>
      </c>
    </row>
    <row r="1057" spans="13:13" x14ac:dyDescent="0.25">
      <c r="M1057">
        <v>527</v>
      </c>
    </row>
    <row r="1058" spans="13:13" x14ac:dyDescent="0.25">
      <c r="M1058">
        <v>527.5</v>
      </c>
    </row>
    <row r="1059" spans="13:13" x14ac:dyDescent="0.25">
      <c r="M1059">
        <v>528</v>
      </c>
    </row>
    <row r="1060" spans="13:13" x14ac:dyDescent="0.25">
      <c r="M1060">
        <v>528.5</v>
      </c>
    </row>
    <row r="1061" spans="13:13" x14ac:dyDescent="0.25">
      <c r="M1061">
        <v>529</v>
      </c>
    </row>
    <row r="1062" spans="13:13" x14ac:dyDescent="0.25">
      <c r="M1062">
        <v>529.5</v>
      </c>
    </row>
    <row r="1063" spans="13:13" x14ac:dyDescent="0.25">
      <c r="M1063">
        <v>530</v>
      </c>
    </row>
    <row r="1064" spans="13:13" x14ac:dyDescent="0.25">
      <c r="M1064">
        <v>530.5</v>
      </c>
    </row>
    <row r="1065" spans="13:13" x14ac:dyDescent="0.25">
      <c r="M1065">
        <v>531</v>
      </c>
    </row>
    <row r="1066" spans="13:13" x14ac:dyDescent="0.25">
      <c r="M1066">
        <v>531.5</v>
      </c>
    </row>
    <row r="1067" spans="13:13" x14ac:dyDescent="0.25">
      <c r="M1067">
        <v>532</v>
      </c>
    </row>
    <row r="1068" spans="13:13" x14ac:dyDescent="0.25">
      <c r="M1068">
        <v>532.5</v>
      </c>
    </row>
    <row r="1069" spans="13:13" x14ac:dyDescent="0.25">
      <c r="M1069">
        <v>533</v>
      </c>
    </row>
    <row r="1070" spans="13:13" x14ac:dyDescent="0.25">
      <c r="M1070">
        <v>533.5</v>
      </c>
    </row>
    <row r="1071" spans="13:13" x14ac:dyDescent="0.25">
      <c r="M1071">
        <v>534</v>
      </c>
    </row>
    <row r="1072" spans="13:13" x14ac:dyDescent="0.25">
      <c r="M1072">
        <v>534.5</v>
      </c>
    </row>
    <row r="1073" spans="13:13" x14ac:dyDescent="0.25">
      <c r="M1073">
        <v>535</v>
      </c>
    </row>
    <row r="1074" spans="13:13" x14ac:dyDescent="0.25">
      <c r="M1074">
        <v>535.5</v>
      </c>
    </row>
    <row r="1075" spans="13:13" x14ac:dyDescent="0.25">
      <c r="M1075">
        <v>536</v>
      </c>
    </row>
    <row r="1076" spans="13:13" x14ac:dyDescent="0.25">
      <c r="M1076">
        <v>536.5</v>
      </c>
    </row>
    <row r="1077" spans="13:13" x14ac:dyDescent="0.25">
      <c r="M1077">
        <v>537</v>
      </c>
    </row>
    <row r="1078" spans="13:13" x14ac:dyDescent="0.25">
      <c r="M1078">
        <v>537.5</v>
      </c>
    </row>
    <row r="1079" spans="13:13" x14ac:dyDescent="0.25">
      <c r="M1079">
        <v>538</v>
      </c>
    </row>
    <row r="1080" spans="13:13" x14ac:dyDescent="0.25">
      <c r="M1080">
        <v>538.5</v>
      </c>
    </row>
    <row r="1081" spans="13:13" x14ac:dyDescent="0.25">
      <c r="M1081">
        <v>539</v>
      </c>
    </row>
    <row r="1082" spans="13:13" x14ac:dyDescent="0.25">
      <c r="M1082">
        <v>539.5</v>
      </c>
    </row>
    <row r="1083" spans="13:13" x14ac:dyDescent="0.25">
      <c r="M1083">
        <v>540</v>
      </c>
    </row>
    <row r="1084" spans="13:13" x14ac:dyDescent="0.25">
      <c r="M1084">
        <v>540.5</v>
      </c>
    </row>
    <row r="1085" spans="13:13" x14ac:dyDescent="0.25">
      <c r="M1085">
        <v>541</v>
      </c>
    </row>
    <row r="1086" spans="13:13" x14ac:dyDescent="0.25">
      <c r="M1086">
        <v>541.5</v>
      </c>
    </row>
    <row r="1087" spans="13:13" x14ac:dyDescent="0.25">
      <c r="M1087">
        <v>542</v>
      </c>
    </row>
    <row r="1088" spans="13:13" x14ac:dyDescent="0.25">
      <c r="M1088">
        <v>542.5</v>
      </c>
    </row>
    <row r="1089" spans="13:13" x14ac:dyDescent="0.25">
      <c r="M1089">
        <v>543</v>
      </c>
    </row>
    <row r="1090" spans="13:13" x14ac:dyDescent="0.25">
      <c r="M1090">
        <v>543.5</v>
      </c>
    </row>
    <row r="1091" spans="13:13" x14ac:dyDescent="0.25">
      <c r="M1091">
        <v>544</v>
      </c>
    </row>
    <row r="1092" spans="13:13" x14ac:dyDescent="0.25">
      <c r="M1092">
        <v>544.5</v>
      </c>
    </row>
    <row r="1093" spans="13:13" x14ac:dyDescent="0.25">
      <c r="M1093">
        <v>545</v>
      </c>
    </row>
    <row r="1094" spans="13:13" x14ac:dyDescent="0.25">
      <c r="M1094">
        <v>545.5</v>
      </c>
    </row>
    <row r="1095" spans="13:13" x14ac:dyDescent="0.25">
      <c r="M1095">
        <v>546</v>
      </c>
    </row>
    <row r="1096" spans="13:13" x14ac:dyDescent="0.25">
      <c r="M1096">
        <v>546.5</v>
      </c>
    </row>
    <row r="1097" spans="13:13" x14ac:dyDescent="0.25">
      <c r="M1097">
        <v>547</v>
      </c>
    </row>
    <row r="1098" spans="13:13" x14ac:dyDescent="0.25">
      <c r="M1098">
        <v>547.5</v>
      </c>
    </row>
    <row r="1099" spans="13:13" x14ac:dyDescent="0.25">
      <c r="M1099">
        <v>548</v>
      </c>
    </row>
    <row r="1100" spans="13:13" x14ac:dyDescent="0.25">
      <c r="M1100">
        <v>548.5</v>
      </c>
    </row>
    <row r="1101" spans="13:13" x14ac:dyDescent="0.25">
      <c r="M1101">
        <v>549</v>
      </c>
    </row>
    <row r="1102" spans="13:13" x14ac:dyDescent="0.25">
      <c r="M1102">
        <v>549.5</v>
      </c>
    </row>
    <row r="1103" spans="13:13" x14ac:dyDescent="0.25">
      <c r="M1103">
        <v>550</v>
      </c>
    </row>
    <row r="1104" spans="13:13" x14ac:dyDescent="0.25">
      <c r="M1104">
        <v>550.5</v>
      </c>
    </row>
    <row r="1105" spans="13:13" x14ac:dyDescent="0.25">
      <c r="M1105">
        <v>551</v>
      </c>
    </row>
    <row r="1106" spans="13:13" x14ac:dyDescent="0.25">
      <c r="M1106">
        <v>551.5</v>
      </c>
    </row>
    <row r="1107" spans="13:13" x14ac:dyDescent="0.25">
      <c r="M1107">
        <v>552</v>
      </c>
    </row>
    <row r="1108" spans="13:13" x14ac:dyDescent="0.25">
      <c r="M1108">
        <v>552.5</v>
      </c>
    </row>
    <row r="1109" spans="13:13" x14ac:dyDescent="0.25">
      <c r="M1109">
        <v>553</v>
      </c>
    </row>
    <row r="1110" spans="13:13" x14ac:dyDescent="0.25">
      <c r="M1110">
        <v>553.5</v>
      </c>
    </row>
    <row r="1111" spans="13:13" x14ac:dyDescent="0.25">
      <c r="M1111">
        <v>554</v>
      </c>
    </row>
    <row r="1112" spans="13:13" x14ac:dyDescent="0.25">
      <c r="M1112">
        <v>554.5</v>
      </c>
    </row>
    <row r="1113" spans="13:13" x14ac:dyDescent="0.25">
      <c r="M1113">
        <v>555</v>
      </c>
    </row>
    <row r="1114" spans="13:13" x14ac:dyDescent="0.25">
      <c r="M1114">
        <v>555.5</v>
      </c>
    </row>
    <row r="1115" spans="13:13" x14ac:dyDescent="0.25">
      <c r="M1115">
        <v>556</v>
      </c>
    </row>
    <row r="1116" spans="13:13" x14ac:dyDescent="0.25">
      <c r="M1116">
        <v>556.5</v>
      </c>
    </row>
    <row r="1117" spans="13:13" x14ac:dyDescent="0.25">
      <c r="M1117">
        <v>557</v>
      </c>
    </row>
    <row r="1118" spans="13:13" x14ac:dyDescent="0.25">
      <c r="M1118">
        <v>557.5</v>
      </c>
    </row>
    <row r="1119" spans="13:13" x14ac:dyDescent="0.25">
      <c r="M1119">
        <v>558</v>
      </c>
    </row>
    <row r="1120" spans="13:13" x14ac:dyDescent="0.25">
      <c r="M1120">
        <v>558.5</v>
      </c>
    </row>
    <row r="1121" spans="13:13" x14ac:dyDescent="0.25">
      <c r="M1121">
        <v>559</v>
      </c>
    </row>
    <row r="1122" spans="13:13" x14ac:dyDescent="0.25">
      <c r="M1122">
        <v>559.5</v>
      </c>
    </row>
    <row r="1123" spans="13:13" x14ac:dyDescent="0.25">
      <c r="M1123">
        <v>560</v>
      </c>
    </row>
    <row r="1124" spans="13:13" x14ac:dyDescent="0.25">
      <c r="M1124">
        <v>560.5</v>
      </c>
    </row>
    <row r="1125" spans="13:13" x14ac:dyDescent="0.25">
      <c r="M1125">
        <v>561</v>
      </c>
    </row>
    <row r="1126" spans="13:13" x14ac:dyDescent="0.25">
      <c r="M1126">
        <v>561.5</v>
      </c>
    </row>
    <row r="1127" spans="13:13" x14ac:dyDescent="0.25">
      <c r="M1127">
        <v>562</v>
      </c>
    </row>
    <row r="1128" spans="13:13" x14ac:dyDescent="0.25">
      <c r="M1128">
        <v>562.5</v>
      </c>
    </row>
    <row r="1129" spans="13:13" x14ac:dyDescent="0.25">
      <c r="M1129">
        <v>563</v>
      </c>
    </row>
    <row r="1130" spans="13:13" x14ac:dyDescent="0.25">
      <c r="M1130">
        <v>563.5</v>
      </c>
    </row>
    <row r="1131" spans="13:13" x14ac:dyDescent="0.25">
      <c r="M1131">
        <v>564</v>
      </c>
    </row>
    <row r="1132" spans="13:13" x14ac:dyDescent="0.25">
      <c r="M1132">
        <v>564.5</v>
      </c>
    </row>
    <row r="1133" spans="13:13" x14ac:dyDescent="0.25">
      <c r="M1133">
        <v>565</v>
      </c>
    </row>
    <row r="1134" spans="13:13" x14ac:dyDescent="0.25">
      <c r="M1134">
        <v>565.5</v>
      </c>
    </row>
    <row r="1135" spans="13:13" x14ac:dyDescent="0.25">
      <c r="M1135">
        <v>566</v>
      </c>
    </row>
    <row r="1136" spans="13:13" x14ac:dyDescent="0.25">
      <c r="M1136">
        <v>566.5</v>
      </c>
    </row>
    <row r="1137" spans="13:13" x14ac:dyDescent="0.25">
      <c r="M1137">
        <v>567</v>
      </c>
    </row>
    <row r="1138" spans="13:13" x14ac:dyDescent="0.25">
      <c r="M1138">
        <v>567.5</v>
      </c>
    </row>
    <row r="1139" spans="13:13" x14ac:dyDescent="0.25">
      <c r="M1139">
        <v>568</v>
      </c>
    </row>
    <row r="1140" spans="13:13" x14ac:dyDescent="0.25">
      <c r="M1140">
        <v>568.5</v>
      </c>
    </row>
    <row r="1141" spans="13:13" x14ac:dyDescent="0.25">
      <c r="M1141">
        <v>569</v>
      </c>
    </row>
    <row r="1142" spans="13:13" x14ac:dyDescent="0.25">
      <c r="M1142">
        <v>569.5</v>
      </c>
    </row>
    <row r="1143" spans="13:13" x14ac:dyDescent="0.25">
      <c r="M1143">
        <v>570</v>
      </c>
    </row>
    <row r="1144" spans="13:13" x14ac:dyDescent="0.25">
      <c r="M1144">
        <v>570.5</v>
      </c>
    </row>
    <row r="1145" spans="13:13" x14ac:dyDescent="0.25">
      <c r="M1145">
        <v>571</v>
      </c>
    </row>
    <row r="1146" spans="13:13" x14ac:dyDescent="0.25">
      <c r="M1146">
        <v>571.5</v>
      </c>
    </row>
    <row r="1147" spans="13:13" x14ac:dyDescent="0.25">
      <c r="M1147">
        <v>572</v>
      </c>
    </row>
    <row r="1148" spans="13:13" x14ac:dyDescent="0.25">
      <c r="M1148">
        <v>572.5</v>
      </c>
    </row>
    <row r="1149" spans="13:13" x14ac:dyDescent="0.25">
      <c r="M1149">
        <v>573</v>
      </c>
    </row>
    <row r="1150" spans="13:13" x14ac:dyDescent="0.25">
      <c r="M1150">
        <v>573.5</v>
      </c>
    </row>
    <row r="1151" spans="13:13" x14ac:dyDescent="0.25">
      <c r="M1151">
        <v>574</v>
      </c>
    </row>
    <row r="1152" spans="13:13" x14ac:dyDescent="0.25">
      <c r="M1152">
        <v>574.5</v>
      </c>
    </row>
    <row r="1153" spans="13:13" x14ac:dyDescent="0.25">
      <c r="M1153">
        <v>575</v>
      </c>
    </row>
    <row r="1154" spans="13:13" x14ac:dyDescent="0.25">
      <c r="M1154">
        <v>575.5</v>
      </c>
    </row>
    <row r="1155" spans="13:13" x14ac:dyDescent="0.25">
      <c r="M1155">
        <v>576</v>
      </c>
    </row>
    <row r="1156" spans="13:13" x14ac:dyDescent="0.25">
      <c r="M1156">
        <v>576.5</v>
      </c>
    </row>
    <row r="1157" spans="13:13" x14ac:dyDescent="0.25">
      <c r="M1157">
        <v>577</v>
      </c>
    </row>
    <row r="1158" spans="13:13" x14ac:dyDescent="0.25">
      <c r="M1158">
        <v>577.5</v>
      </c>
    </row>
    <row r="1159" spans="13:13" x14ac:dyDescent="0.25">
      <c r="M1159">
        <v>578</v>
      </c>
    </row>
    <row r="1160" spans="13:13" x14ac:dyDescent="0.25">
      <c r="M1160">
        <v>578.5</v>
      </c>
    </row>
    <row r="1161" spans="13:13" x14ac:dyDescent="0.25">
      <c r="M1161">
        <v>579</v>
      </c>
    </row>
    <row r="1162" spans="13:13" x14ac:dyDescent="0.25">
      <c r="M1162">
        <v>579.5</v>
      </c>
    </row>
    <row r="1163" spans="13:13" x14ac:dyDescent="0.25">
      <c r="M1163">
        <v>580</v>
      </c>
    </row>
    <row r="1164" spans="13:13" x14ac:dyDescent="0.25">
      <c r="M1164">
        <v>580.5</v>
      </c>
    </row>
    <row r="1165" spans="13:13" x14ac:dyDescent="0.25">
      <c r="M1165">
        <v>581</v>
      </c>
    </row>
    <row r="1166" spans="13:13" x14ac:dyDescent="0.25">
      <c r="M1166">
        <v>581.5</v>
      </c>
    </row>
    <row r="1167" spans="13:13" x14ac:dyDescent="0.25">
      <c r="M1167">
        <v>582</v>
      </c>
    </row>
    <row r="1168" spans="13:13" x14ac:dyDescent="0.25">
      <c r="M1168">
        <v>582.5</v>
      </c>
    </row>
    <row r="1169" spans="13:13" x14ac:dyDescent="0.25">
      <c r="M1169">
        <v>583</v>
      </c>
    </row>
    <row r="1170" spans="13:13" x14ac:dyDescent="0.25">
      <c r="M1170">
        <v>583.5</v>
      </c>
    </row>
    <row r="1171" spans="13:13" x14ac:dyDescent="0.25">
      <c r="M1171">
        <v>584</v>
      </c>
    </row>
    <row r="1172" spans="13:13" x14ac:dyDescent="0.25">
      <c r="M1172">
        <v>584.5</v>
      </c>
    </row>
    <row r="1173" spans="13:13" x14ac:dyDescent="0.25">
      <c r="M1173">
        <v>585</v>
      </c>
    </row>
    <row r="1174" spans="13:13" x14ac:dyDescent="0.25">
      <c r="M1174">
        <v>585.5</v>
      </c>
    </row>
    <row r="1175" spans="13:13" x14ac:dyDescent="0.25">
      <c r="M1175">
        <v>586</v>
      </c>
    </row>
    <row r="1176" spans="13:13" x14ac:dyDescent="0.25">
      <c r="M1176">
        <v>586.5</v>
      </c>
    </row>
    <row r="1177" spans="13:13" x14ac:dyDescent="0.25">
      <c r="M1177">
        <v>587</v>
      </c>
    </row>
    <row r="1178" spans="13:13" x14ac:dyDescent="0.25">
      <c r="M1178">
        <v>587.5</v>
      </c>
    </row>
    <row r="1179" spans="13:13" x14ac:dyDescent="0.25">
      <c r="M1179">
        <v>588</v>
      </c>
    </row>
    <row r="1180" spans="13:13" x14ac:dyDescent="0.25">
      <c r="M1180">
        <v>588.5</v>
      </c>
    </row>
    <row r="1181" spans="13:13" x14ac:dyDescent="0.25">
      <c r="M1181">
        <v>589</v>
      </c>
    </row>
    <row r="1182" spans="13:13" x14ac:dyDescent="0.25">
      <c r="M1182">
        <v>589.5</v>
      </c>
    </row>
    <row r="1183" spans="13:13" x14ac:dyDescent="0.25">
      <c r="M1183">
        <v>590</v>
      </c>
    </row>
    <row r="1184" spans="13:13" x14ac:dyDescent="0.25">
      <c r="M1184">
        <v>590.5</v>
      </c>
    </row>
    <row r="1185" spans="13:13" x14ac:dyDescent="0.25">
      <c r="M1185">
        <v>591</v>
      </c>
    </row>
    <row r="1186" spans="13:13" x14ac:dyDescent="0.25">
      <c r="M1186">
        <v>591.5</v>
      </c>
    </row>
    <row r="1187" spans="13:13" x14ac:dyDescent="0.25">
      <c r="M1187">
        <v>592</v>
      </c>
    </row>
    <row r="1188" spans="13:13" x14ac:dyDescent="0.25">
      <c r="M1188">
        <v>592.5</v>
      </c>
    </row>
    <row r="1189" spans="13:13" x14ac:dyDescent="0.25">
      <c r="M1189">
        <v>593</v>
      </c>
    </row>
    <row r="1190" spans="13:13" x14ac:dyDescent="0.25">
      <c r="M1190">
        <v>593.5</v>
      </c>
    </row>
    <row r="1191" spans="13:13" x14ac:dyDescent="0.25">
      <c r="M1191">
        <v>594</v>
      </c>
    </row>
    <row r="1192" spans="13:13" x14ac:dyDescent="0.25">
      <c r="M1192">
        <v>594.5</v>
      </c>
    </row>
    <row r="1193" spans="13:13" x14ac:dyDescent="0.25">
      <c r="M1193">
        <v>595</v>
      </c>
    </row>
    <row r="1194" spans="13:13" x14ac:dyDescent="0.25">
      <c r="M1194">
        <v>595.5</v>
      </c>
    </row>
    <row r="1195" spans="13:13" x14ac:dyDescent="0.25">
      <c r="M1195">
        <v>596</v>
      </c>
    </row>
    <row r="1196" spans="13:13" x14ac:dyDescent="0.25">
      <c r="M1196">
        <v>596.5</v>
      </c>
    </row>
    <row r="1197" spans="13:13" x14ac:dyDescent="0.25">
      <c r="M1197">
        <v>597</v>
      </c>
    </row>
    <row r="1198" spans="13:13" x14ac:dyDescent="0.25">
      <c r="M1198">
        <v>597.5</v>
      </c>
    </row>
    <row r="1199" spans="13:13" x14ac:dyDescent="0.25">
      <c r="M1199">
        <v>598</v>
      </c>
    </row>
    <row r="1200" spans="13:13" x14ac:dyDescent="0.25">
      <c r="M1200">
        <v>598.5</v>
      </c>
    </row>
    <row r="1201" spans="13:13" x14ac:dyDescent="0.25">
      <c r="M1201">
        <v>599</v>
      </c>
    </row>
    <row r="1202" spans="13:13" x14ac:dyDescent="0.25">
      <c r="M1202">
        <v>599.5</v>
      </c>
    </row>
    <row r="1203" spans="13:13" x14ac:dyDescent="0.25">
      <c r="M1203">
        <v>600</v>
      </c>
    </row>
    <row r="1204" spans="13:13" x14ac:dyDescent="0.25">
      <c r="M1204">
        <v>600.5</v>
      </c>
    </row>
    <row r="1205" spans="13:13" x14ac:dyDescent="0.25">
      <c r="M1205">
        <v>601</v>
      </c>
    </row>
    <row r="1206" spans="13:13" x14ac:dyDescent="0.25">
      <c r="M1206">
        <v>601.5</v>
      </c>
    </row>
    <row r="1207" spans="13:13" x14ac:dyDescent="0.25">
      <c r="M1207">
        <v>602</v>
      </c>
    </row>
    <row r="1208" spans="13:13" x14ac:dyDescent="0.25">
      <c r="M1208">
        <v>602.5</v>
      </c>
    </row>
    <row r="1209" spans="13:13" x14ac:dyDescent="0.25">
      <c r="M1209">
        <v>603</v>
      </c>
    </row>
    <row r="1210" spans="13:13" x14ac:dyDescent="0.25">
      <c r="M1210">
        <v>603.5</v>
      </c>
    </row>
    <row r="1211" spans="13:13" x14ac:dyDescent="0.25">
      <c r="M1211">
        <v>604</v>
      </c>
    </row>
    <row r="1212" spans="13:13" x14ac:dyDescent="0.25">
      <c r="M1212">
        <v>604.5</v>
      </c>
    </row>
    <row r="1213" spans="13:13" x14ac:dyDescent="0.25">
      <c r="M1213">
        <v>605</v>
      </c>
    </row>
    <row r="1214" spans="13:13" x14ac:dyDescent="0.25">
      <c r="M1214">
        <v>605.5</v>
      </c>
    </row>
    <row r="1215" spans="13:13" x14ac:dyDescent="0.25">
      <c r="M1215">
        <v>606</v>
      </c>
    </row>
    <row r="1216" spans="13:13" x14ac:dyDescent="0.25">
      <c r="M1216">
        <v>606.5</v>
      </c>
    </row>
    <row r="1217" spans="13:13" x14ac:dyDescent="0.25">
      <c r="M1217">
        <v>607</v>
      </c>
    </row>
    <row r="1218" spans="13:13" x14ac:dyDescent="0.25">
      <c r="M1218">
        <v>607.5</v>
      </c>
    </row>
    <row r="1219" spans="13:13" x14ac:dyDescent="0.25">
      <c r="M1219">
        <v>608</v>
      </c>
    </row>
    <row r="1220" spans="13:13" x14ac:dyDescent="0.25">
      <c r="M1220">
        <v>608.5</v>
      </c>
    </row>
    <row r="1221" spans="13:13" x14ac:dyDescent="0.25">
      <c r="M1221">
        <v>609</v>
      </c>
    </row>
    <row r="1222" spans="13:13" x14ac:dyDescent="0.25">
      <c r="M1222">
        <v>609.5</v>
      </c>
    </row>
    <row r="1223" spans="13:13" x14ac:dyDescent="0.25">
      <c r="M1223">
        <v>610</v>
      </c>
    </row>
    <row r="1224" spans="13:13" x14ac:dyDescent="0.25">
      <c r="M1224">
        <v>610.5</v>
      </c>
    </row>
    <row r="1225" spans="13:13" x14ac:dyDescent="0.25">
      <c r="M1225">
        <v>611</v>
      </c>
    </row>
    <row r="1226" spans="13:13" x14ac:dyDescent="0.25">
      <c r="M1226">
        <v>611.5</v>
      </c>
    </row>
    <row r="1227" spans="13:13" x14ac:dyDescent="0.25">
      <c r="M1227">
        <v>612</v>
      </c>
    </row>
    <row r="1228" spans="13:13" x14ac:dyDescent="0.25">
      <c r="M1228">
        <v>612.5</v>
      </c>
    </row>
    <row r="1229" spans="13:13" x14ac:dyDescent="0.25">
      <c r="M1229">
        <v>613</v>
      </c>
    </row>
    <row r="1230" spans="13:13" x14ac:dyDescent="0.25">
      <c r="M1230">
        <v>613.5</v>
      </c>
    </row>
    <row r="1231" spans="13:13" x14ac:dyDescent="0.25">
      <c r="M1231">
        <v>614</v>
      </c>
    </row>
    <row r="1232" spans="13:13" x14ac:dyDescent="0.25">
      <c r="M1232">
        <v>614.5</v>
      </c>
    </row>
    <row r="1233" spans="13:13" x14ac:dyDescent="0.25">
      <c r="M1233">
        <v>615</v>
      </c>
    </row>
    <row r="1234" spans="13:13" x14ac:dyDescent="0.25">
      <c r="M1234">
        <v>615.5</v>
      </c>
    </row>
    <row r="1235" spans="13:13" x14ac:dyDescent="0.25">
      <c r="M1235">
        <v>616</v>
      </c>
    </row>
    <row r="1236" spans="13:13" x14ac:dyDescent="0.25">
      <c r="M1236">
        <v>616.5</v>
      </c>
    </row>
    <row r="1237" spans="13:13" x14ac:dyDescent="0.25">
      <c r="M1237">
        <v>617</v>
      </c>
    </row>
    <row r="1238" spans="13:13" x14ac:dyDescent="0.25">
      <c r="M1238">
        <v>617.5</v>
      </c>
    </row>
    <row r="1239" spans="13:13" x14ac:dyDescent="0.25">
      <c r="M1239">
        <v>618</v>
      </c>
    </row>
    <row r="1240" spans="13:13" x14ac:dyDescent="0.25">
      <c r="M1240">
        <v>618.5</v>
      </c>
    </row>
    <row r="1241" spans="13:13" x14ac:dyDescent="0.25">
      <c r="M1241">
        <v>619</v>
      </c>
    </row>
    <row r="1242" spans="13:13" x14ac:dyDescent="0.25">
      <c r="M1242">
        <v>619.5</v>
      </c>
    </row>
    <row r="1243" spans="13:13" x14ac:dyDescent="0.25">
      <c r="M1243">
        <v>620</v>
      </c>
    </row>
    <row r="1244" spans="13:13" x14ac:dyDescent="0.25">
      <c r="M1244">
        <v>620.5</v>
      </c>
    </row>
    <row r="1245" spans="13:13" x14ac:dyDescent="0.25">
      <c r="M1245">
        <v>621</v>
      </c>
    </row>
    <row r="1246" spans="13:13" x14ac:dyDescent="0.25">
      <c r="M1246">
        <v>621.5</v>
      </c>
    </row>
    <row r="1247" spans="13:13" x14ac:dyDescent="0.25">
      <c r="M1247">
        <v>622</v>
      </c>
    </row>
    <row r="1248" spans="13:13" x14ac:dyDescent="0.25">
      <c r="M1248">
        <v>622.5</v>
      </c>
    </row>
    <row r="1249" spans="13:13" x14ac:dyDescent="0.25">
      <c r="M1249">
        <v>623</v>
      </c>
    </row>
    <row r="1250" spans="13:13" x14ac:dyDescent="0.25">
      <c r="M1250">
        <v>623.5</v>
      </c>
    </row>
    <row r="1251" spans="13:13" x14ac:dyDescent="0.25">
      <c r="M1251">
        <v>624</v>
      </c>
    </row>
    <row r="1252" spans="13:13" x14ac:dyDescent="0.25">
      <c r="M1252">
        <v>624.5</v>
      </c>
    </row>
    <row r="1253" spans="13:13" x14ac:dyDescent="0.25">
      <c r="M1253">
        <v>625</v>
      </c>
    </row>
    <row r="1254" spans="13:13" x14ac:dyDescent="0.25">
      <c r="M1254">
        <v>625.5</v>
      </c>
    </row>
    <row r="1255" spans="13:13" x14ac:dyDescent="0.25">
      <c r="M1255">
        <v>626</v>
      </c>
    </row>
    <row r="1256" spans="13:13" x14ac:dyDescent="0.25">
      <c r="M1256">
        <v>626.5</v>
      </c>
    </row>
    <row r="1257" spans="13:13" x14ac:dyDescent="0.25">
      <c r="M1257">
        <v>627</v>
      </c>
    </row>
    <row r="1258" spans="13:13" x14ac:dyDescent="0.25">
      <c r="M1258">
        <v>627.5</v>
      </c>
    </row>
    <row r="1259" spans="13:13" x14ac:dyDescent="0.25">
      <c r="M1259">
        <v>628</v>
      </c>
    </row>
    <row r="1260" spans="13:13" x14ac:dyDescent="0.25">
      <c r="M1260">
        <v>628.5</v>
      </c>
    </row>
    <row r="1261" spans="13:13" x14ac:dyDescent="0.25">
      <c r="M1261">
        <v>629</v>
      </c>
    </row>
    <row r="1262" spans="13:13" x14ac:dyDescent="0.25">
      <c r="M1262">
        <v>629.5</v>
      </c>
    </row>
    <row r="1263" spans="13:13" x14ac:dyDescent="0.25">
      <c r="M1263">
        <v>630</v>
      </c>
    </row>
    <row r="1264" spans="13:13" x14ac:dyDescent="0.25">
      <c r="M1264">
        <v>630.5</v>
      </c>
    </row>
    <row r="1265" spans="13:13" x14ac:dyDescent="0.25">
      <c r="M1265">
        <v>631</v>
      </c>
    </row>
    <row r="1266" spans="13:13" x14ac:dyDescent="0.25">
      <c r="M1266">
        <v>631.5</v>
      </c>
    </row>
    <row r="1267" spans="13:13" x14ac:dyDescent="0.25">
      <c r="M1267">
        <v>632</v>
      </c>
    </row>
    <row r="1268" spans="13:13" x14ac:dyDescent="0.25">
      <c r="M1268">
        <v>632.5</v>
      </c>
    </row>
    <row r="1269" spans="13:13" x14ac:dyDescent="0.25">
      <c r="M1269">
        <v>633</v>
      </c>
    </row>
    <row r="1270" spans="13:13" x14ac:dyDescent="0.25">
      <c r="M1270">
        <v>633.5</v>
      </c>
    </row>
    <row r="1271" spans="13:13" x14ac:dyDescent="0.25">
      <c r="M1271">
        <v>634</v>
      </c>
    </row>
    <row r="1272" spans="13:13" x14ac:dyDescent="0.25">
      <c r="M1272">
        <v>634.5</v>
      </c>
    </row>
    <row r="1273" spans="13:13" x14ac:dyDescent="0.25">
      <c r="M1273">
        <v>635</v>
      </c>
    </row>
    <row r="1274" spans="13:13" x14ac:dyDescent="0.25">
      <c r="M1274">
        <v>635.5</v>
      </c>
    </row>
    <row r="1275" spans="13:13" x14ac:dyDescent="0.25">
      <c r="M1275">
        <v>636</v>
      </c>
    </row>
    <row r="1276" spans="13:13" x14ac:dyDescent="0.25">
      <c r="M1276">
        <v>636.5</v>
      </c>
    </row>
    <row r="1277" spans="13:13" x14ac:dyDescent="0.25">
      <c r="M1277">
        <v>637</v>
      </c>
    </row>
    <row r="1278" spans="13:13" x14ac:dyDescent="0.25">
      <c r="M1278">
        <v>637.5</v>
      </c>
    </row>
    <row r="1279" spans="13:13" x14ac:dyDescent="0.25">
      <c r="M1279">
        <v>638</v>
      </c>
    </row>
    <row r="1280" spans="13:13" x14ac:dyDescent="0.25">
      <c r="M1280">
        <v>638.5</v>
      </c>
    </row>
    <row r="1281" spans="13:13" x14ac:dyDescent="0.25">
      <c r="M1281">
        <v>639</v>
      </c>
    </row>
    <row r="1282" spans="13:13" x14ac:dyDescent="0.25">
      <c r="M1282">
        <v>639.5</v>
      </c>
    </row>
    <row r="1283" spans="13:13" x14ac:dyDescent="0.25">
      <c r="M1283">
        <v>640</v>
      </c>
    </row>
    <row r="1284" spans="13:13" x14ac:dyDescent="0.25">
      <c r="M1284">
        <v>640.5</v>
      </c>
    </row>
    <row r="1285" spans="13:13" x14ac:dyDescent="0.25">
      <c r="M1285">
        <v>641</v>
      </c>
    </row>
    <row r="1286" spans="13:13" x14ac:dyDescent="0.25">
      <c r="M1286">
        <v>641.5</v>
      </c>
    </row>
    <row r="1287" spans="13:13" x14ac:dyDescent="0.25">
      <c r="M1287">
        <v>642</v>
      </c>
    </row>
    <row r="1288" spans="13:13" x14ac:dyDescent="0.25">
      <c r="M1288">
        <v>642.5</v>
      </c>
    </row>
    <row r="1289" spans="13:13" x14ac:dyDescent="0.25">
      <c r="M1289">
        <v>643</v>
      </c>
    </row>
    <row r="1290" spans="13:13" x14ac:dyDescent="0.25">
      <c r="M1290">
        <v>643.5</v>
      </c>
    </row>
    <row r="1291" spans="13:13" x14ac:dyDescent="0.25">
      <c r="M1291">
        <v>644</v>
      </c>
    </row>
    <row r="1292" spans="13:13" x14ac:dyDescent="0.25">
      <c r="M1292">
        <v>644.5</v>
      </c>
    </row>
    <row r="1293" spans="13:13" x14ac:dyDescent="0.25">
      <c r="M1293">
        <v>645</v>
      </c>
    </row>
    <row r="1294" spans="13:13" x14ac:dyDescent="0.25">
      <c r="M1294">
        <v>645.5</v>
      </c>
    </row>
    <row r="1295" spans="13:13" x14ac:dyDescent="0.25">
      <c r="M1295">
        <v>646</v>
      </c>
    </row>
    <row r="1296" spans="13:13" x14ac:dyDescent="0.25">
      <c r="M1296">
        <v>646.5</v>
      </c>
    </row>
    <row r="1297" spans="13:13" x14ac:dyDescent="0.25">
      <c r="M1297">
        <v>647</v>
      </c>
    </row>
    <row r="1298" spans="13:13" x14ac:dyDescent="0.25">
      <c r="M1298">
        <v>647.5</v>
      </c>
    </row>
    <row r="1299" spans="13:13" x14ac:dyDescent="0.25">
      <c r="M1299">
        <v>648</v>
      </c>
    </row>
    <row r="1300" spans="13:13" x14ac:dyDescent="0.25">
      <c r="M1300">
        <v>648.5</v>
      </c>
    </row>
    <row r="1301" spans="13:13" x14ac:dyDescent="0.25">
      <c r="M1301">
        <v>649</v>
      </c>
    </row>
    <row r="1302" spans="13:13" x14ac:dyDescent="0.25">
      <c r="M1302">
        <v>649.5</v>
      </c>
    </row>
    <row r="1303" spans="13:13" x14ac:dyDescent="0.25">
      <c r="M1303">
        <v>650</v>
      </c>
    </row>
    <row r="1304" spans="13:13" x14ac:dyDescent="0.25">
      <c r="M1304">
        <v>650.5</v>
      </c>
    </row>
    <row r="1305" spans="13:13" x14ac:dyDescent="0.25">
      <c r="M1305">
        <v>651</v>
      </c>
    </row>
    <row r="1306" spans="13:13" x14ac:dyDescent="0.25">
      <c r="M1306">
        <v>651.5</v>
      </c>
    </row>
    <row r="1307" spans="13:13" x14ac:dyDescent="0.25">
      <c r="M1307">
        <v>652</v>
      </c>
    </row>
    <row r="1308" spans="13:13" x14ac:dyDescent="0.25">
      <c r="M1308">
        <v>652.5</v>
      </c>
    </row>
    <row r="1309" spans="13:13" x14ac:dyDescent="0.25">
      <c r="M1309">
        <v>653</v>
      </c>
    </row>
    <row r="1310" spans="13:13" x14ac:dyDescent="0.25">
      <c r="M1310">
        <v>653.5</v>
      </c>
    </row>
    <row r="1311" spans="13:13" x14ac:dyDescent="0.25">
      <c r="M1311">
        <v>654</v>
      </c>
    </row>
    <row r="1312" spans="13:13" x14ac:dyDescent="0.25">
      <c r="M1312">
        <v>654.5</v>
      </c>
    </row>
    <row r="1313" spans="13:13" x14ac:dyDescent="0.25">
      <c r="M1313">
        <v>655</v>
      </c>
    </row>
    <row r="1314" spans="13:13" x14ac:dyDescent="0.25">
      <c r="M1314">
        <v>655.5</v>
      </c>
    </row>
    <row r="1315" spans="13:13" x14ac:dyDescent="0.25">
      <c r="M1315">
        <v>656</v>
      </c>
    </row>
    <row r="1316" spans="13:13" x14ac:dyDescent="0.25">
      <c r="M1316">
        <v>656.5</v>
      </c>
    </row>
    <row r="1317" spans="13:13" x14ac:dyDescent="0.25">
      <c r="M1317">
        <v>657</v>
      </c>
    </row>
    <row r="1318" spans="13:13" x14ac:dyDescent="0.25">
      <c r="M1318">
        <v>657.5</v>
      </c>
    </row>
    <row r="1319" spans="13:13" x14ac:dyDescent="0.25">
      <c r="M1319">
        <v>658</v>
      </c>
    </row>
    <row r="1320" spans="13:13" x14ac:dyDescent="0.25">
      <c r="M1320">
        <v>658.5</v>
      </c>
    </row>
    <row r="1321" spans="13:13" x14ac:dyDescent="0.25">
      <c r="M1321">
        <v>659</v>
      </c>
    </row>
    <row r="1322" spans="13:13" x14ac:dyDescent="0.25">
      <c r="M1322">
        <v>659.5</v>
      </c>
    </row>
    <row r="1323" spans="13:13" x14ac:dyDescent="0.25">
      <c r="M1323">
        <v>660</v>
      </c>
    </row>
    <row r="1324" spans="13:13" x14ac:dyDescent="0.25">
      <c r="M1324">
        <v>660.5</v>
      </c>
    </row>
    <row r="1325" spans="13:13" x14ac:dyDescent="0.25">
      <c r="M1325">
        <v>661</v>
      </c>
    </row>
    <row r="1326" spans="13:13" x14ac:dyDescent="0.25">
      <c r="M1326">
        <v>661.5</v>
      </c>
    </row>
    <row r="1327" spans="13:13" x14ac:dyDescent="0.25">
      <c r="M1327">
        <v>662</v>
      </c>
    </row>
    <row r="1328" spans="13:13" x14ac:dyDescent="0.25">
      <c r="M1328">
        <v>662.5</v>
      </c>
    </row>
    <row r="1329" spans="13:13" x14ac:dyDescent="0.25">
      <c r="M1329">
        <v>663</v>
      </c>
    </row>
    <row r="1330" spans="13:13" x14ac:dyDescent="0.25">
      <c r="M1330">
        <v>663.5</v>
      </c>
    </row>
    <row r="1331" spans="13:13" x14ac:dyDescent="0.25">
      <c r="M1331">
        <v>664</v>
      </c>
    </row>
    <row r="1332" spans="13:13" x14ac:dyDescent="0.25">
      <c r="M1332">
        <v>664.5</v>
      </c>
    </row>
    <row r="1333" spans="13:13" x14ac:dyDescent="0.25">
      <c r="M1333">
        <v>665</v>
      </c>
    </row>
    <row r="1334" spans="13:13" x14ac:dyDescent="0.25">
      <c r="M1334">
        <v>665.5</v>
      </c>
    </row>
    <row r="1335" spans="13:13" x14ac:dyDescent="0.25">
      <c r="M1335">
        <v>666</v>
      </c>
    </row>
    <row r="1336" spans="13:13" x14ac:dyDescent="0.25">
      <c r="M1336">
        <v>666.5</v>
      </c>
    </row>
    <row r="1337" spans="13:13" x14ac:dyDescent="0.25">
      <c r="M1337">
        <v>667</v>
      </c>
    </row>
    <row r="1338" spans="13:13" x14ac:dyDescent="0.25">
      <c r="M1338">
        <v>667.5</v>
      </c>
    </row>
    <row r="1339" spans="13:13" x14ac:dyDescent="0.25">
      <c r="M1339">
        <v>668</v>
      </c>
    </row>
    <row r="1340" spans="13:13" x14ac:dyDescent="0.25">
      <c r="M1340">
        <v>668.5</v>
      </c>
    </row>
    <row r="1341" spans="13:13" x14ac:dyDescent="0.25">
      <c r="M1341">
        <v>669</v>
      </c>
    </row>
    <row r="1342" spans="13:13" x14ac:dyDescent="0.25">
      <c r="M1342">
        <v>669.5</v>
      </c>
    </row>
    <row r="1343" spans="13:13" x14ac:dyDescent="0.25">
      <c r="M1343">
        <v>670</v>
      </c>
    </row>
    <row r="1344" spans="13:13" x14ac:dyDescent="0.25">
      <c r="M1344">
        <v>670.5</v>
      </c>
    </row>
    <row r="1345" spans="13:13" x14ac:dyDescent="0.25">
      <c r="M1345">
        <v>671</v>
      </c>
    </row>
    <row r="1346" spans="13:13" x14ac:dyDescent="0.25">
      <c r="M1346">
        <v>671.5</v>
      </c>
    </row>
    <row r="1347" spans="13:13" x14ac:dyDescent="0.25">
      <c r="M1347">
        <v>672</v>
      </c>
    </row>
    <row r="1348" spans="13:13" x14ac:dyDescent="0.25">
      <c r="M1348">
        <v>672.5</v>
      </c>
    </row>
    <row r="1349" spans="13:13" x14ac:dyDescent="0.25">
      <c r="M1349">
        <v>673</v>
      </c>
    </row>
    <row r="1350" spans="13:13" x14ac:dyDescent="0.25">
      <c r="M1350">
        <v>673.5</v>
      </c>
    </row>
    <row r="1351" spans="13:13" x14ac:dyDescent="0.25">
      <c r="M1351">
        <v>674</v>
      </c>
    </row>
    <row r="1352" spans="13:13" x14ac:dyDescent="0.25">
      <c r="M1352">
        <v>674.5</v>
      </c>
    </row>
    <row r="1353" spans="13:13" x14ac:dyDescent="0.25">
      <c r="M1353">
        <v>675</v>
      </c>
    </row>
    <row r="1354" spans="13:13" x14ac:dyDescent="0.25">
      <c r="M1354">
        <v>675.5</v>
      </c>
    </row>
    <row r="1355" spans="13:13" x14ac:dyDescent="0.25">
      <c r="M1355">
        <v>676</v>
      </c>
    </row>
    <row r="1356" spans="13:13" x14ac:dyDescent="0.25">
      <c r="M1356">
        <v>676.5</v>
      </c>
    </row>
    <row r="1357" spans="13:13" x14ac:dyDescent="0.25">
      <c r="M1357">
        <v>677</v>
      </c>
    </row>
    <row r="1358" spans="13:13" x14ac:dyDescent="0.25">
      <c r="M1358">
        <v>677.5</v>
      </c>
    </row>
    <row r="1359" spans="13:13" x14ac:dyDescent="0.25">
      <c r="M1359">
        <v>678</v>
      </c>
    </row>
    <row r="1360" spans="13:13" x14ac:dyDescent="0.25">
      <c r="M1360">
        <v>678.5</v>
      </c>
    </row>
    <row r="1361" spans="13:13" x14ac:dyDescent="0.25">
      <c r="M1361">
        <v>679</v>
      </c>
    </row>
    <row r="1362" spans="13:13" x14ac:dyDescent="0.25">
      <c r="M1362">
        <v>679.5</v>
      </c>
    </row>
    <row r="1363" spans="13:13" x14ac:dyDescent="0.25">
      <c r="M1363">
        <v>680</v>
      </c>
    </row>
    <row r="1364" spans="13:13" x14ac:dyDescent="0.25">
      <c r="M1364">
        <v>680.5</v>
      </c>
    </row>
    <row r="1365" spans="13:13" x14ac:dyDescent="0.25">
      <c r="M1365">
        <v>681</v>
      </c>
    </row>
    <row r="1366" spans="13:13" x14ac:dyDescent="0.25">
      <c r="M1366">
        <v>681.5</v>
      </c>
    </row>
    <row r="1367" spans="13:13" x14ac:dyDescent="0.25">
      <c r="M1367">
        <v>682</v>
      </c>
    </row>
    <row r="1368" spans="13:13" x14ac:dyDescent="0.25">
      <c r="M1368">
        <v>682.5</v>
      </c>
    </row>
    <row r="1369" spans="13:13" x14ac:dyDescent="0.25">
      <c r="M1369">
        <v>683</v>
      </c>
    </row>
    <row r="1370" spans="13:13" x14ac:dyDescent="0.25">
      <c r="M1370">
        <v>683.5</v>
      </c>
    </row>
    <row r="1371" spans="13:13" x14ac:dyDescent="0.25">
      <c r="M1371">
        <v>684</v>
      </c>
    </row>
    <row r="1372" spans="13:13" x14ac:dyDescent="0.25">
      <c r="M1372">
        <v>684.5</v>
      </c>
    </row>
    <row r="1373" spans="13:13" x14ac:dyDescent="0.25">
      <c r="M1373">
        <v>685</v>
      </c>
    </row>
    <row r="1374" spans="13:13" x14ac:dyDescent="0.25">
      <c r="M1374">
        <v>685.5</v>
      </c>
    </row>
    <row r="1375" spans="13:13" x14ac:dyDescent="0.25">
      <c r="M1375">
        <v>686</v>
      </c>
    </row>
    <row r="1376" spans="13:13" x14ac:dyDescent="0.25">
      <c r="M1376">
        <v>686.5</v>
      </c>
    </row>
    <row r="1377" spans="13:13" x14ac:dyDescent="0.25">
      <c r="M1377">
        <v>687</v>
      </c>
    </row>
    <row r="1378" spans="13:13" x14ac:dyDescent="0.25">
      <c r="M1378">
        <v>687.5</v>
      </c>
    </row>
    <row r="1379" spans="13:13" x14ac:dyDescent="0.25">
      <c r="M1379">
        <v>688</v>
      </c>
    </row>
    <row r="1380" spans="13:13" x14ac:dyDescent="0.25">
      <c r="M1380">
        <v>688.5</v>
      </c>
    </row>
    <row r="1381" spans="13:13" x14ac:dyDescent="0.25">
      <c r="M1381">
        <v>689</v>
      </c>
    </row>
    <row r="1382" spans="13:13" x14ac:dyDescent="0.25">
      <c r="M1382">
        <v>689.5</v>
      </c>
    </row>
    <row r="1383" spans="13:13" x14ac:dyDescent="0.25">
      <c r="M1383">
        <v>690</v>
      </c>
    </row>
    <row r="1384" spans="13:13" x14ac:dyDescent="0.25">
      <c r="M1384">
        <v>690.5</v>
      </c>
    </row>
    <row r="1385" spans="13:13" x14ac:dyDescent="0.25">
      <c r="M1385">
        <v>691</v>
      </c>
    </row>
    <row r="1386" spans="13:13" x14ac:dyDescent="0.25">
      <c r="M1386">
        <v>691.5</v>
      </c>
    </row>
    <row r="1387" spans="13:13" x14ac:dyDescent="0.25">
      <c r="M1387">
        <v>692</v>
      </c>
    </row>
    <row r="1388" spans="13:13" x14ac:dyDescent="0.25">
      <c r="M1388">
        <v>692.5</v>
      </c>
    </row>
    <row r="1389" spans="13:13" x14ac:dyDescent="0.25">
      <c r="M1389">
        <v>693</v>
      </c>
    </row>
    <row r="1390" spans="13:13" x14ac:dyDescent="0.25">
      <c r="M1390">
        <v>693.5</v>
      </c>
    </row>
    <row r="1391" spans="13:13" x14ac:dyDescent="0.25">
      <c r="M1391">
        <v>694</v>
      </c>
    </row>
    <row r="1392" spans="13:13" x14ac:dyDescent="0.25">
      <c r="M1392">
        <v>694.5</v>
      </c>
    </row>
    <row r="1393" spans="13:13" x14ac:dyDescent="0.25">
      <c r="M1393">
        <v>695</v>
      </c>
    </row>
    <row r="1394" spans="13:13" x14ac:dyDescent="0.25">
      <c r="M1394">
        <v>695.5</v>
      </c>
    </row>
    <row r="1395" spans="13:13" x14ac:dyDescent="0.25">
      <c r="M1395">
        <v>696</v>
      </c>
    </row>
    <row r="1396" spans="13:13" x14ac:dyDescent="0.25">
      <c r="M1396">
        <v>696.5</v>
      </c>
    </row>
    <row r="1397" spans="13:13" x14ac:dyDescent="0.25">
      <c r="M1397">
        <v>697</v>
      </c>
    </row>
    <row r="1398" spans="13:13" x14ac:dyDescent="0.25">
      <c r="M1398">
        <v>697.5</v>
      </c>
    </row>
    <row r="1399" spans="13:13" x14ac:dyDescent="0.25">
      <c r="M1399">
        <v>698</v>
      </c>
    </row>
    <row r="1400" spans="13:13" x14ac:dyDescent="0.25">
      <c r="M1400">
        <v>698.5</v>
      </c>
    </row>
    <row r="1401" spans="13:13" x14ac:dyDescent="0.25">
      <c r="M1401">
        <v>699</v>
      </c>
    </row>
    <row r="1402" spans="13:13" x14ac:dyDescent="0.25">
      <c r="M1402">
        <v>699.5</v>
      </c>
    </row>
    <row r="1403" spans="13:13" x14ac:dyDescent="0.25">
      <c r="M1403">
        <v>700</v>
      </c>
    </row>
    <row r="1404" spans="13:13" x14ac:dyDescent="0.25">
      <c r="M1404">
        <v>700.5</v>
      </c>
    </row>
    <row r="1405" spans="13:13" x14ac:dyDescent="0.25">
      <c r="M1405">
        <v>701</v>
      </c>
    </row>
    <row r="1406" spans="13:13" x14ac:dyDescent="0.25">
      <c r="M1406">
        <v>701.5</v>
      </c>
    </row>
    <row r="1407" spans="13:13" x14ac:dyDescent="0.25">
      <c r="M1407">
        <v>702</v>
      </c>
    </row>
    <row r="1408" spans="13:13" x14ac:dyDescent="0.25">
      <c r="M1408">
        <v>702.5</v>
      </c>
    </row>
    <row r="1409" spans="13:13" x14ac:dyDescent="0.25">
      <c r="M1409">
        <v>703</v>
      </c>
    </row>
    <row r="1410" spans="13:13" x14ac:dyDescent="0.25">
      <c r="M1410">
        <v>703.5</v>
      </c>
    </row>
    <row r="1411" spans="13:13" x14ac:dyDescent="0.25">
      <c r="M1411">
        <v>704</v>
      </c>
    </row>
    <row r="1412" spans="13:13" x14ac:dyDescent="0.25">
      <c r="M1412">
        <v>704.5</v>
      </c>
    </row>
    <row r="1413" spans="13:13" x14ac:dyDescent="0.25">
      <c r="M1413">
        <v>705</v>
      </c>
    </row>
    <row r="1414" spans="13:13" x14ac:dyDescent="0.25">
      <c r="M1414">
        <v>705.5</v>
      </c>
    </row>
    <row r="1415" spans="13:13" x14ac:dyDescent="0.25">
      <c r="M1415">
        <v>706</v>
      </c>
    </row>
    <row r="1416" spans="13:13" x14ac:dyDescent="0.25">
      <c r="M1416">
        <v>706.5</v>
      </c>
    </row>
    <row r="1417" spans="13:13" x14ac:dyDescent="0.25">
      <c r="M1417">
        <v>707</v>
      </c>
    </row>
    <row r="1418" spans="13:13" x14ac:dyDescent="0.25">
      <c r="M1418">
        <v>707.5</v>
      </c>
    </row>
    <row r="1419" spans="13:13" x14ac:dyDescent="0.25">
      <c r="M1419">
        <v>708</v>
      </c>
    </row>
    <row r="1420" spans="13:13" x14ac:dyDescent="0.25">
      <c r="M1420">
        <v>708.5</v>
      </c>
    </row>
    <row r="1421" spans="13:13" x14ac:dyDescent="0.25">
      <c r="M1421">
        <v>709</v>
      </c>
    </row>
    <row r="1422" spans="13:13" x14ac:dyDescent="0.25">
      <c r="M1422">
        <v>709.5</v>
      </c>
    </row>
    <row r="1423" spans="13:13" x14ac:dyDescent="0.25">
      <c r="M1423">
        <v>710</v>
      </c>
    </row>
    <row r="1424" spans="13:13" x14ac:dyDescent="0.25">
      <c r="M1424">
        <v>710.5</v>
      </c>
    </row>
    <row r="1425" spans="13:13" x14ac:dyDescent="0.25">
      <c r="M1425">
        <v>711</v>
      </c>
    </row>
    <row r="1426" spans="13:13" x14ac:dyDescent="0.25">
      <c r="M1426">
        <v>711.5</v>
      </c>
    </row>
    <row r="1427" spans="13:13" x14ac:dyDescent="0.25">
      <c r="M1427">
        <v>712</v>
      </c>
    </row>
    <row r="1428" spans="13:13" x14ac:dyDescent="0.25">
      <c r="M1428">
        <v>712.5</v>
      </c>
    </row>
    <row r="1429" spans="13:13" x14ac:dyDescent="0.25">
      <c r="M1429">
        <v>713</v>
      </c>
    </row>
    <row r="1430" spans="13:13" x14ac:dyDescent="0.25">
      <c r="M1430">
        <v>713.5</v>
      </c>
    </row>
    <row r="1431" spans="13:13" x14ac:dyDescent="0.25">
      <c r="M1431">
        <v>714</v>
      </c>
    </row>
    <row r="1432" spans="13:13" x14ac:dyDescent="0.25">
      <c r="M1432">
        <v>714.5</v>
      </c>
    </row>
    <row r="1433" spans="13:13" x14ac:dyDescent="0.25">
      <c r="M1433">
        <v>715</v>
      </c>
    </row>
    <row r="1434" spans="13:13" x14ac:dyDescent="0.25">
      <c r="M1434">
        <v>715.5</v>
      </c>
    </row>
    <row r="1435" spans="13:13" x14ac:dyDescent="0.25">
      <c r="M1435">
        <v>716</v>
      </c>
    </row>
    <row r="1436" spans="13:13" x14ac:dyDescent="0.25">
      <c r="M1436">
        <v>716.5</v>
      </c>
    </row>
    <row r="1437" spans="13:13" x14ac:dyDescent="0.25">
      <c r="M1437">
        <v>717</v>
      </c>
    </row>
    <row r="1438" spans="13:13" x14ac:dyDescent="0.25">
      <c r="M1438">
        <v>717.5</v>
      </c>
    </row>
    <row r="1439" spans="13:13" x14ac:dyDescent="0.25">
      <c r="M1439">
        <v>718</v>
      </c>
    </row>
    <row r="1440" spans="13:13" x14ac:dyDescent="0.25">
      <c r="M1440">
        <v>718.5</v>
      </c>
    </row>
    <row r="1441" spans="13:13" x14ac:dyDescent="0.25">
      <c r="M1441">
        <v>719</v>
      </c>
    </row>
    <row r="1442" spans="13:13" x14ac:dyDescent="0.25">
      <c r="M1442">
        <v>719.5</v>
      </c>
    </row>
    <row r="1443" spans="13:13" x14ac:dyDescent="0.25">
      <c r="M1443">
        <v>720</v>
      </c>
    </row>
    <row r="1444" spans="13:13" x14ac:dyDescent="0.25">
      <c r="M1444">
        <v>720.5</v>
      </c>
    </row>
    <row r="1445" spans="13:13" x14ac:dyDescent="0.25">
      <c r="M1445">
        <v>721</v>
      </c>
    </row>
    <row r="1446" spans="13:13" x14ac:dyDescent="0.25">
      <c r="M1446">
        <v>721.5</v>
      </c>
    </row>
    <row r="1447" spans="13:13" x14ac:dyDescent="0.25">
      <c r="M1447">
        <v>722</v>
      </c>
    </row>
    <row r="1448" spans="13:13" x14ac:dyDescent="0.25">
      <c r="M1448">
        <v>722.5</v>
      </c>
    </row>
    <row r="1449" spans="13:13" x14ac:dyDescent="0.25">
      <c r="M1449">
        <v>723</v>
      </c>
    </row>
    <row r="1450" spans="13:13" x14ac:dyDescent="0.25">
      <c r="M1450">
        <v>723.5</v>
      </c>
    </row>
    <row r="1451" spans="13:13" x14ac:dyDescent="0.25">
      <c r="M1451">
        <v>724</v>
      </c>
    </row>
    <row r="1452" spans="13:13" x14ac:dyDescent="0.25">
      <c r="M1452">
        <v>724.5</v>
      </c>
    </row>
    <row r="1453" spans="13:13" x14ac:dyDescent="0.25">
      <c r="M1453">
        <v>725</v>
      </c>
    </row>
    <row r="1454" spans="13:13" x14ac:dyDescent="0.25">
      <c r="M1454">
        <v>725.5</v>
      </c>
    </row>
    <row r="1455" spans="13:13" x14ac:dyDescent="0.25">
      <c r="M1455">
        <v>726</v>
      </c>
    </row>
    <row r="1456" spans="13:13" x14ac:dyDescent="0.25">
      <c r="M1456">
        <v>726.5</v>
      </c>
    </row>
    <row r="1457" spans="13:13" x14ac:dyDescent="0.25">
      <c r="M1457">
        <v>727</v>
      </c>
    </row>
    <row r="1458" spans="13:13" x14ac:dyDescent="0.25">
      <c r="M1458">
        <v>727.5</v>
      </c>
    </row>
    <row r="1459" spans="13:13" x14ac:dyDescent="0.25">
      <c r="M1459">
        <v>728</v>
      </c>
    </row>
    <row r="1460" spans="13:13" x14ac:dyDescent="0.25">
      <c r="M1460">
        <v>728.5</v>
      </c>
    </row>
    <row r="1461" spans="13:13" x14ac:dyDescent="0.25">
      <c r="M1461">
        <v>729</v>
      </c>
    </row>
    <row r="1462" spans="13:13" x14ac:dyDescent="0.25">
      <c r="M1462">
        <v>729.5</v>
      </c>
    </row>
    <row r="1463" spans="13:13" x14ac:dyDescent="0.25">
      <c r="M1463">
        <v>730</v>
      </c>
    </row>
    <row r="1464" spans="13:13" x14ac:dyDescent="0.25">
      <c r="M1464">
        <v>730.5</v>
      </c>
    </row>
    <row r="1465" spans="13:13" x14ac:dyDescent="0.25">
      <c r="M1465">
        <v>731</v>
      </c>
    </row>
    <row r="1466" spans="13:13" x14ac:dyDescent="0.25">
      <c r="M1466">
        <v>731.5</v>
      </c>
    </row>
    <row r="1467" spans="13:13" x14ac:dyDescent="0.25">
      <c r="M1467">
        <v>732</v>
      </c>
    </row>
    <row r="1468" spans="13:13" x14ac:dyDescent="0.25">
      <c r="M1468">
        <v>732.5</v>
      </c>
    </row>
    <row r="1469" spans="13:13" x14ac:dyDescent="0.25">
      <c r="M1469">
        <v>733</v>
      </c>
    </row>
    <row r="1470" spans="13:13" x14ac:dyDescent="0.25">
      <c r="M1470">
        <v>733.5</v>
      </c>
    </row>
    <row r="1471" spans="13:13" x14ac:dyDescent="0.25">
      <c r="M1471">
        <v>734</v>
      </c>
    </row>
    <row r="1472" spans="13:13" x14ac:dyDescent="0.25">
      <c r="M1472">
        <v>734.5</v>
      </c>
    </row>
    <row r="1473" spans="13:13" x14ac:dyDescent="0.25">
      <c r="M1473">
        <v>735</v>
      </c>
    </row>
    <row r="1474" spans="13:13" x14ac:dyDescent="0.25">
      <c r="M1474">
        <v>735.5</v>
      </c>
    </row>
    <row r="1475" spans="13:13" x14ac:dyDescent="0.25">
      <c r="M1475">
        <v>736</v>
      </c>
    </row>
    <row r="1476" spans="13:13" x14ac:dyDescent="0.25">
      <c r="M1476">
        <v>736.5</v>
      </c>
    </row>
    <row r="1477" spans="13:13" x14ac:dyDescent="0.25">
      <c r="M1477">
        <v>737</v>
      </c>
    </row>
    <row r="1478" spans="13:13" x14ac:dyDescent="0.25">
      <c r="M1478">
        <v>737.5</v>
      </c>
    </row>
    <row r="1479" spans="13:13" x14ac:dyDescent="0.25">
      <c r="M1479">
        <v>738</v>
      </c>
    </row>
    <row r="1480" spans="13:13" x14ac:dyDescent="0.25">
      <c r="M1480">
        <v>738.5</v>
      </c>
    </row>
    <row r="1481" spans="13:13" x14ac:dyDescent="0.25">
      <c r="M1481">
        <v>739</v>
      </c>
    </row>
    <row r="1482" spans="13:13" x14ac:dyDescent="0.25">
      <c r="M1482">
        <v>739.5</v>
      </c>
    </row>
    <row r="1483" spans="13:13" x14ac:dyDescent="0.25">
      <c r="M1483">
        <v>740</v>
      </c>
    </row>
    <row r="1484" spans="13:13" x14ac:dyDescent="0.25">
      <c r="M1484">
        <v>740.5</v>
      </c>
    </row>
    <row r="1485" spans="13:13" x14ac:dyDescent="0.25">
      <c r="M1485">
        <v>741</v>
      </c>
    </row>
    <row r="1486" spans="13:13" x14ac:dyDescent="0.25">
      <c r="M1486">
        <v>741.5</v>
      </c>
    </row>
    <row r="1487" spans="13:13" x14ac:dyDescent="0.25">
      <c r="M1487">
        <v>742</v>
      </c>
    </row>
    <row r="1488" spans="13:13" x14ac:dyDescent="0.25">
      <c r="M1488">
        <v>742.5</v>
      </c>
    </row>
    <row r="1489" spans="13:13" x14ac:dyDescent="0.25">
      <c r="M1489">
        <v>743</v>
      </c>
    </row>
    <row r="1490" spans="13:13" x14ac:dyDescent="0.25">
      <c r="M1490">
        <v>743.5</v>
      </c>
    </row>
    <row r="1491" spans="13:13" x14ac:dyDescent="0.25">
      <c r="M1491">
        <v>744</v>
      </c>
    </row>
    <row r="1492" spans="13:13" x14ac:dyDescent="0.25">
      <c r="M1492">
        <v>744.5</v>
      </c>
    </row>
    <row r="1493" spans="13:13" x14ac:dyDescent="0.25">
      <c r="M1493">
        <v>745</v>
      </c>
    </row>
    <row r="1494" spans="13:13" x14ac:dyDescent="0.25">
      <c r="M1494">
        <v>745.5</v>
      </c>
    </row>
    <row r="1495" spans="13:13" x14ac:dyDescent="0.25">
      <c r="M1495">
        <v>746</v>
      </c>
    </row>
    <row r="1496" spans="13:13" x14ac:dyDescent="0.25">
      <c r="M1496">
        <v>746.5</v>
      </c>
    </row>
    <row r="1497" spans="13:13" x14ac:dyDescent="0.25">
      <c r="M1497">
        <v>747</v>
      </c>
    </row>
    <row r="1498" spans="13:13" x14ac:dyDescent="0.25">
      <c r="M1498">
        <v>747.5</v>
      </c>
    </row>
    <row r="1499" spans="13:13" x14ac:dyDescent="0.25">
      <c r="M1499">
        <v>748</v>
      </c>
    </row>
    <row r="1500" spans="13:13" x14ac:dyDescent="0.25">
      <c r="M1500">
        <v>748.5</v>
      </c>
    </row>
    <row r="1501" spans="13:13" x14ac:dyDescent="0.25">
      <c r="M1501">
        <v>749</v>
      </c>
    </row>
    <row r="1502" spans="13:13" x14ac:dyDescent="0.25">
      <c r="M1502">
        <v>749.5</v>
      </c>
    </row>
    <row r="1503" spans="13:13" x14ac:dyDescent="0.25">
      <c r="M1503">
        <v>750</v>
      </c>
    </row>
    <row r="1504" spans="13:13" x14ac:dyDescent="0.25">
      <c r="M1504">
        <v>750.5</v>
      </c>
    </row>
    <row r="1505" spans="13:13" x14ac:dyDescent="0.25">
      <c r="M1505">
        <v>751</v>
      </c>
    </row>
    <row r="1506" spans="13:13" x14ac:dyDescent="0.25">
      <c r="M1506">
        <v>751.5</v>
      </c>
    </row>
    <row r="1507" spans="13:13" x14ac:dyDescent="0.25">
      <c r="M1507">
        <v>752</v>
      </c>
    </row>
    <row r="1508" spans="13:13" x14ac:dyDescent="0.25">
      <c r="M1508">
        <v>752.5</v>
      </c>
    </row>
    <row r="1509" spans="13:13" x14ac:dyDescent="0.25">
      <c r="M1509">
        <v>753</v>
      </c>
    </row>
    <row r="1510" spans="13:13" x14ac:dyDescent="0.25">
      <c r="M1510">
        <v>753.5</v>
      </c>
    </row>
    <row r="1511" spans="13:13" x14ac:dyDescent="0.25">
      <c r="M1511">
        <v>754</v>
      </c>
    </row>
    <row r="1512" spans="13:13" x14ac:dyDescent="0.25">
      <c r="M1512">
        <v>754.5</v>
      </c>
    </row>
    <row r="1513" spans="13:13" x14ac:dyDescent="0.25">
      <c r="M1513">
        <v>755</v>
      </c>
    </row>
    <row r="1514" spans="13:13" x14ac:dyDescent="0.25">
      <c r="M1514">
        <v>755.5</v>
      </c>
    </row>
    <row r="1515" spans="13:13" x14ac:dyDescent="0.25">
      <c r="M1515">
        <v>756</v>
      </c>
    </row>
    <row r="1516" spans="13:13" x14ac:dyDescent="0.25">
      <c r="M1516">
        <v>756.5</v>
      </c>
    </row>
    <row r="1517" spans="13:13" x14ac:dyDescent="0.25">
      <c r="M1517">
        <v>757</v>
      </c>
    </row>
    <row r="1518" spans="13:13" x14ac:dyDescent="0.25">
      <c r="M1518">
        <v>757.5</v>
      </c>
    </row>
    <row r="1519" spans="13:13" x14ac:dyDescent="0.25">
      <c r="M1519">
        <v>758</v>
      </c>
    </row>
    <row r="1520" spans="13:13" x14ac:dyDescent="0.25">
      <c r="M1520">
        <v>758.5</v>
      </c>
    </row>
    <row r="1521" spans="13:13" x14ac:dyDescent="0.25">
      <c r="M1521">
        <v>759</v>
      </c>
    </row>
    <row r="1522" spans="13:13" x14ac:dyDescent="0.25">
      <c r="M1522">
        <v>759.5</v>
      </c>
    </row>
    <row r="1523" spans="13:13" x14ac:dyDescent="0.25">
      <c r="M1523">
        <v>760</v>
      </c>
    </row>
    <row r="1524" spans="13:13" x14ac:dyDescent="0.25">
      <c r="M1524">
        <v>760.5</v>
      </c>
    </row>
    <row r="1525" spans="13:13" x14ac:dyDescent="0.25">
      <c r="M1525">
        <v>761</v>
      </c>
    </row>
    <row r="1526" spans="13:13" x14ac:dyDescent="0.25">
      <c r="M1526">
        <v>761.5</v>
      </c>
    </row>
    <row r="1527" spans="13:13" x14ac:dyDescent="0.25">
      <c r="M1527">
        <v>762</v>
      </c>
    </row>
    <row r="1528" spans="13:13" x14ac:dyDescent="0.25">
      <c r="M1528">
        <v>762.5</v>
      </c>
    </row>
    <row r="1529" spans="13:13" x14ac:dyDescent="0.25">
      <c r="M1529">
        <v>763</v>
      </c>
    </row>
    <row r="1530" spans="13:13" x14ac:dyDescent="0.25">
      <c r="M1530">
        <v>763.5</v>
      </c>
    </row>
    <row r="1531" spans="13:13" x14ac:dyDescent="0.25">
      <c r="M1531">
        <v>764</v>
      </c>
    </row>
    <row r="1532" spans="13:13" x14ac:dyDescent="0.25">
      <c r="M1532">
        <v>764.5</v>
      </c>
    </row>
    <row r="1533" spans="13:13" x14ac:dyDescent="0.25">
      <c r="M1533">
        <v>765</v>
      </c>
    </row>
    <row r="1534" spans="13:13" x14ac:dyDescent="0.25">
      <c r="M1534">
        <v>765.5</v>
      </c>
    </row>
    <row r="1535" spans="13:13" x14ac:dyDescent="0.25">
      <c r="M1535">
        <v>766</v>
      </c>
    </row>
    <row r="1536" spans="13:13" x14ac:dyDescent="0.25">
      <c r="M1536">
        <v>766.5</v>
      </c>
    </row>
    <row r="1537" spans="13:13" x14ac:dyDescent="0.25">
      <c r="M1537">
        <v>767</v>
      </c>
    </row>
    <row r="1538" spans="13:13" x14ac:dyDescent="0.25">
      <c r="M1538">
        <v>767.5</v>
      </c>
    </row>
    <row r="1539" spans="13:13" x14ac:dyDescent="0.25">
      <c r="M1539">
        <v>768</v>
      </c>
    </row>
    <row r="1540" spans="13:13" x14ac:dyDescent="0.25">
      <c r="M1540">
        <v>768.5</v>
      </c>
    </row>
    <row r="1541" spans="13:13" x14ac:dyDescent="0.25">
      <c r="M1541">
        <v>769</v>
      </c>
    </row>
    <row r="1542" spans="13:13" x14ac:dyDescent="0.25">
      <c r="M1542">
        <v>769.5</v>
      </c>
    </row>
    <row r="1543" spans="13:13" x14ac:dyDescent="0.25">
      <c r="M1543">
        <v>770</v>
      </c>
    </row>
    <row r="1544" spans="13:13" x14ac:dyDescent="0.25">
      <c r="M1544">
        <v>770.5</v>
      </c>
    </row>
    <row r="1545" spans="13:13" x14ac:dyDescent="0.25">
      <c r="M1545">
        <v>771</v>
      </c>
    </row>
    <row r="1546" spans="13:13" x14ac:dyDescent="0.25">
      <c r="M1546">
        <v>771.5</v>
      </c>
    </row>
    <row r="1547" spans="13:13" x14ac:dyDescent="0.25">
      <c r="M1547">
        <v>772</v>
      </c>
    </row>
    <row r="1548" spans="13:13" x14ac:dyDescent="0.25">
      <c r="M1548">
        <v>772.5</v>
      </c>
    </row>
    <row r="1549" spans="13:13" x14ac:dyDescent="0.25">
      <c r="M1549">
        <v>773</v>
      </c>
    </row>
    <row r="1550" spans="13:13" x14ac:dyDescent="0.25">
      <c r="M1550">
        <v>773.5</v>
      </c>
    </row>
    <row r="1551" spans="13:13" x14ac:dyDescent="0.25">
      <c r="M1551">
        <v>774</v>
      </c>
    </row>
    <row r="1552" spans="13:13" x14ac:dyDescent="0.25">
      <c r="M1552">
        <v>774.5</v>
      </c>
    </row>
    <row r="1553" spans="13:13" x14ac:dyDescent="0.25">
      <c r="M1553">
        <v>775</v>
      </c>
    </row>
    <row r="1554" spans="13:13" x14ac:dyDescent="0.25">
      <c r="M1554">
        <v>775.5</v>
      </c>
    </row>
    <row r="1555" spans="13:13" x14ac:dyDescent="0.25">
      <c r="M1555">
        <v>776</v>
      </c>
    </row>
    <row r="1556" spans="13:13" x14ac:dyDescent="0.25">
      <c r="M1556">
        <v>776.5</v>
      </c>
    </row>
    <row r="1557" spans="13:13" x14ac:dyDescent="0.25">
      <c r="M1557">
        <v>777</v>
      </c>
    </row>
    <row r="1558" spans="13:13" x14ac:dyDescent="0.25">
      <c r="M1558">
        <v>777.5</v>
      </c>
    </row>
    <row r="1559" spans="13:13" x14ac:dyDescent="0.25">
      <c r="M1559">
        <v>778</v>
      </c>
    </row>
    <row r="1560" spans="13:13" x14ac:dyDescent="0.25">
      <c r="M1560">
        <v>778.5</v>
      </c>
    </row>
    <row r="1561" spans="13:13" x14ac:dyDescent="0.25">
      <c r="M1561">
        <v>779</v>
      </c>
    </row>
    <row r="1562" spans="13:13" x14ac:dyDescent="0.25">
      <c r="M1562">
        <v>779.5</v>
      </c>
    </row>
    <row r="1563" spans="13:13" x14ac:dyDescent="0.25">
      <c r="M1563">
        <v>780</v>
      </c>
    </row>
    <row r="1564" spans="13:13" x14ac:dyDescent="0.25">
      <c r="M1564">
        <v>780.5</v>
      </c>
    </row>
    <row r="1565" spans="13:13" x14ac:dyDescent="0.25">
      <c r="M1565">
        <v>781</v>
      </c>
    </row>
    <row r="1566" spans="13:13" x14ac:dyDescent="0.25">
      <c r="M1566">
        <v>781.5</v>
      </c>
    </row>
    <row r="1567" spans="13:13" x14ac:dyDescent="0.25">
      <c r="M1567">
        <v>782</v>
      </c>
    </row>
    <row r="1568" spans="13:13" x14ac:dyDescent="0.25">
      <c r="M1568">
        <v>782.5</v>
      </c>
    </row>
    <row r="1569" spans="13:13" x14ac:dyDescent="0.25">
      <c r="M1569">
        <v>783</v>
      </c>
    </row>
    <row r="1570" spans="13:13" x14ac:dyDescent="0.25">
      <c r="M1570">
        <v>783.5</v>
      </c>
    </row>
    <row r="1571" spans="13:13" x14ac:dyDescent="0.25">
      <c r="M1571">
        <v>784</v>
      </c>
    </row>
    <row r="1572" spans="13:13" x14ac:dyDescent="0.25">
      <c r="M1572">
        <v>784.5</v>
      </c>
    </row>
    <row r="1573" spans="13:13" x14ac:dyDescent="0.25">
      <c r="M1573">
        <v>785</v>
      </c>
    </row>
    <row r="1574" spans="13:13" x14ac:dyDescent="0.25">
      <c r="M1574">
        <v>785.5</v>
      </c>
    </row>
    <row r="1575" spans="13:13" x14ac:dyDescent="0.25">
      <c r="M1575">
        <v>786</v>
      </c>
    </row>
    <row r="1576" spans="13:13" x14ac:dyDescent="0.25">
      <c r="M1576">
        <v>786.5</v>
      </c>
    </row>
    <row r="1577" spans="13:13" x14ac:dyDescent="0.25">
      <c r="M1577">
        <v>787</v>
      </c>
    </row>
    <row r="1578" spans="13:13" x14ac:dyDescent="0.25">
      <c r="M1578">
        <v>787.5</v>
      </c>
    </row>
    <row r="1579" spans="13:13" x14ac:dyDescent="0.25">
      <c r="M1579">
        <v>788</v>
      </c>
    </row>
    <row r="1580" spans="13:13" x14ac:dyDescent="0.25">
      <c r="M1580">
        <v>788.5</v>
      </c>
    </row>
    <row r="1581" spans="13:13" x14ac:dyDescent="0.25">
      <c r="M1581">
        <v>789</v>
      </c>
    </row>
    <row r="1582" spans="13:13" x14ac:dyDescent="0.25">
      <c r="M1582">
        <v>789.5</v>
      </c>
    </row>
    <row r="1583" spans="13:13" x14ac:dyDescent="0.25">
      <c r="M1583">
        <v>790</v>
      </c>
    </row>
    <row r="1584" spans="13:13" x14ac:dyDescent="0.25">
      <c r="M1584">
        <v>790.5</v>
      </c>
    </row>
    <row r="1585" spans="13:13" x14ac:dyDescent="0.25">
      <c r="M1585">
        <v>791</v>
      </c>
    </row>
    <row r="1586" spans="13:13" x14ac:dyDescent="0.25">
      <c r="M1586">
        <v>791.5</v>
      </c>
    </row>
    <row r="1587" spans="13:13" x14ac:dyDescent="0.25">
      <c r="M1587">
        <v>792</v>
      </c>
    </row>
    <row r="1588" spans="13:13" x14ac:dyDescent="0.25">
      <c r="M1588">
        <v>792.5</v>
      </c>
    </row>
    <row r="1589" spans="13:13" x14ac:dyDescent="0.25">
      <c r="M1589">
        <v>793</v>
      </c>
    </row>
    <row r="1590" spans="13:13" x14ac:dyDescent="0.25">
      <c r="M1590">
        <v>793.5</v>
      </c>
    </row>
    <row r="1591" spans="13:13" x14ac:dyDescent="0.25">
      <c r="M1591">
        <v>794</v>
      </c>
    </row>
    <row r="1592" spans="13:13" x14ac:dyDescent="0.25">
      <c r="M1592">
        <v>794.5</v>
      </c>
    </row>
    <row r="1593" spans="13:13" x14ac:dyDescent="0.25">
      <c r="M1593">
        <v>795</v>
      </c>
    </row>
    <row r="1594" spans="13:13" x14ac:dyDescent="0.25">
      <c r="M1594">
        <v>795.5</v>
      </c>
    </row>
    <row r="1595" spans="13:13" x14ac:dyDescent="0.25">
      <c r="M1595">
        <v>796</v>
      </c>
    </row>
    <row r="1596" spans="13:13" x14ac:dyDescent="0.25">
      <c r="M1596">
        <v>796.5</v>
      </c>
    </row>
    <row r="1597" spans="13:13" x14ac:dyDescent="0.25">
      <c r="M1597">
        <v>797</v>
      </c>
    </row>
    <row r="1598" spans="13:13" x14ac:dyDescent="0.25">
      <c r="M1598">
        <v>797.5</v>
      </c>
    </row>
    <row r="1599" spans="13:13" x14ac:dyDescent="0.25">
      <c r="M1599">
        <v>798</v>
      </c>
    </row>
    <row r="1600" spans="13:13" x14ac:dyDescent="0.25">
      <c r="M1600">
        <v>798.5</v>
      </c>
    </row>
    <row r="1601" spans="13:13" x14ac:dyDescent="0.25">
      <c r="M1601">
        <v>799</v>
      </c>
    </row>
    <row r="1602" spans="13:13" x14ac:dyDescent="0.25">
      <c r="M1602">
        <v>799.5</v>
      </c>
    </row>
    <row r="1603" spans="13:13" x14ac:dyDescent="0.25">
      <c r="M1603">
        <v>800</v>
      </c>
    </row>
    <row r="1604" spans="13:13" x14ac:dyDescent="0.25">
      <c r="M1604">
        <v>800.5</v>
      </c>
    </row>
    <row r="1605" spans="13:13" x14ac:dyDescent="0.25">
      <c r="M1605">
        <v>801</v>
      </c>
    </row>
    <row r="1606" spans="13:13" x14ac:dyDescent="0.25">
      <c r="M1606">
        <v>801.5</v>
      </c>
    </row>
    <row r="1607" spans="13:13" x14ac:dyDescent="0.25">
      <c r="M1607">
        <v>802</v>
      </c>
    </row>
    <row r="1608" spans="13:13" x14ac:dyDescent="0.25">
      <c r="M1608">
        <v>802.5</v>
      </c>
    </row>
    <row r="1609" spans="13:13" x14ac:dyDescent="0.25">
      <c r="M1609">
        <v>803</v>
      </c>
    </row>
    <row r="1610" spans="13:13" x14ac:dyDescent="0.25">
      <c r="M1610">
        <v>803.5</v>
      </c>
    </row>
    <row r="1611" spans="13:13" x14ac:dyDescent="0.25">
      <c r="M1611">
        <v>804</v>
      </c>
    </row>
    <row r="1612" spans="13:13" x14ac:dyDescent="0.25">
      <c r="M1612">
        <v>804.5</v>
      </c>
    </row>
    <row r="1613" spans="13:13" x14ac:dyDescent="0.25">
      <c r="M1613">
        <v>805</v>
      </c>
    </row>
    <row r="1614" spans="13:13" x14ac:dyDescent="0.25">
      <c r="M1614">
        <v>805.5</v>
      </c>
    </row>
    <row r="1615" spans="13:13" x14ac:dyDescent="0.25">
      <c r="M1615">
        <v>806</v>
      </c>
    </row>
    <row r="1616" spans="13:13" x14ac:dyDescent="0.25">
      <c r="M1616">
        <v>806.5</v>
      </c>
    </row>
    <row r="1617" spans="13:13" x14ac:dyDescent="0.25">
      <c r="M1617">
        <v>807</v>
      </c>
    </row>
    <row r="1618" spans="13:13" x14ac:dyDescent="0.25">
      <c r="M1618">
        <v>807.5</v>
      </c>
    </row>
    <row r="1619" spans="13:13" x14ac:dyDescent="0.25">
      <c r="M1619">
        <v>808</v>
      </c>
    </row>
    <row r="1620" spans="13:13" x14ac:dyDescent="0.25">
      <c r="M1620">
        <v>808.5</v>
      </c>
    </row>
    <row r="1621" spans="13:13" x14ac:dyDescent="0.25">
      <c r="M1621">
        <v>809</v>
      </c>
    </row>
    <row r="1622" spans="13:13" x14ac:dyDescent="0.25">
      <c r="M1622">
        <v>809.5</v>
      </c>
    </row>
    <row r="1623" spans="13:13" x14ac:dyDescent="0.25">
      <c r="M1623">
        <v>810</v>
      </c>
    </row>
    <row r="1624" spans="13:13" x14ac:dyDescent="0.25">
      <c r="M1624">
        <v>810.5</v>
      </c>
    </row>
    <row r="1625" spans="13:13" x14ac:dyDescent="0.25">
      <c r="M1625">
        <v>811</v>
      </c>
    </row>
    <row r="1626" spans="13:13" x14ac:dyDescent="0.25">
      <c r="M1626">
        <v>811.5</v>
      </c>
    </row>
    <row r="1627" spans="13:13" x14ac:dyDescent="0.25">
      <c r="M1627">
        <v>812</v>
      </c>
    </row>
    <row r="1628" spans="13:13" x14ac:dyDescent="0.25">
      <c r="M1628">
        <v>812.5</v>
      </c>
    </row>
    <row r="1629" spans="13:13" x14ac:dyDescent="0.25">
      <c r="M1629">
        <v>813</v>
      </c>
    </row>
    <row r="1630" spans="13:13" x14ac:dyDescent="0.25">
      <c r="M1630">
        <v>813.5</v>
      </c>
    </row>
    <row r="1631" spans="13:13" x14ac:dyDescent="0.25">
      <c r="M1631">
        <v>814</v>
      </c>
    </row>
    <row r="1632" spans="13:13" x14ac:dyDescent="0.25">
      <c r="M1632">
        <v>814.5</v>
      </c>
    </row>
    <row r="1633" spans="13:13" x14ac:dyDescent="0.25">
      <c r="M1633">
        <v>815</v>
      </c>
    </row>
    <row r="1634" spans="13:13" x14ac:dyDescent="0.25">
      <c r="M1634">
        <v>815.5</v>
      </c>
    </row>
    <row r="1635" spans="13:13" x14ac:dyDescent="0.25">
      <c r="M1635">
        <v>816</v>
      </c>
    </row>
    <row r="1636" spans="13:13" x14ac:dyDescent="0.25">
      <c r="M1636">
        <v>816.5</v>
      </c>
    </row>
    <row r="1637" spans="13:13" x14ac:dyDescent="0.25">
      <c r="M1637">
        <v>817</v>
      </c>
    </row>
    <row r="1638" spans="13:13" x14ac:dyDescent="0.25">
      <c r="M1638">
        <v>817.5</v>
      </c>
    </row>
    <row r="1639" spans="13:13" x14ac:dyDescent="0.25">
      <c r="M1639">
        <v>818</v>
      </c>
    </row>
    <row r="1640" spans="13:13" x14ac:dyDescent="0.25">
      <c r="M1640">
        <v>818.5</v>
      </c>
    </row>
    <row r="1641" spans="13:13" x14ac:dyDescent="0.25">
      <c r="M1641">
        <v>819</v>
      </c>
    </row>
    <row r="1642" spans="13:13" x14ac:dyDescent="0.25">
      <c r="M1642">
        <v>819.5</v>
      </c>
    </row>
    <row r="1643" spans="13:13" x14ac:dyDescent="0.25">
      <c r="M1643">
        <v>820</v>
      </c>
    </row>
    <row r="1644" spans="13:13" x14ac:dyDescent="0.25">
      <c r="M1644">
        <v>820.5</v>
      </c>
    </row>
    <row r="1645" spans="13:13" x14ac:dyDescent="0.25">
      <c r="M1645">
        <v>821</v>
      </c>
    </row>
    <row r="1646" spans="13:13" x14ac:dyDescent="0.25">
      <c r="M1646">
        <v>821.5</v>
      </c>
    </row>
    <row r="1647" spans="13:13" x14ac:dyDescent="0.25">
      <c r="M1647">
        <v>822</v>
      </c>
    </row>
    <row r="1648" spans="13:13" x14ac:dyDescent="0.25">
      <c r="M1648">
        <v>822.5</v>
      </c>
    </row>
    <row r="1649" spans="13:13" x14ac:dyDescent="0.25">
      <c r="M1649">
        <v>823</v>
      </c>
    </row>
    <row r="1650" spans="13:13" x14ac:dyDescent="0.25">
      <c r="M1650">
        <v>823.5</v>
      </c>
    </row>
    <row r="1651" spans="13:13" x14ac:dyDescent="0.25">
      <c r="M1651">
        <v>824</v>
      </c>
    </row>
    <row r="1652" spans="13:13" x14ac:dyDescent="0.25">
      <c r="M1652">
        <v>824.5</v>
      </c>
    </row>
    <row r="1653" spans="13:13" x14ac:dyDescent="0.25">
      <c r="M1653">
        <v>825</v>
      </c>
    </row>
    <row r="1654" spans="13:13" x14ac:dyDescent="0.25">
      <c r="M1654">
        <v>825.5</v>
      </c>
    </row>
    <row r="1655" spans="13:13" x14ac:dyDescent="0.25">
      <c r="M1655">
        <v>826</v>
      </c>
    </row>
    <row r="1656" spans="13:13" x14ac:dyDescent="0.25">
      <c r="M1656">
        <v>826.5</v>
      </c>
    </row>
    <row r="1657" spans="13:13" x14ac:dyDescent="0.25">
      <c r="M1657">
        <v>827</v>
      </c>
    </row>
    <row r="1658" spans="13:13" x14ac:dyDescent="0.25">
      <c r="M1658">
        <v>827.5</v>
      </c>
    </row>
    <row r="1659" spans="13:13" x14ac:dyDescent="0.25">
      <c r="M1659">
        <v>828</v>
      </c>
    </row>
    <row r="1660" spans="13:13" x14ac:dyDescent="0.25">
      <c r="M1660">
        <v>828.5</v>
      </c>
    </row>
    <row r="1661" spans="13:13" x14ac:dyDescent="0.25">
      <c r="M1661">
        <v>829</v>
      </c>
    </row>
    <row r="1662" spans="13:13" x14ac:dyDescent="0.25">
      <c r="M1662">
        <v>829.5</v>
      </c>
    </row>
    <row r="1663" spans="13:13" x14ac:dyDescent="0.25">
      <c r="M1663">
        <v>830</v>
      </c>
    </row>
    <row r="1664" spans="13:13" x14ac:dyDescent="0.25">
      <c r="M1664">
        <v>830.5</v>
      </c>
    </row>
    <row r="1665" spans="13:13" x14ac:dyDescent="0.25">
      <c r="M1665">
        <v>831</v>
      </c>
    </row>
    <row r="1666" spans="13:13" x14ac:dyDescent="0.25">
      <c r="M1666">
        <v>831.5</v>
      </c>
    </row>
    <row r="1667" spans="13:13" x14ac:dyDescent="0.25">
      <c r="M1667">
        <v>832</v>
      </c>
    </row>
    <row r="1668" spans="13:13" x14ac:dyDescent="0.25">
      <c r="M1668">
        <v>832.5</v>
      </c>
    </row>
    <row r="1669" spans="13:13" x14ac:dyDescent="0.25">
      <c r="M1669">
        <v>833</v>
      </c>
    </row>
    <row r="1670" spans="13:13" x14ac:dyDescent="0.25">
      <c r="M1670">
        <v>833.5</v>
      </c>
    </row>
    <row r="1671" spans="13:13" x14ac:dyDescent="0.25">
      <c r="M1671">
        <v>834</v>
      </c>
    </row>
    <row r="1672" spans="13:13" x14ac:dyDescent="0.25">
      <c r="M1672">
        <v>834.5</v>
      </c>
    </row>
    <row r="1673" spans="13:13" x14ac:dyDescent="0.25">
      <c r="M1673">
        <v>835</v>
      </c>
    </row>
    <row r="1674" spans="13:13" x14ac:dyDescent="0.25">
      <c r="M1674">
        <v>835.5</v>
      </c>
    </row>
    <row r="1675" spans="13:13" x14ac:dyDescent="0.25">
      <c r="M1675">
        <v>836</v>
      </c>
    </row>
    <row r="1676" spans="13:13" x14ac:dyDescent="0.25">
      <c r="M1676">
        <v>836.5</v>
      </c>
    </row>
    <row r="1677" spans="13:13" x14ac:dyDescent="0.25">
      <c r="M1677">
        <v>837</v>
      </c>
    </row>
    <row r="1678" spans="13:13" x14ac:dyDescent="0.25">
      <c r="M1678">
        <v>837.5</v>
      </c>
    </row>
    <row r="1679" spans="13:13" x14ac:dyDescent="0.25">
      <c r="M1679">
        <v>838</v>
      </c>
    </row>
    <row r="1680" spans="13:13" x14ac:dyDescent="0.25">
      <c r="M1680">
        <v>838.5</v>
      </c>
    </row>
    <row r="1681" spans="13:13" x14ac:dyDescent="0.25">
      <c r="M1681">
        <v>839</v>
      </c>
    </row>
    <row r="1682" spans="13:13" x14ac:dyDescent="0.25">
      <c r="M1682">
        <v>839.5</v>
      </c>
    </row>
    <row r="1683" spans="13:13" x14ac:dyDescent="0.25">
      <c r="M1683">
        <v>840</v>
      </c>
    </row>
    <row r="1684" spans="13:13" x14ac:dyDescent="0.25">
      <c r="M1684">
        <v>840.5</v>
      </c>
    </row>
    <row r="1685" spans="13:13" x14ac:dyDescent="0.25">
      <c r="M1685">
        <v>841</v>
      </c>
    </row>
    <row r="1686" spans="13:13" x14ac:dyDescent="0.25">
      <c r="M1686">
        <v>841.5</v>
      </c>
    </row>
    <row r="1687" spans="13:13" x14ac:dyDescent="0.25">
      <c r="M1687">
        <v>842</v>
      </c>
    </row>
    <row r="1688" spans="13:13" x14ac:dyDescent="0.25">
      <c r="M1688">
        <v>842.5</v>
      </c>
    </row>
    <row r="1689" spans="13:13" x14ac:dyDescent="0.25">
      <c r="M1689">
        <v>843</v>
      </c>
    </row>
    <row r="1690" spans="13:13" x14ac:dyDescent="0.25">
      <c r="M1690">
        <v>843.5</v>
      </c>
    </row>
    <row r="1691" spans="13:13" x14ac:dyDescent="0.25">
      <c r="M1691">
        <v>844</v>
      </c>
    </row>
    <row r="1692" spans="13:13" x14ac:dyDescent="0.25">
      <c r="M1692">
        <v>844.5</v>
      </c>
    </row>
    <row r="1693" spans="13:13" x14ac:dyDescent="0.25">
      <c r="M1693">
        <v>845</v>
      </c>
    </row>
    <row r="1694" spans="13:13" x14ac:dyDescent="0.25">
      <c r="M1694">
        <v>845.5</v>
      </c>
    </row>
    <row r="1695" spans="13:13" x14ac:dyDescent="0.25">
      <c r="M1695">
        <v>846</v>
      </c>
    </row>
    <row r="1696" spans="13:13" x14ac:dyDescent="0.25">
      <c r="M1696">
        <v>846.5</v>
      </c>
    </row>
    <row r="1697" spans="13:13" x14ac:dyDescent="0.25">
      <c r="M1697">
        <v>847</v>
      </c>
    </row>
    <row r="1698" spans="13:13" x14ac:dyDescent="0.25">
      <c r="M1698">
        <v>847.5</v>
      </c>
    </row>
    <row r="1699" spans="13:13" x14ac:dyDescent="0.25">
      <c r="M1699">
        <v>848</v>
      </c>
    </row>
    <row r="1700" spans="13:13" x14ac:dyDescent="0.25">
      <c r="M1700">
        <v>848.5</v>
      </c>
    </row>
    <row r="1701" spans="13:13" x14ac:dyDescent="0.25">
      <c r="M1701">
        <v>849</v>
      </c>
    </row>
    <row r="1702" spans="13:13" x14ac:dyDescent="0.25">
      <c r="M1702">
        <v>849.5</v>
      </c>
    </row>
    <row r="1703" spans="13:13" x14ac:dyDescent="0.25">
      <c r="M1703">
        <v>850</v>
      </c>
    </row>
    <row r="1704" spans="13:13" x14ac:dyDescent="0.25">
      <c r="M1704">
        <v>850.5</v>
      </c>
    </row>
    <row r="1705" spans="13:13" x14ac:dyDescent="0.25">
      <c r="M1705">
        <v>851</v>
      </c>
    </row>
    <row r="1706" spans="13:13" x14ac:dyDescent="0.25">
      <c r="M1706">
        <v>851.5</v>
      </c>
    </row>
    <row r="1707" spans="13:13" x14ac:dyDescent="0.25">
      <c r="M1707">
        <v>852</v>
      </c>
    </row>
    <row r="1708" spans="13:13" x14ac:dyDescent="0.25">
      <c r="M1708">
        <v>852.5</v>
      </c>
    </row>
    <row r="1709" spans="13:13" x14ac:dyDescent="0.25">
      <c r="M1709">
        <v>853</v>
      </c>
    </row>
    <row r="1710" spans="13:13" x14ac:dyDescent="0.25">
      <c r="M1710">
        <v>853.5</v>
      </c>
    </row>
    <row r="1711" spans="13:13" x14ac:dyDescent="0.25">
      <c r="M1711">
        <v>854</v>
      </c>
    </row>
    <row r="1712" spans="13:13" x14ac:dyDescent="0.25">
      <c r="M1712">
        <v>854.5</v>
      </c>
    </row>
    <row r="1713" spans="13:13" x14ac:dyDescent="0.25">
      <c r="M1713">
        <v>855</v>
      </c>
    </row>
    <row r="1714" spans="13:13" x14ac:dyDescent="0.25">
      <c r="M1714">
        <v>855.5</v>
      </c>
    </row>
    <row r="1715" spans="13:13" x14ac:dyDescent="0.25">
      <c r="M1715">
        <v>856</v>
      </c>
    </row>
    <row r="1716" spans="13:13" x14ac:dyDescent="0.25">
      <c r="M1716">
        <v>856.5</v>
      </c>
    </row>
    <row r="1717" spans="13:13" x14ac:dyDescent="0.25">
      <c r="M1717">
        <v>857</v>
      </c>
    </row>
    <row r="1718" spans="13:13" x14ac:dyDescent="0.25">
      <c r="M1718">
        <v>857.5</v>
      </c>
    </row>
    <row r="1719" spans="13:13" x14ac:dyDescent="0.25">
      <c r="M1719">
        <v>858</v>
      </c>
    </row>
    <row r="1720" spans="13:13" x14ac:dyDescent="0.25">
      <c r="M1720">
        <v>858.5</v>
      </c>
    </row>
    <row r="1721" spans="13:13" x14ac:dyDescent="0.25">
      <c r="M1721">
        <v>859</v>
      </c>
    </row>
    <row r="1722" spans="13:13" x14ac:dyDescent="0.25">
      <c r="M1722">
        <v>859.5</v>
      </c>
    </row>
    <row r="1723" spans="13:13" x14ac:dyDescent="0.25">
      <c r="M1723">
        <v>860</v>
      </c>
    </row>
    <row r="1724" spans="13:13" x14ac:dyDescent="0.25">
      <c r="M1724">
        <v>860.5</v>
      </c>
    </row>
    <row r="1725" spans="13:13" x14ac:dyDescent="0.25">
      <c r="M1725">
        <v>861</v>
      </c>
    </row>
    <row r="1726" spans="13:13" x14ac:dyDescent="0.25">
      <c r="M1726">
        <v>861.5</v>
      </c>
    </row>
    <row r="1727" spans="13:13" x14ac:dyDescent="0.25">
      <c r="M1727">
        <v>862</v>
      </c>
    </row>
    <row r="1728" spans="13:13" x14ac:dyDescent="0.25">
      <c r="M1728">
        <v>862.5</v>
      </c>
    </row>
    <row r="1729" spans="13:13" x14ac:dyDescent="0.25">
      <c r="M1729">
        <v>863</v>
      </c>
    </row>
    <row r="1730" spans="13:13" x14ac:dyDescent="0.25">
      <c r="M1730">
        <v>863.5</v>
      </c>
    </row>
    <row r="1731" spans="13:13" x14ac:dyDescent="0.25">
      <c r="M1731">
        <v>864</v>
      </c>
    </row>
    <row r="1732" spans="13:13" x14ac:dyDescent="0.25">
      <c r="M1732">
        <v>864.5</v>
      </c>
    </row>
    <row r="1733" spans="13:13" x14ac:dyDescent="0.25">
      <c r="M1733">
        <v>865</v>
      </c>
    </row>
    <row r="1734" spans="13:13" x14ac:dyDescent="0.25">
      <c r="M1734">
        <v>865.5</v>
      </c>
    </row>
    <row r="1735" spans="13:13" x14ac:dyDescent="0.25">
      <c r="M1735">
        <v>866</v>
      </c>
    </row>
    <row r="1736" spans="13:13" x14ac:dyDescent="0.25">
      <c r="M1736">
        <v>866.5</v>
      </c>
    </row>
    <row r="1737" spans="13:13" x14ac:dyDescent="0.25">
      <c r="M1737">
        <v>867</v>
      </c>
    </row>
    <row r="1738" spans="13:13" x14ac:dyDescent="0.25">
      <c r="M1738">
        <v>867.5</v>
      </c>
    </row>
    <row r="1739" spans="13:13" x14ac:dyDescent="0.25">
      <c r="M1739">
        <v>868</v>
      </c>
    </row>
    <row r="1740" spans="13:13" x14ac:dyDescent="0.25">
      <c r="M1740">
        <v>868.5</v>
      </c>
    </row>
    <row r="1741" spans="13:13" x14ac:dyDescent="0.25">
      <c r="M1741">
        <v>869</v>
      </c>
    </row>
    <row r="1742" spans="13:13" x14ac:dyDescent="0.25">
      <c r="M1742">
        <v>869.5</v>
      </c>
    </row>
    <row r="1743" spans="13:13" x14ac:dyDescent="0.25">
      <c r="M1743">
        <v>870</v>
      </c>
    </row>
    <row r="1744" spans="13:13" x14ac:dyDescent="0.25">
      <c r="M1744">
        <v>870.5</v>
      </c>
    </row>
    <row r="1745" spans="13:13" x14ac:dyDescent="0.25">
      <c r="M1745">
        <v>871</v>
      </c>
    </row>
    <row r="1746" spans="13:13" x14ac:dyDescent="0.25">
      <c r="M1746">
        <v>871.5</v>
      </c>
    </row>
    <row r="1747" spans="13:13" x14ac:dyDescent="0.25">
      <c r="M1747">
        <v>872</v>
      </c>
    </row>
    <row r="1748" spans="13:13" x14ac:dyDescent="0.25">
      <c r="M1748">
        <v>872.5</v>
      </c>
    </row>
    <row r="1749" spans="13:13" x14ac:dyDescent="0.25">
      <c r="M1749">
        <v>873</v>
      </c>
    </row>
    <row r="1750" spans="13:13" x14ac:dyDescent="0.25">
      <c r="M1750">
        <v>873.5</v>
      </c>
    </row>
    <row r="1751" spans="13:13" x14ac:dyDescent="0.25">
      <c r="M1751">
        <v>874</v>
      </c>
    </row>
    <row r="1752" spans="13:13" x14ac:dyDescent="0.25">
      <c r="M1752">
        <v>874.5</v>
      </c>
    </row>
    <row r="1753" spans="13:13" x14ac:dyDescent="0.25">
      <c r="M1753">
        <v>875</v>
      </c>
    </row>
    <row r="1754" spans="13:13" x14ac:dyDescent="0.25">
      <c r="M1754">
        <v>875.5</v>
      </c>
    </row>
    <row r="1755" spans="13:13" x14ac:dyDescent="0.25">
      <c r="M1755">
        <v>876</v>
      </c>
    </row>
    <row r="1756" spans="13:13" x14ac:dyDescent="0.25">
      <c r="M1756">
        <v>876.5</v>
      </c>
    </row>
    <row r="1757" spans="13:13" x14ac:dyDescent="0.25">
      <c r="M1757">
        <v>877</v>
      </c>
    </row>
    <row r="1758" spans="13:13" x14ac:dyDescent="0.25">
      <c r="M1758">
        <v>877.5</v>
      </c>
    </row>
    <row r="1759" spans="13:13" x14ac:dyDescent="0.25">
      <c r="M1759">
        <v>878</v>
      </c>
    </row>
    <row r="1760" spans="13:13" x14ac:dyDescent="0.25">
      <c r="M1760">
        <v>878.5</v>
      </c>
    </row>
    <row r="1761" spans="13:13" x14ac:dyDescent="0.25">
      <c r="M1761">
        <v>879</v>
      </c>
    </row>
    <row r="1762" spans="13:13" x14ac:dyDescent="0.25">
      <c r="M1762">
        <v>879.5</v>
      </c>
    </row>
    <row r="1763" spans="13:13" x14ac:dyDescent="0.25">
      <c r="M1763">
        <v>880</v>
      </c>
    </row>
    <row r="1764" spans="13:13" x14ac:dyDescent="0.25">
      <c r="M1764">
        <v>880.5</v>
      </c>
    </row>
    <row r="1765" spans="13:13" x14ac:dyDescent="0.25">
      <c r="M1765">
        <v>881</v>
      </c>
    </row>
    <row r="1766" spans="13:13" x14ac:dyDescent="0.25">
      <c r="M1766">
        <v>881.5</v>
      </c>
    </row>
    <row r="1767" spans="13:13" x14ac:dyDescent="0.25">
      <c r="M1767">
        <v>882</v>
      </c>
    </row>
    <row r="1768" spans="13:13" x14ac:dyDescent="0.25">
      <c r="M1768">
        <v>882.5</v>
      </c>
    </row>
    <row r="1769" spans="13:13" x14ac:dyDescent="0.25">
      <c r="M1769">
        <v>883</v>
      </c>
    </row>
    <row r="1770" spans="13:13" x14ac:dyDescent="0.25">
      <c r="M1770">
        <v>883.5</v>
      </c>
    </row>
    <row r="1771" spans="13:13" x14ac:dyDescent="0.25">
      <c r="M1771">
        <v>884</v>
      </c>
    </row>
    <row r="1772" spans="13:13" x14ac:dyDescent="0.25">
      <c r="M1772">
        <v>884.5</v>
      </c>
    </row>
    <row r="1773" spans="13:13" x14ac:dyDescent="0.25">
      <c r="M1773">
        <v>885</v>
      </c>
    </row>
    <row r="1774" spans="13:13" x14ac:dyDescent="0.25">
      <c r="M1774">
        <v>885.5</v>
      </c>
    </row>
    <row r="1775" spans="13:13" x14ac:dyDescent="0.25">
      <c r="M1775">
        <v>886</v>
      </c>
    </row>
    <row r="1776" spans="13:13" x14ac:dyDescent="0.25">
      <c r="M1776">
        <v>886.5</v>
      </c>
    </row>
    <row r="1777" spans="13:13" x14ac:dyDescent="0.25">
      <c r="M1777">
        <v>887</v>
      </c>
    </row>
    <row r="1778" spans="13:13" x14ac:dyDescent="0.25">
      <c r="M1778">
        <v>887.5</v>
      </c>
    </row>
    <row r="1779" spans="13:13" x14ac:dyDescent="0.25">
      <c r="M1779">
        <v>888</v>
      </c>
    </row>
    <row r="1780" spans="13:13" x14ac:dyDescent="0.25">
      <c r="M1780">
        <v>888.5</v>
      </c>
    </row>
    <row r="1781" spans="13:13" x14ac:dyDescent="0.25">
      <c r="M1781">
        <v>889</v>
      </c>
    </row>
    <row r="1782" spans="13:13" x14ac:dyDescent="0.25">
      <c r="M1782">
        <v>889.5</v>
      </c>
    </row>
    <row r="1783" spans="13:13" x14ac:dyDescent="0.25">
      <c r="M1783">
        <v>890</v>
      </c>
    </row>
    <row r="1784" spans="13:13" x14ac:dyDescent="0.25">
      <c r="M1784">
        <v>890.5</v>
      </c>
    </row>
    <row r="1785" spans="13:13" x14ac:dyDescent="0.25">
      <c r="M1785">
        <v>891</v>
      </c>
    </row>
    <row r="1786" spans="13:13" x14ac:dyDescent="0.25">
      <c r="M1786">
        <v>891.5</v>
      </c>
    </row>
    <row r="1787" spans="13:13" x14ac:dyDescent="0.25">
      <c r="M1787">
        <v>892</v>
      </c>
    </row>
    <row r="1788" spans="13:13" x14ac:dyDescent="0.25">
      <c r="M1788">
        <v>892.5</v>
      </c>
    </row>
    <row r="1789" spans="13:13" x14ac:dyDescent="0.25">
      <c r="M1789">
        <v>893</v>
      </c>
    </row>
    <row r="1790" spans="13:13" x14ac:dyDescent="0.25">
      <c r="M1790">
        <v>893.5</v>
      </c>
    </row>
    <row r="1791" spans="13:13" x14ac:dyDescent="0.25">
      <c r="M1791">
        <v>894</v>
      </c>
    </row>
    <row r="1792" spans="13:13" x14ac:dyDescent="0.25">
      <c r="M1792">
        <v>894.5</v>
      </c>
    </row>
    <row r="1793" spans="13:13" x14ac:dyDescent="0.25">
      <c r="M1793">
        <v>895</v>
      </c>
    </row>
    <row r="1794" spans="13:13" x14ac:dyDescent="0.25">
      <c r="M1794">
        <v>895.5</v>
      </c>
    </row>
    <row r="1795" spans="13:13" x14ac:dyDescent="0.25">
      <c r="M1795">
        <v>896</v>
      </c>
    </row>
    <row r="1796" spans="13:13" x14ac:dyDescent="0.25">
      <c r="M1796">
        <v>896.5</v>
      </c>
    </row>
    <row r="1797" spans="13:13" x14ac:dyDescent="0.25">
      <c r="M1797">
        <v>897</v>
      </c>
    </row>
    <row r="1798" spans="13:13" x14ac:dyDescent="0.25">
      <c r="M1798">
        <v>897.5</v>
      </c>
    </row>
    <row r="1799" spans="13:13" x14ac:dyDescent="0.25">
      <c r="M1799">
        <v>898</v>
      </c>
    </row>
    <row r="1800" spans="13:13" x14ac:dyDescent="0.25">
      <c r="M1800">
        <v>898.5</v>
      </c>
    </row>
    <row r="1801" spans="13:13" x14ac:dyDescent="0.25">
      <c r="M1801">
        <v>899</v>
      </c>
    </row>
    <row r="1802" spans="13:13" x14ac:dyDescent="0.25">
      <c r="M1802">
        <v>899.5</v>
      </c>
    </row>
    <row r="1803" spans="13:13" x14ac:dyDescent="0.25">
      <c r="M1803">
        <v>900</v>
      </c>
    </row>
    <row r="1804" spans="13:13" x14ac:dyDescent="0.25">
      <c r="M1804">
        <v>900.5</v>
      </c>
    </row>
    <row r="1805" spans="13:13" x14ac:dyDescent="0.25">
      <c r="M1805">
        <v>901</v>
      </c>
    </row>
    <row r="1806" spans="13:13" x14ac:dyDescent="0.25">
      <c r="M1806">
        <v>901.5</v>
      </c>
    </row>
    <row r="1807" spans="13:13" x14ac:dyDescent="0.25">
      <c r="M1807">
        <v>902</v>
      </c>
    </row>
    <row r="1808" spans="13:13" x14ac:dyDescent="0.25">
      <c r="M1808">
        <v>902.5</v>
      </c>
    </row>
    <row r="1809" spans="13:13" x14ac:dyDescent="0.25">
      <c r="M1809">
        <v>903</v>
      </c>
    </row>
    <row r="1810" spans="13:13" x14ac:dyDescent="0.25">
      <c r="M1810">
        <v>903.5</v>
      </c>
    </row>
    <row r="1811" spans="13:13" x14ac:dyDescent="0.25">
      <c r="M1811">
        <v>904</v>
      </c>
    </row>
    <row r="1812" spans="13:13" x14ac:dyDescent="0.25">
      <c r="M1812">
        <v>904.5</v>
      </c>
    </row>
    <row r="1813" spans="13:13" x14ac:dyDescent="0.25">
      <c r="M1813">
        <v>905</v>
      </c>
    </row>
    <row r="1814" spans="13:13" x14ac:dyDescent="0.25">
      <c r="M1814">
        <v>905.5</v>
      </c>
    </row>
    <row r="1815" spans="13:13" x14ac:dyDescent="0.25">
      <c r="M1815">
        <v>906</v>
      </c>
    </row>
    <row r="1816" spans="13:13" x14ac:dyDescent="0.25">
      <c r="M1816">
        <v>906.5</v>
      </c>
    </row>
    <row r="1817" spans="13:13" x14ac:dyDescent="0.25">
      <c r="M1817">
        <v>907</v>
      </c>
    </row>
    <row r="1818" spans="13:13" x14ac:dyDescent="0.25">
      <c r="M1818">
        <v>907.5</v>
      </c>
    </row>
    <row r="1819" spans="13:13" x14ac:dyDescent="0.25">
      <c r="M1819">
        <v>908</v>
      </c>
    </row>
    <row r="1820" spans="13:13" x14ac:dyDescent="0.25">
      <c r="M1820">
        <v>908.5</v>
      </c>
    </row>
    <row r="1821" spans="13:13" x14ac:dyDescent="0.25">
      <c r="M1821">
        <v>909</v>
      </c>
    </row>
    <row r="1822" spans="13:13" x14ac:dyDescent="0.25">
      <c r="M1822">
        <v>909.5</v>
      </c>
    </row>
    <row r="1823" spans="13:13" x14ac:dyDescent="0.25">
      <c r="M1823">
        <v>910</v>
      </c>
    </row>
    <row r="1824" spans="13:13" x14ac:dyDescent="0.25">
      <c r="M1824">
        <v>910.5</v>
      </c>
    </row>
    <row r="1825" spans="13:13" x14ac:dyDescent="0.25">
      <c r="M1825">
        <v>911</v>
      </c>
    </row>
    <row r="1826" spans="13:13" x14ac:dyDescent="0.25">
      <c r="M1826">
        <v>911.5</v>
      </c>
    </row>
    <row r="1827" spans="13:13" x14ac:dyDescent="0.25">
      <c r="M1827">
        <v>912</v>
      </c>
    </row>
    <row r="1828" spans="13:13" x14ac:dyDescent="0.25">
      <c r="M1828">
        <v>912.5</v>
      </c>
    </row>
    <row r="1829" spans="13:13" x14ac:dyDescent="0.25">
      <c r="M1829">
        <v>913</v>
      </c>
    </row>
    <row r="1830" spans="13:13" x14ac:dyDescent="0.25">
      <c r="M1830">
        <v>913.5</v>
      </c>
    </row>
    <row r="1831" spans="13:13" x14ac:dyDescent="0.25">
      <c r="M1831">
        <v>914</v>
      </c>
    </row>
    <row r="1832" spans="13:13" x14ac:dyDescent="0.25">
      <c r="M1832">
        <v>914.5</v>
      </c>
    </row>
    <row r="1833" spans="13:13" x14ac:dyDescent="0.25">
      <c r="M1833">
        <v>915</v>
      </c>
    </row>
    <row r="1834" spans="13:13" x14ac:dyDescent="0.25">
      <c r="M1834">
        <v>915.5</v>
      </c>
    </row>
    <row r="1835" spans="13:13" x14ac:dyDescent="0.25">
      <c r="M1835">
        <v>916</v>
      </c>
    </row>
    <row r="1836" spans="13:13" x14ac:dyDescent="0.25">
      <c r="M1836">
        <v>916.5</v>
      </c>
    </row>
    <row r="1837" spans="13:13" x14ac:dyDescent="0.25">
      <c r="M1837">
        <v>917</v>
      </c>
    </row>
    <row r="1838" spans="13:13" x14ac:dyDescent="0.25">
      <c r="M1838">
        <v>917.5</v>
      </c>
    </row>
    <row r="1839" spans="13:13" x14ac:dyDescent="0.25">
      <c r="M1839">
        <v>918</v>
      </c>
    </row>
    <row r="1840" spans="13:13" x14ac:dyDescent="0.25">
      <c r="M1840">
        <v>918.5</v>
      </c>
    </row>
    <row r="1841" spans="13:13" x14ac:dyDescent="0.25">
      <c r="M1841">
        <v>919</v>
      </c>
    </row>
    <row r="1842" spans="13:13" x14ac:dyDescent="0.25">
      <c r="M1842">
        <v>919.5</v>
      </c>
    </row>
    <row r="1843" spans="13:13" x14ac:dyDescent="0.25">
      <c r="M1843">
        <v>920</v>
      </c>
    </row>
    <row r="1844" spans="13:13" x14ac:dyDescent="0.25">
      <c r="M1844">
        <v>920.5</v>
      </c>
    </row>
    <row r="1845" spans="13:13" x14ac:dyDescent="0.25">
      <c r="M1845">
        <v>921</v>
      </c>
    </row>
    <row r="1846" spans="13:13" x14ac:dyDescent="0.25">
      <c r="M1846">
        <v>921.5</v>
      </c>
    </row>
    <row r="1847" spans="13:13" x14ac:dyDescent="0.25">
      <c r="M1847">
        <v>922</v>
      </c>
    </row>
    <row r="1848" spans="13:13" x14ac:dyDescent="0.25">
      <c r="M1848">
        <v>922.5</v>
      </c>
    </row>
    <row r="1849" spans="13:13" x14ac:dyDescent="0.25">
      <c r="M1849">
        <v>923</v>
      </c>
    </row>
    <row r="1850" spans="13:13" x14ac:dyDescent="0.25">
      <c r="M1850">
        <v>923.5</v>
      </c>
    </row>
    <row r="1851" spans="13:13" x14ac:dyDescent="0.25">
      <c r="M1851">
        <v>924</v>
      </c>
    </row>
    <row r="1852" spans="13:13" x14ac:dyDescent="0.25">
      <c r="M1852">
        <v>924.5</v>
      </c>
    </row>
    <row r="1853" spans="13:13" x14ac:dyDescent="0.25">
      <c r="M1853">
        <v>925</v>
      </c>
    </row>
    <row r="1854" spans="13:13" x14ac:dyDescent="0.25">
      <c r="M1854">
        <v>925.5</v>
      </c>
    </row>
    <row r="1855" spans="13:13" x14ac:dyDescent="0.25">
      <c r="M1855">
        <v>926</v>
      </c>
    </row>
    <row r="1856" spans="13:13" x14ac:dyDescent="0.25">
      <c r="M1856">
        <v>926.5</v>
      </c>
    </row>
    <row r="1857" spans="13:13" x14ac:dyDescent="0.25">
      <c r="M1857">
        <v>927</v>
      </c>
    </row>
    <row r="1858" spans="13:13" x14ac:dyDescent="0.25">
      <c r="M1858">
        <v>927.5</v>
      </c>
    </row>
    <row r="1859" spans="13:13" x14ac:dyDescent="0.25">
      <c r="M1859">
        <v>928</v>
      </c>
    </row>
    <row r="1860" spans="13:13" x14ac:dyDescent="0.25">
      <c r="M1860">
        <v>928.5</v>
      </c>
    </row>
    <row r="1861" spans="13:13" x14ac:dyDescent="0.25">
      <c r="M1861">
        <v>929</v>
      </c>
    </row>
    <row r="1862" spans="13:13" x14ac:dyDescent="0.25">
      <c r="M1862">
        <v>929.5</v>
      </c>
    </row>
    <row r="1863" spans="13:13" x14ac:dyDescent="0.25">
      <c r="M1863">
        <v>930</v>
      </c>
    </row>
    <row r="1864" spans="13:13" x14ac:dyDescent="0.25">
      <c r="M1864">
        <v>930.5</v>
      </c>
    </row>
    <row r="1865" spans="13:13" x14ac:dyDescent="0.25">
      <c r="M1865">
        <v>931</v>
      </c>
    </row>
    <row r="1866" spans="13:13" x14ac:dyDescent="0.25">
      <c r="M1866">
        <v>931.5</v>
      </c>
    </row>
    <row r="1867" spans="13:13" x14ac:dyDescent="0.25">
      <c r="M1867">
        <v>932</v>
      </c>
    </row>
    <row r="1868" spans="13:13" x14ac:dyDescent="0.25">
      <c r="M1868">
        <v>932.5</v>
      </c>
    </row>
    <row r="1869" spans="13:13" x14ac:dyDescent="0.25">
      <c r="M1869">
        <v>933</v>
      </c>
    </row>
    <row r="1870" spans="13:13" x14ac:dyDescent="0.25">
      <c r="M1870">
        <v>933.5</v>
      </c>
    </row>
    <row r="1871" spans="13:13" x14ac:dyDescent="0.25">
      <c r="M1871">
        <v>934</v>
      </c>
    </row>
    <row r="1872" spans="13:13" x14ac:dyDescent="0.25">
      <c r="M1872">
        <v>934.5</v>
      </c>
    </row>
    <row r="1873" spans="13:13" x14ac:dyDescent="0.25">
      <c r="M1873">
        <v>935</v>
      </c>
    </row>
    <row r="1874" spans="13:13" x14ac:dyDescent="0.25">
      <c r="M1874">
        <v>935.5</v>
      </c>
    </row>
    <row r="1875" spans="13:13" x14ac:dyDescent="0.25">
      <c r="M1875">
        <v>936</v>
      </c>
    </row>
    <row r="1876" spans="13:13" x14ac:dyDescent="0.25">
      <c r="M1876">
        <v>936.5</v>
      </c>
    </row>
    <row r="1877" spans="13:13" x14ac:dyDescent="0.25">
      <c r="M1877">
        <v>937</v>
      </c>
    </row>
    <row r="1878" spans="13:13" x14ac:dyDescent="0.25">
      <c r="M1878">
        <v>937.5</v>
      </c>
    </row>
    <row r="1879" spans="13:13" x14ac:dyDescent="0.25">
      <c r="M1879">
        <v>938</v>
      </c>
    </row>
    <row r="1880" spans="13:13" x14ac:dyDescent="0.25">
      <c r="M1880">
        <v>938.5</v>
      </c>
    </row>
    <row r="1881" spans="13:13" x14ac:dyDescent="0.25">
      <c r="M1881">
        <v>939</v>
      </c>
    </row>
    <row r="1882" spans="13:13" x14ac:dyDescent="0.25">
      <c r="M1882">
        <v>939.5</v>
      </c>
    </row>
    <row r="1883" spans="13:13" x14ac:dyDescent="0.25">
      <c r="M1883">
        <v>940</v>
      </c>
    </row>
    <row r="1884" spans="13:13" x14ac:dyDescent="0.25">
      <c r="M1884">
        <v>940.5</v>
      </c>
    </row>
    <row r="1885" spans="13:13" x14ac:dyDescent="0.25">
      <c r="M1885">
        <v>941</v>
      </c>
    </row>
    <row r="1886" spans="13:13" x14ac:dyDescent="0.25">
      <c r="M1886">
        <v>941.5</v>
      </c>
    </row>
    <row r="1887" spans="13:13" x14ac:dyDescent="0.25">
      <c r="M1887">
        <v>942</v>
      </c>
    </row>
    <row r="1888" spans="13:13" x14ac:dyDescent="0.25">
      <c r="M1888">
        <v>942.5</v>
      </c>
    </row>
    <row r="1889" spans="13:13" x14ac:dyDescent="0.25">
      <c r="M1889">
        <v>943</v>
      </c>
    </row>
    <row r="1890" spans="13:13" x14ac:dyDescent="0.25">
      <c r="M1890">
        <v>943.5</v>
      </c>
    </row>
    <row r="1891" spans="13:13" x14ac:dyDescent="0.25">
      <c r="M1891">
        <v>944</v>
      </c>
    </row>
    <row r="1892" spans="13:13" x14ac:dyDescent="0.25">
      <c r="M1892">
        <v>944.5</v>
      </c>
    </row>
    <row r="1893" spans="13:13" x14ac:dyDescent="0.25">
      <c r="M1893">
        <v>945</v>
      </c>
    </row>
    <row r="1894" spans="13:13" x14ac:dyDescent="0.25">
      <c r="M1894">
        <v>945.5</v>
      </c>
    </row>
    <row r="1895" spans="13:13" x14ac:dyDescent="0.25">
      <c r="M1895">
        <v>946</v>
      </c>
    </row>
    <row r="1896" spans="13:13" x14ac:dyDescent="0.25">
      <c r="M1896">
        <v>946.5</v>
      </c>
    </row>
    <row r="1897" spans="13:13" x14ac:dyDescent="0.25">
      <c r="M1897">
        <v>947</v>
      </c>
    </row>
    <row r="1898" spans="13:13" x14ac:dyDescent="0.25">
      <c r="M1898">
        <v>947.5</v>
      </c>
    </row>
    <row r="1899" spans="13:13" x14ac:dyDescent="0.25">
      <c r="M1899">
        <v>948</v>
      </c>
    </row>
    <row r="1900" spans="13:13" x14ac:dyDescent="0.25">
      <c r="M1900">
        <v>948.5</v>
      </c>
    </row>
    <row r="1901" spans="13:13" x14ac:dyDescent="0.25">
      <c r="M1901">
        <v>949</v>
      </c>
    </row>
    <row r="1902" spans="13:13" x14ac:dyDescent="0.25">
      <c r="M1902">
        <v>949.5</v>
      </c>
    </row>
    <row r="1903" spans="13:13" x14ac:dyDescent="0.25">
      <c r="M1903">
        <v>950</v>
      </c>
    </row>
    <row r="1904" spans="13:13" x14ac:dyDescent="0.25">
      <c r="M1904">
        <v>950.5</v>
      </c>
    </row>
    <row r="1905" spans="13:13" x14ac:dyDescent="0.25">
      <c r="M1905">
        <v>951</v>
      </c>
    </row>
    <row r="1906" spans="13:13" x14ac:dyDescent="0.25">
      <c r="M1906">
        <v>951.5</v>
      </c>
    </row>
    <row r="1907" spans="13:13" x14ac:dyDescent="0.25">
      <c r="M1907">
        <v>952</v>
      </c>
    </row>
    <row r="1908" spans="13:13" x14ac:dyDescent="0.25">
      <c r="M1908">
        <v>952.5</v>
      </c>
    </row>
    <row r="1909" spans="13:13" x14ac:dyDescent="0.25">
      <c r="M1909">
        <v>953</v>
      </c>
    </row>
    <row r="1910" spans="13:13" x14ac:dyDescent="0.25">
      <c r="M1910">
        <v>953.5</v>
      </c>
    </row>
    <row r="1911" spans="13:13" x14ac:dyDescent="0.25">
      <c r="M1911">
        <v>954</v>
      </c>
    </row>
    <row r="1912" spans="13:13" x14ac:dyDescent="0.25">
      <c r="M1912">
        <v>954.5</v>
      </c>
    </row>
    <row r="1913" spans="13:13" x14ac:dyDescent="0.25">
      <c r="M1913">
        <v>955</v>
      </c>
    </row>
    <row r="1914" spans="13:13" x14ac:dyDescent="0.25">
      <c r="M1914">
        <v>955.5</v>
      </c>
    </row>
    <row r="1915" spans="13:13" x14ac:dyDescent="0.25">
      <c r="M1915">
        <v>956</v>
      </c>
    </row>
    <row r="1916" spans="13:13" x14ac:dyDescent="0.25">
      <c r="M1916">
        <v>956.5</v>
      </c>
    </row>
    <row r="1917" spans="13:13" x14ac:dyDescent="0.25">
      <c r="M1917">
        <v>957</v>
      </c>
    </row>
    <row r="1918" spans="13:13" x14ac:dyDescent="0.25">
      <c r="M1918">
        <v>957.5</v>
      </c>
    </row>
    <row r="1919" spans="13:13" x14ac:dyDescent="0.25">
      <c r="M1919">
        <v>958</v>
      </c>
    </row>
    <row r="1920" spans="13:13" x14ac:dyDescent="0.25">
      <c r="M1920">
        <v>958.5</v>
      </c>
    </row>
    <row r="1921" spans="13:13" x14ac:dyDescent="0.25">
      <c r="M1921">
        <v>959</v>
      </c>
    </row>
    <row r="1922" spans="13:13" x14ac:dyDescent="0.25">
      <c r="M1922">
        <v>959.5</v>
      </c>
    </row>
    <row r="1923" spans="13:13" x14ac:dyDescent="0.25">
      <c r="M1923">
        <v>960</v>
      </c>
    </row>
    <row r="1924" spans="13:13" x14ac:dyDescent="0.25">
      <c r="M1924">
        <v>960.5</v>
      </c>
    </row>
    <row r="1925" spans="13:13" x14ac:dyDescent="0.25">
      <c r="M1925">
        <v>961</v>
      </c>
    </row>
    <row r="1926" spans="13:13" x14ac:dyDescent="0.25">
      <c r="M1926">
        <v>961.5</v>
      </c>
    </row>
    <row r="1927" spans="13:13" x14ac:dyDescent="0.25">
      <c r="M1927">
        <v>962</v>
      </c>
    </row>
    <row r="1928" spans="13:13" x14ac:dyDescent="0.25">
      <c r="M1928">
        <v>962.5</v>
      </c>
    </row>
    <row r="1929" spans="13:13" x14ac:dyDescent="0.25">
      <c r="M1929">
        <v>963</v>
      </c>
    </row>
    <row r="1930" spans="13:13" x14ac:dyDescent="0.25">
      <c r="M1930">
        <v>963.5</v>
      </c>
    </row>
    <row r="1931" spans="13:13" x14ac:dyDescent="0.25">
      <c r="M1931">
        <v>964</v>
      </c>
    </row>
    <row r="1932" spans="13:13" x14ac:dyDescent="0.25">
      <c r="M1932">
        <v>964.5</v>
      </c>
    </row>
    <row r="1933" spans="13:13" x14ac:dyDescent="0.25">
      <c r="M1933">
        <v>965</v>
      </c>
    </row>
    <row r="1934" spans="13:13" x14ac:dyDescent="0.25">
      <c r="M1934">
        <v>965.5</v>
      </c>
    </row>
    <row r="1935" spans="13:13" x14ac:dyDescent="0.25">
      <c r="M1935">
        <v>966</v>
      </c>
    </row>
    <row r="1936" spans="13:13" x14ac:dyDescent="0.25">
      <c r="M1936">
        <v>966.5</v>
      </c>
    </row>
    <row r="1937" spans="13:13" x14ac:dyDescent="0.25">
      <c r="M1937">
        <v>967</v>
      </c>
    </row>
    <row r="1938" spans="13:13" x14ac:dyDescent="0.25">
      <c r="M1938">
        <v>967.5</v>
      </c>
    </row>
    <row r="1939" spans="13:13" x14ac:dyDescent="0.25">
      <c r="M1939">
        <v>968</v>
      </c>
    </row>
    <row r="1940" spans="13:13" x14ac:dyDescent="0.25">
      <c r="M1940">
        <v>968.5</v>
      </c>
    </row>
    <row r="1941" spans="13:13" x14ac:dyDescent="0.25">
      <c r="M1941">
        <v>969</v>
      </c>
    </row>
    <row r="1942" spans="13:13" x14ac:dyDescent="0.25">
      <c r="M1942">
        <v>969.5</v>
      </c>
    </row>
    <row r="1943" spans="13:13" x14ac:dyDescent="0.25">
      <c r="M1943">
        <v>970</v>
      </c>
    </row>
    <row r="1944" spans="13:13" x14ac:dyDescent="0.25">
      <c r="M1944">
        <v>970.5</v>
      </c>
    </row>
    <row r="1945" spans="13:13" x14ac:dyDescent="0.25">
      <c r="M1945">
        <v>971</v>
      </c>
    </row>
    <row r="1946" spans="13:13" x14ac:dyDescent="0.25">
      <c r="M1946">
        <v>971.5</v>
      </c>
    </row>
    <row r="1947" spans="13:13" x14ac:dyDescent="0.25">
      <c r="M1947">
        <v>972</v>
      </c>
    </row>
    <row r="1948" spans="13:13" x14ac:dyDescent="0.25">
      <c r="M1948">
        <v>972.5</v>
      </c>
    </row>
    <row r="1949" spans="13:13" x14ac:dyDescent="0.25">
      <c r="M1949">
        <v>973</v>
      </c>
    </row>
    <row r="1950" spans="13:13" x14ac:dyDescent="0.25">
      <c r="M1950">
        <v>973.5</v>
      </c>
    </row>
    <row r="1951" spans="13:13" x14ac:dyDescent="0.25">
      <c r="M1951">
        <v>974</v>
      </c>
    </row>
    <row r="1952" spans="13:13" x14ac:dyDescent="0.25">
      <c r="M1952">
        <v>974.5</v>
      </c>
    </row>
    <row r="1953" spans="13:13" x14ac:dyDescent="0.25">
      <c r="M1953">
        <v>975</v>
      </c>
    </row>
    <row r="1954" spans="13:13" x14ac:dyDescent="0.25">
      <c r="M1954">
        <v>975.5</v>
      </c>
    </row>
    <row r="1955" spans="13:13" x14ac:dyDescent="0.25">
      <c r="M1955">
        <v>976</v>
      </c>
    </row>
    <row r="1956" spans="13:13" x14ac:dyDescent="0.25">
      <c r="M1956">
        <v>976.5</v>
      </c>
    </row>
    <row r="1957" spans="13:13" x14ac:dyDescent="0.25">
      <c r="M1957">
        <v>977</v>
      </c>
    </row>
    <row r="1958" spans="13:13" x14ac:dyDescent="0.25">
      <c r="M1958">
        <v>977.5</v>
      </c>
    </row>
    <row r="1959" spans="13:13" x14ac:dyDescent="0.25">
      <c r="M1959">
        <v>978</v>
      </c>
    </row>
    <row r="1960" spans="13:13" x14ac:dyDescent="0.25">
      <c r="M1960">
        <v>978.5</v>
      </c>
    </row>
    <row r="1961" spans="13:13" x14ac:dyDescent="0.25">
      <c r="M1961">
        <v>979</v>
      </c>
    </row>
    <row r="1962" spans="13:13" x14ac:dyDescent="0.25">
      <c r="M1962">
        <v>979.5</v>
      </c>
    </row>
    <row r="1963" spans="13:13" x14ac:dyDescent="0.25">
      <c r="M1963">
        <v>980</v>
      </c>
    </row>
    <row r="1964" spans="13:13" x14ac:dyDescent="0.25">
      <c r="M1964">
        <v>980.5</v>
      </c>
    </row>
    <row r="1965" spans="13:13" x14ac:dyDescent="0.25">
      <c r="M1965">
        <v>981</v>
      </c>
    </row>
    <row r="1966" spans="13:13" x14ac:dyDescent="0.25">
      <c r="M1966">
        <v>981.5</v>
      </c>
    </row>
    <row r="1967" spans="13:13" x14ac:dyDescent="0.25">
      <c r="M1967">
        <v>982</v>
      </c>
    </row>
    <row r="1968" spans="13:13" x14ac:dyDescent="0.25">
      <c r="M1968">
        <v>982.5</v>
      </c>
    </row>
    <row r="1969" spans="13:13" x14ac:dyDescent="0.25">
      <c r="M1969">
        <v>983</v>
      </c>
    </row>
    <row r="1970" spans="13:13" x14ac:dyDescent="0.25">
      <c r="M1970">
        <v>983.5</v>
      </c>
    </row>
    <row r="1971" spans="13:13" x14ac:dyDescent="0.25">
      <c r="M1971">
        <v>984</v>
      </c>
    </row>
    <row r="1972" spans="13:13" x14ac:dyDescent="0.25">
      <c r="M1972">
        <v>984.5</v>
      </c>
    </row>
    <row r="1973" spans="13:13" x14ac:dyDescent="0.25">
      <c r="M1973">
        <v>985</v>
      </c>
    </row>
    <row r="1974" spans="13:13" x14ac:dyDescent="0.25">
      <c r="M1974">
        <v>985.5</v>
      </c>
    </row>
    <row r="1975" spans="13:13" x14ac:dyDescent="0.25">
      <c r="M1975">
        <v>986</v>
      </c>
    </row>
    <row r="1976" spans="13:13" x14ac:dyDescent="0.25">
      <c r="M1976">
        <v>986.5</v>
      </c>
    </row>
    <row r="1977" spans="13:13" x14ac:dyDescent="0.25">
      <c r="M1977">
        <v>987</v>
      </c>
    </row>
    <row r="1978" spans="13:13" x14ac:dyDescent="0.25">
      <c r="M1978">
        <v>987.5</v>
      </c>
    </row>
    <row r="1979" spans="13:13" x14ac:dyDescent="0.25">
      <c r="M1979">
        <v>988</v>
      </c>
    </row>
    <row r="1980" spans="13:13" x14ac:dyDescent="0.25">
      <c r="M1980">
        <v>988.5</v>
      </c>
    </row>
    <row r="1981" spans="13:13" x14ac:dyDescent="0.25">
      <c r="M1981">
        <v>989</v>
      </c>
    </row>
    <row r="1982" spans="13:13" x14ac:dyDescent="0.25">
      <c r="M1982">
        <v>989.5</v>
      </c>
    </row>
    <row r="1983" spans="13:13" x14ac:dyDescent="0.25">
      <c r="M1983">
        <v>990</v>
      </c>
    </row>
    <row r="1984" spans="13:13" x14ac:dyDescent="0.25">
      <c r="M1984">
        <v>990.5</v>
      </c>
    </row>
    <row r="1985" spans="13:13" x14ac:dyDescent="0.25">
      <c r="M1985">
        <v>991</v>
      </c>
    </row>
    <row r="1986" spans="13:13" x14ac:dyDescent="0.25">
      <c r="M1986">
        <v>991.5</v>
      </c>
    </row>
    <row r="1987" spans="13:13" x14ac:dyDescent="0.25">
      <c r="M1987">
        <v>992</v>
      </c>
    </row>
    <row r="1988" spans="13:13" x14ac:dyDescent="0.25">
      <c r="M1988">
        <v>992.5</v>
      </c>
    </row>
    <row r="1989" spans="13:13" x14ac:dyDescent="0.25">
      <c r="M1989">
        <v>993</v>
      </c>
    </row>
    <row r="1990" spans="13:13" x14ac:dyDescent="0.25">
      <c r="M1990">
        <v>993.5</v>
      </c>
    </row>
    <row r="1991" spans="13:13" x14ac:dyDescent="0.25">
      <c r="M1991">
        <v>994</v>
      </c>
    </row>
    <row r="1992" spans="13:13" x14ac:dyDescent="0.25">
      <c r="M1992">
        <v>994.5</v>
      </c>
    </row>
    <row r="1993" spans="13:13" x14ac:dyDescent="0.25">
      <c r="M1993">
        <v>995</v>
      </c>
    </row>
    <row r="1994" spans="13:13" x14ac:dyDescent="0.25">
      <c r="M1994">
        <v>995.5</v>
      </c>
    </row>
    <row r="1995" spans="13:13" x14ac:dyDescent="0.25">
      <c r="M1995">
        <v>996</v>
      </c>
    </row>
    <row r="1996" spans="13:13" x14ac:dyDescent="0.25">
      <c r="M1996">
        <v>996.5</v>
      </c>
    </row>
    <row r="1997" spans="13:13" x14ac:dyDescent="0.25">
      <c r="M1997">
        <v>997</v>
      </c>
    </row>
    <row r="1998" spans="13:13" x14ac:dyDescent="0.25">
      <c r="M1998">
        <v>997.5</v>
      </c>
    </row>
    <row r="1999" spans="13:13" x14ac:dyDescent="0.25">
      <c r="M1999">
        <v>998</v>
      </c>
    </row>
    <row r="2000" spans="13:13" x14ac:dyDescent="0.25">
      <c r="M2000">
        <v>998.5</v>
      </c>
    </row>
    <row r="2001" spans="13:13" x14ac:dyDescent="0.25">
      <c r="M2001">
        <v>999</v>
      </c>
    </row>
    <row r="2002" spans="13:13" x14ac:dyDescent="0.25">
      <c r="M2002">
        <v>999.5</v>
      </c>
    </row>
    <row r="2003" spans="13:13" x14ac:dyDescent="0.25">
      <c r="M2003">
        <v>1000</v>
      </c>
    </row>
    <row r="2004" spans="13:13" x14ac:dyDescent="0.25">
      <c r="M2004">
        <v>1000.5</v>
      </c>
    </row>
    <row r="2005" spans="13:13" x14ac:dyDescent="0.25">
      <c r="M2005">
        <v>1001</v>
      </c>
    </row>
    <row r="2006" spans="13:13" x14ac:dyDescent="0.25">
      <c r="M2006">
        <v>1001.5</v>
      </c>
    </row>
    <row r="2007" spans="13:13" x14ac:dyDescent="0.25">
      <c r="M2007">
        <v>1002</v>
      </c>
    </row>
    <row r="2008" spans="13:13" x14ac:dyDescent="0.25">
      <c r="M2008">
        <v>1002.5</v>
      </c>
    </row>
    <row r="2009" spans="13:13" x14ac:dyDescent="0.25">
      <c r="M2009">
        <v>1003</v>
      </c>
    </row>
    <row r="2010" spans="13:13" x14ac:dyDescent="0.25">
      <c r="M2010">
        <v>1003.5</v>
      </c>
    </row>
    <row r="2011" spans="13:13" x14ac:dyDescent="0.25">
      <c r="M2011">
        <v>1004</v>
      </c>
    </row>
    <row r="2012" spans="13:13" x14ac:dyDescent="0.25">
      <c r="M2012">
        <v>1004.5</v>
      </c>
    </row>
    <row r="2013" spans="13:13" x14ac:dyDescent="0.25">
      <c r="M2013">
        <v>1005</v>
      </c>
    </row>
    <row r="2014" spans="13:13" x14ac:dyDescent="0.25">
      <c r="M2014">
        <v>1005.5</v>
      </c>
    </row>
    <row r="2015" spans="13:13" x14ac:dyDescent="0.25">
      <c r="M2015">
        <v>1006</v>
      </c>
    </row>
    <row r="2016" spans="13:13" x14ac:dyDescent="0.25">
      <c r="M2016">
        <v>1006.5</v>
      </c>
    </row>
    <row r="2017" spans="13:13" x14ac:dyDescent="0.25">
      <c r="M2017">
        <v>1007</v>
      </c>
    </row>
    <row r="2018" spans="13:13" x14ac:dyDescent="0.25">
      <c r="M2018">
        <v>1007.5</v>
      </c>
    </row>
    <row r="2019" spans="13:13" x14ac:dyDescent="0.25">
      <c r="M2019">
        <v>1008</v>
      </c>
    </row>
    <row r="2020" spans="13:13" x14ac:dyDescent="0.25">
      <c r="M2020">
        <v>1008.5</v>
      </c>
    </row>
    <row r="2021" spans="13:13" x14ac:dyDescent="0.25">
      <c r="M2021">
        <v>1009</v>
      </c>
    </row>
    <row r="2022" spans="13:13" x14ac:dyDescent="0.25">
      <c r="M2022">
        <v>1009.5</v>
      </c>
    </row>
    <row r="2023" spans="13:13" x14ac:dyDescent="0.25">
      <c r="M2023">
        <v>1010</v>
      </c>
    </row>
    <row r="2024" spans="13:13" x14ac:dyDescent="0.25">
      <c r="M2024">
        <v>1010.5</v>
      </c>
    </row>
    <row r="2025" spans="13:13" x14ac:dyDescent="0.25">
      <c r="M2025">
        <v>1011</v>
      </c>
    </row>
    <row r="2026" spans="13:13" x14ac:dyDescent="0.25">
      <c r="M2026">
        <v>1011.5</v>
      </c>
    </row>
    <row r="2027" spans="13:13" x14ac:dyDescent="0.25">
      <c r="M2027">
        <v>1012</v>
      </c>
    </row>
    <row r="2028" spans="13:13" x14ac:dyDescent="0.25">
      <c r="M2028">
        <v>1012.5</v>
      </c>
    </row>
    <row r="2029" spans="13:13" x14ac:dyDescent="0.25">
      <c r="M2029">
        <v>1013</v>
      </c>
    </row>
    <row r="2030" spans="13:13" x14ac:dyDescent="0.25">
      <c r="M2030">
        <v>1013.5</v>
      </c>
    </row>
    <row r="2031" spans="13:13" x14ac:dyDescent="0.25">
      <c r="M2031">
        <v>1014</v>
      </c>
    </row>
    <row r="2032" spans="13:13" x14ac:dyDescent="0.25">
      <c r="M2032">
        <v>1014.5</v>
      </c>
    </row>
    <row r="2033" spans="13:13" x14ac:dyDescent="0.25">
      <c r="M2033">
        <v>1015</v>
      </c>
    </row>
    <row r="2034" spans="13:13" x14ac:dyDescent="0.25">
      <c r="M2034">
        <v>1015.5</v>
      </c>
    </row>
    <row r="2035" spans="13:13" x14ac:dyDescent="0.25">
      <c r="M2035">
        <v>1016</v>
      </c>
    </row>
    <row r="2036" spans="13:13" x14ac:dyDescent="0.25">
      <c r="M2036">
        <v>1016.5</v>
      </c>
    </row>
    <row r="2037" spans="13:13" x14ac:dyDescent="0.25">
      <c r="M2037">
        <v>1017</v>
      </c>
    </row>
    <row r="2038" spans="13:13" x14ac:dyDescent="0.25">
      <c r="M2038">
        <v>1017.5</v>
      </c>
    </row>
    <row r="2039" spans="13:13" x14ac:dyDescent="0.25">
      <c r="M2039">
        <v>1018</v>
      </c>
    </row>
    <row r="2040" spans="13:13" x14ac:dyDescent="0.25">
      <c r="M2040">
        <v>1018.5</v>
      </c>
    </row>
    <row r="2041" spans="13:13" x14ac:dyDescent="0.25">
      <c r="M2041">
        <v>1019</v>
      </c>
    </row>
    <row r="2042" spans="13:13" x14ac:dyDescent="0.25">
      <c r="M2042">
        <v>1019.5</v>
      </c>
    </row>
    <row r="2043" spans="13:13" x14ac:dyDescent="0.25">
      <c r="M2043">
        <v>1020</v>
      </c>
    </row>
    <row r="2044" spans="13:13" x14ac:dyDescent="0.25">
      <c r="M2044">
        <v>1020.5</v>
      </c>
    </row>
    <row r="2045" spans="13:13" x14ac:dyDescent="0.25">
      <c r="M2045">
        <v>1021</v>
      </c>
    </row>
    <row r="2046" spans="13:13" x14ac:dyDescent="0.25">
      <c r="M2046">
        <v>1021.5</v>
      </c>
    </row>
    <row r="2047" spans="13:13" x14ac:dyDescent="0.25">
      <c r="M2047">
        <v>1022</v>
      </c>
    </row>
    <row r="2048" spans="13:13" x14ac:dyDescent="0.25">
      <c r="M2048">
        <v>1022.5</v>
      </c>
    </row>
    <row r="2049" spans="13:13" x14ac:dyDescent="0.25">
      <c r="M2049">
        <v>1023</v>
      </c>
    </row>
    <row r="2050" spans="13:13" x14ac:dyDescent="0.25">
      <c r="M2050">
        <v>1023.5</v>
      </c>
    </row>
    <row r="2051" spans="13:13" x14ac:dyDescent="0.25">
      <c r="M2051">
        <v>1024</v>
      </c>
    </row>
    <row r="2052" spans="13:13" x14ac:dyDescent="0.25">
      <c r="M2052">
        <v>1024.5</v>
      </c>
    </row>
    <row r="2053" spans="13:13" x14ac:dyDescent="0.25">
      <c r="M2053">
        <v>1025</v>
      </c>
    </row>
    <row r="2054" spans="13:13" x14ac:dyDescent="0.25">
      <c r="M2054">
        <v>1025.5</v>
      </c>
    </row>
    <row r="2055" spans="13:13" x14ac:dyDescent="0.25">
      <c r="M2055">
        <v>1026</v>
      </c>
    </row>
    <row r="2056" spans="13:13" x14ac:dyDescent="0.25">
      <c r="M2056">
        <v>1026.5</v>
      </c>
    </row>
    <row r="2057" spans="13:13" x14ac:dyDescent="0.25">
      <c r="M2057">
        <v>1027</v>
      </c>
    </row>
    <row r="2058" spans="13:13" x14ac:dyDescent="0.25">
      <c r="M2058">
        <v>1027.5</v>
      </c>
    </row>
    <row r="2059" spans="13:13" x14ac:dyDescent="0.25">
      <c r="M2059">
        <v>1028</v>
      </c>
    </row>
    <row r="2060" spans="13:13" x14ac:dyDescent="0.25">
      <c r="M2060">
        <v>1028.5</v>
      </c>
    </row>
    <row r="2061" spans="13:13" x14ac:dyDescent="0.25">
      <c r="M2061">
        <v>1029</v>
      </c>
    </row>
    <row r="2062" spans="13:13" x14ac:dyDescent="0.25">
      <c r="M2062">
        <v>1029.5</v>
      </c>
    </row>
    <row r="2063" spans="13:13" x14ac:dyDescent="0.25">
      <c r="M2063">
        <v>1030</v>
      </c>
    </row>
    <row r="2064" spans="13:13" x14ac:dyDescent="0.25">
      <c r="M2064">
        <v>1030.5</v>
      </c>
    </row>
    <row r="2065" spans="13:13" x14ac:dyDescent="0.25">
      <c r="M2065">
        <v>1031</v>
      </c>
    </row>
    <row r="2066" spans="13:13" x14ac:dyDescent="0.25">
      <c r="M2066">
        <v>1031.5</v>
      </c>
    </row>
    <row r="2067" spans="13:13" x14ac:dyDescent="0.25">
      <c r="M2067">
        <v>1032</v>
      </c>
    </row>
    <row r="2068" spans="13:13" x14ac:dyDescent="0.25">
      <c r="M2068">
        <v>1032.5</v>
      </c>
    </row>
    <row r="2069" spans="13:13" x14ac:dyDescent="0.25">
      <c r="M2069">
        <v>1033</v>
      </c>
    </row>
    <row r="2070" spans="13:13" x14ac:dyDescent="0.25">
      <c r="M2070">
        <v>1033.5</v>
      </c>
    </row>
    <row r="2071" spans="13:13" x14ac:dyDescent="0.25">
      <c r="M2071">
        <v>1034</v>
      </c>
    </row>
    <row r="2072" spans="13:13" x14ac:dyDescent="0.25">
      <c r="M2072">
        <v>1034.5</v>
      </c>
    </row>
    <row r="2073" spans="13:13" x14ac:dyDescent="0.25">
      <c r="M2073">
        <v>1035</v>
      </c>
    </row>
    <row r="2074" spans="13:13" x14ac:dyDescent="0.25">
      <c r="M2074">
        <v>1035.5</v>
      </c>
    </row>
    <row r="2075" spans="13:13" x14ac:dyDescent="0.25">
      <c r="M2075">
        <v>1036</v>
      </c>
    </row>
    <row r="2076" spans="13:13" x14ac:dyDescent="0.25">
      <c r="M2076">
        <v>1036.5</v>
      </c>
    </row>
    <row r="2077" spans="13:13" x14ac:dyDescent="0.25">
      <c r="M2077">
        <v>1037</v>
      </c>
    </row>
    <row r="2078" spans="13:13" x14ac:dyDescent="0.25">
      <c r="M2078">
        <v>1037.5</v>
      </c>
    </row>
    <row r="2079" spans="13:13" x14ac:dyDescent="0.25">
      <c r="M2079">
        <v>1038</v>
      </c>
    </row>
    <row r="2080" spans="13:13" x14ac:dyDescent="0.25">
      <c r="M2080">
        <v>1038.5</v>
      </c>
    </row>
    <row r="2081" spans="13:13" x14ac:dyDescent="0.25">
      <c r="M2081">
        <v>1039</v>
      </c>
    </row>
    <row r="2082" spans="13:13" x14ac:dyDescent="0.25">
      <c r="M2082">
        <v>1039.5</v>
      </c>
    </row>
    <row r="2083" spans="13:13" x14ac:dyDescent="0.25">
      <c r="M2083">
        <v>1040</v>
      </c>
    </row>
    <row r="2084" spans="13:13" x14ac:dyDescent="0.25">
      <c r="M2084">
        <v>1040.5</v>
      </c>
    </row>
    <row r="2085" spans="13:13" x14ac:dyDescent="0.25">
      <c r="M2085">
        <v>1041</v>
      </c>
    </row>
    <row r="2086" spans="13:13" x14ac:dyDescent="0.25">
      <c r="M2086">
        <v>1041.5</v>
      </c>
    </row>
    <row r="2087" spans="13:13" x14ac:dyDescent="0.25">
      <c r="M2087">
        <v>1042</v>
      </c>
    </row>
    <row r="2088" spans="13:13" x14ac:dyDescent="0.25">
      <c r="M2088">
        <v>1042.5</v>
      </c>
    </row>
    <row r="2089" spans="13:13" x14ac:dyDescent="0.25">
      <c r="M2089">
        <v>1043</v>
      </c>
    </row>
    <row r="2090" spans="13:13" x14ac:dyDescent="0.25">
      <c r="M2090">
        <v>1043.5</v>
      </c>
    </row>
    <row r="2091" spans="13:13" x14ac:dyDescent="0.25">
      <c r="M2091">
        <v>1044</v>
      </c>
    </row>
    <row r="2092" spans="13:13" x14ac:dyDescent="0.25">
      <c r="M2092">
        <v>1044.5</v>
      </c>
    </row>
    <row r="2093" spans="13:13" x14ac:dyDescent="0.25">
      <c r="M2093">
        <v>1045</v>
      </c>
    </row>
    <row r="2094" spans="13:13" x14ac:dyDescent="0.25">
      <c r="M2094">
        <v>1045.5</v>
      </c>
    </row>
    <row r="2095" spans="13:13" x14ac:dyDescent="0.25">
      <c r="M2095">
        <v>1046</v>
      </c>
    </row>
    <row r="2096" spans="13:13" x14ac:dyDescent="0.25">
      <c r="M2096">
        <v>1046.5</v>
      </c>
    </row>
    <row r="2097" spans="13:13" x14ac:dyDescent="0.25">
      <c r="M2097">
        <v>1047</v>
      </c>
    </row>
    <row r="2098" spans="13:13" x14ac:dyDescent="0.25">
      <c r="M2098">
        <v>1047.5</v>
      </c>
    </row>
    <row r="2099" spans="13:13" x14ac:dyDescent="0.25">
      <c r="M2099">
        <v>1048</v>
      </c>
    </row>
    <row r="2100" spans="13:13" x14ac:dyDescent="0.25">
      <c r="M2100">
        <v>1048.5</v>
      </c>
    </row>
    <row r="2101" spans="13:13" x14ac:dyDescent="0.25">
      <c r="M2101">
        <v>1049</v>
      </c>
    </row>
    <row r="2102" spans="13:13" x14ac:dyDescent="0.25">
      <c r="M2102">
        <v>1049.5</v>
      </c>
    </row>
    <row r="2103" spans="13:13" x14ac:dyDescent="0.25">
      <c r="M2103">
        <v>1050</v>
      </c>
    </row>
    <row r="2104" spans="13:13" x14ac:dyDescent="0.25">
      <c r="M2104">
        <v>1050.5</v>
      </c>
    </row>
    <row r="2105" spans="13:13" x14ac:dyDescent="0.25">
      <c r="M2105">
        <v>1051</v>
      </c>
    </row>
    <row r="2106" spans="13:13" x14ac:dyDescent="0.25">
      <c r="M2106">
        <v>1051.5</v>
      </c>
    </row>
    <row r="2107" spans="13:13" x14ac:dyDescent="0.25">
      <c r="M2107">
        <v>1052</v>
      </c>
    </row>
    <row r="2108" spans="13:13" x14ac:dyDescent="0.25">
      <c r="M2108">
        <v>1052.5</v>
      </c>
    </row>
    <row r="2109" spans="13:13" x14ac:dyDescent="0.25">
      <c r="M2109">
        <v>1053</v>
      </c>
    </row>
    <row r="2110" spans="13:13" x14ac:dyDescent="0.25">
      <c r="M2110">
        <v>1053.5</v>
      </c>
    </row>
    <row r="2111" spans="13:13" x14ac:dyDescent="0.25">
      <c r="M2111">
        <v>1054</v>
      </c>
    </row>
    <row r="2112" spans="13:13" x14ac:dyDescent="0.25">
      <c r="M2112">
        <v>1054.5</v>
      </c>
    </row>
    <row r="2113" spans="13:13" x14ac:dyDescent="0.25">
      <c r="M2113">
        <v>1055</v>
      </c>
    </row>
    <row r="2114" spans="13:13" x14ac:dyDescent="0.25">
      <c r="M2114">
        <v>1055.5</v>
      </c>
    </row>
    <row r="2115" spans="13:13" x14ac:dyDescent="0.25">
      <c r="M2115">
        <v>1056</v>
      </c>
    </row>
    <row r="2116" spans="13:13" x14ac:dyDescent="0.25">
      <c r="M2116">
        <v>1056.5</v>
      </c>
    </row>
    <row r="2117" spans="13:13" x14ac:dyDescent="0.25">
      <c r="M2117">
        <v>1057</v>
      </c>
    </row>
    <row r="2118" spans="13:13" x14ac:dyDescent="0.25">
      <c r="M2118">
        <v>1057.5</v>
      </c>
    </row>
    <row r="2119" spans="13:13" x14ac:dyDescent="0.25">
      <c r="M2119">
        <v>1058</v>
      </c>
    </row>
    <row r="2120" spans="13:13" x14ac:dyDescent="0.25">
      <c r="M2120">
        <v>1058.5</v>
      </c>
    </row>
    <row r="2121" spans="13:13" x14ac:dyDescent="0.25">
      <c r="M2121">
        <v>1059</v>
      </c>
    </row>
    <row r="2122" spans="13:13" x14ac:dyDescent="0.25">
      <c r="M2122">
        <v>1059.5</v>
      </c>
    </row>
    <row r="2123" spans="13:13" x14ac:dyDescent="0.25">
      <c r="M2123">
        <v>1060</v>
      </c>
    </row>
    <row r="2124" spans="13:13" x14ac:dyDescent="0.25">
      <c r="M2124">
        <v>1060.5</v>
      </c>
    </row>
    <row r="2125" spans="13:13" x14ac:dyDescent="0.25">
      <c r="M2125">
        <v>1061</v>
      </c>
    </row>
    <row r="2126" spans="13:13" x14ac:dyDescent="0.25">
      <c r="M2126">
        <v>1061.5</v>
      </c>
    </row>
    <row r="2127" spans="13:13" x14ac:dyDescent="0.25">
      <c r="M2127">
        <v>1062</v>
      </c>
    </row>
    <row r="2128" spans="13:13" x14ac:dyDescent="0.25">
      <c r="M2128">
        <v>1062.5</v>
      </c>
    </row>
    <row r="2129" spans="13:13" x14ac:dyDescent="0.25">
      <c r="M2129">
        <v>1063</v>
      </c>
    </row>
    <row r="2130" spans="13:13" x14ac:dyDescent="0.25">
      <c r="M2130">
        <v>1063.5</v>
      </c>
    </row>
    <row r="2131" spans="13:13" x14ac:dyDescent="0.25">
      <c r="M2131">
        <v>1064</v>
      </c>
    </row>
    <row r="2132" spans="13:13" x14ac:dyDescent="0.25">
      <c r="M2132">
        <v>1064.5</v>
      </c>
    </row>
    <row r="2133" spans="13:13" x14ac:dyDescent="0.25">
      <c r="M2133">
        <v>1065</v>
      </c>
    </row>
    <row r="2134" spans="13:13" x14ac:dyDescent="0.25">
      <c r="M2134">
        <v>1065.5</v>
      </c>
    </row>
    <row r="2135" spans="13:13" x14ac:dyDescent="0.25">
      <c r="M2135">
        <v>1066</v>
      </c>
    </row>
    <row r="2136" spans="13:13" x14ac:dyDescent="0.25">
      <c r="M2136">
        <v>1066.5</v>
      </c>
    </row>
    <row r="2137" spans="13:13" x14ac:dyDescent="0.25">
      <c r="M2137">
        <v>1067</v>
      </c>
    </row>
    <row r="2138" spans="13:13" x14ac:dyDescent="0.25">
      <c r="M2138">
        <v>1067.5</v>
      </c>
    </row>
    <row r="2139" spans="13:13" x14ac:dyDescent="0.25">
      <c r="M2139">
        <v>1068</v>
      </c>
    </row>
    <row r="2140" spans="13:13" x14ac:dyDescent="0.25">
      <c r="M2140">
        <v>1068.5</v>
      </c>
    </row>
    <row r="2141" spans="13:13" x14ac:dyDescent="0.25">
      <c r="M2141">
        <v>1069</v>
      </c>
    </row>
    <row r="2142" spans="13:13" x14ac:dyDescent="0.25">
      <c r="M2142">
        <v>1069.5</v>
      </c>
    </row>
    <row r="2143" spans="13:13" x14ac:dyDescent="0.25">
      <c r="M2143">
        <v>1070</v>
      </c>
    </row>
    <row r="2144" spans="13:13" x14ac:dyDescent="0.25">
      <c r="M2144">
        <v>1070.5</v>
      </c>
    </row>
    <row r="2145" spans="13:13" x14ac:dyDescent="0.25">
      <c r="M2145">
        <v>1071</v>
      </c>
    </row>
    <row r="2146" spans="13:13" x14ac:dyDescent="0.25">
      <c r="M2146">
        <v>1071.5</v>
      </c>
    </row>
    <row r="2147" spans="13:13" x14ac:dyDescent="0.25">
      <c r="M2147">
        <v>1072</v>
      </c>
    </row>
    <row r="2148" spans="13:13" x14ac:dyDescent="0.25">
      <c r="M2148">
        <v>1072.5</v>
      </c>
    </row>
    <row r="2149" spans="13:13" x14ac:dyDescent="0.25">
      <c r="M2149">
        <v>1073</v>
      </c>
    </row>
    <row r="2150" spans="13:13" x14ac:dyDescent="0.25">
      <c r="M2150">
        <v>1073.5</v>
      </c>
    </row>
    <row r="2151" spans="13:13" x14ac:dyDescent="0.25">
      <c r="M2151">
        <v>1074</v>
      </c>
    </row>
    <row r="2152" spans="13:13" x14ac:dyDescent="0.25">
      <c r="M2152">
        <v>1074.5</v>
      </c>
    </row>
    <row r="2153" spans="13:13" x14ac:dyDescent="0.25">
      <c r="M2153">
        <v>1075</v>
      </c>
    </row>
    <row r="2154" spans="13:13" x14ac:dyDescent="0.25">
      <c r="M2154">
        <v>1075.5</v>
      </c>
    </row>
    <row r="2155" spans="13:13" x14ac:dyDescent="0.25">
      <c r="M2155">
        <v>1076</v>
      </c>
    </row>
    <row r="2156" spans="13:13" x14ac:dyDescent="0.25">
      <c r="M2156">
        <v>1076.5</v>
      </c>
    </row>
    <row r="2157" spans="13:13" x14ac:dyDescent="0.25">
      <c r="M2157">
        <v>1077</v>
      </c>
    </row>
    <row r="2158" spans="13:13" x14ac:dyDescent="0.25">
      <c r="M2158">
        <v>1077.5</v>
      </c>
    </row>
    <row r="2159" spans="13:13" x14ac:dyDescent="0.25">
      <c r="M2159">
        <v>1078</v>
      </c>
    </row>
    <row r="2160" spans="13:13" x14ac:dyDescent="0.25">
      <c r="M2160">
        <v>1078.5</v>
      </c>
    </row>
    <row r="2161" spans="13:13" x14ac:dyDescent="0.25">
      <c r="M2161">
        <v>1079</v>
      </c>
    </row>
    <row r="2162" spans="13:13" x14ac:dyDescent="0.25">
      <c r="M2162">
        <v>1079.5</v>
      </c>
    </row>
    <row r="2163" spans="13:13" x14ac:dyDescent="0.25">
      <c r="M2163">
        <v>1080</v>
      </c>
    </row>
    <row r="2164" spans="13:13" x14ac:dyDescent="0.25">
      <c r="M2164">
        <v>1080.5</v>
      </c>
    </row>
    <row r="2165" spans="13:13" x14ac:dyDescent="0.25">
      <c r="M2165">
        <v>1081</v>
      </c>
    </row>
    <row r="2166" spans="13:13" x14ac:dyDescent="0.25">
      <c r="M2166">
        <v>1081.5</v>
      </c>
    </row>
    <row r="2167" spans="13:13" x14ac:dyDescent="0.25">
      <c r="M2167">
        <v>1082</v>
      </c>
    </row>
    <row r="2168" spans="13:13" x14ac:dyDescent="0.25">
      <c r="M2168">
        <v>1082.5</v>
      </c>
    </row>
    <row r="2169" spans="13:13" x14ac:dyDescent="0.25">
      <c r="M2169">
        <v>1083</v>
      </c>
    </row>
    <row r="2170" spans="13:13" x14ac:dyDescent="0.25">
      <c r="M2170">
        <v>1083.5</v>
      </c>
    </row>
    <row r="2171" spans="13:13" x14ac:dyDescent="0.25">
      <c r="M2171">
        <v>1084</v>
      </c>
    </row>
    <row r="2172" spans="13:13" x14ac:dyDescent="0.25">
      <c r="M2172">
        <v>1084.5</v>
      </c>
    </row>
    <row r="2173" spans="13:13" x14ac:dyDescent="0.25">
      <c r="M2173">
        <v>1085</v>
      </c>
    </row>
    <row r="2174" spans="13:13" x14ac:dyDescent="0.25">
      <c r="M2174">
        <v>1085.5</v>
      </c>
    </row>
    <row r="2175" spans="13:13" x14ac:dyDescent="0.25">
      <c r="M2175">
        <v>1086</v>
      </c>
    </row>
    <row r="2176" spans="13:13" x14ac:dyDescent="0.25">
      <c r="M2176">
        <v>1086.5</v>
      </c>
    </row>
    <row r="2177" spans="13:13" x14ac:dyDescent="0.25">
      <c r="M2177">
        <v>1087</v>
      </c>
    </row>
    <row r="2178" spans="13:13" x14ac:dyDescent="0.25">
      <c r="M2178">
        <v>1087.5</v>
      </c>
    </row>
    <row r="2179" spans="13:13" x14ac:dyDescent="0.25">
      <c r="M2179">
        <v>1088</v>
      </c>
    </row>
    <row r="2180" spans="13:13" x14ac:dyDescent="0.25">
      <c r="M2180">
        <v>1088.5</v>
      </c>
    </row>
    <row r="2181" spans="13:13" x14ac:dyDescent="0.25">
      <c r="M2181">
        <v>1089</v>
      </c>
    </row>
    <row r="2182" spans="13:13" x14ac:dyDescent="0.25">
      <c r="M2182">
        <v>1089.5</v>
      </c>
    </row>
    <row r="2183" spans="13:13" x14ac:dyDescent="0.25">
      <c r="M2183">
        <v>1090</v>
      </c>
    </row>
    <row r="2184" spans="13:13" x14ac:dyDescent="0.25">
      <c r="M2184">
        <v>1090.5</v>
      </c>
    </row>
    <row r="2185" spans="13:13" x14ac:dyDescent="0.25">
      <c r="M2185">
        <v>1091</v>
      </c>
    </row>
    <row r="2186" spans="13:13" x14ac:dyDescent="0.25">
      <c r="M2186">
        <v>1091.5</v>
      </c>
    </row>
    <row r="2187" spans="13:13" x14ac:dyDescent="0.25">
      <c r="M2187">
        <v>1092</v>
      </c>
    </row>
    <row r="2188" spans="13:13" x14ac:dyDescent="0.25">
      <c r="M2188">
        <v>1092.5</v>
      </c>
    </row>
    <row r="2189" spans="13:13" x14ac:dyDescent="0.25">
      <c r="M2189">
        <v>1093</v>
      </c>
    </row>
    <row r="2190" spans="13:13" x14ac:dyDescent="0.25">
      <c r="M2190">
        <v>1093.5</v>
      </c>
    </row>
    <row r="2191" spans="13:13" x14ac:dyDescent="0.25">
      <c r="M2191">
        <v>1094</v>
      </c>
    </row>
    <row r="2192" spans="13:13" x14ac:dyDescent="0.25">
      <c r="M2192">
        <v>1094.5</v>
      </c>
    </row>
    <row r="2193" spans="13:13" x14ac:dyDescent="0.25">
      <c r="M2193">
        <v>1095</v>
      </c>
    </row>
    <row r="2194" spans="13:13" x14ac:dyDescent="0.25">
      <c r="M2194">
        <v>1095.5</v>
      </c>
    </row>
    <row r="2195" spans="13:13" x14ac:dyDescent="0.25">
      <c r="M2195">
        <v>1096</v>
      </c>
    </row>
    <row r="2196" spans="13:13" x14ac:dyDescent="0.25">
      <c r="M2196">
        <v>1096.5</v>
      </c>
    </row>
    <row r="2197" spans="13:13" x14ac:dyDescent="0.25">
      <c r="M2197">
        <v>1097</v>
      </c>
    </row>
    <row r="2198" spans="13:13" x14ac:dyDescent="0.25">
      <c r="M2198">
        <v>1097.5</v>
      </c>
    </row>
    <row r="2199" spans="13:13" x14ac:dyDescent="0.25">
      <c r="M2199">
        <v>1098</v>
      </c>
    </row>
    <row r="2200" spans="13:13" x14ac:dyDescent="0.25">
      <c r="M2200">
        <v>1098.5</v>
      </c>
    </row>
    <row r="2201" spans="13:13" x14ac:dyDescent="0.25">
      <c r="M2201">
        <v>1099</v>
      </c>
    </row>
    <row r="2202" spans="13:13" x14ac:dyDescent="0.25">
      <c r="M2202">
        <v>1099.5</v>
      </c>
    </row>
    <row r="2203" spans="13:13" x14ac:dyDescent="0.25">
      <c r="M2203">
        <v>1100</v>
      </c>
    </row>
    <row r="2204" spans="13:13" x14ac:dyDescent="0.25">
      <c r="M2204">
        <v>1100.5</v>
      </c>
    </row>
    <row r="2205" spans="13:13" x14ac:dyDescent="0.25">
      <c r="M2205">
        <v>1101</v>
      </c>
    </row>
    <row r="2206" spans="13:13" x14ac:dyDescent="0.25">
      <c r="M2206">
        <v>1101.5</v>
      </c>
    </row>
    <row r="2207" spans="13:13" x14ac:dyDescent="0.25">
      <c r="M2207">
        <v>1102</v>
      </c>
    </row>
    <row r="2208" spans="13:13" x14ac:dyDescent="0.25">
      <c r="M2208">
        <v>1102.5</v>
      </c>
    </row>
    <row r="2209" spans="13:13" x14ac:dyDescent="0.25">
      <c r="M2209">
        <v>1103</v>
      </c>
    </row>
    <row r="2210" spans="13:13" x14ac:dyDescent="0.25">
      <c r="M2210">
        <v>1103.5</v>
      </c>
    </row>
    <row r="2211" spans="13:13" x14ac:dyDescent="0.25">
      <c r="M2211">
        <v>1104</v>
      </c>
    </row>
    <row r="2212" spans="13:13" x14ac:dyDescent="0.25">
      <c r="M2212">
        <v>1104.5</v>
      </c>
    </row>
    <row r="2213" spans="13:13" x14ac:dyDescent="0.25">
      <c r="M2213">
        <v>1105</v>
      </c>
    </row>
    <row r="2214" spans="13:13" x14ac:dyDescent="0.25">
      <c r="M2214">
        <v>1105.5</v>
      </c>
    </row>
    <row r="2215" spans="13:13" x14ac:dyDescent="0.25">
      <c r="M2215">
        <v>1106</v>
      </c>
    </row>
    <row r="2216" spans="13:13" x14ac:dyDescent="0.25">
      <c r="M2216">
        <v>1106.5</v>
      </c>
    </row>
    <row r="2217" spans="13:13" x14ac:dyDescent="0.25">
      <c r="M2217">
        <v>1107</v>
      </c>
    </row>
    <row r="2218" spans="13:13" x14ac:dyDescent="0.25">
      <c r="M2218">
        <v>1107.5</v>
      </c>
    </row>
    <row r="2219" spans="13:13" x14ac:dyDescent="0.25">
      <c r="M2219">
        <v>1108</v>
      </c>
    </row>
    <row r="2220" spans="13:13" x14ac:dyDescent="0.25">
      <c r="M2220">
        <v>1108.5</v>
      </c>
    </row>
    <row r="2221" spans="13:13" x14ac:dyDescent="0.25">
      <c r="M2221">
        <v>1109</v>
      </c>
    </row>
    <row r="2222" spans="13:13" x14ac:dyDescent="0.25">
      <c r="M2222">
        <v>1109.5</v>
      </c>
    </row>
    <row r="2223" spans="13:13" x14ac:dyDescent="0.25">
      <c r="M2223">
        <v>1110</v>
      </c>
    </row>
    <row r="2224" spans="13:13" x14ac:dyDescent="0.25">
      <c r="M2224">
        <v>1110.5</v>
      </c>
    </row>
    <row r="2225" spans="13:13" x14ac:dyDescent="0.25">
      <c r="M2225">
        <v>1111</v>
      </c>
    </row>
    <row r="2226" spans="13:13" x14ac:dyDescent="0.25">
      <c r="M2226">
        <v>1111.5</v>
      </c>
    </row>
    <row r="2227" spans="13:13" x14ac:dyDescent="0.25">
      <c r="M2227">
        <v>1112</v>
      </c>
    </row>
    <row r="2228" spans="13:13" x14ac:dyDescent="0.25">
      <c r="M2228">
        <v>1112.5</v>
      </c>
    </row>
    <row r="2229" spans="13:13" x14ac:dyDescent="0.25">
      <c r="M2229">
        <v>1113</v>
      </c>
    </row>
    <row r="2230" spans="13:13" x14ac:dyDescent="0.25">
      <c r="M2230">
        <v>1113.5</v>
      </c>
    </row>
    <row r="2231" spans="13:13" x14ac:dyDescent="0.25">
      <c r="M2231">
        <v>1114</v>
      </c>
    </row>
    <row r="2232" spans="13:13" x14ac:dyDescent="0.25">
      <c r="M2232">
        <v>1114.5</v>
      </c>
    </row>
    <row r="2233" spans="13:13" x14ac:dyDescent="0.25">
      <c r="M2233">
        <v>1115</v>
      </c>
    </row>
    <row r="2234" spans="13:13" x14ac:dyDescent="0.25">
      <c r="M2234">
        <v>1115.5</v>
      </c>
    </row>
    <row r="2235" spans="13:13" x14ac:dyDescent="0.25">
      <c r="M2235">
        <v>1116</v>
      </c>
    </row>
    <row r="2236" spans="13:13" x14ac:dyDescent="0.25">
      <c r="M2236">
        <v>1116.5</v>
      </c>
    </row>
    <row r="2237" spans="13:13" x14ac:dyDescent="0.25">
      <c r="M2237">
        <v>1117</v>
      </c>
    </row>
    <row r="2238" spans="13:13" x14ac:dyDescent="0.25">
      <c r="M2238">
        <v>1117.5</v>
      </c>
    </row>
    <row r="2239" spans="13:13" x14ac:dyDescent="0.25">
      <c r="M2239">
        <v>1118</v>
      </c>
    </row>
    <row r="2240" spans="13:13" x14ac:dyDescent="0.25">
      <c r="M2240">
        <v>1118.5</v>
      </c>
    </row>
    <row r="2241" spans="13:13" x14ac:dyDescent="0.25">
      <c r="M2241">
        <v>1119</v>
      </c>
    </row>
    <row r="2242" spans="13:13" x14ac:dyDescent="0.25">
      <c r="M2242">
        <v>1119.5</v>
      </c>
    </row>
    <row r="2243" spans="13:13" x14ac:dyDescent="0.25">
      <c r="M2243">
        <v>1120</v>
      </c>
    </row>
    <row r="2244" spans="13:13" x14ac:dyDescent="0.25">
      <c r="M2244">
        <v>1120.5</v>
      </c>
    </row>
    <row r="2245" spans="13:13" x14ac:dyDescent="0.25">
      <c r="M2245">
        <v>1121</v>
      </c>
    </row>
    <row r="2246" spans="13:13" x14ac:dyDescent="0.25">
      <c r="M2246">
        <v>1121.5</v>
      </c>
    </row>
    <row r="2247" spans="13:13" x14ac:dyDescent="0.25">
      <c r="M2247">
        <v>1122</v>
      </c>
    </row>
    <row r="2248" spans="13:13" x14ac:dyDescent="0.25">
      <c r="M2248">
        <v>1122.5</v>
      </c>
    </row>
    <row r="2249" spans="13:13" x14ac:dyDescent="0.25">
      <c r="M2249">
        <v>1123</v>
      </c>
    </row>
    <row r="2250" spans="13:13" x14ac:dyDescent="0.25">
      <c r="M2250">
        <v>1123.5</v>
      </c>
    </row>
    <row r="2251" spans="13:13" x14ac:dyDescent="0.25">
      <c r="M2251">
        <v>1124</v>
      </c>
    </row>
    <row r="2252" spans="13:13" x14ac:dyDescent="0.25">
      <c r="M2252">
        <v>1124.5</v>
      </c>
    </row>
    <row r="2253" spans="13:13" x14ac:dyDescent="0.25">
      <c r="M2253">
        <v>1125</v>
      </c>
    </row>
    <row r="2254" spans="13:13" x14ac:dyDescent="0.25">
      <c r="M2254">
        <v>1125.5</v>
      </c>
    </row>
    <row r="2255" spans="13:13" x14ac:dyDescent="0.25">
      <c r="M2255">
        <v>1126</v>
      </c>
    </row>
    <row r="2256" spans="13:13" x14ac:dyDescent="0.25">
      <c r="M2256">
        <v>1126.5</v>
      </c>
    </row>
    <row r="2257" spans="13:13" x14ac:dyDescent="0.25">
      <c r="M2257">
        <v>1127</v>
      </c>
    </row>
    <row r="2258" spans="13:13" x14ac:dyDescent="0.25">
      <c r="M2258">
        <v>1127.5</v>
      </c>
    </row>
    <row r="2259" spans="13:13" x14ac:dyDescent="0.25">
      <c r="M2259">
        <v>1128</v>
      </c>
    </row>
    <row r="2260" spans="13:13" x14ac:dyDescent="0.25">
      <c r="M2260">
        <v>1128.5</v>
      </c>
    </row>
    <row r="2261" spans="13:13" x14ac:dyDescent="0.25">
      <c r="M2261">
        <v>1129</v>
      </c>
    </row>
    <row r="2262" spans="13:13" x14ac:dyDescent="0.25">
      <c r="M2262">
        <v>1129.5</v>
      </c>
    </row>
    <row r="2263" spans="13:13" x14ac:dyDescent="0.25">
      <c r="M2263">
        <v>1130</v>
      </c>
    </row>
    <row r="2264" spans="13:13" x14ac:dyDescent="0.25">
      <c r="M2264">
        <v>1130.5</v>
      </c>
    </row>
    <row r="2265" spans="13:13" x14ac:dyDescent="0.25">
      <c r="M2265">
        <v>1131</v>
      </c>
    </row>
    <row r="2266" spans="13:13" x14ac:dyDescent="0.25">
      <c r="M2266">
        <v>1131.5</v>
      </c>
    </row>
    <row r="2267" spans="13:13" x14ac:dyDescent="0.25">
      <c r="M2267">
        <v>1132</v>
      </c>
    </row>
    <row r="2268" spans="13:13" x14ac:dyDescent="0.25">
      <c r="M2268">
        <v>1132.5</v>
      </c>
    </row>
    <row r="2269" spans="13:13" x14ac:dyDescent="0.25">
      <c r="M2269">
        <v>1133</v>
      </c>
    </row>
    <row r="2270" spans="13:13" x14ac:dyDescent="0.25">
      <c r="M2270">
        <v>1133.5</v>
      </c>
    </row>
    <row r="2271" spans="13:13" x14ac:dyDescent="0.25">
      <c r="M2271">
        <v>1134</v>
      </c>
    </row>
    <row r="2272" spans="13:13" x14ac:dyDescent="0.25">
      <c r="M2272">
        <v>1134.5</v>
      </c>
    </row>
    <row r="2273" spans="13:13" x14ac:dyDescent="0.25">
      <c r="M2273">
        <v>1135</v>
      </c>
    </row>
    <row r="2274" spans="13:13" x14ac:dyDescent="0.25">
      <c r="M2274">
        <v>1135.5</v>
      </c>
    </row>
    <row r="2275" spans="13:13" x14ac:dyDescent="0.25">
      <c r="M2275">
        <v>1136</v>
      </c>
    </row>
    <row r="2276" spans="13:13" x14ac:dyDescent="0.25">
      <c r="M2276">
        <v>1136.5</v>
      </c>
    </row>
    <row r="2277" spans="13:13" x14ac:dyDescent="0.25">
      <c r="M2277">
        <v>1137</v>
      </c>
    </row>
    <row r="2278" spans="13:13" x14ac:dyDescent="0.25">
      <c r="M2278">
        <v>1137.5</v>
      </c>
    </row>
    <row r="2279" spans="13:13" x14ac:dyDescent="0.25">
      <c r="M2279">
        <v>1138</v>
      </c>
    </row>
    <row r="2280" spans="13:13" x14ac:dyDescent="0.25">
      <c r="M2280">
        <v>1138.5</v>
      </c>
    </row>
    <row r="2281" spans="13:13" x14ac:dyDescent="0.25">
      <c r="M2281">
        <v>1139</v>
      </c>
    </row>
    <row r="2282" spans="13:13" x14ac:dyDescent="0.25">
      <c r="M2282">
        <v>1139.5</v>
      </c>
    </row>
    <row r="2283" spans="13:13" x14ac:dyDescent="0.25">
      <c r="M2283">
        <v>1140</v>
      </c>
    </row>
    <row r="2284" spans="13:13" x14ac:dyDescent="0.25">
      <c r="M2284">
        <v>1140.5</v>
      </c>
    </row>
    <row r="2285" spans="13:13" x14ac:dyDescent="0.25">
      <c r="M2285">
        <v>1141</v>
      </c>
    </row>
    <row r="2286" spans="13:13" x14ac:dyDescent="0.25">
      <c r="M2286">
        <v>1141.5</v>
      </c>
    </row>
    <row r="2287" spans="13:13" x14ac:dyDescent="0.25">
      <c r="M2287">
        <v>1142</v>
      </c>
    </row>
    <row r="2288" spans="13:13" x14ac:dyDescent="0.25">
      <c r="M2288">
        <v>1142.5</v>
      </c>
    </row>
    <row r="2289" spans="13:13" x14ac:dyDescent="0.25">
      <c r="M2289">
        <v>1143</v>
      </c>
    </row>
    <row r="2290" spans="13:13" x14ac:dyDescent="0.25">
      <c r="M2290">
        <v>1143.5</v>
      </c>
    </row>
    <row r="2291" spans="13:13" x14ac:dyDescent="0.25">
      <c r="M2291">
        <v>1144</v>
      </c>
    </row>
    <row r="2292" spans="13:13" x14ac:dyDescent="0.25">
      <c r="M2292">
        <v>1144.5</v>
      </c>
    </row>
    <row r="2293" spans="13:13" x14ac:dyDescent="0.25">
      <c r="M2293">
        <v>1145</v>
      </c>
    </row>
    <row r="2294" spans="13:13" x14ac:dyDescent="0.25">
      <c r="M2294">
        <v>1145.5</v>
      </c>
    </row>
    <row r="2295" spans="13:13" x14ac:dyDescent="0.25">
      <c r="M2295">
        <v>1146</v>
      </c>
    </row>
    <row r="2296" spans="13:13" x14ac:dyDescent="0.25">
      <c r="M2296">
        <v>1146.5</v>
      </c>
    </row>
    <row r="2297" spans="13:13" x14ac:dyDescent="0.25">
      <c r="M2297">
        <v>1147</v>
      </c>
    </row>
    <row r="2298" spans="13:13" x14ac:dyDescent="0.25">
      <c r="M2298">
        <v>1147.5</v>
      </c>
    </row>
    <row r="2299" spans="13:13" x14ac:dyDescent="0.25">
      <c r="M2299">
        <v>1148</v>
      </c>
    </row>
    <row r="2300" spans="13:13" x14ac:dyDescent="0.25">
      <c r="M2300">
        <v>1148.5</v>
      </c>
    </row>
    <row r="2301" spans="13:13" x14ac:dyDescent="0.25">
      <c r="M2301">
        <v>1149</v>
      </c>
    </row>
    <row r="2302" spans="13:13" x14ac:dyDescent="0.25">
      <c r="M2302">
        <v>1149.5</v>
      </c>
    </row>
    <row r="2303" spans="13:13" x14ac:dyDescent="0.25">
      <c r="M2303">
        <v>1150</v>
      </c>
    </row>
    <row r="2304" spans="13:13" x14ac:dyDescent="0.25">
      <c r="M2304">
        <v>1150.5</v>
      </c>
    </row>
    <row r="2305" spans="13:13" x14ac:dyDescent="0.25">
      <c r="M2305">
        <v>1151</v>
      </c>
    </row>
    <row r="2306" spans="13:13" x14ac:dyDescent="0.25">
      <c r="M2306">
        <v>1151.5</v>
      </c>
    </row>
    <row r="2307" spans="13:13" x14ac:dyDescent="0.25">
      <c r="M2307">
        <v>1152</v>
      </c>
    </row>
    <row r="2308" spans="13:13" x14ac:dyDescent="0.25">
      <c r="M2308">
        <v>1152.5</v>
      </c>
    </row>
    <row r="2309" spans="13:13" x14ac:dyDescent="0.25">
      <c r="M2309">
        <v>1153</v>
      </c>
    </row>
    <row r="2310" spans="13:13" x14ac:dyDescent="0.25">
      <c r="M2310">
        <v>1153.5</v>
      </c>
    </row>
    <row r="2311" spans="13:13" x14ac:dyDescent="0.25">
      <c r="M2311">
        <v>1154</v>
      </c>
    </row>
    <row r="2312" spans="13:13" x14ac:dyDescent="0.25">
      <c r="M2312">
        <v>1154.5</v>
      </c>
    </row>
    <row r="2313" spans="13:13" x14ac:dyDescent="0.25">
      <c r="M2313">
        <v>1155</v>
      </c>
    </row>
    <row r="2314" spans="13:13" x14ac:dyDescent="0.25">
      <c r="M2314">
        <v>1155.5</v>
      </c>
    </row>
    <row r="2315" spans="13:13" x14ac:dyDescent="0.25">
      <c r="M2315">
        <v>1156</v>
      </c>
    </row>
    <row r="2316" spans="13:13" x14ac:dyDescent="0.25">
      <c r="M2316">
        <v>1156.5</v>
      </c>
    </row>
    <row r="2317" spans="13:13" x14ac:dyDescent="0.25">
      <c r="M2317">
        <v>1157</v>
      </c>
    </row>
    <row r="2318" spans="13:13" x14ac:dyDescent="0.25">
      <c r="M2318">
        <v>1157.5</v>
      </c>
    </row>
    <row r="2319" spans="13:13" x14ac:dyDescent="0.25">
      <c r="M2319">
        <v>1158</v>
      </c>
    </row>
    <row r="2320" spans="13:13" x14ac:dyDescent="0.25">
      <c r="M2320">
        <v>1158.5</v>
      </c>
    </row>
    <row r="2321" spans="13:13" x14ac:dyDescent="0.25">
      <c r="M2321">
        <v>1159</v>
      </c>
    </row>
    <row r="2322" spans="13:13" x14ac:dyDescent="0.25">
      <c r="M2322">
        <v>1159.5</v>
      </c>
    </row>
    <row r="2323" spans="13:13" x14ac:dyDescent="0.25">
      <c r="M2323">
        <v>1160</v>
      </c>
    </row>
    <row r="2324" spans="13:13" x14ac:dyDescent="0.25">
      <c r="M2324">
        <v>1160.5</v>
      </c>
    </row>
    <row r="2325" spans="13:13" x14ac:dyDescent="0.25">
      <c r="M2325">
        <v>1161</v>
      </c>
    </row>
    <row r="2326" spans="13:13" x14ac:dyDescent="0.25">
      <c r="M2326">
        <v>1161.5</v>
      </c>
    </row>
    <row r="2327" spans="13:13" x14ac:dyDescent="0.25">
      <c r="M2327">
        <v>1162</v>
      </c>
    </row>
    <row r="2328" spans="13:13" x14ac:dyDescent="0.25">
      <c r="M2328">
        <v>1162.5</v>
      </c>
    </row>
    <row r="2329" spans="13:13" x14ac:dyDescent="0.25">
      <c r="M2329">
        <v>1163</v>
      </c>
    </row>
    <row r="2330" spans="13:13" x14ac:dyDescent="0.25">
      <c r="M2330">
        <v>1163.5</v>
      </c>
    </row>
    <row r="2331" spans="13:13" x14ac:dyDescent="0.25">
      <c r="M2331">
        <v>1164</v>
      </c>
    </row>
    <row r="2332" spans="13:13" x14ac:dyDescent="0.25">
      <c r="M2332">
        <v>1164.5</v>
      </c>
    </row>
    <row r="2333" spans="13:13" x14ac:dyDescent="0.25">
      <c r="M2333">
        <v>1165</v>
      </c>
    </row>
    <row r="2334" spans="13:13" x14ac:dyDescent="0.25">
      <c r="M2334">
        <v>1165.5</v>
      </c>
    </row>
    <row r="2335" spans="13:13" x14ac:dyDescent="0.25">
      <c r="M2335">
        <v>1166</v>
      </c>
    </row>
    <row r="2336" spans="13:13" x14ac:dyDescent="0.25">
      <c r="M2336">
        <v>1166.5</v>
      </c>
    </row>
    <row r="2337" spans="13:13" x14ac:dyDescent="0.25">
      <c r="M2337">
        <v>1167</v>
      </c>
    </row>
    <row r="2338" spans="13:13" x14ac:dyDescent="0.25">
      <c r="M2338">
        <v>1167.5</v>
      </c>
    </row>
    <row r="2339" spans="13:13" x14ac:dyDescent="0.25">
      <c r="M2339">
        <v>1168</v>
      </c>
    </row>
    <row r="2340" spans="13:13" x14ac:dyDescent="0.25">
      <c r="M2340">
        <v>1168.5</v>
      </c>
    </row>
    <row r="2341" spans="13:13" x14ac:dyDescent="0.25">
      <c r="M2341">
        <v>1169</v>
      </c>
    </row>
    <row r="2342" spans="13:13" x14ac:dyDescent="0.25">
      <c r="M2342">
        <v>1169.5</v>
      </c>
    </row>
    <row r="2343" spans="13:13" x14ac:dyDescent="0.25">
      <c r="M2343">
        <v>1170</v>
      </c>
    </row>
    <row r="2344" spans="13:13" x14ac:dyDescent="0.25">
      <c r="M2344">
        <v>1170.5</v>
      </c>
    </row>
    <row r="2345" spans="13:13" x14ac:dyDescent="0.25">
      <c r="M2345">
        <v>1171</v>
      </c>
    </row>
    <row r="2346" spans="13:13" x14ac:dyDescent="0.25">
      <c r="M2346">
        <v>1171.5</v>
      </c>
    </row>
    <row r="2347" spans="13:13" x14ac:dyDescent="0.25">
      <c r="M2347">
        <v>1172</v>
      </c>
    </row>
    <row r="2348" spans="13:13" x14ac:dyDescent="0.25">
      <c r="M2348">
        <v>1172.5</v>
      </c>
    </row>
    <row r="2349" spans="13:13" x14ac:dyDescent="0.25">
      <c r="M2349">
        <v>1173</v>
      </c>
    </row>
    <row r="2350" spans="13:13" x14ac:dyDescent="0.25">
      <c r="M2350">
        <v>1173.5</v>
      </c>
    </row>
    <row r="2351" spans="13:13" x14ac:dyDescent="0.25">
      <c r="M2351">
        <v>1174</v>
      </c>
    </row>
    <row r="2352" spans="13:13" x14ac:dyDescent="0.25">
      <c r="M2352">
        <v>1174.5</v>
      </c>
    </row>
    <row r="2353" spans="13:13" x14ac:dyDescent="0.25">
      <c r="M2353">
        <v>1175</v>
      </c>
    </row>
    <row r="2354" spans="13:13" x14ac:dyDescent="0.25">
      <c r="M2354">
        <v>1175.5</v>
      </c>
    </row>
    <row r="2355" spans="13:13" x14ac:dyDescent="0.25">
      <c r="M2355">
        <v>1176</v>
      </c>
    </row>
    <row r="2356" spans="13:13" x14ac:dyDescent="0.25">
      <c r="M2356">
        <v>1176.5</v>
      </c>
    </row>
    <row r="2357" spans="13:13" x14ac:dyDescent="0.25">
      <c r="M2357">
        <v>1177</v>
      </c>
    </row>
    <row r="2358" spans="13:13" x14ac:dyDescent="0.25">
      <c r="M2358">
        <v>1177.5</v>
      </c>
    </row>
    <row r="2359" spans="13:13" x14ac:dyDescent="0.25">
      <c r="M2359">
        <v>1178</v>
      </c>
    </row>
    <row r="2360" spans="13:13" x14ac:dyDescent="0.25">
      <c r="M2360">
        <v>1178.5</v>
      </c>
    </row>
    <row r="2361" spans="13:13" x14ac:dyDescent="0.25">
      <c r="M2361">
        <v>1179</v>
      </c>
    </row>
    <row r="2362" spans="13:13" x14ac:dyDescent="0.25">
      <c r="M2362">
        <v>1179.5</v>
      </c>
    </row>
    <row r="2363" spans="13:13" x14ac:dyDescent="0.25">
      <c r="M2363">
        <v>1180</v>
      </c>
    </row>
    <row r="2364" spans="13:13" x14ac:dyDescent="0.25">
      <c r="M2364">
        <v>1180.5</v>
      </c>
    </row>
    <row r="2365" spans="13:13" x14ac:dyDescent="0.25">
      <c r="M2365">
        <v>1181</v>
      </c>
    </row>
    <row r="2366" spans="13:13" x14ac:dyDescent="0.25">
      <c r="M2366">
        <v>1181.5</v>
      </c>
    </row>
    <row r="2367" spans="13:13" x14ac:dyDescent="0.25">
      <c r="M2367">
        <v>1182</v>
      </c>
    </row>
    <row r="2368" spans="13:13" x14ac:dyDescent="0.25">
      <c r="M2368">
        <v>1182.5</v>
      </c>
    </row>
    <row r="2369" spans="13:13" x14ac:dyDescent="0.25">
      <c r="M2369">
        <v>1183</v>
      </c>
    </row>
    <row r="2370" spans="13:13" x14ac:dyDescent="0.25">
      <c r="M2370">
        <v>1183.5</v>
      </c>
    </row>
    <row r="2371" spans="13:13" x14ac:dyDescent="0.25">
      <c r="M2371">
        <v>1184</v>
      </c>
    </row>
    <row r="2372" spans="13:13" x14ac:dyDescent="0.25">
      <c r="M2372">
        <v>1184.5</v>
      </c>
    </row>
    <row r="2373" spans="13:13" x14ac:dyDescent="0.25">
      <c r="M2373">
        <v>1185</v>
      </c>
    </row>
    <row r="2374" spans="13:13" x14ac:dyDescent="0.25">
      <c r="M2374">
        <v>1185.5</v>
      </c>
    </row>
    <row r="2375" spans="13:13" x14ac:dyDescent="0.25">
      <c r="M2375">
        <v>1186</v>
      </c>
    </row>
    <row r="2376" spans="13:13" x14ac:dyDescent="0.25">
      <c r="M2376">
        <v>1186.5</v>
      </c>
    </row>
    <row r="2377" spans="13:13" x14ac:dyDescent="0.25">
      <c r="M2377">
        <v>1187</v>
      </c>
    </row>
    <row r="2378" spans="13:13" x14ac:dyDescent="0.25">
      <c r="M2378">
        <v>1187.5</v>
      </c>
    </row>
    <row r="2379" spans="13:13" x14ac:dyDescent="0.25">
      <c r="M2379">
        <v>1188</v>
      </c>
    </row>
    <row r="2380" spans="13:13" x14ac:dyDescent="0.25">
      <c r="M2380">
        <v>1188.5</v>
      </c>
    </row>
    <row r="2381" spans="13:13" x14ac:dyDescent="0.25">
      <c r="M2381">
        <v>1189</v>
      </c>
    </row>
    <row r="2382" spans="13:13" x14ac:dyDescent="0.25">
      <c r="M2382">
        <v>1189.5</v>
      </c>
    </row>
    <row r="2383" spans="13:13" x14ac:dyDescent="0.25">
      <c r="M2383">
        <v>1190</v>
      </c>
    </row>
    <row r="2384" spans="13:13" x14ac:dyDescent="0.25">
      <c r="M2384">
        <v>1190.5</v>
      </c>
    </row>
    <row r="2385" spans="13:13" x14ac:dyDescent="0.25">
      <c r="M2385">
        <v>1191</v>
      </c>
    </row>
    <row r="2386" spans="13:13" x14ac:dyDescent="0.25">
      <c r="M2386">
        <v>1191.5</v>
      </c>
    </row>
    <row r="2387" spans="13:13" x14ac:dyDescent="0.25">
      <c r="M2387">
        <v>1192</v>
      </c>
    </row>
    <row r="2388" spans="13:13" x14ac:dyDescent="0.25">
      <c r="M2388">
        <v>1192.5</v>
      </c>
    </row>
    <row r="2389" spans="13:13" x14ac:dyDescent="0.25">
      <c r="M2389">
        <v>1193</v>
      </c>
    </row>
    <row r="2390" spans="13:13" x14ac:dyDescent="0.25">
      <c r="M2390">
        <v>1193.5</v>
      </c>
    </row>
    <row r="2391" spans="13:13" x14ac:dyDescent="0.25">
      <c r="M2391">
        <v>1194</v>
      </c>
    </row>
    <row r="2392" spans="13:13" x14ac:dyDescent="0.25">
      <c r="M2392">
        <v>1194.5</v>
      </c>
    </row>
    <row r="2393" spans="13:13" x14ac:dyDescent="0.25">
      <c r="M2393">
        <v>1195</v>
      </c>
    </row>
    <row r="2394" spans="13:13" x14ac:dyDescent="0.25">
      <c r="M2394">
        <v>1195.5</v>
      </c>
    </row>
    <row r="2395" spans="13:13" x14ac:dyDescent="0.25">
      <c r="M2395">
        <v>1196</v>
      </c>
    </row>
    <row r="2396" spans="13:13" x14ac:dyDescent="0.25">
      <c r="M2396">
        <v>1196.5</v>
      </c>
    </row>
    <row r="2397" spans="13:13" x14ac:dyDescent="0.25">
      <c r="M2397">
        <v>1197</v>
      </c>
    </row>
    <row r="2398" spans="13:13" x14ac:dyDescent="0.25">
      <c r="M2398">
        <v>1197.5</v>
      </c>
    </row>
    <row r="2399" spans="13:13" x14ac:dyDescent="0.25">
      <c r="M2399">
        <v>1198</v>
      </c>
    </row>
    <row r="2400" spans="13:13" x14ac:dyDescent="0.25">
      <c r="M2400">
        <v>1198.5</v>
      </c>
    </row>
    <row r="2401" spans="13:13" x14ac:dyDescent="0.25">
      <c r="M2401">
        <v>1199</v>
      </c>
    </row>
    <row r="2402" spans="13:13" x14ac:dyDescent="0.25">
      <c r="M2402">
        <v>1199.5</v>
      </c>
    </row>
    <row r="2403" spans="13:13" x14ac:dyDescent="0.25">
      <c r="M2403">
        <v>1200</v>
      </c>
    </row>
    <row r="2404" spans="13:13" x14ac:dyDescent="0.25">
      <c r="M2404">
        <v>1200.5</v>
      </c>
    </row>
    <row r="2405" spans="13:13" x14ac:dyDescent="0.25">
      <c r="M2405">
        <v>1201</v>
      </c>
    </row>
    <row r="2406" spans="13:13" x14ac:dyDescent="0.25">
      <c r="M2406">
        <v>1201.5</v>
      </c>
    </row>
    <row r="2407" spans="13:13" x14ac:dyDescent="0.25">
      <c r="M2407">
        <v>1202</v>
      </c>
    </row>
    <row r="2408" spans="13:13" x14ac:dyDescent="0.25">
      <c r="M2408">
        <v>1202.5</v>
      </c>
    </row>
    <row r="2409" spans="13:13" x14ac:dyDescent="0.25">
      <c r="M2409">
        <v>1203</v>
      </c>
    </row>
    <row r="2410" spans="13:13" x14ac:dyDescent="0.25">
      <c r="M2410">
        <v>1203.5</v>
      </c>
    </row>
    <row r="2411" spans="13:13" x14ac:dyDescent="0.25">
      <c r="M2411">
        <v>1204</v>
      </c>
    </row>
    <row r="2412" spans="13:13" x14ac:dyDescent="0.25">
      <c r="M2412">
        <v>1204.5</v>
      </c>
    </row>
    <row r="2413" spans="13:13" x14ac:dyDescent="0.25">
      <c r="M2413">
        <v>1205</v>
      </c>
    </row>
    <row r="2414" spans="13:13" x14ac:dyDescent="0.25">
      <c r="M2414">
        <v>1205.5</v>
      </c>
    </row>
    <row r="2415" spans="13:13" x14ac:dyDescent="0.25">
      <c r="M2415">
        <v>1206</v>
      </c>
    </row>
    <row r="2416" spans="13:13" x14ac:dyDescent="0.25">
      <c r="M2416">
        <v>1206.5</v>
      </c>
    </row>
    <row r="2417" spans="13:13" x14ac:dyDescent="0.25">
      <c r="M2417">
        <v>1207</v>
      </c>
    </row>
    <row r="2418" spans="13:13" x14ac:dyDescent="0.25">
      <c r="M2418">
        <v>1207.5</v>
      </c>
    </row>
    <row r="2419" spans="13:13" x14ac:dyDescent="0.25">
      <c r="M2419">
        <v>1208</v>
      </c>
    </row>
    <row r="2420" spans="13:13" x14ac:dyDescent="0.25">
      <c r="M2420">
        <v>1208.5</v>
      </c>
    </row>
    <row r="2421" spans="13:13" x14ac:dyDescent="0.25">
      <c r="M2421">
        <v>1209</v>
      </c>
    </row>
    <row r="2422" spans="13:13" x14ac:dyDescent="0.25">
      <c r="M2422">
        <v>1209.5</v>
      </c>
    </row>
    <row r="2423" spans="13:13" x14ac:dyDescent="0.25">
      <c r="M2423">
        <v>1210</v>
      </c>
    </row>
    <row r="2424" spans="13:13" x14ac:dyDescent="0.25">
      <c r="M2424">
        <v>1210.5</v>
      </c>
    </row>
    <row r="2425" spans="13:13" x14ac:dyDescent="0.25">
      <c r="M2425">
        <v>1211</v>
      </c>
    </row>
    <row r="2426" spans="13:13" x14ac:dyDescent="0.25">
      <c r="M2426">
        <v>1211.5</v>
      </c>
    </row>
    <row r="2427" spans="13:13" x14ac:dyDescent="0.25">
      <c r="M2427">
        <v>1212</v>
      </c>
    </row>
    <row r="2428" spans="13:13" x14ac:dyDescent="0.25">
      <c r="M2428">
        <v>1212.5</v>
      </c>
    </row>
    <row r="2429" spans="13:13" x14ac:dyDescent="0.25">
      <c r="M2429">
        <v>1213</v>
      </c>
    </row>
    <row r="2430" spans="13:13" x14ac:dyDescent="0.25">
      <c r="M2430">
        <v>1213.5</v>
      </c>
    </row>
    <row r="2431" spans="13:13" x14ac:dyDescent="0.25">
      <c r="M2431">
        <v>1214</v>
      </c>
    </row>
    <row r="2432" spans="13:13" x14ac:dyDescent="0.25">
      <c r="M2432">
        <v>1214.5</v>
      </c>
    </row>
    <row r="2433" spans="13:13" x14ac:dyDescent="0.25">
      <c r="M2433">
        <v>1215</v>
      </c>
    </row>
    <row r="2434" spans="13:13" x14ac:dyDescent="0.25">
      <c r="M2434">
        <v>1215.5</v>
      </c>
    </row>
    <row r="2435" spans="13:13" x14ac:dyDescent="0.25">
      <c r="M2435">
        <v>1216</v>
      </c>
    </row>
    <row r="2436" spans="13:13" x14ac:dyDescent="0.25">
      <c r="M2436">
        <v>1216.5</v>
      </c>
    </row>
    <row r="2437" spans="13:13" x14ac:dyDescent="0.25">
      <c r="M2437">
        <v>1217</v>
      </c>
    </row>
    <row r="2438" spans="13:13" x14ac:dyDescent="0.25">
      <c r="M2438">
        <v>1217.5</v>
      </c>
    </row>
    <row r="2439" spans="13:13" x14ac:dyDescent="0.25">
      <c r="M2439">
        <v>1218</v>
      </c>
    </row>
    <row r="2440" spans="13:13" x14ac:dyDescent="0.25">
      <c r="M2440">
        <v>1218.5</v>
      </c>
    </row>
    <row r="2441" spans="13:13" x14ac:dyDescent="0.25">
      <c r="M2441">
        <v>1219</v>
      </c>
    </row>
    <row r="2442" spans="13:13" x14ac:dyDescent="0.25">
      <c r="M2442">
        <v>1219.5</v>
      </c>
    </row>
    <row r="2443" spans="13:13" x14ac:dyDescent="0.25">
      <c r="M2443">
        <v>1220</v>
      </c>
    </row>
    <row r="2444" spans="13:13" x14ac:dyDescent="0.25">
      <c r="M2444">
        <v>1220.5</v>
      </c>
    </row>
    <row r="2445" spans="13:13" x14ac:dyDescent="0.25">
      <c r="M2445">
        <v>1221</v>
      </c>
    </row>
    <row r="2446" spans="13:13" x14ac:dyDescent="0.25">
      <c r="M2446">
        <v>1221.5</v>
      </c>
    </row>
    <row r="2447" spans="13:13" x14ac:dyDescent="0.25">
      <c r="M2447">
        <v>1222</v>
      </c>
    </row>
    <row r="2448" spans="13:13" x14ac:dyDescent="0.25">
      <c r="M2448">
        <v>1222.5</v>
      </c>
    </row>
    <row r="2449" spans="13:13" x14ac:dyDescent="0.25">
      <c r="M2449">
        <v>1223</v>
      </c>
    </row>
    <row r="2450" spans="13:13" x14ac:dyDescent="0.25">
      <c r="M2450">
        <v>1223.5</v>
      </c>
    </row>
    <row r="2451" spans="13:13" x14ac:dyDescent="0.25">
      <c r="M2451">
        <v>1224</v>
      </c>
    </row>
    <row r="2452" spans="13:13" x14ac:dyDescent="0.25">
      <c r="M2452">
        <v>1224.5</v>
      </c>
    </row>
    <row r="2453" spans="13:13" x14ac:dyDescent="0.25">
      <c r="M2453">
        <v>1225</v>
      </c>
    </row>
    <row r="2454" spans="13:13" x14ac:dyDescent="0.25">
      <c r="M2454">
        <v>1225.5</v>
      </c>
    </row>
    <row r="2455" spans="13:13" x14ac:dyDescent="0.25">
      <c r="M2455">
        <v>1226</v>
      </c>
    </row>
    <row r="2456" spans="13:13" x14ac:dyDescent="0.25">
      <c r="M2456">
        <v>1226.5</v>
      </c>
    </row>
    <row r="2457" spans="13:13" x14ac:dyDescent="0.25">
      <c r="M2457">
        <v>1227</v>
      </c>
    </row>
    <row r="2458" spans="13:13" x14ac:dyDescent="0.25">
      <c r="M2458">
        <v>1227.5</v>
      </c>
    </row>
    <row r="2459" spans="13:13" x14ac:dyDescent="0.25">
      <c r="M2459">
        <v>1228</v>
      </c>
    </row>
    <row r="2460" spans="13:13" x14ac:dyDescent="0.25">
      <c r="M2460">
        <v>1228.5</v>
      </c>
    </row>
    <row r="2461" spans="13:13" x14ac:dyDescent="0.25">
      <c r="M2461">
        <v>1229</v>
      </c>
    </row>
    <row r="2462" spans="13:13" x14ac:dyDescent="0.25">
      <c r="M2462">
        <v>1229.5</v>
      </c>
    </row>
    <row r="2463" spans="13:13" x14ac:dyDescent="0.25">
      <c r="M2463">
        <v>1230</v>
      </c>
    </row>
    <row r="2464" spans="13:13" x14ac:dyDescent="0.25">
      <c r="M2464">
        <v>1230.5</v>
      </c>
    </row>
    <row r="2465" spans="13:13" x14ac:dyDescent="0.25">
      <c r="M2465">
        <v>1231</v>
      </c>
    </row>
    <row r="2466" spans="13:13" x14ac:dyDescent="0.25">
      <c r="M2466">
        <v>1231.5</v>
      </c>
    </row>
    <row r="2467" spans="13:13" x14ac:dyDescent="0.25">
      <c r="M2467">
        <v>1232</v>
      </c>
    </row>
    <row r="2468" spans="13:13" x14ac:dyDescent="0.25">
      <c r="M2468">
        <v>1232.5</v>
      </c>
    </row>
    <row r="2469" spans="13:13" x14ac:dyDescent="0.25">
      <c r="M2469">
        <v>1233</v>
      </c>
    </row>
    <row r="2470" spans="13:13" x14ac:dyDescent="0.25">
      <c r="M2470">
        <v>1233.5</v>
      </c>
    </row>
    <row r="2471" spans="13:13" x14ac:dyDescent="0.25">
      <c r="M2471">
        <v>1234</v>
      </c>
    </row>
    <row r="2472" spans="13:13" x14ac:dyDescent="0.25">
      <c r="M2472">
        <v>1234.5</v>
      </c>
    </row>
    <row r="2473" spans="13:13" x14ac:dyDescent="0.25">
      <c r="M2473">
        <v>1235</v>
      </c>
    </row>
    <row r="2474" spans="13:13" x14ac:dyDescent="0.25">
      <c r="M2474">
        <v>1235.5</v>
      </c>
    </row>
    <row r="2475" spans="13:13" x14ac:dyDescent="0.25">
      <c r="M2475">
        <v>1236</v>
      </c>
    </row>
    <row r="2476" spans="13:13" x14ac:dyDescent="0.25">
      <c r="M2476">
        <v>1236.5</v>
      </c>
    </row>
    <row r="2477" spans="13:13" x14ac:dyDescent="0.25">
      <c r="M2477">
        <v>1237</v>
      </c>
    </row>
    <row r="2478" spans="13:13" x14ac:dyDescent="0.25">
      <c r="M2478">
        <v>1237.5</v>
      </c>
    </row>
    <row r="2479" spans="13:13" x14ac:dyDescent="0.25">
      <c r="M2479">
        <v>1238</v>
      </c>
    </row>
    <row r="2480" spans="13:13" x14ac:dyDescent="0.25">
      <c r="M2480">
        <v>1238.5</v>
      </c>
    </row>
    <row r="2481" spans="13:13" x14ac:dyDescent="0.25">
      <c r="M2481">
        <v>1239</v>
      </c>
    </row>
    <row r="2482" spans="13:13" x14ac:dyDescent="0.25">
      <c r="M2482">
        <v>1239.5</v>
      </c>
    </row>
    <row r="2483" spans="13:13" x14ac:dyDescent="0.25">
      <c r="M2483">
        <v>1240</v>
      </c>
    </row>
    <row r="2484" spans="13:13" x14ac:dyDescent="0.25">
      <c r="M2484">
        <v>1240.5</v>
      </c>
    </row>
    <row r="2485" spans="13:13" x14ac:dyDescent="0.25">
      <c r="M2485">
        <v>1241</v>
      </c>
    </row>
    <row r="2486" spans="13:13" x14ac:dyDescent="0.25">
      <c r="M2486">
        <v>1241.5</v>
      </c>
    </row>
    <row r="2487" spans="13:13" x14ac:dyDescent="0.25">
      <c r="M2487">
        <v>1242</v>
      </c>
    </row>
    <row r="2488" spans="13:13" x14ac:dyDescent="0.25">
      <c r="M2488">
        <v>1242.5</v>
      </c>
    </row>
    <row r="2489" spans="13:13" x14ac:dyDescent="0.25">
      <c r="M2489">
        <v>1243</v>
      </c>
    </row>
    <row r="2490" spans="13:13" x14ac:dyDescent="0.25">
      <c r="M2490">
        <v>1243.5</v>
      </c>
    </row>
    <row r="2491" spans="13:13" x14ac:dyDescent="0.25">
      <c r="M2491">
        <v>1244</v>
      </c>
    </row>
    <row r="2492" spans="13:13" x14ac:dyDescent="0.25">
      <c r="M2492">
        <v>1244.5</v>
      </c>
    </row>
    <row r="2493" spans="13:13" x14ac:dyDescent="0.25">
      <c r="M2493">
        <v>1245</v>
      </c>
    </row>
    <row r="2494" spans="13:13" x14ac:dyDescent="0.25">
      <c r="M2494">
        <v>1245.5</v>
      </c>
    </row>
    <row r="2495" spans="13:13" x14ac:dyDescent="0.25">
      <c r="M2495">
        <v>1246</v>
      </c>
    </row>
    <row r="2496" spans="13:13" x14ac:dyDescent="0.25">
      <c r="M2496">
        <v>1246.5</v>
      </c>
    </row>
    <row r="2497" spans="13:13" x14ac:dyDescent="0.25">
      <c r="M2497">
        <v>1247</v>
      </c>
    </row>
    <row r="2498" spans="13:13" x14ac:dyDescent="0.25">
      <c r="M2498">
        <v>1247.5</v>
      </c>
    </row>
    <row r="2499" spans="13:13" x14ac:dyDescent="0.25">
      <c r="M2499">
        <v>1248</v>
      </c>
    </row>
    <row r="2500" spans="13:13" x14ac:dyDescent="0.25">
      <c r="M2500">
        <v>1248.5</v>
      </c>
    </row>
    <row r="2501" spans="13:13" x14ac:dyDescent="0.25">
      <c r="M2501">
        <v>1249</v>
      </c>
    </row>
    <row r="2502" spans="13:13" x14ac:dyDescent="0.25">
      <c r="M2502">
        <v>1249.5</v>
      </c>
    </row>
    <row r="2503" spans="13:13" x14ac:dyDescent="0.25">
      <c r="M2503">
        <v>1250</v>
      </c>
    </row>
    <row r="2504" spans="13:13" x14ac:dyDescent="0.25">
      <c r="M2504">
        <v>1250.5</v>
      </c>
    </row>
    <row r="2505" spans="13:13" x14ac:dyDescent="0.25">
      <c r="M2505">
        <v>1251</v>
      </c>
    </row>
    <row r="2506" spans="13:13" x14ac:dyDescent="0.25">
      <c r="M2506">
        <v>1251.5</v>
      </c>
    </row>
    <row r="2507" spans="13:13" x14ac:dyDescent="0.25">
      <c r="M2507">
        <v>1252</v>
      </c>
    </row>
    <row r="2508" spans="13:13" x14ac:dyDescent="0.25">
      <c r="M2508">
        <v>1252.5</v>
      </c>
    </row>
    <row r="2509" spans="13:13" x14ac:dyDescent="0.25">
      <c r="M2509">
        <v>1253</v>
      </c>
    </row>
    <row r="2510" spans="13:13" x14ac:dyDescent="0.25">
      <c r="M2510">
        <v>1253.5</v>
      </c>
    </row>
    <row r="2511" spans="13:13" x14ac:dyDescent="0.25">
      <c r="M2511">
        <v>1254</v>
      </c>
    </row>
    <row r="2512" spans="13:13" x14ac:dyDescent="0.25">
      <c r="M2512">
        <v>1254.5</v>
      </c>
    </row>
    <row r="2513" spans="13:13" x14ac:dyDescent="0.25">
      <c r="M2513">
        <v>1255</v>
      </c>
    </row>
    <row r="2514" spans="13:13" x14ac:dyDescent="0.25">
      <c r="M2514">
        <v>1255.5</v>
      </c>
    </row>
    <row r="2515" spans="13:13" x14ac:dyDescent="0.25">
      <c r="M2515">
        <v>1256</v>
      </c>
    </row>
    <row r="2516" spans="13:13" x14ac:dyDescent="0.25">
      <c r="M2516">
        <v>1256.5</v>
      </c>
    </row>
    <row r="2517" spans="13:13" x14ac:dyDescent="0.25">
      <c r="M2517">
        <v>1257</v>
      </c>
    </row>
    <row r="2518" spans="13:13" x14ac:dyDescent="0.25">
      <c r="M2518">
        <v>1257.5</v>
      </c>
    </row>
    <row r="2519" spans="13:13" x14ac:dyDescent="0.25">
      <c r="M2519">
        <v>1258</v>
      </c>
    </row>
    <row r="2520" spans="13:13" x14ac:dyDescent="0.25">
      <c r="M2520">
        <v>1258.5</v>
      </c>
    </row>
    <row r="2521" spans="13:13" x14ac:dyDescent="0.25">
      <c r="M2521">
        <v>1259</v>
      </c>
    </row>
    <row r="2522" spans="13:13" x14ac:dyDescent="0.25">
      <c r="M2522">
        <v>1259.5</v>
      </c>
    </row>
    <row r="2523" spans="13:13" x14ac:dyDescent="0.25">
      <c r="M2523">
        <v>1260</v>
      </c>
    </row>
    <row r="2524" spans="13:13" x14ac:dyDescent="0.25">
      <c r="M2524">
        <v>1260.5</v>
      </c>
    </row>
    <row r="2525" spans="13:13" x14ac:dyDescent="0.25">
      <c r="M2525">
        <v>1261</v>
      </c>
    </row>
    <row r="2526" spans="13:13" x14ac:dyDescent="0.25">
      <c r="M2526">
        <v>1261.5</v>
      </c>
    </row>
    <row r="2527" spans="13:13" x14ac:dyDescent="0.25">
      <c r="M2527">
        <v>1262</v>
      </c>
    </row>
    <row r="2528" spans="13:13" x14ac:dyDescent="0.25">
      <c r="M2528">
        <v>1262.5</v>
      </c>
    </row>
    <row r="2529" spans="13:13" x14ac:dyDescent="0.25">
      <c r="M2529">
        <v>1263</v>
      </c>
    </row>
    <row r="2530" spans="13:13" x14ac:dyDescent="0.25">
      <c r="M2530">
        <v>1263.5</v>
      </c>
    </row>
    <row r="2531" spans="13:13" x14ac:dyDescent="0.25">
      <c r="M2531">
        <v>1264</v>
      </c>
    </row>
    <row r="2532" spans="13:13" x14ac:dyDescent="0.25">
      <c r="M2532">
        <v>1264.5</v>
      </c>
    </row>
    <row r="2533" spans="13:13" x14ac:dyDescent="0.25">
      <c r="M2533">
        <v>1265</v>
      </c>
    </row>
    <row r="2534" spans="13:13" x14ac:dyDescent="0.25">
      <c r="M2534">
        <v>1265.5</v>
      </c>
    </row>
    <row r="2535" spans="13:13" x14ac:dyDescent="0.25">
      <c r="M2535">
        <v>1266</v>
      </c>
    </row>
    <row r="2536" spans="13:13" x14ac:dyDescent="0.25">
      <c r="M2536">
        <v>1266.5</v>
      </c>
    </row>
    <row r="2537" spans="13:13" x14ac:dyDescent="0.25">
      <c r="M2537">
        <v>1267</v>
      </c>
    </row>
    <row r="2538" spans="13:13" x14ac:dyDescent="0.25">
      <c r="M2538">
        <v>1267.5</v>
      </c>
    </row>
    <row r="2539" spans="13:13" x14ac:dyDescent="0.25">
      <c r="M2539">
        <v>1268</v>
      </c>
    </row>
    <row r="2540" spans="13:13" x14ac:dyDescent="0.25">
      <c r="M2540">
        <v>1268.5</v>
      </c>
    </row>
    <row r="2541" spans="13:13" x14ac:dyDescent="0.25">
      <c r="M2541">
        <v>1269</v>
      </c>
    </row>
    <row r="2542" spans="13:13" x14ac:dyDescent="0.25">
      <c r="M2542">
        <v>1269.5</v>
      </c>
    </row>
    <row r="2543" spans="13:13" x14ac:dyDescent="0.25">
      <c r="M2543">
        <v>1270</v>
      </c>
    </row>
    <row r="2544" spans="13:13" x14ac:dyDescent="0.25">
      <c r="M2544">
        <v>1270.5</v>
      </c>
    </row>
    <row r="2545" spans="13:13" x14ac:dyDescent="0.25">
      <c r="M2545">
        <v>1271</v>
      </c>
    </row>
    <row r="2546" spans="13:13" x14ac:dyDescent="0.25">
      <c r="M2546">
        <v>1271.5</v>
      </c>
    </row>
    <row r="2547" spans="13:13" x14ac:dyDescent="0.25">
      <c r="M2547">
        <v>1272</v>
      </c>
    </row>
    <row r="2548" spans="13:13" x14ac:dyDescent="0.25">
      <c r="M2548">
        <v>1272.5</v>
      </c>
    </row>
    <row r="2549" spans="13:13" x14ac:dyDescent="0.25">
      <c r="M2549">
        <v>1273</v>
      </c>
    </row>
    <row r="2550" spans="13:13" x14ac:dyDescent="0.25">
      <c r="M2550">
        <v>1273.5</v>
      </c>
    </row>
    <row r="2551" spans="13:13" x14ac:dyDescent="0.25">
      <c r="M2551">
        <v>1274</v>
      </c>
    </row>
    <row r="2552" spans="13:13" x14ac:dyDescent="0.25">
      <c r="M2552">
        <v>1274.5</v>
      </c>
    </row>
    <row r="2553" spans="13:13" x14ac:dyDescent="0.25">
      <c r="M2553">
        <v>1275</v>
      </c>
    </row>
    <row r="2554" spans="13:13" x14ac:dyDescent="0.25">
      <c r="M2554">
        <v>1275.5</v>
      </c>
    </row>
    <row r="2555" spans="13:13" x14ac:dyDescent="0.25">
      <c r="M2555">
        <v>1276</v>
      </c>
    </row>
    <row r="2556" spans="13:13" x14ac:dyDescent="0.25">
      <c r="M2556">
        <v>1276.5</v>
      </c>
    </row>
    <row r="2557" spans="13:13" x14ac:dyDescent="0.25">
      <c r="M2557">
        <v>1277</v>
      </c>
    </row>
    <row r="2558" spans="13:13" x14ac:dyDescent="0.25">
      <c r="M2558">
        <v>1277.5</v>
      </c>
    </row>
    <row r="2559" spans="13:13" x14ac:dyDescent="0.25">
      <c r="M2559">
        <v>1278</v>
      </c>
    </row>
    <row r="2560" spans="13:13" x14ac:dyDescent="0.25">
      <c r="M2560">
        <v>1278.5</v>
      </c>
    </row>
    <row r="2561" spans="13:13" x14ac:dyDescent="0.25">
      <c r="M2561">
        <v>1279</v>
      </c>
    </row>
    <row r="2562" spans="13:13" x14ac:dyDescent="0.25">
      <c r="M2562">
        <v>1279.5</v>
      </c>
    </row>
    <row r="2563" spans="13:13" x14ac:dyDescent="0.25">
      <c r="M2563">
        <v>1280</v>
      </c>
    </row>
    <row r="2564" spans="13:13" x14ac:dyDescent="0.25">
      <c r="M2564">
        <v>1280.5</v>
      </c>
    </row>
    <row r="2565" spans="13:13" x14ac:dyDescent="0.25">
      <c r="M2565">
        <v>1281</v>
      </c>
    </row>
    <row r="2566" spans="13:13" x14ac:dyDescent="0.25">
      <c r="M2566">
        <v>1281.5</v>
      </c>
    </row>
    <row r="2567" spans="13:13" x14ac:dyDescent="0.25">
      <c r="M2567">
        <v>1282</v>
      </c>
    </row>
    <row r="2568" spans="13:13" x14ac:dyDescent="0.25">
      <c r="M2568">
        <v>1282.5</v>
      </c>
    </row>
    <row r="2569" spans="13:13" x14ac:dyDescent="0.25">
      <c r="M2569">
        <v>1283</v>
      </c>
    </row>
    <row r="2570" spans="13:13" x14ac:dyDescent="0.25">
      <c r="M2570">
        <v>1283.5</v>
      </c>
    </row>
    <row r="2571" spans="13:13" x14ac:dyDescent="0.25">
      <c r="M2571">
        <v>1284</v>
      </c>
    </row>
    <row r="2572" spans="13:13" x14ac:dyDescent="0.25">
      <c r="M2572">
        <v>1284.5</v>
      </c>
    </row>
    <row r="2573" spans="13:13" x14ac:dyDescent="0.25">
      <c r="M2573">
        <v>1285</v>
      </c>
    </row>
    <row r="2574" spans="13:13" x14ac:dyDescent="0.25">
      <c r="M2574">
        <v>1285.5</v>
      </c>
    </row>
    <row r="2575" spans="13:13" x14ac:dyDescent="0.25">
      <c r="M2575">
        <v>1286</v>
      </c>
    </row>
    <row r="2576" spans="13:13" x14ac:dyDescent="0.25">
      <c r="M2576">
        <v>1286.5</v>
      </c>
    </row>
    <row r="2577" spans="13:13" x14ac:dyDescent="0.25">
      <c r="M2577">
        <v>1287</v>
      </c>
    </row>
    <row r="2578" spans="13:13" x14ac:dyDescent="0.25">
      <c r="M2578">
        <v>1287.5</v>
      </c>
    </row>
    <row r="2579" spans="13:13" x14ac:dyDescent="0.25">
      <c r="M2579">
        <v>1288</v>
      </c>
    </row>
    <row r="2580" spans="13:13" x14ac:dyDescent="0.25">
      <c r="M2580">
        <v>1288.5</v>
      </c>
    </row>
    <row r="2581" spans="13:13" x14ac:dyDescent="0.25">
      <c r="M2581">
        <v>1289</v>
      </c>
    </row>
    <row r="2582" spans="13:13" x14ac:dyDescent="0.25">
      <c r="M2582">
        <v>1289.5</v>
      </c>
    </row>
    <row r="2583" spans="13:13" x14ac:dyDescent="0.25">
      <c r="M2583">
        <v>1290</v>
      </c>
    </row>
    <row r="2584" spans="13:13" x14ac:dyDescent="0.25">
      <c r="M2584">
        <v>1290.5</v>
      </c>
    </row>
    <row r="2585" spans="13:13" x14ac:dyDescent="0.25">
      <c r="M2585">
        <v>1291</v>
      </c>
    </row>
    <row r="2586" spans="13:13" x14ac:dyDescent="0.25">
      <c r="M2586">
        <v>1291.5</v>
      </c>
    </row>
    <row r="2587" spans="13:13" x14ac:dyDescent="0.25">
      <c r="M2587">
        <v>1292</v>
      </c>
    </row>
    <row r="2588" spans="13:13" x14ac:dyDescent="0.25">
      <c r="M2588">
        <v>1292.5</v>
      </c>
    </row>
    <row r="2589" spans="13:13" x14ac:dyDescent="0.25">
      <c r="M2589">
        <v>1293</v>
      </c>
    </row>
    <row r="2590" spans="13:13" x14ac:dyDescent="0.25">
      <c r="M2590">
        <v>1293.5</v>
      </c>
    </row>
    <row r="2591" spans="13:13" x14ac:dyDescent="0.25">
      <c r="M2591">
        <v>1294</v>
      </c>
    </row>
    <row r="2592" spans="13:13" x14ac:dyDescent="0.25">
      <c r="M2592">
        <v>1294.5</v>
      </c>
    </row>
    <row r="2593" spans="13:13" x14ac:dyDescent="0.25">
      <c r="M2593">
        <v>1295</v>
      </c>
    </row>
    <row r="2594" spans="13:13" x14ac:dyDescent="0.25">
      <c r="M2594">
        <v>1295.5</v>
      </c>
    </row>
    <row r="2595" spans="13:13" x14ac:dyDescent="0.25">
      <c r="M2595">
        <v>1296</v>
      </c>
    </row>
    <row r="2596" spans="13:13" x14ac:dyDescent="0.25">
      <c r="M2596">
        <v>1296.5</v>
      </c>
    </row>
    <row r="2597" spans="13:13" x14ac:dyDescent="0.25">
      <c r="M2597">
        <v>1297</v>
      </c>
    </row>
    <row r="2598" spans="13:13" x14ac:dyDescent="0.25">
      <c r="M2598">
        <v>1297.5</v>
      </c>
    </row>
    <row r="2599" spans="13:13" x14ac:dyDescent="0.25">
      <c r="M2599">
        <v>1298</v>
      </c>
    </row>
    <row r="2600" spans="13:13" x14ac:dyDescent="0.25">
      <c r="M2600">
        <v>1298.5</v>
      </c>
    </row>
    <row r="2601" spans="13:13" x14ac:dyDescent="0.25">
      <c r="M2601">
        <v>1299</v>
      </c>
    </row>
    <row r="2602" spans="13:13" x14ac:dyDescent="0.25">
      <c r="M2602">
        <v>1299.5</v>
      </c>
    </row>
    <row r="2603" spans="13:13" x14ac:dyDescent="0.25">
      <c r="M2603">
        <v>1300</v>
      </c>
    </row>
    <row r="2604" spans="13:13" x14ac:dyDescent="0.25">
      <c r="M2604">
        <v>1300.5</v>
      </c>
    </row>
    <row r="2605" spans="13:13" x14ac:dyDescent="0.25">
      <c r="M2605">
        <v>1301</v>
      </c>
    </row>
    <row r="2606" spans="13:13" x14ac:dyDescent="0.25">
      <c r="M2606">
        <v>1301.5</v>
      </c>
    </row>
    <row r="2607" spans="13:13" x14ac:dyDescent="0.25">
      <c r="M2607">
        <v>1302</v>
      </c>
    </row>
    <row r="2608" spans="13:13" x14ac:dyDescent="0.25">
      <c r="M2608">
        <v>1302.5</v>
      </c>
    </row>
    <row r="2609" spans="13:13" x14ac:dyDescent="0.25">
      <c r="M2609">
        <v>1303</v>
      </c>
    </row>
    <row r="2610" spans="13:13" x14ac:dyDescent="0.25">
      <c r="M2610">
        <v>1303.5</v>
      </c>
    </row>
    <row r="2611" spans="13:13" x14ac:dyDescent="0.25">
      <c r="M2611">
        <v>1304</v>
      </c>
    </row>
    <row r="2612" spans="13:13" x14ac:dyDescent="0.25">
      <c r="M2612">
        <v>1304.5</v>
      </c>
    </row>
    <row r="2613" spans="13:13" x14ac:dyDescent="0.25">
      <c r="M2613">
        <v>1305</v>
      </c>
    </row>
    <row r="2614" spans="13:13" x14ac:dyDescent="0.25">
      <c r="M2614">
        <v>1305.5</v>
      </c>
    </row>
    <row r="2615" spans="13:13" x14ac:dyDescent="0.25">
      <c r="M2615">
        <v>1306</v>
      </c>
    </row>
    <row r="2616" spans="13:13" x14ac:dyDescent="0.25">
      <c r="M2616">
        <v>1306.5</v>
      </c>
    </row>
    <row r="2617" spans="13:13" x14ac:dyDescent="0.25">
      <c r="M2617">
        <v>1307</v>
      </c>
    </row>
    <row r="2618" spans="13:13" x14ac:dyDescent="0.25">
      <c r="M2618">
        <v>1307.5</v>
      </c>
    </row>
    <row r="2619" spans="13:13" x14ac:dyDescent="0.25">
      <c r="M2619">
        <v>1308</v>
      </c>
    </row>
    <row r="2620" spans="13:13" x14ac:dyDescent="0.25">
      <c r="M2620">
        <v>1308.5</v>
      </c>
    </row>
    <row r="2621" spans="13:13" x14ac:dyDescent="0.25">
      <c r="M2621">
        <v>1309</v>
      </c>
    </row>
    <row r="2622" spans="13:13" x14ac:dyDescent="0.25">
      <c r="M2622">
        <v>1309.5</v>
      </c>
    </row>
    <row r="2623" spans="13:13" x14ac:dyDescent="0.25">
      <c r="M2623">
        <v>1310</v>
      </c>
    </row>
    <row r="2624" spans="13:13" x14ac:dyDescent="0.25">
      <c r="M2624">
        <v>1310.5</v>
      </c>
    </row>
    <row r="2625" spans="13:13" x14ac:dyDescent="0.25">
      <c r="M2625">
        <v>1311</v>
      </c>
    </row>
    <row r="2626" spans="13:13" x14ac:dyDescent="0.25">
      <c r="M2626">
        <v>1311.5</v>
      </c>
    </row>
    <row r="2627" spans="13:13" x14ac:dyDescent="0.25">
      <c r="M2627">
        <v>1312</v>
      </c>
    </row>
    <row r="2628" spans="13:13" x14ac:dyDescent="0.25">
      <c r="M2628">
        <v>1312.5</v>
      </c>
    </row>
    <row r="2629" spans="13:13" x14ac:dyDescent="0.25">
      <c r="M2629">
        <v>1313</v>
      </c>
    </row>
    <row r="2630" spans="13:13" x14ac:dyDescent="0.25">
      <c r="M2630">
        <v>1313.5</v>
      </c>
    </row>
    <row r="2631" spans="13:13" x14ac:dyDescent="0.25">
      <c r="M2631">
        <v>1314</v>
      </c>
    </row>
    <row r="2632" spans="13:13" x14ac:dyDescent="0.25">
      <c r="M2632">
        <v>1314.5</v>
      </c>
    </row>
    <row r="2633" spans="13:13" x14ac:dyDescent="0.25">
      <c r="M2633">
        <v>1315</v>
      </c>
    </row>
    <row r="2634" spans="13:13" x14ac:dyDescent="0.25">
      <c r="M2634">
        <v>1315.5</v>
      </c>
    </row>
    <row r="2635" spans="13:13" x14ac:dyDescent="0.25">
      <c r="M2635">
        <v>1316</v>
      </c>
    </row>
    <row r="2636" spans="13:13" x14ac:dyDescent="0.25">
      <c r="M2636">
        <v>1316.5</v>
      </c>
    </row>
    <row r="2637" spans="13:13" x14ac:dyDescent="0.25">
      <c r="M2637">
        <v>1317</v>
      </c>
    </row>
    <row r="2638" spans="13:13" x14ac:dyDescent="0.25">
      <c r="M2638">
        <v>1317.5</v>
      </c>
    </row>
    <row r="2639" spans="13:13" x14ac:dyDescent="0.25">
      <c r="M2639">
        <v>1318</v>
      </c>
    </row>
    <row r="2640" spans="13:13" x14ac:dyDescent="0.25">
      <c r="M2640">
        <v>1318.5</v>
      </c>
    </row>
    <row r="2641" spans="13:13" x14ac:dyDescent="0.25">
      <c r="M2641">
        <v>1319</v>
      </c>
    </row>
    <row r="2642" spans="13:13" x14ac:dyDescent="0.25">
      <c r="M2642">
        <v>1319.5</v>
      </c>
    </row>
    <row r="2643" spans="13:13" x14ac:dyDescent="0.25">
      <c r="M2643">
        <v>1320</v>
      </c>
    </row>
    <row r="2644" spans="13:13" x14ac:dyDescent="0.25">
      <c r="M2644">
        <v>1320.5</v>
      </c>
    </row>
    <row r="2645" spans="13:13" x14ac:dyDescent="0.25">
      <c r="M2645">
        <v>1321</v>
      </c>
    </row>
    <row r="2646" spans="13:13" x14ac:dyDescent="0.25">
      <c r="M2646">
        <v>1321.5</v>
      </c>
    </row>
    <row r="2647" spans="13:13" x14ac:dyDescent="0.25">
      <c r="M2647">
        <v>1322</v>
      </c>
    </row>
    <row r="2648" spans="13:13" x14ac:dyDescent="0.25">
      <c r="M2648">
        <v>1322.5</v>
      </c>
    </row>
    <row r="2649" spans="13:13" x14ac:dyDescent="0.25">
      <c r="M2649">
        <v>1323</v>
      </c>
    </row>
    <row r="2650" spans="13:13" x14ac:dyDescent="0.25">
      <c r="M2650">
        <v>1323.5</v>
      </c>
    </row>
    <row r="2651" spans="13:13" x14ac:dyDescent="0.25">
      <c r="M2651">
        <v>1324</v>
      </c>
    </row>
    <row r="2652" spans="13:13" x14ac:dyDescent="0.25">
      <c r="M2652">
        <v>1324.5</v>
      </c>
    </row>
    <row r="2653" spans="13:13" x14ac:dyDescent="0.25">
      <c r="M2653">
        <v>1325</v>
      </c>
    </row>
    <row r="2654" spans="13:13" x14ac:dyDescent="0.25">
      <c r="M2654">
        <v>1325.5</v>
      </c>
    </row>
    <row r="2655" spans="13:13" x14ac:dyDescent="0.25">
      <c r="M2655">
        <v>1326</v>
      </c>
    </row>
    <row r="2656" spans="13:13" x14ac:dyDescent="0.25">
      <c r="M2656">
        <v>1326.5</v>
      </c>
    </row>
    <row r="2657" spans="13:13" x14ac:dyDescent="0.25">
      <c r="M2657">
        <v>1327</v>
      </c>
    </row>
    <row r="2658" spans="13:13" x14ac:dyDescent="0.25">
      <c r="M2658">
        <v>1327.5</v>
      </c>
    </row>
    <row r="2659" spans="13:13" x14ac:dyDescent="0.25">
      <c r="M2659">
        <v>1328</v>
      </c>
    </row>
    <row r="2660" spans="13:13" x14ac:dyDescent="0.25">
      <c r="M2660">
        <v>1328.5</v>
      </c>
    </row>
    <row r="2661" spans="13:13" x14ac:dyDescent="0.25">
      <c r="M2661">
        <v>1329</v>
      </c>
    </row>
    <row r="2662" spans="13:13" x14ac:dyDescent="0.25">
      <c r="M2662">
        <v>1329.5</v>
      </c>
    </row>
    <row r="2663" spans="13:13" x14ac:dyDescent="0.25">
      <c r="M2663">
        <v>1330</v>
      </c>
    </row>
    <row r="2664" spans="13:13" x14ac:dyDescent="0.25">
      <c r="M2664">
        <v>1330.5</v>
      </c>
    </row>
    <row r="2665" spans="13:13" x14ac:dyDescent="0.25">
      <c r="M2665">
        <v>1331</v>
      </c>
    </row>
    <row r="2666" spans="13:13" x14ac:dyDescent="0.25">
      <c r="M2666">
        <v>1331.5</v>
      </c>
    </row>
    <row r="2667" spans="13:13" x14ac:dyDescent="0.25">
      <c r="M2667">
        <v>1332</v>
      </c>
    </row>
    <row r="2668" spans="13:13" x14ac:dyDescent="0.25">
      <c r="M2668">
        <v>1332.5</v>
      </c>
    </row>
    <row r="2669" spans="13:13" x14ac:dyDescent="0.25">
      <c r="M2669">
        <v>1333</v>
      </c>
    </row>
    <row r="2670" spans="13:13" x14ac:dyDescent="0.25">
      <c r="M2670">
        <v>1333.5</v>
      </c>
    </row>
    <row r="2671" spans="13:13" x14ac:dyDescent="0.25">
      <c r="M2671">
        <v>1334</v>
      </c>
    </row>
    <row r="2672" spans="13:13" x14ac:dyDescent="0.25">
      <c r="M2672">
        <v>1334.5</v>
      </c>
    </row>
    <row r="2673" spans="13:13" x14ac:dyDescent="0.25">
      <c r="M2673">
        <v>1335</v>
      </c>
    </row>
    <row r="2674" spans="13:13" x14ac:dyDescent="0.25">
      <c r="M2674">
        <v>1335.5</v>
      </c>
    </row>
    <row r="2675" spans="13:13" x14ac:dyDescent="0.25">
      <c r="M2675">
        <v>1336</v>
      </c>
    </row>
    <row r="2676" spans="13:13" x14ac:dyDescent="0.25">
      <c r="M2676">
        <v>1336.5</v>
      </c>
    </row>
    <row r="2677" spans="13:13" x14ac:dyDescent="0.25">
      <c r="M2677">
        <v>1337</v>
      </c>
    </row>
    <row r="2678" spans="13:13" x14ac:dyDescent="0.25">
      <c r="M2678">
        <v>1337.5</v>
      </c>
    </row>
    <row r="2679" spans="13:13" x14ac:dyDescent="0.25">
      <c r="M2679">
        <v>1338</v>
      </c>
    </row>
    <row r="2680" spans="13:13" x14ac:dyDescent="0.25">
      <c r="M2680">
        <v>1338.5</v>
      </c>
    </row>
    <row r="2681" spans="13:13" x14ac:dyDescent="0.25">
      <c r="M2681">
        <v>1339</v>
      </c>
    </row>
    <row r="2682" spans="13:13" x14ac:dyDescent="0.25">
      <c r="M2682">
        <v>1339.5</v>
      </c>
    </row>
    <row r="2683" spans="13:13" x14ac:dyDescent="0.25">
      <c r="M2683">
        <v>1340</v>
      </c>
    </row>
    <row r="2684" spans="13:13" x14ac:dyDescent="0.25">
      <c r="M2684">
        <v>1340.5</v>
      </c>
    </row>
    <row r="2685" spans="13:13" x14ac:dyDescent="0.25">
      <c r="M2685">
        <v>1341</v>
      </c>
    </row>
    <row r="2686" spans="13:13" x14ac:dyDescent="0.25">
      <c r="M2686">
        <v>1341.5</v>
      </c>
    </row>
    <row r="2687" spans="13:13" x14ac:dyDescent="0.25">
      <c r="M2687">
        <v>1342</v>
      </c>
    </row>
    <row r="2688" spans="13:13" x14ac:dyDescent="0.25">
      <c r="M2688">
        <v>1342.5</v>
      </c>
    </row>
    <row r="2689" spans="13:13" x14ac:dyDescent="0.25">
      <c r="M2689">
        <v>1343</v>
      </c>
    </row>
    <row r="2690" spans="13:13" x14ac:dyDescent="0.25">
      <c r="M2690">
        <v>1343.5</v>
      </c>
    </row>
    <row r="2691" spans="13:13" x14ac:dyDescent="0.25">
      <c r="M2691">
        <v>1344</v>
      </c>
    </row>
    <row r="2692" spans="13:13" x14ac:dyDescent="0.25">
      <c r="M2692">
        <v>1344.5</v>
      </c>
    </row>
    <row r="2693" spans="13:13" x14ac:dyDescent="0.25">
      <c r="M2693">
        <v>1345</v>
      </c>
    </row>
    <row r="2694" spans="13:13" x14ac:dyDescent="0.25">
      <c r="M2694">
        <v>1345.5</v>
      </c>
    </row>
    <row r="2695" spans="13:13" x14ac:dyDescent="0.25">
      <c r="M2695">
        <v>1346</v>
      </c>
    </row>
    <row r="2696" spans="13:13" x14ac:dyDescent="0.25">
      <c r="M2696">
        <v>1346.5</v>
      </c>
    </row>
    <row r="2697" spans="13:13" x14ac:dyDescent="0.25">
      <c r="M2697">
        <v>1347</v>
      </c>
    </row>
    <row r="2698" spans="13:13" x14ac:dyDescent="0.25">
      <c r="M2698">
        <v>1347.5</v>
      </c>
    </row>
    <row r="2699" spans="13:13" x14ac:dyDescent="0.25">
      <c r="M2699">
        <v>1348</v>
      </c>
    </row>
    <row r="2700" spans="13:13" x14ac:dyDescent="0.25">
      <c r="M2700">
        <v>1348.5</v>
      </c>
    </row>
    <row r="2701" spans="13:13" x14ac:dyDescent="0.25">
      <c r="M2701">
        <v>1349</v>
      </c>
    </row>
    <row r="2702" spans="13:13" x14ac:dyDescent="0.25">
      <c r="M2702">
        <v>1349.5</v>
      </c>
    </row>
    <row r="2703" spans="13:13" x14ac:dyDescent="0.25">
      <c r="M2703">
        <v>1350</v>
      </c>
    </row>
    <row r="2704" spans="13:13" x14ac:dyDescent="0.25">
      <c r="M2704">
        <v>1350.5</v>
      </c>
    </row>
    <row r="2705" spans="13:13" x14ac:dyDescent="0.25">
      <c r="M2705">
        <v>1351</v>
      </c>
    </row>
    <row r="2706" spans="13:13" x14ac:dyDescent="0.25">
      <c r="M2706">
        <v>1351.5</v>
      </c>
    </row>
    <row r="2707" spans="13:13" x14ac:dyDescent="0.25">
      <c r="M2707">
        <v>1352</v>
      </c>
    </row>
    <row r="2708" spans="13:13" x14ac:dyDescent="0.25">
      <c r="M2708">
        <v>1352.5</v>
      </c>
    </row>
    <row r="2709" spans="13:13" x14ac:dyDescent="0.25">
      <c r="M2709">
        <v>1353</v>
      </c>
    </row>
    <row r="2710" spans="13:13" x14ac:dyDescent="0.25">
      <c r="M2710">
        <v>1353.5</v>
      </c>
    </row>
    <row r="2711" spans="13:13" x14ac:dyDescent="0.25">
      <c r="M2711">
        <v>1354</v>
      </c>
    </row>
    <row r="2712" spans="13:13" x14ac:dyDescent="0.25">
      <c r="M2712">
        <v>1354.5</v>
      </c>
    </row>
    <row r="2713" spans="13:13" x14ac:dyDescent="0.25">
      <c r="M2713">
        <v>1355</v>
      </c>
    </row>
    <row r="2714" spans="13:13" x14ac:dyDescent="0.25">
      <c r="M2714">
        <v>1355.5</v>
      </c>
    </row>
    <row r="2715" spans="13:13" x14ac:dyDescent="0.25">
      <c r="M2715">
        <v>1356</v>
      </c>
    </row>
    <row r="2716" spans="13:13" x14ac:dyDescent="0.25">
      <c r="M2716">
        <v>1356.5</v>
      </c>
    </row>
    <row r="2717" spans="13:13" x14ac:dyDescent="0.25">
      <c r="M2717">
        <v>1357</v>
      </c>
    </row>
    <row r="2718" spans="13:13" x14ac:dyDescent="0.25">
      <c r="M2718">
        <v>1357.5</v>
      </c>
    </row>
    <row r="2719" spans="13:13" x14ac:dyDescent="0.25">
      <c r="M2719">
        <v>1358</v>
      </c>
    </row>
    <row r="2720" spans="13:13" x14ac:dyDescent="0.25">
      <c r="M2720">
        <v>1358.5</v>
      </c>
    </row>
    <row r="2721" spans="13:13" x14ac:dyDescent="0.25">
      <c r="M2721">
        <v>1359</v>
      </c>
    </row>
    <row r="2722" spans="13:13" x14ac:dyDescent="0.25">
      <c r="M2722">
        <v>1359.5</v>
      </c>
    </row>
    <row r="2723" spans="13:13" x14ac:dyDescent="0.25">
      <c r="M2723">
        <v>1360</v>
      </c>
    </row>
    <row r="2724" spans="13:13" x14ac:dyDescent="0.25">
      <c r="M2724">
        <v>1360.5</v>
      </c>
    </row>
    <row r="2725" spans="13:13" x14ac:dyDescent="0.25">
      <c r="M2725">
        <v>1361</v>
      </c>
    </row>
    <row r="2726" spans="13:13" x14ac:dyDescent="0.25">
      <c r="M2726">
        <v>1361.5</v>
      </c>
    </row>
    <row r="2727" spans="13:13" x14ac:dyDescent="0.25">
      <c r="M2727">
        <v>1362</v>
      </c>
    </row>
    <row r="2728" spans="13:13" x14ac:dyDescent="0.25">
      <c r="M2728">
        <v>1362.5</v>
      </c>
    </row>
    <row r="2729" spans="13:13" x14ac:dyDescent="0.25">
      <c r="M2729">
        <v>1363</v>
      </c>
    </row>
    <row r="2730" spans="13:13" x14ac:dyDescent="0.25">
      <c r="M2730">
        <v>1363.5</v>
      </c>
    </row>
    <row r="2731" spans="13:13" x14ac:dyDescent="0.25">
      <c r="M2731">
        <v>1364</v>
      </c>
    </row>
    <row r="2732" spans="13:13" x14ac:dyDescent="0.25">
      <c r="M2732">
        <v>1364.5</v>
      </c>
    </row>
    <row r="2733" spans="13:13" x14ac:dyDescent="0.25">
      <c r="M2733">
        <v>1365</v>
      </c>
    </row>
    <row r="2734" spans="13:13" x14ac:dyDescent="0.25">
      <c r="M2734">
        <v>1365.5</v>
      </c>
    </row>
    <row r="2735" spans="13:13" x14ac:dyDescent="0.25">
      <c r="M2735">
        <v>1366</v>
      </c>
    </row>
    <row r="2736" spans="13:13" x14ac:dyDescent="0.25">
      <c r="M2736">
        <v>1366.5</v>
      </c>
    </row>
    <row r="2737" spans="13:13" x14ac:dyDescent="0.25">
      <c r="M2737">
        <v>1367</v>
      </c>
    </row>
    <row r="2738" spans="13:13" x14ac:dyDescent="0.25">
      <c r="M2738">
        <v>1367.5</v>
      </c>
    </row>
    <row r="2739" spans="13:13" x14ac:dyDescent="0.25">
      <c r="M2739">
        <v>1368</v>
      </c>
    </row>
    <row r="2740" spans="13:13" x14ac:dyDescent="0.25">
      <c r="M2740">
        <v>1368.5</v>
      </c>
    </row>
    <row r="2741" spans="13:13" x14ac:dyDescent="0.25">
      <c r="M2741">
        <v>1369</v>
      </c>
    </row>
    <row r="2742" spans="13:13" x14ac:dyDescent="0.25">
      <c r="M2742">
        <v>1369.5</v>
      </c>
    </row>
    <row r="2743" spans="13:13" x14ac:dyDescent="0.25">
      <c r="M2743">
        <v>1370</v>
      </c>
    </row>
    <row r="2744" spans="13:13" x14ac:dyDescent="0.25">
      <c r="M2744">
        <v>1370.5</v>
      </c>
    </row>
    <row r="2745" spans="13:13" x14ac:dyDescent="0.25">
      <c r="M2745">
        <v>1371</v>
      </c>
    </row>
    <row r="2746" spans="13:13" x14ac:dyDescent="0.25">
      <c r="M2746">
        <v>1371.5</v>
      </c>
    </row>
    <row r="2747" spans="13:13" x14ac:dyDescent="0.25">
      <c r="M2747">
        <v>1372</v>
      </c>
    </row>
    <row r="2748" spans="13:13" x14ac:dyDescent="0.25">
      <c r="M2748">
        <v>1372.5</v>
      </c>
    </row>
    <row r="2749" spans="13:13" x14ac:dyDescent="0.25">
      <c r="M2749">
        <v>1373</v>
      </c>
    </row>
    <row r="2750" spans="13:13" x14ac:dyDescent="0.25">
      <c r="M2750">
        <v>1373.5</v>
      </c>
    </row>
    <row r="2751" spans="13:13" x14ac:dyDescent="0.25">
      <c r="M2751">
        <v>1374</v>
      </c>
    </row>
    <row r="2752" spans="13:13" x14ac:dyDescent="0.25">
      <c r="M2752">
        <v>1374.5</v>
      </c>
    </row>
    <row r="2753" spans="13:13" x14ac:dyDescent="0.25">
      <c r="M2753">
        <v>1375</v>
      </c>
    </row>
    <row r="2754" spans="13:13" x14ac:dyDescent="0.25">
      <c r="M2754">
        <v>1375.5</v>
      </c>
    </row>
    <row r="2755" spans="13:13" x14ac:dyDescent="0.25">
      <c r="M2755">
        <v>1376</v>
      </c>
    </row>
    <row r="2756" spans="13:13" x14ac:dyDescent="0.25">
      <c r="M2756">
        <v>1376.5</v>
      </c>
    </row>
    <row r="2757" spans="13:13" x14ac:dyDescent="0.25">
      <c r="M2757">
        <v>1377</v>
      </c>
    </row>
    <row r="2758" spans="13:13" x14ac:dyDescent="0.25">
      <c r="M2758">
        <v>1377.5</v>
      </c>
    </row>
    <row r="2759" spans="13:13" x14ac:dyDescent="0.25">
      <c r="M2759">
        <v>1378</v>
      </c>
    </row>
    <row r="2760" spans="13:13" x14ac:dyDescent="0.25">
      <c r="M2760">
        <v>1378.5</v>
      </c>
    </row>
    <row r="2761" spans="13:13" x14ac:dyDescent="0.25">
      <c r="M2761">
        <v>1379</v>
      </c>
    </row>
    <row r="2762" spans="13:13" x14ac:dyDescent="0.25">
      <c r="M2762">
        <v>1379.5</v>
      </c>
    </row>
    <row r="2763" spans="13:13" x14ac:dyDescent="0.25">
      <c r="M2763">
        <v>1380</v>
      </c>
    </row>
    <row r="2764" spans="13:13" x14ac:dyDescent="0.25">
      <c r="M2764">
        <v>1380.5</v>
      </c>
    </row>
    <row r="2765" spans="13:13" x14ac:dyDescent="0.25">
      <c r="M2765">
        <v>1381</v>
      </c>
    </row>
    <row r="2766" spans="13:13" x14ac:dyDescent="0.25">
      <c r="M2766">
        <v>1381.5</v>
      </c>
    </row>
    <row r="2767" spans="13:13" x14ac:dyDescent="0.25">
      <c r="M2767">
        <v>1382</v>
      </c>
    </row>
    <row r="2768" spans="13:13" x14ac:dyDescent="0.25">
      <c r="M2768">
        <v>1382.5</v>
      </c>
    </row>
    <row r="2769" spans="13:13" x14ac:dyDescent="0.25">
      <c r="M2769">
        <v>1383</v>
      </c>
    </row>
    <row r="2770" spans="13:13" x14ac:dyDescent="0.25">
      <c r="M2770">
        <v>1383.5</v>
      </c>
    </row>
    <row r="2771" spans="13:13" x14ac:dyDescent="0.25">
      <c r="M2771">
        <v>1384</v>
      </c>
    </row>
    <row r="2772" spans="13:13" x14ac:dyDescent="0.25">
      <c r="M2772">
        <v>1384.5</v>
      </c>
    </row>
    <row r="2773" spans="13:13" x14ac:dyDescent="0.25">
      <c r="M2773">
        <v>1385</v>
      </c>
    </row>
    <row r="2774" spans="13:13" x14ac:dyDescent="0.25">
      <c r="M2774">
        <v>1385.5</v>
      </c>
    </row>
    <row r="2775" spans="13:13" x14ac:dyDescent="0.25">
      <c r="M2775">
        <v>1386</v>
      </c>
    </row>
    <row r="2776" spans="13:13" x14ac:dyDescent="0.25">
      <c r="M2776">
        <v>1386.5</v>
      </c>
    </row>
    <row r="2777" spans="13:13" x14ac:dyDescent="0.25">
      <c r="M2777">
        <v>1387</v>
      </c>
    </row>
    <row r="2778" spans="13:13" x14ac:dyDescent="0.25">
      <c r="M2778">
        <v>1387.5</v>
      </c>
    </row>
    <row r="2779" spans="13:13" x14ac:dyDescent="0.25">
      <c r="M2779">
        <v>1388</v>
      </c>
    </row>
    <row r="2780" spans="13:13" x14ac:dyDescent="0.25">
      <c r="M2780">
        <v>1388.5</v>
      </c>
    </row>
    <row r="2781" spans="13:13" x14ac:dyDescent="0.25">
      <c r="M2781">
        <v>1389</v>
      </c>
    </row>
    <row r="2782" spans="13:13" x14ac:dyDescent="0.25">
      <c r="M2782">
        <v>1389.5</v>
      </c>
    </row>
    <row r="2783" spans="13:13" x14ac:dyDescent="0.25">
      <c r="M2783">
        <v>1390</v>
      </c>
    </row>
    <row r="2784" spans="13:13" x14ac:dyDescent="0.25">
      <c r="M2784">
        <v>1390.5</v>
      </c>
    </row>
    <row r="2785" spans="13:13" x14ac:dyDescent="0.25">
      <c r="M2785">
        <v>1391</v>
      </c>
    </row>
    <row r="2786" spans="13:13" x14ac:dyDescent="0.25">
      <c r="M2786">
        <v>1391.5</v>
      </c>
    </row>
    <row r="2787" spans="13:13" x14ac:dyDescent="0.25">
      <c r="M2787">
        <v>1392</v>
      </c>
    </row>
    <row r="2788" spans="13:13" x14ac:dyDescent="0.25">
      <c r="M2788">
        <v>1392.5</v>
      </c>
    </row>
    <row r="2789" spans="13:13" x14ac:dyDescent="0.25">
      <c r="M2789">
        <v>1393</v>
      </c>
    </row>
    <row r="2790" spans="13:13" x14ac:dyDescent="0.25">
      <c r="M2790">
        <v>1393.5</v>
      </c>
    </row>
    <row r="2791" spans="13:13" x14ac:dyDescent="0.25">
      <c r="M2791">
        <v>1394</v>
      </c>
    </row>
    <row r="2792" spans="13:13" x14ac:dyDescent="0.25">
      <c r="M2792">
        <v>1394.5</v>
      </c>
    </row>
    <row r="2793" spans="13:13" x14ac:dyDescent="0.25">
      <c r="M2793">
        <v>1395</v>
      </c>
    </row>
    <row r="2794" spans="13:13" x14ac:dyDescent="0.25">
      <c r="M2794">
        <v>1395.5</v>
      </c>
    </row>
    <row r="2795" spans="13:13" x14ac:dyDescent="0.25">
      <c r="M2795">
        <v>1396</v>
      </c>
    </row>
    <row r="2796" spans="13:13" x14ac:dyDescent="0.25">
      <c r="M2796">
        <v>1396.5</v>
      </c>
    </row>
    <row r="2797" spans="13:13" x14ac:dyDescent="0.25">
      <c r="M2797">
        <v>1397</v>
      </c>
    </row>
    <row r="2798" spans="13:13" x14ac:dyDescent="0.25">
      <c r="M2798">
        <v>1397.5</v>
      </c>
    </row>
    <row r="2799" spans="13:13" x14ac:dyDescent="0.25">
      <c r="M2799">
        <v>1398</v>
      </c>
    </row>
    <row r="2800" spans="13:13" x14ac:dyDescent="0.25">
      <c r="M2800">
        <v>1398.5</v>
      </c>
    </row>
    <row r="2801" spans="13:13" x14ac:dyDescent="0.25">
      <c r="M2801">
        <v>1399</v>
      </c>
    </row>
    <row r="2802" spans="13:13" x14ac:dyDescent="0.25">
      <c r="M2802">
        <v>1399.5</v>
      </c>
    </row>
    <row r="2803" spans="13:13" x14ac:dyDescent="0.25">
      <c r="M2803">
        <v>1400</v>
      </c>
    </row>
    <row r="2804" spans="13:13" x14ac:dyDescent="0.25">
      <c r="M2804">
        <v>1400.5</v>
      </c>
    </row>
    <row r="2805" spans="13:13" x14ac:dyDescent="0.25">
      <c r="M2805">
        <v>1401</v>
      </c>
    </row>
    <row r="2806" spans="13:13" x14ac:dyDescent="0.25">
      <c r="M2806">
        <v>1401.5</v>
      </c>
    </row>
    <row r="2807" spans="13:13" x14ac:dyDescent="0.25">
      <c r="M2807">
        <v>1402</v>
      </c>
    </row>
    <row r="2808" spans="13:13" x14ac:dyDescent="0.25">
      <c r="M2808">
        <v>1402.5</v>
      </c>
    </row>
    <row r="2809" spans="13:13" x14ac:dyDescent="0.25">
      <c r="M2809">
        <v>1403</v>
      </c>
    </row>
    <row r="2810" spans="13:13" x14ac:dyDescent="0.25">
      <c r="M2810">
        <v>1403.5</v>
      </c>
    </row>
    <row r="2811" spans="13:13" x14ac:dyDescent="0.25">
      <c r="M2811">
        <v>1404</v>
      </c>
    </row>
    <row r="2812" spans="13:13" x14ac:dyDescent="0.25">
      <c r="M2812">
        <v>1404.5</v>
      </c>
    </row>
    <row r="2813" spans="13:13" x14ac:dyDescent="0.25">
      <c r="M2813">
        <v>1405</v>
      </c>
    </row>
    <row r="2814" spans="13:13" x14ac:dyDescent="0.25">
      <c r="M2814">
        <v>1405.5</v>
      </c>
    </row>
    <row r="2815" spans="13:13" x14ac:dyDescent="0.25">
      <c r="M2815">
        <v>1406</v>
      </c>
    </row>
    <row r="2816" spans="13:13" x14ac:dyDescent="0.25">
      <c r="M2816">
        <v>1406.5</v>
      </c>
    </row>
    <row r="2817" spans="13:13" x14ac:dyDescent="0.25">
      <c r="M2817">
        <v>1407</v>
      </c>
    </row>
    <row r="2818" spans="13:13" x14ac:dyDescent="0.25">
      <c r="M2818">
        <v>1407.5</v>
      </c>
    </row>
    <row r="2819" spans="13:13" x14ac:dyDescent="0.25">
      <c r="M2819">
        <v>1408</v>
      </c>
    </row>
    <row r="2820" spans="13:13" x14ac:dyDescent="0.25">
      <c r="M2820">
        <v>1408.5</v>
      </c>
    </row>
    <row r="2821" spans="13:13" x14ac:dyDescent="0.25">
      <c r="M2821">
        <v>1409</v>
      </c>
    </row>
    <row r="2822" spans="13:13" x14ac:dyDescent="0.25">
      <c r="M2822">
        <v>1409.5</v>
      </c>
    </row>
    <row r="2823" spans="13:13" x14ac:dyDescent="0.25">
      <c r="M2823">
        <v>1410</v>
      </c>
    </row>
    <row r="2824" spans="13:13" x14ac:dyDescent="0.25">
      <c r="M2824">
        <v>1410.5</v>
      </c>
    </row>
    <row r="2825" spans="13:13" x14ac:dyDescent="0.25">
      <c r="M2825">
        <v>1411</v>
      </c>
    </row>
    <row r="2826" spans="13:13" x14ac:dyDescent="0.25">
      <c r="M2826">
        <v>1411.5</v>
      </c>
    </row>
    <row r="2827" spans="13:13" x14ac:dyDescent="0.25">
      <c r="M2827">
        <v>1412</v>
      </c>
    </row>
    <row r="2828" spans="13:13" x14ac:dyDescent="0.25">
      <c r="M2828">
        <v>1412.5</v>
      </c>
    </row>
    <row r="2829" spans="13:13" x14ac:dyDescent="0.25">
      <c r="M2829">
        <v>1413</v>
      </c>
    </row>
    <row r="2830" spans="13:13" x14ac:dyDescent="0.25">
      <c r="M2830">
        <v>1413.5</v>
      </c>
    </row>
    <row r="2831" spans="13:13" x14ac:dyDescent="0.25">
      <c r="M2831">
        <v>1414</v>
      </c>
    </row>
    <row r="2832" spans="13:13" x14ac:dyDescent="0.25">
      <c r="M2832">
        <v>1414.5</v>
      </c>
    </row>
    <row r="2833" spans="13:13" x14ac:dyDescent="0.25">
      <c r="M2833">
        <v>1415</v>
      </c>
    </row>
    <row r="2834" spans="13:13" x14ac:dyDescent="0.25">
      <c r="M2834">
        <v>1415.5</v>
      </c>
    </row>
    <row r="2835" spans="13:13" x14ac:dyDescent="0.25">
      <c r="M2835">
        <v>1416</v>
      </c>
    </row>
    <row r="2836" spans="13:13" x14ac:dyDescent="0.25">
      <c r="M2836">
        <v>1416.5</v>
      </c>
    </row>
    <row r="2837" spans="13:13" x14ac:dyDescent="0.25">
      <c r="M2837">
        <v>1417</v>
      </c>
    </row>
    <row r="2838" spans="13:13" x14ac:dyDescent="0.25">
      <c r="M2838">
        <v>1417.5</v>
      </c>
    </row>
    <row r="2839" spans="13:13" x14ac:dyDescent="0.25">
      <c r="M2839">
        <v>1418</v>
      </c>
    </row>
    <row r="2840" spans="13:13" x14ac:dyDescent="0.25">
      <c r="M2840">
        <v>1418.5</v>
      </c>
    </row>
    <row r="2841" spans="13:13" x14ac:dyDescent="0.25">
      <c r="M2841">
        <v>1419</v>
      </c>
    </row>
    <row r="2842" spans="13:13" x14ac:dyDescent="0.25">
      <c r="M2842">
        <v>1419.5</v>
      </c>
    </row>
    <row r="2843" spans="13:13" x14ac:dyDescent="0.25">
      <c r="M2843">
        <v>1420</v>
      </c>
    </row>
    <row r="2844" spans="13:13" x14ac:dyDescent="0.25">
      <c r="M2844">
        <v>1420.5</v>
      </c>
    </row>
    <row r="2845" spans="13:13" x14ac:dyDescent="0.25">
      <c r="M2845">
        <v>1421</v>
      </c>
    </row>
    <row r="2846" spans="13:13" x14ac:dyDescent="0.25">
      <c r="M2846">
        <v>1421.5</v>
      </c>
    </row>
    <row r="2847" spans="13:13" x14ac:dyDescent="0.25">
      <c r="M2847">
        <v>1422</v>
      </c>
    </row>
    <row r="2848" spans="13:13" x14ac:dyDescent="0.25">
      <c r="M2848">
        <v>1422.5</v>
      </c>
    </row>
    <row r="2849" spans="13:13" x14ac:dyDescent="0.25">
      <c r="M2849">
        <v>1423</v>
      </c>
    </row>
    <row r="2850" spans="13:13" x14ac:dyDescent="0.25">
      <c r="M2850">
        <v>1423.5</v>
      </c>
    </row>
    <row r="2851" spans="13:13" x14ac:dyDescent="0.25">
      <c r="M2851">
        <v>1424</v>
      </c>
    </row>
    <row r="2852" spans="13:13" x14ac:dyDescent="0.25">
      <c r="M2852">
        <v>1424.5</v>
      </c>
    </row>
    <row r="2853" spans="13:13" x14ac:dyDescent="0.25">
      <c r="M2853">
        <v>1425</v>
      </c>
    </row>
    <row r="2854" spans="13:13" x14ac:dyDescent="0.25">
      <c r="M2854">
        <v>1425.5</v>
      </c>
    </row>
    <row r="2855" spans="13:13" x14ac:dyDescent="0.25">
      <c r="M2855">
        <v>1426</v>
      </c>
    </row>
    <row r="2856" spans="13:13" x14ac:dyDescent="0.25">
      <c r="M2856">
        <v>1426.5</v>
      </c>
    </row>
    <row r="2857" spans="13:13" x14ac:dyDescent="0.25">
      <c r="M2857">
        <v>1427</v>
      </c>
    </row>
    <row r="2858" spans="13:13" x14ac:dyDescent="0.25">
      <c r="M2858">
        <v>1427.5</v>
      </c>
    </row>
    <row r="2859" spans="13:13" x14ac:dyDescent="0.25">
      <c r="M2859">
        <v>1428</v>
      </c>
    </row>
    <row r="2860" spans="13:13" x14ac:dyDescent="0.25">
      <c r="M2860">
        <v>1428.5</v>
      </c>
    </row>
    <row r="2861" spans="13:13" x14ac:dyDescent="0.25">
      <c r="M2861">
        <v>1429</v>
      </c>
    </row>
    <row r="2862" spans="13:13" x14ac:dyDescent="0.25">
      <c r="M2862">
        <v>1429.5</v>
      </c>
    </row>
    <row r="2863" spans="13:13" x14ac:dyDescent="0.25">
      <c r="M2863">
        <v>1430</v>
      </c>
    </row>
    <row r="2864" spans="13:13" x14ac:dyDescent="0.25">
      <c r="M2864">
        <v>1430.5</v>
      </c>
    </row>
    <row r="2865" spans="13:13" x14ac:dyDescent="0.25">
      <c r="M2865">
        <v>1431</v>
      </c>
    </row>
    <row r="2866" spans="13:13" x14ac:dyDescent="0.25">
      <c r="M2866">
        <v>1431.5</v>
      </c>
    </row>
    <row r="2867" spans="13:13" x14ac:dyDescent="0.25">
      <c r="M2867">
        <v>1432</v>
      </c>
    </row>
    <row r="2868" spans="13:13" x14ac:dyDescent="0.25">
      <c r="M2868">
        <v>1432.5</v>
      </c>
    </row>
    <row r="2869" spans="13:13" x14ac:dyDescent="0.25">
      <c r="M2869">
        <v>1433</v>
      </c>
    </row>
    <row r="2870" spans="13:13" x14ac:dyDescent="0.25">
      <c r="M2870">
        <v>1433.5</v>
      </c>
    </row>
    <row r="2871" spans="13:13" x14ac:dyDescent="0.25">
      <c r="M2871">
        <v>1434</v>
      </c>
    </row>
    <row r="2872" spans="13:13" x14ac:dyDescent="0.25">
      <c r="M2872">
        <v>1434.5</v>
      </c>
    </row>
    <row r="2873" spans="13:13" x14ac:dyDescent="0.25">
      <c r="M2873">
        <v>1435</v>
      </c>
    </row>
    <row r="2874" spans="13:13" x14ac:dyDescent="0.25">
      <c r="M2874">
        <v>1435.5</v>
      </c>
    </row>
    <row r="2875" spans="13:13" x14ac:dyDescent="0.25">
      <c r="M2875">
        <v>1436</v>
      </c>
    </row>
    <row r="2876" spans="13:13" x14ac:dyDescent="0.25">
      <c r="M2876">
        <v>1436.5</v>
      </c>
    </row>
    <row r="2877" spans="13:13" x14ac:dyDescent="0.25">
      <c r="M2877">
        <v>1437</v>
      </c>
    </row>
    <row r="2878" spans="13:13" x14ac:dyDescent="0.25">
      <c r="M2878">
        <v>1437.5</v>
      </c>
    </row>
    <row r="2879" spans="13:13" x14ac:dyDescent="0.25">
      <c r="M2879">
        <v>1438</v>
      </c>
    </row>
    <row r="2880" spans="13:13" x14ac:dyDescent="0.25">
      <c r="M2880">
        <v>1438.5</v>
      </c>
    </row>
    <row r="2881" spans="13:13" x14ac:dyDescent="0.25">
      <c r="M2881">
        <v>1439</v>
      </c>
    </row>
    <row r="2882" spans="13:13" x14ac:dyDescent="0.25">
      <c r="M2882">
        <v>1439.5</v>
      </c>
    </row>
  </sheetData>
  <phoneticPr fontId="19" type="noConversion"/>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0</xdr:col>
                <xdr:colOff>333375</xdr:colOff>
                <xdr:row>1</xdr:row>
                <xdr:rowOff>104775</xdr:rowOff>
              </from>
              <to>
                <xdr:col>1</xdr:col>
                <xdr:colOff>790575</xdr:colOff>
                <xdr:row>3</xdr:row>
                <xdr:rowOff>114300</xdr:rowOff>
              </to>
            </anchor>
          </controlPr>
        </control>
      </mc:Choice>
      <mc:Fallback>
        <control shapeId="3073"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G73"/>
  <sheetViews>
    <sheetView view="pageBreakPreview" topLeftCell="A47" zoomScale="115" zoomScaleNormal="100" zoomScaleSheetLayoutView="115" workbookViewId="0">
      <selection activeCell="B65" sqref="B65"/>
    </sheetView>
  </sheetViews>
  <sheetFormatPr defaultRowHeight="15" x14ac:dyDescent="0.25"/>
  <cols>
    <col min="1" max="1" width="23.7109375" bestFit="1" customWidth="1"/>
    <col min="2" max="5" width="13.7109375" customWidth="1"/>
    <col min="6" max="6" width="13.5703125" customWidth="1"/>
    <col min="7" max="7" width="27.28515625" customWidth="1"/>
  </cols>
  <sheetData>
    <row r="1" spans="1:7" x14ac:dyDescent="0.25">
      <c r="A1" s="234" t="s">
        <v>10</v>
      </c>
      <c r="B1" s="234"/>
      <c r="C1" s="234"/>
      <c r="D1" s="234"/>
      <c r="E1" s="234"/>
      <c r="F1" s="234"/>
      <c r="G1" s="42"/>
    </row>
    <row r="2" spans="1:7" x14ac:dyDescent="0.25">
      <c r="A2" t="s">
        <v>0</v>
      </c>
      <c r="B2" t="str">
        <f>Input!B7</f>
        <v>Strathcona</v>
      </c>
      <c r="F2" s="2" t="s">
        <v>6</v>
      </c>
      <c r="G2" t="str">
        <f>Input!B54</f>
        <v>Mark Astley</v>
      </c>
    </row>
    <row r="3" spans="1:7" x14ac:dyDescent="0.25">
      <c r="A3" t="s">
        <v>1</v>
      </c>
      <c r="B3" s="135" t="s">
        <v>418</v>
      </c>
      <c r="F3" s="2" t="s">
        <v>7</v>
      </c>
      <c r="G3" t="str">
        <f>Input!B55</f>
        <v>Jason Schneider</v>
      </c>
    </row>
    <row r="4" spans="1:7" x14ac:dyDescent="0.25">
      <c r="A4" t="s">
        <v>2</v>
      </c>
      <c r="B4" t="str">
        <f>Input!B10</f>
        <v>100/08-20-62-3W6</v>
      </c>
      <c r="F4" s="2" t="s">
        <v>8</v>
      </c>
      <c r="G4">
        <v>100.5</v>
      </c>
    </row>
    <row r="5" spans="1:7" x14ac:dyDescent="0.25">
      <c r="A5" t="s">
        <v>3</v>
      </c>
      <c r="B5" s="3" t="str">
        <f>Input!B5</f>
        <v>PRG2001091</v>
      </c>
      <c r="C5" s="228" t="s">
        <v>449</v>
      </c>
      <c r="F5" s="2" t="s">
        <v>9</v>
      </c>
      <c r="G5" s="135" t="s">
        <v>419</v>
      </c>
    </row>
    <row r="6" spans="1:7" x14ac:dyDescent="0.25">
      <c r="A6" t="s">
        <v>4</v>
      </c>
      <c r="B6" t="str">
        <f>Input!B8</f>
        <v>Liner</v>
      </c>
      <c r="F6" s="2" t="s">
        <v>85</v>
      </c>
      <c r="G6" s="227">
        <v>44172</v>
      </c>
    </row>
    <row r="7" spans="1:7" x14ac:dyDescent="0.25">
      <c r="A7" t="s">
        <v>5</v>
      </c>
      <c r="B7" t="str">
        <f>Input!B11</f>
        <v>Grande Prairie</v>
      </c>
    </row>
    <row r="9" spans="1:7" x14ac:dyDescent="0.25">
      <c r="A9" s="234" t="s">
        <v>11</v>
      </c>
      <c r="B9" s="234"/>
      <c r="C9" s="234"/>
      <c r="D9" s="234"/>
      <c r="E9" s="234"/>
      <c r="F9" s="234"/>
      <c r="G9" s="42"/>
    </row>
    <row r="10" spans="1:7" x14ac:dyDescent="0.25">
      <c r="A10" s="45" t="s">
        <v>12</v>
      </c>
      <c r="B10" s="45"/>
      <c r="C10" s="45"/>
      <c r="D10" s="45"/>
      <c r="E10" s="212" t="s">
        <v>178</v>
      </c>
      <c r="F10" s="191" t="s">
        <v>179</v>
      </c>
      <c r="G10" s="193"/>
    </row>
    <row r="11" spans="1:7" x14ac:dyDescent="0.25">
      <c r="A11" s="45" t="s">
        <v>13</v>
      </c>
      <c r="B11" s="45"/>
      <c r="C11" s="45"/>
      <c r="D11" s="45"/>
      <c r="E11" s="210">
        <v>35</v>
      </c>
      <c r="F11" s="210">
        <v>40</v>
      </c>
      <c r="G11" s="210">
        <v>40</v>
      </c>
    </row>
    <row r="12" spans="1:7" x14ac:dyDescent="0.25">
      <c r="A12" s="45" t="s">
        <v>14</v>
      </c>
      <c r="B12" s="45"/>
      <c r="C12" s="45"/>
      <c r="D12" s="45"/>
      <c r="E12" s="215">
        <v>1</v>
      </c>
      <c r="F12" s="215">
        <v>0.8</v>
      </c>
      <c r="G12" s="215">
        <v>0.7</v>
      </c>
    </row>
    <row r="13" spans="1:7" x14ac:dyDescent="0.25">
      <c r="A13" s="45" t="s">
        <v>15</v>
      </c>
      <c r="B13" s="45"/>
      <c r="C13" s="45"/>
      <c r="D13" s="229"/>
      <c r="E13" s="229"/>
      <c r="F13" s="229"/>
      <c r="G13" s="229"/>
    </row>
    <row r="14" spans="1:7" x14ac:dyDescent="0.25">
      <c r="A14" s="45"/>
      <c r="B14" s="45"/>
      <c r="C14" s="45"/>
      <c r="D14" s="229"/>
      <c r="E14" s="229"/>
      <c r="F14" s="229"/>
      <c r="G14" s="229"/>
    </row>
    <row r="15" spans="1:7" x14ac:dyDescent="0.25">
      <c r="A15" s="45"/>
      <c r="B15" s="45"/>
      <c r="C15" s="45"/>
      <c r="D15" s="229"/>
      <c r="E15" s="229"/>
      <c r="F15" s="229"/>
      <c r="G15" s="229"/>
    </row>
    <row r="16" spans="1:7" x14ac:dyDescent="0.25">
      <c r="A16" s="45"/>
      <c r="B16" s="45"/>
      <c r="C16" s="45"/>
      <c r="D16" s="229"/>
      <c r="E16" s="229"/>
      <c r="F16" s="229"/>
      <c r="G16" s="229"/>
    </row>
    <row r="17" spans="1:7" x14ac:dyDescent="0.25">
      <c r="A17" s="235" t="s">
        <v>16</v>
      </c>
      <c r="B17" s="235"/>
      <c r="C17" s="235"/>
      <c r="D17" s="235"/>
      <c r="E17" s="235"/>
      <c r="F17" s="235"/>
      <c r="G17" s="194"/>
    </row>
    <row r="18" spans="1:7" ht="30" customHeight="1" x14ac:dyDescent="0.25">
      <c r="A18" s="45" t="s">
        <v>17</v>
      </c>
      <c r="B18" s="45"/>
      <c r="C18" s="45"/>
      <c r="D18" s="45"/>
      <c r="E18" s="236" t="s">
        <v>444</v>
      </c>
      <c r="F18" s="237"/>
      <c r="G18" s="238"/>
    </row>
    <row r="19" spans="1:7" x14ac:dyDescent="0.25">
      <c r="A19" s="45" t="s">
        <v>18</v>
      </c>
      <c r="B19" s="45"/>
      <c r="C19" s="45"/>
      <c r="D19" s="39" t="s">
        <v>180</v>
      </c>
      <c r="E19" s="212" t="s">
        <v>179</v>
      </c>
      <c r="F19" s="230"/>
      <c r="G19" s="231"/>
    </row>
    <row r="20" spans="1:7" x14ac:dyDescent="0.25">
      <c r="A20" s="45" t="s">
        <v>19</v>
      </c>
      <c r="B20" s="45"/>
      <c r="C20" s="45"/>
      <c r="D20" s="39" t="s">
        <v>180</v>
      </c>
      <c r="E20" s="212" t="s">
        <v>179</v>
      </c>
      <c r="F20" s="230"/>
      <c r="G20" s="231"/>
    </row>
    <row r="21" spans="1:7" x14ac:dyDescent="0.25">
      <c r="A21" s="45" t="s">
        <v>20</v>
      </c>
      <c r="B21" s="45"/>
      <c r="C21" s="45"/>
      <c r="D21" s="212" t="s">
        <v>180</v>
      </c>
      <c r="E21" s="191" t="s">
        <v>179</v>
      </c>
      <c r="F21" s="230"/>
      <c r="G21" s="231"/>
    </row>
    <row r="22" spans="1:7" x14ac:dyDescent="0.25">
      <c r="A22" s="45" t="s">
        <v>21</v>
      </c>
      <c r="B22" s="45"/>
      <c r="C22" s="45"/>
      <c r="D22" s="212" t="s">
        <v>180</v>
      </c>
      <c r="E22" s="191" t="s">
        <v>179</v>
      </c>
      <c r="F22" s="230"/>
      <c r="G22" s="231"/>
    </row>
    <row r="24" spans="1:7" x14ac:dyDescent="0.25">
      <c r="A24" s="234" t="s">
        <v>22</v>
      </c>
      <c r="B24" s="234"/>
      <c r="C24" s="234"/>
      <c r="D24" s="234"/>
      <c r="E24" s="234"/>
      <c r="F24" s="234"/>
      <c r="G24" s="42"/>
    </row>
    <row r="25" spans="1:7" x14ac:dyDescent="0.25">
      <c r="A25" t="s">
        <v>24</v>
      </c>
      <c r="D25" s="212" t="s">
        <v>180</v>
      </c>
      <c r="E25" s="24" t="s">
        <v>179</v>
      </c>
    </row>
    <row r="26" spans="1:7" x14ac:dyDescent="0.25">
      <c r="A26" t="s">
        <v>23</v>
      </c>
      <c r="D26" s="212" t="s">
        <v>181</v>
      </c>
      <c r="E26" s="39" t="s">
        <v>182</v>
      </c>
    </row>
    <row r="27" spans="1:7" x14ac:dyDescent="0.25">
      <c r="A27" t="s">
        <v>25</v>
      </c>
      <c r="D27" s="217" t="s">
        <v>180</v>
      </c>
      <c r="E27" s="39" t="s">
        <v>179</v>
      </c>
    </row>
    <row r="28" spans="1:7" x14ac:dyDescent="0.25">
      <c r="A28" t="s">
        <v>26</v>
      </c>
      <c r="D28" s="268" t="s">
        <v>445</v>
      </c>
      <c r="E28" s="268"/>
      <c r="F28" s="268"/>
      <c r="G28" s="268"/>
    </row>
    <row r="29" spans="1:7" x14ac:dyDescent="0.25">
      <c r="A29" t="s">
        <v>27</v>
      </c>
      <c r="D29" s="268" t="s">
        <v>445</v>
      </c>
      <c r="E29" s="268"/>
      <c r="F29" s="268"/>
      <c r="G29" s="268"/>
    </row>
    <row r="30" spans="1:7" x14ac:dyDescent="0.25">
      <c r="A30" t="s">
        <v>29</v>
      </c>
      <c r="D30" s="268" t="s">
        <v>179</v>
      </c>
      <c r="E30" s="268"/>
      <c r="F30" s="268"/>
      <c r="G30" s="268"/>
    </row>
    <row r="31" spans="1:7" x14ac:dyDescent="0.25">
      <c r="A31" t="s">
        <v>28</v>
      </c>
      <c r="D31" s="272" t="s">
        <v>450</v>
      </c>
      <c r="E31" s="272"/>
      <c r="F31" s="272"/>
      <c r="G31" s="272"/>
    </row>
    <row r="33" spans="1:7" x14ac:dyDescent="0.25">
      <c r="A33" s="234" t="s">
        <v>30</v>
      </c>
      <c r="B33" s="234"/>
      <c r="C33" s="234"/>
      <c r="D33" s="234"/>
      <c r="E33" s="234"/>
      <c r="F33" s="234"/>
      <c r="G33" s="42"/>
    </row>
    <row r="34" spans="1:7" ht="15" customHeight="1" x14ac:dyDescent="0.25">
      <c r="A34" s="15" t="s">
        <v>31</v>
      </c>
      <c r="B34" s="15"/>
      <c r="C34" s="15"/>
      <c r="D34" s="232" t="s">
        <v>432</v>
      </c>
      <c r="E34" s="232"/>
      <c r="F34" s="232"/>
      <c r="G34" s="233"/>
    </row>
    <row r="35" spans="1:7" x14ac:dyDescent="0.25">
      <c r="A35" t="s">
        <v>33</v>
      </c>
      <c r="D35" s="269" t="s">
        <v>435</v>
      </c>
      <c r="E35" s="271"/>
      <c r="F35" s="271"/>
      <c r="G35" s="271"/>
    </row>
    <row r="36" spans="1:7" x14ac:dyDescent="0.25">
      <c r="A36" t="s">
        <v>32</v>
      </c>
      <c r="D36" s="268" t="s">
        <v>434</v>
      </c>
      <c r="E36" s="268"/>
      <c r="F36" s="268"/>
      <c r="G36" s="269"/>
    </row>
    <row r="37" spans="1:7" x14ac:dyDescent="0.25">
      <c r="A37" t="s">
        <v>34</v>
      </c>
      <c r="D37" s="212" t="s">
        <v>180</v>
      </c>
      <c r="E37" s="24" t="s">
        <v>179</v>
      </c>
    </row>
    <row r="38" spans="1:7" x14ac:dyDescent="0.25">
      <c r="A38" t="s">
        <v>35</v>
      </c>
      <c r="D38" s="229">
        <v>0.8</v>
      </c>
      <c r="E38" s="229"/>
      <c r="F38" s="229"/>
      <c r="G38" s="230"/>
    </row>
    <row r="39" spans="1:7" x14ac:dyDescent="0.25">
      <c r="A39" t="s">
        <v>36</v>
      </c>
      <c r="D39" s="270" t="s">
        <v>446</v>
      </c>
      <c r="E39" s="270"/>
      <c r="F39" s="229"/>
      <c r="G39" s="230"/>
    </row>
    <row r="40" spans="1:7" x14ac:dyDescent="0.25">
      <c r="A40" t="s">
        <v>255</v>
      </c>
      <c r="D40" s="230" t="s">
        <v>437</v>
      </c>
      <c r="E40" s="231"/>
      <c r="F40" s="115"/>
      <c r="G40" s="115"/>
    </row>
    <row r="41" spans="1:7" x14ac:dyDescent="0.25">
      <c r="A41" t="s">
        <v>38</v>
      </c>
      <c r="D41" s="40" t="s">
        <v>180</v>
      </c>
      <c r="E41" s="216" t="s">
        <v>179</v>
      </c>
      <c r="F41" t="s">
        <v>438</v>
      </c>
    </row>
    <row r="42" spans="1:7" x14ac:dyDescent="0.25">
      <c r="A42" t="s">
        <v>37</v>
      </c>
      <c r="D42" s="229" t="s">
        <v>433</v>
      </c>
      <c r="E42" s="229"/>
      <c r="F42" s="229"/>
      <c r="G42" s="230"/>
    </row>
    <row r="43" spans="1:7" x14ac:dyDescent="0.25">
      <c r="A43" t="s">
        <v>39</v>
      </c>
      <c r="D43" s="229">
        <v>36</v>
      </c>
      <c r="E43" s="229"/>
      <c r="F43" s="229"/>
      <c r="G43" s="230"/>
    </row>
    <row r="44" spans="1:7" x14ac:dyDescent="0.25">
      <c r="A44" t="s">
        <v>40</v>
      </c>
      <c r="D44" s="229">
        <v>50</v>
      </c>
      <c r="E44" s="229"/>
      <c r="F44" s="229"/>
      <c r="G44" s="230"/>
    </row>
    <row r="45" spans="1:7" x14ac:dyDescent="0.25">
      <c r="A45" t="s">
        <v>385</v>
      </c>
      <c r="D45" s="229">
        <v>679.4</v>
      </c>
      <c r="E45" s="229"/>
      <c r="F45" s="229"/>
      <c r="G45" s="230"/>
    </row>
    <row r="47" spans="1:7" x14ac:dyDescent="0.25">
      <c r="A47" s="234" t="s">
        <v>43</v>
      </c>
      <c r="B47" s="234"/>
      <c r="C47" s="234"/>
      <c r="D47" s="234"/>
      <c r="E47" s="234"/>
      <c r="F47" s="234"/>
      <c r="G47" s="42"/>
    </row>
    <row r="48" spans="1:7" x14ac:dyDescent="0.25">
      <c r="A48" t="s">
        <v>41</v>
      </c>
      <c r="D48" s="229" t="s">
        <v>436</v>
      </c>
      <c r="E48" s="229"/>
      <c r="F48" s="229"/>
      <c r="G48" s="229"/>
    </row>
    <row r="49" spans="1:7" x14ac:dyDescent="0.25">
      <c r="A49" t="s">
        <v>42</v>
      </c>
      <c r="B49" s="240" t="s">
        <v>425</v>
      </c>
      <c r="C49" s="241"/>
      <c r="D49" s="243" t="s">
        <v>428</v>
      </c>
      <c r="E49" s="244"/>
      <c r="F49" s="244"/>
      <c r="G49" s="245"/>
    </row>
    <row r="50" spans="1:7" x14ac:dyDescent="0.25">
      <c r="D50" s="246"/>
      <c r="E50" s="247"/>
      <c r="F50" s="247"/>
      <c r="G50" s="248"/>
    </row>
    <row r="51" spans="1:7" x14ac:dyDescent="0.25">
      <c r="D51" s="249"/>
      <c r="E51" s="250"/>
      <c r="F51" s="250"/>
      <c r="G51" s="251"/>
    </row>
    <row r="52" spans="1:7" x14ac:dyDescent="0.25">
      <c r="A52" t="s">
        <v>44</v>
      </c>
      <c r="E52" s="265" t="s">
        <v>179</v>
      </c>
      <c r="F52" s="265"/>
      <c r="G52" s="265"/>
    </row>
    <row r="53" spans="1:7" ht="30" customHeight="1" x14ac:dyDescent="0.25">
      <c r="A53" t="s">
        <v>45</v>
      </c>
      <c r="D53" s="252" t="s">
        <v>447</v>
      </c>
      <c r="E53" s="252"/>
      <c r="F53" s="252"/>
      <c r="G53" s="252"/>
    </row>
    <row r="54" spans="1:7" x14ac:dyDescent="0.25">
      <c r="A54" t="s">
        <v>386</v>
      </c>
      <c r="D54" s="230" t="s">
        <v>179</v>
      </c>
      <c r="E54" s="242"/>
      <c r="F54" s="242"/>
      <c r="G54" s="231"/>
    </row>
    <row r="55" spans="1:7" x14ac:dyDescent="0.25">
      <c r="A55" t="s">
        <v>46</v>
      </c>
      <c r="D55" s="21" t="s">
        <v>455</v>
      </c>
      <c r="E55" s="21"/>
      <c r="F55" s="21"/>
      <c r="G55" s="21"/>
    </row>
    <row r="57" spans="1:7" x14ac:dyDescent="0.25">
      <c r="A57" s="234" t="s">
        <v>47</v>
      </c>
      <c r="B57" s="234"/>
      <c r="C57" s="234"/>
      <c r="D57" s="234"/>
      <c r="E57" s="234"/>
      <c r="F57" s="234"/>
      <c r="G57" s="42"/>
    </row>
    <row r="58" spans="1:7" x14ac:dyDescent="0.25">
      <c r="A58" t="s">
        <v>48</v>
      </c>
      <c r="E58" s="266" t="s">
        <v>420</v>
      </c>
      <c r="F58" s="266"/>
      <c r="G58" s="266"/>
    </row>
    <row r="59" spans="1:7" ht="29.25" customHeight="1" x14ac:dyDescent="0.25">
      <c r="A59" s="15" t="s">
        <v>422</v>
      </c>
      <c r="E59" s="253" t="s">
        <v>421</v>
      </c>
      <c r="F59" s="254"/>
      <c r="G59" s="255"/>
    </row>
    <row r="60" spans="1:7" x14ac:dyDescent="0.25">
      <c r="A60" t="s">
        <v>49</v>
      </c>
      <c r="D60" s="267" t="s">
        <v>423</v>
      </c>
      <c r="E60" s="267"/>
      <c r="F60" s="267"/>
      <c r="G60" s="267"/>
    </row>
    <row r="61" spans="1:7" x14ac:dyDescent="0.25">
      <c r="A61" t="s">
        <v>50</v>
      </c>
      <c r="D61" s="229" t="s">
        <v>424</v>
      </c>
      <c r="E61" s="229"/>
      <c r="F61" s="229"/>
      <c r="G61" s="229"/>
    </row>
    <row r="62" spans="1:7" x14ac:dyDescent="0.25">
      <c r="A62" t="s">
        <v>426</v>
      </c>
      <c r="D62" s="230" t="s">
        <v>427</v>
      </c>
      <c r="E62" s="242"/>
      <c r="F62" s="242"/>
      <c r="G62" s="231"/>
    </row>
    <row r="63" spans="1:7" ht="15" customHeight="1" x14ac:dyDescent="0.25">
      <c r="A63" t="s">
        <v>51</v>
      </c>
      <c r="D63" s="256" t="s">
        <v>448</v>
      </c>
      <c r="E63" s="257"/>
      <c r="F63" s="257"/>
      <c r="G63" s="258"/>
    </row>
    <row r="64" spans="1:7" x14ac:dyDescent="0.25">
      <c r="D64" s="259"/>
      <c r="E64" s="260"/>
      <c r="F64" s="260"/>
      <c r="G64" s="261"/>
    </row>
    <row r="65" spans="1:7" ht="73.5" customHeight="1" x14ac:dyDescent="0.25">
      <c r="D65" s="262"/>
      <c r="E65" s="263"/>
      <c r="F65" s="263"/>
      <c r="G65" s="264"/>
    </row>
    <row r="66" spans="1:7" x14ac:dyDescent="0.25">
      <c r="A66" t="s">
        <v>52</v>
      </c>
      <c r="C66" s="239" t="s">
        <v>454</v>
      </c>
      <c r="D66" s="239"/>
      <c r="E66" s="239"/>
      <c r="F66" s="239"/>
      <c r="G66" s="239"/>
    </row>
    <row r="67" spans="1:7" x14ac:dyDescent="0.25">
      <c r="C67" s="239"/>
      <c r="D67" s="239"/>
      <c r="E67" s="239"/>
      <c r="F67" s="239"/>
      <c r="G67" s="239"/>
    </row>
    <row r="68" spans="1:7" x14ac:dyDescent="0.25">
      <c r="C68" s="239"/>
      <c r="D68" s="239"/>
      <c r="E68" s="239"/>
      <c r="F68" s="239"/>
      <c r="G68" s="239"/>
    </row>
    <row r="69" spans="1:7" x14ac:dyDescent="0.25">
      <c r="C69" s="239"/>
      <c r="D69" s="239"/>
      <c r="E69" s="239"/>
      <c r="F69" s="239"/>
      <c r="G69" s="239"/>
    </row>
    <row r="70" spans="1:7" x14ac:dyDescent="0.25">
      <c r="C70" s="239"/>
      <c r="D70" s="239"/>
      <c r="E70" s="239"/>
      <c r="F70" s="239"/>
      <c r="G70" s="239"/>
    </row>
    <row r="71" spans="1:7" x14ac:dyDescent="0.25">
      <c r="C71" s="239"/>
      <c r="D71" s="239"/>
      <c r="E71" s="239"/>
      <c r="F71" s="239"/>
      <c r="G71" s="239"/>
    </row>
    <row r="72" spans="1:7" x14ac:dyDescent="0.25">
      <c r="C72" s="239"/>
      <c r="D72" s="239"/>
      <c r="E72" s="239"/>
      <c r="F72" s="239"/>
      <c r="G72" s="239"/>
    </row>
    <row r="73" spans="1:7" x14ac:dyDescent="0.25">
      <c r="A73" s="42" t="s">
        <v>53</v>
      </c>
      <c r="B73" s="42"/>
      <c r="C73" s="42"/>
      <c r="D73" s="42"/>
      <c r="E73" s="42"/>
      <c r="F73" s="42"/>
      <c r="G73" s="42"/>
    </row>
  </sheetData>
  <mergeCells count="55">
    <mergeCell ref="D28:G28"/>
    <mergeCell ref="D43:E43"/>
    <mergeCell ref="F43:G43"/>
    <mergeCell ref="A47:F47"/>
    <mergeCell ref="D36:G36"/>
    <mergeCell ref="D38:E38"/>
    <mergeCell ref="F38:G38"/>
    <mergeCell ref="D39:E39"/>
    <mergeCell ref="D35:G35"/>
    <mergeCell ref="D45:E45"/>
    <mergeCell ref="F45:G45"/>
    <mergeCell ref="D29:G29"/>
    <mergeCell ref="D30:G30"/>
    <mergeCell ref="D31:G31"/>
    <mergeCell ref="F39:G39"/>
    <mergeCell ref="D42:G42"/>
    <mergeCell ref="A57:F57"/>
    <mergeCell ref="D48:E48"/>
    <mergeCell ref="F48:G48"/>
    <mergeCell ref="B49:C49"/>
    <mergeCell ref="C71:G71"/>
    <mergeCell ref="D62:G62"/>
    <mergeCell ref="D49:G51"/>
    <mergeCell ref="D53:G53"/>
    <mergeCell ref="D54:G54"/>
    <mergeCell ref="E59:G59"/>
    <mergeCell ref="D63:G65"/>
    <mergeCell ref="E52:G52"/>
    <mergeCell ref="E58:G58"/>
    <mergeCell ref="D60:G60"/>
    <mergeCell ref="D61:G61"/>
    <mergeCell ref="C72:G72"/>
    <mergeCell ref="C66:G66"/>
    <mergeCell ref="C67:G67"/>
    <mergeCell ref="C68:G68"/>
    <mergeCell ref="C69:G69"/>
    <mergeCell ref="C70:G70"/>
    <mergeCell ref="F21:G21"/>
    <mergeCell ref="A1:F1"/>
    <mergeCell ref="A9:F9"/>
    <mergeCell ref="A17:F17"/>
    <mergeCell ref="A24:F24"/>
    <mergeCell ref="D13:G13"/>
    <mergeCell ref="D14:G14"/>
    <mergeCell ref="D15:G15"/>
    <mergeCell ref="D16:G16"/>
    <mergeCell ref="E18:G18"/>
    <mergeCell ref="F22:G22"/>
    <mergeCell ref="F19:G19"/>
    <mergeCell ref="F20:G20"/>
    <mergeCell ref="D44:E44"/>
    <mergeCell ref="F44:G44"/>
    <mergeCell ref="D40:E40"/>
    <mergeCell ref="D34:G34"/>
    <mergeCell ref="A33:F33"/>
  </mergeCells>
  <pageMargins left="0.25" right="0.25" top="0.75" bottom="0.75" header="0.3" footer="0.3"/>
  <pageSetup scale="87" fitToHeight="0" orientation="portrait" horizontalDpi="300" verticalDpi="300" r:id="rId1"/>
  <rowBreaks count="1" manualBreakCount="1">
    <brk id="4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U103"/>
  <sheetViews>
    <sheetView view="pageBreakPreview" zoomScale="115" zoomScaleNormal="100" zoomScaleSheetLayoutView="115" workbookViewId="0">
      <selection activeCell="E4" sqref="E4:I4"/>
    </sheetView>
  </sheetViews>
  <sheetFormatPr defaultRowHeight="15" x14ac:dyDescent="0.25"/>
  <cols>
    <col min="1" max="1" width="15.28515625" style="1" bestFit="1" customWidth="1"/>
    <col min="2" max="2" width="14.28515625" style="1" bestFit="1" customWidth="1"/>
    <col min="3" max="3" width="12.7109375" style="1" customWidth="1"/>
    <col min="4" max="15" width="9.140625" style="1"/>
    <col min="16" max="16" width="0" style="1" hidden="1" customWidth="1"/>
    <col min="17" max="31" width="8.7109375" style="1" hidden="1" customWidth="1"/>
    <col min="32" max="35" width="0" style="1" hidden="1" customWidth="1"/>
    <col min="36" max="36" width="9.140625" style="1"/>
    <col min="37" max="37" width="16.7109375" style="1" customWidth="1"/>
    <col min="38" max="38" width="17" style="1" customWidth="1"/>
    <col min="39" max="41" width="9.140625" style="1"/>
    <col min="42" max="42" width="15.7109375" style="1" bestFit="1" customWidth="1"/>
    <col min="43" max="16384" width="9.140625" style="1"/>
  </cols>
  <sheetData>
    <row r="1" spans="1:47" x14ac:dyDescent="0.25">
      <c r="A1" s="273" t="s">
        <v>314</v>
      </c>
      <c r="B1" s="273"/>
      <c r="C1"/>
      <c r="D1"/>
      <c r="E1"/>
      <c r="F1"/>
      <c r="G1"/>
      <c r="H1"/>
      <c r="I1"/>
      <c r="L1"/>
      <c r="M1"/>
      <c r="N1"/>
      <c r="O1"/>
      <c r="P1" s="147" t="s">
        <v>350</v>
      </c>
      <c r="Q1" t="s">
        <v>316</v>
      </c>
      <c r="R1" t="s">
        <v>316</v>
      </c>
      <c r="S1" t="s">
        <v>316</v>
      </c>
      <c r="T1" t="s">
        <v>316</v>
      </c>
      <c r="U1" t="s">
        <v>316</v>
      </c>
      <c r="V1" t="s">
        <v>316</v>
      </c>
      <c r="W1" t="s">
        <v>316</v>
      </c>
      <c r="X1" t="s">
        <v>316</v>
      </c>
      <c r="Y1" t="s">
        <v>316</v>
      </c>
      <c r="Z1" t="s">
        <v>323</v>
      </c>
      <c r="AA1" t="s">
        <v>323</v>
      </c>
      <c r="AB1" t="s">
        <v>323</v>
      </c>
      <c r="AC1" t="s">
        <v>323</v>
      </c>
      <c r="AD1" t="s">
        <v>323</v>
      </c>
      <c r="AE1" t="s">
        <v>323</v>
      </c>
      <c r="AF1"/>
      <c r="AG1"/>
      <c r="AH1" s="147" t="s">
        <v>351</v>
      </c>
      <c r="AI1" s="147" t="s">
        <v>352</v>
      </c>
      <c r="AJ1"/>
      <c r="AK1"/>
      <c r="AL1"/>
      <c r="AM1"/>
      <c r="AN1"/>
      <c r="AO1"/>
      <c r="AP1"/>
      <c r="AQ1"/>
      <c r="AR1"/>
      <c r="AS1"/>
    </row>
    <row r="2" spans="1:47" s="6" customFormat="1" ht="30" x14ac:dyDescent="0.25">
      <c r="A2"/>
      <c r="B2" s="138" t="s">
        <v>325</v>
      </c>
      <c r="C2" s="139" t="s">
        <v>326</v>
      </c>
      <c r="D2"/>
      <c r="E2" s="136"/>
      <c r="F2" s="136"/>
      <c r="G2"/>
      <c r="H2"/>
      <c r="I2"/>
      <c r="J2"/>
      <c r="K2"/>
      <c r="L2"/>
      <c r="M2"/>
      <c r="N2"/>
      <c r="P2" s="147"/>
      <c r="Q2" s="6" t="s">
        <v>401</v>
      </c>
      <c r="R2" s="6" t="s">
        <v>401</v>
      </c>
      <c r="S2" s="6" t="s">
        <v>401</v>
      </c>
      <c r="T2" s="6" t="s">
        <v>318</v>
      </c>
      <c r="U2" s="6" t="s">
        <v>318</v>
      </c>
      <c r="V2" s="6" t="s">
        <v>318</v>
      </c>
      <c r="W2" s="6" t="s">
        <v>402</v>
      </c>
      <c r="X2" s="6" t="s">
        <v>402</v>
      </c>
      <c r="Y2" s="6" t="s">
        <v>402</v>
      </c>
      <c r="Z2" s="6" t="s">
        <v>403</v>
      </c>
      <c r="AA2" s="6" t="s">
        <v>403</v>
      </c>
      <c r="AB2" s="6" t="s">
        <v>403</v>
      </c>
      <c r="AC2" s="6" t="s">
        <v>404</v>
      </c>
      <c r="AD2" s="6" t="s">
        <v>404</v>
      </c>
      <c r="AE2" s="6" t="s">
        <v>404</v>
      </c>
      <c r="AH2" s="207" t="e">
        <f>IF(#REF!="Single",IF(P4&gt;VLOOKUP(#REF!,RATE_PRES,5,TRUE),NA(),IF((60*VLOOKUP(#REF!,ENG_TYPE,8,FALSE))/($P4*1000)&gt;VLOOKUP(#REF!,RATE_PRES,3, FALSE),VLOOKUP(#REF!,RATE_PRES,3, FALSE),60*VLOOKUP(#REF!,ENG_TYPE,8,FALSE)/($P4*1000))),IF(P4&gt;VLOOKUP(#REF!,RATE_PRES,6,TRUE),NA(),IF((60*VLOOKUP(#REF!,ENG_TYPE,8,FALSE))/($P4*1000)&gt;VLOOKUP(#REF!,RATE_PRES,3, FALSE),VLOOKUP(#REF!,RATE_PRES,3, FALSE),60*VLOOKUP(#REF!,ENG_TYPE,8,FALSE)/($P4*1000))))</f>
        <v>#REF!</v>
      </c>
      <c r="AI2" s="207" t="e">
        <f>IF(#REF!="Single",IF(P4&gt;VLOOKUP(#REF!,RATE_PRES,5,TRUE),NA(),IF((60*VLOOKUP(#REF!,ENG_TYPE,7,FALSE))/($P4*1000)&gt;VLOOKUP(#REF!,RATE_PRES,3, FALSE),VLOOKUP(#REF!,RATE_PRES,3, FALSE),60*VLOOKUP(#REF!,ENG_TYPE,7,FALSE)/($P4*1000))),IF(P4&gt;VLOOKUP(#REF!,RATE_PRES,6,TRUE),NA(),IF((60*VLOOKUP(#REF!,ENG_TYPE,7,FALSE))/($P4*1000)&gt;VLOOKUP(#REF!,RATE_PRES,3, FALSE),VLOOKUP(#REF!,RATE_PRES,3, FALSE),60*VLOOKUP(#REF!,ENG_TYPE,7,FALSE)/($P4*1000))))</f>
        <v>#REF!</v>
      </c>
      <c r="AK2" s="6" t="s">
        <v>315</v>
      </c>
    </row>
    <row r="3" spans="1:47" x14ac:dyDescent="0.25">
      <c r="A3" t="s">
        <v>328</v>
      </c>
      <c r="B3" s="140">
        <v>0.8</v>
      </c>
      <c r="C3" s="141">
        <v>0.8</v>
      </c>
      <c r="D3" t="s">
        <v>75</v>
      </c>
      <c r="F3" s="208"/>
      <c r="G3" s="208"/>
      <c r="H3" s="208"/>
      <c r="I3" s="208"/>
      <c r="J3"/>
      <c r="K3"/>
      <c r="L3"/>
      <c r="M3"/>
      <c r="N3"/>
      <c r="O3"/>
      <c r="P3" s="147"/>
      <c r="Q3" t="s">
        <v>322</v>
      </c>
      <c r="R3" t="s">
        <v>345</v>
      </c>
      <c r="S3" t="s">
        <v>346</v>
      </c>
      <c r="T3" t="s">
        <v>322</v>
      </c>
      <c r="U3" t="s">
        <v>345</v>
      </c>
      <c r="V3" t="s">
        <v>346</v>
      </c>
      <c r="W3" t="s">
        <v>322</v>
      </c>
      <c r="X3" t="s">
        <v>345</v>
      </c>
      <c r="Y3" t="s">
        <v>346</v>
      </c>
      <c r="Z3" t="s">
        <v>322</v>
      </c>
      <c r="AA3" t="s">
        <v>345</v>
      </c>
      <c r="AB3" t="s">
        <v>346</v>
      </c>
      <c r="AC3" t="s">
        <v>322</v>
      </c>
      <c r="AD3" t="s">
        <v>345</v>
      </c>
      <c r="AE3" t="s">
        <v>346</v>
      </c>
      <c r="AF3"/>
      <c r="AG3"/>
      <c r="AH3" s="148" t="e">
        <f>IF(#REF!="Single",IF(P5&gt;VLOOKUP(#REF!,RATE_PRES,5,TRUE),NA(),IF((60*VLOOKUP(#REF!,ENG_TYPE,8,FALSE))/($P5*1000)&gt;VLOOKUP(#REF!,RATE_PRES,3, FALSE),VLOOKUP(#REF!,RATE_PRES,3, FALSE),60*VLOOKUP(#REF!,ENG_TYPE,8,FALSE)/($P5*1000))),IF(P5&gt;VLOOKUP(#REF!,RATE_PRES,6,TRUE),NA(),IF((60*VLOOKUP(#REF!,ENG_TYPE,8,FALSE))/($P5*1000)&gt;VLOOKUP(#REF!,RATE_PRES,3, FALSE),VLOOKUP(#REF!,RATE_PRES,3, FALSE),60*VLOOKUP(#REF!,ENG_TYPE,8,FALSE)/($P5*1000))))</f>
        <v>#REF!</v>
      </c>
      <c r="AI3" s="148" t="e">
        <f>IF(#REF!="Single",IF(P5&gt;VLOOKUP(#REF!,RATE_PRES,5,TRUE),NA(),IF((60*VLOOKUP(#REF!,ENG_TYPE,7,FALSE))/($P5*1000)&gt;VLOOKUP(#REF!,RATE_PRES,3, FALSE),VLOOKUP(#REF!,RATE_PRES,3, FALSE),60*VLOOKUP(#REF!,ENG_TYPE,7,FALSE)/($P5*1000))),IF(P5&gt;VLOOKUP(#REF!,RATE_PRES,6,TRUE),NA(),IF((60*VLOOKUP(#REF!,ENG_TYPE,7,FALSE))/($P5*1000)&gt;VLOOKUP(#REF!,RATE_PRES,3, FALSE),VLOOKUP(#REF!,RATE_PRES,3, FALSE),60*VLOOKUP(#REF!,ENG_TYPE,7,FALSE)/($P5*1000))))</f>
        <v>#REF!</v>
      </c>
      <c r="AJ3"/>
      <c r="AK3"/>
      <c r="AL3"/>
      <c r="AM3"/>
      <c r="AN3"/>
      <c r="AO3"/>
      <c r="AP3"/>
      <c r="AQ3"/>
      <c r="AR3"/>
      <c r="AS3"/>
    </row>
    <row r="4" spans="1:47" x14ac:dyDescent="0.25">
      <c r="A4" t="s">
        <v>330</v>
      </c>
      <c r="B4" s="140">
        <v>14</v>
      </c>
      <c r="C4" s="141">
        <f>'Prejob Meeting'!D43</f>
        <v>36</v>
      </c>
      <c r="D4" t="s">
        <v>63</v>
      </c>
      <c r="E4" s="275" t="str">
        <f>IF(OR(B3&gt;AM6,C3&gt;AM6),"Twin Required",IF(OR(B3&gt;AM7,C3&gt;AM7),"Discuss Required Rates with Ops",""))</f>
        <v/>
      </c>
      <c r="F4" s="275"/>
      <c r="G4" s="275"/>
      <c r="H4" s="275"/>
      <c r="I4" s="275"/>
      <c r="J4"/>
      <c r="K4"/>
      <c r="L4"/>
      <c r="M4"/>
      <c r="N4"/>
      <c r="O4"/>
      <c r="P4" s="206">
        <v>0.1</v>
      </c>
      <c r="Q4" s="207">
        <f t="shared" ref="Q4:Y13" si="0">IF(Q$1="Single",IF($P4&gt;VLOOKUP(Q$3,RATE_PRES,5,TRUE),NA(),IF((60*VLOOKUP(Q$2,ENG_TYPE,8,FALSE))/($P4*1000)&gt;VLOOKUP(Q$3,RATE_PRES,3, FALSE),VLOOKUP(Q$3,RATE_PRES,3, FALSE),60*VLOOKUP(Q$2,ENG_TYPE,8,FALSE)/($P4*1000))),IF($P4&gt;VLOOKUP(Q$3,RATE_PRES,6,TRUE),NA(),IF((60*VLOOKUP(Q$2,ENG_TYPE,8,FALSE))/($P4*1000)&gt;VLOOKUP(Q$3,RATE_PRES,3, FALSE),VLOOKUP(Q$3,RATE_PRES,3, FALSE),60*VLOOKUP(Q$2,ENG_TYPE,8,FALSE)/($P4*1000))))</f>
        <v>71.664104257999995</v>
      </c>
      <c r="R4" s="207">
        <f t="shared" si="0"/>
        <v>54.868476205999997</v>
      </c>
      <c r="S4" s="207">
        <f t="shared" si="0"/>
        <v>43.354232015999997</v>
      </c>
      <c r="T4" s="207">
        <f t="shared" si="0"/>
        <v>71.664104257999995</v>
      </c>
      <c r="U4" s="207">
        <f t="shared" si="0"/>
        <v>54.868476205999997</v>
      </c>
      <c r="V4" s="207">
        <f t="shared" si="0"/>
        <v>43.354232015999997</v>
      </c>
      <c r="W4" s="207">
        <f t="shared" si="0"/>
        <v>71.664104257999995</v>
      </c>
      <c r="X4" s="207">
        <f t="shared" si="0"/>
        <v>54.868476205999997</v>
      </c>
      <c r="Y4" s="207">
        <f t="shared" si="0"/>
        <v>43.354232015999997</v>
      </c>
      <c r="Z4" s="207">
        <f t="shared" ref="Z4:AE13" si="1">IFERROR(IF(Z$1="Single",IF($P4&gt;VLOOKUP(Z$3,RATE_PRES,5,TRUE),NA(),IF((60*VLOOKUP(Z$2,ENG_TYPE,8,FALSE))/($P4*1000)&gt;VLOOKUP(Z$3,RATE_PRES,3, FALSE),VLOOKUP(Z$3,RATE_PRES,3, FALSE),60*VLOOKUP(Z$2,ENG_TYPE,8,FALSE)/($P4*1000))),IF($P4&gt;VLOOKUP(Z$3,RATE_PRES,6,TRUE),NA(),IF((60*VLOOKUP(Z$2,ENG_TYPE,8,FALSE))/($P4*1000)&gt;VLOOKUP(Z$3,RATE_PRES,3, FALSE),VLOOKUP(Z$3,RATE_PRES,3, FALSE),60*VLOOKUP(Z$2,ENG_TYPE,8,FALSE)/($P4*1000)))),"")</f>
        <v>71.664104257999995</v>
      </c>
      <c r="AA4" s="207">
        <f t="shared" si="1"/>
        <v>54.868476205999997</v>
      </c>
      <c r="AB4" s="207">
        <f t="shared" si="1"/>
        <v>43.354232015999997</v>
      </c>
      <c r="AC4" s="207">
        <f t="shared" si="1"/>
        <v>71.664104257999995</v>
      </c>
      <c r="AD4" s="207">
        <f t="shared" si="1"/>
        <v>54.868476205999997</v>
      </c>
      <c r="AE4" s="207">
        <f t="shared" si="1"/>
        <v>43.354232015999997</v>
      </c>
      <c r="AF4"/>
      <c r="AG4"/>
      <c r="AH4" s="148" t="e">
        <f>IF(#REF!="Single",IF(P6&gt;VLOOKUP(#REF!,RATE_PRES,5,TRUE),NA(),IF((60*VLOOKUP(#REF!,ENG_TYPE,8,FALSE))/($P6*1000)&gt;VLOOKUP(#REF!,RATE_PRES,3, FALSE),VLOOKUP(#REF!,RATE_PRES,3, FALSE),60*VLOOKUP(#REF!,ENG_TYPE,8,FALSE)/($P6*1000))),IF(P6&gt;VLOOKUP(#REF!,RATE_PRES,6,TRUE),NA(),IF((60*VLOOKUP(#REF!,ENG_TYPE,8,FALSE))/($P6*1000)&gt;VLOOKUP(#REF!,RATE_PRES,3, FALSE),VLOOKUP(#REF!,RATE_PRES,3, FALSE),60*VLOOKUP(#REF!,ENG_TYPE,8,FALSE)/($P6*1000))))</f>
        <v>#REF!</v>
      </c>
      <c r="AI4" s="148" t="e">
        <f>IF(#REF!="Single",IF(P6&gt;VLOOKUP(#REF!,RATE_PRES,5,TRUE),NA(),IF((60*VLOOKUP(#REF!,ENG_TYPE,7,FALSE))/($P6*1000)&gt;VLOOKUP(#REF!,RATE_PRES,3, FALSE),VLOOKUP(#REF!,RATE_PRES,3, FALSE),60*VLOOKUP(#REF!,ENG_TYPE,7,FALSE)/($P6*1000))),IF(P6&gt;VLOOKUP(#REF!,RATE_PRES,6,TRUE),NA(),IF((60*VLOOKUP(#REF!,ENG_TYPE,7,FALSE))/($P6*1000)&gt;VLOOKUP(#REF!,RATE_PRES,3, FALSE),VLOOKUP(#REF!,RATE_PRES,3, FALSE),60*VLOOKUP(#REF!,ENG_TYPE,7,FALSE)/($P6*1000))))</f>
        <v>#REF!</v>
      </c>
      <c r="AJ4"/>
      <c r="AK4" t="str">
        <f>"Design Mixing HHP @ "&amp;B3&amp;D3&amp;" &amp; "&amp;B4&amp;D4</f>
        <v>Design Mixing HHP @ 0.8m³/min &amp; 14MPa</v>
      </c>
      <c r="AL4"/>
      <c r="AM4"/>
      <c r="AN4"/>
      <c r="AO4"/>
      <c r="AP4"/>
      <c r="AQ4"/>
      <c r="AR4"/>
      <c r="AS4"/>
    </row>
    <row r="5" spans="1:47" x14ac:dyDescent="0.25">
      <c r="A5" s="137" t="s">
        <v>337</v>
      </c>
      <c r="B5" s="142">
        <f>B3*B4*1000*1.341/60</f>
        <v>250.32000000000005</v>
      </c>
      <c r="C5" s="143">
        <f>C3*C4*1000*1.341/60</f>
        <v>643.67999999999995</v>
      </c>
      <c r="D5" s="137" t="s">
        <v>338</v>
      </c>
      <c r="E5" s="275" t="str">
        <f>IF(C4&gt;AM19,"Discuss Pressure Required with Ops",IF(C4&gt;AM20,"You Need 3.5 Plungers",IF(C4&gt;AM21,"Don’t use 4.5 Plungers","")))</f>
        <v/>
      </c>
      <c r="F5" s="275"/>
      <c r="G5" s="275"/>
      <c r="H5" s="275"/>
      <c r="I5" s="275"/>
      <c r="J5"/>
      <c r="K5"/>
      <c r="L5"/>
      <c r="M5"/>
      <c r="N5"/>
      <c r="O5"/>
      <c r="P5" s="149">
        <f>P4+0.05</f>
        <v>0.15000000000000002</v>
      </c>
      <c r="Q5" s="207">
        <f t="shared" si="0"/>
        <v>71.664104257999995</v>
      </c>
      <c r="R5" s="207">
        <f t="shared" si="0"/>
        <v>54.868476205999997</v>
      </c>
      <c r="S5" s="207">
        <f t="shared" si="0"/>
        <v>43.354232015999997</v>
      </c>
      <c r="T5" s="207">
        <f t="shared" si="0"/>
        <v>71.664104257999995</v>
      </c>
      <c r="U5" s="207">
        <f t="shared" si="0"/>
        <v>54.868476205999997</v>
      </c>
      <c r="V5" s="207">
        <f t="shared" si="0"/>
        <v>43.354232015999997</v>
      </c>
      <c r="W5" s="207">
        <f t="shared" si="0"/>
        <v>71.664104257999995</v>
      </c>
      <c r="X5" s="207">
        <f t="shared" si="0"/>
        <v>54.868476205999997</v>
      </c>
      <c r="Y5" s="207">
        <f t="shared" si="0"/>
        <v>43.354232015999997</v>
      </c>
      <c r="Z5" s="207">
        <f t="shared" si="1"/>
        <v>71.664104257999995</v>
      </c>
      <c r="AA5" s="207">
        <f t="shared" si="1"/>
        <v>54.868476205999997</v>
      </c>
      <c r="AB5" s="207">
        <f t="shared" si="1"/>
        <v>43.354232015999997</v>
      </c>
      <c r="AC5" s="207">
        <f t="shared" si="1"/>
        <v>71.664104257999995</v>
      </c>
      <c r="AD5" s="207">
        <f t="shared" si="1"/>
        <v>54.868476205999997</v>
      </c>
      <c r="AE5" s="207">
        <f t="shared" si="1"/>
        <v>43.354232015999997</v>
      </c>
      <c r="AF5"/>
      <c r="AG5"/>
      <c r="AH5" s="148" t="e">
        <f>IF(#REF!="Single",IF(P7&gt;VLOOKUP(#REF!,RATE_PRES,5,TRUE),NA(),IF((60*VLOOKUP(#REF!,ENG_TYPE,8,FALSE))/($P7*1000)&gt;VLOOKUP(#REF!,RATE_PRES,3, FALSE),VLOOKUP(#REF!,RATE_PRES,3, FALSE),60*VLOOKUP(#REF!,ENG_TYPE,8,FALSE)/($P7*1000))),IF(P7&gt;VLOOKUP(#REF!,RATE_PRES,6,TRUE),NA(),IF((60*VLOOKUP(#REF!,ENG_TYPE,8,FALSE))/($P7*1000)&gt;VLOOKUP(#REF!,RATE_PRES,3, FALSE),VLOOKUP(#REF!,RATE_PRES,3, FALSE),60*VLOOKUP(#REF!,ENG_TYPE,8,FALSE)/($P7*1000))))</f>
        <v>#REF!</v>
      </c>
      <c r="AI5" s="148" t="e">
        <f>IF(#REF!="Single",IF(P7&gt;VLOOKUP(#REF!,RATE_PRES,5,TRUE),NA(),IF((60*VLOOKUP(#REF!,ENG_TYPE,7,FALSE))/($P7*1000)&gt;VLOOKUP(#REF!,RATE_PRES,3, FALSE),VLOOKUP(#REF!,RATE_PRES,3, FALSE),60*VLOOKUP(#REF!,ENG_TYPE,7,FALSE)/($P7*1000))),IF(P7&gt;VLOOKUP(#REF!,RATE_PRES,6,TRUE),NA(),IF((60*VLOOKUP(#REF!,ENG_TYPE,7,FALSE))/($P7*1000)&gt;VLOOKUP(#REF!,RATE_PRES,3, FALSE),VLOOKUP(#REF!,RATE_PRES,3, FALSE),60*VLOOKUP(#REF!,ENG_TYPE,7,FALSE)/($P7*1000))))</f>
        <v>#REF!</v>
      </c>
      <c r="AJ5"/>
      <c r="AK5" t="s">
        <v>319</v>
      </c>
      <c r="AL5" t="s">
        <v>320</v>
      </c>
      <c r="AM5" t="s">
        <v>321</v>
      </c>
      <c r="AN5"/>
      <c r="AO5" t="str">
        <f>"Design Displacing HHP @ "&amp;C3&amp;D3&amp;" &amp; "&amp;C4&amp;D4</f>
        <v>Design Displacing HHP @ 0.8m³/min &amp; 36MPa</v>
      </c>
      <c r="AP5"/>
      <c r="AQ5"/>
      <c r="AR5"/>
      <c r="AS5"/>
    </row>
    <row r="6" spans="1:47" x14ac:dyDescent="0.25">
      <c r="A6"/>
      <c r="B6"/>
      <c r="C6"/>
      <c r="D6"/>
      <c r="E6" s="136"/>
      <c r="F6" s="136"/>
      <c r="G6"/>
      <c r="H6"/>
      <c r="I6"/>
      <c r="J6"/>
      <c r="K6"/>
      <c r="L6"/>
      <c r="M6"/>
      <c r="N6"/>
      <c r="O6"/>
      <c r="P6" s="149">
        <f t="shared" ref="P6:P44" si="2">P5+0.05</f>
        <v>0.2</v>
      </c>
      <c r="Q6" s="207">
        <f t="shared" si="0"/>
        <v>71.664104257999995</v>
      </c>
      <c r="R6" s="207">
        <f t="shared" si="0"/>
        <v>54.868476205999997</v>
      </c>
      <c r="S6" s="207">
        <f t="shared" si="0"/>
        <v>43.354232015999997</v>
      </c>
      <c r="T6" s="207">
        <f t="shared" si="0"/>
        <v>71.664104257999995</v>
      </c>
      <c r="U6" s="207">
        <f t="shared" si="0"/>
        <v>54.868476205999997</v>
      </c>
      <c r="V6" s="207">
        <f t="shared" si="0"/>
        <v>43.354232015999997</v>
      </c>
      <c r="W6" s="207">
        <f t="shared" si="0"/>
        <v>71.664104257999995</v>
      </c>
      <c r="X6" s="207">
        <f t="shared" si="0"/>
        <v>54.868476205999997</v>
      </c>
      <c r="Y6" s="207">
        <f t="shared" si="0"/>
        <v>43.354232015999997</v>
      </c>
      <c r="Z6" s="207">
        <f t="shared" si="1"/>
        <v>71.664104257999995</v>
      </c>
      <c r="AA6" s="207">
        <f t="shared" si="1"/>
        <v>54.868476205999997</v>
      </c>
      <c r="AB6" s="207">
        <f t="shared" si="1"/>
        <v>43.354232015999997</v>
      </c>
      <c r="AC6" s="207">
        <f t="shared" si="1"/>
        <v>71.664104257999995</v>
      </c>
      <c r="AD6" s="207">
        <f t="shared" si="1"/>
        <v>54.868476205999997</v>
      </c>
      <c r="AE6" s="207">
        <f t="shared" si="1"/>
        <v>43.354232015999997</v>
      </c>
      <c r="AF6"/>
      <c r="AG6"/>
      <c r="AH6" s="148" t="e">
        <f>IF(#REF!="Single",IF(P8&gt;VLOOKUP(#REF!,RATE_PRES,5,TRUE),NA(),IF((60*VLOOKUP(#REF!,ENG_TYPE,8,FALSE))/($P8*1000)&gt;VLOOKUP(#REF!,RATE_PRES,3, FALSE),VLOOKUP(#REF!,RATE_PRES,3, FALSE),60*VLOOKUP(#REF!,ENG_TYPE,8,FALSE)/($P8*1000))),IF(P8&gt;VLOOKUP(#REF!,RATE_PRES,6,TRUE),NA(),IF((60*VLOOKUP(#REF!,ENG_TYPE,8,FALSE))/($P8*1000)&gt;VLOOKUP(#REF!,RATE_PRES,3, FALSE),VLOOKUP(#REF!,RATE_PRES,3, FALSE),60*VLOOKUP(#REF!,ENG_TYPE,8,FALSE)/($P8*1000))))</f>
        <v>#REF!</v>
      </c>
      <c r="AI6" s="148" t="e">
        <f>IF(#REF!="Single",IF(P8&gt;VLOOKUP(#REF!,RATE_PRES,5,TRUE),NA(),IF((60*VLOOKUP(#REF!,ENG_TYPE,7,FALSE))/($P8*1000)&gt;VLOOKUP(#REF!,RATE_PRES,3, FALSE),VLOOKUP(#REF!,RATE_PRES,3, FALSE),60*VLOOKUP(#REF!,ENG_TYPE,7,FALSE)/($P8*1000))),IF(P8&gt;VLOOKUP(#REF!,RATE_PRES,6,TRUE),NA(),IF((60*VLOOKUP(#REF!,ENG_TYPE,7,FALSE))/($P8*1000)&gt;VLOOKUP(#REF!,RATE_PRES,3, FALSE),VLOOKUP(#REF!,RATE_PRES,3, FALSE),60*VLOOKUP(#REF!,ENG_TYPE,7,FALSE)/($P8*1000))))</f>
        <v>#REF!</v>
      </c>
      <c r="AJ6"/>
      <c r="AK6" t="s">
        <v>323</v>
      </c>
      <c r="AL6" s="137" t="s">
        <v>324</v>
      </c>
      <c r="AM6">
        <v>1.2</v>
      </c>
      <c r="AN6" t="s">
        <v>75</v>
      </c>
      <c r="AO6"/>
      <c r="AP6"/>
      <c r="AQ6"/>
      <c r="AR6"/>
      <c r="AS6"/>
    </row>
    <row r="7" spans="1:47" x14ac:dyDescent="0.25">
      <c r="A7"/>
      <c r="B7"/>
      <c r="C7"/>
      <c r="D7"/>
      <c r="E7" s="136"/>
      <c r="F7" s="136"/>
      <c r="G7"/>
      <c r="H7"/>
      <c r="I7"/>
      <c r="J7"/>
      <c r="K7"/>
      <c r="L7"/>
      <c r="M7"/>
      <c r="N7"/>
      <c r="O7"/>
      <c r="P7" s="149">
        <f t="shared" si="2"/>
        <v>0.25</v>
      </c>
      <c r="Q7" s="207">
        <f t="shared" si="0"/>
        <v>71.664104257999995</v>
      </c>
      <c r="R7" s="207">
        <f t="shared" si="0"/>
        <v>54.868476205999997</v>
      </c>
      <c r="S7" s="207">
        <f t="shared" si="0"/>
        <v>43.354232015999997</v>
      </c>
      <c r="T7" s="207">
        <f t="shared" si="0"/>
        <v>71.664104257999995</v>
      </c>
      <c r="U7" s="207">
        <f t="shared" si="0"/>
        <v>54.868476205999997</v>
      </c>
      <c r="V7" s="207">
        <f t="shared" si="0"/>
        <v>43.354232015999997</v>
      </c>
      <c r="W7" s="207">
        <f t="shared" si="0"/>
        <v>71.664104257999995</v>
      </c>
      <c r="X7" s="207">
        <f t="shared" si="0"/>
        <v>54.868476205999997</v>
      </c>
      <c r="Y7" s="207">
        <f t="shared" si="0"/>
        <v>43.354232015999997</v>
      </c>
      <c r="Z7" s="207">
        <f t="shared" si="1"/>
        <v>71.664104257999995</v>
      </c>
      <c r="AA7" s="207">
        <f t="shared" si="1"/>
        <v>54.868476205999997</v>
      </c>
      <c r="AB7" s="207">
        <f t="shared" si="1"/>
        <v>43.354232015999997</v>
      </c>
      <c r="AC7" s="207">
        <f t="shared" si="1"/>
        <v>71.664104257999995</v>
      </c>
      <c r="AD7" s="207">
        <f t="shared" si="1"/>
        <v>54.868476205999997</v>
      </c>
      <c r="AE7" s="207">
        <f t="shared" si="1"/>
        <v>43.354232015999997</v>
      </c>
      <c r="AF7"/>
      <c r="AG7"/>
      <c r="AH7" s="148" t="e">
        <f>IF(#REF!="Single",IF(P9&gt;VLOOKUP(#REF!,RATE_PRES,5,TRUE),NA(),IF((60*VLOOKUP(#REF!,ENG_TYPE,8,FALSE))/($P9*1000)&gt;VLOOKUP(#REF!,RATE_PRES,3, FALSE),VLOOKUP(#REF!,RATE_PRES,3, FALSE),60*VLOOKUP(#REF!,ENG_TYPE,8,FALSE)/($P9*1000))),IF(P9&gt;VLOOKUP(#REF!,RATE_PRES,6,TRUE),NA(),IF((60*VLOOKUP(#REF!,ENG_TYPE,8,FALSE))/($P9*1000)&gt;VLOOKUP(#REF!,RATE_PRES,3, FALSE),VLOOKUP(#REF!,RATE_PRES,3, FALSE),60*VLOOKUP(#REF!,ENG_TYPE,8,FALSE)/($P9*1000))))</f>
        <v>#REF!</v>
      </c>
      <c r="AI7" s="148" t="e">
        <f>IF(#REF!="Single",IF(P9&gt;VLOOKUP(#REF!,RATE_PRES,5,TRUE),NA(),IF((60*VLOOKUP(#REF!,ENG_TYPE,7,FALSE))/($P9*1000)&gt;VLOOKUP(#REF!,RATE_PRES,3, FALSE),VLOOKUP(#REF!,RATE_PRES,3, FALSE),60*VLOOKUP(#REF!,ENG_TYPE,7,FALSE)/($P9*1000))),IF(P9&gt;VLOOKUP(#REF!,RATE_PRES,6,TRUE),NA(),IF((60*VLOOKUP(#REF!,ENG_TYPE,7,FALSE))/($P9*1000)&gt;VLOOKUP(#REF!,RATE_PRES,3, FALSE),VLOOKUP(#REF!,RATE_PRES,3, FALSE),60*VLOOKUP(#REF!,ENG_TYPE,7,FALSE)/($P9*1000))))</f>
        <v>#REF!</v>
      </c>
      <c r="AJ7"/>
      <c r="AK7" t="s">
        <v>316</v>
      </c>
      <c r="AL7" s="137" t="s">
        <v>327</v>
      </c>
      <c r="AM7">
        <v>2</v>
      </c>
      <c r="AN7" t="s">
        <v>75</v>
      </c>
      <c r="AO7"/>
      <c r="AP7"/>
      <c r="AQ7"/>
      <c r="AR7"/>
      <c r="AS7"/>
    </row>
    <row r="8" spans="1:47" x14ac:dyDescent="0.25">
      <c r="A8"/>
      <c r="B8"/>
      <c r="C8"/>
      <c r="D8"/>
      <c r="E8" s="136"/>
      <c r="F8" s="136"/>
      <c r="G8"/>
      <c r="H8"/>
      <c r="I8"/>
      <c r="J8"/>
      <c r="K8"/>
      <c r="L8"/>
      <c r="M8"/>
      <c r="N8"/>
      <c r="O8"/>
      <c r="P8" s="149">
        <f t="shared" si="2"/>
        <v>0.3</v>
      </c>
      <c r="Q8" s="207">
        <f t="shared" si="0"/>
        <v>71.664104257999995</v>
      </c>
      <c r="R8" s="207">
        <f t="shared" si="0"/>
        <v>54.868476205999997</v>
      </c>
      <c r="S8" s="207">
        <f t="shared" si="0"/>
        <v>43.354232015999997</v>
      </c>
      <c r="T8" s="207">
        <f t="shared" si="0"/>
        <v>71.664104257999995</v>
      </c>
      <c r="U8" s="207">
        <f t="shared" si="0"/>
        <v>54.868476205999997</v>
      </c>
      <c r="V8" s="207">
        <f t="shared" si="0"/>
        <v>43.354232015999997</v>
      </c>
      <c r="W8" s="207">
        <f t="shared" si="0"/>
        <v>71.664104257999995</v>
      </c>
      <c r="X8" s="207">
        <f t="shared" si="0"/>
        <v>54.868476205999997</v>
      </c>
      <c r="Y8" s="207">
        <f t="shared" si="0"/>
        <v>43.354232015999997</v>
      </c>
      <c r="Z8" s="207">
        <f t="shared" si="1"/>
        <v>61.4</v>
      </c>
      <c r="AA8" s="207">
        <f t="shared" si="1"/>
        <v>54.868476205999997</v>
      </c>
      <c r="AB8" s="207">
        <f t="shared" si="1"/>
        <v>43.354232015999997</v>
      </c>
      <c r="AC8" s="207">
        <f t="shared" si="1"/>
        <v>67.599999999999994</v>
      </c>
      <c r="AD8" s="207">
        <f t="shared" si="1"/>
        <v>54.868476205999997</v>
      </c>
      <c r="AE8" s="207">
        <f t="shared" si="1"/>
        <v>43.354232015999997</v>
      </c>
      <c r="AF8"/>
      <c r="AG8"/>
      <c r="AH8" s="148" t="e">
        <f>IF(#REF!="Single",IF(P10&gt;VLOOKUP(#REF!,RATE_PRES,5,TRUE),NA(),IF((60*VLOOKUP(#REF!,ENG_TYPE,8,FALSE))/($P10*1000)&gt;VLOOKUP(#REF!,RATE_PRES,3, FALSE),VLOOKUP(#REF!,RATE_PRES,3, FALSE),60*VLOOKUP(#REF!,ENG_TYPE,8,FALSE)/($P10*1000))),IF(P10&gt;VLOOKUP(#REF!,RATE_PRES,6,TRUE),NA(),IF((60*VLOOKUP(#REF!,ENG_TYPE,8,FALSE))/($P10*1000)&gt;VLOOKUP(#REF!,RATE_PRES,3, FALSE),VLOOKUP(#REF!,RATE_PRES,3, FALSE),60*VLOOKUP(#REF!,ENG_TYPE,8,FALSE)/($P10*1000))))</f>
        <v>#REF!</v>
      </c>
      <c r="AI8" s="148" t="e">
        <f>IF(#REF!="Single",IF(P10&gt;VLOOKUP(#REF!,RATE_PRES,5,TRUE),NA(),IF((60*VLOOKUP(#REF!,ENG_TYPE,7,FALSE))/($P10*1000)&gt;VLOOKUP(#REF!,RATE_PRES,3, FALSE),VLOOKUP(#REF!,RATE_PRES,3, FALSE),60*VLOOKUP(#REF!,ENG_TYPE,7,FALSE)/($P10*1000))),IF(P10&gt;VLOOKUP(#REF!,RATE_PRES,6,TRUE),NA(),IF((60*VLOOKUP(#REF!,ENG_TYPE,7,FALSE))/($P10*1000)&gt;VLOOKUP(#REF!,RATE_PRES,3, FALSE),VLOOKUP(#REF!,RATE_PRES,3, FALSE),60*VLOOKUP(#REF!,ENG_TYPE,7,FALSE)/($P10*1000))))</f>
        <v>#REF!</v>
      </c>
      <c r="AJ8"/>
      <c r="AK8"/>
      <c r="AL8"/>
      <c r="AM8" s="274" t="s">
        <v>329</v>
      </c>
      <c r="AN8" s="274"/>
      <c r="AO8"/>
      <c r="AP8"/>
      <c r="AQ8"/>
      <c r="AR8"/>
      <c r="AS8"/>
    </row>
    <row r="9" spans="1:47" x14ac:dyDescent="0.25">
      <c r="A9"/>
      <c r="B9"/>
      <c r="C9"/>
      <c r="D9"/>
      <c r="E9" s="136"/>
      <c r="F9" s="136"/>
      <c r="G9"/>
      <c r="H9"/>
      <c r="I9"/>
      <c r="J9"/>
      <c r="K9"/>
      <c r="L9"/>
      <c r="M9"/>
      <c r="N9"/>
      <c r="O9"/>
      <c r="P9" s="149">
        <f t="shared" si="2"/>
        <v>0.35</v>
      </c>
      <c r="Q9" s="207">
        <f t="shared" si="0"/>
        <v>71.664104257999995</v>
      </c>
      <c r="R9" s="207">
        <f t="shared" si="0"/>
        <v>54.868476205999997</v>
      </c>
      <c r="S9" s="207">
        <f t="shared" si="0"/>
        <v>43.354232015999997</v>
      </c>
      <c r="T9" s="207">
        <f t="shared" si="0"/>
        <v>71.664104257999995</v>
      </c>
      <c r="U9" s="207">
        <f t="shared" si="0"/>
        <v>54.868476205999997</v>
      </c>
      <c r="V9" s="207">
        <f t="shared" si="0"/>
        <v>43.354232015999997</v>
      </c>
      <c r="W9" s="207">
        <f t="shared" si="0"/>
        <v>71.664104257999995</v>
      </c>
      <c r="X9" s="207">
        <f t="shared" si="0"/>
        <v>54.868476205999997</v>
      </c>
      <c r="Y9" s="207">
        <f t="shared" si="0"/>
        <v>43.354232015999997</v>
      </c>
      <c r="Z9" s="207">
        <f t="shared" si="1"/>
        <v>52.628571428571426</v>
      </c>
      <c r="AA9" s="207">
        <f t="shared" si="1"/>
        <v>52.628571428571426</v>
      </c>
      <c r="AB9" s="207">
        <f t="shared" si="1"/>
        <v>43.354232015999997</v>
      </c>
      <c r="AC9" s="207">
        <f t="shared" si="1"/>
        <v>57.942857142857143</v>
      </c>
      <c r="AD9" s="207">
        <f t="shared" si="1"/>
        <v>54.868476205999997</v>
      </c>
      <c r="AE9" s="207">
        <f t="shared" si="1"/>
        <v>43.354232015999997</v>
      </c>
      <c r="AF9"/>
      <c r="AG9"/>
      <c r="AH9" s="148" t="e">
        <f>IF(#REF!="Single",IF(P11&gt;VLOOKUP(#REF!,RATE_PRES,5,TRUE),NA(),IF((60*VLOOKUP(#REF!,ENG_TYPE,8,FALSE))/($P11*1000)&gt;VLOOKUP(#REF!,RATE_PRES,3, FALSE),VLOOKUP(#REF!,RATE_PRES,3, FALSE),60*VLOOKUP(#REF!,ENG_TYPE,8,FALSE)/($P11*1000))),IF(P11&gt;VLOOKUP(#REF!,RATE_PRES,6,TRUE),NA(),IF((60*VLOOKUP(#REF!,ENG_TYPE,8,FALSE))/($P11*1000)&gt;VLOOKUP(#REF!,RATE_PRES,3, FALSE),VLOOKUP(#REF!,RATE_PRES,3, FALSE),60*VLOOKUP(#REF!,ENG_TYPE,8,FALSE)/($P11*1000))))</f>
        <v>#REF!</v>
      </c>
      <c r="AI9" s="148" t="e">
        <f>IF(#REF!="Single",IF(P11&gt;VLOOKUP(#REF!,RATE_PRES,5,TRUE),NA(),IF((60*VLOOKUP(#REF!,ENG_TYPE,7,FALSE))/($P11*1000)&gt;VLOOKUP(#REF!,RATE_PRES,3, FALSE),VLOOKUP(#REF!,RATE_PRES,3, FALSE),60*VLOOKUP(#REF!,ENG_TYPE,7,FALSE)/($P11*1000))),IF(P11&gt;VLOOKUP(#REF!,RATE_PRES,6,TRUE),NA(),IF((60*VLOOKUP(#REF!,ENG_TYPE,7,FALSE))/($P11*1000)&gt;VLOOKUP(#REF!,RATE_PRES,3, FALSE),VLOOKUP(#REF!,RATE_PRES,3, FALSE),60*VLOOKUP(#REF!,ENG_TYPE,7,FALSE)/($P11*1000))))</f>
        <v>#REF!</v>
      </c>
      <c r="AJ9"/>
      <c r="AK9" t="s">
        <v>317</v>
      </c>
      <c r="AL9" t="s">
        <v>407</v>
      </c>
      <c r="AM9" t="s">
        <v>405</v>
      </c>
      <c r="AN9" t="s">
        <v>406</v>
      </c>
      <c r="AO9" t="s">
        <v>331</v>
      </c>
      <c r="AP9" t="s">
        <v>332</v>
      </c>
      <c r="AQ9" t="s">
        <v>333</v>
      </c>
      <c r="AR9" t="s">
        <v>334</v>
      </c>
      <c r="AS9" t="s">
        <v>335</v>
      </c>
      <c r="AT9" t="s">
        <v>336</v>
      </c>
      <c r="AU9"/>
    </row>
    <row r="10" spans="1:47" x14ac:dyDescent="0.25">
      <c r="A10"/>
      <c r="B10"/>
      <c r="C10"/>
      <c r="D10"/>
      <c r="E10" s="136"/>
      <c r="F10" s="136"/>
      <c r="G10"/>
      <c r="H10"/>
      <c r="I10"/>
      <c r="J10"/>
      <c r="K10"/>
      <c r="L10"/>
      <c r="M10"/>
      <c r="N10"/>
      <c r="O10"/>
      <c r="P10" s="149">
        <f t="shared" si="2"/>
        <v>0.39999999999999997</v>
      </c>
      <c r="Q10" s="207">
        <f t="shared" si="0"/>
        <v>71.664104257999995</v>
      </c>
      <c r="R10" s="207">
        <f t="shared" si="0"/>
        <v>54.868476205999997</v>
      </c>
      <c r="S10" s="207">
        <f t="shared" si="0"/>
        <v>43.354232015999997</v>
      </c>
      <c r="T10" s="207">
        <f t="shared" si="0"/>
        <v>71.664104257999995</v>
      </c>
      <c r="U10" s="207">
        <f t="shared" si="0"/>
        <v>54.868476205999997</v>
      </c>
      <c r="V10" s="207">
        <f t="shared" si="0"/>
        <v>43.354232015999997</v>
      </c>
      <c r="W10" s="207">
        <f t="shared" si="0"/>
        <v>71.664104257999995</v>
      </c>
      <c r="X10" s="207">
        <f t="shared" si="0"/>
        <v>54.868476205999997</v>
      </c>
      <c r="Y10" s="207">
        <f t="shared" si="0"/>
        <v>43.354232015999997</v>
      </c>
      <c r="Z10" s="207">
        <f t="shared" si="1"/>
        <v>46.050000000000004</v>
      </c>
      <c r="AA10" s="207">
        <f t="shared" si="1"/>
        <v>46.050000000000004</v>
      </c>
      <c r="AB10" s="207">
        <f t="shared" si="1"/>
        <v>43.354232015999997</v>
      </c>
      <c r="AC10" s="207">
        <f t="shared" si="1"/>
        <v>50.70000000000001</v>
      </c>
      <c r="AD10" s="207">
        <f t="shared" si="1"/>
        <v>50.70000000000001</v>
      </c>
      <c r="AE10" s="207">
        <f t="shared" si="1"/>
        <v>43.354232015999997</v>
      </c>
      <c r="AF10"/>
      <c r="AG10"/>
      <c r="AH10" s="148" t="e">
        <f>IF(#REF!="Single",IF(P12&gt;VLOOKUP(#REF!,RATE_PRES,5,TRUE),NA(),IF((60*VLOOKUP(#REF!,ENG_TYPE,8,FALSE))/($P12*1000)&gt;VLOOKUP(#REF!,RATE_PRES,3, FALSE),VLOOKUP(#REF!,RATE_PRES,3, FALSE),60*VLOOKUP(#REF!,ENG_TYPE,8,FALSE)/($P12*1000))),IF(P12&gt;VLOOKUP(#REF!,RATE_PRES,6,TRUE),NA(),IF((60*VLOOKUP(#REF!,ENG_TYPE,8,FALSE))/($P12*1000)&gt;VLOOKUP(#REF!,RATE_PRES,3, FALSE),VLOOKUP(#REF!,RATE_PRES,3, FALSE),60*VLOOKUP(#REF!,ENG_TYPE,8,FALSE)/($P12*1000))))</f>
        <v>#REF!</v>
      </c>
      <c r="AI10" s="148" t="e">
        <f>IF(#REF!="Single",IF(P12&gt;VLOOKUP(#REF!,RATE_PRES,5,TRUE),NA(),IF((60*VLOOKUP(#REF!,ENG_TYPE,7,FALSE))/($P12*1000)&gt;VLOOKUP(#REF!,RATE_PRES,3, FALSE),VLOOKUP(#REF!,RATE_PRES,3, FALSE),60*VLOOKUP(#REF!,ENG_TYPE,7,FALSE)/($P12*1000))),IF(P12&gt;VLOOKUP(#REF!,RATE_PRES,6,TRUE),NA(),IF((60*VLOOKUP(#REF!,ENG_TYPE,7,FALSE))/($P12*1000)&gt;VLOOKUP(#REF!,RATE_PRES,3, FALSE),VLOOKUP(#REF!,RATE_PRES,3, FALSE),60*VLOOKUP(#REF!,ENG_TYPE,7,FALSE)/($P12*1000))))</f>
        <v>#REF!</v>
      </c>
      <c r="AJ10">
        <v>363</v>
      </c>
      <c r="AK10" t="s">
        <v>401</v>
      </c>
      <c r="AL10">
        <f>AJ10*2</f>
        <v>726</v>
      </c>
      <c r="AM10" s="136">
        <f>$B$5</f>
        <v>250.32000000000005</v>
      </c>
      <c r="AN10" s="136">
        <f>$C$5</f>
        <v>643.67999999999995</v>
      </c>
      <c r="AO10">
        <f>54.5+40</f>
        <v>94.5</v>
      </c>
      <c r="AP10">
        <f>136+40</f>
        <v>176</v>
      </c>
      <c r="AQ10">
        <f>2*$AL10-2*$AO10</f>
        <v>1263</v>
      </c>
      <c r="AR10">
        <f>2*$AL10-2*$AP10</f>
        <v>1100</v>
      </c>
      <c r="AS10" s="136">
        <f t="shared" ref="AS10:AT13" si="3">AQ10*0.7457</f>
        <v>941.81910000000005</v>
      </c>
      <c r="AT10" s="136">
        <f t="shared" si="3"/>
        <v>820.27</v>
      </c>
      <c r="AU10"/>
    </row>
    <row r="11" spans="1:47" x14ac:dyDescent="0.25">
      <c r="A11"/>
      <c r="B11"/>
      <c r="C11"/>
      <c r="D11"/>
      <c r="E11" s="136"/>
      <c r="F11" s="136"/>
      <c r="G11"/>
      <c r="H11"/>
      <c r="I11"/>
      <c r="J11"/>
      <c r="K11"/>
      <c r="L11"/>
      <c r="M11"/>
      <c r="N11"/>
      <c r="O11"/>
      <c r="P11" s="149">
        <f t="shared" si="2"/>
        <v>0.44999999999999996</v>
      </c>
      <c r="Q11" s="207">
        <f t="shared" si="0"/>
        <v>71.664104257999995</v>
      </c>
      <c r="R11" s="207">
        <f t="shared" si="0"/>
        <v>54.868476205999997</v>
      </c>
      <c r="S11" s="207">
        <f t="shared" si="0"/>
        <v>43.354232015999997</v>
      </c>
      <c r="T11" s="207">
        <f t="shared" si="0"/>
        <v>71.664104257999995</v>
      </c>
      <c r="U11" s="207">
        <f t="shared" si="0"/>
        <v>54.868476205999997</v>
      </c>
      <c r="V11" s="207">
        <f t="shared" si="0"/>
        <v>43.354232015999997</v>
      </c>
      <c r="W11" s="207">
        <f t="shared" si="0"/>
        <v>71.664104257999995</v>
      </c>
      <c r="X11" s="207">
        <f t="shared" si="0"/>
        <v>54.868476205999997</v>
      </c>
      <c r="Y11" s="207">
        <f t="shared" si="0"/>
        <v>43.354232015999997</v>
      </c>
      <c r="Z11" s="207">
        <f t="shared" si="1"/>
        <v>40.933333333333337</v>
      </c>
      <c r="AA11" s="207">
        <f t="shared" si="1"/>
        <v>40.933333333333337</v>
      </c>
      <c r="AB11" s="207">
        <f t="shared" si="1"/>
        <v>40.933333333333337</v>
      </c>
      <c r="AC11" s="207">
        <f t="shared" si="1"/>
        <v>45.06666666666667</v>
      </c>
      <c r="AD11" s="207">
        <f t="shared" si="1"/>
        <v>45.06666666666667</v>
      </c>
      <c r="AE11" s="207">
        <f t="shared" si="1"/>
        <v>43.354232015999997</v>
      </c>
      <c r="AF11"/>
      <c r="AG11"/>
      <c r="AH11" s="148" t="e">
        <f>IF(#REF!="Single",IF(P13&gt;VLOOKUP(#REF!,RATE_PRES,5,TRUE),NA(),IF((60*VLOOKUP(#REF!,ENG_TYPE,8,FALSE))/($P13*1000)&gt;VLOOKUP(#REF!,RATE_PRES,3, FALSE),VLOOKUP(#REF!,RATE_PRES,3, FALSE),60*VLOOKUP(#REF!,ENG_TYPE,8,FALSE)/($P13*1000))),IF(P13&gt;VLOOKUP(#REF!,RATE_PRES,6,TRUE),NA(),IF((60*VLOOKUP(#REF!,ENG_TYPE,8,FALSE))/($P13*1000)&gt;VLOOKUP(#REF!,RATE_PRES,3, FALSE),VLOOKUP(#REF!,RATE_PRES,3, FALSE),60*VLOOKUP(#REF!,ENG_TYPE,8,FALSE)/($P13*1000))))</f>
        <v>#REF!</v>
      </c>
      <c r="AI11" s="148" t="e">
        <f>IF(#REF!="Single",IF(P13&gt;VLOOKUP(#REF!,RATE_PRES,5,TRUE),NA(),IF((60*VLOOKUP(#REF!,ENG_TYPE,7,FALSE))/($P13*1000)&gt;VLOOKUP(#REF!,RATE_PRES,3, FALSE),VLOOKUP(#REF!,RATE_PRES,3, FALSE),60*VLOOKUP(#REF!,ENG_TYPE,7,FALSE)/($P13*1000))),IF(P13&gt;VLOOKUP(#REF!,RATE_PRES,6,TRUE),NA(),IF((60*VLOOKUP(#REF!,ENG_TYPE,7,FALSE))/($P13*1000)&gt;VLOOKUP(#REF!,RATE_PRES,3, FALSE),VLOOKUP(#REF!,RATE_PRES,3, FALSE),60*VLOOKUP(#REF!,ENG_TYPE,7,FALSE)/($P13*1000))))</f>
        <v>#REF!</v>
      </c>
      <c r="AJ11">
        <v>424</v>
      </c>
      <c r="AK11" t="s">
        <v>318</v>
      </c>
      <c r="AL11">
        <f t="shared" ref="AL11:AL12" si="4">AJ11*2</f>
        <v>848</v>
      </c>
      <c r="AM11" s="136">
        <f>$B$5</f>
        <v>250.32000000000005</v>
      </c>
      <c r="AN11" s="136">
        <f>$C$5</f>
        <v>643.67999999999995</v>
      </c>
      <c r="AO11">
        <f>54.5+40</f>
        <v>94.5</v>
      </c>
      <c r="AP11">
        <f>136+40</f>
        <v>176</v>
      </c>
      <c r="AQ11">
        <f>2*$AL11-2*$AO11</f>
        <v>1507</v>
      </c>
      <c r="AR11">
        <f>2*$AL11-2*$AP11</f>
        <v>1344</v>
      </c>
      <c r="AS11" s="136">
        <f t="shared" si="3"/>
        <v>1123.7699</v>
      </c>
      <c r="AT11" s="136">
        <f t="shared" si="3"/>
        <v>1002.2208000000001</v>
      </c>
      <c r="AU11"/>
    </row>
    <row r="12" spans="1:47" x14ac:dyDescent="0.25">
      <c r="A12"/>
      <c r="B12"/>
      <c r="C12"/>
      <c r="D12"/>
      <c r="E12" s="136"/>
      <c r="F12" s="136"/>
      <c r="G12"/>
      <c r="H12"/>
      <c r="I12"/>
      <c r="J12"/>
      <c r="K12"/>
      <c r="L12"/>
      <c r="M12"/>
      <c r="N12"/>
      <c r="O12"/>
      <c r="P12" s="149">
        <f t="shared" si="2"/>
        <v>0.49999999999999994</v>
      </c>
      <c r="Q12" s="207">
        <f t="shared" si="0"/>
        <v>71.664104257999995</v>
      </c>
      <c r="R12" s="207">
        <f t="shared" si="0"/>
        <v>54.868476205999997</v>
      </c>
      <c r="S12" s="207">
        <f t="shared" si="0"/>
        <v>43.354232015999997</v>
      </c>
      <c r="T12" s="207">
        <f t="shared" si="0"/>
        <v>71.664104257999995</v>
      </c>
      <c r="U12" s="207">
        <f t="shared" si="0"/>
        <v>54.868476205999997</v>
      </c>
      <c r="V12" s="207">
        <f t="shared" si="0"/>
        <v>43.354232015999997</v>
      </c>
      <c r="W12" s="207">
        <f t="shared" si="0"/>
        <v>71.664104257999995</v>
      </c>
      <c r="X12" s="207">
        <f t="shared" si="0"/>
        <v>54.868476205999997</v>
      </c>
      <c r="Y12" s="207">
        <f t="shared" si="0"/>
        <v>43.354232015999997</v>
      </c>
      <c r="Z12" s="207">
        <f t="shared" si="1"/>
        <v>36.840000000000003</v>
      </c>
      <c r="AA12" s="207">
        <f t="shared" si="1"/>
        <v>36.840000000000003</v>
      </c>
      <c r="AB12" s="207">
        <f t="shared" si="1"/>
        <v>36.840000000000003</v>
      </c>
      <c r="AC12" s="207">
        <f t="shared" si="1"/>
        <v>40.56</v>
      </c>
      <c r="AD12" s="207">
        <f t="shared" si="1"/>
        <v>40.56</v>
      </c>
      <c r="AE12" s="207">
        <f t="shared" si="1"/>
        <v>40.56</v>
      </c>
      <c r="AF12"/>
      <c r="AG12"/>
      <c r="AH12" s="148" t="e">
        <f>IF(#REF!="Single",IF(P14&gt;VLOOKUP(#REF!,RATE_PRES,5,TRUE),NA(),IF((60*VLOOKUP(#REF!,ENG_TYPE,8,FALSE))/($P14*1000)&gt;VLOOKUP(#REF!,RATE_PRES,3, FALSE),VLOOKUP(#REF!,RATE_PRES,3, FALSE),60*VLOOKUP(#REF!,ENG_TYPE,8,FALSE)/($P14*1000))),IF(P14&gt;VLOOKUP(#REF!,RATE_PRES,6,TRUE),NA(),IF((60*VLOOKUP(#REF!,ENG_TYPE,8,FALSE))/($P14*1000)&gt;VLOOKUP(#REF!,RATE_PRES,3, FALSE),VLOOKUP(#REF!,RATE_PRES,3, FALSE),60*VLOOKUP(#REF!,ENG_TYPE,8,FALSE)/($P14*1000))))</f>
        <v>#REF!</v>
      </c>
      <c r="AI12" s="148" t="e">
        <f>IF(#REF!="Single",IF(P14&gt;VLOOKUP(#REF!,RATE_PRES,5,TRUE),NA(),IF((60*VLOOKUP(#REF!,ENG_TYPE,7,FALSE))/($P14*1000)&gt;VLOOKUP(#REF!,RATE_PRES,3, FALSE),VLOOKUP(#REF!,RATE_PRES,3, FALSE),60*VLOOKUP(#REF!,ENG_TYPE,7,FALSE)/($P14*1000))),IF(P14&gt;VLOOKUP(#REF!,RATE_PRES,6,TRUE),NA(),IF((60*VLOOKUP(#REF!,ENG_TYPE,7,FALSE))/($P14*1000)&gt;VLOOKUP(#REF!,RATE_PRES,3, FALSE),VLOOKUP(#REF!,RATE_PRES,3, FALSE),60*VLOOKUP(#REF!,ENG_TYPE,7,FALSE)/($P14*1000))))</f>
        <v>#REF!</v>
      </c>
      <c r="AJ12">
        <v>457</v>
      </c>
      <c r="AK12" t="s">
        <v>402</v>
      </c>
      <c r="AL12">
        <f t="shared" si="4"/>
        <v>914</v>
      </c>
      <c r="AM12" s="136">
        <f>$B$5</f>
        <v>250.32000000000005</v>
      </c>
      <c r="AN12" s="136">
        <f>$C$5</f>
        <v>643.67999999999995</v>
      </c>
      <c r="AO12">
        <f>54.5+40</f>
        <v>94.5</v>
      </c>
      <c r="AP12">
        <f>136+40</f>
        <v>176</v>
      </c>
      <c r="AQ12">
        <f>2*$AL12-2*$AO12</f>
        <v>1639</v>
      </c>
      <c r="AR12">
        <f>2*$AL12-2*$AP12</f>
        <v>1476</v>
      </c>
      <c r="AS12" s="136">
        <f t="shared" si="3"/>
        <v>1222.2023000000002</v>
      </c>
      <c r="AT12" s="136">
        <f t="shared" si="3"/>
        <v>1100.6532</v>
      </c>
      <c r="AU12"/>
    </row>
    <row r="13" spans="1:47" x14ac:dyDescent="0.25">
      <c r="A13"/>
      <c r="B13"/>
      <c r="C13"/>
      <c r="D13"/>
      <c r="E13" s="136"/>
      <c r="F13" s="136"/>
      <c r="G13"/>
      <c r="H13"/>
      <c r="I13"/>
      <c r="J13"/>
      <c r="K13"/>
      <c r="L13"/>
      <c r="M13"/>
      <c r="N13"/>
      <c r="O13"/>
      <c r="P13" s="149">
        <f t="shared" si="2"/>
        <v>0.54999999999999993</v>
      </c>
      <c r="Q13" s="207">
        <f t="shared" si="0"/>
        <v>71.664104257999995</v>
      </c>
      <c r="R13" s="207">
        <f t="shared" si="0"/>
        <v>54.868476205999997</v>
      </c>
      <c r="S13" s="207">
        <f t="shared" si="0"/>
        <v>43.354232015999997</v>
      </c>
      <c r="T13" s="207">
        <f t="shared" si="0"/>
        <v>71.664104257999995</v>
      </c>
      <c r="U13" s="207">
        <f t="shared" si="0"/>
        <v>54.868476205999997</v>
      </c>
      <c r="V13" s="207">
        <f t="shared" si="0"/>
        <v>43.354232015999997</v>
      </c>
      <c r="W13" s="207">
        <f t="shared" si="0"/>
        <v>71.664104257999995</v>
      </c>
      <c r="X13" s="207">
        <f t="shared" si="0"/>
        <v>54.868476205999997</v>
      </c>
      <c r="Y13" s="207">
        <f t="shared" si="0"/>
        <v>43.354232015999997</v>
      </c>
      <c r="Z13" s="207">
        <f t="shared" si="1"/>
        <v>33.490909090909099</v>
      </c>
      <c r="AA13" s="207">
        <f t="shared" si="1"/>
        <v>33.490909090909099</v>
      </c>
      <c r="AB13" s="207">
        <f t="shared" si="1"/>
        <v>33.490909090909099</v>
      </c>
      <c r="AC13" s="207">
        <f t="shared" si="1"/>
        <v>36.872727272727282</v>
      </c>
      <c r="AD13" s="207">
        <f t="shared" si="1"/>
        <v>36.872727272727282</v>
      </c>
      <c r="AE13" s="207">
        <f t="shared" si="1"/>
        <v>36.872727272727282</v>
      </c>
      <c r="AF13"/>
      <c r="AG13"/>
      <c r="AH13" s="148" t="e">
        <f>IF(#REF!="Single",IF(P15&gt;VLOOKUP(#REF!,RATE_PRES,5,TRUE),NA(),IF((60*VLOOKUP(#REF!,ENG_TYPE,8,FALSE))/($P15*1000)&gt;VLOOKUP(#REF!,RATE_PRES,3, FALSE),VLOOKUP(#REF!,RATE_PRES,3, FALSE),60*VLOOKUP(#REF!,ENG_TYPE,8,FALSE)/($P15*1000))),IF(P15&gt;VLOOKUP(#REF!,RATE_PRES,6,TRUE),NA(),IF((60*VLOOKUP(#REF!,ENG_TYPE,8,FALSE))/($P15*1000)&gt;VLOOKUP(#REF!,RATE_PRES,3, FALSE),VLOOKUP(#REF!,RATE_PRES,3, FALSE),60*VLOOKUP(#REF!,ENG_TYPE,8,FALSE)/($P15*1000))))</f>
        <v>#REF!</v>
      </c>
      <c r="AI13" s="148" t="e">
        <f>IF(#REF!="Single",IF(P15&gt;VLOOKUP(#REF!,RATE_PRES,5,TRUE),NA(),IF((60*VLOOKUP(#REF!,ENG_TYPE,7,FALSE))/($P15*1000)&gt;VLOOKUP(#REF!,RATE_PRES,3, FALSE),VLOOKUP(#REF!,RATE_PRES,3, FALSE),60*VLOOKUP(#REF!,ENG_TYPE,7,FALSE)/($P15*1000))),IF(P15&gt;VLOOKUP(#REF!,RATE_PRES,6,TRUE),NA(),IF((60*VLOOKUP(#REF!,ENG_TYPE,7,FALSE))/($P15*1000)&gt;VLOOKUP(#REF!,RATE_PRES,3, FALSE),VLOOKUP(#REF!,RATE_PRES,3, FALSE),60*VLOOKUP(#REF!,ENG_TYPE,7,FALSE)/($P15*1000))))</f>
        <v>#REF!</v>
      </c>
      <c r="AJ13">
        <v>507</v>
      </c>
      <c r="AK13" t="s">
        <v>403</v>
      </c>
      <c r="AL13">
        <v>507</v>
      </c>
      <c r="AM13" s="136">
        <f>$B$5</f>
        <v>250.32000000000005</v>
      </c>
      <c r="AN13" s="136">
        <f>$C$5</f>
        <v>643.67999999999995</v>
      </c>
      <c r="AO13">
        <v>118</v>
      </c>
      <c r="AP13">
        <v>200</v>
      </c>
      <c r="AQ13">
        <f t="shared" ref="AQ13:AR13" si="5">$AL13-AO13</f>
        <v>389</v>
      </c>
      <c r="AR13">
        <f t="shared" si="5"/>
        <v>307</v>
      </c>
      <c r="AS13" s="136">
        <f t="shared" si="3"/>
        <v>290.07730000000004</v>
      </c>
      <c r="AT13" s="136">
        <f t="shared" si="3"/>
        <v>228.9299</v>
      </c>
      <c r="AU13"/>
    </row>
    <row r="14" spans="1:47" x14ac:dyDescent="0.25">
      <c r="A14"/>
      <c r="B14"/>
      <c r="C14"/>
      <c r="D14"/>
      <c r="E14" s="136"/>
      <c r="F14" s="136"/>
      <c r="G14"/>
      <c r="H14"/>
      <c r="I14"/>
      <c r="J14"/>
      <c r="K14"/>
      <c r="L14"/>
      <c r="M14"/>
      <c r="N14"/>
      <c r="O14"/>
      <c r="P14" s="149">
        <f t="shared" si="2"/>
        <v>0.6</v>
      </c>
      <c r="Q14" s="207">
        <f t="shared" ref="Q14:Y23" si="6">IF(Q$1="Single",IF($P14&gt;VLOOKUP(Q$3,RATE_PRES,5,TRUE),NA(),IF((60*VLOOKUP(Q$2,ENG_TYPE,8,FALSE))/($P14*1000)&gt;VLOOKUP(Q$3,RATE_PRES,3, FALSE),VLOOKUP(Q$3,RATE_PRES,3, FALSE),60*VLOOKUP(Q$2,ENG_TYPE,8,FALSE)/($P14*1000))),IF($P14&gt;VLOOKUP(Q$3,RATE_PRES,6,TRUE),NA(),IF((60*VLOOKUP(Q$2,ENG_TYPE,8,FALSE))/($P14*1000)&gt;VLOOKUP(Q$3,RATE_PRES,3, FALSE),VLOOKUP(Q$3,RATE_PRES,3, FALSE),60*VLOOKUP(Q$2,ENG_TYPE,8,FALSE)/($P14*1000))))</f>
        <v>71.664104257999995</v>
      </c>
      <c r="R14" s="207">
        <f t="shared" si="6"/>
        <v>54.868476205999997</v>
      </c>
      <c r="S14" s="207">
        <f t="shared" si="6"/>
        <v>43.354232015999997</v>
      </c>
      <c r="T14" s="207">
        <f t="shared" si="6"/>
        <v>71.664104257999995</v>
      </c>
      <c r="U14" s="207">
        <f t="shared" si="6"/>
        <v>54.868476205999997</v>
      </c>
      <c r="V14" s="207">
        <f t="shared" si="6"/>
        <v>43.354232015999997</v>
      </c>
      <c r="W14" s="207">
        <f t="shared" si="6"/>
        <v>71.664104257999995</v>
      </c>
      <c r="X14" s="207">
        <f t="shared" si="6"/>
        <v>54.868476205999997</v>
      </c>
      <c r="Y14" s="207">
        <f t="shared" si="6"/>
        <v>43.354232015999997</v>
      </c>
      <c r="Z14" s="207">
        <f t="shared" ref="Z14:AE23" si="7">IFERROR(IF(Z$1="Single",IF($P14&gt;VLOOKUP(Z$3,RATE_PRES,5,TRUE),NA(),IF((60*VLOOKUP(Z$2,ENG_TYPE,8,FALSE))/($P14*1000)&gt;VLOOKUP(Z$3,RATE_PRES,3, FALSE),VLOOKUP(Z$3,RATE_PRES,3, FALSE),60*VLOOKUP(Z$2,ENG_TYPE,8,FALSE)/($P14*1000))),IF($P14&gt;VLOOKUP(Z$3,RATE_PRES,6,TRUE),NA(),IF((60*VLOOKUP(Z$2,ENG_TYPE,8,FALSE))/($P14*1000)&gt;VLOOKUP(Z$3,RATE_PRES,3, FALSE),VLOOKUP(Z$3,RATE_PRES,3, FALSE),60*VLOOKUP(Z$2,ENG_TYPE,8,FALSE)/($P14*1000)))),"")</f>
        <v>30.7</v>
      </c>
      <c r="AA14" s="207">
        <f t="shared" si="7"/>
        <v>30.7</v>
      </c>
      <c r="AB14" s="207">
        <f t="shared" si="7"/>
        <v>30.7</v>
      </c>
      <c r="AC14" s="207">
        <f t="shared" si="7"/>
        <v>33.799999999999997</v>
      </c>
      <c r="AD14" s="207">
        <f t="shared" si="7"/>
        <v>33.799999999999997</v>
      </c>
      <c r="AE14" s="207">
        <f t="shared" si="7"/>
        <v>33.799999999999997</v>
      </c>
      <c r="AF14"/>
      <c r="AG14"/>
      <c r="AH14" s="148" t="e">
        <f>IF(#REF!="Single",IF(P16&gt;VLOOKUP(#REF!,RATE_PRES,5,TRUE),NA(),IF((60*VLOOKUP(#REF!,ENG_TYPE,8,FALSE))/($P16*1000)&gt;VLOOKUP(#REF!,RATE_PRES,3, FALSE),VLOOKUP(#REF!,RATE_PRES,3, FALSE),60*VLOOKUP(#REF!,ENG_TYPE,8,FALSE)/($P16*1000))),IF(P16&gt;VLOOKUP(#REF!,RATE_PRES,6,TRUE),NA(),IF((60*VLOOKUP(#REF!,ENG_TYPE,8,FALSE))/($P16*1000)&gt;VLOOKUP(#REF!,RATE_PRES,3, FALSE),VLOOKUP(#REF!,RATE_PRES,3, FALSE),60*VLOOKUP(#REF!,ENG_TYPE,8,FALSE)/($P16*1000))))</f>
        <v>#REF!</v>
      </c>
      <c r="AI14" s="148" t="e">
        <f>IF(#REF!="Single",IF(P16&gt;VLOOKUP(#REF!,RATE_PRES,5,TRUE),NA(),IF((60*VLOOKUP(#REF!,ENG_TYPE,7,FALSE))/($P16*1000)&gt;VLOOKUP(#REF!,RATE_PRES,3, FALSE),VLOOKUP(#REF!,RATE_PRES,3, FALSE),60*VLOOKUP(#REF!,ENG_TYPE,7,FALSE)/($P16*1000))),IF(P16&gt;VLOOKUP(#REF!,RATE_PRES,6,TRUE),NA(),IF((60*VLOOKUP(#REF!,ENG_TYPE,7,FALSE))/($P16*1000)&gt;VLOOKUP(#REF!,RATE_PRES,3, FALSE),VLOOKUP(#REF!,RATE_PRES,3, FALSE),60*VLOOKUP(#REF!,ENG_TYPE,7,FALSE)/($P16*1000))))</f>
        <v>#REF!</v>
      </c>
      <c r="AJ14">
        <v>538</v>
      </c>
      <c r="AK14" t="s">
        <v>404</v>
      </c>
      <c r="AL14">
        <v>538</v>
      </c>
      <c r="AM14" s="136">
        <f>$B$5</f>
        <v>250.32000000000005</v>
      </c>
      <c r="AN14" s="136">
        <f>$C$5</f>
        <v>643.67999999999995</v>
      </c>
      <c r="AO14">
        <v>118</v>
      </c>
      <c r="AP14">
        <v>200</v>
      </c>
      <c r="AQ14">
        <f>$AL14-AO14</f>
        <v>420</v>
      </c>
      <c r="AR14">
        <f>$AL14-AP14</f>
        <v>338</v>
      </c>
      <c r="AS14" s="136">
        <f>AQ14*0.7457</f>
        <v>313.19400000000002</v>
      </c>
      <c r="AT14" s="136">
        <f>AR14*0.7457</f>
        <v>252.04660000000001</v>
      </c>
      <c r="AU14"/>
    </row>
    <row r="15" spans="1:47" x14ac:dyDescent="0.25">
      <c r="A15"/>
      <c r="B15"/>
      <c r="C15"/>
      <c r="D15"/>
      <c r="E15" s="136"/>
      <c r="F15" s="136"/>
      <c r="G15"/>
      <c r="H15"/>
      <c r="I15"/>
      <c r="J15"/>
      <c r="K15"/>
      <c r="L15"/>
      <c r="M15"/>
      <c r="N15"/>
      <c r="O15"/>
      <c r="P15" s="149">
        <f>P14+0.05</f>
        <v>0.65</v>
      </c>
      <c r="Q15" s="207">
        <f t="shared" si="6"/>
        <v>71.664104257999995</v>
      </c>
      <c r="R15" s="207">
        <f t="shared" si="6"/>
        <v>54.868476205999997</v>
      </c>
      <c r="S15" s="207">
        <f t="shared" si="6"/>
        <v>43.354232015999997</v>
      </c>
      <c r="T15" s="207">
        <f t="shared" si="6"/>
        <v>71.664104257999995</v>
      </c>
      <c r="U15" s="207">
        <f t="shared" si="6"/>
        <v>54.868476205999997</v>
      </c>
      <c r="V15" s="207">
        <f t="shared" si="6"/>
        <v>43.354232015999997</v>
      </c>
      <c r="W15" s="207">
        <f t="shared" si="6"/>
        <v>71.664104257999995</v>
      </c>
      <c r="X15" s="207">
        <f t="shared" si="6"/>
        <v>54.868476205999997</v>
      </c>
      <c r="Y15" s="207">
        <f t="shared" si="6"/>
        <v>43.354232015999997</v>
      </c>
      <c r="Z15" s="207">
        <f t="shared" si="7"/>
        <v>28.338461538461537</v>
      </c>
      <c r="AA15" s="207">
        <f t="shared" si="7"/>
        <v>28.338461538461537</v>
      </c>
      <c r="AB15" s="207">
        <f t="shared" si="7"/>
        <v>28.338461538461537</v>
      </c>
      <c r="AC15" s="207">
        <f t="shared" si="7"/>
        <v>31.2</v>
      </c>
      <c r="AD15" s="207">
        <f t="shared" si="7"/>
        <v>31.2</v>
      </c>
      <c r="AE15" s="207">
        <f t="shared" si="7"/>
        <v>31.2</v>
      </c>
      <c r="AF15"/>
      <c r="AG15"/>
      <c r="AH15" s="148" t="e">
        <f>IF(#REF!="Single",IF(P17&gt;VLOOKUP(#REF!,RATE_PRES,5,TRUE),NA(),IF((60*VLOOKUP(#REF!,ENG_TYPE,8,FALSE))/($P17*1000)&gt;VLOOKUP(#REF!,RATE_PRES,3, FALSE),VLOOKUP(#REF!,RATE_PRES,3, FALSE),60*VLOOKUP(#REF!,ENG_TYPE,8,FALSE)/($P17*1000))),IF(P17&gt;VLOOKUP(#REF!,RATE_PRES,6,TRUE),NA(),IF((60*VLOOKUP(#REF!,ENG_TYPE,8,FALSE))/($P17*1000)&gt;VLOOKUP(#REF!,RATE_PRES,3, FALSE),VLOOKUP(#REF!,RATE_PRES,3, FALSE),60*VLOOKUP(#REF!,ENG_TYPE,8,FALSE)/($P17*1000))))</f>
        <v>#REF!</v>
      </c>
      <c r="AI15" s="148" t="e">
        <f>IF(#REF!="Single",IF(P17&gt;VLOOKUP(#REF!,RATE_PRES,5,TRUE),NA(),IF((60*VLOOKUP(#REF!,ENG_TYPE,7,FALSE))/($P17*1000)&gt;VLOOKUP(#REF!,RATE_PRES,3, FALSE),VLOOKUP(#REF!,RATE_PRES,3, FALSE),60*VLOOKUP(#REF!,ENG_TYPE,7,FALSE)/($P17*1000))),IF(P17&gt;VLOOKUP(#REF!,RATE_PRES,6,TRUE),NA(),IF((60*VLOOKUP(#REF!,ENG_TYPE,7,FALSE))/($P17*1000)&gt;VLOOKUP(#REF!,RATE_PRES,3, FALSE),VLOOKUP(#REF!,RATE_PRES,3, FALSE),60*VLOOKUP(#REF!,ENG_TYPE,7,FALSE)/($P17*1000))))</f>
        <v>#REF!</v>
      </c>
      <c r="AJ15"/>
      <c r="AL15" s="136"/>
      <c r="AM15" s="136"/>
      <c r="AN15" s="136"/>
      <c r="AO15"/>
      <c r="AP15"/>
      <c r="AQ15"/>
      <c r="AR15"/>
      <c r="AS15" s="136"/>
      <c r="AT15" s="136"/>
      <c r="AU15"/>
    </row>
    <row r="16" spans="1:47" x14ac:dyDescent="0.25">
      <c r="A16"/>
      <c r="B16"/>
      <c r="C16"/>
      <c r="D16"/>
      <c r="E16" s="136"/>
      <c r="F16" s="136"/>
      <c r="G16"/>
      <c r="H16"/>
      <c r="I16"/>
      <c r="J16"/>
      <c r="K16"/>
      <c r="L16"/>
      <c r="M16"/>
      <c r="N16"/>
      <c r="O16"/>
      <c r="P16" s="149">
        <f t="shared" si="2"/>
        <v>0.70000000000000007</v>
      </c>
      <c r="Q16" s="207">
        <f t="shared" si="6"/>
        <v>71.664104257999995</v>
      </c>
      <c r="R16" s="207">
        <f t="shared" si="6"/>
        <v>54.868476205999997</v>
      </c>
      <c r="S16" s="207">
        <f t="shared" si="6"/>
        <v>43.354232015999997</v>
      </c>
      <c r="T16" s="207">
        <f t="shared" si="6"/>
        <v>71.664104257999995</v>
      </c>
      <c r="U16" s="207">
        <f t="shared" si="6"/>
        <v>54.868476205999997</v>
      </c>
      <c r="V16" s="207">
        <f t="shared" si="6"/>
        <v>43.354232015999997</v>
      </c>
      <c r="W16" s="207">
        <f t="shared" si="6"/>
        <v>71.664104257999995</v>
      </c>
      <c r="X16" s="207">
        <f t="shared" si="6"/>
        <v>54.868476205999997</v>
      </c>
      <c r="Y16" s="207">
        <f t="shared" si="6"/>
        <v>43.354232015999997</v>
      </c>
      <c r="Z16" s="207">
        <f t="shared" si="7"/>
        <v>26.31428571428571</v>
      </c>
      <c r="AA16" s="207">
        <f t="shared" si="7"/>
        <v>26.31428571428571</v>
      </c>
      <c r="AB16" s="207">
        <f t="shared" si="7"/>
        <v>26.31428571428571</v>
      </c>
      <c r="AC16" s="207">
        <f t="shared" si="7"/>
        <v>28.971428571428568</v>
      </c>
      <c r="AD16" s="207">
        <f t="shared" si="7"/>
        <v>28.971428571428568</v>
      </c>
      <c r="AE16" s="207">
        <f t="shared" si="7"/>
        <v>28.971428571428568</v>
      </c>
      <c r="AF16"/>
      <c r="AG16"/>
      <c r="AH16" s="148" t="e">
        <f>IF(#REF!="Single",IF(P18&gt;VLOOKUP(#REF!,RATE_PRES,5,TRUE),NA(),IF((60*VLOOKUP(#REF!,ENG_TYPE,8,FALSE))/($P18*1000)&gt;VLOOKUP(#REF!,RATE_PRES,3, FALSE),VLOOKUP(#REF!,RATE_PRES,3, FALSE),60*VLOOKUP(#REF!,ENG_TYPE,8,FALSE)/($P18*1000))),IF(P18&gt;VLOOKUP(#REF!,RATE_PRES,6,TRUE),NA(),IF((60*VLOOKUP(#REF!,ENG_TYPE,8,FALSE))/($P18*1000)&gt;VLOOKUP(#REF!,RATE_PRES,3, FALSE),VLOOKUP(#REF!,RATE_PRES,3, FALSE),60*VLOOKUP(#REF!,ENG_TYPE,8,FALSE)/($P18*1000))))</f>
        <v>#REF!</v>
      </c>
      <c r="AI16" s="148" t="e">
        <f>IF(#REF!="Single",IF(P18&gt;VLOOKUP(#REF!,RATE_PRES,5,TRUE),NA(),IF((60*VLOOKUP(#REF!,ENG_TYPE,7,FALSE))/($P18*1000)&gt;VLOOKUP(#REF!,RATE_PRES,3, FALSE),VLOOKUP(#REF!,RATE_PRES,3, FALSE),60*VLOOKUP(#REF!,ENG_TYPE,7,FALSE)/($P18*1000))),IF(P18&gt;VLOOKUP(#REF!,RATE_PRES,6,TRUE),NA(),IF((60*VLOOKUP(#REF!,ENG_TYPE,7,FALSE))/($P18*1000)&gt;VLOOKUP(#REF!,RATE_PRES,3, FALSE),VLOOKUP(#REF!,RATE_PRES,3, FALSE),60*VLOOKUP(#REF!,ENG_TYPE,7,FALSE)/($P18*1000))))</f>
        <v>#REF!</v>
      </c>
      <c r="AJ16"/>
      <c r="AL16" s="136"/>
      <c r="AM16" s="136"/>
      <c r="AN16" s="136"/>
      <c r="AO16"/>
      <c r="AP16"/>
      <c r="AQ16"/>
      <c r="AR16"/>
      <c r="AS16" s="136"/>
      <c r="AT16" s="136"/>
      <c r="AU16"/>
    </row>
    <row r="17" spans="1:45" x14ac:dyDescent="0.25">
      <c r="A17"/>
      <c r="B17"/>
      <c r="C17"/>
      <c r="D17"/>
      <c r="E17" s="136"/>
      <c r="F17" s="136"/>
      <c r="G17"/>
      <c r="H17"/>
      <c r="I17"/>
      <c r="J17"/>
      <c r="K17"/>
      <c r="L17"/>
      <c r="M17"/>
      <c r="N17"/>
      <c r="O17"/>
      <c r="P17" s="149">
        <f t="shared" si="2"/>
        <v>0.75000000000000011</v>
      </c>
      <c r="Q17" s="207">
        <f t="shared" si="6"/>
        <v>71.664104257999995</v>
      </c>
      <c r="R17" s="207">
        <f t="shared" si="6"/>
        <v>54.868476205999997</v>
      </c>
      <c r="S17" s="207">
        <f t="shared" si="6"/>
        <v>43.354232015999997</v>
      </c>
      <c r="T17" s="207">
        <f t="shared" si="6"/>
        <v>71.664104257999995</v>
      </c>
      <c r="U17" s="207">
        <f t="shared" si="6"/>
        <v>54.868476205999997</v>
      </c>
      <c r="V17" s="207">
        <f t="shared" si="6"/>
        <v>43.354232015999997</v>
      </c>
      <c r="W17" s="207">
        <f t="shared" si="6"/>
        <v>71.664104257999995</v>
      </c>
      <c r="X17" s="207">
        <f t="shared" si="6"/>
        <v>54.868476205999997</v>
      </c>
      <c r="Y17" s="207">
        <f t="shared" si="6"/>
        <v>43.354232015999997</v>
      </c>
      <c r="Z17" s="207">
        <f t="shared" si="7"/>
        <v>24.559999999999995</v>
      </c>
      <c r="AA17" s="207">
        <f t="shared" si="7"/>
        <v>24.559999999999995</v>
      </c>
      <c r="AB17" s="207">
        <f t="shared" si="7"/>
        <v>24.559999999999995</v>
      </c>
      <c r="AC17" s="207">
        <f t="shared" si="7"/>
        <v>27.039999999999996</v>
      </c>
      <c r="AD17" s="207">
        <f t="shared" si="7"/>
        <v>27.039999999999996</v>
      </c>
      <c r="AE17" s="207">
        <f t="shared" si="7"/>
        <v>27.039999999999996</v>
      </c>
      <c r="AF17"/>
      <c r="AG17"/>
      <c r="AH17" s="148" t="e">
        <f>IF(#REF!="Single",IF(P19&gt;VLOOKUP(#REF!,RATE_PRES,5,TRUE),NA(),IF((60*VLOOKUP(#REF!,ENG_TYPE,8,FALSE))/($P19*1000)&gt;VLOOKUP(#REF!,RATE_PRES,3, FALSE),VLOOKUP(#REF!,RATE_PRES,3, FALSE),60*VLOOKUP(#REF!,ENG_TYPE,8,FALSE)/($P19*1000))),IF(P19&gt;VLOOKUP(#REF!,RATE_PRES,6,TRUE),NA(),IF((60*VLOOKUP(#REF!,ENG_TYPE,8,FALSE))/($P19*1000)&gt;VLOOKUP(#REF!,RATE_PRES,3, FALSE),VLOOKUP(#REF!,RATE_PRES,3, FALSE),60*VLOOKUP(#REF!,ENG_TYPE,8,FALSE)/($P19*1000))))</f>
        <v>#REF!</v>
      </c>
      <c r="AI17" s="148" t="e">
        <f>IF(#REF!="Single",IF(P19&gt;VLOOKUP(#REF!,RATE_PRES,5,TRUE),NA(),IF((60*VLOOKUP(#REF!,ENG_TYPE,7,FALSE))/($P19*1000)&gt;VLOOKUP(#REF!,RATE_PRES,3, FALSE),VLOOKUP(#REF!,RATE_PRES,3, FALSE),60*VLOOKUP(#REF!,ENG_TYPE,7,FALSE)/($P19*1000))),IF(P19&gt;VLOOKUP(#REF!,RATE_PRES,6,TRUE),NA(),IF((60*VLOOKUP(#REF!,ENG_TYPE,7,FALSE))/($P19*1000)&gt;VLOOKUP(#REF!,RATE_PRES,3, FALSE),VLOOKUP(#REF!,RATE_PRES,3, FALSE),60*VLOOKUP(#REF!,ENG_TYPE,7,FALSE)/($P19*1000))))</f>
        <v>#REF!</v>
      </c>
      <c r="AJ17"/>
      <c r="AK17"/>
      <c r="AL17"/>
      <c r="AM17"/>
      <c r="AN17"/>
      <c r="AO17"/>
      <c r="AP17"/>
      <c r="AQ17"/>
      <c r="AR17"/>
      <c r="AS17"/>
    </row>
    <row r="18" spans="1:45" x14ac:dyDescent="0.25">
      <c r="A18"/>
      <c r="B18"/>
      <c r="C18"/>
      <c r="D18"/>
      <c r="E18" s="136"/>
      <c r="F18" s="136"/>
      <c r="G18"/>
      <c r="H18"/>
      <c r="I18"/>
      <c r="J18"/>
      <c r="K18"/>
      <c r="L18"/>
      <c r="M18"/>
      <c r="N18"/>
      <c r="O18"/>
      <c r="P18" s="149">
        <f t="shared" si="2"/>
        <v>0.80000000000000016</v>
      </c>
      <c r="Q18" s="207">
        <f t="shared" si="6"/>
        <v>71.664104257999995</v>
      </c>
      <c r="R18" s="207">
        <f t="shared" si="6"/>
        <v>54.868476205999997</v>
      </c>
      <c r="S18" s="207">
        <f t="shared" si="6"/>
        <v>43.354232015999997</v>
      </c>
      <c r="T18" s="207">
        <f t="shared" si="6"/>
        <v>71.664104257999995</v>
      </c>
      <c r="U18" s="207">
        <f t="shared" si="6"/>
        <v>54.868476205999997</v>
      </c>
      <c r="V18" s="207">
        <f t="shared" si="6"/>
        <v>43.354232015999997</v>
      </c>
      <c r="W18" s="207">
        <f t="shared" si="6"/>
        <v>71.664104257999995</v>
      </c>
      <c r="X18" s="207">
        <f t="shared" si="6"/>
        <v>54.868476205999997</v>
      </c>
      <c r="Y18" s="207">
        <f t="shared" si="6"/>
        <v>43.354232015999997</v>
      </c>
      <c r="Z18" s="207">
        <f t="shared" si="7"/>
        <v>23.024999999999995</v>
      </c>
      <c r="AA18" s="207">
        <f t="shared" si="7"/>
        <v>23.024999999999995</v>
      </c>
      <c r="AB18" s="207">
        <f t="shared" si="7"/>
        <v>23.024999999999995</v>
      </c>
      <c r="AC18" s="207">
        <f t="shared" si="7"/>
        <v>25.349999999999998</v>
      </c>
      <c r="AD18" s="207">
        <f t="shared" si="7"/>
        <v>25.349999999999998</v>
      </c>
      <c r="AE18" s="207">
        <f t="shared" si="7"/>
        <v>25.349999999999998</v>
      </c>
      <c r="AF18"/>
      <c r="AG18"/>
      <c r="AH18" s="148" t="e">
        <f>IF(#REF!="Single",IF(P20&gt;VLOOKUP(#REF!,RATE_PRES,5,TRUE),NA(),IF((60*VLOOKUP(#REF!,ENG_TYPE,8,FALSE))/($P20*1000)&gt;VLOOKUP(#REF!,RATE_PRES,3, FALSE),VLOOKUP(#REF!,RATE_PRES,3, FALSE),60*VLOOKUP(#REF!,ENG_TYPE,8,FALSE)/($P20*1000))),IF(P20&gt;VLOOKUP(#REF!,RATE_PRES,6,TRUE),NA(),IF((60*VLOOKUP(#REF!,ENG_TYPE,8,FALSE))/($P20*1000)&gt;VLOOKUP(#REF!,RATE_PRES,3, FALSE),VLOOKUP(#REF!,RATE_PRES,3, FALSE),60*VLOOKUP(#REF!,ENG_TYPE,8,FALSE)/($P20*1000))))</f>
        <v>#REF!</v>
      </c>
      <c r="AI18" s="148" t="e">
        <f>IF(#REF!="Single",IF(P20&gt;VLOOKUP(#REF!,RATE_PRES,5,TRUE),NA(),IF((60*VLOOKUP(#REF!,ENG_TYPE,7,FALSE))/($P20*1000)&gt;VLOOKUP(#REF!,RATE_PRES,3, FALSE),VLOOKUP(#REF!,RATE_PRES,3, FALSE),60*VLOOKUP(#REF!,ENG_TYPE,7,FALSE)/($P20*1000))),IF(P20&gt;VLOOKUP(#REF!,RATE_PRES,6,TRUE),NA(),IF((60*VLOOKUP(#REF!,ENG_TYPE,7,FALSE))/($P20*1000)&gt;VLOOKUP(#REF!,RATE_PRES,3, FALSE),VLOOKUP(#REF!,RATE_PRES,3, FALSE),60*VLOOKUP(#REF!,ENG_TYPE,7,FALSE)/($P20*1000))))</f>
        <v>#REF!</v>
      </c>
      <c r="AJ18"/>
      <c r="AK18" t="s">
        <v>339</v>
      </c>
      <c r="AL18" t="s">
        <v>340</v>
      </c>
      <c r="AM18" t="s">
        <v>341</v>
      </c>
      <c r="AN18" t="s">
        <v>342</v>
      </c>
      <c r="AO18" t="s">
        <v>343</v>
      </c>
      <c r="AP18" t="s">
        <v>344</v>
      </c>
      <c r="AQ18"/>
      <c r="AR18"/>
      <c r="AS18"/>
    </row>
    <row r="19" spans="1:45" x14ac:dyDescent="0.25">
      <c r="A19"/>
      <c r="B19"/>
      <c r="C19"/>
      <c r="D19"/>
      <c r="E19" s="136"/>
      <c r="F19" s="136"/>
      <c r="G19"/>
      <c r="H19"/>
      <c r="I19"/>
      <c r="J19"/>
      <c r="K19"/>
      <c r="L19"/>
      <c r="M19"/>
      <c r="N19"/>
      <c r="O19"/>
      <c r="P19" s="149">
        <f t="shared" si="2"/>
        <v>0.8500000000000002</v>
      </c>
      <c r="Q19" s="207">
        <f t="shared" si="6"/>
        <v>71.664104257999995</v>
      </c>
      <c r="R19" s="207">
        <f t="shared" si="6"/>
        <v>54.868476205999997</v>
      </c>
      <c r="S19" s="207">
        <f t="shared" si="6"/>
        <v>43.354232015999997</v>
      </c>
      <c r="T19" s="207">
        <f t="shared" si="6"/>
        <v>71.664104257999995</v>
      </c>
      <c r="U19" s="207">
        <f t="shared" si="6"/>
        <v>54.868476205999997</v>
      </c>
      <c r="V19" s="207">
        <f t="shared" si="6"/>
        <v>43.354232015999997</v>
      </c>
      <c r="W19" s="207">
        <f t="shared" si="6"/>
        <v>71.664104257999995</v>
      </c>
      <c r="X19" s="207">
        <f t="shared" si="6"/>
        <v>54.868476205999997</v>
      </c>
      <c r="Y19" s="207">
        <f t="shared" si="6"/>
        <v>43.354232015999997</v>
      </c>
      <c r="Z19" s="207">
        <f t="shared" si="7"/>
        <v>21.670588235294112</v>
      </c>
      <c r="AA19" s="207">
        <f t="shared" si="7"/>
        <v>21.670588235294112</v>
      </c>
      <c r="AB19" s="207">
        <f t="shared" si="7"/>
        <v>21.670588235294112</v>
      </c>
      <c r="AC19" s="207">
        <f t="shared" si="7"/>
        <v>23.858823529411758</v>
      </c>
      <c r="AD19" s="207">
        <f t="shared" si="7"/>
        <v>23.858823529411758</v>
      </c>
      <c r="AE19" s="207">
        <f t="shared" si="7"/>
        <v>23.858823529411758</v>
      </c>
      <c r="AF19"/>
      <c r="AG19"/>
      <c r="AH19" s="148" t="e">
        <f>IF(#REF!="Single",IF(P21&gt;VLOOKUP(#REF!,RATE_PRES,5,TRUE),NA(),IF((60*VLOOKUP(#REF!,ENG_TYPE,8,FALSE))/($P21*1000)&gt;VLOOKUP(#REF!,RATE_PRES,3, FALSE),VLOOKUP(#REF!,RATE_PRES,3, FALSE),60*VLOOKUP(#REF!,ENG_TYPE,8,FALSE)/($P21*1000))),IF(P21&gt;VLOOKUP(#REF!,RATE_PRES,6,TRUE),NA(),IF((60*VLOOKUP(#REF!,ENG_TYPE,8,FALSE))/($P21*1000)&gt;VLOOKUP(#REF!,RATE_PRES,3, FALSE),VLOOKUP(#REF!,RATE_PRES,3, FALSE),60*VLOOKUP(#REF!,ENG_TYPE,8,FALSE)/($P21*1000))))</f>
        <v>#REF!</v>
      </c>
      <c r="AI19" s="148" t="e">
        <f>IF(#REF!="Single",IF(P21&gt;VLOOKUP(#REF!,RATE_PRES,5,TRUE),NA(),IF((60*VLOOKUP(#REF!,ENG_TYPE,7,FALSE))/($P21*1000)&gt;VLOOKUP(#REF!,RATE_PRES,3, FALSE),VLOOKUP(#REF!,RATE_PRES,3, FALSE),60*VLOOKUP(#REF!,ENG_TYPE,7,FALSE)/($P21*1000))),IF(P21&gt;VLOOKUP(#REF!,RATE_PRES,6,TRUE),NA(),IF((60*VLOOKUP(#REF!,ENG_TYPE,7,FALSE))/($P21*1000)&gt;VLOOKUP(#REF!,RATE_PRES,3, FALSE),VLOOKUP(#REF!,RATE_PRES,3, FALSE),60*VLOOKUP(#REF!,ENG_TYPE,7,FALSE)/($P21*1000))))</f>
        <v>#REF!</v>
      </c>
      <c r="AJ19"/>
      <c r="AK19" t="s">
        <v>322</v>
      </c>
      <c r="AL19">
        <v>10394</v>
      </c>
      <c r="AM19" s="136">
        <f>AL19*0.006894757</f>
        <v>71.664104257999995</v>
      </c>
      <c r="AN19">
        <v>0.1</v>
      </c>
      <c r="AO19">
        <v>1.28</v>
      </c>
      <c r="AP19">
        <f>AO19*2</f>
        <v>2.56</v>
      </c>
      <c r="AQ19"/>
      <c r="AR19"/>
      <c r="AS19"/>
    </row>
    <row r="20" spans="1:45" x14ac:dyDescent="0.25">
      <c r="A20"/>
      <c r="B20"/>
      <c r="C20"/>
      <c r="D20"/>
      <c r="E20" s="136"/>
      <c r="F20" s="136"/>
      <c r="G20"/>
      <c r="H20"/>
      <c r="I20"/>
      <c r="J20"/>
      <c r="K20"/>
      <c r="L20"/>
      <c r="M20"/>
      <c r="N20"/>
      <c r="O20"/>
      <c r="P20" s="149">
        <f t="shared" si="2"/>
        <v>0.90000000000000024</v>
      </c>
      <c r="Q20" s="207">
        <f t="shared" si="6"/>
        <v>71.664104257999995</v>
      </c>
      <c r="R20" s="207">
        <f t="shared" si="6"/>
        <v>54.868476205999997</v>
      </c>
      <c r="S20" s="207">
        <f t="shared" si="6"/>
        <v>43.354232015999997</v>
      </c>
      <c r="T20" s="207">
        <f t="shared" si="6"/>
        <v>71.664104257999995</v>
      </c>
      <c r="U20" s="207">
        <f t="shared" si="6"/>
        <v>54.868476205999997</v>
      </c>
      <c r="V20" s="207">
        <f t="shared" si="6"/>
        <v>43.354232015999997</v>
      </c>
      <c r="W20" s="207">
        <f t="shared" si="6"/>
        <v>71.664104257999995</v>
      </c>
      <c r="X20" s="207">
        <f t="shared" si="6"/>
        <v>54.868476205999997</v>
      </c>
      <c r="Y20" s="207">
        <f t="shared" si="6"/>
        <v>43.354232015999997</v>
      </c>
      <c r="Z20" s="207">
        <f t="shared" si="7"/>
        <v>20.466666666666661</v>
      </c>
      <c r="AA20" s="207">
        <f t="shared" si="7"/>
        <v>20.466666666666661</v>
      </c>
      <c r="AB20" s="207">
        <f t="shared" si="7"/>
        <v>20.466666666666661</v>
      </c>
      <c r="AC20" s="207">
        <f t="shared" si="7"/>
        <v>22.533333333333328</v>
      </c>
      <c r="AD20" s="207">
        <f t="shared" si="7"/>
        <v>22.533333333333328</v>
      </c>
      <c r="AE20" s="207">
        <f t="shared" si="7"/>
        <v>22.533333333333328</v>
      </c>
      <c r="AF20"/>
      <c r="AG20"/>
      <c r="AH20" s="148" t="e">
        <f>IF(#REF!="Single",IF(P22&gt;VLOOKUP(#REF!,RATE_PRES,5,TRUE),NA(),IF((60*VLOOKUP(#REF!,ENG_TYPE,8,FALSE))/($P22*1000)&gt;VLOOKUP(#REF!,RATE_PRES,3, FALSE),VLOOKUP(#REF!,RATE_PRES,3, FALSE),60*VLOOKUP(#REF!,ENG_TYPE,8,FALSE)/($P22*1000))),IF(P22&gt;VLOOKUP(#REF!,RATE_PRES,6,TRUE),NA(),IF((60*VLOOKUP(#REF!,ENG_TYPE,8,FALSE))/($P22*1000)&gt;VLOOKUP(#REF!,RATE_PRES,3, FALSE),VLOOKUP(#REF!,RATE_PRES,3, FALSE),60*VLOOKUP(#REF!,ENG_TYPE,8,FALSE)/($P22*1000))))</f>
        <v>#REF!</v>
      </c>
      <c r="AI20" s="148" t="e">
        <f>IF(#REF!="Single",IF(P22&gt;VLOOKUP(#REF!,RATE_PRES,5,TRUE),NA(),IF((60*VLOOKUP(#REF!,ENG_TYPE,7,FALSE))/($P22*1000)&gt;VLOOKUP(#REF!,RATE_PRES,3, FALSE),VLOOKUP(#REF!,RATE_PRES,3, FALSE),60*VLOOKUP(#REF!,ENG_TYPE,7,FALSE)/($P22*1000))),IF(P22&gt;VLOOKUP(#REF!,RATE_PRES,6,TRUE),NA(),IF((60*VLOOKUP(#REF!,ENG_TYPE,7,FALSE))/($P22*1000)&gt;VLOOKUP(#REF!,RATE_PRES,3, FALSE),VLOOKUP(#REF!,RATE_PRES,3, FALSE),60*VLOOKUP(#REF!,ENG_TYPE,7,FALSE)/($P22*1000))))</f>
        <v>#REF!</v>
      </c>
      <c r="AJ20"/>
      <c r="AK20" t="s">
        <v>345</v>
      </c>
      <c r="AL20">
        <v>7958</v>
      </c>
      <c r="AM20" s="136">
        <f t="shared" ref="AM20:AM21" si="8">AL20*0.006894757</f>
        <v>54.868476205999997</v>
      </c>
      <c r="AN20">
        <v>0.1</v>
      </c>
      <c r="AO20">
        <v>1.58</v>
      </c>
      <c r="AP20">
        <f t="shared" ref="AP20:AP21" si="9">AO20*2</f>
        <v>3.16</v>
      </c>
      <c r="AQ20"/>
      <c r="AR20"/>
      <c r="AS20"/>
    </row>
    <row r="21" spans="1:45" x14ac:dyDescent="0.25">
      <c r="A21"/>
      <c r="B21"/>
      <c r="C21"/>
      <c r="D21"/>
      <c r="E21" s="136"/>
      <c r="F21" s="136"/>
      <c r="G21"/>
      <c r="H21"/>
      <c r="I21"/>
      <c r="J21"/>
      <c r="K21"/>
      <c r="L21"/>
      <c r="M21"/>
      <c r="N21"/>
      <c r="O21"/>
      <c r="P21" s="149">
        <f t="shared" si="2"/>
        <v>0.95000000000000029</v>
      </c>
      <c r="Q21" s="207">
        <f t="shared" si="6"/>
        <v>69.473684210526287</v>
      </c>
      <c r="R21" s="207">
        <f t="shared" si="6"/>
        <v>54.868476205999997</v>
      </c>
      <c r="S21" s="207">
        <f t="shared" si="6"/>
        <v>43.354232015999997</v>
      </c>
      <c r="T21" s="207">
        <f t="shared" si="6"/>
        <v>71.664104257999995</v>
      </c>
      <c r="U21" s="207">
        <f t="shared" si="6"/>
        <v>54.868476205999997</v>
      </c>
      <c r="V21" s="207">
        <f t="shared" si="6"/>
        <v>43.354232015999997</v>
      </c>
      <c r="W21" s="207">
        <f t="shared" si="6"/>
        <v>71.664104257999995</v>
      </c>
      <c r="X21" s="207">
        <f t="shared" si="6"/>
        <v>54.868476205999997</v>
      </c>
      <c r="Y21" s="207">
        <f t="shared" si="6"/>
        <v>43.354232015999997</v>
      </c>
      <c r="Z21" s="207">
        <f t="shared" si="7"/>
        <v>19.389473684210518</v>
      </c>
      <c r="AA21" s="207">
        <f t="shared" si="7"/>
        <v>19.389473684210518</v>
      </c>
      <c r="AB21" s="207">
        <f t="shared" si="7"/>
        <v>19.389473684210518</v>
      </c>
      <c r="AC21" s="207">
        <f t="shared" si="7"/>
        <v>21.347368421052625</v>
      </c>
      <c r="AD21" s="207">
        <f t="shared" si="7"/>
        <v>21.347368421052625</v>
      </c>
      <c r="AE21" s="207">
        <f t="shared" si="7"/>
        <v>21.347368421052625</v>
      </c>
      <c r="AF21"/>
      <c r="AG21"/>
      <c r="AH21" s="148" t="e">
        <f>IF(#REF!="Single",IF(P23&gt;VLOOKUP(#REF!,RATE_PRES,5,TRUE),NA(),IF((60*VLOOKUP(#REF!,ENG_TYPE,8,FALSE))/($P23*1000)&gt;VLOOKUP(#REF!,RATE_PRES,3, FALSE),VLOOKUP(#REF!,RATE_PRES,3, FALSE),60*VLOOKUP(#REF!,ENG_TYPE,8,FALSE)/($P23*1000))),IF(P23&gt;VLOOKUP(#REF!,RATE_PRES,6,TRUE),NA(),IF((60*VLOOKUP(#REF!,ENG_TYPE,8,FALSE))/($P23*1000)&gt;VLOOKUP(#REF!,RATE_PRES,3, FALSE),VLOOKUP(#REF!,RATE_PRES,3, FALSE),60*VLOOKUP(#REF!,ENG_TYPE,8,FALSE)/($P23*1000))))</f>
        <v>#REF!</v>
      </c>
      <c r="AI21" s="148" t="e">
        <f>IF(#REF!="Single",IF(P23&gt;VLOOKUP(#REF!,RATE_PRES,5,TRUE),NA(),IF((60*VLOOKUP(#REF!,ENG_TYPE,7,FALSE))/($P23*1000)&gt;VLOOKUP(#REF!,RATE_PRES,3, FALSE),VLOOKUP(#REF!,RATE_PRES,3, FALSE),60*VLOOKUP(#REF!,ENG_TYPE,7,FALSE)/($P23*1000))),IF(P23&gt;VLOOKUP(#REF!,RATE_PRES,6,TRUE),NA(),IF((60*VLOOKUP(#REF!,ENG_TYPE,7,FALSE))/($P23*1000)&gt;VLOOKUP(#REF!,RATE_PRES,3, FALSE),VLOOKUP(#REF!,RATE_PRES,3, FALSE),60*VLOOKUP(#REF!,ENG_TYPE,7,FALSE)/($P23*1000))))</f>
        <v>#REF!</v>
      </c>
      <c r="AJ21"/>
      <c r="AK21" t="s">
        <v>346</v>
      </c>
      <c r="AL21">
        <v>6288</v>
      </c>
      <c r="AM21" s="136">
        <f t="shared" si="8"/>
        <v>43.354232015999997</v>
      </c>
      <c r="AN21">
        <v>0.16</v>
      </c>
      <c r="AO21">
        <v>2.1</v>
      </c>
      <c r="AP21">
        <f t="shared" si="9"/>
        <v>4.2</v>
      </c>
      <c r="AQ21"/>
      <c r="AR21"/>
      <c r="AS21"/>
    </row>
    <row r="22" spans="1:45" x14ac:dyDescent="0.25">
      <c r="A22"/>
      <c r="B22"/>
      <c r="C22"/>
      <c r="D22"/>
      <c r="E22" s="136"/>
      <c r="F22" s="136"/>
      <c r="G22"/>
      <c r="H22"/>
      <c r="I22"/>
      <c r="J22"/>
      <c r="K22"/>
      <c r="L22"/>
      <c r="M22"/>
      <c r="N22"/>
      <c r="O22"/>
      <c r="P22" s="149">
        <f t="shared" si="2"/>
        <v>1.0000000000000002</v>
      </c>
      <c r="Q22" s="207">
        <f t="shared" si="6"/>
        <v>65.999999999999986</v>
      </c>
      <c r="R22" s="207">
        <f t="shared" si="6"/>
        <v>54.868476205999997</v>
      </c>
      <c r="S22" s="207">
        <f t="shared" si="6"/>
        <v>43.354232015999997</v>
      </c>
      <c r="T22" s="207">
        <f t="shared" si="6"/>
        <v>71.664104257999995</v>
      </c>
      <c r="U22" s="207">
        <f t="shared" si="6"/>
        <v>54.868476205999997</v>
      </c>
      <c r="V22" s="207">
        <f t="shared" si="6"/>
        <v>43.354232015999997</v>
      </c>
      <c r="W22" s="207">
        <f t="shared" si="6"/>
        <v>71.664104257999995</v>
      </c>
      <c r="X22" s="207">
        <f t="shared" si="6"/>
        <v>54.868476205999997</v>
      </c>
      <c r="Y22" s="207">
        <f t="shared" si="6"/>
        <v>43.354232015999997</v>
      </c>
      <c r="Z22" s="207">
        <f t="shared" si="7"/>
        <v>18.419999999999995</v>
      </c>
      <c r="AA22" s="207">
        <f t="shared" si="7"/>
        <v>18.419999999999995</v>
      </c>
      <c r="AB22" s="207">
        <f t="shared" si="7"/>
        <v>18.419999999999995</v>
      </c>
      <c r="AC22" s="207">
        <f t="shared" si="7"/>
        <v>20.279999999999994</v>
      </c>
      <c r="AD22" s="207">
        <f t="shared" si="7"/>
        <v>20.279999999999994</v>
      </c>
      <c r="AE22" s="207">
        <f t="shared" si="7"/>
        <v>20.279999999999994</v>
      </c>
      <c r="AF22"/>
      <c r="AG22"/>
      <c r="AH22" s="148" t="e">
        <f>IF(#REF!="Single",IF(P24&gt;VLOOKUP(#REF!,RATE_PRES,5,TRUE),NA(),IF((60*VLOOKUP(#REF!,ENG_TYPE,8,FALSE))/($P24*1000)&gt;VLOOKUP(#REF!,RATE_PRES,3, FALSE),VLOOKUP(#REF!,RATE_PRES,3, FALSE),60*VLOOKUP(#REF!,ENG_TYPE,8,FALSE)/($P24*1000))),IF(P24&gt;VLOOKUP(#REF!,RATE_PRES,6,TRUE),NA(),IF((60*VLOOKUP(#REF!,ENG_TYPE,8,FALSE))/($P24*1000)&gt;VLOOKUP(#REF!,RATE_PRES,3, FALSE),VLOOKUP(#REF!,RATE_PRES,3, FALSE),60*VLOOKUP(#REF!,ENG_TYPE,8,FALSE)/($P24*1000))))</f>
        <v>#REF!</v>
      </c>
      <c r="AI22" s="148" t="e">
        <f>IF(#REF!="Single",IF(P24&gt;VLOOKUP(#REF!,RATE_PRES,5,TRUE),NA(),IF((60*VLOOKUP(#REF!,ENG_TYPE,7,FALSE))/($P24*1000)&gt;VLOOKUP(#REF!,RATE_PRES,3, FALSE),VLOOKUP(#REF!,RATE_PRES,3, FALSE),60*VLOOKUP(#REF!,ENG_TYPE,7,FALSE)/($P24*1000))),IF(P24&gt;VLOOKUP(#REF!,RATE_PRES,6,TRUE),NA(),IF((60*VLOOKUP(#REF!,ENG_TYPE,7,FALSE))/($P24*1000)&gt;VLOOKUP(#REF!,RATE_PRES,3, FALSE),VLOOKUP(#REF!,RATE_PRES,3, FALSE),60*VLOOKUP(#REF!,ENG_TYPE,7,FALSE)/($P24*1000))))</f>
        <v>#REF!</v>
      </c>
      <c r="AJ22"/>
      <c r="AK22"/>
      <c r="AL22"/>
      <c r="AM22"/>
      <c r="AN22"/>
      <c r="AO22"/>
      <c r="AP22"/>
      <c r="AQ22"/>
      <c r="AR22"/>
      <c r="AS22"/>
    </row>
    <row r="23" spans="1:45" x14ac:dyDescent="0.25">
      <c r="A23"/>
      <c r="B23"/>
      <c r="C23"/>
      <c r="D23"/>
      <c r="E23" s="136"/>
      <c r="F23" s="136"/>
      <c r="G23"/>
      <c r="H23"/>
      <c r="I23"/>
      <c r="J23"/>
      <c r="K23"/>
      <c r="L23"/>
      <c r="M23"/>
      <c r="N23"/>
      <c r="O23"/>
      <c r="P23" s="149">
        <f t="shared" si="2"/>
        <v>1.0500000000000003</v>
      </c>
      <c r="Q23" s="207">
        <f t="shared" si="6"/>
        <v>62.857142857142847</v>
      </c>
      <c r="R23" s="207">
        <f t="shared" si="6"/>
        <v>54.868476205999997</v>
      </c>
      <c r="S23" s="207">
        <f t="shared" si="6"/>
        <v>43.354232015999997</v>
      </c>
      <c r="T23" s="207">
        <f t="shared" si="6"/>
        <v>71.664104257999995</v>
      </c>
      <c r="U23" s="207">
        <f t="shared" si="6"/>
        <v>54.868476205999997</v>
      </c>
      <c r="V23" s="207">
        <f t="shared" si="6"/>
        <v>43.354232015999997</v>
      </c>
      <c r="W23" s="207">
        <f t="shared" si="6"/>
        <v>71.664104257999995</v>
      </c>
      <c r="X23" s="207">
        <f t="shared" si="6"/>
        <v>54.868476205999997</v>
      </c>
      <c r="Y23" s="207">
        <f t="shared" si="6"/>
        <v>43.354232015999997</v>
      </c>
      <c r="Z23" s="207">
        <f t="shared" si="7"/>
        <v>17.542857142857137</v>
      </c>
      <c r="AA23" s="207">
        <f t="shared" si="7"/>
        <v>17.542857142857137</v>
      </c>
      <c r="AB23" s="207">
        <f t="shared" si="7"/>
        <v>17.542857142857137</v>
      </c>
      <c r="AC23" s="207">
        <f t="shared" si="7"/>
        <v>19.31428571428571</v>
      </c>
      <c r="AD23" s="207">
        <f t="shared" si="7"/>
        <v>19.31428571428571</v>
      </c>
      <c r="AE23" s="207">
        <f t="shared" si="7"/>
        <v>19.31428571428571</v>
      </c>
      <c r="AF23"/>
      <c r="AG23"/>
      <c r="AH23" s="148" t="e">
        <f>IF(#REF!="Single",IF(P25&gt;VLOOKUP(#REF!,RATE_PRES,5,TRUE),NA(),IF((60*VLOOKUP(#REF!,ENG_TYPE,8,FALSE))/($P25*1000)&gt;VLOOKUP(#REF!,RATE_PRES,3, FALSE),VLOOKUP(#REF!,RATE_PRES,3, FALSE),60*VLOOKUP(#REF!,ENG_TYPE,8,FALSE)/($P25*1000))),IF(P25&gt;VLOOKUP(#REF!,RATE_PRES,6,TRUE),NA(),IF((60*VLOOKUP(#REF!,ENG_TYPE,8,FALSE))/($P25*1000)&gt;VLOOKUP(#REF!,RATE_PRES,3, FALSE),VLOOKUP(#REF!,RATE_PRES,3, FALSE),60*VLOOKUP(#REF!,ENG_TYPE,8,FALSE)/($P25*1000))))</f>
        <v>#REF!</v>
      </c>
      <c r="AI23" s="148" t="e">
        <f>IF(#REF!="Single",IF(P25&gt;VLOOKUP(#REF!,RATE_PRES,5,TRUE),NA(),IF((60*VLOOKUP(#REF!,ENG_TYPE,7,FALSE))/($P25*1000)&gt;VLOOKUP(#REF!,RATE_PRES,3, FALSE),VLOOKUP(#REF!,RATE_PRES,3, FALSE),60*VLOOKUP(#REF!,ENG_TYPE,7,FALSE)/($P25*1000))),IF(P25&gt;VLOOKUP(#REF!,RATE_PRES,6,TRUE),NA(),IF((60*VLOOKUP(#REF!,ENG_TYPE,7,FALSE))/($P25*1000)&gt;VLOOKUP(#REF!,RATE_PRES,3, FALSE),VLOOKUP(#REF!,RATE_PRES,3, FALSE),60*VLOOKUP(#REF!,ENG_TYPE,7,FALSE)/($P25*1000))))</f>
        <v>#REF!</v>
      </c>
      <c r="AJ23"/>
      <c r="AK23"/>
      <c r="AL23"/>
      <c r="AM23"/>
      <c r="AN23"/>
      <c r="AO23"/>
      <c r="AP23"/>
      <c r="AQ23"/>
      <c r="AR23"/>
      <c r="AS23"/>
    </row>
    <row r="24" spans="1:45" x14ac:dyDescent="0.25">
      <c r="A24"/>
      <c r="B24"/>
      <c r="C24"/>
      <c r="D24"/>
      <c r="E24" s="136"/>
      <c r="F24" s="136"/>
      <c r="G24"/>
      <c r="H24"/>
      <c r="I24"/>
      <c r="J24"/>
      <c r="K24"/>
      <c r="L24"/>
      <c r="M24"/>
      <c r="N24"/>
      <c r="O24"/>
      <c r="P24" s="149">
        <f t="shared" si="2"/>
        <v>1.1000000000000003</v>
      </c>
      <c r="Q24" s="207">
        <f t="shared" ref="Q24:Y33" si="10">IF(Q$1="Single",IF($P24&gt;VLOOKUP(Q$3,RATE_PRES,5,TRUE),NA(),IF((60*VLOOKUP(Q$2,ENG_TYPE,8,FALSE))/($P24*1000)&gt;VLOOKUP(Q$3,RATE_PRES,3, FALSE),VLOOKUP(Q$3,RATE_PRES,3, FALSE),60*VLOOKUP(Q$2,ENG_TYPE,8,FALSE)/($P24*1000))),IF($P24&gt;VLOOKUP(Q$3,RATE_PRES,6,TRUE),NA(),IF((60*VLOOKUP(Q$2,ENG_TYPE,8,FALSE))/($P24*1000)&gt;VLOOKUP(Q$3,RATE_PRES,3, FALSE),VLOOKUP(Q$3,RATE_PRES,3, FALSE),60*VLOOKUP(Q$2,ENG_TYPE,8,FALSE)/($P24*1000))))</f>
        <v>59.999999999999986</v>
      </c>
      <c r="R24" s="207">
        <f t="shared" si="10"/>
        <v>54.868476205999997</v>
      </c>
      <c r="S24" s="207">
        <f t="shared" si="10"/>
        <v>43.354232015999997</v>
      </c>
      <c r="T24" s="207">
        <f t="shared" si="10"/>
        <v>71.664104257999995</v>
      </c>
      <c r="U24" s="207">
        <f t="shared" si="10"/>
        <v>54.868476205999997</v>
      </c>
      <c r="V24" s="207">
        <f t="shared" si="10"/>
        <v>43.354232015999997</v>
      </c>
      <c r="W24" s="207">
        <f t="shared" si="10"/>
        <v>71.664104257999995</v>
      </c>
      <c r="X24" s="207">
        <f t="shared" si="10"/>
        <v>54.868476205999997</v>
      </c>
      <c r="Y24" s="207">
        <f t="shared" si="10"/>
        <v>43.354232015999997</v>
      </c>
      <c r="Z24" s="207">
        <f t="shared" ref="Z24:AE33" si="11">IFERROR(IF(Z$1="Single",IF($P24&gt;VLOOKUP(Z$3,RATE_PRES,5,TRUE),NA(),IF((60*VLOOKUP(Z$2,ENG_TYPE,8,FALSE))/($P24*1000)&gt;VLOOKUP(Z$3,RATE_PRES,3, FALSE),VLOOKUP(Z$3,RATE_PRES,3, FALSE),60*VLOOKUP(Z$2,ENG_TYPE,8,FALSE)/($P24*1000))),IF($P24&gt;VLOOKUP(Z$3,RATE_PRES,6,TRUE),NA(),IF((60*VLOOKUP(Z$2,ENG_TYPE,8,FALSE))/($P24*1000)&gt;VLOOKUP(Z$3,RATE_PRES,3, FALSE),VLOOKUP(Z$3,RATE_PRES,3, FALSE),60*VLOOKUP(Z$2,ENG_TYPE,8,FALSE)/($P24*1000)))),"")</f>
        <v>16.745454545454542</v>
      </c>
      <c r="AA24" s="207">
        <f t="shared" si="11"/>
        <v>16.745454545454542</v>
      </c>
      <c r="AB24" s="207">
        <f t="shared" si="11"/>
        <v>16.745454545454542</v>
      </c>
      <c r="AC24" s="207">
        <f t="shared" si="11"/>
        <v>18.436363636363634</v>
      </c>
      <c r="AD24" s="207">
        <f t="shared" si="11"/>
        <v>18.436363636363634</v>
      </c>
      <c r="AE24" s="207">
        <f t="shared" si="11"/>
        <v>18.436363636363634</v>
      </c>
      <c r="AF24"/>
      <c r="AG24"/>
      <c r="AH24" s="148" t="e">
        <f>IF(#REF!="Single",IF(P26&gt;VLOOKUP(#REF!,RATE_PRES,5,TRUE),NA(),IF((60*VLOOKUP(#REF!,ENG_TYPE,8,FALSE))/($P26*1000)&gt;VLOOKUP(#REF!,RATE_PRES,3, FALSE),VLOOKUP(#REF!,RATE_PRES,3, FALSE),60*VLOOKUP(#REF!,ENG_TYPE,8,FALSE)/($P26*1000))),IF(P26&gt;VLOOKUP(#REF!,RATE_PRES,6,TRUE),NA(),IF((60*VLOOKUP(#REF!,ENG_TYPE,8,FALSE))/($P26*1000)&gt;VLOOKUP(#REF!,RATE_PRES,3, FALSE),VLOOKUP(#REF!,RATE_PRES,3, FALSE),60*VLOOKUP(#REF!,ENG_TYPE,8,FALSE)/($P26*1000))))</f>
        <v>#REF!</v>
      </c>
      <c r="AI24" s="148" t="e">
        <f>IF(#REF!="Single",IF(P26&gt;VLOOKUP(#REF!,RATE_PRES,5,TRUE),NA(),IF((60*VLOOKUP(#REF!,ENG_TYPE,7,FALSE))/($P26*1000)&gt;VLOOKUP(#REF!,RATE_PRES,3, FALSE),VLOOKUP(#REF!,RATE_PRES,3, FALSE),60*VLOOKUP(#REF!,ENG_TYPE,7,FALSE)/($P26*1000))),IF(P26&gt;VLOOKUP(#REF!,RATE_PRES,6,TRUE),NA(),IF((60*VLOOKUP(#REF!,ENG_TYPE,7,FALSE))/($P26*1000)&gt;VLOOKUP(#REF!,RATE_PRES,3, FALSE),VLOOKUP(#REF!,RATE_PRES,3, FALSE),60*VLOOKUP(#REF!,ENG_TYPE,7,FALSE)/($P26*1000))))</f>
        <v>#REF!</v>
      </c>
      <c r="AJ24"/>
      <c r="AK24"/>
      <c r="AL24" t="s">
        <v>347</v>
      </c>
      <c r="AM24"/>
      <c r="AN24"/>
      <c r="AO24"/>
      <c r="AP24"/>
      <c r="AQ24"/>
      <c r="AR24"/>
      <c r="AS24"/>
    </row>
    <row r="25" spans="1:45" x14ac:dyDescent="0.25">
      <c r="A25"/>
      <c r="B25"/>
      <c r="C25"/>
      <c r="D25"/>
      <c r="E25" s="136"/>
      <c r="F25" s="136"/>
      <c r="G25"/>
      <c r="H25"/>
      <c r="I25"/>
      <c r="J25"/>
      <c r="K25"/>
      <c r="L25"/>
      <c r="M25"/>
      <c r="N25"/>
      <c r="O25"/>
      <c r="P25" s="149">
        <f t="shared" si="2"/>
        <v>1.1500000000000004</v>
      </c>
      <c r="Q25" s="207">
        <f t="shared" si="10"/>
        <v>57.391304347826065</v>
      </c>
      <c r="R25" s="207">
        <f t="shared" si="10"/>
        <v>54.868476205999997</v>
      </c>
      <c r="S25" s="207">
        <f t="shared" si="10"/>
        <v>43.354232015999997</v>
      </c>
      <c r="T25" s="207">
        <f t="shared" si="10"/>
        <v>70.121739130434761</v>
      </c>
      <c r="U25" s="207">
        <f t="shared" si="10"/>
        <v>54.868476205999997</v>
      </c>
      <c r="V25" s="207">
        <f t="shared" si="10"/>
        <v>43.354232015999997</v>
      </c>
      <c r="W25" s="207">
        <f t="shared" si="10"/>
        <v>71.664104257999995</v>
      </c>
      <c r="X25" s="207">
        <f t="shared" si="10"/>
        <v>54.868476205999997</v>
      </c>
      <c r="Y25" s="207">
        <f t="shared" si="10"/>
        <v>43.354232015999997</v>
      </c>
      <c r="Z25" s="207">
        <f t="shared" si="11"/>
        <v>16.017391304347818</v>
      </c>
      <c r="AA25" s="207">
        <f t="shared" si="11"/>
        <v>16.017391304347818</v>
      </c>
      <c r="AB25" s="207">
        <f t="shared" si="11"/>
        <v>16.017391304347818</v>
      </c>
      <c r="AC25" s="207">
        <f t="shared" si="11"/>
        <v>17.634782608695645</v>
      </c>
      <c r="AD25" s="207">
        <f t="shared" si="11"/>
        <v>17.634782608695645</v>
      </c>
      <c r="AE25" s="207">
        <f t="shared" si="11"/>
        <v>17.634782608695645</v>
      </c>
      <c r="AF25"/>
      <c r="AG25"/>
      <c r="AH25" s="148" t="e">
        <f>IF(#REF!="Single",IF(P27&gt;VLOOKUP(#REF!,RATE_PRES,5,TRUE),NA(),IF((60*VLOOKUP(#REF!,ENG_TYPE,8,FALSE))/($P27*1000)&gt;VLOOKUP(#REF!,RATE_PRES,3, FALSE),VLOOKUP(#REF!,RATE_PRES,3, FALSE),60*VLOOKUP(#REF!,ENG_TYPE,8,FALSE)/($P27*1000))),IF(P27&gt;VLOOKUP(#REF!,RATE_PRES,6,TRUE),NA(),IF((60*VLOOKUP(#REF!,ENG_TYPE,8,FALSE))/($P27*1000)&gt;VLOOKUP(#REF!,RATE_PRES,3, FALSE),VLOOKUP(#REF!,RATE_PRES,3, FALSE),60*VLOOKUP(#REF!,ENG_TYPE,8,FALSE)/($P27*1000))))</f>
        <v>#REF!</v>
      </c>
      <c r="AI25" s="148" t="e">
        <f>IF(#REF!="Single",IF(P27&gt;VLOOKUP(#REF!,RATE_PRES,5,TRUE),NA(),IF((60*VLOOKUP(#REF!,ENG_TYPE,7,FALSE))/($P27*1000)&gt;VLOOKUP(#REF!,RATE_PRES,3, FALSE),VLOOKUP(#REF!,RATE_PRES,3, FALSE),60*VLOOKUP(#REF!,ENG_TYPE,7,FALSE)/($P27*1000))),IF(P27&gt;VLOOKUP(#REF!,RATE_PRES,6,TRUE),NA(),IF((60*VLOOKUP(#REF!,ENG_TYPE,7,FALSE))/($P27*1000)&gt;VLOOKUP(#REF!,RATE_PRES,3, FALSE),VLOOKUP(#REF!,RATE_PRES,3, FALSE),60*VLOOKUP(#REF!,ENG_TYPE,7,FALSE)/($P27*1000))))</f>
        <v>#REF!</v>
      </c>
      <c r="AJ25"/>
      <c r="AK25"/>
      <c r="AL25" s="144" t="s">
        <v>348</v>
      </c>
      <c r="AM25"/>
      <c r="AN25"/>
      <c r="AO25"/>
      <c r="AP25"/>
      <c r="AQ25"/>
      <c r="AR25"/>
      <c r="AS25"/>
    </row>
    <row r="26" spans="1:45" x14ac:dyDescent="0.25">
      <c r="A26"/>
      <c r="B26"/>
      <c r="C26"/>
      <c r="D26"/>
      <c r="E26" s="136"/>
      <c r="F26" s="136"/>
      <c r="G26"/>
      <c r="H26"/>
      <c r="I26"/>
      <c r="J26"/>
      <c r="K26"/>
      <c r="L26"/>
      <c r="M26"/>
      <c r="N26"/>
      <c r="O26"/>
      <c r="P26" s="149">
        <f t="shared" si="2"/>
        <v>1.2000000000000004</v>
      </c>
      <c r="Q26" s="207">
        <f t="shared" si="10"/>
        <v>54.999999999999979</v>
      </c>
      <c r="R26" s="207">
        <f t="shared" si="10"/>
        <v>54.868476205999997</v>
      </c>
      <c r="S26" s="207">
        <f t="shared" si="10"/>
        <v>43.354232015999997</v>
      </c>
      <c r="T26" s="207">
        <f t="shared" si="10"/>
        <v>67.199999999999974</v>
      </c>
      <c r="U26" s="207">
        <f t="shared" si="10"/>
        <v>54.868476205999997</v>
      </c>
      <c r="V26" s="207">
        <f t="shared" si="10"/>
        <v>43.354232015999997</v>
      </c>
      <c r="W26" s="207">
        <f t="shared" si="10"/>
        <v>71.664104257999995</v>
      </c>
      <c r="X26" s="207">
        <f t="shared" si="10"/>
        <v>54.868476205999997</v>
      </c>
      <c r="Y26" s="207">
        <f t="shared" si="10"/>
        <v>43.354232015999997</v>
      </c>
      <c r="Z26" s="207">
        <f t="shared" si="11"/>
        <v>15.349999999999994</v>
      </c>
      <c r="AA26" s="207">
        <f t="shared" si="11"/>
        <v>15.349999999999994</v>
      </c>
      <c r="AB26" s="207">
        <f t="shared" si="11"/>
        <v>15.349999999999994</v>
      </c>
      <c r="AC26" s="207">
        <f t="shared" si="11"/>
        <v>16.899999999999995</v>
      </c>
      <c r="AD26" s="207">
        <f t="shared" si="11"/>
        <v>16.899999999999995</v>
      </c>
      <c r="AE26" s="207">
        <f t="shared" si="11"/>
        <v>16.899999999999995</v>
      </c>
      <c r="AF26"/>
      <c r="AG26"/>
      <c r="AH26" s="148" t="e">
        <f>IF(#REF!="Single",IF(P28&gt;VLOOKUP(#REF!,RATE_PRES,5,TRUE),NA(),IF((60*VLOOKUP(#REF!,ENG_TYPE,8,FALSE))/($P28*1000)&gt;VLOOKUP(#REF!,RATE_PRES,3, FALSE),VLOOKUP(#REF!,RATE_PRES,3, FALSE),60*VLOOKUP(#REF!,ENG_TYPE,8,FALSE)/($P28*1000))),IF(P28&gt;VLOOKUP(#REF!,RATE_PRES,6,TRUE),NA(),IF((60*VLOOKUP(#REF!,ENG_TYPE,8,FALSE))/($P28*1000)&gt;VLOOKUP(#REF!,RATE_PRES,3, FALSE),VLOOKUP(#REF!,RATE_PRES,3, FALSE),60*VLOOKUP(#REF!,ENG_TYPE,8,FALSE)/($P28*1000))))</f>
        <v>#REF!</v>
      </c>
      <c r="AI26" s="148" t="e">
        <f>IF(#REF!="Single",IF(P28&gt;VLOOKUP(#REF!,RATE_PRES,5,TRUE),NA(),IF((60*VLOOKUP(#REF!,ENG_TYPE,7,FALSE))/($P28*1000)&gt;VLOOKUP(#REF!,RATE_PRES,3, FALSE),VLOOKUP(#REF!,RATE_PRES,3, FALSE),60*VLOOKUP(#REF!,ENG_TYPE,7,FALSE)/($P28*1000))),IF(P28&gt;VLOOKUP(#REF!,RATE_PRES,6,TRUE),NA(),IF((60*VLOOKUP(#REF!,ENG_TYPE,7,FALSE))/($P28*1000)&gt;VLOOKUP(#REF!,RATE_PRES,3, FALSE),VLOOKUP(#REF!,RATE_PRES,3, FALSE),60*VLOOKUP(#REF!,ENG_TYPE,7,FALSE)/($P28*1000))))</f>
        <v>#REF!</v>
      </c>
      <c r="AJ26"/>
      <c r="AK26"/>
      <c r="AL26" t="s">
        <v>349</v>
      </c>
      <c r="AM26"/>
      <c r="AN26"/>
      <c r="AO26"/>
      <c r="AP26"/>
      <c r="AQ26"/>
      <c r="AR26"/>
      <c r="AS26"/>
    </row>
    <row r="27" spans="1:45" x14ac:dyDescent="0.25">
      <c r="A27"/>
      <c r="B27"/>
      <c r="C27"/>
      <c r="D27"/>
      <c r="E27" s="136"/>
      <c r="F27" s="136"/>
      <c r="G27"/>
      <c r="H27"/>
      <c r="I27"/>
      <c r="J27"/>
      <c r="K27"/>
      <c r="L27"/>
      <c r="M27"/>
      <c r="N27"/>
      <c r="O27"/>
      <c r="P27" s="149">
        <f t="shared" si="2"/>
        <v>1.2500000000000004</v>
      </c>
      <c r="Q27" s="207">
        <f t="shared" si="10"/>
        <v>52.799999999999983</v>
      </c>
      <c r="R27" s="207">
        <f t="shared" si="10"/>
        <v>52.799999999999983</v>
      </c>
      <c r="S27" s="207">
        <f t="shared" si="10"/>
        <v>43.354232015999997</v>
      </c>
      <c r="T27" s="207">
        <f t="shared" si="10"/>
        <v>64.511999999999972</v>
      </c>
      <c r="U27" s="207">
        <f t="shared" si="10"/>
        <v>54.868476205999997</v>
      </c>
      <c r="V27" s="207">
        <f t="shared" si="10"/>
        <v>43.354232015999997</v>
      </c>
      <c r="W27" s="207">
        <f t="shared" si="10"/>
        <v>70.847999999999971</v>
      </c>
      <c r="X27" s="207">
        <f t="shared" si="10"/>
        <v>54.868476205999997</v>
      </c>
      <c r="Y27" s="207">
        <f t="shared" si="10"/>
        <v>43.354232015999997</v>
      </c>
      <c r="Z27" s="207">
        <f t="shared" si="11"/>
        <v>14.735999999999995</v>
      </c>
      <c r="AA27" s="207">
        <f t="shared" si="11"/>
        <v>14.735999999999995</v>
      </c>
      <c r="AB27" s="207">
        <f t="shared" si="11"/>
        <v>14.735999999999995</v>
      </c>
      <c r="AC27" s="207">
        <f t="shared" si="11"/>
        <v>16.223999999999993</v>
      </c>
      <c r="AD27" s="207">
        <f t="shared" si="11"/>
        <v>16.223999999999993</v>
      </c>
      <c r="AE27" s="207">
        <f t="shared" si="11"/>
        <v>16.223999999999993</v>
      </c>
      <c r="AF27"/>
      <c r="AG27"/>
      <c r="AH27" s="148" t="e">
        <f>IF(#REF!="Single",IF(P29&gt;VLOOKUP(#REF!,RATE_PRES,5,TRUE),NA(),IF((60*VLOOKUP(#REF!,ENG_TYPE,8,FALSE))/($P29*1000)&gt;VLOOKUP(#REF!,RATE_PRES,3, FALSE),VLOOKUP(#REF!,RATE_PRES,3, FALSE),60*VLOOKUP(#REF!,ENG_TYPE,8,FALSE)/($P29*1000))),IF(P29&gt;VLOOKUP(#REF!,RATE_PRES,6,TRUE),NA(),IF((60*VLOOKUP(#REF!,ENG_TYPE,8,FALSE))/($P29*1000)&gt;VLOOKUP(#REF!,RATE_PRES,3, FALSE),VLOOKUP(#REF!,RATE_PRES,3, FALSE),60*VLOOKUP(#REF!,ENG_TYPE,8,FALSE)/($P29*1000))))</f>
        <v>#REF!</v>
      </c>
      <c r="AI27" s="148" t="e">
        <f>IF(#REF!="Single",IF(P29&gt;VLOOKUP(#REF!,RATE_PRES,5,TRUE),NA(),IF((60*VLOOKUP(#REF!,ENG_TYPE,7,FALSE))/($P29*1000)&gt;VLOOKUP(#REF!,RATE_PRES,3, FALSE),VLOOKUP(#REF!,RATE_PRES,3, FALSE),60*VLOOKUP(#REF!,ENG_TYPE,7,FALSE)/($P29*1000))),IF(P29&gt;VLOOKUP(#REF!,RATE_PRES,6,TRUE),NA(),IF((60*VLOOKUP(#REF!,ENG_TYPE,7,FALSE))/($P29*1000)&gt;VLOOKUP(#REF!,RATE_PRES,3, FALSE),VLOOKUP(#REF!,RATE_PRES,3, FALSE),60*VLOOKUP(#REF!,ENG_TYPE,7,FALSE)/($P29*1000))))</f>
        <v>#REF!</v>
      </c>
      <c r="AJ27"/>
      <c r="AK27"/>
      <c r="AL27"/>
      <c r="AM27"/>
      <c r="AN27"/>
      <c r="AO27"/>
      <c r="AP27"/>
      <c r="AQ27"/>
      <c r="AR27"/>
      <c r="AS27"/>
    </row>
    <row r="28" spans="1:45" x14ac:dyDescent="0.25">
      <c r="A28"/>
      <c r="B28"/>
      <c r="C28"/>
      <c r="D28"/>
      <c r="E28" s="136"/>
      <c r="F28" s="136"/>
      <c r="G28"/>
      <c r="H28"/>
      <c r="I28"/>
      <c r="J28"/>
      <c r="K28"/>
      <c r="L28"/>
      <c r="M28"/>
      <c r="N28"/>
      <c r="O28"/>
      <c r="P28" s="149">
        <f t="shared" si="2"/>
        <v>1.3000000000000005</v>
      </c>
      <c r="Q28" s="207">
        <f t="shared" si="10"/>
        <v>50.769230769230752</v>
      </c>
      <c r="R28" s="207">
        <f t="shared" si="10"/>
        <v>50.769230769230752</v>
      </c>
      <c r="S28" s="207">
        <f t="shared" si="10"/>
        <v>43.354232015999997</v>
      </c>
      <c r="T28" s="207">
        <f t="shared" si="10"/>
        <v>62.030769230769209</v>
      </c>
      <c r="U28" s="207">
        <f t="shared" si="10"/>
        <v>54.868476205999997</v>
      </c>
      <c r="V28" s="207">
        <f t="shared" si="10"/>
        <v>43.354232015999997</v>
      </c>
      <c r="W28" s="207">
        <f t="shared" si="10"/>
        <v>68.123076923076894</v>
      </c>
      <c r="X28" s="207">
        <f t="shared" si="10"/>
        <v>54.868476205999997</v>
      </c>
      <c r="Y28" s="207">
        <f t="shared" si="10"/>
        <v>43.354232015999997</v>
      </c>
      <c r="Z28" s="207" t="str">
        <f t="shared" si="11"/>
        <v/>
      </c>
      <c r="AA28" s="207">
        <f t="shared" si="11"/>
        <v>14.169230769230765</v>
      </c>
      <c r="AB28" s="207">
        <f t="shared" si="11"/>
        <v>14.169230769230765</v>
      </c>
      <c r="AC28" s="207" t="str">
        <f t="shared" si="11"/>
        <v/>
      </c>
      <c r="AD28" s="207">
        <f t="shared" si="11"/>
        <v>15.599999999999994</v>
      </c>
      <c r="AE28" s="207">
        <f t="shared" si="11"/>
        <v>15.599999999999994</v>
      </c>
      <c r="AF28"/>
      <c r="AG28"/>
      <c r="AH28" s="148" t="e">
        <f>IF(#REF!="Single",IF(P30&gt;VLOOKUP(#REF!,RATE_PRES,5,TRUE),NA(),IF((60*VLOOKUP(#REF!,ENG_TYPE,8,FALSE))/($P30*1000)&gt;VLOOKUP(#REF!,RATE_PRES,3, FALSE),VLOOKUP(#REF!,RATE_PRES,3, FALSE),60*VLOOKUP(#REF!,ENG_TYPE,8,FALSE)/($P30*1000))),IF(P30&gt;VLOOKUP(#REF!,RATE_PRES,6,TRUE),NA(),IF((60*VLOOKUP(#REF!,ENG_TYPE,8,FALSE))/($P30*1000)&gt;VLOOKUP(#REF!,RATE_PRES,3, FALSE),VLOOKUP(#REF!,RATE_PRES,3, FALSE),60*VLOOKUP(#REF!,ENG_TYPE,8,FALSE)/($P30*1000))))</f>
        <v>#REF!</v>
      </c>
      <c r="AI28" s="148" t="e">
        <f>IF(#REF!="Single",IF(P30&gt;VLOOKUP(#REF!,RATE_PRES,5,TRUE),NA(),IF((60*VLOOKUP(#REF!,ENG_TYPE,7,FALSE))/($P30*1000)&gt;VLOOKUP(#REF!,RATE_PRES,3, FALSE),VLOOKUP(#REF!,RATE_PRES,3, FALSE),60*VLOOKUP(#REF!,ENG_TYPE,7,FALSE)/($P30*1000))),IF(P30&gt;VLOOKUP(#REF!,RATE_PRES,6,TRUE),NA(),IF((60*VLOOKUP(#REF!,ENG_TYPE,7,FALSE))/($P30*1000)&gt;VLOOKUP(#REF!,RATE_PRES,3, FALSE),VLOOKUP(#REF!,RATE_PRES,3, FALSE),60*VLOOKUP(#REF!,ENG_TYPE,7,FALSE)/($P30*1000))))</f>
        <v>#REF!</v>
      </c>
      <c r="AJ28"/>
      <c r="AK28"/>
      <c r="AL28"/>
      <c r="AM28"/>
      <c r="AN28"/>
      <c r="AO28"/>
      <c r="AP28"/>
      <c r="AQ28"/>
      <c r="AR28"/>
      <c r="AS28"/>
    </row>
    <row r="29" spans="1:45" x14ac:dyDescent="0.25">
      <c r="A29"/>
      <c r="B29"/>
      <c r="C29"/>
      <c r="D29"/>
      <c r="E29" s="136"/>
      <c r="F29" s="136"/>
      <c r="G29"/>
      <c r="H29"/>
      <c r="I29"/>
      <c r="J29"/>
      <c r="K29"/>
      <c r="L29"/>
      <c r="M29"/>
      <c r="N29"/>
      <c r="O29"/>
      <c r="P29" s="149">
        <f t="shared" si="2"/>
        <v>1.3500000000000005</v>
      </c>
      <c r="Q29" s="207">
        <f t="shared" si="10"/>
        <v>48.888888888888872</v>
      </c>
      <c r="R29" s="207">
        <f t="shared" si="10"/>
        <v>48.888888888888872</v>
      </c>
      <c r="S29" s="207">
        <f t="shared" si="10"/>
        <v>43.354232015999997</v>
      </c>
      <c r="T29" s="207">
        <f t="shared" si="10"/>
        <v>59.733333333333313</v>
      </c>
      <c r="U29" s="207">
        <f t="shared" si="10"/>
        <v>54.868476205999997</v>
      </c>
      <c r="V29" s="207">
        <f t="shared" si="10"/>
        <v>43.354232015999997</v>
      </c>
      <c r="W29" s="207">
        <f t="shared" si="10"/>
        <v>65.59999999999998</v>
      </c>
      <c r="X29" s="207">
        <f t="shared" si="10"/>
        <v>54.868476205999997</v>
      </c>
      <c r="Y29" s="207">
        <f t="shared" si="10"/>
        <v>43.354232015999997</v>
      </c>
      <c r="Z29" s="207" t="str">
        <f t="shared" si="11"/>
        <v/>
      </c>
      <c r="AA29" s="207">
        <f t="shared" si="11"/>
        <v>13.64444444444444</v>
      </c>
      <c r="AB29" s="207">
        <f t="shared" si="11"/>
        <v>13.64444444444444</v>
      </c>
      <c r="AC29" s="207" t="str">
        <f t="shared" si="11"/>
        <v/>
      </c>
      <c r="AD29" s="207">
        <f t="shared" si="11"/>
        <v>15.022222222222217</v>
      </c>
      <c r="AE29" s="207">
        <f t="shared" si="11"/>
        <v>15.022222222222217</v>
      </c>
      <c r="AF29"/>
      <c r="AG29"/>
      <c r="AH29" s="148" t="e">
        <f>IF(#REF!="Single",IF(P31&gt;VLOOKUP(#REF!,RATE_PRES,5,TRUE),NA(),IF((60*VLOOKUP(#REF!,ENG_TYPE,8,FALSE))/($P31*1000)&gt;VLOOKUP(#REF!,RATE_PRES,3, FALSE),VLOOKUP(#REF!,RATE_PRES,3, FALSE),60*VLOOKUP(#REF!,ENG_TYPE,8,FALSE)/($P31*1000))),IF(P31&gt;VLOOKUP(#REF!,RATE_PRES,6,TRUE),NA(),IF((60*VLOOKUP(#REF!,ENG_TYPE,8,FALSE))/($P31*1000)&gt;VLOOKUP(#REF!,RATE_PRES,3, FALSE),VLOOKUP(#REF!,RATE_PRES,3, FALSE),60*VLOOKUP(#REF!,ENG_TYPE,8,FALSE)/($P31*1000))))</f>
        <v>#REF!</v>
      </c>
      <c r="AI29" s="148" t="e">
        <f>IF(#REF!="Single",IF(P31&gt;VLOOKUP(#REF!,RATE_PRES,5,TRUE),NA(),IF((60*VLOOKUP(#REF!,ENG_TYPE,7,FALSE))/($P31*1000)&gt;VLOOKUP(#REF!,RATE_PRES,3, FALSE),VLOOKUP(#REF!,RATE_PRES,3, FALSE),60*VLOOKUP(#REF!,ENG_TYPE,7,FALSE)/($P31*1000))),IF(P31&gt;VLOOKUP(#REF!,RATE_PRES,6,TRUE),NA(),IF((60*VLOOKUP(#REF!,ENG_TYPE,7,FALSE))/($P31*1000)&gt;VLOOKUP(#REF!,RATE_PRES,3, FALSE),VLOOKUP(#REF!,RATE_PRES,3, FALSE),60*VLOOKUP(#REF!,ENG_TYPE,7,FALSE)/($P31*1000))))</f>
        <v>#REF!</v>
      </c>
      <c r="AJ29"/>
      <c r="AK29"/>
      <c r="AL29"/>
      <c r="AM29"/>
      <c r="AN29"/>
      <c r="AO29"/>
      <c r="AP29"/>
      <c r="AQ29"/>
      <c r="AR29"/>
      <c r="AS29"/>
    </row>
    <row r="30" spans="1:45" x14ac:dyDescent="0.25">
      <c r="A30"/>
      <c r="B30"/>
      <c r="C30"/>
      <c r="D30"/>
      <c r="E30" s="136"/>
      <c r="F30" s="136"/>
      <c r="G30"/>
      <c r="H30"/>
      <c r="I30"/>
      <c r="J30"/>
      <c r="K30"/>
      <c r="L30"/>
      <c r="M30"/>
      <c r="N30"/>
      <c r="O30"/>
      <c r="P30" s="149">
        <f t="shared" si="2"/>
        <v>1.4000000000000006</v>
      </c>
      <c r="Q30" s="207">
        <f t="shared" si="10"/>
        <v>47.142857142857117</v>
      </c>
      <c r="R30" s="207">
        <f t="shared" si="10"/>
        <v>47.142857142857117</v>
      </c>
      <c r="S30" s="207">
        <f t="shared" si="10"/>
        <v>43.354232015999997</v>
      </c>
      <c r="T30" s="207">
        <f t="shared" si="10"/>
        <v>57.599999999999973</v>
      </c>
      <c r="U30" s="207">
        <f t="shared" si="10"/>
        <v>54.868476205999997</v>
      </c>
      <c r="V30" s="207">
        <f t="shared" si="10"/>
        <v>43.354232015999997</v>
      </c>
      <c r="W30" s="207">
        <f t="shared" si="10"/>
        <v>63.257142857142824</v>
      </c>
      <c r="X30" s="207">
        <f t="shared" si="10"/>
        <v>54.868476205999997</v>
      </c>
      <c r="Y30" s="207">
        <f t="shared" si="10"/>
        <v>43.354232015999997</v>
      </c>
      <c r="Z30" s="207" t="str">
        <f t="shared" si="11"/>
        <v/>
      </c>
      <c r="AA30" s="207">
        <f t="shared" si="11"/>
        <v>13.157142857142851</v>
      </c>
      <c r="AB30" s="207">
        <f t="shared" si="11"/>
        <v>13.157142857142851</v>
      </c>
      <c r="AC30" s="207" t="str">
        <f t="shared" si="11"/>
        <v/>
      </c>
      <c r="AD30" s="207">
        <f t="shared" si="11"/>
        <v>14.485714285714279</v>
      </c>
      <c r="AE30" s="207">
        <f t="shared" si="11"/>
        <v>14.485714285714279</v>
      </c>
      <c r="AF30"/>
      <c r="AG30"/>
      <c r="AH30" s="148" t="e">
        <f>IF(#REF!="Single",IF(P32&gt;VLOOKUP(#REF!,RATE_PRES,5,TRUE),NA(),IF((60*VLOOKUP(#REF!,ENG_TYPE,8,FALSE))/($P32*1000)&gt;VLOOKUP(#REF!,RATE_PRES,3, FALSE),VLOOKUP(#REF!,RATE_PRES,3, FALSE),60*VLOOKUP(#REF!,ENG_TYPE,8,FALSE)/($P32*1000))),IF(P32&gt;VLOOKUP(#REF!,RATE_PRES,6,TRUE),NA(),IF((60*VLOOKUP(#REF!,ENG_TYPE,8,FALSE))/($P32*1000)&gt;VLOOKUP(#REF!,RATE_PRES,3, FALSE),VLOOKUP(#REF!,RATE_PRES,3, FALSE),60*VLOOKUP(#REF!,ENG_TYPE,8,FALSE)/($P32*1000))))</f>
        <v>#REF!</v>
      </c>
      <c r="AI30" s="148" t="e">
        <f>IF(#REF!="Single",IF(P32&gt;VLOOKUP(#REF!,RATE_PRES,5,TRUE),NA(),IF((60*VLOOKUP(#REF!,ENG_TYPE,7,FALSE))/($P32*1000)&gt;VLOOKUP(#REF!,RATE_PRES,3, FALSE),VLOOKUP(#REF!,RATE_PRES,3, FALSE),60*VLOOKUP(#REF!,ENG_TYPE,7,FALSE)/($P32*1000))),IF(P32&gt;VLOOKUP(#REF!,RATE_PRES,6,TRUE),NA(),IF((60*VLOOKUP(#REF!,ENG_TYPE,7,FALSE))/($P32*1000)&gt;VLOOKUP(#REF!,RATE_PRES,3, FALSE),VLOOKUP(#REF!,RATE_PRES,3, FALSE),60*VLOOKUP(#REF!,ENG_TYPE,7,FALSE)/($P32*1000))))</f>
        <v>#REF!</v>
      </c>
      <c r="AJ30"/>
      <c r="AK30"/>
      <c r="AL30"/>
      <c r="AM30"/>
      <c r="AN30"/>
      <c r="AO30"/>
      <c r="AP30"/>
      <c r="AQ30"/>
      <c r="AR30"/>
      <c r="AS30"/>
    </row>
    <row r="31" spans="1:45" x14ac:dyDescent="0.25">
      <c r="A31"/>
      <c r="B31"/>
      <c r="C31"/>
      <c r="D31"/>
      <c r="E31" s="136"/>
      <c r="F31" s="136"/>
      <c r="G31"/>
      <c r="H31"/>
      <c r="I31"/>
      <c r="J31"/>
      <c r="K31"/>
      <c r="L31"/>
      <c r="M31"/>
      <c r="N31"/>
      <c r="O31"/>
      <c r="P31" s="149">
        <f t="shared" si="2"/>
        <v>1.4500000000000006</v>
      </c>
      <c r="Q31" s="207">
        <f t="shared" si="10"/>
        <v>45.51724137931032</v>
      </c>
      <c r="R31" s="207">
        <f t="shared" si="10"/>
        <v>45.51724137931032</v>
      </c>
      <c r="S31" s="207">
        <f t="shared" si="10"/>
        <v>43.354232015999997</v>
      </c>
      <c r="T31" s="207">
        <f t="shared" si="10"/>
        <v>55.613793103448252</v>
      </c>
      <c r="U31" s="207">
        <f t="shared" si="10"/>
        <v>54.868476205999997</v>
      </c>
      <c r="V31" s="207">
        <f t="shared" si="10"/>
        <v>43.354232015999997</v>
      </c>
      <c r="W31" s="207">
        <f t="shared" si="10"/>
        <v>61.075862068965492</v>
      </c>
      <c r="X31" s="207">
        <f t="shared" si="10"/>
        <v>54.868476205999997</v>
      </c>
      <c r="Y31" s="207">
        <f t="shared" si="10"/>
        <v>43.354232015999997</v>
      </c>
      <c r="Z31" s="207" t="str">
        <f t="shared" si="11"/>
        <v/>
      </c>
      <c r="AA31" s="207">
        <f t="shared" si="11"/>
        <v>12.703448275862064</v>
      </c>
      <c r="AB31" s="207">
        <f t="shared" si="11"/>
        <v>12.703448275862064</v>
      </c>
      <c r="AC31" s="207" t="str">
        <f t="shared" si="11"/>
        <v/>
      </c>
      <c r="AD31" s="207">
        <f t="shared" si="11"/>
        <v>13.986206896551717</v>
      </c>
      <c r="AE31" s="207">
        <f t="shared" si="11"/>
        <v>13.986206896551717</v>
      </c>
      <c r="AF31"/>
      <c r="AG31"/>
      <c r="AH31" s="148" t="e">
        <f>IF(#REF!="Single",IF(P33&gt;VLOOKUP(#REF!,RATE_PRES,5,TRUE),NA(),IF((60*VLOOKUP(#REF!,ENG_TYPE,8,FALSE))/($P33*1000)&gt;VLOOKUP(#REF!,RATE_PRES,3, FALSE),VLOOKUP(#REF!,RATE_PRES,3, FALSE),60*VLOOKUP(#REF!,ENG_TYPE,8,FALSE)/($P33*1000))),IF(P33&gt;VLOOKUP(#REF!,RATE_PRES,6,TRUE),NA(),IF((60*VLOOKUP(#REF!,ENG_TYPE,8,FALSE))/($P33*1000)&gt;VLOOKUP(#REF!,RATE_PRES,3, FALSE),VLOOKUP(#REF!,RATE_PRES,3, FALSE),60*VLOOKUP(#REF!,ENG_TYPE,8,FALSE)/($P33*1000))))</f>
        <v>#REF!</v>
      </c>
      <c r="AI31" s="148" t="e">
        <f>IF(#REF!="Single",IF(P33&gt;VLOOKUP(#REF!,RATE_PRES,5,TRUE),NA(),IF((60*VLOOKUP(#REF!,ENG_TYPE,7,FALSE))/($P33*1000)&gt;VLOOKUP(#REF!,RATE_PRES,3, FALSE),VLOOKUP(#REF!,RATE_PRES,3, FALSE),60*VLOOKUP(#REF!,ENG_TYPE,7,FALSE)/($P33*1000))),IF(P33&gt;VLOOKUP(#REF!,RATE_PRES,6,TRUE),NA(),IF((60*VLOOKUP(#REF!,ENG_TYPE,7,FALSE))/($P33*1000)&gt;VLOOKUP(#REF!,RATE_PRES,3, FALSE),VLOOKUP(#REF!,RATE_PRES,3, FALSE),60*VLOOKUP(#REF!,ENG_TYPE,7,FALSE)/($P33*1000))))</f>
        <v>#REF!</v>
      </c>
      <c r="AJ31"/>
      <c r="AK31"/>
      <c r="AL31"/>
      <c r="AM31"/>
      <c r="AN31"/>
      <c r="AO31"/>
      <c r="AP31"/>
      <c r="AQ31"/>
      <c r="AR31"/>
      <c r="AS31"/>
    </row>
    <row r="32" spans="1:45" x14ac:dyDescent="0.25">
      <c r="A32"/>
      <c r="B32"/>
      <c r="C32"/>
      <c r="D32"/>
      <c r="E32" s="136"/>
      <c r="F32" s="136"/>
      <c r="G32"/>
      <c r="H32"/>
      <c r="I32"/>
      <c r="J32"/>
      <c r="K32"/>
      <c r="L32"/>
      <c r="M32"/>
      <c r="N32"/>
      <c r="O32"/>
      <c r="P32" s="149">
        <f t="shared" si="2"/>
        <v>1.5000000000000007</v>
      </c>
      <c r="Q32" s="207">
        <f t="shared" si="10"/>
        <v>43.999999999999979</v>
      </c>
      <c r="R32" s="207">
        <f t="shared" si="10"/>
        <v>43.999999999999979</v>
      </c>
      <c r="S32" s="207">
        <f t="shared" si="10"/>
        <v>43.354232015999997</v>
      </c>
      <c r="T32" s="207">
        <f t="shared" si="10"/>
        <v>53.759999999999977</v>
      </c>
      <c r="U32" s="207">
        <f t="shared" si="10"/>
        <v>53.759999999999977</v>
      </c>
      <c r="V32" s="207">
        <f t="shared" si="10"/>
        <v>43.354232015999997</v>
      </c>
      <c r="W32" s="207">
        <f t="shared" si="10"/>
        <v>59.039999999999971</v>
      </c>
      <c r="X32" s="207">
        <f t="shared" si="10"/>
        <v>54.868476205999997</v>
      </c>
      <c r="Y32" s="207">
        <f t="shared" si="10"/>
        <v>43.354232015999997</v>
      </c>
      <c r="Z32" s="207" t="str">
        <f t="shared" si="11"/>
        <v/>
      </c>
      <c r="AA32" s="207">
        <f t="shared" si="11"/>
        <v>12.279999999999994</v>
      </c>
      <c r="AB32" s="207">
        <f t="shared" si="11"/>
        <v>12.279999999999994</v>
      </c>
      <c r="AC32" s="207" t="str">
        <f t="shared" si="11"/>
        <v/>
      </c>
      <c r="AD32" s="207">
        <f t="shared" si="11"/>
        <v>13.519999999999994</v>
      </c>
      <c r="AE32" s="207">
        <f t="shared" si="11"/>
        <v>13.519999999999994</v>
      </c>
      <c r="AF32"/>
      <c r="AG32"/>
      <c r="AH32" s="148" t="e">
        <f>IF(#REF!="Single",IF(P34&gt;VLOOKUP(#REF!,RATE_PRES,5,TRUE),NA(),IF((60*VLOOKUP(#REF!,ENG_TYPE,8,FALSE))/($P34*1000)&gt;VLOOKUP(#REF!,RATE_PRES,3, FALSE),VLOOKUP(#REF!,RATE_PRES,3, FALSE),60*VLOOKUP(#REF!,ENG_TYPE,8,FALSE)/($P34*1000))),IF(P34&gt;VLOOKUP(#REF!,RATE_PRES,6,TRUE),NA(),IF((60*VLOOKUP(#REF!,ENG_TYPE,8,FALSE))/($P34*1000)&gt;VLOOKUP(#REF!,RATE_PRES,3, FALSE),VLOOKUP(#REF!,RATE_PRES,3, FALSE),60*VLOOKUP(#REF!,ENG_TYPE,8,FALSE)/($P34*1000))))</f>
        <v>#REF!</v>
      </c>
      <c r="AI32" s="148" t="e">
        <f>IF(#REF!="Single",IF(P34&gt;VLOOKUP(#REF!,RATE_PRES,5,TRUE),NA(),IF((60*VLOOKUP(#REF!,ENG_TYPE,7,FALSE))/($P34*1000)&gt;VLOOKUP(#REF!,RATE_PRES,3, FALSE),VLOOKUP(#REF!,RATE_PRES,3, FALSE),60*VLOOKUP(#REF!,ENG_TYPE,7,FALSE)/($P34*1000))),IF(P34&gt;VLOOKUP(#REF!,RATE_PRES,6,TRUE),NA(),IF((60*VLOOKUP(#REF!,ENG_TYPE,7,FALSE))/($P34*1000)&gt;VLOOKUP(#REF!,RATE_PRES,3, FALSE),VLOOKUP(#REF!,RATE_PRES,3, FALSE),60*VLOOKUP(#REF!,ENG_TYPE,7,FALSE)/($P34*1000))))</f>
        <v>#REF!</v>
      </c>
      <c r="AJ32"/>
      <c r="AK32"/>
      <c r="AL32"/>
      <c r="AM32"/>
      <c r="AN32"/>
      <c r="AO32"/>
      <c r="AP32"/>
      <c r="AQ32"/>
      <c r="AR32"/>
      <c r="AS32"/>
    </row>
    <row r="33" spans="1:45" x14ac:dyDescent="0.25">
      <c r="A33"/>
      <c r="B33"/>
      <c r="C33"/>
      <c r="D33"/>
      <c r="E33" s="136"/>
      <c r="F33" s="136"/>
      <c r="G33"/>
      <c r="H33"/>
      <c r="I33"/>
      <c r="J33"/>
      <c r="K33"/>
      <c r="L33"/>
      <c r="M33"/>
      <c r="N33"/>
      <c r="O33"/>
      <c r="P33" s="149">
        <f t="shared" si="2"/>
        <v>1.5500000000000007</v>
      </c>
      <c r="Q33" s="207">
        <f t="shared" si="10"/>
        <v>42.580645161290306</v>
      </c>
      <c r="R33" s="207">
        <f t="shared" si="10"/>
        <v>42.580645161290306</v>
      </c>
      <c r="S33" s="207">
        <f t="shared" si="10"/>
        <v>42.580645161290306</v>
      </c>
      <c r="T33" s="207">
        <f t="shared" si="10"/>
        <v>52.02580645161288</v>
      </c>
      <c r="U33" s="207">
        <f t="shared" si="10"/>
        <v>52.02580645161288</v>
      </c>
      <c r="V33" s="207">
        <f t="shared" si="10"/>
        <v>43.354232015999997</v>
      </c>
      <c r="W33" s="207">
        <f t="shared" si="10"/>
        <v>57.135483870967718</v>
      </c>
      <c r="X33" s="207">
        <f t="shared" si="10"/>
        <v>54.868476205999997</v>
      </c>
      <c r="Y33" s="207">
        <f t="shared" si="10"/>
        <v>43.354232015999997</v>
      </c>
      <c r="Z33" s="207" t="str">
        <f t="shared" si="11"/>
        <v/>
      </c>
      <c r="AA33" s="207">
        <f t="shared" si="11"/>
        <v>11.883870967741931</v>
      </c>
      <c r="AB33" s="207">
        <f t="shared" si="11"/>
        <v>11.883870967741931</v>
      </c>
      <c r="AC33" s="207" t="str">
        <f t="shared" si="11"/>
        <v/>
      </c>
      <c r="AD33" s="207">
        <f t="shared" si="11"/>
        <v>13.08387096774193</v>
      </c>
      <c r="AE33" s="207">
        <f t="shared" si="11"/>
        <v>13.08387096774193</v>
      </c>
      <c r="AF33"/>
      <c r="AG33"/>
      <c r="AH33" s="148" t="e">
        <f>IF(#REF!="Single",IF(P35&gt;VLOOKUP(#REF!,RATE_PRES,5,TRUE),NA(),IF((60*VLOOKUP(#REF!,ENG_TYPE,8,FALSE))/($P35*1000)&gt;VLOOKUP(#REF!,RATE_PRES,3, FALSE),VLOOKUP(#REF!,RATE_PRES,3, FALSE),60*VLOOKUP(#REF!,ENG_TYPE,8,FALSE)/($P35*1000))),IF(P35&gt;VLOOKUP(#REF!,RATE_PRES,6,TRUE),NA(),IF((60*VLOOKUP(#REF!,ENG_TYPE,8,FALSE))/($P35*1000)&gt;VLOOKUP(#REF!,RATE_PRES,3, FALSE),VLOOKUP(#REF!,RATE_PRES,3, FALSE),60*VLOOKUP(#REF!,ENG_TYPE,8,FALSE)/($P35*1000))))</f>
        <v>#REF!</v>
      </c>
      <c r="AI33" s="148" t="e">
        <f>IF(#REF!="Single",IF(P35&gt;VLOOKUP(#REF!,RATE_PRES,5,TRUE),NA(),IF((60*VLOOKUP(#REF!,ENG_TYPE,7,FALSE))/($P35*1000)&gt;VLOOKUP(#REF!,RATE_PRES,3, FALSE),VLOOKUP(#REF!,RATE_PRES,3, FALSE),60*VLOOKUP(#REF!,ENG_TYPE,7,FALSE)/($P35*1000))),IF(P35&gt;VLOOKUP(#REF!,RATE_PRES,6,TRUE),NA(),IF((60*VLOOKUP(#REF!,ENG_TYPE,7,FALSE))/($P35*1000)&gt;VLOOKUP(#REF!,RATE_PRES,3, FALSE),VLOOKUP(#REF!,RATE_PRES,3, FALSE),60*VLOOKUP(#REF!,ENG_TYPE,7,FALSE)/($P35*1000))))</f>
        <v>#REF!</v>
      </c>
      <c r="AJ33"/>
      <c r="AK33"/>
      <c r="AL33"/>
      <c r="AM33"/>
      <c r="AN33"/>
      <c r="AO33"/>
      <c r="AP33"/>
      <c r="AQ33"/>
      <c r="AR33"/>
      <c r="AS33"/>
    </row>
    <row r="34" spans="1:45" x14ac:dyDescent="0.25">
      <c r="A34"/>
      <c r="B34"/>
      <c r="C34"/>
      <c r="D34" t="str">
        <f>IF(D33="","",IF(FLOOR(D33+0.05,0.05)&gt;VLOOKUP(#REF!,RATE_PRES,5,FALSE),"",FLOOR(D33+0.05,0.05)))</f>
        <v/>
      </c>
      <c r="E34" s="136" t="str">
        <f>IF(D34="","",IF((60*VLOOKUP(#REF!,ENG_TYPE,8,FALSE))/($D34*1000)&gt;VLOOKUP(#REF!,RATE_PRES,3, FALSE),VLOOKUP(#REF!,RATE_PRES,3, FALSE),60*VLOOKUP(#REF!,ENG_TYPE,8,FALSE)/($D34*1000)))</f>
        <v/>
      </c>
      <c r="F34" s="136" t="str">
        <f>IF(D34="","",IF((60*VLOOKUP(#REF!,ENG_TYPE,7,FALSE))/($D34*1000)&gt;VLOOKUP(#REF!,RATE_PRES,3, FALSE),VLOOKUP(#REF!,RATE_PRES,3, FALSE),60*VLOOKUP(#REF!,ENG_TYPE,7,FALSE)/($D34*1000)))</f>
        <v/>
      </c>
      <c r="G34"/>
      <c r="H34"/>
      <c r="I34"/>
      <c r="J34"/>
      <c r="K34"/>
      <c r="L34"/>
      <c r="M34"/>
      <c r="N34"/>
      <c r="O34"/>
      <c r="P34" s="149">
        <f t="shared" si="2"/>
        <v>1.6000000000000008</v>
      </c>
      <c r="Q34" s="207">
        <f t="shared" ref="Q34:Y44" si="12">IF(Q$1="Single",IF($P34&gt;VLOOKUP(Q$3,RATE_PRES,5,TRUE),NA(),IF((60*VLOOKUP(Q$2,ENG_TYPE,8,FALSE))/($P34*1000)&gt;VLOOKUP(Q$3,RATE_PRES,3, FALSE),VLOOKUP(Q$3,RATE_PRES,3, FALSE),60*VLOOKUP(Q$2,ENG_TYPE,8,FALSE)/($P34*1000))),IF($P34&gt;VLOOKUP(Q$3,RATE_PRES,6,TRUE),NA(),IF((60*VLOOKUP(Q$2,ENG_TYPE,8,FALSE))/($P34*1000)&gt;VLOOKUP(Q$3,RATE_PRES,3, FALSE),VLOOKUP(Q$3,RATE_PRES,3, FALSE),60*VLOOKUP(Q$2,ENG_TYPE,8,FALSE)/($P34*1000))))</f>
        <v>41.249999999999986</v>
      </c>
      <c r="R34" s="207">
        <f t="shared" si="12"/>
        <v>41.249999999999986</v>
      </c>
      <c r="S34" s="207">
        <f t="shared" si="12"/>
        <v>41.249999999999986</v>
      </c>
      <c r="T34" s="207">
        <f t="shared" si="12"/>
        <v>50.399999999999977</v>
      </c>
      <c r="U34" s="207">
        <f t="shared" si="12"/>
        <v>50.399999999999977</v>
      </c>
      <c r="V34" s="207">
        <f t="shared" si="12"/>
        <v>43.354232015999997</v>
      </c>
      <c r="W34" s="207">
        <f t="shared" si="12"/>
        <v>55.349999999999973</v>
      </c>
      <c r="X34" s="207">
        <f t="shared" si="12"/>
        <v>54.868476205999997</v>
      </c>
      <c r="Y34" s="207">
        <f t="shared" si="12"/>
        <v>43.354232015999997</v>
      </c>
      <c r="Z34" s="207" t="str">
        <f t="shared" ref="Z34:AE44" si="13">IFERROR(IF(Z$1="Single",IF($P34&gt;VLOOKUP(Z$3,RATE_PRES,5,TRUE),NA(),IF((60*VLOOKUP(Z$2,ENG_TYPE,8,FALSE))/($P34*1000)&gt;VLOOKUP(Z$3,RATE_PRES,3, FALSE),VLOOKUP(Z$3,RATE_PRES,3, FALSE),60*VLOOKUP(Z$2,ENG_TYPE,8,FALSE)/($P34*1000))),IF($P34&gt;VLOOKUP(Z$3,RATE_PRES,6,TRUE),NA(),IF((60*VLOOKUP(Z$2,ENG_TYPE,8,FALSE))/($P34*1000)&gt;VLOOKUP(Z$3,RATE_PRES,3, FALSE),VLOOKUP(Z$3,RATE_PRES,3, FALSE),60*VLOOKUP(Z$2,ENG_TYPE,8,FALSE)/($P34*1000)))),"")</f>
        <v/>
      </c>
      <c r="AA34" s="207" t="str">
        <f t="shared" si="13"/>
        <v/>
      </c>
      <c r="AB34" s="207">
        <f t="shared" si="13"/>
        <v>11.512499999999996</v>
      </c>
      <c r="AC34" s="207" t="str">
        <f t="shared" si="13"/>
        <v/>
      </c>
      <c r="AD34" s="207" t="str">
        <f t="shared" si="13"/>
        <v/>
      </c>
      <c r="AE34" s="207">
        <f t="shared" si="13"/>
        <v>12.674999999999995</v>
      </c>
      <c r="AF34"/>
      <c r="AG34"/>
      <c r="AH34" s="148" t="e">
        <f>IF(#REF!="Single",IF(P36&gt;VLOOKUP(#REF!,RATE_PRES,5,TRUE),NA(),IF((60*VLOOKUP(#REF!,ENG_TYPE,8,FALSE))/($P36*1000)&gt;VLOOKUP(#REF!,RATE_PRES,3, FALSE),VLOOKUP(#REF!,RATE_PRES,3, FALSE),60*VLOOKUP(#REF!,ENG_TYPE,8,FALSE)/($P36*1000))),IF(P36&gt;VLOOKUP(#REF!,RATE_PRES,6,TRUE),NA(),IF((60*VLOOKUP(#REF!,ENG_TYPE,8,FALSE))/($P36*1000)&gt;VLOOKUP(#REF!,RATE_PRES,3, FALSE),VLOOKUP(#REF!,RATE_PRES,3, FALSE),60*VLOOKUP(#REF!,ENG_TYPE,8,FALSE)/($P36*1000))))</f>
        <v>#REF!</v>
      </c>
      <c r="AI34" s="148" t="e">
        <f>IF(#REF!="Single",IF(P36&gt;VLOOKUP(#REF!,RATE_PRES,5,TRUE),NA(),IF((60*VLOOKUP(#REF!,ENG_TYPE,7,FALSE))/($P36*1000)&gt;VLOOKUP(#REF!,RATE_PRES,3, FALSE),VLOOKUP(#REF!,RATE_PRES,3, FALSE),60*VLOOKUP(#REF!,ENG_TYPE,7,FALSE)/($P36*1000))),IF(P36&gt;VLOOKUP(#REF!,RATE_PRES,6,TRUE),NA(),IF((60*VLOOKUP(#REF!,ENG_TYPE,7,FALSE))/($P36*1000)&gt;VLOOKUP(#REF!,RATE_PRES,3, FALSE),VLOOKUP(#REF!,RATE_PRES,3, FALSE),60*VLOOKUP(#REF!,ENG_TYPE,7,FALSE)/($P36*1000))))</f>
        <v>#REF!</v>
      </c>
      <c r="AJ34"/>
      <c r="AK34"/>
      <c r="AL34"/>
      <c r="AM34"/>
      <c r="AN34"/>
      <c r="AO34"/>
      <c r="AP34"/>
      <c r="AQ34"/>
      <c r="AR34"/>
      <c r="AS34"/>
    </row>
    <row r="35" spans="1:45" x14ac:dyDescent="0.25">
      <c r="A35"/>
      <c r="B35"/>
      <c r="C35"/>
      <c r="D35" t="str">
        <f>IF(D34="","",IF(FLOOR(D34+0.05,0.05)&gt;VLOOKUP(#REF!,RATE_PRES,5,FALSE),"",FLOOR(D34+0.05,0.05)))</f>
        <v/>
      </c>
      <c r="E35" s="136" t="str">
        <f>IF(D35="","",IF((60*VLOOKUP(#REF!,ENG_TYPE,8,FALSE))/($D35*1000)&gt;VLOOKUP(#REF!,RATE_PRES,3, FALSE),VLOOKUP(#REF!,RATE_PRES,3, FALSE),60*VLOOKUP(#REF!,ENG_TYPE,8,FALSE)/($D35*1000)))</f>
        <v/>
      </c>
      <c r="F35" s="136" t="str">
        <f>IF(D35="","",IF((60*VLOOKUP(#REF!,ENG_TYPE,7,FALSE))/($D35*1000)&gt;VLOOKUP(#REF!,RATE_PRES,3, FALSE),VLOOKUP(#REF!,RATE_PRES,3, FALSE),60*VLOOKUP(#REF!,ENG_TYPE,7,FALSE)/($D35*1000)))</f>
        <v/>
      </c>
      <c r="G35"/>
      <c r="H35"/>
      <c r="I35"/>
      <c r="J35"/>
      <c r="K35"/>
      <c r="L35"/>
      <c r="M35"/>
      <c r="N35"/>
      <c r="O35"/>
      <c r="P35" s="149">
        <f t="shared" si="2"/>
        <v>1.6500000000000008</v>
      </c>
      <c r="Q35" s="207">
        <f t="shared" si="12"/>
        <v>39.999999999999979</v>
      </c>
      <c r="R35" s="207">
        <f t="shared" si="12"/>
        <v>39.999999999999979</v>
      </c>
      <c r="S35" s="207">
        <f t="shared" si="12"/>
        <v>39.999999999999979</v>
      </c>
      <c r="T35" s="207">
        <f t="shared" si="12"/>
        <v>48.872727272727246</v>
      </c>
      <c r="U35" s="207">
        <f t="shared" si="12"/>
        <v>48.872727272727246</v>
      </c>
      <c r="V35" s="207">
        <f t="shared" si="12"/>
        <v>43.354232015999997</v>
      </c>
      <c r="W35" s="207">
        <f t="shared" si="12"/>
        <v>53.672727272727244</v>
      </c>
      <c r="X35" s="207">
        <f t="shared" si="12"/>
        <v>53.672727272727244</v>
      </c>
      <c r="Y35" s="207">
        <f t="shared" si="12"/>
        <v>43.354232015999997</v>
      </c>
      <c r="Z35" s="207" t="str">
        <f t="shared" si="13"/>
        <v/>
      </c>
      <c r="AA35" s="207" t="str">
        <f t="shared" si="13"/>
        <v/>
      </c>
      <c r="AB35" s="207">
        <f t="shared" si="13"/>
        <v>11.163636363636357</v>
      </c>
      <c r="AC35" s="207" t="str">
        <f t="shared" si="13"/>
        <v/>
      </c>
      <c r="AD35" s="207" t="str">
        <f t="shared" si="13"/>
        <v/>
      </c>
      <c r="AE35" s="207">
        <f t="shared" si="13"/>
        <v>12.290909090909084</v>
      </c>
      <c r="AF35"/>
      <c r="AG35"/>
      <c r="AH35" s="148" t="e">
        <f>IF(#REF!="Single",IF(P37&gt;VLOOKUP(#REF!,RATE_PRES,5,TRUE),NA(),IF((60*VLOOKUP(#REF!,ENG_TYPE,8,FALSE))/($P37*1000)&gt;VLOOKUP(#REF!,RATE_PRES,3, FALSE),VLOOKUP(#REF!,RATE_PRES,3, FALSE),60*VLOOKUP(#REF!,ENG_TYPE,8,FALSE)/($P37*1000))),IF(P37&gt;VLOOKUP(#REF!,RATE_PRES,6,TRUE),NA(),IF((60*VLOOKUP(#REF!,ENG_TYPE,8,FALSE))/($P37*1000)&gt;VLOOKUP(#REF!,RATE_PRES,3, FALSE),VLOOKUP(#REF!,RATE_PRES,3, FALSE),60*VLOOKUP(#REF!,ENG_TYPE,8,FALSE)/($P37*1000))))</f>
        <v>#REF!</v>
      </c>
      <c r="AI35" s="148" t="e">
        <f>IF(#REF!="Single",IF(P37&gt;VLOOKUP(#REF!,RATE_PRES,5,TRUE),NA(),IF((60*VLOOKUP(#REF!,ENG_TYPE,7,FALSE))/($P37*1000)&gt;VLOOKUP(#REF!,RATE_PRES,3, FALSE),VLOOKUP(#REF!,RATE_PRES,3, FALSE),60*VLOOKUP(#REF!,ENG_TYPE,7,FALSE)/($P37*1000))),IF(P37&gt;VLOOKUP(#REF!,RATE_PRES,6,TRUE),NA(),IF((60*VLOOKUP(#REF!,ENG_TYPE,7,FALSE))/($P37*1000)&gt;VLOOKUP(#REF!,RATE_PRES,3, FALSE),VLOOKUP(#REF!,RATE_PRES,3, FALSE),60*VLOOKUP(#REF!,ENG_TYPE,7,FALSE)/($P37*1000))))</f>
        <v>#REF!</v>
      </c>
      <c r="AJ35"/>
      <c r="AK35"/>
      <c r="AL35"/>
      <c r="AM35"/>
      <c r="AN35"/>
      <c r="AO35"/>
      <c r="AP35"/>
      <c r="AQ35"/>
      <c r="AR35"/>
      <c r="AS35"/>
    </row>
    <row r="36" spans="1:45" x14ac:dyDescent="0.25">
      <c r="A36"/>
      <c r="B36"/>
      <c r="C36"/>
      <c r="D36" t="str">
        <f>IF(D35="","",IF(FLOOR(D35+0.05,0.05)&gt;VLOOKUP(#REF!,RATE_PRES,5,FALSE),"",FLOOR(D35+0.05,0.05)))</f>
        <v/>
      </c>
      <c r="E36" s="136" t="str">
        <f>IF(D36="","",IF((60*VLOOKUP(#REF!,ENG_TYPE,8,FALSE))/($D36*1000)&gt;VLOOKUP(#REF!,RATE_PRES,3, FALSE),VLOOKUP(#REF!,RATE_PRES,3, FALSE),60*VLOOKUP(#REF!,ENG_TYPE,8,FALSE)/($D36*1000)))</f>
        <v/>
      </c>
      <c r="F36" s="136" t="str">
        <f>IF(D36="","",IF((60*VLOOKUP(#REF!,ENG_TYPE,7,FALSE))/($D36*1000)&gt;VLOOKUP(#REF!,RATE_PRES,3, FALSE),VLOOKUP(#REF!,RATE_PRES,3, FALSE),60*VLOOKUP(#REF!,ENG_TYPE,7,FALSE)/($D36*1000)))</f>
        <v/>
      </c>
      <c r="G36"/>
      <c r="H36"/>
      <c r="I36"/>
      <c r="J36"/>
      <c r="K36"/>
      <c r="L36"/>
      <c r="M36"/>
      <c r="N36"/>
      <c r="O36"/>
      <c r="P36" s="149">
        <f t="shared" si="2"/>
        <v>1.7000000000000008</v>
      </c>
      <c r="Q36" s="207">
        <f t="shared" si="12"/>
        <v>38.823529411764682</v>
      </c>
      <c r="R36" s="207">
        <f t="shared" si="12"/>
        <v>38.823529411764682</v>
      </c>
      <c r="S36" s="207">
        <f t="shared" si="12"/>
        <v>38.823529411764682</v>
      </c>
      <c r="T36" s="207">
        <f t="shared" si="12"/>
        <v>47.435294117647032</v>
      </c>
      <c r="U36" s="207">
        <f t="shared" si="12"/>
        <v>47.435294117647032</v>
      </c>
      <c r="V36" s="207">
        <f t="shared" si="12"/>
        <v>43.354232015999997</v>
      </c>
      <c r="W36" s="207">
        <f t="shared" si="12"/>
        <v>52.094117647058795</v>
      </c>
      <c r="X36" s="207">
        <f t="shared" si="12"/>
        <v>52.094117647058795</v>
      </c>
      <c r="Y36" s="207">
        <f t="shared" si="12"/>
        <v>43.354232015999997</v>
      </c>
      <c r="Z36" s="207" t="str">
        <f t="shared" si="13"/>
        <v/>
      </c>
      <c r="AA36" s="207" t="str">
        <f t="shared" si="13"/>
        <v/>
      </c>
      <c r="AB36" s="207">
        <f t="shared" si="13"/>
        <v>10.835294117647052</v>
      </c>
      <c r="AC36" s="207" t="str">
        <f t="shared" si="13"/>
        <v/>
      </c>
      <c r="AD36" s="207" t="str">
        <f t="shared" si="13"/>
        <v/>
      </c>
      <c r="AE36" s="207">
        <f t="shared" si="13"/>
        <v>11.929411764705875</v>
      </c>
      <c r="AF36"/>
      <c r="AG36"/>
      <c r="AH36" s="148" t="e">
        <f>IF(#REF!="Single",IF(P38&gt;VLOOKUP(#REF!,RATE_PRES,5,TRUE),NA(),IF((60*VLOOKUP(#REF!,ENG_TYPE,8,FALSE))/($P38*1000)&gt;VLOOKUP(#REF!,RATE_PRES,3, FALSE),VLOOKUP(#REF!,RATE_PRES,3, FALSE),60*VLOOKUP(#REF!,ENG_TYPE,8,FALSE)/($P38*1000))),IF(P38&gt;VLOOKUP(#REF!,RATE_PRES,6,TRUE),NA(),IF((60*VLOOKUP(#REF!,ENG_TYPE,8,FALSE))/($P38*1000)&gt;VLOOKUP(#REF!,RATE_PRES,3, FALSE),VLOOKUP(#REF!,RATE_PRES,3, FALSE),60*VLOOKUP(#REF!,ENG_TYPE,8,FALSE)/($P38*1000))))</f>
        <v>#REF!</v>
      </c>
      <c r="AI36" s="148" t="e">
        <f>IF(#REF!="Single",IF(P38&gt;VLOOKUP(#REF!,RATE_PRES,5,TRUE),NA(),IF((60*VLOOKUP(#REF!,ENG_TYPE,7,FALSE))/($P38*1000)&gt;VLOOKUP(#REF!,RATE_PRES,3, FALSE),VLOOKUP(#REF!,RATE_PRES,3, FALSE),60*VLOOKUP(#REF!,ENG_TYPE,7,FALSE)/($P38*1000))),IF(P38&gt;VLOOKUP(#REF!,RATE_PRES,6,TRUE),NA(),IF((60*VLOOKUP(#REF!,ENG_TYPE,7,FALSE))/($P38*1000)&gt;VLOOKUP(#REF!,RATE_PRES,3, FALSE),VLOOKUP(#REF!,RATE_PRES,3, FALSE),60*VLOOKUP(#REF!,ENG_TYPE,7,FALSE)/($P38*1000))))</f>
        <v>#REF!</v>
      </c>
      <c r="AJ36"/>
      <c r="AK36"/>
      <c r="AL36"/>
      <c r="AM36"/>
      <c r="AN36"/>
      <c r="AO36"/>
      <c r="AP36"/>
      <c r="AQ36"/>
      <c r="AR36"/>
      <c r="AS36"/>
    </row>
    <row r="37" spans="1:45" x14ac:dyDescent="0.25">
      <c r="A37" s="145"/>
      <c r="B37" s="145"/>
      <c r="C37" s="145"/>
      <c r="D37" s="145" t="str">
        <f>IF(D36="","",IF(FLOOR(D36+0.05,0.05)&gt;VLOOKUP(#REF!,RATE_PRES,5,FALSE),"",FLOOR(D36+0.05,0.05)))</f>
        <v/>
      </c>
      <c r="E37" s="146" t="str">
        <f>IF(D37="","",IF((60*VLOOKUP(#REF!,ENG_TYPE,8,FALSE))/($D37*1000)&gt;VLOOKUP(#REF!,RATE_PRES,3, FALSE),VLOOKUP(#REF!,RATE_PRES,3, FALSE),60*VLOOKUP(#REF!,ENG_TYPE,8,FALSE)/($D37*1000)))</f>
        <v/>
      </c>
      <c r="F37" s="146" t="str">
        <f>IF(D37="","",IF((60*VLOOKUP(#REF!,ENG_TYPE,7,FALSE))/($D37*1000)&gt;VLOOKUP(#REF!,RATE_PRES,3, FALSE),VLOOKUP(#REF!,RATE_PRES,3, FALSE),60*VLOOKUP(#REF!,ENG_TYPE,7,FALSE)/($D37*1000)))</f>
        <v/>
      </c>
      <c r="G37" s="145"/>
      <c r="H37" s="145"/>
      <c r="I37" s="145"/>
      <c r="J37" s="145"/>
      <c r="K37" s="145"/>
      <c r="L37" s="145"/>
      <c r="M37" s="145"/>
      <c r="N37" s="145"/>
      <c r="O37"/>
      <c r="P37" s="149">
        <f t="shared" si="2"/>
        <v>1.7500000000000009</v>
      </c>
      <c r="Q37" s="207">
        <f t="shared" si="12"/>
        <v>37.714285714285694</v>
      </c>
      <c r="R37" s="207">
        <f t="shared" si="12"/>
        <v>37.714285714285694</v>
      </c>
      <c r="S37" s="207">
        <f t="shared" si="12"/>
        <v>37.714285714285694</v>
      </c>
      <c r="T37" s="207">
        <f t="shared" si="12"/>
        <v>46.079999999999977</v>
      </c>
      <c r="U37" s="207">
        <f t="shared" si="12"/>
        <v>46.079999999999977</v>
      </c>
      <c r="V37" s="207">
        <f t="shared" si="12"/>
        <v>43.354232015999997</v>
      </c>
      <c r="W37" s="207">
        <f t="shared" si="12"/>
        <v>50.605714285714257</v>
      </c>
      <c r="X37" s="207">
        <f t="shared" si="12"/>
        <v>50.605714285714257</v>
      </c>
      <c r="Y37" s="207">
        <f t="shared" si="12"/>
        <v>43.354232015999997</v>
      </c>
      <c r="Z37" s="207" t="str">
        <f t="shared" si="13"/>
        <v/>
      </c>
      <c r="AA37" s="207" t="str">
        <f t="shared" si="13"/>
        <v/>
      </c>
      <c r="AB37" s="207">
        <f t="shared" si="13"/>
        <v>10.52571428571428</v>
      </c>
      <c r="AC37" s="207" t="str">
        <f t="shared" si="13"/>
        <v/>
      </c>
      <c r="AD37" s="207" t="str">
        <f t="shared" si="13"/>
        <v/>
      </c>
      <c r="AE37" s="207">
        <f t="shared" si="13"/>
        <v>11.588571428571422</v>
      </c>
      <c r="AF37"/>
      <c r="AG37"/>
      <c r="AH37" s="148" t="e">
        <f>IF(#REF!="Single",IF(P39&gt;VLOOKUP(#REF!,RATE_PRES,5,TRUE),NA(),IF((60*VLOOKUP(#REF!,ENG_TYPE,8,FALSE))/($P39*1000)&gt;VLOOKUP(#REF!,RATE_PRES,3, FALSE),VLOOKUP(#REF!,RATE_PRES,3, FALSE),60*VLOOKUP(#REF!,ENG_TYPE,8,FALSE)/($P39*1000))),IF(P39&gt;VLOOKUP(#REF!,RATE_PRES,6,TRUE),NA(),IF((60*VLOOKUP(#REF!,ENG_TYPE,8,FALSE))/($P39*1000)&gt;VLOOKUP(#REF!,RATE_PRES,3, FALSE),VLOOKUP(#REF!,RATE_PRES,3, FALSE),60*VLOOKUP(#REF!,ENG_TYPE,8,FALSE)/($P39*1000))))</f>
        <v>#REF!</v>
      </c>
      <c r="AI37" s="148" t="e">
        <f>IF(#REF!="Single",IF(P39&gt;VLOOKUP(#REF!,RATE_PRES,5,TRUE),NA(),IF((60*VLOOKUP(#REF!,ENG_TYPE,7,FALSE))/($P39*1000)&gt;VLOOKUP(#REF!,RATE_PRES,3, FALSE),VLOOKUP(#REF!,RATE_PRES,3, FALSE),60*VLOOKUP(#REF!,ENG_TYPE,7,FALSE)/($P39*1000))),IF(P39&gt;VLOOKUP(#REF!,RATE_PRES,6,TRUE),NA(),IF((60*VLOOKUP(#REF!,ENG_TYPE,7,FALSE))/($P39*1000)&gt;VLOOKUP(#REF!,RATE_PRES,3, FALSE),VLOOKUP(#REF!,RATE_PRES,3, FALSE),60*VLOOKUP(#REF!,ENG_TYPE,7,FALSE)/($P39*1000))))</f>
        <v>#REF!</v>
      </c>
      <c r="AJ37"/>
      <c r="AK37"/>
      <c r="AL37"/>
      <c r="AM37"/>
      <c r="AN37"/>
      <c r="AO37"/>
      <c r="AP37"/>
      <c r="AQ37"/>
      <c r="AR37"/>
      <c r="AS37"/>
    </row>
    <row r="38" spans="1:45" x14ac:dyDescent="0.25">
      <c r="A38" s="145"/>
      <c r="B38" s="145"/>
      <c r="C38" s="145"/>
      <c r="D38" s="145" t="str">
        <f>IF(D37="","",IF(FLOOR(D37+0.05,0.05)&gt;VLOOKUP(#REF!,RATE_PRES,5,FALSE),"",FLOOR(D37+0.05,0.05)))</f>
        <v/>
      </c>
      <c r="E38" s="146" t="str">
        <f>IF(D38="","",IF((60*VLOOKUP(#REF!,ENG_TYPE,8,FALSE))/($D38*1000)&gt;VLOOKUP(#REF!,RATE_PRES,3, FALSE),VLOOKUP(#REF!,RATE_PRES,3, FALSE),60*VLOOKUP(#REF!,ENG_TYPE,8,FALSE)/($D38*1000)))</f>
        <v/>
      </c>
      <c r="F38" s="146" t="str">
        <f>IF(D38="","",IF((60*VLOOKUP(#REF!,ENG_TYPE,7,FALSE))/($D38*1000)&gt;VLOOKUP(#REF!,RATE_PRES,3, FALSE),VLOOKUP(#REF!,RATE_PRES,3, FALSE),60*VLOOKUP(#REF!,ENG_TYPE,7,FALSE)/($D38*1000)))</f>
        <v/>
      </c>
      <c r="G38" s="145"/>
      <c r="H38" s="145"/>
      <c r="I38" s="145"/>
      <c r="J38" s="145"/>
      <c r="K38" s="145"/>
      <c r="L38" s="145"/>
      <c r="M38" s="145"/>
      <c r="N38" s="145"/>
      <c r="O38"/>
      <c r="P38" s="149">
        <f t="shared" si="2"/>
        <v>1.8000000000000009</v>
      </c>
      <c r="Q38" s="207">
        <f t="shared" si="12"/>
        <v>36.66666666666665</v>
      </c>
      <c r="R38" s="207">
        <f t="shared" si="12"/>
        <v>36.66666666666665</v>
      </c>
      <c r="S38" s="207">
        <f t="shared" si="12"/>
        <v>36.66666666666665</v>
      </c>
      <c r="T38" s="207">
        <f t="shared" si="12"/>
        <v>44.799999999999976</v>
      </c>
      <c r="U38" s="207">
        <f t="shared" si="12"/>
        <v>44.799999999999976</v>
      </c>
      <c r="V38" s="207">
        <f t="shared" si="12"/>
        <v>43.354232015999997</v>
      </c>
      <c r="W38" s="207">
        <f t="shared" si="12"/>
        <v>49.199999999999974</v>
      </c>
      <c r="X38" s="207">
        <f t="shared" si="12"/>
        <v>49.199999999999974</v>
      </c>
      <c r="Y38" s="207">
        <f t="shared" si="12"/>
        <v>43.354232015999997</v>
      </c>
      <c r="Z38" s="207" t="str">
        <f t="shared" si="13"/>
        <v/>
      </c>
      <c r="AA38" s="207" t="str">
        <f t="shared" si="13"/>
        <v/>
      </c>
      <c r="AB38" s="207">
        <f t="shared" si="13"/>
        <v>10.233333333333329</v>
      </c>
      <c r="AC38" s="207" t="str">
        <f t="shared" si="13"/>
        <v/>
      </c>
      <c r="AD38" s="207" t="str">
        <f t="shared" si="13"/>
        <v/>
      </c>
      <c r="AE38" s="207">
        <f t="shared" si="13"/>
        <v>11.26666666666666</v>
      </c>
      <c r="AF38"/>
      <c r="AG38"/>
      <c r="AH38" s="148" t="e">
        <f>IF(#REF!="Single",IF(P40&gt;VLOOKUP(#REF!,RATE_PRES,5,TRUE),NA(),IF((60*VLOOKUP(#REF!,ENG_TYPE,8,FALSE))/($P40*1000)&gt;VLOOKUP(#REF!,RATE_PRES,3, FALSE),VLOOKUP(#REF!,RATE_PRES,3, FALSE),60*VLOOKUP(#REF!,ENG_TYPE,8,FALSE)/($P40*1000))),IF(P40&gt;VLOOKUP(#REF!,RATE_PRES,6,TRUE),NA(),IF((60*VLOOKUP(#REF!,ENG_TYPE,8,FALSE))/($P40*1000)&gt;VLOOKUP(#REF!,RATE_PRES,3, FALSE),VLOOKUP(#REF!,RATE_PRES,3, FALSE),60*VLOOKUP(#REF!,ENG_TYPE,8,FALSE)/($P40*1000))))</f>
        <v>#REF!</v>
      </c>
      <c r="AI38" s="148" t="e">
        <f>IF(#REF!="Single",IF(P40&gt;VLOOKUP(#REF!,RATE_PRES,5,TRUE),NA(),IF((60*VLOOKUP(#REF!,ENG_TYPE,7,FALSE))/($P40*1000)&gt;VLOOKUP(#REF!,RATE_PRES,3, FALSE),VLOOKUP(#REF!,RATE_PRES,3, FALSE),60*VLOOKUP(#REF!,ENG_TYPE,7,FALSE)/($P40*1000))),IF(P40&gt;VLOOKUP(#REF!,RATE_PRES,6,TRUE),NA(),IF((60*VLOOKUP(#REF!,ENG_TYPE,7,FALSE))/($P40*1000)&gt;VLOOKUP(#REF!,RATE_PRES,3, FALSE),VLOOKUP(#REF!,RATE_PRES,3, FALSE),60*VLOOKUP(#REF!,ENG_TYPE,7,FALSE)/($P40*1000))))</f>
        <v>#REF!</v>
      </c>
      <c r="AJ38"/>
      <c r="AK38"/>
      <c r="AL38"/>
      <c r="AM38"/>
      <c r="AN38"/>
      <c r="AO38"/>
      <c r="AP38"/>
      <c r="AQ38"/>
      <c r="AR38"/>
      <c r="AS38"/>
    </row>
    <row r="39" spans="1:45" x14ac:dyDescent="0.25">
      <c r="A39" s="145"/>
      <c r="B39" s="147"/>
      <c r="C39" s="147"/>
      <c r="D39" s="147" t="str">
        <f>IF(D38="","",IF(FLOOR(D38+0.05,0.05)&gt;VLOOKUP(#REF!,RATE_PRES,5,FALSE),"",FLOOR(D38+0.05,0.05)))</f>
        <v/>
      </c>
      <c r="E39" s="148" t="str">
        <f>IF(D39="","",IF((60*VLOOKUP(#REF!,ENG_TYPE,8,FALSE))/($D39*1000)&gt;VLOOKUP(#REF!,RATE_PRES,3, FALSE),VLOOKUP(#REF!,RATE_PRES,3, FALSE),60*VLOOKUP(#REF!,ENG_TYPE,8,FALSE)/($D39*1000)))</f>
        <v/>
      </c>
      <c r="F39" s="148" t="str">
        <f>IF(D39="","",IF((60*VLOOKUP(#REF!,ENG_TYPE,7,FALSE))/($D39*1000)&gt;VLOOKUP(#REF!,RATE_PRES,3, FALSE),VLOOKUP(#REF!,RATE_PRES,3, FALSE),60*VLOOKUP(#REF!,ENG_TYPE,7,FALSE)/($D39*1000)))</f>
        <v/>
      </c>
      <c r="G39" s="147"/>
      <c r="H39" s="147"/>
      <c r="I39" s="147"/>
      <c r="J39" s="147"/>
      <c r="K39" s="147"/>
      <c r="L39" s="147"/>
      <c r="M39" s="147"/>
      <c r="N39" s="147"/>
      <c r="O39"/>
      <c r="P39" s="149">
        <f t="shared" si="2"/>
        <v>1.850000000000001</v>
      </c>
      <c r="Q39" s="207">
        <f t="shared" si="12"/>
        <v>35.675675675675656</v>
      </c>
      <c r="R39" s="207">
        <f t="shared" si="12"/>
        <v>35.675675675675656</v>
      </c>
      <c r="S39" s="207">
        <f t="shared" si="12"/>
        <v>35.675675675675656</v>
      </c>
      <c r="T39" s="207">
        <f t="shared" si="12"/>
        <v>43.58918918918917</v>
      </c>
      <c r="U39" s="207">
        <f t="shared" si="12"/>
        <v>43.58918918918917</v>
      </c>
      <c r="V39" s="207">
        <f t="shared" si="12"/>
        <v>43.354232015999997</v>
      </c>
      <c r="W39" s="207">
        <f t="shared" si="12"/>
        <v>47.870270270270247</v>
      </c>
      <c r="X39" s="207">
        <f t="shared" si="12"/>
        <v>47.870270270270247</v>
      </c>
      <c r="Y39" s="207">
        <f t="shared" si="12"/>
        <v>43.354232015999997</v>
      </c>
      <c r="Z39" s="207" t="str">
        <f t="shared" si="13"/>
        <v/>
      </c>
      <c r="AA39" s="207" t="str">
        <f t="shared" si="13"/>
        <v/>
      </c>
      <c r="AB39" s="207">
        <f t="shared" si="13"/>
        <v>9.9567567567567519</v>
      </c>
      <c r="AC39" s="207" t="str">
        <f t="shared" si="13"/>
        <v/>
      </c>
      <c r="AD39" s="207" t="str">
        <f t="shared" si="13"/>
        <v/>
      </c>
      <c r="AE39" s="207">
        <f t="shared" si="13"/>
        <v>10.962162162162157</v>
      </c>
      <c r="AF39"/>
      <c r="AG39"/>
      <c r="AH39" s="148" t="e">
        <f>IF(#REF!="Single",IF(P41&gt;VLOOKUP(#REF!,RATE_PRES,5,TRUE),NA(),IF((60*VLOOKUP(#REF!,ENG_TYPE,8,FALSE))/($P41*1000)&gt;VLOOKUP(#REF!,RATE_PRES,3, FALSE),VLOOKUP(#REF!,RATE_PRES,3, FALSE),60*VLOOKUP(#REF!,ENG_TYPE,8,FALSE)/($P41*1000))),IF(P41&gt;VLOOKUP(#REF!,RATE_PRES,6,TRUE),NA(),IF((60*VLOOKUP(#REF!,ENG_TYPE,8,FALSE))/($P41*1000)&gt;VLOOKUP(#REF!,RATE_PRES,3, FALSE),VLOOKUP(#REF!,RATE_PRES,3, FALSE),60*VLOOKUP(#REF!,ENG_TYPE,8,FALSE)/($P41*1000))))</f>
        <v>#REF!</v>
      </c>
      <c r="AI39" s="148" t="e">
        <f>IF(#REF!="Single",IF(P41&gt;VLOOKUP(#REF!,RATE_PRES,5,TRUE),NA(),IF((60*VLOOKUP(#REF!,ENG_TYPE,7,FALSE))/($P41*1000)&gt;VLOOKUP(#REF!,RATE_PRES,3, FALSE),VLOOKUP(#REF!,RATE_PRES,3, FALSE),60*VLOOKUP(#REF!,ENG_TYPE,7,FALSE)/($P41*1000))),IF(P41&gt;VLOOKUP(#REF!,RATE_PRES,6,TRUE),NA(),IF((60*VLOOKUP(#REF!,ENG_TYPE,7,FALSE))/($P41*1000)&gt;VLOOKUP(#REF!,RATE_PRES,3, FALSE),VLOOKUP(#REF!,RATE_PRES,3, FALSE),60*VLOOKUP(#REF!,ENG_TYPE,7,FALSE)/($P41*1000))))</f>
        <v>#REF!</v>
      </c>
      <c r="AJ39"/>
      <c r="AK39"/>
      <c r="AL39"/>
      <c r="AM39"/>
      <c r="AN39"/>
      <c r="AO39"/>
      <c r="AP39"/>
      <c r="AQ39"/>
      <c r="AR39"/>
      <c r="AS39"/>
    </row>
    <row r="40" spans="1:45" x14ac:dyDescent="0.25">
      <c r="A40" s="145"/>
      <c r="B40" s="147"/>
      <c r="C40" s="147"/>
      <c r="D40" s="147" t="str">
        <f>IF(D39="","",IF(FLOOR(D39+0.05,0.05)&gt;VLOOKUP(#REF!,RATE_PRES,5,FALSE),"",FLOOR(D39+0.05,0.05)))</f>
        <v/>
      </c>
      <c r="E40" s="148" t="str">
        <f>IF(D40="","",IF((60*VLOOKUP(#REF!,ENG_TYPE,8,FALSE))/($D40*1000)&gt;VLOOKUP(#REF!,RATE_PRES,3, FALSE),VLOOKUP(#REF!,RATE_PRES,3, FALSE),60*VLOOKUP(#REF!,ENG_TYPE,8,FALSE)/($D40*1000)))</f>
        <v/>
      </c>
      <c r="F40" s="148" t="str">
        <f>IF(D40="","",IF((60*VLOOKUP(#REF!,ENG_TYPE,7,FALSE))/($D40*1000)&gt;VLOOKUP(#REF!,RATE_PRES,3, FALSE),VLOOKUP(#REF!,RATE_PRES,3, FALSE),60*VLOOKUP(#REF!,ENG_TYPE,7,FALSE)/($D40*1000)))</f>
        <v/>
      </c>
      <c r="G40" s="147"/>
      <c r="H40" s="147"/>
      <c r="I40" s="147"/>
      <c r="J40" s="147"/>
      <c r="K40" s="147"/>
      <c r="L40" s="147"/>
      <c r="M40" s="147"/>
      <c r="N40" s="147"/>
      <c r="O40"/>
      <c r="P40" s="149">
        <f t="shared" si="2"/>
        <v>1.900000000000001</v>
      </c>
      <c r="Q40" s="207">
        <f t="shared" si="12"/>
        <v>34.736842105263143</v>
      </c>
      <c r="R40" s="207">
        <f t="shared" si="12"/>
        <v>34.736842105263143</v>
      </c>
      <c r="S40" s="207">
        <f t="shared" si="12"/>
        <v>34.736842105263143</v>
      </c>
      <c r="T40" s="207">
        <f t="shared" si="12"/>
        <v>42.442105263157877</v>
      </c>
      <c r="U40" s="207">
        <f t="shared" si="12"/>
        <v>42.442105263157877</v>
      </c>
      <c r="V40" s="207">
        <f t="shared" si="12"/>
        <v>42.442105263157877</v>
      </c>
      <c r="W40" s="207">
        <f t="shared" si="12"/>
        <v>46.61052631578945</v>
      </c>
      <c r="X40" s="207">
        <f t="shared" si="12"/>
        <v>46.61052631578945</v>
      </c>
      <c r="Y40" s="207">
        <f t="shared" si="12"/>
        <v>43.354232015999997</v>
      </c>
      <c r="Z40" s="207" t="str">
        <f t="shared" si="13"/>
        <v/>
      </c>
      <c r="AA40" s="207" t="str">
        <f t="shared" si="13"/>
        <v/>
      </c>
      <c r="AB40" s="207">
        <f t="shared" si="13"/>
        <v>9.6947368421052591</v>
      </c>
      <c r="AC40" s="207" t="str">
        <f t="shared" si="13"/>
        <v/>
      </c>
      <c r="AD40" s="207" t="str">
        <f t="shared" si="13"/>
        <v/>
      </c>
      <c r="AE40" s="207">
        <f t="shared" si="13"/>
        <v>10.673684210526311</v>
      </c>
      <c r="AF40" s="145"/>
      <c r="AG40" s="145"/>
      <c r="AH40" s="148" t="e">
        <f>IF(#REF!="Single",IF(P42&gt;VLOOKUP(#REF!,RATE_PRES,5,TRUE),NA(),IF((60*VLOOKUP(#REF!,ENG_TYPE,8,FALSE))/($P42*1000)&gt;VLOOKUP(#REF!,RATE_PRES,3, FALSE),VLOOKUP(#REF!,RATE_PRES,3, FALSE),60*VLOOKUP(#REF!,ENG_TYPE,8,FALSE)/($P42*1000))),IF(P42&gt;VLOOKUP(#REF!,RATE_PRES,6,TRUE),NA(),IF((60*VLOOKUP(#REF!,ENG_TYPE,8,FALSE))/($P42*1000)&gt;VLOOKUP(#REF!,RATE_PRES,3, FALSE),VLOOKUP(#REF!,RATE_PRES,3, FALSE),60*VLOOKUP(#REF!,ENG_TYPE,8,FALSE)/($P42*1000))))</f>
        <v>#REF!</v>
      </c>
      <c r="AI40" s="148" t="e">
        <f>IF(#REF!="Single",IF(P42&gt;VLOOKUP(#REF!,RATE_PRES,5,TRUE),NA(),IF((60*VLOOKUP(#REF!,ENG_TYPE,7,FALSE))/($P42*1000)&gt;VLOOKUP(#REF!,RATE_PRES,3, FALSE),VLOOKUP(#REF!,RATE_PRES,3, FALSE),60*VLOOKUP(#REF!,ENG_TYPE,7,FALSE)/($P42*1000))),IF(P42&gt;VLOOKUP(#REF!,RATE_PRES,6,TRUE),NA(),IF((60*VLOOKUP(#REF!,ENG_TYPE,7,FALSE))/($P42*1000)&gt;VLOOKUP(#REF!,RATE_PRES,3, FALSE),VLOOKUP(#REF!,RATE_PRES,3, FALSE),60*VLOOKUP(#REF!,ENG_TYPE,7,FALSE)/($P42*1000))))</f>
        <v>#REF!</v>
      </c>
      <c r="AJ40"/>
      <c r="AK40"/>
      <c r="AL40"/>
      <c r="AM40"/>
      <c r="AN40"/>
      <c r="AO40"/>
      <c r="AP40"/>
      <c r="AQ40"/>
      <c r="AR40"/>
      <c r="AS40"/>
    </row>
    <row r="41" spans="1:45" x14ac:dyDescent="0.25">
      <c r="A41" s="145"/>
      <c r="B41" s="147"/>
      <c r="C41" s="147"/>
      <c r="D41" s="147"/>
      <c r="E41" s="147"/>
      <c r="F41" s="147"/>
      <c r="G41" s="147"/>
      <c r="H41" s="147"/>
      <c r="I41" s="147"/>
      <c r="J41" s="147"/>
      <c r="K41" s="147"/>
      <c r="L41" s="147"/>
      <c r="M41" s="147"/>
      <c r="N41" s="147"/>
      <c r="O41"/>
      <c r="P41" s="149">
        <f t="shared" si="2"/>
        <v>1.9500000000000011</v>
      </c>
      <c r="Q41" s="207">
        <f t="shared" si="12"/>
        <v>33.846153846153825</v>
      </c>
      <c r="R41" s="207">
        <f t="shared" si="12"/>
        <v>33.846153846153825</v>
      </c>
      <c r="S41" s="207">
        <f t="shared" si="12"/>
        <v>33.846153846153825</v>
      </c>
      <c r="T41" s="207">
        <f t="shared" si="12"/>
        <v>41.353846153846128</v>
      </c>
      <c r="U41" s="207">
        <f t="shared" si="12"/>
        <v>41.353846153846128</v>
      </c>
      <c r="V41" s="207">
        <f t="shared" si="12"/>
        <v>41.353846153846128</v>
      </c>
      <c r="W41" s="207">
        <f t="shared" si="12"/>
        <v>45.415384615384589</v>
      </c>
      <c r="X41" s="207">
        <f t="shared" si="12"/>
        <v>45.415384615384589</v>
      </c>
      <c r="Y41" s="207">
        <f t="shared" si="12"/>
        <v>43.354232015999997</v>
      </c>
      <c r="Z41" s="207" t="str">
        <f t="shared" si="13"/>
        <v/>
      </c>
      <c r="AA41" s="207" t="str">
        <f t="shared" si="13"/>
        <v/>
      </c>
      <c r="AB41" s="207">
        <f t="shared" si="13"/>
        <v>9.446153846153841</v>
      </c>
      <c r="AC41" s="207" t="str">
        <f t="shared" si="13"/>
        <v/>
      </c>
      <c r="AD41" s="207" t="str">
        <f t="shared" si="13"/>
        <v/>
      </c>
      <c r="AE41" s="207">
        <f t="shared" si="13"/>
        <v>10.399999999999993</v>
      </c>
      <c r="AF41" s="145"/>
      <c r="AG41" s="145"/>
      <c r="AH41" s="148" t="e">
        <f>IF(#REF!="Single",IF(P43&gt;VLOOKUP(#REF!,RATE_PRES,5,TRUE),NA(),IF((60*VLOOKUP(#REF!,ENG_TYPE,8,FALSE))/($P43*1000)&gt;VLOOKUP(#REF!,RATE_PRES,3, FALSE),VLOOKUP(#REF!,RATE_PRES,3, FALSE),60*VLOOKUP(#REF!,ENG_TYPE,8,FALSE)/($P43*1000))),IF(P43&gt;VLOOKUP(#REF!,RATE_PRES,6,TRUE),NA(),IF((60*VLOOKUP(#REF!,ENG_TYPE,8,FALSE))/($P43*1000)&gt;VLOOKUP(#REF!,RATE_PRES,3, FALSE),VLOOKUP(#REF!,RATE_PRES,3, FALSE),60*VLOOKUP(#REF!,ENG_TYPE,8,FALSE)/($P43*1000))))</f>
        <v>#REF!</v>
      </c>
      <c r="AI41" s="148" t="e">
        <f>IF(#REF!="Single",IF(P43&gt;VLOOKUP(#REF!,RATE_PRES,5,TRUE),NA(),IF((60*VLOOKUP(#REF!,ENG_TYPE,7,FALSE))/($P43*1000)&gt;VLOOKUP(#REF!,RATE_PRES,3, FALSE),VLOOKUP(#REF!,RATE_PRES,3, FALSE),60*VLOOKUP(#REF!,ENG_TYPE,7,FALSE)/($P43*1000))),IF(P43&gt;VLOOKUP(#REF!,RATE_PRES,6,TRUE),NA(),IF((60*VLOOKUP(#REF!,ENG_TYPE,7,FALSE))/($P43*1000)&gt;VLOOKUP(#REF!,RATE_PRES,3, FALSE),VLOOKUP(#REF!,RATE_PRES,3, FALSE),60*VLOOKUP(#REF!,ENG_TYPE,7,FALSE)/($P43*1000))))</f>
        <v>#REF!</v>
      </c>
      <c r="AJ41"/>
      <c r="AK41"/>
      <c r="AL41"/>
      <c r="AM41"/>
      <c r="AN41"/>
      <c r="AO41"/>
      <c r="AP41"/>
      <c r="AQ41"/>
      <c r="AR41"/>
      <c r="AS41"/>
    </row>
    <row r="42" spans="1:45" x14ac:dyDescent="0.25">
      <c r="A42" s="145"/>
      <c r="B42" s="147"/>
      <c r="C42" s="147"/>
      <c r="D42" s="147"/>
      <c r="E42" s="147"/>
      <c r="F42" s="147"/>
      <c r="G42" s="147"/>
      <c r="H42" s="147"/>
      <c r="I42" s="147"/>
      <c r="J42" s="147"/>
      <c r="K42" s="147"/>
      <c r="L42" s="147"/>
      <c r="M42" s="147"/>
      <c r="N42" s="147"/>
      <c r="O42" s="145"/>
      <c r="P42" s="149">
        <f t="shared" si="2"/>
        <v>2.0000000000000009</v>
      </c>
      <c r="Q42" s="207">
        <f t="shared" si="12"/>
        <v>32.999999999999986</v>
      </c>
      <c r="R42" s="207">
        <f t="shared" si="12"/>
        <v>32.999999999999986</v>
      </c>
      <c r="S42" s="207">
        <f t="shared" si="12"/>
        <v>32.999999999999986</v>
      </c>
      <c r="T42" s="207">
        <f t="shared" si="12"/>
        <v>40.319999999999979</v>
      </c>
      <c r="U42" s="207">
        <f t="shared" si="12"/>
        <v>40.319999999999979</v>
      </c>
      <c r="V42" s="207">
        <f t="shared" si="12"/>
        <v>40.319999999999979</v>
      </c>
      <c r="W42" s="207">
        <f t="shared" si="12"/>
        <v>44.27999999999998</v>
      </c>
      <c r="X42" s="207">
        <f t="shared" si="12"/>
        <v>44.27999999999998</v>
      </c>
      <c r="Y42" s="207">
        <f t="shared" si="12"/>
        <v>43.354232015999997</v>
      </c>
      <c r="Z42" s="207" t="str">
        <f t="shared" si="13"/>
        <v/>
      </c>
      <c r="AA42" s="207" t="str">
        <f t="shared" si="13"/>
        <v/>
      </c>
      <c r="AB42" s="207">
        <f t="shared" si="13"/>
        <v>9.2099999999999955</v>
      </c>
      <c r="AC42" s="207" t="str">
        <f t="shared" si="13"/>
        <v/>
      </c>
      <c r="AD42" s="207" t="str">
        <f t="shared" si="13"/>
        <v/>
      </c>
      <c r="AE42" s="207">
        <f t="shared" si="13"/>
        <v>10.139999999999995</v>
      </c>
      <c r="AF42" s="145"/>
      <c r="AG42" s="145"/>
      <c r="AH42" s="148" t="e">
        <f>IF(#REF!="Single",IF(P44&gt;VLOOKUP(#REF!,RATE_PRES,5,TRUE),NA(),IF((60*VLOOKUP(#REF!,ENG_TYPE,8,FALSE))/($P44*1000)&gt;VLOOKUP(#REF!,RATE_PRES,3, FALSE),VLOOKUP(#REF!,RATE_PRES,3, FALSE),60*VLOOKUP(#REF!,ENG_TYPE,8,FALSE)/($P44*1000))),IF(P44&gt;VLOOKUP(#REF!,RATE_PRES,6,TRUE),NA(),IF((60*VLOOKUP(#REF!,ENG_TYPE,8,FALSE))/($P44*1000)&gt;VLOOKUP(#REF!,RATE_PRES,3, FALSE),VLOOKUP(#REF!,RATE_PRES,3, FALSE),60*VLOOKUP(#REF!,ENG_TYPE,8,FALSE)/($P44*1000))))</f>
        <v>#REF!</v>
      </c>
      <c r="AI42" s="148" t="e">
        <f>IF(#REF!="Single",IF(P44&gt;VLOOKUP(#REF!,RATE_PRES,5,TRUE),NA(),IF((60*VLOOKUP(#REF!,ENG_TYPE,7,FALSE))/($P44*1000)&gt;VLOOKUP(#REF!,RATE_PRES,3, FALSE),VLOOKUP(#REF!,RATE_PRES,3, FALSE),60*VLOOKUP(#REF!,ENG_TYPE,7,FALSE)/($P44*1000))),IF(P44&gt;VLOOKUP(#REF!,RATE_PRES,6,TRUE),NA(),IF((60*VLOOKUP(#REF!,ENG_TYPE,7,FALSE))/($P44*1000)&gt;VLOOKUP(#REF!,RATE_PRES,3, FALSE),VLOOKUP(#REF!,RATE_PRES,3, FALSE),60*VLOOKUP(#REF!,ENG_TYPE,7,FALSE)/($P44*1000))))</f>
        <v>#REF!</v>
      </c>
      <c r="AJ42" s="145"/>
      <c r="AK42" s="145"/>
      <c r="AL42" s="145"/>
      <c r="AM42" s="145"/>
      <c r="AN42" s="145"/>
      <c r="AO42" s="145"/>
      <c r="AP42" s="145"/>
      <c r="AQ42" s="145"/>
      <c r="AR42" s="145"/>
      <c r="AS42" s="145"/>
    </row>
    <row r="43" spans="1:45" x14ac:dyDescent="0.25">
      <c r="A43" s="145"/>
      <c r="B43" s="147"/>
      <c r="C43" s="147"/>
      <c r="D43" s="147"/>
      <c r="E43" s="147"/>
      <c r="F43" s="147"/>
      <c r="G43" s="147"/>
      <c r="H43" s="147"/>
      <c r="I43" s="147"/>
      <c r="J43" s="147"/>
      <c r="K43" s="147"/>
      <c r="L43" s="147"/>
      <c r="M43" s="147"/>
      <c r="N43" s="147"/>
      <c r="O43" s="145"/>
      <c r="P43" s="149">
        <f t="shared" si="2"/>
        <v>2.0500000000000007</v>
      </c>
      <c r="Q43" s="207">
        <f t="shared" si="12"/>
        <v>32.195121951219498</v>
      </c>
      <c r="R43" s="207">
        <f t="shared" si="12"/>
        <v>32.195121951219498</v>
      </c>
      <c r="S43" s="207">
        <f t="shared" si="12"/>
        <v>32.195121951219498</v>
      </c>
      <c r="T43" s="207">
        <f t="shared" si="12"/>
        <v>39.336585365853644</v>
      </c>
      <c r="U43" s="207">
        <f t="shared" si="12"/>
        <v>39.336585365853644</v>
      </c>
      <c r="V43" s="207">
        <f t="shared" si="12"/>
        <v>39.336585365853644</v>
      </c>
      <c r="W43" s="207">
        <f t="shared" si="12"/>
        <v>43.199999999999982</v>
      </c>
      <c r="X43" s="207">
        <f t="shared" si="12"/>
        <v>43.199999999999982</v>
      </c>
      <c r="Y43" s="207">
        <f t="shared" si="12"/>
        <v>43.199999999999982</v>
      </c>
      <c r="Z43" s="207" t="str">
        <f t="shared" si="13"/>
        <v/>
      </c>
      <c r="AA43" s="207" t="str">
        <f t="shared" si="13"/>
        <v/>
      </c>
      <c r="AB43" s="207">
        <f t="shared" si="13"/>
        <v>8.9853658536585321</v>
      </c>
      <c r="AC43" s="207" t="str">
        <f t="shared" si="13"/>
        <v/>
      </c>
      <c r="AD43" s="207" t="str">
        <f t="shared" si="13"/>
        <v/>
      </c>
      <c r="AE43" s="207">
        <f t="shared" si="13"/>
        <v>9.8926829268292646</v>
      </c>
      <c r="AF43" s="145"/>
      <c r="AG43" s="145"/>
      <c r="AH43" s="145"/>
      <c r="AI43" s="145"/>
      <c r="AJ43" s="145"/>
      <c r="AK43" s="145"/>
      <c r="AL43" s="145"/>
      <c r="AM43" s="145"/>
      <c r="AN43" s="145"/>
      <c r="AO43" s="145"/>
      <c r="AP43" s="145"/>
      <c r="AQ43" s="145"/>
      <c r="AR43" s="145"/>
      <c r="AS43" s="145"/>
    </row>
    <row r="44" spans="1:45" x14ac:dyDescent="0.25">
      <c r="A44" s="145"/>
      <c r="B44" s="147"/>
      <c r="C44" s="147"/>
      <c r="D44" s="147"/>
      <c r="E44" s="147"/>
      <c r="F44" s="147"/>
      <c r="G44" s="147"/>
      <c r="H44" s="147"/>
      <c r="I44" s="147"/>
      <c r="J44" s="147"/>
      <c r="K44" s="147"/>
      <c r="L44" s="147"/>
      <c r="M44" s="147"/>
      <c r="N44" s="147"/>
      <c r="O44" s="147"/>
      <c r="P44" s="149">
        <f t="shared" si="2"/>
        <v>2.1000000000000005</v>
      </c>
      <c r="Q44" s="207">
        <f t="shared" si="12"/>
        <v>31.428571428571423</v>
      </c>
      <c r="R44" s="207">
        <f t="shared" si="12"/>
        <v>31.428571428571423</v>
      </c>
      <c r="S44" s="207">
        <f t="shared" si="12"/>
        <v>31.428571428571423</v>
      </c>
      <c r="T44" s="207">
        <f t="shared" si="12"/>
        <v>38.399999999999991</v>
      </c>
      <c r="U44" s="207">
        <f t="shared" si="12"/>
        <v>38.399999999999991</v>
      </c>
      <c r="V44" s="207">
        <f t="shared" si="12"/>
        <v>38.399999999999991</v>
      </c>
      <c r="W44" s="207">
        <f t="shared" si="12"/>
        <v>42.171428571428564</v>
      </c>
      <c r="X44" s="207">
        <f t="shared" si="12"/>
        <v>42.171428571428564</v>
      </c>
      <c r="Y44" s="207">
        <f t="shared" si="12"/>
        <v>42.171428571428564</v>
      </c>
      <c r="Z44" s="207" t="str">
        <f t="shared" si="13"/>
        <v/>
      </c>
      <c r="AA44" s="207" t="str">
        <f t="shared" si="13"/>
        <v/>
      </c>
      <c r="AB44" s="207">
        <f t="shared" si="13"/>
        <v>8.7714285714285687</v>
      </c>
      <c r="AC44" s="207" t="str">
        <f t="shared" si="13"/>
        <v/>
      </c>
      <c r="AD44" s="207" t="str">
        <f t="shared" si="13"/>
        <v/>
      </c>
      <c r="AE44" s="207">
        <f t="shared" si="13"/>
        <v>9.6571428571428548</v>
      </c>
      <c r="AF44" s="145"/>
      <c r="AG44" s="145"/>
      <c r="AH44" s="145"/>
      <c r="AI44" s="145"/>
      <c r="AJ44" s="145"/>
      <c r="AK44" s="145"/>
      <c r="AL44" s="145"/>
      <c r="AM44" s="145"/>
      <c r="AN44" s="145"/>
      <c r="AO44" s="145"/>
      <c r="AP44" s="145"/>
      <c r="AQ44" s="145"/>
      <c r="AR44" s="145"/>
      <c r="AS44" s="145"/>
    </row>
    <row r="45" spans="1:45" x14ac:dyDescent="0.25">
      <c r="A45" s="145"/>
      <c r="B45" s="147"/>
      <c r="C45" s="147"/>
      <c r="D45" s="147"/>
      <c r="E45" s="147"/>
      <c r="F45" s="147"/>
      <c r="G45" s="147"/>
      <c r="H45" s="147"/>
      <c r="I45" s="147"/>
      <c r="J45" s="147"/>
      <c r="K45" s="147"/>
      <c r="L45" s="147"/>
      <c r="M45" s="147"/>
      <c r="N45" s="147"/>
      <c r="O45" s="147"/>
      <c r="P45" s="145"/>
      <c r="Q45" s="147"/>
      <c r="R45" s="147"/>
      <c r="S45" s="147"/>
      <c r="T45" s="147"/>
      <c r="U45" s="147"/>
      <c r="V45" s="147"/>
      <c r="W45" s="147"/>
      <c r="X45" s="147"/>
      <c r="Y45" s="147"/>
      <c r="Z45" s="147"/>
      <c r="AA45" s="147"/>
      <c r="AB45" s="147"/>
      <c r="AC45" s="147"/>
      <c r="AD45" s="145"/>
      <c r="AE45" s="145"/>
      <c r="AF45" s="145"/>
      <c r="AG45" s="145"/>
      <c r="AH45" s="145"/>
      <c r="AI45" s="145"/>
      <c r="AJ45" s="145"/>
      <c r="AK45" s="145"/>
      <c r="AL45" s="145"/>
      <c r="AM45" s="145"/>
      <c r="AN45" s="145"/>
      <c r="AO45" s="145"/>
      <c r="AP45" s="145"/>
      <c r="AQ45" s="145"/>
      <c r="AR45" s="145"/>
      <c r="AS45" s="145"/>
    </row>
    <row r="46" spans="1:45" x14ac:dyDescent="0.25">
      <c r="A46" s="145"/>
      <c r="B46" s="147"/>
      <c r="C46" s="147"/>
      <c r="D46" s="147"/>
      <c r="E46" s="147"/>
      <c r="F46" s="147"/>
      <c r="G46" s="147"/>
      <c r="H46" s="147"/>
      <c r="I46" s="147"/>
      <c r="J46" s="147"/>
      <c r="K46" s="147"/>
      <c r="L46" s="147"/>
      <c r="M46" s="147"/>
      <c r="N46" s="147"/>
      <c r="O46" s="147"/>
      <c r="P46" s="145"/>
      <c r="Q46" s="147"/>
      <c r="R46" s="147"/>
      <c r="S46" s="147"/>
      <c r="T46" s="147"/>
      <c r="U46" s="147"/>
      <c r="V46" s="147"/>
      <c r="W46" s="147"/>
      <c r="X46" s="147"/>
      <c r="Y46" s="147"/>
      <c r="Z46" s="147"/>
      <c r="AA46" s="147"/>
      <c r="AB46" s="147"/>
      <c r="AC46" s="147"/>
      <c r="AD46" s="145"/>
      <c r="AE46" s="145"/>
      <c r="AF46" s="145"/>
      <c r="AG46" s="145"/>
      <c r="AH46" s="145"/>
      <c r="AI46" s="145"/>
      <c r="AJ46" s="145"/>
      <c r="AK46" s="145"/>
      <c r="AL46" s="145"/>
      <c r="AM46" s="145"/>
      <c r="AN46" s="145"/>
      <c r="AO46" s="145"/>
      <c r="AP46" s="145"/>
      <c r="AQ46" s="145"/>
      <c r="AR46" s="145"/>
      <c r="AS46" s="145"/>
    </row>
    <row r="47" spans="1:45" x14ac:dyDescent="0.25">
      <c r="A47" s="145"/>
      <c r="B47" s="147"/>
      <c r="C47" s="147"/>
      <c r="D47" s="147"/>
      <c r="E47" s="147"/>
      <c r="F47" s="147"/>
      <c r="G47" s="147"/>
      <c r="H47" s="147"/>
      <c r="I47" s="147"/>
      <c r="J47" s="147"/>
      <c r="K47" s="147"/>
      <c r="L47" s="147"/>
      <c r="M47" s="147"/>
      <c r="N47" s="147"/>
      <c r="O47" s="147"/>
      <c r="P47" s="145"/>
      <c r="Q47" s="147"/>
      <c r="R47" s="147"/>
      <c r="S47" s="147"/>
      <c r="T47" s="147"/>
      <c r="U47" s="147"/>
      <c r="V47" s="147"/>
      <c r="W47" s="147"/>
      <c r="X47" s="147"/>
      <c r="Y47" s="147"/>
      <c r="Z47" s="147"/>
      <c r="AA47" s="147"/>
      <c r="AB47" s="147"/>
      <c r="AC47" s="147"/>
      <c r="AD47" s="145"/>
      <c r="AE47" s="145"/>
      <c r="AF47" s="145"/>
      <c r="AG47" s="145"/>
      <c r="AH47" s="145"/>
      <c r="AI47" s="145"/>
      <c r="AJ47" s="145"/>
      <c r="AK47" s="145"/>
      <c r="AL47" s="145"/>
      <c r="AM47" s="145"/>
      <c r="AN47" s="145"/>
      <c r="AO47" s="145"/>
      <c r="AP47" s="145"/>
      <c r="AQ47" s="145"/>
      <c r="AR47" s="145"/>
      <c r="AS47" s="145"/>
    </row>
    <row r="48" spans="1:45" x14ac:dyDescent="0.25">
      <c r="A48" s="145"/>
      <c r="B48" s="147"/>
      <c r="C48" s="147"/>
      <c r="D48" s="147"/>
      <c r="E48" s="147"/>
      <c r="F48" s="147"/>
      <c r="G48" s="147"/>
      <c r="H48" s="147"/>
      <c r="I48" s="147"/>
      <c r="J48" s="147"/>
      <c r="K48" s="147"/>
      <c r="L48" s="147"/>
      <c r="M48" s="147"/>
      <c r="N48" s="147"/>
      <c r="O48" s="147"/>
      <c r="P48" s="145"/>
      <c r="Q48" s="147"/>
      <c r="R48" s="147"/>
      <c r="S48" s="147"/>
      <c r="T48" s="147"/>
      <c r="U48" s="147"/>
      <c r="V48" s="147"/>
      <c r="W48" s="147"/>
      <c r="X48" s="147"/>
      <c r="Y48" s="147"/>
      <c r="Z48" s="147"/>
      <c r="AA48" s="147"/>
      <c r="AB48" s="147"/>
      <c r="AC48" s="147"/>
      <c r="AD48" s="145"/>
      <c r="AE48" s="145"/>
      <c r="AF48" s="145"/>
      <c r="AG48" s="145"/>
      <c r="AH48" s="145"/>
      <c r="AI48" s="145"/>
      <c r="AJ48" s="145"/>
      <c r="AK48" s="145"/>
      <c r="AL48" s="145"/>
      <c r="AM48" s="145"/>
      <c r="AN48" s="145"/>
      <c r="AO48" s="145"/>
      <c r="AP48" s="145"/>
      <c r="AQ48" s="145"/>
      <c r="AR48" s="145"/>
      <c r="AS48" s="145"/>
    </row>
    <row r="49" spans="1:45" x14ac:dyDescent="0.25">
      <c r="A49" s="145"/>
      <c r="B49" s="147"/>
      <c r="C49" s="147"/>
      <c r="D49" s="147"/>
      <c r="E49" s="147"/>
      <c r="F49" s="147"/>
      <c r="G49" s="147"/>
      <c r="H49" s="147"/>
      <c r="I49" s="147"/>
      <c r="J49" s="147"/>
      <c r="K49" s="147"/>
      <c r="L49" s="147"/>
      <c r="M49" s="147"/>
      <c r="N49" s="147"/>
      <c r="O49" s="147"/>
      <c r="P49" s="145"/>
      <c r="Q49" s="147"/>
      <c r="R49" s="147"/>
      <c r="S49" s="147"/>
      <c r="T49" s="147"/>
      <c r="U49" s="147"/>
      <c r="V49" s="147"/>
      <c r="W49" s="147"/>
      <c r="X49" s="147"/>
      <c r="Y49" s="147"/>
      <c r="Z49" s="147"/>
      <c r="AA49" s="147"/>
      <c r="AB49" s="147"/>
      <c r="AC49" s="147"/>
      <c r="AD49" s="145"/>
      <c r="AE49" s="145"/>
      <c r="AF49" s="145"/>
      <c r="AG49" s="145"/>
      <c r="AH49" s="145"/>
      <c r="AI49" s="145"/>
      <c r="AJ49" s="145"/>
      <c r="AK49" s="145"/>
      <c r="AL49" s="145"/>
      <c r="AM49" s="145"/>
      <c r="AN49" s="145"/>
      <c r="AO49" s="145"/>
      <c r="AP49" s="145"/>
      <c r="AQ49" s="145"/>
      <c r="AR49" s="145"/>
      <c r="AS49" s="145"/>
    </row>
    <row r="50" spans="1:45" x14ac:dyDescent="0.25">
      <c r="A50" s="145"/>
      <c r="B50" s="147"/>
      <c r="C50" s="147"/>
      <c r="D50" s="147"/>
      <c r="E50" s="147"/>
      <c r="F50" s="147"/>
      <c r="G50" s="147"/>
      <c r="H50" s="147"/>
      <c r="I50" s="147"/>
      <c r="J50" s="147"/>
      <c r="K50" s="147"/>
      <c r="L50" s="147"/>
      <c r="M50" s="147"/>
      <c r="N50" s="147"/>
      <c r="O50" s="147"/>
      <c r="P50" s="145"/>
      <c r="Q50" s="147"/>
      <c r="R50" s="147"/>
      <c r="S50" s="147"/>
      <c r="T50" s="147"/>
      <c r="U50" s="147"/>
      <c r="V50" s="147"/>
      <c r="W50" s="147"/>
      <c r="X50" s="147"/>
      <c r="Y50" s="147"/>
      <c r="Z50" s="147"/>
      <c r="AA50" s="147"/>
      <c r="AB50" s="147"/>
      <c r="AC50" s="147"/>
      <c r="AD50" s="145"/>
      <c r="AE50" s="145"/>
      <c r="AF50" s="145"/>
      <c r="AG50" s="145"/>
      <c r="AH50" s="145"/>
      <c r="AI50" s="145"/>
      <c r="AJ50" s="145"/>
      <c r="AK50" s="145"/>
      <c r="AL50" s="145"/>
      <c r="AM50" s="145"/>
      <c r="AN50" s="145"/>
      <c r="AO50" s="145"/>
      <c r="AP50" s="145"/>
      <c r="AQ50" s="145"/>
      <c r="AR50" s="145"/>
      <c r="AS50" s="145"/>
    </row>
    <row r="51" spans="1:45" x14ac:dyDescent="0.25">
      <c r="A51" s="145"/>
      <c r="B51" s="147"/>
      <c r="C51" s="147"/>
      <c r="D51" s="147"/>
      <c r="E51" s="147"/>
      <c r="F51" s="147"/>
      <c r="G51" s="147"/>
      <c r="H51" s="147"/>
      <c r="I51" s="147"/>
      <c r="J51" s="147"/>
      <c r="K51" s="147"/>
      <c r="L51" s="147"/>
      <c r="M51" s="147"/>
      <c r="N51" s="147"/>
      <c r="O51" s="147"/>
      <c r="P51" s="145"/>
      <c r="Q51" s="147"/>
      <c r="R51" s="147"/>
      <c r="S51" s="147"/>
      <c r="T51" s="147"/>
      <c r="U51" s="147"/>
      <c r="V51" s="147"/>
      <c r="W51" s="147"/>
      <c r="X51" s="147"/>
      <c r="Y51" s="147"/>
      <c r="Z51" s="147"/>
      <c r="AA51" s="147"/>
      <c r="AB51" s="147"/>
      <c r="AC51" s="147"/>
      <c r="AD51" s="145"/>
      <c r="AE51" s="145"/>
      <c r="AF51" s="145"/>
      <c r="AG51" s="145"/>
      <c r="AH51" s="145"/>
      <c r="AI51" s="145"/>
      <c r="AJ51" s="145"/>
      <c r="AK51" s="145"/>
      <c r="AL51" s="145"/>
      <c r="AM51" s="145"/>
      <c r="AN51" s="145"/>
      <c r="AO51" s="145"/>
      <c r="AP51" s="145"/>
      <c r="AQ51" s="145"/>
      <c r="AR51" s="145"/>
      <c r="AS51" s="145"/>
    </row>
    <row r="52" spans="1:45" x14ac:dyDescent="0.25">
      <c r="A52" s="145"/>
      <c r="B52" s="147"/>
      <c r="C52" s="147"/>
      <c r="D52" s="147"/>
      <c r="E52" s="147"/>
      <c r="F52" s="147"/>
      <c r="G52" s="147"/>
      <c r="H52" s="147"/>
      <c r="I52" s="147"/>
      <c r="J52" s="147"/>
      <c r="K52" s="147"/>
      <c r="L52" s="147"/>
      <c r="M52" s="147"/>
      <c r="N52" s="147"/>
      <c r="O52" s="147"/>
      <c r="P52" s="145"/>
      <c r="Q52" s="147"/>
      <c r="R52" s="147"/>
      <c r="S52" s="147"/>
      <c r="T52" s="147"/>
      <c r="U52" s="147"/>
      <c r="V52" s="147"/>
      <c r="W52" s="147"/>
      <c r="X52" s="147"/>
      <c r="Y52" s="147"/>
      <c r="Z52" s="147"/>
      <c r="AA52" s="147"/>
      <c r="AB52" s="147"/>
      <c r="AC52" s="147"/>
      <c r="AD52" s="145"/>
      <c r="AE52" s="145"/>
      <c r="AF52" s="145"/>
      <c r="AG52" s="145"/>
      <c r="AH52" s="145"/>
      <c r="AI52" s="145"/>
      <c r="AJ52" s="145"/>
      <c r="AK52" s="145"/>
      <c r="AL52" s="145"/>
      <c r="AM52" s="145"/>
      <c r="AN52" s="145"/>
      <c r="AO52" s="145"/>
      <c r="AP52" s="145"/>
      <c r="AQ52" s="145"/>
      <c r="AR52" s="145"/>
      <c r="AS52" s="145"/>
    </row>
    <row r="53" spans="1:45" x14ac:dyDescent="0.25">
      <c r="A53" s="145"/>
      <c r="B53" s="147"/>
      <c r="C53" s="147"/>
      <c r="D53" s="147"/>
      <c r="E53" s="147"/>
      <c r="F53" s="147"/>
      <c r="G53" s="147"/>
      <c r="H53" s="147"/>
      <c r="I53" s="147"/>
      <c r="J53" s="147"/>
      <c r="K53" s="147"/>
      <c r="L53" s="147"/>
      <c r="M53" s="147"/>
      <c r="N53" s="147"/>
      <c r="O53" s="147"/>
      <c r="P53" s="145"/>
      <c r="Q53" s="147"/>
      <c r="R53" s="147"/>
      <c r="S53" s="147"/>
      <c r="T53" s="147"/>
      <c r="U53" s="147"/>
      <c r="V53" s="147"/>
      <c r="W53" s="147"/>
      <c r="X53" s="147"/>
      <c r="Y53" s="147"/>
      <c r="Z53" s="147"/>
      <c r="AA53" s="147"/>
      <c r="AB53" s="147"/>
      <c r="AC53" s="147"/>
      <c r="AD53" s="145"/>
      <c r="AE53" s="145"/>
      <c r="AF53" s="145"/>
      <c r="AG53" s="145"/>
      <c r="AH53" s="145"/>
      <c r="AI53" s="145"/>
      <c r="AJ53" s="145"/>
      <c r="AK53" s="145"/>
      <c r="AL53" s="145"/>
      <c r="AM53" s="145"/>
      <c r="AN53" s="145"/>
      <c r="AO53" s="145"/>
      <c r="AP53" s="145"/>
      <c r="AQ53" s="145"/>
      <c r="AR53" s="145"/>
      <c r="AS53" s="145"/>
    </row>
    <row r="54" spans="1:45" x14ac:dyDescent="0.25">
      <c r="A54" s="145"/>
      <c r="B54" s="147"/>
      <c r="C54" s="147"/>
      <c r="G54" s="145"/>
      <c r="H54" s="147"/>
      <c r="I54" s="147"/>
      <c r="J54" s="147"/>
      <c r="K54" s="147"/>
      <c r="L54" s="147"/>
      <c r="M54" s="147"/>
      <c r="N54" s="147"/>
      <c r="O54" s="147"/>
      <c r="P54" s="145"/>
      <c r="Q54" s="147"/>
      <c r="R54" s="147"/>
      <c r="S54" s="147"/>
      <c r="T54" s="147"/>
      <c r="U54" s="147"/>
      <c r="V54" s="147"/>
      <c r="W54" s="147"/>
      <c r="X54" s="147"/>
      <c r="Y54" s="147"/>
      <c r="Z54" s="147"/>
      <c r="AA54" s="147"/>
      <c r="AB54" s="147"/>
      <c r="AC54" s="147"/>
      <c r="AD54" s="145"/>
      <c r="AE54" s="145"/>
      <c r="AF54" s="145"/>
      <c r="AG54" s="145"/>
      <c r="AH54" s="145"/>
      <c r="AI54" s="145"/>
      <c r="AJ54" s="145"/>
      <c r="AK54" s="145"/>
      <c r="AL54" s="145"/>
      <c r="AM54" s="145"/>
      <c r="AN54" s="145"/>
      <c r="AO54" s="145"/>
      <c r="AP54" s="145"/>
      <c r="AQ54" s="145"/>
      <c r="AR54" s="145"/>
      <c r="AS54" s="145"/>
    </row>
    <row r="55" spans="1:45" x14ac:dyDescent="0.25">
      <c r="A55" s="145"/>
      <c r="B55" s="147"/>
      <c r="C55" s="147"/>
      <c r="G55" s="145"/>
      <c r="H55" s="148"/>
      <c r="I55" s="147"/>
      <c r="J55" s="147"/>
      <c r="K55" s="147"/>
      <c r="L55" s="147"/>
      <c r="M55" s="147"/>
      <c r="N55" s="147"/>
      <c r="O55" s="147"/>
      <c r="P55" s="145"/>
      <c r="Q55" s="147"/>
      <c r="R55" s="147"/>
      <c r="S55" s="147"/>
      <c r="T55" s="147"/>
      <c r="U55" s="147"/>
      <c r="V55" s="147"/>
      <c r="W55" s="147"/>
      <c r="X55" s="147"/>
      <c r="Y55" s="147"/>
      <c r="Z55" s="147"/>
      <c r="AA55" s="147"/>
      <c r="AB55" s="147"/>
      <c r="AC55" s="147"/>
      <c r="AD55" s="145"/>
      <c r="AE55" s="145"/>
      <c r="AF55" s="145"/>
      <c r="AG55" s="145"/>
      <c r="AH55" s="145"/>
      <c r="AI55" s="145"/>
      <c r="AJ55" s="145"/>
      <c r="AK55" s="145"/>
      <c r="AL55" s="145"/>
      <c r="AM55" s="145"/>
      <c r="AN55" s="145"/>
      <c r="AO55" s="145"/>
      <c r="AP55" s="145"/>
      <c r="AQ55" s="145"/>
      <c r="AR55" s="145"/>
      <c r="AS55" s="145"/>
    </row>
    <row r="56" spans="1:45" x14ac:dyDescent="0.25">
      <c r="A56" s="145"/>
      <c r="B56" s="147"/>
      <c r="C56" s="147"/>
      <c r="G56" s="145"/>
      <c r="H56" s="148"/>
      <c r="I56" s="147"/>
      <c r="J56" s="147"/>
      <c r="K56" s="147"/>
      <c r="L56" s="147"/>
      <c r="M56" s="147"/>
      <c r="N56" s="147"/>
      <c r="O56" s="147"/>
      <c r="P56" s="145"/>
      <c r="Q56" s="147"/>
      <c r="R56" s="147"/>
      <c r="S56" s="147"/>
      <c r="T56" s="147"/>
      <c r="U56" s="147"/>
      <c r="V56" s="147"/>
      <c r="W56" s="147"/>
      <c r="X56" s="147"/>
      <c r="Y56" s="147"/>
      <c r="Z56" s="147"/>
      <c r="AA56" s="147"/>
      <c r="AB56" s="147"/>
      <c r="AC56" s="147"/>
      <c r="AD56" s="145"/>
      <c r="AE56" s="145"/>
      <c r="AF56" s="145"/>
      <c r="AG56" s="145"/>
      <c r="AH56" s="145"/>
      <c r="AI56" s="145"/>
      <c r="AJ56" s="145"/>
      <c r="AK56" s="145"/>
      <c r="AL56" s="145"/>
      <c r="AM56" s="145"/>
      <c r="AN56" s="145"/>
      <c r="AO56" s="145"/>
      <c r="AP56" s="145"/>
      <c r="AQ56" s="145"/>
      <c r="AR56" s="145"/>
      <c r="AS56" s="145"/>
    </row>
    <row r="57" spans="1:45" x14ac:dyDescent="0.25">
      <c r="A57" s="145"/>
      <c r="B57" s="147"/>
      <c r="C57" s="147"/>
      <c r="G57" s="145"/>
      <c r="H57" s="148"/>
      <c r="I57" s="147"/>
      <c r="J57" s="147"/>
      <c r="K57" s="147"/>
      <c r="L57" s="147"/>
      <c r="M57" s="147"/>
      <c r="N57" s="147"/>
      <c r="O57" s="147"/>
      <c r="P57" s="145"/>
      <c r="Q57" s="147"/>
      <c r="R57" s="147"/>
      <c r="S57" s="147"/>
      <c r="T57" s="147"/>
      <c r="U57" s="147"/>
      <c r="V57" s="147"/>
      <c r="W57" s="147"/>
      <c r="X57" s="147"/>
      <c r="Y57" s="147"/>
      <c r="Z57" s="147"/>
      <c r="AA57" s="147"/>
      <c r="AB57" s="147"/>
      <c r="AC57" s="147"/>
      <c r="AD57" s="145"/>
      <c r="AE57" s="145"/>
      <c r="AF57" s="145"/>
      <c r="AG57" s="145"/>
      <c r="AH57" s="145"/>
      <c r="AI57" s="145"/>
      <c r="AJ57" s="145"/>
      <c r="AK57" s="145"/>
      <c r="AL57" s="145"/>
      <c r="AM57" s="145"/>
      <c r="AN57" s="145"/>
      <c r="AO57" s="145"/>
      <c r="AP57" s="145"/>
      <c r="AQ57" s="145"/>
      <c r="AR57" s="145"/>
      <c r="AS57" s="145"/>
    </row>
    <row r="58" spans="1:45" x14ac:dyDescent="0.25">
      <c r="A58" s="145"/>
      <c r="B58" s="147"/>
      <c r="C58" s="147"/>
      <c r="G58" s="145"/>
      <c r="H58" s="148"/>
      <c r="I58" s="147"/>
      <c r="J58" s="147"/>
      <c r="K58" s="147"/>
      <c r="L58" s="147"/>
      <c r="M58" s="147"/>
      <c r="N58" s="147"/>
      <c r="O58" s="147"/>
      <c r="P58" s="145"/>
      <c r="Q58" s="147"/>
      <c r="R58" s="147"/>
      <c r="S58" s="147"/>
      <c r="T58" s="147"/>
      <c r="U58" s="147"/>
      <c r="V58" s="147"/>
      <c r="W58" s="147"/>
      <c r="X58" s="147"/>
      <c r="Y58" s="147"/>
      <c r="Z58" s="147"/>
      <c r="AA58" s="147"/>
      <c r="AB58" s="147"/>
      <c r="AC58" s="147"/>
      <c r="AD58" s="145"/>
      <c r="AE58" s="145"/>
      <c r="AF58" s="145"/>
      <c r="AG58" s="145"/>
      <c r="AH58" s="145"/>
      <c r="AI58" s="145"/>
      <c r="AJ58" s="145"/>
      <c r="AK58" s="145"/>
      <c r="AL58" s="145"/>
      <c r="AM58" s="145"/>
      <c r="AN58" s="145"/>
      <c r="AO58" s="145"/>
      <c r="AP58" s="145"/>
      <c r="AQ58" s="145"/>
      <c r="AR58" s="145"/>
      <c r="AS58" s="145"/>
    </row>
    <row r="59" spans="1:45" x14ac:dyDescent="0.25">
      <c r="A59" s="145"/>
      <c r="B59" s="147"/>
      <c r="C59" s="147"/>
      <c r="G59" s="145"/>
      <c r="H59" s="148"/>
      <c r="I59" s="147"/>
      <c r="J59" s="147"/>
      <c r="K59" s="147"/>
      <c r="L59" s="147"/>
      <c r="M59" s="147"/>
      <c r="N59" s="147"/>
      <c r="O59" s="147"/>
      <c r="P59" s="145"/>
      <c r="Q59" s="147"/>
      <c r="R59" s="147"/>
      <c r="S59" s="147"/>
      <c r="T59" s="147"/>
      <c r="U59" s="147"/>
      <c r="V59" s="147"/>
      <c r="W59" s="147"/>
      <c r="X59" s="147"/>
      <c r="Y59" s="147"/>
      <c r="Z59" s="147"/>
      <c r="AA59" s="147"/>
      <c r="AB59" s="147"/>
      <c r="AC59" s="147"/>
      <c r="AD59" s="145"/>
      <c r="AE59" s="145"/>
      <c r="AF59" s="145"/>
      <c r="AG59" s="145"/>
      <c r="AH59" s="145"/>
      <c r="AI59" s="145"/>
      <c r="AJ59" s="145"/>
      <c r="AK59" s="145"/>
      <c r="AL59" s="145"/>
      <c r="AM59" s="145"/>
      <c r="AN59" s="145"/>
      <c r="AO59" s="145"/>
      <c r="AP59" s="145"/>
      <c r="AQ59" s="145"/>
      <c r="AR59" s="145"/>
      <c r="AS59" s="145"/>
    </row>
    <row r="60" spans="1:45" x14ac:dyDescent="0.25">
      <c r="A60" s="145"/>
      <c r="B60" s="147"/>
      <c r="C60" s="147"/>
      <c r="G60" s="145"/>
      <c r="H60" s="148"/>
      <c r="I60" s="147"/>
      <c r="J60" s="147"/>
      <c r="K60" s="147"/>
      <c r="L60" s="147"/>
      <c r="M60" s="147"/>
      <c r="N60" s="147"/>
      <c r="O60" s="147"/>
      <c r="P60" s="145"/>
      <c r="Q60" s="147"/>
      <c r="R60" s="147"/>
      <c r="S60" s="147"/>
      <c r="T60" s="147"/>
      <c r="U60" s="147"/>
      <c r="V60" s="147"/>
      <c r="W60" s="147"/>
      <c r="X60" s="147"/>
      <c r="Y60" s="147"/>
      <c r="Z60" s="147"/>
      <c r="AA60" s="147"/>
      <c r="AB60" s="147"/>
      <c r="AC60" s="147"/>
      <c r="AD60" s="145"/>
      <c r="AE60" s="145"/>
      <c r="AF60" s="145"/>
      <c r="AG60" s="145"/>
      <c r="AH60" s="145"/>
      <c r="AI60" s="145"/>
      <c r="AJ60" s="145"/>
      <c r="AK60" s="145"/>
      <c r="AL60" s="145"/>
      <c r="AM60" s="145"/>
      <c r="AN60" s="145"/>
      <c r="AO60" s="145"/>
      <c r="AP60" s="145"/>
      <c r="AQ60" s="145"/>
      <c r="AR60" s="145"/>
      <c r="AS60" s="145"/>
    </row>
    <row r="61" spans="1:45" x14ac:dyDescent="0.25">
      <c r="A61" s="145"/>
      <c r="B61" s="147"/>
      <c r="C61" s="147"/>
      <c r="G61" s="145"/>
      <c r="H61" s="148"/>
      <c r="I61" s="147"/>
      <c r="J61" s="147"/>
      <c r="K61" s="147"/>
      <c r="L61" s="147"/>
      <c r="M61" s="147"/>
      <c r="N61" s="147"/>
      <c r="O61" s="147"/>
      <c r="P61" s="145"/>
      <c r="Q61" s="147"/>
      <c r="R61" s="147"/>
      <c r="S61" s="147"/>
      <c r="T61" s="147"/>
      <c r="U61" s="147"/>
      <c r="V61" s="147"/>
      <c r="W61" s="147"/>
      <c r="X61" s="147"/>
      <c r="Y61" s="147"/>
      <c r="Z61" s="147"/>
      <c r="AA61" s="147"/>
      <c r="AB61" s="147"/>
      <c r="AC61" s="147"/>
      <c r="AD61" s="145"/>
      <c r="AE61" s="145"/>
      <c r="AF61" s="145"/>
      <c r="AG61" s="145"/>
      <c r="AH61" s="145"/>
      <c r="AI61" s="145"/>
      <c r="AJ61" s="145"/>
      <c r="AK61" s="145"/>
      <c r="AL61" s="145"/>
      <c r="AM61" s="145"/>
      <c r="AN61" s="145"/>
      <c r="AO61" s="145"/>
      <c r="AP61" s="145"/>
      <c r="AQ61" s="145"/>
      <c r="AR61" s="145"/>
      <c r="AS61" s="145"/>
    </row>
    <row r="62" spans="1:45" x14ac:dyDescent="0.25">
      <c r="A62" s="145"/>
      <c r="B62" s="147"/>
      <c r="C62" s="147"/>
      <c r="G62" s="145"/>
      <c r="H62" s="148"/>
      <c r="I62" s="147"/>
      <c r="J62" s="147"/>
      <c r="K62" s="147"/>
      <c r="L62" s="147"/>
      <c r="M62" s="147"/>
      <c r="N62" s="147"/>
      <c r="O62" s="147"/>
      <c r="P62" s="145"/>
      <c r="Q62" s="147"/>
      <c r="R62" s="147"/>
      <c r="S62" s="147"/>
      <c r="T62" s="147"/>
      <c r="U62" s="147"/>
      <c r="V62" s="147"/>
      <c r="W62" s="147"/>
      <c r="X62" s="147"/>
      <c r="Y62" s="147"/>
      <c r="Z62" s="147"/>
      <c r="AA62" s="147"/>
      <c r="AB62" s="147"/>
      <c r="AC62" s="147"/>
      <c r="AD62" s="145"/>
      <c r="AE62" s="145"/>
      <c r="AF62" s="145"/>
      <c r="AG62" s="145"/>
      <c r="AH62" s="145"/>
      <c r="AI62" s="145"/>
      <c r="AJ62" s="145"/>
      <c r="AK62" s="145"/>
      <c r="AL62" s="145"/>
      <c r="AM62" s="145"/>
      <c r="AN62" s="145"/>
      <c r="AO62" s="145"/>
      <c r="AP62" s="145"/>
      <c r="AQ62" s="145"/>
      <c r="AR62" s="145"/>
      <c r="AS62" s="145"/>
    </row>
    <row r="63" spans="1:45" x14ac:dyDescent="0.25">
      <c r="A63" s="145"/>
      <c r="B63" s="147"/>
      <c r="C63" s="147"/>
      <c r="G63" s="145"/>
      <c r="H63" s="148"/>
      <c r="I63" s="147"/>
      <c r="J63" s="147"/>
      <c r="K63" s="147"/>
      <c r="L63" s="147"/>
      <c r="M63" s="147"/>
      <c r="N63" s="147"/>
      <c r="O63" s="147"/>
      <c r="P63" s="145"/>
      <c r="Q63" s="147"/>
      <c r="R63" s="147"/>
      <c r="S63" s="147"/>
      <c r="T63" s="147"/>
      <c r="U63" s="147"/>
      <c r="V63" s="147"/>
      <c r="W63" s="147"/>
      <c r="X63" s="147"/>
      <c r="Y63" s="147"/>
      <c r="Z63" s="147"/>
      <c r="AA63" s="147"/>
      <c r="AB63" s="147"/>
      <c r="AC63" s="147"/>
      <c r="AD63" s="145"/>
      <c r="AE63" s="145"/>
      <c r="AF63" s="145"/>
      <c r="AG63" s="145"/>
      <c r="AH63" s="145"/>
      <c r="AI63" s="145"/>
      <c r="AJ63" s="145"/>
      <c r="AK63" s="145"/>
      <c r="AL63" s="145"/>
      <c r="AM63" s="145"/>
      <c r="AN63" s="145"/>
      <c r="AO63" s="145"/>
      <c r="AP63" s="145"/>
      <c r="AQ63" s="145"/>
      <c r="AR63" s="145"/>
      <c r="AS63" s="145"/>
    </row>
    <row r="64" spans="1:45" x14ac:dyDescent="0.25">
      <c r="A64" s="145"/>
      <c r="B64" s="147"/>
      <c r="C64" s="147"/>
      <c r="G64" s="145"/>
      <c r="H64" s="148"/>
      <c r="I64" s="147"/>
      <c r="J64" s="147"/>
      <c r="K64" s="147"/>
      <c r="L64" s="147"/>
      <c r="M64" s="147"/>
      <c r="N64" s="147"/>
      <c r="O64" s="147"/>
      <c r="P64" s="145"/>
      <c r="Q64" s="147"/>
      <c r="R64" s="147"/>
      <c r="S64" s="147"/>
      <c r="T64" s="147"/>
      <c r="U64" s="147"/>
      <c r="V64" s="147"/>
      <c r="W64" s="147"/>
      <c r="X64" s="147"/>
      <c r="Y64" s="147"/>
      <c r="Z64" s="147"/>
      <c r="AA64" s="147"/>
      <c r="AB64" s="147"/>
      <c r="AC64" s="147"/>
      <c r="AD64" s="145"/>
      <c r="AE64" s="145"/>
      <c r="AF64" s="145"/>
      <c r="AG64" s="145"/>
      <c r="AH64" s="145"/>
      <c r="AI64" s="145"/>
      <c r="AJ64" s="145"/>
      <c r="AK64" s="145"/>
      <c r="AL64" s="145"/>
      <c r="AM64" s="145"/>
      <c r="AN64" s="145"/>
      <c r="AO64" s="145"/>
      <c r="AP64" s="145"/>
      <c r="AQ64" s="145"/>
      <c r="AR64" s="145"/>
      <c r="AS64" s="145"/>
    </row>
    <row r="65" spans="1:45" x14ac:dyDescent="0.25">
      <c r="A65" s="145"/>
      <c r="B65" s="147"/>
      <c r="C65" s="147"/>
      <c r="G65" s="145"/>
      <c r="H65" s="148"/>
      <c r="I65" s="147"/>
      <c r="J65" s="147"/>
      <c r="K65" s="147"/>
      <c r="L65" s="147"/>
      <c r="M65" s="147"/>
      <c r="N65" s="147"/>
      <c r="O65" s="147"/>
      <c r="P65" s="145"/>
      <c r="Q65" s="147"/>
      <c r="R65" s="147"/>
      <c r="S65" s="147"/>
      <c r="T65" s="147"/>
      <c r="U65" s="147"/>
      <c r="V65" s="147"/>
      <c r="W65" s="147"/>
      <c r="X65" s="147"/>
      <c r="Y65" s="147"/>
      <c r="Z65" s="147"/>
      <c r="AA65" s="147"/>
      <c r="AB65" s="147"/>
      <c r="AC65" s="147"/>
      <c r="AD65" s="145"/>
      <c r="AE65" s="145"/>
      <c r="AF65" s="145"/>
      <c r="AG65" s="145"/>
      <c r="AH65" s="145"/>
      <c r="AI65" s="145"/>
      <c r="AJ65" s="145"/>
      <c r="AK65" s="145"/>
      <c r="AL65" s="145"/>
      <c r="AM65" s="145"/>
      <c r="AN65" s="145"/>
      <c r="AO65" s="145"/>
      <c r="AP65" s="145"/>
      <c r="AQ65" s="145"/>
      <c r="AR65" s="145"/>
      <c r="AS65" s="145"/>
    </row>
    <row r="66" spans="1:45" x14ac:dyDescent="0.25">
      <c r="A66" s="145"/>
      <c r="B66" s="147"/>
      <c r="C66" s="147"/>
      <c r="G66" s="145"/>
      <c r="H66" s="148"/>
      <c r="I66" s="147"/>
      <c r="J66" s="147"/>
      <c r="K66" s="147"/>
      <c r="L66" s="147"/>
      <c r="M66" s="147"/>
      <c r="N66" s="147"/>
      <c r="O66" s="147"/>
      <c r="P66" s="145"/>
      <c r="Q66" s="147"/>
      <c r="R66" s="147"/>
      <c r="S66" s="147"/>
      <c r="T66" s="147"/>
      <c r="U66" s="147"/>
      <c r="V66" s="147"/>
      <c r="W66" s="147"/>
      <c r="X66" s="147"/>
      <c r="Y66" s="147"/>
      <c r="Z66" s="147"/>
      <c r="AA66" s="147"/>
      <c r="AB66" s="147"/>
      <c r="AC66" s="147"/>
      <c r="AD66" s="145"/>
      <c r="AE66" s="145"/>
      <c r="AF66" s="145"/>
      <c r="AG66" s="145"/>
      <c r="AH66" s="145"/>
      <c r="AI66" s="145"/>
      <c r="AJ66" s="145"/>
      <c r="AK66" s="145"/>
      <c r="AL66" s="145"/>
      <c r="AM66" s="145"/>
      <c r="AN66" s="145"/>
      <c r="AO66" s="145"/>
      <c r="AP66" s="145"/>
      <c r="AQ66" s="145"/>
      <c r="AR66" s="145"/>
      <c r="AS66" s="145"/>
    </row>
    <row r="67" spans="1:45" x14ac:dyDescent="0.25">
      <c r="A67" s="145"/>
      <c r="B67" s="147"/>
      <c r="C67" s="147"/>
      <c r="G67" s="145"/>
      <c r="H67" s="148"/>
      <c r="I67" s="147"/>
      <c r="J67" s="147"/>
      <c r="K67" s="147"/>
      <c r="L67" s="147"/>
      <c r="M67" s="147"/>
      <c r="N67" s="147"/>
      <c r="O67" s="147"/>
      <c r="P67" s="145"/>
      <c r="Q67" s="147"/>
      <c r="R67" s="147"/>
      <c r="S67" s="147"/>
      <c r="T67" s="147"/>
      <c r="U67" s="147"/>
      <c r="V67" s="147"/>
      <c r="W67" s="147"/>
      <c r="X67" s="147"/>
      <c r="Y67" s="147"/>
      <c r="Z67" s="147"/>
      <c r="AA67" s="147"/>
      <c r="AB67" s="147"/>
      <c r="AC67" s="147"/>
      <c r="AD67" s="145"/>
      <c r="AE67" s="145"/>
      <c r="AF67" s="145"/>
      <c r="AG67" s="145"/>
      <c r="AH67" s="145"/>
      <c r="AI67" s="145"/>
      <c r="AJ67" s="145"/>
      <c r="AK67" s="145"/>
      <c r="AL67" s="145"/>
      <c r="AM67" s="145"/>
      <c r="AN67" s="145"/>
      <c r="AO67" s="145"/>
      <c r="AP67" s="145"/>
      <c r="AQ67" s="145"/>
      <c r="AR67" s="145"/>
      <c r="AS67" s="145"/>
    </row>
    <row r="68" spans="1:45" x14ac:dyDescent="0.25">
      <c r="A68" s="145"/>
      <c r="B68" s="147"/>
      <c r="C68" s="147"/>
      <c r="G68" s="145"/>
      <c r="H68" s="148"/>
      <c r="I68" s="147"/>
      <c r="J68" s="147"/>
      <c r="K68" s="147"/>
      <c r="L68" s="147"/>
      <c r="M68" s="147"/>
      <c r="N68" s="147"/>
      <c r="O68" s="147"/>
      <c r="P68" s="145"/>
      <c r="Q68" s="147"/>
      <c r="R68" s="147"/>
      <c r="S68" s="147"/>
      <c r="T68" s="147"/>
      <c r="U68" s="147"/>
      <c r="V68" s="147"/>
      <c r="W68" s="147"/>
      <c r="X68" s="147"/>
      <c r="Y68" s="147"/>
      <c r="Z68" s="147"/>
      <c r="AA68" s="147"/>
      <c r="AB68" s="147"/>
      <c r="AC68" s="147"/>
      <c r="AD68" s="145"/>
      <c r="AE68" s="145"/>
      <c r="AF68" s="145"/>
      <c r="AG68" s="145"/>
      <c r="AH68" s="145"/>
      <c r="AI68" s="145"/>
      <c r="AJ68" s="145"/>
      <c r="AK68" s="145"/>
      <c r="AL68" s="145"/>
      <c r="AM68" s="145"/>
      <c r="AN68" s="145"/>
      <c r="AO68" s="145"/>
      <c r="AP68" s="145"/>
      <c r="AQ68" s="145"/>
      <c r="AR68" s="145"/>
      <c r="AS68" s="145"/>
    </row>
    <row r="69" spans="1:45" x14ac:dyDescent="0.25">
      <c r="A69" s="145"/>
      <c r="B69" s="147"/>
      <c r="C69" s="147"/>
      <c r="G69" s="145"/>
      <c r="H69" s="148"/>
      <c r="I69" s="147"/>
      <c r="J69" s="147"/>
      <c r="K69" s="147"/>
      <c r="L69" s="147"/>
      <c r="M69" s="147"/>
      <c r="N69" s="147"/>
      <c r="O69" s="147"/>
      <c r="P69" s="145"/>
      <c r="Q69" s="147"/>
      <c r="R69" s="147"/>
      <c r="S69" s="147"/>
      <c r="T69" s="147"/>
      <c r="U69" s="147"/>
      <c r="V69" s="147"/>
      <c r="W69" s="147"/>
      <c r="X69" s="147"/>
      <c r="Y69" s="147"/>
      <c r="Z69" s="147"/>
      <c r="AA69" s="147"/>
      <c r="AB69" s="147"/>
      <c r="AC69" s="147"/>
      <c r="AD69" s="145"/>
      <c r="AE69" s="145"/>
      <c r="AF69" s="145"/>
      <c r="AG69" s="145"/>
      <c r="AH69" s="145"/>
      <c r="AI69" s="145"/>
      <c r="AJ69" s="145"/>
      <c r="AK69" s="145"/>
      <c r="AL69" s="145"/>
      <c r="AM69" s="145"/>
      <c r="AN69" s="145"/>
      <c r="AO69" s="145"/>
      <c r="AP69" s="145"/>
      <c r="AQ69" s="145"/>
      <c r="AR69" s="145"/>
      <c r="AS69" s="145"/>
    </row>
    <row r="70" spans="1:45" x14ac:dyDescent="0.25">
      <c r="A70" s="145"/>
      <c r="B70" s="147"/>
      <c r="C70" s="147"/>
      <c r="G70" s="145"/>
      <c r="H70" s="148"/>
      <c r="I70" s="147"/>
      <c r="J70" s="147"/>
      <c r="K70" s="147"/>
      <c r="L70" s="147"/>
      <c r="M70" s="147"/>
      <c r="N70" s="147"/>
      <c r="O70" s="147"/>
      <c r="P70" s="145"/>
      <c r="Q70" s="147"/>
      <c r="R70" s="147"/>
      <c r="S70" s="147"/>
      <c r="T70" s="147"/>
      <c r="U70" s="147"/>
      <c r="V70" s="147"/>
      <c r="W70" s="147"/>
      <c r="X70" s="147"/>
      <c r="Y70" s="147"/>
      <c r="Z70" s="147"/>
      <c r="AA70" s="147"/>
      <c r="AB70" s="147"/>
      <c r="AC70" s="147"/>
      <c r="AD70" s="145"/>
      <c r="AE70" s="145"/>
      <c r="AF70" s="145"/>
      <c r="AG70" s="145"/>
      <c r="AH70" s="145"/>
      <c r="AI70" s="145"/>
      <c r="AJ70" s="145"/>
      <c r="AK70" s="145"/>
      <c r="AL70" s="145"/>
      <c r="AM70" s="145"/>
      <c r="AN70" s="145"/>
      <c r="AO70" s="145"/>
      <c r="AP70" s="145"/>
      <c r="AQ70" s="145"/>
      <c r="AR70" s="145"/>
      <c r="AS70" s="145"/>
    </row>
    <row r="71" spans="1:45" x14ac:dyDescent="0.25">
      <c r="A71" s="145"/>
      <c r="B71" s="147"/>
      <c r="C71" s="147"/>
      <c r="G71" s="145"/>
      <c r="H71" s="148"/>
      <c r="I71" s="147"/>
      <c r="J71" s="147"/>
      <c r="K71" s="147"/>
      <c r="L71" s="147"/>
      <c r="M71" s="147"/>
      <c r="N71" s="147"/>
      <c r="O71" s="147"/>
      <c r="P71" s="145"/>
      <c r="Q71" s="147"/>
      <c r="R71" s="147"/>
      <c r="S71" s="147"/>
      <c r="T71" s="147"/>
      <c r="U71" s="147"/>
      <c r="V71" s="147"/>
      <c r="W71" s="147"/>
      <c r="X71" s="147"/>
      <c r="Y71" s="147"/>
      <c r="Z71" s="147"/>
      <c r="AA71" s="147"/>
      <c r="AB71" s="147"/>
      <c r="AC71" s="147"/>
      <c r="AD71" s="145"/>
      <c r="AE71" s="145"/>
      <c r="AF71" s="145"/>
      <c r="AG71" s="145"/>
      <c r="AH71" s="145"/>
      <c r="AI71" s="145"/>
      <c r="AJ71" s="145"/>
      <c r="AK71" s="145"/>
      <c r="AL71" s="145"/>
      <c r="AM71" s="145"/>
      <c r="AN71" s="145"/>
      <c r="AO71" s="145"/>
      <c r="AP71" s="145"/>
      <c r="AQ71" s="145"/>
      <c r="AR71" s="145"/>
      <c r="AS71" s="145"/>
    </row>
    <row r="72" spans="1:45" x14ac:dyDescent="0.25">
      <c r="A72" s="145"/>
      <c r="B72" s="147"/>
      <c r="C72" s="147"/>
      <c r="G72" s="145"/>
      <c r="H72" s="148"/>
      <c r="I72" s="147"/>
      <c r="J72" s="147"/>
      <c r="K72" s="147"/>
      <c r="L72" s="147"/>
      <c r="M72" s="147"/>
      <c r="N72" s="147"/>
      <c r="O72" s="147"/>
      <c r="P72" s="145"/>
      <c r="Q72" s="147"/>
      <c r="R72" s="147"/>
      <c r="S72" s="147"/>
      <c r="T72" s="147"/>
      <c r="U72" s="147"/>
      <c r="V72" s="147"/>
      <c r="W72" s="147"/>
      <c r="X72" s="147"/>
      <c r="Y72" s="147"/>
      <c r="Z72" s="147"/>
      <c r="AA72" s="147"/>
      <c r="AB72" s="147"/>
      <c r="AC72" s="147"/>
      <c r="AD72" s="145"/>
      <c r="AE72" s="145"/>
      <c r="AF72" s="145"/>
      <c r="AG72" s="145"/>
      <c r="AH72" s="145"/>
      <c r="AI72" s="145"/>
      <c r="AJ72" s="145"/>
      <c r="AK72" s="145"/>
      <c r="AL72" s="145"/>
      <c r="AM72" s="145"/>
      <c r="AN72" s="145"/>
      <c r="AO72" s="145"/>
      <c r="AP72" s="145"/>
      <c r="AQ72" s="145"/>
      <c r="AR72" s="145"/>
      <c r="AS72" s="145"/>
    </row>
    <row r="73" spans="1:45" x14ac:dyDescent="0.25">
      <c r="A73" s="145"/>
      <c r="B73" s="147"/>
      <c r="C73" s="147"/>
      <c r="G73" s="145"/>
      <c r="H73" s="148"/>
      <c r="I73" s="147"/>
      <c r="J73" s="147"/>
      <c r="K73" s="147"/>
      <c r="L73" s="147"/>
      <c r="M73" s="147"/>
      <c r="N73" s="147"/>
      <c r="O73" s="147"/>
      <c r="P73" s="145"/>
      <c r="Q73" s="147"/>
      <c r="R73" s="147"/>
      <c r="S73" s="147"/>
      <c r="T73" s="147"/>
      <c r="U73" s="147"/>
      <c r="V73" s="147"/>
      <c r="W73" s="147"/>
      <c r="X73" s="147"/>
      <c r="Y73" s="147"/>
      <c r="Z73" s="147"/>
      <c r="AA73" s="147"/>
      <c r="AB73" s="147"/>
      <c r="AC73" s="147"/>
      <c r="AD73" s="145"/>
      <c r="AE73" s="145"/>
      <c r="AF73" s="145"/>
      <c r="AG73" s="145"/>
      <c r="AH73" s="145"/>
      <c r="AI73" s="145"/>
      <c r="AJ73" s="145"/>
      <c r="AK73" s="145"/>
      <c r="AL73" s="145"/>
      <c r="AM73" s="145"/>
      <c r="AN73" s="145"/>
      <c r="AO73" s="145"/>
      <c r="AP73" s="145"/>
      <c r="AQ73" s="145"/>
      <c r="AR73" s="145"/>
      <c r="AS73" s="145"/>
    </row>
    <row r="74" spans="1:45" x14ac:dyDescent="0.25">
      <c r="A74" s="145"/>
      <c r="B74" s="147"/>
      <c r="C74" s="147"/>
      <c r="G74" s="145"/>
      <c r="H74" s="148"/>
      <c r="I74" s="147"/>
      <c r="J74" s="147"/>
      <c r="K74" s="147"/>
      <c r="L74" s="147"/>
      <c r="M74" s="147"/>
      <c r="N74" s="147"/>
      <c r="O74" s="147"/>
      <c r="P74" s="145"/>
      <c r="Q74" s="147"/>
      <c r="R74" s="147"/>
      <c r="S74" s="147"/>
      <c r="T74" s="147"/>
      <c r="U74" s="147"/>
      <c r="V74" s="147"/>
      <c r="W74" s="147"/>
      <c r="X74" s="147"/>
      <c r="Y74" s="147"/>
      <c r="Z74" s="147"/>
      <c r="AA74" s="147"/>
      <c r="AB74" s="147"/>
      <c r="AC74" s="147"/>
      <c r="AD74" s="145"/>
      <c r="AE74" s="145"/>
      <c r="AF74" s="145"/>
      <c r="AG74" s="145"/>
      <c r="AH74" s="145"/>
      <c r="AI74" s="145"/>
      <c r="AJ74" s="145"/>
      <c r="AK74" s="145"/>
      <c r="AL74" s="145"/>
      <c r="AM74" s="145"/>
      <c r="AN74" s="145"/>
      <c r="AO74" s="145"/>
      <c r="AP74" s="145"/>
      <c r="AQ74" s="145"/>
      <c r="AR74" s="145"/>
      <c r="AS74" s="145"/>
    </row>
    <row r="75" spans="1:45" x14ac:dyDescent="0.25">
      <c r="A75" s="145"/>
      <c r="B75" s="147"/>
      <c r="C75" s="147"/>
      <c r="G75" s="145"/>
      <c r="H75" s="148"/>
      <c r="I75" s="147"/>
      <c r="J75" s="147"/>
      <c r="K75" s="147"/>
      <c r="L75" s="147"/>
      <c r="M75" s="147"/>
      <c r="N75" s="147"/>
      <c r="O75" s="147"/>
      <c r="P75" s="145"/>
      <c r="Q75" s="147"/>
      <c r="R75" s="147"/>
      <c r="S75" s="147"/>
      <c r="T75" s="147"/>
      <c r="U75" s="147"/>
      <c r="V75" s="147"/>
      <c r="W75" s="147"/>
      <c r="X75" s="147"/>
      <c r="Y75" s="147"/>
      <c r="Z75" s="147"/>
      <c r="AA75" s="147"/>
      <c r="AB75" s="147"/>
      <c r="AC75" s="147"/>
      <c r="AD75" s="145"/>
      <c r="AE75" s="145"/>
      <c r="AF75" s="145"/>
      <c r="AG75" s="145"/>
      <c r="AH75" s="145"/>
      <c r="AI75" s="145"/>
      <c r="AJ75" s="145"/>
      <c r="AK75" s="145"/>
      <c r="AL75" s="145"/>
      <c r="AM75" s="145"/>
      <c r="AN75" s="145"/>
      <c r="AO75" s="145"/>
      <c r="AP75" s="145"/>
      <c r="AQ75" s="145"/>
      <c r="AR75" s="145"/>
      <c r="AS75" s="145"/>
    </row>
    <row r="76" spans="1:45" x14ac:dyDescent="0.25">
      <c r="A76" s="145"/>
      <c r="B76" s="147"/>
      <c r="C76" s="147"/>
      <c r="G76" s="145"/>
      <c r="H76" s="148"/>
      <c r="I76" s="147"/>
      <c r="J76" s="147"/>
      <c r="K76" s="147"/>
      <c r="L76" s="147"/>
      <c r="M76" s="147"/>
      <c r="N76" s="147"/>
      <c r="O76" s="147"/>
      <c r="P76" s="145"/>
      <c r="Q76" s="147"/>
      <c r="R76" s="147"/>
      <c r="S76" s="147"/>
      <c r="T76" s="147"/>
      <c r="U76" s="147"/>
      <c r="V76" s="147"/>
      <c r="W76" s="147"/>
      <c r="X76" s="147"/>
      <c r="Y76" s="147"/>
      <c r="Z76" s="147"/>
      <c r="AA76" s="147"/>
      <c r="AB76" s="147"/>
      <c r="AC76" s="147"/>
      <c r="AD76" s="145"/>
      <c r="AE76" s="145"/>
      <c r="AF76" s="145"/>
      <c r="AG76" s="145"/>
      <c r="AH76" s="145"/>
      <c r="AI76" s="145"/>
      <c r="AJ76" s="145"/>
      <c r="AK76" s="145"/>
      <c r="AL76" s="145"/>
      <c r="AM76" s="145"/>
      <c r="AN76" s="145"/>
      <c r="AO76" s="145"/>
      <c r="AP76" s="145"/>
      <c r="AQ76" s="145"/>
      <c r="AR76" s="145"/>
      <c r="AS76" s="145"/>
    </row>
    <row r="77" spans="1:45" x14ac:dyDescent="0.25">
      <c r="A77" s="145"/>
      <c r="B77" s="147"/>
      <c r="C77" s="147"/>
      <c r="G77" s="145"/>
      <c r="H77" s="148"/>
      <c r="I77" s="147"/>
      <c r="J77" s="147"/>
      <c r="K77" s="147"/>
      <c r="L77" s="147"/>
      <c r="M77" s="147"/>
      <c r="N77" s="147"/>
      <c r="O77" s="147"/>
      <c r="P77" s="145"/>
      <c r="Q77" s="147"/>
      <c r="R77" s="147"/>
      <c r="S77" s="147"/>
      <c r="T77" s="147"/>
      <c r="U77" s="147"/>
      <c r="V77" s="147"/>
      <c r="W77" s="147"/>
      <c r="X77" s="147"/>
      <c r="Y77" s="147"/>
      <c r="Z77" s="147"/>
      <c r="AA77" s="147"/>
      <c r="AB77" s="147"/>
      <c r="AC77" s="147"/>
      <c r="AD77" s="145"/>
      <c r="AE77" s="145"/>
      <c r="AF77" s="145"/>
      <c r="AG77" s="145"/>
      <c r="AH77" s="145"/>
      <c r="AI77" s="145"/>
      <c r="AJ77" s="145"/>
      <c r="AK77" s="145"/>
      <c r="AL77" s="145"/>
      <c r="AM77" s="145"/>
      <c r="AN77" s="145"/>
      <c r="AO77" s="145"/>
      <c r="AP77" s="145"/>
      <c r="AQ77" s="145"/>
      <c r="AR77" s="145"/>
      <c r="AS77" s="145"/>
    </row>
    <row r="78" spans="1:45" x14ac:dyDescent="0.25">
      <c r="A78" s="145"/>
      <c r="B78" s="147"/>
      <c r="C78" s="147"/>
      <c r="G78" s="145"/>
      <c r="H78" s="148"/>
      <c r="I78" s="147"/>
      <c r="J78" s="147"/>
      <c r="K78" s="147"/>
      <c r="L78" s="147"/>
      <c r="M78" s="147"/>
      <c r="N78" s="147"/>
      <c r="O78" s="147"/>
      <c r="P78" s="145"/>
      <c r="Q78" s="147"/>
      <c r="R78" s="147"/>
      <c r="S78" s="147"/>
      <c r="T78" s="147"/>
      <c r="U78" s="147"/>
      <c r="V78" s="147"/>
      <c r="W78" s="147"/>
      <c r="X78" s="147"/>
      <c r="Y78" s="147"/>
      <c r="Z78" s="147"/>
      <c r="AA78" s="147"/>
      <c r="AB78" s="147"/>
      <c r="AC78" s="147"/>
      <c r="AD78" s="145"/>
      <c r="AE78" s="145"/>
      <c r="AF78" s="145"/>
      <c r="AG78" s="145"/>
      <c r="AH78" s="145"/>
      <c r="AI78" s="145"/>
      <c r="AJ78" s="145"/>
      <c r="AK78" s="145"/>
      <c r="AL78" s="145"/>
      <c r="AM78" s="145"/>
      <c r="AN78" s="145"/>
      <c r="AO78" s="145"/>
      <c r="AP78" s="145"/>
      <c r="AQ78" s="145"/>
      <c r="AR78" s="145"/>
      <c r="AS78" s="145"/>
    </row>
    <row r="79" spans="1:45" x14ac:dyDescent="0.25">
      <c r="A79" s="145"/>
      <c r="B79" s="147"/>
      <c r="C79" s="147"/>
      <c r="G79" s="145"/>
      <c r="H79" s="148"/>
      <c r="I79" s="147"/>
      <c r="J79" s="147"/>
      <c r="K79" s="147"/>
      <c r="L79" s="147"/>
      <c r="M79" s="147"/>
      <c r="N79" s="147"/>
      <c r="O79" s="147"/>
      <c r="P79" s="145"/>
      <c r="Q79" s="147"/>
      <c r="R79" s="147"/>
      <c r="S79" s="147"/>
      <c r="T79" s="147"/>
      <c r="U79" s="147"/>
      <c r="V79" s="147"/>
      <c r="W79" s="147"/>
      <c r="X79" s="147"/>
      <c r="Y79" s="147"/>
      <c r="Z79" s="147"/>
      <c r="AA79" s="147"/>
      <c r="AB79" s="147"/>
      <c r="AC79" s="147"/>
      <c r="AD79" s="145"/>
      <c r="AE79" s="145"/>
      <c r="AF79" s="145"/>
      <c r="AG79" s="145"/>
      <c r="AH79" s="145"/>
      <c r="AI79" s="145"/>
      <c r="AJ79" s="145"/>
      <c r="AK79" s="145"/>
      <c r="AL79" s="145"/>
      <c r="AM79" s="145"/>
      <c r="AN79" s="145"/>
      <c r="AO79" s="145"/>
      <c r="AP79" s="145"/>
      <c r="AQ79" s="145"/>
      <c r="AR79" s="145"/>
      <c r="AS79" s="145"/>
    </row>
    <row r="80" spans="1:45" x14ac:dyDescent="0.25">
      <c r="A80" s="145"/>
      <c r="B80" s="147"/>
      <c r="C80" s="147"/>
      <c r="G80" s="145"/>
      <c r="H80" s="148"/>
      <c r="I80" s="147"/>
      <c r="J80" s="147"/>
      <c r="K80" s="147"/>
      <c r="L80" s="147"/>
      <c r="M80" s="147"/>
      <c r="N80" s="147"/>
      <c r="O80" s="147"/>
      <c r="P80" s="145"/>
      <c r="Q80" s="147"/>
      <c r="R80" s="147"/>
      <c r="S80" s="147"/>
      <c r="T80" s="147"/>
      <c r="U80" s="147"/>
      <c r="V80" s="147"/>
      <c r="W80" s="147"/>
      <c r="X80" s="147"/>
      <c r="Y80" s="147"/>
      <c r="Z80" s="147"/>
      <c r="AA80" s="147"/>
      <c r="AB80" s="147"/>
      <c r="AC80" s="147"/>
      <c r="AD80" s="145"/>
      <c r="AE80" s="145"/>
      <c r="AF80" s="145"/>
      <c r="AG80" s="145"/>
      <c r="AH80" s="145"/>
      <c r="AI80" s="145"/>
      <c r="AJ80" s="145"/>
      <c r="AK80" s="145"/>
      <c r="AL80" s="145"/>
      <c r="AM80" s="145"/>
      <c r="AN80" s="145"/>
      <c r="AO80" s="145"/>
      <c r="AP80" s="145"/>
      <c r="AQ80" s="145"/>
      <c r="AR80" s="145"/>
      <c r="AS80" s="145"/>
    </row>
    <row r="81" spans="1:45" x14ac:dyDescent="0.25">
      <c r="A81" s="145"/>
      <c r="B81" s="147"/>
      <c r="C81" s="147"/>
      <c r="G81" s="145"/>
      <c r="H81" s="148"/>
      <c r="I81" s="147"/>
      <c r="J81" s="147"/>
      <c r="K81" s="147"/>
      <c r="L81" s="147"/>
      <c r="M81" s="147"/>
      <c r="N81" s="147"/>
      <c r="O81" s="147"/>
      <c r="P81" s="145"/>
      <c r="Q81" s="147"/>
      <c r="R81" s="147"/>
      <c r="S81" s="147"/>
      <c r="T81" s="147"/>
      <c r="U81" s="147"/>
      <c r="V81" s="147"/>
      <c r="W81" s="147"/>
      <c r="X81" s="147"/>
      <c r="Y81" s="147"/>
      <c r="Z81" s="147"/>
      <c r="AA81" s="147"/>
      <c r="AB81" s="147"/>
      <c r="AC81" s="147"/>
      <c r="AD81" s="145"/>
      <c r="AE81" s="145"/>
      <c r="AF81" s="145"/>
      <c r="AG81" s="145"/>
      <c r="AH81" s="145"/>
      <c r="AI81" s="145"/>
      <c r="AJ81" s="145"/>
      <c r="AK81" s="145"/>
      <c r="AL81" s="145"/>
      <c r="AM81" s="145"/>
      <c r="AN81" s="145"/>
      <c r="AO81" s="145"/>
      <c r="AP81" s="145"/>
      <c r="AQ81" s="145"/>
      <c r="AR81" s="145"/>
      <c r="AS81" s="145"/>
    </row>
    <row r="82" spans="1:45" x14ac:dyDescent="0.25">
      <c r="A82" s="145"/>
      <c r="B82" s="147"/>
      <c r="C82" s="147"/>
      <c r="G82" s="145"/>
      <c r="H82" s="148"/>
      <c r="I82" s="147"/>
      <c r="J82" s="147"/>
      <c r="K82" s="147"/>
      <c r="L82" s="147"/>
      <c r="M82" s="147"/>
      <c r="N82" s="147"/>
      <c r="O82" s="147"/>
      <c r="P82" s="145"/>
      <c r="Q82" s="147"/>
      <c r="R82" s="147"/>
      <c r="S82" s="147"/>
      <c r="T82" s="147"/>
      <c r="U82" s="147"/>
      <c r="V82" s="147"/>
      <c r="W82" s="147"/>
      <c r="X82" s="147"/>
      <c r="Y82" s="147"/>
      <c r="Z82" s="147"/>
      <c r="AA82" s="147"/>
      <c r="AB82" s="147"/>
      <c r="AC82" s="147"/>
      <c r="AD82" s="145"/>
      <c r="AE82" s="145"/>
      <c r="AF82" s="145"/>
      <c r="AG82" s="145"/>
      <c r="AH82" s="145"/>
      <c r="AI82" s="145"/>
      <c r="AJ82" s="145"/>
      <c r="AK82" s="145"/>
      <c r="AL82" s="145"/>
      <c r="AM82" s="145"/>
      <c r="AN82" s="145"/>
      <c r="AO82" s="145"/>
      <c r="AP82" s="145"/>
      <c r="AQ82" s="145"/>
      <c r="AR82" s="145"/>
      <c r="AS82" s="145"/>
    </row>
    <row r="83" spans="1:45" x14ac:dyDescent="0.25">
      <c r="A83" s="145"/>
      <c r="B83" s="147"/>
      <c r="C83" s="147"/>
      <c r="G83" s="145"/>
      <c r="H83" s="148"/>
      <c r="I83" s="147"/>
      <c r="J83" s="147"/>
      <c r="K83" s="147"/>
      <c r="L83" s="147"/>
      <c r="M83" s="147"/>
      <c r="N83" s="147"/>
      <c r="O83" s="147"/>
      <c r="P83" s="145"/>
      <c r="Q83" s="147"/>
      <c r="R83" s="147"/>
      <c r="S83" s="147"/>
      <c r="T83" s="147"/>
      <c r="U83" s="147"/>
      <c r="V83" s="147"/>
      <c r="W83" s="147"/>
      <c r="X83" s="147"/>
      <c r="Y83" s="147"/>
      <c r="Z83" s="147"/>
      <c r="AA83" s="147"/>
      <c r="AB83" s="147"/>
      <c r="AC83" s="147"/>
      <c r="AD83" s="145"/>
      <c r="AE83" s="145"/>
      <c r="AF83" s="145"/>
      <c r="AG83" s="145"/>
      <c r="AH83" s="145"/>
      <c r="AI83" s="145"/>
      <c r="AJ83" s="145"/>
      <c r="AK83" s="145"/>
      <c r="AL83" s="145"/>
      <c r="AM83" s="145"/>
      <c r="AN83" s="145"/>
      <c r="AO83" s="145"/>
      <c r="AP83" s="145"/>
      <c r="AQ83" s="145"/>
      <c r="AR83" s="145"/>
      <c r="AS83" s="145"/>
    </row>
    <row r="84" spans="1:45" x14ac:dyDescent="0.25">
      <c r="A84" s="145"/>
      <c r="B84" s="147"/>
      <c r="C84" s="147"/>
      <c r="G84" s="145"/>
      <c r="H84" s="148"/>
      <c r="I84" s="147"/>
      <c r="J84" s="147"/>
      <c r="K84" s="147"/>
      <c r="L84" s="147"/>
      <c r="M84" s="147"/>
      <c r="N84" s="147"/>
      <c r="O84" s="147"/>
      <c r="P84" s="145"/>
      <c r="Q84" s="147"/>
      <c r="R84" s="147"/>
      <c r="S84" s="147"/>
      <c r="T84" s="147"/>
      <c r="U84" s="147"/>
      <c r="V84" s="147"/>
      <c r="W84" s="147"/>
      <c r="X84" s="147"/>
      <c r="Y84" s="147"/>
      <c r="Z84" s="147"/>
      <c r="AA84" s="147"/>
      <c r="AB84" s="147"/>
      <c r="AC84" s="147"/>
      <c r="AD84" s="145"/>
      <c r="AE84" s="145"/>
      <c r="AF84" s="145"/>
      <c r="AG84" s="145"/>
      <c r="AH84" s="145"/>
      <c r="AI84" s="145"/>
      <c r="AJ84" s="145"/>
      <c r="AK84" s="145"/>
      <c r="AL84" s="145"/>
      <c r="AM84" s="145"/>
      <c r="AN84" s="145"/>
      <c r="AO84" s="145"/>
      <c r="AP84" s="145"/>
      <c r="AQ84" s="145"/>
      <c r="AR84" s="145"/>
      <c r="AS84" s="145"/>
    </row>
    <row r="85" spans="1:45" x14ac:dyDescent="0.25">
      <c r="A85" s="145"/>
      <c r="B85" s="147"/>
      <c r="C85" s="147"/>
      <c r="G85" s="145"/>
      <c r="H85" s="148"/>
      <c r="I85" s="147"/>
      <c r="J85" s="147"/>
      <c r="K85" s="147"/>
      <c r="L85" s="147"/>
      <c r="M85" s="147"/>
      <c r="N85" s="147"/>
      <c r="O85" s="147"/>
      <c r="P85" s="145"/>
      <c r="Q85" s="147"/>
      <c r="R85" s="147"/>
      <c r="S85" s="147"/>
      <c r="T85" s="147"/>
      <c r="U85" s="147"/>
      <c r="V85" s="147"/>
      <c r="W85" s="147"/>
      <c r="X85" s="147"/>
      <c r="Y85" s="147"/>
      <c r="Z85" s="147"/>
      <c r="AA85" s="147"/>
      <c r="AB85" s="147"/>
      <c r="AC85" s="147"/>
      <c r="AD85" s="145"/>
      <c r="AE85" s="145"/>
      <c r="AF85" s="145"/>
      <c r="AG85" s="145"/>
      <c r="AH85" s="145"/>
      <c r="AI85" s="145"/>
      <c r="AJ85" s="145"/>
      <c r="AK85" s="145"/>
      <c r="AL85" s="145"/>
      <c r="AM85" s="145"/>
      <c r="AN85" s="145"/>
      <c r="AO85" s="145"/>
      <c r="AP85" s="145"/>
      <c r="AQ85" s="145"/>
      <c r="AR85" s="145"/>
      <c r="AS85" s="145"/>
    </row>
    <row r="86" spans="1:45" x14ac:dyDescent="0.25">
      <c r="A86" s="145"/>
      <c r="B86" s="147"/>
      <c r="C86" s="147"/>
      <c r="G86" s="145"/>
      <c r="H86" s="148"/>
      <c r="I86" s="147"/>
      <c r="J86" s="147"/>
      <c r="K86" s="147"/>
      <c r="L86" s="147"/>
      <c r="M86" s="147"/>
      <c r="N86" s="147"/>
      <c r="O86" s="147"/>
      <c r="P86" s="145"/>
      <c r="Q86" s="147"/>
      <c r="R86" s="147"/>
      <c r="S86" s="147"/>
      <c r="T86" s="147"/>
      <c r="U86" s="147"/>
      <c r="V86" s="147"/>
      <c r="W86" s="147"/>
      <c r="X86" s="147"/>
      <c r="Y86" s="147"/>
      <c r="Z86" s="147"/>
      <c r="AA86" s="147"/>
      <c r="AB86" s="147"/>
      <c r="AC86" s="147"/>
      <c r="AD86" s="145"/>
      <c r="AE86" s="145"/>
      <c r="AF86" s="145"/>
      <c r="AG86" s="145"/>
      <c r="AH86" s="145"/>
      <c r="AI86" s="145"/>
      <c r="AJ86" s="145"/>
      <c r="AK86" s="145"/>
      <c r="AL86" s="145"/>
      <c r="AM86" s="145"/>
      <c r="AN86" s="145"/>
      <c r="AO86" s="145"/>
      <c r="AP86" s="145"/>
      <c r="AQ86" s="145"/>
      <c r="AR86" s="145"/>
      <c r="AS86" s="145"/>
    </row>
    <row r="87" spans="1:45" x14ac:dyDescent="0.25">
      <c r="A87" s="145"/>
      <c r="B87" s="147"/>
      <c r="C87" s="147"/>
      <c r="G87" s="145"/>
      <c r="H87" s="148"/>
      <c r="I87" s="147"/>
      <c r="J87" s="147"/>
      <c r="K87" s="147"/>
      <c r="L87" s="147"/>
      <c r="M87" s="147"/>
      <c r="N87" s="147"/>
      <c r="O87" s="147"/>
      <c r="P87" s="145"/>
      <c r="Q87" s="147"/>
      <c r="R87" s="147"/>
      <c r="S87" s="147"/>
      <c r="T87" s="147"/>
      <c r="U87" s="147"/>
      <c r="V87" s="147"/>
      <c r="W87" s="147"/>
      <c r="X87" s="147"/>
      <c r="Y87" s="147"/>
      <c r="Z87" s="147"/>
      <c r="AA87" s="147"/>
      <c r="AB87" s="147"/>
      <c r="AC87" s="147"/>
      <c r="AD87" s="145"/>
      <c r="AE87" s="145"/>
      <c r="AF87" s="145"/>
      <c r="AG87" s="145"/>
      <c r="AH87" s="145"/>
      <c r="AI87" s="145"/>
      <c r="AJ87" s="145"/>
      <c r="AK87" s="145"/>
      <c r="AL87" s="145"/>
      <c r="AM87" s="145"/>
      <c r="AN87" s="145"/>
      <c r="AO87" s="145"/>
      <c r="AP87" s="145"/>
      <c r="AQ87" s="145"/>
      <c r="AR87" s="145"/>
      <c r="AS87" s="145"/>
    </row>
    <row r="88" spans="1:45" x14ac:dyDescent="0.25">
      <c r="A88" s="145"/>
      <c r="B88" s="147"/>
      <c r="C88" s="147"/>
      <c r="G88" s="145"/>
      <c r="H88" s="148"/>
      <c r="I88" s="147"/>
      <c r="J88" s="147"/>
      <c r="K88" s="147"/>
      <c r="L88" s="147"/>
      <c r="M88" s="147"/>
      <c r="N88" s="147"/>
      <c r="O88" s="147"/>
      <c r="P88" s="145"/>
      <c r="Q88" s="147"/>
      <c r="R88" s="147"/>
      <c r="S88" s="147"/>
      <c r="T88" s="147"/>
      <c r="U88" s="147"/>
      <c r="V88" s="147"/>
      <c r="W88" s="147"/>
      <c r="X88" s="147"/>
      <c r="Y88" s="147"/>
      <c r="Z88" s="147"/>
      <c r="AA88" s="147"/>
      <c r="AB88" s="147"/>
      <c r="AC88" s="147"/>
      <c r="AD88" s="145"/>
      <c r="AE88" s="145"/>
      <c r="AF88" s="145"/>
      <c r="AG88" s="145"/>
      <c r="AH88" s="145"/>
      <c r="AI88" s="145"/>
      <c r="AJ88" s="145"/>
      <c r="AK88" s="145"/>
      <c r="AL88" s="145"/>
      <c r="AM88" s="145"/>
      <c r="AN88" s="145"/>
      <c r="AO88" s="145"/>
      <c r="AP88" s="145"/>
      <c r="AQ88" s="145"/>
      <c r="AR88" s="145"/>
      <c r="AS88" s="145"/>
    </row>
    <row r="89" spans="1:45" x14ac:dyDescent="0.25">
      <c r="A89" s="145"/>
      <c r="B89" s="147"/>
      <c r="C89" s="147"/>
      <c r="G89" s="145"/>
      <c r="H89" s="148"/>
      <c r="I89" s="147"/>
      <c r="J89" s="147"/>
      <c r="K89" s="147"/>
      <c r="L89" s="147"/>
      <c r="M89" s="147"/>
      <c r="N89" s="147"/>
      <c r="O89" s="147"/>
      <c r="P89" s="145"/>
      <c r="Q89" s="147"/>
      <c r="R89" s="147"/>
      <c r="S89" s="147"/>
      <c r="T89" s="147"/>
      <c r="U89" s="147"/>
      <c r="V89" s="147"/>
      <c r="W89" s="147"/>
      <c r="X89" s="147"/>
      <c r="Y89" s="147"/>
      <c r="Z89" s="147"/>
      <c r="AA89" s="147"/>
      <c r="AB89" s="147"/>
      <c r="AC89" s="147"/>
      <c r="AD89" s="145"/>
      <c r="AE89" s="145"/>
      <c r="AF89" s="145"/>
      <c r="AG89" s="145"/>
      <c r="AH89" s="145"/>
      <c r="AI89" s="145"/>
      <c r="AJ89" s="145"/>
      <c r="AK89" s="145"/>
      <c r="AL89" s="145"/>
      <c r="AM89" s="145"/>
      <c r="AN89" s="145"/>
      <c r="AO89" s="145"/>
      <c r="AP89" s="145"/>
      <c r="AQ89" s="145"/>
      <c r="AR89" s="145"/>
      <c r="AS89" s="145"/>
    </row>
    <row r="90" spans="1:45" x14ac:dyDescent="0.25">
      <c r="A90" s="145"/>
      <c r="B90" s="147"/>
      <c r="C90" s="147"/>
      <c r="G90" s="145"/>
      <c r="H90" s="148"/>
      <c r="I90" s="147"/>
      <c r="J90" s="147"/>
      <c r="K90" s="147"/>
      <c r="L90" s="147"/>
      <c r="M90" s="147"/>
      <c r="N90" s="147"/>
      <c r="O90" s="147"/>
      <c r="P90" s="145"/>
      <c r="Q90" s="147"/>
      <c r="R90" s="147"/>
      <c r="S90" s="147"/>
      <c r="T90" s="147"/>
      <c r="U90" s="147"/>
      <c r="V90" s="147"/>
      <c r="W90" s="147"/>
      <c r="X90" s="147"/>
      <c r="Y90" s="147"/>
      <c r="Z90" s="147"/>
      <c r="AA90" s="147"/>
      <c r="AB90" s="147"/>
      <c r="AC90" s="147"/>
      <c r="AD90" s="145"/>
      <c r="AE90" s="145"/>
      <c r="AF90" s="145"/>
      <c r="AG90" s="145"/>
      <c r="AH90" s="145"/>
      <c r="AI90" s="145"/>
      <c r="AJ90" s="145"/>
      <c r="AK90" s="145"/>
      <c r="AL90" s="145"/>
      <c r="AM90" s="145"/>
      <c r="AN90" s="145"/>
      <c r="AO90" s="145"/>
      <c r="AP90" s="145"/>
      <c r="AQ90" s="145"/>
      <c r="AR90" s="145"/>
      <c r="AS90" s="145"/>
    </row>
    <row r="91" spans="1:45" x14ac:dyDescent="0.25">
      <c r="A91" s="145"/>
      <c r="B91" s="147"/>
      <c r="C91" s="147"/>
      <c r="G91" s="145"/>
      <c r="H91" s="148"/>
      <c r="I91" s="147"/>
      <c r="J91" s="147"/>
      <c r="K91" s="147"/>
      <c r="L91" s="147"/>
      <c r="M91" s="147"/>
      <c r="N91" s="147"/>
      <c r="O91" s="147"/>
      <c r="P91" s="145"/>
      <c r="Q91" s="147"/>
      <c r="R91" s="147"/>
      <c r="S91" s="147"/>
      <c r="T91" s="147"/>
      <c r="U91" s="147"/>
      <c r="V91" s="147"/>
      <c r="W91" s="147"/>
      <c r="X91" s="147"/>
      <c r="Y91" s="147"/>
      <c r="Z91" s="147"/>
      <c r="AA91" s="147"/>
      <c r="AB91" s="147"/>
      <c r="AC91" s="147"/>
      <c r="AD91" s="145"/>
      <c r="AE91" s="145"/>
      <c r="AF91" s="145"/>
      <c r="AG91" s="145"/>
      <c r="AH91" s="145"/>
      <c r="AI91" s="145"/>
      <c r="AJ91" s="145"/>
      <c r="AK91" s="145"/>
      <c r="AL91" s="145"/>
      <c r="AM91" s="145"/>
      <c r="AN91" s="145"/>
      <c r="AO91" s="145"/>
      <c r="AP91" s="145"/>
      <c r="AQ91" s="145"/>
      <c r="AR91" s="145"/>
      <c r="AS91" s="145"/>
    </row>
    <row r="92" spans="1:45" x14ac:dyDescent="0.25">
      <c r="A92" s="145"/>
      <c r="B92" s="147"/>
      <c r="C92" s="147"/>
      <c r="G92" s="145"/>
      <c r="H92" s="148"/>
      <c r="I92" s="147"/>
      <c r="J92" s="147"/>
      <c r="K92" s="147"/>
      <c r="L92" s="147"/>
      <c r="M92" s="147"/>
      <c r="N92" s="147"/>
      <c r="O92" s="147"/>
      <c r="P92" s="145"/>
      <c r="Q92" s="147"/>
      <c r="R92" s="147"/>
      <c r="S92" s="147"/>
      <c r="T92" s="147"/>
      <c r="U92" s="147"/>
      <c r="V92" s="147"/>
      <c r="W92" s="147"/>
      <c r="X92" s="147"/>
      <c r="Y92" s="147"/>
      <c r="Z92" s="147"/>
      <c r="AA92" s="147"/>
      <c r="AB92" s="147"/>
      <c r="AC92" s="147"/>
      <c r="AD92" s="145"/>
      <c r="AE92" s="145"/>
      <c r="AF92" s="145"/>
      <c r="AG92" s="145"/>
      <c r="AH92" s="145"/>
      <c r="AI92" s="145"/>
      <c r="AJ92" s="145"/>
      <c r="AK92" s="145"/>
      <c r="AL92" s="145"/>
      <c r="AM92" s="145"/>
      <c r="AN92" s="145"/>
      <c r="AO92" s="145"/>
      <c r="AP92" s="145"/>
      <c r="AQ92" s="145"/>
      <c r="AR92" s="145"/>
      <c r="AS92" s="145"/>
    </row>
    <row r="93" spans="1:45" x14ac:dyDescent="0.25">
      <c r="A93" s="145"/>
      <c r="B93" s="147"/>
      <c r="C93" s="147"/>
      <c r="G93" s="145"/>
      <c r="H93" s="148"/>
      <c r="I93" s="147"/>
      <c r="J93" s="147"/>
      <c r="K93" s="147"/>
      <c r="L93" s="147"/>
      <c r="M93" s="147"/>
      <c r="N93" s="147"/>
      <c r="O93" s="147"/>
      <c r="P93" s="145"/>
      <c r="Q93" s="147"/>
      <c r="R93" s="147"/>
      <c r="S93" s="147"/>
      <c r="T93" s="147"/>
      <c r="U93" s="147"/>
      <c r="V93" s="147"/>
      <c r="W93" s="147"/>
      <c r="X93" s="147"/>
      <c r="Y93" s="147"/>
      <c r="Z93" s="147"/>
      <c r="AA93" s="147"/>
      <c r="AB93" s="147"/>
      <c r="AC93" s="147"/>
      <c r="AD93" s="145"/>
      <c r="AE93" s="145"/>
      <c r="AF93" s="145"/>
      <c r="AG93" s="145"/>
      <c r="AH93" s="145"/>
      <c r="AI93" s="145"/>
      <c r="AJ93" s="145"/>
      <c r="AK93" s="145"/>
      <c r="AL93" s="145"/>
      <c r="AM93" s="145"/>
      <c r="AN93" s="145"/>
      <c r="AO93" s="145"/>
      <c r="AP93" s="145"/>
      <c r="AQ93" s="145"/>
      <c r="AR93" s="145"/>
      <c r="AS93" s="145"/>
    </row>
    <row r="94" spans="1:45" x14ac:dyDescent="0.25">
      <c r="A94" s="145"/>
      <c r="B94" s="147"/>
      <c r="C94" s="147"/>
      <c r="G94" s="145"/>
      <c r="H94" s="148"/>
      <c r="I94" s="147"/>
      <c r="J94" s="147"/>
      <c r="K94" s="147"/>
      <c r="L94" s="147"/>
      <c r="M94" s="147"/>
      <c r="N94" s="147"/>
      <c r="O94" s="147"/>
      <c r="P94" s="145"/>
      <c r="Q94" s="147"/>
      <c r="R94" s="147"/>
      <c r="S94" s="147"/>
      <c r="T94" s="147"/>
      <c r="U94" s="147"/>
      <c r="V94" s="147"/>
      <c r="W94" s="147"/>
      <c r="X94" s="147"/>
      <c r="Y94" s="147"/>
      <c r="Z94" s="147"/>
      <c r="AA94" s="147"/>
      <c r="AB94" s="147"/>
      <c r="AC94" s="147"/>
      <c r="AD94" s="145"/>
      <c r="AE94" s="145"/>
      <c r="AF94" s="145"/>
      <c r="AG94" s="145"/>
      <c r="AH94" s="145"/>
      <c r="AI94" s="145"/>
      <c r="AJ94" s="145"/>
      <c r="AK94" s="145"/>
      <c r="AL94" s="145"/>
      <c r="AM94" s="145"/>
      <c r="AN94" s="145"/>
      <c r="AO94" s="145"/>
      <c r="AP94" s="145"/>
      <c r="AQ94" s="145"/>
      <c r="AR94" s="145"/>
      <c r="AS94" s="145"/>
    </row>
    <row r="95" spans="1:45" x14ac:dyDescent="0.25">
      <c r="A95" s="145"/>
      <c r="B95" s="145"/>
      <c r="C95" s="145"/>
      <c r="G95" s="145"/>
      <c r="H95" s="148"/>
      <c r="I95" s="145"/>
      <c r="J95" s="145"/>
      <c r="K95" s="145"/>
      <c r="L95" s="145"/>
      <c r="M95" s="145"/>
      <c r="N95" s="145"/>
      <c r="O95" s="147"/>
      <c r="P95" s="145"/>
      <c r="Q95" s="147"/>
      <c r="R95" s="147"/>
      <c r="S95" s="147"/>
      <c r="T95" s="147"/>
      <c r="U95" s="147"/>
      <c r="V95" s="147"/>
      <c r="W95" s="147"/>
      <c r="X95" s="147"/>
      <c r="Y95" s="147"/>
      <c r="Z95" s="147"/>
      <c r="AA95" s="147"/>
      <c r="AB95" s="147"/>
      <c r="AC95" s="147"/>
      <c r="AD95" s="145"/>
      <c r="AE95" s="145"/>
      <c r="AF95" s="145"/>
      <c r="AG95" s="145"/>
      <c r="AH95" s="145"/>
      <c r="AI95" s="145"/>
      <c r="AJ95" s="145"/>
      <c r="AK95" s="145"/>
      <c r="AL95" s="145"/>
      <c r="AM95" s="145"/>
      <c r="AN95" s="145"/>
      <c r="AO95" s="145"/>
      <c r="AP95" s="145"/>
      <c r="AQ95" s="145"/>
      <c r="AR95" s="145"/>
      <c r="AS95" s="145"/>
    </row>
    <row r="96" spans="1:45" x14ac:dyDescent="0.25">
      <c r="A96" s="145"/>
      <c r="B96" s="145"/>
      <c r="C96" s="145"/>
      <c r="D96" s="145"/>
      <c r="E96" s="145"/>
      <c r="F96" s="145"/>
      <c r="G96" s="145"/>
      <c r="H96" s="145"/>
      <c r="I96" s="145"/>
      <c r="J96" s="145"/>
      <c r="K96" s="145"/>
      <c r="L96" s="145"/>
      <c r="M96" s="145"/>
      <c r="N96" s="145"/>
      <c r="O96" s="147"/>
      <c r="P96" s="145"/>
      <c r="Q96" s="147"/>
      <c r="R96" s="147"/>
      <c r="S96" s="147"/>
      <c r="T96" s="147"/>
      <c r="U96" s="147"/>
      <c r="V96" s="147"/>
      <c r="W96" s="147"/>
      <c r="X96" s="147"/>
      <c r="Y96" s="147"/>
      <c r="Z96" s="147"/>
      <c r="AA96" s="147"/>
      <c r="AB96" s="147"/>
      <c r="AC96" s="147"/>
      <c r="AD96" s="145"/>
      <c r="AE96" s="145"/>
      <c r="AF96" s="145"/>
      <c r="AG96" s="145"/>
      <c r="AH96" s="145"/>
      <c r="AI96" s="145"/>
      <c r="AJ96" s="145"/>
      <c r="AK96" s="145"/>
      <c r="AL96" s="145"/>
      <c r="AM96" s="145"/>
      <c r="AN96" s="145"/>
      <c r="AO96" s="145"/>
      <c r="AP96" s="145"/>
      <c r="AQ96" s="145"/>
      <c r="AR96" s="145"/>
      <c r="AS96" s="145"/>
    </row>
    <row r="97" spans="1:45" x14ac:dyDescent="0.25">
      <c r="A97"/>
      <c r="B97"/>
      <c r="C97"/>
      <c r="D97"/>
      <c r="E97"/>
      <c r="F97"/>
      <c r="G97"/>
      <c r="H97"/>
      <c r="I97"/>
      <c r="J97"/>
      <c r="K97"/>
      <c r="L97"/>
      <c r="M97"/>
      <c r="N97"/>
      <c r="O97" s="147"/>
      <c r="P97" s="145"/>
      <c r="Q97" s="147"/>
      <c r="R97" s="147"/>
      <c r="S97" s="147"/>
      <c r="T97" s="147"/>
      <c r="U97" s="147"/>
      <c r="V97" s="147"/>
      <c r="W97" s="147"/>
      <c r="X97" s="147"/>
      <c r="Y97" s="147"/>
      <c r="Z97" s="147"/>
      <c r="AA97" s="147"/>
      <c r="AB97" s="147"/>
      <c r="AC97" s="147"/>
      <c r="AD97" s="145"/>
      <c r="AE97" s="145"/>
      <c r="AF97" s="145"/>
      <c r="AG97" s="145"/>
      <c r="AH97" s="145"/>
      <c r="AI97" s="145"/>
      <c r="AJ97" s="145"/>
      <c r="AK97" s="145"/>
      <c r="AL97" s="145"/>
      <c r="AM97" s="145"/>
      <c r="AN97" s="145"/>
      <c r="AO97" s="145"/>
      <c r="AP97" s="145"/>
      <c r="AQ97" s="145"/>
      <c r="AR97" s="145"/>
      <c r="AS97" s="145"/>
    </row>
    <row r="98" spans="1:45" x14ac:dyDescent="0.25">
      <c r="A98"/>
      <c r="B98"/>
      <c r="C98"/>
      <c r="D98"/>
      <c r="E98"/>
      <c r="F98"/>
      <c r="G98"/>
      <c r="H98"/>
      <c r="I98"/>
      <c r="J98"/>
      <c r="K98"/>
      <c r="L98"/>
      <c r="M98"/>
      <c r="N98"/>
      <c r="O98" s="147"/>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row>
    <row r="99" spans="1:45" x14ac:dyDescent="0.25">
      <c r="O99" s="147"/>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row>
    <row r="100" spans="1:45" x14ac:dyDescent="0.25">
      <c r="O100" s="145"/>
      <c r="P100" s="145"/>
      <c r="Q100"/>
      <c r="R100"/>
      <c r="S100"/>
      <c r="T100"/>
      <c r="U100"/>
      <c r="V100"/>
      <c r="W100"/>
      <c r="X100"/>
      <c r="Y100"/>
      <c r="Z100"/>
      <c r="AA100"/>
      <c r="AB100"/>
      <c r="AC100"/>
      <c r="AD100"/>
      <c r="AE100"/>
      <c r="AF100"/>
      <c r="AG100"/>
      <c r="AH100"/>
      <c r="AI100"/>
      <c r="AJ100" s="145"/>
      <c r="AK100" s="145"/>
      <c r="AL100" s="145"/>
      <c r="AM100" s="145"/>
      <c r="AN100" s="145"/>
      <c r="AO100" s="145"/>
      <c r="AP100" s="145"/>
      <c r="AQ100" s="145"/>
      <c r="AR100" s="145"/>
      <c r="AS100" s="145"/>
    </row>
    <row r="101" spans="1:45" x14ac:dyDescent="0.25">
      <c r="O101" s="145"/>
      <c r="P101" s="145"/>
      <c r="Q101"/>
      <c r="R101"/>
      <c r="S101"/>
      <c r="T101"/>
      <c r="U101"/>
      <c r="V101"/>
      <c r="W101"/>
      <c r="X101"/>
      <c r="Y101"/>
      <c r="Z101"/>
      <c r="AA101"/>
      <c r="AB101"/>
      <c r="AC101"/>
      <c r="AD101"/>
      <c r="AE101"/>
      <c r="AF101"/>
      <c r="AG101"/>
      <c r="AH101"/>
      <c r="AI101"/>
      <c r="AJ101" s="145"/>
      <c r="AK101" s="145"/>
      <c r="AL101" s="145"/>
      <c r="AM101" s="145"/>
      <c r="AN101" s="145"/>
      <c r="AO101" s="145"/>
      <c r="AP101" s="145"/>
      <c r="AQ101" s="145"/>
      <c r="AR101" s="145"/>
      <c r="AS101" s="145"/>
    </row>
    <row r="102" spans="1:45" x14ac:dyDescent="0.25">
      <c r="O102"/>
      <c r="P102"/>
      <c r="AJ102"/>
      <c r="AK102"/>
      <c r="AL102"/>
      <c r="AM102"/>
      <c r="AN102"/>
      <c r="AO102"/>
      <c r="AP102"/>
      <c r="AQ102"/>
      <c r="AR102"/>
      <c r="AS102"/>
    </row>
    <row r="103" spans="1:45" x14ac:dyDescent="0.25">
      <c r="O103"/>
      <c r="P103"/>
      <c r="AJ103"/>
      <c r="AK103"/>
      <c r="AL103"/>
      <c r="AM103"/>
      <c r="AN103"/>
      <c r="AO103"/>
      <c r="AP103"/>
      <c r="AQ103"/>
      <c r="AR103"/>
      <c r="AS103"/>
    </row>
  </sheetData>
  <mergeCells count="4">
    <mergeCell ref="A1:B1"/>
    <mergeCell ref="AM8:AN8"/>
    <mergeCell ref="E5:I5"/>
    <mergeCell ref="E4:I4"/>
  </mergeCells>
  <hyperlinks>
    <hyperlink ref="AL25" r:id="rId1" xr:uid="{00000000-0004-0000-0300-000000000000}"/>
  </hyperlinks>
  <pageMargins left="0.7" right="0.7" top="0.75" bottom="0.75" header="0.3" footer="0.3"/>
  <pageSetup scale="67"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Z49"/>
  <sheetViews>
    <sheetView view="pageBreakPreview" topLeftCell="A7" zoomScale="115" zoomScaleNormal="100" zoomScaleSheetLayoutView="115" workbookViewId="0">
      <selection activeCell="K8" sqref="K8"/>
    </sheetView>
  </sheetViews>
  <sheetFormatPr defaultRowHeight="15" x14ac:dyDescent="0.25"/>
  <cols>
    <col min="1" max="1" width="19.7109375" customWidth="1"/>
    <col min="6" max="6" width="10" customWidth="1"/>
    <col min="7" max="7" width="12.5703125" customWidth="1"/>
    <col min="9" max="9" width="10.28515625" bestFit="1" customWidth="1"/>
    <col min="10" max="10" width="11.42578125" customWidth="1"/>
    <col min="11" max="11" width="12.140625" customWidth="1"/>
    <col min="12" max="12" width="10.28515625" customWidth="1"/>
    <col min="13" max="16" width="12" customWidth="1"/>
    <col min="18" max="19" width="34.28515625" customWidth="1"/>
    <col min="23" max="23" width="21.140625" customWidth="1"/>
  </cols>
  <sheetData>
    <row r="1" spans="1:26" ht="29.25" customHeight="1" thickBot="1" x14ac:dyDescent="0.3">
      <c r="A1" s="278" t="s">
        <v>54</v>
      </c>
      <c r="B1" s="279"/>
      <c r="C1" s="279"/>
      <c r="D1" s="279"/>
      <c r="E1" s="279"/>
      <c r="F1" s="279"/>
      <c r="G1" s="279"/>
      <c r="H1" s="279"/>
      <c r="I1" s="279"/>
      <c r="J1" s="279"/>
      <c r="K1" s="279"/>
      <c r="L1" s="279"/>
      <c r="M1" s="279"/>
      <c r="N1" s="279"/>
      <c r="O1" s="279"/>
      <c r="P1" s="279"/>
    </row>
    <row r="2" spans="1:26" ht="23.1" customHeight="1" x14ac:dyDescent="0.25">
      <c r="A2" s="2" t="s">
        <v>55</v>
      </c>
      <c r="B2" s="201" t="str">
        <f>Input!B7</f>
        <v>Strathcona</v>
      </c>
      <c r="G2" s="2" t="s">
        <v>83</v>
      </c>
      <c r="H2" s="205">
        <f>P28</f>
        <v>210.57499999999999</v>
      </c>
      <c r="I2" t="str">
        <f t="shared" ref="I2:I3" si="0">IF(H2="","",TRUNC(H2/60,0)&amp;"hr:"&amp;TRUNC((H2/60-TRUNC(H2/60,0))*60,0)&amp;"min")</f>
        <v>3hr:30min</v>
      </c>
      <c r="K2" s="221" t="s">
        <v>171</v>
      </c>
      <c r="L2" s="205"/>
    </row>
    <row r="3" spans="1:26" ht="23.1" customHeight="1" x14ac:dyDescent="0.25">
      <c r="A3" s="2" t="s">
        <v>56</v>
      </c>
      <c r="B3" s="201" t="str">
        <f>Input!B9</f>
        <v>Strath Hz Lator</v>
      </c>
      <c r="G3" s="2" t="s">
        <v>258</v>
      </c>
      <c r="H3" s="205">
        <f>M37</f>
        <v>330.57499999999999</v>
      </c>
      <c r="I3" t="str">
        <f t="shared" si="0"/>
        <v>5hr:30min</v>
      </c>
      <c r="K3" s="221" t="s">
        <v>258</v>
      </c>
      <c r="L3" s="205"/>
    </row>
    <row r="4" spans="1:26" ht="23.1" customHeight="1" x14ac:dyDescent="0.25">
      <c r="A4" s="2" t="s">
        <v>57</v>
      </c>
      <c r="B4" s="201" t="str">
        <f>Input!B10</f>
        <v>100/08-20-62-3W6</v>
      </c>
      <c r="G4" s="2" t="s">
        <v>81</v>
      </c>
      <c r="H4" s="205">
        <f>M41</f>
        <v>365.5</v>
      </c>
      <c r="I4" t="str">
        <f>IF(H4="","",TRUNC(H4/60,0)&amp;"hr:"&amp;TRUNC((H4/60-TRUNC(H4/60,0))*60,0)&amp;"min")</f>
        <v>6hr:5min</v>
      </c>
      <c r="K4" s="221" t="s">
        <v>173</v>
      </c>
      <c r="L4" s="205"/>
    </row>
    <row r="5" spans="1:26" ht="23.1" customHeight="1" x14ac:dyDescent="0.25">
      <c r="A5" s="2" t="s">
        <v>58</v>
      </c>
      <c r="B5" s="202" t="str">
        <f>'Prejob Meeting'!B3</f>
        <v>PD 529</v>
      </c>
      <c r="G5" s="2" t="s">
        <v>84</v>
      </c>
      <c r="H5" s="205">
        <f>O41</f>
        <v>430</v>
      </c>
      <c r="I5" t="str">
        <f t="shared" ref="I5:I8" si="1">IF(H5="","",TRUNC(H5/60,0)&amp;"hr:"&amp;TRUNC((H5/60-TRUNC(H5/60,0))*60,0)&amp;"min")</f>
        <v>7hr:10min</v>
      </c>
      <c r="K5" s="221" t="s">
        <v>84</v>
      </c>
      <c r="L5" s="205"/>
      <c r="X5" t="s">
        <v>175</v>
      </c>
      <c r="Y5" t="s">
        <v>176</v>
      </c>
      <c r="Z5" t="s">
        <v>177</v>
      </c>
    </row>
    <row r="6" spans="1:26" ht="23.1" customHeight="1" x14ac:dyDescent="0.25">
      <c r="A6" s="2" t="s">
        <v>59</v>
      </c>
      <c r="B6" s="201" t="str">
        <f>Input!B5</f>
        <v>PRG2001091</v>
      </c>
      <c r="G6" s="2" t="s">
        <v>429</v>
      </c>
      <c r="H6" s="205">
        <f ca="1">Input!J7</f>
        <v>448.5</v>
      </c>
      <c r="I6" t="str">
        <f t="shared" ca="1" si="1"/>
        <v>7hr:28min</v>
      </c>
      <c r="K6" s="221" t="s">
        <v>174</v>
      </c>
      <c r="L6" s="205"/>
      <c r="W6" t="s">
        <v>83</v>
      </c>
      <c r="X6" s="5">
        <f>H2</f>
        <v>210.57499999999999</v>
      </c>
      <c r="Y6" s="37">
        <f>H4</f>
        <v>365.5</v>
      </c>
      <c r="Z6" s="37">
        <f>H9</f>
        <v>602</v>
      </c>
    </row>
    <row r="7" spans="1:26" ht="23.1" customHeight="1" x14ac:dyDescent="0.25">
      <c r="A7" s="2"/>
      <c r="B7" s="203"/>
      <c r="G7" s="2" t="s">
        <v>174</v>
      </c>
      <c r="H7" s="205">
        <f ca="1">'Test Results'!C42</f>
        <v>433</v>
      </c>
      <c r="I7" t="str">
        <f t="shared" ca="1" si="1"/>
        <v>7hr:13min</v>
      </c>
      <c r="K7" s="221" t="s">
        <v>172</v>
      </c>
      <c r="L7" s="205"/>
      <c r="W7" t="s">
        <v>258</v>
      </c>
      <c r="X7" s="5">
        <f>H3</f>
        <v>330.57499999999999</v>
      </c>
      <c r="Y7" s="37">
        <f>H4</f>
        <v>365.5</v>
      </c>
      <c r="Z7" s="37">
        <f>H9</f>
        <v>602</v>
      </c>
    </row>
    <row r="8" spans="1:26" ht="23.1" customHeight="1" x14ac:dyDescent="0.25">
      <c r="A8" s="2" t="s">
        <v>60</v>
      </c>
      <c r="B8" s="204">
        <f>'HP Calcs'!C5</f>
        <v>643.67999999999995</v>
      </c>
      <c r="C8" t="s">
        <v>61</v>
      </c>
      <c r="F8" s="4"/>
      <c r="G8" s="2" t="s">
        <v>452</v>
      </c>
      <c r="H8" s="205">
        <f ca="1">Input!J9</f>
        <v>410</v>
      </c>
      <c r="I8" t="str">
        <f t="shared" ca="1" si="1"/>
        <v>6hr:50min</v>
      </c>
      <c r="W8" t="s">
        <v>84</v>
      </c>
      <c r="X8" s="5">
        <f>H5</f>
        <v>430</v>
      </c>
      <c r="Y8" s="37">
        <f>H4</f>
        <v>365.5</v>
      </c>
      <c r="Z8" s="37">
        <f>H9</f>
        <v>602</v>
      </c>
    </row>
    <row r="9" spans="1:26" ht="23.1" customHeight="1" x14ac:dyDescent="0.25">
      <c r="A9" s="2" t="s">
        <v>62</v>
      </c>
      <c r="B9" s="204">
        <f>'HP Calcs'!C4</f>
        <v>36</v>
      </c>
      <c r="C9" t="s">
        <v>63</v>
      </c>
      <c r="F9" s="4"/>
      <c r="G9" s="2" t="s">
        <v>82</v>
      </c>
      <c r="H9" s="205">
        <f>P41</f>
        <v>602</v>
      </c>
      <c r="I9" t="str">
        <f>IF(H9="","",TRUNC(H9/60,0)&amp;"hr:"&amp;TRUNC((H9/60-TRUNC(H9/60,0))*60,0)&amp;"min")</f>
        <v>10hr:1min</v>
      </c>
      <c r="W9" t="s">
        <v>451</v>
      </c>
      <c r="X9" s="5">
        <f ca="1">Input!J7</f>
        <v>448.5</v>
      </c>
      <c r="Y9" s="37">
        <f>H4</f>
        <v>365.5</v>
      </c>
      <c r="Z9" s="37">
        <f>H9</f>
        <v>602</v>
      </c>
    </row>
    <row r="10" spans="1:26" ht="23.1" customHeight="1" x14ac:dyDescent="0.25">
      <c r="A10" s="6"/>
      <c r="B10" s="6"/>
      <c r="C10" s="6"/>
      <c r="W10" t="s">
        <v>174</v>
      </c>
      <c r="X10" s="5">
        <f ca="1">H7</f>
        <v>433</v>
      </c>
      <c r="Y10" s="37">
        <f>$H$4</f>
        <v>365.5</v>
      </c>
      <c r="Z10" s="37">
        <f>$H$9</f>
        <v>602</v>
      </c>
    </row>
    <row r="11" spans="1:26" ht="23.1" customHeight="1" x14ac:dyDescent="0.25">
      <c r="A11" s="2"/>
      <c r="B11" s="29"/>
      <c r="C11" s="29"/>
      <c r="D11" s="29"/>
      <c r="E11" s="29"/>
      <c r="F11" s="29"/>
      <c r="G11" s="29"/>
      <c r="H11" s="29"/>
      <c r="I11" s="29"/>
      <c r="J11" s="29"/>
      <c r="K11" s="29"/>
      <c r="L11" s="29"/>
      <c r="M11" s="29"/>
      <c r="W11" t="s">
        <v>452</v>
      </c>
      <c r="X11" s="218">
        <f ca="1">Input!J9</f>
        <v>410</v>
      </c>
      <c r="Y11" s="37">
        <f>$H$4</f>
        <v>365.5</v>
      </c>
      <c r="Z11" s="37">
        <f>$H$9</f>
        <v>602</v>
      </c>
    </row>
    <row r="12" spans="1:26" ht="23.1" customHeight="1" x14ac:dyDescent="0.25">
      <c r="A12" s="2"/>
      <c r="B12" s="29"/>
      <c r="C12" s="29"/>
      <c r="D12" s="29"/>
      <c r="E12" s="29"/>
      <c r="F12" s="29"/>
      <c r="G12" s="29"/>
      <c r="H12" s="29"/>
      <c r="I12" s="29"/>
      <c r="J12" s="29"/>
      <c r="K12" s="29"/>
      <c r="L12" s="29"/>
      <c r="M12" s="29"/>
      <c r="X12" t="s">
        <v>175</v>
      </c>
      <c r="Y12" t="s">
        <v>176</v>
      </c>
      <c r="Z12" t="s">
        <v>177</v>
      </c>
    </row>
    <row r="13" spans="1:26" ht="23.1" customHeight="1" x14ac:dyDescent="0.25">
      <c r="A13" s="2"/>
      <c r="B13" s="29"/>
      <c r="C13" s="29"/>
      <c r="D13" s="29"/>
      <c r="E13" s="29"/>
      <c r="F13" s="29"/>
      <c r="G13" s="29"/>
      <c r="H13" s="29"/>
      <c r="I13" s="29"/>
      <c r="J13" s="29"/>
      <c r="K13" s="29"/>
      <c r="L13" s="29"/>
      <c r="M13" s="29"/>
      <c r="W13" t="s">
        <v>171</v>
      </c>
      <c r="X13" s="5">
        <f>L2</f>
        <v>0</v>
      </c>
      <c r="Y13" s="37">
        <f>L4</f>
        <v>0</v>
      </c>
      <c r="Z13" s="37">
        <f>L7</f>
        <v>0</v>
      </c>
    </row>
    <row r="14" spans="1:26" ht="23.1" customHeight="1" x14ac:dyDescent="0.25">
      <c r="W14" t="s">
        <v>258</v>
      </c>
      <c r="X14" s="5">
        <f>L3</f>
        <v>0</v>
      </c>
      <c r="Y14" s="37">
        <f>L4</f>
        <v>0</v>
      </c>
      <c r="Z14" s="37">
        <f>L7</f>
        <v>0</v>
      </c>
    </row>
    <row r="15" spans="1:26" ht="23.1" customHeight="1" x14ac:dyDescent="0.25">
      <c r="W15" t="s">
        <v>84</v>
      </c>
      <c r="X15" s="5">
        <f>L5</f>
        <v>0</v>
      </c>
      <c r="Y15" s="37">
        <f>L4</f>
        <v>0</v>
      </c>
      <c r="Z15" s="37">
        <f>L7</f>
        <v>0</v>
      </c>
    </row>
    <row r="16" spans="1:26" ht="23.1" customHeight="1" x14ac:dyDescent="0.25">
      <c r="W16" t="s">
        <v>174</v>
      </c>
      <c r="X16" s="5">
        <f>L6</f>
        <v>0</v>
      </c>
      <c r="Y16" s="37">
        <f>L4</f>
        <v>0</v>
      </c>
      <c r="Z16" s="37">
        <f>L7</f>
        <v>0</v>
      </c>
    </row>
    <row r="17" spans="1:21" ht="23.1" customHeight="1" x14ac:dyDescent="0.25"/>
    <row r="18" spans="1:21" ht="23.1" customHeight="1" x14ac:dyDescent="0.25"/>
    <row r="19" spans="1:21" ht="23.1" customHeight="1" x14ac:dyDescent="0.25"/>
    <row r="20" spans="1:21" ht="23.1" customHeight="1" x14ac:dyDescent="0.25"/>
    <row r="21" spans="1:21" ht="23.1" customHeight="1" x14ac:dyDescent="0.25"/>
    <row r="22" spans="1:21" ht="23.1" customHeight="1" x14ac:dyDescent="0.25"/>
    <row r="23" spans="1:21" ht="23.1" customHeight="1" thickBot="1" x14ac:dyDescent="0.3"/>
    <row r="24" spans="1:21" ht="15" customHeight="1" x14ac:dyDescent="0.25">
      <c r="A24" s="280" t="s">
        <v>64</v>
      </c>
      <c r="B24" s="281"/>
      <c r="C24" s="281"/>
      <c r="D24" s="281"/>
      <c r="E24" s="281"/>
      <c r="F24" s="281"/>
      <c r="G24" s="281"/>
      <c r="H24" s="281"/>
      <c r="I24" s="281"/>
      <c r="J24" s="281"/>
      <c r="K24" s="281"/>
      <c r="L24" s="281"/>
      <c r="M24" s="281"/>
      <c r="N24" s="281"/>
      <c r="O24" s="281"/>
      <c r="P24" s="281"/>
      <c r="Q24" s="282"/>
      <c r="R24" s="222"/>
      <c r="S24" s="222"/>
      <c r="T24" s="222"/>
      <c r="U24" s="222"/>
    </row>
    <row r="25" spans="1:21" ht="15.75" customHeight="1" thickBot="1" x14ac:dyDescent="0.3">
      <c r="A25" s="283"/>
      <c r="B25" s="284"/>
      <c r="C25" s="284"/>
      <c r="D25" s="284"/>
      <c r="E25" s="284"/>
      <c r="F25" s="284"/>
      <c r="G25" s="284"/>
      <c r="H25" s="284"/>
      <c r="I25" s="284"/>
      <c r="J25" s="284"/>
      <c r="K25" s="284"/>
      <c r="L25" s="284"/>
      <c r="M25" s="284"/>
      <c r="N25" s="284"/>
      <c r="O25" s="284"/>
      <c r="P25" s="284"/>
      <c r="Q25" s="285"/>
      <c r="R25" s="222"/>
      <c r="S25" s="222"/>
      <c r="T25" s="222"/>
      <c r="U25" s="222"/>
    </row>
    <row r="26" spans="1:21" ht="75" x14ac:dyDescent="0.25">
      <c r="A26" s="151" t="s">
        <v>169</v>
      </c>
      <c r="B26" s="152" t="s">
        <v>256</v>
      </c>
      <c r="C26" s="116" t="s">
        <v>257</v>
      </c>
      <c r="D26" s="152" t="s">
        <v>65</v>
      </c>
      <c r="E26" s="152" t="s">
        <v>66</v>
      </c>
      <c r="F26" s="152" t="s">
        <v>361</v>
      </c>
      <c r="G26" s="152" t="s">
        <v>362</v>
      </c>
      <c r="H26" s="152" t="s">
        <v>363</v>
      </c>
      <c r="I26" s="152" t="s">
        <v>364</v>
      </c>
      <c r="J26" s="116" t="s">
        <v>67</v>
      </c>
      <c r="K26" s="152" t="s">
        <v>68</v>
      </c>
      <c r="L26" s="152" t="s">
        <v>365</v>
      </c>
      <c r="M26" s="152" t="s">
        <v>69</v>
      </c>
      <c r="N26" s="152" t="s">
        <v>70</v>
      </c>
      <c r="O26" s="152" t="s">
        <v>71</v>
      </c>
      <c r="P26" s="152" t="s">
        <v>72</v>
      </c>
      <c r="Q26" s="153" t="s">
        <v>73</v>
      </c>
      <c r="R26" s="223"/>
      <c r="S26" s="223"/>
      <c r="T26" s="223"/>
      <c r="U26" s="223"/>
    </row>
    <row r="27" spans="1:21" x14ac:dyDescent="0.25">
      <c r="A27" s="117" t="s">
        <v>170</v>
      </c>
      <c r="B27" s="118" t="s">
        <v>74</v>
      </c>
      <c r="C27" s="118" t="s">
        <v>74</v>
      </c>
      <c r="D27" s="118" t="s">
        <v>74</v>
      </c>
      <c r="E27" s="118" t="s">
        <v>74</v>
      </c>
      <c r="F27" s="118" t="s">
        <v>74</v>
      </c>
      <c r="G27" s="118" t="s">
        <v>366</v>
      </c>
      <c r="H27" s="118" t="s">
        <v>74</v>
      </c>
      <c r="I27" s="118" t="s">
        <v>75</v>
      </c>
      <c r="J27" s="118" t="s">
        <v>74</v>
      </c>
      <c r="K27" s="118" t="s">
        <v>75</v>
      </c>
      <c r="L27" s="118" t="s">
        <v>75</v>
      </c>
      <c r="M27" s="118" t="s">
        <v>76</v>
      </c>
      <c r="N27" s="118" t="s">
        <v>76</v>
      </c>
      <c r="O27" s="118" t="s">
        <v>76</v>
      </c>
      <c r="P27" s="118" t="s">
        <v>76</v>
      </c>
      <c r="Q27" s="154" t="s">
        <v>76</v>
      </c>
      <c r="R27" s="224"/>
      <c r="S27" s="224"/>
      <c r="T27" s="224"/>
      <c r="U27" s="224"/>
    </row>
    <row r="28" spans="1:21" x14ac:dyDescent="0.25">
      <c r="A28" s="155">
        <v>1</v>
      </c>
      <c r="B28" s="118">
        <v>2.5</v>
      </c>
      <c r="C28" s="118">
        <f>J28+E28+D28</f>
        <v>58.01</v>
      </c>
      <c r="D28" s="197">
        <v>33.799999999999997</v>
      </c>
      <c r="E28" s="197">
        <v>0</v>
      </c>
      <c r="F28" s="197">
        <f>0.75+6+11.8+4+26.3</f>
        <v>48.85</v>
      </c>
      <c r="G28" s="118">
        <f>IF(AND(H28&lt;&gt;0,I28&lt;&gt;0),1,"")</f>
        <v>1</v>
      </c>
      <c r="H28" s="197">
        <v>1</v>
      </c>
      <c r="I28" s="197">
        <v>0.5</v>
      </c>
      <c r="J28" s="197">
        <v>24.21</v>
      </c>
      <c r="K28" s="197">
        <v>0.8</v>
      </c>
      <c r="L28" s="197">
        <v>0.8</v>
      </c>
      <c r="M28" s="197">
        <v>5</v>
      </c>
      <c r="N28" s="197">
        <v>10</v>
      </c>
      <c r="O28" s="197">
        <v>60</v>
      </c>
      <c r="P28" s="156">
        <f>(D28/K28)+(E28/K28)+M28+N28+(F28/L28)+ IFERROR((H28/I28),0)+IFERROR((H29/I29),0)+IFERROR((H30/I30),0)+IFERROR((H31/I31),0)+(J28/K28)+O28</f>
        <v>210.57499999999999</v>
      </c>
      <c r="Q28" s="157">
        <f>(E28/K28)+M28+N28+(F28/L28)+ IFERROR((H28/I28),0)+IFERROR((H29/I29),0)+IFERROR((H30/I30),0)+IFERROR((H31/I31),0)+(J28/K28)+O28</f>
        <v>168.32499999999999</v>
      </c>
      <c r="R28" s="225"/>
      <c r="S28" s="225"/>
      <c r="T28" s="225"/>
      <c r="U28" s="225"/>
    </row>
    <row r="29" spans="1:21" ht="17.25" customHeight="1" thickBot="1" x14ac:dyDescent="0.3">
      <c r="A29" s="33"/>
      <c r="B29" s="185"/>
      <c r="C29" s="186"/>
      <c r="D29" s="185"/>
      <c r="E29" s="185"/>
      <c r="F29" s="185"/>
      <c r="G29" s="118" t="str">
        <f>IF(AND(H29&lt;&gt;0,I29&lt;&gt;0),2,"")</f>
        <v/>
      </c>
      <c r="H29" s="197">
        <v>0</v>
      </c>
      <c r="I29" s="197">
        <v>0</v>
      </c>
      <c r="J29" s="198" t="s">
        <v>77</v>
      </c>
      <c r="K29" s="185"/>
      <c r="L29" s="187"/>
      <c r="M29" s="187"/>
      <c r="N29" s="196" t="str">
        <f>IF(P28="","",TRUNC(P28/60,0)&amp;"hr:"&amp;TRUNC((P28/60-TRUNC(P28/60,0))*60,0)&amp;"min")</f>
        <v>3hr:30min</v>
      </c>
      <c r="O29" s="196" t="str">
        <f>IF(Q28="","",TRUNC(Q28/60,0)&amp;"hr:"&amp;TRUNC((Q28/60-TRUNC(Q28/60,0))*60,0)&amp;"min")</f>
        <v>2hr:48min</v>
      </c>
      <c r="P29" s="188"/>
      <c r="Q29" s="158"/>
      <c r="R29" s="226"/>
      <c r="S29" s="226"/>
      <c r="T29" s="226"/>
      <c r="U29" s="226"/>
    </row>
    <row r="30" spans="1:21" ht="15" customHeight="1" thickBot="1" x14ac:dyDescent="0.3">
      <c r="A30" s="33"/>
      <c r="B30" s="185"/>
      <c r="C30" s="185"/>
      <c r="D30" s="185"/>
      <c r="E30" s="185"/>
      <c r="F30" s="185"/>
      <c r="G30" s="118" t="str">
        <f>IF(AND(H30&lt;&gt;0,I30&lt;&gt;0),3,"")</f>
        <v/>
      </c>
      <c r="H30" s="197">
        <v>0</v>
      </c>
      <c r="I30" s="197">
        <v>0</v>
      </c>
      <c r="J30" s="185"/>
      <c r="K30" s="185"/>
      <c r="L30" s="187"/>
      <c r="M30" s="286" t="s">
        <v>400</v>
      </c>
      <c r="N30" s="287"/>
      <c r="O30" s="287"/>
      <c r="P30" s="288"/>
      <c r="Q30" s="158"/>
      <c r="R30" s="226"/>
      <c r="S30" s="226"/>
      <c r="T30" s="226"/>
      <c r="U30" s="226"/>
    </row>
    <row r="31" spans="1:21" ht="15.75" thickBot="1" x14ac:dyDescent="0.3">
      <c r="A31" s="35"/>
      <c r="B31" s="36"/>
      <c r="C31" s="36"/>
      <c r="D31" s="36"/>
      <c r="E31" s="36"/>
      <c r="F31" s="36"/>
      <c r="G31" s="159" t="str">
        <f>IF(AND(H31&lt;&gt;0,I31&lt;&gt;0),4,"")</f>
        <v/>
      </c>
      <c r="H31" s="199">
        <v>0</v>
      </c>
      <c r="I31" s="199">
        <v>0</v>
      </c>
      <c r="J31" s="36"/>
      <c r="K31" s="36"/>
      <c r="L31" s="160"/>
      <c r="M31" s="160"/>
      <c r="N31" s="160"/>
      <c r="O31" s="160"/>
      <c r="P31" s="160"/>
      <c r="Q31" s="162"/>
      <c r="R31" s="226"/>
      <c r="S31" s="226"/>
      <c r="T31" s="226"/>
      <c r="U31" s="226"/>
    </row>
    <row r="32" spans="1:21" ht="15.75" thickBot="1" x14ac:dyDescent="0.3">
      <c r="A32" s="35"/>
      <c r="B32" s="36"/>
      <c r="C32" s="36"/>
      <c r="D32" s="36"/>
      <c r="E32" s="36"/>
      <c r="F32" s="36"/>
      <c r="G32" s="36"/>
      <c r="H32" s="36"/>
      <c r="I32" s="36"/>
      <c r="J32" s="36"/>
      <c r="K32" s="189"/>
      <c r="L32" s="36"/>
      <c r="M32" s="161"/>
      <c r="N32" s="161"/>
      <c r="O32" s="161"/>
      <c r="P32" s="161"/>
      <c r="Q32" s="190"/>
      <c r="R32" s="188"/>
      <c r="S32" s="188"/>
      <c r="T32" s="188"/>
      <c r="U32" s="188"/>
    </row>
    <row r="33" spans="1:21" ht="15" customHeight="1" x14ac:dyDescent="0.25">
      <c r="A33" s="280" t="s">
        <v>367</v>
      </c>
      <c r="B33" s="281"/>
      <c r="C33" s="281"/>
      <c r="D33" s="281"/>
      <c r="E33" s="281"/>
      <c r="F33" s="281"/>
      <c r="G33" s="281"/>
      <c r="H33" s="281"/>
      <c r="I33" s="281"/>
      <c r="J33" s="281"/>
      <c r="K33" s="281"/>
      <c r="L33" s="281"/>
      <c r="M33" s="281"/>
      <c r="N33" s="281"/>
      <c r="O33" s="281"/>
      <c r="P33" s="281"/>
      <c r="Q33" s="282"/>
      <c r="R33" s="222"/>
      <c r="S33" s="222"/>
      <c r="T33" s="222"/>
      <c r="U33" s="222"/>
    </row>
    <row r="34" spans="1:21" ht="15.75" customHeight="1" thickBot="1" x14ac:dyDescent="0.3">
      <c r="A34" s="283"/>
      <c r="B34" s="284"/>
      <c r="C34" s="284"/>
      <c r="D34" s="284"/>
      <c r="E34" s="284"/>
      <c r="F34" s="284"/>
      <c r="G34" s="284"/>
      <c r="H34" s="284"/>
      <c r="I34" s="284"/>
      <c r="J34" s="284"/>
      <c r="K34" s="284"/>
      <c r="L34" s="284"/>
      <c r="M34" s="284"/>
      <c r="N34" s="284"/>
      <c r="O34" s="284"/>
      <c r="P34" s="284"/>
      <c r="Q34" s="285"/>
      <c r="R34" s="222"/>
      <c r="S34" s="222"/>
      <c r="T34" s="222"/>
      <c r="U34" s="222"/>
    </row>
    <row r="35" spans="1:21" ht="60" x14ac:dyDescent="0.25">
      <c r="A35" s="163" t="s">
        <v>169</v>
      </c>
      <c r="B35" s="164" t="s">
        <v>256</v>
      </c>
      <c r="C35" s="165" t="s">
        <v>257</v>
      </c>
      <c r="D35" s="166" t="s">
        <v>65</v>
      </c>
      <c r="E35" s="166" t="s">
        <v>66</v>
      </c>
      <c r="F35" s="166" t="s">
        <v>361</v>
      </c>
      <c r="G35" s="165" t="s">
        <v>78</v>
      </c>
      <c r="H35" s="166" t="s">
        <v>79</v>
      </c>
      <c r="I35" s="166" t="s">
        <v>368</v>
      </c>
      <c r="J35" s="166" t="s">
        <v>69</v>
      </c>
      <c r="K35" s="166" t="s">
        <v>70</v>
      </c>
      <c r="L35" s="167" t="s">
        <v>71</v>
      </c>
      <c r="M35" s="168" t="s">
        <v>258</v>
      </c>
      <c r="N35" s="165" t="s">
        <v>259</v>
      </c>
      <c r="O35" s="169" t="s">
        <v>260</v>
      </c>
      <c r="P35" s="170"/>
      <c r="Q35" s="158"/>
      <c r="R35" s="226"/>
      <c r="S35" s="226"/>
      <c r="T35" s="226"/>
      <c r="U35" s="226"/>
    </row>
    <row r="36" spans="1:21" x14ac:dyDescent="0.25">
      <c r="A36" s="117" t="s">
        <v>170</v>
      </c>
      <c r="B36" s="118" t="s">
        <v>74</v>
      </c>
      <c r="C36" s="118" t="s">
        <v>74</v>
      </c>
      <c r="D36" s="118" t="s">
        <v>74</v>
      </c>
      <c r="E36" s="118" t="s">
        <v>74</v>
      </c>
      <c r="F36" s="118" t="s">
        <v>74</v>
      </c>
      <c r="G36" s="118" t="s">
        <v>74</v>
      </c>
      <c r="H36" s="118" t="s">
        <v>75</v>
      </c>
      <c r="I36" s="118" t="s">
        <v>75</v>
      </c>
      <c r="J36" s="118" t="s">
        <v>76</v>
      </c>
      <c r="K36" s="118" t="s">
        <v>76</v>
      </c>
      <c r="L36" s="120" t="s">
        <v>76</v>
      </c>
      <c r="M36" s="117" t="s">
        <v>76</v>
      </c>
      <c r="N36" s="121" t="s">
        <v>76</v>
      </c>
      <c r="O36" s="122" t="s">
        <v>76</v>
      </c>
      <c r="P36" s="170"/>
      <c r="Q36" s="158"/>
      <c r="R36" s="226"/>
      <c r="S36" s="226"/>
      <c r="T36" s="226"/>
      <c r="U36" s="226"/>
    </row>
    <row r="37" spans="1:21" ht="15.75" thickBot="1" x14ac:dyDescent="0.3">
      <c r="A37" s="9">
        <f>A28</f>
        <v>1</v>
      </c>
      <c r="B37" s="123">
        <f>B28</f>
        <v>2.5</v>
      </c>
      <c r="C37" s="10">
        <f>C28</f>
        <v>58.01</v>
      </c>
      <c r="D37" s="10">
        <f>D28</f>
        <v>33.799999999999997</v>
      </c>
      <c r="E37" s="10">
        <f>E28</f>
        <v>0</v>
      </c>
      <c r="F37" s="10">
        <f>F28 + IFERROR(H28,0) + IFERROR(H29,0) + IFERROR(H30,0) + IFERROR(H31,0)</f>
        <v>49.85</v>
      </c>
      <c r="G37" s="10">
        <f>E37+D37+J28</f>
        <v>58.01</v>
      </c>
      <c r="H37" s="10">
        <f>IF($A37=1,0.5,1)</f>
        <v>0.5</v>
      </c>
      <c r="I37" s="10">
        <f>IF($A37=1,0.5,1)</f>
        <v>0.5</v>
      </c>
      <c r="J37" s="10" t="s">
        <v>261</v>
      </c>
      <c r="K37" s="10" t="s">
        <v>261</v>
      </c>
      <c r="L37" s="10" t="s">
        <v>261</v>
      </c>
      <c r="M37" s="124">
        <f>MAX(((B37/H37)+(F37/I37)+(C37/H37)+60),P28+120)</f>
        <v>330.57499999999999</v>
      </c>
      <c r="N37" s="31">
        <f>IF(M37="","",IF(D28="","",IF(AND(D28&lt;&gt;"",E28=""),M37/0.85,M37/0.85+30)))</f>
        <v>418.91176470588238</v>
      </c>
      <c r="O37" s="32">
        <f>IF(M37="","",IF(E28="","",M37/0.85))</f>
        <v>388.91176470588238</v>
      </c>
      <c r="P37" s="171"/>
      <c r="Q37" s="158"/>
      <c r="R37" s="226"/>
      <c r="S37" s="226"/>
      <c r="T37" s="226"/>
      <c r="U37" s="226"/>
    </row>
    <row r="38" spans="1:21" ht="30.75" customHeight="1" thickBot="1" x14ac:dyDescent="0.3">
      <c r="A38" s="33"/>
      <c r="B38" s="30"/>
      <c r="C38" s="30"/>
      <c r="D38" s="30"/>
      <c r="E38" s="30"/>
      <c r="F38" s="30"/>
      <c r="G38" s="30"/>
      <c r="H38" s="30"/>
      <c r="I38" s="30"/>
      <c r="J38" s="30"/>
      <c r="K38" s="30"/>
      <c r="L38" s="125"/>
      <c r="M38" s="34" t="str">
        <f>IFERROR(IF(M37="","",TRUNC(M37/60,0)&amp;"hr:"&amp;TRUNC((M37/60-TRUNC(M37/60,0))*60,0)&amp;"min"),"")</f>
        <v>5hr:30min</v>
      </c>
      <c r="N38" s="126" t="str">
        <f>IFERROR(IF(N37="","",TRUNC(N37/60,0)&amp;"hr:"&amp;TRUNC((N37/60-TRUNC(N37/60,0))*60,0)&amp;"min"),"")</f>
        <v>6hr:58min</v>
      </c>
      <c r="O38" s="127" t="str">
        <f>IF(O37="","",TRUNC(O37/60,0)&amp;"hr:"&amp;TRUNC((O37/60-TRUNC(O37/60,0))*60,0)&amp;"min")</f>
        <v>6hr:28min</v>
      </c>
      <c r="P38" s="170"/>
      <c r="Q38" s="158"/>
      <c r="R38" s="226"/>
      <c r="S38" s="226"/>
      <c r="T38" s="226"/>
      <c r="U38" s="226"/>
    </row>
    <row r="39" spans="1:21" ht="15.75" thickBot="1" x14ac:dyDescent="0.3">
      <c r="A39" s="33"/>
      <c r="B39" s="30"/>
      <c r="C39" s="30"/>
      <c r="D39" s="30"/>
      <c r="E39" s="30"/>
      <c r="F39" s="30"/>
      <c r="G39" s="30"/>
      <c r="H39" s="30"/>
      <c r="I39" s="30"/>
      <c r="J39" s="30"/>
      <c r="K39" s="30"/>
      <c r="L39" s="125"/>
      <c r="M39" s="170"/>
      <c r="N39" s="172"/>
      <c r="O39" s="172"/>
      <c r="P39" s="170"/>
      <c r="Q39" s="158"/>
      <c r="R39" s="226"/>
      <c r="S39" s="226"/>
      <c r="T39" s="226"/>
      <c r="U39" s="226"/>
    </row>
    <row r="40" spans="1:21" ht="45.75" thickBot="1" x14ac:dyDescent="0.3">
      <c r="A40" s="173" t="s">
        <v>369</v>
      </c>
      <c r="B40" s="195" t="s">
        <v>399</v>
      </c>
      <c r="C40" s="30"/>
      <c r="D40" s="30"/>
      <c r="E40" s="30"/>
      <c r="F40" s="30"/>
      <c r="G40" s="30"/>
      <c r="H40" s="30"/>
      <c r="I40" s="30"/>
      <c r="J40" s="30"/>
      <c r="K40" s="175" t="s">
        <v>262</v>
      </c>
      <c r="L40" s="128" t="s">
        <v>263</v>
      </c>
      <c r="M40" s="128" t="s">
        <v>264</v>
      </c>
      <c r="N40" s="129" t="s">
        <v>265</v>
      </c>
      <c r="O40" s="128" t="s">
        <v>266</v>
      </c>
      <c r="P40" s="128" t="s">
        <v>267</v>
      </c>
      <c r="Q40" s="158"/>
      <c r="R40" s="226"/>
      <c r="S40" s="226"/>
      <c r="T40" s="226"/>
      <c r="U40" s="226"/>
    </row>
    <row r="41" spans="1:21" ht="15.75" thickBot="1" x14ac:dyDescent="0.3">
      <c r="A41" s="173" t="s">
        <v>371</v>
      </c>
      <c r="B41" s="174" t="s">
        <v>370</v>
      </c>
      <c r="C41" s="30"/>
      <c r="D41" s="30"/>
      <c r="E41" s="30"/>
      <c r="F41" s="30"/>
      <c r="G41" s="30"/>
      <c r="H41" s="30"/>
      <c r="I41" s="30"/>
      <c r="J41" s="30"/>
      <c r="K41" s="276" t="s">
        <v>154</v>
      </c>
      <c r="L41" s="176">
        <f>IF(D28="","",M37)</f>
        <v>330.57499999999999</v>
      </c>
      <c r="M41" s="177">
        <f>IF($O$41="","",$O$41*0.85)</f>
        <v>365.5</v>
      </c>
      <c r="N41" s="178">
        <f>N37</f>
        <v>418.91176470588238</v>
      </c>
      <c r="O41" s="200">
        <v>430</v>
      </c>
      <c r="P41" s="177">
        <f>IF($O$41="","",$O$41*1.4)</f>
        <v>602</v>
      </c>
      <c r="Q41" s="158"/>
      <c r="R41" s="226"/>
      <c r="S41" s="226"/>
      <c r="T41" s="226"/>
      <c r="U41" s="226"/>
    </row>
    <row r="42" spans="1:21" ht="26.25" customHeight="1" thickBot="1" x14ac:dyDescent="0.3">
      <c r="A42" s="173" t="s">
        <v>373</v>
      </c>
      <c r="B42" s="174" t="s">
        <v>372</v>
      </c>
      <c r="C42" s="30"/>
      <c r="D42" s="30"/>
      <c r="E42" s="30"/>
      <c r="F42" s="30"/>
      <c r="G42" s="30"/>
      <c r="H42" s="30"/>
      <c r="I42" s="30"/>
      <c r="J42" s="30"/>
      <c r="K42" s="277"/>
      <c r="L42" s="179" t="str">
        <f>IFERROR(IF(L41="","",TRUNC(L41/60,0)&amp;"hr:"&amp;TRUNC((L41/60-TRUNC(L41/60,0))*60,0)&amp;"min"),"")</f>
        <v>5hr:30min</v>
      </c>
      <c r="M42" s="180" t="str">
        <f>IFERROR(IF(M41="","",TRUNC(M41/60,0)&amp;"hr:"&amp;TRUNC((M41/60-TRUNC(M41/60,0))*60,0)&amp;"min"),"")</f>
        <v>6hr:5min</v>
      </c>
      <c r="N42" s="181" t="str">
        <f>IFERROR(IF(N41="","",TRUNC(N41/60,0)&amp;"hr:"&amp;TRUNC((N41/60-TRUNC(N41/60,0))*60,0)&amp;"min"),"")</f>
        <v>6hr:58min</v>
      </c>
      <c r="O42" s="181" t="str">
        <f>IFERROR(IF(O41="","",TRUNC(O41/60,0)&amp;"hr:"&amp;TRUNC((O41/60-TRUNC(O41/60,0))*60,0)&amp;"min"),"")</f>
        <v>7hr:10min</v>
      </c>
      <c r="P42" s="181" t="str">
        <f>IFERROR(IF(P41="","",TRUNC(P41/60,0)&amp;"hr:"&amp;TRUNC((P41/60-TRUNC(P41/60,0))*60,0)&amp;"min"),"")</f>
        <v>10hr:1min</v>
      </c>
      <c r="Q42" s="158"/>
      <c r="R42" s="226"/>
      <c r="S42" s="226"/>
      <c r="T42" s="226"/>
      <c r="U42" s="226"/>
    </row>
    <row r="43" spans="1:21" x14ac:dyDescent="0.25">
      <c r="A43" s="173" t="s">
        <v>375</v>
      </c>
      <c r="B43" s="174" t="s">
        <v>374</v>
      </c>
      <c r="C43" s="30"/>
      <c r="D43" s="30"/>
      <c r="E43" s="30"/>
      <c r="F43" s="30"/>
      <c r="G43" s="30"/>
      <c r="H43" s="30"/>
      <c r="I43" s="30"/>
      <c r="J43" s="30"/>
      <c r="K43" s="276" t="s">
        <v>155</v>
      </c>
      <c r="L43" s="176">
        <f>IF(E28="","",M37)</f>
        <v>330.57499999999999</v>
      </c>
      <c r="M43" s="182">
        <f>IF($O$43="","",$O$43*0.85)</f>
        <v>0</v>
      </c>
      <c r="N43" s="182">
        <f>O37</f>
        <v>388.91176470588238</v>
      </c>
      <c r="O43" s="200">
        <v>0</v>
      </c>
      <c r="P43" s="182">
        <f>IF($O$43="","",$O$43*1.4)</f>
        <v>0</v>
      </c>
      <c r="Q43" s="158"/>
      <c r="R43" s="226"/>
      <c r="S43" s="226"/>
      <c r="T43" s="226"/>
      <c r="U43" s="226"/>
    </row>
    <row r="44" spans="1:21" ht="15.75" thickBot="1" x14ac:dyDescent="0.3">
      <c r="A44" s="173" t="s">
        <v>377</v>
      </c>
      <c r="B44" s="174" t="s">
        <v>376</v>
      </c>
      <c r="C44" s="30"/>
      <c r="D44" s="30"/>
      <c r="E44" s="30"/>
      <c r="F44" s="30"/>
      <c r="G44" s="30"/>
      <c r="H44" s="30"/>
      <c r="I44" s="30"/>
      <c r="J44" s="30"/>
      <c r="K44" s="277"/>
      <c r="L44" s="179" t="str">
        <f>IFERROR(IF(L43="","",TRUNC(L43/60,0)&amp;"hr:"&amp;TRUNC((L43/60-TRUNC(L43/60,0))*60,0)&amp;"min"),"")</f>
        <v>5hr:30min</v>
      </c>
      <c r="M44" s="181" t="str">
        <f>IFERROR(IF(M43="","",TRUNC(M43/60,0)&amp;"hr:"&amp;TRUNC((M43/60-TRUNC(M43/60,0))*60,0)&amp;"min"),"")</f>
        <v>0hr:0min</v>
      </c>
      <c r="N44" s="181" t="str">
        <f>IFERROR(IF(N43="","",TRUNC(N43/60,0)&amp;"hr:"&amp;TRUNC((N43/60-TRUNC(N43/60,0))*60,0)&amp;"min"),"")</f>
        <v>6hr:28min</v>
      </c>
      <c r="O44" s="181" t="str">
        <f>IFERROR(IF(O43="","",TRUNC(O43/60,0)&amp;"hr:"&amp;TRUNC((O43/60-TRUNC(O43/60,0))*60,0)&amp;"min"),"")</f>
        <v>0hr:0min</v>
      </c>
      <c r="P44" s="181" t="str">
        <f>IFERROR(IF(P43="","",TRUNC(P43/60,0)&amp;"hr:"&amp;TRUNC((P43/60-TRUNC(P43/60,0))*60,0)&amp;"min"),"")</f>
        <v>0hr:0min</v>
      </c>
      <c r="Q44" s="158"/>
      <c r="R44" s="226"/>
      <c r="S44" s="226"/>
      <c r="T44" s="226"/>
      <c r="U44" s="226"/>
    </row>
    <row r="45" spans="1:21" x14ac:dyDescent="0.25">
      <c r="A45" s="173" t="s">
        <v>379</v>
      </c>
      <c r="B45" s="174" t="s">
        <v>378</v>
      </c>
      <c r="C45" s="30"/>
      <c r="D45" s="30"/>
      <c r="E45" s="30"/>
      <c r="F45" s="30"/>
      <c r="G45" s="30"/>
      <c r="H45" s="30"/>
      <c r="I45" s="30"/>
      <c r="J45" s="30"/>
      <c r="K45" s="170"/>
      <c r="L45" s="172"/>
      <c r="M45" s="172"/>
      <c r="N45" s="172"/>
      <c r="O45" s="172"/>
      <c r="P45" s="172"/>
      <c r="Q45" s="158"/>
      <c r="R45" s="226"/>
      <c r="S45" s="226"/>
      <c r="T45" s="226"/>
      <c r="U45" s="226"/>
    </row>
    <row r="46" spans="1:21" x14ac:dyDescent="0.25">
      <c r="A46" s="173" t="s">
        <v>381</v>
      </c>
      <c r="B46" s="174" t="s">
        <v>380</v>
      </c>
      <c r="C46" s="30"/>
      <c r="D46" s="30"/>
      <c r="E46" s="30"/>
      <c r="F46" s="30"/>
      <c r="G46" s="30"/>
      <c r="H46" s="30"/>
      <c r="I46" s="30"/>
      <c r="J46" s="30"/>
      <c r="K46" s="170"/>
      <c r="L46" s="172"/>
      <c r="M46" s="172"/>
      <c r="N46" s="172"/>
      <c r="O46" s="172"/>
      <c r="P46" s="172"/>
      <c r="Q46" s="158"/>
      <c r="R46" s="226"/>
      <c r="S46" s="226"/>
      <c r="T46" s="226"/>
      <c r="U46" s="226"/>
    </row>
    <row r="47" spans="1:21" x14ac:dyDescent="0.25">
      <c r="A47" s="173" t="s">
        <v>383</v>
      </c>
      <c r="B47" s="174" t="s">
        <v>382</v>
      </c>
      <c r="C47" s="30"/>
      <c r="D47" s="30"/>
      <c r="E47" s="30"/>
      <c r="F47" s="30"/>
      <c r="G47" s="30"/>
      <c r="H47" s="30"/>
      <c r="I47" s="30"/>
      <c r="J47" s="30"/>
      <c r="K47" s="170"/>
      <c r="L47" s="172"/>
      <c r="M47" s="172"/>
      <c r="N47" s="172"/>
      <c r="O47" s="172"/>
      <c r="P47" s="172"/>
      <c r="Q47" s="158"/>
      <c r="R47" s="226"/>
      <c r="S47" s="226"/>
      <c r="T47" s="226"/>
      <c r="U47" s="226"/>
    </row>
    <row r="48" spans="1:21" x14ac:dyDescent="0.25">
      <c r="A48" s="173" t="s">
        <v>398</v>
      </c>
      <c r="B48" s="174" t="s">
        <v>384</v>
      </c>
      <c r="C48" s="174"/>
      <c r="D48" s="30"/>
      <c r="E48" s="30"/>
      <c r="F48" s="30"/>
      <c r="G48" s="30"/>
      <c r="H48" s="30"/>
      <c r="I48" s="30"/>
      <c r="J48" s="30"/>
      <c r="K48" s="170"/>
      <c r="L48" s="172"/>
      <c r="M48" s="172"/>
      <c r="N48" s="172"/>
      <c r="O48" s="172"/>
      <c r="P48" s="172"/>
      <c r="Q48" s="158"/>
      <c r="R48" s="226"/>
      <c r="S48" s="226"/>
      <c r="T48" s="226"/>
      <c r="U48" s="226"/>
    </row>
    <row r="49" spans="1:21" ht="15.75" thickBot="1" x14ac:dyDescent="0.3">
      <c r="A49" s="35"/>
      <c r="B49" s="36"/>
      <c r="C49" s="36"/>
      <c r="D49" s="36"/>
      <c r="E49" s="36"/>
      <c r="F49" s="36"/>
      <c r="G49" s="36"/>
      <c r="H49" s="36"/>
      <c r="I49" s="36"/>
      <c r="J49" s="36"/>
      <c r="K49" s="36"/>
      <c r="L49" s="119"/>
      <c r="M49" s="183"/>
      <c r="N49" s="184"/>
      <c r="O49" s="184"/>
      <c r="P49" s="36"/>
      <c r="Q49" s="162"/>
      <c r="R49" s="226"/>
      <c r="S49" s="226"/>
      <c r="T49" s="226"/>
      <c r="U49" s="226"/>
    </row>
  </sheetData>
  <mergeCells count="6">
    <mergeCell ref="K41:K42"/>
    <mergeCell ref="K43:K44"/>
    <mergeCell ref="A1:P1"/>
    <mergeCell ref="A24:Q25"/>
    <mergeCell ref="A33:Q34"/>
    <mergeCell ref="M30:P30"/>
  </mergeCells>
  <conditionalFormatting sqref="M41">
    <cfRule type="expression" dxfId="1" priority="2">
      <formula>$L$27&gt;$M$27</formula>
    </cfRule>
  </conditionalFormatting>
  <conditionalFormatting sqref="M43">
    <cfRule type="expression" dxfId="0" priority="3">
      <formula>$M$30&lt;$L$29</formula>
    </cfRule>
  </conditionalFormatting>
  <pageMargins left="0.7" right="0.7" top="0.75" bottom="0.75" header="0.3" footer="0.3"/>
  <pageSetup scale="4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M55"/>
  <sheetViews>
    <sheetView tabSelected="1" workbookViewId="0">
      <selection activeCell="M41" sqref="M41"/>
    </sheetView>
  </sheetViews>
  <sheetFormatPr defaultRowHeight="15" x14ac:dyDescent="0.25"/>
  <cols>
    <col min="1" max="4" width="10.7109375" customWidth="1"/>
    <col min="5" max="12" width="9.28515625" customWidth="1"/>
  </cols>
  <sheetData>
    <row r="1" spans="1:13" x14ac:dyDescent="0.25">
      <c r="A1" s="2" t="s">
        <v>0</v>
      </c>
      <c r="B1" t="str">
        <f>Input!B7</f>
        <v>Strathcona</v>
      </c>
      <c r="E1" t="s">
        <v>124</v>
      </c>
      <c r="I1" t="s">
        <v>2</v>
      </c>
      <c r="J1" t="str">
        <f>Input!B10</f>
        <v>100/08-20-62-3W6</v>
      </c>
    </row>
    <row r="2" spans="1:13" x14ac:dyDescent="0.25">
      <c r="A2" s="274" t="s">
        <v>138</v>
      </c>
      <c r="B2" s="274"/>
      <c r="C2" s="274"/>
      <c r="D2" s="274"/>
      <c r="E2" s="274"/>
      <c r="F2" s="274"/>
      <c r="G2" s="274"/>
      <c r="H2" s="274"/>
      <c r="I2" s="274"/>
      <c r="J2" s="274"/>
      <c r="K2" s="274"/>
      <c r="L2" s="274"/>
    </row>
    <row r="3" spans="1:13" hidden="1" x14ac:dyDescent="0.25">
      <c r="B3" s="274" t="s">
        <v>141</v>
      </c>
      <c r="C3" s="274"/>
      <c r="D3" s="274"/>
    </row>
    <row r="4" spans="1:13" ht="24.75" hidden="1" x14ac:dyDescent="0.25">
      <c r="B4" s="22" t="s">
        <v>84</v>
      </c>
      <c r="C4" s="20" t="s">
        <v>140</v>
      </c>
      <c r="D4" s="20" t="s">
        <v>139</v>
      </c>
      <c r="E4" s="20" t="s">
        <v>142</v>
      </c>
      <c r="F4" s="20" t="s">
        <v>143</v>
      </c>
      <c r="G4" s="20" t="s">
        <v>144</v>
      </c>
      <c r="H4" s="20" t="s">
        <v>145</v>
      </c>
      <c r="I4" s="20" t="s">
        <v>148</v>
      </c>
      <c r="J4" s="20" t="s">
        <v>149</v>
      </c>
      <c r="K4" s="20" t="s">
        <v>146</v>
      </c>
      <c r="L4" s="20" t="s">
        <v>147</v>
      </c>
    </row>
    <row r="5" spans="1:13" hidden="1" x14ac:dyDescent="0.25">
      <c r="A5" s="21" t="s">
        <v>154</v>
      </c>
      <c r="B5" s="21"/>
      <c r="C5" s="21"/>
      <c r="D5" s="21"/>
      <c r="E5" s="21"/>
      <c r="F5" s="21"/>
      <c r="G5" s="21"/>
      <c r="H5" s="21"/>
      <c r="I5" s="21"/>
      <c r="J5" s="21"/>
      <c r="K5" s="21"/>
      <c r="L5" s="21"/>
    </row>
    <row r="6" spans="1:13" hidden="1" x14ac:dyDescent="0.25">
      <c r="A6" s="21" t="s">
        <v>155</v>
      </c>
      <c r="B6" s="21"/>
      <c r="C6" s="21"/>
      <c r="D6" s="21"/>
      <c r="E6" s="21"/>
      <c r="F6" s="21"/>
      <c r="G6" s="21"/>
      <c r="H6" s="21"/>
      <c r="I6" s="21"/>
      <c r="J6" s="21"/>
      <c r="K6" s="21"/>
      <c r="L6" s="21"/>
      <c r="M6" s="11"/>
    </row>
    <row r="7" spans="1:13" hidden="1" x14ac:dyDescent="0.25">
      <c r="A7" s="21" t="s">
        <v>127</v>
      </c>
      <c r="B7" s="24" t="s">
        <v>185</v>
      </c>
      <c r="C7" s="24" t="s">
        <v>185</v>
      </c>
      <c r="D7" s="24" t="s">
        <v>185</v>
      </c>
      <c r="E7" s="24" t="s">
        <v>185</v>
      </c>
      <c r="F7" s="24" t="s">
        <v>185</v>
      </c>
      <c r="G7" s="24" t="s">
        <v>185</v>
      </c>
      <c r="H7" s="24" t="s">
        <v>185</v>
      </c>
      <c r="I7" s="24" t="s">
        <v>185</v>
      </c>
      <c r="J7" s="24" t="s">
        <v>185</v>
      </c>
      <c r="K7" s="24" t="s">
        <v>185</v>
      </c>
      <c r="L7" s="24" t="s">
        <v>185</v>
      </c>
      <c r="M7" s="11"/>
    </row>
    <row r="8" spans="1:13" hidden="1" x14ac:dyDescent="0.25">
      <c r="M8" s="11"/>
    </row>
    <row r="9" spans="1:13" hidden="1" x14ac:dyDescent="0.25">
      <c r="A9" t="s">
        <v>128</v>
      </c>
      <c r="E9" t="s">
        <v>129</v>
      </c>
      <c r="M9" s="11"/>
    </row>
    <row r="10" spans="1:13" x14ac:dyDescent="0.25">
      <c r="M10" s="11"/>
    </row>
    <row r="11" spans="1:13" x14ac:dyDescent="0.25">
      <c r="M11" s="11"/>
    </row>
    <row r="12" spans="1:13" x14ac:dyDescent="0.25">
      <c r="M12" s="11"/>
    </row>
    <row r="13" spans="1:13" x14ac:dyDescent="0.25">
      <c r="M13" s="11"/>
    </row>
    <row r="14" spans="1:13" x14ac:dyDescent="0.25">
      <c r="M14" s="11"/>
    </row>
    <row r="15" spans="1:13" x14ac:dyDescent="0.25">
      <c r="M15" s="11"/>
    </row>
    <row r="16" spans="1:13" x14ac:dyDescent="0.25">
      <c r="M16" s="11"/>
    </row>
    <row r="36" spans="1:12" hidden="1" x14ac:dyDescent="0.25">
      <c r="A36" s="229" t="s">
        <v>355</v>
      </c>
      <c r="B36" s="229"/>
      <c r="C36" s="229"/>
      <c r="D36" s="229"/>
      <c r="E36" s="229"/>
      <c r="F36" s="229"/>
      <c r="G36" s="230" t="s">
        <v>157</v>
      </c>
      <c r="H36" s="242"/>
      <c r="I36" s="242"/>
      <c r="J36" s="242"/>
      <c r="K36" s="242"/>
      <c r="L36" s="231"/>
    </row>
    <row r="37" spans="1:12" ht="30" hidden="1" x14ac:dyDescent="0.25">
      <c r="A37" s="23" t="s">
        <v>356</v>
      </c>
      <c r="B37" s="23" t="s">
        <v>357</v>
      </c>
      <c r="C37" s="23" t="s">
        <v>358</v>
      </c>
      <c r="D37" s="23" t="s">
        <v>359</v>
      </c>
      <c r="E37" s="23" t="s">
        <v>360</v>
      </c>
      <c r="F37" s="21"/>
      <c r="G37" s="23" t="s">
        <v>150</v>
      </c>
      <c r="H37" s="23" t="s">
        <v>151</v>
      </c>
      <c r="I37" s="23" t="s">
        <v>152</v>
      </c>
      <c r="J37" s="23" t="s">
        <v>153</v>
      </c>
      <c r="K37" s="23"/>
      <c r="L37" s="23"/>
    </row>
    <row r="38" spans="1:12" hidden="1" x14ac:dyDescent="0.25">
      <c r="A38" s="38"/>
      <c r="B38" s="38"/>
      <c r="C38" s="38"/>
      <c r="D38" s="38"/>
      <c r="E38" s="38"/>
      <c r="F38" s="21"/>
      <c r="G38" s="21"/>
      <c r="H38" s="21"/>
      <c r="I38" s="21"/>
      <c r="J38" s="21"/>
      <c r="K38" s="21"/>
      <c r="L38" s="21"/>
    </row>
    <row r="39" spans="1:12" hidden="1" x14ac:dyDescent="0.25">
      <c r="A39" s="41"/>
      <c r="B39" s="150"/>
      <c r="C39" s="150"/>
      <c r="D39" s="150"/>
      <c r="E39" s="150"/>
      <c r="F39" s="150"/>
    </row>
    <row r="40" spans="1:12" x14ac:dyDescent="0.25">
      <c r="A40" s="230" t="s">
        <v>166</v>
      </c>
      <c r="B40" s="242"/>
      <c r="C40" s="242"/>
      <c r="D40" s="231"/>
      <c r="E40" s="45"/>
      <c r="F40" s="45"/>
      <c r="G40" s="45"/>
    </row>
    <row r="41" spans="1:12" x14ac:dyDescent="0.25">
      <c r="A41" s="23" t="str">
        <f>Input!N2</f>
        <v>Pilot</v>
      </c>
      <c r="B41" s="211" t="str">
        <f>Input!O2</f>
        <v>Pilot Hes</v>
      </c>
      <c r="C41" s="211" t="str">
        <f>Input!P2</f>
        <v>FB</v>
      </c>
      <c r="D41" s="211" t="str">
        <f>Input!Q2</f>
        <v>FB Hes</v>
      </c>
      <c r="E41" s="45"/>
      <c r="F41" s="45"/>
    </row>
    <row r="42" spans="1:12" x14ac:dyDescent="0.25">
      <c r="A42" s="219">
        <f ca="1">Input!J6</f>
        <v>429</v>
      </c>
      <c r="B42" s="219">
        <f ca="1">Input!J7</f>
        <v>448.5</v>
      </c>
      <c r="C42" s="219">
        <f ca="1">Input!J8</f>
        <v>433</v>
      </c>
      <c r="D42" s="219">
        <f ca="1">Input!J9</f>
        <v>410</v>
      </c>
      <c r="E42" s="45"/>
      <c r="F42" s="45"/>
    </row>
    <row r="43" spans="1:12" x14ac:dyDescent="0.25">
      <c r="A43" s="220" t="str">
        <f ca="1">IF(A42="","",TRUNC(A42/60,0)&amp;"hr:"&amp;TRUNC((A42/60-TRUNC(A42/60,0))*60,0)&amp;"min")</f>
        <v>7hr:9min</v>
      </c>
      <c r="B43" s="220" t="str">
        <f t="shared" ref="B43:D43" ca="1" si="0">IF(B42="","",TRUNC(B42/60,0)&amp;"hr:"&amp;TRUNC((B42/60-TRUNC(B42/60,0))*60,0)&amp;"min")</f>
        <v>7hr:28min</v>
      </c>
      <c r="C43" s="220" t="str">
        <f t="shared" ca="1" si="0"/>
        <v>7hr:13min</v>
      </c>
      <c r="D43" s="220" t="str">
        <f t="shared" ca="1" si="0"/>
        <v>6hr:50min</v>
      </c>
      <c r="E43" s="45"/>
      <c r="F43" s="45"/>
    </row>
    <row r="45" spans="1:12" hidden="1" x14ac:dyDescent="0.25">
      <c r="A45" s="229" t="s">
        <v>156</v>
      </c>
      <c r="B45" s="229"/>
      <c r="C45" s="229"/>
      <c r="D45" s="229"/>
      <c r="E45" s="229"/>
      <c r="F45" s="229"/>
      <c r="G45" s="229" t="s">
        <v>158</v>
      </c>
      <c r="H45" s="229"/>
      <c r="I45" s="229"/>
      <c r="J45" s="229"/>
      <c r="K45" s="229"/>
      <c r="L45" s="229"/>
    </row>
    <row r="46" spans="1:12" ht="30" hidden="1" x14ac:dyDescent="0.25">
      <c r="A46" s="23" t="s">
        <v>150</v>
      </c>
      <c r="B46" s="23" t="s">
        <v>151</v>
      </c>
      <c r="C46" s="23" t="s">
        <v>152</v>
      </c>
      <c r="D46" s="23" t="s">
        <v>153</v>
      </c>
      <c r="E46" s="23"/>
      <c r="F46" s="23"/>
      <c r="G46" s="23" t="s">
        <v>150</v>
      </c>
      <c r="H46" s="23" t="s">
        <v>151</v>
      </c>
      <c r="I46" s="23" t="s">
        <v>152</v>
      </c>
      <c r="J46" s="23" t="s">
        <v>153</v>
      </c>
      <c r="K46" s="23"/>
      <c r="L46" s="23"/>
    </row>
    <row r="47" spans="1:12" hidden="1" x14ac:dyDescent="0.25">
      <c r="A47" s="21"/>
      <c r="B47" s="21"/>
      <c r="C47" s="21"/>
      <c r="D47" s="21"/>
      <c r="E47" s="21"/>
      <c r="F47" s="21"/>
      <c r="G47" s="21"/>
      <c r="H47" s="21"/>
      <c r="I47" s="21"/>
      <c r="J47" s="21"/>
      <c r="K47" s="21"/>
      <c r="L47" s="21"/>
    </row>
    <row r="48" spans="1:12" hidden="1" x14ac:dyDescent="0.25"/>
    <row r="49" spans="1:12" ht="30" hidden="1" x14ac:dyDescent="0.25">
      <c r="A49" s="289" t="s">
        <v>165</v>
      </c>
      <c r="B49" s="289"/>
      <c r="C49" s="23" t="s">
        <v>150</v>
      </c>
      <c r="D49" s="23" t="s">
        <v>151</v>
      </c>
      <c r="E49" s="23" t="s">
        <v>152</v>
      </c>
      <c r="F49" s="23" t="s">
        <v>153</v>
      </c>
      <c r="G49" s="21"/>
      <c r="H49" s="21"/>
      <c r="I49" s="21"/>
      <c r="J49" s="21"/>
      <c r="K49" s="21"/>
      <c r="L49" s="21"/>
    </row>
    <row r="50" spans="1:12" hidden="1" x14ac:dyDescent="0.25">
      <c r="A50" s="229" t="s">
        <v>159</v>
      </c>
      <c r="B50" s="229"/>
      <c r="C50" s="21"/>
      <c r="D50" s="21"/>
      <c r="E50" s="21"/>
      <c r="F50" s="21"/>
      <c r="G50" s="21"/>
      <c r="H50" s="21"/>
      <c r="I50" s="21"/>
      <c r="J50" s="21"/>
      <c r="K50" s="21"/>
      <c r="L50" s="21"/>
    </row>
    <row r="51" spans="1:12" hidden="1" x14ac:dyDescent="0.25">
      <c r="A51" s="229" t="s">
        <v>160</v>
      </c>
      <c r="B51" s="229"/>
      <c r="C51" s="21"/>
      <c r="D51" s="21"/>
      <c r="E51" s="21"/>
      <c r="F51" s="21"/>
      <c r="G51" s="21"/>
      <c r="H51" s="21"/>
      <c r="I51" s="21"/>
      <c r="J51" s="21"/>
      <c r="K51" s="21"/>
      <c r="L51" s="21"/>
    </row>
    <row r="52" spans="1:12" hidden="1" x14ac:dyDescent="0.25">
      <c r="A52" s="229" t="s">
        <v>161</v>
      </c>
      <c r="B52" s="229"/>
      <c r="C52" s="21"/>
      <c r="D52" s="21"/>
      <c r="E52" s="21"/>
      <c r="F52" s="21"/>
      <c r="G52" s="21"/>
      <c r="H52" s="21"/>
      <c r="I52" s="21"/>
      <c r="J52" s="21"/>
      <c r="K52" s="21"/>
      <c r="L52" s="21"/>
    </row>
    <row r="53" spans="1:12" hidden="1" x14ac:dyDescent="0.25">
      <c r="A53" s="229" t="s">
        <v>162</v>
      </c>
      <c r="B53" s="229"/>
      <c r="C53" s="21"/>
      <c r="D53" s="21"/>
      <c r="E53" s="21"/>
      <c r="F53" s="21"/>
      <c r="G53" s="21"/>
      <c r="H53" s="21"/>
      <c r="I53" s="21"/>
      <c r="J53" s="21"/>
      <c r="K53" s="21"/>
      <c r="L53" s="21"/>
    </row>
    <row r="54" spans="1:12" hidden="1" x14ac:dyDescent="0.25">
      <c r="A54" s="229" t="s">
        <v>163</v>
      </c>
      <c r="B54" s="229"/>
      <c r="C54" s="21"/>
      <c r="D54" s="21"/>
      <c r="E54" s="21"/>
      <c r="F54" s="21"/>
      <c r="G54" s="21"/>
      <c r="H54" s="21"/>
      <c r="I54" s="21"/>
      <c r="J54" s="21"/>
      <c r="K54" s="21"/>
      <c r="L54" s="21"/>
    </row>
    <row r="55" spans="1:12" hidden="1" x14ac:dyDescent="0.25">
      <c r="A55" s="229" t="s">
        <v>164</v>
      </c>
      <c r="B55" s="229"/>
      <c r="C55" s="21"/>
      <c r="D55" s="21"/>
      <c r="E55" s="21"/>
      <c r="F55" s="21"/>
      <c r="G55" s="21"/>
      <c r="H55" s="21"/>
      <c r="I55" s="21"/>
      <c r="J55" s="21"/>
      <c r="K55" s="21"/>
      <c r="L55" s="21"/>
    </row>
  </sheetData>
  <mergeCells count="14">
    <mergeCell ref="B3:D3"/>
    <mergeCell ref="A2:L2"/>
    <mergeCell ref="A49:B49"/>
    <mergeCell ref="A50:B50"/>
    <mergeCell ref="A45:F45"/>
    <mergeCell ref="G45:L45"/>
    <mergeCell ref="G36:L36"/>
    <mergeCell ref="A36:F36"/>
    <mergeCell ref="A40:D40"/>
    <mergeCell ref="A51:B51"/>
    <mergeCell ref="A55:B55"/>
    <mergeCell ref="A54:B54"/>
    <mergeCell ref="A53:B53"/>
    <mergeCell ref="A52:B52"/>
  </mergeCells>
  <pageMargins left="0.7" right="0.7" top="0.75" bottom="0.75" header="0.3" footer="0.3"/>
  <pageSetup scale="81" fitToHeight="0"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1:T41"/>
  <sheetViews>
    <sheetView topLeftCell="E1" workbookViewId="0">
      <selection activeCell="F34" sqref="F34"/>
    </sheetView>
  </sheetViews>
  <sheetFormatPr defaultRowHeight="15" x14ac:dyDescent="0.25"/>
  <cols>
    <col min="1" max="1" width="1.42578125" customWidth="1"/>
    <col min="2" max="2" width="5.28515625" customWidth="1"/>
    <col min="3" max="3" width="74.85546875" customWidth="1"/>
    <col min="4" max="4" width="1.7109375" customWidth="1"/>
    <col min="15" max="15" width="11.28515625" customWidth="1"/>
    <col min="19" max="19" width="11.5703125" customWidth="1"/>
    <col min="20" max="20" width="90.7109375" customWidth="1"/>
  </cols>
  <sheetData>
    <row r="1" spans="2:20" ht="6.75" customHeight="1" thickBot="1" x14ac:dyDescent="0.3"/>
    <row r="2" spans="2:20" ht="15.75" thickBot="1" x14ac:dyDescent="0.3">
      <c r="B2" s="294" t="s">
        <v>210</v>
      </c>
      <c r="C2" s="295"/>
      <c r="E2" s="301" t="s">
        <v>209</v>
      </c>
      <c r="F2" s="302"/>
      <c r="G2" s="302"/>
      <c r="H2" s="302"/>
      <c r="I2" s="302"/>
      <c r="J2" s="302"/>
      <c r="K2" s="302"/>
      <c r="L2" s="302"/>
      <c r="M2" s="302"/>
      <c r="N2" s="302"/>
      <c r="O2" s="302"/>
      <c r="P2" s="302"/>
      <c r="Q2" s="303"/>
      <c r="S2" s="292" t="s">
        <v>236</v>
      </c>
      <c r="T2" s="292"/>
    </row>
    <row r="3" spans="2:20" ht="15.75" thickBot="1" x14ac:dyDescent="0.3">
      <c r="B3" s="60">
        <v>3.1</v>
      </c>
      <c r="C3" s="61" t="s">
        <v>190</v>
      </c>
      <c r="E3" s="299" t="s">
        <v>204</v>
      </c>
      <c r="F3" s="300"/>
      <c r="G3" s="300"/>
      <c r="H3" s="300"/>
      <c r="I3" s="300"/>
      <c r="J3" s="300"/>
      <c r="K3" s="300"/>
      <c r="L3" s="300"/>
      <c r="M3" s="300"/>
      <c r="N3" s="300"/>
      <c r="O3" s="300"/>
      <c r="P3" s="54" t="s">
        <v>180</v>
      </c>
      <c r="Q3" s="55" t="s">
        <v>205</v>
      </c>
      <c r="S3" s="101">
        <v>3.1</v>
      </c>
      <c r="T3" s="102" t="s">
        <v>190</v>
      </c>
    </row>
    <row r="4" spans="2:20" ht="15.75" thickBot="1" x14ac:dyDescent="0.3">
      <c r="B4" s="94">
        <v>3.2</v>
      </c>
      <c r="C4" s="95" t="s">
        <v>194</v>
      </c>
      <c r="E4" s="79" t="s">
        <v>220</v>
      </c>
      <c r="F4" s="80"/>
      <c r="G4" s="80"/>
      <c r="H4" s="80"/>
      <c r="I4" s="80"/>
      <c r="J4" s="80"/>
      <c r="K4" s="80"/>
      <c r="L4" s="80"/>
      <c r="M4" s="81"/>
      <c r="N4" s="80" t="s">
        <v>212</v>
      </c>
      <c r="O4" s="80"/>
      <c r="P4" s="47"/>
      <c r="Q4" s="48"/>
      <c r="S4" s="293" t="s">
        <v>203</v>
      </c>
      <c r="T4" s="293"/>
    </row>
    <row r="5" spans="2:20" ht="15.75" thickBot="1" x14ac:dyDescent="0.3">
      <c r="B5" s="94">
        <v>3.3</v>
      </c>
      <c r="C5" s="95" t="s">
        <v>195</v>
      </c>
      <c r="E5" s="79" t="s">
        <v>221</v>
      </c>
      <c r="F5" s="80"/>
      <c r="G5" s="80"/>
      <c r="H5" s="80"/>
      <c r="I5" s="80"/>
      <c r="J5" s="80"/>
      <c r="K5" s="80"/>
      <c r="L5" s="80"/>
      <c r="M5" s="80"/>
      <c r="N5" s="80"/>
      <c r="O5" s="80"/>
      <c r="P5" s="47"/>
      <c r="Q5" s="48"/>
      <c r="S5" s="101">
        <v>3.2</v>
      </c>
      <c r="T5" s="102" t="s">
        <v>194</v>
      </c>
    </row>
    <row r="6" spans="2:20" ht="15.75" thickBot="1" x14ac:dyDescent="0.3">
      <c r="B6" s="65">
        <v>3.4</v>
      </c>
      <c r="C6" s="66" t="s">
        <v>196</v>
      </c>
      <c r="E6" s="79" t="s">
        <v>222</v>
      </c>
      <c r="F6" s="80"/>
      <c r="G6" s="80"/>
      <c r="H6" s="80"/>
      <c r="I6" s="80"/>
      <c r="J6" s="80"/>
      <c r="K6" s="80"/>
      <c r="L6" s="80"/>
      <c r="M6" s="80"/>
      <c r="N6" s="80"/>
      <c r="O6" s="80"/>
      <c r="P6" s="47"/>
      <c r="Q6" s="48"/>
      <c r="S6" s="101">
        <v>3.3</v>
      </c>
      <c r="T6" s="102" t="s">
        <v>195</v>
      </c>
    </row>
    <row r="7" spans="2:20" ht="15.75" thickBot="1" x14ac:dyDescent="0.3">
      <c r="B7" s="69">
        <v>3.5</v>
      </c>
      <c r="C7" s="70" t="s">
        <v>197</v>
      </c>
      <c r="E7" s="79" t="s">
        <v>232</v>
      </c>
      <c r="F7" s="80"/>
      <c r="G7" s="80"/>
      <c r="H7" s="80"/>
      <c r="I7" s="80"/>
      <c r="J7" s="80"/>
      <c r="K7" s="80"/>
      <c r="L7" s="80"/>
      <c r="M7" s="80"/>
      <c r="N7" s="80"/>
      <c r="O7" s="80"/>
      <c r="P7" s="47"/>
      <c r="Q7" s="48"/>
      <c r="S7" s="101">
        <v>3.4</v>
      </c>
      <c r="T7" s="102" t="s">
        <v>196</v>
      </c>
    </row>
    <row r="8" spans="2:20" ht="15.75" thickBot="1" x14ac:dyDescent="0.3">
      <c r="B8" s="73">
        <v>3.6</v>
      </c>
      <c r="C8" s="74" t="s">
        <v>186</v>
      </c>
      <c r="E8" s="79" t="s">
        <v>223</v>
      </c>
      <c r="F8" s="80"/>
      <c r="G8" s="80"/>
      <c r="H8" s="80"/>
      <c r="I8" s="80"/>
      <c r="J8" s="80"/>
      <c r="K8" s="80"/>
      <c r="L8" s="80"/>
      <c r="M8" s="80"/>
      <c r="N8" s="80"/>
      <c r="O8" s="80"/>
      <c r="P8" s="47"/>
      <c r="Q8" s="48"/>
      <c r="S8" s="293" t="s">
        <v>202</v>
      </c>
      <c r="T8" s="293"/>
    </row>
    <row r="9" spans="2:20" ht="15.75" thickBot="1" x14ac:dyDescent="0.3">
      <c r="B9" s="77">
        <v>3.7</v>
      </c>
      <c r="C9" s="78" t="s">
        <v>198</v>
      </c>
      <c r="E9" s="84" t="s">
        <v>224</v>
      </c>
      <c r="F9" s="85"/>
      <c r="G9" s="85"/>
      <c r="H9" s="85"/>
      <c r="I9" s="85"/>
      <c r="J9" s="85"/>
      <c r="K9" s="85"/>
      <c r="L9" s="85"/>
      <c r="M9" s="85"/>
      <c r="N9" s="85" t="s">
        <v>214</v>
      </c>
      <c r="O9" s="85" t="s">
        <v>63</v>
      </c>
      <c r="P9" s="47"/>
      <c r="Q9" s="48"/>
      <c r="S9" s="101">
        <v>3.5</v>
      </c>
      <c r="T9" s="102" t="s">
        <v>197</v>
      </c>
    </row>
    <row r="10" spans="2:20" ht="15.75" thickBot="1" x14ac:dyDescent="0.3">
      <c r="B10" s="82">
        <v>3.8</v>
      </c>
      <c r="C10" s="83" t="s">
        <v>187</v>
      </c>
      <c r="E10" s="75" t="s">
        <v>225</v>
      </c>
      <c r="F10" s="76"/>
      <c r="G10" s="76"/>
      <c r="H10" s="76"/>
      <c r="I10" s="76"/>
      <c r="J10" s="76"/>
      <c r="K10" s="76"/>
      <c r="L10" s="76"/>
      <c r="M10" s="76"/>
      <c r="N10" s="76"/>
      <c r="O10" s="76"/>
      <c r="P10" s="47"/>
      <c r="Q10" s="48"/>
      <c r="S10" s="290" t="s">
        <v>207</v>
      </c>
      <c r="T10" s="291"/>
    </row>
    <row r="11" spans="2:20" ht="15.75" thickBot="1" x14ac:dyDescent="0.3">
      <c r="B11" s="62">
        <v>3.9</v>
      </c>
      <c r="C11" s="63" t="s">
        <v>188</v>
      </c>
      <c r="E11" s="79" t="s">
        <v>215</v>
      </c>
      <c r="F11" s="80"/>
      <c r="G11" s="80"/>
      <c r="H11" s="80"/>
      <c r="I11" s="80"/>
      <c r="J11" s="80"/>
      <c r="K11" s="80"/>
      <c r="L11" s="80"/>
      <c r="M11" s="80"/>
      <c r="N11" s="80"/>
      <c r="O11" s="80"/>
      <c r="P11" s="47"/>
      <c r="Q11" s="48"/>
      <c r="S11" s="290" t="s">
        <v>200</v>
      </c>
      <c r="T11" s="291"/>
    </row>
    <row r="12" spans="2:20" ht="15.75" thickBot="1" x14ac:dyDescent="0.3">
      <c r="B12" s="56">
        <v>3.1</v>
      </c>
      <c r="C12" s="43" t="s">
        <v>191</v>
      </c>
      <c r="E12" s="96" t="s">
        <v>226</v>
      </c>
      <c r="F12" s="97"/>
      <c r="G12" s="97"/>
      <c r="H12" s="97"/>
      <c r="I12" s="97"/>
      <c r="J12" s="97"/>
      <c r="K12" s="97"/>
      <c r="L12" s="97"/>
      <c r="M12" s="97"/>
      <c r="N12" s="97"/>
      <c r="O12" s="97"/>
      <c r="P12" s="47"/>
      <c r="Q12" s="48"/>
      <c r="S12" s="290" t="s">
        <v>201</v>
      </c>
      <c r="T12" s="291"/>
    </row>
    <row r="13" spans="2:20" ht="15.75" thickBot="1" x14ac:dyDescent="0.3">
      <c r="B13" s="86">
        <v>3.11</v>
      </c>
      <c r="C13" s="87" t="s">
        <v>192</v>
      </c>
      <c r="E13" s="299" t="s">
        <v>199</v>
      </c>
      <c r="F13" s="300"/>
      <c r="G13" s="300"/>
      <c r="H13" s="300"/>
      <c r="I13" s="300"/>
      <c r="J13" s="300"/>
      <c r="K13" s="300"/>
      <c r="L13" s="300"/>
      <c r="M13" s="300"/>
      <c r="N13" s="300"/>
      <c r="O13" s="300"/>
      <c r="P13" s="52"/>
      <c r="Q13" s="53"/>
      <c r="S13" s="101">
        <v>3.6</v>
      </c>
      <c r="T13" s="102" t="s">
        <v>186</v>
      </c>
    </row>
    <row r="14" spans="2:20" ht="15.75" thickBot="1" x14ac:dyDescent="0.3">
      <c r="B14" s="64">
        <v>3.12</v>
      </c>
      <c r="C14" s="98" t="s">
        <v>193</v>
      </c>
      <c r="E14" s="96" t="s">
        <v>216</v>
      </c>
      <c r="F14" s="97"/>
      <c r="G14" s="97"/>
      <c r="H14" s="97"/>
      <c r="I14" s="97"/>
      <c r="J14" s="97"/>
      <c r="K14" s="97"/>
      <c r="L14" s="97"/>
      <c r="M14" s="97"/>
      <c r="N14" s="97"/>
      <c r="O14" s="97"/>
      <c r="P14" s="47"/>
      <c r="Q14" s="48"/>
      <c r="S14" s="290" t="s">
        <v>225</v>
      </c>
      <c r="T14" s="291"/>
    </row>
    <row r="15" spans="2:20" ht="15.75" thickBot="1" x14ac:dyDescent="0.3">
      <c r="B15" s="57">
        <v>3.13</v>
      </c>
      <c r="C15" s="44" t="s">
        <v>189</v>
      </c>
      <c r="E15" s="96" t="s">
        <v>206</v>
      </c>
      <c r="F15" s="97"/>
      <c r="G15" s="97"/>
      <c r="H15" s="97"/>
      <c r="I15" s="97"/>
      <c r="J15" s="97"/>
      <c r="K15" s="97"/>
      <c r="L15" s="97"/>
      <c r="M15" s="97"/>
      <c r="N15" s="97"/>
      <c r="O15" s="97"/>
      <c r="P15" s="47"/>
      <c r="Q15" s="48"/>
      <c r="S15" s="101">
        <v>3.7</v>
      </c>
      <c r="T15" s="102" t="s">
        <v>198</v>
      </c>
    </row>
    <row r="16" spans="2:20" x14ac:dyDescent="0.25">
      <c r="E16" s="84" t="s">
        <v>208</v>
      </c>
      <c r="F16" s="85"/>
      <c r="G16" s="85"/>
      <c r="H16" s="85"/>
      <c r="I16" s="85"/>
      <c r="J16" s="85"/>
      <c r="K16" s="85"/>
      <c r="L16" s="85"/>
      <c r="M16" s="85"/>
      <c r="N16" s="85"/>
      <c r="O16" s="85"/>
      <c r="P16" s="47"/>
      <c r="Q16" s="48"/>
      <c r="S16" s="290" t="s">
        <v>234</v>
      </c>
      <c r="T16" s="291"/>
    </row>
    <row r="17" spans="5:20" x14ac:dyDescent="0.25">
      <c r="E17" s="96" t="s">
        <v>217</v>
      </c>
      <c r="F17" s="97"/>
      <c r="G17" s="97"/>
      <c r="H17" s="97"/>
      <c r="I17" s="97"/>
      <c r="J17" s="97"/>
      <c r="K17" s="97"/>
      <c r="L17" s="97"/>
      <c r="M17" s="97"/>
      <c r="N17" s="97"/>
      <c r="O17" s="97"/>
      <c r="P17" s="47"/>
      <c r="Q17" s="48"/>
      <c r="S17" s="290" t="s">
        <v>221</v>
      </c>
      <c r="T17" s="291"/>
    </row>
    <row r="18" spans="5:20" ht="15.75" thickBot="1" x14ac:dyDescent="0.3">
      <c r="E18" s="99" t="s">
        <v>218</v>
      </c>
      <c r="F18" s="100"/>
      <c r="G18" s="100"/>
      <c r="H18" s="100"/>
      <c r="I18" s="100"/>
      <c r="J18" s="100"/>
      <c r="K18" s="100"/>
      <c r="L18" s="100"/>
      <c r="M18" s="100"/>
      <c r="N18" s="100"/>
      <c r="O18" s="100"/>
      <c r="P18" s="47"/>
      <c r="Q18" s="48"/>
      <c r="S18" s="290" t="s">
        <v>222</v>
      </c>
      <c r="T18" s="291"/>
    </row>
    <row r="19" spans="5:20" ht="15.75" thickBot="1" x14ac:dyDescent="0.3">
      <c r="E19" s="299" t="s">
        <v>213</v>
      </c>
      <c r="F19" s="300"/>
      <c r="G19" s="300"/>
      <c r="H19" s="300"/>
      <c r="I19" s="300"/>
      <c r="J19" s="300"/>
      <c r="K19" s="300"/>
      <c r="L19" s="300"/>
      <c r="M19" s="300"/>
      <c r="N19" s="300"/>
      <c r="O19" s="300"/>
      <c r="P19" s="52"/>
      <c r="Q19" s="53"/>
      <c r="S19" s="290" t="s">
        <v>232</v>
      </c>
      <c r="T19" s="291"/>
    </row>
    <row r="20" spans="5:20" x14ac:dyDescent="0.25">
      <c r="E20" s="67" t="s">
        <v>219</v>
      </c>
      <c r="F20" s="68"/>
      <c r="G20" s="68"/>
      <c r="H20" s="68"/>
      <c r="I20" s="68"/>
      <c r="J20" s="68"/>
      <c r="K20" s="68"/>
      <c r="L20" s="68"/>
      <c r="M20" s="68"/>
      <c r="N20" s="68"/>
      <c r="O20" s="68"/>
      <c r="P20" s="47"/>
      <c r="Q20" s="48"/>
      <c r="S20" s="290" t="s">
        <v>223</v>
      </c>
      <c r="T20" s="291"/>
    </row>
    <row r="21" spans="5:20" x14ac:dyDescent="0.25">
      <c r="E21" s="71" t="s">
        <v>207</v>
      </c>
      <c r="F21" s="72"/>
      <c r="G21" s="72"/>
      <c r="H21" s="72"/>
      <c r="I21" s="72"/>
      <c r="J21" s="72"/>
      <c r="K21" s="72"/>
      <c r="L21" s="72"/>
      <c r="M21" s="72"/>
      <c r="N21" s="72"/>
      <c r="O21" s="72"/>
      <c r="P21" s="47"/>
      <c r="Q21" s="48"/>
      <c r="S21" s="290" t="s">
        <v>215</v>
      </c>
      <c r="T21" s="291"/>
    </row>
    <row r="22" spans="5:20" x14ac:dyDescent="0.25">
      <c r="E22" s="67" t="s">
        <v>202</v>
      </c>
      <c r="F22" s="68"/>
      <c r="G22" s="68"/>
      <c r="H22" s="68"/>
      <c r="I22" s="68"/>
      <c r="J22" s="68"/>
      <c r="K22" s="68"/>
      <c r="L22" s="68"/>
      <c r="M22" s="68"/>
      <c r="N22" s="68"/>
      <c r="O22" s="68"/>
      <c r="P22" s="47"/>
      <c r="Q22" s="48"/>
      <c r="S22" s="101">
        <v>3.8</v>
      </c>
      <c r="T22" s="102" t="s">
        <v>237</v>
      </c>
    </row>
    <row r="23" spans="5:20" x14ac:dyDescent="0.25">
      <c r="E23" s="58" t="s">
        <v>203</v>
      </c>
      <c r="F23" s="59"/>
      <c r="G23" s="59"/>
      <c r="H23" s="59"/>
      <c r="I23" s="59"/>
      <c r="J23" s="59"/>
      <c r="K23" s="59"/>
      <c r="L23" s="59"/>
      <c r="M23" s="59"/>
      <c r="N23" s="59"/>
      <c r="O23" s="59"/>
      <c r="P23" s="47"/>
      <c r="Q23" s="48"/>
      <c r="S23" s="290" t="s">
        <v>224</v>
      </c>
      <c r="T23" s="291"/>
    </row>
    <row r="24" spans="5:20" x14ac:dyDescent="0.25">
      <c r="E24" s="71" t="s">
        <v>200</v>
      </c>
      <c r="F24" s="71"/>
      <c r="G24" s="71"/>
      <c r="H24" s="71"/>
      <c r="I24" s="71"/>
      <c r="J24" s="71"/>
      <c r="K24" s="72"/>
      <c r="L24" s="72"/>
      <c r="M24" s="72"/>
      <c r="N24" s="72"/>
      <c r="O24" s="72"/>
      <c r="P24" s="47"/>
      <c r="Q24" s="48"/>
      <c r="S24" s="290" t="s">
        <v>208</v>
      </c>
      <c r="T24" s="291"/>
    </row>
    <row r="25" spans="5:20" x14ac:dyDescent="0.25">
      <c r="E25" s="71" t="s">
        <v>201</v>
      </c>
      <c r="F25" s="71"/>
      <c r="G25" s="71"/>
      <c r="H25" s="71"/>
      <c r="I25" s="71"/>
      <c r="J25" s="71"/>
      <c r="K25" s="72"/>
      <c r="L25" s="72"/>
      <c r="M25" s="72"/>
      <c r="N25" s="72"/>
      <c r="O25" s="72"/>
      <c r="P25" s="47"/>
      <c r="Q25" s="48"/>
      <c r="S25" s="101">
        <v>3.9</v>
      </c>
      <c r="T25" s="102" t="s">
        <v>188</v>
      </c>
    </row>
    <row r="26" spans="5:20" ht="15.75" thickBot="1" x14ac:dyDescent="0.3">
      <c r="E26" s="27"/>
      <c r="F26" s="45"/>
      <c r="G26" s="45"/>
      <c r="H26" s="45"/>
      <c r="I26" s="45"/>
      <c r="J26" s="45"/>
      <c r="K26" s="45"/>
      <c r="L26" s="45"/>
      <c r="M26" s="45"/>
      <c r="N26" s="45"/>
      <c r="O26" s="45"/>
      <c r="P26" s="49"/>
      <c r="Q26" s="50"/>
      <c r="S26" s="290" t="s">
        <v>226</v>
      </c>
      <c r="T26" s="291"/>
    </row>
    <row r="27" spans="5:20" ht="15.75" thickBot="1" x14ac:dyDescent="0.3">
      <c r="E27" s="296" t="s">
        <v>211</v>
      </c>
      <c r="F27" s="297"/>
      <c r="G27" s="297"/>
      <c r="H27" s="297"/>
      <c r="I27" s="297"/>
      <c r="J27" s="297"/>
      <c r="K27" s="297"/>
      <c r="L27" s="297"/>
      <c r="M27" s="297"/>
      <c r="N27" s="297"/>
      <c r="O27" s="298"/>
      <c r="P27" s="51"/>
      <c r="Q27" s="51"/>
      <c r="S27" s="290" t="s">
        <v>216</v>
      </c>
      <c r="T27" s="291"/>
    </row>
    <row r="28" spans="5:20" x14ac:dyDescent="0.25">
      <c r="E28" s="88" t="s">
        <v>228</v>
      </c>
      <c r="F28" s="89"/>
      <c r="G28" s="89"/>
      <c r="H28" s="89"/>
      <c r="I28" s="89"/>
      <c r="J28" s="89"/>
      <c r="K28" s="89"/>
      <c r="L28" s="89"/>
      <c r="M28" s="89"/>
      <c r="N28" s="89"/>
      <c r="O28" s="89"/>
      <c r="P28" s="90"/>
      <c r="Q28" s="91"/>
      <c r="S28" s="290" t="s">
        <v>206</v>
      </c>
      <c r="T28" s="291"/>
    </row>
    <row r="29" spans="5:20" x14ac:dyDescent="0.25">
      <c r="E29" s="92" t="s">
        <v>231</v>
      </c>
      <c r="F29" s="90"/>
      <c r="G29" s="90"/>
      <c r="H29" s="90"/>
      <c r="I29" s="90"/>
      <c r="J29" s="90"/>
      <c r="K29" s="90"/>
      <c r="L29" s="90"/>
      <c r="M29" s="90"/>
      <c r="N29" s="90"/>
      <c r="O29" s="90"/>
      <c r="P29" s="90"/>
      <c r="Q29" s="93"/>
      <c r="S29" s="290" t="s">
        <v>217</v>
      </c>
      <c r="T29" s="291"/>
    </row>
    <row r="30" spans="5:20" x14ac:dyDescent="0.25">
      <c r="E30" s="92" t="s">
        <v>227</v>
      </c>
      <c r="F30" s="90"/>
      <c r="G30" s="90"/>
      <c r="H30" s="90"/>
      <c r="I30" s="90"/>
      <c r="J30" s="90"/>
      <c r="K30" s="90"/>
      <c r="L30" s="90"/>
      <c r="M30" s="90"/>
      <c r="N30" s="90"/>
      <c r="O30" s="90"/>
      <c r="P30" s="90"/>
      <c r="Q30" s="93"/>
      <c r="S30" s="103">
        <v>3.1</v>
      </c>
      <c r="T30" s="102" t="s">
        <v>191</v>
      </c>
    </row>
    <row r="31" spans="5:20" x14ac:dyDescent="0.25">
      <c r="E31" s="92" t="s">
        <v>229</v>
      </c>
      <c r="F31" s="90"/>
      <c r="G31" s="90"/>
      <c r="H31" s="90"/>
      <c r="I31" s="90"/>
      <c r="J31" s="90"/>
      <c r="K31" s="90"/>
      <c r="L31" s="90"/>
      <c r="M31" s="90"/>
      <c r="N31" s="90"/>
      <c r="O31" s="90"/>
      <c r="P31" s="90"/>
      <c r="Q31" s="93"/>
      <c r="S31" s="101">
        <v>3.11</v>
      </c>
      <c r="T31" s="102" t="s">
        <v>192</v>
      </c>
    </row>
    <row r="32" spans="5:20" x14ac:dyDescent="0.25">
      <c r="E32" s="92" t="s">
        <v>230</v>
      </c>
      <c r="F32" s="90"/>
      <c r="G32" s="90"/>
      <c r="H32" s="90"/>
      <c r="I32" s="90"/>
      <c r="J32" s="90"/>
      <c r="K32" s="90"/>
      <c r="L32" s="90"/>
      <c r="M32" s="90"/>
      <c r="N32" s="90"/>
      <c r="O32" s="90"/>
      <c r="P32" s="90"/>
      <c r="Q32" s="93"/>
      <c r="S32" s="290" t="s">
        <v>228</v>
      </c>
      <c r="T32" s="291"/>
    </row>
    <row r="33" spans="5:20" x14ac:dyDescent="0.25">
      <c r="E33" s="27"/>
      <c r="F33" s="45"/>
      <c r="G33" s="45"/>
      <c r="H33" s="45"/>
      <c r="I33" s="45"/>
      <c r="J33" s="45"/>
      <c r="K33" s="45"/>
      <c r="L33" s="45"/>
      <c r="M33" s="45"/>
      <c r="N33" s="45"/>
      <c r="O33" s="45"/>
      <c r="P33" s="45"/>
      <c r="Q33" s="7"/>
      <c r="S33" s="290" t="s">
        <v>233</v>
      </c>
      <c r="T33" s="291"/>
    </row>
    <row r="34" spans="5:20" ht="15.75" thickBot="1" x14ac:dyDescent="0.3">
      <c r="E34" s="28"/>
      <c r="F34" s="46"/>
      <c r="G34" s="46"/>
      <c r="H34" s="46"/>
      <c r="I34" s="46"/>
      <c r="J34" s="46"/>
      <c r="K34" s="46"/>
      <c r="L34" s="46"/>
      <c r="M34" s="46"/>
      <c r="N34" s="46"/>
      <c r="O34" s="46"/>
      <c r="P34" s="46"/>
      <c r="Q34" s="8"/>
      <c r="S34" s="290" t="s">
        <v>231</v>
      </c>
      <c r="T34" s="291"/>
    </row>
    <row r="35" spans="5:20" x14ac:dyDescent="0.25">
      <c r="S35" s="290" t="s">
        <v>227</v>
      </c>
      <c r="T35" s="291"/>
    </row>
    <row r="36" spans="5:20" x14ac:dyDescent="0.25">
      <c r="S36" s="290" t="s">
        <v>229</v>
      </c>
      <c r="T36" s="291"/>
    </row>
    <row r="37" spans="5:20" x14ac:dyDescent="0.25">
      <c r="S37" s="290" t="s">
        <v>230</v>
      </c>
      <c r="T37" s="291"/>
    </row>
    <row r="38" spans="5:20" x14ac:dyDescent="0.25">
      <c r="S38" s="101">
        <v>3.12</v>
      </c>
      <c r="T38" s="102" t="s">
        <v>193</v>
      </c>
    </row>
    <row r="39" spans="5:20" x14ac:dyDescent="0.25">
      <c r="S39" s="290" t="s">
        <v>218</v>
      </c>
      <c r="T39" s="291"/>
    </row>
    <row r="40" spans="5:20" x14ac:dyDescent="0.25">
      <c r="S40" s="290" t="s">
        <v>235</v>
      </c>
      <c r="T40" s="291"/>
    </row>
    <row r="41" spans="5:20" x14ac:dyDescent="0.25">
      <c r="S41" s="101">
        <v>3.13</v>
      </c>
      <c r="T41" s="102" t="s">
        <v>189</v>
      </c>
    </row>
  </sheetData>
  <mergeCells count="33">
    <mergeCell ref="B2:C2"/>
    <mergeCell ref="E27:O27"/>
    <mergeCell ref="E19:O19"/>
    <mergeCell ref="E13:O13"/>
    <mergeCell ref="E3:O3"/>
    <mergeCell ref="E2:Q2"/>
    <mergeCell ref="S2:T2"/>
    <mergeCell ref="S4:T4"/>
    <mergeCell ref="S8:T8"/>
    <mergeCell ref="S37:T37"/>
    <mergeCell ref="S36:T36"/>
    <mergeCell ref="S35:T35"/>
    <mergeCell ref="S34:T34"/>
    <mergeCell ref="S33:T33"/>
    <mergeCell ref="S32:T32"/>
    <mergeCell ref="S29:T29"/>
    <mergeCell ref="S28:T28"/>
    <mergeCell ref="S27:T27"/>
    <mergeCell ref="S26:T26"/>
    <mergeCell ref="S24:T24"/>
    <mergeCell ref="S23:T23"/>
    <mergeCell ref="S21:T21"/>
    <mergeCell ref="S14:T14"/>
    <mergeCell ref="S10:T10"/>
    <mergeCell ref="S11:T11"/>
    <mergeCell ref="S12:T12"/>
    <mergeCell ref="S40:T40"/>
    <mergeCell ref="S39:T39"/>
    <mergeCell ref="S20:T20"/>
    <mergeCell ref="S19:T19"/>
    <mergeCell ref="S18:T18"/>
    <mergeCell ref="S17:T17"/>
    <mergeCell ref="S16:T16"/>
  </mergeCells>
  <pageMargins left="0.7" right="0.7" top="0.75" bottom="0.75" header="0.3" footer="0.3"/>
  <pageSetup scale="3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D51"/>
  <sheetViews>
    <sheetView workbookViewId="0">
      <selection activeCell="H16" sqref="H16"/>
    </sheetView>
  </sheetViews>
  <sheetFormatPr defaultRowHeight="15" x14ac:dyDescent="0.25"/>
  <cols>
    <col min="1" max="1" width="12.7109375" customWidth="1"/>
    <col min="2" max="2" width="93" customWidth="1"/>
  </cols>
  <sheetData>
    <row r="1" spans="1:4" x14ac:dyDescent="0.25">
      <c r="A1" s="292" t="s">
        <v>236</v>
      </c>
      <c r="B1" s="305"/>
      <c r="C1" s="54" t="s">
        <v>180</v>
      </c>
      <c r="D1" s="55" t="s">
        <v>205</v>
      </c>
    </row>
    <row r="2" spans="1:4" x14ac:dyDescent="0.25">
      <c r="A2" s="101">
        <v>3.1</v>
      </c>
      <c r="B2" s="104" t="s">
        <v>190</v>
      </c>
      <c r="C2" s="52"/>
      <c r="D2" s="53"/>
    </row>
    <row r="3" spans="1:4" x14ac:dyDescent="0.25">
      <c r="A3" s="293" t="s">
        <v>203</v>
      </c>
      <c r="B3" s="290"/>
      <c r="C3" s="47"/>
      <c r="D3" s="48"/>
    </row>
    <row r="4" spans="1:4" x14ac:dyDescent="0.25">
      <c r="A4" s="101">
        <v>3.2</v>
      </c>
      <c r="B4" s="104" t="s">
        <v>194</v>
      </c>
      <c r="C4" s="52"/>
      <c r="D4" s="53"/>
    </row>
    <row r="5" spans="1:4" x14ac:dyDescent="0.25">
      <c r="A5" s="101">
        <v>3.3</v>
      </c>
      <c r="B5" s="104" t="s">
        <v>195</v>
      </c>
      <c r="C5" s="52"/>
      <c r="D5" s="53"/>
    </row>
    <row r="6" spans="1:4" x14ac:dyDescent="0.25">
      <c r="A6" s="101">
        <v>3.4</v>
      </c>
      <c r="B6" s="104" t="s">
        <v>196</v>
      </c>
      <c r="C6" s="52"/>
      <c r="D6" s="53"/>
    </row>
    <row r="7" spans="1:4" x14ac:dyDescent="0.25">
      <c r="A7" s="293" t="s">
        <v>202</v>
      </c>
      <c r="B7" s="290"/>
      <c r="C7" s="47"/>
      <c r="D7" s="48"/>
    </row>
    <row r="8" spans="1:4" x14ac:dyDescent="0.25">
      <c r="A8" t="s">
        <v>241</v>
      </c>
      <c r="C8" s="47"/>
      <c r="D8" s="48"/>
    </row>
    <row r="9" spans="1:4" x14ac:dyDescent="0.25">
      <c r="A9" s="101">
        <v>3.5</v>
      </c>
      <c r="B9" s="104" t="s">
        <v>197</v>
      </c>
      <c r="C9" s="52"/>
      <c r="D9" s="53"/>
    </row>
    <row r="10" spans="1:4" x14ac:dyDescent="0.25">
      <c r="A10" s="290" t="s">
        <v>207</v>
      </c>
      <c r="B10" s="304"/>
      <c r="C10" s="47"/>
      <c r="D10" s="48"/>
    </row>
    <row r="11" spans="1:4" x14ac:dyDescent="0.25">
      <c r="A11" s="290" t="s">
        <v>200</v>
      </c>
      <c r="B11" s="304"/>
      <c r="C11" s="47"/>
      <c r="D11" s="48"/>
    </row>
    <row r="12" spans="1:4" x14ac:dyDescent="0.25">
      <c r="A12" s="290" t="s">
        <v>201</v>
      </c>
      <c r="B12" s="304"/>
      <c r="C12" s="47"/>
      <c r="D12" s="48"/>
    </row>
    <row r="13" spans="1:4" x14ac:dyDescent="0.25">
      <c r="A13" s="101">
        <v>3.6</v>
      </c>
      <c r="B13" s="104" t="s">
        <v>186</v>
      </c>
      <c r="C13" s="52"/>
      <c r="D13" s="53"/>
    </row>
    <row r="14" spans="1:4" x14ac:dyDescent="0.25">
      <c r="A14" s="290" t="s">
        <v>225</v>
      </c>
      <c r="B14" s="304"/>
      <c r="C14" s="47"/>
      <c r="D14" s="48"/>
    </row>
    <row r="15" spans="1:4" x14ac:dyDescent="0.25">
      <c r="A15" s="290" t="s">
        <v>222</v>
      </c>
      <c r="B15" s="304"/>
      <c r="C15" s="47"/>
      <c r="D15" s="48"/>
    </row>
    <row r="16" spans="1:4" x14ac:dyDescent="0.25">
      <c r="A16" s="290" t="s">
        <v>242</v>
      </c>
      <c r="B16" s="304"/>
      <c r="C16" s="47"/>
      <c r="D16" s="48"/>
    </row>
    <row r="17" spans="1:4" x14ac:dyDescent="0.25">
      <c r="A17" s="290" t="s">
        <v>252</v>
      </c>
      <c r="B17" s="304"/>
      <c r="C17" s="47"/>
      <c r="D17" s="48"/>
    </row>
    <row r="18" spans="1:4" x14ac:dyDescent="0.25">
      <c r="A18" s="290" t="s">
        <v>215</v>
      </c>
      <c r="B18" s="304"/>
      <c r="C18" s="47"/>
      <c r="D18" s="48"/>
    </row>
    <row r="19" spans="1:4" x14ac:dyDescent="0.25">
      <c r="A19" s="271" t="s">
        <v>249</v>
      </c>
      <c r="B19" s="312"/>
      <c r="C19" s="47"/>
      <c r="D19" s="48"/>
    </row>
    <row r="20" spans="1:4" x14ac:dyDescent="0.25">
      <c r="A20" s="101">
        <v>3.7</v>
      </c>
      <c r="B20" s="104" t="s">
        <v>198</v>
      </c>
      <c r="C20" s="52"/>
      <c r="D20" s="53"/>
    </row>
    <row r="21" spans="1:4" x14ac:dyDescent="0.25">
      <c r="A21" s="290" t="s">
        <v>238</v>
      </c>
      <c r="B21" s="304"/>
      <c r="C21" s="47"/>
      <c r="D21" s="48"/>
    </row>
    <row r="22" spans="1:4" x14ac:dyDescent="0.25">
      <c r="A22" s="290" t="s">
        <v>223</v>
      </c>
      <c r="B22" s="304"/>
      <c r="C22" s="47"/>
      <c r="D22" s="48"/>
    </row>
    <row r="23" spans="1:4" x14ac:dyDescent="0.25">
      <c r="A23" s="101">
        <v>3.8</v>
      </c>
      <c r="B23" s="104" t="s">
        <v>237</v>
      </c>
      <c r="C23" s="52"/>
      <c r="D23" s="53"/>
    </row>
    <row r="24" spans="1:4" x14ac:dyDescent="0.25">
      <c r="A24" s="290" t="s">
        <v>224</v>
      </c>
      <c r="B24" s="304"/>
      <c r="C24" s="47"/>
      <c r="D24" s="48"/>
    </row>
    <row r="25" spans="1:4" x14ac:dyDescent="0.25">
      <c r="A25" s="290" t="s">
        <v>208</v>
      </c>
      <c r="B25" s="304"/>
      <c r="C25" s="47"/>
      <c r="D25" s="48"/>
    </row>
    <row r="26" spans="1:4" x14ac:dyDescent="0.25">
      <c r="A26" s="101">
        <v>3.9</v>
      </c>
      <c r="B26" s="104" t="s">
        <v>188</v>
      </c>
      <c r="C26" s="52"/>
      <c r="D26" s="53"/>
    </row>
    <row r="27" spans="1:4" x14ac:dyDescent="0.25">
      <c r="A27" s="290" t="s">
        <v>226</v>
      </c>
      <c r="B27" s="304"/>
      <c r="C27" s="47"/>
      <c r="D27" s="48"/>
    </row>
    <row r="28" spans="1:4" x14ac:dyDescent="0.25">
      <c r="A28" s="290" t="s">
        <v>216</v>
      </c>
      <c r="B28" s="304"/>
      <c r="C28" s="47"/>
      <c r="D28" s="48"/>
    </row>
    <row r="29" spans="1:4" x14ac:dyDescent="0.25">
      <c r="A29" s="290" t="s">
        <v>206</v>
      </c>
      <c r="B29" s="304"/>
      <c r="C29" s="47"/>
      <c r="D29" s="48"/>
    </row>
    <row r="30" spans="1:4" x14ac:dyDescent="0.25">
      <c r="A30" s="290" t="s">
        <v>217</v>
      </c>
      <c r="B30" s="304"/>
      <c r="C30" s="47"/>
      <c r="D30" s="48"/>
    </row>
    <row r="31" spans="1:4" x14ac:dyDescent="0.25">
      <c r="A31" s="103">
        <v>3.1</v>
      </c>
      <c r="B31" s="104" t="s">
        <v>191</v>
      </c>
      <c r="C31" s="52"/>
      <c r="D31" s="53"/>
    </row>
    <row r="32" spans="1:4" x14ac:dyDescent="0.25">
      <c r="A32" s="308" t="s">
        <v>240</v>
      </c>
      <c r="B32" s="309"/>
      <c r="C32" s="47"/>
      <c r="D32" s="48"/>
    </row>
    <row r="33" spans="1:4" x14ac:dyDescent="0.25">
      <c r="A33" s="101">
        <v>3.11</v>
      </c>
      <c r="B33" s="104" t="s">
        <v>192</v>
      </c>
      <c r="C33" s="52"/>
      <c r="D33" s="53"/>
    </row>
    <row r="34" spans="1:4" x14ac:dyDescent="0.25">
      <c r="A34" s="310" t="s">
        <v>243</v>
      </c>
      <c r="B34" s="311"/>
      <c r="C34" s="105"/>
      <c r="D34" s="106"/>
    </row>
    <row r="35" spans="1:4" x14ac:dyDescent="0.25">
      <c r="A35" s="271" t="s">
        <v>246</v>
      </c>
      <c r="B35" s="312"/>
      <c r="C35" s="47"/>
      <c r="D35" s="48"/>
    </row>
    <row r="36" spans="1:4" x14ac:dyDescent="0.25">
      <c r="A36" s="290" t="s">
        <v>244</v>
      </c>
      <c r="B36" s="304"/>
      <c r="C36" s="47"/>
      <c r="D36" s="48"/>
    </row>
    <row r="37" spans="1:4" x14ac:dyDescent="0.25">
      <c r="A37" s="290" t="s">
        <v>245</v>
      </c>
      <c r="B37" s="304"/>
      <c r="C37" s="47"/>
      <c r="D37" s="48"/>
    </row>
    <row r="38" spans="1:4" x14ac:dyDescent="0.25">
      <c r="A38" s="290" t="s">
        <v>247</v>
      </c>
      <c r="B38" s="304"/>
      <c r="C38" s="47"/>
      <c r="D38" s="48"/>
    </row>
    <row r="39" spans="1:4" x14ac:dyDescent="0.25">
      <c r="A39" s="290" t="s">
        <v>248</v>
      </c>
      <c r="B39" s="304"/>
      <c r="C39" s="47"/>
      <c r="D39" s="48"/>
    </row>
    <row r="40" spans="1:4" x14ac:dyDescent="0.25">
      <c r="A40" s="290" t="s">
        <v>227</v>
      </c>
      <c r="B40" s="304"/>
      <c r="C40" s="47"/>
      <c r="D40" s="48"/>
    </row>
    <row r="41" spans="1:4" x14ac:dyDescent="0.25">
      <c r="A41" s="290" t="s">
        <v>230</v>
      </c>
      <c r="B41" s="304"/>
      <c r="C41" s="47"/>
      <c r="D41" s="48"/>
    </row>
    <row r="42" spans="1:4" x14ac:dyDescent="0.25">
      <c r="A42" s="101">
        <v>3.12</v>
      </c>
      <c r="B42" s="104" t="s">
        <v>193</v>
      </c>
      <c r="C42" s="52"/>
      <c r="D42" s="53"/>
    </row>
    <row r="43" spans="1:4" x14ac:dyDescent="0.25">
      <c r="A43" s="290" t="s">
        <v>218</v>
      </c>
      <c r="B43" s="304"/>
      <c r="C43" s="47"/>
      <c r="D43" s="48"/>
    </row>
    <row r="44" spans="1:4" x14ac:dyDescent="0.25">
      <c r="A44" s="290" t="s">
        <v>235</v>
      </c>
      <c r="B44" s="304"/>
      <c r="C44" s="47"/>
      <c r="D44" s="48"/>
    </row>
    <row r="45" spans="1:4" x14ac:dyDescent="0.25">
      <c r="A45" s="101">
        <v>3.12</v>
      </c>
      <c r="B45" s="104" t="s">
        <v>239</v>
      </c>
      <c r="C45" s="52"/>
      <c r="D45" s="53"/>
    </row>
    <row r="46" spans="1:4" x14ac:dyDescent="0.25">
      <c r="A46" s="313" t="s">
        <v>253</v>
      </c>
      <c r="B46" s="314"/>
      <c r="C46" s="47"/>
      <c r="D46" s="48"/>
    </row>
    <row r="47" spans="1:4" x14ac:dyDescent="0.25">
      <c r="A47" s="313" t="s">
        <v>250</v>
      </c>
      <c r="B47" s="314"/>
      <c r="C47" s="47"/>
      <c r="D47" s="48"/>
    </row>
    <row r="48" spans="1:4" x14ac:dyDescent="0.25">
      <c r="A48" s="306"/>
      <c r="B48" s="307"/>
      <c r="C48" s="47"/>
      <c r="D48" s="48"/>
    </row>
    <row r="49" spans="1:4" ht="15.75" thickBot="1" x14ac:dyDescent="0.3">
      <c r="A49" s="107">
        <v>3.13</v>
      </c>
      <c r="B49" s="108" t="s">
        <v>189</v>
      </c>
      <c r="C49" s="109"/>
      <c r="D49" s="110"/>
    </row>
    <row r="50" spans="1:4" x14ac:dyDescent="0.25">
      <c r="A50" s="41" t="s">
        <v>251</v>
      </c>
      <c r="B50" s="111"/>
      <c r="C50" s="112"/>
      <c r="D50" s="113"/>
    </row>
    <row r="51" spans="1:4" ht="15.75" thickBot="1" x14ac:dyDescent="0.3">
      <c r="A51" s="41" t="s">
        <v>254</v>
      </c>
      <c r="B51" s="49"/>
      <c r="C51" s="114"/>
      <c r="D51" s="50"/>
    </row>
  </sheetData>
  <mergeCells count="34">
    <mergeCell ref="A48:B48"/>
    <mergeCell ref="A32:B32"/>
    <mergeCell ref="A34:B34"/>
    <mergeCell ref="A35:B35"/>
    <mergeCell ref="A12:B12"/>
    <mergeCell ref="A46:B46"/>
    <mergeCell ref="A47:B47"/>
    <mergeCell ref="A19:B19"/>
    <mergeCell ref="A29:B29"/>
    <mergeCell ref="A14:B14"/>
    <mergeCell ref="A21:B21"/>
    <mergeCell ref="A16:B16"/>
    <mergeCell ref="A15:B15"/>
    <mergeCell ref="A17:B17"/>
    <mergeCell ref="A22:B22"/>
    <mergeCell ref="A18:B18"/>
    <mergeCell ref="A1:B1"/>
    <mergeCell ref="A3:B3"/>
    <mergeCell ref="A7:B7"/>
    <mergeCell ref="A10:B10"/>
    <mergeCell ref="A11:B11"/>
    <mergeCell ref="A24:B24"/>
    <mergeCell ref="A25:B25"/>
    <mergeCell ref="A27:B27"/>
    <mergeCell ref="A28:B28"/>
    <mergeCell ref="A41:B41"/>
    <mergeCell ref="A43:B43"/>
    <mergeCell ref="A44:B44"/>
    <mergeCell ref="A30:B30"/>
    <mergeCell ref="A36:B36"/>
    <mergeCell ref="A37:B37"/>
    <mergeCell ref="A38:B38"/>
    <mergeCell ref="A40:B40"/>
    <mergeCell ref="A39:B39"/>
  </mergeCells>
  <pageMargins left="0.7" right="0.7" top="0.75" bottom="0.75" header="0.3" footer="0.3"/>
  <pageSetup scale="72"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45"/>
  <sheetViews>
    <sheetView workbookViewId="0">
      <selection activeCell="D48" sqref="D48"/>
    </sheetView>
  </sheetViews>
  <sheetFormatPr defaultRowHeight="15" x14ac:dyDescent="0.25"/>
  <cols>
    <col min="1" max="2" width="56.7109375" customWidth="1"/>
  </cols>
  <sheetData>
    <row r="1" spans="1:4" x14ac:dyDescent="0.25">
      <c r="A1" s="12" t="s">
        <v>86</v>
      </c>
      <c r="B1" s="12" t="s">
        <v>87</v>
      </c>
      <c r="D1" s="15" t="s">
        <v>91</v>
      </c>
    </row>
    <row r="2" spans="1:4" x14ac:dyDescent="0.25">
      <c r="A2" s="13"/>
      <c r="B2" s="14"/>
      <c r="D2" s="15" t="s">
        <v>92</v>
      </c>
    </row>
    <row r="3" spans="1:4" x14ac:dyDescent="0.25">
      <c r="A3" s="13"/>
      <c r="B3" s="14"/>
      <c r="D3" s="16" t="s">
        <v>93</v>
      </c>
    </row>
    <row r="4" spans="1:4" x14ac:dyDescent="0.25">
      <c r="A4" s="13"/>
      <c r="B4" s="14"/>
      <c r="D4" s="15" t="s">
        <v>94</v>
      </c>
    </row>
    <row r="5" spans="1:4" x14ac:dyDescent="0.25">
      <c r="A5" s="13"/>
      <c r="B5" s="14"/>
      <c r="D5" s="16" t="s">
        <v>95</v>
      </c>
    </row>
    <row r="6" spans="1:4" x14ac:dyDescent="0.25">
      <c r="A6" s="13"/>
      <c r="B6" s="14"/>
      <c r="D6" s="16" t="s">
        <v>96</v>
      </c>
    </row>
    <row r="7" spans="1:4" x14ac:dyDescent="0.25">
      <c r="A7" s="13"/>
      <c r="B7" s="14"/>
      <c r="D7" s="16" t="s">
        <v>97</v>
      </c>
    </row>
    <row r="8" spans="1:4" x14ac:dyDescent="0.25">
      <c r="A8" s="13"/>
      <c r="B8" s="14"/>
      <c r="D8" s="16" t="s">
        <v>98</v>
      </c>
    </row>
    <row r="9" spans="1:4" x14ac:dyDescent="0.25">
      <c r="A9" s="13"/>
      <c r="B9" s="14"/>
      <c r="D9" s="16" t="s">
        <v>99</v>
      </c>
    </row>
    <row r="10" spans="1:4" x14ac:dyDescent="0.25">
      <c r="A10" s="13"/>
      <c r="B10" s="14"/>
      <c r="D10" s="16" t="s">
        <v>100</v>
      </c>
    </row>
    <row r="11" spans="1:4" x14ac:dyDescent="0.25">
      <c r="A11" s="13"/>
      <c r="B11" s="14"/>
      <c r="D11" s="16" t="s">
        <v>101</v>
      </c>
    </row>
    <row r="12" spans="1:4" x14ac:dyDescent="0.25">
      <c r="A12" s="13"/>
      <c r="B12" s="14"/>
      <c r="D12" s="16" t="s">
        <v>102</v>
      </c>
    </row>
    <row r="13" spans="1:4" ht="15.75" thickBot="1" x14ac:dyDescent="0.3">
      <c r="A13" s="14"/>
      <c r="B13" s="14"/>
      <c r="D13" s="16" t="s">
        <v>103</v>
      </c>
    </row>
    <row r="14" spans="1:4" x14ac:dyDescent="0.25">
      <c r="A14" s="12" t="s">
        <v>88</v>
      </c>
      <c r="B14" s="12" t="s">
        <v>89</v>
      </c>
      <c r="D14" s="16" t="s">
        <v>104</v>
      </c>
    </row>
    <row r="15" spans="1:4" x14ac:dyDescent="0.25">
      <c r="A15" s="14"/>
      <c r="B15" s="14"/>
      <c r="D15" s="16" t="s">
        <v>105</v>
      </c>
    </row>
    <row r="16" spans="1:4" x14ac:dyDescent="0.25">
      <c r="A16" s="14"/>
      <c r="B16" s="14"/>
      <c r="D16" s="15" t="s">
        <v>106</v>
      </c>
    </row>
    <row r="17" spans="1:4" x14ac:dyDescent="0.25">
      <c r="A17" s="14"/>
      <c r="B17" s="14"/>
      <c r="D17" s="16" t="s">
        <v>107</v>
      </c>
    </row>
    <row r="18" spans="1:4" x14ac:dyDescent="0.25">
      <c r="A18" s="14"/>
      <c r="B18" s="14"/>
      <c r="D18" s="17" t="s">
        <v>108</v>
      </c>
    </row>
    <row r="19" spans="1:4" x14ac:dyDescent="0.25">
      <c r="A19" s="14"/>
      <c r="B19" s="14"/>
      <c r="D19" s="17" t="s">
        <v>109</v>
      </c>
    </row>
    <row r="20" spans="1:4" x14ac:dyDescent="0.25">
      <c r="A20" s="14"/>
      <c r="B20" s="14"/>
      <c r="D20" s="17" t="s">
        <v>110</v>
      </c>
    </row>
    <row r="21" spans="1:4" x14ac:dyDescent="0.25">
      <c r="A21" s="14"/>
      <c r="B21" s="14"/>
      <c r="D21" s="16" t="s">
        <v>111</v>
      </c>
    </row>
    <row r="22" spans="1:4" x14ac:dyDescent="0.25">
      <c r="A22" s="14"/>
      <c r="B22" s="14"/>
      <c r="D22" s="17" t="s">
        <v>112</v>
      </c>
    </row>
    <row r="23" spans="1:4" x14ac:dyDescent="0.25">
      <c r="A23" s="14"/>
      <c r="B23" s="14"/>
      <c r="D23" s="17" t="s">
        <v>113</v>
      </c>
    </row>
    <row r="24" spans="1:4" x14ac:dyDescent="0.25">
      <c r="A24" s="14"/>
      <c r="B24" s="14"/>
      <c r="D24" s="17" t="s">
        <v>114</v>
      </c>
    </row>
    <row r="25" spans="1:4" x14ac:dyDescent="0.25">
      <c r="A25" s="14"/>
      <c r="B25" s="14"/>
      <c r="D25" s="16" t="s">
        <v>115</v>
      </c>
    </row>
    <row r="26" spans="1:4" x14ac:dyDescent="0.25">
      <c r="A26" s="14"/>
      <c r="B26" s="14"/>
      <c r="D26" s="17" t="s">
        <v>116</v>
      </c>
    </row>
    <row r="27" spans="1:4" x14ac:dyDescent="0.25">
      <c r="A27" s="14"/>
      <c r="B27" s="14"/>
      <c r="D27" s="17" t="s">
        <v>117</v>
      </c>
    </row>
    <row r="28" spans="1:4" x14ac:dyDescent="0.25">
      <c r="A28" s="14"/>
      <c r="B28" s="14"/>
      <c r="D28" s="16" t="s">
        <v>118</v>
      </c>
    </row>
    <row r="29" spans="1:4" ht="15.75" thickBot="1" x14ac:dyDescent="0.3">
      <c r="A29" s="14"/>
      <c r="B29" s="14"/>
      <c r="D29" s="17" t="s">
        <v>119</v>
      </c>
    </row>
    <row r="30" spans="1:4" x14ac:dyDescent="0.25">
      <c r="A30" s="317" t="s">
        <v>90</v>
      </c>
      <c r="B30" s="318"/>
      <c r="D30" s="18" t="s">
        <v>120</v>
      </c>
    </row>
    <row r="31" spans="1:4" x14ac:dyDescent="0.25">
      <c r="A31" s="315"/>
      <c r="B31" s="316"/>
      <c r="D31" s="18" t="s">
        <v>121</v>
      </c>
    </row>
    <row r="32" spans="1:4" x14ac:dyDescent="0.25">
      <c r="A32" s="315"/>
      <c r="B32" s="316"/>
      <c r="D32" s="17" t="s">
        <v>122</v>
      </c>
    </row>
    <row r="33" spans="1:4" x14ac:dyDescent="0.25">
      <c r="A33" s="315"/>
      <c r="B33" s="316"/>
      <c r="D33" s="18" t="s">
        <v>123</v>
      </c>
    </row>
    <row r="34" spans="1:4" x14ac:dyDescent="0.25">
      <c r="A34" s="315"/>
      <c r="B34" s="316"/>
    </row>
    <row r="35" spans="1:4" x14ac:dyDescent="0.25">
      <c r="A35" s="315"/>
      <c r="B35" s="316"/>
    </row>
    <row r="36" spans="1:4" x14ac:dyDescent="0.25">
      <c r="A36" s="315"/>
      <c r="B36" s="316"/>
    </row>
    <row r="37" spans="1:4" x14ac:dyDescent="0.25">
      <c r="A37" s="315"/>
      <c r="B37" s="316"/>
    </row>
    <row r="38" spans="1:4" x14ac:dyDescent="0.25">
      <c r="A38" s="315"/>
      <c r="B38" s="316"/>
    </row>
    <row r="39" spans="1:4" x14ac:dyDescent="0.25">
      <c r="A39" s="315"/>
      <c r="B39" s="316"/>
    </row>
    <row r="40" spans="1:4" ht="15.75" thickBot="1" x14ac:dyDescent="0.3">
      <c r="A40" s="319"/>
      <c r="B40" s="320"/>
    </row>
    <row r="41" spans="1:4" x14ac:dyDescent="0.25">
      <c r="A41" s="25" t="s">
        <v>167</v>
      </c>
      <c r="B41" s="26"/>
    </row>
    <row r="42" spans="1:4" x14ac:dyDescent="0.25">
      <c r="A42" s="27" t="s">
        <v>168</v>
      </c>
      <c r="B42" s="7"/>
    </row>
    <row r="43" spans="1:4" x14ac:dyDescent="0.25">
      <c r="A43" s="27"/>
      <c r="B43" s="7"/>
    </row>
    <row r="44" spans="1:4" x14ac:dyDescent="0.25">
      <c r="A44" s="27"/>
      <c r="B44" s="7"/>
    </row>
    <row r="45" spans="1:4" ht="15.75" thickBot="1" x14ac:dyDescent="0.3">
      <c r="A45" s="28"/>
      <c r="B45" s="8"/>
    </row>
  </sheetData>
  <mergeCells count="11">
    <mergeCell ref="A40:B40"/>
    <mergeCell ref="A36:B36"/>
    <mergeCell ref="A37:B37"/>
    <mergeCell ref="A38:B38"/>
    <mergeCell ref="A39:B39"/>
    <mergeCell ref="A35:B35"/>
    <mergeCell ref="A30:B30"/>
    <mergeCell ref="A31:B31"/>
    <mergeCell ref="A32:B32"/>
    <mergeCell ref="A33:B33"/>
    <mergeCell ref="A34:B34"/>
  </mergeCells>
  <pageMargins left="0.7" right="0.7" top="0.75" bottom="0.75" header="0.3" footer="0.3"/>
  <pageSetup fitToHeight="0"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D45"/>
  <sheetViews>
    <sheetView workbookViewId="0">
      <selection activeCell="B23" sqref="B23"/>
    </sheetView>
  </sheetViews>
  <sheetFormatPr defaultRowHeight="15" x14ac:dyDescent="0.25"/>
  <cols>
    <col min="1" max="2" width="56.7109375" customWidth="1"/>
  </cols>
  <sheetData>
    <row r="1" spans="1:4" x14ac:dyDescent="0.25">
      <c r="A1" s="12" t="s">
        <v>86</v>
      </c>
      <c r="B1" s="12" t="s">
        <v>87</v>
      </c>
      <c r="D1" s="15" t="s">
        <v>91</v>
      </c>
    </row>
    <row r="2" spans="1:4" x14ac:dyDescent="0.25">
      <c r="A2" s="13"/>
      <c r="B2" s="14"/>
      <c r="D2" s="15" t="s">
        <v>92</v>
      </c>
    </row>
    <row r="3" spans="1:4" x14ac:dyDescent="0.25">
      <c r="A3" s="13"/>
      <c r="B3" s="14"/>
      <c r="D3" s="16" t="s">
        <v>93</v>
      </c>
    </row>
    <row r="4" spans="1:4" x14ac:dyDescent="0.25">
      <c r="A4" s="13"/>
      <c r="B4" s="14"/>
      <c r="D4" s="15" t="s">
        <v>94</v>
      </c>
    </row>
    <row r="5" spans="1:4" x14ac:dyDescent="0.25">
      <c r="A5" s="13"/>
      <c r="B5" s="14"/>
      <c r="D5" s="16" t="s">
        <v>95</v>
      </c>
    </row>
    <row r="6" spans="1:4" x14ac:dyDescent="0.25">
      <c r="A6" s="13"/>
      <c r="B6" s="14"/>
      <c r="D6" s="16" t="s">
        <v>96</v>
      </c>
    </row>
    <row r="7" spans="1:4" x14ac:dyDescent="0.25">
      <c r="A7" s="13"/>
      <c r="B7" s="14"/>
      <c r="D7" s="16" t="s">
        <v>97</v>
      </c>
    </row>
    <row r="8" spans="1:4" x14ac:dyDescent="0.25">
      <c r="A8" s="13"/>
      <c r="B8" s="14"/>
      <c r="D8" s="16" t="s">
        <v>98</v>
      </c>
    </row>
    <row r="9" spans="1:4" x14ac:dyDescent="0.25">
      <c r="A9" s="13"/>
      <c r="B9" s="14"/>
      <c r="D9" s="16" t="s">
        <v>99</v>
      </c>
    </row>
    <row r="10" spans="1:4" x14ac:dyDescent="0.25">
      <c r="A10" s="13"/>
      <c r="B10" s="14"/>
      <c r="D10" s="16" t="s">
        <v>100</v>
      </c>
    </row>
    <row r="11" spans="1:4" x14ac:dyDescent="0.25">
      <c r="A11" s="13"/>
      <c r="B11" s="14"/>
      <c r="D11" s="16" t="s">
        <v>101</v>
      </c>
    </row>
    <row r="12" spans="1:4" x14ac:dyDescent="0.25">
      <c r="A12" s="13"/>
      <c r="B12" s="14"/>
      <c r="D12" s="16" t="s">
        <v>102</v>
      </c>
    </row>
    <row r="13" spans="1:4" ht="15.75" thickBot="1" x14ac:dyDescent="0.3">
      <c r="A13" s="14"/>
      <c r="B13" s="14"/>
      <c r="D13" s="16" t="s">
        <v>103</v>
      </c>
    </row>
    <row r="14" spans="1:4" x14ac:dyDescent="0.25">
      <c r="A14" s="12" t="s">
        <v>88</v>
      </c>
      <c r="B14" s="12" t="s">
        <v>89</v>
      </c>
      <c r="D14" s="16" t="s">
        <v>104</v>
      </c>
    </row>
    <row r="15" spans="1:4" x14ac:dyDescent="0.25">
      <c r="A15" s="14"/>
      <c r="B15" s="14"/>
      <c r="D15" s="16" t="s">
        <v>105</v>
      </c>
    </row>
    <row r="16" spans="1:4" x14ac:dyDescent="0.25">
      <c r="A16" s="14"/>
      <c r="B16" s="14"/>
      <c r="D16" s="15" t="s">
        <v>106</v>
      </c>
    </row>
    <row r="17" spans="1:4" x14ac:dyDescent="0.25">
      <c r="A17" s="14"/>
      <c r="B17" s="14"/>
      <c r="D17" s="16" t="s">
        <v>107</v>
      </c>
    </row>
    <row r="18" spans="1:4" x14ac:dyDescent="0.25">
      <c r="A18" s="14"/>
      <c r="B18" s="14"/>
      <c r="D18" s="17" t="s">
        <v>108</v>
      </c>
    </row>
    <row r="19" spans="1:4" x14ac:dyDescent="0.25">
      <c r="A19" s="14"/>
      <c r="B19" s="14"/>
      <c r="D19" s="17" t="s">
        <v>109</v>
      </c>
    </row>
    <row r="20" spans="1:4" x14ac:dyDescent="0.25">
      <c r="A20" s="14"/>
      <c r="B20" s="14"/>
      <c r="D20" s="17" t="s">
        <v>110</v>
      </c>
    </row>
    <row r="21" spans="1:4" x14ac:dyDescent="0.25">
      <c r="A21" s="14"/>
      <c r="B21" s="14"/>
      <c r="D21" s="16" t="s">
        <v>111</v>
      </c>
    </row>
    <row r="22" spans="1:4" x14ac:dyDescent="0.25">
      <c r="A22" s="14"/>
      <c r="B22" s="14"/>
      <c r="D22" s="17" t="s">
        <v>112</v>
      </c>
    </row>
    <row r="23" spans="1:4" x14ac:dyDescent="0.25">
      <c r="A23" s="14"/>
      <c r="B23" s="14"/>
      <c r="D23" s="17" t="s">
        <v>113</v>
      </c>
    </row>
    <row r="24" spans="1:4" x14ac:dyDescent="0.25">
      <c r="A24" s="14"/>
      <c r="B24" s="14"/>
      <c r="D24" s="17" t="s">
        <v>114</v>
      </c>
    </row>
    <row r="25" spans="1:4" x14ac:dyDescent="0.25">
      <c r="A25" s="14"/>
      <c r="B25" s="14"/>
      <c r="D25" s="16" t="s">
        <v>115</v>
      </c>
    </row>
    <row r="26" spans="1:4" x14ac:dyDescent="0.25">
      <c r="A26" s="14"/>
      <c r="B26" s="14"/>
      <c r="D26" s="17" t="s">
        <v>116</v>
      </c>
    </row>
    <row r="27" spans="1:4" x14ac:dyDescent="0.25">
      <c r="A27" s="14"/>
      <c r="B27" s="14"/>
      <c r="D27" s="17" t="s">
        <v>117</v>
      </c>
    </row>
    <row r="28" spans="1:4" x14ac:dyDescent="0.25">
      <c r="A28" s="14"/>
      <c r="B28" s="14"/>
      <c r="D28" s="16" t="s">
        <v>118</v>
      </c>
    </row>
    <row r="29" spans="1:4" ht="15.75" thickBot="1" x14ac:dyDescent="0.3">
      <c r="A29" s="14"/>
      <c r="B29" s="14"/>
      <c r="D29" s="17" t="s">
        <v>119</v>
      </c>
    </row>
    <row r="30" spans="1:4" x14ac:dyDescent="0.25">
      <c r="A30" s="317" t="s">
        <v>90</v>
      </c>
      <c r="B30" s="318"/>
      <c r="D30" s="18" t="s">
        <v>120</v>
      </c>
    </row>
    <row r="31" spans="1:4" x14ac:dyDescent="0.25">
      <c r="A31" s="315"/>
      <c r="B31" s="316"/>
      <c r="D31" s="18" t="s">
        <v>121</v>
      </c>
    </row>
    <row r="32" spans="1:4" x14ac:dyDescent="0.25">
      <c r="A32" s="315"/>
      <c r="B32" s="316"/>
      <c r="D32" s="17" t="s">
        <v>122</v>
      </c>
    </row>
    <row r="33" spans="1:2" x14ac:dyDescent="0.25">
      <c r="A33" s="315"/>
      <c r="B33" s="316"/>
    </row>
    <row r="34" spans="1:2" x14ac:dyDescent="0.25">
      <c r="A34" s="315"/>
      <c r="B34" s="316"/>
    </row>
    <row r="35" spans="1:2" x14ac:dyDescent="0.25">
      <c r="A35" s="315"/>
      <c r="B35" s="316"/>
    </row>
    <row r="36" spans="1:2" x14ac:dyDescent="0.25">
      <c r="A36" s="315"/>
      <c r="B36" s="316"/>
    </row>
    <row r="37" spans="1:2" x14ac:dyDescent="0.25">
      <c r="A37" s="315"/>
      <c r="B37" s="316"/>
    </row>
    <row r="38" spans="1:2" x14ac:dyDescent="0.25">
      <c r="A38" s="315"/>
      <c r="B38" s="316"/>
    </row>
    <row r="39" spans="1:2" x14ac:dyDescent="0.25">
      <c r="A39" s="315"/>
      <c r="B39" s="316"/>
    </row>
    <row r="40" spans="1:2" ht="15.75" thickBot="1" x14ac:dyDescent="0.3">
      <c r="A40" s="319"/>
      <c r="B40" s="320"/>
    </row>
    <row r="41" spans="1:2" x14ac:dyDescent="0.25">
      <c r="A41" s="25" t="s">
        <v>167</v>
      </c>
      <c r="B41" s="26"/>
    </row>
    <row r="42" spans="1:2" x14ac:dyDescent="0.25">
      <c r="A42" s="27" t="s">
        <v>168</v>
      </c>
      <c r="B42" s="7"/>
    </row>
    <row r="43" spans="1:2" x14ac:dyDescent="0.25">
      <c r="A43" s="27"/>
      <c r="B43" s="7"/>
    </row>
    <row r="44" spans="1:2" x14ac:dyDescent="0.25">
      <c r="A44" s="27"/>
      <c r="B44" s="7"/>
    </row>
    <row r="45" spans="1:2" ht="15.75" thickBot="1" x14ac:dyDescent="0.3">
      <c r="A45" s="28"/>
      <c r="B45" s="8"/>
    </row>
  </sheetData>
  <mergeCells count="11">
    <mergeCell ref="A33:B33"/>
    <mergeCell ref="A30:B30"/>
    <mergeCell ref="A31:B31"/>
    <mergeCell ref="A32:B32"/>
    <mergeCell ref="A40:B40"/>
    <mergeCell ref="A34:B34"/>
    <mergeCell ref="A35:B35"/>
    <mergeCell ref="A36:B36"/>
    <mergeCell ref="A37:B37"/>
    <mergeCell ref="A38:B38"/>
    <mergeCell ref="A39:B39"/>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Instructions</vt:lpstr>
      <vt:lpstr>Input</vt:lpstr>
      <vt:lpstr>Prejob Meeting</vt:lpstr>
      <vt:lpstr>HP Calcs</vt:lpstr>
      <vt:lpstr>Approval Sheet</vt:lpstr>
      <vt:lpstr>Test Results</vt:lpstr>
      <vt:lpstr>High Profile Call Sand Box</vt:lpstr>
      <vt:lpstr>Printable HP </vt:lpstr>
      <vt:lpstr>District AAR</vt:lpstr>
      <vt:lpstr>Calgary AAR</vt:lpstr>
      <vt:lpstr>ENG_TYPE</vt:lpstr>
      <vt:lpstr>'Approval Sheet'!Print_Area</vt:lpstr>
      <vt:lpstr>'HP Calcs'!Print_Area</vt:lpstr>
      <vt:lpstr>'Prejob Meeting'!Print_Area</vt:lpstr>
      <vt:lpstr>RATE_PRES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Sylvestre</dc:creator>
  <cp:lastModifiedBy>Jason Schneider</cp:lastModifiedBy>
  <cp:lastPrinted>2020-01-20T18:14:59Z</cp:lastPrinted>
  <dcterms:created xsi:type="dcterms:W3CDTF">2019-08-08T13:43:08Z</dcterms:created>
  <dcterms:modified xsi:type="dcterms:W3CDTF">2020-12-03T21:47:45Z</dcterms:modified>
</cp:coreProperties>
</file>