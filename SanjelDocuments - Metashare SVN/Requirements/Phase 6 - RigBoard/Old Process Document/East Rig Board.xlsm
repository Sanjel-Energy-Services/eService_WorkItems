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Operations\Central Dispatch\1 - Rig and Truck Boards\"/>
    </mc:Choice>
  </mc:AlternateContent>
  <bookViews>
    <workbookView xWindow="630" yWindow="0" windowWidth="9465" windowHeight="705" tabRatio="758"/>
  </bookViews>
  <sheets>
    <sheet name="EST" sheetId="6" r:id="rId1"/>
    <sheet name="SC" sheetId="1" r:id="rId2"/>
    <sheet name="LLD" sheetId="5" r:id="rId3"/>
    <sheet name="LLB" sheetId="8" r:id="rId4"/>
    <sheet name="Bin Inv." sheetId="17" r:id="rId5"/>
    <sheet name="Kindersley Plant" sheetId="18" r:id="rId6"/>
    <sheet name="PD #199" sheetId="19" r:id="rId7"/>
    <sheet name="Akita 27" sheetId="20" r:id="rId8"/>
    <sheet name="Akita 25" sheetId="21" r:id="rId9"/>
    <sheet name="Akita 21" sheetId="22" r:id="rId10"/>
    <sheet name="Husky PD #197" sheetId="23" r:id="rId11"/>
    <sheet name="Pengrowth Akita #40" sheetId="24" r:id="rId12"/>
    <sheet name="DATA" sheetId="4" r:id="rId13"/>
    <sheet name="Consultant Directory" sheetId="7" r:id="rId14"/>
  </sheets>
  <externalReferences>
    <externalReference r:id="rId15"/>
  </externalReferences>
  <definedNames>
    <definedName name="_xlnm._FilterDatabase" localSheetId="12" hidden="1">DATA!$A$1:$I$22</definedName>
    <definedName name="JobType" localSheetId="4">[1]DATA!$E$3:$E$40</definedName>
    <definedName name="JobType" localSheetId="5">[1]DATA!$E$3:$E$40</definedName>
    <definedName name="JobType">DATA!$E$3:$E$40</definedName>
    <definedName name="_xlnm.Print_Area" localSheetId="4">'Bin Inv.'!$A$2:$L$62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9" l="1"/>
  <c r="N6" i="19"/>
  <c r="R210" i="24" l="1"/>
  <c r="R209" i="24"/>
  <c r="R208" i="24"/>
  <c r="R207" i="24"/>
  <c r="R206" i="24"/>
  <c r="R205" i="24"/>
  <c r="R204" i="24"/>
  <c r="R203" i="24"/>
  <c r="R202" i="24"/>
  <c r="R201" i="24"/>
  <c r="R200" i="24"/>
  <c r="R199" i="24"/>
  <c r="R198" i="24"/>
  <c r="R197" i="24"/>
  <c r="R196" i="24"/>
  <c r="R195" i="24"/>
  <c r="R194" i="24"/>
  <c r="R193" i="24"/>
  <c r="R192" i="24"/>
  <c r="R191" i="24"/>
  <c r="R190" i="24"/>
  <c r="R189" i="24"/>
  <c r="R188" i="24"/>
  <c r="R187" i="24"/>
  <c r="R186" i="24"/>
  <c r="R185" i="24"/>
  <c r="R184" i="24"/>
  <c r="R183" i="24"/>
  <c r="R182" i="24"/>
  <c r="R181" i="24"/>
  <c r="R180" i="24"/>
  <c r="R179" i="24"/>
  <c r="R178" i="24"/>
  <c r="R177" i="24"/>
  <c r="R176" i="24"/>
  <c r="R175" i="24"/>
  <c r="R174" i="24"/>
  <c r="R173" i="24"/>
  <c r="R172" i="24"/>
  <c r="R171" i="24"/>
  <c r="R170" i="24"/>
  <c r="R169" i="24"/>
  <c r="R168" i="24"/>
  <c r="R167" i="24"/>
  <c r="R166" i="24"/>
  <c r="R165" i="24"/>
  <c r="R164" i="24"/>
  <c r="R163" i="24"/>
  <c r="R162" i="24"/>
  <c r="R161" i="24"/>
  <c r="R160" i="24"/>
  <c r="R159" i="24"/>
  <c r="R158" i="24"/>
  <c r="R157" i="24"/>
  <c r="R156" i="24"/>
  <c r="R155" i="24"/>
  <c r="R154" i="24"/>
  <c r="R153" i="24"/>
  <c r="R152" i="24"/>
  <c r="R151" i="24"/>
  <c r="R150" i="24"/>
  <c r="R149" i="24"/>
  <c r="R148" i="24"/>
  <c r="R147" i="24"/>
  <c r="R146" i="24"/>
  <c r="R145" i="24"/>
  <c r="R144" i="24"/>
  <c r="R143" i="24"/>
  <c r="R142" i="24"/>
  <c r="R141" i="24"/>
  <c r="R140" i="24"/>
  <c r="R139" i="24"/>
  <c r="R138" i="24"/>
  <c r="R137" i="24"/>
  <c r="R136" i="24"/>
  <c r="R135" i="24"/>
  <c r="R134" i="24"/>
  <c r="R133" i="24"/>
  <c r="R132" i="24"/>
  <c r="R131" i="24"/>
  <c r="R130" i="24"/>
  <c r="R129" i="24"/>
  <c r="R128" i="24"/>
  <c r="R127" i="24"/>
  <c r="R126" i="24"/>
  <c r="R125" i="24"/>
  <c r="R124" i="24"/>
  <c r="R123" i="24"/>
  <c r="R122" i="24"/>
  <c r="R121" i="24"/>
  <c r="R120" i="24"/>
  <c r="R119" i="24"/>
  <c r="R118" i="24"/>
  <c r="R117" i="24"/>
  <c r="R116" i="24"/>
  <c r="R115" i="24"/>
  <c r="R114" i="24"/>
  <c r="R113" i="24"/>
  <c r="R112" i="24"/>
  <c r="R111" i="24"/>
  <c r="R110" i="24"/>
  <c r="R109" i="24"/>
  <c r="R108" i="24"/>
  <c r="R107" i="24"/>
  <c r="R106" i="24"/>
  <c r="R105" i="24"/>
  <c r="R104" i="24"/>
  <c r="R103" i="24"/>
  <c r="R102" i="24"/>
  <c r="R101" i="24"/>
  <c r="R100" i="24"/>
  <c r="R99" i="24"/>
  <c r="R98" i="24"/>
  <c r="R97" i="24"/>
  <c r="R96" i="24"/>
  <c r="R95" i="24"/>
  <c r="R94" i="24"/>
  <c r="R93" i="24"/>
  <c r="R92" i="24"/>
  <c r="R91" i="24"/>
  <c r="R90" i="24"/>
  <c r="R89" i="24"/>
  <c r="R88" i="24"/>
  <c r="R87" i="24"/>
  <c r="R86" i="24"/>
  <c r="R85" i="24"/>
  <c r="R84" i="24"/>
  <c r="R83" i="24"/>
  <c r="R82" i="24"/>
  <c r="R81" i="24"/>
  <c r="R80" i="24"/>
  <c r="R79" i="24"/>
  <c r="R78" i="24"/>
  <c r="R77" i="24"/>
  <c r="R76" i="24"/>
  <c r="R75" i="24"/>
  <c r="R74" i="24"/>
  <c r="R73" i="24"/>
  <c r="R72" i="24"/>
  <c r="R71" i="24"/>
  <c r="R70" i="24"/>
  <c r="R69" i="24"/>
  <c r="R68" i="24"/>
  <c r="R67" i="24"/>
  <c r="R66" i="24"/>
  <c r="R65" i="24"/>
  <c r="R64" i="24"/>
  <c r="R63" i="24"/>
  <c r="R62" i="24"/>
  <c r="R61" i="24"/>
  <c r="R60" i="24"/>
  <c r="R59" i="24"/>
  <c r="R58" i="24"/>
  <c r="R57" i="24"/>
  <c r="R56" i="24"/>
  <c r="R55" i="24"/>
  <c r="R54" i="24"/>
  <c r="R53" i="24"/>
  <c r="R52" i="24"/>
  <c r="R51" i="24"/>
  <c r="R50" i="24"/>
  <c r="R49" i="24"/>
  <c r="R48" i="24"/>
  <c r="R47" i="24"/>
  <c r="R46" i="24"/>
  <c r="R45" i="24"/>
  <c r="R44" i="24"/>
  <c r="R43" i="24"/>
  <c r="R42" i="24"/>
  <c r="R41" i="24"/>
  <c r="R40" i="24"/>
  <c r="R39" i="24"/>
  <c r="R38" i="24"/>
  <c r="R37" i="24"/>
  <c r="R36" i="24"/>
  <c r="R35" i="24"/>
  <c r="R34" i="24"/>
  <c r="R33" i="24"/>
  <c r="R32" i="24"/>
  <c r="R31" i="24"/>
  <c r="R30" i="24"/>
  <c r="R29" i="24"/>
  <c r="R28" i="24"/>
  <c r="R27" i="24"/>
  <c r="R26" i="24"/>
  <c r="R25" i="24"/>
  <c r="R24" i="24"/>
  <c r="R23" i="24"/>
  <c r="R22" i="24"/>
  <c r="R21" i="24"/>
  <c r="R20" i="24"/>
  <c r="R19" i="24"/>
  <c r="R18" i="24"/>
  <c r="H18" i="24"/>
  <c r="R17" i="24"/>
  <c r="R16" i="24"/>
  <c r="H16" i="24"/>
  <c r="R15" i="24"/>
  <c r="R14" i="24"/>
  <c r="H14" i="24"/>
  <c r="R13" i="24"/>
  <c r="R12" i="24"/>
  <c r="I12" i="24"/>
  <c r="H12" i="24"/>
  <c r="R11" i="24"/>
  <c r="R10" i="24"/>
  <c r="I10" i="24"/>
  <c r="H10" i="24"/>
  <c r="R9" i="24"/>
  <c r="R8" i="24"/>
  <c r="I8" i="24"/>
  <c r="H8" i="24"/>
  <c r="R7" i="24"/>
  <c r="R6" i="24"/>
  <c r="I6" i="24"/>
  <c r="H6" i="24"/>
  <c r="R5" i="24"/>
  <c r="Q4" i="24"/>
  <c r="I18" i="24" s="1"/>
  <c r="P4" i="24"/>
  <c r="I16" i="24" s="1"/>
  <c r="O4" i="24"/>
  <c r="I14" i="24" s="1"/>
  <c r="I4" i="24"/>
  <c r="H4" i="24"/>
  <c r="K1" i="24"/>
  <c r="I1" i="24"/>
  <c r="N210" i="23"/>
  <c r="N209" i="23"/>
  <c r="N208" i="23"/>
  <c r="N207" i="23"/>
  <c r="N206" i="23"/>
  <c r="N205" i="23"/>
  <c r="N204" i="23"/>
  <c r="N203" i="23"/>
  <c r="N202" i="23"/>
  <c r="N201" i="23"/>
  <c r="N200" i="23"/>
  <c r="N199" i="23"/>
  <c r="N198" i="23"/>
  <c r="N197" i="23"/>
  <c r="N196" i="23"/>
  <c r="N195" i="23"/>
  <c r="N194" i="23"/>
  <c r="N193" i="23"/>
  <c r="N192" i="23"/>
  <c r="N191" i="23"/>
  <c r="N190" i="23"/>
  <c r="N189" i="23"/>
  <c r="N188" i="23"/>
  <c r="N187" i="23"/>
  <c r="N186" i="23"/>
  <c r="N185" i="23"/>
  <c r="N184" i="23"/>
  <c r="N183" i="23"/>
  <c r="N182" i="23"/>
  <c r="N181" i="23"/>
  <c r="N180" i="23"/>
  <c r="N179" i="23"/>
  <c r="N178" i="23"/>
  <c r="N177" i="23"/>
  <c r="N176" i="23"/>
  <c r="N175" i="23"/>
  <c r="N174" i="23"/>
  <c r="N173" i="23"/>
  <c r="N172" i="23"/>
  <c r="N171" i="23"/>
  <c r="N170" i="23"/>
  <c r="N169" i="23"/>
  <c r="N168" i="23"/>
  <c r="N167" i="23"/>
  <c r="N166" i="23"/>
  <c r="N165" i="23"/>
  <c r="N164" i="23"/>
  <c r="N163" i="23"/>
  <c r="N162" i="23"/>
  <c r="N161" i="23"/>
  <c r="N160" i="23"/>
  <c r="N159" i="23"/>
  <c r="N158" i="23"/>
  <c r="N157" i="23"/>
  <c r="N156" i="23"/>
  <c r="N155" i="23"/>
  <c r="N154" i="23"/>
  <c r="N153" i="23"/>
  <c r="N152" i="23"/>
  <c r="N151" i="23"/>
  <c r="N150" i="23"/>
  <c r="N149" i="23"/>
  <c r="N148" i="23"/>
  <c r="N147" i="23"/>
  <c r="N146" i="23"/>
  <c r="N145" i="23"/>
  <c r="N144" i="23"/>
  <c r="N143" i="23"/>
  <c r="N142" i="23"/>
  <c r="N141" i="23"/>
  <c r="N140" i="23"/>
  <c r="N139" i="23"/>
  <c r="N138" i="23"/>
  <c r="N137" i="23"/>
  <c r="N136" i="23"/>
  <c r="N135" i="23"/>
  <c r="N134" i="23"/>
  <c r="N133" i="23"/>
  <c r="N132" i="23"/>
  <c r="N131" i="23"/>
  <c r="N130" i="23"/>
  <c r="N129" i="23"/>
  <c r="N128" i="23"/>
  <c r="N127" i="23"/>
  <c r="N126" i="23"/>
  <c r="N125" i="23"/>
  <c r="N124" i="23"/>
  <c r="N123" i="23"/>
  <c r="N122" i="23"/>
  <c r="N121" i="23"/>
  <c r="N120" i="23"/>
  <c r="N119" i="23"/>
  <c r="N118" i="23"/>
  <c r="N117" i="23"/>
  <c r="N116" i="23"/>
  <c r="N115" i="23"/>
  <c r="N114" i="23"/>
  <c r="N113" i="23"/>
  <c r="N112" i="23"/>
  <c r="N111" i="23"/>
  <c r="N110" i="23"/>
  <c r="N109" i="23"/>
  <c r="N108" i="23"/>
  <c r="N107" i="23"/>
  <c r="N106" i="23"/>
  <c r="N105" i="23"/>
  <c r="N104" i="23"/>
  <c r="N103" i="23"/>
  <c r="N102" i="23"/>
  <c r="N101" i="23"/>
  <c r="N100" i="23"/>
  <c r="N99" i="23"/>
  <c r="N98" i="23"/>
  <c r="N97" i="23"/>
  <c r="N96" i="23"/>
  <c r="N95" i="23"/>
  <c r="N94" i="23"/>
  <c r="N93" i="23"/>
  <c r="N92" i="23"/>
  <c r="N91" i="23"/>
  <c r="N90" i="23"/>
  <c r="N89" i="23"/>
  <c r="N88" i="23"/>
  <c r="N87" i="23"/>
  <c r="N86" i="23"/>
  <c r="N85" i="23"/>
  <c r="N84" i="23"/>
  <c r="N83" i="23"/>
  <c r="N82" i="23"/>
  <c r="N81" i="23"/>
  <c r="N80" i="23"/>
  <c r="N79" i="23"/>
  <c r="N78" i="23"/>
  <c r="N77" i="23"/>
  <c r="N76" i="23"/>
  <c r="N75" i="23"/>
  <c r="N74" i="23"/>
  <c r="N73" i="23"/>
  <c r="N72" i="23"/>
  <c r="N71" i="23"/>
  <c r="N70" i="23"/>
  <c r="N69" i="23"/>
  <c r="N68" i="23"/>
  <c r="N67" i="23"/>
  <c r="N66" i="23"/>
  <c r="N65" i="23"/>
  <c r="N64" i="23"/>
  <c r="N63" i="23"/>
  <c r="N62" i="23"/>
  <c r="N61" i="23"/>
  <c r="N60" i="23"/>
  <c r="N59" i="23"/>
  <c r="N58" i="23"/>
  <c r="N57" i="23"/>
  <c r="N56" i="23"/>
  <c r="N55" i="23"/>
  <c r="N54" i="23"/>
  <c r="N53" i="23"/>
  <c r="N52" i="23"/>
  <c r="N51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N27" i="23"/>
  <c r="N26" i="23"/>
  <c r="N25" i="23"/>
  <c r="N24" i="23"/>
  <c r="N23" i="23"/>
  <c r="N22" i="23"/>
  <c r="N21" i="23"/>
  <c r="N20" i="23"/>
  <c r="N19" i="23"/>
  <c r="N18" i="23"/>
  <c r="N17" i="23"/>
  <c r="N16" i="23"/>
  <c r="N15" i="23"/>
  <c r="N14" i="23"/>
  <c r="N13" i="23"/>
  <c r="N12" i="23"/>
  <c r="N11" i="23"/>
  <c r="N10" i="23"/>
  <c r="F10" i="23"/>
  <c r="N9" i="23"/>
  <c r="N8" i="23"/>
  <c r="G8" i="23"/>
  <c r="F8" i="23"/>
  <c r="N7" i="23"/>
  <c r="N6" i="23"/>
  <c r="G6" i="23"/>
  <c r="F6" i="23"/>
  <c r="N5" i="23"/>
  <c r="P4" i="23"/>
  <c r="O4" i="23"/>
  <c r="M4" i="23"/>
  <c r="G10" i="23" s="1"/>
  <c r="G4" i="23"/>
  <c r="F4" i="23"/>
  <c r="I1" i="23"/>
  <c r="G1" i="23"/>
  <c r="N211" i="22"/>
  <c r="N210" i="22"/>
  <c r="N209" i="22"/>
  <c r="N208" i="22"/>
  <c r="N207" i="22"/>
  <c r="N206" i="22"/>
  <c r="N205" i="22"/>
  <c r="N204" i="22"/>
  <c r="N203" i="22"/>
  <c r="N202" i="22"/>
  <c r="N201" i="22"/>
  <c r="N200" i="22"/>
  <c r="N199" i="22"/>
  <c r="N198" i="22"/>
  <c r="N197" i="22"/>
  <c r="N196" i="22"/>
  <c r="N195" i="22"/>
  <c r="N194" i="22"/>
  <c r="N193" i="22"/>
  <c r="N192" i="22"/>
  <c r="N191" i="22"/>
  <c r="N190" i="22"/>
  <c r="N189" i="22"/>
  <c r="N188" i="22"/>
  <c r="N187" i="22"/>
  <c r="N186" i="22"/>
  <c r="N185" i="22"/>
  <c r="N184" i="22"/>
  <c r="N183" i="22"/>
  <c r="N182" i="22"/>
  <c r="N181" i="22"/>
  <c r="N180" i="22"/>
  <c r="N179" i="22"/>
  <c r="N178" i="22"/>
  <c r="N177" i="22"/>
  <c r="N176" i="22"/>
  <c r="N175" i="22"/>
  <c r="N174" i="22"/>
  <c r="N173" i="22"/>
  <c r="N172" i="22"/>
  <c r="N171" i="22"/>
  <c r="N170" i="22"/>
  <c r="N169" i="22"/>
  <c r="N168" i="22"/>
  <c r="N167" i="22"/>
  <c r="N166" i="22"/>
  <c r="N165" i="22"/>
  <c r="N164" i="22"/>
  <c r="N163" i="22"/>
  <c r="N162" i="22"/>
  <c r="N161" i="22"/>
  <c r="N160" i="22"/>
  <c r="N159" i="22"/>
  <c r="N158" i="22"/>
  <c r="N157" i="22"/>
  <c r="N156" i="22"/>
  <c r="N155" i="22"/>
  <c r="N154" i="22"/>
  <c r="N153" i="22"/>
  <c r="N152" i="22"/>
  <c r="N151" i="22"/>
  <c r="N150" i="22"/>
  <c r="N149" i="22"/>
  <c r="N148" i="22"/>
  <c r="N147" i="22"/>
  <c r="N146" i="22"/>
  <c r="N145" i="22"/>
  <c r="N144" i="22"/>
  <c r="N143" i="22"/>
  <c r="N142" i="22"/>
  <c r="N141" i="22"/>
  <c r="N140" i="22"/>
  <c r="N139" i="22"/>
  <c r="N138" i="22"/>
  <c r="N137" i="22"/>
  <c r="N136" i="22"/>
  <c r="N135" i="22"/>
  <c r="N134" i="22"/>
  <c r="N133" i="22"/>
  <c r="N132" i="22"/>
  <c r="N131" i="22"/>
  <c r="N130" i="22"/>
  <c r="N129" i="22"/>
  <c r="N128" i="22"/>
  <c r="N127" i="22"/>
  <c r="N126" i="22"/>
  <c r="N125" i="22"/>
  <c r="N124" i="22"/>
  <c r="N123" i="22"/>
  <c r="N122" i="22"/>
  <c r="N121" i="22"/>
  <c r="N120" i="22"/>
  <c r="N119" i="22"/>
  <c r="N118" i="22"/>
  <c r="N117" i="22"/>
  <c r="N116" i="22"/>
  <c r="N115" i="22"/>
  <c r="N114" i="22"/>
  <c r="N113" i="22"/>
  <c r="N112" i="22"/>
  <c r="N111" i="22"/>
  <c r="N110" i="22"/>
  <c r="N109" i="22"/>
  <c r="N108" i="22"/>
  <c r="N107" i="22"/>
  <c r="N106" i="22"/>
  <c r="N105" i="22"/>
  <c r="N104" i="22"/>
  <c r="N103" i="22"/>
  <c r="N102" i="22"/>
  <c r="N101" i="22"/>
  <c r="N100" i="22"/>
  <c r="N99" i="22"/>
  <c r="N98" i="22"/>
  <c r="N97" i="22"/>
  <c r="N96" i="22"/>
  <c r="N95" i="22"/>
  <c r="N94" i="22"/>
  <c r="N93" i="22"/>
  <c r="N92" i="22"/>
  <c r="N91" i="22"/>
  <c r="N90" i="22"/>
  <c r="N89" i="22"/>
  <c r="N88" i="22"/>
  <c r="N87" i="22"/>
  <c r="N86" i="22"/>
  <c r="N85" i="22"/>
  <c r="N84" i="22"/>
  <c r="N83" i="22"/>
  <c r="N82" i="22"/>
  <c r="N81" i="22"/>
  <c r="N80" i="22"/>
  <c r="N79" i="22"/>
  <c r="N78" i="22"/>
  <c r="N77" i="22"/>
  <c r="N76" i="22"/>
  <c r="N75" i="22"/>
  <c r="N74" i="22"/>
  <c r="N73" i="22"/>
  <c r="N72" i="22"/>
  <c r="N71" i="22"/>
  <c r="N70" i="22"/>
  <c r="N69" i="22"/>
  <c r="N68" i="22"/>
  <c r="N67" i="22"/>
  <c r="N66" i="22"/>
  <c r="N65" i="22"/>
  <c r="N64" i="22"/>
  <c r="N63" i="22"/>
  <c r="N62" i="22"/>
  <c r="N61" i="22"/>
  <c r="N60" i="22"/>
  <c r="N59" i="22"/>
  <c r="N58" i="22"/>
  <c r="N57" i="22"/>
  <c r="N56" i="22"/>
  <c r="N55" i="22"/>
  <c r="N54" i="22"/>
  <c r="N53" i="22"/>
  <c r="N52" i="22"/>
  <c r="N51" i="22"/>
  <c r="N50" i="22"/>
  <c r="N49" i="22"/>
  <c r="N48" i="22"/>
  <c r="N47" i="22"/>
  <c r="N46" i="22"/>
  <c r="N45" i="22"/>
  <c r="N44" i="22"/>
  <c r="N43" i="22"/>
  <c r="N42" i="22"/>
  <c r="N41" i="22"/>
  <c r="N40" i="22"/>
  <c r="N39" i="22"/>
  <c r="N38" i="22"/>
  <c r="N37" i="22"/>
  <c r="N36" i="22"/>
  <c r="N35" i="22"/>
  <c r="N34" i="22"/>
  <c r="N33" i="22"/>
  <c r="N32" i="22"/>
  <c r="N31" i="22"/>
  <c r="N30" i="22"/>
  <c r="N29" i="22"/>
  <c r="N28" i="22"/>
  <c r="N27" i="22"/>
  <c r="N26" i="22"/>
  <c r="N25" i="22"/>
  <c r="N24" i="22"/>
  <c r="N23" i="22"/>
  <c r="N22" i="22"/>
  <c r="N21" i="22"/>
  <c r="N20" i="22"/>
  <c r="N19" i="22"/>
  <c r="N18" i="22"/>
  <c r="N17" i="22"/>
  <c r="N16" i="22"/>
  <c r="N15" i="22"/>
  <c r="N14" i="22"/>
  <c r="N13" i="22"/>
  <c r="N12" i="22"/>
  <c r="N11" i="22"/>
  <c r="N10" i="22"/>
  <c r="G10" i="22"/>
  <c r="F10" i="22"/>
  <c r="N9" i="22"/>
  <c r="N8" i="22"/>
  <c r="F8" i="22"/>
  <c r="N7" i="22"/>
  <c r="N6" i="22"/>
  <c r="G6" i="22"/>
  <c r="F6" i="22"/>
  <c r="N5" i="22"/>
  <c r="P4" i="22"/>
  <c r="O4" i="22"/>
  <c r="M4" i="22"/>
  <c r="L4" i="22"/>
  <c r="G8" i="22" s="1"/>
  <c r="G4" i="22"/>
  <c r="F4" i="22"/>
  <c r="I1" i="22"/>
  <c r="G1" i="22"/>
  <c r="N242" i="21"/>
  <c r="N241" i="21"/>
  <c r="N240" i="21"/>
  <c r="N239" i="21"/>
  <c r="N238" i="21"/>
  <c r="N237" i="21"/>
  <c r="N236" i="21"/>
  <c r="N235" i="21"/>
  <c r="N234" i="21"/>
  <c r="N233" i="21"/>
  <c r="N232" i="21"/>
  <c r="N231" i="21"/>
  <c r="N230" i="21"/>
  <c r="N229" i="21"/>
  <c r="N228" i="21"/>
  <c r="N227" i="21"/>
  <c r="N226" i="21"/>
  <c r="N225" i="21"/>
  <c r="N224" i="21"/>
  <c r="N223" i="21"/>
  <c r="N222" i="21"/>
  <c r="N221" i="21"/>
  <c r="N220" i="21"/>
  <c r="N219" i="21"/>
  <c r="N218" i="21"/>
  <c r="N217" i="21"/>
  <c r="N216" i="21"/>
  <c r="N215" i="21"/>
  <c r="N214" i="21"/>
  <c r="N213" i="21"/>
  <c r="N212" i="21"/>
  <c r="N211" i="21"/>
  <c r="N210" i="21"/>
  <c r="N209" i="21"/>
  <c r="N208" i="21"/>
  <c r="N207" i="21"/>
  <c r="N206" i="21"/>
  <c r="N205" i="21"/>
  <c r="N204" i="21"/>
  <c r="N203" i="21"/>
  <c r="N202" i="21"/>
  <c r="N201" i="21"/>
  <c r="N200" i="21"/>
  <c r="N199" i="21"/>
  <c r="N198" i="21"/>
  <c r="N197" i="21"/>
  <c r="N196" i="21"/>
  <c r="N195" i="21"/>
  <c r="N194" i="21"/>
  <c r="N193" i="21"/>
  <c r="N192" i="21"/>
  <c r="N191" i="21"/>
  <c r="N190" i="21"/>
  <c r="N189" i="21"/>
  <c r="N188" i="21"/>
  <c r="N187" i="21"/>
  <c r="N186" i="21"/>
  <c r="N185" i="21"/>
  <c r="N184" i="21"/>
  <c r="N183" i="21"/>
  <c r="N182" i="21"/>
  <c r="N181" i="21"/>
  <c r="N180" i="21"/>
  <c r="N179" i="21"/>
  <c r="N178" i="21"/>
  <c r="N177" i="21"/>
  <c r="N176" i="21"/>
  <c r="N175" i="21"/>
  <c r="N174" i="21"/>
  <c r="N173" i="21"/>
  <c r="N172" i="21"/>
  <c r="N171" i="21"/>
  <c r="N170" i="21"/>
  <c r="N169" i="21"/>
  <c r="N168" i="21"/>
  <c r="N167" i="21"/>
  <c r="N166" i="21"/>
  <c r="N165" i="21"/>
  <c r="N164" i="21"/>
  <c r="N163" i="21"/>
  <c r="N162" i="21"/>
  <c r="N161" i="21"/>
  <c r="N160" i="21"/>
  <c r="N159" i="21"/>
  <c r="N158" i="21"/>
  <c r="N157" i="21"/>
  <c r="N156" i="21"/>
  <c r="N155" i="21"/>
  <c r="N154" i="21"/>
  <c r="N153" i="21"/>
  <c r="N152" i="21"/>
  <c r="N151" i="21"/>
  <c r="N150" i="21"/>
  <c r="N149" i="21"/>
  <c r="N148" i="21"/>
  <c r="N147" i="21"/>
  <c r="N146" i="21"/>
  <c r="N145" i="21"/>
  <c r="N144" i="21"/>
  <c r="N143" i="21"/>
  <c r="N142" i="21"/>
  <c r="N141" i="21"/>
  <c r="N140" i="21"/>
  <c r="N139" i="21"/>
  <c r="N138" i="21"/>
  <c r="N137" i="21"/>
  <c r="N136" i="21"/>
  <c r="N135" i="21"/>
  <c r="N134" i="21"/>
  <c r="N133" i="21"/>
  <c r="N132" i="21"/>
  <c r="N131" i="21"/>
  <c r="N130" i="21"/>
  <c r="N129" i="21"/>
  <c r="N128" i="21"/>
  <c r="N127" i="21"/>
  <c r="N126" i="21"/>
  <c r="N125" i="21"/>
  <c r="N124" i="21"/>
  <c r="N123" i="21"/>
  <c r="N122" i="21"/>
  <c r="N121" i="21"/>
  <c r="N120" i="21"/>
  <c r="N119" i="21"/>
  <c r="N118" i="21"/>
  <c r="N117" i="21"/>
  <c r="N116" i="21"/>
  <c r="N115" i="21"/>
  <c r="N114" i="21"/>
  <c r="N113" i="21"/>
  <c r="N112" i="21"/>
  <c r="N111" i="21"/>
  <c r="N110" i="21"/>
  <c r="N109" i="21"/>
  <c r="N108" i="21"/>
  <c r="N107" i="21"/>
  <c r="N106" i="21"/>
  <c r="N105" i="21"/>
  <c r="N104" i="21"/>
  <c r="N103" i="21"/>
  <c r="N102" i="21"/>
  <c r="N101" i="21"/>
  <c r="N100" i="21"/>
  <c r="N99" i="21"/>
  <c r="N98" i="21"/>
  <c r="N97" i="21"/>
  <c r="N96" i="21"/>
  <c r="N95" i="21"/>
  <c r="N94" i="21"/>
  <c r="N93" i="21"/>
  <c r="N92" i="21"/>
  <c r="N91" i="21"/>
  <c r="N90" i="21"/>
  <c r="N89" i="21"/>
  <c r="N88" i="21"/>
  <c r="N87" i="21"/>
  <c r="N86" i="21"/>
  <c r="N85" i="21"/>
  <c r="N84" i="21"/>
  <c r="N83" i="21"/>
  <c r="N82" i="21"/>
  <c r="N81" i="21"/>
  <c r="N80" i="21"/>
  <c r="N79" i="21"/>
  <c r="N78" i="21"/>
  <c r="N77" i="21"/>
  <c r="N76" i="21"/>
  <c r="N75" i="21"/>
  <c r="N74" i="21"/>
  <c r="N73" i="21"/>
  <c r="N72" i="21"/>
  <c r="N71" i="21"/>
  <c r="N70" i="21"/>
  <c r="N69" i="21"/>
  <c r="N68" i="21"/>
  <c r="N67" i="21"/>
  <c r="N66" i="21"/>
  <c r="N65" i="21"/>
  <c r="N64" i="21"/>
  <c r="N63" i="21"/>
  <c r="N62" i="21"/>
  <c r="N61" i="21"/>
  <c r="N60" i="21"/>
  <c r="N59" i="21"/>
  <c r="N58" i="21"/>
  <c r="N57" i="21"/>
  <c r="N56" i="21"/>
  <c r="N55" i="21"/>
  <c r="N54" i="21"/>
  <c r="N53" i="21"/>
  <c r="N52" i="21"/>
  <c r="N51" i="21"/>
  <c r="N50" i="21"/>
  <c r="N49" i="21"/>
  <c r="N48" i="21"/>
  <c r="N47" i="21"/>
  <c r="N46" i="21"/>
  <c r="N45" i="21"/>
  <c r="N44" i="21"/>
  <c r="N43" i="21"/>
  <c r="N42" i="21"/>
  <c r="N41" i="21"/>
  <c r="N40" i="21"/>
  <c r="N39" i="21"/>
  <c r="N38" i="21"/>
  <c r="N37" i="21"/>
  <c r="N36" i="21"/>
  <c r="N35" i="21"/>
  <c r="N34" i="21"/>
  <c r="N33" i="21"/>
  <c r="N32" i="21"/>
  <c r="N31" i="21"/>
  <c r="N30" i="21"/>
  <c r="N29" i="21"/>
  <c r="N28" i="21"/>
  <c r="N27" i="21"/>
  <c r="N26" i="21"/>
  <c r="N25" i="21"/>
  <c r="N24" i="21"/>
  <c r="N23" i="21"/>
  <c r="N22" i="21"/>
  <c r="N21" i="21"/>
  <c r="N20" i="21"/>
  <c r="N19" i="21"/>
  <c r="N18" i="21"/>
  <c r="N17" i="21"/>
  <c r="N16" i="21"/>
  <c r="N15" i="21"/>
  <c r="N14" i="21"/>
  <c r="N13" i="21"/>
  <c r="N12" i="21"/>
  <c r="N11" i="21"/>
  <c r="N10" i="21"/>
  <c r="G10" i="21"/>
  <c r="F10" i="21"/>
  <c r="N9" i="21"/>
  <c r="N8" i="21"/>
  <c r="F8" i="21"/>
  <c r="N7" i="21"/>
  <c r="N6" i="21"/>
  <c r="G6" i="21"/>
  <c r="F6" i="21"/>
  <c r="N5" i="21"/>
  <c r="P4" i="21"/>
  <c r="O4" i="21"/>
  <c r="M4" i="21"/>
  <c r="L4" i="21"/>
  <c r="G8" i="21" s="1"/>
  <c r="G4" i="21"/>
  <c r="F4" i="21"/>
  <c r="I1" i="21"/>
  <c r="G1" i="21"/>
  <c r="N220" i="20"/>
  <c r="N219" i="20"/>
  <c r="N218" i="20"/>
  <c r="N217" i="20"/>
  <c r="N216" i="20"/>
  <c r="N215" i="20"/>
  <c r="N214" i="20"/>
  <c r="N213" i="20"/>
  <c r="N212" i="20"/>
  <c r="N211" i="20"/>
  <c r="N210" i="20"/>
  <c r="N209" i="20"/>
  <c r="N208" i="20"/>
  <c r="N207" i="20"/>
  <c r="N206" i="20"/>
  <c r="N205" i="20"/>
  <c r="N204" i="20"/>
  <c r="N203" i="20"/>
  <c r="N202" i="20"/>
  <c r="N201" i="20"/>
  <c r="N200" i="20"/>
  <c r="N199" i="20"/>
  <c r="N198" i="20"/>
  <c r="N197" i="20"/>
  <c r="N196" i="20"/>
  <c r="N195" i="20"/>
  <c r="N194" i="20"/>
  <c r="N193" i="20"/>
  <c r="N192" i="20"/>
  <c r="N191" i="20"/>
  <c r="N190" i="20"/>
  <c r="N189" i="20"/>
  <c r="N188" i="20"/>
  <c r="N187" i="20"/>
  <c r="N186" i="20"/>
  <c r="N185" i="20"/>
  <c r="N184" i="20"/>
  <c r="N183" i="20"/>
  <c r="N182" i="20"/>
  <c r="N181" i="20"/>
  <c r="N180" i="20"/>
  <c r="N179" i="20"/>
  <c r="N178" i="20"/>
  <c r="N177" i="20"/>
  <c r="N176" i="20"/>
  <c r="N175" i="20"/>
  <c r="N174" i="20"/>
  <c r="N173" i="20"/>
  <c r="N172" i="20"/>
  <c r="N171" i="20"/>
  <c r="N170" i="20"/>
  <c r="N169" i="20"/>
  <c r="N168" i="20"/>
  <c r="N167" i="20"/>
  <c r="N166" i="20"/>
  <c r="N165" i="20"/>
  <c r="N164" i="20"/>
  <c r="N163" i="20"/>
  <c r="N162" i="20"/>
  <c r="N161" i="20"/>
  <c r="N160" i="20"/>
  <c r="N159" i="20"/>
  <c r="N158" i="20"/>
  <c r="N157" i="20"/>
  <c r="N156" i="20"/>
  <c r="N155" i="20"/>
  <c r="N154" i="20"/>
  <c r="N153" i="20"/>
  <c r="N152" i="20"/>
  <c r="N151" i="20"/>
  <c r="N150" i="20"/>
  <c r="N149" i="20"/>
  <c r="N148" i="20"/>
  <c r="N147" i="20"/>
  <c r="N146" i="20"/>
  <c r="N145" i="20"/>
  <c r="N144" i="20"/>
  <c r="N143" i="20"/>
  <c r="N142" i="20"/>
  <c r="N141" i="20"/>
  <c r="N140" i="20"/>
  <c r="N139" i="20"/>
  <c r="N138" i="20"/>
  <c r="N137" i="20"/>
  <c r="N136" i="20"/>
  <c r="N135" i="20"/>
  <c r="N134" i="20"/>
  <c r="N133" i="20"/>
  <c r="N132" i="20"/>
  <c r="N131" i="20"/>
  <c r="N130" i="20"/>
  <c r="N129" i="20"/>
  <c r="N128" i="20"/>
  <c r="N127" i="20"/>
  <c r="N126" i="20"/>
  <c r="N125" i="20"/>
  <c r="N124" i="20"/>
  <c r="N123" i="20"/>
  <c r="N122" i="20"/>
  <c r="N121" i="20"/>
  <c r="N120" i="20"/>
  <c r="N119" i="20"/>
  <c r="N118" i="20"/>
  <c r="N117" i="20"/>
  <c r="N116" i="20"/>
  <c r="N115" i="20"/>
  <c r="N114" i="20"/>
  <c r="N113" i="20"/>
  <c r="N112" i="20"/>
  <c r="N111" i="20"/>
  <c r="N110" i="20"/>
  <c r="N109" i="20"/>
  <c r="N108" i="20"/>
  <c r="N107" i="20"/>
  <c r="N106" i="20"/>
  <c r="N105" i="20"/>
  <c r="N104" i="20"/>
  <c r="N103" i="20"/>
  <c r="N102" i="20"/>
  <c r="N101" i="20"/>
  <c r="N100" i="20"/>
  <c r="N99" i="20"/>
  <c r="N98" i="20"/>
  <c r="N97" i="20"/>
  <c r="N96" i="20"/>
  <c r="N95" i="20"/>
  <c r="N94" i="20"/>
  <c r="N93" i="20"/>
  <c r="N92" i="20"/>
  <c r="N91" i="20"/>
  <c r="N90" i="20"/>
  <c r="N89" i="20"/>
  <c r="N88" i="20"/>
  <c r="N87" i="20"/>
  <c r="N86" i="20"/>
  <c r="N85" i="20"/>
  <c r="N84" i="20"/>
  <c r="N83" i="20"/>
  <c r="N82" i="20"/>
  <c r="N81" i="20"/>
  <c r="N80" i="20"/>
  <c r="N79" i="20"/>
  <c r="N78" i="20"/>
  <c r="N77" i="20"/>
  <c r="N76" i="20"/>
  <c r="N75" i="20"/>
  <c r="N74" i="20"/>
  <c r="N73" i="20"/>
  <c r="N72" i="20"/>
  <c r="N71" i="20"/>
  <c r="N70" i="20"/>
  <c r="N69" i="20"/>
  <c r="N68" i="20"/>
  <c r="N67" i="20"/>
  <c r="N66" i="20"/>
  <c r="N65" i="20"/>
  <c r="N64" i="20"/>
  <c r="N63" i="20"/>
  <c r="N62" i="20"/>
  <c r="N61" i="20"/>
  <c r="N60" i="20"/>
  <c r="N59" i="20"/>
  <c r="N58" i="20"/>
  <c r="N57" i="20"/>
  <c r="N56" i="20"/>
  <c r="N55" i="20"/>
  <c r="N54" i="20"/>
  <c r="N53" i="20"/>
  <c r="N52" i="20"/>
  <c r="N51" i="20"/>
  <c r="N50" i="20"/>
  <c r="N49" i="20"/>
  <c r="N48" i="20"/>
  <c r="N47" i="20"/>
  <c r="N46" i="20"/>
  <c r="N45" i="20"/>
  <c r="N44" i="20"/>
  <c r="N43" i="20"/>
  <c r="N42" i="20"/>
  <c r="N41" i="20"/>
  <c r="N40" i="20"/>
  <c r="N39" i="20"/>
  <c r="N38" i="20"/>
  <c r="N37" i="20"/>
  <c r="N36" i="20"/>
  <c r="N35" i="20"/>
  <c r="N34" i="20"/>
  <c r="N33" i="20"/>
  <c r="N32" i="20"/>
  <c r="N31" i="20"/>
  <c r="N30" i="20"/>
  <c r="N29" i="20"/>
  <c r="N28" i="20"/>
  <c r="N27" i="20"/>
  <c r="N26" i="20"/>
  <c r="N25" i="20"/>
  <c r="N24" i="20"/>
  <c r="N23" i="20"/>
  <c r="N22" i="20"/>
  <c r="N21" i="20"/>
  <c r="N20" i="20"/>
  <c r="N19" i="20"/>
  <c r="N18" i="20"/>
  <c r="N17" i="20"/>
  <c r="N16" i="20"/>
  <c r="N15" i="20"/>
  <c r="N14" i="20"/>
  <c r="N13" i="20"/>
  <c r="N12" i="20"/>
  <c r="N11" i="20"/>
  <c r="N10" i="20"/>
  <c r="G10" i="20"/>
  <c r="F10" i="20"/>
  <c r="N9" i="20"/>
  <c r="N8" i="20"/>
  <c r="F8" i="20"/>
  <c r="N7" i="20"/>
  <c r="N6" i="20"/>
  <c r="G6" i="20"/>
  <c r="F6" i="20"/>
  <c r="N5" i="20"/>
  <c r="P4" i="20"/>
  <c r="O4" i="20"/>
  <c r="M4" i="20"/>
  <c r="L4" i="20"/>
  <c r="G8" i="20" s="1"/>
  <c r="G4" i="20"/>
  <c r="F4" i="20"/>
  <c r="I1" i="20"/>
  <c r="G1" i="20"/>
  <c r="N210" i="19"/>
  <c r="N209" i="19"/>
  <c r="N208" i="19"/>
  <c r="N207" i="19"/>
  <c r="N206" i="19"/>
  <c r="N205" i="19"/>
  <c r="N204" i="19"/>
  <c r="N203" i="19"/>
  <c r="N202" i="19"/>
  <c r="N201" i="19"/>
  <c r="N200" i="19"/>
  <c r="N199" i="19"/>
  <c r="N198" i="19"/>
  <c r="N197" i="19"/>
  <c r="N196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F10" i="19"/>
  <c r="N9" i="19"/>
  <c r="N8" i="19"/>
  <c r="G8" i="19"/>
  <c r="F8" i="19"/>
  <c r="G6" i="19"/>
  <c r="F6" i="19"/>
  <c r="N5" i="19"/>
  <c r="P4" i="19"/>
  <c r="O4" i="19"/>
  <c r="M4" i="19"/>
  <c r="G10" i="19" s="1"/>
  <c r="L4" i="19"/>
  <c r="G4" i="19"/>
  <c r="F4" i="19"/>
  <c r="I1" i="19"/>
  <c r="G1" i="19"/>
  <c r="H2" i="21" l="1"/>
  <c r="F2" i="21"/>
  <c r="F2" i="19"/>
  <c r="M2" i="24"/>
  <c r="L2" i="24"/>
  <c r="H2" i="24"/>
  <c r="H2" i="20"/>
  <c r="F2" i="20"/>
  <c r="H2" i="22"/>
  <c r="H2" i="19"/>
  <c r="H2" i="23"/>
  <c r="F2" i="23"/>
  <c r="J2" i="24"/>
  <c r="F2" i="22"/>
  <c r="A32" i="1"/>
  <c r="A6" i="8" l="1"/>
  <c r="A8" i="8" s="1"/>
  <c r="A36" i="6" l="1"/>
  <c r="A38" i="6" s="1"/>
  <c r="A40" i="6" s="1"/>
  <c r="A42" i="6" s="1"/>
  <c r="A44" i="6" s="1"/>
  <c r="A46" i="6" s="1"/>
  <c r="A48" i="6" s="1"/>
  <c r="A50" i="6" s="1"/>
  <c r="A52" i="6" s="1"/>
  <c r="A54" i="6" s="1"/>
  <c r="A56" i="6" s="1"/>
  <c r="A58" i="6" s="1"/>
  <c r="A60" i="6" s="1"/>
  <c r="A62" i="6" s="1"/>
</calcChain>
</file>

<file path=xl/comments1.xml><?xml version="1.0" encoding="utf-8"?>
<comments xmlns="http://schemas.openxmlformats.org/spreadsheetml/2006/main">
  <authors>
    <author>Dairus Grant</author>
  </authors>
  <commentList>
    <comment ref="C15" authorId="0" shapeId="0">
      <text>
        <r>
          <rPr>
            <b/>
            <sz val="26"/>
            <color indexed="81"/>
            <rFont val="Tahoma"/>
            <family val="2"/>
          </rPr>
          <t>Silo A3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5" authorId="0" shapeId="0">
      <text>
        <r>
          <rPr>
            <b/>
            <sz val="26"/>
            <color indexed="81"/>
            <rFont val="Tahoma"/>
            <family val="2"/>
          </rPr>
          <t>Silo A2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5" authorId="0" shapeId="0">
      <text>
        <r>
          <rPr>
            <b/>
            <sz val="26"/>
            <color indexed="81"/>
            <rFont val="Tahoma"/>
            <family val="2"/>
          </rPr>
          <t>Silo A1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6" authorId="0" shapeId="0">
      <text>
        <r>
          <rPr>
            <b/>
            <sz val="26"/>
            <color indexed="81"/>
            <rFont val="Tahoma"/>
            <family val="2"/>
          </rPr>
          <t xml:space="preserve">Silo B3     </t>
        </r>
      </text>
    </comment>
    <comment ref="D16" authorId="0" shapeId="0">
      <text>
        <r>
          <rPr>
            <b/>
            <sz val="26"/>
            <color indexed="81"/>
            <rFont val="Tahoma"/>
            <family val="2"/>
          </rPr>
          <t>Silo B2</t>
        </r>
      </text>
    </comment>
    <comment ref="E16" authorId="0" shapeId="0">
      <text>
        <r>
          <rPr>
            <b/>
            <sz val="26"/>
            <color indexed="81"/>
            <rFont val="Tahoma"/>
            <family val="2"/>
          </rPr>
          <t>Silo B1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7" authorId="0" shapeId="0">
      <text>
        <r>
          <rPr>
            <b/>
            <sz val="26"/>
            <color indexed="81"/>
            <rFont val="Tahoma"/>
            <family val="2"/>
          </rPr>
          <t>Pig #3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0" shapeId="0">
      <text>
        <r>
          <rPr>
            <b/>
            <sz val="26"/>
            <color indexed="81"/>
            <rFont val="Tahoma"/>
            <family val="2"/>
          </rPr>
          <t>Pig #2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0" shapeId="0">
      <text>
        <r>
          <rPr>
            <b/>
            <sz val="26"/>
            <color indexed="81"/>
            <rFont val="Tahoma"/>
            <family val="2"/>
          </rPr>
          <t>Pig #1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Dairus Grant</author>
  </authors>
  <commentList>
    <comment ref="C3" authorId="0" shapeId="0">
      <text>
        <r>
          <rPr>
            <b/>
            <sz val="24"/>
            <color indexed="81"/>
            <rFont val="Tahoma"/>
            <family val="2"/>
          </rPr>
          <t>Silo A3</t>
        </r>
        <r>
          <rPr>
            <b/>
            <sz val="16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PRODUCTIONmix LW 
+ 0.75% GSS-1
+ 0.45% CFL-3
+ 1% FWC-2
+ 0.5% SCA-6
+ 0.5% SCA-7
+ 0.2% CDF-6P</t>
        </r>
      </text>
    </comment>
    <comment ref="D3" authorId="0" shapeId="0">
      <text>
        <r>
          <rPr>
            <b/>
            <sz val="26"/>
            <color indexed="81"/>
            <rFont val="Tahoma"/>
            <family val="2"/>
          </rPr>
          <t>Silo A2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SURFACEmix LW PRO (AB) + 1.5% SCA-6 
+ 1.5% SCA-7 
+ 0.2% CDF-6P</t>
        </r>
      </text>
    </comment>
    <comment ref="E3" authorId="0" shapeId="0">
      <text>
        <r>
          <rPr>
            <b/>
            <sz val="26"/>
            <color indexed="81"/>
            <rFont val="Tahoma"/>
            <family val="2"/>
          </rPr>
          <t xml:space="preserve">Silo A1
</t>
        </r>
        <r>
          <rPr>
            <b/>
            <sz val="10"/>
            <color indexed="81"/>
            <rFont val="Tahoma"/>
            <family val="2"/>
          </rPr>
          <t>SURFACEmix LW PRO (AB) 
+ 1.5% SCA-6 
+ 1.5% SCA-7 
+ 0.2% CDF-6P</t>
        </r>
      </text>
    </comment>
    <comment ref="C4" authorId="0" shapeId="0">
      <text>
        <r>
          <rPr>
            <b/>
            <sz val="28"/>
            <color indexed="81"/>
            <rFont val="Tahoma"/>
            <family val="2"/>
          </rPr>
          <t xml:space="preserve">Silo B3
</t>
        </r>
        <r>
          <rPr>
            <b/>
            <sz val="10"/>
            <color indexed="81"/>
            <rFont val="Tahoma"/>
            <family val="2"/>
          </rPr>
          <t>PRODUCTIONmix LW
+ 0.75% GSS-1
+ 0.45% CFL-3
+ 1% FWC-2
+ 0.5% SCA-6
+ 0.5% SCA-7
+ 0.2% CDF-6P</t>
        </r>
      </text>
    </comment>
    <comment ref="D4" authorId="0" shapeId="0">
      <text>
        <r>
          <rPr>
            <b/>
            <sz val="26"/>
            <color indexed="81"/>
            <rFont val="Tahoma"/>
            <family val="2"/>
          </rPr>
          <t xml:space="preserve">Silo B2
</t>
        </r>
        <r>
          <rPr>
            <b/>
            <sz val="10"/>
            <color indexed="81"/>
            <rFont val="Tahoma"/>
            <family val="2"/>
          </rPr>
          <t>PRODUCTIONmix LW
+ 0.75% GSS-1 
+ 0.45% CFL-3
+ 1% FWC-2
+ 0.5% SCA-6
+ 0.5% SCA-7
+ 0.2% CDF-6P</t>
        </r>
      </text>
    </comment>
    <comment ref="E4" authorId="0" shapeId="0">
      <text>
        <r>
          <rPr>
            <b/>
            <sz val="26"/>
            <color indexed="81"/>
            <rFont val="Tahoma"/>
            <family val="2"/>
          </rPr>
          <t>Silo B1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PRODUCTIONmix LW
+ 0.75% GSS-1 
+ 0.45% CFL-3
+ 1% FWC-2
+ 0.5% SCA-6
+ 0.5% SCA-7
+ 0.2% CDF-6P</t>
        </r>
      </text>
    </comment>
  </commentList>
</comments>
</file>

<file path=xl/sharedStrings.xml><?xml version="1.0" encoding="utf-8"?>
<sst xmlns="http://schemas.openxmlformats.org/spreadsheetml/2006/main" count="1255" uniqueCount="666">
  <si>
    <t>LSD</t>
  </si>
  <si>
    <t>RIG</t>
  </si>
  <si>
    <t>COMPANY</t>
  </si>
  <si>
    <t>JOB</t>
  </si>
  <si>
    <t>DATE</t>
  </si>
  <si>
    <t>BIN</t>
  </si>
  <si>
    <t>CONSULTANT PHONE #</t>
  </si>
  <si>
    <t>Savanna 634</t>
  </si>
  <si>
    <t>Surface</t>
  </si>
  <si>
    <t>Production</t>
  </si>
  <si>
    <t>Trinidad 432</t>
  </si>
  <si>
    <t>Trinidad 51</t>
  </si>
  <si>
    <t>Ironhand 9</t>
  </si>
  <si>
    <t>Savanna 616</t>
  </si>
  <si>
    <t>Husky</t>
  </si>
  <si>
    <t>Nabors 86</t>
  </si>
  <si>
    <t>Nabors 6</t>
  </si>
  <si>
    <t>Chinook 18</t>
  </si>
  <si>
    <t>Akita 56</t>
  </si>
  <si>
    <t>Intermediate</t>
  </si>
  <si>
    <t>Trinidad 49</t>
  </si>
  <si>
    <t>Trinidad 40</t>
  </si>
  <si>
    <t>Consultant Directory</t>
  </si>
  <si>
    <t>Name</t>
  </si>
  <si>
    <t>Phone Number</t>
  </si>
  <si>
    <t>E-mail Address</t>
  </si>
  <si>
    <t>Rig</t>
  </si>
  <si>
    <t>Garry Roe</t>
  </si>
  <si>
    <t>403-845-0700</t>
  </si>
  <si>
    <t>groe@extservices.repsol.com</t>
  </si>
  <si>
    <t>PWS 630</t>
  </si>
  <si>
    <t>Rick Berwick</t>
  </si>
  <si>
    <t>403-660-7360</t>
  </si>
  <si>
    <t>peytorig9@gmail.com</t>
  </si>
  <si>
    <t>Jeff Coward</t>
  </si>
  <si>
    <t>306-341-5818</t>
  </si>
  <si>
    <t>Tex Danielson</t>
  </si>
  <si>
    <t>403-742-9495</t>
  </si>
  <si>
    <t>Kevin Amy</t>
  </si>
  <si>
    <t>403-650-2110</t>
  </si>
  <si>
    <t>403-351-1077</t>
  </si>
  <si>
    <t>peyto616@gmail.com</t>
  </si>
  <si>
    <t>Jason Peterson</t>
  </si>
  <si>
    <t>403-376-5853</t>
  </si>
  <si>
    <t>peytocanelson1@gmail.com</t>
  </si>
  <si>
    <t>Canelson 1</t>
  </si>
  <si>
    <t>Al Woods</t>
  </si>
  <si>
    <t>780-913-1167</t>
  </si>
  <si>
    <t>Jim Sigstad</t>
  </si>
  <si>
    <t>780-402-5903</t>
  </si>
  <si>
    <t>780-721-8406</t>
  </si>
  <si>
    <t>Bill Cartwright</t>
  </si>
  <si>
    <t>403-601-1852</t>
  </si>
  <si>
    <t>844-283-3616</t>
  </si>
  <si>
    <t>peyto634@gmail.com</t>
  </si>
  <si>
    <t>Jason Zittlau</t>
  </si>
  <si>
    <t>403-351-0430</t>
  </si>
  <si>
    <t>Matt Loewen</t>
  </si>
  <si>
    <t>587-349-6929</t>
  </si>
  <si>
    <t>peyto432@gmail.com</t>
  </si>
  <si>
    <t>Bob Braitwaite</t>
  </si>
  <si>
    <t>403-994-2424</t>
  </si>
  <si>
    <t>Nabors 5</t>
  </si>
  <si>
    <t>Brad Stewart</t>
  </si>
  <si>
    <t>780-918-2315</t>
  </si>
  <si>
    <t>Ken Wildebore</t>
  </si>
  <si>
    <t>780-991-1733</t>
  </si>
  <si>
    <t>403-464-8934</t>
  </si>
  <si>
    <t>peytorig5@gmail.com</t>
  </si>
  <si>
    <t>Rick Adams</t>
  </si>
  <si>
    <t>403-896-4517</t>
  </si>
  <si>
    <t>Chinook 11</t>
  </si>
  <si>
    <t>Al Devins</t>
  </si>
  <si>
    <t>403-548-1634</t>
  </si>
  <si>
    <t>aldevconsulting@gmail.com</t>
  </si>
  <si>
    <t>Larry Haggen</t>
  </si>
  <si>
    <t>780-686-0808</t>
  </si>
  <si>
    <t>bonavista636@gmail.com</t>
  </si>
  <si>
    <t>Savanna 636</t>
  </si>
  <si>
    <t>Shane Throwbridge</t>
  </si>
  <si>
    <t>403-317-0654</t>
  </si>
  <si>
    <t>Dustin Giesbrecht</t>
  </si>
  <si>
    <t>403-580-9236</t>
  </si>
  <si>
    <t>Bob Williams</t>
  </si>
  <si>
    <t>403-304-0978</t>
  </si>
  <si>
    <t>Savanna 617</t>
  </si>
  <si>
    <t>Gerald Gould</t>
  </si>
  <si>
    <t>780-517-4889</t>
  </si>
  <si>
    <t>geraldgould2@gmail.com</t>
  </si>
  <si>
    <t>Dave Robinson</t>
  </si>
  <si>
    <t>403-357-4440</t>
  </si>
  <si>
    <t>black59swan@gmail.com</t>
  </si>
  <si>
    <t>Canelson 37</t>
  </si>
  <si>
    <t>Doug Schrader</t>
  </si>
  <si>
    <t>780-916-0128</t>
  </si>
  <si>
    <t>Harrold Stumpf</t>
  </si>
  <si>
    <t>403-357-9906</t>
  </si>
  <si>
    <t>stumpf1@telusplanet.net</t>
  </si>
  <si>
    <t>Scott Miller</t>
  </si>
  <si>
    <t>403-510-2038</t>
  </si>
  <si>
    <t>Kerry Lozinski</t>
  </si>
  <si>
    <t>780-983-3723</t>
  </si>
  <si>
    <t>aj.resourcesltd@gmail.com</t>
  </si>
  <si>
    <t>Ernie Hemingway</t>
  </si>
  <si>
    <t>780-719-9435</t>
  </si>
  <si>
    <t>Claude Barrett</t>
  </si>
  <si>
    <t>780-518-7109</t>
  </si>
  <si>
    <t>Savanna 637</t>
  </si>
  <si>
    <t>Paul Shields</t>
  </si>
  <si>
    <t>Terry Mikula</t>
  </si>
  <si>
    <t>403-816-1381</t>
  </si>
  <si>
    <t>Beaver 9</t>
  </si>
  <si>
    <t>Eric Harvey</t>
  </si>
  <si>
    <t>780-349-1712</t>
  </si>
  <si>
    <t>John Stahl</t>
  </si>
  <si>
    <t>403-505-0817</t>
  </si>
  <si>
    <t>Beaver 7</t>
  </si>
  <si>
    <t>Dennis Foley</t>
  </si>
  <si>
    <t>780-975-0994</t>
  </si>
  <si>
    <t>Brian Larson</t>
  </si>
  <si>
    <t>780-886-8969</t>
  </si>
  <si>
    <t>Ed Zanner</t>
  </si>
  <si>
    <t>403-819-5679</t>
  </si>
  <si>
    <t>Fox 5</t>
  </si>
  <si>
    <t>Jason Okishita</t>
  </si>
  <si>
    <t>403-952-1982</t>
  </si>
  <si>
    <t>Ironhand 3</t>
  </si>
  <si>
    <t>403-968-4862</t>
  </si>
  <si>
    <t>Fox 3</t>
  </si>
  <si>
    <t xml:space="preserve">Jim  </t>
  </si>
  <si>
    <t>403-318-1659</t>
  </si>
  <si>
    <t>Stan P</t>
  </si>
  <si>
    <t>403-797-0962</t>
  </si>
  <si>
    <t>Kevin Hill</t>
  </si>
  <si>
    <t>780-266-8365</t>
  </si>
  <si>
    <t>Ensign 54</t>
  </si>
  <si>
    <t>Bruce Brown</t>
  </si>
  <si>
    <t>780-831-5389</t>
  </si>
  <si>
    <t>Ensign 225</t>
  </si>
  <si>
    <t>Loran Redcheko</t>
  </si>
  <si>
    <t>780-217-4761</t>
  </si>
  <si>
    <t>loranjr@hotmail.com</t>
  </si>
  <si>
    <t>Pat Dwyer</t>
  </si>
  <si>
    <t>780-897-4585</t>
  </si>
  <si>
    <t xml:space="preserve">pdwyer@talisman-energy.com  </t>
  </si>
  <si>
    <t>Clayton Caldwell</t>
  </si>
  <si>
    <t>403-394-5959</t>
  </si>
  <si>
    <t>Marty Van Heuvel</t>
  </si>
  <si>
    <t>403-998-2051</t>
  </si>
  <si>
    <t>Trinidad 53</t>
  </si>
  <si>
    <t>Lorne Simpson</t>
  </si>
  <si>
    <t>403-771-2474</t>
  </si>
  <si>
    <t>Terry Dunn</t>
  </si>
  <si>
    <t>306-441-4415</t>
  </si>
  <si>
    <t xml:space="preserve">cynter@sasktel.net  </t>
  </si>
  <si>
    <t>Trinidad 22</t>
  </si>
  <si>
    <t>Dennis Lanski</t>
  </si>
  <si>
    <t>403-529-7489</t>
  </si>
  <si>
    <t>587-438-5578</t>
  </si>
  <si>
    <t>Call command Center</t>
  </si>
  <si>
    <t>Horizon 19</t>
  </si>
  <si>
    <t>Ken Woznicka</t>
  </si>
  <si>
    <t>Garry Leitner</t>
  </si>
  <si>
    <t>780-831-6614</t>
  </si>
  <si>
    <t>Jamie Andolsek</t>
  </si>
  <si>
    <t>403-351-1832 (RIG)</t>
  </si>
  <si>
    <t>peyto051@gmail.com</t>
  </si>
  <si>
    <t>Dean McKeague</t>
  </si>
  <si>
    <t>780-814-2222</t>
  </si>
  <si>
    <t>deanmckeg@gmail.com</t>
  </si>
  <si>
    <t>Horizon 30</t>
  </si>
  <si>
    <t>Gordon Dyck</t>
  </si>
  <si>
    <t>780-271-6254</t>
  </si>
  <si>
    <t>zander-ventures@hotmail.com</t>
  </si>
  <si>
    <t>Wayne Kerbes</t>
  </si>
  <si>
    <t>403-597-3560</t>
  </si>
  <si>
    <t>Command Center</t>
  </si>
  <si>
    <t>Horizon 10</t>
  </si>
  <si>
    <t>Terry Heisted</t>
  </si>
  <si>
    <t>Rick Higgins</t>
  </si>
  <si>
    <t>780-674-7723</t>
  </si>
  <si>
    <t>wbtrinidad1@gmail.com</t>
  </si>
  <si>
    <t>Trinidad 1</t>
  </si>
  <si>
    <t>Chad Wilkins</t>
  </si>
  <si>
    <t>403-793-1732</t>
  </si>
  <si>
    <t>Charlie Hebert</t>
  </si>
  <si>
    <t>780-991-9266</t>
  </si>
  <si>
    <t>587-393-0085</t>
  </si>
  <si>
    <t>Gerry Moritz</t>
  </si>
  <si>
    <t>403-504-9109</t>
  </si>
  <si>
    <t>gerry.moritz1111@gmail.com</t>
  </si>
  <si>
    <t>Hank Kleen</t>
  </si>
  <si>
    <t>780-918-9221</t>
  </si>
  <si>
    <t>hankkleen@yahoo.ca</t>
  </si>
  <si>
    <t>Horizon 3</t>
  </si>
  <si>
    <t>Yves Cloutier</t>
  </si>
  <si>
    <t>780-603-7237</t>
  </si>
  <si>
    <t>Allen Jay</t>
  </si>
  <si>
    <t>403-357-8187</t>
  </si>
  <si>
    <t>Horizon 50</t>
  </si>
  <si>
    <t>Todd Pupper</t>
  </si>
  <si>
    <t>780-812-5689</t>
  </si>
  <si>
    <t>Wayne Callihou</t>
  </si>
  <si>
    <t>250-261-9441</t>
  </si>
  <si>
    <t>PD 382</t>
  </si>
  <si>
    <t>Terry Sylvester</t>
  </si>
  <si>
    <t>403-740-9369</t>
  </si>
  <si>
    <t>Darrin Lodoen</t>
  </si>
  <si>
    <t>780-499-9721</t>
  </si>
  <si>
    <t>darrinlodoen@gmail.com</t>
  </si>
  <si>
    <t>Peyto Product Sales</t>
  </si>
  <si>
    <t>Colin Wiebe</t>
  </si>
  <si>
    <t>780-886-9453</t>
  </si>
  <si>
    <t>7gennabors86@gmail.com</t>
  </si>
  <si>
    <t>Chris McDonald</t>
  </si>
  <si>
    <t>403-638-7889</t>
  </si>
  <si>
    <t>DC Drilling 2</t>
  </si>
  <si>
    <t>Cory Anderson</t>
  </si>
  <si>
    <t>306-874-7277</t>
  </si>
  <si>
    <t>Tom</t>
  </si>
  <si>
    <t>403-586-2208</t>
  </si>
  <si>
    <t>Akita 41</t>
  </si>
  <si>
    <t>Kirt Hodge</t>
  </si>
  <si>
    <t>250-287-6152</t>
  </si>
  <si>
    <t>Pat Little</t>
  </si>
  <si>
    <t>403-512-0740</t>
  </si>
  <si>
    <t>Marcel Reynolds</t>
  </si>
  <si>
    <t>acl.akita@gesmail.ca</t>
  </si>
  <si>
    <t>Tony</t>
  </si>
  <si>
    <t>403-844-0551</t>
  </si>
  <si>
    <t>Bonavista 638</t>
  </si>
  <si>
    <t>Dave Bert</t>
  </si>
  <si>
    <t>403-352-6061</t>
  </si>
  <si>
    <t>AL Taylor</t>
  </si>
  <si>
    <t>780-910-1534</t>
  </si>
  <si>
    <t>anselldrill@enerplus.com</t>
  </si>
  <si>
    <t>Akita 21</t>
  </si>
  <si>
    <t>Merv Delhez</t>
  </si>
  <si>
    <t>780-914-4533</t>
  </si>
  <si>
    <t>Mark Seymour</t>
  </si>
  <si>
    <t>780-914-9243</t>
  </si>
  <si>
    <t>PD 534</t>
  </si>
  <si>
    <t>Dan Bonham</t>
  </si>
  <si>
    <t>403-862-7690</t>
  </si>
  <si>
    <t>Roy Wieler</t>
  </si>
  <si>
    <t>403-648-1870</t>
  </si>
  <si>
    <t>dril1@ikkumarescorp.com</t>
  </si>
  <si>
    <t>Corey McCarthy</t>
  </si>
  <si>
    <t>Job Type</t>
  </si>
  <si>
    <t>Cenovus</t>
  </si>
  <si>
    <t>Retainer Squeeze</t>
  </si>
  <si>
    <t>Dwayne Havanka</t>
  </si>
  <si>
    <t>Warren Andrews</t>
  </si>
  <si>
    <t>403-502-2964</t>
  </si>
  <si>
    <t xml:space="preserve">PD 239 </t>
  </si>
  <si>
    <t>maybe 4-5</t>
  </si>
  <si>
    <t/>
  </si>
  <si>
    <t>DAYS/        NIGHTS</t>
  </si>
  <si>
    <t>24's</t>
  </si>
  <si>
    <t>Days        Nights</t>
  </si>
  <si>
    <t>Days</t>
  </si>
  <si>
    <t>Days / Nights</t>
  </si>
  <si>
    <t>Nights</t>
  </si>
  <si>
    <t>Plugback Whipstock</t>
  </si>
  <si>
    <t>Estevan</t>
  </si>
  <si>
    <t>Swift Current</t>
  </si>
  <si>
    <t>Lloydminster</t>
  </si>
  <si>
    <t>Lac La Biche</t>
  </si>
  <si>
    <t>K+S Potash</t>
  </si>
  <si>
    <t>Jarrods Oil</t>
  </si>
  <si>
    <t>Pengrowth</t>
  </si>
  <si>
    <t>Conductor Barrel</t>
  </si>
  <si>
    <t>Slimhole Prod.</t>
  </si>
  <si>
    <t>Braidenhead</t>
  </si>
  <si>
    <t>Coil Plug</t>
  </si>
  <si>
    <t>Aband. Plug</t>
  </si>
  <si>
    <t>Whipstock</t>
  </si>
  <si>
    <t>Meg</t>
  </si>
  <si>
    <t>Deltastream</t>
  </si>
  <si>
    <t>Imperial Oil</t>
  </si>
  <si>
    <t>Pad N 10-3-77-5w4</t>
  </si>
  <si>
    <t>PD 192</t>
  </si>
  <si>
    <t>PD 147</t>
  </si>
  <si>
    <t>PD 199</t>
  </si>
  <si>
    <t>Akita 25</t>
  </si>
  <si>
    <t>Akita 27</t>
  </si>
  <si>
    <t>Balanced Plug</t>
  </si>
  <si>
    <t>Jason Bates- 780-887-0203</t>
  </si>
  <si>
    <t>Ted Waldner- 780-573-4629</t>
  </si>
  <si>
    <t>Client</t>
  </si>
  <si>
    <t>Contact Name/Number</t>
  </si>
  <si>
    <t>Status</t>
  </si>
  <si>
    <t>Truck assignment</t>
  </si>
  <si>
    <t>Remaining</t>
  </si>
  <si>
    <t>Position</t>
  </si>
  <si>
    <t xml:space="preserve">Bin unit </t>
  </si>
  <si>
    <t>Tonnage</t>
  </si>
  <si>
    <t>Date</t>
  </si>
  <si>
    <t>Initials</t>
  </si>
  <si>
    <t>Comments</t>
  </si>
  <si>
    <t>MT</t>
  </si>
  <si>
    <t>Pd 147</t>
  </si>
  <si>
    <t>Blake Thomas</t>
  </si>
  <si>
    <t>P-tank</t>
  </si>
  <si>
    <t>cenovus147@gmail.com</t>
  </si>
  <si>
    <t>Steve</t>
  </si>
  <si>
    <t>3.5hrs</t>
  </si>
  <si>
    <t>780-573-4151</t>
  </si>
  <si>
    <t>PD192</t>
  </si>
  <si>
    <t>P Tank</t>
  </si>
  <si>
    <t>cenovus192@gmail.com</t>
  </si>
  <si>
    <t>780-573-8696</t>
  </si>
  <si>
    <t>Cenovus Laydown</t>
  </si>
  <si>
    <t>A-Side</t>
  </si>
  <si>
    <t>120t total Cap.</t>
  </si>
  <si>
    <t>Weigh Silo</t>
  </si>
  <si>
    <t>B-Side</t>
  </si>
  <si>
    <t>PIG</t>
  </si>
  <si>
    <t>160t total Cap.</t>
  </si>
  <si>
    <r>
      <rPr>
        <b/>
        <sz val="18"/>
        <color rgb="FFC00000"/>
        <rFont val="Calibri"/>
        <family val="2"/>
        <scheme val="minor"/>
      </rPr>
      <t>Silo's A1, A2</t>
    </r>
    <r>
      <rPr>
        <b/>
        <sz val="14"/>
        <color rgb="FFC00000"/>
        <rFont val="Calibri"/>
        <family val="2"/>
        <scheme val="minor"/>
      </rPr>
      <t xml:space="preserve">                                PD #192 Intermediate                          </t>
    </r>
    <r>
      <rPr>
        <b/>
        <sz val="11"/>
        <color rgb="FF7030A0"/>
        <rFont val="Calibri"/>
        <family val="2"/>
        <scheme val="minor"/>
      </rPr>
      <t>Pro Pro + 0.1% CFR-2 + 0.5% CFL-3        + 2% FWC-2 + 0.5% Cacl2                          + 0.15% CDF-6P + 5.5% LCC-9                    + 0.25% LCF-7</t>
    </r>
  </si>
  <si>
    <t>West</t>
  </si>
  <si>
    <t xml:space="preserve">  </t>
  </si>
  <si>
    <t>Surface LayDown</t>
  </si>
  <si>
    <t>North</t>
  </si>
  <si>
    <t>Production  LayDown</t>
  </si>
  <si>
    <t>East</t>
  </si>
  <si>
    <t>Cenovus PD #199</t>
  </si>
  <si>
    <t xml:space="preserve">Total </t>
  </si>
  <si>
    <t>Total</t>
  </si>
  <si>
    <t>Well Name</t>
  </si>
  <si>
    <t>Field Tech Inspection Performed</t>
  </si>
  <si>
    <t>Location</t>
  </si>
  <si>
    <t>Cement Hauled</t>
  </si>
  <si>
    <t>Tonnage Hauled in/out</t>
  </si>
  <si>
    <t>Hauled</t>
  </si>
  <si>
    <t>Job Information</t>
  </si>
  <si>
    <t>Billed Tonnage (Blend + Additives)</t>
  </si>
  <si>
    <t>Digital Reading</t>
  </si>
  <si>
    <t>MTS</t>
  </si>
  <si>
    <t>Blend</t>
  </si>
  <si>
    <t>Mega  2119</t>
  </si>
  <si>
    <t>Mega 2042</t>
  </si>
  <si>
    <t>Ticket #</t>
  </si>
  <si>
    <t>Cement Blend</t>
  </si>
  <si>
    <t>Supervisor</t>
  </si>
  <si>
    <t>Inspector's Name</t>
  </si>
  <si>
    <t>Thermal 40 EXP</t>
  </si>
  <si>
    <t>Proteus PRO</t>
  </si>
  <si>
    <t>Pumped</t>
  </si>
  <si>
    <t>Meg Akita 27</t>
  </si>
  <si>
    <t>Pad N</t>
  </si>
  <si>
    <t>10-3-77-5W4 -&gt; has LCC-9</t>
  </si>
  <si>
    <t>Pt 1919</t>
  </si>
  <si>
    <t>PT 1922</t>
  </si>
  <si>
    <t>Proteus Pro</t>
  </si>
  <si>
    <t>Darrel Niemi</t>
  </si>
  <si>
    <t>PT # 1913</t>
  </si>
  <si>
    <t>PT # 1895</t>
  </si>
  <si>
    <t>Meg Akita 25</t>
  </si>
  <si>
    <t>Pro Pro Opt #1</t>
  </si>
  <si>
    <t>Darrel N</t>
  </si>
  <si>
    <t>Mega #2111</t>
  </si>
  <si>
    <t>Mega 2115</t>
  </si>
  <si>
    <t>Mega 2111</t>
  </si>
  <si>
    <t>Husky PD 197</t>
  </si>
  <si>
    <t>Pengrowth Akita #40</t>
  </si>
  <si>
    <t>Total 2072</t>
  </si>
  <si>
    <t>Total 2064</t>
  </si>
  <si>
    <t>PT 1912</t>
  </si>
  <si>
    <t>PT 1917</t>
  </si>
  <si>
    <t>PT 2072</t>
  </si>
  <si>
    <t>PT 2064</t>
  </si>
  <si>
    <t>Thermal 40 Exp</t>
  </si>
  <si>
    <t>Matt L</t>
  </si>
  <si>
    <t>Reweigh</t>
  </si>
  <si>
    <t>BackHaul</t>
  </si>
  <si>
    <t>12 Intermediates</t>
  </si>
  <si>
    <t>Akita 40</t>
  </si>
  <si>
    <t>PD 197</t>
  </si>
  <si>
    <t>1912/1917</t>
  </si>
  <si>
    <t>2072/2064</t>
  </si>
  <si>
    <t>103/7-6-49-23w3</t>
  </si>
  <si>
    <t>May 30</t>
  </si>
  <si>
    <t>Curtis Setrakov: 306-717-7469</t>
  </si>
  <si>
    <t>Daniel Ayala: 403-829-6849</t>
  </si>
  <si>
    <t>Shawn Bennet: 403-620-0977(Rig Phone)</t>
  </si>
  <si>
    <t>Rockeast</t>
  </si>
  <si>
    <t>Tempco 8</t>
  </si>
  <si>
    <t>Gordon Sinclair: 403-589-4309</t>
  </si>
  <si>
    <t>Venturion</t>
  </si>
  <si>
    <t>Horizon 7</t>
  </si>
  <si>
    <t>Ron Radke: 403-308-5153</t>
  </si>
  <si>
    <t>Gord Torgersen: 780-573-4237</t>
  </si>
  <si>
    <t>Cory Stabbler: 780-201-9053</t>
  </si>
  <si>
    <t>K+S</t>
  </si>
  <si>
    <t>Akita 80</t>
  </si>
  <si>
    <t>Les Ferdette: 306-638-6776 (Rig Phone)</t>
  </si>
  <si>
    <t>Barry Tosh: 306-638-6776 (Rig Phone)</t>
  </si>
  <si>
    <t>Crescent Point</t>
  </si>
  <si>
    <t>Savanna 629</t>
  </si>
  <si>
    <t>Brad Mikalson: 403-837-4594</t>
  </si>
  <si>
    <t>Don McPhee: 780-289-6928</t>
  </si>
  <si>
    <t>Whitecap (Ktown)</t>
  </si>
  <si>
    <t>Whitecap (GL)</t>
  </si>
  <si>
    <t>Bonanza 2</t>
  </si>
  <si>
    <t>Shane Gagnong: 403-650-6200</t>
  </si>
  <si>
    <t>Ensign 352</t>
  </si>
  <si>
    <t>Kevin Anderson: 780-996-0035</t>
  </si>
  <si>
    <t>Bonanza 7</t>
  </si>
  <si>
    <t>Ken Shannon: 780-239-3193</t>
  </si>
  <si>
    <t>Extreme 3</t>
  </si>
  <si>
    <t>George Domelo: 403-501-4738</t>
  </si>
  <si>
    <t>Triland</t>
  </si>
  <si>
    <t>Terry Sczeponski: 306-457-7625</t>
  </si>
  <si>
    <t>Mark Antoneshyn</t>
  </si>
  <si>
    <t>Shane Reynolds</t>
  </si>
  <si>
    <r>
      <rPr>
        <b/>
        <sz val="18"/>
        <color rgb="FFC00000"/>
        <rFont val="Calibri"/>
        <family val="2"/>
        <scheme val="minor"/>
      </rPr>
      <t>Silo's  A3,P1,P2</t>
    </r>
    <r>
      <rPr>
        <b/>
        <sz val="14"/>
        <color rgb="FFC00000"/>
        <rFont val="Calibri"/>
        <family val="2"/>
        <scheme val="minor"/>
      </rPr>
      <t xml:space="preserve">                            PD  #147 Intermediate          </t>
    </r>
    <r>
      <rPr>
        <b/>
        <sz val="14"/>
        <color rgb="FF00B050"/>
        <rFont val="Calibri"/>
        <family val="2"/>
        <scheme val="minor"/>
      </rPr>
      <t xml:space="preserve">                </t>
    </r>
    <r>
      <rPr>
        <b/>
        <sz val="11"/>
        <color rgb="FF00B050"/>
        <rFont val="Calibri"/>
        <family val="2"/>
        <scheme val="minor"/>
      </rPr>
      <t xml:space="preserve">Pro Pro + 0.1% CFR-2 + 0.5% CFL-3 + 2% FWC-2 + 0.5% Cacl2                          + 0.15% CDF-6P + 5.5% LCC-9               </t>
    </r>
  </si>
  <si>
    <t>Jody Klassen</t>
  </si>
  <si>
    <t>Derek Radcliffe</t>
  </si>
  <si>
    <t>transfer</t>
  </si>
  <si>
    <t>MEG Akita #21</t>
  </si>
  <si>
    <t>BIN # 1958</t>
  </si>
  <si>
    <t>BIN # 2034</t>
  </si>
  <si>
    <t>Phil M</t>
  </si>
  <si>
    <t>Pro Pro / Thermal 40 Exp</t>
  </si>
  <si>
    <t>Steve H.</t>
  </si>
  <si>
    <t>Matt L.</t>
  </si>
  <si>
    <t>Return to Lloyd for Scale</t>
  </si>
  <si>
    <t>Back haul</t>
  </si>
  <si>
    <t>Ridgeback</t>
  </si>
  <si>
    <t>James Miller: 403-816-9380</t>
  </si>
  <si>
    <t>Hanging Liners- Megas Empty</t>
  </si>
  <si>
    <t>Corval</t>
  </si>
  <si>
    <t>PD 205</t>
  </si>
  <si>
    <t>Kevin Abrey: 306-946-8519</t>
  </si>
  <si>
    <t>Scott McGrath: 403-844-1662</t>
  </si>
  <si>
    <t>Savanna 440</t>
  </si>
  <si>
    <t>Ryan Ingham: 403-846-3450</t>
  </si>
  <si>
    <t>Scab Liner</t>
  </si>
  <si>
    <t>NOTES</t>
  </si>
  <si>
    <t>Dan Steele: 403-575-5008</t>
  </si>
  <si>
    <t>CWT Patch</t>
  </si>
  <si>
    <t>Trevor McCullough: 780-573-9347</t>
  </si>
  <si>
    <t>Allstar</t>
  </si>
  <si>
    <t>Al Postma: 403-650-5409</t>
  </si>
  <si>
    <t>Novus</t>
  </si>
  <si>
    <t>Jay McDouall: 403-396-7355</t>
  </si>
  <si>
    <t>PD 148</t>
  </si>
  <si>
    <t>Turnstone (Ktown)</t>
  </si>
  <si>
    <t>Novus (Ktown)</t>
  </si>
  <si>
    <t>Dennis Strang 780-573-3269</t>
  </si>
  <si>
    <t>Akita 21: 587-233-0717 (Rig Phone)</t>
  </si>
  <si>
    <t>Akita 25: 587-233-0882 (Rig Phone)</t>
  </si>
  <si>
    <t>PD 147: 780-573-4151 (Rig Phone)</t>
  </si>
  <si>
    <t>PD 192: 780-573-8696 (Rig Phone)</t>
  </si>
  <si>
    <t>PD 199- 780-201-0676 (Rig Phone)</t>
  </si>
  <si>
    <t>Akita 27: 587-293-6140 (Rig Phone)</t>
  </si>
  <si>
    <t>Days/ Nights</t>
  </si>
  <si>
    <t>P:</t>
  </si>
  <si>
    <t xml:space="preserve">Mark Patterson / </t>
  </si>
  <si>
    <t>PD 199: 780-201-0676 (Rig Phone)</t>
  </si>
  <si>
    <t>Blake Thomas / Steve Kondor</t>
  </si>
  <si>
    <t>1972/ 1830</t>
  </si>
  <si>
    <t>Dave Seltenrica: 403-501-3049</t>
  </si>
  <si>
    <t>Stampede 3</t>
  </si>
  <si>
    <t>Raging River (Ktown)</t>
  </si>
  <si>
    <t>Shorty Cross: 306-774-6221</t>
  </si>
  <si>
    <t>Calvin Prior: 403-793-7154</t>
  </si>
  <si>
    <t>Ted Waldner: 780-573-4629</t>
  </si>
  <si>
    <t>Jordan Fuder: 780-813-4620</t>
  </si>
  <si>
    <t>Dennis Strang: 780-573-3269</t>
  </si>
  <si>
    <t>Kurt Smylie: 780-910-0443</t>
  </si>
  <si>
    <t>Akita 40: 403-620-0977</t>
  </si>
  <si>
    <t>Sean Bennett / Dan Ayala</t>
  </si>
  <si>
    <t>Ernie Levesque / Tony Stout</t>
  </si>
  <si>
    <t>PD 197: 403-869-4815</t>
  </si>
  <si>
    <t>Derek Pearson / Monty Scory</t>
  </si>
  <si>
    <t>Paul Desjardins: 587-201-4771</t>
  </si>
  <si>
    <t>Kelly Dutertre 780-207-7776</t>
  </si>
  <si>
    <t>15-17-70-3w4</t>
  </si>
  <si>
    <t>1977/1978</t>
  </si>
  <si>
    <t>1966/1893</t>
  </si>
  <si>
    <t>2119/2042</t>
  </si>
  <si>
    <t>1895/1913</t>
  </si>
  <si>
    <t>BINS</t>
  </si>
  <si>
    <t>1919/1922</t>
  </si>
  <si>
    <t>1958/2034</t>
  </si>
  <si>
    <t>Kristian Link 780-887-5747</t>
  </si>
  <si>
    <t>Akita #21</t>
  </si>
  <si>
    <t>Joe Sweatman 780-201-3885</t>
  </si>
  <si>
    <t>Robert Boyko: 403-819-7536</t>
  </si>
  <si>
    <t>???</t>
  </si>
  <si>
    <t>Randy McDonald 780-719-9578</t>
  </si>
  <si>
    <t>Devon</t>
  </si>
  <si>
    <t>PD 149</t>
  </si>
  <si>
    <t>June 20</t>
  </si>
  <si>
    <t>Brad Vickers: 780-753-6408</t>
  </si>
  <si>
    <t>15-34-48-13w4</t>
  </si>
  <si>
    <t>km</t>
  </si>
  <si>
    <t>PD 157</t>
  </si>
  <si>
    <t>Capio (GL)</t>
  </si>
  <si>
    <t>ISH (Ktown)</t>
  </si>
  <si>
    <t>Horizon 61</t>
  </si>
  <si>
    <t>Tony Tomaszewski: 403-382-0473</t>
  </si>
  <si>
    <t>9T confirmed</t>
  </si>
  <si>
    <t>8-4-33-25W3</t>
  </si>
  <si>
    <t>Red Dog 4</t>
  </si>
  <si>
    <t>Kelly: 306-539-8561</t>
  </si>
  <si>
    <t>Travis Gregorchuk: 403-866-0651</t>
  </si>
  <si>
    <t>backhaul</t>
  </si>
  <si>
    <t>Wayne Rodwell: 403-877-6777</t>
  </si>
  <si>
    <t>Luc</t>
  </si>
  <si>
    <t>June 9</t>
  </si>
  <si>
    <t>Vortex 2</t>
  </si>
  <si>
    <t>Steve: 403-318-3602</t>
  </si>
  <si>
    <t>Derek Radcliff</t>
  </si>
  <si>
    <t>Stampede 1</t>
  </si>
  <si>
    <t>Jason Brown: 403-993-6797</t>
  </si>
  <si>
    <t>Liner</t>
  </si>
  <si>
    <t>Casey Rudkevitch: 403-392-8780</t>
  </si>
  <si>
    <t>Spur</t>
  </si>
  <si>
    <t>Tempco 7</t>
  </si>
  <si>
    <t>Shawn Sorken: 780-385-4257</t>
  </si>
  <si>
    <t>C-5-33-08-28W1</t>
  </si>
  <si>
    <t>2040??</t>
  </si>
  <si>
    <t>+27T Pro Pro lead hauled in bulkers</t>
  </si>
  <si>
    <t>Shawn Shuster: 306-830-5903</t>
  </si>
  <si>
    <t>2-24-58-5w4</t>
  </si>
  <si>
    <t>Dale Keim: 403-396-2199</t>
  </si>
  <si>
    <t>Horizon 16</t>
  </si>
  <si>
    <t>Rene Fortin: 403-506-7428</t>
  </si>
  <si>
    <t xml:space="preserve">June 8 </t>
  </si>
  <si>
    <t>June 21</t>
  </si>
  <si>
    <t>Needs P-Tank</t>
  </si>
  <si>
    <t>Kelly Kreutzer: 306-539-8561</t>
  </si>
  <si>
    <t>U3-22</t>
  </si>
  <si>
    <t>Jacos</t>
  </si>
  <si>
    <t>Jason Morissette / Les Lambert</t>
  </si>
  <si>
    <t>+21T Pro Core lead hauled in bulkers</t>
  </si>
  <si>
    <t>Proteus Core</t>
  </si>
  <si>
    <t>Transfer</t>
  </si>
  <si>
    <t>41B1-19-3D2-19-19-24W2M</t>
  </si>
  <si>
    <t>11-16-27-18W3</t>
  </si>
  <si>
    <t>W27 PAD</t>
  </si>
  <si>
    <t>Thermal 40</t>
  </si>
  <si>
    <t>1-27-13-19W3</t>
  </si>
  <si>
    <t>Rob Henderson /</t>
  </si>
  <si>
    <t>SR Retainer</t>
  </si>
  <si>
    <t>Circulation Sq.</t>
  </si>
  <si>
    <t>PAD K - w/ LCC-9</t>
  </si>
  <si>
    <r>
      <rPr>
        <b/>
        <sz val="20"/>
        <color rgb="FFC00000"/>
        <rFont val="Calibri"/>
        <family val="2"/>
        <scheme val="minor"/>
      </rPr>
      <t xml:space="preserve">Silo's B2, B3            </t>
    </r>
    <r>
      <rPr>
        <b/>
        <sz val="14"/>
        <color rgb="FFC00000"/>
        <rFont val="Calibri"/>
        <family val="2"/>
        <scheme val="minor"/>
      </rPr>
      <t>PD #147 &amp; 192 Surface</t>
    </r>
    <r>
      <rPr>
        <b/>
        <sz val="20"/>
        <color rgb="FFC00000"/>
        <rFont val="Calibri"/>
        <family val="2"/>
        <scheme val="minor"/>
      </rPr>
      <t xml:space="preserve">   </t>
    </r>
    <r>
      <rPr>
        <sz val="11"/>
        <color rgb="FF0070C0"/>
        <rFont val="Calibri"/>
        <family val="2"/>
        <scheme val="minor"/>
      </rPr>
      <t xml:space="preserve">                                         </t>
    </r>
    <r>
      <rPr>
        <b/>
        <sz val="11"/>
        <color rgb="FF0070C0"/>
        <rFont val="Calibri"/>
        <family val="2"/>
        <scheme val="minor"/>
      </rPr>
      <t>Thermal 40 EXP + 0.2% CFR-2 + 0.3% CFL-3 + 1% Cacl2 + 1% FWC-2 + 0.25% SCA-6 + 0.15% CDF-6P + 5.5% LCC-9</t>
    </r>
  </si>
  <si>
    <t>June ?</t>
  </si>
  <si>
    <t>4-29-41-3w4</t>
  </si>
  <si>
    <t>03-21-70-5w4</t>
  </si>
  <si>
    <t>PAD K 9-7-77-5w4</t>
  </si>
  <si>
    <t>10-22-70-3w4</t>
  </si>
  <si>
    <t>N</t>
  </si>
  <si>
    <t>Greg Z</t>
  </si>
  <si>
    <t>PhilM</t>
  </si>
  <si>
    <t>4-2-9-9w2</t>
  </si>
  <si>
    <t>38 or</t>
  </si>
  <si>
    <t>12-27-29-25w3</t>
  </si>
  <si>
    <t>Osum</t>
  </si>
  <si>
    <t>PD 193</t>
  </si>
  <si>
    <t>Pimmee 5</t>
  </si>
  <si>
    <t>D9-16</t>
  </si>
  <si>
    <t>2-29-58-14W4</t>
  </si>
  <si>
    <t>Carson S</t>
  </si>
  <si>
    <t>AL</t>
  </si>
  <si>
    <t>laydown</t>
  </si>
  <si>
    <t>102/04-13-032-23w3</t>
  </si>
  <si>
    <t>9-28-29-26W3</t>
  </si>
  <si>
    <t>Moving rig 22nd or 23rd WCB to confirm</t>
  </si>
  <si>
    <t>June 24 WCB</t>
  </si>
  <si>
    <t>14-14-064-3W4</t>
  </si>
  <si>
    <t>Darcy Demsmore: 587-575-3346</t>
  </si>
  <si>
    <t>116/09-19-077-05w4</t>
  </si>
  <si>
    <r>
      <t xml:space="preserve">MT </t>
    </r>
    <r>
      <rPr>
        <b/>
        <sz val="18"/>
        <color theme="9"/>
        <rFont val="Calibri"/>
        <family val="2"/>
        <scheme val="minor"/>
      </rPr>
      <t>Thermal 40 PD #199 Surface June 20th AK</t>
    </r>
    <r>
      <rPr>
        <b/>
        <sz val="18"/>
        <color rgb="FFFF0000"/>
        <rFont val="Calibri"/>
        <family val="2"/>
        <scheme val="minor"/>
      </rPr>
      <t xml:space="preserve"> </t>
    </r>
  </si>
  <si>
    <r>
      <rPr>
        <b/>
        <sz val="16"/>
        <color rgb="FFFF0000"/>
        <rFont val="Calibri"/>
        <family val="2"/>
        <scheme val="minor"/>
      </rPr>
      <t>MT</t>
    </r>
    <r>
      <rPr>
        <b/>
        <sz val="16"/>
        <color theme="1"/>
        <rFont val="Calibri"/>
        <family val="2"/>
        <scheme val="minor"/>
      </rPr>
      <t xml:space="preserve"> </t>
    </r>
    <r>
      <rPr>
        <b/>
        <sz val="16"/>
        <color rgb="FF00B050"/>
        <rFont val="Calibri"/>
        <family val="2"/>
        <scheme val="minor"/>
      </rPr>
      <t>Pro Pro  PD #147 Intermediate  June 20 AK</t>
    </r>
  </si>
  <si>
    <r>
      <rPr>
        <b/>
        <sz val="18"/>
        <color rgb="FFFF0000"/>
        <rFont val="Calibri"/>
        <family val="2"/>
        <scheme val="minor"/>
      </rPr>
      <t>MT</t>
    </r>
    <r>
      <rPr>
        <b/>
        <sz val="18"/>
        <color theme="1"/>
        <rFont val="Calibri"/>
        <family val="2"/>
        <scheme val="minor"/>
      </rPr>
      <t xml:space="preserve"> </t>
    </r>
    <r>
      <rPr>
        <b/>
        <sz val="18"/>
        <color rgb="FF7030A0"/>
        <rFont val="Calibri"/>
        <family val="2"/>
        <scheme val="minor"/>
      </rPr>
      <t>Pro Pro  PD #192 intermediate June 20 AK</t>
    </r>
  </si>
  <si>
    <t>July</t>
  </si>
  <si>
    <t>Moving in July sometime</t>
  </si>
  <si>
    <t>Results GTG</t>
  </si>
  <si>
    <t>June ??</t>
  </si>
  <si>
    <t>Balanced plug cancelled</t>
  </si>
  <si>
    <r>
      <rPr>
        <b/>
        <sz val="18"/>
        <color rgb="FFFF0000"/>
        <rFont val="Calibri"/>
        <family val="2"/>
        <scheme val="minor"/>
      </rPr>
      <t xml:space="preserve">MT </t>
    </r>
    <r>
      <rPr>
        <b/>
        <sz val="18"/>
        <color rgb="FF00B050"/>
        <rFont val="Calibri"/>
        <family val="2"/>
        <scheme val="minor"/>
      </rPr>
      <t>Pro Pro  PD #147 intermediate June 20 AK</t>
    </r>
  </si>
  <si>
    <r>
      <rPr>
        <b/>
        <sz val="14"/>
        <color rgb="FFFF0000"/>
        <rFont val="Calibri"/>
        <family val="2"/>
        <scheme val="minor"/>
      </rPr>
      <t>33.25t</t>
    </r>
    <r>
      <rPr>
        <b/>
        <sz val="14"/>
        <color rgb="FF00B050"/>
        <rFont val="Calibri"/>
        <family val="2"/>
        <scheme val="minor"/>
      </rPr>
      <t xml:space="preserve"> Pro Pro  PD #147 Intermediate  June 13th AL</t>
    </r>
  </si>
  <si>
    <t>13-16-10-7w2</t>
  </si>
  <si>
    <t>3-21-6-32W1</t>
  </si>
  <si>
    <t>Pad AF</t>
  </si>
  <si>
    <t>Surface 077-05W4 -&gt; has LCC-9</t>
  </si>
  <si>
    <t>Proteus CORE</t>
  </si>
  <si>
    <r>
      <rPr>
        <b/>
        <sz val="18"/>
        <color rgb="FFFF0000"/>
        <rFont val="Calibri"/>
        <family val="2"/>
        <scheme val="minor"/>
      </rPr>
      <t xml:space="preserve">mt </t>
    </r>
    <r>
      <rPr>
        <b/>
        <sz val="18"/>
        <color rgb="FF0070C0"/>
        <rFont val="Calibri"/>
        <family val="2"/>
        <scheme val="minor"/>
      </rPr>
      <t>Thermal 40 EXP PD #147 &amp; #192 surface June 20th AL</t>
    </r>
  </si>
  <si>
    <t>4-14-46-12w4</t>
  </si>
  <si>
    <t>Travis: 403-396-4943</t>
  </si>
  <si>
    <t>35t Surface        June 21st AL</t>
  </si>
  <si>
    <t xml:space="preserve">   28t June 21st - AL</t>
  </si>
  <si>
    <t>Pimee 3</t>
  </si>
  <si>
    <r>
      <rPr>
        <b/>
        <sz val="18"/>
        <color rgb="FFFF0000"/>
        <rFont val="Calibri"/>
        <family val="2"/>
        <scheme val="minor"/>
      </rPr>
      <t xml:space="preserve">.5 t </t>
    </r>
    <r>
      <rPr>
        <b/>
        <sz val="18"/>
        <color rgb="FF0070C0"/>
        <rFont val="Calibri"/>
        <family val="2"/>
        <scheme val="minor"/>
      </rPr>
      <t>Thermal 40 EXP PD #147 &amp; #192 surface June 21 AK</t>
    </r>
  </si>
  <si>
    <t>4-12-14-20w3</t>
  </si>
  <si>
    <t>Confirm program for intermediate</t>
  </si>
  <si>
    <t>Moving June 23rd</t>
  </si>
  <si>
    <t>13-24-9-7w2</t>
  </si>
  <si>
    <t>Derek Rad</t>
  </si>
  <si>
    <t>Weil</t>
  </si>
  <si>
    <t>LJ WS 2</t>
  </si>
  <si>
    <t>Derek Briggs: 403-793-5496</t>
  </si>
  <si>
    <t>12-10-5-8W3</t>
  </si>
  <si>
    <t>June 22 03:00</t>
  </si>
  <si>
    <t>Mid July</t>
  </si>
  <si>
    <t>57t on location</t>
  </si>
  <si>
    <t>Cement Preblended - Bulker needs to be loaded</t>
  </si>
  <si>
    <t>3-27-9-19w3</t>
  </si>
  <si>
    <t xml:space="preserve">21.5t Lead | 10t tail confirmed </t>
  </si>
  <si>
    <t>June 22 09:00</t>
  </si>
  <si>
    <t>21 o r</t>
  </si>
  <si>
    <t xml:space="preserve"> Weigh </t>
  </si>
  <si>
    <t>June 23 08:00</t>
  </si>
  <si>
    <t>26T on location in ptank</t>
  </si>
  <si>
    <t>19 o r</t>
  </si>
  <si>
    <t>mt Thermal 40 EXP PD #147 &amp; #192 surface June 21st al</t>
  </si>
  <si>
    <t>15 t Thermal 40 EXP PD #147 &amp; #192 surface June 21st al</t>
  </si>
  <si>
    <r>
      <t>20t</t>
    </r>
    <r>
      <rPr>
        <b/>
        <sz val="20"/>
        <color rgb="FFC00000"/>
        <rFont val="Calibri"/>
        <family val="2"/>
        <scheme val="minor"/>
      </rPr>
      <t xml:space="preserve"> </t>
    </r>
    <r>
      <rPr>
        <b/>
        <sz val="20"/>
        <color theme="1"/>
        <rFont val="Calibri"/>
        <family val="2"/>
        <scheme val="minor"/>
      </rPr>
      <t>June 22nd AL</t>
    </r>
  </si>
  <si>
    <t xml:space="preserve">29t prod blend June 22 al    </t>
  </si>
  <si>
    <t>June 22</t>
  </si>
  <si>
    <t>19t June 22nd al</t>
  </si>
  <si>
    <t>21t for surface #3 haul onto Akita 25 B-train</t>
  </si>
  <si>
    <t xml:space="preserve">June 22 PM </t>
  </si>
  <si>
    <t>Waiting on Weather</t>
  </si>
  <si>
    <t>Swedge and stabbing valve left on location</t>
  </si>
  <si>
    <t>Racked - Not sure if coming back</t>
  </si>
  <si>
    <t xml:space="preserve">Jason Morissette  </t>
  </si>
  <si>
    <r>
      <t>16.5t</t>
    </r>
    <r>
      <rPr>
        <b/>
        <sz val="20"/>
        <color rgb="FFC00000"/>
        <rFont val="Calibri"/>
        <family val="2"/>
        <scheme val="minor"/>
      </rPr>
      <t xml:space="preserve"> </t>
    </r>
    <r>
      <rPr>
        <b/>
        <sz val="20"/>
        <color theme="1"/>
        <rFont val="Calibri"/>
        <family val="2"/>
        <scheme val="minor"/>
      </rPr>
      <t>June 22nd WD</t>
    </r>
  </si>
  <si>
    <t xml:space="preserve">June 22 </t>
  </si>
  <si>
    <t>June 23 14:00</t>
  </si>
  <si>
    <t>9t Surface Confirmed | OSR WCB if rig move cancelled in the AM</t>
  </si>
  <si>
    <t>Haul 8t Production to P-Tank with Surface</t>
  </si>
  <si>
    <t>Call tonight to get cement order for Spheres Haul</t>
  </si>
  <si>
    <t xml:space="preserve">Hanging Liners  </t>
  </si>
  <si>
    <t>P-Tanks being emptied</t>
  </si>
  <si>
    <t>Need to send 10 incident facts once we get ticket # and NPT</t>
  </si>
  <si>
    <t>10t Confirmed</t>
  </si>
  <si>
    <t>June 22 21:30</t>
  </si>
  <si>
    <t>Manitoba time</t>
  </si>
  <si>
    <t>10t tail being hauled to p-tank</t>
  </si>
  <si>
    <t>Equipment left on location for now. May be able to get it tonight</t>
  </si>
  <si>
    <t>OSR will touch base this evening</t>
  </si>
  <si>
    <t>4t confirmed</t>
  </si>
  <si>
    <t>3-36-4-20w3</t>
  </si>
  <si>
    <t>16t confirmed</t>
  </si>
  <si>
    <t>June 22 17:30</t>
  </si>
  <si>
    <t>Equipment on location still - Chris S and Ross G resetting in Smoky Lake</t>
  </si>
  <si>
    <t>100t Confirmed</t>
  </si>
  <si>
    <t>80t Hauls in Progress - Need 40t Hauled</t>
  </si>
  <si>
    <t>P-Tanks need to be emptied after the job so rig can move them</t>
  </si>
  <si>
    <t>June 22 21:00</t>
  </si>
  <si>
    <t>June 23 10:00</t>
  </si>
  <si>
    <r>
      <t xml:space="preserve">35t in P-tank | </t>
    </r>
    <r>
      <rPr>
        <sz val="20"/>
        <color rgb="FFFFFF00"/>
        <rFont val="Segoe UI Light"/>
        <family val="2"/>
      </rPr>
      <t>19t being sent with job</t>
    </r>
  </si>
  <si>
    <r>
      <rPr>
        <sz val="20"/>
        <color rgb="FFFFFF00"/>
        <rFont val="Segoe UI Light"/>
        <family val="2"/>
      </rPr>
      <t>Use 96 if possible for access issues</t>
    </r>
    <r>
      <rPr>
        <sz val="20"/>
        <color theme="0"/>
        <rFont val="Segoe UI Light"/>
        <family val="2"/>
      </rPr>
      <t xml:space="preserve"> | 54t Confirmed</t>
    </r>
  </si>
  <si>
    <t>June 23 23:00</t>
  </si>
  <si>
    <t>June 23 03:00</t>
  </si>
  <si>
    <t>Ventura</t>
  </si>
  <si>
    <t>13-17-2-1w2</t>
  </si>
  <si>
    <t>Lasso 1</t>
  </si>
  <si>
    <t>June 23 AM WCB</t>
  </si>
  <si>
    <t>WCB with order and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</si>
</sst>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mmmm\ d\,\ yyyy;@"/>
    <numFmt numFmtId="165" formatCode="0.000"/>
    <numFmt numFmtId="166" formatCode="mm/dd/yy;@"/>
    <numFmt numFmtId="167" formatCode="0.00_);[Red]\(0.00\)"/>
    <numFmt numFmtId="168" formatCode="h:mm;@"/>
  </numFmts>
  <fonts count="119" x14ac:knownFonts="1">
    <font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 tint="-0.249977111117893"/>
      <name val="Segoe UI Light"/>
      <family val="2"/>
    </font>
    <font>
      <sz val="11"/>
      <color theme="0" tint="-0.249977111117893"/>
      <name val="Segoe UI Light"/>
      <family val="2"/>
    </font>
    <font>
      <sz val="11"/>
      <color theme="1"/>
      <name val="Segoe UI Light"/>
      <family val="2"/>
    </font>
    <font>
      <sz val="20"/>
      <color theme="0"/>
      <name val="Segoe UI Light"/>
      <family val="2"/>
    </font>
    <font>
      <sz val="11"/>
      <color theme="0"/>
      <name val="Segoe UI Light"/>
      <family val="2"/>
    </font>
    <font>
      <sz val="20"/>
      <color theme="0" tint="-0.499984740745262"/>
      <name val="Segoe UI Light"/>
      <family val="2"/>
    </font>
    <font>
      <sz val="18"/>
      <color theme="0"/>
      <name val="Segoe UI Light"/>
      <family val="2"/>
    </font>
    <font>
      <b/>
      <sz val="11"/>
      <color theme="0"/>
      <name val="Segoe UI Light"/>
      <family val="2"/>
    </font>
    <font>
      <sz val="18"/>
      <color theme="1"/>
      <name val="Segoe UI Light"/>
      <family val="2"/>
    </font>
    <font>
      <b/>
      <sz val="11"/>
      <color theme="1"/>
      <name val="Segoe UI Light"/>
      <family val="2"/>
    </font>
    <font>
      <sz val="14"/>
      <color theme="0"/>
      <name val="Segoe UI Light"/>
      <family val="2"/>
    </font>
    <font>
      <sz val="20"/>
      <color theme="1"/>
      <name val="Segoe UI Light"/>
      <family val="2"/>
    </font>
    <font>
      <sz val="20"/>
      <color rgb="FFFFFF00"/>
      <name val="Segoe UI Light"/>
      <family val="2"/>
    </font>
    <font>
      <b/>
      <sz val="20"/>
      <color theme="0"/>
      <name val="Segoe UI Light"/>
      <family val="2"/>
    </font>
    <font>
      <b/>
      <sz val="12"/>
      <color indexed="81"/>
      <name val="Tahoma"/>
      <family val="2"/>
    </font>
    <font>
      <sz val="22"/>
      <color theme="0"/>
      <name val="Segoe UI Light"/>
      <family val="2"/>
    </font>
    <font>
      <b/>
      <sz val="22"/>
      <color theme="0"/>
      <name val="Segoe UI Light"/>
      <family val="2"/>
    </font>
    <font>
      <sz val="22"/>
      <color theme="1"/>
      <name val="Segoe UI Light"/>
      <family val="2"/>
    </font>
    <font>
      <sz val="20"/>
      <color theme="0" tint="-0.249977111117893"/>
      <name val="Segoe UI Light"/>
      <family val="2"/>
    </font>
    <font>
      <b/>
      <sz val="20"/>
      <color theme="1"/>
      <name val="Segoe UI Light"/>
      <family val="2"/>
    </font>
    <font>
      <b/>
      <sz val="18"/>
      <color theme="1"/>
      <name val="Segoe UI Light"/>
      <family val="2"/>
    </font>
    <font>
      <sz val="20"/>
      <color rgb="FFFF66FF"/>
      <name val="Segoe UI Light"/>
      <family val="2"/>
    </font>
    <font>
      <sz val="20"/>
      <color theme="5" tint="-0.499984740745262"/>
      <name val="Segoe UI Light"/>
      <family val="2"/>
    </font>
    <font>
      <b/>
      <sz val="22"/>
      <color rgb="FFFFFF00"/>
      <name val="Segoe UI Light"/>
      <family val="2"/>
    </font>
    <font>
      <sz val="22"/>
      <color rgb="FFFFFF00"/>
      <name val="Segoe UI Light"/>
      <family val="2"/>
    </font>
    <font>
      <b/>
      <sz val="22"/>
      <color theme="1"/>
      <name val="Segoe UI Light"/>
      <family val="2"/>
    </font>
    <font>
      <b/>
      <sz val="18"/>
      <color theme="0"/>
      <name val="Segoe UI Light"/>
      <family val="2"/>
    </font>
    <font>
      <sz val="18"/>
      <color rgb="FFFF0000"/>
      <name val="Segoe UI Light"/>
      <family val="2"/>
    </font>
    <font>
      <sz val="22"/>
      <color rgb="FF00FF00"/>
      <name val="Segoe UI Light"/>
      <family val="2"/>
    </font>
    <font>
      <sz val="16"/>
      <color theme="0"/>
      <name val="Segoe UI Light"/>
      <family val="2"/>
    </font>
    <font>
      <b/>
      <sz val="26"/>
      <color theme="0"/>
      <name val="Segoe UI Light"/>
      <family val="2"/>
    </font>
    <font>
      <sz val="48"/>
      <color theme="1"/>
      <name val="Segoe UI Light"/>
      <family val="2"/>
    </font>
    <font>
      <b/>
      <sz val="22"/>
      <color rgb="FFFF66FF"/>
      <name val="Segoe UI Light"/>
      <family val="2"/>
    </font>
    <font>
      <sz val="22"/>
      <color rgb="FFFF66FF"/>
      <name val="Segoe UI Light"/>
      <family val="2"/>
    </font>
    <font>
      <b/>
      <sz val="22"/>
      <color rgb="FFFFC000"/>
      <name val="Segoe UI Light"/>
      <family val="2"/>
    </font>
    <font>
      <sz val="22"/>
      <color rgb="FF00CCFF"/>
      <name val="Segoe UI Light"/>
      <family val="2"/>
    </font>
    <font>
      <sz val="18"/>
      <color rgb="FFFF66FF"/>
      <name val="Segoe UI Light"/>
      <family val="2"/>
    </font>
    <font>
      <sz val="20"/>
      <color rgb="FF00FF00"/>
      <name val="Segoe UI Light"/>
      <family val="2"/>
    </font>
    <font>
      <b/>
      <sz val="16"/>
      <color theme="0"/>
      <name val="Segoe UI Light"/>
      <family val="2"/>
    </font>
    <font>
      <b/>
      <sz val="12"/>
      <color theme="0"/>
      <name val="Segoe UI Light"/>
      <family val="2"/>
    </font>
    <font>
      <sz val="22"/>
      <color rgb="FFFF0000"/>
      <name val="Segoe UI Light"/>
      <family val="2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Arial"/>
      <family val="2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8"/>
      <color rgb="FF00B050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8"/>
      <color rgb="FFC0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6"/>
      <color indexed="81"/>
      <name val="Tahoma"/>
      <family val="2"/>
    </font>
    <font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indexed="81"/>
      <name val="Tahoma"/>
      <family val="2"/>
    </font>
    <font>
      <b/>
      <sz val="16"/>
      <color indexed="81"/>
      <name val="Tahoma"/>
      <family val="2"/>
    </font>
    <font>
      <b/>
      <sz val="10"/>
      <color indexed="81"/>
      <name val="Tahoma"/>
      <family val="2"/>
    </font>
    <font>
      <b/>
      <sz val="28"/>
      <color indexed="81"/>
      <name val="Tahoma"/>
      <family val="2"/>
    </font>
    <font>
      <b/>
      <sz val="26"/>
      <color theme="0"/>
      <name val="Calibri"/>
      <family val="2"/>
      <scheme val="minor"/>
    </font>
    <font>
      <b/>
      <sz val="19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8"/>
      <color rgb="FFFFFF00"/>
      <name val="Segoe UI Light"/>
      <family val="2"/>
    </font>
    <font>
      <sz val="36"/>
      <color theme="0" tint="-0.249977111117893"/>
      <name val="Segoe UI Light"/>
      <family val="2"/>
    </font>
    <font>
      <sz val="12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20"/>
      <color rgb="FFC00000"/>
      <name val="Segoe UI Light"/>
      <family val="2"/>
    </font>
    <font>
      <sz val="22"/>
      <color rgb="FFC00000"/>
      <name val="Segoe UI Light"/>
      <family val="2"/>
    </font>
    <font>
      <sz val="18"/>
      <color rgb="FFC00000"/>
      <name val="Segoe UI Light"/>
      <family val="2"/>
    </font>
    <font>
      <sz val="18"/>
      <color rgb="FF00FF00"/>
      <name val="Segoe UI Light"/>
      <family val="2"/>
    </font>
    <font>
      <b/>
      <sz val="18"/>
      <color theme="9"/>
      <name val="Calibri"/>
      <family val="2"/>
      <scheme val="minor"/>
    </font>
    <font>
      <sz val="22"/>
      <color rgb="FF00CC00"/>
      <name val="Segoe UI Light"/>
      <family val="2"/>
    </font>
    <font>
      <sz val="20"/>
      <color rgb="FF00CC00"/>
      <name val="Segoe UI Light"/>
      <family val="2"/>
    </font>
    <font>
      <sz val="20"/>
      <color rgb="FFFFC000"/>
      <name val="Segoe UI Light"/>
      <family val="2"/>
    </font>
    <font>
      <sz val="18"/>
      <color rgb="FF00B0F0"/>
      <name val="Segoe UI Light"/>
      <family val="2"/>
    </font>
    <font>
      <b/>
      <sz val="20"/>
      <name val="Segoe UI Light"/>
      <family val="2"/>
    </font>
    <font>
      <b/>
      <sz val="22"/>
      <name val="Segoe UI Light"/>
      <family val="2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86003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dashDotDot">
        <color auto="1"/>
      </left>
      <right style="dashDotDot">
        <color auto="1"/>
      </right>
      <top/>
      <bottom style="hair">
        <color auto="1"/>
      </bottom>
      <diagonal/>
    </border>
    <border>
      <left/>
      <right style="dashDot">
        <color auto="1"/>
      </right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ashDotDot">
        <color auto="1"/>
      </left>
      <right style="dashDotDot">
        <color auto="1"/>
      </right>
      <top style="hair">
        <color auto="1"/>
      </top>
      <bottom style="thin">
        <color auto="1"/>
      </bottom>
      <diagonal/>
    </border>
    <border>
      <left/>
      <right style="dashDot">
        <color auto="1"/>
      </right>
      <top style="hair">
        <color auto="1"/>
      </top>
      <bottom style="thin">
        <color auto="1"/>
      </bottom>
      <diagonal/>
    </border>
    <border>
      <left style="dashDot">
        <color auto="1"/>
      </left>
      <right style="dashDot">
        <color auto="1"/>
      </right>
      <top style="hair">
        <color auto="1"/>
      </top>
      <bottom style="thin">
        <color auto="1"/>
      </bottom>
      <diagonal/>
    </border>
    <border>
      <left style="dashDot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theme="2"/>
      </bottom>
      <diagonal/>
    </border>
    <border>
      <left/>
      <right style="thin">
        <color indexed="64"/>
      </right>
      <top style="thick">
        <color theme="1" tint="0.24994659260841701"/>
      </top>
      <bottom/>
      <diagonal/>
    </border>
    <border>
      <left style="thin">
        <color indexed="64"/>
      </left>
      <right style="thin">
        <color indexed="64"/>
      </right>
      <top style="thick">
        <color theme="1" tint="0.24994659260841701"/>
      </top>
      <bottom/>
      <diagonal/>
    </border>
    <border>
      <left style="thin">
        <color indexed="64"/>
      </left>
      <right style="thin">
        <color indexed="64"/>
      </right>
      <top style="thick">
        <color theme="1" tint="0.24994659260841701"/>
      </top>
      <bottom style="thin">
        <color indexed="64"/>
      </bottom>
      <diagonal/>
    </border>
    <border>
      <left/>
      <right style="thin">
        <color indexed="64"/>
      </right>
      <top/>
      <bottom style="thick">
        <color theme="1" tint="0.24994659260841701"/>
      </bottom>
      <diagonal/>
    </border>
    <border>
      <left style="thin">
        <color indexed="64"/>
      </left>
      <right style="thin">
        <color indexed="64"/>
      </right>
      <top/>
      <bottom style="thick">
        <color theme="1" tint="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1" tint="0.24994659260841701"/>
      </bottom>
      <diagonal/>
    </border>
    <border>
      <left/>
      <right/>
      <top style="thick">
        <color theme="1" tint="0.24994659260841701"/>
      </top>
      <bottom/>
      <diagonal/>
    </border>
    <border>
      <left style="thin">
        <color theme="1" tint="0.24994659260841701"/>
      </left>
      <right style="thin">
        <color indexed="64"/>
      </right>
      <top style="thick">
        <color theme="1" tint="0.24994659260841701"/>
      </top>
      <bottom/>
      <diagonal/>
    </border>
    <border>
      <left style="thin">
        <color theme="1" tint="0.24994659260841701"/>
      </left>
      <right style="thin">
        <color indexed="64"/>
      </right>
      <top/>
      <bottom style="thick">
        <color theme="1" tint="0.24994659260841701"/>
      </bottom>
      <diagonal/>
    </border>
    <border>
      <left/>
      <right style="thin">
        <color indexed="64"/>
      </right>
      <top style="thick">
        <color theme="1" tint="0.34998626667073579"/>
      </top>
      <bottom/>
      <diagonal/>
    </border>
    <border>
      <left style="thin">
        <color indexed="64"/>
      </left>
      <right style="thin">
        <color indexed="64"/>
      </right>
      <top style="thick">
        <color theme="1" tint="0.34998626667073579"/>
      </top>
      <bottom/>
      <diagonal/>
    </border>
    <border>
      <left style="thin">
        <color indexed="64"/>
      </left>
      <right style="thin">
        <color indexed="64"/>
      </right>
      <top style="thick">
        <color theme="1" tint="0.34998626667073579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1" tint="0.34998626667073579"/>
      </top>
      <bottom style="thin">
        <color indexed="64"/>
      </bottom>
      <diagonal/>
    </border>
    <border>
      <left/>
      <right style="thin">
        <color indexed="64"/>
      </right>
      <top/>
      <bottom style="thick">
        <color theme="1" tint="0.34998626667073579"/>
      </bottom>
      <diagonal/>
    </border>
    <border>
      <left style="thin">
        <color indexed="64"/>
      </left>
      <right style="thin">
        <color indexed="64"/>
      </right>
      <top/>
      <bottom style="thick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1" tint="0.34998626667073579"/>
      </bottom>
      <diagonal/>
    </border>
    <border>
      <left style="thick">
        <color theme="1" tint="0.24994659260841701"/>
      </left>
      <right style="thin">
        <color indexed="64"/>
      </right>
      <top/>
      <bottom/>
      <diagonal/>
    </border>
  </borders>
  <cellStyleXfs count="11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 applyNumberFormat="0" applyFill="0" applyBorder="0" applyAlignment="0" applyProtection="0">
      <alignment vertical="top"/>
      <protection locked="0"/>
    </xf>
    <xf numFmtId="164" fontId="6" fillId="0" borderId="0"/>
    <xf numFmtId="0" fontId="5" fillId="0" borderId="0"/>
    <xf numFmtId="0" fontId="6" fillId="0" borderId="0"/>
    <xf numFmtId="0" fontId="6" fillId="0" borderId="0"/>
    <xf numFmtId="0" fontId="5" fillId="0" borderId="0"/>
    <xf numFmtId="0" fontId="8" fillId="0" borderId="0" applyNumberFormat="0" applyFill="0" applyBorder="0" applyAlignment="0" applyProtection="0"/>
    <xf numFmtId="0" fontId="5" fillId="0" borderId="0"/>
  </cellStyleXfs>
  <cellXfs count="810">
    <xf numFmtId="0" fontId="0" fillId="0" borderId="0" xfId="0"/>
    <xf numFmtId="0" fontId="13" fillId="2" borderId="0" xfId="0" applyFont="1" applyFill="1"/>
    <xf numFmtId="0" fontId="15" fillId="5" borderId="0" xfId="0" applyFont="1" applyFill="1"/>
    <xf numFmtId="49" fontId="19" fillId="5" borderId="12" xfId="0" applyNumberFormat="1" applyFont="1" applyFill="1" applyBorder="1" applyAlignment="1">
      <alignment horizontal="center" vertical="center"/>
    </xf>
    <xf numFmtId="0" fontId="20" fillId="5" borderId="7" xfId="0" applyFont="1" applyFill="1" applyBorder="1" applyAlignment="1">
      <alignment horizontal="center" vertical="center"/>
    </xf>
    <xf numFmtId="0" fontId="13" fillId="5" borderId="0" xfId="0" applyFont="1" applyFill="1"/>
    <xf numFmtId="49" fontId="19" fillId="5" borderId="8" xfId="0" applyNumberFormat="1" applyFont="1" applyFill="1" applyBorder="1" applyAlignment="1">
      <alignment horizontal="center" vertical="center"/>
    </xf>
    <xf numFmtId="0" fontId="20" fillId="5" borderId="5" xfId="0" applyFont="1" applyFill="1" applyBorder="1" applyAlignment="1">
      <alignment horizontal="center" vertical="center"/>
    </xf>
    <xf numFmtId="0" fontId="13" fillId="4" borderId="0" xfId="0" applyFont="1" applyFill="1"/>
    <xf numFmtId="0" fontId="18" fillId="5" borderId="0" xfId="0" applyFont="1" applyFill="1"/>
    <xf numFmtId="0" fontId="10" fillId="5" borderId="14" xfId="0" applyFont="1" applyFill="1" applyBorder="1"/>
    <xf numFmtId="0" fontId="9" fillId="5" borderId="0" xfId="0" applyFont="1" applyFill="1"/>
    <xf numFmtId="0" fontId="9" fillId="5" borderId="14" xfId="0" applyFont="1" applyFill="1" applyBorder="1"/>
    <xf numFmtId="0" fontId="9" fillId="5" borderId="13" xfId="0" applyFont="1" applyFill="1" applyBorder="1"/>
    <xf numFmtId="0" fontId="22" fillId="5" borderId="0" xfId="0" applyFont="1" applyFill="1"/>
    <xf numFmtId="0" fontId="28" fillId="5" borderId="0" xfId="0" applyFont="1" applyFill="1"/>
    <xf numFmtId="0" fontId="31" fillId="5" borderId="7" xfId="0" applyFont="1" applyFill="1" applyBorder="1" applyAlignment="1">
      <alignment horizontal="center" vertical="center"/>
    </xf>
    <xf numFmtId="0" fontId="31" fillId="5" borderId="5" xfId="0" applyFont="1" applyFill="1" applyBorder="1" applyAlignment="1">
      <alignment horizontal="center" vertical="center"/>
    </xf>
    <xf numFmtId="0" fontId="19" fillId="5" borderId="0" xfId="0" applyFont="1" applyFill="1"/>
    <xf numFmtId="0" fontId="28" fillId="5" borderId="14" xfId="0" applyFont="1" applyFill="1" applyBorder="1"/>
    <xf numFmtId="0" fontId="33" fillId="4" borderId="0" xfId="0" applyFont="1" applyFill="1"/>
    <xf numFmtId="0" fontId="24" fillId="5" borderId="0" xfId="0" applyFont="1" applyFill="1"/>
    <xf numFmtId="0" fontId="16" fillId="5" borderId="0" xfId="0" applyFont="1" applyFill="1"/>
    <xf numFmtId="0" fontId="14" fillId="5" borderId="0" xfId="0" applyFont="1" applyFill="1"/>
    <xf numFmtId="0" fontId="26" fillId="5" borderId="0" xfId="0" applyFont="1" applyFill="1"/>
    <xf numFmtId="49" fontId="26" fillId="5" borderId="6" xfId="0" applyNumberFormat="1" applyFont="1" applyFill="1" applyBorder="1" applyAlignment="1">
      <alignment horizontal="center" vertical="center"/>
    </xf>
    <xf numFmtId="0" fontId="27" fillId="5" borderId="15" xfId="6" applyNumberFormat="1" applyFont="1" applyFill="1" applyBorder="1" applyAlignment="1" applyProtection="1">
      <alignment horizontal="center" vertical="center"/>
      <protection locked="0"/>
    </xf>
    <xf numFmtId="0" fontId="27" fillId="5" borderId="16" xfId="0" applyFont="1" applyFill="1" applyBorder="1" applyAlignment="1">
      <alignment horizontal="center" vertical="center"/>
    </xf>
    <xf numFmtId="0" fontId="19" fillId="2" borderId="0" xfId="0" applyFont="1" applyFill="1"/>
    <xf numFmtId="0" fontId="19" fillId="4" borderId="0" xfId="0" applyFont="1" applyFill="1"/>
    <xf numFmtId="0" fontId="37" fillId="5" borderId="0" xfId="0" applyFont="1" applyFill="1"/>
    <xf numFmtId="0" fontId="17" fillId="5" borderId="0" xfId="0" applyFont="1" applyFill="1"/>
    <xf numFmtId="0" fontId="38" fillId="5" borderId="0" xfId="0" applyFont="1" applyFill="1"/>
    <xf numFmtId="0" fontId="17" fillId="5" borderId="0" xfId="0" applyFont="1" applyFill="1" applyAlignment="1">
      <alignment horizontal="center"/>
    </xf>
    <xf numFmtId="0" fontId="19" fillId="5" borderId="14" xfId="0" applyFont="1" applyFill="1" applyBorder="1"/>
    <xf numFmtId="0" fontId="9" fillId="5" borderId="0" xfId="0" applyFont="1" applyFill="1" applyBorder="1"/>
    <xf numFmtId="0" fontId="41" fillId="5" borderId="0" xfId="0" applyFont="1" applyFill="1"/>
    <xf numFmtId="0" fontId="42" fillId="2" borderId="0" xfId="0" applyFont="1" applyFill="1"/>
    <xf numFmtId="0" fontId="26" fillId="7" borderId="0" xfId="0" applyFont="1" applyFill="1"/>
    <xf numFmtId="49" fontId="19" fillId="5" borderId="12" xfId="0" applyNumberFormat="1" applyFont="1" applyFill="1" applyBorder="1" applyAlignment="1">
      <alignment horizontal="center" vertical="center"/>
    </xf>
    <xf numFmtId="49" fontId="19" fillId="5" borderId="8" xfId="0" applyNumberFormat="1" applyFont="1" applyFill="1" applyBorder="1" applyAlignment="1">
      <alignment horizontal="center" vertical="center"/>
    </xf>
    <xf numFmtId="49" fontId="28" fillId="5" borderId="8" xfId="0" applyNumberFormat="1" applyFont="1" applyFill="1" applyBorder="1" applyAlignment="1">
      <alignment horizontal="center" vertical="center"/>
    </xf>
    <xf numFmtId="49" fontId="19" fillId="5" borderId="12" xfId="0" applyNumberFormat="1" applyFont="1" applyFill="1" applyBorder="1" applyAlignment="1">
      <alignment horizontal="center" vertical="center"/>
    </xf>
    <xf numFmtId="49" fontId="19" fillId="5" borderId="8" xfId="0" applyNumberFormat="1" applyFont="1" applyFill="1" applyBorder="1" applyAlignment="1">
      <alignment horizontal="center" vertical="center"/>
    </xf>
    <xf numFmtId="49" fontId="26" fillId="5" borderId="13" xfId="0" applyNumberFormat="1" applyFont="1" applyFill="1" applyBorder="1" applyAlignment="1">
      <alignment horizontal="center" vertical="center"/>
    </xf>
    <xf numFmtId="0" fontId="28" fillId="5" borderId="13" xfId="0" applyFont="1" applyFill="1" applyBorder="1"/>
    <xf numFmtId="0" fontId="44" fillId="5" borderId="0" xfId="0" applyFont="1" applyFill="1"/>
    <xf numFmtId="0" fontId="47" fillId="5" borderId="0" xfId="0" applyFont="1" applyFill="1"/>
    <xf numFmtId="0" fontId="17" fillId="7" borderId="0" xfId="0" applyFont="1" applyFill="1"/>
    <xf numFmtId="0" fontId="14" fillId="7" borderId="0" xfId="0" applyFont="1" applyFill="1"/>
    <xf numFmtId="49" fontId="26" fillId="5" borderId="13" xfId="0" applyNumberFormat="1" applyFont="1" applyFill="1" applyBorder="1" applyAlignment="1">
      <alignment horizontal="center" vertical="center"/>
    </xf>
    <xf numFmtId="0" fontId="14" fillId="5" borderId="18" xfId="0" applyFont="1" applyFill="1" applyBorder="1"/>
    <xf numFmtId="0" fontId="14" fillId="5" borderId="19" xfId="0" applyFont="1" applyFill="1" applyBorder="1"/>
    <xf numFmtId="0" fontId="14" fillId="5" borderId="6" xfId="0" applyFont="1" applyFill="1" applyBorder="1"/>
    <xf numFmtId="0" fontId="19" fillId="5" borderId="12" xfId="0" applyFont="1" applyFill="1" applyBorder="1" applyAlignment="1">
      <alignment horizontal="center" vertical="center"/>
    </xf>
    <xf numFmtId="0" fontId="19" fillId="5" borderId="8" xfId="0" applyFont="1" applyFill="1" applyBorder="1" applyAlignment="1">
      <alignment horizontal="center" vertical="center"/>
    </xf>
    <xf numFmtId="0" fontId="26" fillId="5" borderId="13" xfId="0" applyFont="1" applyFill="1" applyBorder="1" applyAlignment="1">
      <alignment horizontal="center" vertical="center"/>
    </xf>
    <xf numFmtId="0" fontId="14" fillId="5" borderId="13" xfId="0" applyFont="1" applyFill="1" applyBorder="1" applyAlignment="1"/>
    <xf numFmtId="0" fontId="0" fillId="5" borderId="18" xfId="0" applyFill="1" applyBorder="1" applyAlignment="1"/>
    <xf numFmtId="0" fontId="15" fillId="7" borderId="0" xfId="0" applyFont="1" applyFill="1"/>
    <xf numFmtId="49" fontId="35" fillId="5" borderId="17" xfId="0" applyNumberFormat="1" applyFont="1" applyFill="1" applyBorder="1" applyAlignment="1">
      <alignment horizontal="center" vertical="center"/>
    </xf>
    <xf numFmtId="49" fontId="26" fillId="5" borderId="19" xfId="0" applyNumberFormat="1" applyFont="1" applyFill="1" applyBorder="1" applyAlignment="1">
      <alignment horizontal="center" vertical="center"/>
    </xf>
    <xf numFmtId="0" fontId="46" fillId="5" borderId="0" xfId="0" applyFont="1" applyFill="1"/>
    <xf numFmtId="0" fontId="14" fillId="5" borderId="19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4" fillId="5" borderId="16" xfId="0" applyFont="1" applyFill="1" applyBorder="1" applyAlignment="1">
      <alignment horizontal="center" vertical="center"/>
    </xf>
    <xf numFmtId="49" fontId="26" fillId="5" borderId="13" xfId="0" applyNumberFormat="1" applyFont="1" applyFill="1" applyBorder="1" applyAlignment="1">
      <alignment horizontal="center" vertical="center"/>
    </xf>
    <xf numFmtId="49" fontId="26" fillId="5" borderId="20" xfId="0" applyNumberFormat="1" applyFont="1" applyFill="1" applyBorder="1" applyAlignment="1">
      <alignment horizontal="center" vertical="center"/>
    </xf>
    <xf numFmtId="49" fontId="26" fillId="5" borderId="18" xfId="0" applyNumberFormat="1" applyFont="1" applyFill="1" applyBorder="1" applyAlignment="1">
      <alignment horizontal="center" vertical="center"/>
    </xf>
    <xf numFmtId="0" fontId="24" fillId="5" borderId="6" xfId="0" applyFont="1" applyFill="1" applyBorder="1" applyAlignment="1">
      <alignment horizontal="center" vertical="center"/>
    </xf>
    <xf numFmtId="0" fontId="24" fillId="5" borderId="19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0" fontId="17" fillId="5" borderId="19" xfId="0" applyFont="1" applyFill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55" fillId="0" borderId="0" xfId="0" applyNumberFormat="1" applyFont="1" applyFill="1" applyBorder="1" applyAlignment="1">
      <alignment horizontal="center" vertical="center"/>
    </xf>
    <xf numFmtId="0" fontId="56" fillId="0" borderId="14" xfId="0" applyFont="1" applyBorder="1" applyAlignment="1">
      <alignment horizontal="center" vertical="center"/>
    </xf>
    <xf numFmtId="0" fontId="56" fillId="0" borderId="29" xfId="0" applyFont="1" applyBorder="1" applyAlignment="1">
      <alignment horizontal="center" vertical="center"/>
    </xf>
    <xf numFmtId="0" fontId="57" fillId="0" borderId="0" xfId="0" applyNumberFormat="1" applyFont="1" applyFill="1" applyBorder="1" applyAlignment="1">
      <alignment horizontal="center" vertical="center"/>
    </xf>
    <xf numFmtId="0" fontId="56" fillId="8" borderId="14" xfId="0" applyFont="1" applyFill="1" applyBorder="1" applyAlignment="1">
      <alignment horizontal="center" vertical="center"/>
    </xf>
    <xf numFmtId="0" fontId="56" fillId="8" borderId="29" xfId="0" applyFont="1" applyFill="1" applyBorder="1" applyAlignment="1">
      <alignment horizontal="center" vertical="center"/>
    </xf>
    <xf numFmtId="0" fontId="58" fillId="9" borderId="14" xfId="0" applyFont="1" applyFill="1" applyBorder="1" applyAlignment="1">
      <alignment horizontal="center" vertical="center"/>
    </xf>
    <xf numFmtId="0" fontId="56" fillId="9" borderId="14" xfId="0" applyFont="1" applyFill="1" applyBorder="1" applyAlignment="1">
      <alignment horizontal="center" vertical="center"/>
    </xf>
    <xf numFmtId="0" fontId="57" fillId="9" borderId="14" xfId="1" applyFont="1" applyFill="1" applyBorder="1" applyAlignment="1">
      <alignment horizontal="center" vertical="center"/>
    </xf>
    <xf numFmtId="16" fontId="56" fillId="9" borderId="14" xfId="0" applyNumberFormat="1" applyFont="1" applyFill="1" applyBorder="1" applyAlignment="1">
      <alignment horizontal="center" vertical="center"/>
    </xf>
    <xf numFmtId="0" fontId="56" fillId="9" borderId="29" xfId="0" applyFont="1" applyFill="1" applyBorder="1" applyAlignment="1">
      <alignment horizontal="center" vertical="center"/>
    </xf>
    <xf numFmtId="0" fontId="62" fillId="9" borderId="14" xfId="0" applyFont="1" applyFill="1" applyBorder="1" applyAlignment="1">
      <alignment horizontal="center" vertical="center"/>
    </xf>
    <xf numFmtId="0" fontId="62" fillId="8" borderId="14" xfId="0" applyFont="1" applyFill="1" applyBorder="1" applyAlignment="1">
      <alignment horizontal="center" vertical="center"/>
    </xf>
    <xf numFmtId="0" fontId="57" fillId="8" borderId="14" xfId="1" applyFont="1" applyFill="1" applyBorder="1" applyAlignment="1">
      <alignment horizontal="center" vertical="center"/>
    </xf>
    <xf numFmtId="16" fontId="56" fillId="8" borderId="14" xfId="0" applyNumberFormat="1" applyFont="1" applyFill="1" applyBorder="1" applyAlignment="1">
      <alignment horizontal="center" vertical="center"/>
    </xf>
    <xf numFmtId="0" fontId="63" fillId="0" borderId="0" xfId="0" applyNumberFormat="1" applyFont="1" applyFill="1" applyBorder="1" applyAlignment="1">
      <alignment horizontal="center" vertical="center"/>
    </xf>
    <xf numFmtId="0" fontId="56" fillId="9" borderId="29" xfId="0" applyFont="1" applyFill="1" applyBorder="1" applyAlignment="1">
      <alignment horizontal="center" vertical="center" wrapText="1"/>
    </xf>
    <xf numFmtId="0" fontId="63" fillId="0" borderId="14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64" fillId="0" borderId="0" xfId="0" applyFont="1" applyBorder="1" applyAlignment="1">
      <alignment vertical="center"/>
    </xf>
    <xf numFmtId="0" fontId="62" fillId="9" borderId="16" xfId="0" applyFont="1" applyFill="1" applyBorder="1" applyAlignment="1">
      <alignment horizontal="center" vertical="center"/>
    </xf>
    <xf numFmtId="0" fontId="56" fillId="9" borderId="16" xfId="0" applyFont="1" applyFill="1" applyBorder="1" applyAlignment="1">
      <alignment horizontal="center" vertical="center"/>
    </xf>
    <xf numFmtId="16" fontId="56" fillId="9" borderId="16" xfId="0" applyNumberFormat="1" applyFont="1" applyFill="1" applyBorder="1" applyAlignment="1">
      <alignment horizontal="center" vertical="center"/>
    </xf>
    <xf numFmtId="0" fontId="52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52" fillId="8" borderId="0" xfId="0" applyFont="1" applyFill="1" applyBorder="1"/>
    <xf numFmtId="0" fontId="0" fillId="8" borderId="0" xfId="0" applyFill="1" applyBorder="1" applyAlignment="1">
      <alignment horizontal="center"/>
    </xf>
    <xf numFmtId="0" fontId="0" fillId="8" borderId="0" xfId="0" applyFill="1" applyBorder="1"/>
    <xf numFmtId="0" fontId="0" fillId="8" borderId="0" xfId="0" applyFill="1" applyBorder="1" applyAlignment="1">
      <alignment vertical="center"/>
    </xf>
    <xf numFmtId="16" fontId="0" fillId="8" borderId="0" xfId="0" applyNumberFormat="1" applyFill="1" applyBorder="1" applyAlignment="1">
      <alignment horizontal="center" vertical="center"/>
    </xf>
    <xf numFmtId="0" fontId="65" fillId="10" borderId="31" xfId="0" applyFont="1" applyFill="1" applyBorder="1" applyAlignment="1">
      <alignment horizontal="center" vertical="center"/>
    </xf>
    <xf numFmtId="0" fontId="66" fillId="10" borderId="32" xfId="0" applyFont="1" applyFill="1" applyBorder="1" applyAlignment="1">
      <alignment horizontal="center" vertical="center" wrapText="1"/>
    </xf>
    <xf numFmtId="0" fontId="67" fillId="0" borderId="33" xfId="0" applyFont="1" applyFill="1" applyBorder="1" applyAlignment="1">
      <alignment horizontal="center" vertical="center" wrapText="1"/>
    </xf>
    <xf numFmtId="0" fontId="0" fillId="10" borderId="6" xfId="0" applyFill="1" applyBorder="1" applyAlignment="1">
      <alignment horizontal="center" vertical="center" wrapText="1"/>
    </xf>
    <xf numFmtId="0" fontId="72" fillId="0" borderId="0" xfId="0" applyFont="1" applyFill="1" applyBorder="1" applyAlignment="1">
      <alignment horizontal="center" vertical="center" wrapText="1"/>
    </xf>
    <xf numFmtId="0" fontId="0" fillId="0" borderId="0" xfId="0" applyBorder="1"/>
    <xf numFmtId="0" fontId="2" fillId="0" borderId="11" xfId="0" applyFont="1" applyBorder="1" applyAlignment="1">
      <alignment horizontal="center" vertical="center" wrapText="1"/>
    </xf>
    <xf numFmtId="0" fontId="65" fillId="10" borderId="34" xfId="0" applyFont="1" applyFill="1" applyBorder="1" applyAlignment="1">
      <alignment horizontal="center" vertical="center"/>
    </xf>
    <xf numFmtId="0" fontId="66" fillId="10" borderId="35" xfId="0" applyFont="1" applyFill="1" applyBorder="1" applyAlignment="1">
      <alignment horizontal="center" vertical="center" wrapText="1"/>
    </xf>
    <xf numFmtId="0" fontId="73" fillId="9" borderId="36" xfId="0" applyFont="1" applyFill="1" applyBorder="1" applyAlignment="1">
      <alignment horizontal="center" vertical="center" wrapText="1"/>
    </xf>
    <xf numFmtId="0" fontId="73" fillId="0" borderId="37" xfId="0" applyFont="1" applyFill="1" applyBorder="1" applyAlignment="1">
      <alignment horizontal="center" vertical="center" wrapText="1"/>
    </xf>
    <xf numFmtId="0" fontId="0" fillId="10" borderId="14" xfId="0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52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56" fillId="0" borderId="0" xfId="0" applyFont="1" applyFill="1" applyBorder="1" applyAlignment="1">
      <alignment vertical="center"/>
    </xf>
    <xf numFmtId="0" fontId="56" fillId="0" borderId="0" xfId="0" applyFont="1" applyFill="1" applyBorder="1" applyAlignment="1">
      <alignment horizontal="left" vertical="center"/>
    </xf>
    <xf numFmtId="0" fontId="52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left" vertical="center"/>
    </xf>
    <xf numFmtId="0" fontId="56" fillId="0" borderId="0" xfId="0" applyNumberFormat="1" applyFont="1" applyFill="1" applyBorder="1" applyAlignment="1">
      <alignment vertical="center"/>
    </xf>
    <xf numFmtId="0" fontId="60" fillId="0" borderId="0" xfId="0" applyFont="1" applyFill="1" applyBorder="1" applyAlignment="1">
      <alignment horizontal="left" vertical="center"/>
    </xf>
    <xf numFmtId="0" fontId="57" fillId="0" borderId="0" xfId="0" applyFont="1" applyFill="1" applyBorder="1" applyAlignment="1">
      <alignment vertical="center"/>
    </xf>
    <xf numFmtId="0" fontId="57" fillId="0" borderId="0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15" fontId="0" fillId="0" borderId="0" xfId="0" applyNumberFormat="1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57" fillId="0" borderId="0" xfId="0" applyNumberFormat="1" applyFont="1" applyFill="1" applyBorder="1" applyAlignment="1">
      <alignment vertical="center"/>
    </xf>
    <xf numFmtId="0" fontId="59" fillId="0" borderId="0" xfId="0" applyFont="1" applyFill="1" applyBorder="1" applyAlignment="1">
      <alignment horizontal="left" vertical="center"/>
    </xf>
    <xf numFmtId="15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6" fillId="0" borderId="0" xfId="0" applyNumberFormat="1" applyFont="1" applyFill="1" applyBorder="1" applyAlignment="1">
      <alignment horizontal="left" vertical="center"/>
    </xf>
    <xf numFmtId="0" fontId="52" fillId="0" borderId="0" xfId="0" applyFont="1" applyAlignment="1">
      <alignment horizontal="left" vertical="center"/>
    </xf>
    <xf numFmtId="15" fontId="0" fillId="0" borderId="0" xfId="0" applyNumberFormat="1" applyFont="1" applyAlignment="1">
      <alignment horizontal="left" vertical="center"/>
    </xf>
    <xf numFmtId="10" fontId="0" fillId="0" borderId="0" xfId="0" applyNumberFormat="1" applyFill="1" applyBorder="1"/>
    <xf numFmtId="165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/>
    <xf numFmtId="0" fontId="5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5" fillId="0" borderId="0" xfId="0" applyNumberFormat="1" applyFont="1" applyFill="1" applyBorder="1"/>
    <xf numFmtId="0" fontId="1" fillId="0" borderId="0" xfId="0" applyFont="1" applyAlignment="1">
      <alignment horizontal="center" vertical="center"/>
    </xf>
    <xf numFmtId="0" fontId="87" fillId="0" borderId="45" xfId="0" applyFont="1" applyBorder="1" applyAlignment="1">
      <alignment horizontal="center" vertical="center" wrapText="1"/>
    </xf>
    <xf numFmtId="0" fontId="0" fillId="0" borderId="45" xfId="0" applyBorder="1" applyAlignment="1">
      <alignment wrapText="1"/>
    </xf>
    <xf numFmtId="0" fontId="2" fillId="0" borderId="45" xfId="0" applyFont="1" applyBorder="1" applyAlignment="1">
      <alignment horizontal="center" vertical="center" wrapText="1"/>
    </xf>
    <xf numFmtId="0" fontId="65" fillId="12" borderId="31" xfId="0" applyFont="1" applyFill="1" applyBorder="1" applyAlignment="1">
      <alignment horizontal="center" vertical="center"/>
    </xf>
    <xf numFmtId="0" fontId="66" fillId="13" borderId="45" xfId="0" applyFont="1" applyFill="1" applyBorder="1" applyAlignment="1">
      <alignment horizontal="center" vertical="center" wrapText="1"/>
    </xf>
    <xf numFmtId="0" fontId="65" fillId="14" borderId="45" xfId="0" applyFont="1" applyFill="1" applyBorder="1" applyAlignment="1">
      <alignment horizontal="center" vertical="center" wrapText="1"/>
    </xf>
    <xf numFmtId="0" fontId="65" fillId="13" borderId="45" xfId="0" applyFont="1" applyFill="1" applyBorder="1" applyAlignment="1">
      <alignment horizontal="center" vertical="center" wrapText="1"/>
    </xf>
    <xf numFmtId="0" fontId="0" fillId="12" borderId="30" xfId="0" applyFill="1" applyBorder="1" applyAlignment="1">
      <alignment horizontal="center" vertical="center" wrapText="1"/>
    </xf>
    <xf numFmtId="0" fontId="65" fillId="12" borderId="48" xfId="0" applyFont="1" applyFill="1" applyBorder="1" applyAlignment="1">
      <alignment horizontal="center" vertical="center"/>
    </xf>
    <xf numFmtId="0" fontId="66" fillId="14" borderId="45" xfId="0" applyFont="1" applyFill="1" applyBorder="1" applyAlignment="1">
      <alignment horizontal="center" vertical="center" wrapText="1"/>
    </xf>
    <xf numFmtId="0" fontId="0" fillId="12" borderId="47" xfId="0" applyFill="1" applyBorder="1" applyAlignment="1">
      <alignment horizontal="center" vertical="center" wrapText="1"/>
    </xf>
    <xf numFmtId="0" fontId="94" fillId="16" borderId="51" xfId="0" applyFont="1" applyFill="1" applyBorder="1" applyAlignment="1" applyProtection="1">
      <alignment horizontal="center" vertical="center"/>
    </xf>
    <xf numFmtId="0" fontId="94" fillId="16" borderId="52" xfId="0" applyFont="1" applyFill="1" applyBorder="1" applyAlignment="1" applyProtection="1">
      <alignment horizontal="center" vertical="center"/>
    </xf>
    <xf numFmtId="166" fontId="94" fillId="16" borderId="51" xfId="0" applyNumberFormat="1" applyFont="1" applyFill="1" applyBorder="1" applyAlignment="1" applyProtection="1">
      <alignment horizontal="center" vertical="center"/>
    </xf>
    <xf numFmtId="0" fontId="67" fillId="8" borderId="0" xfId="0" applyFont="1" applyFill="1" applyBorder="1" applyAlignment="1" applyProtection="1">
      <alignment horizontal="center" vertical="center"/>
    </xf>
    <xf numFmtId="167" fontId="97" fillId="8" borderId="0" xfId="0" applyNumberFormat="1" applyFont="1" applyFill="1" applyBorder="1" applyAlignment="1" applyProtection="1">
      <alignment horizontal="center" vertical="center"/>
    </xf>
    <xf numFmtId="0" fontId="95" fillId="8" borderId="53" xfId="0" applyFont="1" applyFill="1" applyBorder="1" applyProtection="1"/>
    <xf numFmtId="0" fontId="95" fillId="8" borderId="56" xfId="0" applyFont="1" applyFill="1" applyBorder="1" applyProtection="1"/>
    <xf numFmtId="0" fontId="95" fillId="8" borderId="54" xfId="0" applyFont="1" applyFill="1" applyBorder="1" applyProtection="1"/>
    <xf numFmtId="0" fontId="95" fillId="8" borderId="55" xfId="0" applyFont="1" applyFill="1" applyBorder="1" applyProtection="1"/>
    <xf numFmtId="166" fontId="95" fillId="8" borderId="45" xfId="0" applyNumberFormat="1" applyFont="1" applyFill="1" applyBorder="1" applyAlignment="1" applyProtection="1">
      <alignment horizontal="center" vertical="center"/>
    </xf>
    <xf numFmtId="0" fontId="95" fillId="8" borderId="45" xfId="0" applyFont="1" applyFill="1" applyBorder="1" applyAlignment="1" applyProtection="1">
      <alignment horizontal="center" vertical="center"/>
    </xf>
    <xf numFmtId="2" fontId="95" fillId="8" borderId="45" xfId="0" applyNumberFormat="1" applyFont="1" applyFill="1" applyBorder="1" applyAlignment="1" applyProtection="1">
      <alignment horizontal="center" vertical="center"/>
    </xf>
    <xf numFmtId="0" fontId="95" fillId="8" borderId="45" xfId="0" applyFont="1" applyFill="1" applyBorder="1" applyAlignment="1">
      <alignment horizontal="center" vertical="center"/>
    </xf>
    <xf numFmtId="166" fontId="60" fillId="0" borderId="6" xfId="0" applyNumberFormat="1" applyFont="1" applyBorder="1" applyProtection="1">
      <protection locked="0"/>
    </xf>
    <xf numFmtId="0" fontId="60" fillId="0" borderId="39" xfId="0" applyFont="1" applyBorder="1" applyAlignment="1" applyProtection="1">
      <alignment horizontal="center"/>
      <protection locked="0"/>
    </xf>
    <xf numFmtId="0" fontId="95" fillId="8" borderId="51" xfId="0" applyFont="1" applyFill="1" applyBorder="1" applyProtection="1"/>
    <xf numFmtId="0" fontId="95" fillId="8" borderId="52" xfId="0" applyFont="1" applyFill="1" applyBorder="1" applyProtection="1"/>
    <xf numFmtId="0" fontId="60" fillId="0" borderId="6" xfId="0" applyFont="1" applyBorder="1" applyProtection="1">
      <protection locked="0"/>
    </xf>
    <xf numFmtId="2" fontId="56" fillId="0" borderId="6" xfId="0" applyNumberFormat="1" applyFont="1" applyBorder="1" applyAlignment="1" applyProtection="1">
      <alignment horizontal="center"/>
      <protection locked="0"/>
    </xf>
    <xf numFmtId="2" fontId="56" fillId="0" borderId="14" xfId="0" applyNumberFormat="1" applyFont="1" applyBorder="1" applyAlignment="1" applyProtection="1">
      <alignment horizontal="center"/>
      <protection locked="0"/>
    </xf>
    <xf numFmtId="0" fontId="56" fillId="0" borderId="6" xfId="0" applyFont="1" applyBorder="1" applyAlignment="1" applyProtection="1">
      <alignment horizontal="center"/>
      <protection locked="0"/>
    </xf>
    <xf numFmtId="166" fontId="60" fillId="0" borderId="14" xfId="0" applyNumberFormat="1" applyFont="1" applyBorder="1" applyProtection="1">
      <protection locked="0"/>
    </xf>
    <xf numFmtId="0" fontId="60" fillId="0" borderId="29" xfId="0" applyFont="1" applyBorder="1" applyAlignment="1" applyProtection="1">
      <alignment horizontal="center"/>
      <protection locked="0"/>
    </xf>
    <xf numFmtId="0" fontId="60" fillId="0" borderId="14" xfId="0" applyFont="1" applyBorder="1" applyProtection="1">
      <protection locked="0"/>
    </xf>
    <xf numFmtId="2" fontId="52" fillId="0" borderId="0" xfId="0" applyNumberFormat="1" applyFont="1" applyAlignment="1">
      <alignment horizontal="center"/>
    </xf>
    <xf numFmtId="0" fontId="56" fillId="0" borderId="14" xfId="0" applyFont="1" applyBorder="1" applyAlignment="1" applyProtection="1">
      <alignment horizontal="center"/>
      <protection locked="0"/>
    </xf>
    <xf numFmtId="2" fontId="95" fillId="8" borderId="55" xfId="0" applyNumberFormat="1" applyFont="1" applyFill="1" applyBorder="1" applyProtection="1"/>
    <xf numFmtId="0" fontId="60" fillId="0" borderId="14" xfId="0" quotePrefix="1" applyFont="1" applyBorder="1" applyAlignment="1" applyProtection="1">
      <alignment horizontal="center"/>
      <protection locked="0"/>
    </xf>
    <xf numFmtId="0" fontId="60" fillId="0" borderId="29" xfId="0" quotePrefix="1" applyFont="1" applyBorder="1" applyAlignment="1" applyProtection="1">
      <alignment horizontal="center"/>
      <protection locked="0"/>
    </xf>
    <xf numFmtId="0" fontId="0" fillId="16" borderId="53" xfId="0" applyFill="1" applyBorder="1" applyProtection="1"/>
    <xf numFmtId="0" fontId="0" fillId="16" borderId="56" xfId="0" applyFill="1" applyBorder="1" applyProtection="1"/>
    <xf numFmtId="166" fontId="60" fillId="0" borderId="14" xfId="0" applyNumberFormat="1" applyFont="1" applyFill="1" applyBorder="1" applyProtection="1">
      <protection locked="0"/>
    </xf>
    <xf numFmtId="0" fontId="60" fillId="0" borderId="14" xfId="0" quotePrefix="1" applyFont="1" applyFill="1" applyBorder="1" applyAlignment="1" applyProtection="1">
      <alignment horizontal="center"/>
      <protection locked="0"/>
    </xf>
    <xf numFmtId="0" fontId="60" fillId="0" borderId="6" xfId="0" applyFont="1" applyFill="1" applyBorder="1" applyAlignment="1" applyProtection="1">
      <alignment horizontal="center"/>
      <protection locked="0"/>
    </xf>
    <xf numFmtId="0" fontId="60" fillId="0" borderId="14" xfId="0" applyFont="1" applyFill="1" applyBorder="1" applyAlignment="1" applyProtection="1">
      <alignment horizontal="center"/>
      <protection locked="0"/>
    </xf>
    <xf numFmtId="0" fontId="60" fillId="0" borderId="29" xfId="0" applyFont="1" applyFill="1" applyBorder="1" applyAlignment="1" applyProtection="1">
      <alignment horizontal="center"/>
      <protection locked="0"/>
    </xf>
    <xf numFmtId="0" fontId="60" fillId="0" borderId="14" xfId="0" applyFont="1" applyBorder="1" applyAlignment="1" applyProtection="1">
      <alignment horizontal="center" vertical="center"/>
      <protection locked="0"/>
    </xf>
    <xf numFmtId="0" fontId="60" fillId="0" borderId="14" xfId="0" applyFont="1" applyBorder="1" applyAlignment="1" applyProtection="1">
      <alignment vertical="center"/>
      <protection locked="0"/>
    </xf>
    <xf numFmtId="0" fontId="2" fillId="0" borderId="0" xfId="0" applyFont="1" applyFill="1" applyAlignment="1">
      <alignment horizontal="center"/>
    </xf>
    <xf numFmtId="0" fontId="99" fillId="0" borderId="0" xfId="0" applyFont="1" applyFill="1" applyAlignment="1">
      <alignment horizontal="center"/>
    </xf>
    <xf numFmtId="0" fontId="0" fillId="0" borderId="0" xfId="0" applyFill="1"/>
    <xf numFmtId="168" fontId="0" fillId="0" borderId="0" xfId="0" applyNumberFormat="1" applyFill="1"/>
    <xf numFmtId="166" fontId="60" fillId="3" borderId="14" xfId="0" applyNumberFormat="1" applyFont="1" applyFill="1" applyBorder="1" applyProtection="1">
      <protection locked="0"/>
    </xf>
    <xf numFmtId="0" fontId="60" fillId="3" borderId="14" xfId="0" applyFont="1" applyFill="1" applyBorder="1" applyAlignment="1" applyProtection="1">
      <alignment horizontal="center"/>
      <protection locked="0"/>
    </xf>
    <xf numFmtId="0" fontId="60" fillId="3" borderId="14" xfId="0" applyFont="1" applyFill="1" applyBorder="1" applyProtection="1">
      <protection locked="0"/>
    </xf>
    <xf numFmtId="2" fontId="56" fillId="3" borderId="14" xfId="0" applyNumberFormat="1" applyFont="1" applyFill="1" applyBorder="1" applyAlignment="1" applyProtection="1">
      <alignment horizontal="center"/>
      <protection locked="0"/>
    </xf>
    <xf numFmtId="20" fontId="0" fillId="0" borderId="0" xfId="0" applyNumberFormat="1" applyFill="1"/>
    <xf numFmtId="166" fontId="60" fillId="9" borderId="14" xfId="0" applyNumberFormat="1" applyFont="1" applyFill="1" applyBorder="1" applyProtection="1">
      <protection locked="0"/>
    </xf>
    <xf numFmtId="0" fontId="60" fillId="9" borderId="6" xfId="0" applyFont="1" applyFill="1" applyBorder="1" applyAlignment="1" applyProtection="1">
      <alignment horizontal="center"/>
      <protection locked="0"/>
    </xf>
    <xf numFmtId="0" fontId="60" fillId="9" borderId="29" xfId="0" applyFont="1" applyFill="1" applyBorder="1" applyAlignment="1" applyProtection="1">
      <alignment horizontal="center"/>
      <protection locked="0"/>
    </xf>
    <xf numFmtId="0" fontId="0" fillId="17" borderId="53" xfId="0" applyFill="1" applyBorder="1" applyProtection="1"/>
    <xf numFmtId="0" fontId="0" fillId="17" borderId="56" xfId="0" applyFill="1" applyBorder="1" applyProtection="1"/>
    <xf numFmtId="2" fontId="60" fillId="9" borderId="14" xfId="0" applyNumberFormat="1" applyFont="1" applyFill="1" applyBorder="1" applyAlignment="1" applyProtection="1">
      <alignment horizontal="center" vertical="center"/>
      <protection locked="0"/>
    </xf>
    <xf numFmtId="0" fontId="60" fillId="9" borderId="14" xfId="0" applyFont="1" applyFill="1" applyBorder="1" applyProtection="1">
      <protection locked="0"/>
    </xf>
    <xf numFmtId="2" fontId="56" fillId="9" borderId="14" xfId="0" applyNumberFormat="1" applyFont="1" applyFill="1" applyBorder="1" applyAlignment="1" applyProtection="1">
      <alignment horizontal="center"/>
      <protection locked="0"/>
    </xf>
    <xf numFmtId="2" fontId="56" fillId="9" borderId="6" xfId="0" applyNumberFormat="1" applyFont="1" applyFill="1" applyBorder="1" applyAlignment="1" applyProtection="1">
      <alignment horizontal="center"/>
      <protection locked="0"/>
    </xf>
    <xf numFmtId="0" fontId="56" fillId="9" borderId="14" xfId="0" applyFont="1" applyFill="1" applyBorder="1" applyAlignment="1" applyProtection="1">
      <alignment horizontal="center"/>
      <protection locked="0"/>
    </xf>
    <xf numFmtId="0" fontId="2" fillId="9" borderId="0" xfId="0" applyFont="1" applyFill="1" applyAlignment="1">
      <alignment horizontal="center"/>
    </xf>
    <xf numFmtId="0" fontId="99" fillId="9" borderId="0" xfId="0" applyFont="1" applyFill="1" applyAlignment="1">
      <alignment horizontal="center"/>
    </xf>
    <xf numFmtId="0" fontId="0" fillId="9" borderId="0" xfId="0" applyFill="1"/>
    <xf numFmtId="166" fontId="0" fillId="0" borderId="14" xfId="0" applyNumberFormat="1" applyBorder="1" applyProtection="1"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14" xfId="0" applyBorder="1" applyProtection="1">
      <protection locked="0"/>
    </xf>
    <xf numFmtId="2" fontId="52" fillId="0" borderId="14" xfId="0" applyNumberFormat="1" applyFont="1" applyBorder="1" applyAlignment="1" applyProtection="1">
      <alignment horizontal="center"/>
      <protection locked="0"/>
    </xf>
    <xf numFmtId="0" fontId="52" fillId="0" borderId="14" xfId="0" applyFont="1" applyBorder="1" applyAlignment="1" applyProtection="1">
      <alignment horizontal="center"/>
      <protection locked="0"/>
    </xf>
    <xf numFmtId="166" fontId="0" fillId="0" borderId="0" xfId="0" applyNumberFormat="1"/>
    <xf numFmtId="0" fontId="52" fillId="0" borderId="0" xfId="0" applyFont="1" applyAlignment="1">
      <alignment horizontal="center"/>
    </xf>
    <xf numFmtId="0" fontId="0" fillId="0" borderId="0" xfId="0" applyProtection="1">
      <protection locked="0"/>
    </xf>
    <xf numFmtId="0" fontId="60" fillId="0" borderId="6" xfId="0" applyFont="1" applyBorder="1" applyAlignment="1" applyProtection="1">
      <alignment horizontal="center" vertical="center"/>
      <protection locked="0"/>
    </xf>
    <xf numFmtId="166" fontId="60" fillId="0" borderId="58" xfId="0" applyNumberFormat="1" applyFont="1" applyBorder="1" applyAlignment="1" applyProtection="1">
      <protection locked="0"/>
    </xf>
    <xf numFmtId="0" fontId="60" fillId="0" borderId="14" xfId="0" applyNumberFormat="1" applyFont="1" applyBorder="1" applyAlignment="1" applyProtection="1">
      <alignment horizontal="center"/>
      <protection locked="0"/>
    </xf>
    <xf numFmtId="166" fontId="60" fillId="0" borderId="30" xfId="0" applyNumberFormat="1" applyFont="1" applyBorder="1" applyAlignment="1" applyProtection="1">
      <alignment horizontal="center"/>
      <protection locked="0"/>
    </xf>
    <xf numFmtId="0" fontId="100" fillId="16" borderId="53" xfId="0" applyFont="1" applyFill="1" applyBorder="1" applyProtection="1"/>
    <xf numFmtId="0" fontId="100" fillId="16" borderId="56" xfId="0" applyFont="1" applyFill="1" applyBorder="1" applyProtection="1"/>
    <xf numFmtId="0" fontId="59" fillId="0" borderId="14" xfId="0" applyFont="1" applyBorder="1" applyAlignment="1" applyProtection="1">
      <alignment horizontal="center"/>
      <protection locked="0"/>
    </xf>
    <xf numFmtId="2" fontId="60" fillId="0" borderId="14" xfId="0" applyNumberFormat="1" applyFont="1" applyBorder="1" applyAlignment="1" applyProtection="1">
      <alignment horizontal="center" vertical="center"/>
      <protection locked="0"/>
    </xf>
    <xf numFmtId="0" fontId="60" fillId="9" borderId="14" xfId="0" applyFont="1" applyFill="1" applyBorder="1" applyAlignment="1" applyProtection="1">
      <alignment horizontal="center" vertical="center"/>
      <protection locked="0"/>
    </xf>
    <xf numFmtId="166" fontId="0" fillId="0" borderId="30" xfId="0" applyNumberFormat="1" applyBorder="1" applyProtection="1">
      <protection locked="0"/>
    </xf>
    <xf numFmtId="166" fontId="60" fillId="0" borderId="30" xfId="0" applyNumberFormat="1" applyFont="1" applyBorder="1" applyProtection="1">
      <protection locked="0"/>
    </xf>
    <xf numFmtId="2" fontId="60" fillId="0" borderId="14" xfId="0" applyNumberFormat="1" applyFont="1" applyBorder="1" applyAlignment="1" applyProtection="1">
      <alignment horizontal="left" vertical="center"/>
      <protection locked="0"/>
    </xf>
    <xf numFmtId="0" fontId="60" fillId="0" borderId="14" xfId="0" applyNumberFormat="1" applyFont="1" applyBorder="1" applyAlignment="1" applyProtection="1">
      <alignment horizontal="center" vertical="center"/>
      <protection locked="0"/>
    </xf>
    <xf numFmtId="166" fontId="60" fillId="0" borderId="30" xfId="0" applyNumberFormat="1" applyFont="1" applyBorder="1" applyAlignment="1" applyProtection="1">
      <alignment horizontal="center" vertical="center"/>
      <protection locked="0"/>
    </xf>
    <xf numFmtId="166" fontId="60" fillId="0" borderId="59" xfId="0" applyNumberFormat="1" applyFont="1" applyBorder="1" applyAlignment="1" applyProtection="1">
      <alignment vertical="center"/>
      <protection locked="0"/>
    </xf>
    <xf numFmtId="166" fontId="60" fillId="0" borderId="15" xfId="0" applyNumberFormat="1" applyFont="1" applyBorder="1" applyProtection="1">
      <protection locked="0"/>
    </xf>
    <xf numFmtId="0" fontId="95" fillId="8" borderId="3" xfId="0" applyFont="1" applyFill="1" applyBorder="1" applyAlignment="1" applyProtection="1">
      <alignment horizontal="center" vertical="center"/>
    </xf>
    <xf numFmtId="166" fontId="94" fillId="16" borderId="40" xfId="0" applyNumberFormat="1" applyFont="1" applyFill="1" applyBorder="1" applyAlignment="1" applyProtection="1">
      <alignment horizontal="center" vertical="center"/>
    </xf>
    <xf numFmtId="0" fontId="95" fillId="8" borderId="0" xfId="0" applyFont="1" applyFill="1" applyBorder="1" applyAlignment="1" applyProtection="1">
      <alignment vertical="center"/>
    </xf>
    <xf numFmtId="167" fontId="96" fillId="16" borderId="43" xfId="0" applyNumberFormat="1" applyFont="1" applyFill="1" applyBorder="1" applyAlignment="1" applyProtection="1">
      <alignment horizontal="center" vertical="center"/>
    </xf>
    <xf numFmtId="1" fontId="95" fillId="8" borderId="55" xfId="0" applyNumberFormat="1" applyFont="1" applyFill="1" applyBorder="1" applyProtection="1"/>
    <xf numFmtId="49" fontId="35" fillId="5" borderId="18" xfId="0" applyNumberFormat="1" applyFont="1" applyFill="1" applyBorder="1" applyAlignment="1">
      <alignment horizontal="center" vertical="center"/>
    </xf>
    <xf numFmtId="49" fontId="35" fillId="5" borderId="16" xfId="0" applyNumberFormat="1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0" fontId="26" fillId="5" borderId="19" xfId="0" applyFont="1" applyFill="1" applyBorder="1" applyAlignment="1">
      <alignment horizontal="center" vertical="center"/>
    </xf>
    <xf numFmtId="0" fontId="26" fillId="5" borderId="17" xfId="0" applyFont="1" applyFill="1" applyBorder="1" applyAlignment="1">
      <alignment horizontal="center" vertical="center"/>
    </xf>
    <xf numFmtId="0" fontId="14" fillId="5" borderId="26" xfId="0" applyFont="1" applyFill="1" applyBorder="1" applyAlignment="1">
      <alignment horizontal="center" vertical="center"/>
    </xf>
    <xf numFmtId="0" fontId="27" fillId="5" borderId="19" xfId="0" applyFont="1" applyFill="1" applyBorder="1" applyAlignment="1">
      <alignment horizontal="center" vertical="center"/>
    </xf>
    <xf numFmtId="0" fontId="27" fillId="5" borderId="17" xfId="0" applyFont="1" applyFill="1" applyBorder="1" applyAlignment="1">
      <alignment horizontal="center" vertical="center"/>
    </xf>
    <xf numFmtId="0" fontId="28" fillId="5" borderId="6" xfId="0" applyFont="1" applyFill="1" applyBorder="1"/>
    <xf numFmtId="0" fontId="28" fillId="5" borderId="19" xfId="0" applyFont="1" applyFill="1" applyBorder="1"/>
    <xf numFmtId="0" fontId="28" fillId="5" borderId="20" xfId="0" applyFont="1" applyFill="1" applyBorder="1"/>
    <xf numFmtId="0" fontId="28" fillId="5" borderId="17" xfId="0" applyFont="1" applyFill="1" applyBorder="1"/>
    <xf numFmtId="0" fontId="28" fillId="5" borderId="18" xfId="0" applyFont="1" applyFill="1" applyBorder="1"/>
    <xf numFmtId="49" fontId="26" fillId="5" borderId="20" xfId="0" applyNumberFormat="1" applyFont="1" applyFill="1" applyBorder="1" applyAlignment="1">
      <alignment horizontal="center" vertical="center"/>
    </xf>
    <xf numFmtId="49" fontId="26" fillId="5" borderId="13" xfId="0" applyNumberFormat="1" applyFont="1" applyFill="1" applyBorder="1" applyAlignment="1">
      <alignment horizontal="center" vertical="center"/>
    </xf>
    <xf numFmtId="0" fontId="26" fillId="5" borderId="23" xfId="0" applyFont="1" applyFill="1" applyBorder="1" applyAlignment="1">
      <alignment horizontal="center" vertical="center"/>
    </xf>
    <xf numFmtId="0" fontId="14" fillId="5" borderId="20" xfId="0" applyFont="1" applyFill="1" applyBorder="1" applyAlignment="1"/>
    <xf numFmtId="49" fontId="26" fillId="5" borderId="20" xfId="0" applyNumberFormat="1" applyFont="1" applyFill="1" applyBorder="1" applyAlignment="1">
      <alignment horizontal="center" vertical="center"/>
    </xf>
    <xf numFmtId="49" fontId="26" fillId="5" borderId="13" xfId="0" applyNumberFormat="1" applyFont="1" applyFill="1" applyBorder="1" applyAlignment="1">
      <alignment horizontal="center" vertical="center"/>
    </xf>
    <xf numFmtId="49" fontId="26" fillId="5" borderId="18" xfId="0" applyNumberFormat="1" applyFont="1" applyFill="1" applyBorder="1" applyAlignment="1">
      <alignment horizontal="center" vertical="center"/>
    </xf>
    <xf numFmtId="0" fontId="14" fillId="5" borderId="20" xfId="0" applyFont="1" applyFill="1" applyBorder="1" applyAlignment="1">
      <alignment horizontal="center" vertical="center" wrapText="1"/>
    </xf>
    <xf numFmtId="0" fontId="14" fillId="5" borderId="18" xfId="0" applyFont="1" applyFill="1" applyBorder="1" applyAlignment="1">
      <alignment horizontal="center" vertical="center" wrapText="1"/>
    </xf>
    <xf numFmtId="0" fontId="14" fillId="5" borderId="20" xfId="0" applyFont="1" applyFill="1" applyBorder="1" applyAlignment="1">
      <alignment horizontal="center" vertical="center"/>
    </xf>
    <xf numFmtId="0" fontId="14" fillId="5" borderId="18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98" fillId="8" borderId="3" xfId="0" applyFont="1" applyFill="1" applyBorder="1" applyAlignment="1" applyProtection="1">
      <alignment horizontal="center" vertical="center"/>
    </xf>
    <xf numFmtId="0" fontId="60" fillId="0" borderId="14" xfId="0" applyFont="1" applyBorder="1" applyAlignment="1" applyProtection="1">
      <alignment horizontal="center"/>
      <protection locked="0"/>
    </xf>
    <xf numFmtId="0" fontId="60" fillId="0" borderId="6" xfId="0" applyFont="1" applyBorder="1" applyAlignment="1" applyProtection="1">
      <alignment horizontal="center"/>
      <protection locked="0"/>
    </xf>
    <xf numFmtId="0" fontId="60" fillId="9" borderId="14" xfId="0" applyFont="1" applyFill="1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49" fontId="27" fillId="5" borderId="13" xfId="0" applyNumberFormat="1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49" fontId="26" fillId="5" borderId="13" xfId="0" applyNumberFormat="1" applyFont="1" applyFill="1" applyBorder="1" applyAlignment="1">
      <alignment horizontal="center" vertical="center"/>
    </xf>
    <xf numFmtId="49" fontId="34" fillId="5" borderId="13" xfId="0" applyNumberFormat="1" applyFont="1" applyFill="1" applyBorder="1" applyAlignment="1">
      <alignment horizontal="center" vertical="center"/>
    </xf>
    <xf numFmtId="0" fontId="17" fillId="5" borderId="17" xfId="0" applyFont="1" applyFill="1" applyBorder="1" applyAlignment="1">
      <alignment horizontal="center" vertical="center"/>
    </xf>
    <xf numFmtId="0" fontId="17" fillId="5" borderId="6" xfId="0" applyFont="1" applyFill="1" applyBorder="1" applyAlignment="1">
      <alignment horizontal="center" vertical="center"/>
    </xf>
    <xf numFmtId="0" fontId="17" fillId="5" borderId="24" xfId="0" applyFont="1" applyFill="1" applyBorder="1" applyAlignment="1">
      <alignment horizontal="center"/>
    </xf>
    <xf numFmtId="49" fontId="34" fillId="5" borderId="13" xfId="0" applyNumberFormat="1" applyFont="1" applyFill="1" applyBorder="1" applyAlignment="1">
      <alignment horizontal="center" vertical="center" wrapText="1"/>
    </xf>
    <xf numFmtId="0" fontId="17" fillId="5" borderId="16" xfId="0" applyFont="1" applyFill="1" applyBorder="1" applyAlignment="1">
      <alignment horizontal="center" vertical="center"/>
    </xf>
    <xf numFmtId="0" fontId="14" fillId="5" borderId="13" xfId="0" applyFont="1" applyFill="1" applyBorder="1"/>
    <xf numFmtId="0" fontId="0" fillId="5" borderId="13" xfId="0" applyFill="1" applyBorder="1" applyAlignment="1"/>
    <xf numFmtId="49" fontId="45" fillId="5" borderId="18" xfId="0" applyNumberFormat="1" applyFont="1" applyFill="1" applyBorder="1" applyAlignment="1">
      <alignment horizontal="center" vertical="center"/>
    </xf>
    <xf numFmtId="0" fontId="24" fillId="5" borderId="16" xfId="0" applyFont="1" applyFill="1" applyBorder="1" applyAlignment="1">
      <alignment horizontal="center" vertical="center"/>
    </xf>
    <xf numFmtId="49" fontId="43" fillId="5" borderId="20" xfId="0" applyNumberFormat="1" applyFont="1" applyFill="1" applyBorder="1" applyAlignment="1">
      <alignment horizontal="center" vertical="center"/>
    </xf>
    <xf numFmtId="49" fontId="28" fillId="5" borderId="13" xfId="0" applyNumberFormat="1" applyFont="1" applyFill="1" applyBorder="1" applyAlignment="1">
      <alignment horizontal="center" vertical="center"/>
    </xf>
    <xf numFmtId="0" fontId="22" fillId="5" borderId="13" xfId="0" applyFont="1" applyFill="1" applyBorder="1" applyAlignment="1">
      <alignment horizontal="center" vertical="center"/>
    </xf>
    <xf numFmtId="0" fontId="30" fillId="5" borderId="6" xfId="0" applyFont="1" applyFill="1" applyBorder="1" applyAlignment="1">
      <alignment horizontal="center" vertical="center"/>
    </xf>
    <xf numFmtId="49" fontId="28" fillId="5" borderId="20" xfId="0" applyNumberFormat="1" applyFont="1" applyFill="1" applyBorder="1" applyAlignment="1">
      <alignment horizontal="center" vertical="center"/>
    </xf>
    <xf numFmtId="49" fontId="28" fillId="5" borderId="18" xfId="0" applyNumberFormat="1" applyFont="1" applyFill="1" applyBorder="1" applyAlignment="1">
      <alignment horizontal="center" vertical="center"/>
    </xf>
    <xf numFmtId="0" fontId="9" fillId="5" borderId="29" xfId="0" applyFont="1" applyFill="1" applyBorder="1"/>
    <xf numFmtId="0" fontId="87" fillId="0" borderId="33" xfId="0" applyFont="1" applyFill="1" applyBorder="1" applyAlignment="1">
      <alignment horizontal="center" vertical="center" wrapText="1"/>
    </xf>
    <xf numFmtId="166" fontId="60" fillId="0" borderId="14" xfId="0" applyNumberFormat="1" applyFont="1" applyBorder="1" applyAlignment="1" applyProtection="1">
      <protection locked="0"/>
    </xf>
    <xf numFmtId="166" fontId="60" fillId="0" borderId="30" xfId="0" applyNumberFormat="1" applyFont="1" applyBorder="1" applyAlignment="1" applyProtection="1">
      <protection locked="0"/>
    </xf>
    <xf numFmtId="166" fontId="60" fillId="0" borderId="64" xfId="0" applyNumberFormat="1" applyFont="1" applyBorder="1" applyProtection="1">
      <protection locked="0"/>
    </xf>
    <xf numFmtId="166" fontId="59" fillId="0" borderId="14" xfId="0" applyNumberFormat="1" applyFont="1" applyBorder="1" applyProtection="1">
      <protection locked="0"/>
    </xf>
    <xf numFmtId="0" fontId="59" fillId="0" borderId="6" xfId="0" applyFont="1" applyBorder="1" applyAlignment="1" applyProtection="1">
      <alignment horizontal="center"/>
      <protection locked="0"/>
    </xf>
    <xf numFmtId="0" fontId="59" fillId="0" borderId="29" xfId="0" applyFont="1" applyBorder="1" applyAlignment="1" applyProtection="1">
      <alignment horizontal="center"/>
      <protection locked="0"/>
    </xf>
    <xf numFmtId="0" fontId="60" fillId="0" borderId="14" xfId="0" quotePrefix="1" applyNumberFormat="1" applyFont="1" applyBorder="1" applyAlignment="1" applyProtection="1">
      <alignment horizontal="center"/>
      <protection locked="0"/>
    </xf>
    <xf numFmtId="0" fontId="0" fillId="9" borderId="14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26" fillId="5" borderId="16" xfId="0" applyFont="1" applyFill="1" applyBorder="1" applyAlignment="1">
      <alignment horizontal="center" vertical="center"/>
    </xf>
    <xf numFmtId="0" fontId="36" fillId="5" borderId="6" xfId="0" applyFont="1" applyFill="1" applyBorder="1" applyAlignment="1">
      <alignment horizontal="center" vertical="center"/>
    </xf>
    <xf numFmtId="0" fontId="14" fillId="5" borderId="20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8" fillId="5" borderId="16" xfId="0" applyFont="1" applyFill="1" applyBorder="1"/>
    <xf numFmtId="0" fontId="40" fillId="5" borderId="16" xfId="0" applyFont="1" applyFill="1" applyBorder="1" applyAlignment="1">
      <alignment horizontal="center" vertical="center"/>
    </xf>
    <xf numFmtId="0" fontId="40" fillId="5" borderId="17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 wrapText="1"/>
    </xf>
    <xf numFmtId="0" fontId="41" fillId="7" borderId="22" xfId="0" applyFont="1" applyFill="1" applyBorder="1" applyAlignment="1">
      <alignment horizontal="center"/>
    </xf>
    <xf numFmtId="0" fontId="41" fillId="7" borderId="16" xfId="0" applyFont="1" applyFill="1" applyBorder="1" applyAlignment="1">
      <alignment horizontal="center"/>
    </xf>
    <xf numFmtId="0" fontId="49" fillId="7" borderId="16" xfId="0" applyFont="1" applyFill="1" applyBorder="1" applyAlignment="1">
      <alignment horizontal="center" vertical="top" wrapText="1"/>
    </xf>
    <xf numFmtId="0" fontId="24" fillId="7" borderId="22" xfId="0" applyFont="1" applyFill="1" applyBorder="1" applyAlignment="1">
      <alignment horizontal="center"/>
    </xf>
    <xf numFmtId="0" fontId="24" fillId="7" borderId="16" xfId="0" applyFont="1" applyFill="1" applyBorder="1" applyAlignment="1">
      <alignment horizontal="center"/>
    </xf>
    <xf numFmtId="0" fontId="37" fillId="7" borderId="16" xfId="0" applyFont="1" applyFill="1" applyBorder="1" applyAlignment="1">
      <alignment horizontal="center" vertical="top" wrapText="1"/>
    </xf>
    <xf numFmtId="0" fontId="27" fillId="7" borderId="16" xfId="0" applyFont="1" applyFill="1" applyBorder="1" applyAlignment="1">
      <alignment horizontal="center"/>
    </xf>
    <xf numFmtId="0" fontId="50" fillId="7" borderId="16" xfId="0" applyFont="1" applyFill="1" applyBorder="1" applyAlignment="1">
      <alignment horizontal="center" vertical="top" wrapText="1"/>
    </xf>
    <xf numFmtId="49" fontId="22" fillId="5" borderId="18" xfId="0" applyNumberFormat="1" applyFont="1" applyFill="1" applyBorder="1" applyAlignment="1">
      <alignment horizontal="center" vertical="center"/>
    </xf>
    <xf numFmtId="49" fontId="22" fillId="5" borderId="19" xfId="0" applyNumberFormat="1" applyFont="1" applyFill="1" applyBorder="1" applyAlignment="1">
      <alignment horizontal="center" vertical="center"/>
    </xf>
    <xf numFmtId="0" fontId="19" fillId="5" borderId="18" xfId="0" applyFont="1" applyFill="1" applyBorder="1" applyAlignment="1">
      <alignment horizontal="center" vertical="center"/>
    </xf>
    <xf numFmtId="0" fontId="30" fillId="5" borderId="18" xfId="0" applyFont="1" applyFill="1" applyBorder="1" applyAlignment="1">
      <alignment horizontal="center" vertical="center"/>
    </xf>
    <xf numFmtId="0" fontId="19" fillId="5" borderId="19" xfId="0" applyFont="1" applyFill="1" applyBorder="1" applyAlignment="1">
      <alignment horizontal="center" vertical="center"/>
    </xf>
    <xf numFmtId="0" fontId="30" fillId="5" borderId="19" xfId="0" applyFont="1" applyFill="1" applyBorder="1" applyAlignment="1">
      <alignment horizontal="center" vertical="center"/>
    </xf>
    <xf numFmtId="0" fontId="52" fillId="9" borderId="14" xfId="0" applyFont="1" applyFill="1" applyBorder="1" applyAlignment="1">
      <alignment horizontal="center" vertical="center"/>
    </xf>
    <xf numFmtId="166" fontId="106" fillId="9" borderId="14" xfId="0" applyNumberFormat="1" applyFont="1" applyFill="1" applyBorder="1" applyProtection="1">
      <protection locked="0"/>
    </xf>
    <xf numFmtId="0" fontId="60" fillId="9" borderId="14" xfId="0" applyFont="1" applyFill="1" applyBorder="1" applyAlignment="1" applyProtection="1">
      <alignment vertical="center"/>
      <protection locked="0"/>
    </xf>
    <xf numFmtId="49" fontId="14" fillId="5" borderId="11" xfId="0" applyNumberFormat="1" applyFont="1" applyFill="1" applyBorder="1" applyAlignment="1">
      <alignment horizontal="center" vertical="center"/>
    </xf>
    <xf numFmtId="166" fontId="60" fillId="0" borderId="14" xfId="0" quotePrefix="1" applyNumberFormat="1" applyFont="1" applyBorder="1" applyProtection="1">
      <protection locked="0"/>
    </xf>
    <xf numFmtId="49" fontId="104" fillId="5" borderId="6" xfId="0" applyNumberFormat="1" applyFont="1" applyFill="1" applyBorder="1" applyAlignment="1">
      <alignment horizontal="center" vertical="center"/>
    </xf>
    <xf numFmtId="0" fontId="22" fillId="5" borderId="13" xfId="0" applyFont="1" applyFill="1" applyBorder="1" applyAlignment="1">
      <alignment horizontal="center" vertical="center"/>
    </xf>
    <xf numFmtId="49" fontId="14" fillId="5" borderId="13" xfId="0" applyNumberFormat="1" applyFont="1" applyFill="1" applyBorder="1" applyAlignment="1">
      <alignment horizontal="center" vertical="center"/>
    </xf>
    <xf numFmtId="0" fontId="26" fillId="5" borderId="23" xfId="0" applyFont="1" applyFill="1" applyBorder="1" applyAlignment="1">
      <alignment horizontal="center" vertical="center"/>
    </xf>
    <xf numFmtId="49" fontId="28" fillId="5" borderId="13" xfId="0" applyNumberFormat="1" applyFont="1" applyFill="1" applyBorder="1" applyAlignment="1">
      <alignment horizontal="center" vertical="center"/>
    </xf>
    <xf numFmtId="49" fontId="28" fillId="5" borderId="20" xfId="0" applyNumberFormat="1" applyFont="1" applyFill="1" applyBorder="1" applyAlignment="1">
      <alignment horizontal="center" vertical="center"/>
    </xf>
    <xf numFmtId="49" fontId="28" fillId="5" borderId="18" xfId="0" applyNumberFormat="1" applyFont="1" applyFill="1" applyBorder="1" applyAlignment="1">
      <alignment horizontal="center" vertical="center"/>
    </xf>
    <xf numFmtId="0" fontId="0" fillId="0" borderId="14" xfId="0" applyBorder="1" applyAlignment="1" applyProtection="1">
      <alignment horizontal="center"/>
      <protection locked="0"/>
    </xf>
    <xf numFmtId="0" fontId="36" fillId="5" borderId="16" xfId="0" applyFont="1" applyFill="1" applyBorder="1" applyAlignment="1">
      <alignment horizontal="center" vertical="center"/>
    </xf>
    <xf numFmtId="49" fontId="19" fillId="5" borderId="13" xfId="0" applyNumberFormat="1" applyFont="1" applyFill="1" applyBorder="1" applyAlignment="1">
      <alignment horizontal="center" vertical="center"/>
    </xf>
    <xf numFmtId="0" fontId="19" fillId="5" borderId="13" xfId="0" applyFont="1" applyFill="1" applyBorder="1" applyAlignment="1">
      <alignment horizontal="center" vertical="center"/>
    </xf>
    <xf numFmtId="0" fontId="31" fillId="5" borderId="6" xfId="0" applyFont="1" applyFill="1" applyBorder="1" applyAlignment="1">
      <alignment horizontal="center" vertical="center"/>
    </xf>
    <xf numFmtId="0" fontId="30" fillId="5" borderId="16" xfId="0" applyFont="1" applyFill="1" applyBorder="1" applyAlignment="1">
      <alignment horizontal="center" vertical="center"/>
    </xf>
    <xf numFmtId="0" fontId="20" fillId="5" borderId="6" xfId="0" applyFont="1" applyFill="1" applyBorder="1" applyAlignment="1">
      <alignment horizontal="center" vertical="center"/>
    </xf>
    <xf numFmtId="49" fontId="19" fillId="5" borderId="20" xfId="0" applyNumberFormat="1" applyFont="1" applyFill="1" applyBorder="1" applyAlignment="1">
      <alignment horizontal="center" vertical="center"/>
    </xf>
    <xf numFmtId="0" fontId="19" fillId="5" borderId="20" xfId="0" applyFont="1" applyFill="1" applyBorder="1" applyAlignment="1">
      <alignment horizontal="center" vertical="center"/>
    </xf>
    <xf numFmtId="0" fontId="20" fillId="5" borderId="19" xfId="0" applyFont="1" applyFill="1" applyBorder="1" applyAlignment="1">
      <alignment horizontal="center" vertical="center"/>
    </xf>
    <xf numFmtId="49" fontId="19" fillId="5" borderId="18" xfId="0" applyNumberFormat="1" applyFont="1" applyFill="1" applyBorder="1" applyAlignment="1">
      <alignment horizontal="center" vertical="center"/>
    </xf>
    <xf numFmtId="0" fontId="20" fillId="5" borderId="17" xfId="0" applyFont="1" applyFill="1" applyBorder="1" applyAlignment="1">
      <alignment horizontal="center" vertical="center"/>
    </xf>
    <xf numFmtId="0" fontId="14" fillId="5" borderId="20" xfId="0" applyFont="1" applyFill="1" applyBorder="1" applyAlignment="1">
      <alignment horizontal="center" vertical="center"/>
    </xf>
    <xf numFmtId="0" fontId="14" fillId="5" borderId="18" xfId="0" applyFont="1" applyFill="1" applyBorder="1" applyAlignment="1">
      <alignment horizontal="center" vertical="center"/>
    </xf>
    <xf numFmtId="49" fontId="14" fillId="5" borderId="13" xfId="0" applyNumberFormat="1" applyFont="1" applyFill="1" applyBorder="1" applyAlignment="1">
      <alignment horizontal="center" vertical="center"/>
    </xf>
    <xf numFmtId="49" fontId="26" fillId="5" borderId="13" xfId="0" applyNumberFormat="1" applyFont="1" applyFill="1" applyBorder="1" applyAlignment="1">
      <alignment horizontal="center" vertical="center"/>
    </xf>
    <xf numFmtId="0" fontId="14" fillId="5" borderId="20" xfId="0" applyFont="1" applyFill="1" applyBorder="1" applyAlignment="1">
      <alignment horizontal="center"/>
    </xf>
    <xf numFmtId="0" fontId="14" fillId="5" borderId="17" xfId="0" applyFont="1" applyFill="1" applyBorder="1"/>
    <xf numFmtId="49" fontId="43" fillId="5" borderId="13" xfId="0" applyNumberFormat="1" applyFont="1" applyFill="1" applyBorder="1" applyAlignment="1">
      <alignment horizontal="center" vertical="center"/>
    </xf>
    <xf numFmtId="166" fontId="60" fillId="9" borderId="30" xfId="0" applyNumberFormat="1" applyFont="1" applyFill="1" applyBorder="1" applyProtection="1">
      <protection locked="0"/>
    </xf>
    <xf numFmtId="0" fontId="60" fillId="9" borderId="14" xfId="0" applyFont="1" applyFill="1" applyBorder="1" applyAlignment="1" applyProtection="1">
      <alignment horizontal="center"/>
      <protection locked="0"/>
    </xf>
    <xf numFmtId="0" fontId="68" fillId="9" borderId="38" xfId="0" applyFont="1" applyFill="1" applyBorder="1" applyAlignment="1">
      <alignment horizontal="center" vertical="center" wrapText="1"/>
    </xf>
    <xf numFmtId="49" fontId="26" fillId="5" borderId="18" xfId="0" applyNumberFormat="1" applyFont="1" applyFill="1" applyBorder="1" applyAlignment="1">
      <alignment horizontal="center" vertical="center"/>
    </xf>
    <xf numFmtId="49" fontId="26" fillId="5" borderId="13" xfId="0" applyNumberFormat="1" applyFont="1" applyFill="1" applyBorder="1" applyAlignment="1">
      <alignment horizontal="center" vertical="center"/>
    </xf>
    <xf numFmtId="0" fontId="65" fillId="14" borderId="45" xfId="0" applyNumberFormat="1" applyFont="1" applyFill="1" applyBorder="1" applyAlignment="1">
      <alignment horizontal="center" vertical="center" wrapText="1"/>
    </xf>
    <xf numFmtId="49" fontId="17" fillId="5" borderId="6" xfId="0" applyNumberFormat="1" applyFont="1" applyFill="1" applyBorder="1" applyAlignment="1">
      <alignment horizontal="center" vertical="center"/>
    </xf>
    <xf numFmtId="49" fontId="17" fillId="5" borderId="6" xfId="0" applyNumberFormat="1" applyFont="1" applyFill="1" applyBorder="1" applyAlignment="1">
      <alignment horizontal="center" vertical="center" wrapText="1"/>
    </xf>
    <xf numFmtId="0" fontId="40" fillId="5" borderId="6" xfId="0" applyFont="1" applyFill="1" applyBorder="1" applyAlignment="1">
      <alignment horizontal="center" vertical="center" wrapText="1"/>
    </xf>
    <xf numFmtId="49" fontId="17" fillId="5" borderId="13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>
      <alignment horizontal="center" vertical="center"/>
    </xf>
    <xf numFmtId="0" fontId="17" fillId="5" borderId="6" xfId="0" applyFont="1" applyFill="1" applyBorder="1" applyAlignment="1">
      <alignment horizontal="center"/>
    </xf>
    <xf numFmtId="49" fontId="104" fillId="5" borderId="13" xfId="0" applyNumberFormat="1" applyFont="1" applyFill="1" applyBorder="1" applyAlignment="1">
      <alignment horizontal="center" vertical="center"/>
    </xf>
    <xf numFmtId="49" fontId="22" fillId="5" borderId="6" xfId="0" applyNumberFormat="1" applyFont="1" applyFill="1" applyBorder="1" applyAlignment="1">
      <alignment horizontal="center" vertical="center"/>
    </xf>
    <xf numFmtId="0" fontId="30" fillId="5" borderId="13" xfId="0" applyFont="1" applyFill="1" applyBorder="1" applyAlignment="1">
      <alignment horizontal="center" vertical="center"/>
    </xf>
    <xf numFmtId="49" fontId="26" fillId="5" borderId="16" xfId="0" applyNumberFormat="1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/>
    </xf>
    <xf numFmtId="0" fontId="19" fillId="5" borderId="6" xfId="0" applyFont="1" applyFill="1" applyBorder="1" applyAlignment="1">
      <alignment horizontal="center" vertical="center"/>
    </xf>
    <xf numFmtId="0" fontId="14" fillId="5" borderId="69" xfId="0" applyFont="1" applyFill="1" applyBorder="1" applyAlignment="1">
      <alignment horizontal="center" vertical="center"/>
    </xf>
    <xf numFmtId="0" fontId="14" fillId="5" borderId="72" xfId="0" applyFont="1" applyFill="1" applyBorder="1" applyAlignment="1">
      <alignment horizontal="center" vertical="center"/>
    </xf>
    <xf numFmtId="49" fontId="23" fillId="5" borderId="72" xfId="0" applyNumberFormat="1" applyFont="1" applyFill="1" applyBorder="1" applyAlignment="1">
      <alignment horizontal="center" vertical="center"/>
    </xf>
    <xf numFmtId="0" fontId="60" fillId="9" borderId="14" xfId="0" applyFont="1" applyFill="1" applyBorder="1" applyAlignment="1" applyProtection="1">
      <alignment horizontal="center"/>
      <protection locked="0"/>
    </xf>
    <xf numFmtId="0" fontId="60" fillId="0" borderId="6" xfId="0" applyFont="1" applyBorder="1" applyAlignment="1" applyProtection="1">
      <protection locked="0"/>
    </xf>
    <xf numFmtId="0" fontId="19" fillId="5" borderId="13" xfId="0" applyFont="1" applyFill="1" applyBorder="1" applyAlignment="1">
      <alignment horizontal="center" vertical="center"/>
    </xf>
    <xf numFmtId="49" fontId="19" fillId="5" borderId="13" xfId="0" applyNumberFormat="1" applyFont="1" applyFill="1" applyBorder="1" applyAlignment="1">
      <alignment horizontal="center" vertical="center"/>
    </xf>
    <xf numFmtId="49" fontId="22" fillId="5" borderId="13" xfId="0" applyNumberFormat="1" applyFont="1" applyFill="1" applyBorder="1" applyAlignment="1">
      <alignment horizontal="center" vertical="center"/>
    </xf>
    <xf numFmtId="49" fontId="14" fillId="5" borderId="13" xfId="0" applyNumberFormat="1" applyFont="1" applyFill="1" applyBorder="1" applyAlignment="1">
      <alignment horizontal="center" vertical="center"/>
    </xf>
    <xf numFmtId="0" fontId="26" fillId="5" borderId="13" xfId="0" applyFont="1" applyFill="1" applyBorder="1" applyAlignment="1">
      <alignment horizontal="center" vertical="center"/>
    </xf>
    <xf numFmtId="49" fontId="26" fillId="5" borderId="13" xfId="0" applyNumberFormat="1" applyFont="1" applyFill="1" applyBorder="1" applyAlignment="1">
      <alignment horizontal="center" vertical="center"/>
    </xf>
    <xf numFmtId="0" fontId="28" fillId="5" borderId="13" xfId="0" applyFont="1" applyFill="1" applyBorder="1" applyAlignment="1">
      <alignment horizontal="center" vertical="center"/>
    </xf>
    <xf numFmtId="49" fontId="28" fillId="5" borderId="13" xfId="0" applyNumberFormat="1" applyFont="1" applyFill="1" applyBorder="1" applyAlignment="1">
      <alignment horizontal="center" vertical="center"/>
    </xf>
    <xf numFmtId="0" fontId="26" fillId="5" borderId="68" xfId="0" applyFont="1" applyFill="1" applyBorder="1" applyAlignment="1">
      <alignment horizontal="center" vertical="center"/>
    </xf>
    <xf numFmtId="49" fontId="14" fillId="5" borderId="68" xfId="0" applyNumberFormat="1" applyFont="1" applyFill="1" applyBorder="1" applyAlignment="1">
      <alignment horizontal="center" vertical="center"/>
    </xf>
    <xf numFmtId="49" fontId="22" fillId="5" borderId="71" xfId="0" applyNumberFormat="1" applyFont="1" applyFill="1" applyBorder="1" applyAlignment="1">
      <alignment horizontal="center" vertical="center"/>
    </xf>
    <xf numFmtId="49" fontId="32" fillId="5" borderId="13" xfId="0" applyNumberFormat="1" applyFont="1" applyFill="1" applyBorder="1" applyAlignment="1">
      <alignment horizontal="center" vertical="center"/>
    </xf>
    <xf numFmtId="49" fontId="14" fillId="5" borderId="69" xfId="0" applyNumberFormat="1" applyFont="1" applyFill="1" applyBorder="1" applyAlignment="1">
      <alignment horizontal="center" vertical="center" wrapText="1"/>
    </xf>
    <xf numFmtId="49" fontId="26" fillId="5" borderId="68" xfId="0" applyNumberFormat="1" applyFont="1" applyFill="1" applyBorder="1" applyAlignment="1">
      <alignment horizontal="center" vertical="center" wrapText="1"/>
    </xf>
    <xf numFmtId="0" fontId="26" fillId="5" borderId="69" xfId="0" applyFont="1" applyFill="1" applyBorder="1" applyAlignment="1">
      <alignment horizontal="center" vertical="center"/>
    </xf>
    <xf numFmtId="49" fontId="23" fillId="5" borderId="72" xfId="0" applyNumberFormat="1" applyFont="1" applyFill="1" applyBorder="1" applyAlignment="1">
      <alignment horizontal="center" vertical="center" wrapText="1"/>
    </xf>
    <xf numFmtId="49" fontId="27" fillId="5" borderId="71" xfId="0" applyNumberFormat="1" applyFont="1" applyFill="1" applyBorder="1" applyAlignment="1">
      <alignment horizontal="center" vertical="center"/>
    </xf>
    <xf numFmtId="0" fontId="26" fillId="5" borderId="72" xfId="0" applyFont="1" applyFill="1" applyBorder="1" applyAlignment="1">
      <alignment horizontal="center" vertical="center"/>
    </xf>
    <xf numFmtId="49" fontId="32" fillId="5" borderId="16" xfId="0" applyNumberFormat="1" applyFont="1" applyFill="1" applyBorder="1" applyAlignment="1">
      <alignment horizontal="center" vertical="center"/>
    </xf>
    <xf numFmtId="49" fontId="14" fillId="5" borderId="69" xfId="0" applyNumberFormat="1" applyFont="1" applyFill="1" applyBorder="1" applyAlignment="1">
      <alignment horizontal="center" vertical="center"/>
    </xf>
    <xf numFmtId="49" fontId="26" fillId="5" borderId="68" xfId="0" applyNumberFormat="1" applyFont="1" applyFill="1" applyBorder="1" applyAlignment="1">
      <alignment horizontal="center" vertical="center"/>
    </xf>
    <xf numFmtId="0" fontId="26" fillId="5" borderId="69" xfId="0" applyFont="1" applyFill="1" applyBorder="1" applyAlignment="1">
      <alignment horizontal="center"/>
    </xf>
    <xf numFmtId="0" fontId="23" fillId="5" borderId="72" xfId="0" applyFont="1" applyFill="1" applyBorder="1" applyAlignment="1">
      <alignment horizontal="center" vertical="center"/>
    </xf>
    <xf numFmtId="0" fontId="34" fillId="5" borderId="71" xfId="0" applyFont="1" applyFill="1" applyBorder="1" applyAlignment="1">
      <alignment horizontal="center" vertical="center"/>
    </xf>
    <xf numFmtId="0" fontId="26" fillId="5" borderId="72" xfId="0" applyFont="1" applyFill="1" applyBorder="1" applyAlignment="1">
      <alignment horizontal="center"/>
    </xf>
    <xf numFmtId="0" fontId="32" fillId="5" borderId="16" xfId="0" applyFont="1" applyFill="1" applyBorder="1" applyAlignment="1">
      <alignment horizontal="center" vertical="center"/>
    </xf>
    <xf numFmtId="49" fontId="115" fillId="5" borderId="13" xfId="0" applyNumberFormat="1" applyFont="1" applyFill="1" applyBorder="1" applyAlignment="1">
      <alignment horizontal="center" vertical="center"/>
    </xf>
    <xf numFmtId="0" fontId="35" fillId="5" borderId="73" xfId="0" applyFont="1" applyFill="1" applyBorder="1" applyAlignment="1">
      <alignment horizontal="center" vertical="center"/>
    </xf>
    <xf numFmtId="49" fontId="35" fillId="5" borderId="71" xfId="0" applyNumberFormat="1" applyFont="1" applyFill="1" applyBorder="1" applyAlignment="1">
      <alignment horizontal="center" vertical="center"/>
    </xf>
    <xf numFmtId="49" fontId="23" fillId="5" borderId="16" xfId="0" applyNumberFormat="1" applyFont="1" applyFill="1" applyBorder="1" applyAlignment="1">
      <alignment horizontal="center" vertical="center"/>
    </xf>
    <xf numFmtId="49" fontId="26" fillId="5" borderId="71" xfId="0" applyNumberFormat="1" applyFont="1" applyFill="1" applyBorder="1" applyAlignment="1">
      <alignment horizontal="center" vertical="center"/>
    </xf>
    <xf numFmtId="0" fontId="27" fillId="5" borderId="72" xfId="0" applyFont="1" applyFill="1" applyBorder="1" applyAlignment="1">
      <alignment horizontal="center" vertical="center"/>
    </xf>
    <xf numFmtId="49" fontId="14" fillId="5" borderId="16" xfId="0" applyNumberFormat="1" applyFont="1" applyFill="1" applyBorder="1" applyAlignment="1">
      <alignment horizontal="center" vertical="center"/>
    </xf>
    <xf numFmtId="49" fontId="28" fillId="5" borderId="68" xfId="0" applyNumberFormat="1" applyFont="1" applyFill="1" applyBorder="1" applyAlignment="1">
      <alignment horizontal="center" vertical="center"/>
    </xf>
    <xf numFmtId="0" fontId="28" fillId="5" borderId="68" xfId="0" applyFont="1" applyFill="1" applyBorder="1" applyAlignment="1">
      <alignment horizontal="center" vertical="center"/>
    </xf>
    <xf numFmtId="0" fontId="36" fillId="5" borderId="69" xfId="0" applyFont="1" applyFill="1" applyBorder="1" applyAlignment="1">
      <alignment horizontal="center" vertical="center"/>
    </xf>
    <xf numFmtId="49" fontId="28" fillId="5" borderId="71" xfId="0" applyNumberFormat="1" applyFont="1" applyFill="1" applyBorder="1" applyAlignment="1">
      <alignment horizontal="center" vertical="center"/>
    </xf>
    <xf numFmtId="0" fontId="28" fillId="5" borderId="71" xfId="0" applyFont="1" applyFill="1" applyBorder="1" applyAlignment="1">
      <alignment horizontal="center" vertical="center"/>
    </xf>
    <xf numFmtId="0" fontId="36" fillId="5" borderId="72" xfId="0" applyFont="1" applyFill="1" applyBorder="1" applyAlignment="1">
      <alignment horizontal="center" vertical="center"/>
    </xf>
    <xf numFmtId="49" fontId="19" fillId="5" borderId="68" xfId="0" applyNumberFormat="1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31" fillId="5" borderId="69" xfId="0" applyFont="1" applyFill="1" applyBorder="1" applyAlignment="1">
      <alignment horizontal="center" vertical="center"/>
    </xf>
    <xf numFmtId="49" fontId="19" fillId="5" borderId="71" xfId="0" applyNumberFormat="1" applyFont="1" applyFill="1" applyBorder="1" applyAlignment="1">
      <alignment horizontal="center" vertical="center"/>
    </xf>
    <xf numFmtId="0" fontId="19" fillId="5" borderId="71" xfId="0" applyFont="1" applyFill="1" applyBorder="1" applyAlignment="1">
      <alignment horizontal="center" vertical="center"/>
    </xf>
    <xf numFmtId="0" fontId="31" fillId="5" borderId="72" xfId="0" applyFont="1" applyFill="1" applyBorder="1" applyAlignment="1">
      <alignment horizontal="center" vertical="center"/>
    </xf>
    <xf numFmtId="49" fontId="22" fillId="5" borderId="69" xfId="0" applyNumberFormat="1" applyFont="1" applyFill="1" applyBorder="1" applyAlignment="1">
      <alignment horizontal="center" vertical="center"/>
    </xf>
    <xf numFmtId="49" fontId="19" fillId="5" borderId="69" xfId="0" applyNumberFormat="1" applyFont="1" applyFill="1" applyBorder="1" applyAlignment="1">
      <alignment horizontal="center" vertical="center"/>
    </xf>
    <xf numFmtId="49" fontId="23" fillId="5" borderId="16" xfId="0" applyNumberFormat="1" applyFont="1" applyFill="1" applyBorder="1" applyAlignment="1">
      <alignment horizontal="center" vertical="center" wrapText="1"/>
    </xf>
    <xf numFmtId="49" fontId="23" fillId="5" borderId="19" xfId="0" applyNumberFormat="1" applyFont="1" applyFill="1" applyBorder="1" applyAlignment="1">
      <alignment horizontal="center" vertical="center"/>
    </xf>
    <xf numFmtId="49" fontId="35" fillId="5" borderId="6" xfId="0" applyNumberFormat="1" applyFont="1" applyFill="1" applyBorder="1" applyAlignment="1">
      <alignment horizontal="center" vertical="center"/>
    </xf>
    <xf numFmtId="49" fontId="116" fillId="19" borderId="19" xfId="0" applyNumberFormat="1" applyFont="1" applyFill="1" applyBorder="1" applyAlignment="1">
      <alignment horizontal="center" vertical="center" wrapText="1"/>
    </xf>
    <xf numFmtId="0" fontId="17" fillId="19" borderId="19" xfId="0" applyFont="1" applyFill="1" applyBorder="1" applyAlignment="1">
      <alignment horizontal="center" vertical="center"/>
    </xf>
    <xf numFmtId="0" fontId="14" fillId="19" borderId="19" xfId="0" applyFont="1" applyFill="1" applyBorder="1" applyAlignment="1">
      <alignment horizontal="center" vertical="center"/>
    </xf>
    <xf numFmtId="49" fontId="104" fillId="19" borderId="16" xfId="0" applyNumberFormat="1" applyFont="1" applyFill="1" applyBorder="1" applyAlignment="1">
      <alignment horizontal="center" vertical="center" wrapText="1"/>
    </xf>
    <xf numFmtId="0" fontId="21" fillId="19" borderId="13" xfId="0" applyFont="1" applyFill="1" applyBorder="1" applyAlignment="1">
      <alignment vertical="center"/>
    </xf>
    <xf numFmtId="0" fontId="14" fillId="19" borderId="13" xfId="0" applyFont="1" applyFill="1" applyBorder="1" applyAlignment="1">
      <alignment horizontal="center" vertical="center"/>
    </xf>
    <xf numFmtId="0" fontId="19" fillId="5" borderId="13" xfId="0" applyFont="1" applyFill="1" applyBorder="1" applyAlignment="1">
      <alignment horizontal="center" vertical="center"/>
    </xf>
    <xf numFmtId="49" fontId="14" fillId="5" borderId="13" xfId="0" applyNumberFormat="1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49" fontId="17" fillId="19" borderId="6" xfId="0" applyNumberFormat="1" applyFont="1" applyFill="1" applyBorder="1" applyAlignment="1">
      <alignment horizontal="center" vertical="center"/>
    </xf>
    <xf numFmtId="0" fontId="17" fillId="19" borderId="6" xfId="0" applyFont="1" applyFill="1" applyBorder="1" applyAlignment="1">
      <alignment horizontal="center" vertical="center"/>
    </xf>
    <xf numFmtId="0" fontId="14" fillId="19" borderId="6" xfId="0" applyFont="1" applyFill="1" applyBorder="1" applyAlignment="1">
      <alignment horizontal="center"/>
    </xf>
    <xf numFmtId="49" fontId="17" fillId="19" borderId="13" xfId="0" applyNumberFormat="1" applyFont="1" applyFill="1" applyBorder="1" applyAlignment="1">
      <alignment horizontal="center" vertical="center"/>
    </xf>
    <xf numFmtId="0" fontId="21" fillId="19" borderId="13" xfId="0" applyFont="1" applyFill="1" applyBorder="1" applyAlignment="1">
      <alignment horizontal="center" vertical="center"/>
    </xf>
    <xf numFmtId="0" fontId="14" fillId="19" borderId="16" xfId="0" applyFont="1" applyFill="1" applyBorder="1" applyAlignment="1">
      <alignment horizontal="center" vertical="center"/>
    </xf>
    <xf numFmtId="49" fontId="22" fillId="5" borderId="79" xfId="0" applyNumberFormat="1" applyFont="1" applyFill="1" applyBorder="1" applyAlignment="1">
      <alignment horizontal="center" vertical="center"/>
    </xf>
    <xf numFmtId="0" fontId="19" fillId="5" borderId="79" xfId="0" applyFont="1" applyFill="1" applyBorder="1" applyAlignment="1">
      <alignment horizontal="center" vertical="center"/>
    </xf>
    <xf numFmtId="0" fontId="30" fillId="5" borderId="79" xfId="0" applyFont="1" applyFill="1" applyBorder="1" applyAlignment="1">
      <alignment horizontal="center" vertical="center"/>
    </xf>
    <xf numFmtId="49" fontId="22" fillId="5" borderId="81" xfId="0" applyNumberFormat="1" applyFont="1" applyFill="1" applyBorder="1" applyAlignment="1">
      <alignment horizontal="center" vertical="center"/>
    </xf>
    <xf numFmtId="0" fontId="19" fillId="5" borderId="81" xfId="0" applyFont="1" applyFill="1" applyBorder="1" applyAlignment="1">
      <alignment horizontal="center" vertical="center"/>
    </xf>
    <xf numFmtId="0" fontId="30" fillId="5" borderId="81" xfId="0" applyFont="1" applyFill="1" applyBorder="1" applyAlignment="1">
      <alignment horizontal="center" vertical="center"/>
    </xf>
    <xf numFmtId="49" fontId="17" fillId="5" borderId="79" xfId="0" applyNumberFormat="1" applyFont="1" applyFill="1" applyBorder="1" applyAlignment="1">
      <alignment horizontal="center" vertical="center"/>
    </xf>
    <xf numFmtId="0" fontId="17" fillId="5" borderId="79" xfId="0" applyFont="1" applyFill="1" applyBorder="1" applyAlignment="1">
      <alignment horizontal="center" vertical="center"/>
    </xf>
    <xf numFmtId="0" fontId="14" fillId="5" borderId="79" xfId="0" applyFont="1" applyFill="1" applyBorder="1" applyAlignment="1">
      <alignment horizontal="center"/>
    </xf>
    <xf numFmtId="49" fontId="104" fillId="5" borderId="81" xfId="0" applyNumberFormat="1" applyFont="1" applyFill="1" applyBorder="1" applyAlignment="1">
      <alignment horizontal="center" vertical="center"/>
    </xf>
    <xf numFmtId="0" fontId="21" fillId="5" borderId="81" xfId="0" applyFont="1" applyFill="1" applyBorder="1" applyAlignment="1">
      <alignment horizontal="center" vertical="center"/>
    </xf>
    <xf numFmtId="0" fontId="14" fillId="5" borderId="83" xfId="0" applyFont="1" applyFill="1" applyBorder="1" applyAlignment="1">
      <alignment horizontal="center" vertical="center"/>
    </xf>
    <xf numFmtId="49" fontId="104" fillId="5" borderId="79" xfId="0" applyNumberFormat="1" applyFont="1" applyFill="1" applyBorder="1" applyAlignment="1">
      <alignment horizontal="center" vertical="center" wrapText="1"/>
    </xf>
    <xf numFmtId="0" fontId="14" fillId="5" borderId="79" xfId="0" applyFont="1" applyFill="1" applyBorder="1" applyAlignment="1">
      <alignment horizontal="center" vertical="center"/>
    </xf>
    <xf numFmtId="49" fontId="104" fillId="5" borderId="83" xfId="0" applyNumberFormat="1" applyFont="1" applyFill="1" applyBorder="1" applyAlignment="1">
      <alignment horizontal="center" vertical="center" wrapText="1"/>
    </xf>
    <xf numFmtId="0" fontId="21" fillId="5" borderId="81" xfId="0" applyFont="1" applyFill="1" applyBorder="1" applyAlignment="1">
      <alignment vertical="center"/>
    </xf>
    <xf numFmtId="0" fontId="14" fillId="5" borderId="81" xfId="0" applyFont="1" applyFill="1" applyBorder="1" applyAlignment="1">
      <alignment horizontal="center" vertical="center"/>
    </xf>
    <xf numFmtId="49" fontId="17" fillId="5" borderId="16" xfId="0" applyNumberFormat="1" applyFont="1" applyFill="1" applyBorder="1" applyAlignment="1">
      <alignment horizontal="center" vertical="center"/>
    </xf>
    <xf numFmtId="49" fontId="14" fillId="5" borderId="77" xfId="0" applyNumberFormat="1" applyFont="1" applyFill="1" applyBorder="1" applyAlignment="1">
      <alignment horizontal="center" vertical="center"/>
    </xf>
    <xf numFmtId="49" fontId="14" fillId="5" borderId="81" xfId="0" applyNumberFormat="1" applyFont="1" applyFill="1" applyBorder="1" applyAlignment="1">
      <alignment horizontal="center" vertical="center"/>
    </xf>
    <xf numFmtId="0" fontId="17" fillId="5" borderId="81" xfId="0" applyFont="1" applyFill="1" applyBorder="1" applyAlignment="1">
      <alignment horizontal="center" vertical="center"/>
    </xf>
    <xf numFmtId="49" fontId="104" fillId="5" borderId="79" xfId="0" applyNumberFormat="1" applyFont="1" applyFill="1" applyBorder="1" applyAlignment="1">
      <alignment horizontal="center" vertical="center"/>
    </xf>
    <xf numFmtId="49" fontId="17" fillId="5" borderId="83" xfId="0" applyNumberFormat="1" applyFont="1" applyFill="1" applyBorder="1" applyAlignment="1">
      <alignment horizontal="center" vertical="center"/>
    </xf>
    <xf numFmtId="0" fontId="17" fillId="5" borderId="79" xfId="0" applyFont="1" applyFill="1" applyBorder="1" applyAlignment="1">
      <alignment horizontal="center"/>
    </xf>
    <xf numFmtId="49" fontId="17" fillId="5" borderId="79" xfId="0" applyNumberFormat="1" applyFont="1" applyFill="1" applyBorder="1" applyAlignment="1">
      <alignment horizontal="center" vertical="center" wrapText="1"/>
    </xf>
    <xf numFmtId="0" fontId="40" fillId="5" borderId="79" xfId="0" applyFont="1" applyFill="1" applyBorder="1" applyAlignment="1">
      <alignment horizontal="center" vertical="center" wrapText="1"/>
    </xf>
    <xf numFmtId="49" fontId="104" fillId="5" borderId="81" xfId="0" applyNumberFormat="1" applyFont="1" applyFill="1" applyBorder="1" applyAlignment="1">
      <alignment horizontal="center" vertical="center" wrapText="1"/>
    </xf>
    <xf numFmtId="49" fontId="26" fillId="5" borderId="20" xfId="0" applyNumberFormat="1" applyFont="1" applyFill="1" applyBorder="1" applyAlignment="1">
      <alignment horizontal="center" vertical="center" wrapText="1"/>
    </xf>
    <xf numFmtId="49" fontId="26" fillId="5" borderId="18" xfId="0" applyNumberFormat="1" applyFont="1" applyFill="1" applyBorder="1" applyAlignment="1">
      <alignment horizontal="center" vertical="center" wrapText="1"/>
    </xf>
    <xf numFmtId="0" fontId="14" fillId="5" borderId="20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3" fillId="5" borderId="28" xfId="0" applyFont="1" applyFill="1" applyBorder="1" applyAlignment="1">
      <alignment horizontal="center"/>
    </xf>
    <xf numFmtId="0" fontId="23" fillId="5" borderId="21" xfId="0" applyFont="1" applyFill="1" applyBorder="1" applyAlignment="1">
      <alignment horizontal="center"/>
    </xf>
    <xf numFmtId="0" fontId="16" fillId="5" borderId="20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4" fillId="5" borderId="18" xfId="0" applyFont="1" applyFill="1" applyBorder="1" applyAlignment="1">
      <alignment horizontal="center" vertical="center"/>
    </xf>
    <xf numFmtId="49" fontId="108" fillId="5" borderId="20" xfId="0" applyNumberFormat="1" applyFont="1" applyFill="1" applyBorder="1" applyAlignment="1">
      <alignment horizontal="center" vertical="center" wrapText="1"/>
    </xf>
    <xf numFmtId="49" fontId="108" fillId="5" borderId="18" xfId="0" applyNumberFormat="1" applyFont="1" applyFill="1" applyBorder="1" applyAlignment="1">
      <alignment horizontal="center" vertical="center"/>
    </xf>
    <xf numFmtId="49" fontId="14" fillId="5" borderId="62" xfId="0" applyNumberFormat="1" applyFont="1" applyFill="1" applyBorder="1" applyAlignment="1">
      <alignment horizontal="center" vertical="center"/>
    </xf>
    <xf numFmtId="49" fontId="14" fillId="5" borderId="63" xfId="0" applyNumberFormat="1" applyFont="1" applyFill="1" applyBorder="1" applyAlignment="1">
      <alignment horizontal="center" vertical="center"/>
    </xf>
    <xf numFmtId="0" fontId="14" fillId="5" borderId="20" xfId="0" quotePrefix="1" applyFont="1" applyFill="1" applyBorder="1" applyAlignment="1">
      <alignment horizontal="center" vertical="center"/>
    </xf>
    <xf numFmtId="49" fontId="23" fillId="5" borderId="28" xfId="0" applyNumberFormat="1" applyFont="1" applyFill="1" applyBorder="1" applyAlignment="1">
      <alignment horizontal="center" vertical="center"/>
    </xf>
    <xf numFmtId="49" fontId="23" fillId="5" borderId="21" xfId="0" applyNumberFormat="1" applyFont="1" applyFill="1" applyBorder="1" applyAlignment="1">
      <alignment horizontal="center" vertical="center"/>
    </xf>
    <xf numFmtId="49" fontId="26" fillId="5" borderId="20" xfId="0" applyNumberFormat="1" applyFont="1" applyFill="1" applyBorder="1" applyAlignment="1">
      <alignment horizontal="center" vertical="center"/>
    </xf>
    <xf numFmtId="49" fontId="26" fillId="5" borderId="18" xfId="0" applyNumberFormat="1" applyFont="1" applyFill="1" applyBorder="1" applyAlignment="1">
      <alignment horizontal="center" vertical="center"/>
    </xf>
    <xf numFmtId="0" fontId="14" fillId="5" borderId="60" xfId="0" applyFont="1" applyFill="1" applyBorder="1" applyAlignment="1">
      <alignment horizontal="center"/>
    </xf>
    <xf numFmtId="0" fontId="14" fillId="5" borderId="61" xfId="0" applyFont="1" applyFill="1" applyBorder="1" applyAlignment="1">
      <alignment horizontal="center"/>
    </xf>
    <xf numFmtId="49" fontId="14" fillId="5" borderId="27" xfId="0" applyNumberFormat="1" applyFont="1" applyFill="1" applyBorder="1" applyAlignment="1">
      <alignment horizontal="center" vertical="center"/>
    </xf>
    <xf numFmtId="49" fontId="14" fillId="5" borderId="23" xfId="0" applyNumberFormat="1" applyFont="1" applyFill="1" applyBorder="1" applyAlignment="1">
      <alignment horizontal="center" vertical="center"/>
    </xf>
    <xf numFmtId="0" fontId="14" fillId="5" borderId="20" xfId="0" applyFont="1" applyFill="1" applyBorder="1" applyAlignment="1"/>
    <xf numFmtId="0" fontId="0" fillId="0" borderId="18" xfId="0" applyBorder="1" applyAlignment="1"/>
    <xf numFmtId="0" fontId="14" fillId="5" borderId="13" xfId="0" applyFont="1" applyFill="1" applyBorder="1" applyAlignment="1"/>
    <xf numFmtId="0" fontId="0" fillId="0" borderId="13" xfId="0" applyBorder="1" applyAlignment="1"/>
    <xf numFmtId="0" fontId="14" fillId="5" borderId="28" xfId="0" applyFont="1" applyFill="1" applyBorder="1" applyAlignment="1">
      <alignment horizontal="center"/>
    </xf>
    <xf numFmtId="0" fontId="14" fillId="5" borderId="21" xfId="0" applyFont="1" applyFill="1" applyBorder="1" applyAlignment="1">
      <alignment horizontal="center"/>
    </xf>
    <xf numFmtId="0" fontId="23" fillId="5" borderId="62" xfId="0" applyFont="1" applyFill="1" applyBorder="1" applyAlignment="1">
      <alignment horizontal="center" vertical="center"/>
    </xf>
    <xf numFmtId="0" fontId="23" fillId="5" borderId="63" xfId="0" applyFont="1" applyFill="1" applyBorder="1" applyAlignment="1">
      <alignment horizontal="center" vertical="center"/>
    </xf>
    <xf numFmtId="0" fontId="14" fillId="5" borderId="62" xfId="0" applyFont="1" applyFill="1" applyBorder="1" applyAlignment="1">
      <alignment horizontal="center"/>
    </xf>
    <xf numFmtId="0" fontId="14" fillId="5" borderId="63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9" fillId="5" borderId="12" xfId="0" applyFont="1" applyFill="1" applyBorder="1" applyAlignment="1">
      <alignment horizontal="center" vertical="center"/>
    </xf>
    <xf numFmtId="0" fontId="19" fillId="5" borderId="8" xfId="0" applyFont="1" applyFill="1" applyBorder="1" applyAlignment="1">
      <alignment horizontal="center" vertical="center"/>
    </xf>
    <xf numFmtId="49" fontId="19" fillId="5" borderId="12" xfId="0" applyNumberFormat="1" applyFont="1" applyFill="1" applyBorder="1" applyAlignment="1">
      <alignment horizontal="center" vertical="center"/>
    </xf>
    <xf numFmtId="49" fontId="19" fillId="5" borderId="8" xfId="0" applyNumberFormat="1" applyFont="1" applyFill="1" applyBorder="1" applyAlignment="1">
      <alignment horizontal="center" vertical="center"/>
    </xf>
    <xf numFmtId="0" fontId="19" fillId="5" borderId="13" xfId="0" applyFont="1" applyFill="1" applyBorder="1" applyAlignment="1">
      <alignment horizontal="center" vertical="center"/>
    </xf>
    <xf numFmtId="49" fontId="19" fillId="5" borderId="13" xfId="0" applyNumberFormat="1" applyFont="1" applyFill="1" applyBorder="1" applyAlignment="1">
      <alignment horizontal="center" vertical="center"/>
    </xf>
    <xf numFmtId="0" fontId="14" fillId="5" borderId="23" xfId="0" applyFont="1" applyFill="1" applyBorder="1" applyAlignment="1">
      <alignment horizontal="center" vertical="center"/>
    </xf>
    <xf numFmtId="0" fontId="14" fillId="5" borderId="21" xfId="0" applyFont="1" applyFill="1" applyBorder="1" applyAlignment="1">
      <alignment horizontal="center" vertical="center"/>
    </xf>
    <xf numFmtId="0" fontId="19" fillId="5" borderId="20" xfId="0" applyFont="1" applyFill="1" applyBorder="1" applyAlignment="1">
      <alignment horizontal="center" vertical="center"/>
    </xf>
    <xf numFmtId="0" fontId="19" fillId="5" borderId="18" xfId="0" applyFont="1" applyFill="1" applyBorder="1" applyAlignment="1">
      <alignment horizontal="center" vertical="center"/>
    </xf>
    <xf numFmtId="49" fontId="19" fillId="5" borderId="20" xfId="0" applyNumberFormat="1" applyFont="1" applyFill="1" applyBorder="1" applyAlignment="1">
      <alignment horizontal="center" vertical="center"/>
    </xf>
    <xf numFmtId="49" fontId="19" fillId="5" borderId="18" xfId="0" applyNumberFormat="1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6" fillId="5" borderId="11" xfId="0" applyFont="1" applyFill="1" applyBorder="1" applyAlignment="1">
      <alignment horizontal="center" vertical="center"/>
    </xf>
    <xf numFmtId="0" fontId="22" fillId="5" borderId="13" xfId="0" applyFont="1" applyFill="1" applyBorder="1" applyAlignment="1">
      <alignment horizontal="center" vertical="center"/>
    </xf>
    <xf numFmtId="49" fontId="22" fillId="5" borderId="13" xfId="0" applyNumberFormat="1" applyFont="1" applyFill="1" applyBorder="1" applyAlignment="1">
      <alignment horizontal="center" vertical="center"/>
    </xf>
    <xf numFmtId="0" fontId="16" fillId="5" borderId="23" xfId="0" applyFont="1" applyFill="1" applyBorder="1" applyAlignment="1">
      <alignment horizontal="center" vertical="center"/>
    </xf>
    <xf numFmtId="0" fontId="16" fillId="5" borderId="21" xfId="0" applyFont="1" applyFill="1" applyBorder="1" applyAlignment="1">
      <alignment horizontal="center" vertical="center"/>
    </xf>
    <xf numFmtId="49" fontId="14" fillId="5" borderId="20" xfId="0" applyNumberFormat="1" applyFont="1" applyFill="1" applyBorder="1" applyAlignment="1">
      <alignment horizontal="center" vertical="center"/>
    </xf>
    <xf numFmtId="49" fontId="14" fillId="5" borderId="18" xfId="0" applyNumberFormat="1" applyFont="1" applyFill="1" applyBorder="1" applyAlignment="1">
      <alignment horizontal="center" vertical="center"/>
    </xf>
    <xf numFmtId="49" fontId="14" fillId="5" borderId="28" xfId="0" applyNumberFormat="1" applyFont="1" applyFill="1" applyBorder="1" applyAlignment="1">
      <alignment horizontal="center" vertical="center"/>
    </xf>
    <xf numFmtId="49" fontId="14" fillId="5" borderId="21" xfId="0" applyNumberFormat="1" applyFont="1" applyFill="1" applyBorder="1" applyAlignment="1">
      <alignment horizontal="center" vertical="center"/>
    </xf>
    <xf numFmtId="49" fontId="22" fillId="5" borderId="62" xfId="0" applyNumberFormat="1" applyFont="1" applyFill="1" applyBorder="1" applyAlignment="1">
      <alignment horizontal="center" vertical="center"/>
    </xf>
    <xf numFmtId="49" fontId="22" fillId="5" borderId="63" xfId="0" applyNumberFormat="1" applyFont="1" applyFill="1" applyBorder="1" applyAlignment="1">
      <alignment horizontal="center" vertical="center"/>
    </xf>
    <xf numFmtId="49" fontId="22" fillId="5" borderId="28" xfId="0" applyNumberFormat="1" applyFont="1" applyFill="1" applyBorder="1" applyAlignment="1">
      <alignment horizontal="center" vertical="center"/>
    </xf>
    <xf numFmtId="49" fontId="22" fillId="5" borderId="21" xfId="0" applyNumberFormat="1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49" fontId="14" fillId="5" borderId="13" xfId="0" applyNumberFormat="1" applyFont="1" applyFill="1" applyBorder="1" applyAlignment="1">
      <alignment horizontal="center" vertical="center"/>
    </xf>
    <xf numFmtId="49" fontId="32" fillId="5" borderId="62" xfId="0" applyNumberFormat="1" applyFont="1" applyFill="1" applyBorder="1" applyAlignment="1">
      <alignment horizontal="center" vertical="center"/>
    </xf>
    <xf numFmtId="49" fontId="32" fillId="5" borderId="63" xfId="0" applyNumberFormat="1" applyFont="1" applyFill="1" applyBorder="1" applyAlignment="1">
      <alignment horizontal="center" vertical="center"/>
    </xf>
    <xf numFmtId="49" fontId="48" fillId="5" borderId="13" xfId="0" applyNumberFormat="1" applyFont="1" applyFill="1" applyBorder="1" applyAlignment="1">
      <alignment horizontal="center" vertical="center"/>
    </xf>
    <xf numFmtId="49" fontId="23" fillId="5" borderId="62" xfId="0" applyNumberFormat="1" applyFont="1" applyFill="1" applyBorder="1" applyAlignment="1">
      <alignment horizontal="center" vertical="center"/>
    </xf>
    <xf numFmtId="49" fontId="23" fillId="5" borderId="63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/>
    </xf>
    <xf numFmtId="0" fontId="33" fillId="4" borderId="4" xfId="0" applyFont="1" applyFill="1" applyBorder="1" applyAlignment="1">
      <alignment horizontal="center"/>
    </xf>
    <xf numFmtId="0" fontId="33" fillId="4" borderId="2" xfId="0" applyFont="1" applyFill="1" applyBorder="1" applyAlignment="1">
      <alignment horizontal="center"/>
    </xf>
    <xf numFmtId="0" fontId="33" fillId="4" borderId="3" xfId="0" applyFont="1" applyFill="1" applyBorder="1" applyAlignment="1">
      <alignment horizontal="center"/>
    </xf>
    <xf numFmtId="0" fontId="117" fillId="18" borderId="20" xfId="0" applyFont="1" applyFill="1" applyBorder="1" applyAlignment="1">
      <alignment horizontal="center" vertical="center"/>
    </xf>
    <xf numFmtId="0" fontId="117" fillId="18" borderId="18" xfId="0" applyFont="1" applyFill="1" applyBorder="1" applyAlignment="1">
      <alignment horizontal="center" vertical="center"/>
    </xf>
    <xf numFmtId="49" fontId="14" fillId="5" borderId="20" xfId="0" applyNumberFormat="1" applyFont="1" applyFill="1" applyBorder="1" applyAlignment="1">
      <alignment horizontal="center" vertical="center" wrapText="1"/>
    </xf>
    <xf numFmtId="49" fontId="14" fillId="5" borderId="18" xfId="0" applyNumberFormat="1" applyFont="1" applyFill="1" applyBorder="1" applyAlignment="1">
      <alignment horizontal="center" vertical="center" wrapText="1"/>
    </xf>
    <xf numFmtId="0" fontId="14" fillId="5" borderId="20" xfId="0" applyFont="1" applyFill="1" applyBorder="1" applyAlignment="1">
      <alignment horizontal="center" vertical="center" wrapText="1"/>
    </xf>
    <xf numFmtId="0" fontId="14" fillId="5" borderId="18" xfId="0" applyFont="1" applyFill="1" applyBorder="1" applyAlignment="1">
      <alignment horizontal="center" vertical="center" wrapText="1"/>
    </xf>
    <xf numFmtId="0" fontId="17" fillId="5" borderId="20" xfId="0" applyFont="1" applyFill="1" applyBorder="1" applyAlignment="1">
      <alignment horizontal="center" vertical="center"/>
    </xf>
    <xf numFmtId="0" fontId="17" fillId="5" borderId="18" xfId="0" applyFont="1" applyFill="1" applyBorder="1" applyAlignment="1">
      <alignment horizontal="center" vertical="center"/>
    </xf>
    <xf numFmtId="0" fontId="14" fillId="5" borderId="62" xfId="0" applyFont="1" applyFill="1" applyBorder="1" applyAlignment="1">
      <alignment horizontal="center" vertical="center"/>
    </xf>
    <xf numFmtId="0" fontId="14" fillId="5" borderId="63" xfId="0" applyFont="1" applyFill="1" applyBorder="1" applyAlignment="1">
      <alignment horizontal="center" vertical="center"/>
    </xf>
    <xf numFmtId="0" fontId="24" fillId="7" borderId="60" xfId="0" applyFont="1" applyFill="1" applyBorder="1" applyAlignment="1">
      <alignment horizontal="center"/>
    </xf>
    <xf numFmtId="0" fontId="24" fillId="7" borderId="61" xfId="0" applyFont="1" applyFill="1" applyBorder="1" applyAlignment="1">
      <alignment horizontal="center"/>
    </xf>
    <xf numFmtId="49" fontId="23" fillId="5" borderId="60" xfId="0" applyNumberFormat="1" applyFont="1" applyFill="1" applyBorder="1" applyAlignment="1">
      <alignment horizontal="center" vertical="center"/>
    </xf>
    <xf numFmtId="49" fontId="23" fillId="5" borderId="61" xfId="0" applyNumberFormat="1" applyFont="1" applyFill="1" applyBorder="1" applyAlignment="1">
      <alignment horizontal="center" vertical="center"/>
    </xf>
    <xf numFmtId="49" fontId="47" fillId="5" borderId="25" xfId="0" applyNumberFormat="1" applyFont="1" applyFill="1" applyBorder="1" applyAlignment="1">
      <alignment horizontal="center" vertical="center"/>
    </xf>
    <xf numFmtId="49" fontId="47" fillId="5" borderId="11" xfId="0" applyNumberFormat="1" applyFont="1" applyFill="1" applyBorder="1" applyAlignment="1">
      <alignment horizontal="center" vertical="center"/>
    </xf>
    <xf numFmtId="49" fontId="114" fillId="5" borderId="13" xfId="0" applyNumberFormat="1" applyFont="1" applyFill="1" applyBorder="1" applyAlignment="1">
      <alignment horizontal="center" vertical="center"/>
    </xf>
    <xf numFmtId="49" fontId="14" fillId="5" borderId="39" xfId="0" applyNumberFormat="1" applyFont="1" applyFill="1" applyBorder="1" applyAlignment="1">
      <alignment horizontal="center" vertical="center"/>
    </xf>
    <xf numFmtId="49" fontId="14" fillId="5" borderId="15" xfId="0" applyNumberFormat="1" applyFont="1" applyFill="1" applyBorder="1" applyAlignment="1">
      <alignment horizontal="center" vertical="center"/>
    </xf>
    <xf numFmtId="0" fontId="26" fillId="5" borderId="11" xfId="0" applyFont="1" applyFill="1" applyBorder="1" applyAlignment="1">
      <alignment horizontal="center" vertical="center"/>
    </xf>
    <xf numFmtId="0" fontId="26" fillId="5" borderId="42" xfId="0" applyFont="1" applyFill="1" applyBorder="1" applyAlignment="1">
      <alignment horizontal="center" vertical="center"/>
    </xf>
    <xf numFmtId="0" fontId="26" fillId="5" borderId="13" xfId="0" applyFont="1" applyFill="1" applyBorder="1" applyAlignment="1">
      <alignment horizontal="center" vertical="center"/>
    </xf>
    <xf numFmtId="49" fontId="109" fillId="5" borderId="13" xfId="0" applyNumberFormat="1" applyFont="1" applyFill="1" applyBorder="1" applyAlignment="1">
      <alignment horizontal="center" vertical="center" wrapText="1"/>
    </xf>
    <xf numFmtId="49" fontId="109" fillId="5" borderId="13" xfId="0" applyNumberFormat="1" applyFont="1" applyFill="1" applyBorder="1" applyAlignment="1">
      <alignment horizontal="center" vertical="center"/>
    </xf>
    <xf numFmtId="0" fontId="26" fillId="5" borderId="68" xfId="0" applyFont="1" applyFill="1" applyBorder="1" applyAlignment="1">
      <alignment horizontal="center" vertical="center"/>
    </xf>
    <xf numFmtId="0" fontId="26" fillId="5" borderId="71" xfId="0" applyFont="1" applyFill="1" applyBorder="1" applyAlignment="1">
      <alignment horizontal="center" vertical="center"/>
    </xf>
    <xf numFmtId="0" fontId="26" fillId="5" borderId="67" xfId="0" applyFont="1" applyFill="1" applyBorder="1" applyAlignment="1">
      <alignment horizontal="center" vertical="center"/>
    </xf>
    <xf numFmtId="0" fontId="26" fillId="5" borderId="70" xfId="0" applyFont="1" applyFill="1" applyBorder="1" applyAlignment="1">
      <alignment horizontal="center" vertical="center"/>
    </xf>
    <xf numFmtId="49" fontId="26" fillId="5" borderId="68" xfId="0" applyNumberFormat="1" applyFont="1" applyFill="1" applyBorder="1" applyAlignment="1">
      <alignment horizontal="center" vertical="center" wrapText="1"/>
    </xf>
    <xf numFmtId="49" fontId="26" fillId="5" borderId="71" xfId="0" applyNumberFormat="1" applyFont="1" applyFill="1" applyBorder="1" applyAlignment="1">
      <alignment horizontal="center" vertical="center"/>
    </xf>
    <xf numFmtId="0" fontId="105" fillId="2" borderId="2" xfId="0" applyFont="1" applyFill="1" applyBorder="1" applyAlignment="1">
      <alignment horizontal="center" vertical="center"/>
    </xf>
    <xf numFmtId="0" fontId="105" fillId="2" borderId="3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/>
    </xf>
    <xf numFmtId="0" fontId="13" fillId="4" borderId="4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/>
    </xf>
    <xf numFmtId="0" fontId="13" fillId="4" borderId="3" xfId="0" applyFont="1" applyFill="1" applyBorder="1" applyAlignment="1">
      <alignment horizontal="center"/>
    </xf>
    <xf numFmtId="0" fontId="26" fillId="5" borderId="20" xfId="0" applyFont="1" applyFill="1" applyBorder="1" applyAlignment="1">
      <alignment horizontal="center" vertical="center"/>
    </xf>
    <xf numFmtId="0" fontId="26" fillId="5" borderId="20" xfId="0" applyFont="1" applyFill="1" applyBorder="1" applyAlignment="1">
      <alignment horizontal="center" vertical="center" wrapText="1"/>
    </xf>
    <xf numFmtId="0" fontId="26" fillId="5" borderId="13" xfId="0" applyFont="1" applyFill="1" applyBorder="1" applyAlignment="1">
      <alignment horizontal="center" vertical="center" wrapText="1"/>
    </xf>
    <xf numFmtId="0" fontId="118" fillId="18" borderId="20" xfId="0" applyFont="1" applyFill="1" applyBorder="1" applyAlignment="1">
      <alignment horizontal="center" vertical="center"/>
    </xf>
    <xf numFmtId="0" fontId="118" fillId="18" borderId="13" xfId="0" applyFont="1" applyFill="1" applyBorder="1" applyAlignment="1">
      <alignment horizontal="center" vertical="center"/>
    </xf>
    <xf numFmtId="49" fontId="26" fillId="5" borderId="13" xfId="0" applyNumberFormat="1" applyFont="1" applyFill="1" applyBorder="1" applyAlignment="1">
      <alignment horizontal="center" vertical="center"/>
    </xf>
    <xf numFmtId="0" fontId="26" fillId="5" borderId="23" xfId="0" applyFont="1" applyFill="1" applyBorder="1" applyAlignment="1">
      <alignment horizontal="center" vertical="center"/>
    </xf>
    <xf numFmtId="49" fontId="113" fillId="5" borderId="13" xfId="0" applyNumberFormat="1" applyFont="1" applyFill="1" applyBorder="1" applyAlignment="1">
      <alignment horizontal="center" vertical="center"/>
    </xf>
    <xf numFmtId="49" fontId="26" fillId="5" borderId="68" xfId="0" applyNumberFormat="1" applyFont="1" applyFill="1" applyBorder="1" applyAlignment="1">
      <alignment horizontal="center" vertical="center"/>
    </xf>
    <xf numFmtId="0" fontId="26" fillId="5" borderId="74" xfId="0" applyFont="1" applyFill="1" applyBorder="1" applyAlignment="1">
      <alignment horizontal="center" vertical="center"/>
    </xf>
    <xf numFmtId="0" fontId="26" fillId="5" borderId="75" xfId="0" applyFont="1" applyFill="1" applyBorder="1" applyAlignment="1">
      <alignment horizontal="center" vertical="center"/>
    </xf>
    <xf numFmtId="49" fontId="51" fillId="5" borderId="68" xfId="0" applyNumberFormat="1" applyFont="1" applyFill="1" applyBorder="1" applyAlignment="1">
      <alignment horizontal="center" vertical="center"/>
    </xf>
    <xf numFmtId="49" fontId="51" fillId="5" borderId="71" xfId="0" applyNumberFormat="1" applyFont="1" applyFill="1" applyBorder="1" applyAlignment="1">
      <alignment horizontal="center" vertical="center"/>
    </xf>
    <xf numFmtId="49" fontId="39" fillId="5" borderId="42" xfId="0" applyNumberFormat="1" applyFont="1" applyFill="1" applyBorder="1" applyAlignment="1">
      <alignment horizontal="center" vertical="center"/>
    </xf>
    <xf numFmtId="49" fontId="113" fillId="5" borderId="68" xfId="0" applyNumberFormat="1" applyFont="1" applyFill="1" applyBorder="1" applyAlignment="1">
      <alignment horizontal="center" vertical="center"/>
    </xf>
    <xf numFmtId="49" fontId="113" fillId="5" borderId="71" xfId="0" applyNumberFormat="1" applyFont="1" applyFill="1" applyBorder="1" applyAlignment="1">
      <alignment horizontal="center" vertical="center"/>
    </xf>
    <xf numFmtId="0" fontId="28" fillId="5" borderId="68" xfId="0" applyFont="1" applyFill="1" applyBorder="1" applyAlignment="1">
      <alignment horizontal="center" vertical="center"/>
    </xf>
    <xf numFmtId="0" fontId="28" fillId="5" borderId="71" xfId="0" applyFont="1" applyFill="1" applyBorder="1" applyAlignment="1">
      <alignment horizontal="center" vertical="center"/>
    </xf>
    <xf numFmtId="49" fontId="28" fillId="5" borderId="68" xfId="0" applyNumberFormat="1" applyFont="1" applyFill="1" applyBorder="1" applyAlignment="1">
      <alignment horizontal="center" vertical="center"/>
    </xf>
    <xf numFmtId="49" fontId="28" fillId="5" borderId="71" xfId="0" applyNumberFormat="1" applyFont="1" applyFill="1" applyBorder="1" applyAlignment="1">
      <alignment horizontal="center" vertical="center"/>
    </xf>
    <xf numFmtId="49" fontId="39" fillId="5" borderId="13" xfId="0" applyNumberFormat="1" applyFont="1" applyFill="1" applyBorder="1" applyAlignment="1">
      <alignment horizontal="center" vertical="center" wrapText="1"/>
    </xf>
    <xf numFmtId="49" fontId="39" fillId="5" borderId="13" xfId="0" applyNumberFormat="1" applyFont="1" applyFill="1" applyBorder="1" applyAlignment="1">
      <alignment horizontal="center" vertical="center"/>
    </xf>
    <xf numFmtId="0" fontId="19" fillId="5" borderId="10" xfId="0" applyFont="1" applyFill="1" applyBorder="1" applyAlignment="1">
      <alignment horizontal="center" vertical="center"/>
    </xf>
    <xf numFmtId="0" fontId="19" fillId="5" borderId="9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26" fillId="5" borderId="9" xfId="0" applyFont="1" applyFill="1" applyBorder="1" applyAlignment="1">
      <alignment horizontal="center" vertical="center"/>
    </xf>
    <xf numFmtId="0" fontId="28" fillId="5" borderId="13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19" fillId="5" borderId="71" xfId="0" applyFont="1" applyFill="1" applyBorder="1" applyAlignment="1">
      <alignment horizontal="center" vertical="center"/>
    </xf>
    <xf numFmtId="49" fontId="19" fillId="5" borderId="68" xfId="0" applyNumberFormat="1" applyFont="1" applyFill="1" applyBorder="1" applyAlignment="1">
      <alignment horizontal="center" vertical="center"/>
    </xf>
    <xf numFmtId="49" fontId="19" fillId="5" borderId="71" xfId="0" applyNumberFormat="1" applyFont="1" applyFill="1" applyBorder="1" applyAlignment="1">
      <alignment horizontal="center" vertical="center"/>
    </xf>
    <xf numFmtId="49" fontId="28" fillId="5" borderId="13" xfId="0" applyNumberFormat="1" applyFont="1" applyFill="1" applyBorder="1" applyAlignment="1">
      <alignment horizontal="center" vertical="center"/>
    </xf>
    <xf numFmtId="0" fontId="26" fillId="5" borderId="12" xfId="0" applyFont="1" applyFill="1" applyBorder="1" applyAlignment="1">
      <alignment horizontal="center" vertical="center"/>
    </xf>
    <xf numFmtId="0" fontId="26" fillId="5" borderId="8" xfId="0" applyFont="1" applyFill="1" applyBorder="1" applyAlignment="1">
      <alignment horizontal="center" vertical="center"/>
    </xf>
    <xf numFmtId="49" fontId="26" fillId="5" borderId="12" xfId="0" applyNumberFormat="1" applyFont="1" applyFill="1" applyBorder="1" applyAlignment="1">
      <alignment horizontal="center" vertical="center"/>
    </xf>
    <xf numFmtId="49" fontId="26" fillId="5" borderId="8" xfId="0" applyNumberFormat="1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6" fillId="5" borderId="21" xfId="0" applyFont="1" applyFill="1" applyBorder="1" applyAlignment="1">
      <alignment horizontal="center" vertical="center"/>
    </xf>
    <xf numFmtId="49" fontId="51" fillId="5" borderId="20" xfId="0" applyNumberFormat="1" applyFont="1" applyFill="1" applyBorder="1" applyAlignment="1">
      <alignment horizontal="center" vertical="center"/>
    </xf>
    <xf numFmtId="49" fontId="51" fillId="5" borderId="18" xfId="0" applyNumberFormat="1" applyFont="1" applyFill="1" applyBorder="1" applyAlignment="1">
      <alignment horizontal="center" vertical="center"/>
    </xf>
    <xf numFmtId="0" fontId="26" fillId="5" borderId="0" xfId="0" applyFont="1" applyFill="1" applyAlignment="1">
      <alignment horizontal="center" wrapText="1"/>
    </xf>
    <xf numFmtId="0" fontId="11" fillId="6" borderId="1" xfId="0" applyFont="1" applyFill="1" applyBorder="1" applyAlignment="1">
      <alignment horizontal="center" vertical="center"/>
    </xf>
    <xf numFmtId="0" fontId="105" fillId="6" borderId="2" xfId="0" applyFont="1" applyFill="1" applyBorder="1" applyAlignment="1">
      <alignment horizontal="center" vertical="center"/>
    </xf>
    <xf numFmtId="0" fontId="105" fillId="6" borderId="3" xfId="0" applyFont="1" applyFill="1" applyBorder="1" applyAlignment="1">
      <alignment horizontal="center" vertical="center"/>
    </xf>
    <xf numFmtId="0" fontId="118" fillId="18" borderId="18" xfId="0" applyFont="1" applyFill="1" applyBorder="1" applyAlignment="1">
      <alignment horizontal="center" vertical="center"/>
    </xf>
    <xf numFmtId="0" fontId="39" fillId="5" borderId="20" xfId="0" applyFont="1" applyFill="1" applyBorder="1" applyAlignment="1">
      <alignment horizontal="center" vertical="center"/>
    </xf>
    <xf numFmtId="0" fontId="39" fillId="5" borderId="18" xfId="0" applyFont="1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14" fillId="5" borderId="84" xfId="0" applyFont="1" applyFill="1" applyBorder="1" applyAlignment="1">
      <alignment horizontal="center" vertical="center"/>
    </xf>
    <xf numFmtId="0" fontId="17" fillId="5" borderId="77" xfId="0" applyFont="1" applyFill="1" applyBorder="1" applyAlignment="1">
      <alignment horizontal="center" vertical="center"/>
    </xf>
    <xf numFmtId="0" fontId="17" fillId="5" borderId="81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49" fontId="108" fillId="5" borderId="13" xfId="0" applyNumberFormat="1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49" fontId="110" fillId="5" borderId="13" xfId="0" applyNumberFormat="1" applyFont="1" applyFill="1" applyBorder="1" applyAlignment="1">
      <alignment horizontal="center" vertical="center"/>
    </xf>
    <xf numFmtId="49" fontId="14" fillId="5" borderId="13" xfId="0" applyNumberFormat="1" applyFont="1" applyFill="1" applyBorder="1" applyAlignment="1">
      <alignment horizontal="center" vertical="center" wrapText="1"/>
    </xf>
    <xf numFmtId="0" fontId="9" fillId="5" borderId="13" xfId="0" applyFont="1" applyFill="1" applyBorder="1" applyAlignment="1">
      <alignment horizontal="center" vertical="center" wrapText="1"/>
    </xf>
    <xf numFmtId="0" fontId="14" fillId="5" borderId="76" xfId="0" applyFont="1" applyFill="1" applyBorder="1" applyAlignment="1">
      <alignment horizontal="center" vertical="center"/>
    </xf>
    <xf numFmtId="0" fontId="14" fillId="5" borderId="80" xfId="0" applyFont="1" applyFill="1" applyBorder="1" applyAlignment="1">
      <alignment horizontal="center" vertical="center"/>
    </xf>
    <xf numFmtId="0" fontId="26" fillId="5" borderId="77" xfId="0" applyFont="1" applyFill="1" applyBorder="1" applyAlignment="1">
      <alignment horizontal="center" vertical="center"/>
    </xf>
    <xf numFmtId="0" fontId="26" fillId="5" borderId="81" xfId="0" applyFont="1" applyFill="1" applyBorder="1" applyAlignment="1">
      <alignment horizontal="center" vertical="center"/>
    </xf>
    <xf numFmtId="0" fontId="14" fillId="5" borderId="77" xfId="0" applyFont="1" applyFill="1" applyBorder="1" applyAlignment="1">
      <alignment horizontal="center" vertical="center"/>
    </xf>
    <xf numFmtId="0" fontId="14" fillId="5" borderId="81" xfId="0" applyFont="1" applyFill="1" applyBorder="1" applyAlignment="1">
      <alignment horizontal="center" vertical="center"/>
    </xf>
    <xf numFmtId="49" fontId="108" fillId="5" borderId="77" xfId="0" applyNumberFormat="1" applyFont="1" applyFill="1" applyBorder="1" applyAlignment="1">
      <alignment horizontal="center" vertical="center"/>
    </xf>
    <xf numFmtId="49" fontId="108" fillId="5" borderId="81" xfId="0" applyNumberFormat="1" applyFont="1" applyFill="1" applyBorder="1" applyAlignment="1">
      <alignment horizontal="center" vertical="center"/>
    </xf>
    <xf numFmtId="49" fontId="14" fillId="5" borderId="77" xfId="0" applyNumberFormat="1" applyFont="1" applyFill="1" applyBorder="1" applyAlignment="1">
      <alignment horizontal="center" vertical="center" wrapText="1"/>
    </xf>
    <xf numFmtId="0" fontId="9" fillId="5" borderId="81" xfId="0" applyFont="1" applyFill="1" applyBorder="1" applyAlignment="1">
      <alignment horizontal="center" vertical="center" wrapText="1"/>
    </xf>
    <xf numFmtId="49" fontId="111" fillId="5" borderId="77" xfId="0" applyNumberFormat="1" applyFont="1" applyFill="1" applyBorder="1" applyAlignment="1">
      <alignment horizontal="center" vertical="center"/>
    </xf>
    <xf numFmtId="49" fontId="111" fillId="5" borderId="81" xfId="0" applyNumberFormat="1" applyFont="1" applyFill="1" applyBorder="1" applyAlignment="1">
      <alignment horizontal="center" vertical="center"/>
    </xf>
    <xf numFmtId="49" fontId="14" fillId="5" borderId="77" xfId="0" applyNumberFormat="1" applyFont="1" applyFill="1" applyBorder="1" applyAlignment="1">
      <alignment horizontal="center" vertical="center"/>
    </xf>
    <xf numFmtId="0" fontId="9" fillId="5" borderId="81" xfId="0" applyFont="1" applyFill="1" applyBorder="1" applyAlignment="1">
      <alignment horizontal="center" vertical="center"/>
    </xf>
    <xf numFmtId="0" fontId="14" fillId="5" borderId="77" xfId="0" applyFont="1" applyFill="1" applyBorder="1" applyAlignment="1">
      <alignment horizontal="center" vertical="center" wrapText="1"/>
    </xf>
    <xf numFmtId="0" fontId="14" fillId="5" borderId="81" xfId="0" applyFont="1" applyFill="1" applyBorder="1" applyAlignment="1">
      <alignment horizontal="center" vertical="center" wrapText="1"/>
    </xf>
    <xf numFmtId="0" fontId="117" fillId="18" borderId="77" xfId="0" applyFont="1" applyFill="1" applyBorder="1" applyAlignment="1">
      <alignment horizontal="center" vertical="center"/>
    </xf>
    <xf numFmtId="0" fontId="117" fillId="18" borderId="81" xfId="0" applyFont="1" applyFill="1" applyBorder="1" applyAlignment="1">
      <alignment horizontal="center" vertical="center"/>
    </xf>
    <xf numFmtId="49" fontId="114" fillId="5" borderId="77" xfId="0" applyNumberFormat="1" applyFont="1" applyFill="1" applyBorder="1" applyAlignment="1">
      <alignment horizontal="center" vertical="center"/>
    </xf>
    <xf numFmtId="49" fontId="114" fillId="5" borderId="81" xfId="0" applyNumberFormat="1" applyFont="1" applyFill="1" applyBorder="1" applyAlignment="1">
      <alignment horizontal="center" vertical="center"/>
    </xf>
    <xf numFmtId="0" fontId="28" fillId="5" borderId="77" xfId="0" applyFont="1" applyFill="1" applyBorder="1" applyAlignment="1">
      <alignment horizontal="center" vertical="center"/>
    </xf>
    <xf numFmtId="0" fontId="28" fillId="5" borderId="81" xfId="0" applyFont="1" applyFill="1" applyBorder="1" applyAlignment="1">
      <alignment horizontal="center" vertical="center"/>
    </xf>
    <xf numFmtId="0" fontId="19" fillId="5" borderId="78" xfId="0" applyFont="1" applyFill="1" applyBorder="1" applyAlignment="1">
      <alignment horizontal="center" vertical="center"/>
    </xf>
    <xf numFmtId="0" fontId="19" fillId="5" borderId="82" xfId="0" applyFont="1" applyFill="1" applyBorder="1" applyAlignment="1">
      <alignment horizontal="center" vertical="center"/>
    </xf>
    <xf numFmtId="0" fontId="22" fillId="5" borderId="78" xfId="0" applyFont="1" applyFill="1" applyBorder="1" applyAlignment="1">
      <alignment horizontal="center" vertical="center"/>
    </xf>
    <xf numFmtId="0" fontId="22" fillId="5" borderId="82" xfId="0" applyFont="1" applyFill="1" applyBorder="1" applyAlignment="1">
      <alignment horizontal="center" vertical="center"/>
    </xf>
    <xf numFmtId="49" fontId="22" fillId="5" borderId="78" xfId="0" applyNumberFormat="1" applyFont="1" applyFill="1" applyBorder="1" applyAlignment="1">
      <alignment horizontal="center" vertical="center"/>
    </xf>
    <xf numFmtId="49" fontId="22" fillId="5" borderId="82" xfId="0" applyNumberFormat="1" applyFont="1" applyFill="1" applyBorder="1" applyAlignment="1">
      <alignment horizontal="center" vertical="center"/>
    </xf>
    <xf numFmtId="49" fontId="22" fillId="5" borderId="77" xfId="0" applyNumberFormat="1" applyFont="1" applyFill="1" applyBorder="1" applyAlignment="1">
      <alignment horizontal="center" vertical="center"/>
    </xf>
    <xf numFmtId="49" fontId="22" fillId="5" borderId="81" xfId="0" applyNumberFormat="1" applyFont="1" applyFill="1" applyBorder="1" applyAlignment="1">
      <alignment horizontal="center" vertical="center"/>
    </xf>
    <xf numFmtId="49" fontId="22" fillId="5" borderId="18" xfId="0" applyNumberFormat="1" applyFont="1" applyFill="1" applyBorder="1" applyAlignment="1">
      <alignment horizontal="center" vertical="center"/>
    </xf>
    <xf numFmtId="49" fontId="22" fillId="5" borderId="20" xfId="0" applyNumberFormat="1" applyFont="1" applyFill="1" applyBorder="1" applyAlignment="1">
      <alignment horizontal="center" vertical="center"/>
    </xf>
    <xf numFmtId="0" fontId="117" fillId="18" borderId="13" xfId="0" applyFont="1" applyFill="1" applyBorder="1" applyAlignment="1">
      <alignment horizontal="center" vertical="center"/>
    </xf>
    <xf numFmtId="0" fontId="17" fillId="19" borderId="13" xfId="0" applyFont="1" applyFill="1" applyBorder="1" applyAlignment="1">
      <alignment horizontal="center" vertical="center"/>
    </xf>
    <xf numFmtId="0" fontId="14" fillId="19" borderId="11" xfId="0" applyFont="1" applyFill="1" applyBorder="1" applyAlignment="1">
      <alignment horizontal="center" vertical="center"/>
    </xf>
    <xf numFmtId="0" fontId="19" fillId="5" borderId="65" xfId="0" applyFont="1" applyFill="1" applyBorder="1" applyAlignment="1">
      <alignment horizontal="center" vertical="center"/>
    </xf>
    <xf numFmtId="0" fontId="28" fillId="5" borderId="20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 vertical="center"/>
    </xf>
    <xf numFmtId="0" fontId="22" fillId="5" borderId="65" xfId="0" applyFont="1" applyFill="1" applyBorder="1" applyAlignment="1">
      <alignment horizontal="center" vertical="center"/>
    </xf>
    <xf numFmtId="49" fontId="22" fillId="5" borderId="65" xfId="0" applyNumberFormat="1" applyFont="1" applyFill="1" applyBorder="1" applyAlignment="1">
      <alignment horizontal="center" vertical="center"/>
    </xf>
    <xf numFmtId="49" fontId="22" fillId="5" borderId="66" xfId="0" applyNumberFormat="1" applyFont="1" applyFill="1" applyBorder="1" applyAlignment="1">
      <alignment horizontal="center" vertical="center"/>
    </xf>
    <xf numFmtId="0" fontId="22" fillId="5" borderId="18" xfId="0" applyFont="1" applyFill="1" applyBorder="1" applyAlignment="1">
      <alignment horizontal="center" vertical="center"/>
    </xf>
    <xf numFmtId="0" fontId="26" fillId="19" borderId="13" xfId="0" applyFont="1" applyFill="1" applyBorder="1" applyAlignment="1">
      <alignment horizontal="center" vertical="center"/>
    </xf>
    <xf numFmtId="0" fontId="14" fillId="19" borderId="13" xfId="0" applyFont="1" applyFill="1" applyBorder="1" applyAlignment="1">
      <alignment horizontal="center" vertical="center"/>
    </xf>
    <xf numFmtId="49" fontId="14" fillId="19" borderId="13" xfId="0" applyNumberFormat="1" applyFont="1" applyFill="1" applyBorder="1" applyAlignment="1">
      <alignment horizontal="center" vertical="center"/>
    </xf>
    <xf numFmtId="49" fontId="17" fillId="5" borderId="77" xfId="0" applyNumberFormat="1" applyFont="1" applyFill="1" applyBorder="1" applyAlignment="1">
      <alignment horizontal="center" vertical="center"/>
    </xf>
    <xf numFmtId="49" fontId="17" fillId="5" borderId="81" xfId="0" applyNumberFormat="1" applyFont="1" applyFill="1" applyBorder="1" applyAlignment="1">
      <alignment horizontal="center" vertical="center"/>
    </xf>
    <xf numFmtId="49" fontId="17" fillId="5" borderId="13" xfId="0" applyNumberFormat="1" applyFont="1" applyFill="1" applyBorder="1" applyAlignment="1">
      <alignment horizontal="center" vertical="center"/>
    </xf>
    <xf numFmtId="0" fontId="53" fillId="19" borderId="13" xfId="0" applyFont="1" applyFill="1" applyBorder="1" applyAlignment="1">
      <alignment horizontal="center" vertical="center"/>
    </xf>
    <xf numFmtId="0" fontId="0" fillId="5" borderId="81" xfId="0" applyFill="1" applyBorder="1" applyAlignment="1">
      <alignment horizontal="center" vertical="center"/>
    </xf>
    <xf numFmtId="0" fontId="29" fillId="2" borderId="2" xfId="0" applyFont="1" applyFill="1" applyBorder="1" applyAlignment="1">
      <alignment horizontal="center" vertical="center"/>
    </xf>
    <xf numFmtId="0" fontId="22" fillId="4" borderId="4" xfId="0" applyFont="1" applyFill="1" applyBorder="1" applyAlignment="1">
      <alignment horizontal="center"/>
    </xf>
    <xf numFmtId="0" fontId="17" fillId="19" borderId="20" xfId="0" applyFont="1" applyFill="1" applyBorder="1" applyAlignment="1">
      <alignment horizontal="center" vertical="center"/>
    </xf>
    <xf numFmtId="49" fontId="14" fillId="19" borderId="20" xfId="0" applyNumberFormat="1" applyFont="1" applyFill="1" applyBorder="1" applyAlignment="1">
      <alignment horizontal="center" vertical="center" wrapText="1"/>
    </xf>
    <xf numFmtId="0" fontId="9" fillId="19" borderId="13" xfId="0" applyFont="1" applyFill="1" applyBorder="1" applyAlignment="1">
      <alignment horizontal="center" vertical="center" wrapText="1"/>
    </xf>
    <xf numFmtId="0" fontId="14" fillId="19" borderId="23" xfId="0" applyFont="1" applyFill="1" applyBorder="1" applyAlignment="1">
      <alignment horizontal="center" vertical="center"/>
    </xf>
    <xf numFmtId="0" fontId="26" fillId="19" borderId="20" xfId="0" applyFont="1" applyFill="1" applyBorder="1" applyAlignment="1">
      <alignment horizontal="center" vertical="center"/>
    </xf>
    <xf numFmtId="0" fontId="14" fillId="19" borderId="20" xfId="0" applyFont="1" applyFill="1" applyBorder="1" applyAlignment="1">
      <alignment horizontal="center" vertical="center"/>
    </xf>
    <xf numFmtId="49" fontId="14" fillId="19" borderId="20" xfId="0" applyNumberFormat="1" applyFont="1" applyFill="1" applyBorder="1" applyAlignment="1">
      <alignment horizontal="center" vertical="center"/>
    </xf>
    <xf numFmtId="0" fontId="54" fillId="8" borderId="0" xfId="0" applyFont="1" applyFill="1" applyBorder="1" applyAlignment="1">
      <alignment horizontal="center"/>
    </xf>
    <xf numFmtId="0" fontId="54" fillId="8" borderId="0" xfId="0" applyFont="1" applyFill="1" applyAlignment="1">
      <alignment horizontal="center" vertical="center"/>
    </xf>
    <xf numFmtId="0" fontId="4" fillId="9" borderId="29" xfId="1" applyFill="1" applyBorder="1" applyAlignment="1">
      <alignment horizontal="center" vertical="center"/>
    </xf>
    <xf numFmtId="0" fontId="61" fillId="9" borderId="30" xfId="1" applyFont="1" applyFill="1" applyBorder="1" applyAlignment="1">
      <alignment horizontal="center" vertical="center"/>
    </xf>
    <xf numFmtId="0" fontId="56" fillId="9" borderId="16" xfId="0" applyFont="1" applyFill="1" applyBorder="1" applyAlignment="1">
      <alignment horizontal="center" vertical="center" wrapText="1"/>
    </xf>
    <xf numFmtId="0" fontId="52" fillId="0" borderId="6" xfId="0" applyFont="1" applyBorder="1" applyAlignment="1">
      <alignment horizontal="center" vertical="center" wrapText="1"/>
    </xf>
    <xf numFmtId="0" fontId="61" fillId="9" borderId="29" xfId="1" applyFont="1" applyFill="1" applyBorder="1" applyAlignment="1">
      <alignment horizontal="center" vertical="center"/>
    </xf>
    <xf numFmtId="0" fontId="58" fillId="9" borderId="30" xfId="0" applyFont="1" applyFill="1" applyBorder="1" applyAlignment="1">
      <alignment horizontal="center" vertical="center"/>
    </xf>
    <xf numFmtId="0" fontId="0" fillId="9" borderId="25" xfId="0" applyFill="1" applyBorder="1" applyAlignment="1">
      <alignment wrapText="1"/>
    </xf>
    <xf numFmtId="0" fontId="0" fillId="9" borderId="0" xfId="0" applyFill="1" applyAlignment="1">
      <alignment wrapText="1"/>
    </xf>
    <xf numFmtId="0" fontId="74" fillId="10" borderId="14" xfId="0" applyFont="1" applyFill="1" applyBorder="1" applyAlignment="1">
      <alignment horizontal="center" vertical="center"/>
    </xf>
    <xf numFmtId="0" fontId="107" fillId="0" borderId="14" xfId="0" applyFont="1" applyFill="1" applyBorder="1" applyAlignment="1">
      <alignment horizontal="center" vertical="center" wrapText="1"/>
    </xf>
    <xf numFmtId="0" fontId="107" fillId="0" borderId="16" xfId="0" applyFont="1" applyFill="1" applyBorder="1" applyAlignment="1">
      <alignment horizontal="center" vertical="center" wrapText="1"/>
    </xf>
    <xf numFmtId="0" fontId="81" fillId="0" borderId="14" xfId="0" applyFont="1" applyFill="1" applyBorder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15" fontId="75" fillId="3" borderId="40" xfId="0" applyNumberFormat="1" applyFont="1" applyFill="1" applyBorder="1" applyAlignment="1">
      <alignment horizontal="center" vertical="center" wrapText="1"/>
    </xf>
    <xf numFmtId="0" fontId="75" fillId="3" borderId="42" xfId="0" applyFont="1" applyFill="1" applyBorder="1" applyAlignment="1">
      <alignment horizontal="center" vertical="center" wrapText="1"/>
    </xf>
    <xf numFmtId="0" fontId="0" fillId="3" borderId="43" xfId="0" applyFill="1" applyBorder="1" applyAlignment="1">
      <alignment horizontal="center" vertical="center" wrapText="1"/>
    </xf>
    <xf numFmtId="0" fontId="79" fillId="3" borderId="41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0" fontId="0" fillId="3" borderId="44" xfId="0" applyFill="1" applyBorder="1" applyAlignment="1">
      <alignment horizontal="center" vertical="center" wrapText="1"/>
    </xf>
    <xf numFmtId="0" fontId="84" fillId="9" borderId="0" xfId="0" applyFont="1" applyFill="1" applyBorder="1" applyAlignment="1">
      <alignment horizontal="left" vertical="center" wrapText="1"/>
    </xf>
    <xf numFmtId="0" fontId="0" fillId="8" borderId="0" xfId="0" applyFill="1" applyBorder="1" applyAlignment="1">
      <alignment horizontal="center" vertical="center"/>
    </xf>
    <xf numFmtId="0" fontId="71" fillId="11" borderId="25" xfId="0" applyFont="1" applyFill="1" applyBorder="1" applyAlignment="1">
      <alignment horizontal="center" vertical="center" wrapText="1"/>
    </xf>
    <xf numFmtId="0" fontId="71" fillId="11" borderId="11" xfId="0" applyFont="1" applyFill="1" applyBorder="1" applyAlignment="1">
      <alignment horizontal="center" vertical="center" wrapText="1"/>
    </xf>
    <xf numFmtId="0" fontId="71" fillId="11" borderId="39" xfId="0" applyFont="1" applyFill="1" applyBorder="1" applyAlignment="1">
      <alignment horizontal="center" vertical="center" wrapText="1"/>
    </xf>
    <xf numFmtId="0" fontId="71" fillId="11" borderId="15" xfId="0" applyFont="1" applyFill="1" applyBorder="1" applyAlignment="1">
      <alignment horizontal="center" vertical="center" wrapText="1"/>
    </xf>
    <xf numFmtId="0" fontId="67" fillId="9" borderId="16" xfId="0" applyFont="1" applyFill="1" applyBorder="1" applyAlignment="1">
      <alignment horizontal="center" vertical="top" wrapText="1"/>
    </xf>
    <xf numFmtId="0" fontId="67" fillId="9" borderId="13" xfId="0" applyFont="1" applyFill="1" applyBorder="1" applyAlignment="1">
      <alignment horizontal="center" vertical="top" wrapText="1"/>
    </xf>
    <xf numFmtId="0" fontId="67" fillId="9" borderId="6" xfId="0" applyFont="1" applyFill="1" applyBorder="1" applyAlignment="1">
      <alignment horizontal="center" vertical="top" wrapText="1"/>
    </xf>
    <xf numFmtId="0" fontId="71" fillId="15" borderId="46" xfId="0" applyFont="1" applyFill="1" applyBorder="1" applyAlignment="1">
      <alignment horizontal="center" vertical="center" wrapText="1"/>
    </xf>
    <xf numFmtId="0" fontId="71" fillId="15" borderId="47" xfId="0" applyFont="1" applyFill="1" applyBorder="1" applyAlignment="1">
      <alignment horizontal="center" vertical="center" wrapText="1"/>
    </xf>
    <xf numFmtId="0" fontId="71" fillId="15" borderId="39" xfId="0" applyFont="1" applyFill="1" applyBorder="1" applyAlignment="1">
      <alignment horizontal="center" vertical="center" wrapText="1"/>
    </xf>
    <xf numFmtId="0" fontId="71" fillId="15" borderId="15" xfId="0" applyFont="1" applyFill="1" applyBorder="1" applyAlignment="1">
      <alignment horizontal="center" vertical="center" wrapText="1"/>
    </xf>
    <xf numFmtId="0" fontId="74" fillId="9" borderId="0" xfId="0" applyFont="1" applyFill="1" applyBorder="1" applyAlignment="1">
      <alignment horizontal="center" vertical="center"/>
    </xf>
    <xf numFmtId="0" fontId="2" fillId="0" borderId="49" xfId="0" applyFont="1" applyBorder="1" applyAlignment="1">
      <alignment horizontal="center" vertical="center" wrapText="1"/>
    </xf>
    <xf numFmtId="0" fontId="2" fillId="0" borderId="50" xfId="0" applyFont="1" applyBorder="1" applyAlignment="1">
      <alignment horizontal="center" vertical="center" wrapText="1"/>
    </xf>
    <xf numFmtId="0" fontId="74" fillId="0" borderId="40" xfId="0" applyFont="1" applyBorder="1" applyAlignment="1">
      <alignment horizontal="center" vertical="center" wrapText="1"/>
    </xf>
    <xf numFmtId="0" fontId="74" fillId="0" borderId="43" xfId="0" applyFont="1" applyBorder="1" applyAlignment="1">
      <alignment horizontal="center" vertical="center" wrapText="1"/>
    </xf>
    <xf numFmtId="0" fontId="88" fillId="9" borderId="40" xfId="0" applyFont="1" applyFill="1" applyBorder="1" applyAlignment="1">
      <alignment horizontal="center" vertical="center" wrapText="1"/>
    </xf>
    <xf numFmtId="0" fontId="88" fillId="9" borderId="43" xfId="0" applyFont="1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 vertical="center"/>
    </xf>
    <xf numFmtId="0" fontId="93" fillId="8" borderId="51" xfId="0" applyFont="1" applyFill="1" applyBorder="1" applyAlignment="1" applyProtection="1">
      <alignment horizontal="center" vertical="center"/>
    </xf>
    <xf numFmtId="0" fontId="93" fillId="8" borderId="4" xfId="0" applyFont="1" applyFill="1" applyBorder="1" applyAlignment="1" applyProtection="1">
      <alignment horizontal="center" vertical="center"/>
    </xf>
    <xf numFmtId="0" fontId="93" fillId="8" borderId="53" xfId="0" applyFont="1" applyFill="1" applyBorder="1" applyAlignment="1" applyProtection="1">
      <alignment horizontal="center" vertical="center"/>
    </xf>
    <xf numFmtId="0" fontId="93" fillId="8" borderId="0" xfId="0" applyFont="1" applyFill="1" applyBorder="1" applyAlignment="1" applyProtection="1">
      <alignment horizontal="center" vertical="center"/>
    </xf>
    <xf numFmtId="0" fontId="95" fillId="8" borderId="0" xfId="0" applyFont="1" applyFill="1" applyBorder="1" applyAlignment="1" applyProtection="1">
      <alignment horizontal="right" vertical="center"/>
    </xf>
    <xf numFmtId="0" fontId="67" fillId="9" borderId="2" xfId="0" applyFont="1" applyFill="1" applyBorder="1" applyAlignment="1" applyProtection="1">
      <alignment horizontal="left" vertical="center"/>
      <protection locked="0"/>
    </xf>
    <xf numFmtId="0" fontId="67" fillId="9" borderId="3" xfId="0" applyFont="1" applyFill="1" applyBorder="1" applyAlignment="1" applyProtection="1">
      <alignment horizontal="left" vertical="center"/>
      <protection locked="0"/>
    </xf>
    <xf numFmtId="0" fontId="95" fillId="8" borderId="51" xfId="0" applyFont="1" applyFill="1" applyBorder="1" applyAlignment="1">
      <alignment horizontal="center" vertical="center" wrapText="1"/>
    </xf>
    <xf numFmtId="0" fontId="95" fillId="8" borderId="4" xfId="0" applyFont="1" applyFill="1" applyBorder="1" applyAlignment="1">
      <alignment horizontal="center" vertical="center" wrapText="1"/>
    </xf>
    <xf numFmtId="0" fontId="95" fillId="8" borderId="53" xfId="0" applyFont="1" applyFill="1" applyBorder="1" applyAlignment="1">
      <alignment horizontal="center" vertical="center" wrapText="1"/>
    </xf>
    <xf numFmtId="0" fontId="95" fillId="8" borderId="0" xfId="0" applyFont="1" applyFill="1" applyBorder="1" applyAlignment="1">
      <alignment horizontal="center" vertical="center" wrapText="1"/>
    </xf>
    <xf numFmtId="0" fontId="95" fillId="8" borderId="54" xfId="0" applyFont="1" applyFill="1" applyBorder="1" applyAlignment="1">
      <alignment horizontal="center" vertical="center" wrapText="1"/>
    </xf>
    <xf numFmtId="0" fontId="95" fillId="8" borderId="57" xfId="0" applyFont="1" applyFill="1" applyBorder="1" applyAlignment="1">
      <alignment horizontal="center" vertical="center" wrapText="1"/>
    </xf>
    <xf numFmtId="167" fontId="96" fillId="16" borderId="54" xfId="0" applyNumberFormat="1" applyFont="1" applyFill="1" applyBorder="1" applyAlignment="1" applyProtection="1">
      <alignment horizontal="center" vertical="center"/>
    </xf>
    <xf numFmtId="167" fontId="96" fillId="16" borderId="55" xfId="0" applyNumberFormat="1" applyFont="1" applyFill="1" applyBorder="1" applyAlignment="1" applyProtection="1">
      <alignment horizontal="center" vertical="center"/>
    </xf>
    <xf numFmtId="167" fontId="96" fillId="16" borderId="53" xfId="0" applyNumberFormat="1" applyFont="1" applyFill="1" applyBorder="1" applyAlignment="1" applyProtection="1">
      <alignment horizontal="center" vertical="center"/>
    </xf>
    <xf numFmtId="167" fontId="96" fillId="16" borderId="56" xfId="0" applyNumberFormat="1" applyFont="1" applyFill="1" applyBorder="1" applyAlignment="1" applyProtection="1">
      <alignment horizontal="center" vertical="center"/>
    </xf>
    <xf numFmtId="0" fontId="67" fillId="9" borderId="4" xfId="0" applyFont="1" applyFill="1" applyBorder="1" applyAlignment="1" applyProtection="1">
      <alignment horizontal="left" vertical="center"/>
      <protection locked="0"/>
    </xf>
    <xf numFmtId="0" fontId="67" fillId="9" borderId="52" xfId="0" applyFont="1" applyFill="1" applyBorder="1" applyAlignment="1" applyProtection="1">
      <alignment horizontal="left" vertical="center"/>
      <protection locked="0"/>
    </xf>
    <xf numFmtId="0" fontId="98" fillId="8" borderId="1" xfId="0" applyFont="1" applyFill="1" applyBorder="1" applyAlignment="1" applyProtection="1">
      <alignment horizontal="center" vertical="center"/>
    </xf>
    <xf numFmtId="0" fontId="98" fillId="8" borderId="2" xfId="0" applyFont="1" applyFill="1" applyBorder="1" applyAlignment="1" applyProtection="1">
      <alignment horizontal="center" vertical="center"/>
    </xf>
    <xf numFmtId="0" fontId="98" fillId="8" borderId="3" xfId="0" applyFont="1" applyFill="1" applyBorder="1" applyAlignment="1" applyProtection="1">
      <alignment horizontal="center" vertical="center"/>
    </xf>
    <xf numFmtId="0" fontId="0" fillId="17" borderId="53" xfId="0" applyFill="1" applyBorder="1" applyAlignment="1" applyProtection="1">
      <alignment horizontal="center"/>
    </xf>
    <xf numFmtId="0" fontId="0" fillId="17" borderId="56" xfId="0" applyFill="1" applyBorder="1" applyAlignment="1" applyProtection="1">
      <alignment horizontal="center"/>
    </xf>
    <xf numFmtId="0" fontId="60" fillId="0" borderId="14" xfId="0" applyFont="1" applyBorder="1" applyAlignment="1" applyProtection="1">
      <alignment horizontal="center"/>
      <protection locked="0"/>
    </xf>
    <xf numFmtId="0" fontId="60" fillId="9" borderId="14" xfId="0" applyFont="1" applyFill="1" applyBorder="1" applyAlignment="1" applyProtection="1">
      <alignment horizontal="center"/>
      <protection locked="0"/>
    </xf>
    <xf numFmtId="2" fontId="98" fillId="8" borderId="1" xfId="0" applyNumberFormat="1" applyFont="1" applyFill="1" applyBorder="1" applyAlignment="1" applyProtection="1">
      <alignment horizontal="center" vertical="center"/>
    </xf>
    <xf numFmtId="2" fontId="98" fillId="8" borderId="2" xfId="0" applyNumberFormat="1" applyFont="1" applyFill="1" applyBorder="1" applyAlignment="1" applyProtection="1">
      <alignment horizontal="center" vertical="center"/>
    </xf>
    <xf numFmtId="2" fontId="98" fillId="8" borderId="3" xfId="0" applyNumberFormat="1" applyFont="1" applyFill="1" applyBorder="1" applyAlignment="1" applyProtection="1">
      <alignment horizontal="center" vertical="center"/>
    </xf>
    <xf numFmtId="0" fontId="95" fillId="8" borderId="1" xfId="0" applyFont="1" applyFill="1" applyBorder="1" applyAlignment="1">
      <alignment horizontal="center" vertical="center"/>
    </xf>
    <xf numFmtId="0" fontId="95" fillId="8" borderId="3" xfId="0" applyFont="1" applyFill="1" applyBorder="1" applyAlignment="1">
      <alignment horizontal="center" vertical="center"/>
    </xf>
    <xf numFmtId="0" fontId="60" fillId="0" borderId="6" xfId="0" applyFont="1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98" fillId="8" borderId="51" xfId="0" applyFont="1" applyFill="1" applyBorder="1" applyAlignment="1">
      <alignment horizontal="center" vertical="center" wrapText="1"/>
    </xf>
    <xf numFmtId="0" fontId="98" fillId="8" borderId="4" xfId="0" applyFont="1" applyFill="1" applyBorder="1" applyAlignment="1">
      <alignment horizontal="center" vertical="center" wrapText="1"/>
    </xf>
    <xf numFmtId="0" fontId="98" fillId="8" borderId="53" xfId="0" applyFont="1" applyFill="1" applyBorder="1" applyAlignment="1">
      <alignment horizontal="center" vertical="center" wrapText="1"/>
    </xf>
    <xf numFmtId="0" fontId="98" fillId="8" borderId="0" xfId="0" applyFont="1" applyFill="1" applyBorder="1" applyAlignment="1">
      <alignment horizontal="center" vertical="center" wrapText="1"/>
    </xf>
    <xf numFmtId="0" fontId="98" fillId="8" borderId="54" xfId="0" applyFont="1" applyFill="1" applyBorder="1" applyAlignment="1">
      <alignment horizontal="center" vertical="center" wrapText="1"/>
    </xf>
    <xf numFmtId="0" fontId="98" fillId="8" borderId="57" xfId="0" applyFont="1" applyFill="1" applyBorder="1" applyAlignment="1">
      <alignment horizontal="center" vertical="center" wrapText="1"/>
    </xf>
    <xf numFmtId="0" fontId="93" fillId="8" borderId="52" xfId="0" applyFont="1" applyFill="1" applyBorder="1" applyAlignment="1" applyProtection="1">
      <alignment horizontal="center" vertical="center"/>
    </xf>
    <xf numFmtId="0" fontId="93" fillId="8" borderId="54" xfId="0" applyFont="1" applyFill="1" applyBorder="1" applyAlignment="1" applyProtection="1">
      <alignment horizontal="center" vertical="center"/>
    </xf>
    <xf numFmtId="0" fontId="93" fillId="8" borderId="57" xfId="0" applyFont="1" applyFill="1" applyBorder="1" applyAlignment="1" applyProtection="1">
      <alignment horizontal="center" vertical="center"/>
    </xf>
    <xf numFmtId="0" fontId="93" fillId="8" borderId="55" xfId="0" applyFont="1" applyFill="1" applyBorder="1" applyAlignment="1" applyProtection="1">
      <alignment horizontal="center" vertical="center"/>
    </xf>
    <xf numFmtId="0" fontId="98" fillId="8" borderId="54" xfId="0" applyFont="1" applyFill="1" applyBorder="1" applyAlignment="1" applyProtection="1">
      <alignment horizontal="center" vertical="center"/>
    </xf>
    <xf numFmtId="0" fontId="98" fillId="8" borderId="57" xfId="0" applyFont="1" applyFill="1" applyBorder="1" applyAlignment="1" applyProtection="1">
      <alignment horizontal="center" vertical="center"/>
    </xf>
    <xf numFmtId="0" fontId="98" fillId="8" borderId="55" xfId="0" applyFont="1" applyFill="1" applyBorder="1" applyAlignment="1" applyProtection="1">
      <alignment horizontal="center" vertical="center"/>
    </xf>
    <xf numFmtId="0" fontId="52" fillId="11" borderId="51" xfId="0" applyFont="1" applyFill="1" applyBorder="1" applyAlignment="1" applyProtection="1">
      <alignment horizontal="center"/>
    </xf>
    <xf numFmtId="0" fontId="52" fillId="11" borderId="52" xfId="0" applyFont="1" applyFill="1" applyBorder="1" applyAlignment="1" applyProtection="1">
      <alignment horizontal="center"/>
    </xf>
    <xf numFmtId="0" fontId="60" fillId="0" borderId="14" xfId="0" quotePrefix="1" applyFont="1" applyBorder="1" applyAlignment="1" applyProtection="1">
      <alignment horizontal="left"/>
      <protection locked="0"/>
    </xf>
    <xf numFmtId="0" fontId="60" fillId="0" borderId="14" xfId="0" applyFont="1" applyBorder="1" applyAlignment="1" applyProtection="1">
      <alignment horizontal="left"/>
      <protection locked="0"/>
    </xf>
    <xf numFmtId="0" fontId="1" fillId="3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4" fillId="0" borderId="0" xfId="1" applyAlignment="1">
      <alignment horizontal="center" vertical="center"/>
    </xf>
    <xf numFmtId="0" fontId="3" fillId="0" borderId="0" xfId="0" applyFont="1" applyAlignment="1">
      <alignment horizontal="left"/>
    </xf>
    <xf numFmtId="49" fontId="48" fillId="5" borderId="77" xfId="0" applyNumberFormat="1" applyFont="1" applyFill="1" applyBorder="1" applyAlignment="1">
      <alignment horizontal="center" vertical="center"/>
    </xf>
    <xf numFmtId="49" fontId="48" fillId="5" borderId="81" xfId="0" applyNumberFormat="1" applyFont="1" applyFill="1" applyBorder="1" applyAlignment="1">
      <alignment horizontal="center" vertical="center"/>
    </xf>
    <xf numFmtId="0" fontId="23" fillId="5" borderId="68" xfId="0" applyFont="1" applyFill="1" applyBorder="1" applyAlignment="1">
      <alignment horizontal="center"/>
    </xf>
    <xf numFmtId="49" fontId="108" fillId="5" borderId="20" xfId="0" applyNumberFormat="1" applyFont="1" applyFill="1" applyBorder="1" applyAlignment="1">
      <alignment horizontal="center" vertical="center"/>
    </xf>
  </cellXfs>
  <cellStyles count="11">
    <cellStyle name="Hyperlink" xfId="1" builtinId="8"/>
    <cellStyle name="Hyperlink 2" xfId="9"/>
    <cellStyle name="Hyperlink 3" xfId="3"/>
    <cellStyle name="Normal" xfId="0" builtinId="0"/>
    <cellStyle name="Normal 12" xfId="5"/>
    <cellStyle name="Normal 14" xfId="4"/>
    <cellStyle name="Normal 2" xfId="6"/>
    <cellStyle name="Normal 2 2" xfId="7"/>
    <cellStyle name="Normal 3" xfId="8"/>
    <cellStyle name="Normal 4" xfId="10"/>
    <cellStyle name="Normal 5" xfId="2"/>
  </cellStyles>
  <dxfs count="3">
    <dxf>
      <font>
        <strike val="0"/>
        <color theme="0" tint="-0.24994659260841701"/>
      </font>
    </dxf>
    <dxf>
      <font>
        <strike val="0"/>
        <color theme="0" tint="-0.24994659260841701"/>
      </font>
    </dxf>
    <dxf>
      <font>
        <strike val="0"/>
        <color theme="0" tint="-0.24994659260841701"/>
      </font>
    </dxf>
  </dxfs>
  <tableStyles count="0" defaultTableStyle="TableStyleMedium2" defaultPivotStyle="PivotStyleLight16"/>
  <colors>
    <mruColors>
      <color rgb="FF00FF00"/>
      <color rgb="FF00CC00"/>
      <color rgb="FFFF66FF"/>
      <color rgb="FFFF3300"/>
      <color rgb="FFFF0066"/>
      <color rgb="FF00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CE3602.26B8C1C0" TargetMode="External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CE3602.26B8C1C0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CE3602.26B8C1C0" TargetMode="External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CE3602.26B8C1C0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1</xdr:row>
          <xdr:rowOff>314325</xdr:rowOff>
        </xdr:to>
        <xdr:sp macro="" textlink="">
          <xdr:nvSpPr>
            <xdr:cNvPr id="5122" name="ComboBox4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F10E2C4C-5B8B-4C79-90F8-B9862655A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326572</xdr:colOff>
      <xdr:row>0</xdr:row>
      <xdr:rowOff>0</xdr:rowOff>
    </xdr:from>
    <xdr:to>
      <xdr:col>6</xdr:col>
      <xdr:colOff>2045472</xdr:colOff>
      <xdr:row>1</xdr:row>
      <xdr:rowOff>122464</xdr:rowOff>
    </xdr:to>
    <xdr:pic>
      <xdr:nvPicPr>
        <xdr:cNvPr id="3" name="Picture 2" descr="Description: Sanjel only Colour (png)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36679" y="0"/>
          <a:ext cx="1718900" cy="6123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123825</xdr:colOff>
          <xdr:row>0</xdr:row>
          <xdr:rowOff>571500</xdr:rowOff>
        </xdr:to>
        <xdr:sp macro="" textlink="">
          <xdr:nvSpPr>
            <xdr:cNvPr id="4097" name="Combo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D6A7276E-D890-4D64-9752-887B4C446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793750</xdr:colOff>
      <xdr:row>0</xdr:row>
      <xdr:rowOff>111125</xdr:rowOff>
    </xdr:from>
    <xdr:to>
      <xdr:col>6</xdr:col>
      <xdr:colOff>2512650</xdr:colOff>
      <xdr:row>1</xdr:row>
      <xdr:rowOff>79375</xdr:rowOff>
    </xdr:to>
    <xdr:pic>
      <xdr:nvPicPr>
        <xdr:cNvPr id="3" name="Picture 2" descr="Description: Sanjel only Colour (png)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9750" y="111125"/>
          <a:ext cx="1718900" cy="698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123825</xdr:colOff>
          <xdr:row>1</xdr:row>
          <xdr:rowOff>238125</xdr:rowOff>
        </xdr:to>
        <xdr:sp macro="" textlink="">
          <xdr:nvSpPr>
            <xdr:cNvPr id="2051" name="ComboBox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41A936CE-1E4B-41E5-97AE-56B64B2EE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1555750</xdr:colOff>
      <xdr:row>0</xdr:row>
      <xdr:rowOff>158750</xdr:rowOff>
    </xdr:from>
    <xdr:to>
      <xdr:col>6</xdr:col>
      <xdr:colOff>1337900</xdr:colOff>
      <xdr:row>0</xdr:row>
      <xdr:rowOff>857250</xdr:rowOff>
    </xdr:to>
    <xdr:pic>
      <xdr:nvPicPr>
        <xdr:cNvPr id="3" name="Picture 2" descr="Description: Sanjel only Colour (png)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82375" y="158750"/>
          <a:ext cx="1718900" cy="698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123825</xdr:colOff>
          <xdr:row>0</xdr:row>
          <xdr:rowOff>504825</xdr:rowOff>
        </xdr:to>
        <xdr:sp macro="" textlink="">
          <xdr:nvSpPr>
            <xdr:cNvPr id="3079" name="ComboBox3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294D2DDB-9D94-48F0-9A5A-6C94772D25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1646464</xdr:colOff>
      <xdr:row>0</xdr:row>
      <xdr:rowOff>0</xdr:rowOff>
    </xdr:from>
    <xdr:to>
      <xdr:col>6</xdr:col>
      <xdr:colOff>1446757</xdr:colOff>
      <xdr:row>1</xdr:row>
      <xdr:rowOff>72280</xdr:rowOff>
    </xdr:to>
    <xdr:pic>
      <xdr:nvPicPr>
        <xdr:cNvPr id="3" name="Picture 2" descr="Description: Sanjel only Colour (png)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60428" y="0"/>
          <a:ext cx="1718900" cy="5621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JEL20\Private\Operations\West%20Dispatch\West%20Rig%20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D"/>
      <sheetName val="Eds"/>
      <sheetName val="GP"/>
      <sheetName val="FSJ"/>
      <sheetName val="DATA"/>
      <sheetName val="Consultant Directory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E3" t="str">
            <v>2-Stage Int</v>
          </cell>
        </row>
        <row r="4">
          <cell r="E4" t="str">
            <v xml:space="preserve">2-Stage Inter </v>
          </cell>
        </row>
        <row r="5">
          <cell r="E5" t="str">
            <v>2-Stage Prod</v>
          </cell>
        </row>
        <row r="6">
          <cell r="E6" t="str">
            <v>2-Stage Surface</v>
          </cell>
        </row>
        <row r="7">
          <cell r="E7" t="str">
            <v xml:space="preserve">Abandonment </v>
          </cell>
        </row>
        <row r="8">
          <cell r="E8" t="str">
            <v>Abrasive Jet</v>
          </cell>
        </row>
        <row r="9">
          <cell r="E9" t="str">
            <v>Bradenhead</v>
          </cell>
        </row>
        <row r="10">
          <cell r="E10" t="str">
            <v xml:space="preserve">Circ Squeeze </v>
          </cell>
        </row>
        <row r="11">
          <cell r="E11" t="str">
            <v>Coil</v>
          </cell>
        </row>
        <row r="12">
          <cell r="E12" t="str">
            <v>Conductor</v>
          </cell>
        </row>
        <row r="13">
          <cell r="E13" t="str">
            <v>Foam Production</v>
          </cell>
        </row>
        <row r="14">
          <cell r="E14" t="str">
            <v>Injection Test</v>
          </cell>
        </row>
        <row r="15">
          <cell r="E15" t="str">
            <v>Intermediate</v>
          </cell>
        </row>
        <row r="16">
          <cell r="E16" t="str">
            <v>Liner</v>
          </cell>
        </row>
        <row r="17">
          <cell r="E17" t="str">
            <v>Loss Circ Plug</v>
          </cell>
        </row>
        <row r="18">
          <cell r="E18" t="str">
            <v>Packers</v>
          </cell>
        </row>
        <row r="19">
          <cell r="E19" t="str">
            <v>Plug</v>
          </cell>
        </row>
        <row r="20">
          <cell r="E20" t="str">
            <v>Production</v>
          </cell>
        </row>
        <row r="21">
          <cell r="E21" t="str">
            <v>Retainer Squeeze</v>
          </cell>
        </row>
        <row r="22">
          <cell r="E22" t="str">
            <v>Shut Down</v>
          </cell>
        </row>
        <row r="23">
          <cell r="E23" t="str">
            <v>Surface</v>
          </cell>
        </row>
        <row r="24">
          <cell r="E24" t="str">
            <v>Whipstock Plug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cenovus192@gmail.com" TargetMode="External"/><Relationship Id="rId1" Type="http://schemas.openxmlformats.org/officeDocument/2006/relationships/hyperlink" Target="mailto:cenovus147@gmai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pdwyer@talisman-energy.com" TargetMode="External"/><Relationship Id="rId13" Type="http://schemas.openxmlformats.org/officeDocument/2006/relationships/hyperlink" Target="mailto:deanmckeg@gmail.com" TargetMode="External"/><Relationship Id="rId18" Type="http://schemas.openxmlformats.org/officeDocument/2006/relationships/hyperlink" Target="mailto:hankkleen@yahoo.ca" TargetMode="External"/><Relationship Id="rId26" Type="http://schemas.openxmlformats.org/officeDocument/2006/relationships/hyperlink" Target="mailto:wbtrinidad1@gmail.com" TargetMode="External"/><Relationship Id="rId3" Type="http://schemas.openxmlformats.org/officeDocument/2006/relationships/hyperlink" Target="mailto:peytocanelson1@gmail.com" TargetMode="External"/><Relationship Id="rId21" Type="http://schemas.openxmlformats.org/officeDocument/2006/relationships/hyperlink" Target="mailto:7gennabors86@gmail.com" TargetMode="External"/><Relationship Id="rId7" Type="http://schemas.openxmlformats.org/officeDocument/2006/relationships/hyperlink" Target="mailto:aldevconsulting@gmail.com" TargetMode="External"/><Relationship Id="rId12" Type="http://schemas.openxmlformats.org/officeDocument/2006/relationships/hyperlink" Target="mailto:stumpf1@telusplanet.net" TargetMode="External"/><Relationship Id="rId17" Type="http://schemas.openxmlformats.org/officeDocument/2006/relationships/hyperlink" Target="mailto:peyto051@gmail.com" TargetMode="External"/><Relationship Id="rId25" Type="http://schemas.openxmlformats.org/officeDocument/2006/relationships/hyperlink" Target="mailto:wbtrinidad1@gmail.com" TargetMode="External"/><Relationship Id="rId2" Type="http://schemas.openxmlformats.org/officeDocument/2006/relationships/hyperlink" Target="mailto:geraldgould2@gmail.com" TargetMode="External"/><Relationship Id="rId16" Type="http://schemas.openxmlformats.org/officeDocument/2006/relationships/hyperlink" Target="mailto:zander-ventures@hotmail.com" TargetMode="External"/><Relationship Id="rId20" Type="http://schemas.openxmlformats.org/officeDocument/2006/relationships/hyperlink" Target="mailto:peytorig5@gmail.com" TargetMode="External"/><Relationship Id="rId29" Type="http://schemas.openxmlformats.org/officeDocument/2006/relationships/hyperlink" Target="mailto:dril1@ikkumarescorp.com" TargetMode="External"/><Relationship Id="rId1" Type="http://schemas.openxmlformats.org/officeDocument/2006/relationships/hyperlink" Target="mailto:groe@extservices.repsol.com" TargetMode="External"/><Relationship Id="rId6" Type="http://schemas.openxmlformats.org/officeDocument/2006/relationships/hyperlink" Target="mailto:peyto634@gmail.com" TargetMode="External"/><Relationship Id="rId11" Type="http://schemas.openxmlformats.org/officeDocument/2006/relationships/hyperlink" Target="mailto:black59swan@gmail.com" TargetMode="External"/><Relationship Id="rId24" Type="http://schemas.openxmlformats.org/officeDocument/2006/relationships/hyperlink" Target="mailto:wbtrinidad1@gmail.com" TargetMode="External"/><Relationship Id="rId5" Type="http://schemas.openxmlformats.org/officeDocument/2006/relationships/hyperlink" Target="mailto:peyto616@gmail.com" TargetMode="External"/><Relationship Id="rId15" Type="http://schemas.openxmlformats.org/officeDocument/2006/relationships/hyperlink" Target="mailto:gerry.moritz1111@gmail.com" TargetMode="External"/><Relationship Id="rId23" Type="http://schemas.openxmlformats.org/officeDocument/2006/relationships/hyperlink" Target="mailto:wbtrinidad1@gmail.com" TargetMode="External"/><Relationship Id="rId28" Type="http://schemas.openxmlformats.org/officeDocument/2006/relationships/hyperlink" Target="mailto:anselldrill@enerplus.com" TargetMode="External"/><Relationship Id="rId10" Type="http://schemas.openxmlformats.org/officeDocument/2006/relationships/hyperlink" Target="mailto:bonavista636@gmail.com" TargetMode="External"/><Relationship Id="rId19" Type="http://schemas.openxmlformats.org/officeDocument/2006/relationships/hyperlink" Target="mailto:darrinlodoen@gmail.com" TargetMode="External"/><Relationship Id="rId31" Type="http://schemas.openxmlformats.org/officeDocument/2006/relationships/printerSettings" Target="../printerSettings/printerSettings14.bin"/><Relationship Id="rId4" Type="http://schemas.openxmlformats.org/officeDocument/2006/relationships/hyperlink" Target="mailto:peyto432@gmail.com" TargetMode="External"/><Relationship Id="rId9" Type="http://schemas.openxmlformats.org/officeDocument/2006/relationships/hyperlink" Target="mailto:cynter@sasktel.net" TargetMode="External"/><Relationship Id="rId14" Type="http://schemas.openxmlformats.org/officeDocument/2006/relationships/hyperlink" Target="mailto:peytorig9@gmail.com" TargetMode="External"/><Relationship Id="rId22" Type="http://schemas.openxmlformats.org/officeDocument/2006/relationships/hyperlink" Target="mailto:loranjr@hotmail.com" TargetMode="External"/><Relationship Id="rId27" Type="http://schemas.openxmlformats.org/officeDocument/2006/relationships/hyperlink" Target="mailto:acl.akita@gesmail.ca" TargetMode="External"/><Relationship Id="rId30" Type="http://schemas.openxmlformats.org/officeDocument/2006/relationships/hyperlink" Target="mailto:aj.resourcesltd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64"/>
  <sheetViews>
    <sheetView showGridLines="0" tabSelected="1" zoomScale="70" zoomScaleNormal="70" workbookViewId="0">
      <selection activeCell="G15" sqref="G15:H15"/>
    </sheetView>
  </sheetViews>
  <sheetFormatPr defaultRowHeight="16.5" x14ac:dyDescent="0.3"/>
  <cols>
    <col min="1" max="1" width="7.5703125" style="5" customWidth="1"/>
    <col min="2" max="2" width="28.85546875" style="5" customWidth="1"/>
    <col min="3" max="3" width="34.42578125" style="5" customWidth="1"/>
    <col min="4" max="4" width="22.5703125" style="5" customWidth="1"/>
    <col min="5" max="5" width="29.85546875" style="5" customWidth="1"/>
    <col min="6" max="6" width="28.28515625" style="5" customWidth="1"/>
    <col min="7" max="7" width="81.85546875" style="5" customWidth="1"/>
    <col min="8" max="8" width="29.5703125" style="5" customWidth="1"/>
    <col min="9" max="9" width="17.28515625" style="5" customWidth="1"/>
    <col min="10" max="11" width="18" style="5" customWidth="1"/>
    <col min="12" max="12" width="72.28515625" style="5" customWidth="1"/>
    <col min="13" max="18" width="9.140625" style="5" hidden="1" customWidth="1"/>
    <col min="19" max="16384" width="9.140625" style="5"/>
  </cols>
  <sheetData>
    <row r="1" spans="1:18" s="1" customFormat="1" ht="38.25" customHeight="1" thickBot="1" x14ac:dyDescent="0.35">
      <c r="A1" s="548" t="s">
        <v>264</v>
      </c>
      <c r="B1" s="549"/>
      <c r="C1" s="549"/>
      <c r="D1" s="549"/>
      <c r="E1" s="549"/>
      <c r="F1" s="549"/>
      <c r="G1" s="549"/>
      <c r="H1" s="549"/>
      <c r="I1" s="549"/>
      <c r="J1" s="549"/>
      <c r="K1" s="549"/>
      <c r="L1" s="549"/>
      <c r="M1" s="549"/>
      <c r="N1" s="549"/>
      <c r="O1" s="549"/>
      <c r="P1" s="549"/>
      <c r="Q1" s="549"/>
      <c r="R1" s="550"/>
    </row>
    <row r="2" spans="1:18" s="20" customFormat="1" ht="31.5" thickBot="1" x14ac:dyDescent="0.6">
      <c r="A2" s="551"/>
      <c r="B2" s="552"/>
      <c r="C2" s="552"/>
      <c r="D2" s="552"/>
      <c r="E2" s="552"/>
      <c r="F2" s="552"/>
      <c r="G2" s="552"/>
      <c r="H2" s="552"/>
      <c r="I2" s="552"/>
      <c r="J2" s="552"/>
      <c r="K2" s="552"/>
      <c r="L2" s="552"/>
      <c r="M2" s="553"/>
      <c r="N2" s="553"/>
      <c r="O2" s="553"/>
      <c r="P2" s="553"/>
      <c r="Q2" s="553"/>
      <c r="R2" s="554"/>
    </row>
    <row r="3" spans="1:18" s="21" customFormat="1" ht="39" thickBot="1" x14ac:dyDescent="0.7">
      <c r="A3" s="324"/>
      <c r="B3" s="325" t="s">
        <v>2</v>
      </c>
      <c r="C3" s="325" t="s">
        <v>0</v>
      </c>
      <c r="D3" s="325" t="s">
        <v>1</v>
      </c>
      <c r="E3" s="325" t="s">
        <v>3</v>
      </c>
      <c r="F3" s="325" t="s">
        <v>4</v>
      </c>
      <c r="G3" s="565" t="s">
        <v>439</v>
      </c>
      <c r="H3" s="566"/>
      <c r="I3" s="322"/>
      <c r="J3" s="325" t="s">
        <v>5</v>
      </c>
      <c r="K3" s="326"/>
      <c r="L3" s="325" t="s">
        <v>6</v>
      </c>
    </row>
    <row r="4" spans="1:18" s="22" customFormat="1" ht="24" customHeight="1" thickTop="1" x14ac:dyDescent="0.55000000000000004">
      <c r="A4" s="531">
        <v>1</v>
      </c>
      <c r="B4" s="483" t="s">
        <v>398</v>
      </c>
      <c r="C4" s="483" t="s">
        <v>588</v>
      </c>
      <c r="D4" s="483" t="s">
        <v>506</v>
      </c>
      <c r="E4" s="555" t="s">
        <v>8</v>
      </c>
      <c r="F4" s="557" t="s">
        <v>532</v>
      </c>
      <c r="G4" s="501"/>
      <c r="H4" s="502"/>
      <c r="I4" s="481"/>
      <c r="J4" s="559">
        <v>1820</v>
      </c>
      <c r="K4" s="272"/>
      <c r="L4" s="73" t="s">
        <v>510</v>
      </c>
    </row>
    <row r="5" spans="1:18" s="22" customFormat="1" ht="24" customHeight="1" thickBot="1" x14ac:dyDescent="0.6">
      <c r="A5" s="532"/>
      <c r="B5" s="489"/>
      <c r="C5" s="489"/>
      <c r="D5" s="489"/>
      <c r="E5" s="556"/>
      <c r="F5" s="534"/>
      <c r="G5" s="499" t="s">
        <v>600</v>
      </c>
      <c r="H5" s="500"/>
      <c r="I5" s="482"/>
      <c r="J5" s="560"/>
      <c r="K5" s="273"/>
      <c r="L5" s="286"/>
    </row>
    <row r="6" spans="1:18" s="49" customFormat="1" ht="24" customHeight="1" thickTop="1" x14ac:dyDescent="0.55000000000000004">
      <c r="A6" s="487">
        <v>2</v>
      </c>
      <c r="B6" s="483" t="s">
        <v>398</v>
      </c>
      <c r="C6" s="483" t="s">
        <v>559</v>
      </c>
      <c r="D6" s="483" t="s">
        <v>513</v>
      </c>
      <c r="E6" s="483" t="s">
        <v>19</v>
      </c>
      <c r="F6" s="490" t="s">
        <v>627</v>
      </c>
      <c r="G6" s="492" t="s">
        <v>613</v>
      </c>
      <c r="H6" s="493"/>
      <c r="I6" s="497"/>
      <c r="J6" s="494">
        <v>2082</v>
      </c>
      <c r="K6" s="359" t="s">
        <v>258</v>
      </c>
      <c r="L6" s="73" t="s">
        <v>514</v>
      </c>
    </row>
    <row r="7" spans="1:18" s="49" customFormat="1" ht="24" customHeight="1" thickBot="1" x14ac:dyDescent="0.6">
      <c r="A7" s="488"/>
      <c r="B7" s="489"/>
      <c r="C7" s="489"/>
      <c r="D7" s="489"/>
      <c r="E7" s="489"/>
      <c r="F7" s="491"/>
      <c r="G7" s="495" t="s">
        <v>644</v>
      </c>
      <c r="H7" s="496"/>
      <c r="I7" s="498"/>
      <c r="J7" s="489"/>
      <c r="K7" s="360"/>
      <c r="L7" s="286"/>
      <c r="R7" s="49" t="s">
        <v>255</v>
      </c>
    </row>
    <row r="8" spans="1:18" s="22" customFormat="1" ht="24" customHeight="1" thickTop="1" x14ac:dyDescent="0.55000000000000004">
      <c r="A8" s="531">
        <v>3</v>
      </c>
      <c r="B8" s="483" t="s">
        <v>429</v>
      </c>
      <c r="C8" s="483" t="s">
        <v>587</v>
      </c>
      <c r="D8" s="483" t="s">
        <v>464</v>
      </c>
      <c r="E8" s="555" t="s">
        <v>8</v>
      </c>
      <c r="F8" s="557" t="s">
        <v>624</v>
      </c>
      <c r="G8" s="501"/>
      <c r="H8" s="502"/>
      <c r="I8" s="497"/>
      <c r="J8" s="483">
        <v>2041</v>
      </c>
      <c r="K8" s="274" t="s">
        <v>258</v>
      </c>
      <c r="L8" s="288" t="s">
        <v>430</v>
      </c>
    </row>
    <row r="9" spans="1:18" s="22" customFormat="1" ht="24" customHeight="1" thickBot="1" x14ac:dyDescent="0.6">
      <c r="A9" s="532"/>
      <c r="B9" s="489"/>
      <c r="C9" s="489"/>
      <c r="D9" s="489"/>
      <c r="E9" s="556"/>
      <c r="F9" s="558"/>
      <c r="G9" s="567"/>
      <c r="H9" s="568"/>
      <c r="I9" s="498"/>
      <c r="J9" s="489"/>
      <c r="K9" s="275"/>
      <c r="L9" s="286"/>
    </row>
    <row r="10" spans="1:18" s="23" customFormat="1" ht="24" customHeight="1" thickTop="1" x14ac:dyDescent="0.55000000000000004">
      <c r="A10" s="531">
        <v>4</v>
      </c>
      <c r="B10" s="483" t="s">
        <v>429</v>
      </c>
      <c r="C10" s="561" t="s">
        <v>602</v>
      </c>
      <c r="D10" s="483" t="s">
        <v>516</v>
      </c>
      <c r="E10" s="483" t="s">
        <v>8</v>
      </c>
      <c r="F10" s="557" t="s">
        <v>532</v>
      </c>
      <c r="G10" s="563" t="s">
        <v>629</v>
      </c>
      <c r="H10" s="564"/>
      <c r="I10" s="503"/>
      <c r="J10" s="483">
        <v>1900</v>
      </c>
      <c r="K10" s="363" t="s">
        <v>258</v>
      </c>
      <c r="L10" s="363" t="s">
        <v>517</v>
      </c>
    </row>
    <row r="11" spans="1:18" s="23" customFormat="1" ht="24" customHeight="1" thickBot="1" x14ac:dyDescent="0.6">
      <c r="A11" s="532"/>
      <c r="B11" s="489"/>
      <c r="C11" s="562"/>
      <c r="D11" s="489"/>
      <c r="E11" s="489"/>
      <c r="F11" s="534"/>
      <c r="G11" s="485"/>
      <c r="H11" s="486"/>
      <c r="I11" s="504"/>
      <c r="J11" s="484"/>
      <c r="K11" s="58"/>
      <c r="L11" s="364"/>
    </row>
    <row r="12" spans="1:18" s="23" customFormat="1" ht="24" customHeight="1" thickTop="1" x14ac:dyDescent="0.55000000000000004">
      <c r="A12" s="528">
        <v>5</v>
      </c>
      <c r="B12" s="541" t="s">
        <v>432</v>
      </c>
      <c r="C12" s="541" t="s">
        <v>523</v>
      </c>
      <c r="D12" s="541" t="s">
        <v>433</v>
      </c>
      <c r="E12" s="541" t="s">
        <v>8</v>
      </c>
      <c r="F12" s="571" t="s">
        <v>642</v>
      </c>
      <c r="G12" s="572" t="s">
        <v>641</v>
      </c>
      <c r="H12" s="573"/>
      <c r="I12" s="270"/>
      <c r="J12" s="541" t="s">
        <v>462</v>
      </c>
      <c r="K12" s="276" t="s">
        <v>260</v>
      </c>
      <c r="L12" s="287" t="s">
        <v>434</v>
      </c>
    </row>
    <row r="13" spans="1:18" s="23" customFormat="1" ht="24" customHeight="1" thickBot="1" x14ac:dyDescent="0.6">
      <c r="A13" s="528"/>
      <c r="B13" s="541"/>
      <c r="C13" s="541"/>
      <c r="D13" s="541"/>
      <c r="E13" s="541"/>
      <c r="F13" s="571"/>
      <c r="G13" s="569" t="s">
        <v>643</v>
      </c>
      <c r="H13" s="570"/>
      <c r="I13" s="289"/>
      <c r="J13" s="541"/>
      <c r="K13" s="276" t="s">
        <v>262</v>
      </c>
      <c r="L13" s="290" t="s">
        <v>435</v>
      </c>
    </row>
    <row r="14" spans="1:18" s="23" customFormat="1" ht="24" customHeight="1" thickTop="1" x14ac:dyDescent="0.55000000000000004">
      <c r="A14" s="531">
        <v>6</v>
      </c>
      <c r="B14" s="483" t="s">
        <v>661</v>
      </c>
      <c r="C14" s="561" t="s">
        <v>662</v>
      </c>
      <c r="D14" s="483" t="s">
        <v>663</v>
      </c>
      <c r="E14" s="483" t="s">
        <v>8</v>
      </c>
      <c r="F14" s="809" t="s">
        <v>664</v>
      </c>
      <c r="G14" s="509" t="s">
        <v>665</v>
      </c>
      <c r="H14" s="510"/>
      <c r="I14" s="503"/>
      <c r="J14" s="483"/>
      <c r="K14" s="363"/>
      <c r="L14" s="363"/>
    </row>
    <row r="15" spans="1:18" s="23" customFormat="1" ht="24" customHeight="1" thickBot="1" x14ac:dyDescent="0.6">
      <c r="A15" s="532"/>
      <c r="B15" s="489"/>
      <c r="C15" s="562"/>
      <c r="D15" s="489"/>
      <c r="E15" s="489"/>
      <c r="F15" s="491"/>
      <c r="G15" s="507"/>
      <c r="H15" s="508"/>
      <c r="I15" s="504"/>
      <c r="J15" s="484"/>
      <c r="K15" s="58"/>
      <c r="L15" s="364"/>
    </row>
    <row r="16" spans="1:18" s="49" customFormat="1" ht="24" customHeight="1" thickTop="1" x14ac:dyDescent="0.55000000000000004">
      <c r="A16" s="531">
        <v>7</v>
      </c>
      <c r="B16" s="483"/>
      <c r="C16" s="483"/>
      <c r="D16" s="483"/>
      <c r="E16" s="483"/>
      <c r="F16" s="533"/>
      <c r="G16" s="511"/>
      <c r="H16" s="512"/>
      <c r="I16" s="503"/>
      <c r="J16" s="503"/>
      <c r="K16" s="268"/>
      <c r="L16" s="52"/>
    </row>
    <row r="17" spans="1:12" s="49" customFormat="1" ht="24" customHeight="1" thickBot="1" x14ac:dyDescent="0.6">
      <c r="A17" s="532"/>
      <c r="B17" s="489"/>
      <c r="C17" s="489"/>
      <c r="D17" s="489"/>
      <c r="E17" s="489"/>
      <c r="F17" s="534"/>
      <c r="G17" s="507"/>
      <c r="H17" s="508"/>
      <c r="I17" s="504"/>
      <c r="J17" s="504"/>
      <c r="K17" s="58"/>
      <c r="L17" s="51"/>
    </row>
    <row r="18" spans="1:12" s="23" customFormat="1" ht="24" customHeight="1" thickTop="1" x14ac:dyDescent="0.55000000000000004">
      <c r="A18" s="528">
        <v>8</v>
      </c>
      <c r="B18" s="541"/>
      <c r="C18" s="541"/>
      <c r="D18" s="541"/>
      <c r="E18" s="541"/>
      <c r="F18" s="542"/>
      <c r="G18" s="511"/>
      <c r="H18" s="512"/>
      <c r="I18" s="505"/>
      <c r="J18" s="505"/>
      <c r="K18" s="57"/>
      <c r="L18" s="53"/>
    </row>
    <row r="19" spans="1:12" s="23" customFormat="1" ht="24" customHeight="1" thickBot="1" x14ac:dyDescent="0.6">
      <c r="A19" s="528"/>
      <c r="B19" s="541"/>
      <c r="C19" s="541"/>
      <c r="D19" s="541"/>
      <c r="E19" s="541"/>
      <c r="F19" s="542"/>
      <c r="G19" s="507"/>
      <c r="H19" s="508"/>
      <c r="I19" s="506"/>
      <c r="J19" s="506"/>
      <c r="K19" s="292"/>
      <c r="L19" s="291"/>
    </row>
    <row r="20" spans="1:12" s="23" customFormat="1" ht="24" customHeight="1" thickTop="1" x14ac:dyDescent="0.55000000000000004">
      <c r="A20" s="531">
        <v>9</v>
      </c>
      <c r="B20" s="483"/>
      <c r="C20" s="483"/>
      <c r="D20" s="483"/>
      <c r="E20" s="483" t="s">
        <v>256</v>
      </c>
      <c r="F20" s="533"/>
      <c r="G20" s="492"/>
      <c r="H20" s="493"/>
      <c r="I20" s="269"/>
      <c r="J20" s="483"/>
      <c r="K20" s="274"/>
      <c r="L20" s="71"/>
    </row>
    <row r="21" spans="1:12" s="23" customFormat="1" ht="24" customHeight="1" thickBot="1" x14ac:dyDescent="0.6">
      <c r="A21" s="532"/>
      <c r="B21" s="489"/>
      <c r="C21" s="489"/>
      <c r="D21" s="489"/>
      <c r="E21" s="489"/>
      <c r="F21" s="534"/>
      <c r="G21" s="535"/>
      <c r="H21" s="536"/>
      <c r="I21" s="293"/>
      <c r="J21" s="489"/>
      <c r="K21" s="275"/>
      <c r="L21" s="72"/>
    </row>
    <row r="22" spans="1:12" s="23" customFormat="1" ht="24" customHeight="1" thickTop="1" x14ac:dyDescent="0.55000000000000004">
      <c r="A22" s="528">
        <v>10</v>
      </c>
      <c r="B22" s="541"/>
      <c r="C22" s="541"/>
      <c r="D22" s="541"/>
      <c r="E22" s="541"/>
      <c r="F22" s="545"/>
      <c r="G22" s="546"/>
      <c r="H22" s="547"/>
      <c r="I22" s="285"/>
      <c r="J22" s="541"/>
      <c r="K22" s="276"/>
      <c r="L22" s="70"/>
    </row>
    <row r="23" spans="1:12" s="23" customFormat="1" ht="24" customHeight="1" thickBot="1" x14ac:dyDescent="0.6">
      <c r="A23" s="528"/>
      <c r="B23" s="541"/>
      <c r="C23" s="541"/>
      <c r="D23" s="541"/>
      <c r="E23" s="541"/>
      <c r="F23" s="545"/>
      <c r="G23" s="495"/>
      <c r="H23" s="496"/>
      <c r="I23" s="50"/>
      <c r="J23" s="541"/>
      <c r="K23" s="276"/>
      <c r="L23" s="294"/>
    </row>
    <row r="24" spans="1:12" s="23" customFormat="1" ht="24" customHeight="1" thickTop="1" x14ac:dyDescent="0.55000000000000004">
      <c r="A24" s="531">
        <v>11</v>
      </c>
      <c r="B24" s="483"/>
      <c r="C24" s="483"/>
      <c r="D24" s="483"/>
      <c r="E24" s="483"/>
      <c r="F24" s="533"/>
      <c r="G24" s="543"/>
      <c r="H24" s="544"/>
      <c r="I24" s="269"/>
      <c r="J24" s="483"/>
      <c r="K24" s="274"/>
      <c r="L24" s="71"/>
    </row>
    <row r="25" spans="1:12" s="23" customFormat="1" ht="24" customHeight="1" thickBot="1" x14ac:dyDescent="0.6">
      <c r="A25" s="532"/>
      <c r="B25" s="489"/>
      <c r="C25" s="489"/>
      <c r="D25" s="489"/>
      <c r="E25" s="489"/>
      <c r="F25" s="534"/>
      <c r="G25" s="535"/>
      <c r="H25" s="536"/>
      <c r="I25" s="271"/>
      <c r="J25" s="489"/>
      <c r="K25" s="275"/>
      <c r="L25" s="72"/>
    </row>
    <row r="26" spans="1:12" s="23" customFormat="1" ht="24" customHeight="1" thickTop="1" x14ac:dyDescent="0.55000000000000004">
      <c r="A26" s="528">
        <v>12</v>
      </c>
      <c r="B26" s="541"/>
      <c r="C26" s="541"/>
      <c r="D26" s="541"/>
      <c r="E26" s="541"/>
      <c r="F26" s="542"/>
      <c r="G26" s="492"/>
      <c r="H26" s="493"/>
      <c r="I26" s="270"/>
      <c r="J26" s="541"/>
      <c r="K26" s="276"/>
      <c r="L26" s="70"/>
    </row>
    <row r="27" spans="1:12" s="23" customFormat="1" ht="24" customHeight="1" thickBot="1" x14ac:dyDescent="0.6">
      <c r="A27" s="528"/>
      <c r="B27" s="541"/>
      <c r="C27" s="541"/>
      <c r="D27" s="541"/>
      <c r="E27" s="541"/>
      <c r="F27" s="542"/>
      <c r="G27" s="535"/>
      <c r="H27" s="536"/>
      <c r="I27" s="270"/>
      <c r="J27" s="541"/>
      <c r="K27" s="276"/>
      <c r="L27" s="294"/>
    </row>
    <row r="28" spans="1:12" s="23" customFormat="1" ht="24" customHeight="1" thickTop="1" x14ac:dyDescent="0.55000000000000004">
      <c r="A28" s="531">
        <v>13</v>
      </c>
      <c r="B28" s="483"/>
      <c r="C28" s="483"/>
      <c r="D28" s="483"/>
      <c r="E28" s="483"/>
      <c r="F28" s="533"/>
      <c r="G28" s="492"/>
      <c r="H28" s="493"/>
      <c r="I28" s="295"/>
      <c r="J28" s="483"/>
      <c r="K28" s="274"/>
      <c r="L28" s="71"/>
    </row>
    <row r="29" spans="1:12" s="23" customFormat="1" ht="24" customHeight="1" thickBot="1" x14ac:dyDescent="0.6">
      <c r="A29" s="532"/>
      <c r="B29" s="489"/>
      <c r="C29" s="489"/>
      <c r="D29" s="489"/>
      <c r="E29" s="489"/>
      <c r="F29" s="534"/>
      <c r="G29" s="535"/>
      <c r="H29" s="536"/>
      <c r="I29" s="271"/>
      <c r="J29" s="489"/>
      <c r="K29" s="275"/>
      <c r="L29" s="72"/>
    </row>
    <row r="30" spans="1:12" s="23" customFormat="1" ht="24" customHeight="1" thickTop="1" x14ac:dyDescent="0.55000000000000004">
      <c r="A30" s="528">
        <v>14</v>
      </c>
      <c r="B30" s="541"/>
      <c r="C30" s="541"/>
      <c r="D30" s="541"/>
      <c r="E30" s="541"/>
      <c r="F30" s="542"/>
      <c r="G30" s="492"/>
      <c r="H30" s="493"/>
      <c r="I30" s="270"/>
      <c r="J30" s="541"/>
      <c r="K30" s="276"/>
      <c r="L30" s="70"/>
    </row>
    <row r="31" spans="1:12" s="23" customFormat="1" ht="24" customHeight="1" thickBot="1" x14ac:dyDescent="0.6">
      <c r="A31" s="528"/>
      <c r="B31" s="541"/>
      <c r="C31" s="541"/>
      <c r="D31" s="541"/>
      <c r="E31" s="541"/>
      <c r="F31" s="542"/>
      <c r="G31" s="535"/>
      <c r="H31" s="536"/>
      <c r="I31" s="270"/>
      <c r="J31" s="541"/>
      <c r="K31" s="276"/>
      <c r="L31" s="294"/>
    </row>
    <row r="32" spans="1:12" s="23" customFormat="1" ht="24" customHeight="1" thickTop="1" x14ac:dyDescent="0.55000000000000004">
      <c r="A32" s="531">
        <v>14</v>
      </c>
      <c r="B32" s="483"/>
      <c r="C32" s="483"/>
      <c r="D32" s="483"/>
      <c r="E32" s="483"/>
      <c r="F32" s="533"/>
      <c r="G32" s="492"/>
      <c r="H32" s="493"/>
      <c r="I32" s="299"/>
      <c r="J32" s="483"/>
      <c r="K32" s="274"/>
      <c r="L32" s="71"/>
    </row>
    <row r="33" spans="1:12" s="23" customFormat="1" ht="24" customHeight="1" thickBot="1" x14ac:dyDescent="0.6">
      <c r="A33" s="532"/>
      <c r="B33" s="489"/>
      <c r="C33" s="489"/>
      <c r="D33" s="489"/>
      <c r="E33" s="489"/>
      <c r="F33" s="534"/>
      <c r="G33" s="535"/>
      <c r="H33" s="536"/>
      <c r="I33" s="300"/>
      <c r="J33" s="489"/>
      <c r="K33" s="275"/>
      <c r="L33" s="72"/>
    </row>
    <row r="34" spans="1:12" s="14" customFormat="1" ht="24" customHeight="1" thickTop="1" x14ac:dyDescent="0.55000000000000004">
      <c r="A34" s="528">
        <v>18</v>
      </c>
      <c r="B34" s="529"/>
      <c r="C34" s="529"/>
      <c r="D34" s="529"/>
      <c r="E34" s="529"/>
      <c r="F34" s="530"/>
      <c r="G34" s="537"/>
      <c r="H34" s="538"/>
      <c r="I34" s="296"/>
      <c r="J34" s="529"/>
      <c r="K34" s="297"/>
      <c r="L34" s="298"/>
    </row>
    <row r="35" spans="1:12" s="14" customFormat="1" ht="24" customHeight="1" thickBot="1" x14ac:dyDescent="0.6">
      <c r="A35" s="528"/>
      <c r="B35" s="529"/>
      <c r="C35" s="529"/>
      <c r="D35" s="529"/>
      <c r="E35" s="529"/>
      <c r="F35" s="530"/>
      <c r="G35" s="539"/>
      <c r="H35" s="540"/>
      <c r="I35" s="344"/>
      <c r="J35" s="529"/>
      <c r="K35" s="341"/>
      <c r="L35" s="352"/>
    </row>
    <row r="36" spans="1:12" ht="24" customHeight="1" thickTop="1" x14ac:dyDescent="0.3">
      <c r="A36" s="521">
        <f t="shared" ref="A36:A62" si="0">A34+1</f>
        <v>19</v>
      </c>
      <c r="B36" s="523"/>
      <c r="C36" s="523"/>
      <c r="D36" s="523"/>
      <c r="E36" s="523"/>
      <c r="F36" s="525"/>
      <c r="G36" s="354"/>
      <c r="H36" s="345"/>
      <c r="I36" s="345"/>
      <c r="J36" s="523"/>
      <c r="K36" s="355"/>
      <c r="L36" s="356"/>
    </row>
    <row r="37" spans="1:12" ht="24" customHeight="1" thickBot="1" x14ac:dyDescent="0.35">
      <c r="A37" s="522"/>
      <c r="B37" s="524"/>
      <c r="C37" s="524"/>
      <c r="D37" s="524"/>
      <c r="E37" s="524"/>
      <c r="F37" s="526"/>
      <c r="G37" s="357"/>
      <c r="H37" s="346"/>
      <c r="I37" s="346"/>
      <c r="J37" s="524"/>
      <c r="K37" s="331"/>
      <c r="L37" s="358"/>
    </row>
    <row r="38" spans="1:12" ht="24" customHeight="1" thickTop="1" x14ac:dyDescent="0.3">
      <c r="A38" s="527">
        <f t="shared" si="0"/>
        <v>20</v>
      </c>
      <c r="B38" s="519"/>
      <c r="C38" s="519"/>
      <c r="D38" s="519"/>
      <c r="E38" s="519"/>
      <c r="F38" s="520"/>
      <c r="G38" s="349"/>
      <c r="H38" s="344"/>
      <c r="I38" s="344"/>
      <c r="J38" s="519"/>
      <c r="K38" s="350"/>
      <c r="L38" s="353"/>
    </row>
    <row r="39" spans="1:12" ht="24" customHeight="1" thickBot="1" x14ac:dyDescent="0.35">
      <c r="A39" s="514"/>
      <c r="B39" s="516"/>
      <c r="C39" s="516"/>
      <c r="D39" s="516"/>
      <c r="E39" s="516"/>
      <c r="F39" s="518"/>
      <c r="G39" s="6"/>
      <c r="H39" s="41"/>
      <c r="I39" s="41"/>
      <c r="J39" s="516"/>
      <c r="K39" s="55"/>
      <c r="L39" s="7"/>
    </row>
    <row r="40" spans="1:12" ht="24" customHeight="1" thickTop="1" x14ac:dyDescent="0.3">
      <c r="A40" s="513">
        <f t="shared" si="0"/>
        <v>21</v>
      </c>
      <c r="B40" s="515"/>
      <c r="C40" s="515"/>
      <c r="D40" s="515"/>
      <c r="E40" s="515"/>
      <c r="F40" s="517"/>
      <c r="G40" s="3"/>
      <c r="H40" s="39"/>
      <c r="I40" s="39"/>
      <c r="J40" s="515"/>
      <c r="K40" s="54"/>
      <c r="L40" s="4"/>
    </row>
    <row r="41" spans="1:12" ht="24" customHeight="1" thickBot="1" x14ac:dyDescent="0.35">
      <c r="A41" s="514"/>
      <c r="B41" s="516"/>
      <c r="C41" s="516"/>
      <c r="D41" s="516"/>
      <c r="E41" s="516"/>
      <c r="F41" s="518"/>
      <c r="G41" s="6"/>
      <c r="H41" s="40"/>
      <c r="I41" s="40"/>
      <c r="J41" s="516"/>
      <c r="K41" s="55"/>
      <c r="L41" s="7"/>
    </row>
    <row r="42" spans="1:12" ht="24" customHeight="1" thickTop="1" x14ac:dyDescent="0.3">
      <c r="A42" s="513">
        <f t="shared" si="0"/>
        <v>22</v>
      </c>
      <c r="B42" s="515"/>
      <c r="C42" s="515"/>
      <c r="D42" s="515"/>
      <c r="E42" s="515"/>
      <c r="F42" s="517"/>
      <c r="G42" s="3"/>
      <c r="H42" s="39"/>
      <c r="I42" s="39"/>
      <c r="J42" s="515"/>
      <c r="K42" s="54"/>
      <c r="L42" s="4"/>
    </row>
    <row r="43" spans="1:12" ht="24" customHeight="1" thickBot="1" x14ac:dyDescent="0.35">
      <c r="A43" s="514"/>
      <c r="B43" s="516"/>
      <c r="C43" s="516"/>
      <c r="D43" s="516"/>
      <c r="E43" s="516"/>
      <c r="F43" s="518"/>
      <c r="G43" s="6"/>
      <c r="H43" s="40"/>
      <c r="I43" s="40"/>
      <c r="J43" s="516"/>
      <c r="K43" s="55"/>
      <c r="L43" s="7"/>
    </row>
    <row r="44" spans="1:12" ht="24" customHeight="1" thickTop="1" x14ac:dyDescent="0.3">
      <c r="A44" s="513">
        <f t="shared" si="0"/>
        <v>23</v>
      </c>
      <c r="B44" s="515"/>
      <c r="C44" s="515"/>
      <c r="D44" s="515"/>
      <c r="E44" s="515"/>
      <c r="F44" s="517"/>
      <c r="G44" s="3"/>
      <c r="H44" s="39"/>
      <c r="I44" s="39"/>
      <c r="J44" s="515"/>
      <c r="K44" s="54"/>
      <c r="L44" s="4"/>
    </row>
    <row r="45" spans="1:12" ht="24" customHeight="1" thickBot="1" x14ac:dyDescent="0.35">
      <c r="A45" s="514"/>
      <c r="B45" s="516"/>
      <c r="C45" s="516"/>
      <c r="D45" s="516"/>
      <c r="E45" s="516"/>
      <c r="F45" s="518"/>
      <c r="G45" s="6"/>
      <c r="H45" s="40"/>
      <c r="I45" s="40"/>
      <c r="J45" s="516"/>
      <c r="K45" s="55"/>
      <c r="L45" s="7"/>
    </row>
    <row r="46" spans="1:12" ht="24" customHeight="1" thickTop="1" x14ac:dyDescent="0.3">
      <c r="A46" s="513">
        <f t="shared" si="0"/>
        <v>24</v>
      </c>
      <c r="B46" s="515"/>
      <c r="C46" s="515"/>
      <c r="D46" s="515"/>
      <c r="E46" s="515"/>
      <c r="F46" s="517"/>
      <c r="G46" s="3"/>
      <c r="H46" s="39"/>
      <c r="I46" s="39"/>
      <c r="J46" s="515"/>
      <c r="K46" s="54"/>
      <c r="L46" s="4"/>
    </row>
    <row r="47" spans="1:12" ht="24" customHeight="1" thickBot="1" x14ac:dyDescent="0.35">
      <c r="A47" s="514"/>
      <c r="B47" s="516"/>
      <c r="C47" s="516"/>
      <c r="D47" s="516"/>
      <c r="E47" s="516"/>
      <c r="F47" s="518"/>
      <c r="G47" s="6"/>
      <c r="H47" s="40"/>
      <c r="I47" s="40"/>
      <c r="J47" s="516"/>
      <c r="K47" s="55"/>
      <c r="L47" s="7"/>
    </row>
    <row r="48" spans="1:12" ht="24" customHeight="1" thickTop="1" x14ac:dyDescent="0.3">
      <c r="A48" s="513">
        <f t="shared" si="0"/>
        <v>25</v>
      </c>
      <c r="B48" s="515"/>
      <c r="C48" s="515"/>
      <c r="D48" s="515"/>
      <c r="E48" s="515"/>
      <c r="F48" s="517"/>
      <c r="G48" s="3"/>
      <c r="H48" s="39"/>
      <c r="I48" s="39"/>
      <c r="J48" s="515"/>
      <c r="K48" s="54"/>
      <c r="L48" s="4"/>
    </row>
    <row r="49" spans="1:12" ht="24" customHeight="1" thickBot="1" x14ac:dyDescent="0.35">
      <c r="A49" s="514"/>
      <c r="B49" s="516"/>
      <c r="C49" s="516"/>
      <c r="D49" s="516"/>
      <c r="E49" s="516"/>
      <c r="F49" s="518"/>
      <c r="G49" s="6"/>
      <c r="H49" s="40"/>
      <c r="I49" s="40"/>
      <c r="J49" s="516"/>
      <c r="K49" s="55"/>
      <c r="L49" s="7"/>
    </row>
    <row r="50" spans="1:12" ht="24" customHeight="1" thickTop="1" x14ac:dyDescent="0.3">
      <c r="A50" s="513">
        <f t="shared" si="0"/>
        <v>26</v>
      </c>
    </row>
    <row r="51" spans="1:12" ht="24" customHeight="1" thickBot="1" x14ac:dyDescent="0.35">
      <c r="A51" s="514"/>
    </row>
    <row r="52" spans="1:12" ht="24" customHeight="1" thickTop="1" x14ac:dyDescent="0.3">
      <c r="A52" s="513">
        <f t="shared" si="0"/>
        <v>27</v>
      </c>
    </row>
    <row r="53" spans="1:12" ht="24" customHeight="1" thickBot="1" x14ac:dyDescent="0.35">
      <c r="A53" s="514"/>
    </row>
    <row r="54" spans="1:12" ht="24" customHeight="1" thickTop="1" x14ac:dyDescent="0.3">
      <c r="A54" s="513">
        <f t="shared" si="0"/>
        <v>28</v>
      </c>
    </row>
    <row r="55" spans="1:12" ht="24" customHeight="1" thickBot="1" x14ac:dyDescent="0.35">
      <c r="A55" s="514"/>
    </row>
    <row r="56" spans="1:12" ht="24" customHeight="1" thickTop="1" x14ac:dyDescent="0.3">
      <c r="A56" s="513">
        <f t="shared" si="0"/>
        <v>29</v>
      </c>
    </row>
    <row r="57" spans="1:12" ht="24" customHeight="1" thickBot="1" x14ac:dyDescent="0.35">
      <c r="A57" s="514"/>
    </row>
    <row r="58" spans="1:12" ht="24" customHeight="1" thickTop="1" x14ac:dyDescent="0.3">
      <c r="A58" s="513">
        <f t="shared" si="0"/>
        <v>30</v>
      </c>
    </row>
    <row r="59" spans="1:12" ht="24" customHeight="1" thickBot="1" x14ac:dyDescent="0.35">
      <c r="A59" s="514"/>
    </row>
    <row r="60" spans="1:12" ht="24" customHeight="1" thickTop="1" x14ac:dyDescent="0.3">
      <c r="A60" s="513">
        <f t="shared" si="0"/>
        <v>31</v>
      </c>
    </row>
    <row r="61" spans="1:12" ht="24" customHeight="1" thickBot="1" x14ac:dyDescent="0.35">
      <c r="A61" s="514"/>
    </row>
    <row r="62" spans="1:12" ht="17.25" thickTop="1" x14ac:dyDescent="0.3">
      <c r="A62" s="513">
        <f t="shared" si="0"/>
        <v>32</v>
      </c>
    </row>
    <row r="63" spans="1:12" ht="17.25" thickBot="1" x14ac:dyDescent="0.35">
      <c r="A63" s="514"/>
    </row>
    <row r="64" spans="1:12" ht="17.25" thickTop="1" x14ac:dyDescent="0.3"/>
  </sheetData>
  <dataConsolidate/>
  <mergeCells count="210">
    <mergeCell ref="A18:A19"/>
    <mergeCell ref="B14:B15"/>
    <mergeCell ref="C14:C15"/>
    <mergeCell ref="D14:D15"/>
    <mergeCell ref="E14:E15"/>
    <mergeCell ref="F14:F15"/>
    <mergeCell ref="F16:F17"/>
    <mergeCell ref="F18:F19"/>
    <mergeCell ref="B16:B17"/>
    <mergeCell ref="C16:C17"/>
    <mergeCell ref="D16:D17"/>
    <mergeCell ref="E16:E17"/>
    <mergeCell ref="B18:B19"/>
    <mergeCell ref="C18:C19"/>
    <mergeCell ref="D18:D19"/>
    <mergeCell ref="E18:E19"/>
    <mergeCell ref="G3:H3"/>
    <mergeCell ref="G8:H8"/>
    <mergeCell ref="G9:H9"/>
    <mergeCell ref="G13:H13"/>
    <mergeCell ref="A10:A11"/>
    <mergeCell ref="A14:A15"/>
    <mergeCell ref="A16:A17"/>
    <mergeCell ref="A12:A13"/>
    <mergeCell ref="B12:B13"/>
    <mergeCell ref="C12:C13"/>
    <mergeCell ref="D12:D13"/>
    <mergeCell ref="E12:E13"/>
    <mergeCell ref="F12:F13"/>
    <mergeCell ref="G12:H12"/>
    <mergeCell ref="A1:R1"/>
    <mergeCell ref="A2:R2"/>
    <mergeCell ref="A8:A9"/>
    <mergeCell ref="B8:B9"/>
    <mergeCell ref="C8:C9"/>
    <mergeCell ref="D8:D9"/>
    <mergeCell ref="E8:E9"/>
    <mergeCell ref="J12:J13"/>
    <mergeCell ref="J8:J9"/>
    <mergeCell ref="F8:F9"/>
    <mergeCell ref="A4:A5"/>
    <mergeCell ref="F4:F5"/>
    <mergeCell ref="E4:E5"/>
    <mergeCell ref="D4:D5"/>
    <mergeCell ref="C4:C5"/>
    <mergeCell ref="B4:B5"/>
    <mergeCell ref="J4:J5"/>
    <mergeCell ref="B10:B11"/>
    <mergeCell ref="C10:C11"/>
    <mergeCell ref="D10:D11"/>
    <mergeCell ref="E10:E11"/>
    <mergeCell ref="F10:F11"/>
    <mergeCell ref="G10:H10"/>
    <mergeCell ref="I10:I11"/>
    <mergeCell ref="J20:J21"/>
    <mergeCell ref="A22:A23"/>
    <mergeCell ref="B22:B23"/>
    <mergeCell ref="C22:C23"/>
    <mergeCell ref="D22:D23"/>
    <mergeCell ref="E22:E23"/>
    <mergeCell ref="F22:F23"/>
    <mergeCell ref="J22:J23"/>
    <mergeCell ref="A20:A21"/>
    <mergeCell ref="B20:B21"/>
    <mergeCell ref="C20:C21"/>
    <mergeCell ref="D20:D21"/>
    <mergeCell ref="E20:E21"/>
    <mergeCell ref="F20:F21"/>
    <mergeCell ref="G23:H23"/>
    <mergeCell ref="G22:H22"/>
    <mergeCell ref="G20:H20"/>
    <mergeCell ref="G21:H21"/>
    <mergeCell ref="J24:J25"/>
    <mergeCell ref="A26:A27"/>
    <mergeCell ref="B26:B27"/>
    <mergeCell ref="C26:C27"/>
    <mergeCell ref="D26:D27"/>
    <mergeCell ref="E26:E27"/>
    <mergeCell ref="F26:F27"/>
    <mergeCell ref="J26:J27"/>
    <mergeCell ref="A24:A25"/>
    <mergeCell ref="B24:B25"/>
    <mergeCell ref="C24:C25"/>
    <mergeCell ref="D24:D25"/>
    <mergeCell ref="E24:E25"/>
    <mergeCell ref="F24:F25"/>
    <mergeCell ref="G25:H25"/>
    <mergeCell ref="G24:H24"/>
    <mergeCell ref="G26:H26"/>
    <mergeCell ref="G27:H27"/>
    <mergeCell ref="J28:J29"/>
    <mergeCell ref="A30:A31"/>
    <mergeCell ref="B30:B31"/>
    <mergeCell ref="C30:C31"/>
    <mergeCell ref="D30:D31"/>
    <mergeCell ref="E30:E31"/>
    <mergeCell ref="F30:F31"/>
    <mergeCell ref="J30:J31"/>
    <mergeCell ref="A28:A29"/>
    <mergeCell ref="B28:B29"/>
    <mergeCell ref="C28:C29"/>
    <mergeCell ref="D28:D29"/>
    <mergeCell ref="E28:E29"/>
    <mergeCell ref="F28:F29"/>
    <mergeCell ref="G28:H28"/>
    <mergeCell ref="G29:H29"/>
    <mergeCell ref="G30:H30"/>
    <mergeCell ref="G31:H31"/>
    <mergeCell ref="J32:J33"/>
    <mergeCell ref="A34:A35"/>
    <mergeCell ref="B34:B35"/>
    <mergeCell ref="C34:C35"/>
    <mergeCell ref="D34:D35"/>
    <mergeCell ref="E34:E35"/>
    <mergeCell ref="F34:F35"/>
    <mergeCell ref="J34:J35"/>
    <mergeCell ref="A32:A33"/>
    <mergeCell ref="B32:B33"/>
    <mergeCell ref="C32:C33"/>
    <mergeCell ref="D32:D33"/>
    <mergeCell ref="E32:E33"/>
    <mergeCell ref="F32:F33"/>
    <mergeCell ref="G32:H32"/>
    <mergeCell ref="G33:H33"/>
    <mergeCell ref="G34:H34"/>
    <mergeCell ref="G35:H35"/>
    <mergeCell ref="C38:C39"/>
    <mergeCell ref="D38:D39"/>
    <mergeCell ref="E38:E39"/>
    <mergeCell ref="F38:F39"/>
    <mergeCell ref="J38:J39"/>
    <mergeCell ref="A36:A37"/>
    <mergeCell ref="B36:B37"/>
    <mergeCell ref="C36:C37"/>
    <mergeCell ref="D36:D37"/>
    <mergeCell ref="E36:E37"/>
    <mergeCell ref="F36:F37"/>
    <mergeCell ref="J36:J37"/>
    <mergeCell ref="A38:A39"/>
    <mergeCell ref="B38:B39"/>
    <mergeCell ref="A62:A63"/>
    <mergeCell ref="J48:J49"/>
    <mergeCell ref="A48:A49"/>
    <mergeCell ref="B48:B49"/>
    <mergeCell ref="C48:C49"/>
    <mergeCell ref="D48:D49"/>
    <mergeCell ref="E48:E49"/>
    <mergeCell ref="F48:F49"/>
    <mergeCell ref="J44:J45"/>
    <mergeCell ref="A46:A47"/>
    <mergeCell ref="B46:B47"/>
    <mergeCell ref="C46:C47"/>
    <mergeCell ref="D46:D47"/>
    <mergeCell ref="E46:E47"/>
    <mergeCell ref="F46:F47"/>
    <mergeCell ref="J46:J47"/>
    <mergeCell ref="A44:A45"/>
    <mergeCell ref="B44:B45"/>
    <mergeCell ref="C44:C45"/>
    <mergeCell ref="D44:D45"/>
    <mergeCell ref="E44:E45"/>
    <mergeCell ref="F44:F45"/>
    <mergeCell ref="A50:A51"/>
    <mergeCell ref="A52:A53"/>
    <mergeCell ref="A54:A55"/>
    <mergeCell ref="A56:A57"/>
    <mergeCell ref="A58:A59"/>
    <mergeCell ref="A60:A61"/>
    <mergeCell ref="J40:J41"/>
    <mergeCell ref="A42:A43"/>
    <mergeCell ref="B42:B43"/>
    <mergeCell ref="C42:C43"/>
    <mergeCell ref="D42:D43"/>
    <mergeCell ref="E42:E43"/>
    <mergeCell ref="F42:F43"/>
    <mergeCell ref="J42:J43"/>
    <mergeCell ref="A40:A41"/>
    <mergeCell ref="B40:B41"/>
    <mergeCell ref="C40:C41"/>
    <mergeCell ref="D40:D41"/>
    <mergeCell ref="E40:E41"/>
    <mergeCell ref="F40:F41"/>
    <mergeCell ref="J16:J17"/>
    <mergeCell ref="J14:J15"/>
    <mergeCell ref="J18:J19"/>
    <mergeCell ref="I14:I15"/>
    <mergeCell ref="I16:I17"/>
    <mergeCell ref="I18:I19"/>
    <mergeCell ref="G15:H15"/>
    <mergeCell ref="G14:H14"/>
    <mergeCell ref="G17:H17"/>
    <mergeCell ref="G16:H16"/>
    <mergeCell ref="G18:H18"/>
    <mergeCell ref="G19:H19"/>
    <mergeCell ref="I4:I5"/>
    <mergeCell ref="J10:J11"/>
    <mergeCell ref="G11:H11"/>
    <mergeCell ref="A6:A7"/>
    <mergeCell ref="B6:B7"/>
    <mergeCell ref="C6:C7"/>
    <mergeCell ref="D6:D7"/>
    <mergeCell ref="E6:E7"/>
    <mergeCell ref="F6:F7"/>
    <mergeCell ref="G6:H6"/>
    <mergeCell ref="J6:J7"/>
    <mergeCell ref="G7:H7"/>
    <mergeCell ref="I8:I9"/>
    <mergeCell ref="I6:I7"/>
    <mergeCell ref="G5:H5"/>
    <mergeCell ref="G4:H4"/>
  </mergeCells>
  <conditionalFormatting sqref="I4">
    <cfRule type="cellIs" dxfId="2" priority="1" operator="equal">
      <formula>"Down"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4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1</xdr:row>
                <xdr:rowOff>314325</xdr:rowOff>
              </to>
            </anchor>
          </controlPr>
        </control>
      </mc:Choice>
      <mc:Fallback>
        <control shapeId="5122" r:id="rId4" name="ComboBox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>
          <x14:formula1>
            <xm:f>DATA!$D$2:$D$53</xm:f>
          </x14:formula1>
          <xm:sqref>B38:B63</xm:sqref>
        </x14:dataValidation>
        <x14:dataValidation type="list" allowBlank="1" showInputMessage="1" showErrorMessage="1">
          <x14:formula1>
            <xm:f>DATA!$I$2:$I$114</xm:f>
          </x14:formula1>
          <xm:sqref>L48:L50</xm:sqref>
        </x14:dataValidation>
        <x14:dataValidation type="list" allowBlank="1" showInputMessage="1" showErrorMessage="1">
          <x14:formula1>
            <xm:f>DATA!$F$3:$F$97</xm:f>
          </x14:formula1>
          <xm:sqref>L4:L47</xm:sqref>
        </x14:dataValidation>
        <x14:dataValidation type="list" showInputMessage="1" showErrorMessage="1">
          <x14:formula1>
            <xm:f>DATA!$A:$A</xm:f>
          </x14:formula1>
          <xm:sqref>B3:B37</xm:sqref>
        </x14:dataValidation>
        <x14:dataValidation type="list" allowBlank="1" showInputMessage="1" showErrorMessage="1">
          <x14:formula1>
            <xm:f>DATA!$E:$E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40"/>
  <sheetViews>
    <sheetView zoomScale="60" zoomScaleNormal="60" workbookViewId="0">
      <selection activeCell="F12" sqref="F12:F13"/>
    </sheetView>
  </sheetViews>
  <sheetFormatPr defaultRowHeight="26.25" x14ac:dyDescent="0.45"/>
  <cols>
    <col min="1" max="1" width="7.5703125" style="5" customWidth="1"/>
    <col min="2" max="2" width="35" style="5" customWidth="1"/>
    <col min="3" max="3" width="38" style="5" bestFit="1" customWidth="1"/>
    <col min="4" max="4" width="25.42578125" style="5" customWidth="1"/>
    <col min="5" max="5" width="29.140625" style="5" customWidth="1"/>
    <col min="6" max="6" width="32.28515625" style="5" bestFit="1" customWidth="1"/>
    <col min="7" max="7" width="119" style="5" customWidth="1"/>
    <col min="8" max="8" width="32" style="5" customWidth="1"/>
    <col min="9" max="10" width="18.28515625" style="5" customWidth="1"/>
    <col min="11" max="11" width="88.5703125" style="18" customWidth="1"/>
    <col min="12" max="16" width="9.140625" style="5" hidden="1" customWidth="1"/>
    <col min="17" max="17" width="21.28515625" style="5" customWidth="1"/>
    <col min="18" max="16384" width="9.140625" style="5"/>
  </cols>
  <sheetData>
    <row r="1" spans="1:20" s="37" customFormat="1" ht="46.5" customHeight="1" thickBot="1" x14ac:dyDescent="1.2">
      <c r="A1" s="548" t="s">
        <v>265</v>
      </c>
      <c r="B1" s="585"/>
      <c r="C1" s="585"/>
      <c r="D1" s="585"/>
      <c r="E1" s="585"/>
      <c r="F1" s="585"/>
      <c r="G1" s="585"/>
      <c r="H1" s="585"/>
      <c r="I1" s="585"/>
      <c r="J1" s="585"/>
      <c r="K1" s="585"/>
      <c r="L1" s="585"/>
      <c r="M1" s="585"/>
      <c r="N1" s="585"/>
      <c r="O1" s="585"/>
      <c r="P1" s="585"/>
      <c r="Q1" s="586"/>
    </row>
    <row r="2" spans="1:20" s="8" customFormat="1" ht="23.25" customHeight="1" thickBot="1" x14ac:dyDescent="0.35">
      <c r="A2" s="587"/>
      <c r="B2" s="588"/>
      <c r="C2" s="588"/>
      <c r="D2" s="588"/>
      <c r="E2" s="588"/>
      <c r="F2" s="588"/>
      <c r="G2" s="588"/>
      <c r="H2" s="588"/>
      <c r="I2" s="588"/>
      <c r="J2" s="588"/>
      <c r="K2" s="588"/>
      <c r="L2" s="589"/>
      <c r="M2" s="589"/>
      <c r="N2" s="589"/>
      <c r="O2" s="589"/>
      <c r="P2" s="589"/>
      <c r="Q2" s="590"/>
    </row>
    <row r="3" spans="1:20" s="36" customFormat="1" ht="47.25" customHeight="1" thickBot="1" x14ac:dyDescent="0.7">
      <c r="A3" s="321"/>
      <c r="B3" s="322" t="s">
        <v>2</v>
      </c>
      <c r="C3" s="322" t="s">
        <v>0</v>
      </c>
      <c r="D3" s="322" t="s">
        <v>1</v>
      </c>
      <c r="E3" s="322" t="s">
        <v>3</v>
      </c>
      <c r="F3" s="322" t="s">
        <v>4</v>
      </c>
      <c r="G3" s="322" t="s">
        <v>439</v>
      </c>
      <c r="H3" s="322"/>
      <c r="I3" s="322" t="s">
        <v>5</v>
      </c>
      <c r="J3" s="323" t="s">
        <v>261</v>
      </c>
      <c r="K3" s="322" t="s">
        <v>6</v>
      </c>
    </row>
    <row r="4" spans="1:20" s="24" customFormat="1" ht="30" customHeight="1" thickTop="1" x14ac:dyDescent="0.6">
      <c r="A4" s="597">
        <v>1</v>
      </c>
      <c r="B4" s="591" t="s">
        <v>394</v>
      </c>
      <c r="C4" s="592" t="s">
        <v>541</v>
      </c>
      <c r="D4" s="591" t="s">
        <v>395</v>
      </c>
      <c r="E4" s="594" t="s">
        <v>9</v>
      </c>
      <c r="F4" s="481" t="s">
        <v>532</v>
      </c>
      <c r="G4" s="437" t="s">
        <v>637</v>
      </c>
      <c r="H4" s="265"/>
      <c r="I4" s="591">
        <v>1921</v>
      </c>
      <c r="J4" s="267" t="s">
        <v>260</v>
      </c>
      <c r="K4" s="343" t="s">
        <v>396</v>
      </c>
    </row>
    <row r="5" spans="1:20" s="24" customFormat="1" ht="30" customHeight="1" thickBot="1" x14ac:dyDescent="0.65">
      <c r="A5" s="574"/>
      <c r="B5" s="576"/>
      <c r="C5" s="593"/>
      <c r="D5" s="576"/>
      <c r="E5" s="595"/>
      <c r="F5" s="596"/>
      <c r="G5" s="400"/>
      <c r="H5" s="394"/>
      <c r="I5" s="576"/>
      <c r="J5" s="312" t="s">
        <v>262</v>
      </c>
      <c r="K5" s="312" t="s">
        <v>397</v>
      </c>
    </row>
    <row r="6" spans="1:20" s="38" customFormat="1" ht="30" customHeight="1" thickTop="1" x14ac:dyDescent="0.6">
      <c r="A6" s="581">
        <v>2</v>
      </c>
      <c r="B6" s="579" t="s">
        <v>398</v>
      </c>
      <c r="C6" s="579" t="s">
        <v>612</v>
      </c>
      <c r="D6" s="579" t="s">
        <v>399</v>
      </c>
      <c r="E6" s="579" t="s">
        <v>8</v>
      </c>
      <c r="F6" s="583" t="s">
        <v>624</v>
      </c>
      <c r="G6" s="401"/>
      <c r="H6" s="402"/>
      <c r="I6" s="579">
        <v>2073</v>
      </c>
      <c r="J6" s="397" t="s">
        <v>258</v>
      </c>
      <c r="K6" s="403" t="s">
        <v>400</v>
      </c>
      <c r="L6" s="24"/>
      <c r="M6" s="24"/>
      <c r="N6" s="24"/>
      <c r="O6" s="24"/>
      <c r="P6" s="24"/>
      <c r="Q6" s="62"/>
      <c r="R6" s="24"/>
      <c r="S6" s="24"/>
      <c r="T6" s="24"/>
    </row>
    <row r="7" spans="1:20" s="38" customFormat="1" ht="30" customHeight="1" thickBot="1" x14ac:dyDescent="0.65">
      <c r="A7" s="582"/>
      <c r="B7" s="580"/>
      <c r="C7" s="580"/>
      <c r="D7" s="580"/>
      <c r="E7" s="580"/>
      <c r="F7" s="584"/>
      <c r="G7" s="404"/>
      <c r="H7" s="405"/>
      <c r="I7" s="580"/>
      <c r="J7" s="406"/>
      <c r="K7" s="406" t="s">
        <v>490</v>
      </c>
      <c r="L7" s="24"/>
      <c r="M7" s="24"/>
      <c r="N7" s="24"/>
      <c r="O7" s="24"/>
      <c r="P7" s="24"/>
      <c r="Q7" s="24"/>
      <c r="R7" s="24"/>
      <c r="S7" s="24"/>
      <c r="T7" s="24"/>
    </row>
    <row r="8" spans="1:20" s="24" customFormat="1" ht="30" customHeight="1" thickTop="1" x14ac:dyDescent="0.6">
      <c r="A8" s="574">
        <v>3</v>
      </c>
      <c r="B8" s="575" t="s">
        <v>398</v>
      </c>
      <c r="C8" s="574" t="s">
        <v>648</v>
      </c>
      <c r="D8" s="576" t="s">
        <v>529</v>
      </c>
      <c r="E8" s="576" t="s">
        <v>8</v>
      </c>
      <c r="F8" s="577" t="s">
        <v>659</v>
      </c>
      <c r="G8" s="361" t="s">
        <v>649</v>
      </c>
      <c r="H8" s="365"/>
      <c r="I8" s="576">
        <v>2033</v>
      </c>
      <c r="J8" s="283"/>
      <c r="K8" s="283" t="s">
        <v>530</v>
      </c>
    </row>
    <row r="9" spans="1:20" s="24" customFormat="1" ht="30" customHeight="1" thickBot="1" x14ac:dyDescent="0.65">
      <c r="A9" s="574"/>
      <c r="B9" s="575"/>
      <c r="C9" s="574"/>
      <c r="D9" s="576"/>
      <c r="E9" s="576"/>
      <c r="F9" s="578"/>
      <c r="G9" s="407"/>
      <c r="H9" s="362"/>
      <c r="I9" s="576"/>
      <c r="J9" s="312"/>
      <c r="K9" s="27"/>
    </row>
    <row r="10" spans="1:20" s="24" customFormat="1" ht="30" customHeight="1" thickTop="1" x14ac:dyDescent="0.6">
      <c r="A10" s="581">
        <v>4</v>
      </c>
      <c r="B10" s="579" t="s">
        <v>403</v>
      </c>
      <c r="C10" s="579" t="s">
        <v>545</v>
      </c>
      <c r="D10" s="579" t="s">
        <v>408</v>
      </c>
      <c r="E10" s="579" t="s">
        <v>19</v>
      </c>
      <c r="F10" s="599" t="s">
        <v>495</v>
      </c>
      <c r="G10" s="408"/>
      <c r="H10" s="409"/>
      <c r="I10" s="579">
        <v>2046</v>
      </c>
      <c r="J10" s="397" t="s">
        <v>260</v>
      </c>
      <c r="K10" s="410" t="s">
        <v>534</v>
      </c>
    </row>
    <row r="11" spans="1:20" s="24" customFormat="1" ht="30" customHeight="1" thickBot="1" x14ac:dyDescent="0.65">
      <c r="A11" s="582"/>
      <c r="B11" s="580"/>
      <c r="C11" s="580"/>
      <c r="D11" s="580"/>
      <c r="E11" s="580"/>
      <c r="F11" s="584"/>
      <c r="G11" s="411"/>
      <c r="H11" s="412"/>
      <c r="I11" s="580"/>
      <c r="J11" s="406" t="s">
        <v>262</v>
      </c>
      <c r="K11" s="413" t="s">
        <v>466</v>
      </c>
    </row>
    <row r="12" spans="1:20" s="24" customFormat="1" ht="30" customHeight="1" thickTop="1" x14ac:dyDescent="0.6">
      <c r="A12" s="574">
        <v>5</v>
      </c>
      <c r="B12" s="575" t="s">
        <v>500</v>
      </c>
      <c r="C12" s="575" t="s">
        <v>599</v>
      </c>
      <c r="D12" s="575" t="s">
        <v>499</v>
      </c>
      <c r="E12" s="575" t="s">
        <v>9</v>
      </c>
      <c r="F12" s="604" t="s">
        <v>650</v>
      </c>
      <c r="G12" s="338" t="s">
        <v>658</v>
      </c>
      <c r="H12" s="266"/>
      <c r="I12" s="576">
        <v>2127</v>
      </c>
      <c r="J12" s="283" t="s">
        <v>260</v>
      </c>
      <c r="K12" s="283" t="s">
        <v>487</v>
      </c>
    </row>
    <row r="13" spans="1:20" s="24" customFormat="1" ht="30" customHeight="1" thickBot="1" x14ac:dyDescent="0.65">
      <c r="A13" s="574"/>
      <c r="B13" s="575"/>
      <c r="C13" s="575"/>
      <c r="D13" s="575"/>
      <c r="E13" s="575"/>
      <c r="F13" s="604"/>
      <c r="G13" s="414" t="s">
        <v>657</v>
      </c>
      <c r="H13" s="284"/>
      <c r="I13" s="576"/>
      <c r="J13" s="312" t="s">
        <v>262</v>
      </c>
      <c r="K13" s="312" t="s">
        <v>519</v>
      </c>
    </row>
    <row r="14" spans="1:20" s="24" customFormat="1" ht="30" customHeight="1" thickTop="1" x14ac:dyDescent="0.6">
      <c r="A14" s="581">
        <v>6</v>
      </c>
      <c r="B14" s="579" t="s">
        <v>448</v>
      </c>
      <c r="C14" s="579" t="s">
        <v>542</v>
      </c>
      <c r="D14" s="579" t="s">
        <v>410</v>
      </c>
      <c r="E14" s="579" t="s">
        <v>9</v>
      </c>
      <c r="F14" s="605" t="s">
        <v>614</v>
      </c>
      <c r="G14" s="384"/>
      <c r="H14" s="416"/>
      <c r="I14" s="579" t="s">
        <v>524</v>
      </c>
      <c r="J14" s="397" t="s">
        <v>258</v>
      </c>
      <c r="K14" s="403" t="s">
        <v>411</v>
      </c>
    </row>
    <row r="15" spans="1:20" s="24" customFormat="1" ht="30" customHeight="1" thickBot="1" x14ac:dyDescent="0.65">
      <c r="A15" s="582"/>
      <c r="B15" s="580"/>
      <c r="C15" s="580"/>
      <c r="D15" s="580"/>
      <c r="E15" s="580"/>
      <c r="F15" s="606"/>
      <c r="G15" s="386"/>
      <c r="H15" s="417"/>
      <c r="I15" s="580"/>
      <c r="J15" s="406"/>
      <c r="K15" s="385"/>
    </row>
    <row r="16" spans="1:20" s="24" customFormat="1" ht="30" customHeight="1" thickTop="1" x14ac:dyDescent="0.6">
      <c r="A16" s="574">
        <v>7</v>
      </c>
      <c r="B16" s="576" t="s">
        <v>449</v>
      </c>
      <c r="C16" s="576" t="s">
        <v>571</v>
      </c>
      <c r="D16" s="576" t="s">
        <v>447</v>
      </c>
      <c r="E16" s="576" t="s">
        <v>19</v>
      </c>
      <c r="F16" s="612" t="s">
        <v>660</v>
      </c>
      <c r="G16" s="415"/>
      <c r="H16" s="285"/>
      <c r="I16" s="576">
        <v>2040</v>
      </c>
      <c r="J16" s="393"/>
      <c r="K16" s="283" t="s">
        <v>446</v>
      </c>
    </row>
    <row r="17" spans="1:11" s="24" customFormat="1" ht="30" customHeight="1" thickBot="1" x14ac:dyDescent="0.65">
      <c r="A17" s="574"/>
      <c r="B17" s="576"/>
      <c r="C17" s="576"/>
      <c r="D17" s="576"/>
      <c r="E17" s="576"/>
      <c r="F17" s="612"/>
      <c r="G17" s="418" t="s">
        <v>618</v>
      </c>
      <c r="H17" s="394"/>
      <c r="I17" s="576"/>
      <c r="J17" s="312"/>
      <c r="K17" s="312" t="s">
        <v>594</v>
      </c>
    </row>
    <row r="18" spans="1:11" s="24" customFormat="1" ht="30" customHeight="1" thickTop="1" x14ac:dyDescent="0.6">
      <c r="A18" s="581">
        <v>8</v>
      </c>
      <c r="B18" s="579" t="s">
        <v>402</v>
      </c>
      <c r="C18" s="579" t="s">
        <v>561</v>
      </c>
      <c r="D18" s="579" t="s">
        <v>404</v>
      </c>
      <c r="E18" s="579" t="s">
        <v>9</v>
      </c>
      <c r="F18" s="583" t="s">
        <v>624</v>
      </c>
      <c r="G18" s="808" t="s">
        <v>645</v>
      </c>
      <c r="H18" s="409"/>
      <c r="I18" s="579">
        <v>1984</v>
      </c>
      <c r="J18" s="397" t="s">
        <v>258</v>
      </c>
      <c r="K18" s="403" t="s">
        <v>508</v>
      </c>
    </row>
    <row r="19" spans="1:11" s="24" customFormat="1" ht="30" customHeight="1" thickBot="1" x14ac:dyDescent="0.65">
      <c r="A19" s="582"/>
      <c r="B19" s="580"/>
      <c r="C19" s="580"/>
      <c r="D19" s="580"/>
      <c r="E19" s="580"/>
      <c r="F19" s="584"/>
      <c r="G19" s="386" t="s">
        <v>646</v>
      </c>
      <c r="H19" s="405"/>
      <c r="I19" s="580"/>
      <c r="J19" s="406"/>
      <c r="K19" s="385"/>
    </row>
    <row r="20" spans="1:11" s="24" customFormat="1" ht="30" customHeight="1" thickTop="1" x14ac:dyDescent="0.6">
      <c r="A20" s="574">
        <v>9</v>
      </c>
      <c r="B20" s="576" t="s">
        <v>402</v>
      </c>
      <c r="C20" s="576" t="s">
        <v>570</v>
      </c>
      <c r="D20" s="576" t="s">
        <v>406</v>
      </c>
      <c r="E20" s="576" t="s">
        <v>8</v>
      </c>
      <c r="F20" s="598" t="s">
        <v>634</v>
      </c>
      <c r="G20" s="342" t="s">
        <v>635</v>
      </c>
      <c r="H20" s="266"/>
      <c r="I20" s="576">
        <v>2038</v>
      </c>
      <c r="J20" s="56" t="s">
        <v>258</v>
      </c>
      <c r="K20" s="283" t="s">
        <v>407</v>
      </c>
    </row>
    <row r="21" spans="1:11" s="24" customFormat="1" ht="30" customHeight="1" thickBot="1" x14ac:dyDescent="0.65">
      <c r="A21" s="574"/>
      <c r="B21" s="576"/>
      <c r="C21" s="576"/>
      <c r="D21" s="576"/>
      <c r="E21" s="576"/>
      <c r="F21" s="598"/>
      <c r="G21" s="436" t="s">
        <v>636</v>
      </c>
      <c r="H21" s="282"/>
      <c r="I21" s="576"/>
      <c r="J21" s="312"/>
      <c r="K21" s="66"/>
    </row>
    <row r="22" spans="1:11" s="24" customFormat="1" ht="30" customHeight="1" thickTop="1" x14ac:dyDescent="0.6">
      <c r="A22" s="600">
        <v>10</v>
      </c>
      <c r="B22" s="579" t="s">
        <v>501</v>
      </c>
      <c r="C22" s="579" t="s">
        <v>505</v>
      </c>
      <c r="D22" s="579" t="s">
        <v>502</v>
      </c>
      <c r="E22" s="579" t="s">
        <v>8</v>
      </c>
      <c r="F22" s="602" t="s">
        <v>551</v>
      </c>
      <c r="G22" s="398" t="s">
        <v>504</v>
      </c>
      <c r="H22" s="409"/>
      <c r="I22" s="579"/>
      <c r="J22" s="403"/>
      <c r="K22" s="403" t="s">
        <v>503</v>
      </c>
    </row>
    <row r="23" spans="1:11" s="24" customFormat="1" ht="30" customHeight="1" thickBot="1" x14ac:dyDescent="0.65">
      <c r="A23" s="601"/>
      <c r="B23" s="580"/>
      <c r="C23" s="580"/>
      <c r="D23" s="580"/>
      <c r="E23" s="580"/>
      <c r="F23" s="603"/>
      <c r="G23" s="386" t="s">
        <v>533</v>
      </c>
      <c r="H23" s="419"/>
      <c r="I23" s="580"/>
      <c r="J23" s="406"/>
      <c r="K23" s="420"/>
    </row>
    <row r="24" spans="1:11" s="15" customFormat="1" ht="30" customHeight="1" thickTop="1" x14ac:dyDescent="0.6">
      <c r="A24" s="574">
        <v>11</v>
      </c>
      <c r="B24" s="576" t="s">
        <v>604</v>
      </c>
      <c r="C24" s="576" t="s">
        <v>607</v>
      </c>
      <c r="D24" s="576" t="s">
        <v>605</v>
      </c>
      <c r="E24" s="541" t="s">
        <v>250</v>
      </c>
      <c r="F24" s="611" t="s">
        <v>656</v>
      </c>
      <c r="G24" s="392" t="s">
        <v>647</v>
      </c>
      <c r="H24" s="394"/>
      <c r="I24" s="576"/>
      <c r="J24" s="283"/>
      <c r="K24" s="254" t="s">
        <v>606</v>
      </c>
    </row>
    <row r="25" spans="1:11" s="15" customFormat="1" ht="30" customHeight="1" thickBot="1" x14ac:dyDescent="0.65">
      <c r="A25" s="574"/>
      <c r="B25" s="576"/>
      <c r="C25" s="576"/>
      <c r="D25" s="576"/>
      <c r="E25" s="541"/>
      <c r="F25" s="612"/>
      <c r="G25" s="421"/>
      <c r="H25" s="394"/>
      <c r="I25" s="576"/>
      <c r="J25" s="312"/>
      <c r="K25" s="27"/>
    </row>
    <row r="26" spans="1:11" s="15" customFormat="1" ht="30" customHeight="1" thickTop="1" x14ac:dyDescent="0.6">
      <c r="A26" s="581">
        <v>13</v>
      </c>
      <c r="B26" s="607"/>
      <c r="C26" s="607"/>
      <c r="D26" s="607"/>
      <c r="E26" s="607"/>
      <c r="F26" s="609"/>
      <c r="G26" s="434"/>
      <c r="H26" s="422"/>
      <c r="I26" s="607"/>
      <c r="J26" s="423"/>
      <c r="K26" s="424"/>
    </row>
    <row r="27" spans="1:11" s="15" customFormat="1" ht="30" customHeight="1" thickBot="1" x14ac:dyDescent="0.65">
      <c r="A27" s="582"/>
      <c r="B27" s="608"/>
      <c r="C27" s="608"/>
      <c r="D27" s="608"/>
      <c r="E27" s="608"/>
      <c r="F27" s="610"/>
      <c r="G27" s="399"/>
      <c r="H27" s="425"/>
      <c r="I27" s="608"/>
      <c r="J27" s="426"/>
      <c r="K27" s="427"/>
    </row>
    <row r="28" spans="1:11" s="15" customFormat="1" ht="30" customHeight="1" thickTop="1" x14ac:dyDescent="0.6">
      <c r="A28" s="574">
        <v>14</v>
      </c>
      <c r="B28" s="617"/>
      <c r="C28" s="617"/>
      <c r="D28" s="617"/>
      <c r="E28" s="617"/>
      <c r="F28" s="622"/>
      <c r="G28" s="434"/>
      <c r="H28" s="396"/>
      <c r="I28" s="617"/>
      <c r="J28" s="395"/>
      <c r="K28" s="313"/>
    </row>
    <row r="29" spans="1:11" s="15" customFormat="1" ht="30" customHeight="1" thickBot="1" x14ac:dyDescent="0.65">
      <c r="A29" s="574"/>
      <c r="B29" s="617"/>
      <c r="C29" s="617"/>
      <c r="D29" s="617"/>
      <c r="E29" s="617"/>
      <c r="F29" s="622"/>
      <c r="G29" s="391"/>
      <c r="H29" s="396"/>
      <c r="I29" s="617"/>
      <c r="J29" s="395"/>
      <c r="K29" s="348"/>
    </row>
    <row r="30" spans="1:11" ht="24.75" customHeight="1" thickTop="1" x14ac:dyDescent="0.3">
      <c r="A30" s="581">
        <v>15</v>
      </c>
      <c r="B30" s="618"/>
      <c r="C30" s="618"/>
      <c r="D30" s="618"/>
      <c r="E30" s="618"/>
      <c r="F30" s="620"/>
      <c r="G30" s="435"/>
      <c r="H30" s="428"/>
      <c r="I30" s="618"/>
      <c r="J30" s="429"/>
      <c r="K30" s="430"/>
    </row>
    <row r="31" spans="1:11" ht="29.25" customHeight="1" thickBot="1" x14ac:dyDescent="0.35">
      <c r="A31" s="582"/>
      <c r="B31" s="619"/>
      <c r="C31" s="619"/>
      <c r="D31" s="619"/>
      <c r="E31" s="619"/>
      <c r="F31" s="621"/>
      <c r="G31" s="431"/>
      <c r="H31" s="431"/>
      <c r="I31" s="619"/>
      <c r="J31" s="432"/>
      <c r="K31" s="433"/>
    </row>
    <row r="32" spans="1:11" ht="27.75" customHeight="1" thickTop="1" x14ac:dyDescent="0.3">
      <c r="A32" s="574">
        <f t="shared" ref="A32" si="0">A30+1</f>
        <v>16</v>
      </c>
      <c r="B32" s="519"/>
      <c r="C32" s="519"/>
      <c r="D32" s="519"/>
      <c r="E32" s="519"/>
      <c r="F32" s="520"/>
      <c r="G32" s="390"/>
      <c r="H32" s="390"/>
      <c r="I32" s="519"/>
      <c r="J32" s="389"/>
      <c r="K32" s="351"/>
    </row>
    <row r="33" spans="1:11" ht="20.100000000000001" customHeight="1" thickBot="1" x14ac:dyDescent="0.35">
      <c r="A33" s="616"/>
      <c r="B33" s="516"/>
      <c r="C33" s="516"/>
      <c r="D33" s="516"/>
      <c r="E33" s="516"/>
      <c r="F33" s="518"/>
      <c r="G33" s="6"/>
      <c r="H33" s="43"/>
      <c r="I33" s="516"/>
      <c r="J33" s="55"/>
      <c r="K33" s="17"/>
    </row>
    <row r="34" spans="1:11" ht="20.100000000000001" customHeight="1" thickTop="1" x14ac:dyDescent="0.3">
      <c r="A34" s="574">
        <v>13</v>
      </c>
      <c r="B34" s="515"/>
      <c r="C34" s="515"/>
      <c r="D34" s="515"/>
      <c r="E34" s="515"/>
      <c r="F34" s="517"/>
      <c r="G34" s="3"/>
      <c r="H34" s="42"/>
      <c r="I34" s="515"/>
      <c r="J34" s="54"/>
      <c r="K34" s="16"/>
    </row>
    <row r="35" spans="1:11" ht="20.100000000000001" customHeight="1" thickBot="1" x14ac:dyDescent="0.35">
      <c r="A35" s="616"/>
      <c r="B35" s="516"/>
      <c r="C35" s="516"/>
      <c r="D35" s="516"/>
      <c r="E35" s="516"/>
      <c r="F35" s="518"/>
      <c r="G35" s="6"/>
      <c r="H35" s="43"/>
      <c r="I35" s="516"/>
      <c r="J35" s="55"/>
      <c r="K35" s="17"/>
    </row>
    <row r="36" spans="1:11" ht="20.100000000000001" customHeight="1" thickTop="1" x14ac:dyDescent="0.3">
      <c r="A36" s="615">
        <v>37</v>
      </c>
      <c r="B36" s="515"/>
      <c r="C36" s="515"/>
      <c r="D36" s="515"/>
      <c r="E36" s="515"/>
      <c r="F36" s="517"/>
      <c r="G36" s="3"/>
      <c r="H36" s="42"/>
      <c r="I36" s="515"/>
      <c r="J36" s="54"/>
      <c r="K36" s="16"/>
    </row>
    <row r="37" spans="1:11" ht="20.100000000000001" customHeight="1" thickBot="1" x14ac:dyDescent="0.35">
      <c r="A37" s="614"/>
      <c r="B37" s="516"/>
      <c r="C37" s="516"/>
      <c r="D37" s="516"/>
      <c r="E37" s="516"/>
      <c r="F37" s="518"/>
      <c r="G37" s="6"/>
      <c r="H37" s="43"/>
      <c r="I37" s="516"/>
      <c r="J37" s="55"/>
      <c r="K37" s="17"/>
    </row>
    <row r="38" spans="1:11" ht="20.100000000000001" customHeight="1" thickTop="1" x14ac:dyDescent="0.3">
      <c r="A38" s="613">
        <v>40</v>
      </c>
      <c r="B38" s="515"/>
      <c r="C38" s="515"/>
      <c r="D38" s="515"/>
      <c r="E38" s="515"/>
      <c r="F38" s="517"/>
      <c r="G38" s="3"/>
      <c r="H38" s="42"/>
      <c r="I38" s="515"/>
      <c r="J38" s="54"/>
      <c r="K38" s="16"/>
    </row>
    <row r="39" spans="1:11" ht="20.100000000000001" customHeight="1" thickBot="1" x14ac:dyDescent="0.35">
      <c r="A39" s="614"/>
      <c r="B39" s="516"/>
      <c r="C39" s="516"/>
      <c r="D39" s="516"/>
      <c r="E39" s="516"/>
      <c r="F39" s="518"/>
      <c r="G39" s="6"/>
      <c r="H39" s="43"/>
      <c r="I39" s="516"/>
      <c r="J39" s="55"/>
      <c r="K39" s="17"/>
    </row>
    <row r="40" spans="1:11" ht="27" thickTop="1" x14ac:dyDescent="0.45"/>
  </sheetData>
  <mergeCells count="128">
    <mergeCell ref="E34:E35"/>
    <mergeCell ref="F34:F35"/>
    <mergeCell ref="I34:I35"/>
    <mergeCell ref="A32:A33"/>
    <mergeCell ref="I28:I29"/>
    <mergeCell ref="A30:A31"/>
    <mergeCell ref="B30:B31"/>
    <mergeCell ref="C30:C31"/>
    <mergeCell ref="D30:D31"/>
    <mergeCell ref="E30:E31"/>
    <mergeCell ref="F30:F31"/>
    <mergeCell ref="I30:I31"/>
    <mergeCell ref="A28:A29"/>
    <mergeCell ref="B28:B29"/>
    <mergeCell ref="C28:C29"/>
    <mergeCell ref="D28:D29"/>
    <mergeCell ref="E28:E29"/>
    <mergeCell ref="F28:F29"/>
    <mergeCell ref="I36:I37"/>
    <mergeCell ref="B32:B33"/>
    <mergeCell ref="C32:C33"/>
    <mergeCell ref="D32:D33"/>
    <mergeCell ref="E32:E33"/>
    <mergeCell ref="F32:F33"/>
    <mergeCell ref="I32:I33"/>
    <mergeCell ref="A38:A39"/>
    <mergeCell ref="B38:B39"/>
    <mergeCell ref="C38:C39"/>
    <mergeCell ref="D38:D39"/>
    <mergeCell ref="E38:E39"/>
    <mergeCell ref="F38:F39"/>
    <mergeCell ref="I38:I39"/>
    <mergeCell ref="A36:A37"/>
    <mergeCell ref="B36:B37"/>
    <mergeCell ref="C36:C37"/>
    <mergeCell ref="D36:D37"/>
    <mergeCell ref="E36:E37"/>
    <mergeCell ref="F36:F37"/>
    <mergeCell ref="A34:A35"/>
    <mergeCell ref="B34:B35"/>
    <mergeCell ref="C34:C35"/>
    <mergeCell ref="D34:D35"/>
    <mergeCell ref="A26:A27"/>
    <mergeCell ref="B26:B27"/>
    <mergeCell ref="C26:C27"/>
    <mergeCell ref="D26:D27"/>
    <mergeCell ref="E26:E27"/>
    <mergeCell ref="F26:F27"/>
    <mergeCell ref="I26:I27"/>
    <mergeCell ref="A24:A25"/>
    <mergeCell ref="B24:B25"/>
    <mergeCell ref="C24:C25"/>
    <mergeCell ref="D24:D25"/>
    <mergeCell ref="E24:E25"/>
    <mergeCell ref="F24:F25"/>
    <mergeCell ref="I24:I25"/>
    <mergeCell ref="I22:I23"/>
    <mergeCell ref="A22:A23"/>
    <mergeCell ref="B22:B23"/>
    <mergeCell ref="C22:C23"/>
    <mergeCell ref="D22:D23"/>
    <mergeCell ref="E22:E23"/>
    <mergeCell ref="F22:F23"/>
    <mergeCell ref="I16:I17"/>
    <mergeCell ref="C12:C13"/>
    <mergeCell ref="D12:D13"/>
    <mergeCell ref="E12:E13"/>
    <mergeCell ref="F12:F13"/>
    <mergeCell ref="I12:I13"/>
    <mergeCell ref="A16:A17"/>
    <mergeCell ref="B16:B17"/>
    <mergeCell ref="C16:C17"/>
    <mergeCell ref="D16:D17"/>
    <mergeCell ref="E16:E17"/>
    <mergeCell ref="F16:F17"/>
    <mergeCell ref="B14:B15"/>
    <mergeCell ref="C14:C15"/>
    <mergeCell ref="D14:D15"/>
    <mergeCell ref="E14:E15"/>
    <mergeCell ref="F14:F15"/>
    <mergeCell ref="A14:A15"/>
    <mergeCell ref="I10:I11"/>
    <mergeCell ref="B10:B11"/>
    <mergeCell ref="C10:C11"/>
    <mergeCell ref="D10:D11"/>
    <mergeCell ref="E10:E11"/>
    <mergeCell ref="F10:F11"/>
    <mergeCell ref="I14:I15"/>
    <mergeCell ref="I18:I19"/>
    <mergeCell ref="A10:A11"/>
    <mergeCell ref="A12:A13"/>
    <mergeCell ref="B12:B13"/>
    <mergeCell ref="A20:A21"/>
    <mergeCell ref="B20:B21"/>
    <mergeCell ref="C20:C21"/>
    <mergeCell ref="D20:D21"/>
    <mergeCell ref="E20:E21"/>
    <mergeCell ref="F20:F21"/>
    <mergeCell ref="I20:I21"/>
    <mergeCell ref="A18:A19"/>
    <mergeCell ref="B18:B19"/>
    <mergeCell ref="C18:C19"/>
    <mergeCell ref="D18:D19"/>
    <mergeCell ref="E18:E19"/>
    <mergeCell ref="F18:F19"/>
    <mergeCell ref="A1:Q1"/>
    <mergeCell ref="A2:Q2"/>
    <mergeCell ref="B4:B5"/>
    <mergeCell ref="C4:C5"/>
    <mergeCell ref="D4:D5"/>
    <mergeCell ref="E4:E5"/>
    <mergeCell ref="F4:F5"/>
    <mergeCell ref="I4:I5"/>
    <mergeCell ref="A4:A5"/>
    <mergeCell ref="A8:A9"/>
    <mergeCell ref="B8:B9"/>
    <mergeCell ref="C8:C9"/>
    <mergeCell ref="D8:D9"/>
    <mergeCell ref="E8:E9"/>
    <mergeCell ref="F8:F9"/>
    <mergeCell ref="I8:I9"/>
    <mergeCell ref="I6:I7"/>
    <mergeCell ref="A6:A7"/>
    <mergeCell ref="B6:B7"/>
    <mergeCell ref="C6:C7"/>
    <mergeCell ref="D6:D7"/>
    <mergeCell ref="E6:E7"/>
    <mergeCell ref="F6:F7"/>
  </mergeCells>
  <conditionalFormatting sqref="B6 D6:E6 G6:J6">
    <cfRule type="cellIs" dxfId="1" priority="4" operator="equal">
      <formula>"Down"</formula>
    </cfRule>
  </conditionalFormatting>
  <conditionalFormatting sqref="F18">
    <cfRule type="cellIs" dxfId="0" priority="2" operator="equal">
      <formula>"Down"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boBox1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0</xdr:row>
                <xdr:rowOff>571500</xdr:rowOff>
              </to>
            </anchor>
          </controlPr>
        </control>
      </mc:Choice>
      <mc:Fallback>
        <control shapeId="4097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DATA!$B:$B</xm:f>
          </x14:formula1>
          <xm:sqref>B1:B1048576</xm:sqref>
        </x14:dataValidation>
        <x14:dataValidation type="list" allowBlank="1" showInputMessage="1" showErrorMessage="1">
          <x14:formula1>
            <xm:f>DATA!$E:$E</xm:f>
          </x14:formula1>
          <xm:sqref>E1:E1048576</xm:sqref>
        </x14:dataValidation>
        <x14:dataValidation type="list" allowBlank="1" showInputMessage="1" showErrorMessage="1">
          <x14:formula1>
            <xm:f>DATA!$G:$G</xm:f>
          </x14:formula1>
          <xm:sqref>K1:K1048576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U118"/>
  <sheetViews>
    <sheetView zoomScale="60" zoomScaleNormal="60" workbookViewId="0">
      <selection activeCell="E6" sqref="E6:E7"/>
    </sheetView>
  </sheetViews>
  <sheetFormatPr defaultRowHeight="33" x14ac:dyDescent="0.6"/>
  <cols>
    <col min="1" max="1" width="8.5703125" style="5" customWidth="1"/>
    <col min="2" max="2" width="31.85546875" style="15" customWidth="1"/>
    <col min="3" max="3" width="39.7109375" style="5" customWidth="1"/>
    <col min="4" max="4" width="29.140625" style="14" customWidth="1"/>
    <col min="5" max="5" width="38.140625" style="14" customWidth="1"/>
    <col min="6" max="6" width="29.140625" style="14" customWidth="1"/>
    <col min="7" max="7" width="138.7109375" style="14" customWidth="1"/>
    <col min="8" max="8" width="19.140625" style="14" customWidth="1"/>
    <col min="9" max="10" width="18" style="5" customWidth="1"/>
    <col min="11" max="11" width="75.42578125" style="14" customWidth="1"/>
    <col min="12" max="16" width="9.140625" style="5" hidden="1" customWidth="1"/>
    <col min="17" max="17" width="0.28515625" style="5" customWidth="1"/>
    <col min="18" max="18" width="38.7109375" style="18" customWidth="1"/>
    <col min="19" max="16384" width="9.140625" style="5"/>
  </cols>
  <sheetData>
    <row r="1" spans="1:21" s="37" customFormat="1" ht="56.25" customHeight="1" thickBot="1" x14ac:dyDescent="1.2">
      <c r="A1" s="632" t="s">
        <v>266</v>
      </c>
      <c r="B1" s="633"/>
      <c r="C1" s="633"/>
      <c r="D1" s="633"/>
      <c r="E1" s="633"/>
      <c r="F1" s="633"/>
      <c r="G1" s="633"/>
      <c r="H1" s="633"/>
      <c r="I1" s="633"/>
      <c r="J1" s="633"/>
      <c r="K1" s="633"/>
      <c r="L1" s="633"/>
      <c r="M1" s="633"/>
      <c r="N1" s="633"/>
      <c r="O1" s="633"/>
      <c r="P1" s="633"/>
      <c r="Q1" s="634"/>
    </row>
    <row r="2" spans="1:21" s="8" customFormat="1" ht="29.25" customHeight="1" thickBot="1" x14ac:dyDescent="0.5">
      <c r="A2" s="587"/>
      <c r="B2" s="588"/>
      <c r="C2" s="588"/>
      <c r="D2" s="588"/>
      <c r="E2" s="588"/>
      <c r="F2" s="588"/>
      <c r="G2" s="588"/>
      <c r="H2" s="588"/>
      <c r="I2" s="588"/>
      <c r="J2" s="588"/>
      <c r="K2" s="588"/>
      <c r="L2" s="589"/>
      <c r="M2" s="589"/>
      <c r="N2" s="589"/>
      <c r="O2" s="589"/>
      <c r="P2" s="589"/>
      <c r="Q2" s="590"/>
      <c r="R2" s="29"/>
    </row>
    <row r="3" spans="1:21" s="36" customFormat="1" ht="51" customHeight="1" thickBot="1" x14ac:dyDescent="0.7">
      <c r="A3" s="321"/>
      <c r="B3" s="322" t="s">
        <v>2</v>
      </c>
      <c r="C3" s="322" t="s">
        <v>0</v>
      </c>
      <c r="D3" s="322" t="s">
        <v>1</v>
      </c>
      <c r="E3" s="322" t="s">
        <v>3</v>
      </c>
      <c r="F3" s="322" t="s">
        <v>4</v>
      </c>
      <c r="G3" s="322" t="s">
        <v>439</v>
      </c>
      <c r="H3" s="322"/>
      <c r="I3" s="322" t="s">
        <v>5</v>
      </c>
      <c r="J3" s="323" t="s">
        <v>259</v>
      </c>
      <c r="K3" s="322" t="s">
        <v>6</v>
      </c>
    </row>
    <row r="4" spans="1:21" s="24" customFormat="1" ht="30" customHeight="1" thickTop="1" x14ac:dyDescent="0.6">
      <c r="A4" s="597">
        <v>1</v>
      </c>
      <c r="B4" s="591" t="s">
        <v>270</v>
      </c>
      <c r="C4" s="591" t="s">
        <v>527</v>
      </c>
      <c r="D4" s="591" t="s">
        <v>377</v>
      </c>
      <c r="E4" s="594" t="s">
        <v>19</v>
      </c>
      <c r="F4" s="481" t="s">
        <v>532</v>
      </c>
      <c r="G4" s="61" t="s">
        <v>638</v>
      </c>
      <c r="H4" s="497"/>
      <c r="I4" s="314" t="s">
        <v>380</v>
      </c>
      <c r="J4" s="63" t="s">
        <v>458</v>
      </c>
      <c r="K4" s="63" t="s">
        <v>472</v>
      </c>
      <c r="L4" s="26"/>
      <c r="R4" s="46"/>
    </row>
    <row r="5" spans="1:21" s="24" customFormat="1" ht="30" customHeight="1" thickBot="1" x14ac:dyDescent="0.65">
      <c r="A5" s="628"/>
      <c r="B5" s="627"/>
      <c r="C5" s="627"/>
      <c r="D5" s="627"/>
      <c r="E5" s="635"/>
      <c r="F5" s="498"/>
      <c r="G5" s="253" t="s">
        <v>639</v>
      </c>
      <c r="H5" s="498"/>
      <c r="I5" s="320" t="s">
        <v>379</v>
      </c>
      <c r="J5" s="318" t="s">
        <v>261</v>
      </c>
      <c r="K5" s="64" t="s">
        <v>473</v>
      </c>
      <c r="R5" s="31"/>
    </row>
    <row r="6" spans="1:21" s="24" customFormat="1" ht="30" customHeight="1" thickTop="1" x14ac:dyDescent="0.6">
      <c r="A6" s="597">
        <v>3</v>
      </c>
      <c r="B6" s="591" t="s">
        <v>14</v>
      </c>
      <c r="C6" s="591" t="s">
        <v>381</v>
      </c>
      <c r="D6" s="591" t="s">
        <v>378</v>
      </c>
      <c r="E6" s="591" t="s">
        <v>19</v>
      </c>
      <c r="F6" s="497" t="s">
        <v>382</v>
      </c>
      <c r="G6" s="61" t="s">
        <v>431</v>
      </c>
      <c r="H6" s="497"/>
      <c r="I6" s="315">
        <v>2115</v>
      </c>
      <c r="J6" s="255" t="s">
        <v>458</v>
      </c>
      <c r="K6" s="63" t="s">
        <v>475</v>
      </c>
      <c r="R6" s="32"/>
    </row>
    <row r="7" spans="1:21" s="24" customFormat="1" ht="30" customHeight="1" thickBot="1" x14ac:dyDescent="0.65">
      <c r="A7" s="628"/>
      <c r="B7" s="627"/>
      <c r="C7" s="627"/>
      <c r="D7" s="627"/>
      <c r="E7" s="627"/>
      <c r="F7" s="498"/>
      <c r="G7" s="253"/>
      <c r="H7" s="498"/>
      <c r="I7" s="256">
        <v>2111</v>
      </c>
      <c r="J7" s="319" t="s">
        <v>261</v>
      </c>
      <c r="K7" s="64" t="s">
        <v>474</v>
      </c>
      <c r="R7" s="31"/>
    </row>
    <row r="8" spans="1:21" s="24" customFormat="1" ht="30" customHeight="1" thickTop="1" x14ac:dyDescent="0.6">
      <c r="A8" s="597">
        <v>4</v>
      </c>
      <c r="B8" s="591" t="s">
        <v>386</v>
      </c>
      <c r="C8" s="591" t="s">
        <v>552</v>
      </c>
      <c r="D8" s="591" t="s">
        <v>387</v>
      </c>
      <c r="E8" s="591" t="s">
        <v>19</v>
      </c>
      <c r="F8" s="481" t="s">
        <v>532</v>
      </c>
      <c r="G8" s="61"/>
      <c r="H8" s="497"/>
      <c r="I8" s="591"/>
      <c r="J8" s="283" t="s">
        <v>258</v>
      </c>
      <c r="K8" s="63" t="s">
        <v>388</v>
      </c>
      <c r="R8" s="631"/>
      <c r="S8" s="631"/>
      <c r="T8" s="631"/>
      <c r="U8" s="631"/>
    </row>
    <row r="9" spans="1:21" s="24" customFormat="1" ht="30" customHeight="1" thickBot="1" x14ac:dyDescent="0.65">
      <c r="A9" s="628"/>
      <c r="B9" s="627"/>
      <c r="C9" s="627"/>
      <c r="D9" s="627"/>
      <c r="E9" s="627"/>
      <c r="F9" s="498"/>
      <c r="G9" s="60"/>
      <c r="H9" s="498"/>
      <c r="I9" s="627"/>
      <c r="J9" s="312"/>
      <c r="K9" s="64" t="s">
        <v>256</v>
      </c>
      <c r="R9" s="631"/>
      <c r="S9" s="631"/>
      <c r="T9" s="631"/>
      <c r="U9" s="631"/>
    </row>
    <row r="10" spans="1:21" s="24" customFormat="1" ht="30" customHeight="1" thickTop="1" x14ac:dyDescent="0.6">
      <c r="A10" s="597">
        <v>5</v>
      </c>
      <c r="B10" s="591" t="s">
        <v>389</v>
      </c>
      <c r="C10" s="591" t="s">
        <v>593</v>
      </c>
      <c r="D10" s="591" t="s">
        <v>390</v>
      </c>
      <c r="E10" s="591" t="s">
        <v>8</v>
      </c>
      <c r="F10" s="481" t="s">
        <v>532</v>
      </c>
      <c r="G10" s="25"/>
      <c r="H10" s="497"/>
      <c r="I10" s="636"/>
      <c r="J10" s="255" t="s">
        <v>258</v>
      </c>
      <c r="K10" s="63" t="s">
        <v>391</v>
      </c>
      <c r="R10" s="31"/>
    </row>
    <row r="11" spans="1:21" s="24" customFormat="1" ht="30" customHeight="1" thickBot="1" x14ac:dyDescent="0.65">
      <c r="A11" s="628"/>
      <c r="B11" s="627"/>
      <c r="C11" s="627"/>
      <c r="D11" s="627"/>
      <c r="E11" s="627"/>
      <c r="F11" s="498"/>
      <c r="G11" s="381"/>
      <c r="H11" s="498"/>
      <c r="I11" s="637"/>
      <c r="J11" s="256"/>
      <c r="K11" s="64"/>
      <c r="R11" s="31"/>
    </row>
    <row r="12" spans="1:21" s="24" customFormat="1" ht="30" customHeight="1" thickTop="1" x14ac:dyDescent="0.6">
      <c r="A12" s="597">
        <v>6</v>
      </c>
      <c r="B12" s="591" t="s">
        <v>389</v>
      </c>
      <c r="C12" s="591" t="s">
        <v>497</v>
      </c>
      <c r="D12" s="591" t="s">
        <v>436</v>
      </c>
      <c r="E12" s="591" t="s">
        <v>19</v>
      </c>
      <c r="F12" s="497" t="s">
        <v>512</v>
      </c>
      <c r="G12" s="61" t="s">
        <v>628</v>
      </c>
      <c r="H12" s="497"/>
      <c r="I12" s="591"/>
      <c r="J12" s="283" t="s">
        <v>258</v>
      </c>
      <c r="K12" s="65" t="s">
        <v>526</v>
      </c>
      <c r="R12" s="31"/>
    </row>
    <row r="13" spans="1:21" s="24" customFormat="1" ht="30" customHeight="1" thickBot="1" x14ac:dyDescent="0.65">
      <c r="A13" s="628"/>
      <c r="B13" s="627"/>
      <c r="C13" s="627"/>
      <c r="D13" s="627"/>
      <c r="E13" s="627"/>
      <c r="F13" s="498"/>
      <c r="G13" s="60"/>
      <c r="H13" s="498"/>
      <c r="I13" s="576"/>
      <c r="J13" s="312"/>
      <c r="K13" s="66"/>
      <c r="R13" s="31"/>
    </row>
    <row r="14" spans="1:21" s="38" customFormat="1" ht="30" customHeight="1" thickTop="1" thickBot="1" x14ac:dyDescent="0.65">
      <c r="A14" s="574">
        <v>7</v>
      </c>
      <c r="B14" s="576" t="s">
        <v>520</v>
      </c>
      <c r="C14" s="576" t="s">
        <v>566</v>
      </c>
      <c r="D14" s="576" t="s">
        <v>521</v>
      </c>
      <c r="E14" s="576" t="s">
        <v>19</v>
      </c>
      <c r="F14" s="596" t="s">
        <v>532</v>
      </c>
      <c r="G14" s="438" t="s">
        <v>640</v>
      </c>
      <c r="H14" s="67"/>
      <c r="I14" s="591"/>
      <c r="J14" s="255" t="s">
        <v>258</v>
      </c>
      <c r="K14" s="63" t="s">
        <v>522</v>
      </c>
      <c r="R14" s="48"/>
    </row>
    <row r="15" spans="1:21" s="38" customFormat="1" ht="30" customHeight="1" thickTop="1" thickBot="1" x14ac:dyDescent="0.65">
      <c r="A15" s="574"/>
      <c r="B15" s="576"/>
      <c r="C15" s="576"/>
      <c r="D15" s="576"/>
      <c r="E15" s="576"/>
      <c r="F15" s="596"/>
      <c r="G15" s="253" t="s">
        <v>651</v>
      </c>
      <c r="H15" s="252"/>
      <c r="I15" s="627"/>
      <c r="J15" s="312"/>
      <c r="K15" s="257"/>
      <c r="R15" s="48"/>
    </row>
    <row r="16" spans="1:21" s="38" customFormat="1" ht="30" customHeight="1" thickTop="1" x14ac:dyDescent="0.6">
      <c r="A16" s="597">
        <v>8</v>
      </c>
      <c r="B16" s="591"/>
      <c r="C16" s="591"/>
      <c r="D16" s="591"/>
      <c r="E16" s="591"/>
      <c r="F16" s="497"/>
      <c r="G16" s="61"/>
      <c r="H16" s="67"/>
      <c r="I16" s="591"/>
      <c r="J16" s="255"/>
      <c r="K16" s="63"/>
      <c r="R16" s="48"/>
    </row>
    <row r="17" spans="1:18" s="38" customFormat="1" ht="30" customHeight="1" thickBot="1" x14ac:dyDescent="0.65">
      <c r="A17" s="628"/>
      <c r="B17" s="627"/>
      <c r="C17" s="627"/>
      <c r="D17" s="627"/>
      <c r="E17" s="627"/>
      <c r="F17" s="498"/>
      <c r="G17" s="60"/>
      <c r="H17" s="252"/>
      <c r="I17" s="627"/>
      <c r="J17" s="256"/>
      <c r="K17" s="64"/>
      <c r="R17" s="48"/>
    </row>
    <row r="18" spans="1:18" s="24" customFormat="1" ht="30" customHeight="1" thickTop="1" x14ac:dyDescent="0.6">
      <c r="A18" s="574">
        <v>9</v>
      </c>
      <c r="B18" s="576"/>
      <c r="C18" s="576"/>
      <c r="D18" s="576"/>
      <c r="E18" s="576"/>
      <c r="F18" s="596"/>
      <c r="G18" s="25"/>
      <c r="H18" s="596"/>
      <c r="I18" s="591"/>
      <c r="J18" s="283"/>
      <c r="K18" s="63"/>
      <c r="R18" s="33"/>
    </row>
    <row r="19" spans="1:18" s="24" customFormat="1" ht="30" customHeight="1" thickBot="1" x14ac:dyDescent="0.65">
      <c r="A19" s="574"/>
      <c r="B19" s="576"/>
      <c r="C19" s="576"/>
      <c r="D19" s="576"/>
      <c r="E19" s="576"/>
      <c r="F19" s="596"/>
      <c r="G19" s="253"/>
      <c r="H19" s="638"/>
      <c r="I19" s="627"/>
      <c r="J19" s="312"/>
      <c r="K19" s="64"/>
      <c r="R19" s="31"/>
    </row>
    <row r="20" spans="1:18" s="24" customFormat="1" ht="30" customHeight="1" thickTop="1" x14ac:dyDescent="0.6">
      <c r="A20" s="597">
        <v>10</v>
      </c>
      <c r="B20" s="591"/>
      <c r="C20" s="591"/>
      <c r="D20" s="591"/>
      <c r="E20" s="591"/>
      <c r="F20" s="629"/>
      <c r="G20" s="61"/>
      <c r="H20" s="68"/>
      <c r="I20" s="591"/>
      <c r="J20" s="255"/>
      <c r="K20" s="255"/>
      <c r="R20" s="31"/>
    </row>
    <row r="21" spans="1:18" s="24" customFormat="1" ht="30" customHeight="1" thickBot="1" x14ac:dyDescent="0.65">
      <c r="A21" s="628"/>
      <c r="B21" s="627"/>
      <c r="C21" s="627"/>
      <c r="D21" s="627"/>
      <c r="E21" s="627"/>
      <c r="F21" s="630"/>
      <c r="G21" s="369"/>
      <c r="H21" s="69"/>
      <c r="I21" s="627"/>
      <c r="J21" s="256"/>
      <c r="K21" s="256"/>
      <c r="R21" s="31"/>
    </row>
    <row r="22" spans="1:18" s="24" customFormat="1" ht="30" customHeight="1" thickTop="1" x14ac:dyDescent="0.6">
      <c r="A22" s="574">
        <v>11</v>
      </c>
      <c r="B22" s="576"/>
      <c r="C22" s="576"/>
      <c r="D22" s="576"/>
      <c r="E22" s="576"/>
      <c r="F22" s="596"/>
      <c r="G22" s="25"/>
      <c r="H22" s="67"/>
      <c r="I22" s="576"/>
      <c r="J22" s="283"/>
      <c r="K22" s="254"/>
      <c r="R22" s="31"/>
    </row>
    <row r="23" spans="1:18" s="24" customFormat="1" ht="30" customHeight="1" thickBot="1" x14ac:dyDescent="0.65">
      <c r="A23" s="574"/>
      <c r="B23" s="576"/>
      <c r="C23" s="576"/>
      <c r="D23" s="576"/>
      <c r="E23" s="576"/>
      <c r="F23" s="596"/>
      <c r="G23" s="370"/>
      <c r="H23" s="67"/>
      <c r="I23" s="576"/>
      <c r="J23" s="312"/>
      <c r="K23" s="27"/>
      <c r="R23" s="31"/>
    </row>
    <row r="24" spans="1:18" s="24" customFormat="1" ht="30" customHeight="1" thickTop="1" x14ac:dyDescent="0.6">
      <c r="A24" s="591">
        <v>12</v>
      </c>
      <c r="B24" s="591"/>
      <c r="C24" s="591"/>
      <c r="D24" s="591"/>
      <c r="E24" s="591"/>
      <c r="F24" s="497"/>
      <c r="G24" s="61"/>
      <c r="H24" s="68"/>
      <c r="I24" s="591"/>
      <c r="J24" s="255"/>
      <c r="K24" s="258"/>
      <c r="R24" s="31"/>
    </row>
    <row r="25" spans="1:18" s="24" customFormat="1" ht="30" customHeight="1" thickBot="1" x14ac:dyDescent="0.65">
      <c r="A25" s="627"/>
      <c r="B25" s="627"/>
      <c r="C25" s="627"/>
      <c r="D25" s="627"/>
      <c r="E25" s="627"/>
      <c r="F25" s="498"/>
      <c r="G25" s="369"/>
      <c r="H25" s="69"/>
      <c r="I25" s="627"/>
      <c r="J25" s="256"/>
      <c r="K25" s="259"/>
      <c r="R25" s="31"/>
    </row>
    <row r="26" spans="1:18" s="24" customFormat="1" ht="24.95" customHeight="1" thickTop="1" x14ac:dyDescent="0.6">
      <c r="A26" s="574">
        <v>13</v>
      </c>
      <c r="B26" s="576"/>
      <c r="C26" s="576"/>
      <c r="D26" s="576"/>
      <c r="E26" s="576"/>
      <c r="F26" s="596"/>
      <c r="G26" s="25"/>
      <c r="H26" s="67"/>
      <c r="I26" s="576"/>
      <c r="J26" s="283"/>
      <c r="K26" s="254"/>
      <c r="R26" s="31"/>
    </row>
    <row r="27" spans="1:18" s="24" customFormat="1" ht="24.95" customHeight="1" thickBot="1" x14ac:dyDescent="0.65">
      <c r="A27" s="616"/>
      <c r="B27" s="576"/>
      <c r="C27" s="576"/>
      <c r="D27" s="576"/>
      <c r="E27" s="576"/>
      <c r="F27" s="596"/>
      <c r="G27" s="370"/>
      <c r="H27" s="44"/>
      <c r="I27" s="576"/>
      <c r="J27" s="312"/>
      <c r="K27" s="27"/>
      <c r="R27" s="31"/>
    </row>
    <row r="28" spans="1:18" s="19" customFormat="1" ht="31.5" customHeight="1" thickTop="1" x14ac:dyDescent="0.6">
      <c r="A28" s="574">
        <v>14</v>
      </c>
      <c r="B28" s="591"/>
      <c r="C28" s="591"/>
      <c r="D28" s="591"/>
      <c r="E28" s="591"/>
      <c r="F28" s="497"/>
      <c r="G28" s="261"/>
      <c r="H28" s="262"/>
      <c r="I28" s="591"/>
      <c r="J28" s="255"/>
      <c r="K28" s="261"/>
      <c r="R28" s="34"/>
    </row>
    <row r="29" spans="1:18" s="19" customFormat="1" ht="31.5" customHeight="1" thickBot="1" x14ac:dyDescent="0.65">
      <c r="A29" s="616"/>
      <c r="B29" s="627"/>
      <c r="C29" s="627"/>
      <c r="D29" s="627"/>
      <c r="E29" s="627"/>
      <c r="F29" s="498"/>
      <c r="G29" s="263"/>
      <c r="H29" s="264"/>
      <c r="I29" s="627"/>
      <c r="J29" s="256"/>
      <c r="K29" s="263"/>
      <c r="R29" s="34"/>
    </row>
    <row r="30" spans="1:18" s="19" customFormat="1" ht="31.5" customHeight="1" thickTop="1" x14ac:dyDescent="0.6">
      <c r="A30" s="574">
        <v>15</v>
      </c>
      <c r="B30" s="576"/>
      <c r="C30" s="576"/>
      <c r="D30" s="576"/>
      <c r="E30" s="576"/>
      <c r="F30" s="596"/>
      <c r="G30" s="260"/>
      <c r="H30" s="45"/>
      <c r="I30" s="576"/>
      <c r="J30" s="255"/>
      <c r="K30" s="260"/>
      <c r="R30" s="34"/>
    </row>
    <row r="31" spans="1:18" s="19" customFormat="1" ht="31.5" customHeight="1" thickBot="1" x14ac:dyDescent="0.65">
      <c r="A31" s="616"/>
      <c r="B31" s="576"/>
      <c r="C31" s="576"/>
      <c r="D31" s="576"/>
      <c r="E31" s="576"/>
      <c r="F31" s="596"/>
      <c r="G31" s="317"/>
      <c r="H31" s="45"/>
      <c r="I31" s="576"/>
      <c r="J31" s="56"/>
      <c r="K31" s="317"/>
      <c r="R31" s="34"/>
    </row>
    <row r="32" spans="1:18" s="19" customFormat="1" ht="31.5" customHeight="1" thickTop="1" x14ac:dyDescent="0.6">
      <c r="A32" s="574">
        <v>17</v>
      </c>
      <c r="B32" s="591"/>
      <c r="C32" s="591"/>
      <c r="D32" s="591"/>
      <c r="E32" s="591"/>
      <c r="F32" s="497"/>
      <c r="G32" s="261"/>
      <c r="H32" s="262"/>
      <c r="I32" s="591"/>
      <c r="J32" s="255"/>
      <c r="K32" s="261"/>
      <c r="R32" s="34"/>
    </row>
    <row r="33" spans="1:18" s="19" customFormat="1" ht="31.5" customHeight="1" thickBot="1" x14ac:dyDescent="0.65">
      <c r="A33" s="616"/>
      <c r="B33" s="627"/>
      <c r="C33" s="627"/>
      <c r="D33" s="627"/>
      <c r="E33" s="627"/>
      <c r="F33" s="498"/>
      <c r="G33" s="263"/>
      <c r="H33" s="264"/>
      <c r="I33" s="627"/>
      <c r="J33" s="316"/>
      <c r="K33" s="263"/>
      <c r="R33" s="34"/>
    </row>
    <row r="34" spans="1:18" s="19" customFormat="1" ht="31.5" customHeight="1" thickTop="1" x14ac:dyDescent="0.6">
      <c r="A34" s="574">
        <v>18</v>
      </c>
      <c r="B34" s="576"/>
      <c r="C34" s="576"/>
      <c r="D34" s="576"/>
      <c r="E34" s="576"/>
      <c r="F34" s="596"/>
      <c r="G34" s="260"/>
      <c r="H34" s="45"/>
      <c r="I34" s="576"/>
      <c r="J34" s="255"/>
      <c r="K34" s="260"/>
      <c r="R34" s="34"/>
    </row>
    <row r="35" spans="1:18" s="19" customFormat="1" ht="31.5" customHeight="1" thickBot="1" x14ac:dyDescent="0.65">
      <c r="A35" s="616"/>
      <c r="B35" s="576"/>
      <c r="C35" s="576"/>
      <c r="D35" s="576"/>
      <c r="E35" s="576"/>
      <c r="F35" s="596"/>
      <c r="G35" s="263"/>
      <c r="H35" s="45"/>
      <c r="I35" s="576"/>
      <c r="J35" s="56"/>
      <c r="K35" s="317"/>
      <c r="R35" s="34"/>
    </row>
    <row r="36" spans="1:18" s="19" customFormat="1" ht="31.5" customHeight="1" thickTop="1" x14ac:dyDescent="0.6">
      <c r="A36" s="574">
        <v>19</v>
      </c>
      <c r="B36" s="591"/>
      <c r="C36" s="591"/>
      <c r="D36" s="591"/>
      <c r="E36" s="591"/>
      <c r="F36" s="497"/>
      <c r="G36" s="260"/>
      <c r="H36" s="262"/>
      <c r="I36" s="591"/>
      <c r="J36" s="255"/>
      <c r="K36" s="261"/>
      <c r="R36" s="34"/>
    </row>
    <row r="37" spans="1:18" s="19" customFormat="1" ht="31.5" customHeight="1" thickBot="1" x14ac:dyDescent="0.65">
      <c r="A37" s="616"/>
      <c r="B37" s="627"/>
      <c r="C37" s="627"/>
      <c r="D37" s="627"/>
      <c r="E37" s="627"/>
      <c r="F37" s="498"/>
      <c r="G37" s="263"/>
      <c r="H37" s="264"/>
      <c r="I37" s="627"/>
      <c r="J37" s="316"/>
      <c r="K37" s="263"/>
      <c r="R37" s="34"/>
    </row>
    <row r="38" spans="1:18" s="19" customFormat="1" ht="31.5" customHeight="1" thickTop="1" x14ac:dyDescent="0.6">
      <c r="A38" s="574">
        <v>20</v>
      </c>
      <c r="B38" s="576"/>
      <c r="C38" s="576"/>
      <c r="D38" s="576"/>
      <c r="E38" s="576"/>
      <c r="F38" s="596"/>
      <c r="G38" s="260"/>
      <c r="H38" s="45"/>
      <c r="I38" s="576"/>
      <c r="J38" s="56"/>
      <c r="K38" s="260"/>
      <c r="R38" s="34"/>
    </row>
    <row r="39" spans="1:18" s="19" customFormat="1" ht="31.5" customHeight="1" thickBot="1" x14ac:dyDescent="0.65">
      <c r="A39" s="616"/>
      <c r="B39" s="624"/>
      <c r="C39" s="624"/>
      <c r="D39" s="624"/>
      <c r="E39" s="624"/>
      <c r="F39" s="626"/>
      <c r="H39" s="45"/>
      <c r="I39" s="624"/>
      <c r="J39" s="56"/>
      <c r="R39" s="34"/>
    </row>
    <row r="40" spans="1:18" s="19" customFormat="1" ht="31.5" customHeight="1" thickTop="1" x14ac:dyDescent="0.6">
      <c r="A40" s="574">
        <v>21</v>
      </c>
      <c r="B40" s="623"/>
      <c r="C40" s="623"/>
      <c r="D40" s="623"/>
      <c r="E40" s="623"/>
      <c r="F40" s="625"/>
      <c r="H40" s="45"/>
      <c r="I40" s="623"/>
      <c r="J40" s="56"/>
      <c r="R40" s="34"/>
    </row>
    <row r="41" spans="1:18" s="19" customFormat="1" ht="31.5" customHeight="1" thickBot="1" x14ac:dyDescent="0.65">
      <c r="A41" s="616"/>
      <c r="B41" s="624"/>
      <c r="C41" s="624"/>
      <c r="D41" s="624"/>
      <c r="E41" s="624"/>
      <c r="F41" s="626"/>
      <c r="H41" s="45"/>
      <c r="I41" s="624"/>
      <c r="J41" s="56"/>
      <c r="R41" s="34"/>
    </row>
    <row r="42" spans="1:18" s="19" customFormat="1" ht="31.5" customHeight="1" thickTop="1" x14ac:dyDescent="0.6">
      <c r="A42" s="574">
        <v>22</v>
      </c>
      <c r="B42" s="623"/>
      <c r="C42" s="623"/>
      <c r="D42" s="623"/>
      <c r="E42" s="623"/>
      <c r="F42" s="625"/>
      <c r="H42" s="45"/>
      <c r="I42" s="623"/>
      <c r="J42" s="56"/>
      <c r="R42" s="34"/>
    </row>
    <row r="43" spans="1:18" s="19" customFormat="1" ht="31.5" customHeight="1" thickBot="1" x14ac:dyDescent="0.65">
      <c r="A43" s="616"/>
      <c r="B43" s="624"/>
      <c r="C43" s="624"/>
      <c r="D43" s="624"/>
      <c r="E43" s="624"/>
      <c r="F43" s="626"/>
      <c r="H43" s="45"/>
      <c r="I43" s="624"/>
      <c r="J43" s="56"/>
      <c r="R43" s="34"/>
    </row>
    <row r="44" spans="1:18" s="19" customFormat="1" ht="31.5" customHeight="1" thickTop="1" x14ac:dyDescent="0.6">
      <c r="A44" s="574">
        <v>23</v>
      </c>
      <c r="B44" s="623"/>
      <c r="C44" s="623"/>
      <c r="D44" s="623"/>
      <c r="E44" s="623"/>
      <c r="F44" s="625"/>
      <c r="H44" s="45"/>
      <c r="I44" s="623"/>
      <c r="J44" s="56"/>
      <c r="R44" s="34"/>
    </row>
    <row r="45" spans="1:18" s="19" customFormat="1" ht="31.5" customHeight="1" thickBot="1" x14ac:dyDescent="0.65">
      <c r="A45" s="616"/>
      <c r="B45" s="624"/>
      <c r="C45" s="624"/>
      <c r="D45" s="624"/>
      <c r="E45" s="624"/>
      <c r="F45" s="626"/>
      <c r="H45" s="45"/>
      <c r="I45" s="624"/>
      <c r="J45" s="56"/>
      <c r="R45" s="34"/>
    </row>
    <row r="46" spans="1:18" s="19" customFormat="1" ht="31.5" customHeight="1" thickTop="1" x14ac:dyDescent="0.6">
      <c r="A46" s="574">
        <v>24</v>
      </c>
      <c r="B46" s="623"/>
      <c r="C46" s="623"/>
      <c r="D46" s="623"/>
      <c r="E46" s="623"/>
      <c r="F46" s="625"/>
      <c r="H46" s="45"/>
      <c r="I46" s="623"/>
      <c r="J46" s="56"/>
      <c r="R46" s="34"/>
    </row>
    <row r="47" spans="1:18" s="19" customFormat="1" ht="31.5" customHeight="1" thickBot="1" x14ac:dyDescent="0.65">
      <c r="A47" s="616"/>
      <c r="B47" s="624"/>
      <c r="C47" s="624"/>
      <c r="D47" s="624"/>
      <c r="E47" s="624"/>
      <c r="F47" s="626"/>
      <c r="H47" s="45"/>
      <c r="I47" s="624"/>
      <c r="J47" s="56"/>
      <c r="R47" s="34"/>
    </row>
    <row r="48" spans="1:18" s="19" customFormat="1" ht="31.5" customHeight="1" thickTop="1" x14ac:dyDescent="0.6">
      <c r="A48" s="574">
        <v>16</v>
      </c>
      <c r="B48" s="623"/>
      <c r="C48" s="623"/>
      <c r="D48" s="623"/>
      <c r="E48" s="623"/>
      <c r="F48" s="625"/>
      <c r="H48" s="45"/>
      <c r="I48" s="623"/>
      <c r="J48" s="56"/>
      <c r="R48" s="34"/>
    </row>
    <row r="49" spans="1:18" s="19" customFormat="1" ht="31.5" customHeight="1" thickBot="1" x14ac:dyDescent="0.65">
      <c r="A49" s="616"/>
      <c r="B49" s="624"/>
      <c r="C49" s="624"/>
      <c r="D49" s="624"/>
      <c r="E49" s="624"/>
      <c r="F49" s="626"/>
      <c r="H49" s="45"/>
      <c r="I49" s="624"/>
      <c r="J49" s="56"/>
      <c r="R49" s="34"/>
    </row>
    <row r="50" spans="1:18" s="19" customFormat="1" ht="31.5" customHeight="1" thickTop="1" x14ac:dyDescent="0.6">
      <c r="A50" s="574">
        <v>16</v>
      </c>
      <c r="B50" s="623"/>
      <c r="C50" s="623"/>
      <c r="D50" s="623"/>
      <c r="E50" s="623"/>
      <c r="F50" s="625"/>
      <c r="H50" s="45"/>
      <c r="I50" s="623"/>
      <c r="J50" s="56"/>
      <c r="R50" s="34"/>
    </row>
    <row r="51" spans="1:18" s="19" customFormat="1" ht="31.5" customHeight="1" thickBot="1" x14ac:dyDescent="0.65">
      <c r="A51" s="616"/>
      <c r="B51" s="624"/>
      <c r="C51" s="624"/>
      <c r="D51" s="624"/>
      <c r="E51" s="624"/>
      <c r="F51" s="626"/>
      <c r="H51" s="45"/>
      <c r="I51" s="624"/>
      <c r="J51" s="56"/>
      <c r="R51" s="34"/>
    </row>
    <row r="52" spans="1:18" s="19" customFormat="1" ht="31.5" customHeight="1" thickTop="1" x14ac:dyDescent="0.6">
      <c r="A52" s="574">
        <v>16</v>
      </c>
      <c r="B52" s="623"/>
      <c r="C52" s="623"/>
      <c r="D52" s="623"/>
      <c r="E52" s="623"/>
      <c r="F52" s="625"/>
      <c r="H52" s="45"/>
      <c r="I52" s="623"/>
      <c r="J52" s="56"/>
      <c r="R52" s="34"/>
    </row>
    <row r="53" spans="1:18" s="19" customFormat="1" ht="31.5" customHeight="1" thickBot="1" x14ac:dyDescent="0.65">
      <c r="A53" s="616"/>
      <c r="B53" s="624"/>
      <c r="C53" s="624"/>
      <c r="D53" s="624"/>
      <c r="E53" s="624"/>
      <c r="F53" s="626"/>
      <c r="H53" s="45"/>
      <c r="I53" s="624"/>
      <c r="J53" s="56"/>
      <c r="R53" s="34"/>
    </row>
    <row r="54" spans="1:18" s="19" customFormat="1" ht="31.5" customHeight="1" thickTop="1" x14ac:dyDescent="0.6">
      <c r="A54" s="574">
        <v>16</v>
      </c>
      <c r="B54" s="623"/>
      <c r="C54" s="623"/>
      <c r="D54" s="623"/>
      <c r="E54" s="623"/>
      <c r="F54" s="625"/>
      <c r="H54" s="45"/>
      <c r="I54" s="623"/>
      <c r="J54" s="56"/>
      <c r="R54" s="34"/>
    </row>
    <row r="55" spans="1:18" s="19" customFormat="1" ht="31.5" customHeight="1" thickBot="1" x14ac:dyDescent="0.65">
      <c r="A55" s="616"/>
      <c r="B55" s="624"/>
      <c r="C55" s="624"/>
      <c r="D55" s="624"/>
      <c r="E55" s="624"/>
      <c r="F55" s="626"/>
      <c r="H55" s="45"/>
      <c r="I55" s="624"/>
      <c r="J55" s="56"/>
      <c r="R55" s="34"/>
    </row>
    <row r="56" spans="1:18" s="19" customFormat="1" ht="31.5" customHeight="1" thickTop="1" x14ac:dyDescent="0.6">
      <c r="A56" s="574">
        <v>16</v>
      </c>
      <c r="B56" s="623"/>
      <c r="C56" s="623"/>
      <c r="D56" s="623"/>
      <c r="E56" s="623"/>
      <c r="F56" s="625"/>
      <c r="H56" s="45"/>
      <c r="I56" s="623"/>
      <c r="J56" s="56"/>
      <c r="R56" s="34"/>
    </row>
    <row r="57" spans="1:18" s="19" customFormat="1" ht="31.5" customHeight="1" thickBot="1" x14ac:dyDescent="0.65">
      <c r="A57" s="616"/>
      <c r="B57" s="624"/>
      <c r="C57" s="624"/>
      <c r="D57" s="624"/>
      <c r="E57" s="624"/>
      <c r="F57" s="626"/>
      <c r="H57" s="45"/>
      <c r="I57" s="624"/>
      <c r="J57" s="56"/>
      <c r="R57" s="34"/>
    </row>
    <row r="58" spans="1:18" s="19" customFormat="1" ht="31.5" customHeight="1" thickTop="1" x14ac:dyDescent="0.6">
      <c r="A58" s="574">
        <v>16</v>
      </c>
      <c r="B58" s="623"/>
      <c r="C58" s="623"/>
      <c r="D58" s="623"/>
      <c r="E58" s="623"/>
      <c r="F58" s="625"/>
      <c r="H58" s="45"/>
      <c r="I58" s="623"/>
      <c r="J58" s="56"/>
      <c r="R58" s="34"/>
    </row>
    <row r="59" spans="1:18" s="19" customFormat="1" ht="31.5" customHeight="1" thickBot="1" x14ac:dyDescent="0.65">
      <c r="A59" s="616"/>
      <c r="B59" s="624"/>
      <c r="C59" s="624"/>
      <c r="D59" s="624"/>
      <c r="E59" s="624"/>
      <c r="F59" s="626"/>
      <c r="H59" s="45"/>
      <c r="I59" s="624"/>
      <c r="J59" s="56"/>
      <c r="R59" s="34"/>
    </row>
    <row r="60" spans="1:18" s="19" customFormat="1" ht="31.5" customHeight="1" thickTop="1" x14ac:dyDescent="0.6">
      <c r="A60" s="574">
        <v>16</v>
      </c>
      <c r="B60" s="623"/>
      <c r="C60" s="623"/>
      <c r="D60" s="623"/>
      <c r="E60" s="623"/>
      <c r="F60" s="625"/>
      <c r="H60" s="45"/>
      <c r="I60" s="623"/>
      <c r="J60" s="56"/>
      <c r="R60" s="34"/>
    </row>
    <row r="61" spans="1:18" s="19" customFormat="1" ht="31.5" customHeight="1" thickBot="1" x14ac:dyDescent="0.65">
      <c r="A61" s="616"/>
      <c r="B61" s="624"/>
      <c r="C61" s="624"/>
      <c r="D61" s="624"/>
      <c r="E61" s="624"/>
      <c r="F61" s="626"/>
      <c r="H61" s="45"/>
      <c r="I61" s="624"/>
      <c r="J61" s="56"/>
      <c r="R61" s="34"/>
    </row>
    <row r="62" spans="1:18" s="19" customFormat="1" ht="31.5" customHeight="1" thickTop="1" x14ac:dyDescent="0.6">
      <c r="A62" s="574">
        <v>16</v>
      </c>
      <c r="B62" s="623"/>
      <c r="C62" s="623"/>
      <c r="D62" s="623"/>
      <c r="E62" s="623"/>
      <c r="F62" s="625"/>
      <c r="H62" s="45"/>
      <c r="I62" s="623"/>
      <c r="J62" s="56"/>
      <c r="R62" s="34"/>
    </row>
    <row r="63" spans="1:18" s="19" customFormat="1" ht="31.5" customHeight="1" thickBot="1" x14ac:dyDescent="0.65">
      <c r="A63" s="616"/>
      <c r="B63" s="624"/>
      <c r="C63" s="624"/>
      <c r="D63" s="624"/>
      <c r="E63" s="624"/>
      <c r="F63" s="626"/>
      <c r="H63" s="45"/>
      <c r="I63" s="624"/>
      <c r="J63" s="56"/>
      <c r="R63" s="34"/>
    </row>
    <row r="64" spans="1:18" s="19" customFormat="1" ht="31.5" customHeight="1" thickTop="1" x14ac:dyDescent="0.6">
      <c r="A64" s="574">
        <v>16</v>
      </c>
      <c r="B64" s="623"/>
      <c r="C64" s="623"/>
      <c r="D64" s="623"/>
      <c r="E64" s="623"/>
      <c r="F64" s="625"/>
      <c r="H64" s="45"/>
      <c r="I64" s="623"/>
      <c r="J64" s="56"/>
      <c r="R64" s="34"/>
    </row>
    <row r="65" spans="1:18" s="19" customFormat="1" ht="31.5" customHeight="1" thickBot="1" x14ac:dyDescent="0.65">
      <c r="A65" s="616"/>
      <c r="B65" s="624"/>
      <c r="C65" s="624"/>
      <c r="D65" s="624"/>
      <c r="E65" s="624"/>
      <c r="F65" s="626"/>
      <c r="H65" s="45"/>
      <c r="I65" s="624"/>
      <c r="J65" s="56"/>
      <c r="R65" s="34"/>
    </row>
    <row r="66" spans="1:18" s="19" customFormat="1" ht="31.5" customHeight="1" thickTop="1" x14ac:dyDescent="0.6">
      <c r="A66" s="574">
        <v>16</v>
      </c>
      <c r="B66" s="623"/>
      <c r="C66" s="623"/>
      <c r="D66" s="623"/>
      <c r="E66" s="623"/>
      <c r="F66" s="625"/>
      <c r="H66" s="45"/>
      <c r="I66" s="623"/>
      <c r="J66" s="56"/>
      <c r="R66" s="34"/>
    </row>
    <row r="67" spans="1:18" s="19" customFormat="1" ht="31.5" customHeight="1" thickBot="1" x14ac:dyDescent="0.65">
      <c r="A67" s="616"/>
      <c r="B67" s="624"/>
      <c r="C67" s="624"/>
      <c r="D67" s="624"/>
      <c r="E67" s="624"/>
      <c r="F67" s="626"/>
      <c r="H67" s="45"/>
      <c r="I67" s="624"/>
      <c r="J67" s="56"/>
      <c r="R67" s="34"/>
    </row>
    <row r="68" spans="1:18" s="19" customFormat="1" ht="31.5" customHeight="1" thickTop="1" x14ac:dyDescent="0.6">
      <c r="A68" s="574">
        <v>16</v>
      </c>
      <c r="B68" s="623"/>
      <c r="C68" s="623"/>
      <c r="D68" s="623"/>
      <c r="E68" s="623"/>
      <c r="F68" s="625"/>
      <c r="H68" s="45"/>
      <c r="I68" s="623"/>
      <c r="J68" s="56"/>
      <c r="R68" s="34"/>
    </row>
    <row r="69" spans="1:18" s="19" customFormat="1" ht="31.5" customHeight="1" thickBot="1" x14ac:dyDescent="0.65">
      <c r="A69" s="616"/>
      <c r="B69" s="624"/>
      <c r="C69" s="624"/>
      <c r="D69" s="624"/>
      <c r="E69" s="624"/>
      <c r="F69" s="626"/>
      <c r="H69" s="45"/>
      <c r="I69" s="624"/>
      <c r="J69" s="56"/>
      <c r="R69" s="34"/>
    </row>
    <row r="70" spans="1:18" s="19" customFormat="1" ht="31.5" customHeight="1" thickTop="1" x14ac:dyDescent="0.6">
      <c r="A70" s="574">
        <v>16</v>
      </c>
      <c r="B70" s="623"/>
      <c r="C70" s="623"/>
      <c r="D70" s="623"/>
      <c r="E70" s="623"/>
      <c r="F70" s="625"/>
      <c r="H70" s="45"/>
      <c r="I70" s="623"/>
      <c r="J70" s="56"/>
      <c r="R70" s="34"/>
    </row>
    <row r="71" spans="1:18" s="19" customFormat="1" ht="31.5" customHeight="1" thickBot="1" x14ac:dyDescent="0.65">
      <c r="A71" s="616"/>
      <c r="B71" s="624"/>
      <c r="C71" s="624"/>
      <c r="D71" s="624"/>
      <c r="E71" s="624"/>
      <c r="F71" s="626"/>
      <c r="H71" s="45"/>
      <c r="I71" s="624"/>
      <c r="J71" s="56"/>
      <c r="R71" s="34"/>
    </row>
    <row r="72" spans="1:18" s="19" customFormat="1" ht="31.5" customHeight="1" thickTop="1" x14ac:dyDescent="0.6">
      <c r="A72" s="574">
        <v>16</v>
      </c>
      <c r="B72" s="623"/>
      <c r="C72" s="623"/>
      <c r="D72" s="623"/>
      <c r="E72" s="623"/>
      <c r="F72" s="625"/>
      <c r="H72" s="45"/>
      <c r="I72" s="623"/>
      <c r="J72" s="56"/>
      <c r="R72" s="34"/>
    </row>
    <row r="73" spans="1:18" s="19" customFormat="1" ht="31.5" customHeight="1" thickBot="1" x14ac:dyDescent="0.65">
      <c r="A73" s="616"/>
      <c r="B73" s="624"/>
      <c r="C73" s="624"/>
      <c r="D73" s="624"/>
      <c r="E73" s="624"/>
      <c r="F73" s="626"/>
      <c r="H73" s="45"/>
      <c r="I73" s="624"/>
      <c r="J73" s="56"/>
      <c r="R73" s="34"/>
    </row>
    <row r="74" spans="1:18" s="19" customFormat="1" ht="31.5" customHeight="1" thickTop="1" x14ac:dyDescent="0.6">
      <c r="A74" s="574">
        <v>16</v>
      </c>
      <c r="B74" s="623"/>
      <c r="C74" s="623"/>
      <c r="D74" s="623"/>
      <c r="E74" s="623"/>
      <c r="F74" s="625"/>
      <c r="H74" s="45"/>
      <c r="I74" s="623"/>
      <c r="J74" s="56"/>
      <c r="R74" s="34"/>
    </row>
    <row r="75" spans="1:18" s="19" customFormat="1" ht="31.5" customHeight="1" thickBot="1" x14ac:dyDescent="0.65">
      <c r="A75" s="616"/>
      <c r="B75" s="624"/>
      <c r="C75" s="624"/>
      <c r="D75" s="624"/>
      <c r="E75" s="624"/>
      <c r="F75" s="626"/>
      <c r="H75" s="45"/>
      <c r="I75" s="624"/>
      <c r="J75" s="56"/>
      <c r="R75" s="34"/>
    </row>
    <row r="76" spans="1:18" s="19" customFormat="1" ht="31.5" customHeight="1" thickTop="1" x14ac:dyDescent="0.6">
      <c r="A76" s="574">
        <v>16</v>
      </c>
      <c r="B76" s="623"/>
      <c r="C76" s="623"/>
      <c r="D76" s="623"/>
      <c r="E76" s="623"/>
      <c r="F76" s="625"/>
      <c r="H76" s="45"/>
      <c r="I76" s="623"/>
      <c r="J76" s="56"/>
      <c r="R76" s="34"/>
    </row>
    <row r="77" spans="1:18" s="19" customFormat="1" ht="31.5" customHeight="1" thickBot="1" x14ac:dyDescent="0.65">
      <c r="A77" s="616"/>
      <c r="B77" s="624"/>
      <c r="C77" s="624"/>
      <c r="D77" s="624"/>
      <c r="E77" s="624"/>
      <c r="F77" s="626"/>
      <c r="H77" s="45"/>
      <c r="I77" s="624"/>
      <c r="J77" s="56"/>
      <c r="R77" s="34"/>
    </row>
    <row r="78" spans="1:18" s="19" customFormat="1" ht="31.5" customHeight="1" thickTop="1" x14ac:dyDescent="0.6">
      <c r="A78" s="574">
        <v>16</v>
      </c>
      <c r="B78" s="623"/>
      <c r="C78" s="623"/>
      <c r="D78" s="623"/>
      <c r="E78" s="623"/>
      <c r="F78" s="625"/>
      <c r="H78" s="45"/>
      <c r="I78" s="623"/>
      <c r="J78" s="56"/>
      <c r="R78" s="34"/>
    </row>
    <row r="79" spans="1:18" s="19" customFormat="1" ht="31.5" customHeight="1" thickBot="1" x14ac:dyDescent="0.65">
      <c r="A79" s="616"/>
      <c r="B79" s="624"/>
      <c r="C79" s="624"/>
      <c r="D79" s="624"/>
      <c r="E79" s="624"/>
      <c r="F79" s="626"/>
      <c r="H79" s="45"/>
      <c r="I79" s="624"/>
      <c r="J79" s="56"/>
      <c r="R79" s="34"/>
    </row>
    <row r="80" spans="1:18" s="19" customFormat="1" ht="31.5" customHeight="1" thickTop="1" x14ac:dyDescent="0.6">
      <c r="A80" s="574">
        <v>16</v>
      </c>
      <c r="B80" s="623"/>
      <c r="C80" s="623"/>
      <c r="D80" s="623"/>
      <c r="E80" s="623"/>
      <c r="F80" s="625"/>
      <c r="H80" s="45"/>
      <c r="I80" s="623"/>
      <c r="J80" s="56"/>
      <c r="R80" s="34"/>
    </row>
    <row r="81" spans="1:18" s="19" customFormat="1" ht="31.5" customHeight="1" thickBot="1" x14ac:dyDescent="0.65">
      <c r="A81" s="616"/>
      <c r="B81" s="624"/>
      <c r="C81" s="624"/>
      <c r="D81" s="624"/>
      <c r="E81" s="624"/>
      <c r="F81" s="626"/>
      <c r="H81" s="45"/>
      <c r="I81" s="624"/>
      <c r="J81" s="56"/>
      <c r="R81" s="34"/>
    </row>
    <row r="82" spans="1:18" s="19" customFormat="1" ht="31.5" customHeight="1" thickTop="1" x14ac:dyDescent="0.6">
      <c r="A82" s="574">
        <v>16</v>
      </c>
      <c r="B82" s="623"/>
      <c r="C82" s="623"/>
      <c r="D82" s="623"/>
      <c r="E82" s="623"/>
      <c r="F82" s="625"/>
      <c r="H82" s="45"/>
      <c r="I82" s="623"/>
      <c r="J82" s="56"/>
      <c r="R82" s="34"/>
    </row>
    <row r="83" spans="1:18" s="19" customFormat="1" ht="31.5" customHeight="1" thickBot="1" x14ac:dyDescent="0.65">
      <c r="A83" s="616"/>
      <c r="B83" s="624"/>
      <c r="C83" s="624"/>
      <c r="D83" s="624"/>
      <c r="E83" s="624"/>
      <c r="F83" s="626"/>
      <c r="H83" s="45"/>
      <c r="I83" s="624"/>
      <c r="J83" s="56"/>
      <c r="R83" s="34"/>
    </row>
    <row r="84" spans="1:18" s="19" customFormat="1" ht="31.5" customHeight="1" thickTop="1" x14ac:dyDescent="0.6">
      <c r="A84" s="574">
        <v>16</v>
      </c>
      <c r="B84" s="623"/>
      <c r="C84" s="623"/>
      <c r="D84" s="623"/>
      <c r="E84" s="623"/>
      <c r="F84" s="625"/>
      <c r="H84" s="45"/>
      <c r="I84" s="623"/>
      <c r="J84" s="56"/>
      <c r="R84" s="34"/>
    </row>
    <row r="85" spans="1:18" s="19" customFormat="1" ht="31.5" customHeight="1" thickBot="1" x14ac:dyDescent="0.65">
      <c r="A85" s="616"/>
      <c r="B85" s="624"/>
      <c r="C85" s="624"/>
      <c r="D85" s="624"/>
      <c r="E85" s="624"/>
      <c r="F85" s="626"/>
      <c r="H85" s="45"/>
      <c r="I85" s="624"/>
      <c r="J85" s="56"/>
      <c r="R85" s="34"/>
    </row>
    <row r="86" spans="1:18" s="19" customFormat="1" ht="31.5" customHeight="1" thickTop="1" x14ac:dyDescent="0.6">
      <c r="A86" s="574">
        <v>16</v>
      </c>
      <c r="B86" s="623"/>
      <c r="C86" s="623"/>
      <c r="D86" s="623"/>
      <c r="E86" s="623"/>
      <c r="F86" s="625"/>
      <c r="H86" s="45"/>
      <c r="I86" s="623"/>
      <c r="J86" s="56"/>
      <c r="R86" s="34"/>
    </row>
    <row r="87" spans="1:18" s="19" customFormat="1" ht="31.5" customHeight="1" thickBot="1" x14ac:dyDescent="0.65">
      <c r="A87" s="616"/>
      <c r="B87" s="624"/>
      <c r="C87" s="624"/>
      <c r="D87" s="624"/>
      <c r="E87" s="624"/>
      <c r="F87" s="626"/>
      <c r="H87" s="45"/>
      <c r="I87" s="624"/>
      <c r="J87" s="56"/>
      <c r="R87" s="34"/>
    </row>
    <row r="88" spans="1:18" s="19" customFormat="1" ht="31.5" customHeight="1" thickTop="1" x14ac:dyDescent="0.6">
      <c r="A88" s="574">
        <v>16</v>
      </c>
      <c r="B88" s="623"/>
      <c r="C88" s="623"/>
      <c r="D88" s="623"/>
      <c r="E88" s="623"/>
      <c r="F88" s="625"/>
      <c r="H88" s="45"/>
      <c r="I88" s="623"/>
      <c r="J88" s="56"/>
      <c r="R88" s="34"/>
    </row>
    <row r="89" spans="1:18" s="19" customFormat="1" ht="31.5" customHeight="1" thickBot="1" x14ac:dyDescent="0.65">
      <c r="A89" s="616"/>
      <c r="B89" s="624"/>
      <c r="C89" s="624"/>
      <c r="D89" s="624"/>
      <c r="E89" s="624"/>
      <c r="F89" s="626"/>
      <c r="H89" s="45"/>
      <c r="I89" s="624"/>
      <c r="J89" s="56"/>
      <c r="R89" s="34"/>
    </row>
    <row r="90" spans="1:18" s="19" customFormat="1" ht="31.5" customHeight="1" thickTop="1" x14ac:dyDescent="0.6">
      <c r="A90" s="574">
        <v>16</v>
      </c>
      <c r="B90" s="623"/>
      <c r="C90" s="623"/>
      <c r="D90" s="623"/>
      <c r="E90" s="623"/>
      <c r="F90" s="625"/>
      <c r="H90" s="45"/>
      <c r="I90" s="623"/>
      <c r="J90" s="56"/>
      <c r="R90" s="34"/>
    </row>
    <row r="91" spans="1:18" s="19" customFormat="1" ht="31.5" customHeight="1" thickBot="1" x14ac:dyDescent="0.65">
      <c r="A91" s="616"/>
      <c r="B91" s="624"/>
      <c r="C91" s="624"/>
      <c r="D91" s="624"/>
      <c r="E91" s="624"/>
      <c r="F91" s="626"/>
      <c r="H91" s="45"/>
      <c r="I91" s="624"/>
      <c r="J91" s="56"/>
      <c r="R91" s="34"/>
    </row>
    <row r="92" spans="1:18" s="19" customFormat="1" ht="31.5" customHeight="1" thickTop="1" x14ac:dyDescent="0.6">
      <c r="A92" s="574">
        <v>16</v>
      </c>
      <c r="B92" s="623"/>
      <c r="C92" s="623"/>
      <c r="D92" s="623"/>
      <c r="E92" s="623"/>
      <c r="F92" s="625"/>
      <c r="H92" s="45"/>
      <c r="I92" s="623"/>
      <c r="J92" s="56"/>
      <c r="R92" s="34"/>
    </row>
    <row r="93" spans="1:18" s="19" customFormat="1" ht="31.5" customHeight="1" thickBot="1" x14ac:dyDescent="0.65">
      <c r="A93" s="616"/>
      <c r="B93" s="624"/>
      <c r="C93" s="624"/>
      <c r="D93" s="624"/>
      <c r="E93" s="624"/>
      <c r="F93" s="626"/>
      <c r="H93" s="45"/>
      <c r="I93" s="624"/>
      <c r="J93" s="56"/>
      <c r="R93" s="34"/>
    </row>
    <row r="94" spans="1:18" s="19" customFormat="1" ht="31.5" customHeight="1" thickTop="1" x14ac:dyDescent="0.6">
      <c r="A94" s="574">
        <v>16</v>
      </c>
      <c r="B94" s="623"/>
      <c r="C94" s="623"/>
      <c r="D94" s="623"/>
      <c r="E94" s="623"/>
      <c r="F94" s="625"/>
      <c r="H94" s="45"/>
      <c r="I94" s="623"/>
      <c r="J94" s="56"/>
      <c r="R94" s="34"/>
    </row>
    <row r="95" spans="1:18" s="19" customFormat="1" ht="31.5" customHeight="1" thickBot="1" x14ac:dyDescent="0.65">
      <c r="A95" s="616"/>
      <c r="B95" s="624"/>
      <c r="C95" s="624"/>
      <c r="D95" s="624"/>
      <c r="E95" s="624"/>
      <c r="F95" s="626"/>
      <c r="H95" s="45"/>
      <c r="I95" s="624"/>
      <c r="J95" s="56"/>
      <c r="R95" s="34"/>
    </row>
    <row r="96" spans="1:18" s="19" customFormat="1" ht="31.5" customHeight="1" thickTop="1" x14ac:dyDescent="0.6">
      <c r="A96" s="574">
        <v>16</v>
      </c>
      <c r="B96" s="623"/>
      <c r="C96" s="623"/>
      <c r="D96" s="623"/>
      <c r="E96" s="623"/>
      <c r="F96" s="625"/>
      <c r="H96" s="45"/>
      <c r="I96" s="623"/>
      <c r="J96" s="56"/>
      <c r="R96" s="34"/>
    </row>
    <row r="97" spans="1:18" s="19" customFormat="1" ht="31.5" customHeight="1" thickBot="1" x14ac:dyDescent="0.65">
      <c r="A97" s="616"/>
      <c r="B97" s="624"/>
      <c r="C97" s="624"/>
      <c r="D97" s="624"/>
      <c r="E97" s="624"/>
      <c r="F97" s="626"/>
      <c r="H97" s="45"/>
      <c r="I97" s="624"/>
      <c r="J97" s="56"/>
      <c r="R97" s="34"/>
    </row>
    <row r="98" spans="1:18" s="19" customFormat="1" ht="31.5" customHeight="1" thickTop="1" x14ac:dyDescent="0.6">
      <c r="A98" s="574">
        <v>16</v>
      </c>
      <c r="B98" s="623"/>
      <c r="C98" s="623"/>
      <c r="D98" s="623"/>
      <c r="E98" s="623"/>
      <c r="F98" s="625"/>
      <c r="H98" s="45"/>
      <c r="I98" s="623"/>
      <c r="J98" s="56"/>
      <c r="R98" s="34"/>
    </row>
    <row r="99" spans="1:18" s="19" customFormat="1" ht="31.5" customHeight="1" thickBot="1" x14ac:dyDescent="0.65">
      <c r="A99" s="616"/>
      <c r="B99" s="624"/>
      <c r="C99" s="624"/>
      <c r="D99" s="624"/>
      <c r="E99" s="624"/>
      <c r="F99" s="626"/>
      <c r="H99" s="45"/>
      <c r="I99" s="624"/>
      <c r="J99" s="56"/>
      <c r="R99" s="34"/>
    </row>
    <row r="100" spans="1:18" s="19" customFormat="1" ht="31.5" customHeight="1" thickTop="1" x14ac:dyDescent="0.6">
      <c r="A100" s="574">
        <v>16</v>
      </c>
      <c r="B100" s="623"/>
      <c r="C100" s="623"/>
      <c r="D100" s="623"/>
      <c r="E100" s="623"/>
      <c r="F100" s="625"/>
      <c r="H100" s="45"/>
      <c r="I100" s="623"/>
      <c r="J100" s="56"/>
      <c r="R100" s="34"/>
    </row>
    <row r="101" spans="1:18" s="19" customFormat="1" ht="31.5" customHeight="1" thickBot="1" x14ac:dyDescent="0.65">
      <c r="A101" s="616"/>
      <c r="B101" s="624"/>
      <c r="C101" s="624"/>
      <c r="D101" s="624"/>
      <c r="E101" s="624"/>
      <c r="F101" s="626"/>
      <c r="H101" s="45"/>
      <c r="I101" s="624"/>
      <c r="J101" s="56"/>
      <c r="R101" s="34"/>
    </row>
    <row r="102" spans="1:18" s="19" customFormat="1" ht="31.5" customHeight="1" thickTop="1" x14ac:dyDescent="0.6">
      <c r="A102" s="574">
        <v>16</v>
      </c>
      <c r="B102" s="623"/>
      <c r="C102" s="623"/>
      <c r="D102" s="623"/>
      <c r="E102" s="623"/>
      <c r="F102" s="625"/>
      <c r="H102" s="45"/>
      <c r="I102" s="623"/>
      <c r="J102" s="56"/>
      <c r="R102" s="34"/>
    </row>
    <row r="103" spans="1:18" s="19" customFormat="1" ht="31.5" customHeight="1" thickBot="1" x14ac:dyDescent="0.65">
      <c r="A103" s="616"/>
      <c r="B103" s="624"/>
      <c r="C103" s="624"/>
      <c r="D103" s="624"/>
      <c r="E103" s="624"/>
      <c r="F103" s="626"/>
      <c r="H103" s="45"/>
      <c r="I103" s="624"/>
      <c r="J103" s="56"/>
      <c r="R103" s="34"/>
    </row>
    <row r="104" spans="1:18" s="19" customFormat="1" ht="31.5" customHeight="1" thickTop="1" x14ac:dyDescent="0.6">
      <c r="A104" s="574">
        <v>16</v>
      </c>
      <c r="B104" s="623"/>
      <c r="C104" s="623"/>
      <c r="D104" s="623"/>
      <c r="E104" s="623"/>
      <c r="F104" s="625"/>
      <c r="H104" s="45"/>
      <c r="I104" s="623"/>
      <c r="J104" s="56"/>
      <c r="R104" s="34"/>
    </row>
    <row r="105" spans="1:18" s="19" customFormat="1" ht="31.5" customHeight="1" thickBot="1" x14ac:dyDescent="0.65">
      <c r="A105" s="616"/>
      <c r="B105" s="624"/>
      <c r="C105" s="624"/>
      <c r="D105" s="624"/>
      <c r="E105" s="624"/>
      <c r="F105" s="626"/>
      <c r="H105" s="45"/>
      <c r="I105" s="624"/>
      <c r="J105" s="56"/>
      <c r="R105" s="34"/>
    </row>
    <row r="106" spans="1:18" s="19" customFormat="1" ht="31.5" customHeight="1" thickTop="1" x14ac:dyDescent="0.6">
      <c r="A106" s="574">
        <v>16</v>
      </c>
      <c r="B106" s="623"/>
      <c r="C106" s="623"/>
      <c r="D106" s="623"/>
      <c r="E106" s="623"/>
      <c r="F106" s="625"/>
      <c r="H106" s="45"/>
      <c r="I106" s="623"/>
      <c r="J106" s="56"/>
      <c r="R106" s="34"/>
    </row>
    <row r="107" spans="1:18" s="19" customFormat="1" ht="31.5" customHeight="1" thickBot="1" x14ac:dyDescent="0.65">
      <c r="A107" s="616"/>
      <c r="B107" s="624"/>
      <c r="C107" s="624"/>
      <c r="D107" s="624"/>
      <c r="E107" s="624"/>
      <c r="F107" s="626"/>
      <c r="H107" s="45"/>
      <c r="I107" s="624"/>
      <c r="J107" s="56"/>
      <c r="R107" s="34"/>
    </row>
    <row r="108" spans="1:18" s="19" customFormat="1" ht="31.5" customHeight="1" thickTop="1" x14ac:dyDescent="0.6">
      <c r="A108" s="574">
        <v>16</v>
      </c>
      <c r="B108" s="623"/>
      <c r="C108" s="623"/>
      <c r="D108" s="623"/>
      <c r="E108" s="623"/>
      <c r="F108" s="625"/>
      <c r="H108" s="45"/>
      <c r="I108" s="623"/>
      <c r="J108" s="56"/>
      <c r="R108" s="34"/>
    </row>
    <row r="109" spans="1:18" s="19" customFormat="1" ht="31.5" customHeight="1" thickBot="1" x14ac:dyDescent="0.65">
      <c r="A109" s="616"/>
      <c r="B109" s="624"/>
      <c r="C109" s="624"/>
      <c r="D109" s="624"/>
      <c r="E109" s="624"/>
      <c r="F109" s="626"/>
      <c r="H109" s="45"/>
      <c r="I109" s="624"/>
      <c r="J109" s="56"/>
      <c r="R109" s="34"/>
    </row>
    <row r="110" spans="1:18" s="19" customFormat="1" ht="31.5" customHeight="1" thickTop="1" x14ac:dyDescent="0.6">
      <c r="A110" s="574">
        <v>16</v>
      </c>
      <c r="B110" s="623"/>
      <c r="C110" s="623"/>
      <c r="D110" s="623"/>
      <c r="E110" s="623"/>
      <c r="F110" s="625"/>
      <c r="H110" s="45"/>
      <c r="I110" s="623"/>
      <c r="J110" s="56"/>
      <c r="R110" s="34"/>
    </row>
    <row r="111" spans="1:18" s="19" customFormat="1" ht="31.5" customHeight="1" thickBot="1" x14ac:dyDescent="0.65">
      <c r="A111" s="616"/>
      <c r="B111" s="624"/>
      <c r="C111" s="624"/>
      <c r="D111" s="624"/>
      <c r="E111" s="624"/>
      <c r="F111" s="626"/>
      <c r="H111" s="45"/>
      <c r="I111" s="624"/>
      <c r="J111" s="56"/>
      <c r="R111" s="34"/>
    </row>
    <row r="112" spans="1:18" s="19" customFormat="1" ht="31.5" customHeight="1" thickTop="1" x14ac:dyDescent="0.6">
      <c r="A112" s="574">
        <v>16</v>
      </c>
      <c r="B112" s="623"/>
      <c r="C112" s="623"/>
      <c r="D112" s="623"/>
      <c r="E112" s="623"/>
      <c r="F112" s="625"/>
      <c r="H112" s="45"/>
      <c r="I112" s="623"/>
      <c r="J112" s="56"/>
      <c r="R112" s="34"/>
    </row>
    <row r="113" spans="1:18" s="19" customFormat="1" ht="31.5" customHeight="1" thickBot="1" x14ac:dyDescent="0.65">
      <c r="A113" s="616"/>
      <c r="B113" s="624"/>
      <c r="C113" s="624"/>
      <c r="D113" s="624"/>
      <c r="E113" s="624"/>
      <c r="F113" s="626"/>
      <c r="H113" s="45"/>
      <c r="I113" s="624"/>
      <c r="J113" s="56"/>
      <c r="R113" s="34"/>
    </row>
    <row r="114" spans="1:18" s="19" customFormat="1" ht="31.5" customHeight="1" thickTop="1" x14ac:dyDescent="0.6">
      <c r="A114" s="574">
        <v>16</v>
      </c>
      <c r="B114" s="623"/>
      <c r="C114" s="623"/>
      <c r="D114" s="623"/>
      <c r="E114" s="623"/>
      <c r="F114" s="625"/>
      <c r="H114" s="45"/>
      <c r="I114" s="623"/>
      <c r="J114" s="56"/>
      <c r="R114" s="34"/>
    </row>
    <row r="115" spans="1:18" s="19" customFormat="1" ht="31.5" customHeight="1" thickBot="1" x14ac:dyDescent="0.65">
      <c r="A115" s="616"/>
      <c r="B115" s="624"/>
      <c r="C115" s="624"/>
      <c r="D115" s="624"/>
      <c r="E115" s="624"/>
      <c r="F115" s="626"/>
      <c r="H115" s="45"/>
      <c r="I115" s="624"/>
      <c r="J115" s="56"/>
      <c r="R115" s="34"/>
    </row>
    <row r="116" spans="1:18" s="19" customFormat="1" ht="31.5" customHeight="1" thickTop="1" x14ac:dyDescent="0.6">
      <c r="A116" s="574">
        <v>16</v>
      </c>
      <c r="B116" s="623"/>
      <c r="C116" s="623"/>
      <c r="D116" s="623"/>
      <c r="E116" s="623"/>
      <c r="F116" s="625"/>
      <c r="H116" s="45"/>
      <c r="I116" s="623"/>
      <c r="J116" s="56"/>
      <c r="R116" s="34"/>
    </row>
    <row r="117" spans="1:18" s="19" customFormat="1" ht="31.5" customHeight="1" thickBot="1" x14ac:dyDescent="0.65">
      <c r="A117" s="616"/>
      <c r="B117" s="624"/>
      <c r="C117" s="624"/>
      <c r="D117" s="624"/>
      <c r="E117" s="624"/>
      <c r="F117" s="626"/>
      <c r="H117" s="45"/>
      <c r="I117" s="624"/>
      <c r="J117" s="56"/>
      <c r="R117" s="34"/>
    </row>
    <row r="118" spans="1:18" ht="33.75" thickTop="1" x14ac:dyDescent="0.6"/>
  </sheetData>
  <mergeCells count="406">
    <mergeCell ref="I24:I25"/>
    <mergeCell ref="A22:A23"/>
    <mergeCell ref="B20:B21"/>
    <mergeCell ref="C20:C21"/>
    <mergeCell ref="I10:I11"/>
    <mergeCell ref="A10:A11"/>
    <mergeCell ref="E10:E11"/>
    <mergeCell ref="F10:F11"/>
    <mergeCell ref="I18:I19"/>
    <mergeCell ref="C18:C19"/>
    <mergeCell ref="D18:D19"/>
    <mergeCell ref="E18:E19"/>
    <mergeCell ref="F18:F19"/>
    <mergeCell ref="A18:A19"/>
    <mergeCell ref="B18:B19"/>
    <mergeCell ref="H18:H19"/>
    <mergeCell ref="F16:F17"/>
    <mergeCell ref="A16:A17"/>
    <mergeCell ref="I22:I23"/>
    <mergeCell ref="I12:I13"/>
    <mergeCell ref="H10:H11"/>
    <mergeCell ref="E24:E25"/>
    <mergeCell ref="E22:E23"/>
    <mergeCell ref="F22:F23"/>
    <mergeCell ref="I30:I31"/>
    <mergeCell ref="I32:I33"/>
    <mergeCell ref="D28:D29"/>
    <mergeCell ref="D30:D31"/>
    <mergeCell ref="D32:D33"/>
    <mergeCell ref="C32:C33"/>
    <mergeCell ref="E28:E29"/>
    <mergeCell ref="E30:E31"/>
    <mergeCell ref="E32:E33"/>
    <mergeCell ref="F28:F29"/>
    <mergeCell ref="F30:F31"/>
    <mergeCell ref="F32:F33"/>
    <mergeCell ref="C28:C29"/>
    <mergeCell ref="H6:H7"/>
    <mergeCell ref="H4:H5"/>
    <mergeCell ref="H12:H13"/>
    <mergeCell ref="D6:D7"/>
    <mergeCell ref="E6:E7"/>
    <mergeCell ref="F6:F7"/>
    <mergeCell ref="B16:B17"/>
    <mergeCell ref="D8:D9"/>
    <mergeCell ref="E8:E9"/>
    <mergeCell ref="F8:F9"/>
    <mergeCell ref="C8:C9"/>
    <mergeCell ref="C12:C13"/>
    <mergeCell ref="D12:D13"/>
    <mergeCell ref="E12:E13"/>
    <mergeCell ref="F12:F13"/>
    <mergeCell ref="B10:B11"/>
    <mergeCell ref="C10:C11"/>
    <mergeCell ref="D10:D11"/>
    <mergeCell ref="B6:B7"/>
    <mergeCell ref="F4:F5"/>
    <mergeCell ref="H8:H9"/>
    <mergeCell ref="E4:E5"/>
    <mergeCell ref="A6:A7"/>
    <mergeCell ref="A12:A13"/>
    <mergeCell ref="B28:B29"/>
    <mergeCell ref="B30:B31"/>
    <mergeCell ref="A26:A27"/>
    <mergeCell ref="A24:A25"/>
    <mergeCell ref="B24:B25"/>
    <mergeCell ref="C24:C25"/>
    <mergeCell ref="D24:D25"/>
    <mergeCell ref="D22:D23"/>
    <mergeCell ref="D26:D27"/>
    <mergeCell ref="B14:B15"/>
    <mergeCell ref="E26:E27"/>
    <mergeCell ref="F26:F27"/>
    <mergeCell ref="A14:A15"/>
    <mergeCell ref="R8:U9"/>
    <mergeCell ref="A1:Q1"/>
    <mergeCell ref="A2:Q2"/>
    <mergeCell ref="I16:I17"/>
    <mergeCell ref="A4:A5"/>
    <mergeCell ref="B4:B5"/>
    <mergeCell ref="C4:C5"/>
    <mergeCell ref="D4:D5"/>
    <mergeCell ref="I8:I9"/>
    <mergeCell ref="C16:C17"/>
    <mergeCell ref="D16:D17"/>
    <mergeCell ref="C6:C7"/>
    <mergeCell ref="A8:A9"/>
    <mergeCell ref="B8:B9"/>
    <mergeCell ref="E16:E17"/>
    <mergeCell ref="B12:B13"/>
    <mergeCell ref="I14:I15"/>
    <mergeCell ref="F14:F15"/>
    <mergeCell ref="E14:E15"/>
    <mergeCell ref="D14:D15"/>
    <mergeCell ref="C14:C15"/>
    <mergeCell ref="I26:I27"/>
    <mergeCell ref="A32:A33"/>
    <mergeCell ref="A34:A35"/>
    <mergeCell ref="C34:C35"/>
    <mergeCell ref="D34:D35"/>
    <mergeCell ref="E34:E35"/>
    <mergeCell ref="F34:F35"/>
    <mergeCell ref="I34:I35"/>
    <mergeCell ref="A20:A21"/>
    <mergeCell ref="A28:A29"/>
    <mergeCell ref="A30:A31"/>
    <mergeCell ref="D20:D21"/>
    <mergeCell ref="E20:E21"/>
    <mergeCell ref="F20:F21"/>
    <mergeCell ref="I20:I21"/>
    <mergeCell ref="C22:C23"/>
    <mergeCell ref="B32:B33"/>
    <mergeCell ref="B34:B35"/>
    <mergeCell ref="C30:C31"/>
    <mergeCell ref="F24:F25"/>
    <mergeCell ref="B22:B23"/>
    <mergeCell ref="B26:B27"/>
    <mergeCell ref="C26:C27"/>
    <mergeCell ref="I28:I29"/>
    <mergeCell ref="A36:A37"/>
    <mergeCell ref="C36:C37"/>
    <mergeCell ref="D36:D37"/>
    <mergeCell ref="E36:E37"/>
    <mergeCell ref="F36:F37"/>
    <mergeCell ref="I36:I37"/>
    <mergeCell ref="A38:A39"/>
    <mergeCell ref="C38:C39"/>
    <mergeCell ref="D38:D39"/>
    <mergeCell ref="E38:E39"/>
    <mergeCell ref="F38:F39"/>
    <mergeCell ref="I38:I39"/>
    <mergeCell ref="B36:B37"/>
    <mergeCell ref="A40:A41"/>
    <mergeCell ref="C40:C41"/>
    <mergeCell ref="D40:D41"/>
    <mergeCell ref="E40:E41"/>
    <mergeCell ref="F40:F41"/>
    <mergeCell ref="I40:I41"/>
    <mergeCell ref="B38:B39"/>
    <mergeCell ref="B40:B41"/>
    <mergeCell ref="A42:A43"/>
    <mergeCell ref="C42:C43"/>
    <mergeCell ref="D42:D43"/>
    <mergeCell ref="E42:E43"/>
    <mergeCell ref="F42:F43"/>
    <mergeCell ref="I42:I43"/>
    <mergeCell ref="A44:A45"/>
    <mergeCell ref="B44:B45"/>
    <mergeCell ref="C44:C45"/>
    <mergeCell ref="D44:D45"/>
    <mergeCell ref="E44:E45"/>
    <mergeCell ref="F44:F45"/>
    <mergeCell ref="I44:I45"/>
    <mergeCell ref="B42:B43"/>
    <mergeCell ref="A46:A47"/>
    <mergeCell ref="B46:B47"/>
    <mergeCell ref="C46:C47"/>
    <mergeCell ref="D46:D47"/>
    <mergeCell ref="E46:E47"/>
    <mergeCell ref="F46:F47"/>
    <mergeCell ref="I46:I47"/>
    <mergeCell ref="A48:A49"/>
    <mergeCell ref="B48:B49"/>
    <mergeCell ref="C48:C49"/>
    <mergeCell ref="D48:D49"/>
    <mergeCell ref="E48:E49"/>
    <mergeCell ref="F48:F49"/>
    <mergeCell ref="I48:I49"/>
    <mergeCell ref="A50:A51"/>
    <mergeCell ref="B50:B51"/>
    <mergeCell ref="C50:C51"/>
    <mergeCell ref="D50:D51"/>
    <mergeCell ref="E50:E51"/>
    <mergeCell ref="F50:F51"/>
    <mergeCell ref="I50:I51"/>
    <mergeCell ref="A52:A53"/>
    <mergeCell ref="B52:B53"/>
    <mergeCell ref="C52:C53"/>
    <mergeCell ref="D52:D53"/>
    <mergeCell ref="E52:E53"/>
    <mergeCell ref="F52:F53"/>
    <mergeCell ref="I52:I53"/>
    <mergeCell ref="A54:A55"/>
    <mergeCell ref="B54:B55"/>
    <mergeCell ref="C54:C55"/>
    <mergeCell ref="D54:D55"/>
    <mergeCell ref="E54:E55"/>
    <mergeCell ref="F54:F55"/>
    <mergeCell ref="I54:I55"/>
    <mergeCell ref="A56:A57"/>
    <mergeCell ref="B56:B57"/>
    <mergeCell ref="C56:C57"/>
    <mergeCell ref="D56:D57"/>
    <mergeCell ref="E56:E57"/>
    <mergeCell ref="F56:F57"/>
    <mergeCell ref="I56:I57"/>
    <mergeCell ref="A58:A59"/>
    <mergeCell ref="B58:B59"/>
    <mergeCell ref="C58:C59"/>
    <mergeCell ref="D58:D59"/>
    <mergeCell ref="E58:E59"/>
    <mergeCell ref="F58:F59"/>
    <mergeCell ref="I58:I59"/>
    <mergeCell ref="A60:A61"/>
    <mergeCell ref="B60:B61"/>
    <mergeCell ref="C60:C61"/>
    <mergeCell ref="D60:D61"/>
    <mergeCell ref="E60:E61"/>
    <mergeCell ref="F60:F61"/>
    <mergeCell ref="I60:I61"/>
    <mergeCell ref="A62:A63"/>
    <mergeCell ref="B62:B63"/>
    <mergeCell ref="C62:C63"/>
    <mergeCell ref="D62:D63"/>
    <mergeCell ref="E62:E63"/>
    <mergeCell ref="F62:F63"/>
    <mergeCell ref="I62:I63"/>
    <mergeCell ref="A64:A65"/>
    <mergeCell ref="B64:B65"/>
    <mergeCell ref="C64:C65"/>
    <mergeCell ref="D64:D65"/>
    <mergeCell ref="E64:E65"/>
    <mergeCell ref="F64:F65"/>
    <mergeCell ref="I64:I65"/>
    <mergeCell ref="A66:A67"/>
    <mergeCell ref="B66:B67"/>
    <mergeCell ref="C66:C67"/>
    <mergeCell ref="D66:D67"/>
    <mergeCell ref="E66:E67"/>
    <mergeCell ref="F66:F67"/>
    <mergeCell ref="I66:I67"/>
    <mergeCell ref="A68:A69"/>
    <mergeCell ref="B68:B69"/>
    <mergeCell ref="C68:C69"/>
    <mergeCell ref="D68:D69"/>
    <mergeCell ref="E68:E69"/>
    <mergeCell ref="F68:F69"/>
    <mergeCell ref="I68:I69"/>
    <mergeCell ref="A70:A71"/>
    <mergeCell ref="B70:B71"/>
    <mergeCell ref="C70:C71"/>
    <mergeCell ref="D70:D71"/>
    <mergeCell ref="E70:E71"/>
    <mergeCell ref="F70:F71"/>
    <mergeCell ref="I70:I71"/>
    <mergeCell ref="A72:A73"/>
    <mergeCell ref="B72:B73"/>
    <mergeCell ref="C72:C73"/>
    <mergeCell ref="D72:D73"/>
    <mergeCell ref="E72:E73"/>
    <mergeCell ref="F72:F73"/>
    <mergeCell ref="I72:I73"/>
    <mergeCell ref="A74:A75"/>
    <mergeCell ref="B74:B75"/>
    <mergeCell ref="C74:C75"/>
    <mergeCell ref="D74:D75"/>
    <mergeCell ref="E74:E75"/>
    <mergeCell ref="F74:F75"/>
    <mergeCell ref="I74:I75"/>
    <mergeCell ref="A76:A77"/>
    <mergeCell ref="B76:B77"/>
    <mergeCell ref="C76:C77"/>
    <mergeCell ref="D76:D77"/>
    <mergeCell ref="E76:E77"/>
    <mergeCell ref="F76:F77"/>
    <mergeCell ref="I76:I77"/>
    <mergeCell ref="A78:A79"/>
    <mergeCell ref="B78:B79"/>
    <mergeCell ref="C78:C79"/>
    <mergeCell ref="D78:D79"/>
    <mergeCell ref="E78:E79"/>
    <mergeCell ref="F78:F79"/>
    <mergeCell ref="I78:I79"/>
    <mergeCell ref="A80:A81"/>
    <mergeCell ref="B80:B81"/>
    <mergeCell ref="C80:C81"/>
    <mergeCell ref="D80:D81"/>
    <mergeCell ref="E80:E81"/>
    <mergeCell ref="F80:F81"/>
    <mergeCell ref="I80:I81"/>
    <mergeCell ref="A82:A83"/>
    <mergeCell ref="B82:B83"/>
    <mergeCell ref="C82:C83"/>
    <mergeCell ref="D82:D83"/>
    <mergeCell ref="E82:E83"/>
    <mergeCell ref="F82:F83"/>
    <mergeCell ref="I82:I83"/>
    <mergeCell ref="A84:A85"/>
    <mergeCell ref="B84:B85"/>
    <mergeCell ref="C84:C85"/>
    <mergeCell ref="D84:D85"/>
    <mergeCell ref="E84:E85"/>
    <mergeCell ref="F84:F85"/>
    <mergeCell ref="I84:I85"/>
    <mergeCell ref="A86:A87"/>
    <mergeCell ref="B86:B87"/>
    <mergeCell ref="C86:C87"/>
    <mergeCell ref="D86:D87"/>
    <mergeCell ref="E86:E87"/>
    <mergeCell ref="F86:F87"/>
    <mergeCell ref="I86:I87"/>
    <mergeCell ref="A88:A89"/>
    <mergeCell ref="B88:B89"/>
    <mergeCell ref="C88:C89"/>
    <mergeCell ref="D88:D89"/>
    <mergeCell ref="E88:E89"/>
    <mergeCell ref="F88:F89"/>
    <mergeCell ref="I88:I89"/>
    <mergeCell ref="A90:A91"/>
    <mergeCell ref="B90:B91"/>
    <mergeCell ref="C90:C91"/>
    <mergeCell ref="D90:D91"/>
    <mergeCell ref="E90:E91"/>
    <mergeCell ref="F90:F91"/>
    <mergeCell ref="I90:I91"/>
    <mergeCell ref="C92:C93"/>
    <mergeCell ref="D92:D93"/>
    <mergeCell ref="E92:E93"/>
    <mergeCell ref="F92:F93"/>
    <mergeCell ref="I92:I93"/>
    <mergeCell ref="A94:A95"/>
    <mergeCell ref="B94:B95"/>
    <mergeCell ref="C94:C95"/>
    <mergeCell ref="D94:D95"/>
    <mergeCell ref="E94:E95"/>
    <mergeCell ref="F94:F95"/>
    <mergeCell ref="I94:I95"/>
    <mergeCell ref="A92:A93"/>
    <mergeCell ref="B92:B93"/>
    <mergeCell ref="A96:A97"/>
    <mergeCell ref="B96:B97"/>
    <mergeCell ref="C96:C97"/>
    <mergeCell ref="D96:D97"/>
    <mergeCell ref="E96:E97"/>
    <mergeCell ref="F96:F97"/>
    <mergeCell ref="I96:I97"/>
    <mergeCell ref="A98:A99"/>
    <mergeCell ref="B98:B99"/>
    <mergeCell ref="C98:C99"/>
    <mergeCell ref="D98:D99"/>
    <mergeCell ref="E98:E99"/>
    <mergeCell ref="F98:F99"/>
    <mergeCell ref="I98:I99"/>
    <mergeCell ref="F110:F111"/>
    <mergeCell ref="I100:I101"/>
    <mergeCell ref="A102:A103"/>
    <mergeCell ref="B102:B103"/>
    <mergeCell ref="C102:C103"/>
    <mergeCell ref="D102:D103"/>
    <mergeCell ref="E102:E103"/>
    <mergeCell ref="F102:F103"/>
    <mergeCell ref="I102:I103"/>
    <mergeCell ref="A100:A101"/>
    <mergeCell ref="B100:B101"/>
    <mergeCell ref="C100:C101"/>
    <mergeCell ref="D100:D101"/>
    <mergeCell ref="E100:E101"/>
    <mergeCell ref="F100:F101"/>
    <mergeCell ref="E114:E115"/>
    <mergeCell ref="F114:F115"/>
    <mergeCell ref="I114:I115"/>
    <mergeCell ref="I110:I111"/>
    <mergeCell ref="A104:A105"/>
    <mergeCell ref="B104:B105"/>
    <mergeCell ref="C104:C105"/>
    <mergeCell ref="D104:D105"/>
    <mergeCell ref="E104:E105"/>
    <mergeCell ref="F104:F105"/>
    <mergeCell ref="I104:I105"/>
    <mergeCell ref="A106:A107"/>
    <mergeCell ref="B106:B107"/>
    <mergeCell ref="C106:C107"/>
    <mergeCell ref="D106:D107"/>
    <mergeCell ref="E106:E107"/>
    <mergeCell ref="F106:F107"/>
    <mergeCell ref="I106:I107"/>
    <mergeCell ref="I108:I109"/>
    <mergeCell ref="A110:A111"/>
    <mergeCell ref="B110:B111"/>
    <mergeCell ref="C110:C111"/>
    <mergeCell ref="D110:D111"/>
    <mergeCell ref="E110:E111"/>
    <mergeCell ref="I116:I117"/>
    <mergeCell ref="A116:A117"/>
    <mergeCell ref="B116:B117"/>
    <mergeCell ref="C116:C117"/>
    <mergeCell ref="D116:D117"/>
    <mergeCell ref="E116:E117"/>
    <mergeCell ref="F116:F117"/>
    <mergeCell ref="A108:A109"/>
    <mergeCell ref="B108:B109"/>
    <mergeCell ref="C108:C109"/>
    <mergeCell ref="D108:D109"/>
    <mergeCell ref="E108:E109"/>
    <mergeCell ref="F108:F109"/>
    <mergeCell ref="A112:A113"/>
    <mergeCell ref="B112:B113"/>
    <mergeCell ref="C112:C113"/>
    <mergeCell ref="D112:D113"/>
    <mergeCell ref="E112:E113"/>
    <mergeCell ref="F112:F113"/>
    <mergeCell ref="I112:I113"/>
    <mergeCell ref="A114:A115"/>
    <mergeCell ref="B114:B115"/>
    <mergeCell ref="C114:C115"/>
    <mergeCell ref="D114:D115"/>
  </mergeCells>
  <dataValidations count="1">
    <dataValidation type="list" allowBlank="1" showInputMessage="1" showErrorMessage="1" sqref="E4:E117">
      <formula1>JobType</formula1>
    </dataValidation>
  </dataValidations>
  <pageMargins left="0.7" right="0.7" top="0.75" bottom="0.75" header="0.3" footer="0.3"/>
  <pageSetup scale="17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boBox2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1</xdr:row>
                <xdr:rowOff>238125</xdr:rowOff>
              </to>
            </anchor>
          </controlPr>
        </control>
      </mc:Choice>
      <mc:Fallback>
        <control shapeId="2051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DATA!$B$2:$B$141</xm:f>
          </x14:formula1>
          <xm:sqref>B42:B117</xm:sqref>
        </x14:dataValidation>
        <x14:dataValidation type="list" allowBlank="1" showInputMessage="1" showErrorMessage="1">
          <x14:formula1>
            <xm:f>DATA!$C$2:$C$38</xm:f>
          </x14:formula1>
          <xm:sqref>B4:B41</xm:sqref>
        </x14:dataValidation>
        <x14:dataValidation type="list" allowBlank="1" showInputMessage="1" showErrorMessage="1">
          <x14:formula1>
            <xm:f>DATA!$H$2:$H$53</xm:f>
          </x14:formula1>
          <xm:sqref>K4 K6 K8:K37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36"/>
  <sheetViews>
    <sheetView zoomScale="70" zoomScaleNormal="70" workbookViewId="0">
      <selection activeCell="F18" sqref="F18:F19"/>
    </sheetView>
  </sheetViews>
  <sheetFormatPr defaultRowHeight="33" x14ac:dyDescent="0.6"/>
  <cols>
    <col min="1" max="1" width="7.5703125" style="5" customWidth="1"/>
    <col min="2" max="2" width="30.140625" style="15" customWidth="1"/>
    <col min="3" max="3" width="34.42578125" style="5" customWidth="1"/>
    <col min="4" max="4" width="22.5703125" style="14" customWidth="1"/>
    <col min="5" max="5" width="29.85546875" style="14" customWidth="1"/>
    <col min="6" max="6" width="28.7109375" style="14" customWidth="1"/>
    <col min="7" max="7" width="107.28515625" style="14" customWidth="1"/>
    <col min="8" max="8" width="15.5703125" style="14" customWidth="1"/>
    <col min="9" max="10" width="15.140625" style="5" customWidth="1"/>
    <col min="11" max="11" width="83.85546875" style="14" customWidth="1"/>
    <col min="12" max="17" width="9.140625" style="5" hidden="1" customWidth="1"/>
    <col min="18" max="18" width="22.5703125" style="18" customWidth="1"/>
    <col min="19" max="22" width="9.140625" style="18"/>
    <col min="23" max="16384" width="9.140625" style="5"/>
  </cols>
  <sheetData>
    <row r="1" spans="1:22" s="1" customFormat="1" ht="40.5" customHeight="1" thickBot="1" x14ac:dyDescent="0.5">
      <c r="A1" s="548" t="s">
        <v>267</v>
      </c>
      <c r="B1" s="698"/>
      <c r="C1" s="549"/>
      <c r="D1" s="698"/>
      <c r="E1" s="698"/>
      <c r="F1" s="698"/>
      <c r="G1" s="698"/>
      <c r="H1" s="698"/>
      <c r="I1" s="549"/>
      <c r="J1" s="549"/>
      <c r="K1" s="549"/>
      <c r="L1" s="549"/>
      <c r="M1" s="549"/>
      <c r="N1" s="549"/>
      <c r="O1" s="549"/>
      <c r="P1" s="549"/>
      <c r="Q1" s="550"/>
      <c r="R1" s="28"/>
      <c r="S1" s="28"/>
      <c r="T1" s="28"/>
      <c r="U1" s="28"/>
      <c r="V1" s="28"/>
    </row>
    <row r="2" spans="1:22" s="8" customFormat="1" ht="31.5" thickBot="1" x14ac:dyDescent="0.6">
      <c r="A2" s="587"/>
      <c r="B2" s="699"/>
      <c r="C2" s="588"/>
      <c r="D2" s="699"/>
      <c r="E2" s="699"/>
      <c r="F2" s="699"/>
      <c r="G2" s="699"/>
      <c r="H2" s="699"/>
      <c r="I2" s="588"/>
      <c r="J2" s="588"/>
      <c r="K2" s="588"/>
      <c r="L2" s="589"/>
      <c r="M2" s="589"/>
      <c r="N2" s="589"/>
      <c r="O2" s="589"/>
      <c r="P2" s="589"/>
      <c r="Q2" s="590"/>
      <c r="R2" s="29"/>
      <c r="S2" s="29"/>
      <c r="T2" s="29"/>
      <c r="U2" s="29"/>
      <c r="V2" s="29"/>
    </row>
    <row r="3" spans="1:22" s="9" customFormat="1" ht="35.25" thickBot="1" x14ac:dyDescent="0.65">
      <c r="A3" s="324"/>
      <c r="B3" s="327" t="s">
        <v>2</v>
      </c>
      <c r="C3" s="325" t="s">
        <v>0</v>
      </c>
      <c r="D3" s="325" t="s">
        <v>1</v>
      </c>
      <c r="E3" s="325" t="s">
        <v>3</v>
      </c>
      <c r="F3" s="325" t="s">
        <v>4</v>
      </c>
      <c r="G3" s="325" t="s">
        <v>439</v>
      </c>
      <c r="H3" s="325"/>
      <c r="I3" s="325" t="s">
        <v>484</v>
      </c>
      <c r="J3" s="328" t="s">
        <v>257</v>
      </c>
      <c r="K3" s="325" t="s">
        <v>6</v>
      </c>
      <c r="R3" s="30"/>
      <c r="S3" s="30"/>
      <c r="T3" s="30"/>
      <c r="U3" s="30"/>
      <c r="V3" s="30"/>
    </row>
    <row r="4" spans="1:22" s="2" customFormat="1" ht="24.95" customHeight="1" thickTop="1" x14ac:dyDescent="0.45">
      <c r="A4" s="703">
        <v>1</v>
      </c>
      <c r="B4" s="704" t="s">
        <v>249</v>
      </c>
      <c r="C4" s="700" t="s">
        <v>479</v>
      </c>
      <c r="D4" s="705" t="s">
        <v>281</v>
      </c>
      <c r="E4" s="705" t="s">
        <v>19</v>
      </c>
      <c r="F4" s="706" t="s">
        <v>531</v>
      </c>
      <c r="G4" s="439" t="s">
        <v>630</v>
      </c>
      <c r="H4" s="701"/>
      <c r="I4" s="700" t="s">
        <v>480</v>
      </c>
      <c r="J4" s="440" t="s">
        <v>458</v>
      </c>
      <c r="K4" s="441" t="s">
        <v>454</v>
      </c>
      <c r="R4" s="31"/>
      <c r="S4" s="31"/>
      <c r="T4" s="31"/>
      <c r="U4" s="31"/>
      <c r="V4" s="31"/>
    </row>
    <row r="5" spans="1:22" s="2" customFormat="1" ht="24.95" customHeight="1" thickBot="1" x14ac:dyDescent="0.5">
      <c r="A5" s="682"/>
      <c r="B5" s="690"/>
      <c r="C5" s="681"/>
      <c r="D5" s="691"/>
      <c r="E5" s="691"/>
      <c r="F5" s="692"/>
      <c r="G5" s="442"/>
      <c r="H5" s="702"/>
      <c r="I5" s="681"/>
      <c r="J5" s="443" t="s">
        <v>457</v>
      </c>
      <c r="K5" s="444" t="s">
        <v>537</v>
      </c>
      <c r="R5" s="31"/>
      <c r="S5" s="31"/>
      <c r="T5" s="31"/>
      <c r="U5" s="31"/>
      <c r="V5" s="31"/>
    </row>
    <row r="6" spans="1:22" s="2" customFormat="1" ht="24.95" customHeight="1" thickTop="1" x14ac:dyDescent="0.45">
      <c r="A6" s="648">
        <f>A4+1</f>
        <v>2</v>
      </c>
      <c r="B6" s="650" t="s">
        <v>249</v>
      </c>
      <c r="C6" s="640" t="s">
        <v>555</v>
      </c>
      <c r="D6" s="652" t="s">
        <v>282</v>
      </c>
      <c r="E6" s="664" t="s">
        <v>19</v>
      </c>
      <c r="F6" s="693" t="s">
        <v>532</v>
      </c>
      <c r="G6" s="478"/>
      <c r="H6" s="656"/>
      <c r="I6" s="640" t="s">
        <v>481</v>
      </c>
      <c r="J6" s="479" t="s">
        <v>458</v>
      </c>
      <c r="K6" s="467" t="s">
        <v>453</v>
      </c>
      <c r="R6" s="31"/>
      <c r="S6" s="31"/>
      <c r="T6" s="31"/>
      <c r="U6" s="31"/>
      <c r="V6" s="31"/>
    </row>
    <row r="7" spans="1:22" s="2" customFormat="1" ht="24.95" customHeight="1" thickBot="1" x14ac:dyDescent="0.5">
      <c r="A7" s="649"/>
      <c r="B7" s="651"/>
      <c r="C7" s="641"/>
      <c r="D7" s="653"/>
      <c r="E7" s="665"/>
      <c r="F7" s="694"/>
      <c r="G7" s="480" t="s">
        <v>601</v>
      </c>
      <c r="H7" s="657"/>
      <c r="I7" s="641"/>
      <c r="J7" s="464" t="s">
        <v>457</v>
      </c>
      <c r="K7" s="465" t="s">
        <v>461</v>
      </c>
      <c r="R7" s="31"/>
      <c r="S7" s="31"/>
      <c r="T7" s="31"/>
      <c r="U7" s="31"/>
      <c r="V7" s="31"/>
    </row>
    <row r="8" spans="1:22" s="2" customFormat="1" ht="24.95" customHeight="1" thickTop="1" x14ac:dyDescent="0.55000000000000004">
      <c r="A8" s="527">
        <f t="shared" ref="A8" si="0">A6+1</f>
        <v>3</v>
      </c>
      <c r="B8" s="576" t="s">
        <v>249</v>
      </c>
      <c r="C8" s="642" t="s">
        <v>553</v>
      </c>
      <c r="D8" s="541" t="s">
        <v>283</v>
      </c>
      <c r="E8" s="680" t="s">
        <v>19</v>
      </c>
      <c r="F8" s="695" t="s">
        <v>633</v>
      </c>
      <c r="G8" s="372" t="s">
        <v>652</v>
      </c>
      <c r="H8" s="542"/>
      <c r="I8" s="642" t="s">
        <v>482</v>
      </c>
      <c r="J8" s="287" t="s">
        <v>458</v>
      </c>
      <c r="K8" s="382" t="s">
        <v>460</v>
      </c>
      <c r="R8" s="47"/>
      <c r="S8" s="31"/>
      <c r="T8" s="31"/>
      <c r="U8" s="31"/>
      <c r="V8" s="31"/>
    </row>
    <row r="9" spans="1:22" s="2" customFormat="1" ht="24.95" customHeight="1" thickBot="1" x14ac:dyDescent="0.5">
      <c r="A9" s="527"/>
      <c r="B9" s="576"/>
      <c r="C9" s="642"/>
      <c r="D9" s="541"/>
      <c r="E9" s="680"/>
      <c r="F9" s="695"/>
      <c r="G9" s="378" t="s">
        <v>653</v>
      </c>
      <c r="H9" s="644"/>
      <c r="I9" s="642"/>
      <c r="J9" s="376" t="s">
        <v>457</v>
      </c>
      <c r="K9" s="66" t="s">
        <v>631</v>
      </c>
      <c r="R9" s="31"/>
      <c r="S9" s="31"/>
      <c r="T9" s="31"/>
      <c r="U9" s="31"/>
      <c r="V9" s="31"/>
    </row>
    <row r="10" spans="1:22" s="59" customFormat="1" ht="24.95" customHeight="1" thickTop="1" x14ac:dyDescent="0.45">
      <c r="A10" s="648">
        <v>4</v>
      </c>
      <c r="B10" s="650" t="s">
        <v>277</v>
      </c>
      <c r="C10" s="640" t="s">
        <v>554</v>
      </c>
      <c r="D10" s="652" t="s">
        <v>284</v>
      </c>
      <c r="E10" s="664" t="s">
        <v>19</v>
      </c>
      <c r="F10" s="666" t="s">
        <v>608</v>
      </c>
      <c r="G10" s="460"/>
      <c r="H10" s="660"/>
      <c r="I10" s="640" t="s">
        <v>483</v>
      </c>
      <c r="J10" s="477" t="s">
        <v>458</v>
      </c>
      <c r="K10" s="467" t="s">
        <v>452</v>
      </c>
      <c r="R10" s="48"/>
      <c r="S10" s="48"/>
      <c r="T10" s="48"/>
      <c r="U10" s="48"/>
      <c r="V10" s="48"/>
    </row>
    <row r="11" spans="1:22" s="59" customFormat="1" ht="24.95" customHeight="1" thickBot="1" x14ac:dyDescent="0.5">
      <c r="A11" s="649"/>
      <c r="B11" s="651"/>
      <c r="C11" s="641"/>
      <c r="D11" s="653"/>
      <c r="E11" s="665"/>
      <c r="F11" s="667"/>
      <c r="G11" s="463" t="s">
        <v>654</v>
      </c>
      <c r="H11" s="661"/>
      <c r="I11" s="641"/>
      <c r="J11" s="464" t="s">
        <v>457</v>
      </c>
      <c r="K11" s="465" t="s">
        <v>546</v>
      </c>
      <c r="R11" s="48"/>
      <c r="S11" s="48"/>
      <c r="T11" s="48"/>
      <c r="U11" s="48"/>
      <c r="V11" s="48"/>
    </row>
    <row r="12" spans="1:22" s="2" customFormat="1" ht="24.95" customHeight="1" thickTop="1" x14ac:dyDescent="0.55000000000000004">
      <c r="A12" s="682">
        <v>5</v>
      </c>
      <c r="B12" s="690" t="s">
        <v>277</v>
      </c>
      <c r="C12" s="681" t="s">
        <v>280</v>
      </c>
      <c r="D12" s="691" t="s">
        <v>285</v>
      </c>
      <c r="E12" s="691" t="s">
        <v>19</v>
      </c>
      <c r="F12" s="692" t="s">
        <v>609</v>
      </c>
      <c r="G12" s="448"/>
      <c r="H12" s="692"/>
      <c r="I12" s="681" t="s">
        <v>485</v>
      </c>
      <c r="J12" s="449" t="s">
        <v>458</v>
      </c>
      <c r="K12" s="450" t="s">
        <v>456</v>
      </c>
      <c r="R12" s="31"/>
      <c r="S12" s="31"/>
      <c r="T12" s="31"/>
      <c r="U12" s="31"/>
      <c r="V12" s="31"/>
    </row>
    <row r="13" spans="1:22" s="2" customFormat="1" ht="24.95" customHeight="1" thickBot="1" x14ac:dyDescent="0.5">
      <c r="A13" s="682"/>
      <c r="B13" s="690"/>
      <c r="C13" s="681"/>
      <c r="D13" s="691"/>
      <c r="E13" s="691"/>
      <c r="F13" s="692"/>
      <c r="G13" s="451"/>
      <c r="H13" s="696"/>
      <c r="I13" s="681"/>
      <c r="J13" s="452" t="s">
        <v>457</v>
      </c>
      <c r="K13" s="453" t="s">
        <v>459</v>
      </c>
      <c r="R13" s="31"/>
      <c r="S13" s="31"/>
      <c r="T13" s="31"/>
      <c r="U13" s="31"/>
      <c r="V13" s="31"/>
    </row>
    <row r="14" spans="1:22" s="2" customFormat="1" ht="24.95" customHeight="1" thickTop="1" x14ac:dyDescent="0.45">
      <c r="A14" s="648">
        <v>6</v>
      </c>
      <c r="B14" s="650" t="s">
        <v>277</v>
      </c>
      <c r="C14" s="640" t="s">
        <v>576</v>
      </c>
      <c r="D14" s="652" t="s">
        <v>236</v>
      </c>
      <c r="E14" s="664" t="s">
        <v>8</v>
      </c>
      <c r="F14" s="806" t="s">
        <v>655</v>
      </c>
      <c r="G14" s="475" t="s">
        <v>610</v>
      </c>
      <c r="H14" s="660"/>
      <c r="I14" s="640" t="s">
        <v>486</v>
      </c>
      <c r="J14" s="461" t="s">
        <v>458</v>
      </c>
      <c r="K14" s="467" t="s">
        <v>451</v>
      </c>
      <c r="R14" s="31"/>
      <c r="S14" s="31"/>
      <c r="T14" s="31"/>
      <c r="U14" s="31"/>
      <c r="V14" s="31"/>
    </row>
    <row r="15" spans="1:22" s="2" customFormat="1" ht="24.95" customHeight="1" thickBot="1" x14ac:dyDescent="0.5">
      <c r="A15" s="649"/>
      <c r="B15" s="651"/>
      <c r="C15" s="641"/>
      <c r="D15" s="653"/>
      <c r="E15" s="665"/>
      <c r="F15" s="807"/>
      <c r="G15" s="476" t="s">
        <v>626</v>
      </c>
      <c r="H15" s="697"/>
      <c r="I15" s="641"/>
      <c r="J15" s="464" t="s">
        <v>457</v>
      </c>
      <c r="K15" s="465" t="s">
        <v>476</v>
      </c>
      <c r="R15" s="31"/>
      <c r="S15" s="31"/>
      <c r="T15" s="31"/>
      <c r="U15" s="31"/>
      <c r="V15" s="31"/>
    </row>
    <row r="16" spans="1:22" s="2" customFormat="1" ht="27.75" customHeight="1" thickTop="1" x14ac:dyDescent="0.45">
      <c r="A16" s="527">
        <v>8</v>
      </c>
      <c r="B16" s="576" t="s">
        <v>279</v>
      </c>
      <c r="C16" s="642" t="s">
        <v>565</v>
      </c>
      <c r="D16" s="541" t="s">
        <v>564</v>
      </c>
      <c r="E16" s="541" t="s">
        <v>286</v>
      </c>
      <c r="F16" s="542" t="s">
        <v>583</v>
      </c>
      <c r="G16" s="378" t="s">
        <v>584</v>
      </c>
      <c r="H16" s="446"/>
      <c r="I16" s="642"/>
      <c r="J16" s="287"/>
      <c r="K16" s="65" t="s">
        <v>450</v>
      </c>
      <c r="R16" s="31"/>
      <c r="S16" s="31"/>
      <c r="T16" s="31"/>
      <c r="U16" s="31"/>
      <c r="V16" s="31"/>
    </row>
    <row r="17" spans="1:22" s="2" customFormat="1" ht="27" customHeight="1" thickBot="1" x14ac:dyDescent="0.5">
      <c r="A17" s="527"/>
      <c r="B17" s="576"/>
      <c r="C17" s="642"/>
      <c r="D17" s="541"/>
      <c r="E17" s="541"/>
      <c r="F17" s="542"/>
      <c r="G17" s="471"/>
      <c r="H17" s="446"/>
      <c r="I17" s="642"/>
      <c r="J17" s="447"/>
      <c r="K17" s="66"/>
      <c r="R17" s="31"/>
      <c r="S17" s="31"/>
      <c r="T17" s="31"/>
      <c r="U17" s="31"/>
      <c r="V17" s="31"/>
    </row>
    <row r="18" spans="1:22" s="2" customFormat="1" ht="24.95" customHeight="1" thickTop="1" x14ac:dyDescent="0.45">
      <c r="A18" s="648">
        <v>9</v>
      </c>
      <c r="B18" s="650" t="s">
        <v>279</v>
      </c>
      <c r="C18" s="662" t="s">
        <v>535</v>
      </c>
      <c r="D18" s="652" t="s">
        <v>597</v>
      </c>
      <c r="E18" s="664" t="s">
        <v>272</v>
      </c>
      <c r="F18" s="666" t="s">
        <v>617</v>
      </c>
      <c r="G18" s="460" t="s">
        <v>582</v>
      </c>
      <c r="H18" s="472"/>
      <c r="I18" s="640"/>
      <c r="J18" s="461"/>
      <c r="K18" s="467" t="s">
        <v>492</v>
      </c>
      <c r="R18" s="31"/>
      <c r="S18" s="31"/>
      <c r="T18" s="31"/>
      <c r="U18" s="31"/>
      <c r="V18" s="31"/>
    </row>
    <row r="19" spans="1:22" s="2" customFormat="1" ht="24" customHeight="1" thickBot="1" x14ac:dyDescent="0.5">
      <c r="A19" s="649"/>
      <c r="B19" s="651"/>
      <c r="C19" s="663"/>
      <c r="D19" s="653"/>
      <c r="E19" s="665"/>
      <c r="F19" s="667"/>
      <c r="G19" s="463" t="s">
        <v>611</v>
      </c>
      <c r="H19" s="473"/>
      <c r="I19" s="641"/>
      <c r="J19" s="474"/>
      <c r="K19" s="465"/>
      <c r="R19" s="31"/>
      <c r="S19" s="31"/>
      <c r="T19" s="31"/>
      <c r="U19" s="31"/>
      <c r="V19" s="31"/>
    </row>
    <row r="20" spans="1:22" ht="22.5" customHeight="1" thickTop="1" thickBot="1" x14ac:dyDescent="0.5">
      <c r="A20" s="639">
        <v>10</v>
      </c>
      <c r="B20" s="576" t="s">
        <v>493</v>
      </c>
      <c r="C20" s="541" t="s">
        <v>491</v>
      </c>
      <c r="D20" s="541" t="s">
        <v>494</v>
      </c>
      <c r="E20" s="680" t="s">
        <v>8</v>
      </c>
      <c r="F20" s="643" t="s">
        <v>580</v>
      </c>
      <c r="G20" s="340" t="s">
        <v>581</v>
      </c>
      <c r="H20" s="530"/>
      <c r="I20" s="524"/>
      <c r="J20" s="383"/>
      <c r="K20" s="298"/>
    </row>
    <row r="21" spans="1:22" ht="24.75" customHeight="1" thickTop="1" thickBot="1" x14ac:dyDescent="0.5">
      <c r="A21" s="639"/>
      <c r="B21" s="576"/>
      <c r="C21" s="541"/>
      <c r="D21" s="541"/>
      <c r="E21" s="680"/>
      <c r="F21" s="643"/>
      <c r="G21" s="253"/>
      <c r="H21" s="530"/>
      <c r="I21" s="523"/>
      <c r="J21" s="445"/>
      <c r="K21" s="380"/>
    </row>
    <row r="22" spans="1:22" s="2" customFormat="1" ht="24.95" customHeight="1" thickTop="1" x14ac:dyDescent="0.45">
      <c r="A22" s="648">
        <v>11</v>
      </c>
      <c r="B22" s="650" t="s">
        <v>562</v>
      </c>
      <c r="C22" s="640" t="s">
        <v>574</v>
      </c>
      <c r="D22" s="652" t="s">
        <v>563</v>
      </c>
      <c r="E22" s="652" t="s">
        <v>8</v>
      </c>
      <c r="F22" s="654" t="s">
        <v>573</v>
      </c>
      <c r="G22" s="466" t="s">
        <v>572</v>
      </c>
      <c r="H22" s="656"/>
      <c r="I22" s="640"/>
      <c r="J22" s="461"/>
      <c r="K22" s="467" t="s">
        <v>575</v>
      </c>
      <c r="R22" s="31"/>
      <c r="S22" s="31"/>
      <c r="T22" s="31"/>
      <c r="U22" s="31"/>
      <c r="V22" s="31"/>
    </row>
    <row r="23" spans="1:22" s="2" customFormat="1" ht="24.95" customHeight="1" thickBot="1" x14ac:dyDescent="0.5">
      <c r="A23" s="649"/>
      <c r="B23" s="651"/>
      <c r="C23" s="641"/>
      <c r="D23" s="653"/>
      <c r="E23" s="653"/>
      <c r="F23" s="655"/>
      <c r="G23" s="468"/>
      <c r="H23" s="657"/>
      <c r="I23" s="641"/>
      <c r="J23" s="469"/>
      <c r="K23" s="470"/>
      <c r="R23" s="31"/>
      <c r="S23" s="31"/>
      <c r="T23" s="31"/>
      <c r="U23" s="31"/>
      <c r="V23" s="31"/>
    </row>
    <row r="24" spans="1:22" s="2" customFormat="1" ht="24.95" customHeight="1" thickTop="1" x14ac:dyDescent="0.45">
      <c r="A24" s="527"/>
      <c r="B24" s="576"/>
      <c r="C24" s="642"/>
      <c r="D24" s="541"/>
      <c r="E24" s="541"/>
      <c r="F24" s="645"/>
      <c r="G24" s="373"/>
      <c r="H24" s="646"/>
      <c r="I24" s="642"/>
      <c r="J24" s="374"/>
      <c r="K24" s="65"/>
      <c r="R24" s="31"/>
      <c r="S24" s="31"/>
      <c r="T24" s="31"/>
      <c r="U24" s="31"/>
      <c r="V24" s="31"/>
    </row>
    <row r="25" spans="1:22" s="2" customFormat="1" ht="24.95" customHeight="1" thickBot="1" x14ac:dyDescent="0.5">
      <c r="A25" s="527"/>
      <c r="B25" s="576"/>
      <c r="C25" s="642"/>
      <c r="D25" s="541"/>
      <c r="E25" s="541"/>
      <c r="F25" s="645"/>
      <c r="G25" s="375"/>
      <c r="H25" s="647"/>
      <c r="I25" s="642"/>
      <c r="J25" s="376"/>
      <c r="K25" s="66"/>
      <c r="R25" s="31"/>
      <c r="S25" s="31"/>
      <c r="T25" s="31"/>
      <c r="U25" s="31"/>
      <c r="V25" s="31"/>
    </row>
    <row r="26" spans="1:22" s="2" customFormat="1" ht="24.95" customHeight="1" thickTop="1" x14ac:dyDescent="0.55000000000000004">
      <c r="A26" s="648"/>
      <c r="B26" s="650"/>
      <c r="C26" s="640"/>
      <c r="D26" s="652"/>
      <c r="E26" s="652"/>
      <c r="F26" s="658"/>
      <c r="G26" s="460"/>
      <c r="H26" s="660"/>
      <c r="I26" s="640"/>
      <c r="J26" s="461"/>
      <c r="K26" s="462"/>
      <c r="R26" s="47"/>
      <c r="S26" s="31"/>
      <c r="T26" s="31"/>
      <c r="U26" s="31"/>
      <c r="V26" s="31"/>
    </row>
    <row r="27" spans="1:22" s="2" customFormat="1" ht="24.95" customHeight="1" thickBot="1" x14ac:dyDescent="0.5">
      <c r="A27" s="649"/>
      <c r="B27" s="651"/>
      <c r="C27" s="641"/>
      <c r="D27" s="653"/>
      <c r="E27" s="653"/>
      <c r="F27" s="659"/>
      <c r="G27" s="463"/>
      <c r="H27" s="661"/>
      <c r="I27" s="641"/>
      <c r="J27" s="464"/>
      <c r="K27" s="465"/>
      <c r="R27" s="31"/>
      <c r="S27" s="31"/>
      <c r="T27" s="31"/>
      <c r="U27" s="31"/>
      <c r="V27" s="31"/>
    </row>
    <row r="28" spans="1:22" s="59" customFormat="1" ht="24.95" customHeight="1" thickTop="1" x14ac:dyDescent="0.45">
      <c r="A28" s="527"/>
      <c r="B28" s="576"/>
      <c r="C28" s="642"/>
      <c r="D28" s="541"/>
      <c r="E28" s="541"/>
      <c r="F28" s="643"/>
      <c r="G28" s="372"/>
      <c r="H28" s="542"/>
      <c r="I28" s="642"/>
      <c r="J28" s="377"/>
      <c r="K28" s="65"/>
      <c r="R28" s="48"/>
      <c r="S28" s="48"/>
      <c r="T28" s="48"/>
      <c r="U28" s="48"/>
      <c r="V28" s="48"/>
    </row>
    <row r="29" spans="1:22" s="59" customFormat="1" ht="24.95" customHeight="1" thickBot="1" x14ac:dyDescent="0.5">
      <c r="A29" s="527"/>
      <c r="B29" s="576"/>
      <c r="C29" s="642"/>
      <c r="D29" s="541"/>
      <c r="E29" s="541"/>
      <c r="F29" s="643"/>
      <c r="G29" s="378"/>
      <c r="H29" s="644"/>
      <c r="I29" s="642"/>
      <c r="J29" s="376"/>
      <c r="K29" s="66"/>
      <c r="R29" s="48"/>
      <c r="S29" s="48"/>
      <c r="T29" s="48"/>
      <c r="U29" s="48"/>
      <c r="V29" s="48"/>
    </row>
    <row r="30" spans="1:22" ht="20.100000000000001" customHeight="1" thickTop="1" thickBot="1" x14ac:dyDescent="0.5">
      <c r="A30" s="648"/>
      <c r="B30" s="668"/>
      <c r="C30" s="670"/>
      <c r="D30" s="672"/>
      <c r="E30" s="672"/>
      <c r="F30" s="674"/>
      <c r="G30" s="454"/>
      <c r="H30" s="676"/>
      <c r="I30" s="670"/>
      <c r="J30" s="455"/>
      <c r="K30" s="456"/>
    </row>
    <row r="31" spans="1:22" ht="20.100000000000001" customHeight="1" thickTop="1" thickBot="1" x14ac:dyDescent="0.5">
      <c r="A31" s="649"/>
      <c r="B31" s="669"/>
      <c r="C31" s="671"/>
      <c r="D31" s="673"/>
      <c r="E31" s="673"/>
      <c r="F31" s="675"/>
      <c r="G31" s="457"/>
      <c r="H31" s="677"/>
      <c r="I31" s="671"/>
      <c r="J31" s="458"/>
      <c r="K31" s="459"/>
    </row>
    <row r="32" spans="1:22" ht="20.100000000000001" customHeight="1" thickTop="1" thickBot="1" x14ac:dyDescent="0.5">
      <c r="A32" s="527"/>
      <c r="B32" s="617"/>
      <c r="C32" s="524"/>
      <c r="D32" s="689"/>
      <c r="E32" s="689"/>
      <c r="F32" s="678"/>
      <c r="G32" s="379"/>
      <c r="H32" s="530"/>
      <c r="I32" s="524"/>
      <c r="J32" s="383"/>
      <c r="K32" s="298"/>
    </row>
    <row r="33" spans="1:11" ht="20.100000000000001" customHeight="1" thickTop="1" thickBot="1" x14ac:dyDescent="0.5">
      <c r="A33" s="522"/>
      <c r="B33" s="685"/>
      <c r="C33" s="683"/>
      <c r="D33" s="686"/>
      <c r="E33" s="686"/>
      <c r="F33" s="687"/>
      <c r="G33" s="329"/>
      <c r="H33" s="678"/>
      <c r="I33" s="683"/>
      <c r="J33" s="331"/>
      <c r="K33" s="332"/>
    </row>
    <row r="34" spans="1:11" ht="20.100000000000001" customHeight="1" thickTop="1" thickBot="1" x14ac:dyDescent="0.5">
      <c r="A34" s="521"/>
      <c r="B34" s="684"/>
      <c r="C34" s="683"/>
      <c r="D34" s="686"/>
      <c r="E34" s="686"/>
      <c r="F34" s="687"/>
      <c r="G34" s="330"/>
      <c r="H34" s="679"/>
      <c r="I34" s="683"/>
      <c r="J34" s="333"/>
      <c r="K34" s="334"/>
    </row>
    <row r="35" spans="1:11" ht="20.100000000000001" customHeight="1" thickTop="1" thickBot="1" x14ac:dyDescent="0.5">
      <c r="A35" s="522"/>
      <c r="B35" s="685"/>
      <c r="C35" s="683"/>
      <c r="D35" s="686"/>
      <c r="E35" s="686"/>
      <c r="F35" s="688"/>
      <c r="G35" s="329"/>
      <c r="H35" s="678"/>
      <c r="I35" s="683"/>
      <c r="J35" s="331"/>
      <c r="K35" s="332"/>
    </row>
    <row r="36" spans="1:11" ht="33.75" thickTop="1" x14ac:dyDescent="0.6"/>
  </sheetData>
  <mergeCells count="128">
    <mergeCell ref="A10:A11"/>
    <mergeCell ref="B10:B11"/>
    <mergeCell ref="A1:Q1"/>
    <mergeCell ref="A2:Q2"/>
    <mergeCell ref="I6:I7"/>
    <mergeCell ref="A8:A9"/>
    <mergeCell ref="B8:B9"/>
    <mergeCell ref="C8:C9"/>
    <mergeCell ref="D8:D9"/>
    <mergeCell ref="E8:E9"/>
    <mergeCell ref="I8:I9"/>
    <mergeCell ref="A6:A7"/>
    <mergeCell ref="I4:I5"/>
    <mergeCell ref="H4:H5"/>
    <mergeCell ref="H6:H7"/>
    <mergeCell ref="H8:H9"/>
    <mergeCell ref="A4:A5"/>
    <mergeCell ref="B4:B5"/>
    <mergeCell ref="C4:C5"/>
    <mergeCell ref="D4:D5"/>
    <mergeCell ref="E4:E5"/>
    <mergeCell ref="F4:F5"/>
    <mergeCell ref="B6:B7"/>
    <mergeCell ref="C6:C7"/>
    <mergeCell ref="D6:D7"/>
    <mergeCell ref="E6:E7"/>
    <mergeCell ref="F14:F15"/>
    <mergeCell ref="F10:F11"/>
    <mergeCell ref="I14:I15"/>
    <mergeCell ref="B12:B13"/>
    <mergeCell ref="C12:C13"/>
    <mergeCell ref="D12:D13"/>
    <mergeCell ref="E12:E13"/>
    <mergeCell ref="F12:F13"/>
    <mergeCell ref="F6:F7"/>
    <mergeCell ref="F8:F9"/>
    <mergeCell ref="I10:I11"/>
    <mergeCell ref="H10:H11"/>
    <mergeCell ref="H12:H13"/>
    <mergeCell ref="H14:H15"/>
    <mergeCell ref="C10:C11"/>
    <mergeCell ref="D10:D11"/>
    <mergeCell ref="E10:E11"/>
    <mergeCell ref="B14:B15"/>
    <mergeCell ref="C14:C15"/>
    <mergeCell ref="D14:D15"/>
    <mergeCell ref="I16:I17"/>
    <mergeCell ref="I12:I13"/>
    <mergeCell ref="A12:A13"/>
    <mergeCell ref="A14:A15"/>
    <mergeCell ref="A16:A17"/>
    <mergeCell ref="B16:B17"/>
    <mergeCell ref="C16:C17"/>
    <mergeCell ref="E14:E15"/>
    <mergeCell ref="I34:I35"/>
    <mergeCell ref="A34:A35"/>
    <mergeCell ref="B34:B35"/>
    <mergeCell ref="C34:C35"/>
    <mergeCell ref="D34:D35"/>
    <mergeCell ref="E34:E35"/>
    <mergeCell ref="F34:F35"/>
    <mergeCell ref="I30:I31"/>
    <mergeCell ref="A32:A33"/>
    <mergeCell ref="B32:B33"/>
    <mergeCell ref="C32:C33"/>
    <mergeCell ref="D32:D33"/>
    <mergeCell ref="E32:E33"/>
    <mergeCell ref="F32:F33"/>
    <mergeCell ref="I32:I33"/>
    <mergeCell ref="A30:A31"/>
    <mergeCell ref="B30:B31"/>
    <mergeCell ref="C30:C31"/>
    <mergeCell ref="D30:D31"/>
    <mergeCell ref="E30:E31"/>
    <mergeCell ref="F30:F31"/>
    <mergeCell ref="H30:H31"/>
    <mergeCell ref="H32:H33"/>
    <mergeCell ref="H34:H35"/>
    <mergeCell ref="D20:D21"/>
    <mergeCell ref="E20:E21"/>
    <mergeCell ref="F20:F21"/>
    <mergeCell ref="D16:D17"/>
    <mergeCell ref="E16:E17"/>
    <mergeCell ref="F16:F17"/>
    <mergeCell ref="A18:A19"/>
    <mergeCell ref="B18:B19"/>
    <mergeCell ref="C18:C19"/>
    <mergeCell ref="D18:D19"/>
    <mergeCell ref="E18:E19"/>
    <mergeCell ref="F18:F19"/>
    <mergeCell ref="I26:I27"/>
    <mergeCell ref="A22:A23"/>
    <mergeCell ref="B22:B23"/>
    <mergeCell ref="C22:C23"/>
    <mergeCell ref="D22:D23"/>
    <mergeCell ref="E22:E23"/>
    <mergeCell ref="F22:F23"/>
    <mergeCell ref="H22:H23"/>
    <mergeCell ref="I22:I23"/>
    <mergeCell ref="C26:C27"/>
    <mergeCell ref="D26:D27"/>
    <mergeCell ref="E26:E27"/>
    <mergeCell ref="F26:F27"/>
    <mergeCell ref="H26:H27"/>
    <mergeCell ref="I20:I21"/>
    <mergeCell ref="A20:A21"/>
    <mergeCell ref="B20:B21"/>
    <mergeCell ref="C20:C21"/>
    <mergeCell ref="H20:H21"/>
    <mergeCell ref="I18:I19"/>
    <mergeCell ref="A28:A29"/>
    <mergeCell ref="B28:B29"/>
    <mergeCell ref="C28:C29"/>
    <mergeCell ref="D28:D29"/>
    <mergeCell ref="E28:E29"/>
    <mergeCell ref="F28:F29"/>
    <mergeCell ref="H28:H29"/>
    <mergeCell ref="I28:I29"/>
    <mergeCell ref="A24:A25"/>
    <mergeCell ref="B24:B25"/>
    <mergeCell ref="C24:C25"/>
    <mergeCell ref="D24:D25"/>
    <mergeCell ref="E24:E25"/>
    <mergeCell ref="F24:F25"/>
    <mergeCell ref="H24:H25"/>
    <mergeCell ref="I24:I25"/>
    <mergeCell ref="A26:A27"/>
    <mergeCell ref="B26:B2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boBox3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0</xdr:row>
                <xdr:rowOff>504825</xdr:rowOff>
              </to>
            </anchor>
          </controlPr>
        </control>
      </mc:Choice>
      <mc:Fallback>
        <control shapeId="3079" r:id="rId4" name="Combo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DATA!$I:$I</xm:f>
          </x14:formula1>
          <xm:sqref>K14 K10 K8 K6 K4 K12 K28 K26 K24 K22</xm:sqref>
        </x14:dataValidation>
        <x14:dataValidation type="list" allowBlank="1" showInputMessage="1" showErrorMessage="1">
          <x14:formula1>
            <xm:f>DATA!$D$3:$D$39</xm:f>
          </x14:formula1>
          <xm:sqref>B22:B29 B4:B17</xm:sqref>
        </x14:dataValidation>
        <x14:dataValidation type="list" allowBlank="1" showInputMessage="1" showErrorMessage="1">
          <x14:formula1>
            <xm:f>DATA!$C$2:$C$42</xm:f>
          </x14:formula1>
          <xm:sqref>B30:B35 B18:B19</xm:sqref>
        </x14:dataValidation>
        <x14:dataValidation type="list" allowBlank="1" showInputMessage="1" showErrorMessage="1">
          <x14:formula1>
            <xm:f>DATA!$I$16:$I$54</xm:f>
          </x14:formula1>
          <xm:sqref>K16:K19</xm:sqref>
        </x14:dataValidation>
        <x14:dataValidation type="list" allowBlank="1" showInputMessage="1" showErrorMessage="1">
          <x14:formula1>
            <xm:f>DATA!$C$2:$C$38</xm:f>
          </x14:formula1>
          <xm:sqref>B20:B21</xm:sqref>
        </x14:dataValidation>
        <x14:dataValidation type="list" allowBlank="1" showInputMessage="1" showErrorMessage="1">
          <x14:formula1>
            <xm:f>DATA!$E:$E</xm:f>
          </x14:formula1>
          <xm:sqref>E1:E1048576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A1:M1078"/>
  <sheetViews>
    <sheetView zoomScaleNormal="100" zoomScaleSheetLayoutView="80" workbookViewId="0">
      <pane ySplit="1" topLeftCell="A2" activePane="bottomLeft" state="frozen"/>
      <selection activeCell="F19" sqref="F19"/>
      <selection pane="bottomLeft" activeCell="C16" sqref="C16"/>
    </sheetView>
  </sheetViews>
  <sheetFormatPr defaultRowHeight="15" x14ac:dyDescent="0.25"/>
  <cols>
    <col min="1" max="1" width="15" style="147" customWidth="1"/>
    <col min="2" max="2" width="17.28515625" style="148" customWidth="1"/>
    <col min="3" max="3" width="32" style="147" bestFit="1" customWidth="1"/>
    <col min="4" max="4" width="32" customWidth="1"/>
    <col min="5" max="5" width="33" customWidth="1"/>
    <col min="6" max="6" width="18" customWidth="1"/>
    <col min="7" max="7" width="10.28515625" customWidth="1"/>
    <col min="8" max="8" width="12.7109375" style="139" customWidth="1"/>
    <col min="9" max="9" width="9.5703125" customWidth="1"/>
    <col min="10" max="10" width="11" style="149" customWidth="1"/>
    <col min="11" max="11" width="7.140625" customWidth="1"/>
    <col min="12" max="12" width="41.28515625" customWidth="1"/>
    <col min="13" max="13" width="137" style="149" customWidth="1"/>
    <col min="14" max="16384" width="9.140625" style="150"/>
  </cols>
  <sheetData>
    <row r="1" spans="1:13" s="75" customFormat="1" ht="31.5" x14ac:dyDescent="0.25">
      <c r="A1" s="708" t="s">
        <v>267</v>
      </c>
      <c r="B1" s="708"/>
      <c r="C1" s="708"/>
      <c r="D1" s="708"/>
      <c r="E1" s="708"/>
      <c r="F1" s="708"/>
      <c r="G1" s="708"/>
      <c r="H1" s="708"/>
      <c r="I1" s="708"/>
      <c r="J1" s="708"/>
      <c r="K1" s="708"/>
      <c r="L1" s="708"/>
      <c r="M1" s="74"/>
    </row>
    <row r="2" spans="1:13" s="78" customFormat="1" ht="18.75" x14ac:dyDescent="0.25">
      <c r="A2" s="76" t="s">
        <v>289</v>
      </c>
      <c r="B2" s="76" t="s">
        <v>26</v>
      </c>
      <c r="C2" s="76" t="s">
        <v>290</v>
      </c>
      <c r="D2" s="76" t="s">
        <v>291</v>
      </c>
      <c r="E2" s="76" t="s">
        <v>292</v>
      </c>
      <c r="F2" s="76" t="s">
        <v>293</v>
      </c>
      <c r="G2" s="76" t="s">
        <v>294</v>
      </c>
      <c r="H2" s="76" t="s">
        <v>295</v>
      </c>
      <c r="I2" s="76" t="s">
        <v>296</v>
      </c>
      <c r="J2" s="76" t="s">
        <v>297</v>
      </c>
      <c r="K2" s="76" t="s">
        <v>298</v>
      </c>
      <c r="L2" s="77" t="s">
        <v>299</v>
      </c>
      <c r="M2" s="74"/>
    </row>
    <row r="3" spans="1:13" s="75" customFormat="1" ht="18.75" x14ac:dyDescent="0.25">
      <c r="A3" s="87"/>
      <c r="B3" s="79"/>
      <c r="C3" s="88"/>
      <c r="D3" s="79"/>
      <c r="E3" s="79"/>
      <c r="F3" s="79"/>
      <c r="G3" s="79"/>
      <c r="H3" s="79"/>
      <c r="I3" s="79"/>
      <c r="J3" s="89"/>
      <c r="K3" s="79"/>
      <c r="L3" s="80"/>
      <c r="M3" s="74"/>
    </row>
    <row r="4" spans="1:13" s="75" customFormat="1" ht="18.75" x14ac:dyDescent="0.25">
      <c r="A4" s="81" t="s">
        <v>249</v>
      </c>
      <c r="B4" s="82" t="s">
        <v>301</v>
      </c>
      <c r="C4" s="90" t="s">
        <v>302</v>
      </c>
      <c r="D4" s="82"/>
      <c r="E4" s="82"/>
      <c r="F4" s="82"/>
      <c r="G4" s="82" t="s">
        <v>303</v>
      </c>
      <c r="H4" s="82">
        <v>1966</v>
      </c>
      <c r="I4" s="82" t="s">
        <v>300</v>
      </c>
      <c r="J4" s="84">
        <v>42906</v>
      </c>
      <c r="K4" s="82" t="s">
        <v>568</v>
      </c>
      <c r="L4" s="91"/>
      <c r="M4" s="74"/>
    </row>
    <row r="5" spans="1:13" s="75" customFormat="1" ht="18.75" x14ac:dyDescent="0.25">
      <c r="A5" s="709" t="s">
        <v>304</v>
      </c>
      <c r="B5" s="710"/>
      <c r="C5" s="92" t="s">
        <v>305</v>
      </c>
      <c r="D5" s="82"/>
      <c r="E5" s="82"/>
      <c r="F5" s="82"/>
      <c r="G5" s="82" t="s">
        <v>303</v>
      </c>
      <c r="H5" s="82">
        <v>1893</v>
      </c>
      <c r="I5" s="82" t="s">
        <v>300</v>
      </c>
      <c r="J5" s="84">
        <v>42906</v>
      </c>
      <c r="K5" s="82" t="s">
        <v>568</v>
      </c>
      <c r="L5" s="85"/>
      <c r="M5" s="74"/>
    </row>
    <row r="6" spans="1:13" s="75" customFormat="1" ht="18.75" x14ac:dyDescent="0.25">
      <c r="A6" s="86" t="s">
        <v>306</v>
      </c>
      <c r="B6" s="82"/>
      <c r="C6" s="83" t="s">
        <v>307</v>
      </c>
      <c r="D6" s="82"/>
      <c r="E6" s="82"/>
      <c r="F6" s="82"/>
      <c r="G6" s="82"/>
      <c r="H6" s="82"/>
      <c r="I6" s="82"/>
      <c r="J6" s="84"/>
      <c r="K6" s="82"/>
      <c r="L6" s="82"/>
      <c r="M6" s="93"/>
    </row>
    <row r="7" spans="1:13" s="75" customFormat="1" ht="18.75" x14ac:dyDescent="0.25">
      <c r="A7" s="87"/>
      <c r="B7" s="79"/>
      <c r="C7" s="88"/>
      <c r="D7" s="79"/>
      <c r="E7" s="79"/>
      <c r="F7" s="79"/>
      <c r="G7" s="79"/>
      <c r="H7" s="79"/>
      <c r="I7" s="79"/>
      <c r="J7" s="89"/>
      <c r="K7" s="79"/>
      <c r="L7" s="80"/>
      <c r="M7" s="93"/>
    </row>
    <row r="8" spans="1:13" s="75" customFormat="1" ht="18.75" x14ac:dyDescent="0.25">
      <c r="A8" s="81" t="s">
        <v>249</v>
      </c>
      <c r="B8" s="82" t="s">
        <v>308</v>
      </c>
      <c r="C8" s="83" t="s">
        <v>414</v>
      </c>
      <c r="D8" s="82"/>
      <c r="E8" s="82"/>
      <c r="F8" s="82"/>
      <c r="G8" s="82" t="s">
        <v>309</v>
      </c>
      <c r="H8" s="82">
        <v>1977</v>
      </c>
      <c r="I8" s="335" t="s">
        <v>300</v>
      </c>
      <c r="J8" s="84">
        <v>42894</v>
      </c>
      <c r="K8" s="82" t="s">
        <v>498</v>
      </c>
      <c r="L8" s="711"/>
      <c r="M8" s="93"/>
    </row>
    <row r="9" spans="1:13" s="75" customFormat="1" ht="18" x14ac:dyDescent="0.25">
      <c r="A9" s="713" t="s">
        <v>310</v>
      </c>
      <c r="B9" s="714"/>
      <c r="C9" s="90" t="s">
        <v>415</v>
      </c>
      <c r="D9" s="82"/>
      <c r="E9" s="82"/>
      <c r="F9" s="82"/>
      <c r="G9" s="82" t="s">
        <v>309</v>
      </c>
      <c r="H9" s="82">
        <v>1978</v>
      </c>
      <c r="I9" s="335" t="s">
        <v>300</v>
      </c>
      <c r="J9" s="84">
        <v>42894</v>
      </c>
      <c r="K9" s="82" t="s">
        <v>498</v>
      </c>
      <c r="L9" s="712"/>
      <c r="M9" s="94"/>
    </row>
    <row r="10" spans="1:13" s="75" customFormat="1" ht="18" x14ac:dyDescent="0.25">
      <c r="A10" s="95" t="s">
        <v>306</v>
      </c>
      <c r="B10" s="96"/>
      <c r="C10" s="83" t="s">
        <v>311</v>
      </c>
      <c r="D10" s="96"/>
      <c r="E10" s="96"/>
      <c r="F10" s="96"/>
      <c r="G10" s="96"/>
      <c r="H10" s="96"/>
      <c r="I10" s="96"/>
      <c r="J10" s="97"/>
      <c r="K10" s="96"/>
      <c r="L10" s="90"/>
      <c r="M10" s="94"/>
    </row>
    <row r="11" spans="1:13" s="75" customFormat="1" ht="18" x14ac:dyDescent="0.25">
      <c r="A11" s="98"/>
      <c r="B11" s="99"/>
      <c r="C11" s="98"/>
      <c r="D11" s="99"/>
      <c r="E11" s="99"/>
      <c r="F11" s="99"/>
      <c r="G11" s="99"/>
      <c r="H11" s="99"/>
      <c r="I11" s="99"/>
      <c r="J11" s="99"/>
      <c r="K11" s="99"/>
      <c r="L11" s="98"/>
      <c r="M11" s="94"/>
    </row>
    <row r="12" spans="1:13" s="75" customFormat="1" ht="18" x14ac:dyDescent="0.25">
      <c r="A12" s="100"/>
      <c r="B12" s="101"/>
      <c r="C12" s="100"/>
      <c r="D12" s="102"/>
      <c r="E12" s="102"/>
      <c r="F12" s="102"/>
      <c r="G12" s="102"/>
      <c r="H12" s="99"/>
      <c r="I12" s="102"/>
      <c r="J12" s="103"/>
      <c r="K12" s="102"/>
      <c r="L12" s="102"/>
      <c r="M12" s="94"/>
    </row>
    <row r="13" spans="1:13" s="75" customFormat="1" ht="31.5" x14ac:dyDescent="0.5">
      <c r="A13" s="707" t="s">
        <v>312</v>
      </c>
      <c r="B13" s="707"/>
      <c r="C13" s="707"/>
      <c r="D13" s="707"/>
      <c r="E13" s="707"/>
      <c r="F13" s="707"/>
      <c r="G13" s="707"/>
      <c r="H13" s="707"/>
      <c r="I13" s="707"/>
      <c r="J13" s="707"/>
      <c r="K13" s="707"/>
      <c r="L13" s="707"/>
      <c r="M13" s="94"/>
    </row>
    <row r="14" spans="1:13" s="75" customFormat="1" ht="18" x14ac:dyDescent="0.25">
      <c r="A14" s="98"/>
      <c r="B14" s="98"/>
      <c r="C14" s="98"/>
      <c r="D14" s="99"/>
      <c r="E14" s="99"/>
      <c r="F14" s="99"/>
      <c r="G14" s="729"/>
      <c r="H14" s="729"/>
      <c r="I14" s="99"/>
      <c r="J14" s="104"/>
      <c r="K14" s="99"/>
      <c r="L14" s="98"/>
      <c r="M14" s="94"/>
    </row>
    <row r="15" spans="1:13" s="75" customFormat="1" ht="69.75" customHeight="1" x14ac:dyDescent="0.25">
      <c r="A15" s="105" t="s">
        <v>313</v>
      </c>
      <c r="B15" s="106"/>
      <c r="C15" s="302" t="s">
        <v>578</v>
      </c>
      <c r="D15" s="107" t="s">
        <v>579</v>
      </c>
      <c r="E15" s="107" t="s">
        <v>585</v>
      </c>
      <c r="F15" s="108" t="s">
        <v>314</v>
      </c>
      <c r="G15" s="730" t="s">
        <v>315</v>
      </c>
      <c r="H15" s="731"/>
      <c r="I15" s="109"/>
      <c r="J15" s="110"/>
      <c r="K15" s="110"/>
      <c r="L15" s="111"/>
      <c r="M15" s="94"/>
    </row>
    <row r="16" spans="1:13" s="75" customFormat="1" ht="69.75" x14ac:dyDescent="0.25">
      <c r="A16" s="112" t="s">
        <v>316</v>
      </c>
      <c r="B16" s="113"/>
      <c r="C16" s="114" t="s">
        <v>598</v>
      </c>
      <c r="D16" s="115" t="s">
        <v>592</v>
      </c>
      <c r="E16" s="368" t="s">
        <v>577</v>
      </c>
      <c r="F16" s="116" t="s">
        <v>314</v>
      </c>
      <c r="G16" s="732"/>
      <c r="H16" s="733"/>
      <c r="I16" s="715"/>
      <c r="J16" s="716"/>
      <c r="K16" s="716"/>
      <c r="L16" s="111"/>
      <c r="M16" s="94"/>
    </row>
    <row r="17" spans="1:13" s="75" customFormat="1" ht="18" customHeight="1" x14ac:dyDescent="0.25">
      <c r="A17" s="717" t="s">
        <v>317</v>
      </c>
      <c r="B17" s="717"/>
      <c r="C17" s="718" t="s">
        <v>621</v>
      </c>
      <c r="D17" s="718" t="s">
        <v>620</v>
      </c>
      <c r="E17" s="720" t="s">
        <v>586</v>
      </c>
      <c r="F17" s="721" t="s">
        <v>318</v>
      </c>
      <c r="G17" s="117"/>
      <c r="H17" s="110"/>
      <c r="I17" s="110"/>
      <c r="J17" s="110"/>
      <c r="K17" s="110"/>
      <c r="L17" s="110"/>
      <c r="M17" s="94"/>
    </row>
    <row r="18" spans="1:13" s="75" customFormat="1" ht="42.75" customHeight="1" thickBot="1" x14ac:dyDescent="0.3">
      <c r="A18" s="717"/>
      <c r="B18" s="717"/>
      <c r="C18" s="719"/>
      <c r="D18" s="720"/>
      <c r="E18" s="720"/>
      <c r="F18" s="721"/>
      <c r="G18" s="117"/>
      <c r="H18" s="110"/>
      <c r="I18" s="110"/>
      <c r="J18" s="110"/>
      <c r="K18" s="110"/>
      <c r="L18" s="110"/>
      <c r="M18" s="94"/>
    </row>
    <row r="19" spans="1:13" s="75" customFormat="1" ht="42.75" customHeight="1" x14ac:dyDescent="0.25">
      <c r="A19" s="118"/>
      <c r="B19" s="119"/>
      <c r="C19" s="722" t="s">
        <v>550</v>
      </c>
      <c r="D19" s="725" t="s">
        <v>416</v>
      </c>
      <c r="E19" s="725" t="s">
        <v>319</v>
      </c>
      <c r="F19" s="120"/>
      <c r="G19" s="728"/>
      <c r="H19" s="728"/>
      <c r="I19" s="121"/>
      <c r="J19" s="122"/>
      <c r="K19" s="122"/>
      <c r="L19" s="123"/>
      <c r="M19" s="94"/>
    </row>
    <row r="20" spans="1:13" s="75" customFormat="1" ht="18" customHeight="1" x14ac:dyDescent="0.25">
      <c r="A20" s="124"/>
      <c r="B20" s="125"/>
      <c r="C20" s="723"/>
      <c r="D20" s="726"/>
      <c r="E20" s="726"/>
      <c r="F20" s="126"/>
      <c r="G20" s="728"/>
      <c r="H20" s="728"/>
      <c r="I20" s="121"/>
      <c r="J20" s="127"/>
      <c r="K20" s="127"/>
      <c r="L20" s="128"/>
      <c r="M20" s="94"/>
    </row>
    <row r="21" spans="1:13" s="75" customFormat="1" ht="18" customHeight="1" x14ac:dyDescent="0.25">
      <c r="A21" s="124"/>
      <c r="B21" s="125"/>
      <c r="C21" s="723"/>
      <c r="D21" s="726"/>
      <c r="E21" s="726"/>
      <c r="F21" s="126"/>
      <c r="G21" s="728"/>
      <c r="H21" s="728"/>
      <c r="I21" s="121"/>
      <c r="J21" s="122"/>
      <c r="K21" s="122"/>
      <c r="L21" s="123"/>
      <c r="M21" s="94"/>
    </row>
    <row r="22" spans="1:13" s="75" customFormat="1" ht="18" customHeight="1" x14ac:dyDescent="0.25">
      <c r="A22" s="124"/>
      <c r="B22" s="125"/>
      <c r="C22" s="723"/>
      <c r="D22" s="726"/>
      <c r="E22" s="726"/>
      <c r="F22" s="120"/>
      <c r="G22" s="728"/>
      <c r="H22" s="728"/>
      <c r="I22" s="121"/>
      <c r="J22" s="129"/>
      <c r="K22" s="129"/>
      <c r="L22" s="123"/>
      <c r="M22" s="94"/>
    </row>
    <row r="23" spans="1:13" s="75" customFormat="1" ht="18.75" customHeight="1" x14ac:dyDescent="0.25">
      <c r="A23" s="124"/>
      <c r="B23" s="125"/>
      <c r="C23" s="723"/>
      <c r="D23" s="726"/>
      <c r="E23" s="726"/>
      <c r="F23" s="120"/>
      <c r="G23" s="728"/>
      <c r="H23" s="728"/>
      <c r="I23" s="121"/>
      <c r="J23" s="129"/>
      <c r="K23" s="129"/>
      <c r="L23" s="123"/>
      <c r="M23" s="93"/>
    </row>
    <row r="24" spans="1:13" s="75" customFormat="1" ht="15.75" customHeight="1" thickBot="1" x14ac:dyDescent="0.3">
      <c r="A24" s="124"/>
      <c r="B24" s="125"/>
      <c r="C24" s="724"/>
      <c r="D24" s="727"/>
      <c r="E24" s="727"/>
      <c r="F24" s="120"/>
      <c r="G24" s="728"/>
      <c r="H24" s="728"/>
      <c r="I24" s="121"/>
      <c r="J24" s="122"/>
      <c r="K24" s="122"/>
      <c r="L24" s="130"/>
      <c r="M24" s="131"/>
    </row>
    <row r="25" spans="1:13" s="75" customFormat="1" ht="37.5" customHeight="1" x14ac:dyDescent="0.25">
      <c r="A25" s="124"/>
      <c r="B25" s="125"/>
      <c r="C25" s="132"/>
      <c r="D25" s="125"/>
      <c r="E25" s="120"/>
      <c r="F25" s="120"/>
      <c r="G25" s="133"/>
      <c r="H25" s="133"/>
      <c r="I25" s="121"/>
      <c r="J25" s="122"/>
      <c r="K25" s="122"/>
      <c r="L25" s="130"/>
      <c r="M25" s="131"/>
    </row>
    <row r="26" spans="1:13" s="75" customFormat="1" ht="53.25" customHeight="1" x14ac:dyDescent="0.25">
      <c r="A26" s="124"/>
      <c r="B26" s="125"/>
      <c r="C26" s="132"/>
      <c r="D26" s="125"/>
      <c r="E26" s="126"/>
      <c r="F26" s="126"/>
      <c r="G26" s="133"/>
      <c r="H26" s="134"/>
      <c r="I26" s="121"/>
      <c r="J26" s="129"/>
      <c r="K26" s="129"/>
      <c r="L26" s="130"/>
      <c r="M26" s="131"/>
    </row>
    <row r="27" spans="1:13" s="75" customFormat="1" ht="15" hidden="1" customHeight="1" x14ac:dyDescent="0.25">
      <c r="A27" s="124"/>
      <c r="B27" s="125"/>
      <c r="C27" s="125"/>
      <c r="D27" s="135"/>
      <c r="E27" s="126"/>
      <c r="F27" s="126"/>
      <c r="G27" s="126"/>
      <c r="H27" s="133"/>
      <c r="I27" s="121"/>
      <c r="J27" s="136"/>
      <c r="K27" s="136"/>
      <c r="L27" s="137"/>
      <c r="M27" s="131"/>
    </row>
    <row r="28" spans="1:13" s="75" customFormat="1" ht="18.75" customHeight="1" x14ac:dyDescent="0.25">
      <c r="A28" s="124"/>
      <c r="B28" s="119"/>
      <c r="C28" s="138"/>
      <c r="D28" s="125"/>
      <c r="E28" s="126"/>
      <c r="F28" s="126"/>
      <c r="G28" s="133"/>
      <c r="H28" s="133"/>
      <c r="I28" s="121"/>
      <c r="J28" s="122"/>
      <c r="K28" s="122"/>
      <c r="L28" s="128"/>
      <c r="M28" s="131"/>
    </row>
    <row r="29" spans="1:13" s="75" customFormat="1" ht="18.75" customHeight="1" x14ac:dyDescent="0.25">
      <c r="A29" s="124"/>
      <c r="B29" s="125"/>
      <c r="C29" s="125"/>
      <c r="D29" s="134"/>
      <c r="E29" s="134"/>
      <c r="F29" s="134"/>
      <c r="G29" s="134"/>
      <c r="H29" s="133"/>
      <c r="I29" s="121"/>
      <c r="J29" s="122"/>
      <c r="K29" s="122"/>
      <c r="L29" s="128"/>
      <c r="M29" s="131"/>
    </row>
    <row r="30" spans="1:13" s="75" customFormat="1" ht="18.75" customHeight="1" x14ac:dyDescent="0.25">
      <c r="A30" s="118"/>
      <c r="B30" s="119"/>
      <c r="C30" s="119"/>
      <c r="D30" s="119"/>
      <c r="E30" s="120"/>
      <c r="F30" s="120"/>
      <c r="G30" s="133"/>
      <c r="H30" s="139"/>
      <c r="I30" s="121"/>
      <c r="J30" s="123"/>
      <c r="K30" s="123"/>
      <c r="L30" s="128"/>
      <c r="M30" s="131"/>
    </row>
    <row r="31" spans="1:13" s="75" customFormat="1" ht="15.75" x14ac:dyDescent="0.25">
      <c r="A31" s="118"/>
      <c r="B31" s="119"/>
      <c r="C31" s="119"/>
      <c r="D31" s="119"/>
      <c r="E31" s="120"/>
      <c r="F31" s="120"/>
      <c r="G31" s="133"/>
      <c r="H31" s="133"/>
      <c r="I31" s="121"/>
      <c r="J31" s="127"/>
      <c r="K31" s="127"/>
      <c r="L31" s="128"/>
      <c r="M31" s="131"/>
    </row>
    <row r="32" spans="1:13" s="75" customFormat="1" ht="15.75" x14ac:dyDescent="0.25">
      <c r="A32" s="118"/>
      <c r="B32" s="119"/>
      <c r="C32" s="119"/>
      <c r="D32" s="119"/>
      <c r="E32" s="120"/>
      <c r="F32" s="120"/>
      <c r="G32" s="133"/>
      <c r="H32" s="133"/>
      <c r="I32" s="121"/>
      <c r="J32" s="140"/>
      <c r="K32" s="140"/>
      <c r="L32" s="128"/>
      <c r="M32" s="131"/>
    </row>
    <row r="33" spans="1:13" s="75" customFormat="1" ht="15.75" x14ac:dyDescent="0.25">
      <c r="A33" s="118"/>
      <c r="B33" s="119"/>
      <c r="C33" s="119"/>
      <c r="D33" s="119"/>
      <c r="E33" s="139"/>
      <c r="F33" s="139"/>
      <c r="G33" s="139"/>
      <c r="H33" s="133"/>
      <c r="I33" s="121"/>
      <c r="J33" s="140"/>
      <c r="K33" s="140"/>
      <c r="L33" s="128"/>
      <c r="M33" s="131"/>
    </row>
    <row r="34" spans="1:13" s="75" customFormat="1" x14ac:dyDescent="0.25">
      <c r="A34" s="118"/>
      <c r="B34" s="119"/>
      <c r="C34" s="119"/>
      <c r="D34" s="119"/>
      <c r="E34" s="120"/>
      <c r="F34" s="120"/>
      <c r="G34" s="133"/>
      <c r="H34" s="133"/>
      <c r="I34" s="133"/>
      <c r="J34" s="133"/>
      <c r="K34" s="133"/>
      <c r="L34" s="133"/>
      <c r="M34" s="131"/>
    </row>
    <row r="35" spans="1:13" s="75" customFormat="1" x14ac:dyDescent="0.25">
      <c r="A35" s="118"/>
      <c r="B35" s="139"/>
      <c r="C35" s="118"/>
      <c r="D35" s="139"/>
      <c r="E35" s="133"/>
      <c r="F35" s="133"/>
      <c r="G35" s="133"/>
      <c r="H35" s="139"/>
      <c r="I35" s="133"/>
      <c r="J35" s="141"/>
      <c r="K35" s="133"/>
      <c r="L35" s="142"/>
      <c r="M35" s="131"/>
    </row>
    <row r="36" spans="1:13" s="75" customFormat="1" x14ac:dyDescent="0.25">
      <c r="A36" s="118"/>
      <c r="B36" s="139"/>
      <c r="C36" s="118"/>
      <c r="D36" s="139"/>
      <c r="E36" s="133"/>
      <c r="F36" s="133"/>
      <c r="G36" s="133"/>
      <c r="H36" s="139"/>
      <c r="I36" s="126"/>
      <c r="J36" s="133"/>
      <c r="K36" s="133"/>
      <c r="L36" s="133"/>
      <c r="M36" s="131"/>
    </row>
    <row r="37" spans="1:13" s="75" customFormat="1" x14ac:dyDescent="0.25">
      <c r="A37" s="118"/>
      <c r="B37" s="139"/>
      <c r="C37" s="118"/>
      <c r="D37" s="139"/>
      <c r="E37" s="133"/>
      <c r="F37" s="133"/>
      <c r="G37" s="133"/>
      <c r="H37" s="143"/>
      <c r="I37" s="133"/>
      <c r="J37" s="133"/>
      <c r="K37" s="133"/>
      <c r="L37" s="133"/>
      <c r="M37" s="131"/>
    </row>
    <row r="38" spans="1:13" s="75" customFormat="1" x14ac:dyDescent="0.25">
      <c r="A38" s="118"/>
      <c r="B38" s="139"/>
      <c r="C38" s="118"/>
      <c r="D38" s="139"/>
      <c r="E38" s="139"/>
      <c r="F38" s="139"/>
      <c r="G38" s="139"/>
      <c r="H38" s="139"/>
      <c r="I38" s="134"/>
      <c r="J38" s="134"/>
      <c r="K38" s="134"/>
      <c r="L38" s="139"/>
      <c r="M38" s="131"/>
    </row>
    <row r="39" spans="1:13" s="75" customFormat="1" x14ac:dyDescent="0.25">
      <c r="A39" s="118"/>
      <c r="B39" s="139"/>
      <c r="C39" s="118"/>
      <c r="D39" s="139"/>
      <c r="E39" s="139"/>
      <c r="F39" s="139"/>
      <c r="G39" s="139"/>
      <c r="H39" s="139"/>
      <c r="I39" s="133"/>
      <c r="J39" s="133"/>
      <c r="K39" s="133"/>
      <c r="L39" s="133"/>
      <c r="M39" s="131"/>
    </row>
    <row r="40" spans="1:13" s="75" customFormat="1" x14ac:dyDescent="0.25">
      <c r="A40" s="118"/>
      <c r="B40" s="139"/>
      <c r="C40" s="118"/>
      <c r="D40" s="133"/>
      <c r="E40" s="144"/>
      <c r="F40" s="145"/>
      <c r="G40" s="145"/>
      <c r="H40" s="139"/>
      <c r="I40" s="133"/>
      <c r="J40" s="133"/>
      <c r="K40" s="133"/>
      <c r="L40" s="133"/>
      <c r="M40" s="131"/>
    </row>
    <row r="41" spans="1:13" s="75" customFormat="1" x14ac:dyDescent="0.25">
      <c r="A41" s="118"/>
      <c r="B41" s="139"/>
      <c r="C41" s="118"/>
      <c r="D41" s="139"/>
      <c r="E41" s="139"/>
      <c r="F41" s="139"/>
      <c r="G41" s="139"/>
      <c r="H41" s="139"/>
      <c r="I41" s="133"/>
      <c r="J41" s="133"/>
      <c r="K41" s="133"/>
      <c r="L41" s="133"/>
      <c r="M41" s="131"/>
    </row>
    <row r="42" spans="1:13" s="75" customFormat="1" x14ac:dyDescent="0.25">
      <c r="A42" s="118"/>
      <c r="B42" s="139"/>
      <c r="C42" s="118"/>
      <c r="D42" s="139"/>
      <c r="E42" s="139"/>
      <c r="F42" s="139"/>
      <c r="G42" s="139"/>
      <c r="H42" s="139"/>
      <c r="I42" s="139"/>
      <c r="J42" s="139"/>
      <c r="K42" s="139"/>
      <c r="L42" s="139"/>
      <c r="M42" s="131"/>
    </row>
    <row r="43" spans="1:13" s="75" customFormat="1" x14ac:dyDescent="0.25">
      <c r="A43" s="118"/>
      <c r="B43" s="139"/>
      <c r="C43" s="118"/>
      <c r="D43" s="139"/>
      <c r="E43" s="139"/>
      <c r="F43" s="139"/>
      <c r="G43" s="139"/>
      <c r="H43" s="139"/>
      <c r="I43" s="133"/>
      <c r="J43" s="133"/>
      <c r="K43" s="133"/>
      <c r="L43" s="133"/>
      <c r="M43" s="131"/>
    </row>
    <row r="44" spans="1:13" s="75" customFormat="1" ht="15.75" customHeight="1" x14ac:dyDescent="0.25">
      <c r="A44" s="118"/>
      <c r="B44" s="139"/>
      <c r="C44" s="118"/>
      <c r="D44" s="126"/>
      <c r="E44" s="139"/>
      <c r="F44" s="139"/>
      <c r="G44" s="139"/>
      <c r="H44" s="139"/>
      <c r="I44" s="133"/>
      <c r="J44" s="133"/>
      <c r="K44" s="133"/>
      <c r="L44" s="133"/>
      <c r="M44" s="131"/>
    </row>
    <row r="45" spans="1:13" s="75" customFormat="1" x14ac:dyDescent="0.25">
      <c r="A45" s="118"/>
      <c r="B45" s="139"/>
      <c r="C45" s="118"/>
      <c r="D45" s="139"/>
      <c r="E45" s="139"/>
      <c r="F45" s="139"/>
      <c r="G45" s="139"/>
      <c r="H45" s="139"/>
      <c r="I45" s="133"/>
      <c r="J45" s="133"/>
      <c r="K45" s="133"/>
      <c r="L45" s="133"/>
      <c r="M45" s="131"/>
    </row>
    <row r="46" spans="1:13" s="75" customFormat="1" x14ac:dyDescent="0.25">
      <c r="A46" s="118"/>
      <c r="B46" s="139"/>
      <c r="C46" s="118"/>
      <c r="D46" s="139"/>
      <c r="E46" s="139"/>
      <c r="F46" s="139"/>
      <c r="G46" s="139"/>
      <c r="H46" s="139"/>
      <c r="I46" s="133"/>
      <c r="J46" s="133"/>
      <c r="K46" s="133"/>
      <c r="L46" s="133"/>
      <c r="M46" s="131"/>
    </row>
    <row r="47" spans="1:13" s="75" customFormat="1" x14ac:dyDescent="0.25">
      <c r="A47" s="118"/>
      <c r="B47" s="139"/>
      <c r="C47" s="118"/>
      <c r="D47" s="139"/>
      <c r="E47" s="139"/>
      <c r="F47" s="139"/>
      <c r="G47" s="139"/>
      <c r="H47" s="139"/>
      <c r="I47" s="139"/>
      <c r="J47" s="139"/>
      <c r="K47" s="139"/>
      <c r="L47" s="139"/>
      <c r="M47" s="131"/>
    </row>
    <row r="48" spans="1:13" s="75" customFormat="1" x14ac:dyDescent="0.25">
      <c r="A48" s="118"/>
      <c r="B48" s="139"/>
      <c r="C48" s="118"/>
      <c r="D48" s="139"/>
      <c r="E48" s="139"/>
      <c r="F48" s="139"/>
      <c r="G48" s="139"/>
      <c r="H48" s="139"/>
      <c r="I48" s="139"/>
      <c r="J48" s="139"/>
      <c r="K48" s="139"/>
      <c r="L48" s="139"/>
      <c r="M48" s="131"/>
    </row>
    <row r="49" spans="1:13" s="75" customFormat="1" x14ac:dyDescent="0.25">
      <c r="A49" s="118"/>
      <c r="B49" s="139"/>
      <c r="C49" s="118"/>
      <c r="D49" s="139"/>
      <c r="E49" s="139"/>
      <c r="F49" s="139"/>
      <c r="G49" s="139"/>
      <c r="H49" s="139"/>
      <c r="I49" s="146"/>
      <c r="J49" s="143"/>
      <c r="K49" s="146"/>
      <c r="L49" s="143"/>
      <c r="M49" s="131"/>
    </row>
    <row r="50" spans="1:13" s="75" customFormat="1" x14ac:dyDescent="0.25">
      <c r="A50" s="118"/>
      <c r="B50" s="139"/>
      <c r="C50" s="118"/>
      <c r="D50" s="139"/>
      <c r="E50" s="139"/>
      <c r="F50" s="139"/>
      <c r="G50" s="139"/>
      <c r="H50" s="139"/>
      <c r="I50" s="139"/>
      <c r="J50" s="139"/>
      <c r="K50" s="139"/>
      <c r="L50" s="139"/>
      <c r="M50" s="131"/>
    </row>
    <row r="51" spans="1:13" s="75" customFormat="1" x14ac:dyDescent="0.25">
      <c r="A51" s="147"/>
      <c r="B51" s="148"/>
      <c r="C51" s="147"/>
      <c r="D51"/>
      <c r="E51"/>
      <c r="F51"/>
      <c r="G51"/>
      <c r="H51" s="139"/>
      <c r="I51" s="139"/>
      <c r="J51" s="139"/>
      <c r="K51" s="139"/>
      <c r="L51" s="139"/>
      <c r="M51" s="131"/>
    </row>
    <row r="52" spans="1:13" s="75" customFormat="1" x14ac:dyDescent="0.25">
      <c r="A52" s="147"/>
      <c r="B52" s="148"/>
      <c r="C52" s="147"/>
      <c r="D52"/>
      <c r="E52"/>
      <c r="F52"/>
      <c r="G52"/>
      <c r="H52" s="139"/>
      <c r="I52" s="139"/>
      <c r="J52" s="139"/>
      <c r="K52" s="139"/>
      <c r="L52" s="139"/>
      <c r="M52" s="131"/>
    </row>
    <row r="53" spans="1:13" s="75" customFormat="1" x14ac:dyDescent="0.25">
      <c r="A53" s="147"/>
      <c r="B53" s="148"/>
      <c r="C53" s="147"/>
      <c r="D53"/>
      <c r="E53"/>
      <c r="F53"/>
      <c r="G53"/>
      <c r="H53" s="139"/>
      <c r="I53" s="139"/>
      <c r="J53" s="139"/>
      <c r="K53" s="139"/>
      <c r="L53" s="139"/>
      <c r="M53" s="131"/>
    </row>
    <row r="54" spans="1:13" s="75" customFormat="1" x14ac:dyDescent="0.25">
      <c r="A54" s="147"/>
      <c r="B54" s="148"/>
      <c r="C54" s="147"/>
      <c r="D54"/>
      <c r="E54"/>
      <c r="F54"/>
      <c r="G54"/>
      <c r="H54" s="139"/>
      <c r="I54" s="139"/>
      <c r="J54" s="139"/>
      <c r="K54" s="139"/>
      <c r="L54" s="139"/>
      <c r="M54" s="131"/>
    </row>
    <row r="55" spans="1:13" s="75" customFormat="1" x14ac:dyDescent="0.25">
      <c r="A55" s="147"/>
      <c r="B55" s="148"/>
      <c r="C55" s="147"/>
      <c r="D55"/>
      <c r="E55"/>
      <c r="F55"/>
      <c r="G55"/>
      <c r="H55" s="139"/>
      <c r="I55" s="139"/>
      <c r="J55" s="139"/>
      <c r="K55" s="139"/>
      <c r="L55" s="139"/>
      <c r="M55" s="131"/>
    </row>
    <row r="56" spans="1:13" s="75" customFormat="1" x14ac:dyDescent="0.25">
      <c r="A56" s="147"/>
      <c r="B56" s="148"/>
      <c r="C56" s="147"/>
      <c r="D56"/>
      <c r="E56"/>
      <c r="F56"/>
      <c r="G56"/>
      <c r="H56" s="139"/>
      <c r="I56" s="139"/>
      <c r="J56" s="139"/>
      <c r="K56" s="139"/>
      <c r="L56" s="139"/>
      <c r="M56" s="131"/>
    </row>
    <row r="57" spans="1:13" s="75" customFormat="1" x14ac:dyDescent="0.25">
      <c r="A57" s="147"/>
      <c r="B57" s="148"/>
      <c r="C57" s="147"/>
      <c r="D57"/>
      <c r="E57"/>
      <c r="F57"/>
      <c r="G57"/>
      <c r="H57" s="139"/>
      <c r="I57" s="139"/>
      <c r="J57" s="139"/>
      <c r="K57" s="139"/>
      <c r="L57" s="139"/>
      <c r="M57" s="131"/>
    </row>
    <row r="58" spans="1:13" s="75" customFormat="1" x14ac:dyDescent="0.25">
      <c r="A58" s="147"/>
      <c r="B58" s="148"/>
      <c r="C58" s="147"/>
      <c r="D58"/>
      <c r="E58"/>
      <c r="F58"/>
      <c r="G58"/>
      <c r="H58" s="139"/>
      <c r="I58" s="139"/>
      <c r="J58" s="139"/>
      <c r="K58" s="139"/>
      <c r="L58" s="139"/>
      <c r="M58" s="131"/>
    </row>
    <row r="59" spans="1:13" s="75" customFormat="1" x14ac:dyDescent="0.25">
      <c r="A59" s="147"/>
      <c r="B59" s="148"/>
      <c r="C59" s="147"/>
      <c r="D59"/>
      <c r="E59"/>
      <c r="F59"/>
      <c r="G59"/>
      <c r="H59" s="139"/>
      <c r="I59" s="139"/>
      <c r="J59" s="139"/>
      <c r="K59" s="139"/>
      <c r="L59" s="139"/>
      <c r="M59" s="131"/>
    </row>
    <row r="60" spans="1:13" s="75" customFormat="1" x14ac:dyDescent="0.25">
      <c r="A60" s="147"/>
      <c r="B60" s="148"/>
      <c r="C60" s="147"/>
      <c r="D60"/>
      <c r="E60"/>
      <c r="F60"/>
      <c r="G60"/>
      <c r="H60" s="139"/>
      <c r="I60"/>
      <c r="J60" s="149"/>
      <c r="K60"/>
      <c r="L60"/>
      <c r="M60" s="131"/>
    </row>
    <row r="61" spans="1:13" x14ac:dyDescent="0.25">
      <c r="M61" s="131"/>
    </row>
    <row r="62" spans="1:13" x14ac:dyDescent="0.25">
      <c r="M62" s="131"/>
    </row>
    <row r="63" spans="1:13" x14ac:dyDescent="0.25">
      <c r="M63" s="131"/>
    </row>
    <row r="64" spans="1:13" x14ac:dyDescent="0.25">
      <c r="M64" s="131"/>
    </row>
    <row r="65" spans="13:13" x14ac:dyDescent="0.25">
      <c r="M65" s="131"/>
    </row>
    <row r="66" spans="13:13" x14ac:dyDescent="0.25">
      <c r="M66" s="131"/>
    </row>
    <row r="67" spans="13:13" x14ac:dyDescent="0.25">
      <c r="M67" s="131"/>
    </row>
    <row r="68" spans="13:13" x14ac:dyDescent="0.25">
      <c r="M68" s="131"/>
    </row>
    <row r="69" spans="13:13" x14ac:dyDescent="0.25">
      <c r="M69" s="131"/>
    </row>
    <row r="70" spans="13:13" x14ac:dyDescent="0.25">
      <c r="M70" s="131"/>
    </row>
    <row r="71" spans="13:13" x14ac:dyDescent="0.25">
      <c r="M71" s="131"/>
    </row>
    <row r="72" spans="13:13" x14ac:dyDescent="0.25">
      <c r="M72" s="131"/>
    </row>
    <row r="73" spans="13:13" x14ac:dyDescent="0.25">
      <c r="M73" s="131"/>
    </row>
    <row r="74" spans="13:13" x14ac:dyDescent="0.25">
      <c r="M74" s="131"/>
    </row>
    <row r="75" spans="13:13" x14ac:dyDescent="0.25">
      <c r="M75" s="131"/>
    </row>
    <row r="76" spans="13:13" x14ac:dyDescent="0.25">
      <c r="M76" s="131"/>
    </row>
    <row r="77" spans="13:13" x14ac:dyDescent="0.25">
      <c r="M77" s="131"/>
    </row>
    <row r="78" spans="13:13" x14ac:dyDescent="0.25">
      <c r="M78" s="131"/>
    </row>
    <row r="79" spans="13:13" x14ac:dyDescent="0.25">
      <c r="M79" s="131"/>
    </row>
    <row r="80" spans="13:13" x14ac:dyDescent="0.25">
      <c r="M80" s="131"/>
    </row>
    <row r="81" spans="13:13" x14ac:dyDescent="0.25">
      <c r="M81" s="131"/>
    </row>
    <row r="82" spans="13:13" x14ac:dyDescent="0.25">
      <c r="M82" s="131"/>
    </row>
    <row r="83" spans="13:13" x14ac:dyDescent="0.25">
      <c r="M83" s="131"/>
    </row>
    <row r="84" spans="13:13" x14ac:dyDescent="0.25">
      <c r="M84" s="131"/>
    </row>
    <row r="85" spans="13:13" x14ac:dyDescent="0.25">
      <c r="M85" s="131"/>
    </row>
    <row r="86" spans="13:13" x14ac:dyDescent="0.25">
      <c r="M86" s="131"/>
    </row>
    <row r="87" spans="13:13" x14ac:dyDescent="0.25">
      <c r="M87" s="131"/>
    </row>
    <row r="88" spans="13:13" x14ac:dyDescent="0.25">
      <c r="M88" s="131"/>
    </row>
    <row r="89" spans="13:13" x14ac:dyDescent="0.25">
      <c r="M89" s="131"/>
    </row>
    <row r="90" spans="13:13" x14ac:dyDescent="0.25">
      <c r="M90" s="131"/>
    </row>
    <row r="91" spans="13:13" x14ac:dyDescent="0.25">
      <c r="M91" s="131"/>
    </row>
    <row r="92" spans="13:13" x14ac:dyDescent="0.25">
      <c r="M92" s="131"/>
    </row>
    <row r="93" spans="13:13" x14ac:dyDescent="0.25">
      <c r="M93" s="131"/>
    </row>
    <row r="94" spans="13:13" x14ac:dyDescent="0.25">
      <c r="M94" s="131"/>
    </row>
    <row r="95" spans="13:13" x14ac:dyDescent="0.25">
      <c r="M95" s="131"/>
    </row>
    <row r="96" spans="13:13" x14ac:dyDescent="0.25">
      <c r="M96" s="131"/>
    </row>
    <row r="97" spans="13:13" x14ac:dyDescent="0.25">
      <c r="M97" s="131"/>
    </row>
    <row r="98" spans="13:13" x14ac:dyDescent="0.25">
      <c r="M98" s="131"/>
    </row>
    <row r="99" spans="13:13" x14ac:dyDescent="0.25">
      <c r="M99" s="131"/>
    </row>
    <row r="100" spans="13:13" x14ac:dyDescent="0.25">
      <c r="M100" s="131"/>
    </row>
    <row r="101" spans="13:13" x14ac:dyDescent="0.25">
      <c r="M101" s="131"/>
    </row>
    <row r="102" spans="13:13" x14ac:dyDescent="0.25">
      <c r="M102" s="131"/>
    </row>
    <row r="103" spans="13:13" x14ac:dyDescent="0.25">
      <c r="M103" s="131"/>
    </row>
    <row r="104" spans="13:13" x14ac:dyDescent="0.25">
      <c r="M104" s="131"/>
    </row>
    <row r="105" spans="13:13" x14ac:dyDescent="0.25">
      <c r="M105" s="131"/>
    </row>
    <row r="106" spans="13:13" x14ac:dyDescent="0.25">
      <c r="M106" s="131"/>
    </row>
    <row r="107" spans="13:13" x14ac:dyDescent="0.25">
      <c r="M107" s="131"/>
    </row>
    <row r="108" spans="13:13" x14ac:dyDescent="0.25">
      <c r="M108" s="131"/>
    </row>
    <row r="109" spans="13:13" x14ac:dyDescent="0.25">
      <c r="M109" s="131"/>
    </row>
    <row r="110" spans="13:13" x14ac:dyDescent="0.25">
      <c r="M110" s="131"/>
    </row>
    <row r="111" spans="13:13" x14ac:dyDescent="0.25">
      <c r="M111" s="131"/>
    </row>
    <row r="112" spans="13:13" x14ac:dyDescent="0.25">
      <c r="M112" s="131"/>
    </row>
    <row r="113" spans="13:13" x14ac:dyDescent="0.25">
      <c r="M113" s="131"/>
    </row>
    <row r="114" spans="13:13" x14ac:dyDescent="0.25">
      <c r="M114" s="131"/>
    </row>
    <row r="115" spans="13:13" x14ac:dyDescent="0.25">
      <c r="M115" s="131"/>
    </row>
    <row r="116" spans="13:13" x14ac:dyDescent="0.25">
      <c r="M116" s="131"/>
    </row>
    <row r="117" spans="13:13" x14ac:dyDescent="0.25">
      <c r="M117" s="131"/>
    </row>
    <row r="118" spans="13:13" x14ac:dyDescent="0.25">
      <c r="M118" s="131"/>
    </row>
    <row r="119" spans="13:13" x14ac:dyDescent="0.25">
      <c r="M119" s="131"/>
    </row>
    <row r="120" spans="13:13" x14ac:dyDescent="0.25">
      <c r="M120" s="131"/>
    </row>
    <row r="121" spans="13:13" x14ac:dyDescent="0.25">
      <c r="M121" s="131"/>
    </row>
    <row r="122" spans="13:13" x14ac:dyDescent="0.25">
      <c r="M122" s="131"/>
    </row>
    <row r="123" spans="13:13" x14ac:dyDescent="0.25">
      <c r="M123" s="131"/>
    </row>
    <row r="124" spans="13:13" x14ac:dyDescent="0.25">
      <c r="M124" s="131"/>
    </row>
    <row r="125" spans="13:13" x14ac:dyDescent="0.25">
      <c r="M125" s="131"/>
    </row>
    <row r="126" spans="13:13" x14ac:dyDescent="0.25">
      <c r="M126" s="131"/>
    </row>
    <row r="127" spans="13:13" x14ac:dyDescent="0.25">
      <c r="M127" s="131"/>
    </row>
    <row r="128" spans="13:13" x14ac:dyDescent="0.25">
      <c r="M128" s="131"/>
    </row>
    <row r="129" spans="13:13" x14ac:dyDescent="0.25">
      <c r="M129" s="131"/>
    </row>
    <row r="130" spans="13:13" x14ac:dyDescent="0.25">
      <c r="M130" s="131"/>
    </row>
    <row r="131" spans="13:13" x14ac:dyDescent="0.25">
      <c r="M131" s="131"/>
    </row>
    <row r="132" spans="13:13" x14ac:dyDescent="0.25">
      <c r="M132" s="131"/>
    </row>
    <row r="133" spans="13:13" x14ac:dyDescent="0.25">
      <c r="M133" s="131"/>
    </row>
    <row r="134" spans="13:13" x14ac:dyDescent="0.25">
      <c r="M134" s="131"/>
    </row>
    <row r="135" spans="13:13" x14ac:dyDescent="0.25">
      <c r="M135" s="131"/>
    </row>
    <row r="136" spans="13:13" x14ac:dyDescent="0.25">
      <c r="M136" s="131"/>
    </row>
    <row r="137" spans="13:13" x14ac:dyDescent="0.25">
      <c r="M137" s="131"/>
    </row>
    <row r="138" spans="13:13" x14ac:dyDescent="0.25">
      <c r="M138" s="131"/>
    </row>
    <row r="139" spans="13:13" x14ac:dyDescent="0.25">
      <c r="M139" s="131"/>
    </row>
    <row r="140" spans="13:13" x14ac:dyDescent="0.25">
      <c r="M140" s="131"/>
    </row>
    <row r="141" spans="13:13" x14ac:dyDescent="0.25">
      <c r="M141" s="131"/>
    </row>
    <row r="142" spans="13:13" x14ac:dyDescent="0.25">
      <c r="M142" s="131"/>
    </row>
    <row r="143" spans="13:13" x14ac:dyDescent="0.25">
      <c r="M143" s="131"/>
    </row>
    <row r="144" spans="13:13" x14ac:dyDescent="0.25">
      <c r="M144" s="131"/>
    </row>
    <row r="145" spans="13:13" x14ac:dyDescent="0.25">
      <c r="M145" s="131"/>
    </row>
    <row r="146" spans="13:13" x14ac:dyDescent="0.25">
      <c r="M146" s="131"/>
    </row>
    <row r="147" spans="13:13" x14ac:dyDescent="0.25">
      <c r="M147" s="131"/>
    </row>
    <row r="148" spans="13:13" x14ac:dyDescent="0.25">
      <c r="M148" s="131"/>
    </row>
    <row r="149" spans="13:13" x14ac:dyDescent="0.25">
      <c r="M149" s="131"/>
    </row>
    <row r="150" spans="13:13" x14ac:dyDescent="0.25">
      <c r="M150" s="131"/>
    </row>
    <row r="151" spans="13:13" x14ac:dyDescent="0.25">
      <c r="M151" s="131"/>
    </row>
    <row r="152" spans="13:13" x14ac:dyDescent="0.25">
      <c r="M152" s="131"/>
    </row>
    <row r="153" spans="13:13" x14ac:dyDescent="0.25">
      <c r="M153" s="131"/>
    </row>
    <row r="154" spans="13:13" x14ac:dyDescent="0.25">
      <c r="M154" s="131"/>
    </row>
    <row r="155" spans="13:13" x14ac:dyDescent="0.25">
      <c r="M155" s="131"/>
    </row>
    <row r="156" spans="13:13" x14ac:dyDescent="0.25">
      <c r="M156" s="131"/>
    </row>
    <row r="157" spans="13:13" x14ac:dyDescent="0.25">
      <c r="M157" s="131"/>
    </row>
    <row r="158" spans="13:13" x14ac:dyDescent="0.25">
      <c r="M158" s="131"/>
    </row>
    <row r="159" spans="13:13" x14ac:dyDescent="0.25">
      <c r="M159" s="131"/>
    </row>
    <row r="160" spans="13:13" x14ac:dyDescent="0.25">
      <c r="M160" s="131"/>
    </row>
    <row r="161" spans="13:13" x14ac:dyDescent="0.25">
      <c r="M161" s="131"/>
    </row>
    <row r="162" spans="13:13" x14ac:dyDescent="0.25">
      <c r="M162" s="131"/>
    </row>
    <row r="163" spans="13:13" x14ac:dyDescent="0.25">
      <c r="M163" s="131"/>
    </row>
    <row r="164" spans="13:13" x14ac:dyDescent="0.25">
      <c r="M164" s="131"/>
    </row>
    <row r="165" spans="13:13" x14ac:dyDescent="0.25">
      <c r="M165" s="131"/>
    </row>
    <row r="166" spans="13:13" x14ac:dyDescent="0.25">
      <c r="M166" s="131"/>
    </row>
    <row r="167" spans="13:13" x14ac:dyDescent="0.25">
      <c r="M167" s="131"/>
    </row>
    <row r="168" spans="13:13" x14ac:dyDescent="0.25">
      <c r="M168" s="131"/>
    </row>
    <row r="169" spans="13:13" x14ac:dyDescent="0.25">
      <c r="M169" s="131"/>
    </row>
    <row r="170" spans="13:13" x14ac:dyDescent="0.25">
      <c r="M170" s="131"/>
    </row>
    <row r="171" spans="13:13" x14ac:dyDescent="0.25">
      <c r="M171" s="131"/>
    </row>
    <row r="172" spans="13:13" x14ac:dyDescent="0.25">
      <c r="M172" s="131"/>
    </row>
    <row r="173" spans="13:13" x14ac:dyDescent="0.25">
      <c r="M173" s="131"/>
    </row>
    <row r="174" spans="13:13" x14ac:dyDescent="0.25">
      <c r="M174" s="131"/>
    </row>
    <row r="175" spans="13:13" x14ac:dyDescent="0.25">
      <c r="M175" s="131"/>
    </row>
    <row r="176" spans="13:13" x14ac:dyDescent="0.25">
      <c r="M176" s="131"/>
    </row>
    <row r="177" spans="13:13" x14ac:dyDescent="0.25">
      <c r="M177" s="131"/>
    </row>
    <row r="178" spans="13:13" x14ac:dyDescent="0.25">
      <c r="M178" s="131"/>
    </row>
    <row r="179" spans="13:13" x14ac:dyDescent="0.25">
      <c r="M179" s="131"/>
    </row>
    <row r="180" spans="13:13" x14ac:dyDescent="0.25">
      <c r="M180" s="131"/>
    </row>
    <row r="181" spans="13:13" x14ac:dyDescent="0.25">
      <c r="M181" s="131"/>
    </row>
    <row r="182" spans="13:13" x14ac:dyDescent="0.25">
      <c r="M182" s="131"/>
    </row>
    <row r="183" spans="13:13" x14ac:dyDescent="0.25">
      <c r="M183" s="131"/>
    </row>
    <row r="184" spans="13:13" x14ac:dyDescent="0.25">
      <c r="M184" s="131"/>
    </row>
    <row r="185" spans="13:13" x14ac:dyDescent="0.25">
      <c r="M185" s="131"/>
    </row>
    <row r="186" spans="13:13" x14ac:dyDescent="0.25">
      <c r="M186" s="131"/>
    </row>
    <row r="187" spans="13:13" x14ac:dyDescent="0.25">
      <c r="M187" s="131"/>
    </row>
    <row r="188" spans="13:13" x14ac:dyDescent="0.25">
      <c r="M188" s="131"/>
    </row>
    <row r="189" spans="13:13" x14ac:dyDescent="0.25">
      <c r="M189" s="131"/>
    </row>
    <row r="190" spans="13:13" x14ac:dyDescent="0.25">
      <c r="M190" s="131"/>
    </row>
    <row r="191" spans="13:13" x14ac:dyDescent="0.25">
      <c r="M191" s="131"/>
    </row>
    <row r="192" spans="13:13" x14ac:dyDescent="0.25">
      <c r="M192" s="131"/>
    </row>
    <row r="193" spans="13:13" x14ac:dyDescent="0.25">
      <c r="M193" s="131"/>
    </row>
    <row r="194" spans="13:13" x14ac:dyDescent="0.25">
      <c r="M194" s="131"/>
    </row>
    <row r="195" spans="13:13" x14ac:dyDescent="0.25">
      <c r="M195" s="131"/>
    </row>
    <row r="196" spans="13:13" x14ac:dyDescent="0.25">
      <c r="M196" s="131"/>
    </row>
    <row r="197" spans="13:13" x14ac:dyDescent="0.25">
      <c r="M197" s="131"/>
    </row>
    <row r="198" spans="13:13" x14ac:dyDescent="0.25">
      <c r="M198" s="131"/>
    </row>
    <row r="199" spans="13:13" x14ac:dyDescent="0.25">
      <c r="M199" s="131"/>
    </row>
    <row r="200" spans="13:13" x14ac:dyDescent="0.25">
      <c r="M200" s="131"/>
    </row>
    <row r="201" spans="13:13" x14ac:dyDescent="0.25">
      <c r="M201" s="131"/>
    </row>
    <row r="202" spans="13:13" x14ac:dyDescent="0.25">
      <c r="M202" s="131"/>
    </row>
    <row r="203" spans="13:13" x14ac:dyDescent="0.25">
      <c r="M203" s="131"/>
    </row>
    <row r="204" spans="13:13" x14ac:dyDescent="0.25">
      <c r="M204" s="131"/>
    </row>
    <row r="205" spans="13:13" x14ac:dyDescent="0.25">
      <c r="M205" s="131"/>
    </row>
    <row r="206" spans="13:13" x14ac:dyDescent="0.25">
      <c r="M206" s="131"/>
    </row>
    <row r="207" spans="13:13" x14ac:dyDescent="0.25">
      <c r="M207" s="131"/>
    </row>
    <row r="208" spans="13:13" x14ac:dyDescent="0.25">
      <c r="M208" s="131"/>
    </row>
    <row r="209" spans="13:13" x14ac:dyDescent="0.25">
      <c r="M209" s="131"/>
    </row>
    <row r="210" spans="13:13" x14ac:dyDescent="0.25">
      <c r="M210" s="131"/>
    </row>
    <row r="211" spans="13:13" x14ac:dyDescent="0.25">
      <c r="M211" s="131"/>
    </row>
    <row r="212" spans="13:13" x14ac:dyDescent="0.25">
      <c r="M212" s="131"/>
    </row>
    <row r="213" spans="13:13" x14ac:dyDescent="0.25">
      <c r="M213" s="131"/>
    </row>
    <row r="214" spans="13:13" x14ac:dyDescent="0.25">
      <c r="M214" s="131"/>
    </row>
    <row r="215" spans="13:13" x14ac:dyDescent="0.25">
      <c r="M215" s="131"/>
    </row>
    <row r="216" spans="13:13" x14ac:dyDescent="0.25">
      <c r="M216" s="131"/>
    </row>
    <row r="217" spans="13:13" x14ac:dyDescent="0.25">
      <c r="M217" s="131"/>
    </row>
    <row r="218" spans="13:13" x14ac:dyDescent="0.25">
      <c r="M218" s="131"/>
    </row>
    <row r="219" spans="13:13" x14ac:dyDescent="0.25">
      <c r="M219" s="131"/>
    </row>
    <row r="220" spans="13:13" x14ac:dyDescent="0.25">
      <c r="M220" s="131"/>
    </row>
    <row r="221" spans="13:13" x14ac:dyDescent="0.25">
      <c r="M221" s="131"/>
    </row>
    <row r="222" spans="13:13" x14ac:dyDescent="0.25">
      <c r="M222" s="131"/>
    </row>
    <row r="223" spans="13:13" x14ac:dyDescent="0.25">
      <c r="M223" s="131"/>
    </row>
    <row r="224" spans="13:13" x14ac:dyDescent="0.25">
      <c r="M224" s="131"/>
    </row>
    <row r="225" spans="13:13" x14ac:dyDescent="0.25">
      <c r="M225" s="131"/>
    </row>
    <row r="226" spans="13:13" x14ac:dyDescent="0.25">
      <c r="M226" s="131"/>
    </row>
    <row r="227" spans="13:13" x14ac:dyDescent="0.25">
      <c r="M227" s="131"/>
    </row>
    <row r="228" spans="13:13" x14ac:dyDescent="0.25">
      <c r="M228" s="131"/>
    </row>
    <row r="229" spans="13:13" x14ac:dyDescent="0.25">
      <c r="M229" s="131"/>
    </row>
    <row r="230" spans="13:13" x14ac:dyDescent="0.25">
      <c r="M230" s="131"/>
    </row>
    <row r="231" spans="13:13" x14ac:dyDescent="0.25">
      <c r="M231" s="131"/>
    </row>
    <row r="232" spans="13:13" x14ac:dyDescent="0.25">
      <c r="M232" s="131"/>
    </row>
    <row r="233" spans="13:13" x14ac:dyDescent="0.25">
      <c r="M233" s="131"/>
    </row>
    <row r="234" spans="13:13" x14ac:dyDescent="0.25">
      <c r="M234" s="131"/>
    </row>
    <row r="235" spans="13:13" x14ac:dyDescent="0.25">
      <c r="M235" s="131"/>
    </row>
    <row r="236" spans="13:13" x14ac:dyDescent="0.25">
      <c r="M236" s="131"/>
    </row>
    <row r="237" spans="13:13" x14ac:dyDescent="0.25">
      <c r="M237" s="131"/>
    </row>
    <row r="238" spans="13:13" x14ac:dyDescent="0.25">
      <c r="M238" s="131"/>
    </row>
    <row r="239" spans="13:13" x14ac:dyDescent="0.25">
      <c r="M239" s="131"/>
    </row>
    <row r="240" spans="13:13" x14ac:dyDescent="0.25">
      <c r="M240" s="131"/>
    </row>
    <row r="241" spans="13:13" x14ac:dyDescent="0.25">
      <c r="M241" s="131"/>
    </row>
    <row r="242" spans="13:13" x14ac:dyDescent="0.25">
      <c r="M242" s="131"/>
    </row>
    <row r="243" spans="13:13" x14ac:dyDescent="0.25">
      <c r="M243" s="131"/>
    </row>
    <row r="244" spans="13:13" x14ac:dyDescent="0.25">
      <c r="M244" s="131"/>
    </row>
    <row r="245" spans="13:13" x14ac:dyDescent="0.25">
      <c r="M245" s="131"/>
    </row>
    <row r="246" spans="13:13" x14ac:dyDescent="0.25">
      <c r="M246" s="131"/>
    </row>
    <row r="247" spans="13:13" x14ac:dyDescent="0.25">
      <c r="M247" s="131"/>
    </row>
    <row r="248" spans="13:13" x14ac:dyDescent="0.25">
      <c r="M248" s="131"/>
    </row>
    <row r="249" spans="13:13" x14ac:dyDescent="0.25">
      <c r="M249" s="131"/>
    </row>
    <row r="250" spans="13:13" x14ac:dyDescent="0.25">
      <c r="M250" s="131"/>
    </row>
    <row r="251" spans="13:13" x14ac:dyDescent="0.25">
      <c r="M251" s="131"/>
    </row>
    <row r="252" spans="13:13" x14ac:dyDescent="0.25">
      <c r="M252" s="131"/>
    </row>
    <row r="253" spans="13:13" x14ac:dyDescent="0.25">
      <c r="M253" s="131"/>
    </row>
    <row r="254" spans="13:13" x14ac:dyDescent="0.25">
      <c r="M254" s="131"/>
    </row>
    <row r="255" spans="13:13" x14ac:dyDescent="0.25">
      <c r="M255" s="131"/>
    </row>
    <row r="256" spans="13:13" x14ac:dyDescent="0.25">
      <c r="M256" s="131"/>
    </row>
    <row r="257" spans="13:13" x14ac:dyDescent="0.25">
      <c r="M257" s="131"/>
    </row>
    <row r="258" spans="13:13" x14ac:dyDescent="0.25">
      <c r="M258" s="131"/>
    </row>
    <row r="259" spans="13:13" x14ac:dyDescent="0.25">
      <c r="M259" s="131"/>
    </row>
    <row r="260" spans="13:13" x14ac:dyDescent="0.25">
      <c r="M260" s="131"/>
    </row>
    <row r="261" spans="13:13" x14ac:dyDescent="0.25">
      <c r="M261" s="131"/>
    </row>
    <row r="262" spans="13:13" x14ac:dyDescent="0.25">
      <c r="M262" s="131"/>
    </row>
    <row r="263" spans="13:13" x14ac:dyDescent="0.25">
      <c r="M263" s="131"/>
    </row>
    <row r="264" spans="13:13" x14ac:dyDescent="0.25">
      <c r="M264" s="131"/>
    </row>
    <row r="265" spans="13:13" x14ac:dyDescent="0.25">
      <c r="M265" s="131"/>
    </row>
    <row r="266" spans="13:13" x14ac:dyDescent="0.25">
      <c r="M266" s="131"/>
    </row>
    <row r="267" spans="13:13" x14ac:dyDescent="0.25">
      <c r="M267" s="131"/>
    </row>
    <row r="268" spans="13:13" x14ac:dyDescent="0.25">
      <c r="M268" s="131"/>
    </row>
    <row r="269" spans="13:13" x14ac:dyDescent="0.25">
      <c r="M269" s="131"/>
    </row>
    <row r="270" spans="13:13" x14ac:dyDescent="0.25">
      <c r="M270" s="131"/>
    </row>
    <row r="271" spans="13:13" x14ac:dyDescent="0.25">
      <c r="M271" s="131"/>
    </row>
    <row r="272" spans="13:13" x14ac:dyDescent="0.25">
      <c r="M272" s="131"/>
    </row>
    <row r="273" spans="13:13" x14ac:dyDescent="0.25">
      <c r="M273" s="131"/>
    </row>
    <row r="274" spans="13:13" x14ac:dyDescent="0.25">
      <c r="M274" s="131"/>
    </row>
    <row r="275" spans="13:13" x14ac:dyDescent="0.25">
      <c r="M275" s="131"/>
    </row>
    <row r="276" spans="13:13" x14ac:dyDescent="0.25">
      <c r="M276" s="131"/>
    </row>
    <row r="277" spans="13:13" x14ac:dyDescent="0.25">
      <c r="M277" s="131"/>
    </row>
    <row r="278" spans="13:13" x14ac:dyDescent="0.25">
      <c r="M278" s="131"/>
    </row>
    <row r="279" spans="13:13" x14ac:dyDescent="0.25">
      <c r="M279" s="131"/>
    </row>
    <row r="280" spans="13:13" x14ac:dyDescent="0.25">
      <c r="M280" s="131"/>
    </row>
    <row r="281" spans="13:13" x14ac:dyDescent="0.25">
      <c r="M281" s="131"/>
    </row>
    <row r="282" spans="13:13" x14ac:dyDescent="0.25">
      <c r="M282" s="131"/>
    </row>
    <row r="283" spans="13:13" x14ac:dyDescent="0.25">
      <c r="M283" s="131"/>
    </row>
    <row r="284" spans="13:13" x14ac:dyDescent="0.25">
      <c r="M284" s="131"/>
    </row>
    <row r="285" spans="13:13" x14ac:dyDescent="0.25">
      <c r="M285" s="131"/>
    </row>
    <row r="286" spans="13:13" x14ac:dyDescent="0.25">
      <c r="M286" s="131"/>
    </row>
    <row r="287" spans="13:13" x14ac:dyDescent="0.25">
      <c r="M287" s="131"/>
    </row>
    <row r="288" spans="13:13" x14ac:dyDescent="0.25">
      <c r="M288" s="131"/>
    </row>
    <row r="289" spans="13:13" x14ac:dyDescent="0.25">
      <c r="M289" s="131"/>
    </row>
    <row r="290" spans="13:13" x14ac:dyDescent="0.25">
      <c r="M290" s="131"/>
    </row>
    <row r="291" spans="13:13" x14ac:dyDescent="0.25">
      <c r="M291" s="131"/>
    </row>
    <row r="292" spans="13:13" x14ac:dyDescent="0.25">
      <c r="M292" s="131"/>
    </row>
    <row r="293" spans="13:13" x14ac:dyDescent="0.25">
      <c r="M293" s="131"/>
    </row>
    <row r="294" spans="13:13" x14ac:dyDescent="0.25">
      <c r="M294" s="131"/>
    </row>
    <row r="295" spans="13:13" x14ac:dyDescent="0.25">
      <c r="M295" s="131"/>
    </row>
    <row r="296" spans="13:13" x14ac:dyDescent="0.25">
      <c r="M296" s="131"/>
    </row>
    <row r="297" spans="13:13" x14ac:dyDescent="0.25">
      <c r="M297" s="131"/>
    </row>
    <row r="298" spans="13:13" x14ac:dyDescent="0.25">
      <c r="M298" s="131"/>
    </row>
    <row r="299" spans="13:13" x14ac:dyDescent="0.25">
      <c r="M299" s="131"/>
    </row>
    <row r="300" spans="13:13" x14ac:dyDescent="0.25">
      <c r="M300" s="131"/>
    </row>
    <row r="301" spans="13:13" x14ac:dyDescent="0.25">
      <c r="M301" s="131"/>
    </row>
    <row r="302" spans="13:13" x14ac:dyDescent="0.25">
      <c r="M302" s="131"/>
    </row>
    <row r="303" spans="13:13" x14ac:dyDescent="0.25">
      <c r="M303" s="131"/>
    </row>
    <row r="304" spans="13:13" x14ac:dyDescent="0.25">
      <c r="M304" s="131"/>
    </row>
    <row r="305" spans="13:13" x14ac:dyDescent="0.25">
      <c r="M305" s="131"/>
    </row>
    <row r="306" spans="13:13" x14ac:dyDescent="0.25">
      <c r="M306" s="131"/>
    </row>
    <row r="307" spans="13:13" x14ac:dyDescent="0.25">
      <c r="M307" s="131"/>
    </row>
    <row r="308" spans="13:13" x14ac:dyDescent="0.25">
      <c r="M308" s="131"/>
    </row>
    <row r="309" spans="13:13" x14ac:dyDescent="0.25">
      <c r="M309" s="131"/>
    </row>
    <row r="310" spans="13:13" x14ac:dyDescent="0.25">
      <c r="M310" s="131"/>
    </row>
    <row r="311" spans="13:13" x14ac:dyDescent="0.25">
      <c r="M311" s="131"/>
    </row>
    <row r="312" spans="13:13" x14ac:dyDescent="0.25">
      <c r="M312" s="131"/>
    </row>
    <row r="313" spans="13:13" x14ac:dyDescent="0.25">
      <c r="M313" s="131"/>
    </row>
    <row r="314" spans="13:13" x14ac:dyDescent="0.25">
      <c r="M314" s="131"/>
    </row>
    <row r="315" spans="13:13" x14ac:dyDescent="0.25">
      <c r="M315" s="131"/>
    </row>
    <row r="316" spans="13:13" x14ac:dyDescent="0.25">
      <c r="M316" s="131"/>
    </row>
    <row r="317" spans="13:13" x14ac:dyDescent="0.25">
      <c r="M317" s="131"/>
    </row>
    <row r="318" spans="13:13" x14ac:dyDescent="0.25">
      <c r="M318" s="131"/>
    </row>
    <row r="319" spans="13:13" x14ac:dyDescent="0.25">
      <c r="M319" s="131"/>
    </row>
    <row r="320" spans="13:13" x14ac:dyDescent="0.25">
      <c r="M320" s="131"/>
    </row>
    <row r="321" spans="13:13" x14ac:dyDescent="0.25">
      <c r="M321" s="131"/>
    </row>
    <row r="322" spans="13:13" x14ac:dyDescent="0.25">
      <c r="M322" s="131"/>
    </row>
    <row r="323" spans="13:13" x14ac:dyDescent="0.25">
      <c r="M323" s="131"/>
    </row>
    <row r="324" spans="13:13" x14ac:dyDescent="0.25">
      <c r="M324" s="131"/>
    </row>
    <row r="325" spans="13:13" x14ac:dyDescent="0.25">
      <c r="M325" s="131"/>
    </row>
    <row r="326" spans="13:13" x14ac:dyDescent="0.25">
      <c r="M326" s="131"/>
    </row>
    <row r="327" spans="13:13" x14ac:dyDescent="0.25">
      <c r="M327" s="131"/>
    </row>
    <row r="328" spans="13:13" x14ac:dyDescent="0.25">
      <c r="M328" s="131"/>
    </row>
    <row r="329" spans="13:13" x14ac:dyDescent="0.25">
      <c r="M329" s="131"/>
    </row>
    <row r="330" spans="13:13" x14ac:dyDescent="0.25">
      <c r="M330" s="131"/>
    </row>
    <row r="331" spans="13:13" x14ac:dyDescent="0.25">
      <c r="M331" s="131"/>
    </row>
    <row r="332" spans="13:13" x14ac:dyDescent="0.25">
      <c r="M332" s="131"/>
    </row>
    <row r="333" spans="13:13" x14ac:dyDescent="0.25">
      <c r="M333" s="131"/>
    </row>
    <row r="334" spans="13:13" x14ac:dyDescent="0.25">
      <c r="M334" s="131"/>
    </row>
    <row r="335" spans="13:13" x14ac:dyDescent="0.25">
      <c r="M335" s="131"/>
    </row>
    <row r="336" spans="13:13" x14ac:dyDescent="0.25">
      <c r="M336" s="131"/>
    </row>
    <row r="337" spans="13:13" x14ac:dyDescent="0.25">
      <c r="M337" s="131"/>
    </row>
    <row r="338" spans="13:13" x14ac:dyDescent="0.25">
      <c r="M338" s="131"/>
    </row>
    <row r="339" spans="13:13" x14ac:dyDescent="0.25">
      <c r="M339" s="131"/>
    </row>
    <row r="340" spans="13:13" x14ac:dyDescent="0.25">
      <c r="M340" s="131"/>
    </row>
    <row r="341" spans="13:13" x14ac:dyDescent="0.25">
      <c r="M341" s="131"/>
    </row>
    <row r="342" spans="13:13" x14ac:dyDescent="0.25">
      <c r="M342" s="131"/>
    </row>
    <row r="343" spans="13:13" x14ac:dyDescent="0.25">
      <c r="M343" s="131"/>
    </row>
    <row r="344" spans="13:13" x14ac:dyDescent="0.25">
      <c r="M344" s="131"/>
    </row>
    <row r="345" spans="13:13" x14ac:dyDescent="0.25">
      <c r="M345" s="131"/>
    </row>
    <row r="346" spans="13:13" x14ac:dyDescent="0.25">
      <c r="M346" s="131"/>
    </row>
    <row r="347" spans="13:13" x14ac:dyDescent="0.25">
      <c r="M347" s="131"/>
    </row>
    <row r="348" spans="13:13" x14ac:dyDescent="0.25">
      <c r="M348" s="131"/>
    </row>
    <row r="349" spans="13:13" x14ac:dyDescent="0.25">
      <c r="M349" s="131"/>
    </row>
    <row r="350" spans="13:13" x14ac:dyDescent="0.25">
      <c r="M350" s="131"/>
    </row>
    <row r="351" spans="13:13" x14ac:dyDescent="0.25">
      <c r="M351" s="131"/>
    </row>
    <row r="352" spans="13:13" x14ac:dyDescent="0.25">
      <c r="M352" s="131"/>
    </row>
    <row r="353" spans="13:13" x14ac:dyDescent="0.25">
      <c r="M353" s="131"/>
    </row>
    <row r="354" spans="13:13" x14ac:dyDescent="0.25">
      <c r="M354" s="131"/>
    </row>
    <row r="355" spans="13:13" x14ac:dyDescent="0.25">
      <c r="M355" s="131"/>
    </row>
    <row r="356" spans="13:13" x14ac:dyDescent="0.25">
      <c r="M356" s="131"/>
    </row>
    <row r="357" spans="13:13" x14ac:dyDescent="0.25">
      <c r="M357" s="131"/>
    </row>
    <row r="358" spans="13:13" x14ac:dyDescent="0.25">
      <c r="M358" s="131"/>
    </row>
    <row r="359" spans="13:13" x14ac:dyDescent="0.25">
      <c r="M359" s="131"/>
    </row>
    <row r="360" spans="13:13" x14ac:dyDescent="0.25">
      <c r="M360" s="131"/>
    </row>
    <row r="361" spans="13:13" x14ac:dyDescent="0.25">
      <c r="M361" s="131"/>
    </row>
    <row r="362" spans="13:13" x14ac:dyDescent="0.25">
      <c r="M362" s="131"/>
    </row>
    <row r="363" spans="13:13" x14ac:dyDescent="0.25">
      <c r="M363" s="131"/>
    </row>
    <row r="364" spans="13:13" x14ac:dyDescent="0.25">
      <c r="M364" s="131"/>
    </row>
    <row r="365" spans="13:13" x14ac:dyDescent="0.25">
      <c r="M365" s="131"/>
    </row>
    <row r="366" spans="13:13" x14ac:dyDescent="0.25">
      <c r="M366" s="131"/>
    </row>
    <row r="367" spans="13:13" x14ac:dyDescent="0.25">
      <c r="M367" s="131"/>
    </row>
    <row r="368" spans="13:13" x14ac:dyDescent="0.25">
      <c r="M368" s="131"/>
    </row>
    <row r="369" spans="13:13" x14ac:dyDescent="0.25">
      <c r="M369" s="131"/>
    </row>
    <row r="370" spans="13:13" x14ac:dyDescent="0.25">
      <c r="M370" s="131"/>
    </row>
    <row r="371" spans="13:13" x14ac:dyDescent="0.25">
      <c r="M371" s="131"/>
    </row>
    <row r="372" spans="13:13" x14ac:dyDescent="0.25">
      <c r="M372" s="131"/>
    </row>
    <row r="373" spans="13:13" x14ac:dyDescent="0.25">
      <c r="M373" s="131"/>
    </row>
    <row r="374" spans="13:13" x14ac:dyDescent="0.25">
      <c r="M374" s="131"/>
    </row>
    <row r="375" spans="13:13" x14ac:dyDescent="0.25">
      <c r="M375" s="131"/>
    </row>
    <row r="376" spans="13:13" x14ac:dyDescent="0.25">
      <c r="M376" s="131"/>
    </row>
    <row r="377" spans="13:13" x14ac:dyDescent="0.25">
      <c r="M377" s="131"/>
    </row>
    <row r="378" spans="13:13" x14ac:dyDescent="0.25">
      <c r="M378" s="131"/>
    </row>
    <row r="379" spans="13:13" x14ac:dyDescent="0.25">
      <c r="M379" s="131"/>
    </row>
    <row r="380" spans="13:13" x14ac:dyDescent="0.25">
      <c r="M380" s="131"/>
    </row>
    <row r="381" spans="13:13" x14ac:dyDescent="0.25">
      <c r="M381" s="131"/>
    </row>
    <row r="382" spans="13:13" x14ac:dyDescent="0.25">
      <c r="M382" s="131"/>
    </row>
    <row r="383" spans="13:13" x14ac:dyDescent="0.25">
      <c r="M383" s="131"/>
    </row>
    <row r="384" spans="13:13" x14ac:dyDescent="0.25">
      <c r="M384" s="131"/>
    </row>
    <row r="385" spans="13:13" x14ac:dyDescent="0.25">
      <c r="M385" s="131"/>
    </row>
    <row r="386" spans="13:13" x14ac:dyDescent="0.25">
      <c r="M386" s="131"/>
    </row>
    <row r="387" spans="13:13" x14ac:dyDescent="0.25">
      <c r="M387" s="131"/>
    </row>
    <row r="388" spans="13:13" x14ac:dyDescent="0.25">
      <c r="M388" s="131"/>
    </row>
    <row r="389" spans="13:13" x14ac:dyDescent="0.25">
      <c r="M389" s="131"/>
    </row>
    <row r="390" spans="13:13" x14ac:dyDescent="0.25">
      <c r="M390" s="131"/>
    </row>
    <row r="391" spans="13:13" x14ac:dyDescent="0.25">
      <c r="M391" s="131"/>
    </row>
    <row r="392" spans="13:13" x14ac:dyDescent="0.25">
      <c r="M392" s="131"/>
    </row>
    <row r="393" spans="13:13" x14ac:dyDescent="0.25">
      <c r="M393" s="131"/>
    </row>
    <row r="394" spans="13:13" x14ac:dyDescent="0.25">
      <c r="M394" s="131"/>
    </row>
    <row r="395" spans="13:13" x14ac:dyDescent="0.25">
      <c r="M395" s="131"/>
    </row>
    <row r="396" spans="13:13" x14ac:dyDescent="0.25">
      <c r="M396" s="131"/>
    </row>
    <row r="397" spans="13:13" x14ac:dyDescent="0.25">
      <c r="M397" s="131"/>
    </row>
    <row r="398" spans="13:13" x14ac:dyDescent="0.25">
      <c r="M398" s="131"/>
    </row>
    <row r="399" spans="13:13" x14ac:dyDescent="0.25">
      <c r="M399" s="131"/>
    </row>
    <row r="400" spans="13:13" x14ac:dyDescent="0.25">
      <c r="M400" s="131"/>
    </row>
    <row r="401" spans="13:13" x14ac:dyDescent="0.25">
      <c r="M401" s="131"/>
    </row>
    <row r="402" spans="13:13" x14ac:dyDescent="0.25">
      <c r="M402" s="131"/>
    </row>
    <row r="403" spans="13:13" x14ac:dyDescent="0.25">
      <c r="M403" s="131"/>
    </row>
    <row r="404" spans="13:13" x14ac:dyDescent="0.25">
      <c r="M404" s="131"/>
    </row>
    <row r="405" spans="13:13" x14ac:dyDescent="0.25">
      <c r="M405" s="131"/>
    </row>
    <row r="406" spans="13:13" x14ac:dyDescent="0.25">
      <c r="M406" s="131"/>
    </row>
    <row r="407" spans="13:13" x14ac:dyDescent="0.25">
      <c r="M407" s="131"/>
    </row>
    <row r="408" spans="13:13" x14ac:dyDescent="0.25">
      <c r="M408" s="131"/>
    </row>
    <row r="409" spans="13:13" x14ac:dyDescent="0.25">
      <c r="M409" s="131"/>
    </row>
    <row r="410" spans="13:13" x14ac:dyDescent="0.25">
      <c r="M410" s="131"/>
    </row>
    <row r="411" spans="13:13" x14ac:dyDescent="0.25">
      <c r="M411" s="131"/>
    </row>
    <row r="412" spans="13:13" x14ac:dyDescent="0.25">
      <c r="M412" s="131"/>
    </row>
    <row r="413" spans="13:13" x14ac:dyDescent="0.25">
      <c r="M413" s="131"/>
    </row>
    <row r="414" spans="13:13" x14ac:dyDescent="0.25">
      <c r="M414" s="131"/>
    </row>
    <row r="415" spans="13:13" x14ac:dyDescent="0.25">
      <c r="M415" s="131"/>
    </row>
    <row r="416" spans="13:13" x14ac:dyDescent="0.25">
      <c r="M416" s="131"/>
    </row>
    <row r="417" spans="13:13" x14ac:dyDescent="0.25">
      <c r="M417" s="131"/>
    </row>
    <row r="418" spans="13:13" x14ac:dyDescent="0.25">
      <c r="M418" s="131"/>
    </row>
    <row r="419" spans="13:13" x14ac:dyDescent="0.25">
      <c r="M419" s="131"/>
    </row>
    <row r="420" spans="13:13" x14ac:dyDescent="0.25">
      <c r="M420" s="131"/>
    </row>
    <row r="421" spans="13:13" x14ac:dyDescent="0.25">
      <c r="M421" s="131"/>
    </row>
    <row r="422" spans="13:13" x14ac:dyDescent="0.25">
      <c r="M422" s="131"/>
    </row>
    <row r="423" spans="13:13" x14ac:dyDescent="0.25">
      <c r="M423" s="131"/>
    </row>
    <row r="424" spans="13:13" x14ac:dyDescent="0.25">
      <c r="M424" s="131"/>
    </row>
    <row r="425" spans="13:13" x14ac:dyDescent="0.25">
      <c r="M425" s="131"/>
    </row>
    <row r="426" spans="13:13" x14ac:dyDescent="0.25">
      <c r="M426" s="131"/>
    </row>
    <row r="427" spans="13:13" x14ac:dyDescent="0.25">
      <c r="M427" s="131"/>
    </row>
    <row r="428" spans="13:13" x14ac:dyDescent="0.25">
      <c r="M428" s="131"/>
    </row>
    <row r="429" spans="13:13" x14ac:dyDescent="0.25">
      <c r="M429" s="131"/>
    </row>
    <row r="430" spans="13:13" x14ac:dyDescent="0.25">
      <c r="M430" s="131"/>
    </row>
    <row r="431" spans="13:13" x14ac:dyDescent="0.25">
      <c r="M431" s="131"/>
    </row>
    <row r="432" spans="13:13" x14ac:dyDescent="0.25">
      <c r="M432" s="131"/>
    </row>
    <row r="433" spans="13:13" x14ac:dyDescent="0.25">
      <c r="M433" s="131"/>
    </row>
    <row r="434" spans="13:13" x14ac:dyDescent="0.25">
      <c r="M434" s="131"/>
    </row>
    <row r="435" spans="13:13" x14ac:dyDescent="0.25">
      <c r="M435" s="131"/>
    </row>
    <row r="436" spans="13:13" x14ac:dyDescent="0.25">
      <c r="M436" s="131"/>
    </row>
    <row r="437" spans="13:13" x14ac:dyDescent="0.25">
      <c r="M437" s="131"/>
    </row>
    <row r="438" spans="13:13" x14ac:dyDescent="0.25">
      <c r="M438" s="131"/>
    </row>
    <row r="439" spans="13:13" x14ac:dyDescent="0.25">
      <c r="M439" s="131"/>
    </row>
    <row r="440" spans="13:13" x14ac:dyDescent="0.25">
      <c r="M440" s="131"/>
    </row>
    <row r="441" spans="13:13" x14ac:dyDescent="0.25">
      <c r="M441" s="131"/>
    </row>
    <row r="442" spans="13:13" x14ac:dyDescent="0.25">
      <c r="M442" s="131"/>
    </row>
    <row r="443" spans="13:13" x14ac:dyDescent="0.25">
      <c r="M443" s="131"/>
    </row>
    <row r="444" spans="13:13" x14ac:dyDescent="0.25">
      <c r="M444" s="131"/>
    </row>
    <row r="445" spans="13:13" x14ac:dyDescent="0.25">
      <c r="M445" s="131"/>
    </row>
    <row r="446" spans="13:13" x14ac:dyDescent="0.25">
      <c r="M446" s="131"/>
    </row>
    <row r="447" spans="13:13" x14ac:dyDescent="0.25">
      <c r="M447" s="131"/>
    </row>
    <row r="448" spans="13:13" x14ac:dyDescent="0.25">
      <c r="M448" s="131"/>
    </row>
    <row r="449" spans="13:13" x14ac:dyDescent="0.25">
      <c r="M449" s="131"/>
    </row>
    <row r="450" spans="13:13" x14ac:dyDescent="0.25">
      <c r="M450" s="131"/>
    </row>
    <row r="451" spans="13:13" x14ac:dyDescent="0.25">
      <c r="M451" s="131"/>
    </row>
    <row r="452" spans="13:13" x14ac:dyDescent="0.25">
      <c r="M452" s="131"/>
    </row>
    <row r="453" spans="13:13" x14ac:dyDescent="0.25">
      <c r="M453" s="131"/>
    </row>
    <row r="454" spans="13:13" x14ac:dyDescent="0.25">
      <c r="M454" s="131"/>
    </row>
    <row r="455" spans="13:13" x14ac:dyDescent="0.25">
      <c r="M455" s="131"/>
    </row>
    <row r="456" spans="13:13" x14ac:dyDescent="0.25">
      <c r="M456" s="131"/>
    </row>
    <row r="457" spans="13:13" x14ac:dyDescent="0.25">
      <c r="M457" s="131"/>
    </row>
    <row r="458" spans="13:13" x14ac:dyDescent="0.25">
      <c r="M458" s="131"/>
    </row>
    <row r="459" spans="13:13" x14ac:dyDescent="0.25">
      <c r="M459" s="131"/>
    </row>
    <row r="460" spans="13:13" x14ac:dyDescent="0.25">
      <c r="M460" s="131"/>
    </row>
    <row r="461" spans="13:13" x14ac:dyDescent="0.25">
      <c r="M461" s="131"/>
    </row>
    <row r="462" spans="13:13" x14ac:dyDescent="0.25">
      <c r="M462" s="131"/>
    </row>
    <row r="463" spans="13:13" x14ac:dyDescent="0.25">
      <c r="M463" s="131"/>
    </row>
    <row r="464" spans="13:13" x14ac:dyDescent="0.25">
      <c r="M464" s="131"/>
    </row>
    <row r="465" spans="13:13" x14ac:dyDescent="0.25">
      <c r="M465" s="131"/>
    </row>
    <row r="466" spans="13:13" x14ac:dyDescent="0.25">
      <c r="M466" s="131"/>
    </row>
    <row r="467" spans="13:13" x14ac:dyDescent="0.25">
      <c r="M467" s="131"/>
    </row>
    <row r="468" spans="13:13" x14ac:dyDescent="0.25">
      <c r="M468" s="131"/>
    </row>
    <row r="469" spans="13:13" x14ac:dyDescent="0.25">
      <c r="M469" s="131"/>
    </row>
    <row r="470" spans="13:13" x14ac:dyDescent="0.25">
      <c r="M470" s="131"/>
    </row>
    <row r="471" spans="13:13" x14ac:dyDescent="0.25">
      <c r="M471" s="131"/>
    </row>
    <row r="472" spans="13:13" x14ac:dyDescent="0.25">
      <c r="M472" s="131"/>
    </row>
    <row r="473" spans="13:13" x14ac:dyDescent="0.25">
      <c r="M473" s="131"/>
    </row>
    <row r="474" spans="13:13" x14ac:dyDescent="0.25">
      <c r="M474" s="131"/>
    </row>
    <row r="475" spans="13:13" x14ac:dyDescent="0.25">
      <c r="M475" s="131"/>
    </row>
    <row r="476" spans="13:13" x14ac:dyDescent="0.25">
      <c r="M476" s="131"/>
    </row>
    <row r="477" spans="13:13" x14ac:dyDescent="0.25">
      <c r="M477" s="131"/>
    </row>
    <row r="478" spans="13:13" x14ac:dyDescent="0.25">
      <c r="M478" s="131"/>
    </row>
    <row r="479" spans="13:13" x14ac:dyDescent="0.25">
      <c r="M479" s="131"/>
    </row>
    <row r="480" spans="13:13" x14ac:dyDescent="0.25">
      <c r="M480" s="131"/>
    </row>
    <row r="481" spans="13:13" x14ac:dyDescent="0.25">
      <c r="M481" s="131"/>
    </row>
    <row r="482" spans="13:13" x14ac:dyDescent="0.25">
      <c r="M482" s="131"/>
    </row>
    <row r="483" spans="13:13" x14ac:dyDescent="0.25">
      <c r="M483" s="131"/>
    </row>
    <row r="484" spans="13:13" x14ac:dyDescent="0.25">
      <c r="M484" s="131"/>
    </row>
    <row r="485" spans="13:13" x14ac:dyDescent="0.25">
      <c r="M485" s="131"/>
    </row>
    <row r="486" spans="13:13" x14ac:dyDescent="0.25">
      <c r="M486" s="131"/>
    </row>
    <row r="487" spans="13:13" x14ac:dyDescent="0.25">
      <c r="M487" s="131"/>
    </row>
    <row r="488" spans="13:13" x14ac:dyDescent="0.25">
      <c r="M488" s="131"/>
    </row>
    <row r="489" spans="13:13" x14ac:dyDescent="0.25">
      <c r="M489" s="131"/>
    </row>
    <row r="490" spans="13:13" x14ac:dyDescent="0.25">
      <c r="M490" s="131"/>
    </row>
    <row r="491" spans="13:13" x14ac:dyDescent="0.25">
      <c r="M491" s="131"/>
    </row>
    <row r="492" spans="13:13" x14ac:dyDescent="0.25">
      <c r="M492" s="131"/>
    </row>
    <row r="493" spans="13:13" x14ac:dyDescent="0.25">
      <c r="M493" s="131"/>
    </row>
    <row r="494" spans="13:13" x14ac:dyDescent="0.25">
      <c r="M494" s="131"/>
    </row>
    <row r="495" spans="13:13" x14ac:dyDescent="0.25">
      <c r="M495" s="131"/>
    </row>
    <row r="496" spans="13:13" x14ac:dyDescent="0.25">
      <c r="M496" s="131"/>
    </row>
    <row r="497" spans="13:13" x14ac:dyDescent="0.25">
      <c r="M497" s="131"/>
    </row>
    <row r="498" spans="13:13" x14ac:dyDescent="0.25">
      <c r="M498" s="131"/>
    </row>
    <row r="499" spans="13:13" x14ac:dyDescent="0.25">
      <c r="M499" s="131"/>
    </row>
    <row r="500" spans="13:13" x14ac:dyDescent="0.25">
      <c r="M500" s="131"/>
    </row>
    <row r="501" spans="13:13" x14ac:dyDescent="0.25">
      <c r="M501" s="131"/>
    </row>
    <row r="502" spans="13:13" x14ac:dyDescent="0.25">
      <c r="M502" s="131"/>
    </row>
    <row r="503" spans="13:13" x14ac:dyDescent="0.25">
      <c r="M503" s="131"/>
    </row>
    <row r="504" spans="13:13" x14ac:dyDescent="0.25">
      <c r="M504" s="131"/>
    </row>
    <row r="505" spans="13:13" x14ac:dyDescent="0.25">
      <c r="M505" s="131"/>
    </row>
    <row r="506" spans="13:13" x14ac:dyDescent="0.25">
      <c r="M506" s="131"/>
    </row>
    <row r="507" spans="13:13" x14ac:dyDescent="0.25">
      <c r="M507" s="131"/>
    </row>
    <row r="508" spans="13:13" x14ac:dyDescent="0.25">
      <c r="M508" s="131"/>
    </row>
    <row r="509" spans="13:13" x14ac:dyDescent="0.25">
      <c r="M509" s="131"/>
    </row>
    <row r="510" spans="13:13" x14ac:dyDescent="0.25">
      <c r="M510" s="131"/>
    </row>
    <row r="511" spans="13:13" x14ac:dyDescent="0.25">
      <c r="M511" s="131"/>
    </row>
    <row r="512" spans="13:13" x14ac:dyDescent="0.25">
      <c r="M512" s="131"/>
    </row>
    <row r="513" spans="13:13" x14ac:dyDescent="0.25">
      <c r="M513" s="131"/>
    </row>
    <row r="514" spans="13:13" x14ac:dyDescent="0.25">
      <c r="M514" s="131"/>
    </row>
    <row r="515" spans="13:13" x14ac:dyDescent="0.25">
      <c r="M515" s="131"/>
    </row>
    <row r="516" spans="13:13" x14ac:dyDescent="0.25">
      <c r="M516" s="131"/>
    </row>
    <row r="517" spans="13:13" x14ac:dyDescent="0.25">
      <c r="M517" s="131"/>
    </row>
    <row r="518" spans="13:13" x14ac:dyDescent="0.25">
      <c r="M518" s="131"/>
    </row>
    <row r="519" spans="13:13" x14ac:dyDescent="0.25">
      <c r="M519" s="131"/>
    </row>
    <row r="520" spans="13:13" x14ac:dyDescent="0.25">
      <c r="M520" s="131"/>
    </row>
    <row r="521" spans="13:13" x14ac:dyDescent="0.25">
      <c r="M521" s="131"/>
    </row>
    <row r="522" spans="13:13" x14ac:dyDescent="0.25">
      <c r="M522" s="131"/>
    </row>
    <row r="523" spans="13:13" x14ac:dyDescent="0.25">
      <c r="M523" s="131"/>
    </row>
    <row r="524" spans="13:13" x14ac:dyDescent="0.25">
      <c r="M524" s="131"/>
    </row>
    <row r="525" spans="13:13" x14ac:dyDescent="0.25">
      <c r="M525" s="131"/>
    </row>
    <row r="526" spans="13:13" x14ac:dyDescent="0.25">
      <c r="M526" s="131"/>
    </row>
    <row r="527" spans="13:13" x14ac:dyDescent="0.25">
      <c r="M527" s="131"/>
    </row>
    <row r="528" spans="13:13" x14ac:dyDescent="0.25">
      <c r="M528" s="131"/>
    </row>
    <row r="529" spans="13:13" x14ac:dyDescent="0.25">
      <c r="M529" s="131"/>
    </row>
    <row r="530" spans="13:13" x14ac:dyDescent="0.25">
      <c r="M530" s="131"/>
    </row>
    <row r="531" spans="13:13" x14ac:dyDescent="0.25">
      <c r="M531" s="131"/>
    </row>
    <row r="532" spans="13:13" x14ac:dyDescent="0.25">
      <c r="M532" s="131"/>
    </row>
    <row r="533" spans="13:13" x14ac:dyDescent="0.25">
      <c r="M533" s="131"/>
    </row>
    <row r="534" spans="13:13" x14ac:dyDescent="0.25">
      <c r="M534" s="131"/>
    </row>
    <row r="535" spans="13:13" x14ac:dyDescent="0.25">
      <c r="M535" s="131"/>
    </row>
    <row r="536" spans="13:13" x14ac:dyDescent="0.25">
      <c r="M536" s="131"/>
    </row>
    <row r="537" spans="13:13" x14ac:dyDescent="0.25">
      <c r="M537" s="131"/>
    </row>
    <row r="538" spans="13:13" x14ac:dyDescent="0.25">
      <c r="M538" s="131"/>
    </row>
    <row r="539" spans="13:13" x14ac:dyDescent="0.25">
      <c r="M539" s="131"/>
    </row>
    <row r="540" spans="13:13" x14ac:dyDescent="0.25">
      <c r="M540" s="131"/>
    </row>
    <row r="541" spans="13:13" x14ac:dyDescent="0.25">
      <c r="M541" s="131"/>
    </row>
    <row r="542" spans="13:13" x14ac:dyDescent="0.25">
      <c r="M542" s="131"/>
    </row>
    <row r="543" spans="13:13" x14ac:dyDescent="0.25">
      <c r="M543" s="131"/>
    </row>
    <row r="544" spans="13:13" x14ac:dyDescent="0.25">
      <c r="M544" s="131"/>
    </row>
    <row r="545" spans="13:13" x14ac:dyDescent="0.25">
      <c r="M545" s="131"/>
    </row>
    <row r="546" spans="13:13" x14ac:dyDescent="0.25">
      <c r="M546" s="131"/>
    </row>
    <row r="547" spans="13:13" x14ac:dyDescent="0.25">
      <c r="M547" s="131"/>
    </row>
    <row r="548" spans="13:13" x14ac:dyDescent="0.25">
      <c r="M548" s="131"/>
    </row>
    <row r="549" spans="13:13" x14ac:dyDescent="0.25">
      <c r="M549" s="131"/>
    </row>
    <row r="550" spans="13:13" x14ac:dyDescent="0.25">
      <c r="M550" s="131"/>
    </row>
    <row r="551" spans="13:13" x14ac:dyDescent="0.25">
      <c r="M551" s="131"/>
    </row>
    <row r="552" spans="13:13" x14ac:dyDescent="0.25">
      <c r="M552" s="131"/>
    </row>
    <row r="553" spans="13:13" x14ac:dyDescent="0.25">
      <c r="M553" s="131"/>
    </row>
    <row r="554" spans="13:13" x14ac:dyDescent="0.25">
      <c r="M554" s="131"/>
    </row>
    <row r="555" spans="13:13" x14ac:dyDescent="0.25">
      <c r="M555" s="131"/>
    </row>
    <row r="556" spans="13:13" x14ac:dyDescent="0.25">
      <c r="M556" s="131"/>
    </row>
    <row r="557" spans="13:13" x14ac:dyDescent="0.25">
      <c r="M557" s="131"/>
    </row>
    <row r="558" spans="13:13" x14ac:dyDescent="0.25">
      <c r="M558" s="131"/>
    </row>
    <row r="559" spans="13:13" x14ac:dyDescent="0.25">
      <c r="M559" s="131"/>
    </row>
    <row r="560" spans="13:13" x14ac:dyDescent="0.25">
      <c r="M560" s="131"/>
    </row>
    <row r="561" spans="13:13" x14ac:dyDescent="0.25">
      <c r="M561" s="131"/>
    </row>
    <row r="562" spans="13:13" x14ac:dyDescent="0.25">
      <c r="M562" s="131"/>
    </row>
    <row r="563" spans="13:13" x14ac:dyDescent="0.25">
      <c r="M563" s="131"/>
    </row>
    <row r="564" spans="13:13" x14ac:dyDescent="0.25">
      <c r="M564" s="131"/>
    </row>
    <row r="565" spans="13:13" x14ac:dyDescent="0.25">
      <c r="M565" s="131"/>
    </row>
    <row r="566" spans="13:13" x14ac:dyDescent="0.25">
      <c r="M566" s="131"/>
    </row>
    <row r="567" spans="13:13" x14ac:dyDescent="0.25">
      <c r="M567" s="131"/>
    </row>
    <row r="568" spans="13:13" x14ac:dyDescent="0.25">
      <c r="M568" s="131"/>
    </row>
    <row r="569" spans="13:13" x14ac:dyDescent="0.25">
      <c r="M569" s="131"/>
    </row>
    <row r="570" spans="13:13" x14ac:dyDescent="0.25">
      <c r="M570" s="131"/>
    </row>
    <row r="571" spans="13:13" x14ac:dyDescent="0.25">
      <c r="M571" s="131"/>
    </row>
    <row r="572" spans="13:13" x14ac:dyDescent="0.25">
      <c r="M572" s="131"/>
    </row>
    <row r="573" spans="13:13" x14ac:dyDescent="0.25">
      <c r="M573" s="131"/>
    </row>
    <row r="574" spans="13:13" x14ac:dyDescent="0.25">
      <c r="M574" s="131"/>
    </row>
    <row r="575" spans="13:13" x14ac:dyDescent="0.25">
      <c r="M575" s="131"/>
    </row>
    <row r="576" spans="13:13" x14ac:dyDescent="0.25">
      <c r="M576" s="131"/>
    </row>
    <row r="577" spans="13:13" x14ac:dyDescent="0.25">
      <c r="M577" s="131"/>
    </row>
    <row r="578" spans="13:13" x14ac:dyDescent="0.25">
      <c r="M578" s="131"/>
    </row>
    <row r="579" spans="13:13" x14ac:dyDescent="0.25">
      <c r="M579" s="131"/>
    </row>
    <row r="580" spans="13:13" x14ac:dyDescent="0.25">
      <c r="M580" s="131"/>
    </row>
    <row r="581" spans="13:13" x14ac:dyDescent="0.25">
      <c r="M581" s="131"/>
    </row>
    <row r="582" spans="13:13" x14ac:dyDescent="0.25">
      <c r="M582" s="131"/>
    </row>
    <row r="583" spans="13:13" x14ac:dyDescent="0.25">
      <c r="M583" s="131"/>
    </row>
    <row r="584" spans="13:13" x14ac:dyDescent="0.25">
      <c r="M584" s="131"/>
    </row>
    <row r="585" spans="13:13" x14ac:dyDescent="0.25">
      <c r="M585" s="131"/>
    </row>
    <row r="586" spans="13:13" x14ac:dyDescent="0.25">
      <c r="M586" s="131"/>
    </row>
    <row r="587" spans="13:13" x14ac:dyDescent="0.25">
      <c r="M587" s="131"/>
    </row>
    <row r="588" spans="13:13" x14ac:dyDescent="0.25">
      <c r="M588" s="131"/>
    </row>
    <row r="589" spans="13:13" x14ac:dyDescent="0.25">
      <c r="M589" s="131"/>
    </row>
    <row r="590" spans="13:13" x14ac:dyDescent="0.25">
      <c r="M590" s="131"/>
    </row>
    <row r="591" spans="13:13" x14ac:dyDescent="0.25">
      <c r="M591" s="131"/>
    </row>
    <row r="592" spans="13:13" x14ac:dyDescent="0.25">
      <c r="M592" s="131"/>
    </row>
    <row r="593" spans="13:13" x14ac:dyDescent="0.25">
      <c r="M593" s="131"/>
    </row>
    <row r="594" spans="13:13" x14ac:dyDescent="0.25">
      <c r="M594" s="131"/>
    </row>
    <row r="595" spans="13:13" x14ac:dyDescent="0.25">
      <c r="M595" s="131"/>
    </row>
    <row r="596" spans="13:13" x14ac:dyDescent="0.25">
      <c r="M596" s="131"/>
    </row>
    <row r="597" spans="13:13" x14ac:dyDescent="0.25">
      <c r="M597" s="131"/>
    </row>
    <row r="598" spans="13:13" x14ac:dyDescent="0.25">
      <c r="M598" s="131"/>
    </row>
    <row r="599" spans="13:13" x14ac:dyDescent="0.25">
      <c r="M599" s="131"/>
    </row>
    <row r="600" spans="13:13" x14ac:dyDescent="0.25">
      <c r="M600" s="131"/>
    </row>
    <row r="601" spans="13:13" x14ac:dyDescent="0.25">
      <c r="M601" s="131"/>
    </row>
    <row r="602" spans="13:13" x14ac:dyDescent="0.25">
      <c r="M602" s="131"/>
    </row>
    <row r="603" spans="13:13" x14ac:dyDescent="0.25">
      <c r="M603" s="131"/>
    </row>
    <row r="604" spans="13:13" x14ac:dyDescent="0.25">
      <c r="M604" s="131"/>
    </row>
    <row r="605" spans="13:13" x14ac:dyDescent="0.25">
      <c r="M605" s="131"/>
    </row>
    <row r="606" spans="13:13" x14ac:dyDescent="0.25">
      <c r="M606" s="131"/>
    </row>
    <row r="607" spans="13:13" x14ac:dyDescent="0.25">
      <c r="M607" s="131"/>
    </row>
    <row r="608" spans="13:13" x14ac:dyDescent="0.25">
      <c r="M608" s="131"/>
    </row>
    <row r="609" spans="13:13" x14ac:dyDescent="0.25">
      <c r="M609" s="131"/>
    </row>
    <row r="610" spans="13:13" x14ac:dyDescent="0.25">
      <c r="M610" s="131"/>
    </row>
    <row r="611" spans="13:13" x14ac:dyDescent="0.25">
      <c r="M611" s="131"/>
    </row>
    <row r="612" spans="13:13" x14ac:dyDescent="0.25">
      <c r="M612" s="131"/>
    </row>
    <row r="613" spans="13:13" x14ac:dyDescent="0.25">
      <c r="M613" s="131"/>
    </row>
    <row r="614" spans="13:13" x14ac:dyDescent="0.25">
      <c r="M614" s="131"/>
    </row>
    <row r="615" spans="13:13" x14ac:dyDescent="0.25">
      <c r="M615" s="131"/>
    </row>
    <row r="616" spans="13:13" x14ac:dyDescent="0.25">
      <c r="M616" s="131"/>
    </row>
    <row r="617" spans="13:13" x14ac:dyDescent="0.25">
      <c r="M617" s="131"/>
    </row>
    <row r="618" spans="13:13" x14ac:dyDescent="0.25">
      <c r="M618" s="131"/>
    </row>
    <row r="619" spans="13:13" x14ac:dyDescent="0.25">
      <c r="M619" s="131"/>
    </row>
    <row r="620" spans="13:13" x14ac:dyDescent="0.25">
      <c r="M620" s="131"/>
    </row>
    <row r="621" spans="13:13" x14ac:dyDescent="0.25">
      <c r="M621" s="131"/>
    </row>
    <row r="622" spans="13:13" x14ac:dyDescent="0.25">
      <c r="M622" s="131"/>
    </row>
    <row r="623" spans="13:13" x14ac:dyDescent="0.25">
      <c r="M623" s="131"/>
    </row>
    <row r="624" spans="13:13" x14ac:dyDescent="0.25">
      <c r="M624" s="131"/>
    </row>
    <row r="625" spans="13:13" x14ac:dyDescent="0.25">
      <c r="M625" s="131"/>
    </row>
    <row r="626" spans="13:13" x14ac:dyDescent="0.25">
      <c r="M626" s="131"/>
    </row>
    <row r="627" spans="13:13" x14ac:dyDescent="0.25">
      <c r="M627" s="131"/>
    </row>
    <row r="628" spans="13:13" x14ac:dyDescent="0.25">
      <c r="M628" s="131"/>
    </row>
    <row r="629" spans="13:13" x14ac:dyDescent="0.25">
      <c r="M629" s="131"/>
    </row>
    <row r="630" spans="13:13" x14ac:dyDescent="0.25">
      <c r="M630" s="131"/>
    </row>
    <row r="631" spans="13:13" x14ac:dyDescent="0.25">
      <c r="M631" s="131"/>
    </row>
    <row r="632" spans="13:13" x14ac:dyDescent="0.25">
      <c r="M632" s="131"/>
    </row>
    <row r="633" spans="13:13" x14ac:dyDescent="0.25">
      <c r="M633" s="131"/>
    </row>
    <row r="634" spans="13:13" x14ac:dyDescent="0.25">
      <c r="M634" s="131"/>
    </row>
    <row r="635" spans="13:13" x14ac:dyDescent="0.25">
      <c r="M635" s="131"/>
    </row>
    <row r="636" spans="13:13" x14ac:dyDescent="0.25">
      <c r="M636" s="131"/>
    </row>
    <row r="637" spans="13:13" x14ac:dyDescent="0.25">
      <c r="M637" s="131"/>
    </row>
    <row r="638" spans="13:13" x14ac:dyDescent="0.25">
      <c r="M638" s="131"/>
    </row>
    <row r="639" spans="13:13" x14ac:dyDescent="0.25">
      <c r="M639" s="131"/>
    </row>
    <row r="640" spans="13:13" x14ac:dyDescent="0.25">
      <c r="M640" s="131"/>
    </row>
    <row r="641" spans="13:13" x14ac:dyDescent="0.25">
      <c r="M641" s="131"/>
    </row>
    <row r="642" spans="13:13" x14ac:dyDescent="0.25">
      <c r="M642" s="131"/>
    </row>
    <row r="643" spans="13:13" x14ac:dyDescent="0.25">
      <c r="M643" s="131"/>
    </row>
    <row r="644" spans="13:13" x14ac:dyDescent="0.25">
      <c r="M644" s="131"/>
    </row>
    <row r="645" spans="13:13" x14ac:dyDescent="0.25">
      <c r="M645" s="131"/>
    </row>
    <row r="646" spans="13:13" x14ac:dyDescent="0.25">
      <c r="M646" s="131"/>
    </row>
    <row r="647" spans="13:13" x14ac:dyDescent="0.25">
      <c r="M647" s="131"/>
    </row>
    <row r="648" spans="13:13" x14ac:dyDescent="0.25">
      <c r="M648" s="131"/>
    </row>
    <row r="649" spans="13:13" x14ac:dyDescent="0.25">
      <c r="M649" s="131"/>
    </row>
    <row r="650" spans="13:13" x14ac:dyDescent="0.25">
      <c r="M650" s="131"/>
    </row>
    <row r="651" spans="13:13" x14ac:dyDescent="0.25">
      <c r="M651" s="131"/>
    </row>
    <row r="652" spans="13:13" x14ac:dyDescent="0.25">
      <c r="M652" s="131"/>
    </row>
    <row r="653" spans="13:13" x14ac:dyDescent="0.25">
      <c r="M653" s="131"/>
    </row>
    <row r="654" spans="13:13" x14ac:dyDescent="0.25">
      <c r="M654" s="131"/>
    </row>
    <row r="655" spans="13:13" x14ac:dyDescent="0.25">
      <c r="M655" s="131"/>
    </row>
    <row r="656" spans="13:13" x14ac:dyDescent="0.25">
      <c r="M656" s="131"/>
    </row>
    <row r="657" spans="13:13" x14ac:dyDescent="0.25">
      <c r="M657" s="131"/>
    </row>
    <row r="658" spans="13:13" x14ac:dyDescent="0.25">
      <c r="M658" s="131"/>
    </row>
    <row r="659" spans="13:13" x14ac:dyDescent="0.25">
      <c r="M659" s="131"/>
    </row>
    <row r="660" spans="13:13" x14ac:dyDescent="0.25">
      <c r="M660" s="131"/>
    </row>
    <row r="661" spans="13:13" x14ac:dyDescent="0.25">
      <c r="M661" s="131"/>
    </row>
    <row r="662" spans="13:13" x14ac:dyDescent="0.25">
      <c r="M662" s="131"/>
    </row>
    <row r="663" spans="13:13" x14ac:dyDescent="0.25">
      <c r="M663" s="131"/>
    </row>
    <row r="664" spans="13:13" x14ac:dyDescent="0.25">
      <c r="M664" s="131"/>
    </row>
    <row r="665" spans="13:13" x14ac:dyDescent="0.25">
      <c r="M665" s="131"/>
    </row>
    <row r="666" spans="13:13" x14ac:dyDescent="0.25">
      <c r="M666" s="131"/>
    </row>
    <row r="667" spans="13:13" x14ac:dyDescent="0.25">
      <c r="M667" s="131"/>
    </row>
    <row r="668" spans="13:13" x14ac:dyDescent="0.25">
      <c r="M668" s="131"/>
    </row>
    <row r="669" spans="13:13" x14ac:dyDescent="0.25">
      <c r="M669" s="131"/>
    </row>
    <row r="670" spans="13:13" x14ac:dyDescent="0.25">
      <c r="M670" s="131"/>
    </row>
    <row r="671" spans="13:13" x14ac:dyDescent="0.25">
      <c r="M671" s="131"/>
    </row>
    <row r="672" spans="13:13" x14ac:dyDescent="0.25">
      <c r="M672" s="131"/>
    </row>
    <row r="673" spans="13:13" x14ac:dyDescent="0.25">
      <c r="M673" s="131"/>
    </row>
    <row r="674" spans="13:13" x14ac:dyDescent="0.25">
      <c r="M674" s="131"/>
    </row>
    <row r="675" spans="13:13" x14ac:dyDescent="0.25">
      <c r="M675" s="131"/>
    </row>
    <row r="676" spans="13:13" x14ac:dyDescent="0.25">
      <c r="M676" s="131"/>
    </row>
    <row r="677" spans="13:13" x14ac:dyDescent="0.25">
      <c r="M677" s="131"/>
    </row>
    <row r="678" spans="13:13" x14ac:dyDescent="0.25">
      <c r="M678" s="131"/>
    </row>
    <row r="679" spans="13:13" x14ac:dyDescent="0.25">
      <c r="M679" s="131"/>
    </row>
    <row r="680" spans="13:13" x14ac:dyDescent="0.25">
      <c r="M680" s="131"/>
    </row>
    <row r="681" spans="13:13" x14ac:dyDescent="0.25">
      <c r="M681" s="131"/>
    </row>
    <row r="682" spans="13:13" x14ac:dyDescent="0.25">
      <c r="M682" s="131"/>
    </row>
    <row r="683" spans="13:13" x14ac:dyDescent="0.25">
      <c r="M683" s="131"/>
    </row>
    <row r="684" spans="13:13" x14ac:dyDescent="0.25">
      <c r="M684" s="131"/>
    </row>
    <row r="685" spans="13:13" x14ac:dyDescent="0.25">
      <c r="M685" s="131"/>
    </row>
    <row r="686" spans="13:13" x14ac:dyDescent="0.25">
      <c r="M686" s="131"/>
    </row>
    <row r="687" spans="13:13" x14ac:dyDescent="0.25">
      <c r="M687" s="131"/>
    </row>
    <row r="688" spans="13:13" x14ac:dyDescent="0.25">
      <c r="M688" s="131"/>
    </row>
    <row r="689" spans="13:13" x14ac:dyDescent="0.25">
      <c r="M689" s="131"/>
    </row>
    <row r="690" spans="13:13" x14ac:dyDescent="0.25">
      <c r="M690" s="131"/>
    </row>
    <row r="691" spans="13:13" x14ac:dyDescent="0.25">
      <c r="M691" s="131"/>
    </row>
    <row r="692" spans="13:13" x14ac:dyDescent="0.25">
      <c r="M692" s="131"/>
    </row>
    <row r="693" spans="13:13" x14ac:dyDescent="0.25">
      <c r="M693" s="131"/>
    </row>
    <row r="694" spans="13:13" x14ac:dyDescent="0.25">
      <c r="M694" s="131"/>
    </row>
    <row r="695" spans="13:13" x14ac:dyDescent="0.25">
      <c r="M695" s="131"/>
    </row>
    <row r="696" spans="13:13" x14ac:dyDescent="0.25">
      <c r="M696" s="131"/>
    </row>
    <row r="697" spans="13:13" x14ac:dyDescent="0.25">
      <c r="M697" s="131"/>
    </row>
    <row r="698" spans="13:13" x14ac:dyDescent="0.25">
      <c r="M698" s="131"/>
    </row>
    <row r="699" spans="13:13" x14ac:dyDescent="0.25">
      <c r="M699" s="131"/>
    </row>
    <row r="700" spans="13:13" x14ac:dyDescent="0.25">
      <c r="M700" s="131"/>
    </row>
    <row r="701" spans="13:13" x14ac:dyDescent="0.25">
      <c r="M701" s="131"/>
    </row>
    <row r="702" spans="13:13" x14ac:dyDescent="0.25">
      <c r="M702" s="131"/>
    </row>
    <row r="703" spans="13:13" x14ac:dyDescent="0.25">
      <c r="M703" s="131"/>
    </row>
    <row r="704" spans="13:13" x14ac:dyDescent="0.25">
      <c r="M704" s="131"/>
    </row>
    <row r="705" spans="13:13" x14ac:dyDescent="0.25">
      <c r="M705" s="131"/>
    </row>
    <row r="706" spans="13:13" x14ac:dyDescent="0.25">
      <c r="M706" s="131"/>
    </row>
    <row r="707" spans="13:13" x14ac:dyDescent="0.25">
      <c r="M707" s="131"/>
    </row>
    <row r="708" spans="13:13" x14ac:dyDescent="0.25">
      <c r="M708" s="131"/>
    </row>
    <row r="709" spans="13:13" x14ac:dyDescent="0.25">
      <c r="M709" s="131"/>
    </row>
    <row r="710" spans="13:13" x14ac:dyDescent="0.25">
      <c r="M710" s="131"/>
    </row>
    <row r="711" spans="13:13" x14ac:dyDescent="0.25">
      <c r="M711" s="131"/>
    </row>
    <row r="712" spans="13:13" x14ac:dyDescent="0.25">
      <c r="M712" s="131"/>
    </row>
    <row r="713" spans="13:13" x14ac:dyDescent="0.25">
      <c r="M713" s="131"/>
    </row>
    <row r="714" spans="13:13" x14ac:dyDescent="0.25">
      <c r="M714" s="131"/>
    </row>
    <row r="715" spans="13:13" x14ac:dyDescent="0.25">
      <c r="M715" s="131"/>
    </row>
    <row r="716" spans="13:13" x14ac:dyDescent="0.25">
      <c r="M716" s="131"/>
    </row>
    <row r="717" spans="13:13" x14ac:dyDescent="0.25">
      <c r="M717" s="131"/>
    </row>
    <row r="718" spans="13:13" x14ac:dyDescent="0.25">
      <c r="M718" s="131"/>
    </row>
    <row r="719" spans="13:13" x14ac:dyDescent="0.25">
      <c r="M719" s="131"/>
    </row>
    <row r="720" spans="13:13" x14ac:dyDescent="0.25">
      <c r="M720" s="131"/>
    </row>
    <row r="721" spans="13:13" x14ac:dyDescent="0.25">
      <c r="M721" s="131"/>
    </row>
    <row r="722" spans="13:13" x14ac:dyDescent="0.25">
      <c r="M722" s="131"/>
    </row>
    <row r="723" spans="13:13" x14ac:dyDescent="0.25">
      <c r="M723" s="131"/>
    </row>
    <row r="724" spans="13:13" x14ac:dyDescent="0.25">
      <c r="M724" s="131"/>
    </row>
    <row r="725" spans="13:13" x14ac:dyDescent="0.25">
      <c r="M725" s="131"/>
    </row>
    <row r="726" spans="13:13" x14ac:dyDescent="0.25">
      <c r="M726" s="131"/>
    </row>
    <row r="727" spans="13:13" x14ac:dyDescent="0.25">
      <c r="M727" s="131"/>
    </row>
    <row r="728" spans="13:13" x14ac:dyDescent="0.25">
      <c r="M728" s="131"/>
    </row>
    <row r="729" spans="13:13" x14ac:dyDescent="0.25">
      <c r="M729" s="131"/>
    </row>
    <row r="730" spans="13:13" x14ac:dyDescent="0.25">
      <c r="M730" s="131"/>
    </row>
    <row r="731" spans="13:13" x14ac:dyDescent="0.25">
      <c r="M731" s="131"/>
    </row>
    <row r="732" spans="13:13" x14ac:dyDescent="0.25">
      <c r="M732" s="131"/>
    </row>
    <row r="733" spans="13:13" x14ac:dyDescent="0.25">
      <c r="M733" s="131"/>
    </row>
    <row r="734" spans="13:13" x14ac:dyDescent="0.25">
      <c r="M734" s="131"/>
    </row>
    <row r="735" spans="13:13" x14ac:dyDescent="0.25">
      <c r="M735" s="131"/>
    </row>
    <row r="736" spans="13:13" x14ac:dyDescent="0.25">
      <c r="M736" s="131"/>
    </row>
    <row r="737" spans="13:13" x14ac:dyDescent="0.25">
      <c r="M737" s="131"/>
    </row>
    <row r="738" spans="13:13" x14ac:dyDescent="0.25">
      <c r="M738" s="131"/>
    </row>
    <row r="739" spans="13:13" x14ac:dyDescent="0.25">
      <c r="M739" s="131"/>
    </row>
    <row r="740" spans="13:13" x14ac:dyDescent="0.25">
      <c r="M740" s="131"/>
    </row>
    <row r="741" spans="13:13" x14ac:dyDescent="0.25">
      <c r="M741" s="131"/>
    </row>
    <row r="742" spans="13:13" x14ac:dyDescent="0.25">
      <c r="M742" s="131"/>
    </row>
    <row r="743" spans="13:13" x14ac:dyDescent="0.25">
      <c r="M743" s="131"/>
    </row>
    <row r="744" spans="13:13" x14ac:dyDescent="0.25">
      <c r="M744" s="131"/>
    </row>
    <row r="745" spans="13:13" x14ac:dyDescent="0.25">
      <c r="M745" s="131"/>
    </row>
    <row r="746" spans="13:13" x14ac:dyDescent="0.25">
      <c r="M746" s="131"/>
    </row>
    <row r="747" spans="13:13" x14ac:dyDescent="0.25">
      <c r="M747" s="131"/>
    </row>
    <row r="748" spans="13:13" x14ac:dyDescent="0.25">
      <c r="M748" s="131"/>
    </row>
    <row r="749" spans="13:13" x14ac:dyDescent="0.25">
      <c r="M749" s="131"/>
    </row>
    <row r="750" spans="13:13" x14ac:dyDescent="0.25">
      <c r="M750" s="131"/>
    </row>
    <row r="751" spans="13:13" x14ac:dyDescent="0.25">
      <c r="M751" s="131"/>
    </row>
    <row r="752" spans="13:13" x14ac:dyDescent="0.25">
      <c r="M752" s="131"/>
    </row>
    <row r="753" spans="13:13" x14ac:dyDescent="0.25">
      <c r="M753" s="131"/>
    </row>
    <row r="754" spans="13:13" x14ac:dyDescent="0.25">
      <c r="M754" s="131"/>
    </row>
    <row r="755" spans="13:13" x14ac:dyDescent="0.25">
      <c r="M755" s="131"/>
    </row>
    <row r="756" spans="13:13" x14ac:dyDescent="0.25">
      <c r="M756" s="131"/>
    </row>
    <row r="757" spans="13:13" x14ac:dyDescent="0.25">
      <c r="M757" s="131"/>
    </row>
    <row r="758" spans="13:13" x14ac:dyDescent="0.25">
      <c r="M758" s="131"/>
    </row>
    <row r="759" spans="13:13" x14ac:dyDescent="0.25">
      <c r="M759" s="131"/>
    </row>
    <row r="760" spans="13:13" x14ac:dyDescent="0.25">
      <c r="M760" s="131"/>
    </row>
    <row r="761" spans="13:13" x14ac:dyDescent="0.25">
      <c r="M761" s="131"/>
    </row>
    <row r="762" spans="13:13" x14ac:dyDescent="0.25">
      <c r="M762" s="131"/>
    </row>
    <row r="763" spans="13:13" x14ac:dyDescent="0.25">
      <c r="M763" s="131"/>
    </row>
    <row r="764" spans="13:13" x14ac:dyDescent="0.25">
      <c r="M764" s="131"/>
    </row>
    <row r="765" spans="13:13" x14ac:dyDescent="0.25">
      <c r="M765" s="131"/>
    </row>
    <row r="766" spans="13:13" x14ac:dyDescent="0.25">
      <c r="M766" s="131"/>
    </row>
    <row r="767" spans="13:13" x14ac:dyDescent="0.25">
      <c r="M767" s="131"/>
    </row>
    <row r="768" spans="13:13" x14ac:dyDescent="0.25">
      <c r="M768" s="131"/>
    </row>
    <row r="769" spans="13:13" x14ac:dyDescent="0.25">
      <c r="M769" s="131"/>
    </row>
    <row r="770" spans="13:13" x14ac:dyDescent="0.25">
      <c r="M770" s="131"/>
    </row>
    <row r="771" spans="13:13" x14ac:dyDescent="0.25">
      <c r="M771" s="131"/>
    </row>
    <row r="772" spans="13:13" x14ac:dyDescent="0.25">
      <c r="M772" s="131"/>
    </row>
    <row r="773" spans="13:13" x14ac:dyDescent="0.25">
      <c r="M773" s="131"/>
    </row>
    <row r="774" spans="13:13" x14ac:dyDescent="0.25">
      <c r="M774" s="131"/>
    </row>
    <row r="775" spans="13:13" x14ac:dyDescent="0.25">
      <c r="M775" s="131"/>
    </row>
    <row r="776" spans="13:13" x14ac:dyDescent="0.25">
      <c r="M776" s="131"/>
    </row>
    <row r="777" spans="13:13" x14ac:dyDescent="0.25">
      <c r="M777" s="131"/>
    </row>
    <row r="778" spans="13:13" x14ac:dyDescent="0.25">
      <c r="M778" s="131"/>
    </row>
    <row r="779" spans="13:13" x14ac:dyDescent="0.25">
      <c r="M779" s="131"/>
    </row>
    <row r="780" spans="13:13" x14ac:dyDescent="0.25">
      <c r="M780" s="131"/>
    </row>
    <row r="781" spans="13:13" x14ac:dyDescent="0.25">
      <c r="M781" s="131"/>
    </row>
    <row r="782" spans="13:13" x14ac:dyDescent="0.25">
      <c r="M782" s="131"/>
    </row>
    <row r="783" spans="13:13" x14ac:dyDescent="0.25">
      <c r="M783" s="131"/>
    </row>
    <row r="784" spans="13:13" x14ac:dyDescent="0.25">
      <c r="M784" s="131"/>
    </row>
    <row r="785" spans="13:13" x14ac:dyDescent="0.25">
      <c r="M785" s="131"/>
    </row>
    <row r="786" spans="13:13" x14ac:dyDescent="0.25">
      <c r="M786" s="131"/>
    </row>
    <row r="787" spans="13:13" x14ac:dyDescent="0.25">
      <c r="M787" s="131"/>
    </row>
    <row r="788" spans="13:13" x14ac:dyDescent="0.25">
      <c r="M788" s="131"/>
    </row>
    <row r="789" spans="13:13" x14ac:dyDescent="0.25">
      <c r="M789" s="131"/>
    </row>
    <row r="790" spans="13:13" x14ac:dyDescent="0.25">
      <c r="M790" s="131"/>
    </row>
    <row r="791" spans="13:13" x14ac:dyDescent="0.25">
      <c r="M791" s="131"/>
    </row>
    <row r="792" spans="13:13" x14ac:dyDescent="0.25">
      <c r="M792" s="131"/>
    </row>
    <row r="793" spans="13:13" x14ac:dyDescent="0.25">
      <c r="M793" s="131"/>
    </row>
    <row r="794" spans="13:13" x14ac:dyDescent="0.25">
      <c r="M794" s="131"/>
    </row>
    <row r="795" spans="13:13" x14ac:dyDescent="0.25">
      <c r="M795" s="131"/>
    </row>
    <row r="796" spans="13:13" x14ac:dyDescent="0.25">
      <c r="M796" s="131"/>
    </row>
    <row r="797" spans="13:13" x14ac:dyDescent="0.25">
      <c r="M797" s="131"/>
    </row>
    <row r="798" spans="13:13" x14ac:dyDescent="0.25">
      <c r="M798" s="131"/>
    </row>
    <row r="799" spans="13:13" x14ac:dyDescent="0.25">
      <c r="M799" s="131"/>
    </row>
    <row r="800" spans="13:13" x14ac:dyDescent="0.25">
      <c r="M800" s="131"/>
    </row>
    <row r="801" spans="13:13" x14ac:dyDescent="0.25">
      <c r="M801" s="131"/>
    </row>
    <row r="802" spans="13:13" x14ac:dyDescent="0.25">
      <c r="M802" s="131"/>
    </row>
    <row r="803" spans="13:13" x14ac:dyDescent="0.25">
      <c r="M803" s="131"/>
    </row>
    <row r="804" spans="13:13" x14ac:dyDescent="0.25">
      <c r="M804" s="131"/>
    </row>
    <row r="805" spans="13:13" x14ac:dyDescent="0.25">
      <c r="M805" s="131"/>
    </row>
    <row r="806" spans="13:13" x14ac:dyDescent="0.25">
      <c r="M806" s="131"/>
    </row>
    <row r="807" spans="13:13" x14ac:dyDescent="0.25">
      <c r="M807" s="131"/>
    </row>
    <row r="808" spans="13:13" x14ac:dyDescent="0.25">
      <c r="M808" s="131"/>
    </row>
    <row r="809" spans="13:13" x14ac:dyDescent="0.25">
      <c r="M809" s="131"/>
    </row>
    <row r="810" spans="13:13" x14ac:dyDescent="0.25">
      <c r="M810" s="131"/>
    </row>
    <row r="811" spans="13:13" x14ac:dyDescent="0.25">
      <c r="M811" s="131"/>
    </row>
    <row r="812" spans="13:13" x14ac:dyDescent="0.25">
      <c r="M812" s="131"/>
    </row>
    <row r="813" spans="13:13" x14ac:dyDescent="0.25">
      <c r="M813" s="131"/>
    </row>
    <row r="814" spans="13:13" x14ac:dyDescent="0.25">
      <c r="M814" s="131"/>
    </row>
    <row r="815" spans="13:13" x14ac:dyDescent="0.25">
      <c r="M815" s="131"/>
    </row>
    <row r="816" spans="13:13" x14ac:dyDescent="0.25">
      <c r="M816" s="131"/>
    </row>
    <row r="817" spans="13:13" x14ac:dyDescent="0.25">
      <c r="M817" s="131"/>
    </row>
    <row r="818" spans="13:13" x14ac:dyDescent="0.25">
      <c r="M818" s="131"/>
    </row>
    <row r="819" spans="13:13" x14ac:dyDescent="0.25">
      <c r="M819" s="131"/>
    </row>
    <row r="820" spans="13:13" x14ac:dyDescent="0.25">
      <c r="M820" s="131"/>
    </row>
    <row r="821" spans="13:13" x14ac:dyDescent="0.25">
      <c r="M821" s="131"/>
    </row>
    <row r="822" spans="13:13" x14ac:dyDescent="0.25">
      <c r="M822" s="131"/>
    </row>
    <row r="823" spans="13:13" x14ac:dyDescent="0.25">
      <c r="M823" s="131"/>
    </row>
    <row r="824" spans="13:13" x14ac:dyDescent="0.25">
      <c r="M824" s="131"/>
    </row>
    <row r="825" spans="13:13" x14ac:dyDescent="0.25">
      <c r="M825" s="131"/>
    </row>
    <row r="826" spans="13:13" x14ac:dyDescent="0.25">
      <c r="M826" s="131"/>
    </row>
    <row r="827" spans="13:13" x14ac:dyDescent="0.25">
      <c r="M827" s="131"/>
    </row>
    <row r="828" spans="13:13" x14ac:dyDescent="0.25">
      <c r="M828" s="131"/>
    </row>
    <row r="829" spans="13:13" x14ac:dyDescent="0.25">
      <c r="M829" s="131"/>
    </row>
    <row r="830" spans="13:13" x14ac:dyDescent="0.25">
      <c r="M830" s="131"/>
    </row>
    <row r="831" spans="13:13" x14ac:dyDescent="0.25">
      <c r="M831" s="131"/>
    </row>
    <row r="832" spans="13:13" x14ac:dyDescent="0.25">
      <c r="M832" s="131"/>
    </row>
    <row r="833" spans="13:13" x14ac:dyDescent="0.25">
      <c r="M833" s="131"/>
    </row>
    <row r="834" spans="13:13" x14ac:dyDescent="0.25">
      <c r="M834" s="131"/>
    </row>
    <row r="835" spans="13:13" x14ac:dyDescent="0.25">
      <c r="M835" s="131"/>
    </row>
    <row r="836" spans="13:13" x14ac:dyDescent="0.25">
      <c r="M836" s="131"/>
    </row>
    <row r="837" spans="13:13" x14ac:dyDescent="0.25">
      <c r="M837" s="131"/>
    </row>
    <row r="838" spans="13:13" x14ac:dyDescent="0.25">
      <c r="M838" s="131"/>
    </row>
    <row r="839" spans="13:13" x14ac:dyDescent="0.25">
      <c r="M839" s="131"/>
    </row>
    <row r="840" spans="13:13" x14ac:dyDescent="0.25">
      <c r="M840" s="131"/>
    </row>
    <row r="841" spans="13:13" x14ac:dyDescent="0.25">
      <c r="M841" s="131"/>
    </row>
    <row r="842" spans="13:13" x14ac:dyDescent="0.25">
      <c r="M842" s="131"/>
    </row>
    <row r="843" spans="13:13" x14ac:dyDescent="0.25">
      <c r="M843" s="131"/>
    </row>
    <row r="844" spans="13:13" x14ac:dyDescent="0.25">
      <c r="M844" s="131"/>
    </row>
    <row r="845" spans="13:13" x14ac:dyDescent="0.25">
      <c r="M845" s="131"/>
    </row>
    <row r="846" spans="13:13" x14ac:dyDescent="0.25">
      <c r="M846" s="131"/>
    </row>
    <row r="847" spans="13:13" x14ac:dyDescent="0.25">
      <c r="M847" s="131"/>
    </row>
    <row r="848" spans="13:13" x14ac:dyDescent="0.25">
      <c r="M848" s="131"/>
    </row>
    <row r="849" spans="13:13" x14ac:dyDescent="0.25">
      <c r="M849" s="131"/>
    </row>
    <row r="850" spans="13:13" x14ac:dyDescent="0.25">
      <c r="M850" s="131"/>
    </row>
    <row r="851" spans="13:13" x14ac:dyDescent="0.25">
      <c r="M851" s="131"/>
    </row>
    <row r="852" spans="13:13" x14ac:dyDescent="0.25">
      <c r="M852" s="131"/>
    </row>
    <row r="853" spans="13:13" x14ac:dyDescent="0.25">
      <c r="M853" s="131"/>
    </row>
    <row r="854" spans="13:13" x14ac:dyDescent="0.25">
      <c r="M854" s="131"/>
    </row>
    <row r="855" spans="13:13" x14ac:dyDescent="0.25">
      <c r="M855" s="131"/>
    </row>
    <row r="856" spans="13:13" x14ac:dyDescent="0.25">
      <c r="M856" s="131"/>
    </row>
    <row r="857" spans="13:13" x14ac:dyDescent="0.25">
      <c r="M857" s="131"/>
    </row>
    <row r="858" spans="13:13" x14ac:dyDescent="0.25">
      <c r="M858" s="131"/>
    </row>
    <row r="859" spans="13:13" x14ac:dyDescent="0.25">
      <c r="M859" s="131"/>
    </row>
    <row r="860" spans="13:13" x14ac:dyDescent="0.25">
      <c r="M860" s="131"/>
    </row>
    <row r="861" spans="13:13" x14ac:dyDescent="0.25">
      <c r="M861" s="131"/>
    </row>
    <row r="862" spans="13:13" x14ac:dyDescent="0.25">
      <c r="M862" s="131"/>
    </row>
    <row r="863" spans="13:13" x14ac:dyDescent="0.25">
      <c r="M863" s="131"/>
    </row>
    <row r="864" spans="13:13" x14ac:dyDescent="0.25">
      <c r="M864" s="131"/>
    </row>
    <row r="865" spans="13:13" x14ac:dyDescent="0.25">
      <c r="M865" s="131"/>
    </row>
    <row r="866" spans="13:13" x14ac:dyDescent="0.25">
      <c r="M866" s="131"/>
    </row>
    <row r="867" spans="13:13" x14ac:dyDescent="0.25">
      <c r="M867" s="131"/>
    </row>
    <row r="868" spans="13:13" x14ac:dyDescent="0.25">
      <c r="M868" s="131"/>
    </row>
    <row r="869" spans="13:13" x14ac:dyDescent="0.25">
      <c r="M869" s="131"/>
    </row>
    <row r="870" spans="13:13" x14ac:dyDescent="0.25">
      <c r="M870" s="131"/>
    </row>
    <row r="871" spans="13:13" x14ac:dyDescent="0.25">
      <c r="M871" s="131"/>
    </row>
    <row r="872" spans="13:13" x14ac:dyDescent="0.25">
      <c r="M872" s="131"/>
    </row>
    <row r="873" spans="13:13" x14ac:dyDescent="0.25">
      <c r="M873" s="131"/>
    </row>
    <row r="874" spans="13:13" x14ac:dyDescent="0.25">
      <c r="M874" s="131"/>
    </row>
    <row r="875" spans="13:13" x14ac:dyDescent="0.25">
      <c r="M875" s="131"/>
    </row>
    <row r="876" spans="13:13" x14ac:dyDescent="0.25">
      <c r="M876" s="131"/>
    </row>
    <row r="877" spans="13:13" x14ac:dyDescent="0.25">
      <c r="M877" s="131"/>
    </row>
    <row r="878" spans="13:13" x14ac:dyDescent="0.25">
      <c r="M878" s="131"/>
    </row>
    <row r="879" spans="13:13" x14ac:dyDescent="0.25">
      <c r="M879" s="131"/>
    </row>
    <row r="880" spans="13:13" x14ac:dyDescent="0.25">
      <c r="M880" s="131"/>
    </row>
    <row r="881" spans="13:13" x14ac:dyDescent="0.25">
      <c r="M881" s="131"/>
    </row>
    <row r="882" spans="13:13" x14ac:dyDescent="0.25">
      <c r="M882" s="131"/>
    </row>
    <row r="883" spans="13:13" x14ac:dyDescent="0.25">
      <c r="M883" s="131"/>
    </row>
    <row r="884" spans="13:13" x14ac:dyDescent="0.25">
      <c r="M884" s="131"/>
    </row>
    <row r="885" spans="13:13" x14ac:dyDescent="0.25">
      <c r="M885" s="131"/>
    </row>
    <row r="886" spans="13:13" x14ac:dyDescent="0.25">
      <c r="M886" s="131"/>
    </row>
    <row r="887" spans="13:13" x14ac:dyDescent="0.25">
      <c r="M887" s="131"/>
    </row>
    <row r="888" spans="13:13" x14ac:dyDescent="0.25">
      <c r="M888" s="131"/>
    </row>
    <row r="889" spans="13:13" x14ac:dyDescent="0.25">
      <c r="M889" s="131"/>
    </row>
    <row r="890" spans="13:13" x14ac:dyDescent="0.25">
      <c r="M890" s="131"/>
    </row>
    <row r="891" spans="13:13" x14ac:dyDescent="0.25">
      <c r="M891" s="131"/>
    </row>
    <row r="892" spans="13:13" x14ac:dyDescent="0.25">
      <c r="M892" s="131"/>
    </row>
    <row r="893" spans="13:13" x14ac:dyDescent="0.25">
      <c r="M893" s="131"/>
    </row>
    <row r="894" spans="13:13" x14ac:dyDescent="0.25">
      <c r="M894" s="131"/>
    </row>
    <row r="895" spans="13:13" x14ac:dyDescent="0.25">
      <c r="M895" s="131"/>
    </row>
    <row r="896" spans="13:13" x14ac:dyDescent="0.25">
      <c r="M896" s="131"/>
    </row>
    <row r="897" spans="13:13" x14ac:dyDescent="0.25">
      <c r="M897" s="131"/>
    </row>
    <row r="898" spans="13:13" x14ac:dyDescent="0.25">
      <c r="M898" s="131"/>
    </row>
    <row r="899" spans="13:13" x14ac:dyDescent="0.25">
      <c r="M899" s="131"/>
    </row>
    <row r="900" spans="13:13" x14ac:dyDescent="0.25">
      <c r="M900" s="131"/>
    </row>
    <row r="901" spans="13:13" x14ac:dyDescent="0.25">
      <c r="M901" s="131"/>
    </row>
    <row r="902" spans="13:13" x14ac:dyDescent="0.25">
      <c r="M902" s="131"/>
    </row>
    <row r="903" spans="13:13" x14ac:dyDescent="0.25">
      <c r="M903" s="131"/>
    </row>
    <row r="904" spans="13:13" x14ac:dyDescent="0.25">
      <c r="M904" s="131"/>
    </row>
    <row r="905" spans="13:13" x14ac:dyDescent="0.25">
      <c r="M905" s="131"/>
    </row>
    <row r="906" spans="13:13" x14ac:dyDescent="0.25">
      <c r="M906" s="131"/>
    </row>
    <row r="907" spans="13:13" x14ac:dyDescent="0.25">
      <c r="M907" s="131"/>
    </row>
    <row r="908" spans="13:13" x14ac:dyDescent="0.25">
      <c r="M908" s="131"/>
    </row>
    <row r="909" spans="13:13" x14ac:dyDescent="0.25">
      <c r="M909" s="131"/>
    </row>
    <row r="910" spans="13:13" x14ac:dyDescent="0.25">
      <c r="M910" s="131"/>
    </row>
    <row r="911" spans="13:13" x14ac:dyDescent="0.25">
      <c r="M911" s="131"/>
    </row>
    <row r="912" spans="13:13" x14ac:dyDescent="0.25">
      <c r="M912" s="131"/>
    </row>
    <row r="913" spans="13:13" x14ac:dyDescent="0.25">
      <c r="M913" s="131"/>
    </row>
    <row r="914" spans="13:13" x14ac:dyDescent="0.25">
      <c r="M914" s="131"/>
    </row>
    <row r="915" spans="13:13" x14ac:dyDescent="0.25">
      <c r="M915" s="131"/>
    </row>
    <row r="916" spans="13:13" x14ac:dyDescent="0.25">
      <c r="M916" s="131"/>
    </row>
    <row r="917" spans="13:13" x14ac:dyDescent="0.25">
      <c r="M917" s="131"/>
    </row>
    <row r="918" spans="13:13" x14ac:dyDescent="0.25">
      <c r="M918" s="131"/>
    </row>
    <row r="919" spans="13:13" x14ac:dyDescent="0.25">
      <c r="M919" s="131"/>
    </row>
    <row r="920" spans="13:13" x14ac:dyDescent="0.25">
      <c r="M920" s="131"/>
    </row>
    <row r="921" spans="13:13" x14ac:dyDescent="0.25">
      <c r="M921" s="131"/>
    </row>
    <row r="922" spans="13:13" x14ac:dyDescent="0.25">
      <c r="M922" s="131"/>
    </row>
    <row r="923" spans="13:13" x14ac:dyDescent="0.25">
      <c r="M923" s="131"/>
    </row>
    <row r="924" spans="13:13" x14ac:dyDescent="0.25">
      <c r="M924" s="131"/>
    </row>
    <row r="925" spans="13:13" x14ac:dyDescent="0.25">
      <c r="M925" s="131"/>
    </row>
    <row r="926" spans="13:13" x14ac:dyDescent="0.25">
      <c r="M926" s="131"/>
    </row>
    <row r="927" spans="13:13" x14ac:dyDescent="0.25">
      <c r="M927" s="131"/>
    </row>
    <row r="928" spans="13:13" x14ac:dyDescent="0.25">
      <c r="M928" s="131"/>
    </row>
    <row r="929" spans="13:13" x14ac:dyDescent="0.25">
      <c r="M929" s="131"/>
    </row>
    <row r="930" spans="13:13" x14ac:dyDescent="0.25">
      <c r="M930" s="131"/>
    </row>
    <row r="931" spans="13:13" x14ac:dyDescent="0.25">
      <c r="M931" s="131"/>
    </row>
    <row r="932" spans="13:13" x14ac:dyDescent="0.25">
      <c r="M932" s="131"/>
    </row>
    <row r="933" spans="13:13" x14ac:dyDescent="0.25">
      <c r="M933" s="131"/>
    </row>
    <row r="934" spans="13:13" x14ac:dyDescent="0.25">
      <c r="M934" s="131"/>
    </row>
    <row r="935" spans="13:13" x14ac:dyDescent="0.25">
      <c r="M935" s="131"/>
    </row>
    <row r="936" spans="13:13" x14ac:dyDescent="0.25">
      <c r="M936" s="131"/>
    </row>
    <row r="937" spans="13:13" x14ac:dyDescent="0.25">
      <c r="M937" s="131"/>
    </row>
    <row r="938" spans="13:13" x14ac:dyDescent="0.25">
      <c r="M938" s="131"/>
    </row>
    <row r="939" spans="13:13" x14ac:dyDescent="0.25">
      <c r="M939" s="131"/>
    </row>
    <row r="940" spans="13:13" x14ac:dyDescent="0.25">
      <c r="M940" s="131"/>
    </row>
    <row r="941" spans="13:13" x14ac:dyDescent="0.25">
      <c r="M941" s="131"/>
    </row>
    <row r="942" spans="13:13" x14ac:dyDescent="0.25">
      <c r="M942" s="131"/>
    </row>
    <row r="943" spans="13:13" x14ac:dyDescent="0.25">
      <c r="M943" s="131"/>
    </row>
    <row r="944" spans="13:13" x14ac:dyDescent="0.25">
      <c r="M944" s="131"/>
    </row>
    <row r="945" spans="13:13" x14ac:dyDescent="0.25">
      <c r="M945" s="131"/>
    </row>
    <row r="946" spans="13:13" x14ac:dyDescent="0.25">
      <c r="M946" s="131"/>
    </row>
    <row r="947" spans="13:13" x14ac:dyDescent="0.25">
      <c r="M947" s="131"/>
    </row>
    <row r="948" spans="13:13" x14ac:dyDescent="0.25">
      <c r="M948" s="131"/>
    </row>
    <row r="949" spans="13:13" x14ac:dyDescent="0.25">
      <c r="M949" s="131"/>
    </row>
    <row r="950" spans="13:13" x14ac:dyDescent="0.25">
      <c r="M950" s="131"/>
    </row>
    <row r="951" spans="13:13" x14ac:dyDescent="0.25">
      <c r="M951" s="131"/>
    </row>
    <row r="952" spans="13:13" x14ac:dyDescent="0.25">
      <c r="M952" s="131"/>
    </row>
    <row r="953" spans="13:13" x14ac:dyDescent="0.25">
      <c r="M953" s="131"/>
    </row>
    <row r="954" spans="13:13" x14ac:dyDescent="0.25">
      <c r="M954" s="131"/>
    </row>
    <row r="955" spans="13:13" x14ac:dyDescent="0.25">
      <c r="M955" s="131"/>
    </row>
    <row r="956" spans="13:13" x14ac:dyDescent="0.25">
      <c r="M956" s="131"/>
    </row>
    <row r="957" spans="13:13" x14ac:dyDescent="0.25">
      <c r="M957" s="131"/>
    </row>
    <row r="958" spans="13:13" x14ac:dyDescent="0.25">
      <c r="M958" s="131"/>
    </row>
    <row r="959" spans="13:13" x14ac:dyDescent="0.25">
      <c r="M959" s="131"/>
    </row>
    <row r="960" spans="13:13" x14ac:dyDescent="0.25">
      <c r="M960" s="131"/>
    </row>
    <row r="961" spans="13:13" x14ac:dyDescent="0.25">
      <c r="M961" s="131"/>
    </row>
    <row r="962" spans="13:13" x14ac:dyDescent="0.25">
      <c r="M962" s="131"/>
    </row>
    <row r="963" spans="13:13" x14ac:dyDescent="0.25">
      <c r="M963" s="131"/>
    </row>
    <row r="964" spans="13:13" x14ac:dyDescent="0.25">
      <c r="M964" s="131"/>
    </row>
    <row r="965" spans="13:13" x14ac:dyDescent="0.25">
      <c r="M965" s="131"/>
    </row>
    <row r="966" spans="13:13" x14ac:dyDescent="0.25">
      <c r="M966" s="131"/>
    </row>
    <row r="967" spans="13:13" x14ac:dyDescent="0.25">
      <c r="M967" s="131"/>
    </row>
    <row r="968" spans="13:13" x14ac:dyDescent="0.25">
      <c r="M968" s="131"/>
    </row>
    <row r="969" spans="13:13" x14ac:dyDescent="0.25">
      <c r="M969" s="131"/>
    </row>
    <row r="970" spans="13:13" x14ac:dyDescent="0.25">
      <c r="M970" s="131"/>
    </row>
    <row r="971" spans="13:13" x14ac:dyDescent="0.25">
      <c r="M971" s="131"/>
    </row>
    <row r="972" spans="13:13" x14ac:dyDescent="0.25">
      <c r="M972" s="131"/>
    </row>
    <row r="973" spans="13:13" x14ac:dyDescent="0.25">
      <c r="M973" s="131"/>
    </row>
    <row r="974" spans="13:13" x14ac:dyDescent="0.25">
      <c r="M974" s="131"/>
    </row>
    <row r="975" spans="13:13" x14ac:dyDescent="0.25">
      <c r="M975" s="131"/>
    </row>
    <row r="976" spans="13:13" x14ac:dyDescent="0.25">
      <c r="M976" s="131"/>
    </row>
    <row r="977" spans="13:13" x14ac:dyDescent="0.25">
      <c r="M977" s="131"/>
    </row>
    <row r="978" spans="13:13" x14ac:dyDescent="0.25">
      <c r="M978" s="131"/>
    </row>
    <row r="979" spans="13:13" x14ac:dyDescent="0.25">
      <c r="M979" s="131"/>
    </row>
    <row r="980" spans="13:13" x14ac:dyDescent="0.25">
      <c r="M980" s="131"/>
    </row>
    <row r="981" spans="13:13" x14ac:dyDescent="0.25">
      <c r="M981" s="131"/>
    </row>
    <row r="982" spans="13:13" x14ac:dyDescent="0.25">
      <c r="M982" s="131"/>
    </row>
    <row r="983" spans="13:13" x14ac:dyDescent="0.25">
      <c r="M983" s="131"/>
    </row>
    <row r="984" spans="13:13" x14ac:dyDescent="0.25">
      <c r="M984" s="131"/>
    </row>
    <row r="985" spans="13:13" x14ac:dyDescent="0.25">
      <c r="M985" s="131"/>
    </row>
    <row r="986" spans="13:13" x14ac:dyDescent="0.25">
      <c r="M986" s="131"/>
    </row>
    <row r="987" spans="13:13" x14ac:dyDescent="0.25">
      <c r="M987" s="131"/>
    </row>
    <row r="988" spans="13:13" x14ac:dyDescent="0.25">
      <c r="M988" s="131"/>
    </row>
    <row r="989" spans="13:13" x14ac:dyDescent="0.25">
      <c r="M989" s="131"/>
    </row>
    <row r="990" spans="13:13" x14ac:dyDescent="0.25">
      <c r="M990" s="131"/>
    </row>
    <row r="991" spans="13:13" x14ac:dyDescent="0.25">
      <c r="M991" s="131"/>
    </row>
    <row r="992" spans="13:13" x14ac:dyDescent="0.25">
      <c r="M992" s="131"/>
    </row>
    <row r="993" spans="13:13" x14ac:dyDescent="0.25">
      <c r="M993" s="131"/>
    </row>
    <row r="994" spans="13:13" x14ac:dyDescent="0.25">
      <c r="M994" s="131"/>
    </row>
    <row r="995" spans="13:13" x14ac:dyDescent="0.25">
      <c r="M995" s="131"/>
    </row>
    <row r="996" spans="13:13" x14ac:dyDescent="0.25">
      <c r="M996" s="131"/>
    </row>
    <row r="997" spans="13:13" x14ac:dyDescent="0.25">
      <c r="M997" s="131"/>
    </row>
    <row r="998" spans="13:13" x14ac:dyDescent="0.25">
      <c r="M998" s="131"/>
    </row>
    <row r="999" spans="13:13" x14ac:dyDescent="0.25">
      <c r="M999" s="131"/>
    </row>
    <row r="1000" spans="13:13" x14ac:dyDescent="0.25">
      <c r="M1000" s="131"/>
    </row>
    <row r="1001" spans="13:13" x14ac:dyDescent="0.25">
      <c r="M1001" s="131"/>
    </row>
    <row r="1002" spans="13:13" x14ac:dyDescent="0.25">
      <c r="M1002" s="131"/>
    </row>
    <row r="1003" spans="13:13" x14ac:dyDescent="0.25">
      <c r="M1003" s="131"/>
    </row>
    <row r="1004" spans="13:13" x14ac:dyDescent="0.25">
      <c r="M1004" s="131"/>
    </row>
    <row r="1005" spans="13:13" x14ac:dyDescent="0.25">
      <c r="M1005" s="131"/>
    </row>
    <row r="1006" spans="13:13" x14ac:dyDescent="0.25">
      <c r="M1006" s="131"/>
    </row>
    <row r="1007" spans="13:13" x14ac:dyDescent="0.25">
      <c r="M1007" s="131"/>
    </row>
    <row r="1008" spans="13:13" x14ac:dyDescent="0.25">
      <c r="M1008" s="131"/>
    </row>
    <row r="1009" spans="13:13" x14ac:dyDescent="0.25">
      <c r="M1009" s="131"/>
    </row>
    <row r="1010" spans="13:13" x14ac:dyDescent="0.25">
      <c r="M1010" s="131"/>
    </row>
    <row r="1011" spans="13:13" x14ac:dyDescent="0.25">
      <c r="M1011" s="131"/>
    </row>
    <row r="1012" spans="13:13" x14ac:dyDescent="0.25">
      <c r="M1012" s="131"/>
    </row>
    <row r="1013" spans="13:13" x14ac:dyDescent="0.25">
      <c r="M1013" s="131"/>
    </row>
    <row r="1014" spans="13:13" x14ac:dyDescent="0.25">
      <c r="M1014" s="131"/>
    </row>
    <row r="1015" spans="13:13" x14ac:dyDescent="0.25">
      <c r="M1015" s="131"/>
    </row>
    <row r="1016" spans="13:13" x14ac:dyDescent="0.25">
      <c r="M1016" s="131"/>
    </row>
    <row r="1017" spans="13:13" x14ac:dyDescent="0.25">
      <c r="M1017" s="131"/>
    </row>
    <row r="1018" spans="13:13" x14ac:dyDescent="0.25">
      <c r="M1018" s="131"/>
    </row>
    <row r="1019" spans="13:13" x14ac:dyDescent="0.25">
      <c r="M1019" s="131"/>
    </row>
    <row r="1020" spans="13:13" x14ac:dyDescent="0.25">
      <c r="M1020" s="131"/>
    </row>
    <row r="1021" spans="13:13" x14ac:dyDescent="0.25">
      <c r="M1021" s="131"/>
    </row>
    <row r="1022" spans="13:13" x14ac:dyDescent="0.25">
      <c r="M1022" s="131"/>
    </row>
    <row r="1023" spans="13:13" x14ac:dyDescent="0.25">
      <c r="M1023" s="131"/>
    </row>
    <row r="1024" spans="13:13" x14ac:dyDescent="0.25">
      <c r="M1024" s="131"/>
    </row>
    <row r="1025" spans="13:13" x14ac:dyDescent="0.25">
      <c r="M1025" s="131"/>
    </row>
    <row r="1026" spans="13:13" x14ac:dyDescent="0.25">
      <c r="M1026" s="131"/>
    </row>
    <row r="1027" spans="13:13" x14ac:dyDescent="0.25">
      <c r="M1027" s="131"/>
    </row>
    <row r="1028" spans="13:13" x14ac:dyDescent="0.25">
      <c r="M1028" s="131"/>
    </row>
    <row r="1029" spans="13:13" x14ac:dyDescent="0.25">
      <c r="M1029" s="131"/>
    </row>
    <row r="1030" spans="13:13" x14ac:dyDescent="0.25">
      <c r="M1030" s="131"/>
    </row>
    <row r="1031" spans="13:13" x14ac:dyDescent="0.25">
      <c r="M1031" s="131"/>
    </row>
    <row r="1032" spans="13:13" x14ac:dyDescent="0.25">
      <c r="M1032" s="131"/>
    </row>
    <row r="1033" spans="13:13" x14ac:dyDescent="0.25">
      <c r="M1033" s="131"/>
    </row>
    <row r="1034" spans="13:13" x14ac:dyDescent="0.25">
      <c r="M1034" s="131"/>
    </row>
    <row r="1035" spans="13:13" x14ac:dyDescent="0.25">
      <c r="M1035" s="131"/>
    </row>
    <row r="1036" spans="13:13" x14ac:dyDescent="0.25">
      <c r="M1036" s="131"/>
    </row>
    <row r="1037" spans="13:13" x14ac:dyDescent="0.25">
      <c r="M1037" s="131"/>
    </row>
    <row r="1038" spans="13:13" x14ac:dyDescent="0.25">
      <c r="M1038" s="131"/>
    </row>
    <row r="1039" spans="13:13" x14ac:dyDescent="0.25">
      <c r="M1039" s="131"/>
    </row>
    <row r="1040" spans="13:13" x14ac:dyDescent="0.25">
      <c r="M1040" s="131"/>
    </row>
    <row r="1041" spans="13:13" x14ac:dyDescent="0.25">
      <c r="M1041" s="131"/>
    </row>
    <row r="1042" spans="13:13" x14ac:dyDescent="0.25">
      <c r="M1042" s="131"/>
    </row>
    <row r="1043" spans="13:13" x14ac:dyDescent="0.25">
      <c r="M1043" s="131"/>
    </row>
    <row r="1044" spans="13:13" x14ac:dyDescent="0.25">
      <c r="M1044" s="131"/>
    </row>
    <row r="1045" spans="13:13" x14ac:dyDescent="0.25">
      <c r="M1045" s="131"/>
    </row>
    <row r="1046" spans="13:13" x14ac:dyDescent="0.25">
      <c r="M1046" s="131"/>
    </row>
    <row r="1047" spans="13:13" x14ac:dyDescent="0.25">
      <c r="M1047" s="131"/>
    </row>
    <row r="1048" spans="13:13" x14ac:dyDescent="0.25">
      <c r="M1048" s="131"/>
    </row>
    <row r="1049" spans="13:13" x14ac:dyDescent="0.25">
      <c r="M1049" s="131"/>
    </row>
    <row r="1050" spans="13:13" x14ac:dyDescent="0.25">
      <c r="M1050" s="131"/>
    </row>
    <row r="1051" spans="13:13" x14ac:dyDescent="0.25">
      <c r="M1051" s="131"/>
    </row>
    <row r="1052" spans="13:13" x14ac:dyDescent="0.25">
      <c r="M1052" s="131"/>
    </row>
    <row r="1053" spans="13:13" x14ac:dyDescent="0.25">
      <c r="M1053" s="131"/>
    </row>
    <row r="1054" spans="13:13" x14ac:dyDescent="0.25">
      <c r="M1054" s="131"/>
    </row>
    <row r="1055" spans="13:13" x14ac:dyDescent="0.25">
      <c r="M1055" s="131"/>
    </row>
    <row r="1056" spans="13:13" x14ac:dyDescent="0.25">
      <c r="M1056" s="131"/>
    </row>
    <row r="1057" spans="13:13" x14ac:dyDescent="0.25">
      <c r="M1057" s="131"/>
    </row>
    <row r="1058" spans="13:13" x14ac:dyDescent="0.25">
      <c r="M1058" s="131"/>
    </row>
    <row r="1059" spans="13:13" x14ac:dyDescent="0.25">
      <c r="M1059" s="131"/>
    </row>
    <row r="1060" spans="13:13" x14ac:dyDescent="0.25">
      <c r="M1060" s="131"/>
    </row>
    <row r="1061" spans="13:13" x14ac:dyDescent="0.25">
      <c r="M1061" s="131"/>
    </row>
    <row r="1062" spans="13:13" x14ac:dyDescent="0.25">
      <c r="M1062" s="131"/>
    </row>
    <row r="1063" spans="13:13" x14ac:dyDescent="0.25">
      <c r="M1063" s="131"/>
    </row>
    <row r="1064" spans="13:13" x14ac:dyDescent="0.25">
      <c r="M1064" s="131"/>
    </row>
    <row r="1065" spans="13:13" x14ac:dyDescent="0.25">
      <c r="M1065" s="131"/>
    </row>
    <row r="1066" spans="13:13" x14ac:dyDescent="0.25">
      <c r="M1066" s="131"/>
    </row>
    <row r="1067" spans="13:13" x14ac:dyDescent="0.25">
      <c r="M1067" s="131"/>
    </row>
    <row r="1068" spans="13:13" x14ac:dyDescent="0.25">
      <c r="M1068" s="131"/>
    </row>
    <row r="1069" spans="13:13" x14ac:dyDescent="0.25">
      <c r="M1069" s="131"/>
    </row>
    <row r="1070" spans="13:13" x14ac:dyDescent="0.25">
      <c r="M1070" s="131"/>
    </row>
    <row r="1071" spans="13:13" x14ac:dyDescent="0.25">
      <c r="M1071" s="131"/>
    </row>
    <row r="1072" spans="13:13" x14ac:dyDescent="0.25">
      <c r="M1072" s="131"/>
    </row>
    <row r="1073" spans="13:13" x14ac:dyDescent="0.25">
      <c r="M1073" s="131"/>
    </row>
    <row r="1074" spans="13:13" x14ac:dyDescent="0.25">
      <c r="M1074" s="131"/>
    </row>
    <row r="1075" spans="13:13" x14ac:dyDescent="0.25">
      <c r="M1075" s="131"/>
    </row>
    <row r="1076" spans="13:13" x14ac:dyDescent="0.25">
      <c r="M1076" s="131"/>
    </row>
    <row r="1077" spans="13:13" x14ac:dyDescent="0.25">
      <c r="M1077" s="131"/>
    </row>
    <row r="1078" spans="13:13" x14ac:dyDescent="0.25">
      <c r="M1078" s="131"/>
    </row>
  </sheetData>
  <mergeCells count="17">
    <mergeCell ref="C19:C24"/>
    <mergeCell ref="D19:D24"/>
    <mergeCell ref="E19:E24"/>
    <mergeCell ref="G19:H24"/>
    <mergeCell ref="G14:H14"/>
    <mergeCell ref="G15:H16"/>
    <mergeCell ref="I16:K16"/>
    <mergeCell ref="A17:B18"/>
    <mergeCell ref="C17:C18"/>
    <mergeCell ref="D17:D18"/>
    <mergeCell ref="E17:E18"/>
    <mergeCell ref="F17:F18"/>
    <mergeCell ref="A13:L13"/>
    <mergeCell ref="A1:L1"/>
    <mergeCell ref="A5:B5"/>
    <mergeCell ref="L8:L9"/>
    <mergeCell ref="A9:B9"/>
  </mergeCells>
  <hyperlinks>
    <hyperlink ref="A5" r:id="rId1"/>
    <hyperlink ref="A9" r:id="rId2"/>
  </hyperlinks>
  <pageMargins left="0.7" right="0.7" top="0.75" bottom="0.75" header="0.3" footer="0.3"/>
  <pageSetup scale="43" orientation="portrait" horizontalDpi="300" verticalDpi="300"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A1:K10"/>
  <sheetViews>
    <sheetView workbookViewId="0">
      <selection activeCell="D4" sqref="D4"/>
    </sheetView>
  </sheetViews>
  <sheetFormatPr defaultRowHeight="15" x14ac:dyDescent="0.25"/>
  <cols>
    <col min="1" max="2" width="18.7109375" customWidth="1"/>
    <col min="3" max="5" width="25.7109375" customWidth="1"/>
    <col min="6" max="6" width="15.7109375" customWidth="1"/>
    <col min="10" max="10" width="27.42578125" customWidth="1"/>
  </cols>
  <sheetData>
    <row r="1" spans="1:11" ht="105.75" customHeight="1" thickBot="1" x14ac:dyDescent="0.3">
      <c r="D1" s="151" t="s">
        <v>320</v>
      </c>
      <c r="J1" t="s">
        <v>321</v>
      </c>
    </row>
    <row r="2" spans="1:11" ht="34.5" customHeight="1" thickBot="1" x14ac:dyDescent="0.3">
      <c r="C2" s="152"/>
      <c r="D2" s="153"/>
      <c r="E2" s="154"/>
    </row>
    <row r="3" spans="1:11" ht="162" customHeight="1" thickBot="1" x14ac:dyDescent="0.3">
      <c r="A3" s="155" t="s">
        <v>313</v>
      </c>
      <c r="B3" s="156" t="s">
        <v>322</v>
      </c>
      <c r="C3" s="157" t="s">
        <v>623</v>
      </c>
      <c r="D3" s="158" t="s">
        <v>596</v>
      </c>
      <c r="E3" s="158" t="s">
        <v>595</v>
      </c>
      <c r="F3" s="159" t="s">
        <v>314</v>
      </c>
      <c r="G3" s="737" t="s">
        <v>616</v>
      </c>
      <c r="H3" s="738"/>
      <c r="J3" s="151" t="s">
        <v>323</v>
      </c>
    </row>
    <row r="4" spans="1:11" ht="162" customHeight="1" thickBot="1" x14ac:dyDescent="0.3">
      <c r="A4" s="160" t="s">
        <v>316</v>
      </c>
      <c r="B4" s="161" t="s">
        <v>324</v>
      </c>
      <c r="C4" s="157" t="s">
        <v>625</v>
      </c>
      <c r="D4" s="157" t="s">
        <v>632</v>
      </c>
      <c r="E4" s="371" t="s">
        <v>622</v>
      </c>
      <c r="F4" s="162" t="s">
        <v>314</v>
      </c>
      <c r="G4" s="739"/>
      <c r="H4" s="740"/>
      <c r="K4" t="s">
        <v>321</v>
      </c>
    </row>
    <row r="5" spans="1:11" ht="15" customHeight="1" x14ac:dyDescent="0.25">
      <c r="A5" s="741"/>
      <c r="B5" s="741"/>
      <c r="C5" s="742"/>
      <c r="D5" s="744"/>
      <c r="E5" s="746"/>
      <c r="F5" s="748"/>
      <c r="G5" s="117"/>
      <c r="H5" s="110"/>
    </row>
    <row r="6" spans="1:11" ht="15" customHeight="1" thickBot="1" x14ac:dyDescent="0.3">
      <c r="A6" s="741"/>
      <c r="B6" s="741"/>
      <c r="C6" s="743"/>
      <c r="D6" s="745"/>
      <c r="E6" s="747"/>
      <c r="F6" s="748"/>
      <c r="G6" s="117"/>
      <c r="H6" s="110"/>
    </row>
    <row r="8" spans="1:11" x14ac:dyDescent="0.25">
      <c r="E8" s="734"/>
    </row>
    <row r="9" spans="1:11" x14ac:dyDescent="0.25">
      <c r="E9" s="735"/>
    </row>
    <row r="10" spans="1:11" ht="104.25" customHeight="1" x14ac:dyDescent="0.25">
      <c r="D10" s="151" t="s">
        <v>325</v>
      </c>
      <c r="E10" s="736"/>
    </row>
  </sheetData>
  <mergeCells count="7">
    <mergeCell ref="E8:E10"/>
    <mergeCell ref="G3:H4"/>
    <mergeCell ref="A5:B6"/>
    <mergeCell ref="C5:C6"/>
    <mergeCell ref="D5:D6"/>
    <mergeCell ref="E5:E6"/>
    <mergeCell ref="F5:F6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Z300"/>
  <sheetViews>
    <sheetView zoomScale="90" zoomScaleNormal="90" workbookViewId="0">
      <selection activeCell="K15" sqref="K15"/>
    </sheetView>
  </sheetViews>
  <sheetFormatPr defaultRowHeight="15" x14ac:dyDescent="0.25"/>
  <cols>
    <col min="1" max="1" width="9.5703125" bestFit="1" customWidth="1"/>
    <col min="2" max="2" width="8.85546875" style="148" customWidth="1"/>
    <col min="3" max="3" width="13.7109375" style="148" customWidth="1"/>
    <col min="4" max="5" width="17" style="148" bestFit="1" customWidth="1"/>
    <col min="6" max="6" width="15.28515625" bestFit="1" customWidth="1"/>
    <col min="7" max="7" width="18" bestFit="1" customWidth="1"/>
    <col min="8" max="8" width="9.5703125" style="228" bestFit="1" customWidth="1"/>
    <col min="9" max="9" width="18" style="148" bestFit="1" customWidth="1"/>
    <col min="10" max="10" width="22.140625" bestFit="1" customWidth="1"/>
    <col min="11" max="11" width="17" bestFit="1" customWidth="1"/>
    <col min="12" max="13" width="20.7109375" style="187" customWidth="1"/>
    <col min="14" max="14" width="11.7109375" style="187" customWidth="1"/>
    <col min="15" max="16" width="17" style="229" bestFit="1" customWidth="1"/>
    <col min="17" max="17" width="8.42578125" style="230" bestFit="1" customWidth="1"/>
    <col min="18" max="19" width="13.5703125" style="230" customWidth="1"/>
    <col min="20" max="20" width="4.85546875" customWidth="1"/>
    <col min="21" max="21" width="7.140625" customWidth="1"/>
  </cols>
  <sheetData>
    <row r="1" spans="1:26" ht="24" customHeight="1" thickBot="1" x14ac:dyDescent="0.3">
      <c r="A1" s="749" t="s">
        <v>326</v>
      </c>
      <c r="B1" s="750"/>
      <c r="C1" s="750"/>
      <c r="D1" s="750"/>
      <c r="E1" s="750"/>
      <c r="F1" s="163" t="s">
        <v>327</v>
      </c>
      <c r="G1" s="164" t="str">
        <f>D4</f>
        <v>Mega  2119</v>
      </c>
      <c r="H1" s="165" t="s">
        <v>328</v>
      </c>
      <c r="I1" s="164" t="str">
        <f>E4</f>
        <v>Mega 2042</v>
      </c>
      <c r="J1" s="166"/>
      <c r="K1" s="753" t="s">
        <v>329</v>
      </c>
      <c r="L1" s="753"/>
      <c r="M1" s="754" t="s">
        <v>543</v>
      </c>
      <c r="N1" s="754"/>
      <c r="O1" s="754"/>
      <c r="P1" s="755"/>
      <c r="Q1" s="756" t="s">
        <v>330</v>
      </c>
      <c r="R1" s="757"/>
      <c r="S1" s="757"/>
    </row>
    <row r="2" spans="1:26" ht="24" customHeight="1" thickBot="1" x14ac:dyDescent="0.3">
      <c r="A2" s="751"/>
      <c r="B2" s="752"/>
      <c r="C2" s="752"/>
      <c r="D2" s="752"/>
      <c r="E2" s="752"/>
      <c r="F2" s="762">
        <f>G4-G8</f>
        <v>0</v>
      </c>
      <c r="G2" s="763"/>
      <c r="H2" s="764">
        <f>G6-G10</f>
        <v>54.699000000000012</v>
      </c>
      <c r="I2" s="765"/>
      <c r="J2" s="167"/>
      <c r="K2" s="753" t="s">
        <v>331</v>
      </c>
      <c r="L2" s="753"/>
      <c r="M2" s="766"/>
      <c r="N2" s="766"/>
      <c r="O2" s="766"/>
      <c r="P2" s="767"/>
      <c r="Q2" s="758"/>
      <c r="R2" s="759"/>
      <c r="S2" s="759"/>
    </row>
    <row r="3" spans="1:26" s="149" customFormat="1" ht="24" customHeight="1" thickBot="1" x14ac:dyDescent="0.4">
      <c r="A3" s="768" t="s">
        <v>332</v>
      </c>
      <c r="B3" s="769"/>
      <c r="C3" s="770"/>
      <c r="D3" s="768" t="s">
        <v>333</v>
      </c>
      <c r="E3" s="769"/>
      <c r="F3" s="168" t="s">
        <v>334</v>
      </c>
      <c r="G3" s="169" t="s">
        <v>328</v>
      </c>
      <c r="H3" s="775" t="s">
        <v>335</v>
      </c>
      <c r="I3" s="776"/>
      <c r="J3" s="776"/>
      <c r="K3" s="777"/>
      <c r="L3" s="775" t="s">
        <v>336</v>
      </c>
      <c r="M3" s="776"/>
      <c r="N3" s="777"/>
      <c r="O3" s="768" t="s">
        <v>337</v>
      </c>
      <c r="P3" s="770"/>
      <c r="Q3" s="760"/>
      <c r="R3" s="761"/>
      <c r="S3" s="761"/>
      <c r="T3"/>
      <c r="U3"/>
    </row>
    <row r="4" spans="1:26" s="149" customFormat="1" ht="24" thickBot="1" x14ac:dyDescent="0.4">
      <c r="A4" s="277" t="s">
        <v>297</v>
      </c>
      <c r="B4" s="277" t="s">
        <v>338</v>
      </c>
      <c r="C4" s="277" t="s">
        <v>339</v>
      </c>
      <c r="D4" s="277" t="s">
        <v>340</v>
      </c>
      <c r="E4" s="277" t="s">
        <v>341</v>
      </c>
      <c r="F4" s="170" t="str">
        <f>D4</f>
        <v>Mega  2119</v>
      </c>
      <c r="G4" s="171">
        <f>SUM(D:D)</f>
        <v>0</v>
      </c>
      <c r="H4" s="172" t="s">
        <v>297</v>
      </c>
      <c r="I4" s="173" t="s">
        <v>342</v>
      </c>
      <c r="J4" s="173" t="s">
        <v>343</v>
      </c>
      <c r="K4" s="173" t="s">
        <v>344</v>
      </c>
      <c r="L4" s="174" t="str">
        <f>D4</f>
        <v>Mega  2119</v>
      </c>
      <c r="M4" s="174" t="str">
        <f>E4</f>
        <v>Mega 2042</v>
      </c>
      <c r="N4" s="174" t="s">
        <v>328</v>
      </c>
      <c r="O4" s="173" t="str">
        <f>D4</f>
        <v>Mega  2119</v>
      </c>
      <c r="P4" s="173" t="str">
        <f>E4</f>
        <v>Mega 2042</v>
      </c>
      <c r="Q4" s="175" t="s">
        <v>297</v>
      </c>
      <c r="R4" s="778" t="s">
        <v>345</v>
      </c>
      <c r="S4" s="779"/>
      <c r="T4"/>
      <c r="U4"/>
    </row>
    <row r="5" spans="1:26" ht="21" customHeight="1" x14ac:dyDescent="0.35">
      <c r="A5" s="176">
        <v>42903</v>
      </c>
      <c r="B5" s="279">
        <v>178621</v>
      </c>
      <c r="C5" s="279" t="s">
        <v>544</v>
      </c>
      <c r="D5" s="279"/>
      <c r="E5" s="177">
        <v>40</v>
      </c>
      <c r="F5" s="178" t="s">
        <v>334</v>
      </c>
      <c r="G5" s="179" t="s">
        <v>328</v>
      </c>
      <c r="H5" s="176">
        <v>42904</v>
      </c>
      <c r="I5" s="279">
        <v>445291</v>
      </c>
      <c r="J5" s="388" t="s">
        <v>544</v>
      </c>
      <c r="K5" s="180"/>
      <c r="L5" s="181"/>
      <c r="M5" s="182">
        <v>29.69</v>
      </c>
      <c r="N5" s="181">
        <f>M5+L5</f>
        <v>29.69</v>
      </c>
      <c r="O5" s="183"/>
      <c r="P5" s="183" t="s">
        <v>556</v>
      </c>
      <c r="Q5" s="176"/>
      <c r="R5" s="780"/>
      <c r="S5" s="780"/>
    </row>
    <row r="6" spans="1:26" ht="21" customHeight="1" thickBot="1" x14ac:dyDescent="0.4">
      <c r="A6" s="184">
        <v>42903</v>
      </c>
      <c r="B6" s="278">
        <v>178619</v>
      </c>
      <c r="C6" s="279" t="s">
        <v>544</v>
      </c>
      <c r="D6" s="278"/>
      <c r="E6" s="185">
        <v>20</v>
      </c>
      <c r="F6" s="170" t="str">
        <f>E4</f>
        <v>Mega 2042</v>
      </c>
      <c r="G6" s="171">
        <f>SUM(E:E)</f>
        <v>332.6</v>
      </c>
      <c r="H6" s="184">
        <v>42904</v>
      </c>
      <c r="I6" s="278">
        <v>445292</v>
      </c>
      <c r="J6" s="186" t="s">
        <v>544</v>
      </c>
      <c r="K6" s="186" t="s">
        <v>557</v>
      </c>
      <c r="L6" s="182"/>
      <c r="M6" s="187">
        <v>24.68</v>
      </c>
      <c r="N6" s="181">
        <f>M6+L6</f>
        <v>24.68</v>
      </c>
      <c r="O6" s="188"/>
      <c r="P6" s="188"/>
      <c r="Q6" s="184"/>
      <c r="R6" s="773"/>
      <c r="S6" s="773"/>
    </row>
    <row r="7" spans="1:26" ht="21" customHeight="1" x14ac:dyDescent="0.35">
      <c r="A7" s="184">
        <v>42903</v>
      </c>
      <c r="B7" s="278">
        <v>178622</v>
      </c>
      <c r="C7" s="279" t="s">
        <v>544</v>
      </c>
      <c r="D7" s="278"/>
      <c r="E7" s="185">
        <v>40</v>
      </c>
      <c r="F7" s="178" t="s">
        <v>348</v>
      </c>
      <c r="G7" s="179" t="s">
        <v>328</v>
      </c>
      <c r="H7" s="184">
        <v>42905</v>
      </c>
      <c r="I7" s="278">
        <v>445293</v>
      </c>
      <c r="J7" s="186" t="s">
        <v>544</v>
      </c>
      <c r="K7" s="186" t="s">
        <v>557</v>
      </c>
      <c r="L7" s="182"/>
      <c r="M7" s="182">
        <v>26.05</v>
      </c>
      <c r="N7" s="181">
        <f>M7+L7</f>
        <v>26.05</v>
      </c>
      <c r="O7" s="188"/>
      <c r="P7" s="188"/>
      <c r="Q7" s="184"/>
      <c r="R7" s="773"/>
      <c r="S7" s="773"/>
    </row>
    <row r="8" spans="1:26" ht="21" customHeight="1" thickBot="1" x14ac:dyDescent="0.4">
      <c r="A8" s="184">
        <v>42904</v>
      </c>
      <c r="B8" s="278">
        <v>180586</v>
      </c>
      <c r="C8" s="279" t="s">
        <v>544</v>
      </c>
      <c r="D8" s="278"/>
      <c r="E8" s="185">
        <v>26</v>
      </c>
      <c r="F8" s="170" t="str">
        <f>D4</f>
        <v>Mega  2119</v>
      </c>
      <c r="G8" s="189">
        <f>SUM(L:L)</f>
        <v>0</v>
      </c>
      <c r="H8" s="184">
        <v>42905</v>
      </c>
      <c r="I8" s="278">
        <v>445294</v>
      </c>
      <c r="J8" s="186" t="s">
        <v>544</v>
      </c>
      <c r="K8" s="186" t="s">
        <v>557</v>
      </c>
      <c r="L8" s="182"/>
      <c r="M8" s="182">
        <v>24.45</v>
      </c>
      <c r="N8" s="181">
        <f t="shared" ref="N8:N71" si="0">M8+L8</f>
        <v>24.45</v>
      </c>
      <c r="O8" s="188"/>
      <c r="P8" s="188"/>
      <c r="Q8" s="184"/>
      <c r="R8" s="773"/>
      <c r="S8" s="773"/>
    </row>
    <row r="9" spans="1:26" ht="21" customHeight="1" x14ac:dyDescent="0.35">
      <c r="A9" s="184">
        <v>42904</v>
      </c>
      <c r="B9" s="278">
        <v>178127</v>
      </c>
      <c r="C9" s="279" t="s">
        <v>544</v>
      </c>
      <c r="D9" s="278"/>
      <c r="E9" s="185">
        <v>40</v>
      </c>
      <c r="F9" s="178" t="s">
        <v>348</v>
      </c>
      <c r="G9" s="179" t="s">
        <v>328</v>
      </c>
      <c r="H9" s="184">
        <v>42906</v>
      </c>
      <c r="I9" s="278">
        <v>445295</v>
      </c>
      <c r="J9" s="186" t="s">
        <v>544</v>
      </c>
      <c r="K9" s="186" t="s">
        <v>567</v>
      </c>
      <c r="L9" s="182"/>
      <c r="M9" s="182">
        <v>25.786999999999999</v>
      </c>
      <c r="N9" s="181">
        <f t="shared" si="0"/>
        <v>25.786999999999999</v>
      </c>
      <c r="O9" s="188"/>
      <c r="P9" s="188"/>
      <c r="Q9" s="184"/>
      <c r="R9" s="773"/>
      <c r="S9" s="773"/>
    </row>
    <row r="10" spans="1:26" ht="21" customHeight="1" thickBot="1" x14ac:dyDescent="0.4">
      <c r="A10" s="184">
        <v>42905</v>
      </c>
      <c r="B10" s="278">
        <v>446052</v>
      </c>
      <c r="C10" s="279" t="s">
        <v>544</v>
      </c>
      <c r="D10" s="278"/>
      <c r="E10" s="185">
        <v>21</v>
      </c>
      <c r="F10" s="170" t="str">
        <f>E4</f>
        <v>Mega 2042</v>
      </c>
      <c r="G10" s="189">
        <f>SUM(M:M)</f>
        <v>277.90100000000001</v>
      </c>
      <c r="H10" s="184">
        <v>42906</v>
      </c>
      <c r="I10" s="278">
        <v>446112</v>
      </c>
      <c r="J10" s="186" t="s">
        <v>544</v>
      </c>
      <c r="K10" s="186" t="s">
        <v>567</v>
      </c>
      <c r="L10" s="182"/>
      <c r="M10" s="182">
        <v>32.884</v>
      </c>
      <c r="N10" s="181">
        <f t="shared" si="0"/>
        <v>32.884</v>
      </c>
      <c r="O10" s="188"/>
      <c r="P10" s="188"/>
      <c r="Q10" s="184"/>
      <c r="R10" s="773"/>
      <c r="S10" s="773"/>
    </row>
    <row r="11" spans="1:26" ht="21" customHeight="1" x14ac:dyDescent="0.25">
      <c r="A11" s="184">
        <v>42906</v>
      </c>
      <c r="B11" s="190" t="s">
        <v>569</v>
      </c>
      <c r="C11" s="279" t="s">
        <v>544</v>
      </c>
      <c r="D11" s="278"/>
      <c r="E11" s="191">
        <v>21.3</v>
      </c>
      <c r="F11" s="192"/>
      <c r="G11" s="193"/>
      <c r="H11" s="210">
        <v>42907</v>
      </c>
      <c r="I11" s="367">
        <v>445113</v>
      </c>
      <c r="J11" s="216" t="s">
        <v>544</v>
      </c>
      <c r="K11" s="216" t="s">
        <v>567</v>
      </c>
      <c r="L11" s="217"/>
      <c r="M11" s="217">
        <v>28.056000000000001</v>
      </c>
      <c r="N11" s="218">
        <f t="shared" si="0"/>
        <v>28.056000000000001</v>
      </c>
      <c r="O11" s="219"/>
      <c r="P11" s="219"/>
      <c r="Q11" s="210"/>
      <c r="R11" s="774"/>
      <c r="S11" s="774"/>
    </row>
    <row r="12" spans="1:26" ht="21" customHeight="1" x14ac:dyDescent="0.25">
      <c r="A12" s="184">
        <v>42906</v>
      </c>
      <c r="B12" s="195" t="s">
        <v>569</v>
      </c>
      <c r="C12" s="196" t="s">
        <v>544</v>
      </c>
      <c r="D12" s="197"/>
      <c r="E12" s="198">
        <v>21.8</v>
      </c>
      <c r="F12" s="192"/>
      <c r="G12" s="193"/>
      <c r="H12" s="194">
        <v>42907</v>
      </c>
      <c r="I12" s="278">
        <v>446114</v>
      </c>
      <c r="J12" s="186" t="s">
        <v>544</v>
      </c>
      <c r="K12" s="186" t="s">
        <v>567</v>
      </c>
      <c r="L12" s="182"/>
      <c r="M12" s="182">
        <v>30.47</v>
      </c>
      <c r="N12" s="181">
        <f t="shared" si="0"/>
        <v>30.47</v>
      </c>
      <c r="O12" s="188"/>
      <c r="P12" s="188"/>
      <c r="Q12" s="194"/>
      <c r="R12" s="773"/>
      <c r="S12" s="773"/>
    </row>
    <row r="13" spans="1:26" ht="21" customHeight="1" x14ac:dyDescent="0.25">
      <c r="A13" s="184">
        <v>42906</v>
      </c>
      <c r="B13" s="278" t="s">
        <v>569</v>
      </c>
      <c r="C13" s="279" t="s">
        <v>544</v>
      </c>
      <c r="D13" s="278"/>
      <c r="E13" s="185">
        <v>32.5</v>
      </c>
      <c r="F13" s="192"/>
      <c r="G13" s="193"/>
      <c r="H13" s="184">
        <v>42908</v>
      </c>
      <c r="I13" s="278">
        <v>446115</v>
      </c>
      <c r="J13" s="186" t="s">
        <v>544</v>
      </c>
      <c r="K13" s="186" t="s">
        <v>567</v>
      </c>
      <c r="L13" s="182"/>
      <c r="M13" s="182">
        <v>27.334</v>
      </c>
      <c r="N13" s="181">
        <f t="shared" si="0"/>
        <v>27.334</v>
      </c>
      <c r="O13" s="188"/>
      <c r="P13" s="188"/>
      <c r="Q13" s="184"/>
      <c r="R13" s="773"/>
      <c r="S13" s="773"/>
    </row>
    <row r="14" spans="1:26" ht="21" customHeight="1" x14ac:dyDescent="0.25">
      <c r="A14" s="184">
        <v>42907</v>
      </c>
      <c r="B14" s="278" t="s">
        <v>569</v>
      </c>
      <c r="C14" s="279" t="s">
        <v>544</v>
      </c>
      <c r="D14" s="278"/>
      <c r="E14" s="185">
        <v>37</v>
      </c>
      <c r="F14" s="192"/>
      <c r="G14" s="193"/>
      <c r="H14" s="184">
        <v>42908</v>
      </c>
      <c r="I14" s="199">
        <v>446116</v>
      </c>
      <c r="J14" s="200" t="s">
        <v>544</v>
      </c>
      <c r="K14" s="186" t="s">
        <v>567</v>
      </c>
      <c r="L14" s="182"/>
      <c r="M14" s="182">
        <v>28.5</v>
      </c>
      <c r="N14" s="181">
        <f t="shared" si="0"/>
        <v>28.5</v>
      </c>
      <c r="O14" s="188"/>
      <c r="P14" s="188"/>
      <c r="Q14" s="184"/>
      <c r="R14" s="773"/>
      <c r="S14" s="773"/>
    </row>
    <row r="15" spans="1:26" ht="21" customHeight="1" x14ac:dyDescent="0.35">
      <c r="A15" s="184">
        <v>42907</v>
      </c>
      <c r="B15" s="278" t="s">
        <v>569</v>
      </c>
      <c r="C15" s="279" t="s">
        <v>544</v>
      </c>
      <c r="D15" s="278"/>
      <c r="E15" s="185">
        <v>33</v>
      </c>
      <c r="F15" s="192"/>
      <c r="G15" s="193"/>
      <c r="H15" s="184"/>
      <c r="I15" s="199"/>
      <c r="J15" s="200"/>
      <c r="K15" s="186"/>
      <c r="L15" s="182"/>
      <c r="M15" s="182"/>
      <c r="N15" s="181">
        <f t="shared" si="0"/>
        <v>0</v>
      </c>
      <c r="O15" s="188"/>
      <c r="P15" s="188"/>
      <c r="Q15" s="184"/>
      <c r="R15" s="773"/>
      <c r="S15" s="773"/>
      <c r="T15" s="201"/>
      <c r="U15" s="201"/>
      <c r="V15" s="202"/>
      <c r="W15" s="203"/>
      <c r="X15" s="203"/>
      <c r="Y15" s="203"/>
      <c r="Z15" s="203"/>
    </row>
    <row r="16" spans="1:26" ht="21" customHeight="1" x14ac:dyDescent="0.35">
      <c r="A16" s="184"/>
      <c r="B16" s="278"/>
      <c r="C16" s="279"/>
      <c r="D16" s="278"/>
      <c r="E16" s="185"/>
      <c r="F16" s="192"/>
      <c r="G16" s="193"/>
      <c r="H16" s="184"/>
      <c r="I16" s="278"/>
      <c r="J16" s="186"/>
      <c r="K16" s="186"/>
      <c r="L16" s="182"/>
      <c r="M16" s="182"/>
      <c r="N16" s="181">
        <f t="shared" si="0"/>
        <v>0</v>
      </c>
      <c r="O16" s="188"/>
      <c r="P16" s="188"/>
      <c r="Q16" s="184"/>
      <c r="R16" s="773"/>
      <c r="S16" s="773"/>
      <c r="T16" s="201"/>
      <c r="U16" s="201"/>
      <c r="V16" s="202"/>
      <c r="W16" s="204"/>
      <c r="X16" s="203"/>
      <c r="Y16" s="203"/>
      <c r="Z16" s="203"/>
    </row>
    <row r="17" spans="1:26" ht="21" customHeight="1" x14ac:dyDescent="0.35">
      <c r="A17" s="184"/>
      <c r="B17" s="278"/>
      <c r="C17" s="279"/>
      <c r="D17" s="278"/>
      <c r="E17" s="185"/>
      <c r="F17" s="192"/>
      <c r="G17" s="193"/>
      <c r="H17" s="205"/>
      <c r="I17" s="206"/>
      <c r="J17" s="207"/>
      <c r="K17" s="207"/>
      <c r="L17" s="208"/>
      <c r="M17" s="208"/>
      <c r="N17" s="181">
        <f t="shared" si="0"/>
        <v>0</v>
      </c>
      <c r="O17" s="188"/>
      <c r="P17" s="188"/>
      <c r="Q17" s="184"/>
      <c r="R17" s="773"/>
      <c r="S17" s="773"/>
      <c r="T17" s="201"/>
      <c r="U17" s="201"/>
      <c r="V17" s="202"/>
      <c r="W17" s="209"/>
      <c r="X17" s="203"/>
      <c r="Y17" s="203"/>
      <c r="Z17" s="203"/>
    </row>
    <row r="18" spans="1:26" ht="21" customHeight="1" x14ac:dyDescent="0.35">
      <c r="A18" s="184"/>
      <c r="B18" s="278"/>
      <c r="C18" s="279"/>
      <c r="D18" s="278"/>
      <c r="E18" s="185"/>
      <c r="F18" s="771"/>
      <c r="G18" s="772"/>
      <c r="H18" s="184"/>
      <c r="I18" s="199"/>
      <c r="J18" s="200"/>
      <c r="K18" s="186"/>
      <c r="L18" s="182"/>
      <c r="M18" s="182"/>
      <c r="N18" s="181">
        <f t="shared" si="0"/>
        <v>0</v>
      </c>
      <c r="O18" s="188"/>
      <c r="P18" s="188"/>
      <c r="Q18" s="184"/>
      <c r="R18" s="773"/>
      <c r="S18" s="773"/>
      <c r="T18" s="201"/>
      <c r="U18" s="201"/>
      <c r="V18" s="202"/>
      <c r="W18" s="209"/>
      <c r="X18" s="203"/>
      <c r="Y18" s="203"/>
      <c r="Z18" s="203"/>
    </row>
    <row r="19" spans="1:26" s="222" customFormat="1" ht="21" customHeight="1" x14ac:dyDescent="0.35">
      <c r="A19" s="210"/>
      <c r="B19" s="280"/>
      <c r="C19" s="211"/>
      <c r="D19" s="280"/>
      <c r="E19" s="212"/>
      <c r="F19" s="213"/>
      <c r="G19" s="214"/>
      <c r="H19" s="210"/>
      <c r="I19" s="215"/>
      <c r="J19" s="215"/>
      <c r="K19" s="216"/>
      <c r="L19" s="217"/>
      <c r="M19" s="217"/>
      <c r="N19" s="218">
        <f t="shared" si="0"/>
        <v>0</v>
      </c>
      <c r="O19" s="219"/>
      <c r="P19" s="219"/>
      <c r="Q19" s="210"/>
      <c r="R19" s="774"/>
      <c r="S19" s="774"/>
      <c r="T19" s="220"/>
      <c r="U19" s="220"/>
      <c r="V19" s="221"/>
    </row>
    <row r="20" spans="1:26" ht="21" customHeight="1" x14ac:dyDescent="0.35">
      <c r="A20" s="184"/>
      <c r="B20" s="278"/>
      <c r="C20" s="279"/>
      <c r="D20" s="278"/>
      <c r="E20" s="185"/>
      <c r="F20" s="192"/>
      <c r="G20" s="193"/>
      <c r="H20" s="184"/>
      <c r="I20" s="278"/>
      <c r="J20" s="186"/>
      <c r="K20" s="186"/>
      <c r="L20" s="182"/>
      <c r="M20" s="182"/>
      <c r="N20" s="181">
        <f t="shared" si="0"/>
        <v>0</v>
      </c>
      <c r="O20" s="188"/>
      <c r="P20" s="188"/>
      <c r="Q20" s="184"/>
      <c r="R20" s="773"/>
      <c r="S20" s="773"/>
      <c r="T20" s="203"/>
      <c r="U20" s="203"/>
      <c r="V20" s="202"/>
      <c r="W20" s="203"/>
      <c r="X20" s="203"/>
      <c r="Y20" s="203"/>
      <c r="Z20" s="203"/>
    </row>
    <row r="21" spans="1:26" ht="21" customHeight="1" x14ac:dyDescent="0.35">
      <c r="A21" s="184"/>
      <c r="B21" s="278"/>
      <c r="C21" s="279"/>
      <c r="D21" s="278"/>
      <c r="E21" s="185"/>
      <c r="F21" s="192"/>
      <c r="G21" s="193"/>
      <c r="H21" s="184"/>
      <c r="I21" s="278"/>
      <c r="J21" s="186"/>
      <c r="K21" s="186"/>
      <c r="L21" s="182"/>
      <c r="M21" s="182"/>
      <c r="N21" s="181">
        <f t="shared" si="0"/>
        <v>0</v>
      </c>
      <c r="O21" s="188"/>
      <c r="P21" s="188"/>
      <c r="Q21" s="184"/>
      <c r="R21" s="773"/>
      <c r="S21" s="773"/>
      <c r="T21" s="203"/>
      <c r="U21" s="203"/>
      <c r="V21" s="202"/>
      <c r="W21" s="203"/>
      <c r="X21" s="203"/>
      <c r="Y21" s="203"/>
      <c r="Z21" s="203"/>
    </row>
    <row r="22" spans="1:26" ht="21" customHeight="1" x14ac:dyDescent="0.35">
      <c r="A22" s="184"/>
      <c r="B22" s="278"/>
      <c r="C22" s="279"/>
      <c r="D22" s="278"/>
      <c r="E22" s="185"/>
      <c r="F22" s="192"/>
      <c r="G22" s="193"/>
      <c r="H22" s="184"/>
      <c r="I22" s="278"/>
      <c r="J22" s="186"/>
      <c r="K22" s="186"/>
      <c r="L22" s="182"/>
      <c r="M22" s="182"/>
      <c r="N22" s="181">
        <f t="shared" si="0"/>
        <v>0</v>
      </c>
      <c r="O22" s="188"/>
      <c r="P22" s="188"/>
      <c r="Q22" s="184"/>
      <c r="R22" s="773"/>
      <c r="S22" s="773"/>
      <c r="V22" s="202"/>
    </row>
    <row r="23" spans="1:26" ht="21" customHeight="1" x14ac:dyDescent="0.25">
      <c r="A23" s="184"/>
      <c r="B23" s="278"/>
      <c r="C23" s="278"/>
      <c r="D23" s="278"/>
      <c r="E23" s="185"/>
      <c r="F23" s="192"/>
      <c r="G23" s="193"/>
      <c r="H23" s="184"/>
      <c r="I23" s="278"/>
      <c r="J23" s="186"/>
      <c r="K23" s="186"/>
      <c r="L23" s="182"/>
      <c r="M23" s="182"/>
      <c r="N23" s="181">
        <f t="shared" si="0"/>
        <v>0</v>
      </c>
      <c r="O23" s="188"/>
      <c r="P23" s="188"/>
      <c r="Q23" s="184"/>
      <c r="R23" s="773"/>
      <c r="S23" s="773"/>
    </row>
    <row r="24" spans="1:26" ht="21" customHeight="1" x14ac:dyDescent="0.25">
      <c r="A24" s="184"/>
      <c r="B24" s="278"/>
      <c r="C24" s="278"/>
      <c r="D24" s="278"/>
      <c r="E24" s="185"/>
      <c r="F24" s="192"/>
      <c r="G24" s="193"/>
      <c r="H24" s="184"/>
      <c r="I24" s="278"/>
      <c r="J24" s="186"/>
      <c r="K24" s="186"/>
      <c r="L24" s="182"/>
      <c r="M24" s="182"/>
      <c r="N24" s="181">
        <f t="shared" si="0"/>
        <v>0</v>
      </c>
      <c r="O24" s="188"/>
      <c r="P24" s="188"/>
      <c r="Q24" s="184"/>
      <c r="R24" s="773"/>
      <c r="S24" s="773"/>
    </row>
    <row r="25" spans="1:26" ht="21" customHeight="1" x14ac:dyDescent="0.25">
      <c r="A25" s="184"/>
      <c r="B25" s="278"/>
      <c r="C25" s="278"/>
      <c r="D25" s="278"/>
      <c r="E25" s="185"/>
      <c r="F25" s="192"/>
      <c r="G25" s="193"/>
      <c r="H25" s="184"/>
      <c r="I25" s="278"/>
      <c r="J25" s="186"/>
      <c r="K25" s="186"/>
      <c r="L25" s="182"/>
      <c r="M25" s="182"/>
      <c r="N25" s="181">
        <f t="shared" si="0"/>
        <v>0</v>
      </c>
      <c r="O25" s="188"/>
      <c r="P25" s="188"/>
      <c r="Q25" s="184"/>
      <c r="R25" s="773"/>
      <c r="S25" s="773"/>
    </row>
    <row r="26" spans="1:26" ht="21" customHeight="1" x14ac:dyDescent="0.25">
      <c r="A26" s="184"/>
      <c r="B26" s="278"/>
      <c r="C26" s="278"/>
      <c r="D26" s="278"/>
      <c r="E26" s="185"/>
      <c r="F26" s="192"/>
      <c r="G26" s="193"/>
      <c r="H26" s="184"/>
      <c r="I26" s="278"/>
      <c r="J26" s="186"/>
      <c r="K26" s="186"/>
      <c r="L26" s="182"/>
      <c r="M26" s="182"/>
      <c r="N26" s="181">
        <f t="shared" si="0"/>
        <v>0</v>
      </c>
      <c r="O26" s="188"/>
      <c r="P26" s="188"/>
      <c r="Q26" s="184"/>
      <c r="R26" s="773"/>
      <c r="S26" s="773"/>
    </row>
    <row r="27" spans="1:26" ht="21" customHeight="1" x14ac:dyDescent="0.25">
      <c r="A27" s="184"/>
      <c r="B27" s="278"/>
      <c r="C27" s="278"/>
      <c r="D27" s="278"/>
      <c r="E27" s="185"/>
      <c r="F27" s="192"/>
      <c r="G27" s="193"/>
      <c r="H27" s="184"/>
      <c r="I27" s="278"/>
      <c r="J27" s="186"/>
      <c r="K27" s="186"/>
      <c r="L27" s="182"/>
      <c r="M27" s="182"/>
      <c r="N27" s="181">
        <f t="shared" si="0"/>
        <v>0</v>
      </c>
      <c r="O27" s="188"/>
      <c r="P27" s="188"/>
      <c r="Q27" s="184"/>
      <c r="R27" s="773"/>
      <c r="S27" s="773"/>
    </row>
    <row r="28" spans="1:26" ht="21" customHeight="1" x14ac:dyDescent="0.25">
      <c r="A28" s="184"/>
      <c r="B28" s="278"/>
      <c r="C28" s="278"/>
      <c r="D28" s="278"/>
      <c r="E28" s="185"/>
      <c r="F28" s="192"/>
      <c r="G28" s="193"/>
      <c r="H28" s="184"/>
      <c r="I28" s="278"/>
      <c r="J28" s="186"/>
      <c r="K28" s="186"/>
      <c r="L28" s="182"/>
      <c r="M28" s="182"/>
      <c r="N28" s="181">
        <f t="shared" si="0"/>
        <v>0</v>
      </c>
      <c r="O28" s="188"/>
      <c r="P28" s="188"/>
      <c r="Q28" s="184"/>
      <c r="R28" s="773"/>
      <c r="S28" s="773"/>
    </row>
    <row r="29" spans="1:26" ht="21" customHeight="1" x14ac:dyDescent="0.25">
      <c r="A29" s="184"/>
      <c r="B29" s="278"/>
      <c r="C29" s="278"/>
      <c r="D29" s="278"/>
      <c r="E29" s="185"/>
      <c r="F29" s="192"/>
      <c r="G29" s="193"/>
      <c r="H29" s="184"/>
      <c r="I29" s="278"/>
      <c r="J29" s="186"/>
      <c r="K29" s="186"/>
      <c r="L29" s="182"/>
      <c r="M29" s="182"/>
      <c r="N29" s="181">
        <f t="shared" si="0"/>
        <v>0</v>
      </c>
      <c r="O29" s="188"/>
      <c r="P29" s="188"/>
      <c r="Q29" s="184"/>
      <c r="R29" s="773"/>
      <c r="S29" s="773"/>
    </row>
    <row r="30" spans="1:26" ht="21" customHeight="1" x14ac:dyDescent="0.25">
      <c r="A30" s="184"/>
      <c r="B30" s="278"/>
      <c r="C30" s="278"/>
      <c r="D30" s="278"/>
      <c r="E30" s="185"/>
      <c r="F30" s="192"/>
      <c r="G30" s="193"/>
      <c r="H30" s="184"/>
      <c r="I30" s="278"/>
      <c r="J30" s="186"/>
      <c r="K30" s="186"/>
      <c r="L30" s="182"/>
      <c r="M30" s="182"/>
      <c r="N30" s="181">
        <f t="shared" si="0"/>
        <v>0</v>
      </c>
      <c r="O30" s="188"/>
      <c r="P30" s="188"/>
      <c r="Q30" s="184"/>
      <c r="R30" s="773"/>
      <c r="S30" s="773"/>
    </row>
    <row r="31" spans="1:26" ht="21" customHeight="1" x14ac:dyDescent="0.25">
      <c r="A31" s="223"/>
      <c r="B31" s="281"/>
      <c r="C31" s="281"/>
      <c r="D31" s="281"/>
      <c r="E31" s="224"/>
      <c r="F31" s="192"/>
      <c r="G31" s="193"/>
      <c r="H31" s="223"/>
      <c r="I31" s="278"/>
      <c r="J31" s="186"/>
      <c r="K31" s="186"/>
      <c r="L31" s="182"/>
      <c r="M31" s="182"/>
      <c r="N31" s="181">
        <f t="shared" si="0"/>
        <v>0</v>
      </c>
      <c r="O31" s="188"/>
      <c r="P31" s="188"/>
      <c r="Q31" s="223"/>
      <c r="R31" s="773"/>
      <c r="S31" s="773"/>
    </row>
    <row r="32" spans="1:26" ht="21" customHeight="1" x14ac:dyDescent="0.25">
      <c r="A32" s="223"/>
      <c r="B32" s="281"/>
      <c r="C32" s="281"/>
      <c r="D32" s="281"/>
      <c r="E32" s="224"/>
      <c r="F32" s="192"/>
      <c r="G32" s="193"/>
      <c r="H32" s="223"/>
      <c r="I32" s="278"/>
      <c r="J32" s="186"/>
      <c r="K32" s="186"/>
      <c r="L32" s="182"/>
      <c r="M32" s="182"/>
      <c r="N32" s="181">
        <f t="shared" si="0"/>
        <v>0</v>
      </c>
      <c r="O32" s="188"/>
      <c r="P32" s="188"/>
      <c r="Q32" s="223"/>
      <c r="R32" s="773"/>
      <c r="S32" s="773"/>
    </row>
    <row r="33" spans="1:19" ht="21" customHeight="1" x14ac:dyDescent="0.25">
      <c r="A33" s="223"/>
      <c r="B33" s="281"/>
      <c r="C33" s="281"/>
      <c r="D33" s="281"/>
      <c r="E33" s="224"/>
      <c r="F33" s="192"/>
      <c r="G33" s="193"/>
      <c r="H33" s="223"/>
      <c r="I33" s="281"/>
      <c r="J33" s="225"/>
      <c r="K33" s="225"/>
      <c r="L33" s="226"/>
      <c r="M33" s="226"/>
      <c r="N33" s="181">
        <f t="shared" si="0"/>
        <v>0</v>
      </c>
      <c r="O33" s="227"/>
      <c r="P33" s="227"/>
      <c r="Q33" s="223"/>
      <c r="R33" s="781"/>
      <c r="S33" s="781"/>
    </row>
    <row r="34" spans="1:19" ht="21" customHeight="1" x14ac:dyDescent="0.25">
      <c r="A34" s="223"/>
      <c r="B34" s="281"/>
      <c r="C34" s="281"/>
      <c r="D34" s="281"/>
      <c r="E34" s="224"/>
      <c r="F34" s="192"/>
      <c r="G34" s="193"/>
      <c r="H34" s="223"/>
      <c r="I34" s="281"/>
      <c r="J34" s="225"/>
      <c r="K34" s="225"/>
      <c r="L34" s="226"/>
      <c r="M34" s="226"/>
      <c r="N34" s="181">
        <f t="shared" si="0"/>
        <v>0</v>
      </c>
      <c r="O34" s="227"/>
      <c r="P34" s="227"/>
      <c r="Q34" s="223"/>
      <c r="R34" s="781"/>
      <c r="S34" s="781"/>
    </row>
    <row r="35" spans="1:19" ht="21" customHeight="1" x14ac:dyDescent="0.25">
      <c r="A35" s="223"/>
      <c r="B35" s="281"/>
      <c r="C35" s="281"/>
      <c r="D35" s="281"/>
      <c r="E35" s="224"/>
      <c r="F35" s="192"/>
      <c r="G35" s="193"/>
      <c r="H35" s="223"/>
      <c r="I35" s="281"/>
      <c r="J35" s="225"/>
      <c r="K35" s="225"/>
      <c r="L35" s="226"/>
      <c r="M35" s="226"/>
      <c r="N35" s="181">
        <f t="shared" si="0"/>
        <v>0</v>
      </c>
      <c r="O35" s="227"/>
      <c r="P35" s="227"/>
      <c r="Q35" s="223"/>
      <c r="R35" s="781"/>
      <c r="S35" s="781"/>
    </row>
    <row r="36" spans="1:19" ht="21" customHeight="1" x14ac:dyDescent="0.25">
      <c r="A36" s="223"/>
      <c r="B36" s="281"/>
      <c r="C36" s="281"/>
      <c r="D36" s="281"/>
      <c r="E36" s="224"/>
      <c r="F36" s="192"/>
      <c r="G36" s="193"/>
      <c r="H36" s="223"/>
      <c r="I36" s="281"/>
      <c r="J36" s="225"/>
      <c r="K36" s="225"/>
      <c r="L36" s="226"/>
      <c r="M36" s="226"/>
      <c r="N36" s="181">
        <f t="shared" si="0"/>
        <v>0</v>
      </c>
      <c r="O36" s="227"/>
      <c r="P36" s="227"/>
      <c r="Q36" s="223"/>
      <c r="R36" s="781"/>
      <c r="S36" s="781"/>
    </row>
    <row r="37" spans="1:19" ht="21" customHeight="1" x14ac:dyDescent="0.25">
      <c r="A37" s="223"/>
      <c r="B37" s="281"/>
      <c r="C37" s="281"/>
      <c r="D37" s="281"/>
      <c r="E37" s="224"/>
      <c r="F37" s="192"/>
      <c r="G37" s="193"/>
      <c r="H37" s="223"/>
      <c r="I37" s="281"/>
      <c r="J37" s="225"/>
      <c r="K37" s="225"/>
      <c r="L37" s="226"/>
      <c r="M37" s="226"/>
      <c r="N37" s="181">
        <f t="shared" si="0"/>
        <v>0</v>
      </c>
      <c r="O37" s="227"/>
      <c r="P37" s="227"/>
      <c r="Q37" s="223"/>
      <c r="R37" s="781"/>
      <c r="S37" s="781"/>
    </row>
    <row r="38" spans="1:19" ht="21" customHeight="1" x14ac:dyDescent="0.25">
      <c r="A38" s="223"/>
      <c r="B38" s="281"/>
      <c r="C38" s="281"/>
      <c r="D38" s="281"/>
      <c r="E38" s="224"/>
      <c r="F38" s="192"/>
      <c r="G38" s="193"/>
      <c r="H38" s="223"/>
      <c r="I38" s="281"/>
      <c r="J38" s="225"/>
      <c r="K38" s="225"/>
      <c r="L38" s="226"/>
      <c r="M38" s="226"/>
      <c r="N38" s="181">
        <f t="shared" si="0"/>
        <v>0</v>
      </c>
      <c r="O38" s="227"/>
      <c r="P38" s="227"/>
      <c r="Q38" s="223"/>
      <c r="R38" s="781"/>
      <c r="S38" s="781"/>
    </row>
    <row r="39" spans="1:19" ht="21" customHeight="1" x14ac:dyDescent="0.25">
      <c r="A39" s="223"/>
      <c r="B39" s="281"/>
      <c r="C39" s="281"/>
      <c r="D39" s="281"/>
      <c r="E39" s="224"/>
      <c r="F39" s="192"/>
      <c r="G39" s="193"/>
      <c r="H39" s="223"/>
      <c r="I39" s="281"/>
      <c r="J39" s="225"/>
      <c r="K39" s="225"/>
      <c r="L39" s="226"/>
      <c r="M39" s="226"/>
      <c r="N39" s="181">
        <f t="shared" si="0"/>
        <v>0</v>
      </c>
      <c r="O39" s="227"/>
      <c r="P39" s="227"/>
      <c r="Q39" s="223"/>
      <c r="R39" s="781"/>
      <c r="S39" s="781"/>
    </row>
    <row r="40" spans="1:19" ht="21" customHeight="1" x14ac:dyDescent="0.25">
      <c r="A40" s="223"/>
      <c r="B40" s="281"/>
      <c r="C40" s="281"/>
      <c r="D40" s="281"/>
      <c r="E40" s="224"/>
      <c r="F40" s="192"/>
      <c r="G40" s="193"/>
      <c r="H40" s="223"/>
      <c r="I40" s="281"/>
      <c r="J40" s="225"/>
      <c r="K40" s="225"/>
      <c r="L40" s="226"/>
      <c r="M40" s="226"/>
      <c r="N40" s="181">
        <f t="shared" si="0"/>
        <v>0</v>
      </c>
      <c r="O40" s="227"/>
      <c r="P40" s="227"/>
      <c r="Q40" s="223"/>
      <c r="R40" s="781"/>
      <c r="S40" s="781"/>
    </row>
    <row r="41" spans="1:19" ht="21" customHeight="1" x14ac:dyDescent="0.25">
      <c r="A41" s="223"/>
      <c r="B41" s="281"/>
      <c r="C41" s="281"/>
      <c r="D41" s="281"/>
      <c r="E41" s="224"/>
      <c r="F41" s="192"/>
      <c r="G41" s="193"/>
      <c r="H41" s="223"/>
      <c r="I41" s="281"/>
      <c r="J41" s="225"/>
      <c r="K41" s="225"/>
      <c r="L41" s="226"/>
      <c r="M41" s="226"/>
      <c r="N41" s="181">
        <f t="shared" si="0"/>
        <v>0</v>
      </c>
      <c r="O41" s="227"/>
      <c r="P41" s="227"/>
      <c r="Q41" s="223"/>
      <c r="R41" s="781"/>
      <c r="S41" s="781"/>
    </row>
    <row r="42" spans="1:19" ht="21" customHeight="1" x14ac:dyDescent="0.25">
      <c r="A42" s="223"/>
      <c r="B42" s="281"/>
      <c r="C42" s="281"/>
      <c r="D42" s="281"/>
      <c r="E42" s="224"/>
      <c r="F42" s="192"/>
      <c r="G42" s="193"/>
      <c r="H42" s="223"/>
      <c r="I42" s="281"/>
      <c r="J42" s="225"/>
      <c r="K42" s="225"/>
      <c r="L42" s="226"/>
      <c r="M42" s="226"/>
      <c r="N42" s="181">
        <f t="shared" si="0"/>
        <v>0</v>
      </c>
      <c r="O42" s="227"/>
      <c r="P42" s="227"/>
      <c r="Q42" s="223"/>
      <c r="R42" s="781"/>
      <c r="S42" s="781"/>
    </row>
    <row r="43" spans="1:19" ht="21" customHeight="1" x14ac:dyDescent="0.25">
      <c r="A43" s="223"/>
      <c r="B43" s="281"/>
      <c r="C43" s="281"/>
      <c r="D43" s="281"/>
      <c r="E43" s="224"/>
      <c r="F43" s="192"/>
      <c r="G43" s="193"/>
      <c r="H43" s="223"/>
      <c r="I43" s="281"/>
      <c r="J43" s="225"/>
      <c r="K43" s="225"/>
      <c r="L43" s="226"/>
      <c r="M43" s="226"/>
      <c r="N43" s="181">
        <f t="shared" si="0"/>
        <v>0</v>
      </c>
      <c r="O43" s="227"/>
      <c r="P43" s="227"/>
      <c r="Q43" s="223"/>
      <c r="R43" s="781"/>
      <c r="S43" s="781"/>
    </row>
    <row r="44" spans="1:19" ht="21" customHeight="1" x14ac:dyDescent="0.25">
      <c r="A44" s="223"/>
      <c r="B44" s="281"/>
      <c r="C44" s="281"/>
      <c r="D44" s="281"/>
      <c r="E44" s="224"/>
      <c r="F44" s="192"/>
      <c r="G44" s="193"/>
      <c r="H44" s="223"/>
      <c r="I44" s="281"/>
      <c r="J44" s="225"/>
      <c r="K44" s="225"/>
      <c r="L44" s="226"/>
      <c r="M44" s="226"/>
      <c r="N44" s="181">
        <f t="shared" si="0"/>
        <v>0</v>
      </c>
      <c r="O44" s="227"/>
      <c r="P44" s="227"/>
      <c r="Q44" s="223"/>
      <c r="R44" s="781"/>
      <c r="S44" s="781"/>
    </row>
    <row r="45" spans="1:19" ht="21" customHeight="1" x14ac:dyDescent="0.25">
      <c r="A45" s="223"/>
      <c r="B45" s="281"/>
      <c r="C45" s="281"/>
      <c r="D45" s="281"/>
      <c r="E45" s="224"/>
      <c r="F45" s="192"/>
      <c r="G45" s="193"/>
      <c r="H45" s="223"/>
      <c r="I45" s="281"/>
      <c r="J45" s="225"/>
      <c r="K45" s="225"/>
      <c r="L45" s="226"/>
      <c r="M45" s="226"/>
      <c r="N45" s="181">
        <f t="shared" si="0"/>
        <v>0</v>
      </c>
      <c r="O45" s="227"/>
      <c r="P45" s="227"/>
      <c r="Q45" s="223"/>
      <c r="R45" s="781"/>
      <c r="S45" s="781"/>
    </row>
    <row r="46" spans="1:19" ht="21" customHeight="1" x14ac:dyDescent="0.25">
      <c r="A46" s="223"/>
      <c r="B46" s="281"/>
      <c r="C46" s="281"/>
      <c r="D46" s="281"/>
      <c r="E46" s="224"/>
      <c r="F46" s="192"/>
      <c r="G46" s="193"/>
      <c r="H46" s="223"/>
      <c r="I46" s="281"/>
      <c r="J46" s="225"/>
      <c r="K46" s="225"/>
      <c r="L46" s="226"/>
      <c r="M46" s="226"/>
      <c r="N46" s="181">
        <f t="shared" si="0"/>
        <v>0</v>
      </c>
      <c r="O46" s="227"/>
      <c r="P46" s="227"/>
      <c r="Q46" s="223"/>
      <c r="R46" s="781"/>
      <c r="S46" s="781"/>
    </row>
    <row r="47" spans="1:19" ht="21" customHeight="1" x14ac:dyDescent="0.25">
      <c r="A47" s="223"/>
      <c r="B47" s="281"/>
      <c r="C47" s="281"/>
      <c r="D47" s="281"/>
      <c r="E47" s="224"/>
      <c r="F47" s="192"/>
      <c r="G47" s="193"/>
      <c r="H47" s="223"/>
      <c r="I47" s="281"/>
      <c r="J47" s="225"/>
      <c r="K47" s="225"/>
      <c r="L47" s="226"/>
      <c r="M47" s="226"/>
      <c r="N47" s="181">
        <f t="shared" si="0"/>
        <v>0</v>
      </c>
      <c r="O47" s="227"/>
      <c r="P47" s="227"/>
      <c r="Q47" s="223"/>
      <c r="R47" s="781"/>
      <c r="S47" s="781"/>
    </row>
    <row r="48" spans="1:19" ht="21" customHeight="1" x14ac:dyDescent="0.25">
      <c r="A48" s="223"/>
      <c r="B48" s="281"/>
      <c r="C48" s="281"/>
      <c r="D48" s="281"/>
      <c r="E48" s="224"/>
      <c r="F48" s="192"/>
      <c r="G48" s="193"/>
      <c r="H48" s="223"/>
      <c r="I48" s="281"/>
      <c r="J48" s="225"/>
      <c r="K48" s="225"/>
      <c r="L48" s="226"/>
      <c r="M48" s="226"/>
      <c r="N48" s="181">
        <f t="shared" si="0"/>
        <v>0</v>
      </c>
      <c r="O48" s="227"/>
      <c r="P48" s="227"/>
      <c r="Q48" s="223"/>
      <c r="R48" s="781"/>
      <c r="S48" s="781"/>
    </row>
    <row r="49" spans="1:19" ht="21" customHeight="1" x14ac:dyDescent="0.25">
      <c r="A49" s="223"/>
      <c r="B49" s="281"/>
      <c r="C49" s="281"/>
      <c r="D49" s="281"/>
      <c r="E49" s="224"/>
      <c r="F49" s="192"/>
      <c r="G49" s="193"/>
      <c r="H49" s="223"/>
      <c r="I49" s="281"/>
      <c r="J49" s="225"/>
      <c r="K49" s="225"/>
      <c r="L49" s="226"/>
      <c r="M49" s="226"/>
      <c r="N49" s="181">
        <f t="shared" si="0"/>
        <v>0</v>
      </c>
      <c r="O49" s="227"/>
      <c r="P49" s="227"/>
      <c r="Q49" s="223"/>
      <c r="R49" s="781"/>
      <c r="S49" s="781"/>
    </row>
    <row r="50" spans="1:19" ht="21" customHeight="1" x14ac:dyDescent="0.25">
      <c r="A50" s="223"/>
      <c r="B50" s="281"/>
      <c r="C50" s="281"/>
      <c r="D50" s="281"/>
      <c r="E50" s="224"/>
      <c r="F50" s="192"/>
      <c r="G50" s="193"/>
      <c r="H50" s="223"/>
      <c r="I50" s="281"/>
      <c r="J50" s="225"/>
      <c r="K50" s="225"/>
      <c r="L50" s="226"/>
      <c r="M50" s="226"/>
      <c r="N50" s="181">
        <f t="shared" si="0"/>
        <v>0</v>
      </c>
      <c r="O50" s="227"/>
      <c r="P50" s="227"/>
      <c r="Q50" s="223"/>
      <c r="R50" s="781"/>
      <c r="S50" s="781"/>
    </row>
    <row r="51" spans="1:19" ht="21" customHeight="1" x14ac:dyDescent="0.25">
      <c r="A51" s="223"/>
      <c r="B51" s="281"/>
      <c r="C51" s="281"/>
      <c r="D51" s="281"/>
      <c r="E51" s="224"/>
      <c r="F51" s="192"/>
      <c r="G51" s="193"/>
      <c r="H51" s="223"/>
      <c r="I51" s="281"/>
      <c r="J51" s="225"/>
      <c r="K51" s="225"/>
      <c r="L51" s="226"/>
      <c r="M51" s="226"/>
      <c r="N51" s="181">
        <f t="shared" si="0"/>
        <v>0</v>
      </c>
      <c r="O51" s="227"/>
      <c r="P51" s="227"/>
      <c r="Q51" s="223"/>
      <c r="R51" s="781"/>
      <c r="S51" s="781"/>
    </row>
    <row r="52" spans="1:19" ht="21" customHeight="1" x14ac:dyDescent="0.25">
      <c r="A52" s="223"/>
      <c r="B52" s="281"/>
      <c r="C52" s="281"/>
      <c r="D52" s="281"/>
      <c r="E52" s="224"/>
      <c r="F52" s="192"/>
      <c r="G52" s="193"/>
      <c r="H52" s="223"/>
      <c r="I52" s="281"/>
      <c r="J52" s="225"/>
      <c r="K52" s="225"/>
      <c r="L52" s="226"/>
      <c r="M52" s="226"/>
      <c r="N52" s="181">
        <f t="shared" si="0"/>
        <v>0</v>
      </c>
      <c r="O52" s="227"/>
      <c r="P52" s="227"/>
      <c r="Q52" s="223"/>
      <c r="R52" s="781"/>
      <c r="S52" s="781"/>
    </row>
    <row r="53" spans="1:19" ht="21" customHeight="1" x14ac:dyDescent="0.25">
      <c r="A53" s="223"/>
      <c r="B53" s="281"/>
      <c r="C53" s="281"/>
      <c r="D53" s="281"/>
      <c r="E53" s="224"/>
      <c r="F53" s="192"/>
      <c r="G53" s="193"/>
      <c r="H53" s="223"/>
      <c r="I53" s="281"/>
      <c r="J53" s="225"/>
      <c r="K53" s="225"/>
      <c r="L53" s="226"/>
      <c r="M53" s="226"/>
      <c r="N53" s="181">
        <f t="shared" si="0"/>
        <v>0</v>
      </c>
      <c r="O53" s="227"/>
      <c r="P53" s="227"/>
      <c r="Q53" s="223"/>
      <c r="R53" s="781"/>
      <c r="S53" s="781"/>
    </row>
    <row r="54" spans="1:19" ht="21" customHeight="1" x14ac:dyDescent="0.25">
      <c r="A54" s="223"/>
      <c r="B54" s="281"/>
      <c r="C54" s="281"/>
      <c r="D54" s="281"/>
      <c r="E54" s="224"/>
      <c r="F54" s="192"/>
      <c r="G54" s="193"/>
      <c r="H54" s="223"/>
      <c r="I54" s="281"/>
      <c r="J54" s="225"/>
      <c r="K54" s="225"/>
      <c r="L54" s="226"/>
      <c r="M54" s="226"/>
      <c r="N54" s="181">
        <f t="shared" si="0"/>
        <v>0</v>
      </c>
      <c r="O54" s="227"/>
      <c r="P54" s="227"/>
      <c r="Q54" s="223"/>
      <c r="R54" s="781"/>
      <c r="S54" s="781"/>
    </row>
    <row r="55" spans="1:19" ht="21" customHeight="1" x14ac:dyDescent="0.25">
      <c r="A55" s="223"/>
      <c r="B55" s="281"/>
      <c r="C55" s="281"/>
      <c r="D55" s="281"/>
      <c r="E55" s="224"/>
      <c r="F55" s="192"/>
      <c r="G55" s="193"/>
      <c r="H55" s="223"/>
      <c r="I55" s="281"/>
      <c r="J55" s="225"/>
      <c r="K55" s="225"/>
      <c r="L55" s="226"/>
      <c r="M55" s="226"/>
      <c r="N55" s="181">
        <f t="shared" si="0"/>
        <v>0</v>
      </c>
      <c r="O55" s="227"/>
      <c r="P55" s="227"/>
      <c r="Q55" s="223"/>
      <c r="R55" s="781"/>
      <c r="S55" s="781"/>
    </row>
    <row r="56" spans="1:19" ht="21" customHeight="1" x14ac:dyDescent="0.25">
      <c r="A56" s="223"/>
      <c r="B56" s="281"/>
      <c r="C56" s="281"/>
      <c r="D56" s="281"/>
      <c r="E56" s="224"/>
      <c r="F56" s="192"/>
      <c r="G56" s="193"/>
      <c r="H56" s="223"/>
      <c r="I56" s="281"/>
      <c r="J56" s="225"/>
      <c r="K56" s="225"/>
      <c r="L56" s="226"/>
      <c r="M56" s="226"/>
      <c r="N56" s="181">
        <f t="shared" si="0"/>
        <v>0</v>
      </c>
      <c r="O56" s="227"/>
      <c r="P56" s="227"/>
      <c r="Q56" s="223"/>
      <c r="R56" s="781"/>
      <c r="S56" s="781"/>
    </row>
    <row r="57" spans="1:19" ht="21" customHeight="1" x14ac:dyDescent="0.25">
      <c r="A57" s="223"/>
      <c r="B57" s="281"/>
      <c r="C57" s="281"/>
      <c r="D57" s="281"/>
      <c r="E57" s="224"/>
      <c r="F57" s="192"/>
      <c r="G57" s="193"/>
      <c r="H57" s="223"/>
      <c r="I57" s="281"/>
      <c r="J57" s="225"/>
      <c r="K57" s="225"/>
      <c r="L57" s="226"/>
      <c r="M57" s="226"/>
      <c r="N57" s="181">
        <f t="shared" si="0"/>
        <v>0</v>
      </c>
      <c r="O57" s="227"/>
      <c r="P57" s="227"/>
      <c r="Q57" s="223"/>
      <c r="R57" s="781"/>
      <c r="S57" s="781"/>
    </row>
    <row r="58" spans="1:19" ht="21" customHeight="1" x14ac:dyDescent="0.25">
      <c r="A58" s="223"/>
      <c r="B58" s="281"/>
      <c r="C58" s="281"/>
      <c r="D58" s="281"/>
      <c r="E58" s="224"/>
      <c r="F58" s="192"/>
      <c r="G58" s="193"/>
      <c r="H58" s="223"/>
      <c r="I58" s="281"/>
      <c r="J58" s="225"/>
      <c r="K58" s="225"/>
      <c r="L58" s="226"/>
      <c r="M58" s="226"/>
      <c r="N58" s="181">
        <f t="shared" si="0"/>
        <v>0</v>
      </c>
      <c r="O58" s="227"/>
      <c r="P58" s="227"/>
      <c r="Q58" s="223"/>
      <c r="R58" s="781"/>
      <c r="S58" s="781"/>
    </row>
    <row r="59" spans="1:19" ht="21" customHeight="1" x14ac:dyDescent="0.25">
      <c r="A59" s="223"/>
      <c r="B59" s="281"/>
      <c r="C59" s="281"/>
      <c r="D59" s="281"/>
      <c r="E59" s="224"/>
      <c r="F59" s="192"/>
      <c r="G59" s="193"/>
      <c r="H59" s="223"/>
      <c r="I59" s="281"/>
      <c r="J59" s="225"/>
      <c r="K59" s="225"/>
      <c r="L59" s="226"/>
      <c r="M59" s="226"/>
      <c r="N59" s="181">
        <f t="shared" si="0"/>
        <v>0</v>
      </c>
      <c r="O59" s="227"/>
      <c r="P59" s="227"/>
      <c r="Q59" s="223"/>
      <c r="R59" s="781"/>
      <c r="S59" s="781"/>
    </row>
    <row r="60" spans="1:19" ht="21" customHeight="1" x14ac:dyDescent="0.25">
      <c r="A60" s="223"/>
      <c r="B60" s="281"/>
      <c r="C60" s="281"/>
      <c r="D60" s="281"/>
      <c r="E60" s="224"/>
      <c r="F60" s="192"/>
      <c r="G60" s="193"/>
      <c r="H60" s="223"/>
      <c r="I60" s="281"/>
      <c r="J60" s="225"/>
      <c r="K60" s="225"/>
      <c r="L60" s="226"/>
      <c r="M60" s="226"/>
      <c r="N60" s="181">
        <f t="shared" si="0"/>
        <v>0</v>
      </c>
      <c r="O60" s="227"/>
      <c r="P60" s="227"/>
      <c r="Q60" s="223"/>
      <c r="R60" s="781"/>
      <c r="S60" s="781"/>
    </row>
    <row r="61" spans="1:19" ht="21" customHeight="1" x14ac:dyDescent="0.25">
      <c r="A61" s="223"/>
      <c r="B61" s="281"/>
      <c r="C61" s="281"/>
      <c r="D61" s="281"/>
      <c r="E61" s="224"/>
      <c r="F61" s="192"/>
      <c r="G61" s="193"/>
      <c r="H61" s="223"/>
      <c r="I61" s="281"/>
      <c r="J61" s="225"/>
      <c r="K61" s="225"/>
      <c r="L61" s="226"/>
      <c r="M61" s="226"/>
      <c r="N61" s="181">
        <f t="shared" si="0"/>
        <v>0</v>
      </c>
      <c r="O61" s="227"/>
      <c r="P61" s="227"/>
      <c r="Q61" s="223"/>
      <c r="R61" s="781"/>
      <c r="S61" s="781"/>
    </row>
    <row r="62" spans="1:19" ht="21" customHeight="1" x14ac:dyDescent="0.25">
      <c r="A62" s="223"/>
      <c r="B62" s="281"/>
      <c r="C62" s="281"/>
      <c r="D62" s="281"/>
      <c r="E62" s="224"/>
      <c r="F62" s="192"/>
      <c r="G62" s="193"/>
      <c r="H62" s="223"/>
      <c r="I62" s="281"/>
      <c r="J62" s="225"/>
      <c r="K62" s="225"/>
      <c r="L62" s="226"/>
      <c r="M62" s="226"/>
      <c r="N62" s="181">
        <f t="shared" si="0"/>
        <v>0</v>
      </c>
      <c r="O62" s="227"/>
      <c r="P62" s="227"/>
      <c r="Q62" s="223"/>
      <c r="R62" s="781"/>
      <c r="S62" s="781"/>
    </row>
    <row r="63" spans="1:19" ht="21" customHeight="1" x14ac:dyDescent="0.25">
      <c r="A63" s="223"/>
      <c r="B63" s="281"/>
      <c r="C63" s="281"/>
      <c r="D63" s="281"/>
      <c r="E63" s="224"/>
      <c r="F63" s="192"/>
      <c r="G63" s="193"/>
      <c r="H63" s="223"/>
      <c r="I63" s="281"/>
      <c r="J63" s="225"/>
      <c r="K63" s="225"/>
      <c r="L63" s="226"/>
      <c r="M63" s="226"/>
      <c r="N63" s="181">
        <f t="shared" si="0"/>
        <v>0</v>
      </c>
      <c r="O63" s="227"/>
      <c r="P63" s="227"/>
      <c r="Q63" s="223"/>
      <c r="R63" s="781"/>
      <c r="S63" s="781"/>
    </row>
    <row r="64" spans="1:19" ht="21" customHeight="1" x14ac:dyDescent="0.25">
      <c r="A64" s="223"/>
      <c r="B64" s="281"/>
      <c r="C64" s="281"/>
      <c r="D64" s="281"/>
      <c r="E64" s="224"/>
      <c r="F64" s="192"/>
      <c r="G64" s="193"/>
      <c r="H64" s="223"/>
      <c r="I64" s="281"/>
      <c r="J64" s="225"/>
      <c r="K64" s="225"/>
      <c r="L64" s="226"/>
      <c r="M64" s="226"/>
      <c r="N64" s="181">
        <f t="shared" si="0"/>
        <v>0</v>
      </c>
      <c r="O64" s="227"/>
      <c r="P64" s="227"/>
      <c r="Q64" s="223"/>
      <c r="R64" s="781"/>
      <c r="S64" s="781"/>
    </row>
    <row r="65" spans="1:19" ht="15.75" x14ac:dyDescent="0.25">
      <c r="A65" s="223"/>
      <c r="B65" s="281"/>
      <c r="C65" s="281"/>
      <c r="D65" s="281"/>
      <c r="E65" s="224"/>
      <c r="F65" s="192"/>
      <c r="G65" s="193"/>
      <c r="H65" s="223"/>
      <c r="I65" s="281"/>
      <c r="J65" s="225"/>
      <c r="K65" s="225"/>
      <c r="L65" s="226"/>
      <c r="M65" s="226"/>
      <c r="N65" s="181">
        <f t="shared" si="0"/>
        <v>0</v>
      </c>
      <c r="O65" s="227"/>
      <c r="P65" s="227"/>
      <c r="Q65" s="223"/>
      <c r="R65" s="781"/>
      <c r="S65" s="781"/>
    </row>
    <row r="66" spans="1:19" ht="15.75" x14ac:dyDescent="0.25">
      <c r="A66" s="223"/>
      <c r="B66" s="281"/>
      <c r="C66" s="281"/>
      <c r="D66" s="281"/>
      <c r="E66" s="224"/>
      <c r="F66" s="192"/>
      <c r="G66" s="193"/>
      <c r="H66" s="223"/>
      <c r="I66" s="281"/>
      <c r="J66" s="225"/>
      <c r="K66" s="225"/>
      <c r="L66" s="226"/>
      <c r="M66" s="226"/>
      <c r="N66" s="181">
        <f t="shared" si="0"/>
        <v>0</v>
      </c>
      <c r="O66" s="227"/>
      <c r="P66" s="227"/>
      <c r="Q66" s="223"/>
      <c r="R66" s="781"/>
      <c r="S66" s="781"/>
    </row>
    <row r="67" spans="1:19" ht="15.75" x14ac:dyDescent="0.25">
      <c r="A67" s="223"/>
      <c r="B67" s="281"/>
      <c r="C67" s="281"/>
      <c r="D67" s="281"/>
      <c r="E67" s="224"/>
      <c r="F67" s="192"/>
      <c r="G67" s="193"/>
      <c r="H67" s="223"/>
      <c r="I67" s="281"/>
      <c r="J67" s="225"/>
      <c r="K67" s="225"/>
      <c r="L67" s="226"/>
      <c r="M67" s="226"/>
      <c r="N67" s="181">
        <f t="shared" si="0"/>
        <v>0</v>
      </c>
      <c r="O67" s="227"/>
      <c r="P67" s="227"/>
      <c r="Q67" s="223"/>
      <c r="R67" s="781"/>
      <c r="S67" s="781"/>
    </row>
    <row r="68" spans="1:19" ht="15.75" x14ac:dyDescent="0.25">
      <c r="A68" s="223"/>
      <c r="B68" s="281"/>
      <c r="C68" s="281"/>
      <c r="D68" s="281"/>
      <c r="E68" s="224"/>
      <c r="F68" s="192"/>
      <c r="G68" s="193"/>
      <c r="H68" s="223"/>
      <c r="I68" s="281"/>
      <c r="J68" s="225"/>
      <c r="K68" s="225"/>
      <c r="L68" s="226"/>
      <c r="M68" s="226"/>
      <c r="N68" s="181">
        <f t="shared" si="0"/>
        <v>0</v>
      </c>
      <c r="O68" s="227"/>
      <c r="P68" s="227"/>
      <c r="Q68" s="223"/>
      <c r="R68" s="781"/>
      <c r="S68" s="781"/>
    </row>
    <row r="69" spans="1:19" ht="15.75" x14ac:dyDescent="0.25">
      <c r="A69" s="223"/>
      <c r="B69" s="281"/>
      <c r="C69" s="281"/>
      <c r="D69" s="281"/>
      <c r="E69" s="224"/>
      <c r="F69" s="192"/>
      <c r="G69" s="193"/>
      <c r="H69" s="223"/>
      <c r="I69" s="281"/>
      <c r="J69" s="225"/>
      <c r="K69" s="225"/>
      <c r="L69" s="226"/>
      <c r="M69" s="226"/>
      <c r="N69" s="181">
        <f t="shared" si="0"/>
        <v>0</v>
      </c>
      <c r="O69" s="227"/>
      <c r="P69" s="227"/>
      <c r="Q69" s="223"/>
      <c r="R69" s="781"/>
      <c r="S69" s="781"/>
    </row>
    <row r="70" spans="1:19" ht="15.75" x14ac:dyDescent="0.25">
      <c r="A70" s="223"/>
      <c r="B70" s="281"/>
      <c r="C70" s="281"/>
      <c r="D70" s="281"/>
      <c r="E70" s="224"/>
      <c r="F70" s="192"/>
      <c r="G70" s="193"/>
      <c r="H70" s="223"/>
      <c r="I70" s="281"/>
      <c r="J70" s="225"/>
      <c r="K70" s="225"/>
      <c r="L70" s="226"/>
      <c r="M70" s="226"/>
      <c r="N70" s="181">
        <f t="shared" si="0"/>
        <v>0</v>
      </c>
      <c r="O70" s="227"/>
      <c r="P70" s="227"/>
      <c r="Q70" s="223"/>
      <c r="R70" s="781"/>
      <c r="S70" s="781"/>
    </row>
    <row r="71" spans="1:19" ht="15.75" x14ac:dyDescent="0.25">
      <c r="A71" s="223"/>
      <c r="B71" s="281"/>
      <c r="C71" s="281"/>
      <c r="D71" s="281"/>
      <c r="E71" s="224"/>
      <c r="F71" s="192"/>
      <c r="G71" s="193"/>
      <c r="H71" s="223"/>
      <c r="I71" s="281"/>
      <c r="J71" s="225"/>
      <c r="K71" s="225"/>
      <c r="L71" s="226"/>
      <c r="M71" s="226"/>
      <c r="N71" s="181">
        <f t="shared" si="0"/>
        <v>0</v>
      </c>
      <c r="O71" s="227"/>
      <c r="P71" s="227"/>
      <c r="Q71" s="223"/>
      <c r="R71" s="781"/>
      <c r="S71" s="781"/>
    </row>
    <row r="72" spans="1:19" ht="15.75" x14ac:dyDescent="0.25">
      <c r="A72" s="223"/>
      <c r="B72" s="281"/>
      <c r="C72" s="281"/>
      <c r="D72" s="281"/>
      <c r="E72" s="224"/>
      <c r="F72" s="192"/>
      <c r="G72" s="193"/>
      <c r="H72" s="223"/>
      <c r="I72" s="281"/>
      <c r="J72" s="225"/>
      <c r="K72" s="225"/>
      <c r="L72" s="226"/>
      <c r="M72" s="226"/>
      <c r="N72" s="181">
        <f t="shared" ref="N72:N135" si="1">M72+L72</f>
        <v>0</v>
      </c>
      <c r="O72" s="227"/>
      <c r="P72" s="227"/>
      <c r="Q72" s="223"/>
      <c r="R72" s="781"/>
      <c r="S72" s="781"/>
    </row>
    <row r="73" spans="1:19" ht="15.75" x14ac:dyDescent="0.25">
      <c r="A73" s="223"/>
      <c r="B73" s="281"/>
      <c r="C73" s="281"/>
      <c r="D73" s="281"/>
      <c r="E73" s="224"/>
      <c r="F73" s="192"/>
      <c r="G73" s="193"/>
      <c r="H73" s="223"/>
      <c r="I73" s="281"/>
      <c r="J73" s="225"/>
      <c r="K73" s="225"/>
      <c r="L73" s="226"/>
      <c r="M73" s="226"/>
      <c r="N73" s="181">
        <f t="shared" si="1"/>
        <v>0</v>
      </c>
      <c r="O73" s="227"/>
      <c r="P73" s="227"/>
      <c r="Q73" s="223"/>
      <c r="R73" s="781"/>
      <c r="S73" s="781"/>
    </row>
    <row r="74" spans="1:19" ht="15.75" x14ac:dyDescent="0.25">
      <c r="A74" s="223"/>
      <c r="B74" s="281"/>
      <c r="C74" s="281"/>
      <c r="D74" s="281"/>
      <c r="E74" s="224"/>
      <c r="F74" s="192"/>
      <c r="G74" s="193"/>
      <c r="H74" s="223"/>
      <c r="I74" s="281"/>
      <c r="J74" s="225"/>
      <c r="K74" s="225"/>
      <c r="L74" s="226"/>
      <c r="M74" s="226"/>
      <c r="N74" s="181">
        <f t="shared" si="1"/>
        <v>0</v>
      </c>
      <c r="O74" s="227"/>
      <c r="P74" s="227"/>
      <c r="Q74" s="223"/>
      <c r="R74" s="781"/>
      <c r="S74" s="781"/>
    </row>
    <row r="75" spans="1:19" ht="15.75" x14ac:dyDescent="0.25">
      <c r="A75" s="223"/>
      <c r="B75" s="281"/>
      <c r="C75" s="281"/>
      <c r="D75" s="281"/>
      <c r="E75" s="224"/>
      <c r="F75" s="192"/>
      <c r="G75" s="193"/>
      <c r="H75" s="223"/>
      <c r="I75" s="281"/>
      <c r="J75" s="225"/>
      <c r="K75" s="225"/>
      <c r="L75" s="226"/>
      <c r="M75" s="226"/>
      <c r="N75" s="181">
        <f t="shared" si="1"/>
        <v>0</v>
      </c>
      <c r="O75" s="227"/>
      <c r="P75" s="227"/>
      <c r="Q75" s="223"/>
      <c r="R75" s="781"/>
      <c r="S75" s="781"/>
    </row>
    <row r="76" spans="1:19" ht="15.75" x14ac:dyDescent="0.25">
      <c r="A76" s="223"/>
      <c r="B76" s="281"/>
      <c r="C76" s="281"/>
      <c r="D76" s="281"/>
      <c r="E76" s="224"/>
      <c r="F76" s="192"/>
      <c r="G76" s="193"/>
      <c r="H76" s="223"/>
      <c r="I76" s="281"/>
      <c r="J76" s="225"/>
      <c r="K76" s="225"/>
      <c r="L76" s="226"/>
      <c r="M76" s="226"/>
      <c r="N76" s="181">
        <f t="shared" si="1"/>
        <v>0</v>
      </c>
      <c r="O76" s="227"/>
      <c r="P76" s="227"/>
      <c r="Q76" s="223"/>
      <c r="R76" s="781"/>
      <c r="S76" s="781"/>
    </row>
    <row r="77" spans="1:19" ht="15.75" x14ac:dyDescent="0.25">
      <c r="A77" s="223"/>
      <c r="B77" s="281"/>
      <c r="C77" s="281"/>
      <c r="D77" s="281"/>
      <c r="E77" s="224"/>
      <c r="F77" s="192"/>
      <c r="G77" s="193"/>
      <c r="H77" s="223"/>
      <c r="I77" s="281"/>
      <c r="J77" s="225"/>
      <c r="K77" s="225"/>
      <c r="L77" s="226"/>
      <c r="M77" s="226"/>
      <c r="N77" s="181">
        <f t="shared" si="1"/>
        <v>0</v>
      </c>
      <c r="O77" s="227"/>
      <c r="P77" s="227"/>
      <c r="Q77" s="223"/>
      <c r="R77" s="781"/>
      <c r="S77" s="781"/>
    </row>
    <row r="78" spans="1:19" ht="15.75" x14ac:dyDescent="0.25">
      <c r="A78" s="223"/>
      <c r="B78" s="281"/>
      <c r="C78" s="281"/>
      <c r="D78" s="281"/>
      <c r="E78" s="224"/>
      <c r="F78" s="192"/>
      <c r="G78" s="193"/>
      <c r="H78" s="223"/>
      <c r="I78" s="281"/>
      <c r="J78" s="225"/>
      <c r="K78" s="225"/>
      <c r="L78" s="226"/>
      <c r="M78" s="226"/>
      <c r="N78" s="181">
        <f t="shared" si="1"/>
        <v>0</v>
      </c>
      <c r="O78" s="227"/>
      <c r="P78" s="227"/>
      <c r="Q78" s="223"/>
      <c r="R78" s="781"/>
      <c r="S78" s="781"/>
    </row>
    <row r="79" spans="1:19" ht="15.75" x14ac:dyDescent="0.25">
      <c r="A79" s="223"/>
      <c r="B79" s="281"/>
      <c r="C79" s="281"/>
      <c r="D79" s="281"/>
      <c r="E79" s="224"/>
      <c r="F79" s="192"/>
      <c r="G79" s="193"/>
      <c r="H79" s="223"/>
      <c r="I79" s="281"/>
      <c r="J79" s="225"/>
      <c r="K79" s="225"/>
      <c r="L79" s="226"/>
      <c r="M79" s="226"/>
      <c r="N79" s="181">
        <f t="shared" si="1"/>
        <v>0</v>
      </c>
      <c r="O79" s="227"/>
      <c r="P79" s="227"/>
      <c r="Q79" s="223"/>
      <c r="R79" s="781"/>
      <c r="S79" s="781"/>
    </row>
    <row r="80" spans="1:19" ht="15.75" x14ac:dyDescent="0.25">
      <c r="A80" s="223"/>
      <c r="B80" s="281"/>
      <c r="C80" s="281"/>
      <c r="D80" s="281"/>
      <c r="E80" s="224"/>
      <c r="F80" s="192"/>
      <c r="G80" s="193"/>
      <c r="H80" s="223"/>
      <c r="I80" s="281"/>
      <c r="J80" s="225"/>
      <c r="K80" s="225"/>
      <c r="L80" s="226"/>
      <c r="M80" s="226"/>
      <c r="N80" s="181">
        <f t="shared" si="1"/>
        <v>0</v>
      </c>
      <c r="O80" s="227"/>
      <c r="P80" s="227"/>
      <c r="Q80" s="223"/>
      <c r="R80" s="781"/>
      <c r="S80" s="781"/>
    </row>
    <row r="81" spans="1:19" ht="15.75" x14ac:dyDescent="0.25">
      <c r="A81" s="223"/>
      <c r="B81" s="281"/>
      <c r="C81" s="281"/>
      <c r="D81" s="281"/>
      <c r="E81" s="224"/>
      <c r="F81" s="192"/>
      <c r="G81" s="193"/>
      <c r="H81" s="223"/>
      <c r="I81" s="281"/>
      <c r="J81" s="225"/>
      <c r="K81" s="225"/>
      <c r="L81" s="226"/>
      <c r="M81" s="226"/>
      <c r="N81" s="181">
        <f t="shared" si="1"/>
        <v>0</v>
      </c>
      <c r="O81" s="227"/>
      <c r="P81" s="227"/>
      <c r="Q81" s="223"/>
      <c r="R81" s="781"/>
      <c r="S81" s="781"/>
    </row>
    <row r="82" spans="1:19" ht="15.75" x14ac:dyDescent="0.25">
      <c r="A82" s="223"/>
      <c r="B82" s="281"/>
      <c r="C82" s="281"/>
      <c r="D82" s="281"/>
      <c r="E82" s="224"/>
      <c r="F82" s="192"/>
      <c r="G82" s="193"/>
      <c r="H82" s="223"/>
      <c r="I82" s="281"/>
      <c r="J82" s="225"/>
      <c r="K82" s="225"/>
      <c r="L82" s="226"/>
      <c r="M82" s="226"/>
      <c r="N82" s="181">
        <f t="shared" si="1"/>
        <v>0</v>
      </c>
      <c r="O82" s="227"/>
      <c r="P82" s="227"/>
      <c r="Q82" s="223"/>
      <c r="R82" s="781"/>
      <c r="S82" s="781"/>
    </row>
    <row r="83" spans="1:19" ht="15.75" x14ac:dyDescent="0.25">
      <c r="A83" s="223"/>
      <c r="B83" s="281"/>
      <c r="C83" s="281"/>
      <c r="D83" s="281"/>
      <c r="E83" s="224"/>
      <c r="F83" s="192"/>
      <c r="G83" s="193"/>
      <c r="H83" s="223"/>
      <c r="I83" s="281"/>
      <c r="J83" s="225"/>
      <c r="K83" s="225"/>
      <c r="L83" s="226"/>
      <c r="M83" s="226"/>
      <c r="N83" s="181">
        <f t="shared" si="1"/>
        <v>0</v>
      </c>
      <c r="O83" s="227"/>
      <c r="P83" s="227"/>
      <c r="Q83" s="223"/>
      <c r="R83" s="781"/>
      <c r="S83" s="781"/>
    </row>
    <row r="84" spans="1:19" ht="15.75" x14ac:dyDescent="0.25">
      <c r="A84" s="223"/>
      <c r="B84" s="281"/>
      <c r="C84" s="281"/>
      <c r="D84" s="281"/>
      <c r="E84" s="224"/>
      <c r="F84" s="192"/>
      <c r="G84" s="193"/>
      <c r="H84" s="223"/>
      <c r="I84" s="281"/>
      <c r="J84" s="225"/>
      <c r="K84" s="225"/>
      <c r="L84" s="226"/>
      <c r="M84" s="226"/>
      <c r="N84" s="181">
        <f t="shared" si="1"/>
        <v>0</v>
      </c>
      <c r="O84" s="227"/>
      <c r="P84" s="227"/>
      <c r="Q84" s="223"/>
      <c r="R84" s="781"/>
      <c r="S84" s="781"/>
    </row>
    <row r="85" spans="1:19" ht="15.75" x14ac:dyDescent="0.25">
      <c r="A85" s="223"/>
      <c r="B85" s="281"/>
      <c r="C85" s="281"/>
      <c r="D85" s="281"/>
      <c r="E85" s="224"/>
      <c r="F85" s="192"/>
      <c r="G85" s="193"/>
      <c r="H85" s="223"/>
      <c r="I85" s="281"/>
      <c r="J85" s="225"/>
      <c r="K85" s="225"/>
      <c r="L85" s="226"/>
      <c r="M85" s="226"/>
      <c r="N85" s="181">
        <f t="shared" si="1"/>
        <v>0</v>
      </c>
      <c r="O85" s="227"/>
      <c r="P85" s="227"/>
      <c r="Q85" s="223"/>
      <c r="R85" s="781"/>
      <c r="S85" s="781"/>
    </row>
    <row r="86" spans="1:19" ht="15.75" x14ac:dyDescent="0.25">
      <c r="A86" s="223"/>
      <c r="B86" s="281"/>
      <c r="C86" s="281"/>
      <c r="D86" s="281"/>
      <c r="E86" s="224"/>
      <c r="F86" s="192"/>
      <c r="G86" s="193"/>
      <c r="H86" s="223"/>
      <c r="I86" s="281"/>
      <c r="J86" s="225"/>
      <c r="K86" s="225"/>
      <c r="L86" s="226"/>
      <c r="M86" s="226"/>
      <c r="N86" s="181">
        <f t="shared" si="1"/>
        <v>0</v>
      </c>
      <c r="O86" s="227"/>
      <c r="P86" s="227"/>
      <c r="Q86" s="223"/>
      <c r="R86" s="781"/>
      <c r="S86" s="781"/>
    </row>
    <row r="87" spans="1:19" ht="15.75" x14ac:dyDescent="0.25">
      <c r="A87" s="223"/>
      <c r="B87" s="281"/>
      <c r="C87" s="281"/>
      <c r="D87" s="281"/>
      <c r="E87" s="224"/>
      <c r="F87" s="192"/>
      <c r="G87" s="193"/>
      <c r="H87" s="223"/>
      <c r="I87" s="281"/>
      <c r="J87" s="225"/>
      <c r="K87" s="225"/>
      <c r="L87" s="226"/>
      <c r="M87" s="226"/>
      <c r="N87" s="181">
        <f t="shared" si="1"/>
        <v>0</v>
      </c>
      <c r="O87" s="227"/>
      <c r="P87" s="227"/>
      <c r="Q87" s="223"/>
      <c r="R87" s="781"/>
      <c r="S87" s="781"/>
    </row>
    <row r="88" spans="1:19" ht="15.75" x14ac:dyDescent="0.25">
      <c r="A88" s="223"/>
      <c r="B88" s="281"/>
      <c r="C88" s="281"/>
      <c r="D88" s="281"/>
      <c r="E88" s="224"/>
      <c r="F88" s="192"/>
      <c r="G88" s="193"/>
      <c r="H88" s="223"/>
      <c r="I88" s="281"/>
      <c r="J88" s="225"/>
      <c r="K88" s="225"/>
      <c r="L88" s="226"/>
      <c r="M88" s="226"/>
      <c r="N88" s="181">
        <f t="shared" si="1"/>
        <v>0</v>
      </c>
      <c r="O88" s="227"/>
      <c r="P88" s="227"/>
      <c r="Q88" s="223"/>
      <c r="R88" s="781"/>
      <c r="S88" s="781"/>
    </row>
    <row r="89" spans="1:19" ht="15.75" x14ac:dyDescent="0.25">
      <c r="A89" s="223"/>
      <c r="B89" s="281"/>
      <c r="C89" s="281"/>
      <c r="D89" s="281"/>
      <c r="E89" s="224"/>
      <c r="F89" s="192"/>
      <c r="G89" s="193"/>
      <c r="H89" s="223"/>
      <c r="I89" s="281"/>
      <c r="J89" s="225"/>
      <c r="K89" s="225"/>
      <c r="L89" s="226"/>
      <c r="M89" s="226"/>
      <c r="N89" s="181">
        <f t="shared" si="1"/>
        <v>0</v>
      </c>
      <c r="O89" s="227"/>
      <c r="P89" s="227"/>
      <c r="Q89" s="223"/>
      <c r="R89" s="781"/>
      <c r="S89" s="781"/>
    </row>
    <row r="90" spans="1:19" ht="15.75" x14ac:dyDescent="0.25">
      <c r="A90" s="223"/>
      <c r="B90" s="281"/>
      <c r="C90" s="281"/>
      <c r="D90" s="281"/>
      <c r="E90" s="224"/>
      <c r="F90" s="192"/>
      <c r="G90" s="193"/>
      <c r="H90" s="223"/>
      <c r="I90" s="281"/>
      <c r="J90" s="225"/>
      <c r="K90" s="225"/>
      <c r="L90" s="226"/>
      <c r="M90" s="226"/>
      <c r="N90" s="181">
        <f t="shared" si="1"/>
        <v>0</v>
      </c>
      <c r="O90" s="227"/>
      <c r="P90" s="227"/>
      <c r="Q90" s="223"/>
      <c r="R90" s="781"/>
      <c r="S90" s="781"/>
    </row>
    <row r="91" spans="1:19" ht="15.75" x14ac:dyDescent="0.25">
      <c r="A91" s="223"/>
      <c r="B91" s="281"/>
      <c r="C91" s="281"/>
      <c r="D91" s="281"/>
      <c r="E91" s="224"/>
      <c r="F91" s="192"/>
      <c r="G91" s="193"/>
      <c r="H91" s="223"/>
      <c r="I91" s="281"/>
      <c r="J91" s="225"/>
      <c r="K91" s="225"/>
      <c r="L91" s="226"/>
      <c r="M91" s="226"/>
      <c r="N91" s="181">
        <f t="shared" si="1"/>
        <v>0</v>
      </c>
      <c r="O91" s="227"/>
      <c r="P91" s="227"/>
      <c r="Q91" s="223"/>
      <c r="R91" s="781"/>
      <c r="S91" s="781"/>
    </row>
    <row r="92" spans="1:19" ht="15.75" x14ac:dyDescent="0.25">
      <c r="A92" s="223"/>
      <c r="B92" s="281"/>
      <c r="C92" s="281"/>
      <c r="D92" s="281"/>
      <c r="E92" s="224"/>
      <c r="F92" s="192"/>
      <c r="G92" s="193"/>
      <c r="H92" s="223"/>
      <c r="I92" s="281"/>
      <c r="J92" s="225"/>
      <c r="K92" s="225"/>
      <c r="L92" s="226"/>
      <c r="M92" s="226"/>
      <c r="N92" s="181">
        <f t="shared" si="1"/>
        <v>0</v>
      </c>
      <c r="O92" s="227"/>
      <c r="P92" s="227"/>
      <c r="Q92" s="223"/>
      <c r="R92" s="781"/>
      <c r="S92" s="781"/>
    </row>
    <row r="93" spans="1:19" ht="15.75" x14ac:dyDescent="0.25">
      <c r="A93" s="223"/>
      <c r="B93" s="281"/>
      <c r="C93" s="281"/>
      <c r="D93" s="281"/>
      <c r="E93" s="224"/>
      <c r="F93" s="192"/>
      <c r="G93" s="193"/>
      <c r="H93" s="223"/>
      <c r="I93" s="281"/>
      <c r="J93" s="225"/>
      <c r="K93" s="225"/>
      <c r="L93" s="226"/>
      <c r="M93" s="226"/>
      <c r="N93" s="181">
        <f t="shared" si="1"/>
        <v>0</v>
      </c>
      <c r="O93" s="227"/>
      <c r="P93" s="227"/>
      <c r="Q93" s="223"/>
      <c r="R93" s="781"/>
      <c r="S93" s="781"/>
    </row>
    <row r="94" spans="1:19" ht="15.75" x14ac:dyDescent="0.25">
      <c r="A94" s="223"/>
      <c r="B94" s="281"/>
      <c r="C94" s="281"/>
      <c r="D94" s="281"/>
      <c r="E94" s="224"/>
      <c r="F94" s="192"/>
      <c r="G94" s="193"/>
      <c r="H94" s="223"/>
      <c r="I94" s="281"/>
      <c r="J94" s="225"/>
      <c r="K94" s="225"/>
      <c r="L94" s="226"/>
      <c r="M94" s="226"/>
      <c r="N94" s="181">
        <f t="shared" si="1"/>
        <v>0</v>
      </c>
      <c r="O94" s="227"/>
      <c r="P94" s="227"/>
      <c r="Q94" s="223"/>
      <c r="R94" s="781"/>
      <c r="S94" s="781"/>
    </row>
    <row r="95" spans="1:19" ht="15.75" x14ac:dyDescent="0.25">
      <c r="A95" s="223"/>
      <c r="B95" s="281"/>
      <c r="C95" s="281"/>
      <c r="D95" s="281"/>
      <c r="E95" s="224"/>
      <c r="F95" s="192"/>
      <c r="G95" s="193"/>
      <c r="H95" s="223"/>
      <c r="I95" s="281"/>
      <c r="J95" s="225"/>
      <c r="K95" s="225"/>
      <c r="L95" s="226"/>
      <c r="M95" s="226"/>
      <c r="N95" s="181">
        <f t="shared" si="1"/>
        <v>0</v>
      </c>
      <c r="O95" s="227"/>
      <c r="P95" s="227"/>
      <c r="Q95" s="223"/>
      <c r="R95" s="781"/>
      <c r="S95" s="781"/>
    </row>
    <row r="96" spans="1:19" ht="15.75" x14ac:dyDescent="0.25">
      <c r="A96" s="223"/>
      <c r="B96" s="281"/>
      <c r="C96" s="281"/>
      <c r="D96" s="281"/>
      <c r="E96" s="224"/>
      <c r="F96" s="192"/>
      <c r="G96" s="193"/>
      <c r="H96" s="223"/>
      <c r="I96" s="281"/>
      <c r="J96" s="225"/>
      <c r="K96" s="225"/>
      <c r="L96" s="226"/>
      <c r="M96" s="226"/>
      <c r="N96" s="181">
        <f t="shared" si="1"/>
        <v>0</v>
      </c>
      <c r="O96" s="227"/>
      <c r="P96" s="227"/>
      <c r="Q96" s="223"/>
      <c r="R96" s="781"/>
      <c r="S96" s="781"/>
    </row>
    <row r="97" spans="1:19" ht="15.75" x14ac:dyDescent="0.25">
      <c r="A97" s="223"/>
      <c r="B97" s="281"/>
      <c r="C97" s="281"/>
      <c r="D97" s="281"/>
      <c r="E97" s="224"/>
      <c r="F97" s="192"/>
      <c r="G97" s="193"/>
      <c r="H97" s="223"/>
      <c r="I97" s="281"/>
      <c r="J97" s="225"/>
      <c r="K97" s="225"/>
      <c r="L97" s="226"/>
      <c r="M97" s="226"/>
      <c r="N97" s="181">
        <f t="shared" si="1"/>
        <v>0</v>
      </c>
      <c r="O97" s="227"/>
      <c r="P97" s="227"/>
      <c r="Q97" s="223"/>
      <c r="R97" s="781"/>
      <c r="S97" s="781"/>
    </row>
    <row r="98" spans="1:19" ht="15.75" x14ac:dyDescent="0.25">
      <c r="A98" s="223"/>
      <c r="B98" s="281"/>
      <c r="C98" s="281"/>
      <c r="D98" s="281"/>
      <c r="E98" s="224"/>
      <c r="F98" s="192"/>
      <c r="G98" s="193"/>
      <c r="H98" s="223"/>
      <c r="I98" s="281"/>
      <c r="J98" s="225"/>
      <c r="K98" s="225"/>
      <c r="L98" s="226"/>
      <c r="M98" s="226"/>
      <c r="N98" s="181">
        <f t="shared" si="1"/>
        <v>0</v>
      </c>
      <c r="O98" s="227"/>
      <c r="P98" s="227"/>
      <c r="Q98" s="223"/>
      <c r="R98" s="781"/>
      <c r="S98" s="781"/>
    </row>
    <row r="99" spans="1:19" ht="15.75" x14ac:dyDescent="0.25">
      <c r="A99" s="223"/>
      <c r="B99" s="281"/>
      <c r="C99" s="281"/>
      <c r="D99" s="281"/>
      <c r="E99" s="224"/>
      <c r="F99" s="192"/>
      <c r="G99" s="193"/>
      <c r="H99" s="223"/>
      <c r="I99" s="281"/>
      <c r="J99" s="225"/>
      <c r="K99" s="225"/>
      <c r="L99" s="226"/>
      <c r="M99" s="226"/>
      <c r="N99" s="181">
        <f t="shared" si="1"/>
        <v>0</v>
      </c>
      <c r="O99" s="227"/>
      <c r="P99" s="227"/>
      <c r="Q99" s="223"/>
      <c r="R99" s="781"/>
      <c r="S99" s="781"/>
    </row>
    <row r="100" spans="1:19" ht="15.75" x14ac:dyDescent="0.25">
      <c r="A100" s="223"/>
      <c r="B100" s="281"/>
      <c r="C100" s="281"/>
      <c r="D100" s="281"/>
      <c r="E100" s="224"/>
      <c r="F100" s="192"/>
      <c r="G100" s="193"/>
      <c r="H100" s="223"/>
      <c r="I100" s="281"/>
      <c r="J100" s="225"/>
      <c r="K100" s="225"/>
      <c r="L100" s="226"/>
      <c r="M100" s="226"/>
      <c r="N100" s="181">
        <f t="shared" si="1"/>
        <v>0</v>
      </c>
      <c r="O100" s="227"/>
      <c r="P100" s="227"/>
      <c r="Q100" s="223"/>
      <c r="R100" s="781"/>
      <c r="S100" s="781"/>
    </row>
    <row r="101" spans="1:19" ht="15.75" x14ac:dyDescent="0.25">
      <c r="A101" s="223"/>
      <c r="B101" s="281"/>
      <c r="C101" s="281"/>
      <c r="D101" s="281"/>
      <c r="E101" s="224"/>
      <c r="F101" s="192"/>
      <c r="G101" s="193"/>
      <c r="H101" s="223"/>
      <c r="I101" s="281"/>
      <c r="J101" s="225"/>
      <c r="K101" s="225"/>
      <c r="L101" s="226"/>
      <c r="M101" s="226"/>
      <c r="N101" s="181">
        <f t="shared" si="1"/>
        <v>0</v>
      </c>
      <c r="O101" s="227"/>
      <c r="P101" s="227"/>
      <c r="Q101" s="223"/>
      <c r="R101" s="781"/>
      <c r="S101" s="781"/>
    </row>
    <row r="102" spans="1:19" ht="15.75" x14ac:dyDescent="0.25">
      <c r="A102" s="223"/>
      <c r="B102" s="281"/>
      <c r="C102" s="281"/>
      <c r="D102" s="281"/>
      <c r="E102" s="224"/>
      <c r="F102" s="192"/>
      <c r="G102" s="193"/>
      <c r="H102" s="223"/>
      <c r="I102" s="281"/>
      <c r="J102" s="225"/>
      <c r="K102" s="225"/>
      <c r="L102" s="226"/>
      <c r="M102" s="226"/>
      <c r="N102" s="181">
        <f t="shared" si="1"/>
        <v>0</v>
      </c>
      <c r="O102" s="227"/>
      <c r="P102" s="227"/>
      <c r="Q102" s="223"/>
      <c r="R102" s="781"/>
      <c r="S102" s="781"/>
    </row>
    <row r="103" spans="1:19" ht="15.75" x14ac:dyDescent="0.25">
      <c r="A103" s="223"/>
      <c r="B103" s="281"/>
      <c r="C103" s="281"/>
      <c r="D103" s="281"/>
      <c r="E103" s="224"/>
      <c r="F103" s="192"/>
      <c r="G103" s="193"/>
      <c r="H103" s="223"/>
      <c r="I103" s="281"/>
      <c r="J103" s="225"/>
      <c r="K103" s="225"/>
      <c r="L103" s="226"/>
      <c r="M103" s="226"/>
      <c r="N103" s="181">
        <f t="shared" si="1"/>
        <v>0</v>
      </c>
      <c r="O103" s="227"/>
      <c r="P103" s="227"/>
      <c r="Q103" s="223"/>
      <c r="R103" s="781"/>
      <c r="S103" s="781"/>
    </row>
    <row r="104" spans="1:19" ht="15.75" x14ac:dyDescent="0.25">
      <c r="A104" s="223"/>
      <c r="B104" s="281"/>
      <c r="C104" s="281"/>
      <c r="D104" s="281"/>
      <c r="E104" s="224"/>
      <c r="F104" s="192"/>
      <c r="G104" s="193"/>
      <c r="H104" s="223"/>
      <c r="I104" s="281"/>
      <c r="J104" s="225"/>
      <c r="K104" s="225"/>
      <c r="L104" s="226"/>
      <c r="M104" s="226"/>
      <c r="N104" s="181">
        <f t="shared" si="1"/>
        <v>0</v>
      </c>
      <c r="O104" s="227"/>
      <c r="P104" s="227"/>
      <c r="Q104" s="223"/>
      <c r="R104" s="781"/>
      <c r="S104" s="781"/>
    </row>
    <row r="105" spans="1:19" ht="15.75" x14ac:dyDescent="0.25">
      <c r="A105" s="223"/>
      <c r="B105" s="281"/>
      <c r="C105" s="281"/>
      <c r="D105" s="281"/>
      <c r="E105" s="224"/>
      <c r="F105" s="192"/>
      <c r="G105" s="193"/>
      <c r="H105" s="223"/>
      <c r="I105" s="281"/>
      <c r="J105" s="225"/>
      <c r="K105" s="225"/>
      <c r="L105" s="226"/>
      <c r="M105" s="226"/>
      <c r="N105" s="181">
        <f t="shared" si="1"/>
        <v>0</v>
      </c>
      <c r="O105" s="227"/>
      <c r="P105" s="227"/>
      <c r="Q105" s="223"/>
      <c r="R105" s="781"/>
      <c r="S105" s="781"/>
    </row>
    <row r="106" spans="1:19" ht="15.75" x14ac:dyDescent="0.25">
      <c r="A106" s="223"/>
      <c r="B106" s="281"/>
      <c r="C106" s="281"/>
      <c r="D106" s="281"/>
      <c r="E106" s="224"/>
      <c r="F106" s="192"/>
      <c r="G106" s="193"/>
      <c r="H106" s="223"/>
      <c r="I106" s="281"/>
      <c r="J106" s="225"/>
      <c r="K106" s="225"/>
      <c r="L106" s="226"/>
      <c r="M106" s="226"/>
      <c r="N106" s="181">
        <f t="shared" si="1"/>
        <v>0</v>
      </c>
      <c r="O106" s="227"/>
      <c r="P106" s="227"/>
      <c r="Q106" s="223"/>
      <c r="R106" s="781"/>
      <c r="S106" s="781"/>
    </row>
    <row r="107" spans="1:19" ht="15.75" x14ac:dyDescent="0.25">
      <c r="A107" s="223"/>
      <c r="B107" s="281"/>
      <c r="C107" s="281"/>
      <c r="D107" s="281"/>
      <c r="E107" s="224"/>
      <c r="F107" s="192"/>
      <c r="G107" s="193"/>
      <c r="H107" s="223"/>
      <c r="I107" s="281"/>
      <c r="J107" s="225"/>
      <c r="K107" s="225"/>
      <c r="L107" s="226"/>
      <c r="M107" s="226"/>
      <c r="N107" s="181">
        <f t="shared" si="1"/>
        <v>0</v>
      </c>
      <c r="O107" s="227"/>
      <c r="P107" s="227"/>
      <c r="Q107" s="223"/>
      <c r="R107" s="781"/>
      <c r="S107" s="781"/>
    </row>
    <row r="108" spans="1:19" ht="15.75" x14ac:dyDescent="0.25">
      <c r="A108" s="223"/>
      <c r="B108" s="281"/>
      <c r="C108" s="281"/>
      <c r="D108" s="281"/>
      <c r="E108" s="224"/>
      <c r="F108" s="192"/>
      <c r="G108" s="193"/>
      <c r="H108" s="223"/>
      <c r="I108" s="281"/>
      <c r="J108" s="225"/>
      <c r="K108" s="225"/>
      <c r="L108" s="226"/>
      <c r="M108" s="226"/>
      <c r="N108" s="181">
        <f t="shared" si="1"/>
        <v>0</v>
      </c>
      <c r="O108" s="227"/>
      <c r="P108" s="227"/>
      <c r="Q108" s="223"/>
      <c r="R108" s="781"/>
      <c r="S108" s="781"/>
    </row>
    <row r="109" spans="1:19" ht="15.75" x14ac:dyDescent="0.25">
      <c r="A109" s="223"/>
      <c r="B109" s="281"/>
      <c r="C109" s="281"/>
      <c r="D109" s="281"/>
      <c r="E109" s="224"/>
      <c r="F109" s="192"/>
      <c r="G109" s="193"/>
      <c r="H109" s="223"/>
      <c r="I109" s="281"/>
      <c r="J109" s="225"/>
      <c r="K109" s="225"/>
      <c r="L109" s="226"/>
      <c r="M109" s="226"/>
      <c r="N109" s="181">
        <f t="shared" si="1"/>
        <v>0</v>
      </c>
      <c r="O109" s="227"/>
      <c r="P109" s="227"/>
      <c r="Q109" s="223"/>
      <c r="R109" s="781"/>
      <c r="S109" s="781"/>
    </row>
    <row r="110" spans="1:19" ht="15.75" x14ac:dyDescent="0.25">
      <c r="A110" s="223"/>
      <c r="B110" s="281"/>
      <c r="C110" s="281"/>
      <c r="D110" s="281"/>
      <c r="E110" s="224"/>
      <c r="F110" s="192"/>
      <c r="G110" s="193"/>
      <c r="H110" s="223"/>
      <c r="I110" s="281"/>
      <c r="J110" s="225"/>
      <c r="K110" s="225"/>
      <c r="L110" s="226"/>
      <c r="M110" s="226"/>
      <c r="N110" s="181">
        <f t="shared" si="1"/>
        <v>0</v>
      </c>
      <c r="O110" s="227"/>
      <c r="P110" s="227"/>
      <c r="Q110" s="223"/>
      <c r="R110" s="781"/>
      <c r="S110" s="781"/>
    </row>
    <row r="111" spans="1:19" ht="15.75" x14ac:dyDescent="0.25">
      <c r="A111" s="223"/>
      <c r="B111" s="281"/>
      <c r="C111" s="281"/>
      <c r="D111" s="281"/>
      <c r="E111" s="224"/>
      <c r="F111" s="192"/>
      <c r="G111" s="193"/>
      <c r="H111" s="223"/>
      <c r="I111" s="281"/>
      <c r="J111" s="225"/>
      <c r="K111" s="225"/>
      <c r="L111" s="226"/>
      <c r="M111" s="226"/>
      <c r="N111" s="181">
        <f t="shared" si="1"/>
        <v>0</v>
      </c>
      <c r="O111" s="227"/>
      <c r="P111" s="227"/>
      <c r="Q111" s="223"/>
      <c r="R111" s="781"/>
      <c r="S111" s="781"/>
    </row>
    <row r="112" spans="1:19" ht="15.75" x14ac:dyDescent="0.25">
      <c r="A112" s="223"/>
      <c r="B112" s="281"/>
      <c r="C112" s="281"/>
      <c r="D112" s="281"/>
      <c r="E112" s="224"/>
      <c r="F112" s="192"/>
      <c r="G112" s="193"/>
      <c r="H112" s="223"/>
      <c r="I112" s="281"/>
      <c r="J112" s="225"/>
      <c r="K112" s="225"/>
      <c r="L112" s="226"/>
      <c r="M112" s="226"/>
      <c r="N112" s="181">
        <f t="shared" si="1"/>
        <v>0</v>
      </c>
      <c r="O112" s="227"/>
      <c r="P112" s="227"/>
      <c r="Q112" s="223"/>
      <c r="R112" s="781"/>
      <c r="S112" s="781"/>
    </row>
    <row r="113" spans="1:19" ht="15.75" x14ac:dyDescent="0.25">
      <c r="A113" s="223"/>
      <c r="B113" s="281"/>
      <c r="C113" s="281"/>
      <c r="D113" s="281"/>
      <c r="E113" s="224"/>
      <c r="F113" s="192"/>
      <c r="G113" s="193"/>
      <c r="H113" s="223"/>
      <c r="I113" s="281"/>
      <c r="J113" s="225"/>
      <c r="K113" s="225"/>
      <c r="L113" s="226"/>
      <c r="M113" s="226"/>
      <c r="N113" s="181">
        <f t="shared" si="1"/>
        <v>0</v>
      </c>
      <c r="O113" s="227"/>
      <c r="P113" s="227"/>
      <c r="Q113" s="223"/>
      <c r="R113" s="781"/>
      <c r="S113" s="781"/>
    </row>
    <row r="114" spans="1:19" ht="15.75" x14ac:dyDescent="0.25">
      <c r="A114" s="223"/>
      <c r="B114" s="281"/>
      <c r="C114" s="281"/>
      <c r="D114" s="281"/>
      <c r="E114" s="224"/>
      <c r="F114" s="192"/>
      <c r="G114" s="193"/>
      <c r="H114" s="223"/>
      <c r="I114" s="281"/>
      <c r="J114" s="225"/>
      <c r="K114" s="225"/>
      <c r="L114" s="226"/>
      <c r="M114" s="226"/>
      <c r="N114" s="181">
        <f t="shared" si="1"/>
        <v>0</v>
      </c>
      <c r="O114" s="227"/>
      <c r="P114" s="227"/>
      <c r="Q114" s="223"/>
      <c r="R114" s="781"/>
      <c r="S114" s="781"/>
    </row>
    <row r="115" spans="1:19" ht="15.75" x14ac:dyDescent="0.25">
      <c r="A115" s="223"/>
      <c r="B115" s="281"/>
      <c r="C115" s="281"/>
      <c r="D115" s="281"/>
      <c r="E115" s="224"/>
      <c r="F115" s="192"/>
      <c r="G115" s="193"/>
      <c r="H115" s="223"/>
      <c r="I115" s="281"/>
      <c r="J115" s="225"/>
      <c r="K115" s="225"/>
      <c r="L115" s="226"/>
      <c r="M115" s="226"/>
      <c r="N115" s="181">
        <f t="shared" si="1"/>
        <v>0</v>
      </c>
      <c r="O115" s="227"/>
      <c r="P115" s="227"/>
      <c r="Q115" s="223"/>
      <c r="R115" s="781"/>
      <c r="S115" s="781"/>
    </row>
    <row r="116" spans="1:19" ht="15.75" x14ac:dyDescent="0.25">
      <c r="A116" s="223"/>
      <c r="B116" s="281"/>
      <c r="C116" s="281"/>
      <c r="D116" s="281"/>
      <c r="E116" s="224"/>
      <c r="F116" s="192"/>
      <c r="G116" s="193"/>
      <c r="H116" s="223"/>
      <c r="I116" s="281"/>
      <c r="J116" s="225"/>
      <c r="K116" s="225"/>
      <c r="L116" s="226"/>
      <c r="M116" s="226"/>
      <c r="N116" s="181">
        <f t="shared" si="1"/>
        <v>0</v>
      </c>
      <c r="O116" s="227"/>
      <c r="P116" s="227"/>
      <c r="Q116" s="223"/>
      <c r="R116" s="781"/>
      <c r="S116" s="781"/>
    </row>
    <row r="117" spans="1:19" ht="15.75" x14ac:dyDescent="0.25">
      <c r="A117" s="223"/>
      <c r="B117" s="281"/>
      <c r="C117" s="281"/>
      <c r="D117" s="281"/>
      <c r="E117" s="224"/>
      <c r="F117" s="192"/>
      <c r="G117" s="193"/>
      <c r="H117" s="223"/>
      <c r="I117" s="281"/>
      <c r="J117" s="225"/>
      <c r="K117" s="225"/>
      <c r="L117" s="226"/>
      <c r="M117" s="226"/>
      <c r="N117" s="181">
        <f t="shared" si="1"/>
        <v>0</v>
      </c>
      <c r="O117" s="227"/>
      <c r="P117" s="227"/>
      <c r="Q117" s="223"/>
      <c r="R117" s="781"/>
      <c r="S117" s="781"/>
    </row>
    <row r="118" spans="1:19" ht="15.75" x14ac:dyDescent="0.25">
      <c r="A118" s="223"/>
      <c r="B118" s="281"/>
      <c r="C118" s="281"/>
      <c r="D118" s="281"/>
      <c r="E118" s="224"/>
      <c r="F118" s="192"/>
      <c r="G118" s="193"/>
      <c r="H118" s="223"/>
      <c r="I118" s="281"/>
      <c r="J118" s="225"/>
      <c r="K118" s="225"/>
      <c r="L118" s="226"/>
      <c r="M118" s="226"/>
      <c r="N118" s="181">
        <f t="shared" si="1"/>
        <v>0</v>
      </c>
      <c r="O118" s="227"/>
      <c r="P118" s="227"/>
      <c r="Q118" s="223"/>
      <c r="R118" s="781"/>
      <c r="S118" s="781"/>
    </row>
    <row r="119" spans="1:19" ht="15.75" x14ac:dyDescent="0.25">
      <c r="A119" s="223"/>
      <c r="B119" s="281"/>
      <c r="C119" s="281"/>
      <c r="D119" s="281"/>
      <c r="E119" s="224"/>
      <c r="F119" s="192"/>
      <c r="G119" s="193"/>
      <c r="H119" s="223"/>
      <c r="I119" s="281"/>
      <c r="J119" s="225"/>
      <c r="K119" s="225"/>
      <c r="L119" s="226"/>
      <c r="M119" s="226"/>
      <c r="N119" s="181">
        <f t="shared" si="1"/>
        <v>0</v>
      </c>
      <c r="O119" s="227"/>
      <c r="P119" s="227"/>
      <c r="Q119" s="223"/>
      <c r="R119" s="781"/>
      <c r="S119" s="781"/>
    </row>
    <row r="120" spans="1:19" ht="15.75" x14ac:dyDescent="0.25">
      <c r="A120" s="223"/>
      <c r="B120" s="281"/>
      <c r="C120" s="281"/>
      <c r="D120" s="281"/>
      <c r="E120" s="224"/>
      <c r="F120" s="192"/>
      <c r="G120" s="193"/>
      <c r="H120" s="223"/>
      <c r="I120" s="281"/>
      <c r="J120" s="225"/>
      <c r="K120" s="225"/>
      <c r="L120" s="226"/>
      <c r="M120" s="226"/>
      <c r="N120" s="181">
        <f t="shared" si="1"/>
        <v>0</v>
      </c>
      <c r="O120" s="227"/>
      <c r="P120" s="227"/>
      <c r="Q120" s="223"/>
      <c r="R120" s="781"/>
      <c r="S120" s="781"/>
    </row>
    <row r="121" spans="1:19" ht="15.75" x14ac:dyDescent="0.25">
      <c r="A121" s="223"/>
      <c r="B121" s="281"/>
      <c r="C121" s="281"/>
      <c r="D121" s="281"/>
      <c r="E121" s="224"/>
      <c r="F121" s="192"/>
      <c r="G121" s="193"/>
      <c r="H121" s="223"/>
      <c r="I121" s="281"/>
      <c r="J121" s="225"/>
      <c r="K121" s="225"/>
      <c r="L121" s="226"/>
      <c r="M121" s="226"/>
      <c r="N121" s="181">
        <f t="shared" si="1"/>
        <v>0</v>
      </c>
      <c r="O121" s="227"/>
      <c r="P121" s="227"/>
      <c r="Q121" s="223"/>
      <c r="R121" s="781"/>
      <c r="S121" s="781"/>
    </row>
    <row r="122" spans="1:19" ht="15.75" x14ac:dyDescent="0.25">
      <c r="A122" s="223"/>
      <c r="B122" s="281"/>
      <c r="C122" s="281"/>
      <c r="D122" s="281"/>
      <c r="E122" s="224"/>
      <c r="F122" s="192"/>
      <c r="G122" s="193"/>
      <c r="H122" s="223"/>
      <c r="I122" s="281"/>
      <c r="J122" s="225"/>
      <c r="K122" s="225"/>
      <c r="L122" s="226"/>
      <c r="M122" s="226"/>
      <c r="N122" s="181">
        <f t="shared" si="1"/>
        <v>0</v>
      </c>
      <c r="O122" s="227"/>
      <c r="P122" s="227"/>
      <c r="Q122" s="223"/>
      <c r="R122" s="781"/>
      <c r="S122" s="781"/>
    </row>
    <row r="123" spans="1:19" ht="15.75" x14ac:dyDescent="0.25">
      <c r="A123" s="223"/>
      <c r="B123" s="281"/>
      <c r="C123" s="281"/>
      <c r="D123" s="281"/>
      <c r="E123" s="224"/>
      <c r="F123" s="192"/>
      <c r="G123" s="193"/>
      <c r="H123" s="223"/>
      <c r="I123" s="281"/>
      <c r="J123" s="225"/>
      <c r="K123" s="225"/>
      <c r="L123" s="226"/>
      <c r="M123" s="226"/>
      <c r="N123" s="181">
        <f t="shared" si="1"/>
        <v>0</v>
      </c>
      <c r="O123" s="227"/>
      <c r="P123" s="227"/>
      <c r="Q123" s="223"/>
      <c r="R123" s="781"/>
      <c r="S123" s="781"/>
    </row>
    <row r="124" spans="1:19" ht="15.75" x14ac:dyDescent="0.25">
      <c r="A124" s="223"/>
      <c r="B124" s="281"/>
      <c r="C124" s="281"/>
      <c r="D124" s="281"/>
      <c r="E124" s="224"/>
      <c r="F124" s="192"/>
      <c r="G124" s="193"/>
      <c r="H124" s="223"/>
      <c r="I124" s="281"/>
      <c r="J124" s="225"/>
      <c r="K124" s="225"/>
      <c r="L124" s="226"/>
      <c r="M124" s="226"/>
      <c r="N124" s="181">
        <f t="shared" si="1"/>
        <v>0</v>
      </c>
      <c r="O124" s="227"/>
      <c r="P124" s="227"/>
      <c r="Q124" s="223"/>
      <c r="R124" s="781"/>
      <c r="S124" s="781"/>
    </row>
    <row r="125" spans="1:19" ht="15.75" x14ac:dyDescent="0.25">
      <c r="A125" s="223"/>
      <c r="B125" s="281"/>
      <c r="C125" s="281"/>
      <c r="D125" s="281"/>
      <c r="E125" s="224"/>
      <c r="F125" s="192"/>
      <c r="G125" s="193"/>
      <c r="H125" s="223"/>
      <c r="I125" s="281"/>
      <c r="J125" s="225"/>
      <c r="K125" s="225"/>
      <c r="L125" s="226"/>
      <c r="M125" s="226"/>
      <c r="N125" s="181">
        <f t="shared" si="1"/>
        <v>0</v>
      </c>
      <c r="O125" s="227"/>
      <c r="P125" s="227"/>
      <c r="Q125" s="223"/>
      <c r="R125" s="781"/>
      <c r="S125" s="781"/>
    </row>
    <row r="126" spans="1:19" ht="15.75" x14ac:dyDescent="0.25">
      <c r="A126" s="223"/>
      <c r="B126" s="281"/>
      <c r="C126" s="281"/>
      <c r="D126" s="281"/>
      <c r="E126" s="224"/>
      <c r="F126" s="192"/>
      <c r="G126" s="193"/>
      <c r="H126" s="223"/>
      <c r="I126" s="281"/>
      <c r="J126" s="225"/>
      <c r="K126" s="225"/>
      <c r="L126" s="226"/>
      <c r="M126" s="226"/>
      <c r="N126" s="181">
        <f t="shared" si="1"/>
        <v>0</v>
      </c>
      <c r="O126" s="227"/>
      <c r="P126" s="227"/>
      <c r="Q126" s="223"/>
      <c r="R126" s="781"/>
      <c r="S126" s="781"/>
    </row>
    <row r="127" spans="1:19" ht="15.75" x14ac:dyDescent="0.25">
      <c r="A127" s="223"/>
      <c r="B127" s="281"/>
      <c r="C127" s="281"/>
      <c r="D127" s="281"/>
      <c r="E127" s="224"/>
      <c r="F127" s="192"/>
      <c r="G127" s="193"/>
      <c r="H127" s="223"/>
      <c r="I127" s="281"/>
      <c r="J127" s="225"/>
      <c r="K127" s="225"/>
      <c r="L127" s="226"/>
      <c r="M127" s="226"/>
      <c r="N127" s="181">
        <f t="shared" si="1"/>
        <v>0</v>
      </c>
      <c r="O127" s="227"/>
      <c r="P127" s="227"/>
      <c r="Q127" s="223"/>
      <c r="R127" s="781"/>
      <c r="S127" s="781"/>
    </row>
    <row r="128" spans="1:19" ht="15.75" x14ac:dyDescent="0.25">
      <c r="A128" s="223"/>
      <c r="B128" s="281"/>
      <c r="C128" s="281"/>
      <c r="D128" s="281"/>
      <c r="E128" s="224"/>
      <c r="F128" s="192"/>
      <c r="G128" s="193"/>
      <c r="H128" s="223"/>
      <c r="I128" s="281"/>
      <c r="J128" s="225"/>
      <c r="K128" s="225"/>
      <c r="L128" s="226"/>
      <c r="M128" s="226"/>
      <c r="N128" s="181">
        <f t="shared" si="1"/>
        <v>0</v>
      </c>
      <c r="O128" s="227"/>
      <c r="P128" s="227"/>
      <c r="Q128" s="223"/>
      <c r="R128" s="781"/>
      <c r="S128" s="781"/>
    </row>
    <row r="129" spans="1:19" ht="15.75" x14ac:dyDescent="0.25">
      <c r="A129" s="223"/>
      <c r="B129" s="281"/>
      <c r="C129" s="281"/>
      <c r="D129" s="281"/>
      <c r="E129" s="224"/>
      <c r="F129" s="192"/>
      <c r="G129" s="193"/>
      <c r="H129" s="223"/>
      <c r="I129" s="281"/>
      <c r="J129" s="225"/>
      <c r="K129" s="225"/>
      <c r="L129" s="226"/>
      <c r="M129" s="226"/>
      <c r="N129" s="181">
        <f t="shared" si="1"/>
        <v>0</v>
      </c>
      <c r="O129" s="227"/>
      <c r="P129" s="227"/>
      <c r="Q129" s="223"/>
      <c r="R129" s="781"/>
      <c r="S129" s="781"/>
    </row>
    <row r="130" spans="1:19" ht="15.75" x14ac:dyDescent="0.25">
      <c r="A130" s="223"/>
      <c r="B130" s="281"/>
      <c r="C130" s="281"/>
      <c r="D130" s="281"/>
      <c r="E130" s="224"/>
      <c r="F130" s="192"/>
      <c r="G130" s="193"/>
      <c r="H130" s="223"/>
      <c r="I130" s="281"/>
      <c r="J130" s="225"/>
      <c r="K130" s="225"/>
      <c r="L130" s="226"/>
      <c r="M130" s="226"/>
      <c r="N130" s="181">
        <f t="shared" si="1"/>
        <v>0</v>
      </c>
      <c r="O130" s="227"/>
      <c r="P130" s="227"/>
      <c r="Q130" s="223"/>
      <c r="R130" s="781"/>
      <c r="S130" s="781"/>
    </row>
    <row r="131" spans="1:19" ht="15.75" x14ac:dyDescent="0.25">
      <c r="A131" s="223"/>
      <c r="B131" s="281"/>
      <c r="C131" s="281"/>
      <c r="D131" s="281"/>
      <c r="E131" s="224"/>
      <c r="F131" s="192"/>
      <c r="G131" s="193"/>
      <c r="H131" s="223"/>
      <c r="I131" s="281"/>
      <c r="J131" s="225"/>
      <c r="K131" s="225"/>
      <c r="L131" s="226"/>
      <c r="M131" s="226"/>
      <c r="N131" s="181">
        <f t="shared" si="1"/>
        <v>0</v>
      </c>
      <c r="O131" s="227"/>
      <c r="P131" s="227"/>
      <c r="Q131" s="223"/>
      <c r="R131" s="781"/>
      <c r="S131" s="781"/>
    </row>
    <row r="132" spans="1:19" ht="15.75" x14ac:dyDescent="0.25">
      <c r="A132" s="223"/>
      <c r="B132" s="281"/>
      <c r="C132" s="281"/>
      <c r="D132" s="281"/>
      <c r="E132" s="224"/>
      <c r="F132" s="192"/>
      <c r="G132" s="193"/>
      <c r="H132" s="223"/>
      <c r="I132" s="281"/>
      <c r="J132" s="225"/>
      <c r="K132" s="225"/>
      <c r="L132" s="226"/>
      <c r="M132" s="226"/>
      <c r="N132" s="181">
        <f t="shared" si="1"/>
        <v>0</v>
      </c>
      <c r="O132" s="227"/>
      <c r="P132" s="227"/>
      <c r="Q132" s="223"/>
      <c r="R132" s="781"/>
      <c r="S132" s="781"/>
    </row>
    <row r="133" spans="1:19" ht="15.75" x14ac:dyDescent="0.25">
      <c r="A133" s="223"/>
      <c r="B133" s="281"/>
      <c r="C133" s="281"/>
      <c r="D133" s="281"/>
      <c r="E133" s="224"/>
      <c r="F133" s="192"/>
      <c r="G133" s="193"/>
      <c r="H133" s="223"/>
      <c r="I133" s="281"/>
      <c r="J133" s="225"/>
      <c r="K133" s="225"/>
      <c r="L133" s="226"/>
      <c r="M133" s="226"/>
      <c r="N133" s="181">
        <f t="shared" si="1"/>
        <v>0</v>
      </c>
      <c r="O133" s="227"/>
      <c r="P133" s="227"/>
      <c r="Q133" s="223"/>
      <c r="R133" s="781"/>
      <c r="S133" s="781"/>
    </row>
    <row r="134" spans="1:19" ht="15.75" x14ac:dyDescent="0.25">
      <c r="A134" s="223"/>
      <c r="B134" s="281"/>
      <c r="C134" s="281"/>
      <c r="D134" s="281"/>
      <c r="E134" s="224"/>
      <c r="F134" s="192"/>
      <c r="G134" s="193"/>
      <c r="H134" s="223"/>
      <c r="I134" s="281"/>
      <c r="J134" s="225"/>
      <c r="K134" s="225"/>
      <c r="L134" s="226"/>
      <c r="M134" s="226"/>
      <c r="N134" s="181">
        <f t="shared" si="1"/>
        <v>0</v>
      </c>
      <c r="O134" s="227"/>
      <c r="P134" s="227"/>
      <c r="Q134" s="223"/>
      <c r="R134" s="781"/>
      <c r="S134" s="781"/>
    </row>
    <row r="135" spans="1:19" ht="15.75" x14ac:dyDescent="0.25">
      <c r="A135" s="223"/>
      <c r="B135" s="281"/>
      <c r="C135" s="281"/>
      <c r="D135" s="281"/>
      <c r="E135" s="224"/>
      <c r="F135" s="192"/>
      <c r="G135" s="193"/>
      <c r="H135" s="223"/>
      <c r="I135" s="281"/>
      <c r="J135" s="225"/>
      <c r="K135" s="225"/>
      <c r="L135" s="226"/>
      <c r="M135" s="226"/>
      <c r="N135" s="181">
        <f t="shared" si="1"/>
        <v>0</v>
      </c>
      <c r="O135" s="227"/>
      <c r="P135" s="227"/>
      <c r="Q135" s="223"/>
      <c r="R135" s="781"/>
      <c r="S135" s="781"/>
    </row>
    <row r="136" spans="1:19" ht="15.75" x14ac:dyDescent="0.25">
      <c r="A136" s="223"/>
      <c r="B136" s="281"/>
      <c r="C136" s="281"/>
      <c r="D136" s="281"/>
      <c r="E136" s="224"/>
      <c r="F136" s="192"/>
      <c r="G136" s="193"/>
      <c r="H136" s="223"/>
      <c r="I136" s="281"/>
      <c r="J136" s="225"/>
      <c r="K136" s="225"/>
      <c r="L136" s="226"/>
      <c r="M136" s="226"/>
      <c r="N136" s="181">
        <f t="shared" ref="N136:N199" si="2">M136+L136</f>
        <v>0</v>
      </c>
      <c r="O136" s="227"/>
      <c r="P136" s="227"/>
      <c r="Q136" s="223"/>
      <c r="R136" s="781"/>
      <c r="S136" s="781"/>
    </row>
    <row r="137" spans="1:19" ht="15.75" x14ac:dyDescent="0.25">
      <c r="A137" s="223"/>
      <c r="B137" s="281"/>
      <c r="C137" s="281"/>
      <c r="D137" s="281"/>
      <c r="E137" s="224"/>
      <c r="F137" s="192"/>
      <c r="G137" s="193"/>
      <c r="H137" s="223"/>
      <c r="I137" s="281"/>
      <c r="J137" s="225"/>
      <c r="K137" s="225"/>
      <c r="L137" s="226"/>
      <c r="M137" s="226"/>
      <c r="N137" s="181">
        <f t="shared" si="2"/>
        <v>0</v>
      </c>
      <c r="O137" s="227"/>
      <c r="P137" s="227"/>
      <c r="Q137" s="223"/>
      <c r="R137" s="781"/>
      <c r="S137" s="781"/>
    </row>
    <row r="138" spans="1:19" ht="15.75" x14ac:dyDescent="0.25">
      <c r="A138" s="223"/>
      <c r="B138" s="281"/>
      <c r="C138" s="281"/>
      <c r="D138" s="281"/>
      <c r="E138" s="224"/>
      <c r="F138" s="192"/>
      <c r="G138" s="193"/>
      <c r="H138" s="223"/>
      <c r="I138" s="281"/>
      <c r="J138" s="225"/>
      <c r="K138" s="225"/>
      <c r="L138" s="226"/>
      <c r="M138" s="226"/>
      <c r="N138" s="181">
        <f t="shared" si="2"/>
        <v>0</v>
      </c>
      <c r="O138" s="227"/>
      <c r="P138" s="227"/>
      <c r="Q138" s="223"/>
      <c r="R138" s="781"/>
      <c r="S138" s="781"/>
    </row>
    <row r="139" spans="1:19" ht="15.75" x14ac:dyDescent="0.25">
      <c r="A139" s="223"/>
      <c r="B139" s="281"/>
      <c r="C139" s="281"/>
      <c r="D139" s="281"/>
      <c r="E139" s="224"/>
      <c r="F139" s="192"/>
      <c r="G139" s="193"/>
      <c r="H139" s="223"/>
      <c r="I139" s="281"/>
      <c r="J139" s="225"/>
      <c r="K139" s="225"/>
      <c r="L139" s="226"/>
      <c r="M139" s="226"/>
      <c r="N139" s="181">
        <f t="shared" si="2"/>
        <v>0</v>
      </c>
      <c r="O139" s="227"/>
      <c r="P139" s="227"/>
      <c r="Q139" s="223"/>
      <c r="R139" s="781"/>
      <c r="S139" s="781"/>
    </row>
    <row r="140" spans="1:19" ht="15.75" x14ac:dyDescent="0.25">
      <c r="A140" s="223"/>
      <c r="B140" s="281"/>
      <c r="C140" s="281"/>
      <c r="D140" s="281"/>
      <c r="E140" s="224"/>
      <c r="F140" s="192"/>
      <c r="G140" s="193"/>
      <c r="H140" s="223"/>
      <c r="I140" s="281"/>
      <c r="J140" s="225"/>
      <c r="K140" s="225"/>
      <c r="L140" s="226"/>
      <c r="M140" s="226"/>
      <c r="N140" s="181">
        <f t="shared" si="2"/>
        <v>0</v>
      </c>
      <c r="O140" s="227"/>
      <c r="P140" s="227"/>
      <c r="Q140" s="223"/>
      <c r="R140" s="781"/>
      <c r="S140" s="781"/>
    </row>
    <row r="141" spans="1:19" ht="15.75" x14ac:dyDescent="0.25">
      <c r="A141" s="223"/>
      <c r="B141" s="281"/>
      <c r="C141" s="281"/>
      <c r="D141" s="281"/>
      <c r="E141" s="224"/>
      <c r="F141" s="192"/>
      <c r="G141" s="193"/>
      <c r="H141" s="223"/>
      <c r="I141" s="281"/>
      <c r="J141" s="225"/>
      <c r="K141" s="225"/>
      <c r="L141" s="226"/>
      <c r="M141" s="226"/>
      <c r="N141" s="181">
        <f t="shared" si="2"/>
        <v>0</v>
      </c>
      <c r="O141" s="227"/>
      <c r="P141" s="227"/>
      <c r="Q141" s="223"/>
      <c r="R141" s="781"/>
      <c r="S141" s="781"/>
    </row>
    <row r="142" spans="1:19" ht="15.75" x14ac:dyDescent="0.25">
      <c r="A142" s="223"/>
      <c r="B142" s="281"/>
      <c r="C142" s="281"/>
      <c r="D142" s="281"/>
      <c r="E142" s="224"/>
      <c r="F142" s="192"/>
      <c r="G142" s="193"/>
      <c r="H142" s="223"/>
      <c r="I142" s="281"/>
      <c r="J142" s="225"/>
      <c r="K142" s="225"/>
      <c r="L142" s="226"/>
      <c r="M142" s="226"/>
      <c r="N142" s="181">
        <f t="shared" si="2"/>
        <v>0</v>
      </c>
      <c r="O142" s="227"/>
      <c r="P142" s="227"/>
      <c r="Q142" s="223"/>
      <c r="R142" s="781"/>
      <c r="S142" s="781"/>
    </row>
    <row r="143" spans="1:19" ht="15.75" x14ac:dyDescent="0.25">
      <c r="A143" s="223"/>
      <c r="B143" s="281"/>
      <c r="C143" s="281"/>
      <c r="D143" s="281"/>
      <c r="E143" s="224"/>
      <c r="F143" s="192"/>
      <c r="G143" s="193"/>
      <c r="H143" s="223"/>
      <c r="I143" s="281"/>
      <c r="J143" s="225"/>
      <c r="K143" s="225"/>
      <c r="L143" s="226"/>
      <c r="M143" s="226"/>
      <c r="N143" s="181">
        <f t="shared" si="2"/>
        <v>0</v>
      </c>
      <c r="O143" s="227"/>
      <c r="P143" s="227"/>
      <c r="Q143" s="223"/>
      <c r="R143" s="781"/>
      <c r="S143" s="781"/>
    </row>
    <row r="144" spans="1:19" ht="15.75" x14ac:dyDescent="0.25">
      <c r="A144" s="223"/>
      <c r="B144" s="281"/>
      <c r="C144" s="281"/>
      <c r="D144" s="281"/>
      <c r="E144" s="224"/>
      <c r="F144" s="192"/>
      <c r="G144" s="193"/>
      <c r="H144" s="223"/>
      <c r="I144" s="281"/>
      <c r="J144" s="225"/>
      <c r="K144" s="225"/>
      <c r="L144" s="226"/>
      <c r="M144" s="226"/>
      <c r="N144" s="181">
        <f t="shared" si="2"/>
        <v>0</v>
      </c>
      <c r="O144" s="227"/>
      <c r="P144" s="227"/>
      <c r="Q144" s="223"/>
      <c r="R144" s="781"/>
      <c r="S144" s="781"/>
    </row>
    <row r="145" spans="1:19" ht="15.75" x14ac:dyDescent="0.25">
      <c r="A145" s="223"/>
      <c r="B145" s="281"/>
      <c r="C145" s="281"/>
      <c r="D145" s="281"/>
      <c r="E145" s="224"/>
      <c r="F145" s="192"/>
      <c r="G145" s="193"/>
      <c r="H145" s="223"/>
      <c r="I145" s="281"/>
      <c r="J145" s="225"/>
      <c r="K145" s="225"/>
      <c r="L145" s="226"/>
      <c r="M145" s="226"/>
      <c r="N145" s="181">
        <f t="shared" si="2"/>
        <v>0</v>
      </c>
      <c r="O145" s="227"/>
      <c r="P145" s="227"/>
      <c r="Q145" s="223"/>
      <c r="R145" s="781"/>
      <c r="S145" s="781"/>
    </row>
    <row r="146" spans="1:19" ht="15.75" x14ac:dyDescent="0.25">
      <c r="A146" s="223"/>
      <c r="B146" s="281"/>
      <c r="C146" s="281"/>
      <c r="D146" s="281"/>
      <c r="E146" s="224"/>
      <c r="F146" s="192"/>
      <c r="G146" s="193"/>
      <c r="H146" s="223"/>
      <c r="I146" s="281"/>
      <c r="J146" s="225"/>
      <c r="K146" s="225"/>
      <c r="L146" s="226"/>
      <c r="M146" s="226"/>
      <c r="N146" s="181">
        <f t="shared" si="2"/>
        <v>0</v>
      </c>
      <c r="O146" s="227"/>
      <c r="P146" s="227"/>
      <c r="Q146" s="223"/>
      <c r="R146" s="781"/>
      <c r="S146" s="781"/>
    </row>
    <row r="147" spans="1:19" ht="15.75" x14ac:dyDescent="0.25">
      <c r="A147" s="223"/>
      <c r="B147" s="281"/>
      <c r="C147" s="281"/>
      <c r="D147" s="281"/>
      <c r="E147" s="224"/>
      <c r="F147" s="192"/>
      <c r="G147" s="193"/>
      <c r="H147" s="223"/>
      <c r="I147" s="281"/>
      <c r="J147" s="225"/>
      <c r="K147" s="225"/>
      <c r="L147" s="226"/>
      <c r="M147" s="226"/>
      <c r="N147" s="181">
        <f t="shared" si="2"/>
        <v>0</v>
      </c>
      <c r="O147" s="227"/>
      <c r="P147" s="227"/>
      <c r="Q147" s="223"/>
      <c r="R147" s="781"/>
      <c r="S147" s="781"/>
    </row>
    <row r="148" spans="1:19" ht="15.75" x14ac:dyDescent="0.25">
      <c r="A148" s="223"/>
      <c r="B148" s="281"/>
      <c r="C148" s="281"/>
      <c r="D148" s="281"/>
      <c r="E148" s="224"/>
      <c r="F148" s="192"/>
      <c r="G148" s="193"/>
      <c r="H148" s="223"/>
      <c r="I148" s="281"/>
      <c r="J148" s="225"/>
      <c r="K148" s="225"/>
      <c r="L148" s="226"/>
      <c r="M148" s="226"/>
      <c r="N148" s="181">
        <f t="shared" si="2"/>
        <v>0</v>
      </c>
      <c r="O148" s="227"/>
      <c r="P148" s="227"/>
      <c r="Q148" s="223"/>
      <c r="R148" s="781"/>
      <c r="S148" s="781"/>
    </row>
    <row r="149" spans="1:19" ht="15.75" x14ac:dyDescent="0.25">
      <c r="A149" s="223"/>
      <c r="B149" s="281"/>
      <c r="C149" s="281"/>
      <c r="D149" s="281"/>
      <c r="E149" s="224"/>
      <c r="F149" s="192"/>
      <c r="G149" s="193"/>
      <c r="H149" s="223"/>
      <c r="I149" s="281"/>
      <c r="J149" s="225"/>
      <c r="K149" s="225"/>
      <c r="L149" s="226"/>
      <c r="M149" s="226"/>
      <c r="N149" s="181">
        <f t="shared" si="2"/>
        <v>0</v>
      </c>
      <c r="O149" s="227"/>
      <c r="P149" s="227"/>
      <c r="Q149" s="223"/>
      <c r="R149" s="781"/>
      <c r="S149" s="781"/>
    </row>
    <row r="150" spans="1:19" ht="15.75" x14ac:dyDescent="0.25">
      <c r="A150" s="223"/>
      <c r="B150" s="281"/>
      <c r="C150" s="281"/>
      <c r="D150" s="281"/>
      <c r="E150" s="224"/>
      <c r="F150" s="192"/>
      <c r="G150" s="193"/>
      <c r="H150" s="223"/>
      <c r="I150" s="281"/>
      <c r="J150" s="225"/>
      <c r="K150" s="225"/>
      <c r="L150" s="226"/>
      <c r="M150" s="226"/>
      <c r="N150" s="181">
        <f t="shared" si="2"/>
        <v>0</v>
      </c>
      <c r="O150" s="227"/>
      <c r="P150" s="227"/>
      <c r="Q150" s="223"/>
      <c r="R150" s="781"/>
      <c r="S150" s="781"/>
    </row>
    <row r="151" spans="1:19" ht="15.75" x14ac:dyDescent="0.25">
      <c r="A151" s="223"/>
      <c r="B151" s="281"/>
      <c r="C151" s="281"/>
      <c r="D151" s="281"/>
      <c r="E151" s="224"/>
      <c r="F151" s="192"/>
      <c r="G151" s="193"/>
      <c r="H151" s="223"/>
      <c r="I151" s="281"/>
      <c r="J151" s="225"/>
      <c r="K151" s="225"/>
      <c r="L151" s="226"/>
      <c r="M151" s="226"/>
      <c r="N151" s="181">
        <f t="shared" si="2"/>
        <v>0</v>
      </c>
      <c r="O151" s="227"/>
      <c r="P151" s="227"/>
      <c r="Q151" s="223"/>
      <c r="R151" s="781"/>
      <c r="S151" s="781"/>
    </row>
    <row r="152" spans="1:19" ht="15.75" x14ac:dyDescent="0.25">
      <c r="A152" s="223"/>
      <c r="B152" s="281"/>
      <c r="C152" s="281"/>
      <c r="D152" s="281"/>
      <c r="E152" s="224"/>
      <c r="F152" s="192"/>
      <c r="G152" s="193"/>
      <c r="H152" s="223"/>
      <c r="I152" s="281"/>
      <c r="J152" s="225"/>
      <c r="K152" s="225"/>
      <c r="L152" s="226"/>
      <c r="M152" s="226"/>
      <c r="N152" s="181">
        <f t="shared" si="2"/>
        <v>0</v>
      </c>
      <c r="O152" s="227"/>
      <c r="P152" s="227"/>
      <c r="Q152" s="223"/>
      <c r="R152" s="781"/>
      <c r="S152" s="781"/>
    </row>
    <row r="153" spans="1:19" ht="15.75" x14ac:dyDescent="0.25">
      <c r="A153" s="223"/>
      <c r="B153" s="281"/>
      <c r="C153" s="281"/>
      <c r="D153" s="281"/>
      <c r="E153" s="224"/>
      <c r="F153" s="192"/>
      <c r="G153" s="193"/>
      <c r="H153" s="223"/>
      <c r="I153" s="281"/>
      <c r="J153" s="225"/>
      <c r="K153" s="225"/>
      <c r="L153" s="226"/>
      <c r="M153" s="226"/>
      <c r="N153" s="181">
        <f t="shared" si="2"/>
        <v>0</v>
      </c>
      <c r="O153" s="227"/>
      <c r="P153" s="227"/>
      <c r="Q153" s="223"/>
      <c r="R153" s="781"/>
      <c r="S153" s="781"/>
    </row>
    <row r="154" spans="1:19" ht="15.75" x14ac:dyDescent="0.25">
      <c r="A154" s="223"/>
      <c r="B154" s="281"/>
      <c r="C154" s="281"/>
      <c r="D154" s="281"/>
      <c r="E154" s="224"/>
      <c r="F154" s="192"/>
      <c r="G154" s="193"/>
      <c r="H154" s="223"/>
      <c r="I154" s="281"/>
      <c r="J154" s="225"/>
      <c r="K154" s="225"/>
      <c r="L154" s="226"/>
      <c r="M154" s="226"/>
      <c r="N154" s="181">
        <f t="shared" si="2"/>
        <v>0</v>
      </c>
      <c r="O154" s="227"/>
      <c r="P154" s="227"/>
      <c r="Q154" s="223"/>
      <c r="R154" s="781"/>
      <c r="S154" s="781"/>
    </row>
    <row r="155" spans="1:19" ht="15.75" x14ac:dyDescent="0.25">
      <c r="A155" s="223"/>
      <c r="B155" s="281"/>
      <c r="C155" s="281"/>
      <c r="D155" s="281"/>
      <c r="E155" s="224"/>
      <c r="F155" s="192"/>
      <c r="G155" s="193"/>
      <c r="H155" s="223"/>
      <c r="I155" s="281"/>
      <c r="J155" s="225"/>
      <c r="K155" s="225"/>
      <c r="L155" s="226"/>
      <c r="M155" s="226"/>
      <c r="N155" s="181">
        <f t="shared" si="2"/>
        <v>0</v>
      </c>
      <c r="O155" s="227"/>
      <c r="P155" s="227"/>
      <c r="Q155" s="223"/>
      <c r="R155" s="781"/>
      <c r="S155" s="781"/>
    </row>
    <row r="156" spans="1:19" ht="15.75" x14ac:dyDescent="0.25">
      <c r="A156" s="223"/>
      <c r="B156" s="281"/>
      <c r="C156" s="281"/>
      <c r="D156" s="281"/>
      <c r="E156" s="224"/>
      <c r="F156" s="192"/>
      <c r="G156" s="193"/>
      <c r="H156" s="223"/>
      <c r="I156" s="281"/>
      <c r="J156" s="225"/>
      <c r="K156" s="225"/>
      <c r="L156" s="226"/>
      <c r="M156" s="226"/>
      <c r="N156" s="181">
        <f t="shared" si="2"/>
        <v>0</v>
      </c>
      <c r="O156" s="227"/>
      <c r="P156" s="227"/>
      <c r="Q156" s="223"/>
      <c r="R156" s="781"/>
      <c r="S156" s="781"/>
    </row>
    <row r="157" spans="1:19" ht="15.75" x14ac:dyDescent="0.25">
      <c r="A157" s="223"/>
      <c r="B157" s="281"/>
      <c r="C157" s="281"/>
      <c r="D157" s="281"/>
      <c r="E157" s="224"/>
      <c r="F157" s="192"/>
      <c r="G157" s="193"/>
      <c r="H157" s="223"/>
      <c r="I157" s="281"/>
      <c r="J157" s="225"/>
      <c r="K157" s="225"/>
      <c r="L157" s="226"/>
      <c r="M157" s="226"/>
      <c r="N157" s="181">
        <f t="shared" si="2"/>
        <v>0</v>
      </c>
      <c r="O157" s="227"/>
      <c r="P157" s="227"/>
      <c r="Q157" s="223"/>
      <c r="R157" s="781"/>
      <c r="S157" s="781"/>
    </row>
    <row r="158" spans="1:19" ht="15.75" x14ac:dyDescent="0.25">
      <c r="A158" s="223"/>
      <c r="B158" s="281"/>
      <c r="C158" s="281"/>
      <c r="D158" s="281"/>
      <c r="E158" s="224"/>
      <c r="F158" s="192"/>
      <c r="G158" s="193"/>
      <c r="H158" s="223"/>
      <c r="I158" s="281"/>
      <c r="J158" s="225"/>
      <c r="K158" s="225"/>
      <c r="L158" s="226"/>
      <c r="M158" s="226"/>
      <c r="N158" s="181">
        <f t="shared" si="2"/>
        <v>0</v>
      </c>
      <c r="O158" s="227"/>
      <c r="P158" s="227"/>
      <c r="Q158" s="223"/>
      <c r="R158" s="781"/>
      <c r="S158" s="781"/>
    </row>
    <row r="159" spans="1:19" ht="15.75" x14ac:dyDescent="0.25">
      <c r="A159" s="223"/>
      <c r="B159" s="281"/>
      <c r="C159" s="281"/>
      <c r="D159" s="281"/>
      <c r="E159" s="224"/>
      <c r="F159" s="192"/>
      <c r="G159" s="193"/>
      <c r="H159" s="223"/>
      <c r="I159" s="281"/>
      <c r="J159" s="225"/>
      <c r="K159" s="225"/>
      <c r="L159" s="226"/>
      <c r="M159" s="226"/>
      <c r="N159" s="181">
        <f t="shared" si="2"/>
        <v>0</v>
      </c>
      <c r="O159" s="227"/>
      <c r="P159" s="227"/>
      <c r="Q159" s="223"/>
      <c r="R159" s="781"/>
      <c r="S159" s="781"/>
    </row>
    <row r="160" spans="1:19" ht="15.75" x14ac:dyDescent="0.25">
      <c r="A160" s="223"/>
      <c r="B160" s="281"/>
      <c r="C160" s="281"/>
      <c r="D160" s="281"/>
      <c r="E160" s="224"/>
      <c r="F160" s="192"/>
      <c r="G160" s="193"/>
      <c r="H160" s="223"/>
      <c r="I160" s="281"/>
      <c r="J160" s="225"/>
      <c r="K160" s="225"/>
      <c r="L160" s="226"/>
      <c r="M160" s="226"/>
      <c r="N160" s="181">
        <f t="shared" si="2"/>
        <v>0</v>
      </c>
      <c r="O160" s="227"/>
      <c r="P160" s="227"/>
      <c r="Q160" s="223"/>
      <c r="R160" s="781"/>
      <c r="S160" s="781"/>
    </row>
    <row r="161" spans="1:19" ht="15.75" x14ac:dyDescent="0.25">
      <c r="A161" s="223"/>
      <c r="B161" s="281"/>
      <c r="C161" s="281"/>
      <c r="D161" s="281"/>
      <c r="E161" s="224"/>
      <c r="F161" s="192"/>
      <c r="G161" s="193"/>
      <c r="H161" s="223"/>
      <c r="I161" s="281"/>
      <c r="J161" s="225"/>
      <c r="K161" s="225"/>
      <c r="L161" s="226"/>
      <c r="M161" s="226"/>
      <c r="N161" s="181">
        <f t="shared" si="2"/>
        <v>0</v>
      </c>
      <c r="O161" s="227"/>
      <c r="P161" s="227"/>
      <c r="Q161" s="223"/>
      <c r="R161" s="781"/>
      <c r="S161" s="781"/>
    </row>
    <row r="162" spans="1:19" ht="15.75" x14ac:dyDescent="0.25">
      <c r="A162" s="223"/>
      <c r="B162" s="281"/>
      <c r="C162" s="281"/>
      <c r="D162" s="281"/>
      <c r="E162" s="224"/>
      <c r="F162" s="192"/>
      <c r="G162" s="193"/>
      <c r="H162" s="223"/>
      <c r="I162" s="281"/>
      <c r="J162" s="225"/>
      <c r="K162" s="225"/>
      <c r="L162" s="226"/>
      <c r="M162" s="226"/>
      <c r="N162" s="181">
        <f t="shared" si="2"/>
        <v>0</v>
      </c>
      <c r="O162" s="227"/>
      <c r="P162" s="227"/>
      <c r="Q162" s="223"/>
      <c r="R162" s="781"/>
      <c r="S162" s="781"/>
    </row>
    <row r="163" spans="1:19" ht="15.75" x14ac:dyDescent="0.25">
      <c r="A163" s="223"/>
      <c r="B163" s="281"/>
      <c r="C163" s="281"/>
      <c r="D163" s="281"/>
      <c r="E163" s="224"/>
      <c r="F163" s="192"/>
      <c r="G163" s="193"/>
      <c r="H163" s="223"/>
      <c r="I163" s="281"/>
      <c r="J163" s="225"/>
      <c r="K163" s="225"/>
      <c r="L163" s="226"/>
      <c r="M163" s="226"/>
      <c r="N163" s="181">
        <f t="shared" si="2"/>
        <v>0</v>
      </c>
      <c r="O163" s="227"/>
      <c r="P163" s="227"/>
      <c r="Q163" s="223"/>
      <c r="R163" s="781"/>
      <c r="S163" s="781"/>
    </row>
    <row r="164" spans="1:19" ht="15.75" x14ac:dyDescent="0.25">
      <c r="A164" s="223"/>
      <c r="B164" s="281"/>
      <c r="C164" s="281"/>
      <c r="D164" s="281"/>
      <c r="E164" s="224"/>
      <c r="F164" s="192"/>
      <c r="G164" s="193"/>
      <c r="H164" s="223"/>
      <c r="I164" s="281"/>
      <c r="J164" s="225"/>
      <c r="K164" s="225"/>
      <c r="L164" s="226"/>
      <c r="M164" s="226"/>
      <c r="N164" s="181">
        <f t="shared" si="2"/>
        <v>0</v>
      </c>
      <c r="O164" s="227"/>
      <c r="P164" s="227"/>
      <c r="Q164" s="223"/>
      <c r="R164" s="781"/>
      <c r="S164" s="781"/>
    </row>
    <row r="165" spans="1:19" ht="15.75" x14ac:dyDescent="0.25">
      <c r="A165" s="223"/>
      <c r="B165" s="281"/>
      <c r="C165" s="281"/>
      <c r="D165" s="281"/>
      <c r="E165" s="224"/>
      <c r="F165" s="192"/>
      <c r="G165" s="193"/>
      <c r="H165" s="223"/>
      <c r="I165" s="281"/>
      <c r="J165" s="225"/>
      <c r="K165" s="225"/>
      <c r="L165" s="226"/>
      <c r="M165" s="226"/>
      <c r="N165" s="181">
        <f t="shared" si="2"/>
        <v>0</v>
      </c>
      <c r="O165" s="227"/>
      <c r="P165" s="227"/>
      <c r="Q165" s="223"/>
      <c r="R165" s="781"/>
      <c r="S165" s="781"/>
    </row>
    <row r="166" spans="1:19" ht="15.75" x14ac:dyDescent="0.25">
      <c r="A166" s="223"/>
      <c r="B166" s="281"/>
      <c r="C166" s="281"/>
      <c r="D166" s="281"/>
      <c r="E166" s="224"/>
      <c r="F166" s="192"/>
      <c r="G166" s="193"/>
      <c r="H166" s="223"/>
      <c r="I166" s="281"/>
      <c r="J166" s="225"/>
      <c r="K166" s="225"/>
      <c r="L166" s="226"/>
      <c r="M166" s="226"/>
      <c r="N166" s="181">
        <f t="shared" si="2"/>
        <v>0</v>
      </c>
      <c r="O166" s="227"/>
      <c r="P166" s="227"/>
      <c r="Q166" s="223"/>
      <c r="R166" s="781"/>
      <c r="S166" s="781"/>
    </row>
    <row r="167" spans="1:19" ht="15.75" x14ac:dyDescent="0.25">
      <c r="A167" s="223"/>
      <c r="B167" s="281"/>
      <c r="C167" s="281"/>
      <c r="D167" s="281"/>
      <c r="E167" s="224"/>
      <c r="F167" s="192"/>
      <c r="G167" s="193"/>
      <c r="H167" s="223"/>
      <c r="I167" s="281"/>
      <c r="J167" s="225"/>
      <c r="K167" s="225"/>
      <c r="L167" s="226"/>
      <c r="M167" s="226"/>
      <c r="N167" s="181">
        <f t="shared" si="2"/>
        <v>0</v>
      </c>
      <c r="O167" s="227"/>
      <c r="P167" s="227"/>
      <c r="Q167" s="223"/>
      <c r="R167" s="781"/>
      <c r="S167" s="781"/>
    </row>
    <row r="168" spans="1:19" ht="15.75" x14ac:dyDescent="0.25">
      <c r="A168" s="223"/>
      <c r="B168" s="281"/>
      <c r="C168" s="281"/>
      <c r="D168" s="281"/>
      <c r="E168" s="224"/>
      <c r="F168" s="192"/>
      <c r="G168" s="193"/>
      <c r="H168" s="223"/>
      <c r="I168" s="281"/>
      <c r="J168" s="225"/>
      <c r="K168" s="225"/>
      <c r="L168" s="226"/>
      <c r="M168" s="226"/>
      <c r="N168" s="181">
        <f t="shared" si="2"/>
        <v>0</v>
      </c>
      <c r="O168" s="227"/>
      <c r="P168" s="227"/>
      <c r="Q168" s="223"/>
      <c r="R168" s="781"/>
      <c r="S168" s="781"/>
    </row>
    <row r="169" spans="1:19" ht="15.75" x14ac:dyDescent="0.25">
      <c r="A169" s="223"/>
      <c r="B169" s="281"/>
      <c r="C169" s="281"/>
      <c r="D169" s="281"/>
      <c r="E169" s="224"/>
      <c r="F169" s="192"/>
      <c r="G169" s="193"/>
      <c r="H169" s="223"/>
      <c r="I169" s="281"/>
      <c r="J169" s="225"/>
      <c r="K169" s="225"/>
      <c r="L169" s="226"/>
      <c r="M169" s="226"/>
      <c r="N169" s="181">
        <f t="shared" si="2"/>
        <v>0</v>
      </c>
      <c r="O169" s="227"/>
      <c r="P169" s="227"/>
      <c r="Q169" s="223"/>
      <c r="R169" s="781"/>
      <c r="S169" s="781"/>
    </row>
    <row r="170" spans="1:19" ht="15.75" x14ac:dyDescent="0.25">
      <c r="A170" s="223"/>
      <c r="B170" s="281"/>
      <c r="C170" s="281"/>
      <c r="D170" s="281"/>
      <c r="E170" s="224"/>
      <c r="F170" s="192"/>
      <c r="G170" s="193"/>
      <c r="H170" s="223"/>
      <c r="I170" s="281"/>
      <c r="J170" s="225"/>
      <c r="K170" s="225"/>
      <c r="L170" s="226"/>
      <c r="M170" s="226"/>
      <c r="N170" s="181">
        <f t="shared" si="2"/>
        <v>0</v>
      </c>
      <c r="O170" s="227"/>
      <c r="P170" s="227"/>
      <c r="Q170" s="223"/>
      <c r="R170" s="781"/>
      <c r="S170" s="781"/>
    </row>
    <row r="171" spans="1:19" ht="15.75" x14ac:dyDescent="0.25">
      <c r="A171" s="223"/>
      <c r="B171" s="281"/>
      <c r="C171" s="281"/>
      <c r="D171" s="281"/>
      <c r="E171" s="224"/>
      <c r="F171" s="192"/>
      <c r="G171" s="193"/>
      <c r="H171" s="223"/>
      <c r="I171" s="281"/>
      <c r="J171" s="225"/>
      <c r="K171" s="225"/>
      <c r="L171" s="226"/>
      <c r="M171" s="226"/>
      <c r="N171" s="181">
        <f t="shared" si="2"/>
        <v>0</v>
      </c>
      <c r="O171" s="227"/>
      <c r="P171" s="227"/>
      <c r="Q171" s="223"/>
      <c r="R171" s="781"/>
      <c r="S171" s="781"/>
    </row>
    <row r="172" spans="1:19" ht="15.75" x14ac:dyDescent="0.25">
      <c r="A172" s="223"/>
      <c r="B172" s="281"/>
      <c r="C172" s="281"/>
      <c r="D172" s="281"/>
      <c r="E172" s="224"/>
      <c r="F172" s="192"/>
      <c r="G172" s="193"/>
      <c r="H172" s="223"/>
      <c r="I172" s="281"/>
      <c r="J172" s="225"/>
      <c r="K172" s="225"/>
      <c r="L172" s="226"/>
      <c r="M172" s="226"/>
      <c r="N172" s="181">
        <f t="shared" si="2"/>
        <v>0</v>
      </c>
      <c r="O172" s="227"/>
      <c r="P172" s="227"/>
      <c r="Q172" s="223"/>
      <c r="R172" s="781"/>
      <c r="S172" s="781"/>
    </row>
    <row r="173" spans="1:19" ht="15.75" x14ac:dyDescent="0.25">
      <c r="A173" s="223"/>
      <c r="B173" s="281"/>
      <c r="C173" s="281"/>
      <c r="D173" s="281"/>
      <c r="E173" s="224"/>
      <c r="F173" s="192"/>
      <c r="G173" s="193"/>
      <c r="H173" s="223"/>
      <c r="I173" s="281"/>
      <c r="J173" s="225"/>
      <c r="K173" s="225"/>
      <c r="L173" s="226"/>
      <c r="M173" s="226"/>
      <c r="N173" s="181">
        <f t="shared" si="2"/>
        <v>0</v>
      </c>
      <c r="O173" s="227"/>
      <c r="P173" s="227"/>
      <c r="Q173" s="223"/>
      <c r="R173" s="781"/>
      <c r="S173" s="781"/>
    </row>
    <row r="174" spans="1:19" ht="15.75" x14ac:dyDescent="0.25">
      <c r="A174" s="223"/>
      <c r="B174" s="281"/>
      <c r="C174" s="281"/>
      <c r="D174" s="281"/>
      <c r="E174" s="224"/>
      <c r="F174" s="192"/>
      <c r="G174" s="193"/>
      <c r="H174" s="223"/>
      <c r="I174" s="281"/>
      <c r="J174" s="225"/>
      <c r="K174" s="225"/>
      <c r="L174" s="226"/>
      <c r="M174" s="226"/>
      <c r="N174" s="181">
        <f t="shared" si="2"/>
        <v>0</v>
      </c>
      <c r="O174" s="227"/>
      <c r="P174" s="227"/>
      <c r="Q174" s="223"/>
      <c r="R174" s="781"/>
      <c r="S174" s="781"/>
    </row>
    <row r="175" spans="1:19" ht="15.75" x14ac:dyDescent="0.25">
      <c r="A175" s="223"/>
      <c r="B175" s="281"/>
      <c r="C175" s="281"/>
      <c r="D175" s="281"/>
      <c r="E175" s="224"/>
      <c r="F175" s="192"/>
      <c r="G175" s="193"/>
      <c r="H175" s="223"/>
      <c r="I175" s="281"/>
      <c r="J175" s="225"/>
      <c r="K175" s="225"/>
      <c r="L175" s="226"/>
      <c r="M175" s="226"/>
      <c r="N175" s="181">
        <f t="shared" si="2"/>
        <v>0</v>
      </c>
      <c r="O175" s="227"/>
      <c r="P175" s="227"/>
      <c r="Q175" s="223"/>
      <c r="R175" s="781"/>
      <c r="S175" s="781"/>
    </row>
    <row r="176" spans="1:19" ht="15.75" x14ac:dyDescent="0.25">
      <c r="A176" s="223"/>
      <c r="B176" s="281"/>
      <c r="C176" s="281"/>
      <c r="D176" s="281"/>
      <c r="E176" s="224"/>
      <c r="F176" s="192"/>
      <c r="G176" s="193"/>
      <c r="H176" s="223"/>
      <c r="I176" s="281"/>
      <c r="J176" s="225"/>
      <c r="K176" s="225"/>
      <c r="L176" s="226"/>
      <c r="M176" s="226"/>
      <c r="N176" s="181">
        <f t="shared" si="2"/>
        <v>0</v>
      </c>
      <c r="O176" s="227"/>
      <c r="P176" s="227"/>
      <c r="Q176" s="223"/>
      <c r="R176" s="781"/>
      <c r="S176" s="781"/>
    </row>
    <row r="177" spans="1:19" ht="15.75" x14ac:dyDescent="0.25">
      <c r="A177" s="223"/>
      <c r="B177" s="281"/>
      <c r="C177" s="281"/>
      <c r="D177" s="281"/>
      <c r="E177" s="224"/>
      <c r="F177" s="192"/>
      <c r="G177" s="193"/>
      <c r="H177" s="223"/>
      <c r="I177" s="281"/>
      <c r="J177" s="225"/>
      <c r="K177" s="225"/>
      <c r="L177" s="226"/>
      <c r="M177" s="226"/>
      <c r="N177" s="181">
        <f t="shared" si="2"/>
        <v>0</v>
      </c>
      <c r="O177" s="227"/>
      <c r="P177" s="227"/>
      <c r="Q177" s="223"/>
      <c r="R177" s="781"/>
      <c r="S177" s="781"/>
    </row>
    <row r="178" spans="1:19" ht="15.75" x14ac:dyDescent="0.25">
      <c r="A178" s="223"/>
      <c r="B178" s="281"/>
      <c r="C178" s="281"/>
      <c r="D178" s="281"/>
      <c r="E178" s="224"/>
      <c r="F178" s="192"/>
      <c r="G178" s="193"/>
      <c r="H178" s="223"/>
      <c r="I178" s="281"/>
      <c r="J178" s="225"/>
      <c r="K178" s="225"/>
      <c r="L178" s="226"/>
      <c r="M178" s="226"/>
      <c r="N178" s="181">
        <f t="shared" si="2"/>
        <v>0</v>
      </c>
      <c r="O178" s="227"/>
      <c r="P178" s="227"/>
      <c r="Q178" s="223"/>
      <c r="R178" s="781"/>
      <c r="S178" s="781"/>
    </row>
    <row r="179" spans="1:19" ht="15.75" x14ac:dyDescent="0.25">
      <c r="A179" s="223"/>
      <c r="B179" s="281"/>
      <c r="C179" s="281"/>
      <c r="D179" s="281"/>
      <c r="E179" s="224"/>
      <c r="F179" s="192"/>
      <c r="G179" s="193"/>
      <c r="H179" s="223"/>
      <c r="I179" s="281"/>
      <c r="J179" s="225"/>
      <c r="K179" s="225"/>
      <c r="L179" s="226"/>
      <c r="M179" s="226"/>
      <c r="N179" s="181">
        <f t="shared" si="2"/>
        <v>0</v>
      </c>
      <c r="O179" s="227"/>
      <c r="P179" s="227"/>
      <c r="Q179" s="223"/>
      <c r="R179" s="781"/>
      <c r="S179" s="781"/>
    </row>
    <row r="180" spans="1:19" ht="15.75" x14ac:dyDescent="0.25">
      <c r="A180" s="223"/>
      <c r="B180" s="281"/>
      <c r="C180" s="281"/>
      <c r="D180" s="281"/>
      <c r="E180" s="224"/>
      <c r="F180" s="192"/>
      <c r="G180" s="193"/>
      <c r="H180" s="223"/>
      <c r="I180" s="281"/>
      <c r="J180" s="225"/>
      <c r="K180" s="225"/>
      <c r="L180" s="226"/>
      <c r="M180" s="226"/>
      <c r="N180" s="181">
        <f t="shared" si="2"/>
        <v>0</v>
      </c>
      <c r="O180" s="227"/>
      <c r="P180" s="227"/>
      <c r="Q180" s="223"/>
      <c r="R180" s="781"/>
      <c r="S180" s="781"/>
    </row>
    <row r="181" spans="1:19" ht="15.75" x14ac:dyDescent="0.25">
      <c r="A181" s="223"/>
      <c r="B181" s="281"/>
      <c r="C181" s="281"/>
      <c r="D181" s="281"/>
      <c r="E181" s="224"/>
      <c r="F181" s="192"/>
      <c r="G181" s="193"/>
      <c r="H181" s="223"/>
      <c r="I181" s="281"/>
      <c r="J181" s="225"/>
      <c r="K181" s="225"/>
      <c r="L181" s="226"/>
      <c r="M181" s="226"/>
      <c r="N181" s="181">
        <f t="shared" si="2"/>
        <v>0</v>
      </c>
      <c r="O181" s="227"/>
      <c r="P181" s="227"/>
      <c r="Q181" s="223"/>
      <c r="R181" s="781"/>
      <c r="S181" s="781"/>
    </row>
    <row r="182" spans="1:19" ht="15.75" x14ac:dyDescent="0.25">
      <c r="A182" s="223"/>
      <c r="B182" s="281"/>
      <c r="C182" s="281"/>
      <c r="D182" s="281"/>
      <c r="E182" s="224"/>
      <c r="F182" s="192"/>
      <c r="G182" s="193"/>
      <c r="H182" s="223"/>
      <c r="I182" s="281"/>
      <c r="J182" s="225"/>
      <c r="K182" s="225"/>
      <c r="L182" s="226"/>
      <c r="M182" s="226"/>
      <c r="N182" s="181">
        <f t="shared" si="2"/>
        <v>0</v>
      </c>
      <c r="O182" s="227"/>
      <c r="P182" s="227"/>
      <c r="Q182" s="223"/>
      <c r="R182" s="781"/>
      <c r="S182" s="781"/>
    </row>
    <row r="183" spans="1:19" ht="15.75" x14ac:dyDescent="0.25">
      <c r="A183" s="223"/>
      <c r="B183" s="281"/>
      <c r="C183" s="281"/>
      <c r="D183" s="281"/>
      <c r="E183" s="224"/>
      <c r="F183" s="192"/>
      <c r="G183" s="193"/>
      <c r="H183" s="223"/>
      <c r="I183" s="281"/>
      <c r="J183" s="225"/>
      <c r="K183" s="225"/>
      <c r="L183" s="226"/>
      <c r="M183" s="226"/>
      <c r="N183" s="181">
        <f t="shared" si="2"/>
        <v>0</v>
      </c>
      <c r="O183" s="227"/>
      <c r="P183" s="227"/>
      <c r="Q183" s="223"/>
      <c r="R183" s="781"/>
      <c r="S183" s="781"/>
    </row>
    <row r="184" spans="1:19" ht="15.75" x14ac:dyDescent="0.25">
      <c r="A184" s="223"/>
      <c r="B184" s="281"/>
      <c r="C184" s="281"/>
      <c r="D184" s="281"/>
      <c r="E184" s="224"/>
      <c r="F184" s="192"/>
      <c r="G184" s="193"/>
      <c r="H184" s="223"/>
      <c r="I184" s="281"/>
      <c r="J184" s="225"/>
      <c r="K184" s="225"/>
      <c r="L184" s="226"/>
      <c r="M184" s="226"/>
      <c r="N184" s="181">
        <f t="shared" si="2"/>
        <v>0</v>
      </c>
      <c r="O184" s="227"/>
      <c r="P184" s="227"/>
      <c r="Q184" s="223"/>
      <c r="R184" s="781"/>
      <c r="S184" s="781"/>
    </row>
    <row r="185" spans="1:19" ht="15.75" x14ac:dyDescent="0.25">
      <c r="A185" s="223"/>
      <c r="B185" s="281"/>
      <c r="C185" s="281"/>
      <c r="D185" s="281"/>
      <c r="E185" s="224"/>
      <c r="F185" s="192"/>
      <c r="G185" s="193"/>
      <c r="H185" s="223"/>
      <c r="I185" s="281"/>
      <c r="J185" s="225"/>
      <c r="K185" s="225"/>
      <c r="L185" s="226"/>
      <c r="M185" s="226"/>
      <c r="N185" s="181">
        <f t="shared" si="2"/>
        <v>0</v>
      </c>
      <c r="O185" s="227"/>
      <c r="P185" s="227"/>
      <c r="Q185" s="223"/>
      <c r="R185" s="781"/>
      <c r="S185" s="781"/>
    </row>
    <row r="186" spans="1:19" ht="15.75" x14ac:dyDescent="0.25">
      <c r="A186" s="223"/>
      <c r="B186" s="281"/>
      <c r="C186" s="281"/>
      <c r="D186" s="281"/>
      <c r="E186" s="224"/>
      <c r="F186" s="192"/>
      <c r="G186" s="193"/>
      <c r="H186" s="223"/>
      <c r="I186" s="281"/>
      <c r="J186" s="225"/>
      <c r="K186" s="225"/>
      <c r="L186" s="226"/>
      <c r="M186" s="226"/>
      <c r="N186" s="181">
        <f t="shared" si="2"/>
        <v>0</v>
      </c>
      <c r="O186" s="227"/>
      <c r="P186" s="227"/>
      <c r="Q186" s="223"/>
      <c r="R186" s="781"/>
      <c r="S186" s="781"/>
    </row>
    <row r="187" spans="1:19" ht="15.75" x14ac:dyDescent="0.25">
      <c r="A187" s="223"/>
      <c r="B187" s="281"/>
      <c r="C187" s="281"/>
      <c r="D187" s="281"/>
      <c r="E187" s="224"/>
      <c r="F187" s="192"/>
      <c r="G187" s="193"/>
      <c r="H187" s="223"/>
      <c r="I187" s="281"/>
      <c r="J187" s="225"/>
      <c r="K187" s="225"/>
      <c r="L187" s="226"/>
      <c r="M187" s="226"/>
      <c r="N187" s="181">
        <f t="shared" si="2"/>
        <v>0</v>
      </c>
      <c r="O187" s="227"/>
      <c r="P187" s="227"/>
      <c r="Q187" s="223"/>
      <c r="R187" s="781"/>
      <c r="S187" s="781"/>
    </row>
    <row r="188" spans="1:19" ht="15.75" x14ac:dyDescent="0.25">
      <c r="A188" s="223"/>
      <c r="B188" s="281"/>
      <c r="C188" s="281"/>
      <c r="D188" s="281"/>
      <c r="E188" s="224"/>
      <c r="F188" s="192"/>
      <c r="G188" s="193"/>
      <c r="H188" s="223"/>
      <c r="I188" s="281"/>
      <c r="J188" s="225"/>
      <c r="K188" s="225"/>
      <c r="L188" s="226"/>
      <c r="M188" s="226"/>
      <c r="N188" s="181">
        <f t="shared" si="2"/>
        <v>0</v>
      </c>
      <c r="O188" s="227"/>
      <c r="P188" s="227"/>
      <c r="Q188" s="223"/>
      <c r="R188" s="781"/>
      <c r="S188" s="781"/>
    </row>
    <row r="189" spans="1:19" ht="15.75" x14ac:dyDescent="0.25">
      <c r="A189" s="223"/>
      <c r="B189" s="281"/>
      <c r="C189" s="281"/>
      <c r="D189" s="281"/>
      <c r="E189" s="224"/>
      <c r="F189" s="192"/>
      <c r="G189" s="193"/>
      <c r="H189" s="223"/>
      <c r="I189" s="281"/>
      <c r="J189" s="225"/>
      <c r="K189" s="225"/>
      <c r="L189" s="226"/>
      <c r="M189" s="226"/>
      <c r="N189" s="181">
        <f t="shared" si="2"/>
        <v>0</v>
      </c>
      <c r="O189" s="227"/>
      <c r="P189" s="227"/>
      <c r="Q189" s="223"/>
      <c r="R189" s="781"/>
      <c r="S189" s="781"/>
    </row>
    <row r="190" spans="1:19" ht="15.75" x14ac:dyDescent="0.25">
      <c r="A190" s="223"/>
      <c r="B190" s="281"/>
      <c r="C190" s="281"/>
      <c r="D190" s="281"/>
      <c r="E190" s="224"/>
      <c r="F190" s="192"/>
      <c r="G190" s="193"/>
      <c r="H190" s="223"/>
      <c r="I190" s="281"/>
      <c r="J190" s="225"/>
      <c r="K190" s="225"/>
      <c r="L190" s="226"/>
      <c r="M190" s="226"/>
      <c r="N190" s="181">
        <f t="shared" si="2"/>
        <v>0</v>
      </c>
      <c r="O190" s="227"/>
      <c r="P190" s="227"/>
      <c r="Q190" s="223"/>
      <c r="R190" s="781"/>
      <c r="S190" s="781"/>
    </row>
    <row r="191" spans="1:19" ht="15.75" x14ac:dyDescent="0.25">
      <c r="A191" s="223"/>
      <c r="B191" s="281"/>
      <c r="C191" s="281"/>
      <c r="D191" s="281"/>
      <c r="E191" s="224"/>
      <c r="F191" s="192"/>
      <c r="G191" s="193"/>
      <c r="H191" s="223"/>
      <c r="I191" s="281"/>
      <c r="J191" s="225"/>
      <c r="K191" s="225"/>
      <c r="L191" s="226"/>
      <c r="M191" s="226"/>
      <c r="N191" s="181">
        <f t="shared" si="2"/>
        <v>0</v>
      </c>
      <c r="O191" s="227"/>
      <c r="P191" s="227"/>
      <c r="Q191" s="223"/>
      <c r="R191" s="781"/>
      <c r="S191" s="781"/>
    </row>
    <row r="192" spans="1:19" ht="15.75" x14ac:dyDescent="0.25">
      <c r="A192" s="223"/>
      <c r="B192" s="281"/>
      <c r="C192" s="281"/>
      <c r="D192" s="281"/>
      <c r="E192" s="224"/>
      <c r="F192" s="192"/>
      <c r="G192" s="193"/>
      <c r="H192" s="223"/>
      <c r="I192" s="281"/>
      <c r="J192" s="225"/>
      <c r="K192" s="225"/>
      <c r="L192" s="226"/>
      <c r="M192" s="226"/>
      <c r="N192" s="181">
        <f t="shared" si="2"/>
        <v>0</v>
      </c>
      <c r="O192" s="227"/>
      <c r="P192" s="227"/>
      <c r="Q192" s="223"/>
      <c r="R192" s="781"/>
      <c r="S192" s="781"/>
    </row>
    <row r="193" spans="1:19" ht="15.75" x14ac:dyDescent="0.25">
      <c r="A193" s="223"/>
      <c r="B193" s="281"/>
      <c r="C193" s="281"/>
      <c r="D193" s="281"/>
      <c r="E193" s="224"/>
      <c r="F193" s="192"/>
      <c r="G193" s="193"/>
      <c r="H193" s="223"/>
      <c r="I193" s="281"/>
      <c r="J193" s="225"/>
      <c r="K193" s="225"/>
      <c r="L193" s="226"/>
      <c r="M193" s="226"/>
      <c r="N193" s="181">
        <f t="shared" si="2"/>
        <v>0</v>
      </c>
      <c r="O193" s="227"/>
      <c r="P193" s="227"/>
      <c r="Q193" s="223"/>
      <c r="R193" s="781"/>
      <c r="S193" s="781"/>
    </row>
    <row r="194" spans="1:19" ht="15.75" x14ac:dyDescent="0.25">
      <c r="A194" s="223"/>
      <c r="B194" s="281"/>
      <c r="C194" s="281"/>
      <c r="D194" s="281"/>
      <c r="E194" s="224"/>
      <c r="F194" s="192"/>
      <c r="G194" s="193"/>
      <c r="H194" s="223"/>
      <c r="I194" s="281"/>
      <c r="J194" s="225"/>
      <c r="K194" s="225"/>
      <c r="L194" s="226"/>
      <c r="M194" s="226"/>
      <c r="N194" s="181">
        <f t="shared" si="2"/>
        <v>0</v>
      </c>
      <c r="O194" s="227"/>
      <c r="P194" s="227"/>
      <c r="Q194" s="223"/>
      <c r="R194" s="781"/>
      <c r="S194" s="781"/>
    </row>
    <row r="195" spans="1:19" ht="15.75" x14ac:dyDescent="0.25">
      <c r="A195" s="223"/>
      <c r="B195" s="281"/>
      <c r="C195" s="281"/>
      <c r="D195" s="281"/>
      <c r="E195" s="224"/>
      <c r="F195" s="192"/>
      <c r="G195" s="193"/>
      <c r="H195" s="223"/>
      <c r="I195" s="281"/>
      <c r="J195" s="225"/>
      <c r="K195" s="225"/>
      <c r="L195" s="226"/>
      <c r="M195" s="226"/>
      <c r="N195" s="181">
        <f t="shared" si="2"/>
        <v>0</v>
      </c>
      <c r="O195" s="227"/>
      <c r="P195" s="227"/>
      <c r="Q195" s="223"/>
      <c r="R195" s="781"/>
      <c r="S195" s="781"/>
    </row>
    <row r="196" spans="1:19" ht="15.75" x14ac:dyDescent="0.25">
      <c r="A196" s="223"/>
      <c r="B196" s="281"/>
      <c r="C196" s="281"/>
      <c r="D196" s="281"/>
      <c r="E196" s="224"/>
      <c r="F196" s="192"/>
      <c r="G196" s="193"/>
      <c r="H196" s="223"/>
      <c r="I196" s="281"/>
      <c r="J196" s="225"/>
      <c r="K196" s="225"/>
      <c r="L196" s="226"/>
      <c r="M196" s="226"/>
      <c r="N196" s="181">
        <f t="shared" si="2"/>
        <v>0</v>
      </c>
      <c r="O196" s="227"/>
      <c r="P196" s="227"/>
      <c r="Q196" s="223"/>
      <c r="R196" s="781"/>
      <c r="S196" s="781"/>
    </row>
    <row r="197" spans="1:19" ht="15.75" x14ac:dyDescent="0.25">
      <c r="A197" s="223"/>
      <c r="B197" s="281"/>
      <c r="C197" s="281"/>
      <c r="D197" s="281"/>
      <c r="E197" s="224"/>
      <c r="F197" s="192"/>
      <c r="G197" s="193"/>
      <c r="H197" s="223"/>
      <c r="I197" s="281"/>
      <c r="J197" s="225"/>
      <c r="K197" s="225"/>
      <c r="L197" s="226"/>
      <c r="M197" s="226"/>
      <c r="N197" s="181">
        <f t="shared" si="2"/>
        <v>0</v>
      </c>
      <c r="O197" s="227"/>
      <c r="P197" s="227"/>
      <c r="Q197" s="223"/>
      <c r="R197" s="781"/>
      <c r="S197" s="781"/>
    </row>
    <row r="198" spans="1:19" ht="15.75" x14ac:dyDescent="0.25">
      <c r="A198" s="223"/>
      <c r="B198" s="281"/>
      <c r="C198" s="281"/>
      <c r="D198" s="281"/>
      <c r="E198" s="224"/>
      <c r="F198" s="192"/>
      <c r="G198" s="193"/>
      <c r="H198" s="223"/>
      <c r="I198" s="281"/>
      <c r="J198" s="225"/>
      <c r="K198" s="225"/>
      <c r="L198" s="226"/>
      <c r="M198" s="226"/>
      <c r="N198" s="181">
        <f t="shared" si="2"/>
        <v>0</v>
      </c>
      <c r="O198" s="227"/>
      <c r="P198" s="227"/>
      <c r="Q198" s="223"/>
      <c r="R198" s="781"/>
      <c r="S198" s="781"/>
    </row>
    <row r="199" spans="1:19" ht="15.75" x14ac:dyDescent="0.25">
      <c r="A199" s="223"/>
      <c r="B199" s="281"/>
      <c r="C199" s="281"/>
      <c r="D199" s="281"/>
      <c r="E199" s="224"/>
      <c r="F199" s="192"/>
      <c r="G199" s="193"/>
      <c r="H199" s="223"/>
      <c r="I199" s="281"/>
      <c r="J199" s="225"/>
      <c r="K199" s="225"/>
      <c r="L199" s="226"/>
      <c r="M199" s="226"/>
      <c r="N199" s="181">
        <f t="shared" si="2"/>
        <v>0</v>
      </c>
      <c r="O199" s="227"/>
      <c r="P199" s="227"/>
      <c r="Q199" s="223"/>
      <c r="R199" s="781"/>
      <c r="S199" s="781"/>
    </row>
    <row r="200" spans="1:19" ht="15.75" x14ac:dyDescent="0.25">
      <c r="A200" s="223"/>
      <c r="B200" s="281"/>
      <c r="C200" s="281"/>
      <c r="D200" s="281"/>
      <c r="E200" s="224"/>
      <c r="F200" s="192"/>
      <c r="G200" s="193"/>
      <c r="H200" s="223"/>
      <c r="I200" s="281"/>
      <c r="J200" s="225"/>
      <c r="K200" s="225"/>
      <c r="L200" s="226"/>
      <c r="M200" s="226"/>
      <c r="N200" s="181">
        <f t="shared" ref="N200:N210" si="3">M200+L200</f>
        <v>0</v>
      </c>
      <c r="O200" s="227"/>
      <c r="P200" s="227"/>
      <c r="Q200" s="223"/>
      <c r="R200" s="781"/>
      <c r="S200" s="781"/>
    </row>
    <row r="201" spans="1:19" ht="15.75" x14ac:dyDescent="0.25">
      <c r="A201" s="223"/>
      <c r="B201" s="281"/>
      <c r="C201" s="281"/>
      <c r="D201" s="281"/>
      <c r="E201" s="224"/>
      <c r="F201" s="192"/>
      <c r="G201" s="193"/>
      <c r="H201" s="223"/>
      <c r="I201" s="281"/>
      <c r="J201" s="225"/>
      <c r="K201" s="225"/>
      <c r="L201" s="226"/>
      <c r="M201" s="226"/>
      <c r="N201" s="181">
        <f t="shared" si="3"/>
        <v>0</v>
      </c>
      <c r="O201" s="227"/>
      <c r="P201" s="227"/>
      <c r="Q201" s="223"/>
      <c r="R201" s="781"/>
      <c r="S201" s="781"/>
    </row>
    <row r="202" spans="1:19" ht="15.75" x14ac:dyDescent="0.25">
      <c r="A202" s="223"/>
      <c r="B202" s="281"/>
      <c r="C202" s="281"/>
      <c r="D202" s="281"/>
      <c r="E202" s="224"/>
      <c r="F202" s="192"/>
      <c r="G202" s="193"/>
      <c r="H202" s="223"/>
      <c r="I202" s="281"/>
      <c r="J202" s="225"/>
      <c r="K202" s="225"/>
      <c r="L202" s="226"/>
      <c r="M202" s="226"/>
      <c r="N202" s="181">
        <f t="shared" si="3"/>
        <v>0</v>
      </c>
      <c r="O202" s="227"/>
      <c r="P202" s="227"/>
      <c r="Q202" s="223"/>
      <c r="R202" s="781"/>
      <c r="S202" s="781"/>
    </row>
    <row r="203" spans="1:19" ht="15.75" x14ac:dyDescent="0.25">
      <c r="A203" s="223"/>
      <c r="B203" s="281"/>
      <c r="C203" s="281"/>
      <c r="D203" s="281"/>
      <c r="E203" s="224"/>
      <c r="F203" s="192"/>
      <c r="G203" s="193"/>
      <c r="H203" s="223"/>
      <c r="I203" s="281"/>
      <c r="J203" s="225"/>
      <c r="K203" s="225"/>
      <c r="L203" s="226"/>
      <c r="M203" s="226"/>
      <c r="N203" s="181">
        <f t="shared" si="3"/>
        <v>0</v>
      </c>
      <c r="O203" s="227"/>
      <c r="P203" s="227"/>
      <c r="Q203" s="223"/>
      <c r="R203" s="781"/>
      <c r="S203" s="781"/>
    </row>
    <row r="204" spans="1:19" ht="15.75" x14ac:dyDescent="0.25">
      <c r="A204" s="223"/>
      <c r="B204" s="281"/>
      <c r="C204" s="281"/>
      <c r="D204" s="281"/>
      <c r="E204" s="224"/>
      <c r="F204" s="192"/>
      <c r="G204" s="193"/>
      <c r="H204" s="223"/>
      <c r="I204" s="281"/>
      <c r="J204" s="225"/>
      <c r="K204" s="225"/>
      <c r="L204" s="226"/>
      <c r="M204" s="226"/>
      <c r="N204" s="181">
        <f t="shared" si="3"/>
        <v>0</v>
      </c>
      <c r="O204" s="227"/>
      <c r="P204" s="227"/>
      <c r="Q204" s="223"/>
      <c r="R204" s="781"/>
      <c r="S204" s="781"/>
    </row>
    <row r="205" spans="1:19" ht="15.75" x14ac:dyDescent="0.25">
      <c r="A205" s="223"/>
      <c r="B205" s="281"/>
      <c r="C205" s="281"/>
      <c r="D205" s="281"/>
      <c r="E205" s="224"/>
      <c r="F205" s="192"/>
      <c r="G205" s="193"/>
      <c r="H205" s="223"/>
      <c r="I205" s="281"/>
      <c r="J205" s="225"/>
      <c r="K205" s="225"/>
      <c r="L205" s="226"/>
      <c r="M205" s="226"/>
      <c r="N205" s="181">
        <f t="shared" si="3"/>
        <v>0</v>
      </c>
      <c r="O205" s="227"/>
      <c r="P205" s="227"/>
      <c r="Q205" s="223"/>
      <c r="R205" s="781"/>
      <c r="S205" s="781"/>
    </row>
    <row r="206" spans="1:19" ht="15.75" x14ac:dyDescent="0.25">
      <c r="A206" s="223"/>
      <c r="B206" s="281"/>
      <c r="C206" s="281"/>
      <c r="D206" s="281"/>
      <c r="E206" s="224"/>
      <c r="F206" s="192"/>
      <c r="G206" s="193"/>
      <c r="H206" s="223"/>
      <c r="I206" s="281"/>
      <c r="J206" s="225"/>
      <c r="K206" s="225"/>
      <c r="L206" s="226"/>
      <c r="M206" s="226"/>
      <c r="N206" s="181">
        <f t="shared" si="3"/>
        <v>0</v>
      </c>
      <c r="O206" s="227"/>
      <c r="P206" s="227"/>
      <c r="Q206" s="223"/>
      <c r="R206" s="781"/>
      <c r="S206" s="781"/>
    </row>
    <row r="207" spans="1:19" ht="15.75" x14ac:dyDescent="0.25">
      <c r="A207" s="223"/>
      <c r="B207" s="281"/>
      <c r="C207" s="281"/>
      <c r="D207" s="281"/>
      <c r="E207" s="224"/>
      <c r="F207" s="192"/>
      <c r="G207" s="193"/>
      <c r="H207" s="223"/>
      <c r="I207" s="281"/>
      <c r="J207" s="225"/>
      <c r="K207" s="225"/>
      <c r="L207" s="226"/>
      <c r="M207" s="226"/>
      <c r="N207" s="181">
        <f t="shared" si="3"/>
        <v>0</v>
      </c>
      <c r="O207" s="227"/>
      <c r="P207" s="227"/>
      <c r="Q207" s="223"/>
      <c r="R207" s="781"/>
      <c r="S207" s="781"/>
    </row>
    <row r="208" spans="1:19" ht="15.75" x14ac:dyDescent="0.25">
      <c r="A208" s="223"/>
      <c r="B208" s="281"/>
      <c r="C208" s="281"/>
      <c r="D208" s="281"/>
      <c r="E208" s="224"/>
      <c r="F208" s="192"/>
      <c r="G208" s="193"/>
      <c r="H208" s="223"/>
      <c r="I208" s="281"/>
      <c r="J208" s="225"/>
      <c r="K208" s="225"/>
      <c r="L208" s="226"/>
      <c r="M208" s="226"/>
      <c r="N208" s="181">
        <f t="shared" si="3"/>
        <v>0</v>
      </c>
      <c r="O208" s="227"/>
      <c r="P208" s="227"/>
      <c r="Q208" s="223"/>
      <c r="R208" s="781"/>
      <c r="S208" s="781"/>
    </row>
    <row r="209" spans="1:19" ht="15.75" x14ac:dyDescent="0.25">
      <c r="A209" s="223"/>
      <c r="B209" s="281"/>
      <c r="C209" s="281"/>
      <c r="D209" s="281"/>
      <c r="E209" s="224"/>
      <c r="F209" s="192"/>
      <c r="G209" s="193"/>
      <c r="H209" s="223"/>
      <c r="I209" s="281"/>
      <c r="J209" s="225"/>
      <c r="K209" s="225"/>
      <c r="L209" s="226"/>
      <c r="M209" s="226"/>
      <c r="N209" s="181">
        <f t="shared" si="3"/>
        <v>0</v>
      </c>
      <c r="O209" s="227"/>
      <c r="P209" s="227"/>
      <c r="Q209" s="223"/>
      <c r="R209" s="781"/>
      <c r="S209" s="781"/>
    </row>
    <row r="210" spans="1:19" ht="15.75" x14ac:dyDescent="0.25">
      <c r="A210" s="223"/>
      <c r="B210" s="281"/>
      <c r="C210" s="281"/>
      <c r="D210" s="281"/>
      <c r="E210" s="224"/>
      <c r="F210" s="192"/>
      <c r="G210" s="193"/>
      <c r="H210" s="223"/>
      <c r="I210" s="281"/>
      <c r="J210" s="225"/>
      <c r="K210" s="225"/>
      <c r="L210" s="226"/>
      <c r="M210" s="226"/>
      <c r="N210" s="181">
        <f t="shared" si="3"/>
        <v>0</v>
      </c>
      <c r="O210" s="227"/>
      <c r="P210" s="227"/>
      <c r="Q210" s="223"/>
      <c r="R210" s="781"/>
      <c r="S210" s="781"/>
    </row>
    <row r="211" spans="1:19" x14ac:dyDescent="0.25">
      <c r="A211" s="223"/>
      <c r="B211" s="281"/>
      <c r="C211" s="281"/>
      <c r="D211" s="281"/>
      <c r="E211" s="224"/>
      <c r="F211" s="192"/>
      <c r="G211" s="193"/>
      <c r="H211" s="223"/>
      <c r="I211" s="281"/>
      <c r="J211" s="225"/>
      <c r="K211" s="225"/>
      <c r="L211" s="226"/>
      <c r="M211" s="226"/>
      <c r="N211" s="226"/>
      <c r="O211" s="227"/>
      <c r="P211" s="227"/>
      <c r="Q211" s="223"/>
      <c r="R211" s="781"/>
      <c r="S211" s="781"/>
    </row>
    <row r="212" spans="1:19" x14ac:dyDescent="0.25">
      <c r="A212" s="223"/>
      <c r="B212" s="281"/>
      <c r="C212" s="281"/>
      <c r="D212" s="281"/>
      <c r="E212" s="224"/>
      <c r="F212" s="192"/>
      <c r="G212" s="193"/>
      <c r="H212" s="223"/>
      <c r="I212" s="281"/>
      <c r="J212" s="225"/>
      <c r="K212" s="225"/>
      <c r="L212" s="226"/>
      <c r="M212" s="226"/>
      <c r="N212" s="226"/>
      <c r="O212" s="227"/>
      <c r="P212" s="227"/>
      <c r="Q212" s="223"/>
      <c r="R212" s="781"/>
      <c r="S212" s="781"/>
    </row>
    <row r="213" spans="1:19" x14ac:dyDescent="0.25">
      <c r="A213" s="223"/>
      <c r="B213" s="281"/>
      <c r="C213" s="281"/>
      <c r="D213" s="281"/>
      <c r="E213" s="224"/>
      <c r="F213" s="192"/>
      <c r="G213" s="193"/>
      <c r="H213" s="223"/>
      <c r="I213" s="281"/>
      <c r="J213" s="225"/>
      <c r="K213" s="225"/>
      <c r="L213" s="226"/>
      <c r="M213" s="226"/>
      <c r="N213" s="226"/>
      <c r="O213" s="227"/>
      <c r="P213" s="227"/>
      <c r="Q213" s="223"/>
      <c r="R213" s="781"/>
      <c r="S213" s="781"/>
    </row>
    <row r="214" spans="1:19" x14ac:dyDescent="0.25">
      <c r="A214" s="223"/>
      <c r="B214" s="281"/>
      <c r="C214" s="281"/>
      <c r="D214" s="281"/>
      <c r="E214" s="224"/>
      <c r="F214" s="192"/>
      <c r="G214" s="193"/>
      <c r="H214" s="223"/>
      <c r="I214" s="281"/>
      <c r="J214" s="225"/>
      <c r="K214" s="225"/>
      <c r="L214" s="226"/>
      <c r="M214" s="226"/>
      <c r="N214" s="226"/>
      <c r="O214" s="227"/>
      <c r="P214" s="227"/>
      <c r="Q214" s="223"/>
      <c r="R214" s="781"/>
      <c r="S214" s="781"/>
    </row>
    <row r="215" spans="1:19" x14ac:dyDescent="0.25">
      <c r="A215" s="223"/>
      <c r="B215" s="281"/>
      <c r="C215" s="281"/>
      <c r="D215" s="281"/>
      <c r="E215" s="224"/>
      <c r="F215" s="192"/>
      <c r="G215" s="193"/>
      <c r="H215" s="223"/>
      <c r="I215" s="281"/>
      <c r="J215" s="225"/>
      <c r="K215" s="225"/>
      <c r="L215" s="226"/>
      <c r="M215" s="226"/>
      <c r="N215" s="226"/>
      <c r="O215" s="227"/>
      <c r="P215" s="227"/>
      <c r="Q215" s="223"/>
      <c r="R215" s="781"/>
      <c r="S215" s="781"/>
    </row>
    <row r="216" spans="1:19" x14ac:dyDescent="0.25">
      <c r="A216" s="223"/>
      <c r="B216" s="281"/>
      <c r="C216" s="281"/>
      <c r="D216" s="281"/>
      <c r="E216" s="224"/>
      <c r="F216" s="192"/>
      <c r="G216" s="193"/>
      <c r="H216" s="223"/>
      <c r="I216" s="281"/>
      <c r="J216" s="225"/>
      <c r="K216" s="225"/>
      <c r="L216" s="226"/>
      <c r="M216" s="226"/>
      <c r="N216" s="226"/>
      <c r="O216" s="227"/>
      <c r="P216" s="227"/>
      <c r="Q216" s="223"/>
      <c r="R216" s="781"/>
      <c r="S216" s="781"/>
    </row>
    <row r="217" spans="1:19" x14ac:dyDescent="0.25">
      <c r="A217" s="223"/>
      <c r="B217" s="281"/>
      <c r="C217" s="281"/>
      <c r="D217" s="281"/>
      <c r="E217" s="224"/>
      <c r="F217" s="192"/>
      <c r="G217" s="193"/>
      <c r="H217" s="223"/>
      <c r="I217" s="281"/>
      <c r="J217" s="225"/>
      <c r="K217" s="225"/>
      <c r="L217" s="226"/>
      <c r="M217" s="226"/>
      <c r="N217" s="226"/>
      <c r="O217" s="227"/>
      <c r="P217" s="227"/>
      <c r="Q217" s="223"/>
      <c r="R217" s="781"/>
      <c r="S217" s="781"/>
    </row>
    <row r="218" spans="1:19" x14ac:dyDescent="0.25">
      <c r="A218" s="223"/>
      <c r="B218" s="281"/>
      <c r="C218" s="281"/>
      <c r="D218" s="281"/>
      <c r="E218" s="224"/>
      <c r="F218" s="192"/>
      <c r="G218" s="193"/>
      <c r="H218" s="223"/>
      <c r="I218" s="281"/>
      <c r="J218" s="225"/>
      <c r="K218" s="225"/>
      <c r="L218" s="226"/>
      <c r="M218" s="226"/>
      <c r="N218" s="226"/>
      <c r="O218" s="227"/>
      <c r="P218" s="227"/>
      <c r="Q218" s="223"/>
      <c r="R218" s="781"/>
      <c r="S218" s="781"/>
    </row>
    <row r="219" spans="1:19" x14ac:dyDescent="0.25">
      <c r="A219" s="223"/>
      <c r="B219" s="281"/>
      <c r="C219" s="281"/>
      <c r="D219" s="281"/>
      <c r="E219" s="224"/>
      <c r="F219" s="192"/>
      <c r="G219" s="193"/>
      <c r="H219" s="223"/>
      <c r="I219" s="281"/>
      <c r="J219" s="225"/>
      <c r="K219" s="225"/>
      <c r="L219" s="226"/>
      <c r="M219" s="226"/>
      <c r="N219" s="226"/>
      <c r="O219" s="227"/>
      <c r="P219" s="227"/>
      <c r="Q219" s="223"/>
      <c r="R219" s="781"/>
      <c r="S219" s="781"/>
    </row>
    <row r="220" spans="1:19" x14ac:dyDescent="0.25">
      <c r="A220" s="223"/>
      <c r="B220" s="281"/>
      <c r="C220" s="281"/>
      <c r="D220" s="281"/>
      <c r="E220" s="224"/>
      <c r="F220" s="192"/>
      <c r="G220" s="193"/>
      <c r="H220" s="223"/>
      <c r="I220" s="281"/>
      <c r="J220" s="225"/>
      <c r="K220" s="225"/>
      <c r="L220" s="226"/>
      <c r="M220" s="226"/>
      <c r="N220" s="226"/>
      <c r="O220" s="227"/>
      <c r="P220" s="227"/>
      <c r="Q220" s="223"/>
      <c r="R220" s="781"/>
      <c r="S220" s="781"/>
    </row>
    <row r="221" spans="1:19" x14ac:dyDescent="0.25">
      <c r="A221" s="223"/>
      <c r="B221" s="281"/>
      <c r="C221" s="281"/>
      <c r="D221" s="281"/>
      <c r="E221" s="224"/>
      <c r="F221" s="192"/>
      <c r="G221" s="193"/>
      <c r="H221" s="223"/>
      <c r="I221" s="281"/>
      <c r="J221" s="225"/>
      <c r="K221" s="225"/>
      <c r="L221" s="226"/>
      <c r="M221" s="226"/>
      <c r="N221" s="226"/>
      <c r="O221" s="227"/>
      <c r="P221" s="227"/>
      <c r="Q221" s="223"/>
      <c r="R221" s="781"/>
      <c r="S221" s="781"/>
    </row>
    <row r="222" spans="1:19" x14ac:dyDescent="0.25">
      <c r="A222" s="223"/>
      <c r="B222" s="281"/>
      <c r="C222" s="281"/>
      <c r="D222" s="281"/>
      <c r="E222" s="224"/>
      <c r="F222" s="192"/>
      <c r="G222" s="193"/>
      <c r="H222" s="223"/>
      <c r="I222" s="281"/>
      <c r="J222" s="225"/>
      <c r="K222" s="225"/>
      <c r="L222" s="226"/>
      <c r="M222" s="226"/>
      <c r="N222" s="226"/>
      <c r="O222" s="227"/>
      <c r="P222" s="227"/>
      <c r="Q222" s="223"/>
      <c r="R222" s="781"/>
      <c r="S222" s="781"/>
    </row>
    <row r="223" spans="1:19" x14ac:dyDescent="0.25">
      <c r="A223" s="223"/>
      <c r="B223" s="281"/>
      <c r="C223" s="281"/>
      <c r="D223" s="281"/>
      <c r="E223" s="224"/>
      <c r="F223" s="192"/>
      <c r="G223" s="193"/>
      <c r="H223" s="223"/>
      <c r="I223" s="281"/>
      <c r="J223" s="225"/>
      <c r="K223" s="225"/>
      <c r="L223" s="226"/>
      <c r="M223" s="226"/>
      <c r="N223" s="226"/>
      <c r="O223" s="227"/>
      <c r="P223" s="227"/>
      <c r="Q223" s="223"/>
      <c r="R223" s="781"/>
      <c r="S223" s="781"/>
    </row>
    <row r="224" spans="1:19" x14ac:dyDescent="0.25">
      <c r="A224" s="223"/>
      <c r="B224" s="281"/>
      <c r="C224" s="281"/>
      <c r="D224" s="281"/>
      <c r="E224" s="224"/>
      <c r="F224" s="192"/>
      <c r="G224" s="193"/>
      <c r="H224" s="223"/>
      <c r="I224" s="281"/>
      <c r="J224" s="225"/>
      <c r="K224" s="225"/>
      <c r="L224" s="226"/>
      <c r="M224" s="226"/>
      <c r="N224" s="226"/>
      <c r="O224" s="227"/>
      <c r="P224" s="227"/>
      <c r="Q224" s="223"/>
      <c r="R224" s="781"/>
      <c r="S224" s="781"/>
    </row>
    <row r="225" spans="1:19" x14ac:dyDescent="0.25">
      <c r="A225" s="223"/>
      <c r="B225" s="281"/>
      <c r="C225" s="281"/>
      <c r="D225" s="281"/>
      <c r="E225" s="224"/>
      <c r="F225" s="192"/>
      <c r="G225" s="193"/>
      <c r="H225" s="223"/>
      <c r="I225" s="281"/>
      <c r="J225" s="225"/>
      <c r="K225" s="225"/>
      <c r="L225" s="226"/>
      <c r="M225" s="226"/>
      <c r="N225" s="226"/>
      <c r="O225" s="227"/>
      <c r="P225" s="227"/>
      <c r="Q225" s="223"/>
      <c r="R225" s="781"/>
      <c r="S225" s="781"/>
    </row>
    <row r="226" spans="1:19" x14ac:dyDescent="0.25">
      <c r="A226" s="223"/>
      <c r="B226" s="281"/>
      <c r="C226" s="281"/>
      <c r="D226" s="281"/>
      <c r="E226" s="224"/>
      <c r="F226" s="192"/>
      <c r="G226" s="193"/>
      <c r="H226" s="223"/>
      <c r="I226" s="281"/>
      <c r="J226" s="225"/>
      <c r="K226" s="225"/>
      <c r="L226" s="226"/>
      <c r="M226" s="226"/>
      <c r="N226" s="226"/>
      <c r="O226" s="227"/>
      <c r="P226" s="227"/>
      <c r="Q226" s="223"/>
      <c r="R226" s="781"/>
      <c r="S226" s="781"/>
    </row>
    <row r="227" spans="1:19" x14ac:dyDescent="0.25">
      <c r="A227" s="223"/>
      <c r="B227" s="281"/>
      <c r="C227" s="281"/>
      <c r="D227" s="281"/>
      <c r="E227" s="224"/>
      <c r="F227" s="192"/>
      <c r="G227" s="193"/>
      <c r="H227" s="223"/>
      <c r="I227" s="281"/>
      <c r="J227" s="225"/>
      <c r="K227" s="225"/>
      <c r="L227" s="226"/>
      <c r="M227" s="226"/>
      <c r="N227" s="226"/>
      <c r="O227" s="227"/>
      <c r="P227" s="227"/>
      <c r="Q227" s="223"/>
      <c r="R227" s="781"/>
      <c r="S227" s="781"/>
    </row>
    <row r="228" spans="1:19" x14ac:dyDescent="0.25">
      <c r="A228" s="223"/>
      <c r="B228" s="281"/>
      <c r="C228" s="281"/>
      <c r="D228" s="281"/>
      <c r="E228" s="224"/>
      <c r="F228" s="192"/>
      <c r="G228" s="193"/>
      <c r="H228" s="223"/>
      <c r="I228" s="281"/>
      <c r="J228" s="225"/>
      <c r="K228" s="225"/>
      <c r="L228" s="226"/>
      <c r="M228" s="226"/>
      <c r="N228" s="226"/>
      <c r="O228" s="227"/>
      <c r="P228" s="227"/>
      <c r="Q228" s="223"/>
      <c r="R228" s="781"/>
      <c r="S228" s="781"/>
    </row>
    <row r="229" spans="1:19" x14ac:dyDescent="0.25">
      <c r="A229" s="223"/>
      <c r="B229" s="281"/>
      <c r="C229" s="281"/>
      <c r="D229" s="281"/>
      <c r="E229" s="224"/>
      <c r="F229" s="192"/>
      <c r="G229" s="193"/>
      <c r="H229" s="223"/>
      <c r="I229" s="281"/>
      <c r="J229" s="225"/>
      <c r="K229" s="225"/>
      <c r="L229" s="226"/>
      <c r="M229" s="226"/>
      <c r="N229" s="226"/>
      <c r="O229" s="227"/>
      <c r="P229" s="227"/>
      <c r="Q229" s="223"/>
      <c r="R229" s="781"/>
      <c r="S229" s="781"/>
    </row>
    <row r="230" spans="1:19" x14ac:dyDescent="0.25">
      <c r="A230" s="223"/>
      <c r="B230" s="281"/>
      <c r="C230" s="281"/>
      <c r="D230" s="281"/>
      <c r="E230" s="224"/>
      <c r="F230" s="192"/>
      <c r="G230" s="193"/>
      <c r="H230" s="223"/>
      <c r="I230" s="281"/>
      <c r="J230" s="225"/>
      <c r="K230" s="225"/>
      <c r="L230" s="226"/>
      <c r="M230" s="226"/>
      <c r="N230" s="226"/>
      <c r="O230" s="227"/>
      <c r="P230" s="227"/>
      <c r="Q230" s="223"/>
      <c r="R230" s="781"/>
      <c r="S230" s="781"/>
    </row>
    <row r="231" spans="1:19" x14ac:dyDescent="0.25">
      <c r="A231" s="223"/>
      <c r="B231" s="281"/>
      <c r="C231" s="281"/>
      <c r="D231" s="281"/>
      <c r="E231" s="224"/>
      <c r="F231" s="192"/>
      <c r="G231" s="193"/>
      <c r="H231" s="223"/>
      <c r="I231" s="281"/>
      <c r="J231" s="225"/>
      <c r="K231" s="225"/>
      <c r="L231" s="226"/>
      <c r="M231" s="226"/>
      <c r="N231" s="226"/>
      <c r="O231" s="227"/>
      <c r="P231" s="227"/>
      <c r="Q231" s="223"/>
      <c r="R231" s="781"/>
      <c r="S231" s="781"/>
    </row>
    <row r="232" spans="1:19" x14ac:dyDescent="0.25">
      <c r="A232" s="223"/>
      <c r="B232" s="281"/>
      <c r="C232" s="281"/>
      <c r="D232" s="281"/>
      <c r="E232" s="224"/>
      <c r="F232" s="192"/>
      <c r="G232" s="193"/>
      <c r="H232" s="223"/>
      <c r="I232" s="281"/>
      <c r="J232" s="225"/>
      <c r="K232" s="225"/>
      <c r="L232" s="226"/>
      <c r="M232" s="226"/>
      <c r="N232" s="226"/>
      <c r="O232" s="227"/>
      <c r="P232" s="227"/>
      <c r="Q232" s="223"/>
      <c r="R232" s="781"/>
      <c r="S232" s="781"/>
    </row>
    <row r="233" spans="1:19" x14ac:dyDescent="0.25">
      <c r="A233" s="223"/>
      <c r="B233" s="281"/>
      <c r="C233" s="281"/>
      <c r="D233" s="281"/>
      <c r="E233" s="224"/>
      <c r="F233" s="192"/>
      <c r="G233" s="193"/>
      <c r="H233" s="223"/>
      <c r="I233" s="281"/>
      <c r="J233" s="225"/>
      <c r="K233" s="225"/>
      <c r="L233" s="226"/>
      <c r="M233" s="226"/>
      <c r="N233" s="226"/>
      <c r="O233" s="227"/>
      <c r="P233" s="227"/>
      <c r="Q233" s="223"/>
      <c r="R233" s="781"/>
      <c r="S233" s="781"/>
    </row>
    <row r="234" spans="1:19" x14ac:dyDescent="0.25">
      <c r="A234" s="223"/>
      <c r="B234" s="281"/>
      <c r="C234" s="281"/>
      <c r="D234" s="281"/>
      <c r="E234" s="224"/>
      <c r="F234" s="192"/>
      <c r="G234" s="193"/>
      <c r="H234" s="223"/>
      <c r="I234" s="281"/>
      <c r="J234" s="225"/>
      <c r="K234" s="225"/>
      <c r="L234" s="226"/>
      <c r="M234" s="226"/>
      <c r="N234" s="226"/>
      <c r="O234" s="227"/>
      <c r="P234" s="227"/>
      <c r="Q234" s="223"/>
      <c r="R234" s="781"/>
      <c r="S234" s="781"/>
    </row>
    <row r="235" spans="1:19" x14ac:dyDescent="0.25">
      <c r="A235" s="223"/>
      <c r="B235" s="281"/>
      <c r="C235" s="281"/>
      <c r="D235" s="281"/>
      <c r="E235" s="224"/>
      <c r="F235" s="192"/>
      <c r="G235" s="193"/>
      <c r="H235" s="223"/>
      <c r="I235" s="281"/>
      <c r="J235" s="225"/>
      <c r="K235" s="225"/>
      <c r="L235" s="226"/>
      <c r="M235" s="226"/>
      <c r="N235" s="226"/>
      <c r="O235" s="227"/>
      <c r="P235" s="227"/>
      <c r="Q235" s="223"/>
      <c r="R235" s="781"/>
      <c r="S235" s="781"/>
    </row>
    <row r="236" spans="1:19" x14ac:dyDescent="0.25">
      <c r="A236" s="223"/>
      <c r="B236" s="281"/>
      <c r="C236" s="281"/>
      <c r="D236" s="281"/>
      <c r="E236" s="224"/>
      <c r="F236" s="192"/>
      <c r="G236" s="193"/>
      <c r="H236" s="223"/>
      <c r="I236" s="281"/>
      <c r="J236" s="225"/>
      <c r="K236" s="225"/>
      <c r="L236" s="226"/>
      <c r="M236" s="226"/>
      <c r="N236" s="226"/>
      <c r="O236" s="227"/>
      <c r="P236" s="227"/>
      <c r="Q236" s="223"/>
      <c r="R236" s="781"/>
      <c r="S236" s="781"/>
    </row>
    <row r="237" spans="1:19" x14ac:dyDescent="0.25">
      <c r="A237" s="223"/>
      <c r="B237" s="281"/>
      <c r="C237" s="281"/>
      <c r="D237" s="281"/>
      <c r="E237" s="224"/>
      <c r="F237" s="192"/>
      <c r="G237" s="193"/>
      <c r="H237" s="223"/>
      <c r="I237" s="281"/>
      <c r="J237" s="225"/>
      <c r="K237" s="225"/>
      <c r="L237" s="226"/>
      <c r="M237" s="226"/>
      <c r="N237" s="226"/>
      <c r="O237" s="227"/>
      <c r="P237" s="227"/>
      <c r="Q237" s="223"/>
      <c r="R237" s="781"/>
      <c r="S237" s="781"/>
    </row>
    <row r="238" spans="1:19" x14ac:dyDescent="0.25">
      <c r="A238" s="223"/>
      <c r="B238" s="281"/>
      <c r="C238" s="281"/>
      <c r="D238" s="281"/>
      <c r="E238" s="224"/>
      <c r="F238" s="192"/>
      <c r="G238" s="193"/>
      <c r="H238" s="223"/>
      <c r="I238" s="281"/>
      <c r="J238" s="225"/>
      <c r="K238" s="225"/>
      <c r="L238" s="226"/>
      <c r="M238" s="226"/>
      <c r="N238" s="226"/>
      <c r="O238" s="227"/>
      <c r="P238" s="227"/>
      <c r="Q238" s="223"/>
      <c r="R238" s="781"/>
      <c r="S238" s="781"/>
    </row>
    <row r="239" spans="1:19" x14ac:dyDescent="0.25">
      <c r="A239" s="223"/>
      <c r="B239" s="281"/>
      <c r="C239" s="281"/>
      <c r="D239" s="281"/>
      <c r="E239" s="224"/>
      <c r="F239" s="192"/>
      <c r="G239" s="193"/>
      <c r="H239" s="223"/>
      <c r="I239" s="281"/>
      <c r="J239" s="225"/>
      <c r="K239" s="225"/>
      <c r="L239" s="226"/>
      <c r="M239" s="226"/>
      <c r="N239" s="226"/>
      <c r="O239" s="227"/>
      <c r="P239" s="227"/>
      <c r="Q239" s="223"/>
      <c r="R239" s="781"/>
      <c r="S239" s="781"/>
    </row>
    <row r="240" spans="1:19" x14ac:dyDescent="0.25">
      <c r="A240" s="223"/>
      <c r="B240" s="281"/>
      <c r="C240" s="281"/>
      <c r="D240" s="281"/>
      <c r="E240" s="224"/>
      <c r="F240" s="192"/>
      <c r="G240" s="193"/>
      <c r="H240" s="223"/>
      <c r="I240" s="281"/>
      <c r="J240" s="225"/>
      <c r="K240" s="225"/>
      <c r="L240" s="226"/>
      <c r="M240" s="226"/>
      <c r="N240" s="226"/>
      <c r="O240" s="227"/>
      <c r="P240" s="227"/>
      <c r="Q240" s="223"/>
      <c r="R240" s="781"/>
      <c r="S240" s="781"/>
    </row>
    <row r="241" spans="1:19" x14ac:dyDescent="0.25">
      <c r="A241" s="223"/>
      <c r="B241" s="281"/>
      <c r="C241" s="281"/>
      <c r="D241" s="281"/>
      <c r="E241" s="224"/>
      <c r="F241" s="192"/>
      <c r="G241" s="193"/>
      <c r="H241" s="223"/>
      <c r="I241" s="281"/>
      <c r="J241" s="225"/>
      <c r="K241" s="225"/>
      <c r="L241" s="226"/>
      <c r="M241" s="226"/>
      <c r="N241" s="226"/>
      <c r="O241" s="227"/>
      <c r="P241" s="227"/>
      <c r="Q241" s="223"/>
      <c r="R241" s="781"/>
      <c r="S241" s="781"/>
    </row>
    <row r="242" spans="1:19" x14ac:dyDescent="0.25">
      <c r="A242" s="223"/>
      <c r="B242" s="281"/>
      <c r="C242" s="281"/>
      <c r="D242" s="281"/>
      <c r="E242" s="224"/>
      <c r="F242" s="192"/>
      <c r="G242" s="193"/>
      <c r="H242" s="223"/>
      <c r="I242" s="281"/>
      <c r="J242" s="225"/>
      <c r="K242" s="225"/>
      <c r="L242" s="226"/>
      <c r="M242" s="226"/>
      <c r="N242" s="226"/>
      <c r="O242" s="227"/>
      <c r="P242" s="227"/>
      <c r="Q242" s="223"/>
      <c r="R242" s="781"/>
      <c r="S242" s="781"/>
    </row>
    <row r="243" spans="1:19" x14ac:dyDescent="0.25">
      <c r="A243" s="223"/>
      <c r="B243" s="281"/>
      <c r="C243" s="281"/>
      <c r="D243" s="281"/>
      <c r="E243" s="224"/>
      <c r="F243" s="192"/>
      <c r="G243" s="193"/>
      <c r="H243" s="223"/>
      <c r="I243" s="281"/>
      <c r="J243" s="225"/>
      <c r="K243" s="225"/>
      <c r="L243" s="226"/>
      <c r="M243" s="226"/>
      <c r="N243" s="226"/>
      <c r="O243" s="227"/>
      <c r="P243" s="227"/>
      <c r="Q243" s="223"/>
      <c r="R243" s="781"/>
      <c r="S243" s="781"/>
    </row>
    <row r="244" spans="1:19" x14ac:dyDescent="0.25">
      <c r="A244" s="223"/>
      <c r="B244" s="281"/>
      <c r="C244" s="281"/>
      <c r="D244" s="281"/>
      <c r="E244" s="224"/>
      <c r="F244" s="192"/>
      <c r="G244" s="193"/>
      <c r="H244" s="223"/>
      <c r="I244" s="281"/>
      <c r="J244" s="225"/>
      <c r="K244" s="225"/>
      <c r="L244" s="226"/>
      <c r="M244" s="226"/>
      <c r="N244" s="226"/>
      <c r="O244" s="227"/>
      <c r="P244" s="227"/>
      <c r="Q244" s="223"/>
      <c r="R244" s="781"/>
      <c r="S244" s="781"/>
    </row>
    <row r="245" spans="1:19" x14ac:dyDescent="0.25">
      <c r="A245" s="223"/>
      <c r="B245" s="281"/>
      <c r="C245" s="281"/>
      <c r="D245" s="281"/>
      <c r="E245" s="224"/>
      <c r="F245" s="192"/>
      <c r="G245" s="193"/>
      <c r="H245" s="223"/>
      <c r="I245" s="281"/>
      <c r="J245" s="225"/>
      <c r="K245" s="225"/>
      <c r="L245" s="226"/>
      <c r="M245" s="226"/>
      <c r="N245" s="226"/>
      <c r="O245" s="227"/>
      <c r="P245" s="227"/>
      <c r="Q245" s="223"/>
      <c r="R245" s="781"/>
      <c r="S245" s="781"/>
    </row>
    <row r="246" spans="1:19" x14ac:dyDescent="0.25">
      <c r="A246" s="223"/>
      <c r="B246" s="281"/>
      <c r="C246" s="281"/>
      <c r="D246" s="281"/>
      <c r="E246" s="224"/>
      <c r="F246" s="192"/>
      <c r="G246" s="193"/>
      <c r="H246" s="223"/>
      <c r="I246" s="281"/>
      <c r="J246" s="225"/>
      <c r="K246" s="225"/>
      <c r="L246" s="226"/>
      <c r="M246" s="226"/>
      <c r="N246" s="226"/>
      <c r="O246" s="227"/>
      <c r="P246" s="227"/>
      <c r="Q246" s="223"/>
      <c r="R246" s="781"/>
      <c r="S246" s="781"/>
    </row>
    <row r="247" spans="1:19" x14ac:dyDescent="0.25">
      <c r="A247" s="223"/>
      <c r="B247" s="281"/>
      <c r="C247" s="281"/>
      <c r="D247" s="281"/>
      <c r="E247" s="224"/>
      <c r="F247" s="192"/>
      <c r="G247" s="193"/>
      <c r="H247" s="223"/>
      <c r="I247" s="281"/>
      <c r="J247" s="225"/>
      <c r="K247" s="225"/>
      <c r="L247" s="226"/>
      <c r="M247" s="226"/>
      <c r="N247" s="226"/>
      <c r="O247" s="227"/>
      <c r="P247" s="227"/>
      <c r="Q247" s="223"/>
      <c r="R247" s="781"/>
      <c r="S247" s="781"/>
    </row>
    <row r="248" spans="1:19" x14ac:dyDescent="0.25">
      <c r="A248" s="223"/>
      <c r="B248" s="281"/>
      <c r="C248" s="281"/>
      <c r="D248" s="281"/>
      <c r="E248" s="224"/>
      <c r="F248" s="192"/>
      <c r="G248" s="193"/>
      <c r="H248" s="223"/>
      <c r="I248" s="281"/>
      <c r="J248" s="225"/>
      <c r="K248" s="225"/>
      <c r="L248" s="226"/>
      <c r="M248" s="226"/>
      <c r="N248" s="226"/>
      <c r="O248" s="227"/>
      <c r="P248" s="227"/>
      <c r="Q248" s="223"/>
      <c r="R248" s="781"/>
      <c r="S248" s="781"/>
    </row>
    <row r="249" spans="1:19" x14ac:dyDescent="0.25">
      <c r="A249" s="223"/>
      <c r="B249" s="281"/>
      <c r="C249" s="281"/>
      <c r="D249" s="281"/>
      <c r="E249" s="224"/>
      <c r="F249" s="192"/>
      <c r="G249" s="193"/>
      <c r="H249" s="223"/>
      <c r="I249" s="281"/>
      <c r="J249" s="225"/>
      <c r="K249" s="225"/>
      <c r="L249" s="226"/>
      <c r="M249" s="226"/>
      <c r="N249" s="226"/>
      <c r="O249" s="227"/>
      <c r="P249" s="227"/>
      <c r="Q249" s="223"/>
      <c r="R249" s="781"/>
      <c r="S249" s="781"/>
    </row>
    <row r="250" spans="1:19" x14ac:dyDescent="0.25">
      <c r="A250" s="223"/>
      <c r="B250" s="281"/>
      <c r="C250" s="281"/>
      <c r="D250" s="281"/>
      <c r="E250" s="224"/>
      <c r="F250" s="192"/>
      <c r="G250" s="193"/>
      <c r="H250" s="223"/>
      <c r="I250" s="281"/>
      <c r="J250" s="225"/>
      <c r="K250" s="225"/>
      <c r="L250" s="226"/>
      <c r="M250" s="226"/>
      <c r="N250" s="226"/>
      <c r="O250" s="227"/>
      <c r="P250" s="227"/>
      <c r="Q250" s="223"/>
      <c r="R250" s="781"/>
      <c r="S250" s="781"/>
    </row>
    <row r="251" spans="1:19" x14ac:dyDescent="0.25">
      <c r="A251" s="223"/>
      <c r="B251" s="281"/>
      <c r="C251" s="281"/>
      <c r="D251" s="281"/>
      <c r="E251" s="224"/>
      <c r="F251" s="192"/>
      <c r="G251" s="193"/>
      <c r="H251" s="223"/>
      <c r="I251" s="281"/>
      <c r="J251" s="225"/>
      <c r="K251" s="225"/>
      <c r="L251" s="226"/>
      <c r="M251" s="226"/>
      <c r="N251" s="226"/>
      <c r="O251" s="227"/>
      <c r="P251" s="227"/>
      <c r="Q251" s="223"/>
      <c r="R251" s="781"/>
      <c r="S251" s="781"/>
    </row>
    <row r="252" spans="1:19" x14ac:dyDescent="0.25">
      <c r="A252" s="223"/>
      <c r="B252" s="281"/>
      <c r="C252" s="281"/>
      <c r="D252" s="281"/>
      <c r="E252" s="224"/>
      <c r="F252" s="192"/>
      <c r="G252" s="193"/>
      <c r="H252" s="223"/>
      <c r="I252" s="281"/>
      <c r="J252" s="225"/>
      <c r="K252" s="225"/>
      <c r="L252" s="226"/>
      <c r="M252" s="226"/>
      <c r="N252" s="226"/>
      <c r="O252" s="227"/>
      <c r="P252" s="227"/>
      <c r="Q252" s="223"/>
      <c r="R252" s="781"/>
      <c r="S252" s="781"/>
    </row>
    <row r="253" spans="1:19" x14ac:dyDescent="0.25">
      <c r="A253" s="223"/>
      <c r="B253" s="281"/>
      <c r="C253" s="281"/>
      <c r="D253" s="281"/>
      <c r="E253" s="224"/>
      <c r="F253" s="192"/>
      <c r="G253" s="193"/>
      <c r="H253" s="223"/>
      <c r="I253" s="281"/>
      <c r="J253" s="225"/>
      <c r="K253" s="225"/>
      <c r="L253" s="226"/>
      <c r="M253" s="226"/>
      <c r="N253" s="226"/>
      <c r="O253" s="227"/>
      <c r="P253" s="227"/>
      <c r="Q253" s="223"/>
      <c r="R253" s="781"/>
      <c r="S253" s="781"/>
    </row>
    <row r="254" spans="1:19" x14ac:dyDescent="0.25">
      <c r="A254" s="223"/>
      <c r="B254" s="281"/>
      <c r="C254" s="281"/>
      <c r="D254" s="281"/>
      <c r="E254" s="224"/>
      <c r="F254" s="192"/>
      <c r="G254" s="193"/>
      <c r="H254" s="223"/>
      <c r="I254" s="281"/>
      <c r="J254" s="225"/>
      <c r="K254" s="225"/>
      <c r="L254" s="226"/>
      <c r="M254" s="226"/>
      <c r="N254" s="226"/>
      <c r="O254" s="227"/>
      <c r="P254" s="227"/>
      <c r="Q254" s="223"/>
      <c r="R254" s="781"/>
      <c r="S254" s="781"/>
    </row>
    <row r="255" spans="1:19" x14ac:dyDescent="0.25">
      <c r="A255" s="223"/>
      <c r="B255" s="281"/>
      <c r="C255" s="281"/>
      <c r="D255" s="281"/>
      <c r="E255" s="224"/>
      <c r="F255" s="192"/>
      <c r="G255" s="193"/>
      <c r="H255" s="223"/>
      <c r="I255" s="281"/>
      <c r="J255" s="225"/>
      <c r="K255" s="225"/>
      <c r="L255" s="226"/>
      <c r="M255" s="226"/>
      <c r="N255" s="226"/>
      <c r="O255" s="227"/>
      <c r="P255" s="227"/>
      <c r="Q255" s="223"/>
      <c r="R255" s="781"/>
      <c r="S255" s="781"/>
    </row>
    <row r="256" spans="1:19" x14ac:dyDescent="0.25">
      <c r="A256" s="223"/>
      <c r="B256" s="281"/>
      <c r="C256" s="281"/>
      <c r="D256" s="281"/>
      <c r="E256" s="224"/>
      <c r="F256" s="192"/>
      <c r="G256" s="193"/>
      <c r="H256" s="223"/>
      <c r="I256" s="281"/>
      <c r="J256" s="225"/>
      <c r="K256" s="225"/>
      <c r="L256" s="226"/>
      <c r="M256" s="226"/>
      <c r="N256" s="226"/>
      <c r="O256" s="227"/>
      <c r="P256" s="227"/>
      <c r="Q256" s="223"/>
      <c r="R256" s="781"/>
      <c r="S256" s="781"/>
    </row>
    <row r="257" spans="1:19" x14ac:dyDescent="0.25">
      <c r="A257" s="223"/>
      <c r="B257" s="281"/>
      <c r="C257" s="281"/>
      <c r="D257" s="281"/>
      <c r="E257" s="224"/>
      <c r="F257" s="192"/>
      <c r="G257" s="193"/>
      <c r="H257" s="223"/>
      <c r="I257" s="281"/>
      <c r="J257" s="225"/>
      <c r="K257" s="225"/>
      <c r="L257" s="226"/>
      <c r="M257" s="226"/>
      <c r="N257" s="226"/>
      <c r="O257" s="227"/>
      <c r="P257" s="227"/>
      <c r="Q257" s="223"/>
      <c r="R257" s="781"/>
      <c r="S257" s="781"/>
    </row>
    <row r="258" spans="1:19" x14ac:dyDescent="0.25">
      <c r="A258" s="223"/>
      <c r="B258" s="281"/>
      <c r="C258" s="281"/>
      <c r="D258" s="281"/>
      <c r="E258" s="224"/>
      <c r="F258" s="192"/>
      <c r="G258" s="193"/>
      <c r="H258" s="223"/>
      <c r="I258" s="281"/>
      <c r="J258" s="225"/>
      <c r="K258" s="225"/>
      <c r="L258" s="226"/>
      <c r="M258" s="226"/>
      <c r="N258" s="226"/>
      <c r="O258" s="227"/>
      <c r="P258" s="227"/>
      <c r="Q258" s="223"/>
      <c r="R258" s="781"/>
      <c r="S258" s="781"/>
    </row>
    <row r="259" spans="1:19" x14ac:dyDescent="0.25">
      <c r="A259" s="223"/>
      <c r="B259" s="281"/>
      <c r="C259" s="281"/>
      <c r="D259" s="281"/>
      <c r="E259" s="224"/>
      <c r="F259" s="192"/>
      <c r="G259" s="193"/>
      <c r="H259" s="223"/>
      <c r="I259" s="281"/>
      <c r="J259" s="225"/>
      <c r="K259" s="225"/>
      <c r="L259" s="226"/>
      <c r="M259" s="226"/>
      <c r="N259" s="226"/>
      <c r="O259" s="227"/>
      <c r="P259" s="227"/>
      <c r="Q259" s="223"/>
      <c r="R259" s="781"/>
      <c r="S259" s="781"/>
    </row>
    <row r="260" spans="1:19" x14ac:dyDescent="0.25">
      <c r="A260" s="223"/>
      <c r="B260" s="281"/>
      <c r="C260" s="281"/>
      <c r="D260" s="281"/>
      <c r="E260" s="224"/>
      <c r="F260" s="192"/>
      <c r="G260" s="193"/>
      <c r="H260" s="223"/>
      <c r="I260" s="281"/>
      <c r="J260" s="225"/>
      <c r="K260" s="225"/>
      <c r="L260" s="226"/>
      <c r="M260" s="226"/>
      <c r="N260" s="226"/>
      <c r="O260" s="227"/>
      <c r="P260" s="227"/>
      <c r="Q260" s="223"/>
      <c r="R260" s="781"/>
      <c r="S260" s="781"/>
    </row>
    <row r="261" spans="1:19" x14ac:dyDescent="0.25">
      <c r="A261" s="223"/>
      <c r="B261" s="281"/>
      <c r="C261" s="281"/>
      <c r="D261" s="281"/>
      <c r="E261" s="224"/>
      <c r="F261" s="192"/>
      <c r="G261" s="193"/>
      <c r="H261" s="223"/>
      <c r="I261" s="281"/>
      <c r="J261" s="225"/>
      <c r="K261" s="225"/>
      <c r="L261" s="226"/>
      <c r="M261" s="226"/>
      <c r="N261" s="226"/>
      <c r="O261" s="227"/>
      <c r="P261" s="227"/>
      <c r="Q261" s="223"/>
      <c r="R261" s="781"/>
      <c r="S261" s="781"/>
    </row>
    <row r="262" spans="1:19" x14ac:dyDescent="0.25">
      <c r="A262" s="223"/>
      <c r="B262" s="281"/>
      <c r="C262" s="281"/>
      <c r="D262" s="281"/>
      <c r="E262" s="224"/>
      <c r="F262" s="192"/>
      <c r="G262" s="193"/>
      <c r="H262" s="223"/>
      <c r="I262" s="281"/>
      <c r="J262" s="225"/>
      <c r="K262" s="225"/>
      <c r="L262" s="226"/>
      <c r="M262" s="226"/>
      <c r="N262" s="226"/>
      <c r="O262" s="227"/>
      <c r="P262" s="227"/>
      <c r="Q262" s="223"/>
      <c r="R262" s="781"/>
      <c r="S262" s="781"/>
    </row>
    <row r="263" spans="1:19" x14ac:dyDescent="0.25">
      <c r="A263" s="223"/>
      <c r="B263" s="281"/>
      <c r="C263" s="281"/>
      <c r="D263" s="281"/>
      <c r="E263" s="224"/>
      <c r="F263" s="192"/>
      <c r="G263" s="193"/>
      <c r="H263" s="223"/>
      <c r="I263" s="281"/>
      <c r="J263" s="225"/>
      <c r="K263" s="225"/>
      <c r="L263" s="226"/>
      <c r="M263" s="226"/>
      <c r="N263" s="226"/>
      <c r="O263" s="227"/>
      <c r="P263" s="227"/>
      <c r="Q263" s="223"/>
      <c r="R263" s="781"/>
      <c r="S263" s="781"/>
    </row>
    <row r="264" spans="1:19" x14ac:dyDescent="0.25">
      <c r="A264" s="223"/>
      <c r="B264" s="281"/>
      <c r="C264" s="281"/>
      <c r="D264" s="281"/>
      <c r="E264" s="224"/>
      <c r="F264" s="192"/>
      <c r="G264" s="193"/>
      <c r="H264" s="223"/>
      <c r="I264" s="281"/>
      <c r="J264" s="225"/>
      <c r="K264" s="225"/>
      <c r="L264" s="226"/>
      <c r="M264" s="226"/>
      <c r="N264" s="226"/>
      <c r="O264" s="227"/>
      <c r="P264" s="227"/>
      <c r="Q264" s="223"/>
      <c r="R264" s="781"/>
      <c r="S264" s="781"/>
    </row>
    <row r="265" spans="1:19" x14ac:dyDescent="0.25">
      <c r="A265" s="223"/>
      <c r="B265" s="281"/>
      <c r="C265" s="281"/>
      <c r="D265" s="281"/>
      <c r="E265" s="224"/>
      <c r="F265" s="192"/>
      <c r="G265" s="193"/>
      <c r="H265" s="223"/>
      <c r="I265" s="281"/>
      <c r="J265" s="225"/>
      <c r="K265" s="225"/>
      <c r="L265" s="226"/>
      <c r="M265" s="226"/>
      <c r="N265" s="226"/>
      <c r="O265" s="227"/>
      <c r="P265" s="227"/>
      <c r="Q265" s="223"/>
      <c r="R265" s="781"/>
      <c r="S265" s="781"/>
    </row>
    <row r="266" spans="1:19" x14ac:dyDescent="0.25">
      <c r="A266" s="223"/>
      <c r="B266" s="281"/>
      <c r="C266" s="281"/>
      <c r="D266" s="281"/>
      <c r="E266" s="224"/>
      <c r="F266" s="192"/>
      <c r="G266" s="193"/>
      <c r="H266" s="223"/>
      <c r="I266" s="281"/>
      <c r="J266" s="225"/>
      <c r="K266" s="225"/>
      <c r="L266" s="226"/>
      <c r="M266" s="226"/>
      <c r="N266" s="226"/>
      <c r="O266" s="227"/>
      <c r="P266" s="227"/>
      <c r="Q266" s="223"/>
      <c r="R266" s="781"/>
      <c r="S266" s="781"/>
    </row>
    <row r="267" spans="1:19" x14ac:dyDescent="0.25">
      <c r="A267" s="223"/>
      <c r="B267" s="281"/>
      <c r="C267" s="281"/>
      <c r="D267" s="281"/>
      <c r="E267" s="224"/>
      <c r="F267" s="192"/>
      <c r="G267" s="193"/>
      <c r="H267" s="223"/>
      <c r="I267" s="281"/>
      <c r="J267" s="225"/>
      <c r="K267" s="225"/>
      <c r="L267" s="226"/>
      <c r="M267" s="226"/>
      <c r="N267" s="226"/>
      <c r="O267" s="227"/>
      <c r="P267" s="227"/>
      <c r="Q267" s="223"/>
      <c r="R267" s="781"/>
      <c r="S267" s="781"/>
    </row>
    <row r="268" spans="1:19" x14ac:dyDescent="0.25">
      <c r="A268" s="223"/>
      <c r="B268" s="281"/>
      <c r="C268" s="281"/>
      <c r="D268" s="281"/>
      <c r="E268" s="224"/>
      <c r="F268" s="192"/>
      <c r="G268" s="193"/>
      <c r="H268" s="223"/>
      <c r="I268" s="281"/>
      <c r="J268" s="225"/>
      <c r="K268" s="225"/>
      <c r="L268" s="226"/>
      <c r="M268" s="226"/>
      <c r="N268" s="226"/>
      <c r="O268" s="227"/>
      <c r="P268" s="227"/>
      <c r="Q268" s="223"/>
      <c r="R268" s="781"/>
      <c r="S268" s="781"/>
    </row>
    <row r="269" spans="1:19" x14ac:dyDescent="0.25">
      <c r="A269" s="223"/>
      <c r="B269" s="281"/>
      <c r="C269" s="281"/>
      <c r="D269" s="281"/>
      <c r="E269" s="224"/>
      <c r="F269" s="192"/>
      <c r="G269" s="193"/>
      <c r="H269" s="223"/>
      <c r="I269" s="281"/>
      <c r="J269" s="225"/>
      <c r="K269" s="225"/>
      <c r="L269" s="226"/>
      <c r="M269" s="226"/>
      <c r="N269" s="226"/>
      <c r="O269" s="227"/>
      <c r="P269" s="227"/>
      <c r="Q269" s="223"/>
      <c r="R269" s="781"/>
      <c r="S269" s="781"/>
    </row>
    <row r="270" spans="1:19" x14ac:dyDescent="0.25">
      <c r="A270" s="223"/>
      <c r="B270" s="281"/>
      <c r="C270" s="281"/>
      <c r="D270" s="281"/>
      <c r="E270" s="224"/>
      <c r="F270" s="192"/>
      <c r="G270" s="193"/>
      <c r="H270" s="223"/>
      <c r="I270" s="281"/>
      <c r="J270" s="225"/>
      <c r="K270" s="225"/>
      <c r="L270" s="226"/>
      <c r="M270" s="226"/>
      <c r="N270" s="226"/>
      <c r="O270" s="227"/>
      <c r="P270" s="227"/>
      <c r="Q270" s="223"/>
      <c r="R270" s="781"/>
      <c r="S270" s="781"/>
    </row>
    <row r="271" spans="1:19" x14ac:dyDescent="0.25">
      <c r="A271" s="223"/>
      <c r="B271" s="281"/>
      <c r="C271" s="281"/>
      <c r="D271" s="281"/>
      <c r="E271" s="224"/>
      <c r="F271" s="192"/>
      <c r="G271" s="193"/>
      <c r="H271" s="223"/>
      <c r="I271" s="281"/>
      <c r="J271" s="225"/>
      <c r="K271" s="225"/>
      <c r="L271" s="226"/>
      <c r="M271" s="226"/>
      <c r="N271" s="226"/>
      <c r="O271" s="227"/>
      <c r="P271" s="227"/>
      <c r="Q271" s="223"/>
      <c r="R271" s="781"/>
      <c r="S271" s="781"/>
    </row>
    <row r="272" spans="1:19" x14ac:dyDescent="0.25">
      <c r="A272" s="223"/>
      <c r="B272" s="281"/>
      <c r="C272" s="281"/>
      <c r="D272" s="281"/>
      <c r="E272" s="224"/>
      <c r="F272" s="192"/>
      <c r="G272" s="193"/>
      <c r="H272" s="223"/>
      <c r="I272" s="281"/>
      <c r="J272" s="225"/>
      <c r="K272" s="225"/>
      <c r="L272" s="226"/>
      <c r="M272" s="226"/>
      <c r="N272" s="226"/>
      <c r="O272" s="227"/>
      <c r="P272" s="227"/>
      <c r="Q272" s="223"/>
      <c r="R272" s="781"/>
      <c r="S272" s="781"/>
    </row>
    <row r="273" spans="1:19" x14ac:dyDescent="0.25">
      <c r="A273" s="223"/>
      <c r="B273" s="281"/>
      <c r="C273" s="281"/>
      <c r="D273" s="281"/>
      <c r="E273" s="224"/>
      <c r="F273" s="192"/>
      <c r="G273" s="193"/>
      <c r="H273" s="223"/>
      <c r="I273" s="281"/>
      <c r="J273" s="225"/>
      <c r="K273" s="225"/>
      <c r="L273" s="226"/>
      <c r="M273" s="226"/>
      <c r="N273" s="226"/>
      <c r="O273" s="227"/>
      <c r="P273" s="227"/>
      <c r="Q273" s="223"/>
      <c r="R273" s="781"/>
      <c r="S273" s="781"/>
    </row>
    <row r="274" spans="1:19" x14ac:dyDescent="0.25">
      <c r="A274" s="223"/>
      <c r="B274" s="281"/>
      <c r="C274" s="281"/>
      <c r="D274" s="281"/>
      <c r="E274" s="224"/>
      <c r="F274" s="192"/>
      <c r="G274" s="193"/>
      <c r="H274" s="223"/>
      <c r="I274" s="281"/>
      <c r="J274" s="225"/>
      <c r="K274" s="225"/>
      <c r="L274" s="226"/>
      <c r="M274" s="226"/>
      <c r="N274" s="226"/>
      <c r="O274" s="227"/>
      <c r="P274" s="227"/>
      <c r="Q274" s="223"/>
      <c r="R274" s="781"/>
      <c r="S274" s="781"/>
    </row>
    <row r="275" spans="1:19" x14ac:dyDescent="0.25">
      <c r="A275" s="223"/>
      <c r="B275" s="281"/>
      <c r="C275" s="281"/>
      <c r="D275" s="281"/>
      <c r="E275" s="224"/>
      <c r="F275" s="192"/>
      <c r="G275" s="193"/>
      <c r="H275" s="223"/>
      <c r="I275" s="281"/>
      <c r="J275" s="225"/>
      <c r="K275" s="225"/>
      <c r="L275" s="226"/>
      <c r="M275" s="226"/>
      <c r="N275" s="226"/>
      <c r="O275" s="227"/>
      <c r="P275" s="227"/>
      <c r="Q275" s="223"/>
      <c r="R275" s="781"/>
      <c r="S275" s="781"/>
    </row>
    <row r="276" spans="1:19" x14ac:dyDescent="0.25">
      <c r="A276" s="223"/>
      <c r="B276" s="281"/>
      <c r="C276" s="281"/>
      <c r="D276" s="281"/>
      <c r="E276" s="224"/>
      <c r="F276" s="192"/>
      <c r="G276" s="193"/>
      <c r="H276" s="223"/>
      <c r="I276" s="281"/>
      <c r="J276" s="225"/>
      <c r="K276" s="225"/>
      <c r="L276" s="226"/>
      <c r="M276" s="226"/>
      <c r="N276" s="226"/>
      <c r="O276" s="227"/>
      <c r="P276" s="227"/>
      <c r="Q276" s="223"/>
      <c r="R276" s="781"/>
      <c r="S276" s="781"/>
    </row>
    <row r="277" spans="1:19" x14ac:dyDescent="0.25">
      <c r="A277" s="223"/>
      <c r="B277" s="281"/>
      <c r="C277" s="281"/>
      <c r="D277" s="281"/>
      <c r="E277" s="224"/>
      <c r="F277" s="192"/>
      <c r="G277" s="193"/>
      <c r="H277" s="223"/>
      <c r="I277" s="281"/>
      <c r="J277" s="225"/>
      <c r="K277" s="225"/>
      <c r="L277" s="226"/>
      <c r="M277" s="226"/>
      <c r="N277" s="226"/>
      <c r="O277" s="227"/>
      <c r="P277" s="227"/>
      <c r="Q277" s="223"/>
      <c r="R277" s="781"/>
      <c r="S277" s="781"/>
    </row>
    <row r="278" spans="1:19" x14ac:dyDescent="0.25">
      <c r="A278" s="223"/>
      <c r="B278" s="281"/>
      <c r="C278" s="281"/>
      <c r="D278" s="281"/>
      <c r="E278" s="224"/>
      <c r="F278" s="192"/>
      <c r="G278" s="193"/>
      <c r="H278" s="223"/>
      <c r="I278" s="281"/>
      <c r="J278" s="225"/>
      <c r="K278" s="225"/>
      <c r="L278" s="226"/>
      <c r="M278" s="226"/>
      <c r="N278" s="226"/>
      <c r="O278" s="227"/>
      <c r="P278" s="227"/>
      <c r="Q278" s="223"/>
      <c r="R278" s="781"/>
      <c r="S278" s="781"/>
    </row>
    <row r="279" spans="1:19" x14ac:dyDescent="0.25">
      <c r="A279" s="223"/>
      <c r="B279" s="281"/>
      <c r="C279" s="281"/>
      <c r="D279" s="281"/>
      <c r="E279" s="224"/>
      <c r="F279" s="192"/>
      <c r="G279" s="193"/>
      <c r="H279" s="223"/>
      <c r="I279" s="281"/>
      <c r="J279" s="225"/>
      <c r="K279" s="225"/>
      <c r="L279" s="226"/>
      <c r="M279" s="226"/>
      <c r="N279" s="226"/>
      <c r="O279" s="227"/>
      <c r="P279" s="227"/>
      <c r="Q279" s="223"/>
      <c r="R279" s="781"/>
      <c r="S279" s="781"/>
    </row>
    <row r="280" spans="1:19" x14ac:dyDescent="0.25">
      <c r="A280" s="223"/>
      <c r="B280" s="281"/>
      <c r="C280" s="281"/>
      <c r="D280" s="281"/>
      <c r="E280" s="224"/>
      <c r="F280" s="192"/>
      <c r="G280" s="193"/>
      <c r="H280" s="223"/>
      <c r="I280" s="281"/>
      <c r="J280" s="225"/>
      <c r="K280" s="225"/>
      <c r="L280" s="226"/>
      <c r="M280" s="226"/>
      <c r="N280" s="226"/>
      <c r="O280" s="227"/>
      <c r="P280" s="227"/>
      <c r="Q280" s="223"/>
      <c r="R280" s="781"/>
      <c r="S280" s="781"/>
    </row>
    <row r="281" spans="1:19" x14ac:dyDescent="0.25">
      <c r="A281" s="223"/>
      <c r="B281" s="281"/>
      <c r="C281" s="281"/>
      <c r="D281" s="281"/>
      <c r="E281" s="224"/>
      <c r="F281" s="192"/>
      <c r="G281" s="193"/>
      <c r="H281" s="223"/>
      <c r="I281" s="281"/>
      <c r="J281" s="225"/>
      <c r="K281" s="225"/>
      <c r="L281" s="226"/>
      <c r="M281" s="226"/>
      <c r="N281" s="226"/>
      <c r="O281" s="227"/>
      <c r="P281" s="227"/>
      <c r="Q281" s="223"/>
      <c r="R281" s="781"/>
      <c r="S281" s="781"/>
    </row>
    <row r="282" spans="1:19" x14ac:dyDescent="0.25">
      <c r="A282" s="223"/>
      <c r="B282" s="281"/>
      <c r="C282" s="281"/>
      <c r="D282" s="281"/>
      <c r="E282" s="224"/>
      <c r="F282" s="192"/>
      <c r="G282" s="193"/>
      <c r="H282" s="223"/>
      <c r="I282" s="281"/>
      <c r="J282" s="225"/>
      <c r="K282" s="225"/>
      <c r="L282" s="226"/>
      <c r="M282" s="226"/>
      <c r="N282" s="226"/>
      <c r="O282" s="227"/>
      <c r="P282" s="227"/>
      <c r="Q282" s="223"/>
      <c r="R282" s="781"/>
      <c r="S282" s="781"/>
    </row>
    <row r="283" spans="1:19" x14ac:dyDescent="0.25">
      <c r="A283" s="223"/>
      <c r="B283" s="281"/>
      <c r="C283" s="281"/>
      <c r="D283" s="281"/>
      <c r="E283" s="224"/>
      <c r="F283" s="192"/>
      <c r="G283" s="193"/>
      <c r="H283" s="223"/>
      <c r="I283" s="281"/>
      <c r="J283" s="225"/>
      <c r="K283" s="225"/>
      <c r="L283" s="226"/>
      <c r="M283" s="226"/>
      <c r="N283" s="226"/>
      <c r="O283" s="227"/>
      <c r="P283" s="227"/>
      <c r="Q283" s="223"/>
      <c r="R283" s="781"/>
      <c r="S283" s="781"/>
    </row>
    <row r="284" spans="1:19" x14ac:dyDescent="0.25">
      <c r="A284" s="223"/>
      <c r="B284" s="281"/>
      <c r="C284" s="281"/>
      <c r="D284" s="281"/>
      <c r="E284" s="224"/>
      <c r="F284" s="192"/>
      <c r="G284" s="193"/>
      <c r="H284" s="223"/>
      <c r="I284" s="281"/>
      <c r="J284" s="225"/>
      <c r="K284" s="225"/>
      <c r="L284" s="226"/>
      <c r="M284" s="226"/>
      <c r="N284" s="226"/>
      <c r="O284" s="227"/>
      <c r="P284" s="227"/>
      <c r="Q284" s="223"/>
      <c r="R284" s="781"/>
      <c r="S284" s="781"/>
    </row>
    <row r="285" spans="1:19" x14ac:dyDescent="0.25">
      <c r="A285" s="223"/>
      <c r="B285" s="281"/>
      <c r="C285" s="281"/>
      <c r="D285" s="281"/>
      <c r="E285" s="224"/>
      <c r="F285" s="192"/>
      <c r="G285" s="193"/>
      <c r="H285" s="223"/>
      <c r="I285" s="281"/>
      <c r="J285" s="225"/>
      <c r="K285" s="225"/>
      <c r="L285" s="226"/>
      <c r="M285" s="226"/>
      <c r="N285" s="226"/>
      <c r="O285" s="227"/>
      <c r="P285" s="227"/>
      <c r="Q285" s="223"/>
      <c r="R285" s="781"/>
      <c r="S285" s="781"/>
    </row>
    <row r="286" spans="1:19" x14ac:dyDescent="0.25">
      <c r="A286" s="223"/>
      <c r="B286" s="281"/>
      <c r="C286" s="281"/>
      <c r="D286" s="281"/>
      <c r="E286" s="224"/>
      <c r="F286" s="192"/>
      <c r="G286" s="193"/>
      <c r="H286" s="223"/>
      <c r="I286" s="281"/>
      <c r="J286" s="225"/>
      <c r="K286" s="225"/>
      <c r="L286" s="226"/>
      <c r="M286" s="226"/>
      <c r="N286" s="226"/>
      <c r="O286" s="227"/>
      <c r="P286" s="227"/>
      <c r="Q286" s="223"/>
      <c r="R286" s="781"/>
      <c r="S286" s="781"/>
    </row>
    <row r="287" spans="1:19" x14ac:dyDescent="0.25">
      <c r="A287" s="223"/>
      <c r="B287" s="281"/>
      <c r="C287" s="281"/>
      <c r="D287" s="281"/>
      <c r="E287" s="224"/>
      <c r="F287" s="192"/>
      <c r="G287" s="193"/>
      <c r="H287" s="223"/>
      <c r="I287" s="281"/>
      <c r="J287" s="225"/>
      <c r="K287" s="225"/>
      <c r="L287" s="226"/>
      <c r="M287" s="226"/>
      <c r="N287" s="226"/>
      <c r="O287" s="227"/>
      <c r="P287" s="227"/>
      <c r="Q287" s="223"/>
      <c r="R287" s="781"/>
      <c r="S287" s="781"/>
    </row>
    <row r="288" spans="1:19" x14ac:dyDescent="0.25">
      <c r="A288" s="223"/>
      <c r="B288" s="281"/>
      <c r="C288" s="281"/>
      <c r="D288" s="281"/>
      <c r="E288" s="224"/>
      <c r="F288" s="192"/>
      <c r="G288" s="193"/>
      <c r="H288" s="223"/>
      <c r="I288" s="281"/>
      <c r="J288" s="225"/>
      <c r="K288" s="225"/>
      <c r="L288" s="226"/>
      <c r="M288" s="226"/>
      <c r="N288" s="226"/>
      <c r="O288" s="227"/>
      <c r="P288" s="227"/>
      <c r="Q288" s="223"/>
      <c r="R288" s="781"/>
      <c r="S288" s="781"/>
    </row>
    <row r="289" spans="1:19" x14ac:dyDescent="0.25">
      <c r="A289" s="223"/>
      <c r="B289" s="281"/>
      <c r="C289" s="281"/>
      <c r="D289" s="281"/>
      <c r="E289" s="224"/>
      <c r="F289" s="192"/>
      <c r="G289" s="193"/>
      <c r="H289" s="223"/>
      <c r="I289" s="281"/>
      <c r="J289" s="225"/>
      <c r="K289" s="225"/>
      <c r="L289" s="226"/>
      <c r="M289" s="226"/>
      <c r="N289" s="226"/>
      <c r="O289" s="227"/>
      <c r="P289" s="227"/>
      <c r="Q289" s="223"/>
      <c r="R289" s="781"/>
      <c r="S289" s="781"/>
    </row>
    <row r="290" spans="1:19" x14ac:dyDescent="0.25">
      <c r="A290" s="223"/>
      <c r="B290" s="281"/>
      <c r="C290" s="281"/>
      <c r="D290" s="281"/>
      <c r="E290" s="224"/>
      <c r="F290" s="192"/>
      <c r="G290" s="193"/>
      <c r="H290" s="223"/>
      <c r="I290" s="281"/>
      <c r="J290" s="225"/>
      <c r="K290" s="225"/>
      <c r="L290" s="226"/>
      <c r="M290" s="226"/>
      <c r="N290" s="226"/>
      <c r="O290" s="227"/>
      <c r="P290" s="227"/>
      <c r="Q290" s="223"/>
      <c r="R290" s="781"/>
      <c r="S290" s="781"/>
    </row>
    <row r="291" spans="1:19" x14ac:dyDescent="0.25">
      <c r="A291" s="223"/>
      <c r="B291" s="281"/>
      <c r="C291" s="281"/>
      <c r="D291" s="281"/>
      <c r="E291" s="224"/>
      <c r="F291" s="192"/>
      <c r="G291" s="193"/>
      <c r="H291" s="223"/>
      <c r="I291" s="281"/>
      <c r="J291" s="225"/>
      <c r="K291" s="225"/>
      <c r="L291" s="226"/>
      <c r="M291" s="226"/>
      <c r="N291" s="226"/>
      <c r="O291" s="227"/>
      <c r="P291" s="227"/>
      <c r="Q291" s="223"/>
      <c r="R291" s="781"/>
      <c r="S291" s="781"/>
    </row>
    <row r="292" spans="1:19" x14ac:dyDescent="0.25">
      <c r="A292" s="223"/>
      <c r="B292" s="281"/>
      <c r="C292" s="281"/>
      <c r="D292" s="281"/>
      <c r="E292" s="224"/>
      <c r="F292" s="192"/>
      <c r="G292" s="193"/>
      <c r="H292" s="223"/>
      <c r="I292" s="281"/>
      <c r="J292" s="225"/>
      <c r="K292" s="225"/>
      <c r="L292" s="226"/>
      <c r="M292" s="226"/>
      <c r="N292" s="226"/>
      <c r="O292" s="227"/>
      <c r="P292" s="227"/>
      <c r="Q292" s="223"/>
      <c r="R292" s="781"/>
      <c r="S292" s="781"/>
    </row>
    <row r="293" spans="1:19" x14ac:dyDescent="0.25">
      <c r="A293" s="223"/>
      <c r="B293" s="281"/>
      <c r="C293" s="281"/>
      <c r="D293" s="281"/>
      <c r="E293" s="224"/>
      <c r="F293" s="192"/>
      <c r="G293" s="193"/>
      <c r="H293" s="223"/>
      <c r="I293" s="281"/>
      <c r="J293" s="225"/>
      <c r="K293" s="225"/>
      <c r="L293" s="226"/>
      <c r="M293" s="226"/>
      <c r="N293" s="226"/>
      <c r="O293" s="227"/>
      <c r="P293" s="227"/>
      <c r="Q293" s="223"/>
      <c r="R293" s="781"/>
      <c r="S293" s="781"/>
    </row>
    <row r="294" spans="1:19" x14ac:dyDescent="0.25">
      <c r="A294" s="223"/>
      <c r="B294" s="281"/>
      <c r="C294" s="281"/>
      <c r="D294" s="281"/>
      <c r="E294" s="224"/>
      <c r="F294" s="192"/>
      <c r="G294" s="193"/>
      <c r="H294" s="223"/>
      <c r="I294" s="281"/>
      <c r="J294" s="225"/>
      <c r="K294" s="225"/>
      <c r="L294" s="226"/>
      <c r="M294" s="226"/>
      <c r="N294" s="226"/>
      <c r="O294" s="227"/>
      <c r="P294" s="227"/>
      <c r="Q294" s="223"/>
      <c r="R294" s="781"/>
      <c r="S294" s="781"/>
    </row>
    <row r="295" spans="1:19" x14ac:dyDescent="0.25">
      <c r="A295" s="223"/>
      <c r="B295" s="281"/>
      <c r="C295" s="281"/>
      <c r="D295" s="281"/>
      <c r="E295" s="224"/>
      <c r="F295" s="192"/>
      <c r="G295" s="193"/>
      <c r="H295" s="223"/>
      <c r="I295" s="281"/>
      <c r="J295" s="225"/>
      <c r="K295" s="225"/>
      <c r="L295" s="226"/>
      <c r="M295" s="226"/>
      <c r="N295" s="226"/>
      <c r="O295" s="227"/>
      <c r="P295" s="227"/>
      <c r="Q295" s="223"/>
      <c r="R295" s="781"/>
      <c r="S295" s="781"/>
    </row>
    <row r="296" spans="1:19" x14ac:dyDescent="0.25">
      <c r="A296" s="223"/>
      <c r="B296" s="281"/>
      <c r="C296" s="281"/>
      <c r="D296" s="281"/>
      <c r="E296" s="224"/>
      <c r="F296" s="192"/>
      <c r="G296" s="193"/>
      <c r="H296" s="223"/>
      <c r="I296" s="281"/>
      <c r="J296" s="225"/>
      <c r="K296" s="225"/>
      <c r="L296" s="226"/>
      <c r="M296" s="226"/>
      <c r="N296" s="226"/>
      <c r="O296" s="227"/>
      <c r="P296" s="227"/>
      <c r="Q296" s="223"/>
      <c r="R296" s="781"/>
      <c r="S296" s="781"/>
    </row>
    <row r="297" spans="1:19" x14ac:dyDescent="0.25">
      <c r="A297" s="223"/>
      <c r="B297" s="281"/>
      <c r="C297" s="281"/>
      <c r="D297" s="281"/>
      <c r="E297" s="224"/>
      <c r="F297" s="192"/>
      <c r="G297" s="193"/>
      <c r="H297" s="223"/>
      <c r="I297" s="281"/>
      <c r="J297" s="225"/>
      <c r="K297" s="225"/>
      <c r="L297" s="226"/>
      <c r="M297" s="226"/>
      <c r="N297" s="226"/>
      <c r="O297" s="227"/>
      <c r="P297" s="227"/>
      <c r="Q297" s="223"/>
      <c r="R297" s="781"/>
      <c r="S297" s="781"/>
    </row>
    <row r="298" spans="1:19" x14ac:dyDescent="0.25">
      <c r="A298" s="223"/>
      <c r="B298" s="281"/>
      <c r="C298" s="281"/>
      <c r="D298" s="281"/>
      <c r="E298" s="224"/>
      <c r="F298" s="192"/>
      <c r="G298" s="193"/>
      <c r="H298" s="223"/>
      <c r="I298" s="281"/>
      <c r="J298" s="225"/>
      <c r="K298" s="225"/>
      <c r="L298" s="226"/>
      <c r="M298" s="226"/>
      <c r="N298" s="226"/>
      <c r="O298" s="227"/>
      <c r="P298" s="227"/>
      <c r="Q298" s="223"/>
      <c r="R298" s="781"/>
      <c r="S298" s="781"/>
    </row>
    <row r="299" spans="1:19" x14ac:dyDescent="0.25">
      <c r="A299" s="223"/>
      <c r="B299" s="281"/>
      <c r="C299" s="281"/>
      <c r="D299" s="281"/>
      <c r="E299" s="224"/>
      <c r="F299" s="192"/>
      <c r="G299" s="193"/>
      <c r="H299" s="223"/>
      <c r="I299" s="281"/>
      <c r="J299" s="225"/>
      <c r="K299" s="225"/>
      <c r="L299" s="226"/>
      <c r="M299" s="226"/>
      <c r="N299" s="226"/>
      <c r="O299" s="227"/>
      <c r="P299" s="227"/>
      <c r="Q299" s="223"/>
      <c r="R299" s="781"/>
      <c r="S299" s="781"/>
    </row>
    <row r="300" spans="1:19" x14ac:dyDescent="0.25">
      <c r="A300" s="223"/>
      <c r="B300" s="281"/>
      <c r="C300" s="281"/>
      <c r="D300" s="281"/>
      <c r="E300" s="224"/>
      <c r="F300" s="192"/>
      <c r="G300" s="193"/>
      <c r="H300" s="223"/>
      <c r="I300" s="281"/>
      <c r="J300" s="225"/>
      <c r="K300" s="225"/>
      <c r="L300" s="226"/>
      <c r="M300" s="226"/>
      <c r="N300" s="226"/>
      <c r="O300" s="227"/>
      <c r="P300" s="227"/>
      <c r="Q300" s="223"/>
      <c r="R300" s="781"/>
      <c r="S300" s="781"/>
    </row>
  </sheetData>
  <sheetProtection selectLockedCells="1"/>
  <mergeCells count="311">
    <mergeCell ref="R295:S295"/>
    <mergeCell ref="R296:S296"/>
    <mergeCell ref="R297:S297"/>
    <mergeCell ref="R298:S298"/>
    <mergeCell ref="R299:S299"/>
    <mergeCell ref="R300:S300"/>
    <mergeCell ref="R289:S289"/>
    <mergeCell ref="R290:S290"/>
    <mergeCell ref="R291:S291"/>
    <mergeCell ref="R292:S292"/>
    <mergeCell ref="R293:S293"/>
    <mergeCell ref="R294:S294"/>
    <mergeCell ref="R283:S283"/>
    <mergeCell ref="R284:S284"/>
    <mergeCell ref="R285:S285"/>
    <mergeCell ref="R286:S286"/>
    <mergeCell ref="R287:S287"/>
    <mergeCell ref="R288:S288"/>
    <mergeCell ref="R277:S277"/>
    <mergeCell ref="R278:S278"/>
    <mergeCell ref="R279:S279"/>
    <mergeCell ref="R280:S280"/>
    <mergeCell ref="R281:S281"/>
    <mergeCell ref="R282:S282"/>
    <mergeCell ref="R271:S271"/>
    <mergeCell ref="R272:S272"/>
    <mergeCell ref="R273:S273"/>
    <mergeCell ref="R274:S274"/>
    <mergeCell ref="R275:S275"/>
    <mergeCell ref="R276:S276"/>
    <mergeCell ref="R265:S265"/>
    <mergeCell ref="R266:S266"/>
    <mergeCell ref="R267:S267"/>
    <mergeCell ref="R268:S268"/>
    <mergeCell ref="R269:S269"/>
    <mergeCell ref="R270:S270"/>
    <mergeCell ref="R259:S259"/>
    <mergeCell ref="R260:S260"/>
    <mergeCell ref="R261:S261"/>
    <mergeCell ref="R262:S262"/>
    <mergeCell ref="R263:S263"/>
    <mergeCell ref="R264:S264"/>
    <mergeCell ref="R253:S253"/>
    <mergeCell ref="R254:S254"/>
    <mergeCell ref="R255:S255"/>
    <mergeCell ref="R256:S256"/>
    <mergeCell ref="R257:S257"/>
    <mergeCell ref="R258:S258"/>
    <mergeCell ref="R247:S247"/>
    <mergeCell ref="R248:S248"/>
    <mergeCell ref="R249:S249"/>
    <mergeCell ref="R250:S250"/>
    <mergeCell ref="R251:S251"/>
    <mergeCell ref="R252:S252"/>
    <mergeCell ref="R241:S241"/>
    <mergeCell ref="R242:S242"/>
    <mergeCell ref="R243:S243"/>
    <mergeCell ref="R244:S244"/>
    <mergeCell ref="R245:S245"/>
    <mergeCell ref="R246:S246"/>
    <mergeCell ref="R235:S235"/>
    <mergeCell ref="R236:S236"/>
    <mergeCell ref="R237:S237"/>
    <mergeCell ref="R238:S238"/>
    <mergeCell ref="R239:S239"/>
    <mergeCell ref="R240:S240"/>
    <mergeCell ref="R229:S229"/>
    <mergeCell ref="R230:S230"/>
    <mergeCell ref="R231:S231"/>
    <mergeCell ref="R232:S232"/>
    <mergeCell ref="R233:S233"/>
    <mergeCell ref="R234:S234"/>
    <mergeCell ref="R223:S223"/>
    <mergeCell ref="R224:S224"/>
    <mergeCell ref="R225:S225"/>
    <mergeCell ref="R226:S226"/>
    <mergeCell ref="R227:S227"/>
    <mergeCell ref="R228:S228"/>
    <mergeCell ref="R217:S217"/>
    <mergeCell ref="R218:S218"/>
    <mergeCell ref="R219:S219"/>
    <mergeCell ref="R220:S220"/>
    <mergeCell ref="R221:S221"/>
    <mergeCell ref="R222:S222"/>
    <mergeCell ref="R211:S211"/>
    <mergeCell ref="R212:S212"/>
    <mergeCell ref="R213:S213"/>
    <mergeCell ref="R214:S214"/>
    <mergeCell ref="R215:S215"/>
    <mergeCell ref="R216:S216"/>
    <mergeCell ref="R205:S205"/>
    <mergeCell ref="R206:S206"/>
    <mergeCell ref="R207:S207"/>
    <mergeCell ref="R208:S208"/>
    <mergeCell ref="R209:S209"/>
    <mergeCell ref="R210:S210"/>
    <mergeCell ref="R199:S199"/>
    <mergeCell ref="R200:S200"/>
    <mergeCell ref="R201:S201"/>
    <mergeCell ref="R202:S202"/>
    <mergeCell ref="R203:S203"/>
    <mergeCell ref="R204:S204"/>
    <mergeCell ref="R193:S193"/>
    <mergeCell ref="R194:S194"/>
    <mergeCell ref="R195:S195"/>
    <mergeCell ref="R196:S196"/>
    <mergeCell ref="R197:S197"/>
    <mergeCell ref="R198:S198"/>
    <mergeCell ref="R187:S187"/>
    <mergeCell ref="R188:S188"/>
    <mergeCell ref="R189:S189"/>
    <mergeCell ref="R190:S190"/>
    <mergeCell ref="R191:S191"/>
    <mergeCell ref="R192:S192"/>
    <mergeCell ref="R181:S181"/>
    <mergeCell ref="R182:S182"/>
    <mergeCell ref="R183:S183"/>
    <mergeCell ref="R184:S184"/>
    <mergeCell ref="R185:S185"/>
    <mergeCell ref="R186:S186"/>
    <mergeCell ref="R175:S175"/>
    <mergeCell ref="R176:S176"/>
    <mergeCell ref="R177:S177"/>
    <mergeCell ref="R178:S178"/>
    <mergeCell ref="R179:S179"/>
    <mergeCell ref="R180:S180"/>
    <mergeCell ref="R169:S169"/>
    <mergeCell ref="R170:S170"/>
    <mergeCell ref="R171:S171"/>
    <mergeCell ref="R172:S172"/>
    <mergeCell ref="R173:S173"/>
    <mergeCell ref="R174:S174"/>
    <mergeCell ref="R163:S163"/>
    <mergeCell ref="R164:S164"/>
    <mergeCell ref="R165:S165"/>
    <mergeCell ref="R166:S166"/>
    <mergeCell ref="R167:S167"/>
    <mergeCell ref="R168:S168"/>
    <mergeCell ref="R157:S157"/>
    <mergeCell ref="R158:S158"/>
    <mergeCell ref="R159:S159"/>
    <mergeCell ref="R160:S160"/>
    <mergeCell ref="R161:S161"/>
    <mergeCell ref="R162:S162"/>
    <mergeCell ref="R151:S151"/>
    <mergeCell ref="R152:S152"/>
    <mergeCell ref="R153:S153"/>
    <mergeCell ref="R154:S154"/>
    <mergeCell ref="R155:S155"/>
    <mergeCell ref="R156:S156"/>
    <mergeCell ref="R145:S145"/>
    <mergeCell ref="R146:S146"/>
    <mergeCell ref="R147:S147"/>
    <mergeCell ref="R148:S148"/>
    <mergeCell ref="R149:S149"/>
    <mergeCell ref="R150:S150"/>
    <mergeCell ref="R139:S139"/>
    <mergeCell ref="R140:S140"/>
    <mergeCell ref="R141:S141"/>
    <mergeCell ref="R142:S142"/>
    <mergeCell ref="R143:S143"/>
    <mergeCell ref="R144:S144"/>
    <mergeCell ref="R133:S133"/>
    <mergeCell ref="R134:S134"/>
    <mergeCell ref="R135:S135"/>
    <mergeCell ref="R136:S136"/>
    <mergeCell ref="R137:S137"/>
    <mergeCell ref="R138:S138"/>
    <mergeCell ref="R127:S127"/>
    <mergeCell ref="R128:S128"/>
    <mergeCell ref="R129:S129"/>
    <mergeCell ref="R130:S130"/>
    <mergeCell ref="R131:S131"/>
    <mergeCell ref="R132:S132"/>
    <mergeCell ref="R121:S121"/>
    <mergeCell ref="R122:S122"/>
    <mergeCell ref="R123:S123"/>
    <mergeCell ref="R124:S124"/>
    <mergeCell ref="R125:S125"/>
    <mergeCell ref="R126:S126"/>
    <mergeCell ref="R115:S115"/>
    <mergeCell ref="R116:S116"/>
    <mergeCell ref="R117:S117"/>
    <mergeCell ref="R118:S118"/>
    <mergeCell ref="R119:S119"/>
    <mergeCell ref="R120:S120"/>
    <mergeCell ref="R109:S109"/>
    <mergeCell ref="R110:S110"/>
    <mergeCell ref="R111:S111"/>
    <mergeCell ref="R112:S112"/>
    <mergeCell ref="R113:S113"/>
    <mergeCell ref="R114:S114"/>
    <mergeCell ref="R103:S103"/>
    <mergeCell ref="R104:S104"/>
    <mergeCell ref="R105:S105"/>
    <mergeCell ref="R106:S106"/>
    <mergeCell ref="R107:S107"/>
    <mergeCell ref="R108:S108"/>
    <mergeCell ref="R97:S97"/>
    <mergeCell ref="R98:S98"/>
    <mergeCell ref="R99:S99"/>
    <mergeCell ref="R100:S100"/>
    <mergeCell ref="R101:S101"/>
    <mergeCell ref="R102:S102"/>
    <mergeCell ref="R91:S91"/>
    <mergeCell ref="R92:S92"/>
    <mergeCell ref="R93:S93"/>
    <mergeCell ref="R94:S94"/>
    <mergeCell ref="R95:S95"/>
    <mergeCell ref="R96:S96"/>
    <mergeCell ref="R85:S85"/>
    <mergeCell ref="R86:S86"/>
    <mergeCell ref="R87:S87"/>
    <mergeCell ref="R88:S88"/>
    <mergeCell ref="R89:S89"/>
    <mergeCell ref="R90:S90"/>
    <mergeCell ref="R79:S79"/>
    <mergeCell ref="R80:S80"/>
    <mergeCell ref="R81:S81"/>
    <mergeCell ref="R82:S82"/>
    <mergeCell ref="R83:S83"/>
    <mergeCell ref="R84:S84"/>
    <mergeCell ref="R73:S73"/>
    <mergeCell ref="R74:S74"/>
    <mergeCell ref="R75:S75"/>
    <mergeCell ref="R76:S76"/>
    <mergeCell ref="R77:S77"/>
    <mergeCell ref="R78:S78"/>
    <mergeCell ref="R67:S67"/>
    <mergeCell ref="R68:S68"/>
    <mergeCell ref="R69:S69"/>
    <mergeCell ref="R70:S70"/>
    <mergeCell ref="R71:S71"/>
    <mergeCell ref="R72:S72"/>
    <mergeCell ref="R61:S61"/>
    <mergeCell ref="R62:S62"/>
    <mergeCell ref="R63:S63"/>
    <mergeCell ref="R64:S64"/>
    <mergeCell ref="R65:S65"/>
    <mergeCell ref="R66:S66"/>
    <mergeCell ref="R55:S55"/>
    <mergeCell ref="R56:S56"/>
    <mergeCell ref="R57:S57"/>
    <mergeCell ref="R58:S58"/>
    <mergeCell ref="R59:S59"/>
    <mergeCell ref="R60:S60"/>
    <mergeCell ref="R49:S49"/>
    <mergeCell ref="R50:S50"/>
    <mergeCell ref="R51:S51"/>
    <mergeCell ref="R52:S52"/>
    <mergeCell ref="R53:S53"/>
    <mergeCell ref="R54:S54"/>
    <mergeCell ref="R43:S43"/>
    <mergeCell ref="R44:S44"/>
    <mergeCell ref="R45:S45"/>
    <mergeCell ref="R46:S46"/>
    <mergeCell ref="R47:S47"/>
    <mergeCell ref="R48:S48"/>
    <mergeCell ref="R37:S37"/>
    <mergeCell ref="R38:S38"/>
    <mergeCell ref="R39:S39"/>
    <mergeCell ref="R40:S40"/>
    <mergeCell ref="R41:S41"/>
    <mergeCell ref="R42:S42"/>
    <mergeCell ref="R31:S31"/>
    <mergeCell ref="R32:S32"/>
    <mergeCell ref="R33:S33"/>
    <mergeCell ref="R34:S34"/>
    <mergeCell ref="R35:S35"/>
    <mergeCell ref="R36:S36"/>
    <mergeCell ref="R25:S25"/>
    <mergeCell ref="R26:S26"/>
    <mergeCell ref="R27:S27"/>
    <mergeCell ref="R28:S28"/>
    <mergeCell ref="R29:S29"/>
    <mergeCell ref="R30:S30"/>
    <mergeCell ref="R19:S19"/>
    <mergeCell ref="R20:S20"/>
    <mergeCell ref="R21:S21"/>
    <mergeCell ref="R22:S22"/>
    <mergeCell ref="R23:S23"/>
    <mergeCell ref="R24:S24"/>
    <mergeCell ref="R13:S13"/>
    <mergeCell ref="R14:S14"/>
    <mergeCell ref="R15:S15"/>
    <mergeCell ref="R16:S16"/>
    <mergeCell ref="R17:S17"/>
    <mergeCell ref="F18:G18"/>
    <mergeCell ref="R18:S18"/>
    <mergeCell ref="R7:S7"/>
    <mergeCell ref="R8:S8"/>
    <mergeCell ref="R9:S9"/>
    <mergeCell ref="R10:S10"/>
    <mergeCell ref="R11:S11"/>
    <mergeCell ref="R12:S12"/>
    <mergeCell ref="H3:K3"/>
    <mergeCell ref="L3:N3"/>
    <mergeCell ref="O3:P3"/>
    <mergeCell ref="R4:S4"/>
    <mergeCell ref="R5:S5"/>
    <mergeCell ref="R6:S6"/>
    <mergeCell ref="A1:E2"/>
    <mergeCell ref="K1:L1"/>
    <mergeCell ref="M1:P1"/>
    <mergeCell ref="Q1:S3"/>
    <mergeCell ref="F2:G2"/>
    <mergeCell ref="H2:I2"/>
    <mergeCell ref="K2:L2"/>
    <mergeCell ref="M2:P2"/>
    <mergeCell ref="A3:C3"/>
    <mergeCell ref="D3:E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S300"/>
  <sheetViews>
    <sheetView zoomScale="90" zoomScaleNormal="90" workbookViewId="0">
      <pane ySplit="14" topLeftCell="A15" activePane="bottomLeft" state="frozen"/>
      <selection activeCell="H29" sqref="H29"/>
      <selection pane="bottomLeft" activeCell="C25" sqref="C25"/>
    </sheetView>
  </sheetViews>
  <sheetFormatPr defaultRowHeight="15" x14ac:dyDescent="0.25"/>
  <cols>
    <col min="1" max="1" width="9.5703125" bestFit="1" customWidth="1"/>
    <col min="2" max="2" width="8.85546875" style="148" customWidth="1"/>
    <col min="3" max="3" width="13.7109375" style="148" customWidth="1"/>
    <col min="4" max="5" width="17" style="148" bestFit="1" customWidth="1"/>
    <col min="6" max="6" width="15.28515625" bestFit="1" customWidth="1"/>
    <col min="7" max="7" width="18" bestFit="1" customWidth="1"/>
    <col min="8" max="8" width="9.5703125" style="228" bestFit="1" customWidth="1"/>
    <col min="9" max="9" width="18" style="148" bestFit="1" customWidth="1"/>
    <col min="10" max="10" width="22.140625" bestFit="1" customWidth="1"/>
    <col min="11" max="11" width="17" bestFit="1" customWidth="1"/>
    <col min="12" max="13" width="20.7109375" style="187" customWidth="1"/>
    <col min="14" max="14" width="11.7109375" style="187" customWidth="1"/>
    <col min="15" max="16" width="17" style="229" bestFit="1" customWidth="1"/>
    <col min="17" max="17" width="8.42578125" style="230" bestFit="1" customWidth="1"/>
    <col min="18" max="19" width="13.5703125" style="230" customWidth="1"/>
  </cols>
  <sheetData>
    <row r="1" spans="1:19" ht="24" customHeight="1" thickBot="1" x14ac:dyDescent="0.3">
      <c r="A1" s="749" t="s">
        <v>349</v>
      </c>
      <c r="B1" s="750"/>
      <c r="C1" s="750"/>
      <c r="D1" s="750"/>
      <c r="E1" s="750"/>
      <c r="F1" s="163" t="s">
        <v>327</v>
      </c>
      <c r="G1" s="164" t="str">
        <f>D4</f>
        <v>Pt 1919</v>
      </c>
      <c r="H1" s="165" t="s">
        <v>328</v>
      </c>
      <c r="I1" s="164" t="str">
        <f>E4</f>
        <v>PT 1922</v>
      </c>
      <c r="J1" s="166"/>
      <c r="K1" s="753" t="s">
        <v>329</v>
      </c>
      <c r="L1" s="753"/>
      <c r="M1" s="754" t="s">
        <v>350</v>
      </c>
      <c r="N1" s="754"/>
      <c r="O1" s="754"/>
      <c r="P1" s="755"/>
      <c r="Q1" s="756" t="s">
        <v>330</v>
      </c>
      <c r="R1" s="757"/>
      <c r="S1" s="757"/>
    </row>
    <row r="2" spans="1:19" ht="24" customHeight="1" thickBot="1" x14ac:dyDescent="0.3">
      <c r="A2" s="751"/>
      <c r="B2" s="752"/>
      <c r="C2" s="752"/>
      <c r="D2" s="752"/>
      <c r="E2" s="752"/>
      <c r="F2" s="762">
        <f>G4-G8</f>
        <v>0</v>
      </c>
      <c r="G2" s="763"/>
      <c r="H2" s="764">
        <f>G6-G10</f>
        <v>0</v>
      </c>
      <c r="I2" s="765"/>
      <c r="J2" s="167"/>
      <c r="K2" s="753" t="s">
        <v>331</v>
      </c>
      <c r="L2" s="753"/>
      <c r="M2" s="766" t="s">
        <v>351</v>
      </c>
      <c r="N2" s="766"/>
      <c r="O2" s="766"/>
      <c r="P2" s="767"/>
      <c r="Q2" s="758"/>
      <c r="R2" s="759"/>
      <c r="S2" s="759"/>
    </row>
    <row r="3" spans="1:19" s="149" customFormat="1" ht="24" customHeight="1" thickBot="1" x14ac:dyDescent="0.4">
      <c r="A3" s="768" t="s">
        <v>332</v>
      </c>
      <c r="B3" s="769"/>
      <c r="C3" s="770"/>
      <c r="D3" s="768" t="s">
        <v>333</v>
      </c>
      <c r="E3" s="769"/>
      <c r="F3" s="168" t="s">
        <v>334</v>
      </c>
      <c r="G3" s="169" t="s">
        <v>328</v>
      </c>
      <c r="H3" s="775" t="s">
        <v>335</v>
      </c>
      <c r="I3" s="776"/>
      <c r="J3" s="776"/>
      <c r="K3" s="777"/>
      <c r="L3" s="775" t="s">
        <v>336</v>
      </c>
      <c r="M3" s="776"/>
      <c r="N3" s="777"/>
      <c r="O3" s="768" t="s">
        <v>337</v>
      </c>
      <c r="P3" s="770"/>
      <c r="Q3" s="760"/>
      <c r="R3" s="761"/>
      <c r="S3" s="761"/>
    </row>
    <row r="4" spans="1:19" s="149" customFormat="1" ht="24" thickBot="1" x14ac:dyDescent="0.4">
      <c r="A4" s="277" t="s">
        <v>297</v>
      </c>
      <c r="B4" s="277" t="s">
        <v>338</v>
      </c>
      <c r="C4" s="277" t="s">
        <v>339</v>
      </c>
      <c r="D4" s="277" t="s">
        <v>352</v>
      </c>
      <c r="E4" s="277" t="s">
        <v>353</v>
      </c>
      <c r="F4" s="170" t="str">
        <f>D4</f>
        <v>Pt 1919</v>
      </c>
      <c r="G4" s="171">
        <f>SUM(D:D)</f>
        <v>217.82999999999998</v>
      </c>
      <c r="H4" s="172" t="s">
        <v>297</v>
      </c>
      <c r="I4" s="173" t="s">
        <v>342</v>
      </c>
      <c r="J4" s="173" t="s">
        <v>343</v>
      </c>
      <c r="K4" s="173" t="s">
        <v>344</v>
      </c>
      <c r="L4" s="174" t="str">
        <f>D4</f>
        <v>Pt 1919</v>
      </c>
      <c r="M4" s="174" t="str">
        <f>E4</f>
        <v>PT 1922</v>
      </c>
      <c r="N4" s="174" t="s">
        <v>328</v>
      </c>
      <c r="O4" s="173" t="str">
        <f>D4</f>
        <v>Pt 1919</v>
      </c>
      <c r="P4" s="173" t="str">
        <f>E4</f>
        <v>PT 1922</v>
      </c>
      <c r="Q4" s="175" t="s">
        <v>297</v>
      </c>
      <c r="R4" s="778" t="s">
        <v>345</v>
      </c>
      <c r="S4" s="779"/>
    </row>
    <row r="5" spans="1:19" ht="21" customHeight="1" x14ac:dyDescent="0.35">
      <c r="A5" s="176">
        <v>42864</v>
      </c>
      <c r="B5" s="278">
        <v>171655</v>
      </c>
      <c r="C5" s="279" t="s">
        <v>354</v>
      </c>
      <c r="D5" s="279">
        <v>38</v>
      </c>
      <c r="E5" s="185"/>
      <c r="F5" s="178" t="s">
        <v>334</v>
      </c>
      <c r="G5" s="179" t="s">
        <v>328</v>
      </c>
      <c r="H5" s="176">
        <v>42866</v>
      </c>
      <c r="I5" s="279">
        <v>444444</v>
      </c>
      <c r="J5" s="231" t="s">
        <v>354</v>
      </c>
      <c r="K5" s="180" t="s">
        <v>355</v>
      </c>
      <c r="L5" s="181">
        <v>23.53</v>
      </c>
      <c r="M5" s="182">
        <v>24.05</v>
      </c>
      <c r="N5" s="181">
        <f>M5+L5</f>
        <v>47.58</v>
      </c>
      <c r="O5" s="183"/>
      <c r="P5" s="183"/>
      <c r="Q5" s="176"/>
      <c r="R5" s="780"/>
      <c r="S5" s="780"/>
    </row>
    <row r="6" spans="1:19" ht="21" customHeight="1" thickBot="1" x14ac:dyDescent="0.4">
      <c r="A6" s="184">
        <v>42864</v>
      </c>
      <c r="B6" s="278">
        <v>171656</v>
      </c>
      <c r="C6" s="279" t="s">
        <v>354</v>
      </c>
      <c r="D6" s="278"/>
      <c r="E6" s="185">
        <v>38</v>
      </c>
      <c r="F6" s="170" t="str">
        <f>E4</f>
        <v>PT 1922</v>
      </c>
      <c r="G6" s="171">
        <f>SUM(E:E)</f>
        <v>219.67</v>
      </c>
      <c r="H6" s="184">
        <v>42868</v>
      </c>
      <c r="I6" s="278">
        <v>443424</v>
      </c>
      <c r="J6" s="199" t="s">
        <v>354</v>
      </c>
      <c r="K6" s="186" t="s">
        <v>417</v>
      </c>
      <c r="L6" s="182">
        <v>20.3</v>
      </c>
      <c r="M6" s="187">
        <v>19.8</v>
      </c>
      <c r="N6" s="181">
        <f t="shared" ref="N6:N69" si="0">M6+L6</f>
        <v>40.1</v>
      </c>
      <c r="O6" s="188"/>
      <c r="P6" s="188"/>
      <c r="Q6" s="184"/>
      <c r="R6" s="773"/>
      <c r="S6" s="773"/>
    </row>
    <row r="7" spans="1:19" ht="21" customHeight="1" x14ac:dyDescent="0.35">
      <c r="A7" s="184">
        <v>42865</v>
      </c>
      <c r="B7" s="278">
        <v>171662</v>
      </c>
      <c r="C7" s="279" t="s">
        <v>354</v>
      </c>
      <c r="D7" s="278">
        <v>9</v>
      </c>
      <c r="E7" s="185">
        <v>17</v>
      </c>
      <c r="F7" s="178" t="s">
        <v>348</v>
      </c>
      <c r="G7" s="179" t="s">
        <v>328</v>
      </c>
      <c r="H7" s="184">
        <v>42869</v>
      </c>
      <c r="I7" s="278">
        <v>445241</v>
      </c>
      <c r="J7" s="199" t="s">
        <v>354</v>
      </c>
      <c r="K7" s="186" t="s">
        <v>418</v>
      </c>
      <c r="L7" s="182">
        <v>27.18</v>
      </c>
      <c r="M7" s="182">
        <v>25.15</v>
      </c>
      <c r="N7" s="181">
        <f t="shared" si="0"/>
        <v>52.33</v>
      </c>
      <c r="O7" s="188"/>
      <c r="P7" s="188"/>
      <c r="Q7" s="184"/>
      <c r="R7" s="773"/>
      <c r="S7" s="773"/>
    </row>
    <row r="8" spans="1:19" ht="21" customHeight="1" thickBot="1" x14ac:dyDescent="0.4">
      <c r="A8" s="184">
        <v>42867</v>
      </c>
      <c r="B8" s="278">
        <v>171674</v>
      </c>
      <c r="C8" s="279" t="s">
        <v>354</v>
      </c>
      <c r="D8" s="278">
        <v>14</v>
      </c>
      <c r="E8" s="185">
        <v>7</v>
      </c>
      <c r="F8" s="170" t="str">
        <f>D4</f>
        <v>Pt 1919</v>
      </c>
      <c r="G8" s="189">
        <f>SUM(L:L)</f>
        <v>217.83</v>
      </c>
      <c r="H8" s="184">
        <v>42871</v>
      </c>
      <c r="I8" s="278">
        <v>445241</v>
      </c>
      <c r="J8" s="199" t="s">
        <v>354</v>
      </c>
      <c r="K8" s="186" t="s">
        <v>418</v>
      </c>
      <c r="L8" s="182">
        <v>23.79</v>
      </c>
      <c r="M8" s="182">
        <v>23.45</v>
      </c>
      <c r="N8" s="181">
        <f t="shared" si="0"/>
        <v>47.239999999999995</v>
      </c>
      <c r="O8" s="188"/>
      <c r="P8" s="188"/>
      <c r="Q8" s="184"/>
      <c r="R8" s="773"/>
      <c r="S8" s="773"/>
    </row>
    <row r="9" spans="1:19" ht="21" customHeight="1" x14ac:dyDescent="0.35">
      <c r="A9" s="184">
        <v>42868</v>
      </c>
      <c r="B9" s="278">
        <v>171678</v>
      </c>
      <c r="C9" s="279" t="s">
        <v>354</v>
      </c>
      <c r="D9" s="278">
        <v>21</v>
      </c>
      <c r="E9" s="185">
        <v>19</v>
      </c>
      <c r="F9" s="178" t="s">
        <v>348</v>
      </c>
      <c r="G9" s="179" t="s">
        <v>328</v>
      </c>
      <c r="H9" s="232">
        <v>42873</v>
      </c>
      <c r="I9" s="233">
        <v>445246</v>
      </c>
      <c r="J9" s="234" t="s">
        <v>354</v>
      </c>
      <c r="K9" s="186" t="s">
        <v>418</v>
      </c>
      <c r="L9" s="182">
        <v>22.52</v>
      </c>
      <c r="M9" s="182">
        <v>21.18</v>
      </c>
      <c r="N9" s="181">
        <f t="shared" si="0"/>
        <v>43.7</v>
      </c>
      <c r="O9" s="188"/>
      <c r="P9" s="188"/>
      <c r="Q9" s="184"/>
      <c r="R9" s="773"/>
      <c r="S9" s="773"/>
    </row>
    <row r="10" spans="1:19" ht="21" customHeight="1" thickBot="1" x14ac:dyDescent="0.4">
      <c r="A10" s="184">
        <v>42870</v>
      </c>
      <c r="B10" s="278">
        <v>171687</v>
      </c>
      <c r="C10" s="279" t="s">
        <v>354</v>
      </c>
      <c r="D10" s="278"/>
      <c r="E10" s="185">
        <v>26</v>
      </c>
      <c r="F10" s="170" t="str">
        <f>E4</f>
        <v>PT 1922</v>
      </c>
      <c r="G10" s="189">
        <f>SUM(M:M)</f>
        <v>219.67000000000002</v>
      </c>
      <c r="H10" s="184">
        <v>42888</v>
      </c>
      <c r="I10" s="278">
        <v>445327</v>
      </c>
      <c r="J10" s="199" t="s">
        <v>354</v>
      </c>
      <c r="K10" s="186" t="s">
        <v>418</v>
      </c>
      <c r="L10" s="182">
        <v>15.64</v>
      </c>
      <c r="M10" s="182">
        <v>18.36</v>
      </c>
      <c r="N10" s="181">
        <f t="shared" si="0"/>
        <v>34</v>
      </c>
      <c r="O10" s="188"/>
      <c r="P10" s="188"/>
      <c r="Q10" s="184"/>
      <c r="R10" s="773"/>
      <c r="S10" s="773"/>
    </row>
    <row r="11" spans="1:19" ht="21" customHeight="1" x14ac:dyDescent="0.25">
      <c r="A11" s="184">
        <v>42870</v>
      </c>
      <c r="B11" s="278">
        <v>171688</v>
      </c>
      <c r="C11" s="279" t="s">
        <v>354</v>
      </c>
      <c r="D11" s="278">
        <v>26</v>
      </c>
      <c r="E11" s="185"/>
      <c r="F11" s="192"/>
      <c r="G11" s="193"/>
      <c r="H11" s="184">
        <v>42890</v>
      </c>
      <c r="I11" s="278">
        <v>445329</v>
      </c>
      <c r="J11" s="199" t="s">
        <v>354</v>
      </c>
      <c r="K11" s="186" t="s">
        <v>418</v>
      </c>
      <c r="L11" s="182">
        <v>20.62</v>
      </c>
      <c r="M11" s="182">
        <v>20.62</v>
      </c>
      <c r="N11" s="181">
        <f t="shared" si="0"/>
        <v>41.24</v>
      </c>
      <c r="O11" s="188"/>
      <c r="P11" s="188"/>
      <c r="Q11" s="184"/>
      <c r="R11" s="773"/>
      <c r="S11" s="773"/>
    </row>
    <row r="12" spans="1:19" ht="21" customHeight="1" x14ac:dyDescent="0.3">
      <c r="A12" s="194">
        <v>42872</v>
      </c>
      <c r="B12" s="197">
        <v>171695</v>
      </c>
      <c r="C12" s="196" t="s">
        <v>354</v>
      </c>
      <c r="D12" s="197">
        <v>26</v>
      </c>
      <c r="E12" s="198"/>
      <c r="F12" s="235"/>
      <c r="G12" s="236"/>
      <c r="H12" s="184">
        <v>42891</v>
      </c>
      <c r="I12" s="237">
        <v>445332</v>
      </c>
      <c r="J12" s="199" t="s">
        <v>354</v>
      </c>
      <c r="K12" s="186" t="s">
        <v>418</v>
      </c>
      <c r="L12" s="182">
        <v>20.170000000000002</v>
      </c>
      <c r="M12" s="182">
        <v>20.84</v>
      </c>
      <c r="N12" s="181">
        <f t="shared" si="0"/>
        <v>41.010000000000005</v>
      </c>
      <c r="O12" s="188"/>
      <c r="P12" s="188"/>
      <c r="Q12" s="194"/>
      <c r="R12" s="773"/>
      <c r="S12" s="773"/>
    </row>
    <row r="13" spans="1:19" ht="21" customHeight="1" x14ac:dyDescent="0.25">
      <c r="A13" s="184">
        <v>42783</v>
      </c>
      <c r="B13" s="278">
        <v>171699</v>
      </c>
      <c r="C13" s="279" t="s">
        <v>354</v>
      </c>
      <c r="D13" s="278"/>
      <c r="E13" s="185">
        <v>24</v>
      </c>
      <c r="F13" s="192"/>
      <c r="G13" s="193"/>
      <c r="H13" s="184">
        <v>42893</v>
      </c>
      <c r="I13" s="278">
        <v>445334</v>
      </c>
      <c r="J13" s="199" t="s">
        <v>354</v>
      </c>
      <c r="K13" s="186" t="s">
        <v>418</v>
      </c>
      <c r="L13" s="182">
        <v>20.96</v>
      </c>
      <c r="M13" s="182">
        <v>24.35</v>
      </c>
      <c r="N13" s="181">
        <f t="shared" si="0"/>
        <v>45.31</v>
      </c>
      <c r="O13" s="188"/>
      <c r="P13" s="188"/>
      <c r="Q13" s="184"/>
      <c r="R13" s="773"/>
      <c r="S13" s="773"/>
    </row>
    <row r="14" spans="1:19" ht="21" customHeight="1" x14ac:dyDescent="0.25">
      <c r="A14" s="184">
        <v>42876</v>
      </c>
      <c r="B14" s="278" t="s">
        <v>419</v>
      </c>
      <c r="C14" s="279" t="s">
        <v>354</v>
      </c>
      <c r="D14" s="278">
        <v>-16.68</v>
      </c>
      <c r="E14" s="185">
        <v>-17.37</v>
      </c>
      <c r="F14" s="192"/>
      <c r="G14" s="193"/>
      <c r="H14" s="184">
        <v>42894</v>
      </c>
      <c r="I14" s="199">
        <v>445335</v>
      </c>
      <c r="J14" s="199" t="s">
        <v>354</v>
      </c>
      <c r="K14" s="186" t="s">
        <v>418</v>
      </c>
      <c r="L14" s="182">
        <v>23.12</v>
      </c>
      <c r="M14" s="182">
        <v>21.87</v>
      </c>
      <c r="N14" s="181">
        <f t="shared" si="0"/>
        <v>44.99</v>
      </c>
      <c r="O14" s="188"/>
      <c r="P14" s="188"/>
      <c r="Q14" s="184"/>
      <c r="R14" s="773"/>
      <c r="S14" s="773"/>
    </row>
    <row r="15" spans="1:19" ht="21" customHeight="1" x14ac:dyDescent="0.25">
      <c r="A15" s="184">
        <v>42877</v>
      </c>
      <c r="B15" s="278">
        <v>178541</v>
      </c>
      <c r="C15" s="279" t="s">
        <v>354</v>
      </c>
      <c r="D15" s="278"/>
      <c r="E15" s="185">
        <v>38</v>
      </c>
      <c r="F15" s="192"/>
      <c r="G15" s="193"/>
      <c r="H15" s="184"/>
      <c r="I15" s="199"/>
      <c r="J15" s="199"/>
      <c r="K15" s="186"/>
      <c r="L15" s="182"/>
      <c r="M15" s="182"/>
      <c r="N15" s="181">
        <f t="shared" si="0"/>
        <v>0</v>
      </c>
      <c r="O15" s="188"/>
      <c r="P15" s="188"/>
      <c r="Q15" s="184"/>
      <c r="R15" s="773"/>
      <c r="S15" s="773"/>
    </row>
    <row r="16" spans="1:19" ht="21" customHeight="1" x14ac:dyDescent="0.25">
      <c r="A16" s="184">
        <v>42878</v>
      </c>
      <c r="B16" s="278">
        <v>178544</v>
      </c>
      <c r="C16" s="279" t="s">
        <v>354</v>
      </c>
      <c r="D16" s="278">
        <v>38</v>
      </c>
      <c r="E16" s="185"/>
      <c r="F16" s="192"/>
      <c r="G16" s="193"/>
      <c r="H16" s="184"/>
      <c r="I16" s="278"/>
      <c r="J16" s="199"/>
      <c r="K16" s="186"/>
      <c r="L16" s="182"/>
      <c r="M16" s="182"/>
      <c r="N16" s="181">
        <f t="shared" si="0"/>
        <v>0</v>
      </c>
      <c r="O16" s="188"/>
      <c r="P16" s="188"/>
      <c r="Q16" s="184"/>
      <c r="R16" s="773"/>
      <c r="S16" s="773"/>
    </row>
    <row r="17" spans="1:19" ht="21" customHeight="1" x14ac:dyDescent="0.25">
      <c r="A17" s="184">
        <v>42888</v>
      </c>
      <c r="B17" s="278">
        <v>178571</v>
      </c>
      <c r="C17" s="279" t="s">
        <v>354</v>
      </c>
      <c r="D17" s="278">
        <v>15.5</v>
      </c>
      <c r="E17" s="185">
        <v>18.5</v>
      </c>
      <c r="F17" s="192"/>
      <c r="G17" s="193"/>
      <c r="H17" s="184"/>
      <c r="I17" s="278"/>
      <c r="J17" s="199"/>
      <c r="K17" s="186"/>
      <c r="L17" s="182"/>
      <c r="M17" s="182"/>
      <c r="N17" s="181">
        <f t="shared" si="0"/>
        <v>0</v>
      </c>
      <c r="O17" s="188"/>
      <c r="P17" s="188"/>
      <c r="Q17" s="184"/>
      <c r="R17" s="773"/>
      <c r="S17" s="773"/>
    </row>
    <row r="18" spans="1:19" ht="21" customHeight="1" x14ac:dyDescent="0.25">
      <c r="A18" s="184"/>
      <c r="B18" s="278"/>
      <c r="C18" s="279"/>
      <c r="D18" s="278"/>
      <c r="E18" s="185"/>
      <c r="F18" s="192"/>
      <c r="G18" s="193"/>
      <c r="H18" s="184"/>
      <c r="I18" s="199"/>
      <c r="J18" s="199"/>
      <c r="K18" s="186"/>
      <c r="L18" s="182"/>
      <c r="M18" s="182"/>
      <c r="N18" s="181">
        <f t="shared" si="0"/>
        <v>0</v>
      </c>
      <c r="O18" s="188"/>
      <c r="P18" s="188"/>
      <c r="Q18" s="184"/>
      <c r="R18" s="773"/>
      <c r="S18" s="773"/>
    </row>
    <row r="19" spans="1:19" ht="21" customHeight="1" x14ac:dyDescent="0.25">
      <c r="A19" s="223">
        <v>42891</v>
      </c>
      <c r="B19" s="281">
        <v>178577</v>
      </c>
      <c r="C19" s="281" t="s">
        <v>354</v>
      </c>
      <c r="D19" s="281">
        <v>19</v>
      </c>
      <c r="E19" s="224">
        <v>19</v>
      </c>
      <c r="F19" s="192"/>
      <c r="G19" s="193"/>
      <c r="H19" s="184"/>
      <c r="I19" s="238"/>
      <c r="J19" s="238"/>
      <c r="K19" s="186"/>
      <c r="L19" s="182"/>
      <c r="M19" s="182"/>
      <c r="N19" s="181">
        <f t="shared" si="0"/>
        <v>0</v>
      </c>
      <c r="O19" s="188"/>
      <c r="P19" s="188"/>
      <c r="Q19" s="184"/>
      <c r="R19" s="773"/>
      <c r="S19" s="773"/>
    </row>
    <row r="20" spans="1:19" ht="21" customHeight="1" x14ac:dyDescent="0.25">
      <c r="A20" s="184">
        <v>42891</v>
      </c>
      <c r="B20" s="278" t="s">
        <v>488</v>
      </c>
      <c r="C20" s="279" t="s">
        <v>354</v>
      </c>
      <c r="D20" s="278">
        <v>8</v>
      </c>
      <c r="E20" s="185"/>
      <c r="F20" s="192"/>
      <c r="G20" s="193"/>
      <c r="H20" s="184"/>
      <c r="I20" s="278"/>
      <c r="J20" s="199"/>
      <c r="K20" s="186"/>
      <c r="L20" s="182"/>
      <c r="M20" s="182"/>
      <c r="N20" s="181">
        <f t="shared" si="0"/>
        <v>0</v>
      </c>
      <c r="O20" s="188"/>
      <c r="P20" s="188"/>
      <c r="Q20" s="184"/>
      <c r="R20" s="773"/>
      <c r="S20" s="773"/>
    </row>
    <row r="21" spans="1:19" ht="21" customHeight="1" x14ac:dyDescent="0.25">
      <c r="A21" s="184">
        <v>42892</v>
      </c>
      <c r="B21" s="278" t="s">
        <v>488</v>
      </c>
      <c r="C21" s="279" t="s">
        <v>354</v>
      </c>
      <c r="D21" s="278">
        <v>8</v>
      </c>
      <c r="E21" s="185">
        <v>10</v>
      </c>
      <c r="F21" s="192"/>
      <c r="G21" s="193"/>
      <c r="H21" s="184"/>
      <c r="I21" s="278"/>
      <c r="J21" s="199"/>
      <c r="K21" s="186"/>
      <c r="L21" s="182"/>
      <c r="M21" s="182"/>
      <c r="N21" s="181">
        <f t="shared" si="0"/>
        <v>0</v>
      </c>
      <c r="O21" s="188"/>
      <c r="P21" s="188"/>
      <c r="Q21" s="184"/>
      <c r="R21" s="773"/>
      <c r="S21" s="773"/>
    </row>
    <row r="22" spans="1:19" ht="21" customHeight="1" x14ac:dyDescent="0.25">
      <c r="A22" s="184">
        <v>42892</v>
      </c>
      <c r="B22" s="278">
        <v>178585</v>
      </c>
      <c r="C22" s="279" t="s">
        <v>354</v>
      </c>
      <c r="D22" s="278">
        <v>6</v>
      </c>
      <c r="E22" s="185">
        <v>12.32</v>
      </c>
      <c r="F22" s="192"/>
      <c r="G22" s="193"/>
      <c r="H22" s="184"/>
      <c r="I22" s="278"/>
      <c r="J22" s="186"/>
      <c r="K22" s="186"/>
      <c r="L22" s="182"/>
      <c r="M22" s="182"/>
      <c r="N22" s="181">
        <f t="shared" si="0"/>
        <v>0</v>
      </c>
      <c r="O22" s="188"/>
      <c r="P22" s="188"/>
      <c r="Q22" s="184"/>
      <c r="R22" s="773"/>
      <c r="S22" s="773"/>
    </row>
    <row r="23" spans="1:19" ht="21" customHeight="1" x14ac:dyDescent="0.25">
      <c r="A23" s="184">
        <v>42893</v>
      </c>
      <c r="B23" s="278"/>
      <c r="C23" s="278" t="s">
        <v>354</v>
      </c>
      <c r="D23" s="278">
        <v>21</v>
      </c>
      <c r="E23" s="185">
        <v>8</v>
      </c>
      <c r="F23" s="192"/>
      <c r="G23" s="193"/>
      <c r="H23" s="184"/>
      <c r="I23" s="278"/>
      <c r="J23" s="186"/>
      <c r="K23" s="186"/>
      <c r="L23" s="182"/>
      <c r="M23" s="182"/>
      <c r="N23" s="181">
        <f t="shared" si="0"/>
        <v>0</v>
      </c>
      <c r="O23" s="188"/>
      <c r="P23" s="188"/>
      <c r="Q23" s="184"/>
      <c r="R23" s="773"/>
      <c r="S23" s="773"/>
    </row>
    <row r="24" spans="1:19" ht="21" customHeight="1" x14ac:dyDescent="0.25">
      <c r="A24" s="184">
        <v>42894</v>
      </c>
      <c r="B24" s="278">
        <v>178590</v>
      </c>
      <c r="C24" s="278" t="s">
        <v>354</v>
      </c>
      <c r="D24" s="278"/>
      <c r="E24" s="185">
        <v>17</v>
      </c>
      <c r="F24" s="192"/>
      <c r="G24" s="193"/>
      <c r="H24" s="184"/>
      <c r="I24" s="278"/>
      <c r="J24" s="186"/>
      <c r="K24" s="186"/>
      <c r="L24" s="182"/>
      <c r="M24" s="182"/>
      <c r="N24" s="181">
        <f t="shared" si="0"/>
        <v>0</v>
      </c>
      <c r="O24" s="188"/>
      <c r="P24" s="188"/>
      <c r="Q24" s="184"/>
      <c r="R24" s="773"/>
      <c r="S24" s="773"/>
    </row>
    <row r="25" spans="1:19" ht="21" customHeight="1" x14ac:dyDescent="0.25">
      <c r="A25" s="184">
        <v>42896</v>
      </c>
      <c r="B25" s="278" t="s">
        <v>509</v>
      </c>
      <c r="C25" s="278"/>
      <c r="D25" s="278">
        <v>-14.99</v>
      </c>
      <c r="E25" s="185">
        <v>-16.78</v>
      </c>
      <c r="F25" s="192"/>
      <c r="G25" s="193"/>
      <c r="H25" s="184"/>
      <c r="I25" s="278"/>
      <c r="J25" s="186"/>
      <c r="K25" s="186"/>
      <c r="L25" s="182"/>
      <c r="M25" s="182"/>
      <c r="N25" s="181">
        <f t="shared" si="0"/>
        <v>0</v>
      </c>
      <c r="O25" s="188"/>
      <c r="P25" s="188"/>
      <c r="Q25" s="184"/>
      <c r="R25" s="773"/>
      <c r="S25" s="773"/>
    </row>
    <row r="26" spans="1:19" ht="21" customHeight="1" x14ac:dyDescent="0.25">
      <c r="A26" s="184"/>
      <c r="B26" s="278"/>
      <c r="C26" s="278"/>
      <c r="D26" s="278"/>
      <c r="E26" s="185"/>
      <c r="F26" s="192"/>
      <c r="G26" s="193"/>
      <c r="H26" s="184"/>
      <c r="I26" s="278"/>
      <c r="J26" s="186"/>
      <c r="K26" s="186"/>
      <c r="L26" s="182"/>
      <c r="M26" s="182"/>
      <c r="N26" s="181">
        <f t="shared" si="0"/>
        <v>0</v>
      </c>
      <c r="O26" s="188"/>
      <c r="P26" s="188"/>
      <c r="Q26" s="184"/>
      <c r="R26" s="773"/>
      <c r="S26" s="773"/>
    </row>
    <row r="27" spans="1:19" ht="21" customHeight="1" x14ac:dyDescent="0.25">
      <c r="A27" s="184"/>
      <c r="B27" s="278"/>
      <c r="C27" s="278"/>
      <c r="D27" s="278"/>
      <c r="E27" s="185"/>
      <c r="F27" s="192"/>
      <c r="G27" s="193"/>
      <c r="H27" s="184"/>
      <c r="I27" s="278"/>
      <c r="J27" s="186"/>
      <c r="K27" s="186"/>
      <c r="L27" s="182"/>
      <c r="M27" s="182"/>
      <c r="N27" s="181">
        <f t="shared" si="0"/>
        <v>0</v>
      </c>
      <c r="O27" s="188"/>
      <c r="P27" s="188"/>
      <c r="Q27" s="184"/>
      <c r="R27" s="773"/>
      <c r="S27" s="773"/>
    </row>
    <row r="28" spans="1:19" ht="21" customHeight="1" x14ac:dyDescent="0.25">
      <c r="A28" s="184"/>
      <c r="B28" s="278"/>
      <c r="C28" s="278"/>
      <c r="D28" s="278"/>
      <c r="E28" s="185"/>
      <c r="F28" s="192"/>
      <c r="G28" s="193"/>
      <c r="H28" s="184"/>
      <c r="I28" s="278"/>
      <c r="J28" s="186"/>
      <c r="K28" s="186"/>
      <c r="L28" s="182"/>
      <c r="M28" s="182"/>
      <c r="N28" s="181">
        <f t="shared" si="0"/>
        <v>0</v>
      </c>
      <c r="O28" s="188"/>
      <c r="P28" s="188"/>
      <c r="Q28" s="184"/>
      <c r="R28" s="773"/>
      <c r="S28" s="773"/>
    </row>
    <row r="29" spans="1:19" ht="21" customHeight="1" x14ac:dyDescent="0.25">
      <c r="A29" s="184"/>
      <c r="B29" s="278"/>
      <c r="C29" s="278"/>
      <c r="D29" s="278"/>
      <c r="E29" s="185"/>
      <c r="F29" s="192"/>
      <c r="G29" s="193"/>
      <c r="H29" s="184"/>
      <c r="I29" s="278"/>
      <c r="J29" s="186"/>
      <c r="K29" s="186"/>
      <c r="L29" s="182"/>
      <c r="M29" s="182"/>
      <c r="N29" s="181">
        <f t="shared" si="0"/>
        <v>0</v>
      </c>
      <c r="O29" s="188"/>
      <c r="P29" s="188"/>
      <c r="Q29" s="184"/>
      <c r="R29" s="773"/>
      <c r="S29" s="773"/>
    </row>
    <row r="30" spans="1:19" ht="21" customHeight="1" x14ac:dyDescent="0.25">
      <c r="A30" s="184"/>
      <c r="B30" s="278"/>
      <c r="C30" s="278"/>
      <c r="D30" s="278"/>
      <c r="E30" s="185"/>
      <c r="F30" s="192"/>
      <c r="G30" s="193"/>
      <c r="H30" s="184"/>
      <c r="I30" s="278"/>
      <c r="J30" s="186"/>
      <c r="K30" s="186"/>
      <c r="L30" s="182"/>
      <c r="M30" s="182"/>
      <c r="N30" s="181">
        <f t="shared" si="0"/>
        <v>0</v>
      </c>
      <c r="O30" s="188"/>
      <c r="P30" s="188"/>
      <c r="Q30" s="184"/>
      <c r="R30" s="773"/>
      <c r="S30" s="773"/>
    </row>
    <row r="31" spans="1:19" ht="21" customHeight="1" x14ac:dyDescent="0.25">
      <c r="A31" s="223"/>
      <c r="B31" s="281"/>
      <c r="C31" s="281"/>
      <c r="D31" s="281"/>
      <c r="E31" s="224"/>
      <c r="F31" s="192"/>
      <c r="G31" s="193"/>
      <c r="H31" s="223"/>
      <c r="I31" s="278"/>
      <c r="J31" s="186"/>
      <c r="K31" s="186"/>
      <c r="L31" s="182"/>
      <c r="M31" s="182"/>
      <c r="N31" s="181">
        <f t="shared" si="0"/>
        <v>0</v>
      </c>
      <c r="O31" s="188"/>
      <c r="P31" s="188"/>
      <c r="Q31" s="223"/>
      <c r="R31" s="773"/>
      <c r="S31" s="773"/>
    </row>
    <row r="32" spans="1:19" ht="21" customHeight="1" x14ac:dyDescent="0.25">
      <c r="A32" s="223"/>
      <c r="B32" s="281"/>
      <c r="C32" s="281"/>
      <c r="D32" s="281"/>
      <c r="E32" s="224"/>
      <c r="F32" s="192"/>
      <c r="G32" s="193"/>
      <c r="H32" s="223"/>
      <c r="I32" s="278"/>
      <c r="J32" s="186"/>
      <c r="K32" s="186"/>
      <c r="L32" s="182"/>
      <c r="M32" s="182"/>
      <c r="N32" s="181">
        <f t="shared" si="0"/>
        <v>0</v>
      </c>
      <c r="O32" s="188"/>
      <c r="P32" s="188"/>
      <c r="Q32" s="223"/>
      <c r="R32" s="773"/>
      <c r="S32" s="773"/>
    </row>
    <row r="33" spans="1:19" ht="21" customHeight="1" x14ac:dyDescent="0.25">
      <c r="A33" s="223"/>
      <c r="B33" s="281"/>
      <c r="C33" s="281"/>
      <c r="D33" s="281"/>
      <c r="E33" s="224"/>
      <c r="F33" s="192"/>
      <c r="G33" s="193"/>
      <c r="H33" s="223"/>
      <c r="I33" s="281"/>
      <c r="J33" s="225"/>
      <c r="K33" s="225"/>
      <c r="L33" s="226"/>
      <c r="M33" s="226"/>
      <c r="N33" s="181">
        <f t="shared" si="0"/>
        <v>0</v>
      </c>
      <c r="O33" s="227"/>
      <c r="P33" s="227"/>
      <c r="Q33" s="223"/>
      <c r="R33" s="781"/>
      <c r="S33" s="781"/>
    </row>
    <row r="34" spans="1:19" ht="21" customHeight="1" x14ac:dyDescent="0.25">
      <c r="A34" s="223"/>
      <c r="B34" s="281"/>
      <c r="C34" s="281"/>
      <c r="D34" s="281"/>
      <c r="E34" s="224"/>
      <c r="F34" s="192"/>
      <c r="G34" s="193"/>
      <c r="H34" s="223"/>
      <c r="I34" s="281"/>
      <c r="J34" s="225"/>
      <c r="K34" s="225"/>
      <c r="L34" s="226"/>
      <c r="M34" s="226"/>
      <c r="N34" s="181">
        <f t="shared" si="0"/>
        <v>0</v>
      </c>
      <c r="O34" s="227"/>
      <c r="P34" s="227"/>
      <c r="Q34" s="223"/>
      <c r="R34" s="781"/>
      <c r="S34" s="781"/>
    </row>
    <row r="35" spans="1:19" ht="21" customHeight="1" x14ac:dyDescent="0.25">
      <c r="A35" s="223"/>
      <c r="B35" s="281"/>
      <c r="C35" s="281"/>
      <c r="D35" s="281"/>
      <c r="E35" s="224"/>
      <c r="F35" s="192"/>
      <c r="G35" s="193"/>
      <c r="H35" s="223"/>
      <c r="I35" s="281"/>
      <c r="J35" s="225"/>
      <c r="K35" s="225"/>
      <c r="L35" s="226"/>
      <c r="M35" s="226"/>
      <c r="N35" s="181">
        <f t="shared" si="0"/>
        <v>0</v>
      </c>
      <c r="O35" s="227"/>
      <c r="P35" s="227"/>
      <c r="Q35" s="223"/>
      <c r="R35" s="781"/>
      <c r="S35" s="781"/>
    </row>
    <row r="36" spans="1:19" ht="21" customHeight="1" x14ac:dyDescent="0.25">
      <c r="A36" s="223"/>
      <c r="B36" s="281"/>
      <c r="C36" s="281"/>
      <c r="D36" s="281"/>
      <c r="E36" s="224"/>
      <c r="F36" s="192"/>
      <c r="G36" s="193"/>
      <c r="H36" s="223"/>
      <c r="I36" s="281"/>
      <c r="J36" s="225"/>
      <c r="K36" s="225"/>
      <c r="L36" s="226"/>
      <c r="M36" s="226"/>
      <c r="N36" s="181">
        <f t="shared" si="0"/>
        <v>0</v>
      </c>
      <c r="O36" s="227"/>
      <c r="P36" s="227"/>
      <c r="Q36" s="223"/>
      <c r="R36" s="781"/>
      <c r="S36" s="781"/>
    </row>
    <row r="37" spans="1:19" ht="21" customHeight="1" x14ac:dyDescent="0.25">
      <c r="A37" s="223"/>
      <c r="B37" s="281"/>
      <c r="C37" s="281"/>
      <c r="D37" s="281"/>
      <c r="E37" s="224"/>
      <c r="F37" s="192"/>
      <c r="G37" s="193"/>
      <c r="H37" s="223"/>
      <c r="I37" s="281"/>
      <c r="J37" s="225"/>
      <c r="K37" s="225"/>
      <c r="L37" s="226"/>
      <c r="M37" s="226"/>
      <c r="N37" s="181">
        <f t="shared" si="0"/>
        <v>0</v>
      </c>
      <c r="O37" s="227"/>
      <c r="P37" s="227"/>
      <c r="Q37" s="223"/>
      <c r="R37" s="781"/>
      <c r="S37" s="781"/>
    </row>
    <row r="38" spans="1:19" ht="21" customHeight="1" x14ac:dyDescent="0.25">
      <c r="A38" s="223"/>
      <c r="B38" s="281"/>
      <c r="C38" s="281"/>
      <c r="D38" s="281"/>
      <c r="E38" s="224"/>
      <c r="F38" s="192"/>
      <c r="G38" s="193"/>
      <c r="H38" s="223"/>
      <c r="I38" s="281"/>
      <c r="J38" s="225"/>
      <c r="K38" s="225"/>
      <c r="L38" s="226"/>
      <c r="M38" s="226"/>
      <c r="N38" s="181">
        <f t="shared" si="0"/>
        <v>0</v>
      </c>
      <c r="O38" s="227"/>
      <c r="P38" s="227"/>
      <c r="Q38" s="223"/>
      <c r="R38" s="781"/>
      <c r="S38" s="781"/>
    </row>
    <row r="39" spans="1:19" ht="21" customHeight="1" x14ac:dyDescent="0.25">
      <c r="A39" s="223"/>
      <c r="B39" s="281"/>
      <c r="C39" s="281"/>
      <c r="D39" s="281"/>
      <c r="E39" s="224"/>
      <c r="F39" s="192"/>
      <c r="G39" s="193"/>
      <c r="H39" s="223"/>
      <c r="I39" s="281"/>
      <c r="J39" s="225"/>
      <c r="K39" s="225"/>
      <c r="L39" s="226"/>
      <c r="M39" s="226"/>
      <c r="N39" s="181">
        <f t="shared" si="0"/>
        <v>0</v>
      </c>
      <c r="O39" s="227"/>
      <c r="P39" s="227"/>
      <c r="Q39" s="223"/>
      <c r="R39" s="781"/>
      <c r="S39" s="781"/>
    </row>
    <row r="40" spans="1:19" ht="21" customHeight="1" x14ac:dyDescent="0.25">
      <c r="A40" s="223"/>
      <c r="B40" s="281"/>
      <c r="C40" s="281"/>
      <c r="D40" s="281"/>
      <c r="E40" s="224"/>
      <c r="F40" s="192"/>
      <c r="G40" s="193"/>
      <c r="H40" s="223"/>
      <c r="I40" s="281"/>
      <c r="J40" s="225"/>
      <c r="K40" s="225"/>
      <c r="L40" s="226"/>
      <c r="M40" s="226"/>
      <c r="N40" s="181">
        <f t="shared" si="0"/>
        <v>0</v>
      </c>
      <c r="O40" s="227"/>
      <c r="P40" s="227"/>
      <c r="Q40" s="223"/>
      <c r="R40" s="781"/>
      <c r="S40" s="781"/>
    </row>
    <row r="41" spans="1:19" ht="21" customHeight="1" x14ac:dyDescent="0.25">
      <c r="A41" s="223"/>
      <c r="B41" s="281"/>
      <c r="C41" s="281"/>
      <c r="D41" s="281"/>
      <c r="E41" s="224"/>
      <c r="F41" s="192"/>
      <c r="G41" s="193"/>
      <c r="H41" s="223"/>
      <c r="I41" s="281"/>
      <c r="J41" s="225"/>
      <c r="K41" s="225"/>
      <c r="L41" s="226"/>
      <c r="M41" s="226"/>
      <c r="N41" s="181">
        <f t="shared" si="0"/>
        <v>0</v>
      </c>
      <c r="O41" s="227"/>
      <c r="P41" s="227"/>
      <c r="Q41" s="223"/>
      <c r="R41" s="781"/>
      <c r="S41" s="781"/>
    </row>
    <row r="42" spans="1:19" ht="21" customHeight="1" x14ac:dyDescent="0.25">
      <c r="A42" s="223"/>
      <c r="B42" s="281"/>
      <c r="C42" s="281"/>
      <c r="D42" s="281"/>
      <c r="E42" s="224"/>
      <c r="F42" s="192"/>
      <c r="G42" s="193"/>
      <c r="H42" s="223"/>
      <c r="I42" s="281"/>
      <c r="J42" s="225"/>
      <c r="K42" s="225"/>
      <c r="L42" s="226"/>
      <c r="M42" s="226"/>
      <c r="N42" s="181">
        <f t="shared" si="0"/>
        <v>0</v>
      </c>
      <c r="O42" s="227"/>
      <c r="P42" s="227"/>
      <c r="Q42" s="223"/>
      <c r="R42" s="781"/>
      <c r="S42" s="781"/>
    </row>
    <row r="43" spans="1:19" ht="21" customHeight="1" x14ac:dyDescent="0.25">
      <c r="A43" s="223"/>
      <c r="B43" s="281"/>
      <c r="C43" s="281"/>
      <c r="D43" s="281"/>
      <c r="E43" s="224"/>
      <c r="F43" s="192"/>
      <c r="G43" s="193"/>
      <c r="H43" s="223"/>
      <c r="I43" s="281"/>
      <c r="J43" s="225"/>
      <c r="K43" s="225"/>
      <c r="L43" s="226"/>
      <c r="M43" s="226"/>
      <c r="N43" s="181">
        <f t="shared" si="0"/>
        <v>0</v>
      </c>
      <c r="O43" s="227"/>
      <c r="P43" s="227"/>
      <c r="Q43" s="223"/>
      <c r="R43" s="781"/>
      <c r="S43" s="781"/>
    </row>
    <row r="44" spans="1:19" ht="21" customHeight="1" x14ac:dyDescent="0.25">
      <c r="A44" s="223"/>
      <c r="B44" s="281"/>
      <c r="C44" s="281"/>
      <c r="D44" s="281"/>
      <c r="E44" s="224"/>
      <c r="F44" s="192"/>
      <c r="G44" s="193"/>
      <c r="H44" s="223"/>
      <c r="I44" s="281"/>
      <c r="J44" s="225"/>
      <c r="K44" s="225"/>
      <c r="L44" s="226"/>
      <c r="M44" s="226"/>
      <c r="N44" s="181">
        <f t="shared" si="0"/>
        <v>0</v>
      </c>
      <c r="O44" s="227"/>
      <c r="P44" s="227"/>
      <c r="Q44" s="223"/>
      <c r="R44" s="781"/>
      <c r="S44" s="781"/>
    </row>
    <row r="45" spans="1:19" ht="21" customHeight="1" x14ac:dyDescent="0.25">
      <c r="A45" s="223"/>
      <c r="B45" s="281"/>
      <c r="C45" s="281"/>
      <c r="D45" s="281"/>
      <c r="E45" s="224"/>
      <c r="F45" s="192"/>
      <c r="G45" s="193"/>
      <c r="H45" s="223"/>
      <c r="I45" s="281"/>
      <c r="J45" s="225"/>
      <c r="K45" s="225"/>
      <c r="L45" s="226"/>
      <c r="M45" s="226"/>
      <c r="N45" s="181">
        <f t="shared" si="0"/>
        <v>0</v>
      </c>
      <c r="O45" s="227"/>
      <c r="P45" s="227"/>
      <c r="Q45" s="223"/>
      <c r="R45" s="781"/>
      <c r="S45" s="781"/>
    </row>
    <row r="46" spans="1:19" ht="21" customHeight="1" x14ac:dyDescent="0.25">
      <c r="A46" s="223"/>
      <c r="B46" s="281"/>
      <c r="C46" s="281"/>
      <c r="D46" s="281"/>
      <c r="E46" s="224"/>
      <c r="F46" s="192"/>
      <c r="G46" s="193"/>
      <c r="H46" s="223"/>
      <c r="I46" s="281"/>
      <c r="J46" s="225"/>
      <c r="K46" s="225"/>
      <c r="L46" s="226"/>
      <c r="M46" s="226"/>
      <c r="N46" s="181">
        <f t="shared" si="0"/>
        <v>0</v>
      </c>
      <c r="O46" s="227"/>
      <c r="P46" s="227"/>
      <c r="Q46" s="223"/>
      <c r="R46" s="781"/>
      <c r="S46" s="781"/>
    </row>
    <row r="47" spans="1:19" ht="21" customHeight="1" x14ac:dyDescent="0.25">
      <c r="A47" s="223"/>
      <c r="B47" s="281"/>
      <c r="C47" s="281"/>
      <c r="D47" s="281"/>
      <c r="E47" s="224"/>
      <c r="F47" s="192"/>
      <c r="G47" s="193"/>
      <c r="H47" s="223"/>
      <c r="I47" s="281"/>
      <c r="J47" s="225"/>
      <c r="K47" s="225"/>
      <c r="L47" s="226"/>
      <c r="M47" s="226"/>
      <c r="N47" s="181">
        <f t="shared" si="0"/>
        <v>0</v>
      </c>
      <c r="O47" s="227"/>
      <c r="P47" s="227"/>
      <c r="Q47" s="223"/>
      <c r="R47" s="781"/>
      <c r="S47" s="781"/>
    </row>
    <row r="48" spans="1:19" ht="21" customHeight="1" x14ac:dyDescent="0.25">
      <c r="A48" s="223"/>
      <c r="B48" s="281"/>
      <c r="C48" s="281"/>
      <c r="D48" s="281"/>
      <c r="E48" s="224"/>
      <c r="F48" s="192"/>
      <c r="G48" s="193"/>
      <c r="H48" s="223"/>
      <c r="I48" s="281"/>
      <c r="J48" s="225"/>
      <c r="K48" s="225"/>
      <c r="L48" s="226"/>
      <c r="M48" s="226"/>
      <c r="N48" s="181">
        <f t="shared" si="0"/>
        <v>0</v>
      </c>
      <c r="O48" s="227"/>
      <c r="P48" s="227"/>
      <c r="Q48" s="223"/>
      <c r="R48" s="781"/>
      <c r="S48" s="781"/>
    </row>
    <row r="49" spans="1:19" ht="21" customHeight="1" x14ac:dyDescent="0.25">
      <c r="A49" s="223"/>
      <c r="B49" s="281"/>
      <c r="C49" s="281"/>
      <c r="D49" s="281"/>
      <c r="E49" s="224"/>
      <c r="F49" s="192"/>
      <c r="G49" s="193"/>
      <c r="H49" s="223"/>
      <c r="I49" s="281"/>
      <c r="J49" s="225"/>
      <c r="K49" s="225"/>
      <c r="L49" s="226"/>
      <c r="M49" s="226"/>
      <c r="N49" s="181">
        <f t="shared" si="0"/>
        <v>0</v>
      </c>
      <c r="O49" s="227"/>
      <c r="P49" s="227"/>
      <c r="Q49" s="223"/>
      <c r="R49" s="781"/>
      <c r="S49" s="781"/>
    </row>
    <row r="50" spans="1:19" ht="21" customHeight="1" x14ac:dyDescent="0.25">
      <c r="A50" s="223"/>
      <c r="B50" s="281"/>
      <c r="C50" s="281"/>
      <c r="D50" s="281"/>
      <c r="E50" s="224"/>
      <c r="F50" s="192"/>
      <c r="G50" s="193"/>
      <c r="H50" s="223"/>
      <c r="I50" s="281"/>
      <c r="J50" s="225"/>
      <c r="K50" s="225"/>
      <c r="L50" s="226"/>
      <c r="M50" s="226"/>
      <c r="N50" s="181">
        <f t="shared" si="0"/>
        <v>0</v>
      </c>
      <c r="O50" s="227"/>
      <c r="P50" s="227"/>
      <c r="Q50" s="223"/>
      <c r="R50" s="781"/>
      <c r="S50" s="781"/>
    </row>
    <row r="51" spans="1:19" ht="21" customHeight="1" x14ac:dyDescent="0.25">
      <c r="A51" s="223"/>
      <c r="B51" s="281"/>
      <c r="C51" s="281"/>
      <c r="D51" s="281"/>
      <c r="E51" s="224"/>
      <c r="F51" s="192"/>
      <c r="G51" s="193"/>
      <c r="H51" s="223"/>
      <c r="I51" s="281"/>
      <c r="J51" s="225"/>
      <c r="K51" s="225"/>
      <c r="L51" s="226"/>
      <c r="M51" s="226"/>
      <c r="N51" s="181">
        <f t="shared" si="0"/>
        <v>0</v>
      </c>
      <c r="O51" s="227"/>
      <c r="P51" s="227"/>
      <c r="Q51" s="223"/>
      <c r="R51" s="781"/>
      <c r="S51" s="781"/>
    </row>
    <row r="52" spans="1:19" ht="21" customHeight="1" x14ac:dyDescent="0.25">
      <c r="A52" s="223"/>
      <c r="B52" s="281"/>
      <c r="C52" s="281"/>
      <c r="D52" s="281"/>
      <c r="E52" s="224"/>
      <c r="F52" s="192"/>
      <c r="G52" s="193"/>
      <c r="H52" s="223"/>
      <c r="I52" s="281"/>
      <c r="J52" s="225"/>
      <c r="K52" s="225"/>
      <c r="L52" s="226"/>
      <c r="M52" s="226"/>
      <c r="N52" s="181">
        <f t="shared" si="0"/>
        <v>0</v>
      </c>
      <c r="O52" s="227"/>
      <c r="P52" s="227"/>
      <c r="Q52" s="223"/>
      <c r="R52" s="781"/>
      <c r="S52" s="781"/>
    </row>
    <row r="53" spans="1:19" ht="21" customHeight="1" x14ac:dyDescent="0.25">
      <c r="A53" s="223"/>
      <c r="B53" s="281"/>
      <c r="C53" s="281"/>
      <c r="D53" s="281"/>
      <c r="E53" s="224"/>
      <c r="F53" s="192"/>
      <c r="G53" s="193"/>
      <c r="H53" s="223"/>
      <c r="I53" s="281"/>
      <c r="J53" s="225"/>
      <c r="K53" s="225"/>
      <c r="L53" s="226"/>
      <c r="M53" s="226"/>
      <c r="N53" s="181">
        <f t="shared" si="0"/>
        <v>0</v>
      </c>
      <c r="O53" s="227"/>
      <c r="P53" s="227"/>
      <c r="Q53" s="223"/>
      <c r="R53" s="781"/>
      <c r="S53" s="781"/>
    </row>
    <row r="54" spans="1:19" ht="21" customHeight="1" x14ac:dyDescent="0.25">
      <c r="A54" s="223"/>
      <c r="B54" s="281"/>
      <c r="C54" s="281"/>
      <c r="D54" s="281"/>
      <c r="E54" s="224"/>
      <c r="F54" s="192"/>
      <c r="G54" s="193"/>
      <c r="H54" s="223"/>
      <c r="I54" s="281"/>
      <c r="J54" s="225"/>
      <c r="K54" s="225"/>
      <c r="L54" s="226"/>
      <c r="M54" s="226"/>
      <c r="N54" s="181">
        <f t="shared" si="0"/>
        <v>0</v>
      </c>
      <c r="O54" s="227"/>
      <c r="P54" s="227"/>
      <c r="Q54" s="223"/>
      <c r="R54" s="781"/>
      <c r="S54" s="781"/>
    </row>
    <row r="55" spans="1:19" ht="21" customHeight="1" x14ac:dyDescent="0.25">
      <c r="A55" s="223"/>
      <c r="B55" s="281"/>
      <c r="C55" s="281"/>
      <c r="D55" s="281"/>
      <c r="E55" s="224"/>
      <c r="F55" s="192"/>
      <c r="G55" s="193"/>
      <c r="H55" s="223"/>
      <c r="I55" s="281"/>
      <c r="J55" s="225"/>
      <c r="K55" s="225"/>
      <c r="L55" s="226"/>
      <c r="M55" s="226"/>
      <c r="N55" s="181">
        <f t="shared" si="0"/>
        <v>0</v>
      </c>
      <c r="O55" s="227"/>
      <c r="P55" s="227"/>
      <c r="Q55" s="223"/>
      <c r="R55" s="781"/>
      <c r="S55" s="781"/>
    </row>
    <row r="56" spans="1:19" ht="21" customHeight="1" x14ac:dyDescent="0.25">
      <c r="A56" s="223"/>
      <c r="B56" s="281"/>
      <c r="C56" s="281"/>
      <c r="D56" s="281"/>
      <c r="E56" s="224"/>
      <c r="F56" s="192"/>
      <c r="G56" s="193"/>
      <c r="H56" s="223"/>
      <c r="I56" s="281"/>
      <c r="J56" s="225"/>
      <c r="K56" s="225"/>
      <c r="L56" s="226"/>
      <c r="M56" s="226"/>
      <c r="N56" s="181">
        <f t="shared" si="0"/>
        <v>0</v>
      </c>
      <c r="O56" s="227"/>
      <c r="P56" s="227"/>
      <c r="Q56" s="223"/>
      <c r="R56" s="781"/>
      <c r="S56" s="781"/>
    </row>
    <row r="57" spans="1:19" ht="21" customHeight="1" x14ac:dyDescent="0.25">
      <c r="A57" s="223"/>
      <c r="B57" s="281"/>
      <c r="C57" s="281"/>
      <c r="D57" s="281"/>
      <c r="E57" s="224"/>
      <c r="F57" s="192"/>
      <c r="G57" s="193"/>
      <c r="H57" s="223"/>
      <c r="I57" s="281"/>
      <c r="J57" s="225"/>
      <c r="K57" s="225"/>
      <c r="L57" s="226"/>
      <c r="M57" s="226"/>
      <c r="N57" s="181">
        <f t="shared" si="0"/>
        <v>0</v>
      </c>
      <c r="O57" s="227"/>
      <c r="P57" s="227"/>
      <c r="Q57" s="223"/>
      <c r="R57" s="781"/>
      <c r="S57" s="781"/>
    </row>
    <row r="58" spans="1:19" ht="21" customHeight="1" x14ac:dyDescent="0.25">
      <c r="A58" s="223"/>
      <c r="B58" s="281"/>
      <c r="C58" s="281"/>
      <c r="D58" s="281"/>
      <c r="E58" s="224"/>
      <c r="F58" s="192"/>
      <c r="G58" s="193"/>
      <c r="H58" s="223"/>
      <c r="I58" s="281"/>
      <c r="J58" s="225"/>
      <c r="K58" s="225"/>
      <c r="L58" s="226"/>
      <c r="M58" s="226"/>
      <c r="N58" s="181">
        <f t="shared" si="0"/>
        <v>0</v>
      </c>
      <c r="O58" s="227"/>
      <c r="P58" s="227"/>
      <c r="Q58" s="223"/>
      <c r="R58" s="781"/>
      <c r="S58" s="781"/>
    </row>
    <row r="59" spans="1:19" ht="21" customHeight="1" x14ac:dyDescent="0.25">
      <c r="A59" s="223"/>
      <c r="B59" s="281"/>
      <c r="C59" s="281"/>
      <c r="D59" s="281"/>
      <c r="E59" s="224"/>
      <c r="F59" s="192"/>
      <c r="G59" s="193"/>
      <c r="H59" s="223"/>
      <c r="I59" s="281"/>
      <c r="J59" s="225"/>
      <c r="K59" s="225"/>
      <c r="L59" s="226"/>
      <c r="M59" s="226"/>
      <c r="N59" s="181">
        <f t="shared" si="0"/>
        <v>0</v>
      </c>
      <c r="O59" s="227"/>
      <c r="P59" s="227"/>
      <c r="Q59" s="223"/>
      <c r="R59" s="781"/>
      <c r="S59" s="781"/>
    </row>
    <row r="60" spans="1:19" ht="21" customHeight="1" x14ac:dyDescent="0.25">
      <c r="A60" s="223"/>
      <c r="B60" s="281"/>
      <c r="C60" s="281"/>
      <c r="D60" s="281"/>
      <c r="E60" s="224"/>
      <c r="F60" s="192"/>
      <c r="G60" s="193"/>
      <c r="H60" s="223"/>
      <c r="I60" s="281"/>
      <c r="J60" s="225"/>
      <c r="K60" s="225"/>
      <c r="L60" s="226"/>
      <c r="M60" s="226"/>
      <c r="N60" s="181">
        <f t="shared" si="0"/>
        <v>0</v>
      </c>
      <c r="O60" s="227"/>
      <c r="P60" s="227"/>
      <c r="Q60" s="223"/>
      <c r="R60" s="781"/>
      <c r="S60" s="781"/>
    </row>
    <row r="61" spans="1:19" ht="21" customHeight="1" x14ac:dyDescent="0.25">
      <c r="A61" s="223"/>
      <c r="B61" s="281"/>
      <c r="C61" s="281"/>
      <c r="D61" s="281"/>
      <c r="E61" s="224"/>
      <c r="F61" s="192"/>
      <c r="G61" s="193"/>
      <c r="H61" s="223"/>
      <c r="I61" s="281"/>
      <c r="J61" s="225"/>
      <c r="K61" s="225"/>
      <c r="L61" s="226"/>
      <c r="M61" s="226"/>
      <c r="N61" s="181">
        <f t="shared" si="0"/>
        <v>0</v>
      </c>
      <c r="O61" s="227"/>
      <c r="P61" s="227"/>
      <c r="Q61" s="223"/>
      <c r="R61" s="781"/>
      <c r="S61" s="781"/>
    </row>
    <row r="62" spans="1:19" ht="21" customHeight="1" x14ac:dyDescent="0.25">
      <c r="A62" s="223"/>
      <c r="B62" s="281"/>
      <c r="C62" s="281"/>
      <c r="D62" s="281"/>
      <c r="E62" s="224"/>
      <c r="F62" s="192"/>
      <c r="G62" s="193"/>
      <c r="H62" s="223"/>
      <c r="I62" s="281"/>
      <c r="J62" s="225"/>
      <c r="K62" s="225"/>
      <c r="L62" s="226"/>
      <c r="M62" s="226"/>
      <c r="N62" s="181">
        <f t="shared" si="0"/>
        <v>0</v>
      </c>
      <c r="O62" s="227"/>
      <c r="P62" s="227"/>
      <c r="Q62" s="223"/>
      <c r="R62" s="781"/>
      <c r="S62" s="781"/>
    </row>
    <row r="63" spans="1:19" ht="21" customHeight="1" x14ac:dyDescent="0.25">
      <c r="A63" s="223"/>
      <c r="B63" s="281"/>
      <c r="C63" s="281"/>
      <c r="D63" s="281"/>
      <c r="E63" s="224"/>
      <c r="F63" s="192"/>
      <c r="G63" s="193"/>
      <c r="H63" s="223"/>
      <c r="I63" s="281"/>
      <c r="J63" s="225"/>
      <c r="K63" s="225"/>
      <c r="L63" s="226"/>
      <c r="M63" s="226"/>
      <c r="N63" s="181">
        <f t="shared" si="0"/>
        <v>0</v>
      </c>
      <c r="O63" s="227"/>
      <c r="P63" s="227"/>
      <c r="Q63" s="223"/>
      <c r="R63" s="781"/>
      <c r="S63" s="781"/>
    </row>
    <row r="64" spans="1:19" ht="21" customHeight="1" x14ac:dyDescent="0.25">
      <c r="A64" s="223"/>
      <c r="B64" s="281"/>
      <c r="C64" s="281"/>
      <c r="D64" s="281"/>
      <c r="E64" s="224"/>
      <c r="F64" s="192"/>
      <c r="G64" s="193"/>
      <c r="H64" s="223"/>
      <c r="I64" s="281"/>
      <c r="J64" s="225"/>
      <c r="K64" s="225"/>
      <c r="L64" s="226"/>
      <c r="M64" s="226"/>
      <c r="N64" s="181">
        <f t="shared" si="0"/>
        <v>0</v>
      </c>
      <c r="O64" s="227"/>
      <c r="P64" s="227"/>
      <c r="Q64" s="223"/>
      <c r="R64" s="781"/>
      <c r="S64" s="781"/>
    </row>
    <row r="65" spans="1:19" ht="15.75" x14ac:dyDescent="0.25">
      <c r="A65" s="223"/>
      <c r="B65" s="281"/>
      <c r="C65" s="281"/>
      <c r="D65" s="281"/>
      <c r="E65" s="224"/>
      <c r="F65" s="192"/>
      <c r="G65" s="193"/>
      <c r="H65" s="223"/>
      <c r="I65" s="281"/>
      <c r="J65" s="225"/>
      <c r="K65" s="225"/>
      <c r="L65" s="226"/>
      <c r="M65" s="226"/>
      <c r="N65" s="181">
        <f t="shared" si="0"/>
        <v>0</v>
      </c>
      <c r="O65" s="227"/>
      <c r="P65" s="227"/>
      <c r="Q65" s="223"/>
      <c r="R65" s="781"/>
      <c r="S65" s="781"/>
    </row>
    <row r="66" spans="1:19" ht="15.75" x14ac:dyDescent="0.25">
      <c r="A66" s="223"/>
      <c r="B66" s="281"/>
      <c r="C66" s="281"/>
      <c r="D66" s="281"/>
      <c r="E66" s="224"/>
      <c r="F66" s="192"/>
      <c r="G66" s="193"/>
      <c r="H66" s="223"/>
      <c r="I66" s="281"/>
      <c r="J66" s="225"/>
      <c r="K66" s="225"/>
      <c r="L66" s="226"/>
      <c r="M66" s="226"/>
      <c r="N66" s="181">
        <f t="shared" si="0"/>
        <v>0</v>
      </c>
      <c r="O66" s="227"/>
      <c r="P66" s="227"/>
      <c r="Q66" s="223"/>
      <c r="R66" s="781"/>
      <c r="S66" s="781"/>
    </row>
    <row r="67" spans="1:19" ht="15.75" x14ac:dyDescent="0.25">
      <c r="A67" s="223"/>
      <c r="B67" s="281"/>
      <c r="C67" s="281"/>
      <c r="D67" s="281"/>
      <c r="E67" s="224"/>
      <c r="F67" s="192"/>
      <c r="G67" s="193"/>
      <c r="H67" s="223"/>
      <c r="I67" s="281"/>
      <c r="J67" s="225"/>
      <c r="K67" s="225"/>
      <c r="L67" s="226"/>
      <c r="M67" s="226"/>
      <c r="N67" s="181">
        <f t="shared" si="0"/>
        <v>0</v>
      </c>
      <c r="O67" s="227"/>
      <c r="P67" s="227"/>
      <c r="Q67" s="223"/>
      <c r="R67" s="781"/>
      <c r="S67" s="781"/>
    </row>
    <row r="68" spans="1:19" ht="15.75" x14ac:dyDescent="0.25">
      <c r="A68" s="223"/>
      <c r="B68" s="281"/>
      <c r="C68" s="281"/>
      <c r="D68" s="281"/>
      <c r="E68" s="224"/>
      <c r="F68" s="192"/>
      <c r="G68" s="193"/>
      <c r="H68" s="223"/>
      <c r="I68" s="281"/>
      <c r="J68" s="225"/>
      <c r="K68" s="225"/>
      <c r="L68" s="226"/>
      <c r="M68" s="226"/>
      <c r="N68" s="181">
        <f t="shared" si="0"/>
        <v>0</v>
      </c>
      <c r="O68" s="227"/>
      <c r="P68" s="227"/>
      <c r="Q68" s="223"/>
      <c r="R68" s="781"/>
      <c r="S68" s="781"/>
    </row>
    <row r="69" spans="1:19" ht="15.75" x14ac:dyDescent="0.25">
      <c r="A69" s="223"/>
      <c r="B69" s="281"/>
      <c r="C69" s="281"/>
      <c r="D69" s="281"/>
      <c r="E69" s="224"/>
      <c r="F69" s="192"/>
      <c r="G69" s="193"/>
      <c r="H69" s="223"/>
      <c r="I69" s="281"/>
      <c r="J69" s="225"/>
      <c r="K69" s="225"/>
      <c r="L69" s="226"/>
      <c r="M69" s="226"/>
      <c r="N69" s="181">
        <f t="shared" si="0"/>
        <v>0</v>
      </c>
      <c r="O69" s="227"/>
      <c r="P69" s="227"/>
      <c r="Q69" s="223"/>
      <c r="R69" s="781"/>
      <c r="S69" s="781"/>
    </row>
    <row r="70" spans="1:19" ht="15.75" x14ac:dyDescent="0.25">
      <c r="A70" s="223"/>
      <c r="B70" s="281"/>
      <c r="C70" s="281"/>
      <c r="D70" s="281"/>
      <c r="E70" s="224"/>
      <c r="F70" s="192"/>
      <c r="G70" s="193"/>
      <c r="H70" s="223"/>
      <c r="I70" s="281"/>
      <c r="J70" s="225"/>
      <c r="K70" s="225"/>
      <c r="L70" s="226"/>
      <c r="M70" s="226"/>
      <c r="N70" s="181">
        <f t="shared" ref="N70:N133" si="1">M70+L70</f>
        <v>0</v>
      </c>
      <c r="O70" s="227"/>
      <c r="P70" s="227"/>
      <c r="Q70" s="223"/>
      <c r="R70" s="781"/>
      <c r="S70" s="781"/>
    </row>
    <row r="71" spans="1:19" ht="15.75" x14ac:dyDescent="0.25">
      <c r="A71" s="223"/>
      <c r="B71" s="281"/>
      <c r="C71" s="281"/>
      <c r="D71" s="281"/>
      <c r="E71" s="224"/>
      <c r="F71" s="192"/>
      <c r="G71" s="193"/>
      <c r="H71" s="223"/>
      <c r="I71" s="281"/>
      <c r="J71" s="225"/>
      <c r="K71" s="225"/>
      <c r="L71" s="226"/>
      <c r="M71" s="226"/>
      <c r="N71" s="181">
        <f t="shared" si="1"/>
        <v>0</v>
      </c>
      <c r="O71" s="227"/>
      <c r="P71" s="227"/>
      <c r="Q71" s="223"/>
      <c r="R71" s="781"/>
      <c r="S71" s="781"/>
    </row>
    <row r="72" spans="1:19" ht="15.75" x14ac:dyDescent="0.25">
      <c r="A72" s="223"/>
      <c r="B72" s="281"/>
      <c r="C72" s="281"/>
      <c r="D72" s="281"/>
      <c r="E72" s="224"/>
      <c r="F72" s="192"/>
      <c r="G72" s="193"/>
      <c r="H72" s="223"/>
      <c r="I72" s="281"/>
      <c r="J72" s="225"/>
      <c r="K72" s="225"/>
      <c r="L72" s="226"/>
      <c r="M72" s="226"/>
      <c r="N72" s="181">
        <f t="shared" si="1"/>
        <v>0</v>
      </c>
      <c r="O72" s="227"/>
      <c r="P72" s="227"/>
      <c r="Q72" s="223"/>
      <c r="R72" s="781"/>
      <c r="S72" s="781"/>
    </row>
    <row r="73" spans="1:19" ht="15.75" x14ac:dyDescent="0.25">
      <c r="A73" s="223"/>
      <c r="B73" s="281"/>
      <c r="C73" s="281"/>
      <c r="D73" s="281"/>
      <c r="E73" s="224"/>
      <c r="F73" s="192"/>
      <c r="G73" s="193"/>
      <c r="H73" s="223"/>
      <c r="I73" s="281"/>
      <c r="J73" s="225"/>
      <c r="K73" s="225"/>
      <c r="L73" s="226"/>
      <c r="M73" s="226"/>
      <c r="N73" s="181">
        <f t="shared" si="1"/>
        <v>0</v>
      </c>
      <c r="O73" s="227"/>
      <c r="P73" s="227"/>
      <c r="Q73" s="223"/>
      <c r="R73" s="781"/>
      <c r="S73" s="781"/>
    </row>
    <row r="74" spans="1:19" ht="15.75" x14ac:dyDescent="0.25">
      <c r="A74" s="223"/>
      <c r="B74" s="281"/>
      <c r="C74" s="281"/>
      <c r="D74" s="281"/>
      <c r="E74" s="224"/>
      <c r="F74" s="192"/>
      <c r="G74" s="193"/>
      <c r="H74" s="223"/>
      <c r="I74" s="281"/>
      <c r="J74" s="225"/>
      <c r="K74" s="225"/>
      <c r="L74" s="226"/>
      <c r="M74" s="226"/>
      <c r="N74" s="181">
        <f t="shared" si="1"/>
        <v>0</v>
      </c>
      <c r="O74" s="227"/>
      <c r="P74" s="227"/>
      <c r="Q74" s="223"/>
      <c r="R74" s="781"/>
      <c r="S74" s="781"/>
    </row>
    <row r="75" spans="1:19" ht="15.75" x14ac:dyDescent="0.25">
      <c r="A75" s="223"/>
      <c r="B75" s="281"/>
      <c r="C75" s="281"/>
      <c r="D75" s="281"/>
      <c r="E75" s="224"/>
      <c r="F75" s="192"/>
      <c r="G75" s="193"/>
      <c r="H75" s="223"/>
      <c r="I75" s="281"/>
      <c r="J75" s="225"/>
      <c r="K75" s="225"/>
      <c r="L75" s="226"/>
      <c r="M75" s="226"/>
      <c r="N75" s="181">
        <f t="shared" si="1"/>
        <v>0</v>
      </c>
      <c r="O75" s="227"/>
      <c r="P75" s="227"/>
      <c r="Q75" s="223"/>
      <c r="R75" s="781"/>
      <c r="S75" s="781"/>
    </row>
    <row r="76" spans="1:19" ht="15.75" x14ac:dyDescent="0.25">
      <c r="A76" s="223"/>
      <c r="B76" s="281"/>
      <c r="C76" s="281"/>
      <c r="D76" s="281"/>
      <c r="E76" s="224"/>
      <c r="F76" s="192"/>
      <c r="G76" s="193"/>
      <c r="H76" s="223"/>
      <c r="I76" s="281"/>
      <c r="J76" s="225"/>
      <c r="K76" s="225"/>
      <c r="L76" s="226"/>
      <c r="M76" s="226"/>
      <c r="N76" s="181">
        <f t="shared" si="1"/>
        <v>0</v>
      </c>
      <c r="O76" s="227"/>
      <c r="P76" s="227"/>
      <c r="Q76" s="223"/>
      <c r="R76" s="781"/>
      <c r="S76" s="781"/>
    </row>
    <row r="77" spans="1:19" ht="15.75" x14ac:dyDescent="0.25">
      <c r="A77" s="223"/>
      <c r="B77" s="281"/>
      <c r="C77" s="281"/>
      <c r="D77" s="281"/>
      <c r="E77" s="224"/>
      <c r="F77" s="192"/>
      <c r="G77" s="193"/>
      <c r="H77" s="223"/>
      <c r="I77" s="281"/>
      <c r="J77" s="225"/>
      <c r="K77" s="225"/>
      <c r="L77" s="226"/>
      <c r="M77" s="226"/>
      <c r="N77" s="181">
        <f t="shared" si="1"/>
        <v>0</v>
      </c>
      <c r="O77" s="227"/>
      <c r="P77" s="227"/>
      <c r="Q77" s="223"/>
      <c r="R77" s="781"/>
      <c r="S77" s="781"/>
    </row>
    <row r="78" spans="1:19" ht="15.75" x14ac:dyDescent="0.25">
      <c r="A78" s="223"/>
      <c r="B78" s="281"/>
      <c r="C78" s="281"/>
      <c r="D78" s="281"/>
      <c r="E78" s="224"/>
      <c r="F78" s="192"/>
      <c r="G78" s="193"/>
      <c r="H78" s="223"/>
      <c r="I78" s="281"/>
      <c r="J78" s="225"/>
      <c r="K78" s="225"/>
      <c r="L78" s="226"/>
      <c r="M78" s="226"/>
      <c r="N78" s="181">
        <f t="shared" si="1"/>
        <v>0</v>
      </c>
      <c r="O78" s="227"/>
      <c r="P78" s="227"/>
      <c r="Q78" s="223"/>
      <c r="R78" s="781"/>
      <c r="S78" s="781"/>
    </row>
    <row r="79" spans="1:19" ht="15.75" x14ac:dyDescent="0.25">
      <c r="A79" s="223"/>
      <c r="B79" s="281"/>
      <c r="C79" s="281"/>
      <c r="D79" s="281"/>
      <c r="E79" s="224"/>
      <c r="F79" s="192"/>
      <c r="G79" s="193"/>
      <c r="H79" s="223"/>
      <c r="I79" s="281"/>
      <c r="J79" s="225"/>
      <c r="K79" s="225"/>
      <c r="L79" s="226"/>
      <c r="M79" s="226"/>
      <c r="N79" s="181">
        <f t="shared" si="1"/>
        <v>0</v>
      </c>
      <c r="O79" s="227"/>
      <c r="P79" s="227"/>
      <c r="Q79" s="223"/>
      <c r="R79" s="781"/>
      <c r="S79" s="781"/>
    </row>
    <row r="80" spans="1:19" ht="15.75" x14ac:dyDescent="0.25">
      <c r="A80" s="223"/>
      <c r="B80" s="281"/>
      <c r="C80" s="281"/>
      <c r="D80" s="281"/>
      <c r="E80" s="224"/>
      <c r="F80" s="192"/>
      <c r="G80" s="193"/>
      <c r="H80" s="223"/>
      <c r="I80" s="281"/>
      <c r="J80" s="225"/>
      <c r="K80" s="225"/>
      <c r="L80" s="226"/>
      <c r="M80" s="226"/>
      <c r="N80" s="181">
        <f t="shared" si="1"/>
        <v>0</v>
      </c>
      <c r="O80" s="227"/>
      <c r="P80" s="227"/>
      <c r="Q80" s="223"/>
      <c r="R80" s="781"/>
      <c r="S80" s="781"/>
    </row>
    <row r="81" spans="1:19" ht="15.75" x14ac:dyDescent="0.25">
      <c r="A81" s="223"/>
      <c r="B81" s="281"/>
      <c r="C81" s="281"/>
      <c r="D81" s="281"/>
      <c r="E81" s="224"/>
      <c r="F81" s="192"/>
      <c r="G81" s="193"/>
      <c r="H81" s="223"/>
      <c r="I81" s="281"/>
      <c r="J81" s="225"/>
      <c r="K81" s="225"/>
      <c r="L81" s="226"/>
      <c r="M81" s="226"/>
      <c r="N81" s="181">
        <f t="shared" si="1"/>
        <v>0</v>
      </c>
      <c r="O81" s="227"/>
      <c r="P81" s="227"/>
      <c r="Q81" s="223"/>
      <c r="R81" s="781"/>
      <c r="S81" s="781"/>
    </row>
    <row r="82" spans="1:19" ht="15.75" x14ac:dyDescent="0.25">
      <c r="A82" s="223"/>
      <c r="B82" s="281"/>
      <c r="C82" s="281"/>
      <c r="D82" s="281"/>
      <c r="E82" s="224"/>
      <c r="F82" s="192"/>
      <c r="G82" s="193"/>
      <c r="H82" s="223"/>
      <c r="I82" s="281"/>
      <c r="J82" s="225"/>
      <c r="K82" s="225"/>
      <c r="L82" s="226"/>
      <c r="M82" s="226"/>
      <c r="N82" s="181">
        <f t="shared" si="1"/>
        <v>0</v>
      </c>
      <c r="O82" s="227"/>
      <c r="P82" s="227"/>
      <c r="Q82" s="223"/>
      <c r="R82" s="781"/>
      <c r="S82" s="781"/>
    </row>
    <row r="83" spans="1:19" ht="15.75" x14ac:dyDescent="0.25">
      <c r="A83" s="223"/>
      <c r="B83" s="281"/>
      <c r="C83" s="281"/>
      <c r="D83" s="281"/>
      <c r="E83" s="224"/>
      <c r="F83" s="192"/>
      <c r="G83" s="193"/>
      <c r="H83" s="223"/>
      <c r="I83" s="281"/>
      <c r="J83" s="225"/>
      <c r="K83" s="225"/>
      <c r="L83" s="226"/>
      <c r="M83" s="226"/>
      <c r="N83" s="181">
        <f t="shared" si="1"/>
        <v>0</v>
      </c>
      <c r="O83" s="227"/>
      <c r="P83" s="227"/>
      <c r="Q83" s="223"/>
      <c r="R83" s="781"/>
      <c r="S83" s="781"/>
    </row>
    <row r="84" spans="1:19" ht="15.75" x14ac:dyDescent="0.25">
      <c r="A84" s="223"/>
      <c r="B84" s="281"/>
      <c r="C84" s="281"/>
      <c r="D84" s="281"/>
      <c r="E84" s="224"/>
      <c r="F84" s="192"/>
      <c r="G84" s="193"/>
      <c r="H84" s="223"/>
      <c r="I84" s="281"/>
      <c r="J84" s="225"/>
      <c r="K84" s="225"/>
      <c r="L84" s="226"/>
      <c r="M84" s="226"/>
      <c r="N84" s="181">
        <f t="shared" si="1"/>
        <v>0</v>
      </c>
      <c r="O84" s="227"/>
      <c r="P84" s="227"/>
      <c r="Q84" s="223"/>
      <c r="R84" s="781"/>
      <c r="S84" s="781"/>
    </row>
    <row r="85" spans="1:19" ht="15.75" x14ac:dyDescent="0.25">
      <c r="A85" s="223"/>
      <c r="B85" s="281"/>
      <c r="C85" s="281"/>
      <c r="D85" s="281"/>
      <c r="E85" s="224"/>
      <c r="F85" s="192"/>
      <c r="G85" s="193"/>
      <c r="H85" s="223"/>
      <c r="I85" s="281"/>
      <c r="J85" s="225"/>
      <c r="K85" s="225"/>
      <c r="L85" s="226"/>
      <c r="M85" s="226"/>
      <c r="N85" s="181">
        <f t="shared" si="1"/>
        <v>0</v>
      </c>
      <c r="O85" s="227"/>
      <c r="P85" s="227"/>
      <c r="Q85" s="223"/>
      <c r="R85" s="781"/>
      <c r="S85" s="781"/>
    </row>
    <row r="86" spans="1:19" ht="15.75" x14ac:dyDescent="0.25">
      <c r="A86" s="223"/>
      <c r="B86" s="281"/>
      <c r="C86" s="281"/>
      <c r="D86" s="281"/>
      <c r="E86" s="224"/>
      <c r="F86" s="192"/>
      <c r="G86" s="193"/>
      <c r="H86" s="223"/>
      <c r="I86" s="281"/>
      <c r="J86" s="225"/>
      <c r="K86" s="225"/>
      <c r="L86" s="226"/>
      <c r="M86" s="226"/>
      <c r="N86" s="181">
        <f t="shared" si="1"/>
        <v>0</v>
      </c>
      <c r="O86" s="227"/>
      <c r="P86" s="227"/>
      <c r="Q86" s="223"/>
      <c r="R86" s="781"/>
      <c r="S86" s="781"/>
    </row>
    <row r="87" spans="1:19" ht="15.75" x14ac:dyDescent="0.25">
      <c r="A87" s="223"/>
      <c r="B87" s="281"/>
      <c r="C87" s="281"/>
      <c r="D87" s="281"/>
      <c r="E87" s="224"/>
      <c r="F87" s="192"/>
      <c r="G87" s="193"/>
      <c r="H87" s="223"/>
      <c r="I87" s="281"/>
      <c r="J87" s="225"/>
      <c r="K87" s="225"/>
      <c r="L87" s="226"/>
      <c r="M87" s="226"/>
      <c r="N87" s="181">
        <f t="shared" si="1"/>
        <v>0</v>
      </c>
      <c r="O87" s="227"/>
      <c r="P87" s="227"/>
      <c r="Q87" s="223"/>
      <c r="R87" s="781"/>
      <c r="S87" s="781"/>
    </row>
    <row r="88" spans="1:19" ht="15.75" x14ac:dyDescent="0.25">
      <c r="A88" s="223"/>
      <c r="B88" s="281"/>
      <c r="C88" s="281"/>
      <c r="D88" s="281"/>
      <c r="E88" s="224"/>
      <c r="F88" s="192"/>
      <c r="G88" s="193"/>
      <c r="H88" s="223"/>
      <c r="I88" s="281"/>
      <c r="J88" s="225"/>
      <c r="K88" s="225"/>
      <c r="L88" s="226"/>
      <c r="M88" s="226"/>
      <c r="N88" s="181">
        <f t="shared" si="1"/>
        <v>0</v>
      </c>
      <c r="O88" s="227"/>
      <c r="P88" s="227"/>
      <c r="Q88" s="223"/>
      <c r="R88" s="781"/>
      <c r="S88" s="781"/>
    </row>
    <row r="89" spans="1:19" ht="15.75" x14ac:dyDescent="0.25">
      <c r="A89" s="223"/>
      <c r="B89" s="281"/>
      <c r="C89" s="281"/>
      <c r="D89" s="281"/>
      <c r="E89" s="224"/>
      <c r="F89" s="192"/>
      <c r="G89" s="193"/>
      <c r="H89" s="223"/>
      <c r="I89" s="281"/>
      <c r="J89" s="225"/>
      <c r="K89" s="225"/>
      <c r="L89" s="226"/>
      <c r="M89" s="226"/>
      <c r="N89" s="181">
        <f t="shared" si="1"/>
        <v>0</v>
      </c>
      <c r="O89" s="227"/>
      <c r="P89" s="227"/>
      <c r="Q89" s="223"/>
      <c r="R89" s="781"/>
      <c r="S89" s="781"/>
    </row>
    <row r="90" spans="1:19" ht="15.75" x14ac:dyDescent="0.25">
      <c r="A90" s="223"/>
      <c r="B90" s="281"/>
      <c r="C90" s="281"/>
      <c r="D90" s="281"/>
      <c r="E90" s="224"/>
      <c r="F90" s="192"/>
      <c r="G90" s="193"/>
      <c r="H90" s="223"/>
      <c r="I90" s="281"/>
      <c r="J90" s="225"/>
      <c r="K90" s="225"/>
      <c r="L90" s="226"/>
      <c r="M90" s="226"/>
      <c r="N90" s="181">
        <f t="shared" si="1"/>
        <v>0</v>
      </c>
      <c r="O90" s="227"/>
      <c r="P90" s="227"/>
      <c r="Q90" s="223"/>
      <c r="R90" s="781"/>
      <c r="S90" s="781"/>
    </row>
    <row r="91" spans="1:19" ht="15.75" x14ac:dyDescent="0.25">
      <c r="A91" s="223"/>
      <c r="B91" s="281"/>
      <c r="C91" s="281"/>
      <c r="D91" s="281"/>
      <c r="E91" s="224"/>
      <c r="F91" s="192"/>
      <c r="G91" s="193"/>
      <c r="H91" s="223"/>
      <c r="I91" s="281"/>
      <c r="J91" s="225"/>
      <c r="K91" s="225"/>
      <c r="L91" s="226"/>
      <c r="M91" s="226"/>
      <c r="N91" s="181">
        <f t="shared" si="1"/>
        <v>0</v>
      </c>
      <c r="O91" s="227"/>
      <c r="P91" s="227"/>
      <c r="Q91" s="223"/>
      <c r="R91" s="781"/>
      <c r="S91" s="781"/>
    </row>
    <row r="92" spans="1:19" ht="15.75" x14ac:dyDescent="0.25">
      <c r="A92" s="223"/>
      <c r="B92" s="281"/>
      <c r="C92" s="281"/>
      <c r="D92" s="281"/>
      <c r="E92" s="224"/>
      <c r="F92" s="192"/>
      <c r="G92" s="193"/>
      <c r="H92" s="223"/>
      <c r="I92" s="281"/>
      <c r="J92" s="225"/>
      <c r="K92" s="225"/>
      <c r="L92" s="226"/>
      <c r="M92" s="226"/>
      <c r="N92" s="181">
        <f t="shared" si="1"/>
        <v>0</v>
      </c>
      <c r="O92" s="227"/>
      <c r="P92" s="227"/>
      <c r="Q92" s="223"/>
      <c r="R92" s="781"/>
      <c r="S92" s="781"/>
    </row>
    <row r="93" spans="1:19" ht="15.75" x14ac:dyDescent="0.25">
      <c r="A93" s="223"/>
      <c r="B93" s="281"/>
      <c r="C93" s="281"/>
      <c r="D93" s="281"/>
      <c r="E93" s="224"/>
      <c r="F93" s="192"/>
      <c r="G93" s="193"/>
      <c r="H93" s="223"/>
      <c r="I93" s="281"/>
      <c r="J93" s="225"/>
      <c r="K93" s="225"/>
      <c r="L93" s="226"/>
      <c r="M93" s="226"/>
      <c r="N93" s="181">
        <f t="shared" si="1"/>
        <v>0</v>
      </c>
      <c r="O93" s="227"/>
      <c r="P93" s="227"/>
      <c r="Q93" s="223"/>
      <c r="R93" s="781"/>
      <c r="S93" s="781"/>
    </row>
    <row r="94" spans="1:19" ht="15.75" x14ac:dyDescent="0.25">
      <c r="A94" s="223"/>
      <c r="B94" s="281"/>
      <c r="C94" s="281"/>
      <c r="D94" s="281"/>
      <c r="E94" s="224"/>
      <c r="F94" s="192"/>
      <c r="G94" s="193"/>
      <c r="H94" s="223"/>
      <c r="I94" s="281"/>
      <c r="J94" s="225"/>
      <c r="K94" s="225"/>
      <c r="L94" s="226"/>
      <c r="M94" s="226"/>
      <c r="N94" s="181">
        <f t="shared" si="1"/>
        <v>0</v>
      </c>
      <c r="O94" s="227"/>
      <c r="P94" s="227"/>
      <c r="Q94" s="223"/>
      <c r="R94" s="781"/>
      <c r="S94" s="781"/>
    </row>
    <row r="95" spans="1:19" ht="15.75" x14ac:dyDescent="0.25">
      <c r="A95" s="223"/>
      <c r="B95" s="281"/>
      <c r="C95" s="281"/>
      <c r="D95" s="281"/>
      <c r="E95" s="224"/>
      <c r="F95" s="192"/>
      <c r="G95" s="193"/>
      <c r="H95" s="223"/>
      <c r="I95" s="281"/>
      <c r="J95" s="225"/>
      <c r="K95" s="225"/>
      <c r="L95" s="226"/>
      <c r="M95" s="226"/>
      <c r="N95" s="181">
        <f t="shared" si="1"/>
        <v>0</v>
      </c>
      <c r="O95" s="227"/>
      <c r="P95" s="227"/>
      <c r="Q95" s="223"/>
      <c r="R95" s="781"/>
      <c r="S95" s="781"/>
    </row>
    <row r="96" spans="1:19" ht="15.75" x14ac:dyDescent="0.25">
      <c r="A96" s="223"/>
      <c r="B96" s="281"/>
      <c r="C96" s="281"/>
      <c r="D96" s="281"/>
      <c r="E96" s="224"/>
      <c r="F96" s="192"/>
      <c r="G96" s="193"/>
      <c r="H96" s="223"/>
      <c r="I96" s="281"/>
      <c r="J96" s="225"/>
      <c r="K96" s="225"/>
      <c r="L96" s="226"/>
      <c r="M96" s="226"/>
      <c r="N96" s="181">
        <f t="shared" si="1"/>
        <v>0</v>
      </c>
      <c r="O96" s="227"/>
      <c r="P96" s="227"/>
      <c r="Q96" s="223"/>
      <c r="R96" s="781"/>
      <c r="S96" s="781"/>
    </row>
    <row r="97" spans="1:19" ht="15.75" x14ac:dyDescent="0.25">
      <c r="A97" s="223"/>
      <c r="B97" s="281"/>
      <c r="C97" s="281"/>
      <c r="D97" s="281"/>
      <c r="E97" s="224"/>
      <c r="F97" s="192"/>
      <c r="G97" s="193"/>
      <c r="H97" s="223"/>
      <c r="I97" s="281"/>
      <c r="J97" s="225"/>
      <c r="K97" s="225"/>
      <c r="L97" s="226"/>
      <c r="M97" s="226"/>
      <c r="N97" s="181">
        <f t="shared" si="1"/>
        <v>0</v>
      </c>
      <c r="O97" s="227"/>
      <c r="P97" s="227"/>
      <c r="Q97" s="223"/>
      <c r="R97" s="781"/>
      <c r="S97" s="781"/>
    </row>
    <row r="98" spans="1:19" ht="15.75" x14ac:dyDescent="0.25">
      <c r="A98" s="223"/>
      <c r="B98" s="281"/>
      <c r="C98" s="281"/>
      <c r="D98" s="281"/>
      <c r="E98" s="224"/>
      <c r="F98" s="192"/>
      <c r="G98" s="193"/>
      <c r="H98" s="223"/>
      <c r="I98" s="281"/>
      <c r="J98" s="225"/>
      <c r="K98" s="225"/>
      <c r="L98" s="226"/>
      <c r="M98" s="226"/>
      <c r="N98" s="181">
        <f t="shared" si="1"/>
        <v>0</v>
      </c>
      <c r="O98" s="227"/>
      <c r="P98" s="227"/>
      <c r="Q98" s="223"/>
      <c r="R98" s="781"/>
      <c r="S98" s="781"/>
    </row>
    <row r="99" spans="1:19" ht="15.75" x14ac:dyDescent="0.25">
      <c r="A99" s="223"/>
      <c r="B99" s="281"/>
      <c r="C99" s="281"/>
      <c r="D99" s="281"/>
      <c r="E99" s="224"/>
      <c r="F99" s="192"/>
      <c r="G99" s="193"/>
      <c r="H99" s="223"/>
      <c r="I99" s="281"/>
      <c r="J99" s="225"/>
      <c r="K99" s="225"/>
      <c r="L99" s="226"/>
      <c r="M99" s="226"/>
      <c r="N99" s="181">
        <f t="shared" si="1"/>
        <v>0</v>
      </c>
      <c r="O99" s="227"/>
      <c r="P99" s="227"/>
      <c r="Q99" s="223"/>
      <c r="R99" s="781"/>
      <c r="S99" s="781"/>
    </row>
    <row r="100" spans="1:19" ht="15.75" x14ac:dyDescent="0.25">
      <c r="A100" s="223"/>
      <c r="B100" s="281"/>
      <c r="C100" s="281"/>
      <c r="D100" s="281"/>
      <c r="E100" s="224"/>
      <c r="F100" s="192"/>
      <c r="G100" s="193"/>
      <c r="H100" s="223"/>
      <c r="I100" s="281"/>
      <c r="J100" s="225"/>
      <c r="K100" s="225"/>
      <c r="L100" s="226"/>
      <c r="M100" s="226"/>
      <c r="N100" s="181">
        <f t="shared" si="1"/>
        <v>0</v>
      </c>
      <c r="O100" s="227"/>
      <c r="P100" s="227"/>
      <c r="Q100" s="223"/>
      <c r="R100" s="781"/>
      <c r="S100" s="781"/>
    </row>
    <row r="101" spans="1:19" ht="15.75" x14ac:dyDescent="0.25">
      <c r="A101" s="223"/>
      <c r="B101" s="281"/>
      <c r="C101" s="281"/>
      <c r="D101" s="281"/>
      <c r="E101" s="224"/>
      <c r="F101" s="192"/>
      <c r="G101" s="193"/>
      <c r="H101" s="223"/>
      <c r="I101" s="281"/>
      <c r="J101" s="225"/>
      <c r="K101" s="225"/>
      <c r="L101" s="226"/>
      <c r="M101" s="226"/>
      <c r="N101" s="181">
        <f t="shared" si="1"/>
        <v>0</v>
      </c>
      <c r="O101" s="227"/>
      <c r="P101" s="227"/>
      <c r="Q101" s="223"/>
      <c r="R101" s="781"/>
      <c r="S101" s="781"/>
    </row>
    <row r="102" spans="1:19" ht="15.75" x14ac:dyDescent="0.25">
      <c r="A102" s="223"/>
      <c r="B102" s="281"/>
      <c r="C102" s="281"/>
      <c r="D102" s="281"/>
      <c r="E102" s="224"/>
      <c r="F102" s="192"/>
      <c r="G102" s="193"/>
      <c r="H102" s="223"/>
      <c r="I102" s="281"/>
      <c r="J102" s="225"/>
      <c r="K102" s="225"/>
      <c r="L102" s="226"/>
      <c r="M102" s="226"/>
      <c r="N102" s="181">
        <f t="shared" si="1"/>
        <v>0</v>
      </c>
      <c r="O102" s="227"/>
      <c r="P102" s="227"/>
      <c r="Q102" s="223"/>
      <c r="R102" s="781"/>
      <c r="S102" s="781"/>
    </row>
    <row r="103" spans="1:19" ht="15.75" x14ac:dyDescent="0.25">
      <c r="A103" s="223"/>
      <c r="B103" s="281"/>
      <c r="C103" s="281"/>
      <c r="D103" s="281"/>
      <c r="E103" s="224"/>
      <c r="F103" s="192"/>
      <c r="G103" s="193"/>
      <c r="H103" s="223"/>
      <c r="I103" s="281"/>
      <c r="J103" s="225"/>
      <c r="K103" s="225"/>
      <c r="L103" s="226"/>
      <c r="M103" s="226"/>
      <c r="N103" s="181">
        <f t="shared" si="1"/>
        <v>0</v>
      </c>
      <c r="O103" s="227"/>
      <c r="P103" s="227"/>
      <c r="Q103" s="223"/>
      <c r="R103" s="781"/>
      <c r="S103" s="781"/>
    </row>
    <row r="104" spans="1:19" ht="15.75" x14ac:dyDescent="0.25">
      <c r="A104" s="223"/>
      <c r="B104" s="281"/>
      <c r="C104" s="281"/>
      <c r="D104" s="281"/>
      <c r="E104" s="224"/>
      <c r="F104" s="192"/>
      <c r="G104" s="193"/>
      <c r="H104" s="223"/>
      <c r="I104" s="281"/>
      <c r="J104" s="225"/>
      <c r="K104" s="225"/>
      <c r="L104" s="226"/>
      <c r="M104" s="226"/>
      <c r="N104" s="181">
        <f t="shared" si="1"/>
        <v>0</v>
      </c>
      <c r="O104" s="227"/>
      <c r="P104" s="227"/>
      <c r="Q104" s="223"/>
      <c r="R104" s="781"/>
      <c r="S104" s="781"/>
    </row>
    <row r="105" spans="1:19" ht="15.75" x14ac:dyDescent="0.25">
      <c r="A105" s="223"/>
      <c r="B105" s="281"/>
      <c r="C105" s="281"/>
      <c r="D105" s="281"/>
      <c r="E105" s="224"/>
      <c r="F105" s="192"/>
      <c r="G105" s="193"/>
      <c r="H105" s="223"/>
      <c r="I105" s="281"/>
      <c r="J105" s="225"/>
      <c r="K105" s="225"/>
      <c r="L105" s="226"/>
      <c r="M105" s="226"/>
      <c r="N105" s="181">
        <f t="shared" si="1"/>
        <v>0</v>
      </c>
      <c r="O105" s="227"/>
      <c r="P105" s="227"/>
      <c r="Q105" s="223"/>
      <c r="R105" s="781"/>
      <c r="S105" s="781"/>
    </row>
    <row r="106" spans="1:19" ht="15.75" x14ac:dyDescent="0.25">
      <c r="A106" s="223"/>
      <c r="B106" s="281"/>
      <c r="C106" s="281"/>
      <c r="D106" s="281"/>
      <c r="E106" s="224"/>
      <c r="F106" s="192"/>
      <c r="G106" s="193"/>
      <c r="H106" s="223"/>
      <c r="I106" s="281"/>
      <c r="J106" s="225"/>
      <c r="K106" s="225"/>
      <c r="L106" s="226"/>
      <c r="M106" s="226"/>
      <c r="N106" s="181">
        <f t="shared" si="1"/>
        <v>0</v>
      </c>
      <c r="O106" s="227"/>
      <c r="P106" s="227"/>
      <c r="Q106" s="223"/>
      <c r="R106" s="781"/>
      <c r="S106" s="781"/>
    </row>
    <row r="107" spans="1:19" ht="15.75" x14ac:dyDescent="0.25">
      <c r="A107" s="223"/>
      <c r="B107" s="281"/>
      <c r="C107" s="281"/>
      <c r="D107" s="281"/>
      <c r="E107" s="224"/>
      <c r="F107" s="192"/>
      <c r="G107" s="193"/>
      <c r="H107" s="223"/>
      <c r="I107" s="281"/>
      <c r="J107" s="225"/>
      <c r="K107" s="225"/>
      <c r="L107" s="226"/>
      <c r="M107" s="226"/>
      <c r="N107" s="181">
        <f t="shared" si="1"/>
        <v>0</v>
      </c>
      <c r="O107" s="227"/>
      <c r="P107" s="227"/>
      <c r="Q107" s="223"/>
      <c r="R107" s="781"/>
      <c r="S107" s="781"/>
    </row>
    <row r="108" spans="1:19" ht="15.75" x14ac:dyDescent="0.25">
      <c r="A108" s="223"/>
      <c r="B108" s="281"/>
      <c r="C108" s="281"/>
      <c r="D108" s="281"/>
      <c r="E108" s="224"/>
      <c r="F108" s="192"/>
      <c r="G108" s="193"/>
      <c r="H108" s="223"/>
      <c r="I108" s="281"/>
      <c r="J108" s="225"/>
      <c r="K108" s="225"/>
      <c r="L108" s="226"/>
      <c r="M108" s="226"/>
      <c r="N108" s="181">
        <f t="shared" si="1"/>
        <v>0</v>
      </c>
      <c r="O108" s="227"/>
      <c r="P108" s="227"/>
      <c r="Q108" s="223"/>
      <c r="R108" s="781"/>
      <c r="S108" s="781"/>
    </row>
    <row r="109" spans="1:19" ht="15.75" x14ac:dyDescent="0.25">
      <c r="A109" s="223"/>
      <c r="B109" s="281"/>
      <c r="C109" s="281"/>
      <c r="D109" s="281"/>
      <c r="E109" s="224"/>
      <c r="F109" s="192"/>
      <c r="G109" s="193"/>
      <c r="H109" s="223"/>
      <c r="I109" s="281"/>
      <c r="J109" s="225"/>
      <c r="K109" s="225"/>
      <c r="L109" s="226"/>
      <c r="M109" s="226"/>
      <c r="N109" s="181">
        <f t="shared" si="1"/>
        <v>0</v>
      </c>
      <c r="O109" s="227"/>
      <c r="P109" s="227"/>
      <c r="Q109" s="223"/>
      <c r="R109" s="781"/>
      <c r="S109" s="781"/>
    </row>
    <row r="110" spans="1:19" ht="15.75" x14ac:dyDescent="0.25">
      <c r="A110" s="223"/>
      <c r="B110" s="281"/>
      <c r="C110" s="281"/>
      <c r="D110" s="281"/>
      <c r="E110" s="224"/>
      <c r="F110" s="192"/>
      <c r="G110" s="193"/>
      <c r="H110" s="223"/>
      <c r="I110" s="281"/>
      <c r="J110" s="225"/>
      <c r="K110" s="225"/>
      <c r="L110" s="226"/>
      <c r="M110" s="226"/>
      <c r="N110" s="181">
        <f t="shared" si="1"/>
        <v>0</v>
      </c>
      <c r="O110" s="227"/>
      <c r="P110" s="227"/>
      <c r="Q110" s="223"/>
      <c r="R110" s="781"/>
      <c r="S110" s="781"/>
    </row>
    <row r="111" spans="1:19" ht="15.75" x14ac:dyDescent="0.25">
      <c r="A111" s="223"/>
      <c r="B111" s="281"/>
      <c r="C111" s="281"/>
      <c r="D111" s="281"/>
      <c r="E111" s="224"/>
      <c r="F111" s="192"/>
      <c r="G111" s="193"/>
      <c r="H111" s="223"/>
      <c r="I111" s="281"/>
      <c r="J111" s="225"/>
      <c r="K111" s="225"/>
      <c r="L111" s="226"/>
      <c r="M111" s="226"/>
      <c r="N111" s="181">
        <f t="shared" si="1"/>
        <v>0</v>
      </c>
      <c r="O111" s="227"/>
      <c r="P111" s="227"/>
      <c r="Q111" s="223"/>
      <c r="R111" s="781"/>
      <c r="S111" s="781"/>
    </row>
    <row r="112" spans="1:19" ht="15.75" x14ac:dyDescent="0.25">
      <c r="A112" s="223"/>
      <c r="B112" s="281"/>
      <c r="C112" s="281"/>
      <c r="D112" s="281"/>
      <c r="E112" s="224"/>
      <c r="F112" s="192"/>
      <c r="G112" s="193"/>
      <c r="H112" s="223"/>
      <c r="I112" s="281"/>
      <c r="J112" s="225"/>
      <c r="K112" s="225"/>
      <c r="L112" s="226"/>
      <c r="M112" s="226"/>
      <c r="N112" s="181">
        <f t="shared" si="1"/>
        <v>0</v>
      </c>
      <c r="O112" s="227"/>
      <c r="P112" s="227"/>
      <c r="Q112" s="223"/>
      <c r="R112" s="781"/>
      <c r="S112" s="781"/>
    </row>
    <row r="113" spans="1:19" ht="15.75" x14ac:dyDescent="0.25">
      <c r="A113" s="223"/>
      <c r="B113" s="281"/>
      <c r="C113" s="281"/>
      <c r="D113" s="281"/>
      <c r="E113" s="224"/>
      <c r="F113" s="192"/>
      <c r="G113" s="193"/>
      <c r="H113" s="223"/>
      <c r="I113" s="281"/>
      <c r="J113" s="225"/>
      <c r="K113" s="225"/>
      <c r="L113" s="226"/>
      <c r="M113" s="226"/>
      <c r="N113" s="181">
        <f t="shared" si="1"/>
        <v>0</v>
      </c>
      <c r="O113" s="227"/>
      <c r="P113" s="227"/>
      <c r="Q113" s="223"/>
      <c r="R113" s="781"/>
      <c r="S113" s="781"/>
    </row>
    <row r="114" spans="1:19" ht="15.75" x14ac:dyDescent="0.25">
      <c r="A114" s="223"/>
      <c r="B114" s="281"/>
      <c r="C114" s="281"/>
      <c r="D114" s="281"/>
      <c r="E114" s="224"/>
      <c r="F114" s="192"/>
      <c r="G114" s="193"/>
      <c r="H114" s="223"/>
      <c r="I114" s="281"/>
      <c r="J114" s="225"/>
      <c r="K114" s="225"/>
      <c r="L114" s="226"/>
      <c r="M114" s="226"/>
      <c r="N114" s="181">
        <f t="shared" si="1"/>
        <v>0</v>
      </c>
      <c r="O114" s="227"/>
      <c r="P114" s="227"/>
      <c r="Q114" s="223"/>
      <c r="R114" s="781"/>
      <c r="S114" s="781"/>
    </row>
    <row r="115" spans="1:19" ht="15.75" x14ac:dyDescent="0.25">
      <c r="A115" s="223"/>
      <c r="B115" s="281"/>
      <c r="C115" s="281"/>
      <c r="D115" s="281"/>
      <c r="E115" s="224"/>
      <c r="F115" s="192"/>
      <c r="G115" s="193"/>
      <c r="H115" s="223"/>
      <c r="I115" s="281"/>
      <c r="J115" s="225"/>
      <c r="K115" s="225"/>
      <c r="L115" s="226"/>
      <c r="M115" s="226"/>
      <c r="N115" s="181">
        <f t="shared" si="1"/>
        <v>0</v>
      </c>
      <c r="O115" s="227"/>
      <c r="P115" s="227"/>
      <c r="Q115" s="223"/>
      <c r="R115" s="781"/>
      <c r="S115" s="781"/>
    </row>
    <row r="116" spans="1:19" ht="15.75" x14ac:dyDescent="0.25">
      <c r="A116" s="223"/>
      <c r="B116" s="281"/>
      <c r="C116" s="281"/>
      <c r="D116" s="281"/>
      <c r="E116" s="224"/>
      <c r="F116" s="192"/>
      <c r="G116" s="193"/>
      <c r="H116" s="223"/>
      <c r="I116" s="281"/>
      <c r="J116" s="225"/>
      <c r="K116" s="225"/>
      <c r="L116" s="226"/>
      <c r="M116" s="226"/>
      <c r="N116" s="181">
        <f t="shared" si="1"/>
        <v>0</v>
      </c>
      <c r="O116" s="227"/>
      <c r="P116" s="227"/>
      <c r="Q116" s="223"/>
      <c r="R116" s="781"/>
      <c r="S116" s="781"/>
    </row>
    <row r="117" spans="1:19" ht="15.75" x14ac:dyDescent="0.25">
      <c r="A117" s="223"/>
      <c r="B117" s="281"/>
      <c r="C117" s="281"/>
      <c r="D117" s="281"/>
      <c r="E117" s="224"/>
      <c r="F117" s="192"/>
      <c r="G117" s="193"/>
      <c r="H117" s="223"/>
      <c r="I117" s="281"/>
      <c r="J117" s="225"/>
      <c r="K117" s="225"/>
      <c r="L117" s="226"/>
      <c r="M117" s="226"/>
      <c r="N117" s="181">
        <f t="shared" si="1"/>
        <v>0</v>
      </c>
      <c r="O117" s="227"/>
      <c r="P117" s="227"/>
      <c r="Q117" s="223"/>
      <c r="R117" s="781"/>
      <c r="S117" s="781"/>
    </row>
    <row r="118" spans="1:19" ht="15.75" x14ac:dyDescent="0.25">
      <c r="A118" s="223"/>
      <c r="B118" s="281"/>
      <c r="C118" s="281"/>
      <c r="D118" s="281"/>
      <c r="E118" s="224"/>
      <c r="F118" s="192"/>
      <c r="G118" s="193"/>
      <c r="H118" s="223"/>
      <c r="I118" s="281"/>
      <c r="J118" s="225"/>
      <c r="K118" s="225"/>
      <c r="L118" s="226"/>
      <c r="M118" s="226"/>
      <c r="N118" s="181">
        <f t="shared" si="1"/>
        <v>0</v>
      </c>
      <c r="O118" s="227"/>
      <c r="P118" s="227"/>
      <c r="Q118" s="223"/>
      <c r="R118" s="781"/>
      <c r="S118" s="781"/>
    </row>
    <row r="119" spans="1:19" ht="15.75" x14ac:dyDescent="0.25">
      <c r="A119" s="223"/>
      <c r="B119" s="281"/>
      <c r="C119" s="281"/>
      <c r="D119" s="281"/>
      <c r="E119" s="224"/>
      <c r="F119" s="192"/>
      <c r="G119" s="193"/>
      <c r="H119" s="223"/>
      <c r="I119" s="281"/>
      <c r="J119" s="225"/>
      <c r="K119" s="225"/>
      <c r="L119" s="226"/>
      <c r="M119" s="226"/>
      <c r="N119" s="181">
        <f t="shared" si="1"/>
        <v>0</v>
      </c>
      <c r="O119" s="227"/>
      <c r="P119" s="227"/>
      <c r="Q119" s="223"/>
      <c r="R119" s="781"/>
      <c r="S119" s="781"/>
    </row>
    <row r="120" spans="1:19" ht="15.75" x14ac:dyDescent="0.25">
      <c r="A120" s="223"/>
      <c r="B120" s="281"/>
      <c r="C120" s="281"/>
      <c r="D120" s="281"/>
      <c r="E120" s="224"/>
      <c r="F120" s="192"/>
      <c r="G120" s="193"/>
      <c r="H120" s="223"/>
      <c r="I120" s="281"/>
      <c r="J120" s="225"/>
      <c r="K120" s="225"/>
      <c r="L120" s="226"/>
      <c r="M120" s="226"/>
      <c r="N120" s="181">
        <f t="shared" si="1"/>
        <v>0</v>
      </c>
      <c r="O120" s="227"/>
      <c r="P120" s="227"/>
      <c r="Q120" s="223"/>
      <c r="R120" s="781"/>
      <c r="S120" s="781"/>
    </row>
    <row r="121" spans="1:19" ht="15.75" x14ac:dyDescent="0.25">
      <c r="A121" s="223"/>
      <c r="B121" s="281"/>
      <c r="C121" s="281"/>
      <c r="D121" s="281"/>
      <c r="E121" s="224"/>
      <c r="F121" s="192"/>
      <c r="G121" s="193"/>
      <c r="H121" s="223"/>
      <c r="I121" s="281"/>
      <c r="J121" s="225"/>
      <c r="K121" s="225"/>
      <c r="L121" s="226"/>
      <c r="M121" s="226"/>
      <c r="N121" s="181">
        <f t="shared" si="1"/>
        <v>0</v>
      </c>
      <c r="O121" s="227"/>
      <c r="P121" s="227"/>
      <c r="Q121" s="223"/>
      <c r="R121" s="781"/>
      <c r="S121" s="781"/>
    </row>
    <row r="122" spans="1:19" ht="15.75" x14ac:dyDescent="0.25">
      <c r="A122" s="223"/>
      <c r="B122" s="281"/>
      <c r="C122" s="281"/>
      <c r="D122" s="281"/>
      <c r="E122" s="224"/>
      <c r="F122" s="192"/>
      <c r="G122" s="193"/>
      <c r="H122" s="223"/>
      <c r="I122" s="281"/>
      <c r="J122" s="225"/>
      <c r="K122" s="225"/>
      <c r="L122" s="226"/>
      <c r="M122" s="226"/>
      <c r="N122" s="181">
        <f t="shared" si="1"/>
        <v>0</v>
      </c>
      <c r="O122" s="227"/>
      <c r="P122" s="227"/>
      <c r="Q122" s="223"/>
      <c r="R122" s="781"/>
      <c r="S122" s="781"/>
    </row>
    <row r="123" spans="1:19" ht="15.75" x14ac:dyDescent="0.25">
      <c r="A123" s="223"/>
      <c r="B123" s="281"/>
      <c r="C123" s="281"/>
      <c r="D123" s="281"/>
      <c r="E123" s="224"/>
      <c r="F123" s="192"/>
      <c r="G123" s="193"/>
      <c r="H123" s="223"/>
      <c r="I123" s="281"/>
      <c r="J123" s="225"/>
      <c r="K123" s="225"/>
      <c r="L123" s="226"/>
      <c r="M123" s="226"/>
      <c r="N123" s="181">
        <f t="shared" si="1"/>
        <v>0</v>
      </c>
      <c r="O123" s="227"/>
      <c r="P123" s="227"/>
      <c r="Q123" s="223"/>
      <c r="R123" s="781"/>
      <c r="S123" s="781"/>
    </row>
    <row r="124" spans="1:19" ht="15.75" x14ac:dyDescent="0.25">
      <c r="A124" s="223"/>
      <c r="B124" s="281"/>
      <c r="C124" s="281"/>
      <c r="D124" s="281"/>
      <c r="E124" s="224"/>
      <c r="F124" s="192"/>
      <c r="G124" s="193"/>
      <c r="H124" s="223"/>
      <c r="I124" s="281"/>
      <c r="J124" s="225"/>
      <c r="K124" s="225"/>
      <c r="L124" s="226"/>
      <c r="M124" s="226"/>
      <c r="N124" s="181">
        <f t="shared" si="1"/>
        <v>0</v>
      </c>
      <c r="O124" s="227"/>
      <c r="P124" s="227"/>
      <c r="Q124" s="223"/>
      <c r="R124" s="781"/>
      <c r="S124" s="781"/>
    </row>
    <row r="125" spans="1:19" ht="15.75" x14ac:dyDescent="0.25">
      <c r="A125" s="223"/>
      <c r="B125" s="281"/>
      <c r="C125" s="281"/>
      <c r="D125" s="281"/>
      <c r="E125" s="224"/>
      <c r="F125" s="192"/>
      <c r="G125" s="193"/>
      <c r="H125" s="223"/>
      <c r="I125" s="281"/>
      <c r="J125" s="225"/>
      <c r="K125" s="225"/>
      <c r="L125" s="226"/>
      <c r="M125" s="226"/>
      <c r="N125" s="181">
        <f t="shared" si="1"/>
        <v>0</v>
      </c>
      <c r="O125" s="227"/>
      <c r="P125" s="227"/>
      <c r="Q125" s="223"/>
      <c r="R125" s="781"/>
      <c r="S125" s="781"/>
    </row>
    <row r="126" spans="1:19" ht="15.75" x14ac:dyDescent="0.25">
      <c r="A126" s="223"/>
      <c r="B126" s="281"/>
      <c r="C126" s="281"/>
      <c r="D126" s="281"/>
      <c r="E126" s="224"/>
      <c r="F126" s="192"/>
      <c r="G126" s="193"/>
      <c r="H126" s="223"/>
      <c r="I126" s="281"/>
      <c r="J126" s="225"/>
      <c r="K126" s="225"/>
      <c r="L126" s="226"/>
      <c r="M126" s="226"/>
      <c r="N126" s="181">
        <f t="shared" si="1"/>
        <v>0</v>
      </c>
      <c r="O126" s="227"/>
      <c r="P126" s="227"/>
      <c r="Q126" s="223"/>
      <c r="R126" s="781"/>
      <c r="S126" s="781"/>
    </row>
    <row r="127" spans="1:19" ht="15.75" x14ac:dyDescent="0.25">
      <c r="A127" s="223"/>
      <c r="B127" s="281"/>
      <c r="C127" s="281"/>
      <c r="D127" s="281"/>
      <c r="E127" s="224"/>
      <c r="F127" s="192"/>
      <c r="G127" s="193"/>
      <c r="H127" s="223"/>
      <c r="I127" s="281"/>
      <c r="J127" s="225"/>
      <c r="K127" s="225"/>
      <c r="L127" s="226"/>
      <c r="M127" s="226"/>
      <c r="N127" s="181">
        <f t="shared" si="1"/>
        <v>0</v>
      </c>
      <c r="O127" s="227"/>
      <c r="P127" s="227"/>
      <c r="Q127" s="223"/>
      <c r="R127" s="781"/>
      <c r="S127" s="781"/>
    </row>
    <row r="128" spans="1:19" ht="15.75" x14ac:dyDescent="0.25">
      <c r="A128" s="223"/>
      <c r="B128" s="281"/>
      <c r="C128" s="281"/>
      <c r="D128" s="281"/>
      <c r="E128" s="224"/>
      <c r="F128" s="192"/>
      <c r="G128" s="193"/>
      <c r="H128" s="223"/>
      <c r="I128" s="281"/>
      <c r="J128" s="225"/>
      <c r="K128" s="225"/>
      <c r="L128" s="226"/>
      <c r="M128" s="226"/>
      <c r="N128" s="181">
        <f t="shared" si="1"/>
        <v>0</v>
      </c>
      <c r="O128" s="227"/>
      <c r="P128" s="227"/>
      <c r="Q128" s="223"/>
      <c r="R128" s="781"/>
      <c r="S128" s="781"/>
    </row>
    <row r="129" spans="1:19" ht="15.75" x14ac:dyDescent="0.25">
      <c r="A129" s="223"/>
      <c r="B129" s="281"/>
      <c r="C129" s="281"/>
      <c r="D129" s="281"/>
      <c r="E129" s="224"/>
      <c r="F129" s="192"/>
      <c r="G129" s="193"/>
      <c r="H129" s="223"/>
      <c r="I129" s="281"/>
      <c r="J129" s="225"/>
      <c r="K129" s="225"/>
      <c r="L129" s="226"/>
      <c r="M129" s="226"/>
      <c r="N129" s="181">
        <f t="shared" si="1"/>
        <v>0</v>
      </c>
      <c r="O129" s="227"/>
      <c r="P129" s="227"/>
      <c r="Q129" s="223"/>
      <c r="R129" s="781"/>
      <c r="S129" s="781"/>
    </row>
    <row r="130" spans="1:19" ht="15.75" x14ac:dyDescent="0.25">
      <c r="A130" s="223"/>
      <c r="B130" s="281"/>
      <c r="C130" s="281"/>
      <c r="D130" s="281"/>
      <c r="E130" s="224"/>
      <c r="F130" s="192"/>
      <c r="G130" s="193"/>
      <c r="H130" s="223"/>
      <c r="I130" s="281"/>
      <c r="J130" s="225"/>
      <c r="K130" s="225"/>
      <c r="L130" s="226"/>
      <c r="M130" s="226"/>
      <c r="N130" s="181">
        <f t="shared" si="1"/>
        <v>0</v>
      </c>
      <c r="O130" s="227"/>
      <c r="P130" s="227"/>
      <c r="Q130" s="223"/>
      <c r="R130" s="781"/>
      <c r="S130" s="781"/>
    </row>
    <row r="131" spans="1:19" ht="15.75" x14ac:dyDescent="0.25">
      <c r="A131" s="223"/>
      <c r="B131" s="281"/>
      <c r="C131" s="281"/>
      <c r="D131" s="281"/>
      <c r="E131" s="224"/>
      <c r="F131" s="192"/>
      <c r="G131" s="193"/>
      <c r="H131" s="223"/>
      <c r="I131" s="281"/>
      <c r="J131" s="225"/>
      <c r="K131" s="225"/>
      <c r="L131" s="226"/>
      <c r="M131" s="226"/>
      <c r="N131" s="181">
        <f t="shared" si="1"/>
        <v>0</v>
      </c>
      <c r="O131" s="227"/>
      <c r="P131" s="227"/>
      <c r="Q131" s="223"/>
      <c r="R131" s="781"/>
      <c r="S131" s="781"/>
    </row>
    <row r="132" spans="1:19" ht="15.75" x14ac:dyDescent="0.25">
      <c r="A132" s="223"/>
      <c r="B132" s="281"/>
      <c r="C132" s="281"/>
      <c r="D132" s="281"/>
      <c r="E132" s="224"/>
      <c r="F132" s="192"/>
      <c r="G132" s="193"/>
      <c r="H132" s="223"/>
      <c r="I132" s="281"/>
      <c r="J132" s="225"/>
      <c r="K132" s="225"/>
      <c r="L132" s="226"/>
      <c r="M132" s="226"/>
      <c r="N132" s="181">
        <f t="shared" si="1"/>
        <v>0</v>
      </c>
      <c r="O132" s="227"/>
      <c r="P132" s="227"/>
      <c r="Q132" s="223"/>
      <c r="R132" s="781"/>
      <c r="S132" s="781"/>
    </row>
    <row r="133" spans="1:19" ht="15.75" x14ac:dyDescent="0.25">
      <c r="A133" s="223"/>
      <c r="B133" s="281"/>
      <c r="C133" s="281"/>
      <c r="D133" s="281"/>
      <c r="E133" s="224"/>
      <c r="F133" s="192"/>
      <c r="G133" s="193"/>
      <c r="H133" s="223"/>
      <c r="I133" s="281"/>
      <c r="J133" s="225"/>
      <c r="K133" s="225"/>
      <c r="L133" s="226"/>
      <c r="M133" s="226"/>
      <c r="N133" s="181">
        <f t="shared" si="1"/>
        <v>0</v>
      </c>
      <c r="O133" s="227"/>
      <c r="P133" s="227"/>
      <c r="Q133" s="223"/>
      <c r="R133" s="781"/>
      <c r="S133" s="781"/>
    </row>
    <row r="134" spans="1:19" ht="15.75" x14ac:dyDescent="0.25">
      <c r="A134" s="223"/>
      <c r="B134" s="281"/>
      <c r="C134" s="281"/>
      <c r="D134" s="281"/>
      <c r="E134" s="224"/>
      <c r="F134" s="192"/>
      <c r="G134" s="193"/>
      <c r="H134" s="223"/>
      <c r="I134" s="281"/>
      <c r="J134" s="225"/>
      <c r="K134" s="225"/>
      <c r="L134" s="226"/>
      <c r="M134" s="226"/>
      <c r="N134" s="181">
        <f t="shared" ref="N134:N197" si="2">M134+L134</f>
        <v>0</v>
      </c>
      <c r="O134" s="227"/>
      <c r="P134" s="227"/>
      <c r="Q134" s="223"/>
      <c r="R134" s="781"/>
      <c r="S134" s="781"/>
    </row>
    <row r="135" spans="1:19" ht="15.75" x14ac:dyDescent="0.25">
      <c r="A135" s="223"/>
      <c r="B135" s="281"/>
      <c r="C135" s="281"/>
      <c r="D135" s="281"/>
      <c r="E135" s="224"/>
      <c r="F135" s="192"/>
      <c r="G135" s="193"/>
      <c r="H135" s="223"/>
      <c r="I135" s="281"/>
      <c r="J135" s="225"/>
      <c r="K135" s="225"/>
      <c r="L135" s="226"/>
      <c r="M135" s="226"/>
      <c r="N135" s="181">
        <f t="shared" si="2"/>
        <v>0</v>
      </c>
      <c r="O135" s="227"/>
      <c r="P135" s="227"/>
      <c r="Q135" s="223"/>
      <c r="R135" s="781"/>
      <c r="S135" s="781"/>
    </row>
    <row r="136" spans="1:19" ht="15.75" x14ac:dyDescent="0.25">
      <c r="A136" s="223"/>
      <c r="B136" s="281"/>
      <c r="C136" s="281"/>
      <c r="D136" s="281"/>
      <c r="E136" s="224"/>
      <c r="F136" s="192"/>
      <c r="G136" s="193"/>
      <c r="H136" s="223"/>
      <c r="I136" s="281"/>
      <c r="J136" s="225"/>
      <c r="K136" s="225"/>
      <c r="L136" s="226"/>
      <c r="M136" s="226"/>
      <c r="N136" s="181">
        <f t="shared" si="2"/>
        <v>0</v>
      </c>
      <c r="O136" s="227"/>
      <c r="P136" s="227"/>
      <c r="Q136" s="223"/>
      <c r="R136" s="781"/>
      <c r="S136" s="781"/>
    </row>
    <row r="137" spans="1:19" ht="15.75" x14ac:dyDescent="0.25">
      <c r="A137" s="223"/>
      <c r="B137" s="281"/>
      <c r="C137" s="281"/>
      <c r="D137" s="281"/>
      <c r="E137" s="224"/>
      <c r="F137" s="192"/>
      <c r="G137" s="193"/>
      <c r="H137" s="223"/>
      <c r="I137" s="281"/>
      <c r="J137" s="225"/>
      <c r="K137" s="225"/>
      <c r="L137" s="226"/>
      <c r="M137" s="226"/>
      <c r="N137" s="181">
        <f t="shared" si="2"/>
        <v>0</v>
      </c>
      <c r="O137" s="227"/>
      <c r="P137" s="227"/>
      <c r="Q137" s="223"/>
      <c r="R137" s="781"/>
      <c r="S137" s="781"/>
    </row>
    <row r="138" spans="1:19" ht="15.75" x14ac:dyDescent="0.25">
      <c r="A138" s="223"/>
      <c r="B138" s="281"/>
      <c r="C138" s="281"/>
      <c r="D138" s="281"/>
      <c r="E138" s="224"/>
      <c r="F138" s="192"/>
      <c r="G138" s="193"/>
      <c r="H138" s="223"/>
      <c r="I138" s="281"/>
      <c r="J138" s="225"/>
      <c r="K138" s="225"/>
      <c r="L138" s="226"/>
      <c r="M138" s="226"/>
      <c r="N138" s="181">
        <f t="shared" si="2"/>
        <v>0</v>
      </c>
      <c r="O138" s="227"/>
      <c r="P138" s="227"/>
      <c r="Q138" s="223"/>
      <c r="R138" s="781"/>
      <c r="S138" s="781"/>
    </row>
    <row r="139" spans="1:19" ht="15.75" x14ac:dyDescent="0.25">
      <c r="A139" s="223"/>
      <c r="B139" s="281"/>
      <c r="C139" s="281"/>
      <c r="D139" s="281"/>
      <c r="E139" s="224"/>
      <c r="F139" s="192"/>
      <c r="G139" s="193"/>
      <c r="H139" s="223"/>
      <c r="I139" s="281"/>
      <c r="J139" s="225"/>
      <c r="K139" s="225"/>
      <c r="L139" s="226"/>
      <c r="M139" s="226"/>
      <c r="N139" s="181">
        <f t="shared" si="2"/>
        <v>0</v>
      </c>
      <c r="O139" s="227"/>
      <c r="P139" s="227"/>
      <c r="Q139" s="223"/>
      <c r="R139" s="781"/>
      <c r="S139" s="781"/>
    </row>
    <row r="140" spans="1:19" ht="15.75" x14ac:dyDescent="0.25">
      <c r="A140" s="223"/>
      <c r="B140" s="281"/>
      <c r="C140" s="281"/>
      <c r="D140" s="281"/>
      <c r="E140" s="224"/>
      <c r="F140" s="192"/>
      <c r="G140" s="193"/>
      <c r="H140" s="223"/>
      <c r="I140" s="281"/>
      <c r="J140" s="225"/>
      <c r="K140" s="225"/>
      <c r="L140" s="226"/>
      <c r="M140" s="226"/>
      <c r="N140" s="181">
        <f t="shared" si="2"/>
        <v>0</v>
      </c>
      <c r="O140" s="227"/>
      <c r="P140" s="227"/>
      <c r="Q140" s="223"/>
      <c r="R140" s="781"/>
      <c r="S140" s="781"/>
    </row>
    <row r="141" spans="1:19" ht="15.75" x14ac:dyDescent="0.25">
      <c r="A141" s="223"/>
      <c r="B141" s="281"/>
      <c r="C141" s="281"/>
      <c r="D141" s="281"/>
      <c r="E141" s="224"/>
      <c r="F141" s="192"/>
      <c r="G141" s="193"/>
      <c r="H141" s="223"/>
      <c r="I141" s="281"/>
      <c r="J141" s="225"/>
      <c r="K141" s="225"/>
      <c r="L141" s="226"/>
      <c r="M141" s="226"/>
      <c r="N141" s="181">
        <f t="shared" si="2"/>
        <v>0</v>
      </c>
      <c r="O141" s="227"/>
      <c r="P141" s="227"/>
      <c r="Q141" s="223"/>
      <c r="R141" s="781"/>
      <c r="S141" s="781"/>
    </row>
    <row r="142" spans="1:19" ht="15.75" x14ac:dyDescent="0.25">
      <c r="A142" s="223"/>
      <c r="B142" s="281"/>
      <c r="C142" s="281"/>
      <c r="D142" s="281"/>
      <c r="E142" s="224"/>
      <c r="F142" s="192"/>
      <c r="G142" s="193"/>
      <c r="H142" s="223"/>
      <c r="I142" s="281"/>
      <c r="J142" s="225"/>
      <c r="K142" s="225"/>
      <c r="L142" s="226"/>
      <c r="M142" s="226"/>
      <c r="N142" s="181">
        <f t="shared" si="2"/>
        <v>0</v>
      </c>
      <c r="O142" s="227"/>
      <c r="P142" s="227"/>
      <c r="Q142" s="223"/>
      <c r="R142" s="781"/>
      <c r="S142" s="781"/>
    </row>
    <row r="143" spans="1:19" ht="15.75" x14ac:dyDescent="0.25">
      <c r="A143" s="223"/>
      <c r="B143" s="281"/>
      <c r="C143" s="281"/>
      <c r="D143" s="281"/>
      <c r="E143" s="224"/>
      <c r="F143" s="192"/>
      <c r="G143" s="193"/>
      <c r="H143" s="223"/>
      <c r="I143" s="281"/>
      <c r="J143" s="225"/>
      <c r="K143" s="225"/>
      <c r="L143" s="226"/>
      <c r="M143" s="226"/>
      <c r="N143" s="181">
        <f t="shared" si="2"/>
        <v>0</v>
      </c>
      <c r="O143" s="227"/>
      <c r="P143" s="227"/>
      <c r="Q143" s="223"/>
      <c r="R143" s="781"/>
      <c r="S143" s="781"/>
    </row>
    <row r="144" spans="1:19" ht="15.75" x14ac:dyDescent="0.25">
      <c r="A144" s="223"/>
      <c r="B144" s="281"/>
      <c r="C144" s="281"/>
      <c r="D144" s="281"/>
      <c r="E144" s="224"/>
      <c r="F144" s="192"/>
      <c r="G144" s="193"/>
      <c r="H144" s="223"/>
      <c r="I144" s="281"/>
      <c r="J144" s="225"/>
      <c r="K144" s="225"/>
      <c r="L144" s="226"/>
      <c r="M144" s="226"/>
      <c r="N144" s="181">
        <f t="shared" si="2"/>
        <v>0</v>
      </c>
      <c r="O144" s="227"/>
      <c r="P144" s="227"/>
      <c r="Q144" s="223"/>
      <c r="R144" s="781"/>
      <c r="S144" s="781"/>
    </row>
    <row r="145" spans="1:19" ht="15.75" x14ac:dyDescent="0.25">
      <c r="A145" s="223"/>
      <c r="B145" s="281"/>
      <c r="C145" s="281"/>
      <c r="D145" s="281"/>
      <c r="E145" s="224"/>
      <c r="F145" s="192"/>
      <c r="G145" s="193"/>
      <c r="H145" s="223"/>
      <c r="I145" s="281"/>
      <c r="J145" s="225"/>
      <c r="K145" s="225"/>
      <c r="L145" s="226"/>
      <c r="M145" s="226"/>
      <c r="N145" s="181">
        <f t="shared" si="2"/>
        <v>0</v>
      </c>
      <c r="O145" s="227"/>
      <c r="P145" s="227"/>
      <c r="Q145" s="223"/>
      <c r="R145" s="781"/>
      <c r="S145" s="781"/>
    </row>
    <row r="146" spans="1:19" ht="15.75" x14ac:dyDescent="0.25">
      <c r="A146" s="223"/>
      <c r="B146" s="281"/>
      <c r="C146" s="281"/>
      <c r="D146" s="281"/>
      <c r="E146" s="224"/>
      <c r="F146" s="192"/>
      <c r="G146" s="193"/>
      <c r="H146" s="223"/>
      <c r="I146" s="281"/>
      <c r="J146" s="225"/>
      <c r="K146" s="225"/>
      <c r="L146" s="226"/>
      <c r="M146" s="226"/>
      <c r="N146" s="181">
        <f t="shared" si="2"/>
        <v>0</v>
      </c>
      <c r="O146" s="227"/>
      <c r="P146" s="227"/>
      <c r="Q146" s="223"/>
      <c r="R146" s="781"/>
      <c r="S146" s="781"/>
    </row>
    <row r="147" spans="1:19" ht="15.75" x14ac:dyDescent="0.25">
      <c r="A147" s="223"/>
      <c r="B147" s="281"/>
      <c r="C147" s="281"/>
      <c r="D147" s="281"/>
      <c r="E147" s="224"/>
      <c r="F147" s="192"/>
      <c r="G147" s="193"/>
      <c r="H147" s="223"/>
      <c r="I147" s="281"/>
      <c r="J147" s="225"/>
      <c r="K147" s="225"/>
      <c r="L147" s="226"/>
      <c r="M147" s="226"/>
      <c r="N147" s="181">
        <f t="shared" si="2"/>
        <v>0</v>
      </c>
      <c r="O147" s="227"/>
      <c r="P147" s="227"/>
      <c r="Q147" s="223"/>
      <c r="R147" s="781"/>
      <c r="S147" s="781"/>
    </row>
    <row r="148" spans="1:19" ht="15.75" x14ac:dyDescent="0.25">
      <c r="A148" s="223"/>
      <c r="B148" s="281"/>
      <c r="C148" s="281"/>
      <c r="D148" s="281"/>
      <c r="E148" s="224"/>
      <c r="F148" s="192"/>
      <c r="G148" s="193"/>
      <c r="H148" s="223"/>
      <c r="I148" s="281"/>
      <c r="J148" s="225"/>
      <c r="K148" s="225"/>
      <c r="L148" s="226"/>
      <c r="M148" s="226"/>
      <c r="N148" s="181">
        <f t="shared" si="2"/>
        <v>0</v>
      </c>
      <c r="O148" s="227"/>
      <c r="P148" s="227"/>
      <c r="Q148" s="223"/>
      <c r="R148" s="781"/>
      <c r="S148" s="781"/>
    </row>
    <row r="149" spans="1:19" ht="15.75" x14ac:dyDescent="0.25">
      <c r="A149" s="223"/>
      <c r="B149" s="281"/>
      <c r="C149" s="281"/>
      <c r="D149" s="281"/>
      <c r="E149" s="224"/>
      <c r="F149" s="192"/>
      <c r="G149" s="193"/>
      <c r="H149" s="223"/>
      <c r="I149" s="281"/>
      <c r="J149" s="225"/>
      <c r="K149" s="225"/>
      <c r="L149" s="226"/>
      <c r="M149" s="226"/>
      <c r="N149" s="181">
        <f t="shared" si="2"/>
        <v>0</v>
      </c>
      <c r="O149" s="227"/>
      <c r="P149" s="227"/>
      <c r="Q149" s="223"/>
      <c r="R149" s="781"/>
      <c r="S149" s="781"/>
    </row>
    <row r="150" spans="1:19" ht="15.75" x14ac:dyDescent="0.25">
      <c r="A150" s="223"/>
      <c r="B150" s="281"/>
      <c r="C150" s="281"/>
      <c r="D150" s="281"/>
      <c r="E150" s="224"/>
      <c r="F150" s="192"/>
      <c r="G150" s="193"/>
      <c r="H150" s="223"/>
      <c r="I150" s="281"/>
      <c r="J150" s="225"/>
      <c r="K150" s="225"/>
      <c r="L150" s="226"/>
      <c r="M150" s="226"/>
      <c r="N150" s="181">
        <f t="shared" si="2"/>
        <v>0</v>
      </c>
      <c r="O150" s="227"/>
      <c r="P150" s="227"/>
      <c r="Q150" s="223"/>
      <c r="R150" s="781"/>
      <c r="S150" s="781"/>
    </row>
    <row r="151" spans="1:19" ht="15.75" x14ac:dyDescent="0.25">
      <c r="A151" s="223"/>
      <c r="B151" s="281"/>
      <c r="C151" s="281"/>
      <c r="D151" s="281"/>
      <c r="E151" s="224"/>
      <c r="F151" s="192"/>
      <c r="G151" s="193"/>
      <c r="H151" s="223"/>
      <c r="I151" s="281"/>
      <c r="J151" s="225"/>
      <c r="K151" s="225"/>
      <c r="L151" s="226"/>
      <c r="M151" s="226"/>
      <c r="N151" s="181">
        <f t="shared" si="2"/>
        <v>0</v>
      </c>
      <c r="O151" s="227"/>
      <c r="P151" s="227"/>
      <c r="Q151" s="223"/>
      <c r="R151" s="781"/>
      <c r="S151" s="781"/>
    </row>
    <row r="152" spans="1:19" ht="15.75" x14ac:dyDescent="0.25">
      <c r="A152" s="223"/>
      <c r="B152" s="281"/>
      <c r="C152" s="281"/>
      <c r="D152" s="281"/>
      <c r="E152" s="224"/>
      <c r="F152" s="192"/>
      <c r="G152" s="193"/>
      <c r="H152" s="223"/>
      <c r="I152" s="281"/>
      <c r="J152" s="225"/>
      <c r="K152" s="225"/>
      <c r="L152" s="226"/>
      <c r="M152" s="226"/>
      <c r="N152" s="181">
        <f t="shared" si="2"/>
        <v>0</v>
      </c>
      <c r="O152" s="227"/>
      <c r="P152" s="227"/>
      <c r="Q152" s="223"/>
      <c r="R152" s="781"/>
      <c r="S152" s="781"/>
    </row>
    <row r="153" spans="1:19" ht="15.75" x14ac:dyDescent="0.25">
      <c r="A153" s="223"/>
      <c r="B153" s="281"/>
      <c r="C153" s="281"/>
      <c r="D153" s="281"/>
      <c r="E153" s="224"/>
      <c r="F153" s="192"/>
      <c r="G153" s="193"/>
      <c r="H153" s="223"/>
      <c r="I153" s="281"/>
      <c r="J153" s="225"/>
      <c r="K153" s="225"/>
      <c r="L153" s="226"/>
      <c r="M153" s="226"/>
      <c r="N153" s="181">
        <f t="shared" si="2"/>
        <v>0</v>
      </c>
      <c r="O153" s="227"/>
      <c r="P153" s="227"/>
      <c r="Q153" s="223"/>
      <c r="R153" s="781"/>
      <c r="S153" s="781"/>
    </row>
    <row r="154" spans="1:19" ht="15.75" x14ac:dyDescent="0.25">
      <c r="A154" s="223"/>
      <c r="B154" s="281"/>
      <c r="C154" s="281"/>
      <c r="D154" s="281"/>
      <c r="E154" s="224"/>
      <c r="F154" s="192"/>
      <c r="G154" s="193"/>
      <c r="H154" s="223"/>
      <c r="I154" s="281"/>
      <c r="J154" s="225"/>
      <c r="K154" s="225"/>
      <c r="L154" s="226"/>
      <c r="M154" s="226"/>
      <c r="N154" s="181">
        <f t="shared" si="2"/>
        <v>0</v>
      </c>
      <c r="O154" s="227"/>
      <c r="P154" s="227"/>
      <c r="Q154" s="223"/>
      <c r="R154" s="781"/>
      <c r="S154" s="781"/>
    </row>
    <row r="155" spans="1:19" ht="15.75" x14ac:dyDescent="0.25">
      <c r="A155" s="223"/>
      <c r="B155" s="281"/>
      <c r="C155" s="281"/>
      <c r="D155" s="281"/>
      <c r="E155" s="224"/>
      <c r="F155" s="192"/>
      <c r="G155" s="193"/>
      <c r="H155" s="223"/>
      <c r="I155" s="281"/>
      <c r="J155" s="225"/>
      <c r="K155" s="225"/>
      <c r="L155" s="226"/>
      <c r="M155" s="226"/>
      <c r="N155" s="181">
        <f t="shared" si="2"/>
        <v>0</v>
      </c>
      <c r="O155" s="227"/>
      <c r="P155" s="227"/>
      <c r="Q155" s="223"/>
      <c r="R155" s="781"/>
      <c r="S155" s="781"/>
    </row>
    <row r="156" spans="1:19" ht="15.75" x14ac:dyDescent="0.25">
      <c r="A156" s="223"/>
      <c r="B156" s="281"/>
      <c r="C156" s="281"/>
      <c r="D156" s="281"/>
      <c r="E156" s="224"/>
      <c r="F156" s="192"/>
      <c r="G156" s="193"/>
      <c r="H156" s="223"/>
      <c r="I156" s="281"/>
      <c r="J156" s="225"/>
      <c r="K156" s="225"/>
      <c r="L156" s="226"/>
      <c r="M156" s="226"/>
      <c r="N156" s="181">
        <f t="shared" si="2"/>
        <v>0</v>
      </c>
      <c r="O156" s="227"/>
      <c r="P156" s="227"/>
      <c r="Q156" s="223"/>
      <c r="R156" s="781"/>
      <c r="S156" s="781"/>
    </row>
    <row r="157" spans="1:19" ht="15.75" x14ac:dyDescent="0.25">
      <c r="A157" s="223"/>
      <c r="B157" s="281"/>
      <c r="C157" s="281"/>
      <c r="D157" s="281"/>
      <c r="E157" s="224"/>
      <c r="F157" s="192"/>
      <c r="G157" s="193"/>
      <c r="H157" s="223"/>
      <c r="I157" s="281"/>
      <c r="J157" s="225"/>
      <c r="K157" s="225"/>
      <c r="L157" s="226"/>
      <c r="M157" s="226"/>
      <c r="N157" s="181">
        <f t="shared" si="2"/>
        <v>0</v>
      </c>
      <c r="O157" s="227"/>
      <c r="P157" s="227"/>
      <c r="Q157" s="223"/>
      <c r="R157" s="781"/>
      <c r="S157" s="781"/>
    </row>
    <row r="158" spans="1:19" ht="15.75" x14ac:dyDescent="0.25">
      <c r="A158" s="223"/>
      <c r="B158" s="281"/>
      <c r="C158" s="281"/>
      <c r="D158" s="281"/>
      <c r="E158" s="224"/>
      <c r="F158" s="192"/>
      <c r="G158" s="193"/>
      <c r="H158" s="223"/>
      <c r="I158" s="281"/>
      <c r="J158" s="225"/>
      <c r="K158" s="225"/>
      <c r="L158" s="226"/>
      <c r="M158" s="226"/>
      <c r="N158" s="181">
        <f t="shared" si="2"/>
        <v>0</v>
      </c>
      <c r="O158" s="227"/>
      <c r="P158" s="227"/>
      <c r="Q158" s="223"/>
      <c r="R158" s="781"/>
      <c r="S158" s="781"/>
    </row>
    <row r="159" spans="1:19" ht="15.75" x14ac:dyDescent="0.25">
      <c r="A159" s="223"/>
      <c r="B159" s="281"/>
      <c r="C159" s="281"/>
      <c r="D159" s="281"/>
      <c r="E159" s="224"/>
      <c r="F159" s="192"/>
      <c r="G159" s="193"/>
      <c r="H159" s="223"/>
      <c r="I159" s="281"/>
      <c r="J159" s="225"/>
      <c r="K159" s="225"/>
      <c r="L159" s="226"/>
      <c r="M159" s="226"/>
      <c r="N159" s="181">
        <f t="shared" si="2"/>
        <v>0</v>
      </c>
      <c r="O159" s="227"/>
      <c r="P159" s="227"/>
      <c r="Q159" s="223"/>
      <c r="R159" s="781"/>
      <c r="S159" s="781"/>
    </row>
    <row r="160" spans="1:19" ht="15.75" x14ac:dyDescent="0.25">
      <c r="A160" s="223"/>
      <c r="B160" s="281"/>
      <c r="C160" s="281"/>
      <c r="D160" s="281"/>
      <c r="E160" s="224"/>
      <c r="F160" s="192"/>
      <c r="G160" s="193"/>
      <c r="H160" s="223"/>
      <c r="I160" s="281"/>
      <c r="J160" s="225"/>
      <c r="K160" s="225"/>
      <c r="L160" s="226"/>
      <c r="M160" s="226"/>
      <c r="N160" s="181">
        <f t="shared" si="2"/>
        <v>0</v>
      </c>
      <c r="O160" s="227"/>
      <c r="P160" s="227"/>
      <c r="Q160" s="223"/>
      <c r="R160" s="781"/>
      <c r="S160" s="781"/>
    </row>
    <row r="161" spans="1:19" ht="15.75" x14ac:dyDescent="0.25">
      <c r="A161" s="223"/>
      <c r="B161" s="281"/>
      <c r="C161" s="281"/>
      <c r="D161" s="281"/>
      <c r="E161" s="224"/>
      <c r="F161" s="192"/>
      <c r="G161" s="193"/>
      <c r="H161" s="223"/>
      <c r="I161" s="281"/>
      <c r="J161" s="225"/>
      <c r="K161" s="225"/>
      <c r="L161" s="226"/>
      <c r="M161" s="226"/>
      <c r="N161" s="181">
        <f t="shared" si="2"/>
        <v>0</v>
      </c>
      <c r="O161" s="227"/>
      <c r="P161" s="227"/>
      <c r="Q161" s="223"/>
      <c r="R161" s="781"/>
      <c r="S161" s="781"/>
    </row>
    <row r="162" spans="1:19" ht="15.75" x14ac:dyDescent="0.25">
      <c r="A162" s="223"/>
      <c r="B162" s="281"/>
      <c r="C162" s="281"/>
      <c r="D162" s="281"/>
      <c r="E162" s="224"/>
      <c r="F162" s="192"/>
      <c r="G162" s="193"/>
      <c r="H162" s="223"/>
      <c r="I162" s="281"/>
      <c r="J162" s="225"/>
      <c r="K162" s="225"/>
      <c r="L162" s="226"/>
      <c r="M162" s="226"/>
      <c r="N162" s="181">
        <f t="shared" si="2"/>
        <v>0</v>
      </c>
      <c r="O162" s="227"/>
      <c r="P162" s="227"/>
      <c r="Q162" s="223"/>
      <c r="R162" s="781"/>
      <c r="S162" s="781"/>
    </row>
    <row r="163" spans="1:19" ht="15.75" x14ac:dyDescent="0.25">
      <c r="A163" s="223"/>
      <c r="B163" s="281"/>
      <c r="C163" s="281"/>
      <c r="D163" s="281"/>
      <c r="E163" s="224"/>
      <c r="F163" s="192"/>
      <c r="G163" s="193"/>
      <c r="H163" s="223"/>
      <c r="I163" s="281"/>
      <c r="J163" s="225"/>
      <c r="K163" s="225"/>
      <c r="L163" s="226"/>
      <c r="M163" s="226"/>
      <c r="N163" s="181">
        <f t="shared" si="2"/>
        <v>0</v>
      </c>
      <c r="O163" s="227"/>
      <c r="P163" s="227"/>
      <c r="Q163" s="223"/>
      <c r="R163" s="781"/>
      <c r="S163" s="781"/>
    </row>
    <row r="164" spans="1:19" ht="15.75" x14ac:dyDescent="0.25">
      <c r="A164" s="223"/>
      <c r="B164" s="281"/>
      <c r="C164" s="281"/>
      <c r="D164" s="281"/>
      <c r="E164" s="224"/>
      <c r="F164" s="192"/>
      <c r="G164" s="193"/>
      <c r="H164" s="223"/>
      <c r="I164" s="281"/>
      <c r="J164" s="225"/>
      <c r="K164" s="225"/>
      <c r="L164" s="226"/>
      <c r="M164" s="226"/>
      <c r="N164" s="181">
        <f t="shared" si="2"/>
        <v>0</v>
      </c>
      <c r="O164" s="227"/>
      <c r="P164" s="227"/>
      <c r="Q164" s="223"/>
      <c r="R164" s="781"/>
      <c r="S164" s="781"/>
    </row>
    <row r="165" spans="1:19" ht="15.75" x14ac:dyDescent="0.25">
      <c r="A165" s="223"/>
      <c r="B165" s="281"/>
      <c r="C165" s="281"/>
      <c r="D165" s="281"/>
      <c r="E165" s="224"/>
      <c r="F165" s="192"/>
      <c r="G165" s="193"/>
      <c r="H165" s="223"/>
      <c r="I165" s="281"/>
      <c r="J165" s="225"/>
      <c r="K165" s="225"/>
      <c r="L165" s="226"/>
      <c r="M165" s="226"/>
      <c r="N165" s="181">
        <f t="shared" si="2"/>
        <v>0</v>
      </c>
      <c r="O165" s="227"/>
      <c r="P165" s="227"/>
      <c r="Q165" s="223"/>
      <c r="R165" s="781"/>
      <c r="S165" s="781"/>
    </row>
    <row r="166" spans="1:19" ht="15.75" x14ac:dyDescent="0.25">
      <c r="A166" s="223"/>
      <c r="B166" s="281"/>
      <c r="C166" s="281"/>
      <c r="D166" s="281"/>
      <c r="E166" s="224"/>
      <c r="F166" s="192"/>
      <c r="G166" s="193"/>
      <c r="H166" s="223"/>
      <c r="I166" s="281"/>
      <c r="J166" s="225"/>
      <c r="K166" s="225"/>
      <c r="L166" s="226"/>
      <c r="M166" s="226"/>
      <c r="N166" s="181">
        <f t="shared" si="2"/>
        <v>0</v>
      </c>
      <c r="O166" s="227"/>
      <c r="P166" s="227"/>
      <c r="Q166" s="223"/>
      <c r="R166" s="781"/>
      <c r="S166" s="781"/>
    </row>
    <row r="167" spans="1:19" ht="15.75" x14ac:dyDescent="0.25">
      <c r="A167" s="223"/>
      <c r="B167" s="281"/>
      <c r="C167" s="281"/>
      <c r="D167" s="281"/>
      <c r="E167" s="224"/>
      <c r="F167" s="192"/>
      <c r="G167" s="193"/>
      <c r="H167" s="223"/>
      <c r="I167" s="281"/>
      <c r="J167" s="225"/>
      <c r="K167" s="225"/>
      <c r="L167" s="226"/>
      <c r="M167" s="226"/>
      <c r="N167" s="181">
        <f t="shared" si="2"/>
        <v>0</v>
      </c>
      <c r="O167" s="227"/>
      <c r="P167" s="227"/>
      <c r="Q167" s="223"/>
      <c r="R167" s="781"/>
      <c r="S167" s="781"/>
    </row>
    <row r="168" spans="1:19" ht="15.75" x14ac:dyDescent="0.25">
      <c r="A168" s="223"/>
      <c r="B168" s="281"/>
      <c r="C168" s="281"/>
      <c r="D168" s="281"/>
      <c r="E168" s="224"/>
      <c r="F168" s="192"/>
      <c r="G168" s="193"/>
      <c r="H168" s="223"/>
      <c r="I168" s="281"/>
      <c r="J168" s="225"/>
      <c r="K168" s="225"/>
      <c r="L168" s="226"/>
      <c r="M168" s="226"/>
      <c r="N168" s="181">
        <f t="shared" si="2"/>
        <v>0</v>
      </c>
      <c r="O168" s="227"/>
      <c r="P168" s="227"/>
      <c r="Q168" s="223"/>
      <c r="R168" s="781"/>
      <c r="S168" s="781"/>
    </row>
    <row r="169" spans="1:19" ht="15.75" x14ac:dyDescent="0.25">
      <c r="A169" s="223"/>
      <c r="B169" s="281"/>
      <c r="C169" s="281"/>
      <c r="D169" s="281"/>
      <c r="E169" s="224"/>
      <c r="F169" s="192"/>
      <c r="G169" s="193"/>
      <c r="H169" s="223"/>
      <c r="I169" s="281"/>
      <c r="J169" s="225"/>
      <c r="K169" s="225"/>
      <c r="L169" s="226"/>
      <c r="M169" s="226"/>
      <c r="N169" s="181">
        <f t="shared" si="2"/>
        <v>0</v>
      </c>
      <c r="O169" s="227"/>
      <c r="P169" s="227"/>
      <c r="Q169" s="223"/>
      <c r="R169" s="781"/>
      <c r="S169" s="781"/>
    </row>
    <row r="170" spans="1:19" ht="15.75" x14ac:dyDescent="0.25">
      <c r="A170" s="223"/>
      <c r="B170" s="281"/>
      <c r="C170" s="281"/>
      <c r="D170" s="281"/>
      <c r="E170" s="224"/>
      <c r="F170" s="192"/>
      <c r="G170" s="193"/>
      <c r="H170" s="223"/>
      <c r="I170" s="281"/>
      <c r="J170" s="225"/>
      <c r="K170" s="225"/>
      <c r="L170" s="226"/>
      <c r="M170" s="226"/>
      <c r="N170" s="181">
        <f t="shared" si="2"/>
        <v>0</v>
      </c>
      <c r="O170" s="227"/>
      <c r="P170" s="227"/>
      <c r="Q170" s="223"/>
      <c r="R170" s="781"/>
      <c r="S170" s="781"/>
    </row>
    <row r="171" spans="1:19" ht="15.75" x14ac:dyDescent="0.25">
      <c r="A171" s="223"/>
      <c r="B171" s="281"/>
      <c r="C171" s="281"/>
      <c r="D171" s="281"/>
      <c r="E171" s="224"/>
      <c r="F171" s="192"/>
      <c r="G171" s="193"/>
      <c r="H171" s="223"/>
      <c r="I171" s="281"/>
      <c r="J171" s="225"/>
      <c r="K171" s="225"/>
      <c r="L171" s="226"/>
      <c r="M171" s="226"/>
      <c r="N171" s="181">
        <f t="shared" si="2"/>
        <v>0</v>
      </c>
      <c r="O171" s="227"/>
      <c r="P171" s="227"/>
      <c r="Q171" s="223"/>
      <c r="R171" s="781"/>
      <c r="S171" s="781"/>
    </row>
    <row r="172" spans="1:19" ht="15.75" x14ac:dyDescent="0.25">
      <c r="A172" s="223"/>
      <c r="B172" s="281"/>
      <c r="C172" s="281"/>
      <c r="D172" s="281"/>
      <c r="E172" s="224"/>
      <c r="F172" s="192"/>
      <c r="G172" s="193"/>
      <c r="H172" s="223"/>
      <c r="I172" s="281"/>
      <c r="J172" s="225"/>
      <c r="K172" s="225"/>
      <c r="L172" s="226"/>
      <c r="M172" s="226"/>
      <c r="N172" s="181">
        <f t="shared" si="2"/>
        <v>0</v>
      </c>
      <c r="O172" s="227"/>
      <c r="P172" s="227"/>
      <c r="Q172" s="223"/>
      <c r="R172" s="781"/>
      <c r="S172" s="781"/>
    </row>
    <row r="173" spans="1:19" ht="15.75" x14ac:dyDescent="0.25">
      <c r="A173" s="223"/>
      <c r="B173" s="281"/>
      <c r="C173" s="281"/>
      <c r="D173" s="281"/>
      <c r="E173" s="224"/>
      <c r="F173" s="192"/>
      <c r="G173" s="193"/>
      <c r="H173" s="223"/>
      <c r="I173" s="281"/>
      <c r="J173" s="225"/>
      <c r="K173" s="225"/>
      <c r="L173" s="226"/>
      <c r="M173" s="226"/>
      <c r="N173" s="181">
        <f t="shared" si="2"/>
        <v>0</v>
      </c>
      <c r="O173" s="227"/>
      <c r="P173" s="227"/>
      <c r="Q173" s="223"/>
      <c r="R173" s="781"/>
      <c r="S173" s="781"/>
    </row>
    <row r="174" spans="1:19" ht="15.75" x14ac:dyDescent="0.25">
      <c r="A174" s="223"/>
      <c r="B174" s="281"/>
      <c r="C174" s="281"/>
      <c r="D174" s="281"/>
      <c r="E174" s="224"/>
      <c r="F174" s="192"/>
      <c r="G174" s="193"/>
      <c r="H174" s="223"/>
      <c r="I174" s="281"/>
      <c r="J174" s="225"/>
      <c r="K174" s="225"/>
      <c r="L174" s="226"/>
      <c r="M174" s="226"/>
      <c r="N174" s="181">
        <f t="shared" si="2"/>
        <v>0</v>
      </c>
      <c r="O174" s="227"/>
      <c r="P174" s="227"/>
      <c r="Q174" s="223"/>
      <c r="R174" s="781"/>
      <c r="S174" s="781"/>
    </row>
    <row r="175" spans="1:19" ht="15.75" x14ac:dyDescent="0.25">
      <c r="A175" s="223"/>
      <c r="B175" s="281"/>
      <c r="C175" s="281"/>
      <c r="D175" s="281"/>
      <c r="E175" s="224"/>
      <c r="F175" s="192"/>
      <c r="G175" s="193"/>
      <c r="H175" s="223"/>
      <c r="I175" s="281"/>
      <c r="J175" s="225"/>
      <c r="K175" s="225"/>
      <c r="L175" s="226"/>
      <c r="M175" s="226"/>
      <c r="N175" s="181">
        <f t="shared" si="2"/>
        <v>0</v>
      </c>
      <c r="O175" s="227"/>
      <c r="P175" s="227"/>
      <c r="Q175" s="223"/>
      <c r="R175" s="781"/>
      <c r="S175" s="781"/>
    </row>
    <row r="176" spans="1:19" ht="15.75" x14ac:dyDescent="0.25">
      <c r="A176" s="223"/>
      <c r="B176" s="281"/>
      <c r="C176" s="281"/>
      <c r="D176" s="281"/>
      <c r="E176" s="224"/>
      <c r="F176" s="192"/>
      <c r="G176" s="193"/>
      <c r="H176" s="223"/>
      <c r="I176" s="281"/>
      <c r="J176" s="225"/>
      <c r="K176" s="225"/>
      <c r="L176" s="226"/>
      <c r="M176" s="226"/>
      <c r="N176" s="181">
        <f t="shared" si="2"/>
        <v>0</v>
      </c>
      <c r="O176" s="227"/>
      <c r="P176" s="227"/>
      <c r="Q176" s="223"/>
      <c r="R176" s="781"/>
      <c r="S176" s="781"/>
    </row>
    <row r="177" spans="1:19" ht="15.75" x14ac:dyDescent="0.25">
      <c r="A177" s="223"/>
      <c r="B177" s="281"/>
      <c r="C177" s="281"/>
      <c r="D177" s="281"/>
      <c r="E177" s="224"/>
      <c r="F177" s="192"/>
      <c r="G177" s="193"/>
      <c r="H177" s="223"/>
      <c r="I177" s="281"/>
      <c r="J177" s="225"/>
      <c r="K177" s="225"/>
      <c r="L177" s="226"/>
      <c r="M177" s="226"/>
      <c r="N177" s="181">
        <f t="shared" si="2"/>
        <v>0</v>
      </c>
      <c r="O177" s="227"/>
      <c r="P177" s="227"/>
      <c r="Q177" s="223"/>
      <c r="R177" s="781"/>
      <c r="S177" s="781"/>
    </row>
    <row r="178" spans="1:19" ht="15.75" x14ac:dyDescent="0.25">
      <c r="A178" s="223"/>
      <c r="B178" s="281"/>
      <c r="C178" s="281"/>
      <c r="D178" s="281"/>
      <c r="E178" s="224"/>
      <c r="F178" s="192"/>
      <c r="G178" s="193"/>
      <c r="H178" s="223"/>
      <c r="I178" s="281"/>
      <c r="J178" s="225"/>
      <c r="K178" s="225"/>
      <c r="L178" s="226"/>
      <c r="M178" s="226"/>
      <c r="N178" s="181">
        <f t="shared" si="2"/>
        <v>0</v>
      </c>
      <c r="O178" s="227"/>
      <c r="P178" s="227"/>
      <c r="Q178" s="223"/>
      <c r="R178" s="781"/>
      <c r="S178" s="781"/>
    </row>
    <row r="179" spans="1:19" ht="15.75" x14ac:dyDescent="0.25">
      <c r="A179" s="223"/>
      <c r="B179" s="281"/>
      <c r="C179" s="281"/>
      <c r="D179" s="281"/>
      <c r="E179" s="224"/>
      <c r="F179" s="192"/>
      <c r="G179" s="193"/>
      <c r="H179" s="223"/>
      <c r="I179" s="281"/>
      <c r="J179" s="225"/>
      <c r="K179" s="225"/>
      <c r="L179" s="226"/>
      <c r="M179" s="226"/>
      <c r="N179" s="181">
        <f t="shared" si="2"/>
        <v>0</v>
      </c>
      <c r="O179" s="227"/>
      <c r="P179" s="227"/>
      <c r="Q179" s="223"/>
      <c r="R179" s="781"/>
      <c r="S179" s="781"/>
    </row>
    <row r="180" spans="1:19" ht="15.75" x14ac:dyDescent="0.25">
      <c r="A180" s="223"/>
      <c r="B180" s="281"/>
      <c r="C180" s="281"/>
      <c r="D180" s="281"/>
      <c r="E180" s="224"/>
      <c r="F180" s="192"/>
      <c r="G180" s="193"/>
      <c r="H180" s="223"/>
      <c r="I180" s="281"/>
      <c r="J180" s="225"/>
      <c r="K180" s="225"/>
      <c r="L180" s="226"/>
      <c r="M180" s="226"/>
      <c r="N180" s="181">
        <f t="shared" si="2"/>
        <v>0</v>
      </c>
      <c r="O180" s="227"/>
      <c r="P180" s="227"/>
      <c r="Q180" s="223"/>
      <c r="R180" s="781"/>
      <c r="S180" s="781"/>
    </row>
    <row r="181" spans="1:19" ht="15.75" x14ac:dyDescent="0.25">
      <c r="A181" s="223"/>
      <c r="B181" s="281"/>
      <c r="C181" s="281"/>
      <c r="D181" s="281"/>
      <c r="E181" s="224"/>
      <c r="F181" s="192"/>
      <c r="G181" s="193"/>
      <c r="H181" s="223"/>
      <c r="I181" s="281"/>
      <c r="J181" s="225"/>
      <c r="K181" s="225"/>
      <c r="L181" s="226"/>
      <c r="M181" s="226"/>
      <c r="N181" s="181">
        <f t="shared" si="2"/>
        <v>0</v>
      </c>
      <c r="O181" s="227"/>
      <c r="P181" s="227"/>
      <c r="Q181" s="223"/>
      <c r="R181" s="781"/>
      <c r="S181" s="781"/>
    </row>
    <row r="182" spans="1:19" ht="15.75" x14ac:dyDescent="0.25">
      <c r="A182" s="223"/>
      <c r="B182" s="281"/>
      <c r="C182" s="281"/>
      <c r="D182" s="281"/>
      <c r="E182" s="224"/>
      <c r="F182" s="192"/>
      <c r="G182" s="193"/>
      <c r="H182" s="223"/>
      <c r="I182" s="281"/>
      <c r="J182" s="225"/>
      <c r="K182" s="225"/>
      <c r="L182" s="226"/>
      <c r="M182" s="226"/>
      <c r="N182" s="181">
        <f t="shared" si="2"/>
        <v>0</v>
      </c>
      <c r="O182" s="227"/>
      <c r="P182" s="227"/>
      <c r="Q182" s="223"/>
      <c r="R182" s="781"/>
      <c r="S182" s="781"/>
    </row>
    <row r="183" spans="1:19" ht="15.75" x14ac:dyDescent="0.25">
      <c r="A183" s="223"/>
      <c r="B183" s="281"/>
      <c r="C183" s="281"/>
      <c r="D183" s="281"/>
      <c r="E183" s="224"/>
      <c r="F183" s="192"/>
      <c r="G183" s="193"/>
      <c r="H183" s="223"/>
      <c r="I183" s="281"/>
      <c r="J183" s="225"/>
      <c r="K183" s="225"/>
      <c r="L183" s="226"/>
      <c r="M183" s="226"/>
      <c r="N183" s="181">
        <f t="shared" si="2"/>
        <v>0</v>
      </c>
      <c r="O183" s="227"/>
      <c r="P183" s="227"/>
      <c r="Q183" s="223"/>
      <c r="R183" s="781"/>
      <c r="S183" s="781"/>
    </row>
    <row r="184" spans="1:19" ht="15.75" x14ac:dyDescent="0.25">
      <c r="A184" s="223"/>
      <c r="B184" s="281"/>
      <c r="C184" s="281"/>
      <c r="D184" s="281"/>
      <c r="E184" s="224"/>
      <c r="F184" s="192"/>
      <c r="G184" s="193"/>
      <c r="H184" s="223"/>
      <c r="I184" s="281"/>
      <c r="J184" s="225"/>
      <c r="K184" s="225"/>
      <c r="L184" s="226"/>
      <c r="M184" s="226"/>
      <c r="N184" s="181">
        <f t="shared" si="2"/>
        <v>0</v>
      </c>
      <c r="O184" s="227"/>
      <c r="P184" s="227"/>
      <c r="Q184" s="223"/>
      <c r="R184" s="781"/>
      <c r="S184" s="781"/>
    </row>
    <row r="185" spans="1:19" ht="15.75" x14ac:dyDescent="0.25">
      <c r="A185" s="223"/>
      <c r="B185" s="281"/>
      <c r="C185" s="281"/>
      <c r="D185" s="281"/>
      <c r="E185" s="224"/>
      <c r="F185" s="192"/>
      <c r="G185" s="193"/>
      <c r="H185" s="223"/>
      <c r="I185" s="281"/>
      <c r="J185" s="225"/>
      <c r="K185" s="225"/>
      <c r="L185" s="226"/>
      <c r="M185" s="226"/>
      <c r="N185" s="181">
        <f t="shared" si="2"/>
        <v>0</v>
      </c>
      <c r="O185" s="227"/>
      <c r="P185" s="227"/>
      <c r="Q185" s="223"/>
      <c r="R185" s="781"/>
      <c r="S185" s="781"/>
    </row>
    <row r="186" spans="1:19" ht="15.75" x14ac:dyDescent="0.25">
      <c r="A186" s="223"/>
      <c r="B186" s="281"/>
      <c r="C186" s="281"/>
      <c r="D186" s="281"/>
      <c r="E186" s="224"/>
      <c r="F186" s="192"/>
      <c r="G186" s="193"/>
      <c r="H186" s="223"/>
      <c r="I186" s="281"/>
      <c r="J186" s="225"/>
      <c r="K186" s="225"/>
      <c r="L186" s="226"/>
      <c r="M186" s="226"/>
      <c r="N186" s="181">
        <f t="shared" si="2"/>
        <v>0</v>
      </c>
      <c r="O186" s="227"/>
      <c r="P186" s="227"/>
      <c r="Q186" s="223"/>
      <c r="R186" s="781"/>
      <c r="S186" s="781"/>
    </row>
    <row r="187" spans="1:19" ht="15.75" x14ac:dyDescent="0.25">
      <c r="A187" s="223"/>
      <c r="B187" s="281"/>
      <c r="C187" s="281"/>
      <c r="D187" s="281"/>
      <c r="E187" s="224"/>
      <c r="F187" s="192"/>
      <c r="G187" s="193"/>
      <c r="H187" s="223"/>
      <c r="I187" s="281"/>
      <c r="J187" s="225"/>
      <c r="K187" s="225"/>
      <c r="L187" s="226"/>
      <c r="M187" s="226"/>
      <c r="N187" s="181">
        <f t="shared" si="2"/>
        <v>0</v>
      </c>
      <c r="O187" s="227"/>
      <c r="P187" s="227"/>
      <c r="Q187" s="223"/>
      <c r="R187" s="781"/>
      <c r="S187" s="781"/>
    </row>
    <row r="188" spans="1:19" ht="15.75" x14ac:dyDescent="0.25">
      <c r="A188" s="223"/>
      <c r="B188" s="281"/>
      <c r="C188" s="281"/>
      <c r="D188" s="281"/>
      <c r="E188" s="224"/>
      <c r="F188" s="192"/>
      <c r="G188" s="193"/>
      <c r="H188" s="223"/>
      <c r="I188" s="281"/>
      <c r="J188" s="225"/>
      <c r="K188" s="225"/>
      <c r="L188" s="226"/>
      <c r="M188" s="226"/>
      <c r="N188" s="181">
        <f t="shared" si="2"/>
        <v>0</v>
      </c>
      <c r="O188" s="227"/>
      <c r="P188" s="227"/>
      <c r="Q188" s="223"/>
      <c r="R188" s="781"/>
      <c r="S188" s="781"/>
    </row>
    <row r="189" spans="1:19" ht="15.75" x14ac:dyDescent="0.25">
      <c r="A189" s="223"/>
      <c r="B189" s="281"/>
      <c r="C189" s="281"/>
      <c r="D189" s="281"/>
      <c r="E189" s="224"/>
      <c r="F189" s="192"/>
      <c r="G189" s="193"/>
      <c r="H189" s="223"/>
      <c r="I189" s="281"/>
      <c r="J189" s="225"/>
      <c r="K189" s="225"/>
      <c r="L189" s="226"/>
      <c r="M189" s="226"/>
      <c r="N189" s="181">
        <f t="shared" si="2"/>
        <v>0</v>
      </c>
      <c r="O189" s="227"/>
      <c r="P189" s="227"/>
      <c r="Q189" s="223"/>
      <c r="R189" s="781"/>
      <c r="S189" s="781"/>
    </row>
    <row r="190" spans="1:19" ht="15.75" x14ac:dyDescent="0.25">
      <c r="A190" s="223"/>
      <c r="B190" s="281"/>
      <c r="C190" s="281"/>
      <c r="D190" s="281"/>
      <c r="E190" s="224"/>
      <c r="F190" s="192"/>
      <c r="G190" s="193"/>
      <c r="H190" s="223"/>
      <c r="I190" s="281"/>
      <c r="J190" s="225"/>
      <c r="K190" s="225"/>
      <c r="L190" s="226"/>
      <c r="M190" s="226"/>
      <c r="N190" s="181">
        <f t="shared" si="2"/>
        <v>0</v>
      </c>
      <c r="O190" s="227"/>
      <c r="P190" s="227"/>
      <c r="Q190" s="223"/>
      <c r="R190" s="781"/>
      <c r="S190" s="781"/>
    </row>
    <row r="191" spans="1:19" ht="15.75" x14ac:dyDescent="0.25">
      <c r="A191" s="223"/>
      <c r="B191" s="281"/>
      <c r="C191" s="281"/>
      <c r="D191" s="281"/>
      <c r="E191" s="224"/>
      <c r="F191" s="192"/>
      <c r="G191" s="193"/>
      <c r="H191" s="223"/>
      <c r="I191" s="281"/>
      <c r="J191" s="225"/>
      <c r="K191" s="225"/>
      <c r="L191" s="226"/>
      <c r="M191" s="226"/>
      <c r="N191" s="181">
        <f t="shared" si="2"/>
        <v>0</v>
      </c>
      <c r="O191" s="227"/>
      <c r="P191" s="227"/>
      <c r="Q191" s="223"/>
      <c r="R191" s="781"/>
      <c r="S191" s="781"/>
    </row>
    <row r="192" spans="1:19" ht="15.75" x14ac:dyDescent="0.25">
      <c r="A192" s="223"/>
      <c r="B192" s="281"/>
      <c r="C192" s="281"/>
      <c r="D192" s="281"/>
      <c r="E192" s="224"/>
      <c r="F192" s="192"/>
      <c r="G192" s="193"/>
      <c r="H192" s="223"/>
      <c r="I192" s="281"/>
      <c r="J192" s="225"/>
      <c r="K192" s="225"/>
      <c r="L192" s="226"/>
      <c r="M192" s="226"/>
      <c r="N192" s="181">
        <f t="shared" si="2"/>
        <v>0</v>
      </c>
      <c r="O192" s="227"/>
      <c r="P192" s="227"/>
      <c r="Q192" s="223"/>
      <c r="R192" s="781"/>
      <c r="S192" s="781"/>
    </row>
    <row r="193" spans="1:19" ht="15.75" x14ac:dyDescent="0.25">
      <c r="A193" s="223"/>
      <c r="B193" s="281"/>
      <c r="C193" s="281"/>
      <c r="D193" s="281"/>
      <c r="E193" s="224"/>
      <c r="F193" s="192"/>
      <c r="G193" s="193"/>
      <c r="H193" s="223"/>
      <c r="I193" s="281"/>
      <c r="J193" s="225"/>
      <c r="K193" s="225"/>
      <c r="L193" s="226"/>
      <c r="M193" s="226"/>
      <c r="N193" s="181">
        <f t="shared" si="2"/>
        <v>0</v>
      </c>
      <c r="O193" s="227"/>
      <c r="P193" s="227"/>
      <c r="Q193" s="223"/>
      <c r="R193" s="781"/>
      <c r="S193" s="781"/>
    </row>
    <row r="194" spans="1:19" ht="15.75" x14ac:dyDescent="0.25">
      <c r="A194" s="223"/>
      <c r="B194" s="281"/>
      <c r="C194" s="281"/>
      <c r="D194" s="281"/>
      <c r="E194" s="224"/>
      <c r="F194" s="192"/>
      <c r="G194" s="193"/>
      <c r="H194" s="223"/>
      <c r="I194" s="281"/>
      <c r="J194" s="225"/>
      <c r="K194" s="225"/>
      <c r="L194" s="226"/>
      <c r="M194" s="226"/>
      <c r="N194" s="181">
        <f t="shared" si="2"/>
        <v>0</v>
      </c>
      <c r="O194" s="227"/>
      <c r="P194" s="227"/>
      <c r="Q194" s="223"/>
      <c r="R194" s="781"/>
      <c r="S194" s="781"/>
    </row>
    <row r="195" spans="1:19" ht="15.75" x14ac:dyDescent="0.25">
      <c r="A195" s="223"/>
      <c r="B195" s="281"/>
      <c r="C195" s="281"/>
      <c r="D195" s="281"/>
      <c r="E195" s="224"/>
      <c r="F195" s="192"/>
      <c r="G195" s="193"/>
      <c r="H195" s="223"/>
      <c r="I195" s="281"/>
      <c r="J195" s="225"/>
      <c r="K195" s="225"/>
      <c r="L195" s="226"/>
      <c r="M195" s="226"/>
      <c r="N195" s="181">
        <f t="shared" si="2"/>
        <v>0</v>
      </c>
      <c r="O195" s="227"/>
      <c r="P195" s="227"/>
      <c r="Q195" s="223"/>
      <c r="R195" s="781"/>
      <c r="S195" s="781"/>
    </row>
    <row r="196" spans="1:19" ht="15.75" x14ac:dyDescent="0.25">
      <c r="A196" s="223"/>
      <c r="B196" s="281"/>
      <c r="C196" s="281"/>
      <c r="D196" s="281"/>
      <c r="E196" s="224"/>
      <c r="F196" s="192"/>
      <c r="G196" s="193"/>
      <c r="H196" s="223"/>
      <c r="I196" s="281"/>
      <c r="J196" s="225"/>
      <c r="K196" s="225"/>
      <c r="L196" s="226"/>
      <c r="M196" s="226"/>
      <c r="N196" s="181">
        <f t="shared" si="2"/>
        <v>0</v>
      </c>
      <c r="O196" s="227"/>
      <c r="P196" s="227"/>
      <c r="Q196" s="223"/>
      <c r="R196" s="781"/>
      <c r="S196" s="781"/>
    </row>
    <row r="197" spans="1:19" ht="15.75" x14ac:dyDescent="0.25">
      <c r="A197" s="223"/>
      <c r="B197" s="281"/>
      <c r="C197" s="281"/>
      <c r="D197" s="281"/>
      <c r="E197" s="224"/>
      <c r="F197" s="192"/>
      <c r="G197" s="193"/>
      <c r="H197" s="223"/>
      <c r="I197" s="281"/>
      <c r="J197" s="225"/>
      <c r="K197" s="225"/>
      <c r="L197" s="226"/>
      <c r="M197" s="226"/>
      <c r="N197" s="181">
        <f t="shared" si="2"/>
        <v>0</v>
      </c>
      <c r="O197" s="227"/>
      <c r="P197" s="227"/>
      <c r="Q197" s="223"/>
      <c r="R197" s="781"/>
      <c r="S197" s="781"/>
    </row>
    <row r="198" spans="1:19" ht="15.75" x14ac:dyDescent="0.25">
      <c r="A198" s="223"/>
      <c r="B198" s="281"/>
      <c r="C198" s="281"/>
      <c r="D198" s="281"/>
      <c r="E198" s="224"/>
      <c r="F198" s="192"/>
      <c r="G198" s="193"/>
      <c r="H198" s="223"/>
      <c r="I198" s="281"/>
      <c r="J198" s="225"/>
      <c r="K198" s="225"/>
      <c r="L198" s="226"/>
      <c r="M198" s="226"/>
      <c r="N198" s="181">
        <f t="shared" ref="N198:N220" si="3">M198+L198</f>
        <v>0</v>
      </c>
      <c r="O198" s="227"/>
      <c r="P198" s="227"/>
      <c r="Q198" s="223"/>
      <c r="R198" s="781"/>
      <c r="S198" s="781"/>
    </row>
    <row r="199" spans="1:19" ht="15.75" x14ac:dyDescent="0.25">
      <c r="A199" s="223"/>
      <c r="B199" s="281"/>
      <c r="C199" s="281"/>
      <c r="D199" s="281"/>
      <c r="E199" s="224"/>
      <c r="F199" s="192"/>
      <c r="G199" s="193"/>
      <c r="H199" s="223"/>
      <c r="I199" s="281"/>
      <c r="J199" s="225"/>
      <c r="K199" s="225"/>
      <c r="L199" s="226"/>
      <c r="M199" s="226"/>
      <c r="N199" s="181">
        <f t="shared" si="3"/>
        <v>0</v>
      </c>
      <c r="O199" s="227"/>
      <c r="P199" s="227"/>
      <c r="Q199" s="223"/>
      <c r="R199" s="781"/>
      <c r="S199" s="781"/>
    </row>
    <row r="200" spans="1:19" ht="15.75" x14ac:dyDescent="0.25">
      <c r="A200" s="223"/>
      <c r="B200" s="281"/>
      <c r="C200" s="281"/>
      <c r="D200" s="281"/>
      <c r="E200" s="224"/>
      <c r="F200" s="192"/>
      <c r="G200" s="193"/>
      <c r="H200" s="223"/>
      <c r="I200" s="281"/>
      <c r="J200" s="225"/>
      <c r="K200" s="225"/>
      <c r="L200" s="226"/>
      <c r="M200" s="226"/>
      <c r="N200" s="181">
        <f t="shared" si="3"/>
        <v>0</v>
      </c>
      <c r="O200" s="227"/>
      <c r="P200" s="227"/>
      <c r="Q200" s="223"/>
      <c r="R200" s="781"/>
      <c r="S200" s="781"/>
    </row>
    <row r="201" spans="1:19" ht="15.75" x14ac:dyDescent="0.25">
      <c r="A201" s="223"/>
      <c r="B201" s="281"/>
      <c r="C201" s="281"/>
      <c r="D201" s="281"/>
      <c r="E201" s="224"/>
      <c r="F201" s="192"/>
      <c r="G201" s="193"/>
      <c r="H201" s="223"/>
      <c r="I201" s="281"/>
      <c r="J201" s="225"/>
      <c r="K201" s="225"/>
      <c r="L201" s="226"/>
      <c r="M201" s="226"/>
      <c r="N201" s="181">
        <f t="shared" si="3"/>
        <v>0</v>
      </c>
      <c r="O201" s="227"/>
      <c r="P201" s="227"/>
      <c r="Q201" s="223"/>
      <c r="R201" s="781"/>
      <c r="S201" s="781"/>
    </row>
    <row r="202" spans="1:19" ht="15.75" x14ac:dyDescent="0.25">
      <c r="A202" s="223"/>
      <c r="B202" s="281"/>
      <c r="C202" s="281"/>
      <c r="D202" s="281"/>
      <c r="E202" s="224"/>
      <c r="F202" s="192"/>
      <c r="G202" s="193"/>
      <c r="H202" s="223"/>
      <c r="I202" s="281"/>
      <c r="J202" s="225"/>
      <c r="K202" s="225"/>
      <c r="L202" s="226"/>
      <c r="M202" s="226"/>
      <c r="N202" s="181">
        <f t="shared" si="3"/>
        <v>0</v>
      </c>
      <c r="O202" s="227"/>
      <c r="P202" s="227"/>
      <c r="Q202" s="223"/>
      <c r="R202" s="781"/>
      <c r="S202" s="781"/>
    </row>
    <row r="203" spans="1:19" ht="15.75" x14ac:dyDescent="0.25">
      <c r="A203" s="223"/>
      <c r="B203" s="281"/>
      <c r="C203" s="281"/>
      <c r="D203" s="281"/>
      <c r="E203" s="224"/>
      <c r="F203" s="192"/>
      <c r="G203" s="193"/>
      <c r="H203" s="223"/>
      <c r="I203" s="281"/>
      <c r="J203" s="225"/>
      <c r="K203" s="225"/>
      <c r="L203" s="226"/>
      <c r="M203" s="226"/>
      <c r="N203" s="181">
        <f t="shared" si="3"/>
        <v>0</v>
      </c>
      <c r="O203" s="227"/>
      <c r="P203" s="227"/>
      <c r="Q203" s="223"/>
      <c r="R203" s="781"/>
      <c r="S203" s="781"/>
    </row>
    <row r="204" spans="1:19" ht="15.75" x14ac:dyDescent="0.25">
      <c r="A204" s="223"/>
      <c r="B204" s="281"/>
      <c r="C204" s="281"/>
      <c r="D204" s="281"/>
      <c r="E204" s="224"/>
      <c r="F204" s="192"/>
      <c r="G204" s="193"/>
      <c r="H204" s="223"/>
      <c r="I204" s="281"/>
      <c r="J204" s="225"/>
      <c r="K204" s="225"/>
      <c r="L204" s="226"/>
      <c r="M204" s="226"/>
      <c r="N204" s="181">
        <f t="shared" si="3"/>
        <v>0</v>
      </c>
      <c r="O204" s="227"/>
      <c r="P204" s="227"/>
      <c r="Q204" s="223"/>
      <c r="R204" s="781"/>
      <c r="S204" s="781"/>
    </row>
    <row r="205" spans="1:19" ht="15.75" x14ac:dyDescent="0.25">
      <c r="A205" s="223"/>
      <c r="B205" s="281"/>
      <c r="C205" s="281"/>
      <c r="D205" s="281"/>
      <c r="E205" s="224"/>
      <c r="F205" s="192"/>
      <c r="G205" s="193"/>
      <c r="H205" s="223"/>
      <c r="I205" s="281"/>
      <c r="J205" s="225"/>
      <c r="K205" s="225"/>
      <c r="L205" s="226"/>
      <c r="M205" s="226"/>
      <c r="N205" s="181">
        <f t="shared" si="3"/>
        <v>0</v>
      </c>
      <c r="O205" s="227"/>
      <c r="P205" s="227"/>
      <c r="Q205" s="223"/>
      <c r="R205" s="781"/>
      <c r="S205" s="781"/>
    </row>
    <row r="206" spans="1:19" ht="15.75" x14ac:dyDescent="0.25">
      <c r="A206" s="223"/>
      <c r="B206" s="281"/>
      <c r="C206" s="281"/>
      <c r="D206" s="281"/>
      <c r="E206" s="224"/>
      <c r="F206" s="192"/>
      <c r="G206" s="193"/>
      <c r="H206" s="223"/>
      <c r="I206" s="281"/>
      <c r="J206" s="225"/>
      <c r="K206" s="225"/>
      <c r="L206" s="226"/>
      <c r="M206" s="226"/>
      <c r="N206" s="181">
        <f t="shared" si="3"/>
        <v>0</v>
      </c>
      <c r="O206" s="227"/>
      <c r="P206" s="227"/>
      <c r="Q206" s="223"/>
      <c r="R206" s="781"/>
      <c r="S206" s="781"/>
    </row>
    <row r="207" spans="1:19" ht="15.75" x14ac:dyDescent="0.25">
      <c r="A207" s="223"/>
      <c r="B207" s="281"/>
      <c r="C207" s="281"/>
      <c r="D207" s="281"/>
      <c r="E207" s="224"/>
      <c r="F207" s="192"/>
      <c r="G207" s="193"/>
      <c r="H207" s="223"/>
      <c r="I207" s="281"/>
      <c r="J207" s="225"/>
      <c r="K207" s="225"/>
      <c r="L207" s="226"/>
      <c r="M207" s="226"/>
      <c r="N207" s="181">
        <f t="shared" si="3"/>
        <v>0</v>
      </c>
      <c r="O207" s="227"/>
      <c r="P207" s="227"/>
      <c r="Q207" s="223"/>
      <c r="R207" s="781"/>
      <c r="S207" s="781"/>
    </row>
    <row r="208" spans="1:19" ht="15.75" x14ac:dyDescent="0.25">
      <c r="A208" s="223"/>
      <c r="B208" s="281"/>
      <c r="C208" s="281"/>
      <c r="D208" s="281"/>
      <c r="E208" s="224"/>
      <c r="F208" s="192"/>
      <c r="G208" s="193"/>
      <c r="H208" s="223"/>
      <c r="I208" s="281"/>
      <c r="J208" s="225"/>
      <c r="K208" s="225"/>
      <c r="L208" s="226"/>
      <c r="M208" s="226"/>
      <c r="N208" s="181">
        <f t="shared" si="3"/>
        <v>0</v>
      </c>
      <c r="O208" s="227"/>
      <c r="P208" s="227"/>
      <c r="Q208" s="223"/>
      <c r="R208" s="781"/>
      <c r="S208" s="781"/>
    </row>
    <row r="209" spans="1:19" ht="15.75" x14ac:dyDescent="0.25">
      <c r="A209" s="223"/>
      <c r="B209" s="281"/>
      <c r="C209" s="281"/>
      <c r="D209" s="281"/>
      <c r="E209" s="224"/>
      <c r="F209" s="192"/>
      <c r="G209" s="193"/>
      <c r="H209" s="223"/>
      <c r="I209" s="281"/>
      <c r="J209" s="225"/>
      <c r="K209" s="225"/>
      <c r="L209" s="226"/>
      <c r="M209" s="226"/>
      <c r="N209" s="181">
        <f t="shared" si="3"/>
        <v>0</v>
      </c>
      <c r="O209" s="227"/>
      <c r="P209" s="227"/>
      <c r="Q209" s="223"/>
      <c r="R209" s="781"/>
      <c r="S209" s="781"/>
    </row>
    <row r="210" spans="1:19" ht="15.75" x14ac:dyDescent="0.25">
      <c r="A210" s="223"/>
      <c r="B210" s="281"/>
      <c r="C210" s="281"/>
      <c r="D210" s="281"/>
      <c r="E210" s="224"/>
      <c r="F210" s="192"/>
      <c r="G210" s="193"/>
      <c r="H210" s="223"/>
      <c r="I210" s="281"/>
      <c r="J210" s="225"/>
      <c r="K210" s="225"/>
      <c r="L210" s="226"/>
      <c r="M210" s="226"/>
      <c r="N210" s="181">
        <f t="shared" si="3"/>
        <v>0</v>
      </c>
      <c r="O210" s="227"/>
      <c r="P210" s="227"/>
      <c r="Q210" s="223"/>
      <c r="R210" s="781"/>
      <c r="S210" s="781"/>
    </row>
    <row r="211" spans="1:19" ht="15.75" x14ac:dyDescent="0.25">
      <c r="A211" s="223"/>
      <c r="B211" s="281"/>
      <c r="C211" s="281"/>
      <c r="D211" s="281"/>
      <c r="E211" s="224"/>
      <c r="F211" s="192"/>
      <c r="G211" s="193"/>
      <c r="H211" s="223"/>
      <c r="I211" s="281"/>
      <c r="J211" s="225"/>
      <c r="K211" s="225"/>
      <c r="L211" s="226"/>
      <c r="M211" s="226"/>
      <c r="N211" s="181">
        <f t="shared" si="3"/>
        <v>0</v>
      </c>
      <c r="O211" s="227"/>
      <c r="P211" s="227"/>
      <c r="Q211" s="223"/>
      <c r="R211" s="781"/>
      <c r="S211" s="781"/>
    </row>
    <row r="212" spans="1:19" ht="15.75" x14ac:dyDescent="0.25">
      <c r="A212" s="223"/>
      <c r="B212" s="281"/>
      <c r="C212" s="281"/>
      <c r="D212" s="281"/>
      <c r="E212" s="224"/>
      <c r="F212" s="192"/>
      <c r="G212" s="193"/>
      <c r="H212" s="223"/>
      <c r="I212" s="281"/>
      <c r="J212" s="225"/>
      <c r="K212" s="225"/>
      <c r="L212" s="226"/>
      <c r="M212" s="226"/>
      <c r="N212" s="181">
        <f t="shared" si="3"/>
        <v>0</v>
      </c>
      <c r="O212" s="227"/>
      <c r="P212" s="227"/>
      <c r="Q212" s="223"/>
      <c r="R212" s="781"/>
      <c r="S212" s="781"/>
    </row>
    <row r="213" spans="1:19" ht="15.75" x14ac:dyDescent="0.25">
      <c r="A213" s="223"/>
      <c r="B213" s="281"/>
      <c r="C213" s="281"/>
      <c r="D213" s="281"/>
      <c r="E213" s="224"/>
      <c r="F213" s="192"/>
      <c r="G213" s="193"/>
      <c r="H213" s="223"/>
      <c r="I213" s="281"/>
      <c r="J213" s="225"/>
      <c r="K213" s="225"/>
      <c r="L213" s="226"/>
      <c r="M213" s="226"/>
      <c r="N213" s="181">
        <f t="shared" si="3"/>
        <v>0</v>
      </c>
      <c r="O213" s="227"/>
      <c r="P213" s="227"/>
      <c r="Q213" s="223"/>
      <c r="R213" s="781"/>
      <c r="S213" s="781"/>
    </row>
    <row r="214" spans="1:19" ht="15.75" x14ac:dyDescent="0.25">
      <c r="A214" s="223"/>
      <c r="B214" s="281"/>
      <c r="C214" s="281"/>
      <c r="D214" s="281"/>
      <c r="E214" s="224"/>
      <c r="F214" s="192"/>
      <c r="G214" s="193"/>
      <c r="H214" s="223"/>
      <c r="I214" s="281"/>
      <c r="J214" s="225"/>
      <c r="K214" s="225"/>
      <c r="L214" s="226"/>
      <c r="M214" s="226"/>
      <c r="N214" s="181">
        <f t="shared" si="3"/>
        <v>0</v>
      </c>
      <c r="O214" s="227"/>
      <c r="P214" s="227"/>
      <c r="Q214" s="223"/>
      <c r="R214" s="781"/>
      <c r="S214" s="781"/>
    </row>
    <row r="215" spans="1:19" ht="15.75" x14ac:dyDescent="0.25">
      <c r="A215" s="223"/>
      <c r="B215" s="281"/>
      <c r="C215" s="281"/>
      <c r="D215" s="281"/>
      <c r="E215" s="224"/>
      <c r="F215" s="192"/>
      <c r="G215" s="193"/>
      <c r="H215" s="223"/>
      <c r="I215" s="281"/>
      <c r="J215" s="225"/>
      <c r="K215" s="225"/>
      <c r="L215" s="226"/>
      <c r="M215" s="226"/>
      <c r="N215" s="181">
        <f t="shared" si="3"/>
        <v>0</v>
      </c>
      <c r="O215" s="227"/>
      <c r="P215" s="227"/>
      <c r="Q215" s="223"/>
      <c r="R215" s="781"/>
      <c r="S215" s="781"/>
    </row>
    <row r="216" spans="1:19" ht="15.75" x14ac:dyDescent="0.25">
      <c r="A216" s="223"/>
      <c r="B216" s="281"/>
      <c r="C216" s="281"/>
      <c r="D216" s="281"/>
      <c r="E216" s="224"/>
      <c r="F216" s="192"/>
      <c r="G216" s="193"/>
      <c r="H216" s="223"/>
      <c r="I216" s="281"/>
      <c r="J216" s="225"/>
      <c r="K216" s="225"/>
      <c r="L216" s="226"/>
      <c r="M216" s="226"/>
      <c r="N216" s="181">
        <f t="shared" si="3"/>
        <v>0</v>
      </c>
      <c r="O216" s="227"/>
      <c r="P216" s="227"/>
      <c r="Q216" s="223"/>
      <c r="R216" s="781"/>
      <c r="S216" s="781"/>
    </row>
    <row r="217" spans="1:19" ht="15.75" x14ac:dyDescent="0.25">
      <c r="A217" s="223"/>
      <c r="B217" s="281"/>
      <c r="C217" s="281"/>
      <c r="D217" s="281"/>
      <c r="E217" s="224"/>
      <c r="F217" s="192"/>
      <c r="G217" s="193"/>
      <c r="H217" s="223"/>
      <c r="I217" s="281"/>
      <c r="J217" s="225"/>
      <c r="K217" s="225"/>
      <c r="L217" s="226"/>
      <c r="M217" s="226"/>
      <c r="N217" s="181">
        <f t="shared" si="3"/>
        <v>0</v>
      </c>
      <c r="O217" s="227"/>
      <c r="P217" s="227"/>
      <c r="Q217" s="223"/>
      <c r="R217" s="781"/>
      <c r="S217" s="781"/>
    </row>
    <row r="218" spans="1:19" ht="15.75" x14ac:dyDescent="0.25">
      <c r="A218" s="223"/>
      <c r="B218" s="281"/>
      <c r="C218" s="281"/>
      <c r="D218" s="281"/>
      <c r="E218" s="224"/>
      <c r="F218" s="192"/>
      <c r="G218" s="193"/>
      <c r="H218" s="223"/>
      <c r="I218" s="281"/>
      <c r="J218" s="225"/>
      <c r="K218" s="225"/>
      <c r="L218" s="226"/>
      <c r="M218" s="226"/>
      <c r="N218" s="181">
        <f t="shared" si="3"/>
        <v>0</v>
      </c>
      <c r="O218" s="227"/>
      <c r="P218" s="227"/>
      <c r="Q218" s="223"/>
      <c r="R218" s="781"/>
      <c r="S218" s="781"/>
    </row>
    <row r="219" spans="1:19" ht="15.75" x14ac:dyDescent="0.25">
      <c r="A219" s="223"/>
      <c r="B219" s="281"/>
      <c r="C219" s="281"/>
      <c r="D219" s="281"/>
      <c r="E219" s="224"/>
      <c r="F219" s="192"/>
      <c r="G219" s="193"/>
      <c r="H219" s="223"/>
      <c r="I219" s="281"/>
      <c r="J219" s="225"/>
      <c r="K219" s="225"/>
      <c r="L219" s="226"/>
      <c r="M219" s="226"/>
      <c r="N219" s="181">
        <f t="shared" si="3"/>
        <v>0</v>
      </c>
      <c r="O219" s="227"/>
      <c r="P219" s="227"/>
      <c r="Q219" s="223"/>
      <c r="R219" s="781"/>
      <c r="S219" s="781"/>
    </row>
    <row r="220" spans="1:19" ht="15.75" x14ac:dyDescent="0.25">
      <c r="A220" s="223"/>
      <c r="B220" s="281"/>
      <c r="C220" s="281"/>
      <c r="D220" s="281"/>
      <c r="E220" s="224"/>
      <c r="F220" s="192"/>
      <c r="G220" s="193"/>
      <c r="H220" s="223"/>
      <c r="I220" s="281"/>
      <c r="J220" s="225"/>
      <c r="K220" s="225"/>
      <c r="L220" s="226"/>
      <c r="M220" s="226"/>
      <c r="N220" s="181">
        <f t="shared" si="3"/>
        <v>0</v>
      </c>
      <c r="O220" s="227"/>
      <c r="P220" s="227"/>
      <c r="Q220" s="223"/>
      <c r="R220" s="781"/>
      <c r="S220" s="781"/>
    </row>
    <row r="221" spans="1:19" x14ac:dyDescent="0.25">
      <c r="A221" s="223"/>
      <c r="B221" s="281"/>
      <c r="C221" s="281"/>
      <c r="D221" s="281"/>
      <c r="E221" s="224"/>
      <c r="F221" s="192"/>
      <c r="G221" s="193"/>
      <c r="H221" s="223"/>
      <c r="I221" s="281"/>
      <c r="J221" s="225"/>
      <c r="K221" s="225"/>
      <c r="L221" s="226"/>
      <c r="M221" s="226"/>
      <c r="N221" s="226"/>
      <c r="O221" s="227"/>
      <c r="P221" s="227"/>
      <c r="Q221" s="223"/>
      <c r="R221" s="781"/>
      <c r="S221" s="781"/>
    </row>
    <row r="222" spans="1:19" x14ac:dyDescent="0.25">
      <c r="A222" s="223"/>
      <c r="B222" s="281"/>
      <c r="C222" s="281"/>
      <c r="D222" s="281"/>
      <c r="E222" s="224"/>
      <c r="F222" s="192"/>
      <c r="G222" s="193"/>
      <c r="H222" s="223"/>
      <c r="I222" s="281"/>
      <c r="J222" s="225"/>
      <c r="K222" s="225"/>
      <c r="L222" s="226"/>
      <c r="M222" s="226"/>
      <c r="N222" s="226"/>
      <c r="O222" s="227"/>
      <c r="P222" s="227"/>
      <c r="Q222" s="223"/>
      <c r="R222" s="781"/>
      <c r="S222" s="781"/>
    </row>
    <row r="223" spans="1:19" x14ac:dyDescent="0.25">
      <c r="A223" s="223"/>
      <c r="B223" s="281"/>
      <c r="C223" s="281"/>
      <c r="D223" s="281"/>
      <c r="E223" s="224"/>
      <c r="F223" s="192"/>
      <c r="G223" s="193"/>
      <c r="H223" s="223"/>
      <c r="I223" s="281"/>
      <c r="J223" s="225"/>
      <c r="K223" s="225"/>
      <c r="L223" s="226"/>
      <c r="M223" s="226"/>
      <c r="N223" s="226"/>
      <c r="O223" s="227"/>
      <c r="P223" s="227"/>
      <c r="Q223" s="223"/>
      <c r="R223" s="781"/>
      <c r="S223" s="781"/>
    </row>
    <row r="224" spans="1:19" x14ac:dyDescent="0.25">
      <c r="A224" s="223"/>
      <c r="B224" s="281"/>
      <c r="C224" s="281"/>
      <c r="D224" s="281"/>
      <c r="E224" s="224"/>
      <c r="F224" s="192"/>
      <c r="G224" s="193"/>
      <c r="H224" s="223"/>
      <c r="I224" s="281"/>
      <c r="J224" s="225"/>
      <c r="K224" s="225"/>
      <c r="L224" s="226"/>
      <c r="M224" s="226"/>
      <c r="N224" s="226"/>
      <c r="O224" s="227"/>
      <c r="P224" s="227"/>
      <c r="Q224" s="223"/>
      <c r="R224" s="781"/>
      <c r="S224" s="781"/>
    </row>
    <row r="225" spans="1:19" x14ac:dyDescent="0.25">
      <c r="A225" s="223"/>
      <c r="B225" s="281"/>
      <c r="C225" s="281"/>
      <c r="D225" s="281"/>
      <c r="E225" s="224"/>
      <c r="F225" s="192"/>
      <c r="G225" s="193"/>
      <c r="H225" s="223"/>
      <c r="I225" s="281"/>
      <c r="J225" s="225"/>
      <c r="K225" s="225"/>
      <c r="L225" s="226"/>
      <c r="M225" s="226"/>
      <c r="N225" s="226"/>
      <c r="O225" s="227"/>
      <c r="P225" s="227"/>
      <c r="Q225" s="223"/>
      <c r="R225" s="781"/>
      <c r="S225" s="781"/>
    </row>
    <row r="226" spans="1:19" x14ac:dyDescent="0.25">
      <c r="A226" s="223"/>
      <c r="B226" s="281"/>
      <c r="C226" s="281"/>
      <c r="D226" s="281"/>
      <c r="E226" s="224"/>
      <c r="F226" s="192"/>
      <c r="G226" s="193"/>
      <c r="H226" s="223"/>
      <c r="I226" s="281"/>
      <c r="J226" s="225"/>
      <c r="K226" s="225"/>
      <c r="L226" s="226"/>
      <c r="M226" s="226"/>
      <c r="N226" s="226"/>
      <c r="O226" s="227"/>
      <c r="P226" s="227"/>
      <c r="Q226" s="223"/>
      <c r="R226" s="781"/>
      <c r="S226" s="781"/>
    </row>
    <row r="227" spans="1:19" x14ac:dyDescent="0.25">
      <c r="A227" s="223"/>
      <c r="B227" s="281"/>
      <c r="C227" s="281"/>
      <c r="D227" s="281"/>
      <c r="E227" s="224"/>
      <c r="F227" s="192"/>
      <c r="G227" s="193"/>
      <c r="H227" s="223"/>
      <c r="I227" s="281"/>
      <c r="J227" s="225"/>
      <c r="K227" s="225"/>
      <c r="L227" s="226"/>
      <c r="M227" s="226"/>
      <c r="N227" s="226"/>
      <c r="O227" s="227"/>
      <c r="P227" s="227"/>
      <c r="Q227" s="223"/>
      <c r="R227" s="781"/>
      <c r="S227" s="781"/>
    </row>
    <row r="228" spans="1:19" x14ac:dyDescent="0.25">
      <c r="A228" s="223"/>
      <c r="B228" s="281"/>
      <c r="C228" s="281"/>
      <c r="D228" s="281"/>
      <c r="E228" s="224"/>
      <c r="F228" s="192"/>
      <c r="G228" s="193"/>
      <c r="H228" s="223"/>
      <c r="I228" s="281"/>
      <c r="J228" s="225"/>
      <c r="K228" s="225"/>
      <c r="L228" s="226"/>
      <c r="M228" s="226"/>
      <c r="N228" s="226"/>
      <c r="O228" s="227"/>
      <c r="P228" s="227"/>
      <c r="Q228" s="223"/>
      <c r="R228" s="781"/>
      <c r="S228" s="781"/>
    </row>
    <row r="229" spans="1:19" x14ac:dyDescent="0.25">
      <c r="A229" s="223"/>
      <c r="B229" s="281"/>
      <c r="C229" s="281"/>
      <c r="D229" s="281"/>
      <c r="E229" s="224"/>
      <c r="F229" s="192"/>
      <c r="G229" s="193"/>
      <c r="H229" s="223"/>
      <c r="I229" s="281"/>
      <c r="J229" s="225"/>
      <c r="K229" s="225"/>
      <c r="L229" s="226"/>
      <c r="M229" s="226"/>
      <c r="N229" s="226"/>
      <c r="O229" s="227"/>
      <c r="P229" s="227"/>
      <c r="Q229" s="223"/>
      <c r="R229" s="781"/>
      <c r="S229" s="781"/>
    </row>
    <row r="230" spans="1:19" x14ac:dyDescent="0.25">
      <c r="A230" s="223"/>
      <c r="B230" s="281"/>
      <c r="C230" s="281"/>
      <c r="D230" s="281"/>
      <c r="E230" s="224"/>
      <c r="F230" s="192"/>
      <c r="G230" s="193"/>
      <c r="H230" s="223"/>
      <c r="I230" s="281"/>
      <c r="J230" s="225"/>
      <c r="K230" s="225"/>
      <c r="L230" s="226"/>
      <c r="M230" s="226"/>
      <c r="N230" s="226"/>
      <c r="O230" s="227"/>
      <c r="P230" s="227"/>
      <c r="Q230" s="223"/>
      <c r="R230" s="781"/>
      <c r="S230" s="781"/>
    </row>
    <row r="231" spans="1:19" x14ac:dyDescent="0.25">
      <c r="A231" s="223"/>
      <c r="B231" s="281"/>
      <c r="C231" s="281"/>
      <c r="D231" s="281"/>
      <c r="E231" s="224"/>
      <c r="F231" s="192"/>
      <c r="G231" s="193"/>
      <c r="H231" s="223"/>
      <c r="I231" s="281"/>
      <c r="J231" s="225"/>
      <c r="K231" s="225"/>
      <c r="L231" s="226"/>
      <c r="M231" s="226"/>
      <c r="N231" s="226"/>
      <c r="O231" s="227"/>
      <c r="P231" s="227"/>
      <c r="Q231" s="223"/>
      <c r="R231" s="781"/>
      <c r="S231" s="781"/>
    </row>
    <row r="232" spans="1:19" x14ac:dyDescent="0.25">
      <c r="A232" s="223"/>
      <c r="B232" s="281"/>
      <c r="C232" s="281"/>
      <c r="D232" s="281"/>
      <c r="E232" s="224"/>
      <c r="F232" s="192"/>
      <c r="G232" s="193"/>
      <c r="H232" s="223"/>
      <c r="I232" s="281"/>
      <c r="J232" s="225"/>
      <c r="K232" s="225"/>
      <c r="L232" s="226"/>
      <c r="M232" s="226"/>
      <c r="N232" s="226"/>
      <c r="O232" s="227"/>
      <c r="P232" s="227"/>
      <c r="Q232" s="223"/>
      <c r="R232" s="781"/>
      <c r="S232" s="781"/>
    </row>
    <row r="233" spans="1:19" x14ac:dyDescent="0.25">
      <c r="A233" s="223"/>
      <c r="B233" s="281"/>
      <c r="C233" s="281"/>
      <c r="D233" s="281"/>
      <c r="E233" s="224"/>
      <c r="F233" s="192"/>
      <c r="G233" s="193"/>
      <c r="H233" s="223"/>
      <c r="I233" s="281"/>
      <c r="J233" s="225"/>
      <c r="K233" s="225"/>
      <c r="L233" s="226"/>
      <c r="M233" s="226"/>
      <c r="N233" s="226"/>
      <c r="O233" s="227"/>
      <c r="P233" s="227"/>
      <c r="Q233" s="223"/>
      <c r="R233" s="781"/>
      <c r="S233" s="781"/>
    </row>
    <row r="234" spans="1:19" x14ac:dyDescent="0.25">
      <c r="A234" s="223"/>
      <c r="B234" s="281"/>
      <c r="C234" s="281"/>
      <c r="D234" s="281"/>
      <c r="E234" s="224"/>
      <c r="F234" s="192"/>
      <c r="G234" s="193"/>
      <c r="H234" s="223"/>
      <c r="I234" s="281"/>
      <c r="J234" s="225"/>
      <c r="K234" s="225"/>
      <c r="L234" s="226"/>
      <c r="M234" s="226"/>
      <c r="N234" s="226"/>
      <c r="O234" s="227"/>
      <c r="P234" s="227"/>
      <c r="Q234" s="223"/>
      <c r="R234" s="781"/>
      <c r="S234" s="781"/>
    </row>
    <row r="235" spans="1:19" x14ac:dyDescent="0.25">
      <c r="A235" s="223"/>
      <c r="B235" s="281"/>
      <c r="C235" s="281"/>
      <c r="D235" s="281"/>
      <c r="E235" s="224"/>
      <c r="F235" s="192"/>
      <c r="G235" s="193"/>
      <c r="H235" s="223"/>
      <c r="I235" s="281"/>
      <c r="J235" s="225"/>
      <c r="K235" s="225"/>
      <c r="L235" s="226"/>
      <c r="M235" s="226"/>
      <c r="N235" s="226"/>
      <c r="O235" s="227"/>
      <c r="P235" s="227"/>
      <c r="Q235" s="223"/>
      <c r="R235" s="781"/>
      <c r="S235" s="781"/>
    </row>
    <row r="236" spans="1:19" x14ac:dyDescent="0.25">
      <c r="A236" s="223"/>
      <c r="B236" s="281"/>
      <c r="C236" s="281"/>
      <c r="D236" s="281"/>
      <c r="E236" s="224"/>
      <c r="F236" s="192"/>
      <c r="G236" s="193"/>
      <c r="H236" s="223"/>
      <c r="I236" s="281"/>
      <c r="J236" s="225"/>
      <c r="K236" s="225"/>
      <c r="L236" s="226"/>
      <c r="M236" s="226"/>
      <c r="N236" s="226"/>
      <c r="O236" s="227"/>
      <c r="P236" s="227"/>
      <c r="Q236" s="223"/>
      <c r="R236" s="781"/>
      <c r="S236" s="781"/>
    </row>
    <row r="237" spans="1:19" x14ac:dyDescent="0.25">
      <c r="A237" s="223"/>
      <c r="B237" s="281"/>
      <c r="C237" s="281"/>
      <c r="D237" s="281"/>
      <c r="E237" s="224"/>
      <c r="F237" s="192"/>
      <c r="G237" s="193"/>
      <c r="H237" s="223"/>
      <c r="I237" s="281"/>
      <c r="J237" s="225"/>
      <c r="K237" s="225"/>
      <c r="L237" s="226"/>
      <c r="M237" s="226"/>
      <c r="N237" s="226"/>
      <c r="O237" s="227"/>
      <c r="P237" s="227"/>
      <c r="Q237" s="223"/>
      <c r="R237" s="781"/>
      <c r="S237" s="781"/>
    </row>
    <row r="238" spans="1:19" x14ac:dyDescent="0.25">
      <c r="A238" s="223"/>
      <c r="B238" s="281"/>
      <c r="C238" s="281"/>
      <c r="D238" s="281"/>
      <c r="E238" s="224"/>
      <c r="F238" s="192"/>
      <c r="G238" s="193"/>
      <c r="H238" s="223"/>
      <c r="I238" s="281"/>
      <c r="J238" s="225"/>
      <c r="K238" s="225"/>
      <c r="L238" s="226"/>
      <c r="M238" s="226"/>
      <c r="N238" s="226"/>
      <c r="O238" s="227"/>
      <c r="P238" s="227"/>
      <c r="Q238" s="223"/>
      <c r="R238" s="781"/>
      <c r="S238" s="781"/>
    </row>
    <row r="239" spans="1:19" x14ac:dyDescent="0.25">
      <c r="A239" s="223"/>
      <c r="B239" s="281"/>
      <c r="C239" s="281"/>
      <c r="D239" s="281"/>
      <c r="E239" s="224"/>
      <c r="F239" s="192"/>
      <c r="G239" s="193"/>
      <c r="H239" s="223"/>
      <c r="I239" s="281"/>
      <c r="J239" s="225"/>
      <c r="K239" s="225"/>
      <c r="L239" s="226"/>
      <c r="M239" s="226"/>
      <c r="N239" s="226"/>
      <c r="O239" s="227"/>
      <c r="P239" s="227"/>
      <c r="Q239" s="223"/>
      <c r="R239" s="781"/>
      <c r="S239" s="781"/>
    </row>
    <row r="240" spans="1:19" x14ac:dyDescent="0.25">
      <c r="A240" s="223"/>
      <c r="B240" s="281"/>
      <c r="C240" s="281"/>
      <c r="D240" s="281"/>
      <c r="E240" s="224"/>
      <c r="F240" s="192"/>
      <c r="G240" s="193"/>
      <c r="H240" s="223"/>
      <c r="I240" s="281"/>
      <c r="J240" s="225"/>
      <c r="K240" s="225"/>
      <c r="L240" s="226"/>
      <c r="M240" s="226"/>
      <c r="N240" s="226"/>
      <c r="O240" s="227"/>
      <c r="P240" s="227"/>
      <c r="Q240" s="223"/>
      <c r="R240" s="781"/>
      <c r="S240" s="781"/>
    </row>
    <row r="241" spans="1:19" x14ac:dyDescent="0.25">
      <c r="A241" s="223"/>
      <c r="B241" s="281"/>
      <c r="C241" s="281"/>
      <c r="D241" s="281"/>
      <c r="E241" s="224"/>
      <c r="F241" s="192"/>
      <c r="G241" s="193"/>
      <c r="H241" s="223"/>
      <c r="I241" s="281"/>
      <c r="J241" s="225"/>
      <c r="K241" s="225"/>
      <c r="L241" s="226"/>
      <c r="M241" s="226"/>
      <c r="N241" s="226"/>
      <c r="O241" s="227"/>
      <c r="P241" s="227"/>
      <c r="Q241" s="223"/>
      <c r="R241" s="781"/>
      <c r="S241" s="781"/>
    </row>
    <row r="242" spans="1:19" x14ac:dyDescent="0.25">
      <c r="A242" s="223"/>
      <c r="B242" s="281"/>
      <c r="C242" s="281"/>
      <c r="D242" s="281"/>
      <c r="E242" s="224"/>
      <c r="F242" s="192"/>
      <c r="G242" s="193"/>
      <c r="H242" s="223"/>
      <c r="I242" s="281"/>
      <c r="J242" s="225"/>
      <c r="K242" s="225"/>
      <c r="L242" s="226"/>
      <c r="M242" s="226"/>
      <c r="N242" s="226"/>
      <c r="O242" s="227"/>
      <c r="P242" s="227"/>
      <c r="Q242" s="223"/>
      <c r="R242" s="781"/>
      <c r="S242" s="781"/>
    </row>
    <row r="243" spans="1:19" x14ac:dyDescent="0.25">
      <c r="A243" s="223"/>
      <c r="B243" s="281"/>
      <c r="C243" s="281"/>
      <c r="D243" s="281"/>
      <c r="E243" s="224"/>
      <c r="F243" s="192"/>
      <c r="G243" s="193"/>
      <c r="H243" s="223"/>
      <c r="I243" s="281"/>
      <c r="J243" s="225"/>
      <c r="K243" s="225"/>
      <c r="L243" s="226"/>
      <c r="M243" s="226"/>
      <c r="N243" s="226"/>
      <c r="O243" s="227"/>
      <c r="P243" s="227"/>
      <c r="Q243" s="223"/>
      <c r="R243" s="781"/>
      <c r="S243" s="781"/>
    </row>
    <row r="244" spans="1:19" x14ac:dyDescent="0.25">
      <c r="A244" s="223"/>
      <c r="B244" s="281"/>
      <c r="C244" s="281"/>
      <c r="D244" s="281"/>
      <c r="E244" s="224"/>
      <c r="F244" s="192"/>
      <c r="G244" s="193"/>
      <c r="H244" s="223"/>
      <c r="I244" s="281"/>
      <c r="J244" s="225"/>
      <c r="K244" s="225"/>
      <c r="L244" s="226"/>
      <c r="M244" s="226"/>
      <c r="N244" s="226"/>
      <c r="O244" s="227"/>
      <c r="P244" s="227"/>
      <c r="Q244" s="223"/>
      <c r="R244" s="781"/>
      <c r="S244" s="781"/>
    </row>
    <row r="245" spans="1:19" x14ac:dyDescent="0.25">
      <c r="A245" s="223"/>
      <c r="B245" s="281"/>
      <c r="C245" s="281"/>
      <c r="D245" s="281"/>
      <c r="E245" s="224"/>
      <c r="F245" s="192"/>
      <c r="G245" s="193"/>
      <c r="H245" s="223"/>
      <c r="I245" s="281"/>
      <c r="J245" s="225"/>
      <c r="K245" s="225"/>
      <c r="L245" s="226"/>
      <c r="M245" s="226"/>
      <c r="N245" s="226"/>
      <c r="O245" s="227"/>
      <c r="P245" s="227"/>
      <c r="Q245" s="223"/>
      <c r="R245" s="781"/>
      <c r="S245" s="781"/>
    </row>
    <row r="246" spans="1:19" x14ac:dyDescent="0.25">
      <c r="A246" s="223"/>
      <c r="B246" s="281"/>
      <c r="C246" s="281"/>
      <c r="D246" s="281"/>
      <c r="E246" s="224"/>
      <c r="F246" s="192"/>
      <c r="G246" s="193"/>
      <c r="H246" s="223"/>
      <c r="I246" s="281"/>
      <c r="J246" s="225"/>
      <c r="K246" s="225"/>
      <c r="L246" s="226"/>
      <c r="M246" s="226"/>
      <c r="N246" s="226"/>
      <c r="O246" s="227"/>
      <c r="P246" s="227"/>
      <c r="Q246" s="223"/>
      <c r="R246" s="781"/>
      <c r="S246" s="781"/>
    </row>
    <row r="247" spans="1:19" x14ac:dyDescent="0.25">
      <c r="A247" s="223"/>
      <c r="B247" s="281"/>
      <c r="C247" s="281"/>
      <c r="D247" s="281"/>
      <c r="E247" s="224"/>
      <c r="F247" s="192"/>
      <c r="G247" s="193"/>
      <c r="H247" s="223"/>
      <c r="I247" s="281"/>
      <c r="J247" s="225"/>
      <c r="K247" s="225"/>
      <c r="L247" s="226"/>
      <c r="M247" s="226"/>
      <c r="N247" s="226"/>
      <c r="O247" s="227"/>
      <c r="P247" s="227"/>
      <c r="Q247" s="223"/>
      <c r="R247" s="781"/>
      <c r="S247" s="781"/>
    </row>
    <row r="248" spans="1:19" x14ac:dyDescent="0.25">
      <c r="A248" s="223"/>
      <c r="B248" s="281"/>
      <c r="C248" s="281"/>
      <c r="D248" s="281"/>
      <c r="E248" s="224"/>
      <c r="F248" s="192"/>
      <c r="G248" s="193"/>
      <c r="H248" s="223"/>
      <c r="I248" s="281"/>
      <c r="J248" s="225"/>
      <c r="K248" s="225"/>
      <c r="L248" s="226"/>
      <c r="M248" s="226"/>
      <c r="N248" s="226"/>
      <c r="O248" s="227"/>
      <c r="P248" s="227"/>
      <c r="Q248" s="223"/>
      <c r="R248" s="781"/>
      <c r="S248" s="781"/>
    </row>
    <row r="249" spans="1:19" x14ac:dyDescent="0.25">
      <c r="A249" s="223"/>
      <c r="B249" s="281"/>
      <c r="C249" s="281"/>
      <c r="D249" s="281"/>
      <c r="E249" s="224"/>
      <c r="F249" s="192"/>
      <c r="G249" s="193"/>
      <c r="H249" s="223"/>
      <c r="I249" s="281"/>
      <c r="J249" s="225"/>
      <c r="K249" s="225"/>
      <c r="L249" s="226"/>
      <c r="M249" s="226"/>
      <c r="N249" s="226"/>
      <c r="O249" s="227"/>
      <c r="P249" s="227"/>
      <c r="Q249" s="223"/>
      <c r="R249" s="781"/>
      <c r="S249" s="781"/>
    </row>
    <row r="250" spans="1:19" x14ac:dyDescent="0.25">
      <c r="A250" s="223"/>
      <c r="B250" s="281"/>
      <c r="C250" s="281"/>
      <c r="D250" s="281"/>
      <c r="E250" s="224"/>
      <c r="F250" s="192"/>
      <c r="G250" s="193"/>
      <c r="H250" s="223"/>
      <c r="I250" s="281"/>
      <c r="J250" s="225"/>
      <c r="K250" s="225"/>
      <c r="L250" s="226"/>
      <c r="M250" s="226"/>
      <c r="N250" s="226"/>
      <c r="O250" s="227"/>
      <c r="P250" s="227"/>
      <c r="Q250" s="223"/>
      <c r="R250" s="781"/>
      <c r="S250" s="781"/>
    </row>
    <row r="251" spans="1:19" x14ac:dyDescent="0.25">
      <c r="A251" s="223"/>
      <c r="B251" s="281"/>
      <c r="C251" s="281"/>
      <c r="D251" s="281"/>
      <c r="E251" s="224"/>
      <c r="F251" s="192"/>
      <c r="G251" s="193"/>
      <c r="H251" s="223"/>
      <c r="I251" s="281"/>
      <c r="J251" s="225"/>
      <c r="K251" s="225"/>
      <c r="L251" s="226"/>
      <c r="M251" s="226"/>
      <c r="N251" s="226"/>
      <c r="O251" s="227"/>
      <c r="P251" s="227"/>
      <c r="Q251" s="223"/>
      <c r="R251" s="781"/>
      <c r="S251" s="781"/>
    </row>
    <row r="252" spans="1:19" x14ac:dyDescent="0.25">
      <c r="A252" s="223"/>
      <c r="B252" s="281"/>
      <c r="C252" s="281"/>
      <c r="D252" s="281"/>
      <c r="E252" s="224"/>
      <c r="F252" s="192"/>
      <c r="G252" s="193"/>
      <c r="H252" s="223"/>
      <c r="I252" s="281"/>
      <c r="J252" s="225"/>
      <c r="K252" s="225"/>
      <c r="L252" s="226"/>
      <c r="M252" s="226"/>
      <c r="N252" s="226"/>
      <c r="O252" s="227"/>
      <c r="P252" s="227"/>
      <c r="Q252" s="223"/>
      <c r="R252" s="781"/>
      <c r="S252" s="781"/>
    </row>
    <row r="253" spans="1:19" x14ac:dyDescent="0.25">
      <c r="A253" s="223"/>
      <c r="B253" s="281"/>
      <c r="C253" s="281"/>
      <c r="D253" s="281"/>
      <c r="E253" s="224"/>
      <c r="F253" s="192"/>
      <c r="G253" s="193"/>
      <c r="H253" s="223"/>
      <c r="I253" s="281"/>
      <c r="J253" s="225"/>
      <c r="K253" s="225"/>
      <c r="L253" s="226"/>
      <c r="M253" s="226"/>
      <c r="N253" s="226"/>
      <c r="O253" s="227"/>
      <c r="P253" s="227"/>
      <c r="Q253" s="223"/>
      <c r="R253" s="781"/>
      <c r="S253" s="781"/>
    </row>
    <row r="254" spans="1:19" x14ac:dyDescent="0.25">
      <c r="A254" s="223"/>
      <c r="B254" s="281"/>
      <c r="C254" s="281"/>
      <c r="D254" s="281"/>
      <c r="E254" s="224"/>
      <c r="F254" s="192"/>
      <c r="G254" s="193"/>
      <c r="H254" s="223"/>
      <c r="I254" s="281"/>
      <c r="J254" s="225"/>
      <c r="K254" s="225"/>
      <c r="L254" s="226"/>
      <c r="M254" s="226"/>
      <c r="N254" s="226"/>
      <c r="O254" s="227"/>
      <c r="P254" s="227"/>
      <c r="Q254" s="223"/>
      <c r="R254" s="781"/>
      <c r="S254" s="781"/>
    </row>
    <row r="255" spans="1:19" x14ac:dyDescent="0.25">
      <c r="A255" s="223"/>
      <c r="B255" s="281"/>
      <c r="C255" s="281"/>
      <c r="D255" s="281"/>
      <c r="E255" s="224"/>
      <c r="F255" s="192"/>
      <c r="G255" s="193"/>
      <c r="H255" s="223"/>
      <c r="I255" s="281"/>
      <c r="J255" s="225"/>
      <c r="K255" s="225"/>
      <c r="L255" s="226"/>
      <c r="M255" s="226"/>
      <c r="N255" s="226"/>
      <c r="O255" s="227"/>
      <c r="P255" s="227"/>
      <c r="Q255" s="223"/>
      <c r="R255" s="781"/>
      <c r="S255" s="781"/>
    </row>
    <row r="256" spans="1:19" x14ac:dyDescent="0.25">
      <c r="A256" s="223"/>
      <c r="B256" s="281"/>
      <c r="C256" s="281"/>
      <c r="D256" s="281"/>
      <c r="E256" s="224"/>
      <c r="F256" s="192"/>
      <c r="G256" s="193"/>
      <c r="H256" s="223"/>
      <c r="I256" s="281"/>
      <c r="J256" s="225"/>
      <c r="K256" s="225"/>
      <c r="L256" s="226"/>
      <c r="M256" s="226"/>
      <c r="N256" s="226"/>
      <c r="O256" s="227"/>
      <c r="P256" s="227"/>
      <c r="Q256" s="223"/>
      <c r="R256" s="781"/>
      <c r="S256" s="781"/>
    </row>
    <row r="257" spans="1:19" x14ac:dyDescent="0.25">
      <c r="A257" s="223"/>
      <c r="B257" s="281"/>
      <c r="C257" s="281"/>
      <c r="D257" s="281"/>
      <c r="E257" s="224"/>
      <c r="F257" s="192"/>
      <c r="G257" s="193"/>
      <c r="H257" s="223"/>
      <c r="I257" s="281"/>
      <c r="J257" s="225"/>
      <c r="K257" s="225"/>
      <c r="L257" s="226"/>
      <c r="M257" s="226"/>
      <c r="N257" s="226"/>
      <c r="O257" s="227"/>
      <c r="P257" s="227"/>
      <c r="Q257" s="223"/>
      <c r="R257" s="781"/>
      <c r="S257" s="781"/>
    </row>
    <row r="258" spans="1:19" x14ac:dyDescent="0.25">
      <c r="A258" s="223"/>
      <c r="B258" s="281"/>
      <c r="C258" s="281"/>
      <c r="D258" s="281"/>
      <c r="E258" s="224"/>
      <c r="F258" s="192"/>
      <c r="G258" s="193"/>
      <c r="H258" s="223"/>
      <c r="I258" s="281"/>
      <c r="J258" s="225"/>
      <c r="K258" s="225"/>
      <c r="L258" s="226"/>
      <c r="M258" s="226"/>
      <c r="N258" s="226"/>
      <c r="O258" s="227"/>
      <c r="P258" s="227"/>
      <c r="Q258" s="223"/>
      <c r="R258" s="781"/>
      <c r="S258" s="781"/>
    </row>
    <row r="259" spans="1:19" x14ac:dyDescent="0.25">
      <c r="A259" s="223"/>
      <c r="B259" s="281"/>
      <c r="C259" s="281"/>
      <c r="D259" s="281"/>
      <c r="E259" s="224"/>
      <c r="F259" s="192"/>
      <c r="G259" s="193"/>
      <c r="H259" s="223"/>
      <c r="I259" s="281"/>
      <c r="J259" s="225"/>
      <c r="K259" s="225"/>
      <c r="L259" s="226"/>
      <c r="M259" s="226"/>
      <c r="N259" s="226"/>
      <c r="O259" s="227"/>
      <c r="P259" s="227"/>
      <c r="Q259" s="223"/>
      <c r="R259" s="781"/>
      <c r="S259" s="781"/>
    </row>
    <row r="260" spans="1:19" x14ac:dyDescent="0.25">
      <c r="A260" s="223"/>
      <c r="B260" s="281"/>
      <c r="C260" s="281"/>
      <c r="D260" s="281"/>
      <c r="E260" s="224"/>
      <c r="F260" s="192"/>
      <c r="G260" s="193"/>
      <c r="H260" s="223"/>
      <c r="I260" s="281"/>
      <c r="J260" s="225"/>
      <c r="K260" s="225"/>
      <c r="L260" s="226"/>
      <c r="M260" s="226"/>
      <c r="N260" s="226"/>
      <c r="O260" s="227"/>
      <c r="P260" s="227"/>
      <c r="Q260" s="223"/>
      <c r="R260" s="781"/>
      <c r="S260" s="781"/>
    </row>
    <row r="261" spans="1:19" x14ac:dyDescent="0.25">
      <c r="A261" s="223"/>
      <c r="B261" s="281"/>
      <c r="C261" s="281"/>
      <c r="D261" s="281"/>
      <c r="E261" s="224"/>
      <c r="F261" s="192"/>
      <c r="G261" s="193"/>
      <c r="H261" s="223"/>
      <c r="I261" s="281"/>
      <c r="J261" s="225"/>
      <c r="K261" s="225"/>
      <c r="L261" s="226"/>
      <c r="M261" s="226"/>
      <c r="N261" s="226"/>
      <c r="O261" s="227"/>
      <c r="P261" s="227"/>
      <c r="Q261" s="223"/>
      <c r="R261" s="781"/>
      <c r="S261" s="781"/>
    </row>
    <row r="262" spans="1:19" x14ac:dyDescent="0.25">
      <c r="A262" s="223"/>
      <c r="B262" s="281"/>
      <c r="C262" s="281"/>
      <c r="D262" s="281"/>
      <c r="E262" s="224"/>
      <c r="F262" s="192"/>
      <c r="G262" s="193"/>
      <c r="H262" s="223"/>
      <c r="I262" s="281"/>
      <c r="J262" s="225"/>
      <c r="K262" s="225"/>
      <c r="L262" s="226"/>
      <c r="M262" s="226"/>
      <c r="N262" s="226"/>
      <c r="O262" s="227"/>
      <c r="P262" s="227"/>
      <c r="Q262" s="223"/>
      <c r="R262" s="781"/>
      <c r="S262" s="781"/>
    </row>
    <row r="263" spans="1:19" x14ac:dyDescent="0.25">
      <c r="A263" s="223"/>
      <c r="B263" s="281"/>
      <c r="C263" s="281"/>
      <c r="D263" s="281"/>
      <c r="E263" s="224"/>
      <c r="F263" s="192"/>
      <c r="G263" s="193"/>
      <c r="H263" s="223"/>
      <c r="I263" s="281"/>
      <c r="J263" s="225"/>
      <c r="K263" s="225"/>
      <c r="L263" s="226"/>
      <c r="M263" s="226"/>
      <c r="N263" s="226"/>
      <c r="O263" s="227"/>
      <c r="P263" s="227"/>
      <c r="Q263" s="223"/>
      <c r="R263" s="781"/>
      <c r="S263" s="781"/>
    </row>
    <row r="264" spans="1:19" x14ac:dyDescent="0.25">
      <c r="A264" s="223"/>
      <c r="B264" s="281"/>
      <c r="C264" s="281"/>
      <c r="D264" s="281"/>
      <c r="E264" s="224"/>
      <c r="F264" s="192"/>
      <c r="G264" s="193"/>
      <c r="H264" s="223"/>
      <c r="I264" s="281"/>
      <c r="J264" s="225"/>
      <c r="K264" s="225"/>
      <c r="L264" s="226"/>
      <c r="M264" s="226"/>
      <c r="N264" s="226"/>
      <c r="O264" s="227"/>
      <c r="P264" s="227"/>
      <c r="Q264" s="223"/>
      <c r="R264" s="781"/>
      <c r="S264" s="781"/>
    </row>
    <row r="265" spans="1:19" x14ac:dyDescent="0.25">
      <c r="A265" s="223"/>
      <c r="B265" s="281"/>
      <c r="C265" s="281"/>
      <c r="D265" s="281"/>
      <c r="E265" s="224"/>
      <c r="F265" s="192"/>
      <c r="G265" s="193"/>
      <c r="H265" s="223"/>
      <c r="I265" s="281"/>
      <c r="J265" s="225"/>
      <c r="K265" s="225"/>
      <c r="L265" s="226"/>
      <c r="M265" s="226"/>
      <c r="N265" s="226"/>
      <c r="O265" s="227"/>
      <c r="P265" s="227"/>
      <c r="Q265" s="223"/>
      <c r="R265" s="781"/>
      <c r="S265" s="781"/>
    </row>
    <row r="266" spans="1:19" x14ac:dyDescent="0.25">
      <c r="A266" s="223"/>
      <c r="B266" s="281"/>
      <c r="C266" s="281"/>
      <c r="D266" s="281"/>
      <c r="E266" s="224"/>
      <c r="F266" s="192"/>
      <c r="G266" s="193"/>
      <c r="H266" s="223"/>
      <c r="I266" s="281"/>
      <c r="J266" s="225"/>
      <c r="K266" s="225"/>
      <c r="L266" s="226"/>
      <c r="M266" s="226"/>
      <c r="N266" s="226"/>
      <c r="O266" s="227"/>
      <c r="P266" s="227"/>
      <c r="Q266" s="223"/>
      <c r="R266" s="781"/>
      <c r="S266" s="781"/>
    </row>
    <row r="267" spans="1:19" x14ac:dyDescent="0.25">
      <c r="A267" s="223"/>
      <c r="B267" s="281"/>
      <c r="C267" s="281"/>
      <c r="D267" s="281"/>
      <c r="E267" s="224"/>
      <c r="F267" s="192"/>
      <c r="G267" s="193"/>
      <c r="H267" s="223"/>
      <c r="I267" s="281"/>
      <c r="J267" s="225"/>
      <c r="K267" s="225"/>
      <c r="L267" s="226"/>
      <c r="M267" s="226"/>
      <c r="N267" s="226"/>
      <c r="O267" s="227"/>
      <c r="P267" s="227"/>
      <c r="Q267" s="223"/>
      <c r="R267" s="781"/>
      <c r="S267" s="781"/>
    </row>
    <row r="268" spans="1:19" x14ac:dyDescent="0.25">
      <c r="A268" s="223"/>
      <c r="B268" s="281"/>
      <c r="C268" s="281"/>
      <c r="D268" s="281"/>
      <c r="E268" s="224"/>
      <c r="F268" s="192"/>
      <c r="G268" s="193"/>
      <c r="H268" s="223"/>
      <c r="I268" s="281"/>
      <c r="J268" s="225"/>
      <c r="K268" s="225"/>
      <c r="L268" s="226"/>
      <c r="M268" s="226"/>
      <c r="N268" s="226"/>
      <c r="O268" s="227"/>
      <c r="P268" s="227"/>
      <c r="Q268" s="223"/>
      <c r="R268" s="781"/>
      <c r="S268" s="781"/>
    </row>
    <row r="269" spans="1:19" x14ac:dyDescent="0.25">
      <c r="A269" s="223"/>
      <c r="B269" s="281"/>
      <c r="C269" s="281"/>
      <c r="D269" s="281"/>
      <c r="E269" s="224"/>
      <c r="F269" s="192"/>
      <c r="G269" s="193"/>
      <c r="H269" s="223"/>
      <c r="I269" s="281"/>
      <c r="J269" s="225"/>
      <c r="K269" s="225"/>
      <c r="L269" s="226"/>
      <c r="M269" s="226"/>
      <c r="N269" s="226"/>
      <c r="O269" s="227"/>
      <c r="P269" s="227"/>
      <c r="Q269" s="223"/>
      <c r="R269" s="781"/>
      <c r="S269" s="781"/>
    </row>
    <row r="270" spans="1:19" x14ac:dyDescent="0.25">
      <c r="A270" s="223"/>
      <c r="B270" s="281"/>
      <c r="C270" s="281"/>
      <c r="D270" s="281"/>
      <c r="E270" s="224"/>
      <c r="F270" s="192"/>
      <c r="G270" s="193"/>
      <c r="H270" s="223"/>
      <c r="I270" s="281"/>
      <c r="J270" s="225"/>
      <c r="K270" s="225"/>
      <c r="L270" s="226"/>
      <c r="M270" s="226"/>
      <c r="N270" s="226"/>
      <c r="O270" s="227"/>
      <c r="P270" s="227"/>
      <c r="Q270" s="223"/>
      <c r="R270" s="781"/>
      <c r="S270" s="781"/>
    </row>
    <row r="271" spans="1:19" x14ac:dyDescent="0.25">
      <c r="A271" s="223"/>
      <c r="B271" s="281"/>
      <c r="C271" s="281"/>
      <c r="D271" s="281"/>
      <c r="E271" s="224"/>
      <c r="F271" s="192"/>
      <c r="G271" s="193"/>
      <c r="H271" s="223"/>
      <c r="I271" s="281"/>
      <c r="J271" s="225"/>
      <c r="K271" s="225"/>
      <c r="L271" s="226"/>
      <c r="M271" s="226"/>
      <c r="N271" s="226"/>
      <c r="O271" s="227"/>
      <c r="P271" s="227"/>
      <c r="Q271" s="223"/>
      <c r="R271" s="781"/>
      <c r="S271" s="781"/>
    </row>
    <row r="272" spans="1:19" x14ac:dyDescent="0.25">
      <c r="A272" s="223"/>
      <c r="B272" s="281"/>
      <c r="C272" s="281"/>
      <c r="D272" s="281"/>
      <c r="E272" s="224"/>
      <c r="F272" s="192"/>
      <c r="G272" s="193"/>
      <c r="H272" s="223"/>
      <c r="I272" s="281"/>
      <c r="J272" s="225"/>
      <c r="K272" s="225"/>
      <c r="L272" s="226"/>
      <c r="M272" s="226"/>
      <c r="N272" s="226"/>
      <c r="O272" s="227"/>
      <c r="P272" s="227"/>
      <c r="Q272" s="223"/>
      <c r="R272" s="781"/>
      <c r="S272" s="781"/>
    </row>
    <row r="273" spans="1:19" x14ac:dyDescent="0.25">
      <c r="A273" s="223"/>
      <c r="B273" s="281"/>
      <c r="C273" s="281"/>
      <c r="D273" s="281"/>
      <c r="E273" s="224"/>
      <c r="F273" s="192"/>
      <c r="G273" s="193"/>
      <c r="H273" s="223"/>
      <c r="I273" s="281"/>
      <c r="J273" s="225"/>
      <c r="K273" s="225"/>
      <c r="L273" s="226"/>
      <c r="M273" s="226"/>
      <c r="N273" s="226"/>
      <c r="O273" s="227"/>
      <c r="P273" s="227"/>
      <c r="Q273" s="223"/>
      <c r="R273" s="781"/>
      <c r="S273" s="781"/>
    </row>
    <row r="274" spans="1:19" x14ac:dyDescent="0.25">
      <c r="A274" s="223"/>
      <c r="B274" s="281"/>
      <c r="C274" s="281"/>
      <c r="D274" s="281"/>
      <c r="E274" s="224"/>
      <c r="F274" s="192"/>
      <c r="G274" s="193"/>
      <c r="H274" s="223"/>
      <c r="I274" s="281"/>
      <c r="J274" s="225"/>
      <c r="K274" s="225"/>
      <c r="L274" s="226"/>
      <c r="M274" s="226"/>
      <c r="N274" s="226"/>
      <c r="O274" s="227"/>
      <c r="P274" s="227"/>
      <c r="Q274" s="223"/>
      <c r="R274" s="781"/>
      <c r="S274" s="781"/>
    </row>
    <row r="275" spans="1:19" x14ac:dyDescent="0.25">
      <c r="A275" s="223"/>
      <c r="B275" s="281"/>
      <c r="C275" s="281"/>
      <c r="D275" s="281"/>
      <c r="E275" s="224"/>
      <c r="F275" s="192"/>
      <c r="G275" s="193"/>
      <c r="H275" s="223"/>
      <c r="I275" s="281"/>
      <c r="J275" s="225"/>
      <c r="K275" s="225"/>
      <c r="L275" s="226"/>
      <c r="M275" s="226"/>
      <c r="N275" s="226"/>
      <c r="O275" s="227"/>
      <c r="P275" s="227"/>
      <c r="Q275" s="223"/>
      <c r="R275" s="781"/>
      <c r="S275" s="781"/>
    </row>
    <row r="276" spans="1:19" x14ac:dyDescent="0.25">
      <c r="A276" s="223"/>
      <c r="B276" s="281"/>
      <c r="C276" s="281"/>
      <c r="D276" s="281"/>
      <c r="E276" s="224"/>
      <c r="F276" s="192"/>
      <c r="G276" s="193"/>
      <c r="H276" s="223"/>
      <c r="I276" s="281"/>
      <c r="J276" s="225"/>
      <c r="K276" s="225"/>
      <c r="L276" s="226"/>
      <c r="M276" s="226"/>
      <c r="N276" s="226"/>
      <c r="O276" s="227"/>
      <c r="P276" s="227"/>
      <c r="Q276" s="223"/>
      <c r="R276" s="781"/>
      <c r="S276" s="781"/>
    </row>
    <row r="277" spans="1:19" x14ac:dyDescent="0.25">
      <c r="A277" s="223"/>
      <c r="B277" s="281"/>
      <c r="C277" s="281"/>
      <c r="D277" s="281"/>
      <c r="E277" s="224"/>
      <c r="F277" s="192"/>
      <c r="G277" s="193"/>
      <c r="H277" s="223"/>
      <c r="I277" s="281"/>
      <c r="J277" s="225"/>
      <c r="K277" s="225"/>
      <c r="L277" s="226"/>
      <c r="M277" s="226"/>
      <c r="N277" s="226"/>
      <c r="O277" s="227"/>
      <c r="P277" s="227"/>
      <c r="Q277" s="223"/>
      <c r="R277" s="781"/>
      <c r="S277" s="781"/>
    </row>
    <row r="278" spans="1:19" x14ac:dyDescent="0.25">
      <c r="A278" s="223"/>
      <c r="B278" s="281"/>
      <c r="C278" s="281"/>
      <c r="D278" s="281"/>
      <c r="E278" s="224"/>
      <c r="F278" s="192"/>
      <c r="G278" s="193"/>
      <c r="H278" s="223"/>
      <c r="I278" s="281"/>
      <c r="J278" s="225"/>
      <c r="K278" s="225"/>
      <c r="L278" s="226"/>
      <c r="M278" s="226"/>
      <c r="N278" s="226"/>
      <c r="O278" s="227"/>
      <c r="P278" s="227"/>
      <c r="Q278" s="223"/>
      <c r="R278" s="781"/>
      <c r="S278" s="781"/>
    </row>
    <row r="279" spans="1:19" x14ac:dyDescent="0.25">
      <c r="A279" s="223"/>
      <c r="B279" s="281"/>
      <c r="C279" s="281"/>
      <c r="D279" s="281"/>
      <c r="E279" s="224"/>
      <c r="F279" s="192"/>
      <c r="G279" s="193"/>
      <c r="H279" s="223"/>
      <c r="I279" s="281"/>
      <c r="J279" s="225"/>
      <c r="K279" s="225"/>
      <c r="L279" s="226"/>
      <c r="M279" s="226"/>
      <c r="N279" s="226"/>
      <c r="O279" s="227"/>
      <c r="P279" s="227"/>
      <c r="Q279" s="223"/>
      <c r="R279" s="781"/>
      <c r="S279" s="781"/>
    </row>
    <row r="280" spans="1:19" x14ac:dyDescent="0.25">
      <c r="A280" s="223"/>
      <c r="B280" s="281"/>
      <c r="C280" s="281"/>
      <c r="D280" s="281"/>
      <c r="E280" s="224"/>
      <c r="F280" s="192"/>
      <c r="G280" s="193"/>
      <c r="H280" s="223"/>
      <c r="I280" s="281"/>
      <c r="J280" s="225"/>
      <c r="K280" s="225"/>
      <c r="L280" s="226"/>
      <c r="M280" s="226"/>
      <c r="N280" s="226"/>
      <c r="O280" s="227"/>
      <c r="P280" s="227"/>
      <c r="Q280" s="223"/>
      <c r="R280" s="781"/>
      <c r="S280" s="781"/>
    </row>
    <row r="281" spans="1:19" x14ac:dyDescent="0.25">
      <c r="A281" s="223"/>
      <c r="B281" s="281"/>
      <c r="C281" s="281"/>
      <c r="D281" s="281"/>
      <c r="E281" s="224"/>
      <c r="F281" s="192"/>
      <c r="G281" s="193"/>
      <c r="H281" s="223"/>
      <c r="I281" s="281"/>
      <c r="J281" s="225"/>
      <c r="K281" s="225"/>
      <c r="L281" s="226"/>
      <c r="M281" s="226"/>
      <c r="N281" s="226"/>
      <c r="O281" s="227"/>
      <c r="P281" s="227"/>
      <c r="Q281" s="223"/>
      <c r="R281" s="781"/>
      <c r="S281" s="781"/>
    </row>
    <row r="282" spans="1:19" x14ac:dyDescent="0.25">
      <c r="A282" s="223"/>
      <c r="B282" s="281"/>
      <c r="C282" s="281"/>
      <c r="D282" s="281"/>
      <c r="E282" s="224"/>
      <c r="F282" s="192"/>
      <c r="G282" s="193"/>
      <c r="H282" s="223"/>
      <c r="I282" s="281"/>
      <c r="J282" s="225"/>
      <c r="K282" s="225"/>
      <c r="L282" s="226"/>
      <c r="M282" s="226"/>
      <c r="N282" s="226"/>
      <c r="O282" s="227"/>
      <c r="P282" s="227"/>
      <c r="Q282" s="223"/>
      <c r="R282" s="781"/>
      <c r="S282" s="781"/>
    </row>
    <row r="283" spans="1:19" x14ac:dyDescent="0.25">
      <c r="A283" s="223"/>
      <c r="B283" s="281"/>
      <c r="C283" s="281"/>
      <c r="D283" s="281"/>
      <c r="E283" s="224"/>
      <c r="F283" s="192"/>
      <c r="G283" s="193"/>
      <c r="H283" s="223"/>
      <c r="I283" s="281"/>
      <c r="J283" s="225"/>
      <c r="K283" s="225"/>
      <c r="L283" s="226"/>
      <c r="M283" s="226"/>
      <c r="N283" s="226"/>
      <c r="O283" s="227"/>
      <c r="P283" s="227"/>
      <c r="Q283" s="223"/>
      <c r="R283" s="781"/>
      <c r="S283" s="781"/>
    </row>
    <row r="284" spans="1:19" x14ac:dyDescent="0.25">
      <c r="A284" s="223"/>
      <c r="B284" s="281"/>
      <c r="C284" s="281"/>
      <c r="D284" s="281"/>
      <c r="E284" s="224"/>
      <c r="F284" s="192"/>
      <c r="G284" s="193"/>
      <c r="H284" s="223"/>
      <c r="I284" s="281"/>
      <c r="J284" s="225"/>
      <c r="K284" s="225"/>
      <c r="L284" s="226"/>
      <c r="M284" s="226"/>
      <c r="N284" s="226"/>
      <c r="O284" s="227"/>
      <c r="P284" s="227"/>
      <c r="Q284" s="223"/>
      <c r="R284" s="781"/>
      <c r="S284" s="781"/>
    </row>
    <row r="285" spans="1:19" x14ac:dyDescent="0.25">
      <c r="A285" s="223"/>
      <c r="B285" s="281"/>
      <c r="C285" s="281"/>
      <c r="D285" s="281"/>
      <c r="E285" s="224"/>
      <c r="F285" s="192"/>
      <c r="G285" s="193"/>
      <c r="H285" s="223"/>
      <c r="I285" s="281"/>
      <c r="J285" s="225"/>
      <c r="K285" s="225"/>
      <c r="L285" s="226"/>
      <c r="M285" s="226"/>
      <c r="N285" s="226"/>
      <c r="O285" s="227"/>
      <c r="P285" s="227"/>
      <c r="Q285" s="223"/>
      <c r="R285" s="781"/>
      <c r="S285" s="781"/>
    </row>
    <row r="286" spans="1:19" x14ac:dyDescent="0.25">
      <c r="A286" s="223"/>
      <c r="B286" s="281"/>
      <c r="C286" s="281"/>
      <c r="D286" s="281"/>
      <c r="E286" s="224"/>
      <c r="F286" s="192"/>
      <c r="G286" s="193"/>
      <c r="H286" s="223"/>
      <c r="I286" s="281"/>
      <c r="J286" s="225"/>
      <c r="K286" s="225"/>
      <c r="L286" s="226"/>
      <c r="M286" s="226"/>
      <c r="N286" s="226"/>
      <c r="O286" s="227"/>
      <c r="P286" s="227"/>
      <c r="Q286" s="223"/>
      <c r="R286" s="781"/>
      <c r="S286" s="781"/>
    </row>
    <row r="287" spans="1:19" x14ac:dyDescent="0.25">
      <c r="A287" s="223"/>
      <c r="B287" s="281"/>
      <c r="C287" s="281"/>
      <c r="D287" s="281"/>
      <c r="E287" s="224"/>
      <c r="F287" s="192"/>
      <c r="G287" s="193"/>
      <c r="H287" s="223"/>
      <c r="I287" s="281"/>
      <c r="J287" s="225"/>
      <c r="K287" s="225"/>
      <c r="L287" s="226"/>
      <c r="M287" s="226"/>
      <c r="N287" s="226"/>
      <c r="O287" s="227"/>
      <c r="P287" s="227"/>
      <c r="Q287" s="223"/>
      <c r="R287" s="781"/>
      <c r="S287" s="781"/>
    </row>
    <row r="288" spans="1:19" x14ac:dyDescent="0.25">
      <c r="A288" s="223"/>
      <c r="B288" s="281"/>
      <c r="C288" s="281"/>
      <c r="D288" s="281"/>
      <c r="E288" s="224"/>
      <c r="F288" s="192"/>
      <c r="G288" s="193"/>
      <c r="H288" s="223"/>
      <c r="I288" s="281"/>
      <c r="J288" s="225"/>
      <c r="K288" s="225"/>
      <c r="L288" s="226"/>
      <c r="M288" s="226"/>
      <c r="N288" s="226"/>
      <c r="O288" s="227"/>
      <c r="P288" s="227"/>
      <c r="Q288" s="223"/>
      <c r="R288" s="781"/>
      <c r="S288" s="781"/>
    </row>
    <row r="289" spans="1:19" x14ac:dyDescent="0.25">
      <c r="A289" s="223"/>
      <c r="B289" s="281"/>
      <c r="C289" s="281"/>
      <c r="D289" s="281"/>
      <c r="E289" s="224"/>
      <c r="F289" s="192"/>
      <c r="G289" s="193"/>
      <c r="H289" s="223"/>
      <c r="I289" s="281"/>
      <c r="J289" s="225"/>
      <c r="K289" s="225"/>
      <c r="L289" s="226"/>
      <c r="M289" s="226"/>
      <c r="N289" s="226"/>
      <c r="O289" s="227"/>
      <c r="P289" s="227"/>
      <c r="Q289" s="223"/>
      <c r="R289" s="781"/>
      <c r="S289" s="781"/>
    </row>
    <row r="290" spans="1:19" x14ac:dyDescent="0.25">
      <c r="A290" s="223"/>
      <c r="B290" s="281"/>
      <c r="C290" s="281"/>
      <c r="D290" s="281"/>
      <c r="E290" s="224"/>
      <c r="F290" s="192"/>
      <c r="G290" s="193"/>
      <c r="H290" s="223"/>
      <c r="I290" s="281"/>
      <c r="J290" s="225"/>
      <c r="K290" s="225"/>
      <c r="L290" s="226"/>
      <c r="M290" s="226"/>
      <c r="N290" s="226"/>
      <c r="O290" s="227"/>
      <c r="P290" s="227"/>
      <c r="Q290" s="223"/>
      <c r="R290" s="781"/>
      <c r="S290" s="781"/>
    </row>
    <row r="291" spans="1:19" x14ac:dyDescent="0.25">
      <c r="A291" s="223"/>
      <c r="B291" s="281"/>
      <c r="C291" s="281"/>
      <c r="D291" s="281"/>
      <c r="E291" s="224"/>
      <c r="F291" s="192"/>
      <c r="G291" s="193"/>
      <c r="H291" s="223"/>
      <c r="I291" s="281"/>
      <c r="J291" s="225"/>
      <c r="K291" s="225"/>
      <c r="L291" s="226"/>
      <c r="M291" s="226"/>
      <c r="N291" s="226"/>
      <c r="O291" s="227"/>
      <c r="P291" s="227"/>
      <c r="Q291" s="223"/>
      <c r="R291" s="781"/>
      <c r="S291" s="781"/>
    </row>
    <row r="292" spans="1:19" x14ac:dyDescent="0.25">
      <c r="A292" s="223"/>
      <c r="B292" s="281"/>
      <c r="C292" s="281"/>
      <c r="D292" s="281"/>
      <c r="E292" s="224"/>
      <c r="F292" s="192"/>
      <c r="G292" s="193"/>
      <c r="H292" s="223"/>
      <c r="I292" s="281"/>
      <c r="J292" s="225"/>
      <c r="K292" s="225"/>
      <c r="L292" s="226"/>
      <c r="M292" s="226"/>
      <c r="N292" s="226"/>
      <c r="O292" s="227"/>
      <c r="P292" s="227"/>
      <c r="Q292" s="223"/>
      <c r="R292" s="781"/>
      <c r="S292" s="781"/>
    </row>
    <row r="293" spans="1:19" x14ac:dyDescent="0.25">
      <c r="A293" s="223"/>
      <c r="B293" s="281"/>
      <c r="C293" s="281"/>
      <c r="D293" s="281"/>
      <c r="E293" s="224"/>
      <c r="F293" s="192"/>
      <c r="G293" s="193"/>
      <c r="H293" s="223"/>
      <c r="I293" s="281"/>
      <c r="J293" s="225"/>
      <c r="K293" s="225"/>
      <c r="L293" s="226"/>
      <c r="M293" s="226"/>
      <c r="N293" s="226"/>
      <c r="O293" s="227"/>
      <c r="P293" s="227"/>
      <c r="Q293" s="223"/>
      <c r="R293" s="781"/>
      <c r="S293" s="781"/>
    </row>
    <row r="294" spans="1:19" x14ac:dyDescent="0.25">
      <c r="A294" s="223"/>
      <c r="B294" s="281"/>
      <c r="C294" s="281"/>
      <c r="D294" s="281"/>
      <c r="E294" s="224"/>
      <c r="F294" s="192"/>
      <c r="G294" s="193"/>
      <c r="H294" s="223"/>
      <c r="I294" s="281"/>
      <c r="J294" s="225"/>
      <c r="K294" s="225"/>
      <c r="L294" s="226"/>
      <c r="M294" s="226"/>
      <c r="N294" s="226"/>
      <c r="O294" s="227"/>
      <c r="P294" s="227"/>
      <c r="Q294" s="223"/>
      <c r="R294" s="781"/>
      <c r="S294" s="781"/>
    </row>
    <row r="295" spans="1:19" x14ac:dyDescent="0.25">
      <c r="A295" s="223"/>
      <c r="B295" s="281"/>
      <c r="C295" s="281"/>
      <c r="D295" s="281"/>
      <c r="E295" s="224"/>
      <c r="F295" s="192"/>
      <c r="G295" s="193"/>
      <c r="H295" s="223"/>
      <c r="I295" s="281"/>
      <c r="J295" s="225"/>
      <c r="K295" s="225"/>
      <c r="L295" s="226"/>
      <c r="M295" s="226"/>
      <c r="N295" s="226"/>
      <c r="O295" s="227"/>
      <c r="P295" s="227"/>
      <c r="Q295" s="223"/>
      <c r="R295" s="781"/>
      <c r="S295" s="781"/>
    </row>
    <row r="296" spans="1:19" x14ac:dyDescent="0.25">
      <c r="A296" s="223"/>
      <c r="B296" s="281"/>
      <c r="C296" s="281"/>
      <c r="D296" s="281"/>
      <c r="E296" s="224"/>
      <c r="F296" s="192"/>
      <c r="G296" s="193"/>
      <c r="H296" s="223"/>
      <c r="I296" s="281"/>
      <c r="J296" s="225"/>
      <c r="K296" s="225"/>
      <c r="L296" s="226"/>
      <c r="M296" s="226"/>
      <c r="N296" s="226"/>
      <c r="O296" s="227"/>
      <c r="P296" s="227"/>
      <c r="Q296" s="223"/>
      <c r="R296" s="781"/>
      <c r="S296" s="781"/>
    </row>
    <row r="297" spans="1:19" x14ac:dyDescent="0.25">
      <c r="A297" s="223"/>
      <c r="B297" s="281"/>
      <c r="C297" s="281"/>
      <c r="D297" s="281"/>
      <c r="E297" s="224"/>
      <c r="F297" s="192"/>
      <c r="G297" s="193"/>
      <c r="H297" s="223"/>
      <c r="I297" s="281"/>
      <c r="J297" s="225"/>
      <c r="K297" s="225"/>
      <c r="L297" s="226"/>
      <c r="M297" s="226"/>
      <c r="N297" s="226"/>
      <c r="O297" s="227"/>
      <c r="P297" s="227"/>
      <c r="Q297" s="223"/>
      <c r="R297" s="781"/>
      <c r="S297" s="781"/>
    </row>
    <row r="298" spans="1:19" x14ac:dyDescent="0.25">
      <c r="A298" s="223"/>
      <c r="B298" s="281"/>
      <c r="C298" s="281"/>
      <c r="D298" s="281"/>
      <c r="E298" s="224"/>
      <c r="F298" s="192"/>
      <c r="G298" s="193"/>
      <c r="H298" s="223"/>
      <c r="I298" s="281"/>
      <c r="J298" s="225"/>
      <c r="K298" s="225"/>
      <c r="L298" s="226"/>
      <c r="M298" s="226"/>
      <c r="N298" s="226"/>
      <c r="O298" s="227"/>
      <c r="P298" s="227"/>
      <c r="Q298" s="223"/>
      <c r="R298" s="781"/>
      <c r="S298" s="781"/>
    </row>
    <row r="299" spans="1:19" x14ac:dyDescent="0.25">
      <c r="A299" s="223"/>
      <c r="B299" s="281"/>
      <c r="C299" s="281"/>
      <c r="D299" s="281"/>
      <c r="E299" s="224"/>
      <c r="F299" s="192"/>
      <c r="G299" s="193"/>
      <c r="H299" s="223"/>
      <c r="I299" s="281"/>
      <c r="J299" s="225"/>
      <c r="K299" s="225"/>
      <c r="L299" s="226"/>
      <c r="M299" s="226"/>
      <c r="N299" s="226"/>
      <c r="O299" s="227"/>
      <c r="P299" s="227"/>
      <c r="Q299" s="223"/>
      <c r="R299" s="781"/>
      <c r="S299" s="781"/>
    </row>
    <row r="300" spans="1:19" x14ac:dyDescent="0.25">
      <c r="A300" s="223"/>
      <c r="B300" s="281"/>
      <c r="C300" s="281"/>
      <c r="D300" s="281"/>
      <c r="E300" s="224"/>
      <c r="F300" s="192"/>
      <c r="G300" s="193"/>
      <c r="H300" s="223"/>
      <c r="I300" s="281"/>
      <c r="J300" s="225"/>
      <c r="K300" s="225"/>
      <c r="L300" s="226"/>
      <c r="M300" s="226"/>
      <c r="N300" s="226"/>
      <c r="O300" s="227"/>
      <c r="P300" s="227"/>
      <c r="Q300" s="223"/>
      <c r="R300" s="781"/>
      <c r="S300" s="781"/>
    </row>
  </sheetData>
  <sheetProtection selectLockedCells="1"/>
  <mergeCells count="310">
    <mergeCell ref="R295:S295"/>
    <mergeCell ref="R296:S296"/>
    <mergeCell ref="R297:S297"/>
    <mergeCell ref="R298:S298"/>
    <mergeCell ref="R299:S299"/>
    <mergeCell ref="R300:S300"/>
    <mergeCell ref="R289:S289"/>
    <mergeCell ref="R290:S290"/>
    <mergeCell ref="R291:S291"/>
    <mergeCell ref="R292:S292"/>
    <mergeCell ref="R293:S293"/>
    <mergeCell ref="R294:S294"/>
    <mergeCell ref="R283:S283"/>
    <mergeCell ref="R284:S284"/>
    <mergeCell ref="R285:S285"/>
    <mergeCell ref="R286:S286"/>
    <mergeCell ref="R287:S287"/>
    <mergeCell ref="R288:S288"/>
    <mergeCell ref="R277:S277"/>
    <mergeCell ref="R278:S278"/>
    <mergeCell ref="R279:S279"/>
    <mergeCell ref="R280:S280"/>
    <mergeCell ref="R281:S281"/>
    <mergeCell ref="R282:S282"/>
    <mergeCell ref="R271:S271"/>
    <mergeCell ref="R272:S272"/>
    <mergeCell ref="R273:S273"/>
    <mergeCell ref="R274:S274"/>
    <mergeCell ref="R275:S275"/>
    <mergeCell ref="R276:S276"/>
    <mergeCell ref="R265:S265"/>
    <mergeCell ref="R266:S266"/>
    <mergeCell ref="R267:S267"/>
    <mergeCell ref="R268:S268"/>
    <mergeCell ref="R269:S269"/>
    <mergeCell ref="R270:S270"/>
    <mergeCell ref="R259:S259"/>
    <mergeCell ref="R260:S260"/>
    <mergeCell ref="R261:S261"/>
    <mergeCell ref="R262:S262"/>
    <mergeCell ref="R263:S263"/>
    <mergeCell ref="R264:S264"/>
    <mergeCell ref="R253:S253"/>
    <mergeCell ref="R254:S254"/>
    <mergeCell ref="R255:S255"/>
    <mergeCell ref="R256:S256"/>
    <mergeCell ref="R257:S257"/>
    <mergeCell ref="R258:S258"/>
    <mergeCell ref="R247:S247"/>
    <mergeCell ref="R248:S248"/>
    <mergeCell ref="R249:S249"/>
    <mergeCell ref="R250:S250"/>
    <mergeCell ref="R251:S251"/>
    <mergeCell ref="R252:S252"/>
    <mergeCell ref="R241:S241"/>
    <mergeCell ref="R242:S242"/>
    <mergeCell ref="R243:S243"/>
    <mergeCell ref="R244:S244"/>
    <mergeCell ref="R245:S245"/>
    <mergeCell ref="R246:S246"/>
    <mergeCell ref="R235:S235"/>
    <mergeCell ref="R236:S236"/>
    <mergeCell ref="R237:S237"/>
    <mergeCell ref="R238:S238"/>
    <mergeCell ref="R239:S239"/>
    <mergeCell ref="R240:S240"/>
    <mergeCell ref="R229:S229"/>
    <mergeCell ref="R230:S230"/>
    <mergeCell ref="R231:S231"/>
    <mergeCell ref="R232:S232"/>
    <mergeCell ref="R233:S233"/>
    <mergeCell ref="R234:S234"/>
    <mergeCell ref="R223:S223"/>
    <mergeCell ref="R224:S224"/>
    <mergeCell ref="R225:S225"/>
    <mergeCell ref="R226:S226"/>
    <mergeCell ref="R227:S227"/>
    <mergeCell ref="R228:S228"/>
    <mergeCell ref="R217:S217"/>
    <mergeCell ref="R218:S218"/>
    <mergeCell ref="R219:S219"/>
    <mergeCell ref="R220:S220"/>
    <mergeCell ref="R221:S221"/>
    <mergeCell ref="R222:S222"/>
    <mergeCell ref="R211:S211"/>
    <mergeCell ref="R212:S212"/>
    <mergeCell ref="R213:S213"/>
    <mergeCell ref="R214:S214"/>
    <mergeCell ref="R215:S215"/>
    <mergeCell ref="R216:S216"/>
    <mergeCell ref="R205:S205"/>
    <mergeCell ref="R206:S206"/>
    <mergeCell ref="R207:S207"/>
    <mergeCell ref="R208:S208"/>
    <mergeCell ref="R209:S209"/>
    <mergeCell ref="R210:S210"/>
    <mergeCell ref="R199:S199"/>
    <mergeCell ref="R200:S200"/>
    <mergeCell ref="R201:S201"/>
    <mergeCell ref="R202:S202"/>
    <mergeCell ref="R203:S203"/>
    <mergeCell ref="R204:S204"/>
    <mergeCell ref="R193:S193"/>
    <mergeCell ref="R194:S194"/>
    <mergeCell ref="R195:S195"/>
    <mergeCell ref="R196:S196"/>
    <mergeCell ref="R197:S197"/>
    <mergeCell ref="R198:S198"/>
    <mergeCell ref="R187:S187"/>
    <mergeCell ref="R188:S188"/>
    <mergeCell ref="R189:S189"/>
    <mergeCell ref="R190:S190"/>
    <mergeCell ref="R191:S191"/>
    <mergeCell ref="R192:S192"/>
    <mergeCell ref="R181:S181"/>
    <mergeCell ref="R182:S182"/>
    <mergeCell ref="R183:S183"/>
    <mergeCell ref="R184:S184"/>
    <mergeCell ref="R185:S185"/>
    <mergeCell ref="R186:S186"/>
    <mergeCell ref="R175:S175"/>
    <mergeCell ref="R176:S176"/>
    <mergeCell ref="R177:S177"/>
    <mergeCell ref="R178:S178"/>
    <mergeCell ref="R179:S179"/>
    <mergeCell ref="R180:S180"/>
    <mergeCell ref="R169:S169"/>
    <mergeCell ref="R170:S170"/>
    <mergeCell ref="R171:S171"/>
    <mergeCell ref="R172:S172"/>
    <mergeCell ref="R173:S173"/>
    <mergeCell ref="R174:S174"/>
    <mergeCell ref="R163:S163"/>
    <mergeCell ref="R164:S164"/>
    <mergeCell ref="R165:S165"/>
    <mergeCell ref="R166:S166"/>
    <mergeCell ref="R167:S167"/>
    <mergeCell ref="R168:S168"/>
    <mergeCell ref="R157:S157"/>
    <mergeCell ref="R158:S158"/>
    <mergeCell ref="R159:S159"/>
    <mergeCell ref="R160:S160"/>
    <mergeCell ref="R161:S161"/>
    <mergeCell ref="R162:S162"/>
    <mergeCell ref="R151:S151"/>
    <mergeCell ref="R152:S152"/>
    <mergeCell ref="R153:S153"/>
    <mergeCell ref="R154:S154"/>
    <mergeCell ref="R155:S155"/>
    <mergeCell ref="R156:S156"/>
    <mergeCell ref="R145:S145"/>
    <mergeCell ref="R146:S146"/>
    <mergeCell ref="R147:S147"/>
    <mergeCell ref="R148:S148"/>
    <mergeCell ref="R149:S149"/>
    <mergeCell ref="R150:S150"/>
    <mergeCell ref="R139:S139"/>
    <mergeCell ref="R140:S140"/>
    <mergeCell ref="R141:S141"/>
    <mergeCell ref="R142:S142"/>
    <mergeCell ref="R143:S143"/>
    <mergeCell ref="R144:S144"/>
    <mergeCell ref="R133:S133"/>
    <mergeCell ref="R134:S134"/>
    <mergeCell ref="R135:S135"/>
    <mergeCell ref="R136:S136"/>
    <mergeCell ref="R137:S137"/>
    <mergeCell ref="R138:S138"/>
    <mergeCell ref="R127:S127"/>
    <mergeCell ref="R128:S128"/>
    <mergeCell ref="R129:S129"/>
    <mergeCell ref="R130:S130"/>
    <mergeCell ref="R131:S131"/>
    <mergeCell ref="R132:S132"/>
    <mergeCell ref="R121:S121"/>
    <mergeCell ref="R122:S122"/>
    <mergeCell ref="R123:S123"/>
    <mergeCell ref="R124:S124"/>
    <mergeCell ref="R125:S125"/>
    <mergeCell ref="R126:S126"/>
    <mergeCell ref="R115:S115"/>
    <mergeCell ref="R116:S116"/>
    <mergeCell ref="R117:S117"/>
    <mergeCell ref="R118:S118"/>
    <mergeCell ref="R119:S119"/>
    <mergeCell ref="R120:S120"/>
    <mergeCell ref="R109:S109"/>
    <mergeCell ref="R110:S110"/>
    <mergeCell ref="R111:S111"/>
    <mergeCell ref="R112:S112"/>
    <mergeCell ref="R113:S113"/>
    <mergeCell ref="R114:S114"/>
    <mergeCell ref="R103:S103"/>
    <mergeCell ref="R104:S104"/>
    <mergeCell ref="R105:S105"/>
    <mergeCell ref="R106:S106"/>
    <mergeCell ref="R107:S107"/>
    <mergeCell ref="R108:S108"/>
    <mergeCell ref="R97:S97"/>
    <mergeCell ref="R98:S98"/>
    <mergeCell ref="R99:S99"/>
    <mergeCell ref="R100:S100"/>
    <mergeCell ref="R101:S101"/>
    <mergeCell ref="R102:S102"/>
    <mergeCell ref="R91:S91"/>
    <mergeCell ref="R92:S92"/>
    <mergeCell ref="R93:S93"/>
    <mergeCell ref="R94:S94"/>
    <mergeCell ref="R95:S95"/>
    <mergeCell ref="R96:S96"/>
    <mergeCell ref="R85:S85"/>
    <mergeCell ref="R86:S86"/>
    <mergeCell ref="R87:S87"/>
    <mergeCell ref="R88:S88"/>
    <mergeCell ref="R89:S89"/>
    <mergeCell ref="R90:S90"/>
    <mergeCell ref="R79:S79"/>
    <mergeCell ref="R80:S80"/>
    <mergeCell ref="R81:S81"/>
    <mergeCell ref="R82:S82"/>
    <mergeCell ref="R83:S83"/>
    <mergeCell ref="R84:S84"/>
    <mergeCell ref="R73:S73"/>
    <mergeCell ref="R74:S74"/>
    <mergeCell ref="R75:S75"/>
    <mergeCell ref="R76:S76"/>
    <mergeCell ref="R77:S77"/>
    <mergeCell ref="R78:S78"/>
    <mergeCell ref="R67:S67"/>
    <mergeCell ref="R68:S68"/>
    <mergeCell ref="R69:S69"/>
    <mergeCell ref="R70:S70"/>
    <mergeCell ref="R71:S71"/>
    <mergeCell ref="R72:S72"/>
    <mergeCell ref="R61:S61"/>
    <mergeCell ref="R62:S62"/>
    <mergeCell ref="R63:S63"/>
    <mergeCell ref="R64:S64"/>
    <mergeCell ref="R65:S65"/>
    <mergeCell ref="R66:S66"/>
    <mergeCell ref="R55:S55"/>
    <mergeCell ref="R56:S56"/>
    <mergeCell ref="R57:S57"/>
    <mergeCell ref="R58:S58"/>
    <mergeCell ref="R59:S59"/>
    <mergeCell ref="R60:S60"/>
    <mergeCell ref="R49:S49"/>
    <mergeCell ref="R50:S50"/>
    <mergeCell ref="R51:S51"/>
    <mergeCell ref="R52:S52"/>
    <mergeCell ref="R53:S53"/>
    <mergeCell ref="R54:S54"/>
    <mergeCell ref="R43:S43"/>
    <mergeCell ref="R44:S44"/>
    <mergeCell ref="R45:S45"/>
    <mergeCell ref="R46:S46"/>
    <mergeCell ref="R47:S47"/>
    <mergeCell ref="R48:S48"/>
    <mergeCell ref="R37:S37"/>
    <mergeCell ref="R38:S38"/>
    <mergeCell ref="R39:S39"/>
    <mergeCell ref="R40:S40"/>
    <mergeCell ref="R41:S41"/>
    <mergeCell ref="R42:S42"/>
    <mergeCell ref="R31:S31"/>
    <mergeCell ref="R32:S32"/>
    <mergeCell ref="R33:S33"/>
    <mergeCell ref="R34:S34"/>
    <mergeCell ref="R35:S35"/>
    <mergeCell ref="R36:S36"/>
    <mergeCell ref="R25:S25"/>
    <mergeCell ref="R26:S26"/>
    <mergeCell ref="R27:S27"/>
    <mergeCell ref="R28:S28"/>
    <mergeCell ref="R29:S29"/>
    <mergeCell ref="R30:S30"/>
    <mergeCell ref="R19:S19"/>
    <mergeCell ref="R20:S20"/>
    <mergeCell ref="R21:S21"/>
    <mergeCell ref="R22:S22"/>
    <mergeCell ref="R23:S23"/>
    <mergeCell ref="R24:S24"/>
    <mergeCell ref="R13:S13"/>
    <mergeCell ref="R14:S14"/>
    <mergeCell ref="R15:S15"/>
    <mergeCell ref="R16:S16"/>
    <mergeCell ref="R17:S17"/>
    <mergeCell ref="R18:S18"/>
    <mergeCell ref="R7:S7"/>
    <mergeCell ref="R8:S8"/>
    <mergeCell ref="R9:S9"/>
    <mergeCell ref="R10:S10"/>
    <mergeCell ref="R11:S11"/>
    <mergeCell ref="R12:S12"/>
    <mergeCell ref="H3:K3"/>
    <mergeCell ref="L3:N3"/>
    <mergeCell ref="O3:P3"/>
    <mergeCell ref="R4:S4"/>
    <mergeCell ref="R5:S5"/>
    <mergeCell ref="R6:S6"/>
    <mergeCell ref="A1:E2"/>
    <mergeCell ref="K1:L1"/>
    <mergeCell ref="M1:P1"/>
    <mergeCell ref="Q1:S3"/>
    <mergeCell ref="F2:G2"/>
    <mergeCell ref="H2:I2"/>
    <mergeCell ref="K2:L2"/>
    <mergeCell ref="M2:P2"/>
    <mergeCell ref="A3:C3"/>
    <mergeCell ref="D3:E3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S300"/>
  <sheetViews>
    <sheetView zoomScale="90" zoomScaleNormal="90" workbookViewId="0">
      <pane ySplit="14" topLeftCell="A18" activePane="bottomLeft" state="frozen"/>
      <selection activeCell="H29" sqref="H29"/>
      <selection pane="bottomLeft" activeCell="D7" sqref="D7"/>
    </sheetView>
  </sheetViews>
  <sheetFormatPr defaultRowHeight="15" x14ac:dyDescent="0.25"/>
  <cols>
    <col min="1" max="1" width="9.5703125" bestFit="1" customWidth="1"/>
    <col min="2" max="2" width="8.85546875" style="148" customWidth="1"/>
    <col min="3" max="3" width="13.7109375" style="148" customWidth="1"/>
    <col min="4" max="5" width="17" style="148" bestFit="1" customWidth="1"/>
    <col min="6" max="6" width="15.28515625" bestFit="1" customWidth="1"/>
    <col min="7" max="7" width="18" bestFit="1" customWidth="1"/>
    <col min="8" max="8" width="9.5703125" style="228" bestFit="1" customWidth="1"/>
    <col min="9" max="9" width="18" style="148" bestFit="1" customWidth="1"/>
    <col min="10" max="10" width="22.140625" bestFit="1" customWidth="1"/>
    <col min="11" max="11" width="17" bestFit="1" customWidth="1"/>
    <col min="12" max="13" width="20.7109375" style="187" customWidth="1"/>
    <col min="14" max="14" width="11.7109375" style="187" customWidth="1"/>
    <col min="15" max="16" width="17" style="229" bestFit="1" customWidth="1"/>
    <col min="17" max="17" width="8.42578125" style="230" bestFit="1" customWidth="1"/>
    <col min="18" max="19" width="13.5703125" style="230" customWidth="1"/>
  </cols>
  <sheetData>
    <row r="1" spans="1:19" ht="24" customHeight="1" thickBot="1" x14ac:dyDescent="0.3">
      <c r="A1" s="749" t="s">
        <v>358</v>
      </c>
      <c r="B1" s="750"/>
      <c r="C1" s="750"/>
      <c r="D1" s="750"/>
      <c r="E1" s="750"/>
      <c r="F1" s="163" t="s">
        <v>327</v>
      </c>
      <c r="G1" s="164" t="str">
        <f>D4</f>
        <v>PT # 1895</v>
      </c>
      <c r="H1" s="165" t="s">
        <v>328</v>
      </c>
      <c r="I1" s="164" t="str">
        <f>E4</f>
        <v>PT # 1913</v>
      </c>
      <c r="J1" s="166"/>
      <c r="K1" s="753" t="s">
        <v>329</v>
      </c>
      <c r="L1" s="753"/>
      <c r="M1" s="754" t="s">
        <v>549</v>
      </c>
      <c r="N1" s="754"/>
      <c r="O1" s="754"/>
      <c r="P1" s="755"/>
      <c r="Q1" s="756" t="s">
        <v>330</v>
      </c>
      <c r="R1" s="757"/>
      <c r="S1" s="757"/>
    </row>
    <row r="2" spans="1:19" ht="24" customHeight="1" thickBot="1" x14ac:dyDescent="0.3">
      <c r="A2" s="751"/>
      <c r="B2" s="752"/>
      <c r="C2" s="752"/>
      <c r="D2" s="752"/>
      <c r="E2" s="752"/>
      <c r="F2" s="762">
        <f>G4-G8</f>
        <v>38</v>
      </c>
      <c r="G2" s="763"/>
      <c r="H2" s="764">
        <f>G6-G10</f>
        <v>38</v>
      </c>
      <c r="I2" s="765"/>
      <c r="J2" s="167"/>
      <c r="K2" s="753" t="s">
        <v>331</v>
      </c>
      <c r="L2" s="753"/>
      <c r="M2" s="766"/>
      <c r="N2" s="766"/>
      <c r="O2" s="766"/>
      <c r="P2" s="767"/>
      <c r="Q2" s="758"/>
      <c r="R2" s="759"/>
      <c r="S2" s="759"/>
    </row>
    <row r="3" spans="1:19" s="149" customFormat="1" ht="24" customHeight="1" thickBot="1" x14ac:dyDescent="0.4">
      <c r="A3" s="768" t="s">
        <v>332</v>
      </c>
      <c r="B3" s="769"/>
      <c r="C3" s="770"/>
      <c r="D3" s="768" t="s">
        <v>333</v>
      </c>
      <c r="E3" s="769"/>
      <c r="F3" s="168" t="s">
        <v>334</v>
      </c>
      <c r="G3" s="169" t="s">
        <v>328</v>
      </c>
      <c r="H3" s="775" t="s">
        <v>335</v>
      </c>
      <c r="I3" s="776"/>
      <c r="J3" s="776"/>
      <c r="K3" s="777"/>
      <c r="L3" s="775" t="s">
        <v>336</v>
      </c>
      <c r="M3" s="776"/>
      <c r="N3" s="777"/>
      <c r="O3" s="768" t="s">
        <v>337</v>
      </c>
      <c r="P3" s="770"/>
      <c r="Q3" s="760"/>
      <c r="R3" s="761"/>
      <c r="S3" s="761"/>
    </row>
    <row r="4" spans="1:19" s="149" customFormat="1" ht="24" thickBot="1" x14ac:dyDescent="0.4">
      <c r="A4" s="277" t="s">
        <v>297</v>
      </c>
      <c r="B4" s="277" t="s">
        <v>338</v>
      </c>
      <c r="C4" s="277" t="s">
        <v>339</v>
      </c>
      <c r="D4" s="277" t="s">
        <v>357</v>
      </c>
      <c r="E4" s="277" t="s">
        <v>356</v>
      </c>
      <c r="F4" s="170" t="str">
        <f>D4</f>
        <v>PT # 1895</v>
      </c>
      <c r="G4" s="171">
        <f>SUM(D:D)</f>
        <v>38</v>
      </c>
      <c r="H4" s="172" t="s">
        <v>297</v>
      </c>
      <c r="I4" s="173" t="s">
        <v>342</v>
      </c>
      <c r="J4" s="173" t="s">
        <v>343</v>
      </c>
      <c r="K4" s="173" t="s">
        <v>344</v>
      </c>
      <c r="L4" s="174" t="str">
        <f>D4</f>
        <v>PT # 1895</v>
      </c>
      <c r="M4" s="174" t="str">
        <f>E4</f>
        <v>PT # 1913</v>
      </c>
      <c r="N4" s="174" t="s">
        <v>328</v>
      </c>
      <c r="O4" s="173" t="str">
        <f>D4</f>
        <v>PT # 1895</v>
      </c>
      <c r="P4" s="173" t="str">
        <f>E4</f>
        <v>PT # 1913</v>
      </c>
      <c r="Q4" s="175" t="s">
        <v>297</v>
      </c>
      <c r="R4" s="778" t="s">
        <v>345</v>
      </c>
      <c r="S4" s="779"/>
    </row>
    <row r="5" spans="1:19" ht="21" customHeight="1" x14ac:dyDescent="0.35">
      <c r="A5" s="176">
        <v>42904</v>
      </c>
      <c r="B5" s="279">
        <v>178624</v>
      </c>
      <c r="C5" s="231" t="s">
        <v>347</v>
      </c>
      <c r="D5" s="279"/>
      <c r="E5" s="177">
        <v>38</v>
      </c>
      <c r="F5" s="178" t="s">
        <v>334</v>
      </c>
      <c r="G5" s="179" t="s">
        <v>328</v>
      </c>
      <c r="H5" s="176"/>
      <c r="I5" s="279"/>
      <c r="J5" s="231"/>
      <c r="K5" s="231"/>
      <c r="L5" s="181"/>
      <c r="M5" s="182"/>
      <c r="N5" s="181">
        <f>M5+L5</f>
        <v>0</v>
      </c>
      <c r="O5" s="183"/>
      <c r="P5" s="183"/>
      <c r="Q5" s="176"/>
      <c r="R5" s="780"/>
      <c r="S5" s="780"/>
    </row>
    <row r="6" spans="1:19" ht="21" customHeight="1" thickBot="1" x14ac:dyDescent="0.4">
      <c r="A6" s="184">
        <v>42904</v>
      </c>
      <c r="B6" s="278">
        <v>178126</v>
      </c>
      <c r="C6" s="279" t="s">
        <v>347</v>
      </c>
      <c r="D6" s="278">
        <v>38</v>
      </c>
      <c r="E6" s="185"/>
      <c r="F6" s="170" t="str">
        <f>E4</f>
        <v>PT # 1913</v>
      </c>
      <c r="G6" s="171">
        <f>SUM(E:E)</f>
        <v>38</v>
      </c>
      <c r="H6" s="184"/>
      <c r="I6" s="278"/>
      <c r="J6" s="199"/>
      <c r="K6" s="199"/>
      <c r="L6" s="182"/>
      <c r="N6" s="181">
        <f t="shared" ref="N6:N69" si="0">M6+L6</f>
        <v>0</v>
      </c>
      <c r="O6" s="188"/>
      <c r="P6" s="188"/>
      <c r="Q6" s="184"/>
      <c r="R6" s="773"/>
      <c r="S6" s="773"/>
    </row>
    <row r="7" spans="1:19" ht="21" customHeight="1" x14ac:dyDescent="0.35">
      <c r="A7" s="184">
        <v>42907</v>
      </c>
      <c r="B7" s="278">
        <v>178138</v>
      </c>
      <c r="C7" s="279"/>
      <c r="D7" s="278" t="s">
        <v>619</v>
      </c>
      <c r="E7" s="185"/>
      <c r="F7" s="178" t="s">
        <v>348</v>
      </c>
      <c r="G7" s="179" t="s">
        <v>328</v>
      </c>
      <c r="H7" s="184"/>
      <c r="I7" s="278"/>
      <c r="J7" s="199"/>
      <c r="K7" s="199"/>
      <c r="L7" s="182"/>
      <c r="M7" s="182"/>
      <c r="N7" s="181">
        <f t="shared" si="0"/>
        <v>0</v>
      </c>
      <c r="O7" s="188"/>
      <c r="P7" s="188"/>
      <c r="Q7" s="184"/>
      <c r="R7" s="773"/>
      <c r="S7" s="773"/>
    </row>
    <row r="8" spans="1:19" ht="21" customHeight="1" thickBot="1" x14ac:dyDescent="0.4">
      <c r="A8" s="184"/>
      <c r="B8" s="278"/>
      <c r="C8" s="279"/>
      <c r="D8" s="278"/>
      <c r="E8" s="185"/>
      <c r="F8" s="170" t="str">
        <f>D4</f>
        <v>PT # 1895</v>
      </c>
      <c r="G8" s="189">
        <f>SUM(L:L)</f>
        <v>0</v>
      </c>
      <c r="H8" s="210"/>
      <c r="I8" s="280"/>
      <c r="J8" s="239"/>
      <c r="K8" s="239"/>
      <c r="L8" s="217"/>
      <c r="M8" s="217"/>
      <c r="N8" s="181">
        <f t="shared" si="0"/>
        <v>0</v>
      </c>
      <c r="O8" s="188"/>
      <c r="P8" s="188"/>
      <c r="Q8" s="184"/>
      <c r="R8" s="773"/>
      <c r="S8" s="773"/>
    </row>
    <row r="9" spans="1:19" ht="21" customHeight="1" x14ac:dyDescent="0.35">
      <c r="A9" s="184"/>
      <c r="B9" s="278"/>
      <c r="C9" s="279"/>
      <c r="D9" s="278"/>
      <c r="E9" s="185"/>
      <c r="F9" s="178" t="s">
        <v>348</v>
      </c>
      <c r="G9" s="179" t="s">
        <v>328</v>
      </c>
      <c r="H9" s="184"/>
      <c r="I9" s="278"/>
      <c r="J9" s="199"/>
      <c r="K9" s="199"/>
      <c r="L9" s="182"/>
      <c r="M9" s="182"/>
      <c r="N9" s="181">
        <f t="shared" si="0"/>
        <v>0</v>
      </c>
      <c r="O9" s="188"/>
      <c r="P9" s="188"/>
      <c r="Q9" s="184"/>
      <c r="R9" s="773"/>
      <c r="S9" s="773"/>
    </row>
    <row r="10" spans="1:19" ht="21" customHeight="1" thickBot="1" x14ac:dyDescent="0.4">
      <c r="A10" s="184"/>
      <c r="B10" s="278"/>
      <c r="C10" s="279"/>
      <c r="D10" s="278"/>
      <c r="E10" s="185"/>
      <c r="F10" s="170" t="str">
        <f>E4</f>
        <v>PT # 1913</v>
      </c>
      <c r="G10" s="189">
        <f>SUM(M:M)</f>
        <v>0</v>
      </c>
      <c r="H10" s="184"/>
      <c r="I10" s="278"/>
      <c r="J10" s="199"/>
      <c r="K10" s="199"/>
      <c r="L10" s="182"/>
      <c r="M10" s="182"/>
      <c r="N10" s="181">
        <f t="shared" si="0"/>
        <v>0</v>
      </c>
      <c r="O10" s="188"/>
      <c r="P10" s="188"/>
      <c r="Q10" s="184"/>
      <c r="R10" s="773"/>
      <c r="S10" s="773"/>
    </row>
    <row r="11" spans="1:19" ht="21" customHeight="1" x14ac:dyDescent="0.25">
      <c r="A11" s="184"/>
      <c r="B11" s="278"/>
      <c r="C11" s="279"/>
      <c r="D11" s="278"/>
      <c r="E11" s="185"/>
      <c r="F11" s="192"/>
      <c r="G11" s="193"/>
      <c r="H11" s="184"/>
      <c r="I11" s="278"/>
      <c r="J11" s="199"/>
      <c r="K11" s="199"/>
      <c r="L11" s="182"/>
      <c r="M11" s="182"/>
      <c r="N11" s="181">
        <f t="shared" si="0"/>
        <v>0</v>
      </c>
      <c r="O11" s="188"/>
      <c r="P11" s="188"/>
      <c r="Q11" s="184"/>
      <c r="R11" s="773"/>
      <c r="S11" s="773"/>
    </row>
    <row r="12" spans="1:19" ht="21" customHeight="1" x14ac:dyDescent="0.25">
      <c r="A12" s="194"/>
      <c r="B12" s="197"/>
      <c r="C12" s="196"/>
      <c r="D12" s="197"/>
      <c r="E12" s="198"/>
      <c r="F12" s="192"/>
      <c r="G12" s="193"/>
      <c r="H12" s="194"/>
      <c r="I12" s="278"/>
      <c r="J12" s="199"/>
      <c r="K12" s="199"/>
      <c r="L12" s="182"/>
      <c r="M12" s="182"/>
      <c r="N12" s="181">
        <f t="shared" si="0"/>
        <v>0</v>
      </c>
      <c r="O12" s="188"/>
      <c r="P12" s="188"/>
      <c r="Q12" s="194"/>
      <c r="R12" s="773"/>
      <c r="S12" s="773"/>
    </row>
    <row r="13" spans="1:19" ht="21" customHeight="1" x14ac:dyDescent="0.25">
      <c r="A13" s="184"/>
      <c r="B13" s="278"/>
      <c r="C13" s="279"/>
      <c r="D13" s="278"/>
      <c r="E13" s="185"/>
      <c r="F13" s="192"/>
      <c r="G13" s="193"/>
      <c r="H13" s="232"/>
      <c r="I13" s="303"/>
      <c r="J13" s="304"/>
      <c r="K13" s="199"/>
      <c r="L13" s="182"/>
      <c r="M13" s="182"/>
      <c r="N13" s="181">
        <f t="shared" si="0"/>
        <v>0</v>
      </c>
      <c r="O13" s="188"/>
      <c r="P13" s="188"/>
      <c r="Q13" s="184"/>
      <c r="R13" s="773"/>
      <c r="S13" s="773"/>
    </row>
    <row r="14" spans="1:19" ht="21" customHeight="1" x14ac:dyDescent="0.25">
      <c r="A14" s="184"/>
      <c r="B14" s="278"/>
      <c r="C14" s="279"/>
      <c r="D14" s="278"/>
      <c r="E14" s="185"/>
      <c r="F14" s="192"/>
      <c r="G14" s="193"/>
      <c r="H14" s="305"/>
      <c r="I14" s="199"/>
      <c r="J14" s="199"/>
      <c r="K14" s="199"/>
      <c r="L14" s="182"/>
      <c r="M14" s="182"/>
      <c r="N14" s="181">
        <f t="shared" si="0"/>
        <v>0</v>
      </c>
      <c r="O14" s="188"/>
      <c r="P14" s="188"/>
      <c r="Q14" s="184"/>
      <c r="R14" s="773"/>
      <c r="S14" s="773"/>
    </row>
    <row r="15" spans="1:19" ht="21" customHeight="1" x14ac:dyDescent="0.25">
      <c r="A15" s="184"/>
      <c r="B15" s="278"/>
      <c r="C15" s="279"/>
      <c r="D15" s="278"/>
      <c r="E15" s="185"/>
      <c r="F15" s="192"/>
      <c r="G15" s="193"/>
      <c r="H15" s="184"/>
      <c r="I15" s="199"/>
      <c r="J15" s="199"/>
      <c r="K15" s="199"/>
      <c r="L15" s="182"/>
      <c r="M15" s="182"/>
      <c r="N15" s="181">
        <f t="shared" si="0"/>
        <v>0</v>
      </c>
      <c r="O15" s="188"/>
      <c r="P15" s="188"/>
      <c r="Q15" s="184"/>
      <c r="R15" s="773"/>
      <c r="S15" s="773"/>
    </row>
    <row r="16" spans="1:19" ht="21" customHeight="1" x14ac:dyDescent="0.25">
      <c r="A16" s="184"/>
      <c r="B16" s="278"/>
      <c r="C16" s="279"/>
      <c r="D16" s="278"/>
      <c r="E16" s="185"/>
      <c r="F16" s="192"/>
      <c r="G16" s="193"/>
      <c r="H16" s="184"/>
      <c r="I16" s="278"/>
      <c r="J16" s="199"/>
      <c r="K16" s="199"/>
      <c r="L16" s="182"/>
      <c r="M16" s="182"/>
      <c r="N16" s="181">
        <f t="shared" si="0"/>
        <v>0</v>
      </c>
      <c r="O16" s="188"/>
      <c r="P16" s="188"/>
      <c r="Q16" s="184"/>
      <c r="R16" s="773"/>
      <c r="S16" s="773"/>
    </row>
    <row r="17" spans="1:19" ht="21" customHeight="1" x14ac:dyDescent="0.25">
      <c r="A17" s="184"/>
      <c r="B17" s="278"/>
      <c r="C17" s="279"/>
      <c r="D17" s="278"/>
      <c r="E17" s="185"/>
      <c r="F17" s="192"/>
      <c r="G17" s="193"/>
      <c r="H17" s="184"/>
      <c r="I17" s="278"/>
      <c r="J17" s="199"/>
      <c r="K17" s="199"/>
      <c r="L17" s="182"/>
      <c r="M17" s="182"/>
      <c r="N17" s="181">
        <f t="shared" si="0"/>
        <v>0</v>
      </c>
      <c r="O17" s="188"/>
      <c r="P17" s="188"/>
      <c r="Q17" s="184"/>
      <c r="R17" s="773"/>
      <c r="S17" s="773"/>
    </row>
    <row r="18" spans="1:19" ht="21" customHeight="1" x14ac:dyDescent="0.25">
      <c r="A18" s="184"/>
      <c r="B18" s="278"/>
      <c r="C18" s="279"/>
      <c r="D18" s="278"/>
      <c r="E18" s="185"/>
      <c r="F18" s="192"/>
      <c r="G18" s="193"/>
      <c r="H18" s="184"/>
      <c r="I18" s="199"/>
      <c r="J18" s="199"/>
      <c r="K18" s="199"/>
      <c r="L18" s="182"/>
      <c r="M18" s="182"/>
      <c r="N18" s="181">
        <f t="shared" si="0"/>
        <v>0</v>
      </c>
      <c r="O18" s="188"/>
      <c r="P18" s="188"/>
      <c r="Q18" s="184"/>
      <c r="R18" s="773"/>
      <c r="S18" s="773"/>
    </row>
    <row r="19" spans="1:19" ht="21" customHeight="1" x14ac:dyDescent="0.25">
      <c r="A19" s="184"/>
      <c r="B19" s="278"/>
      <c r="C19" s="279"/>
      <c r="D19" s="278"/>
      <c r="E19" s="185"/>
      <c r="F19" s="192"/>
      <c r="G19" s="193"/>
      <c r="H19" s="184"/>
      <c r="I19" s="238"/>
      <c r="J19" s="238"/>
      <c r="K19" s="199"/>
      <c r="L19" s="182"/>
      <c r="M19" s="182"/>
      <c r="N19" s="181">
        <f t="shared" si="0"/>
        <v>0</v>
      </c>
      <c r="O19" s="188"/>
      <c r="P19" s="188"/>
      <c r="Q19" s="184"/>
      <c r="R19" s="773"/>
      <c r="S19" s="773"/>
    </row>
    <row r="20" spans="1:19" ht="21" customHeight="1" x14ac:dyDescent="0.25">
      <c r="A20" s="184"/>
      <c r="B20" s="278"/>
      <c r="C20" s="279"/>
      <c r="D20" s="278"/>
      <c r="E20" s="185"/>
      <c r="F20" s="192"/>
      <c r="G20" s="193"/>
      <c r="H20" s="184"/>
      <c r="I20" s="278"/>
      <c r="J20" s="199"/>
      <c r="K20" s="199"/>
      <c r="L20" s="182"/>
      <c r="M20" s="182"/>
      <c r="N20" s="181">
        <f t="shared" si="0"/>
        <v>0</v>
      </c>
      <c r="O20" s="188"/>
      <c r="P20" s="188"/>
      <c r="Q20" s="184"/>
      <c r="R20" s="773"/>
      <c r="S20" s="773"/>
    </row>
    <row r="21" spans="1:19" ht="21" customHeight="1" x14ac:dyDescent="0.25">
      <c r="A21" s="184"/>
      <c r="B21" s="278"/>
      <c r="C21" s="279"/>
      <c r="D21" s="278"/>
      <c r="E21" s="185"/>
      <c r="F21" s="192"/>
      <c r="G21" s="193"/>
      <c r="H21" s="184"/>
      <c r="I21" s="278"/>
      <c r="J21" s="199"/>
      <c r="K21" s="199"/>
      <c r="L21" s="182"/>
      <c r="M21" s="182"/>
      <c r="N21" s="181">
        <f t="shared" si="0"/>
        <v>0</v>
      </c>
      <c r="O21" s="188"/>
      <c r="P21" s="188"/>
      <c r="Q21" s="184"/>
      <c r="R21" s="773"/>
      <c r="S21" s="773"/>
    </row>
    <row r="22" spans="1:19" ht="21" customHeight="1" x14ac:dyDescent="0.25">
      <c r="A22" s="184"/>
      <c r="B22" s="278"/>
      <c r="C22" s="279"/>
      <c r="D22" s="278"/>
      <c r="E22" s="185"/>
      <c r="F22" s="192"/>
      <c r="G22" s="193"/>
      <c r="H22" s="184"/>
      <c r="I22" s="278"/>
      <c r="J22" s="199"/>
      <c r="K22" s="199"/>
      <c r="L22" s="182"/>
      <c r="M22" s="182"/>
      <c r="N22" s="181">
        <f t="shared" si="0"/>
        <v>0</v>
      </c>
      <c r="O22" s="188"/>
      <c r="P22" s="188"/>
      <c r="Q22" s="184"/>
      <c r="R22" s="773"/>
      <c r="S22" s="773"/>
    </row>
    <row r="23" spans="1:19" ht="21" customHeight="1" x14ac:dyDescent="0.25">
      <c r="A23" s="184"/>
      <c r="B23" s="278"/>
      <c r="C23" s="278"/>
      <c r="D23" s="278"/>
      <c r="E23" s="185"/>
      <c r="F23" s="192"/>
      <c r="G23" s="193"/>
      <c r="H23" s="184"/>
      <c r="I23" s="278"/>
      <c r="J23" s="199"/>
      <c r="K23" s="199"/>
      <c r="L23" s="182"/>
      <c r="M23" s="182"/>
      <c r="N23" s="181">
        <f t="shared" si="0"/>
        <v>0</v>
      </c>
      <c r="O23" s="188"/>
      <c r="P23" s="188"/>
      <c r="Q23" s="184"/>
      <c r="R23" s="773"/>
      <c r="S23" s="773"/>
    </row>
    <row r="24" spans="1:19" ht="21" customHeight="1" x14ac:dyDescent="0.25">
      <c r="A24" s="184"/>
      <c r="B24" s="278"/>
      <c r="C24" s="278"/>
      <c r="D24" s="278"/>
      <c r="E24" s="185"/>
      <c r="F24" s="192"/>
      <c r="G24" s="193"/>
      <c r="H24" s="184"/>
      <c r="I24" s="278"/>
      <c r="J24" s="199"/>
      <c r="K24" s="199"/>
      <c r="L24" s="182"/>
      <c r="M24" s="182"/>
      <c r="N24" s="181">
        <f t="shared" si="0"/>
        <v>0</v>
      </c>
      <c r="O24" s="188"/>
      <c r="P24" s="188"/>
      <c r="Q24" s="184"/>
      <c r="R24" s="773"/>
      <c r="S24" s="773"/>
    </row>
    <row r="25" spans="1:19" ht="21" customHeight="1" x14ac:dyDescent="0.25">
      <c r="A25" s="184"/>
      <c r="B25" s="278"/>
      <c r="C25" s="278"/>
      <c r="D25" s="278"/>
      <c r="E25" s="185"/>
      <c r="F25" s="192"/>
      <c r="G25" s="193"/>
      <c r="H25" s="184"/>
      <c r="I25" s="278"/>
      <c r="J25" s="199"/>
      <c r="K25" s="199"/>
      <c r="L25" s="182"/>
      <c r="M25" s="182"/>
      <c r="N25" s="181">
        <f t="shared" si="0"/>
        <v>0</v>
      </c>
      <c r="O25" s="188"/>
      <c r="P25" s="188"/>
      <c r="Q25" s="184"/>
      <c r="R25" s="773"/>
      <c r="S25" s="773"/>
    </row>
    <row r="26" spans="1:19" ht="21" customHeight="1" x14ac:dyDescent="0.25">
      <c r="A26" s="184"/>
      <c r="B26" s="278"/>
      <c r="C26" s="278"/>
      <c r="D26" s="278"/>
      <c r="E26" s="185"/>
      <c r="F26" s="192"/>
      <c r="G26" s="193"/>
      <c r="H26" s="184"/>
      <c r="I26" s="278"/>
      <c r="J26" s="199"/>
      <c r="K26" s="199"/>
      <c r="L26" s="182"/>
      <c r="M26" s="182"/>
      <c r="N26" s="181">
        <f t="shared" si="0"/>
        <v>0</v>
      </c>
      <c r="O26" s="188"/>
      <c r="P26" s="188"/>
      <c r="Q26" s="184"/>
      <c r="R26" s="773"/>
      <c r="S26" s="773"/>
    </row>
    <row r="27" spans="1:19" ht="21" customHeight="1" x14ac:dyDescent="0.25">
      <c r="A27" s="184"/>
      <c r="B27" s="278"/>
      <c r="C27" s="278"/>
      <c r="D27" s="278"/>
      <c r="E27" s="185"/>
      <c r="F27" s="192"/>
      <c r="G27" s="193"/>
      <c r="H27" s="184"/>
      <c r="I27" s="278"/>
      <c r="J27" s="199"/>
      <c r="K27" s="199"/>
      <c r="L27" s="182"/>
      <c r="M27" s="182"/>
      <c r="N27" s="181">
        <f t="shared" si="0"/>
        <v>0</v>
      </c>
      <c r="O27" s="188"/>
      <c r="P27" s="188"/>
      <c r="Q27" s="184"/>
      <c r="R27" s="773"/>
      <c r="S27" s="773"/>
    </row>
    <row r="28" spans="1:19" ht="21" customHeight="1" x14ac:dyDescent="0.25">
      <c r="A28" s="184"/>
      <c r="B28" s="278"/>
      <c r="C28" s="278"/>
      <c r="D28" s="278"/>
      <c r="E28" s="185"/>
      <c r="F28" s="192"/>
      <c r="G28" s="193"/>
      <c r="H28" s="184"/>
      <c r="I28" s="278"/>
      <c r="J28" s="199"/>
      <c r="K28" s="199"/>
      <c r="L28" s="182"/>
      <c r="M28" s="182"/>
      <c r="N28" s="181">
        <f t="shared" si="0"/>
        <v>0</v>
      </c>
      <c r="O28" s="188"/>
      <c r="P28" s="188"/>
      <c r="Q28" s="184"/>
      <c r="R28" s="773"/>
      <c r="S28" s="773"/>
    </row>
    <row r="29" spans="1:19" ht="21" customHeight="1" x14ac:dyDescent="0.25">
      <c r="A29" s="184"/>
      <c r="B29" s="278"/>
      <c r="C29" s="278"/>
      <c r="D29" s="278"/>
      <c r="E29" s="185"/>
      <c r="F29" s="192"/>
      <c r="G29" s="193"/>
      <c r="H29" s="184"/>
      <c r="I29" s="278"/>
      <c r="J29" s="199"/>
      <c r="K29" s="199"/>
      <c r="L29" s="182"/>
      <c r="M29" s="182"/>
      <c r="N29" s="181">
        <f t="shared" si="0"/>
        <v>0</v>
      </c>
      <c r="O29" s="188"/>
      <c r="P29" s="188"/>
      <c r="Q29" s="184"/>
      <c r="R29" s="773"/>
      <c r="S29" s="773"/>
    </row>
    <row r="30" spans="1:19" ht="21" customHeight="1" x14ac:dyDescent="0.25">
      <c r="A30" s="184"/>
      <c r="B30" s="278"/>
      <c r="C30" s="278"/>
      <c r="D30" s="278"/>
      <c r="E30" s="185"/>
      <c r="F30" s="192"/>
      <c r="G30" s="193"/>
      <c r="H30" s="184"/>
      <c r="I30" s="278"/>
      <c r="J30" s="199"/>
      <c r="K30" s="199"/>
      <c r="L30" s="182"/>
      <c r="M30" s="182"/>
      <c r="N30" s="181">
        <f t="shared" si="0"/>
        <v>0</v>
      </c>
      <c r="O30" s="188"/>
      <c r="P30" s="188"/>
      <c r="Q30" s="184"/>
      <c r="R30" s="773"/>
      <c r="S30" s="773"/>
    </row>
    <row r="31" spans="1:19" ht="21" customHeight="1" x14ac:dyDescent="0.25">
      <c r="A31" s="223"/>
      <c r="B31" s="281"/>
      <c r="C31" s="281"/>
      <c r="D31" s="281"/>
      <c r="E31" s="224"/>
      <c r="F31" s="192"/>
      <c r="G31" s="193"/>
      <c r="H31" s="223"/>
      <c r="I31" s="278"/>
      <c r="J31" s="186"/>
      <c r="K31" s="199"/>
      <c r="L31" s="182"/>
      <c r="M31" s="182"/>
      <c r="N31" s="181">
        <f t="shared" si="0"/>
        <v>0</v>
      </c>
      <c r="O31" s="188"/>
      <c r="P31" s="188"/>
      <c r="Q31" s="223"/>
      <c r="R31" s="773"/>
      <c r="S31" s="773"/>
    </row>
    <row r="32" spans="1:19" ht="21" customHeight="1" x14ac:dyDescent="0.25">
      <c r="A32" s="223"/>
      <c r="B32" s="281"/>
      <c r="C32" s="281"/>
      <c r="D32" s="281"/>
      <c r="E32" s="224"/>
      <c r="F32" s="192"/>
      <c r="G32" s="193"/>
      <c r="H32" s="223"/>
      <c r="I32" s="278"/>
      <c r="J32" s="186"/>
      <c r="K32" s="199"/>
      <c r="L32" s="182"/>
      <c r="M32" s="182"/>
      <c r="N32" s="181">
        <f t="shared" si="0"/>
        <v>0</v>
      </c>
      <c r="O32" s="188"/>
      <c r="P32" s="188"/>
      <c r="Q32" s="223"/>
      <c r="R32" s="773"/>
      <c r="S32" s="773"/>
    </row>
    <row r="33" spans="1:19" ht="21" customHeight="1" x14ac:dyDescent="0.25">
      <c r="A33" s="223"/>
      <c r="B33" s="281"/>
      <c r="C33" s="281"/>
      <c r="D33" s="281"/>
      <c r="E33" s="224"/>
      <c r="F33" s="192"/>
      <c r="G33" s="193"/>
      <c r="H33" s="223"/>
      <c r="I33" s="281"/>
      <c r="J33" s="225"/>
      <c r="K33" s="225"/>
      <c r="L33" s="226"/>
      <c r="M33" s="226"/>
      <c r="N33" s="181">
        <f t="shared" si="0"/>
        <v>0</v>
      </c>
      <c r="O33" s="227"/>
      <c r="P33" s="227"/>
      <c r="Q33" s="223"/>
      <c r="R33" s="781"/>
      <c r="S33" s="781"/>
    </row>
    <row r="34" spans="1:19" ht="21" customHeight="1" x14ac:dyDescent="0.25">
      <c r="A34" s="223"/>
      <c r="B34" s="281"/>
      <c r="C34" s="281"/>
      <c r="D34" s="281"/>
      <c r="E34" s="224"/>
      <c r="F34" s="192"/>
      <c r="G34" s="193"/>
      <c r="H34" s="223"/>
      <c r="I34" s="281"/>
      <c r="J34" s="225"/>
      <c r="K34" s="225"/>
      <c r="L34" s="226"/>
      <c r="M34" s="226"/>
      <c r="N34" s="181">
        <f t="shared" si="0"/>
        <v>0</v>
      </c>
      <c r="O34" s="227"/>
      <c r="P34" s="227"/>
      <c r="Q34" s="223"/>
      <c r="R34" s="781"/>
      <c r="S34" s="781"/>
    </row>
    <row r="35" spans="1:19" ht="21" customHeight="1" x14ac:dyDescent="0.25">
      <c r="A35" s="223"/>
      <c r="B35" s="281"/>
      <c r="C35" s="281"/>
      <c r="D35" s="281"/>
      <c r="E35" s="224"/>
      <c r="F35" s="192"/>
      <c r="G35" s="193"/>
      <c r="H35" s="223"/>
      <c r="I35" s="281"/>
      <c r="J35" s="225"/>
      <c r="K35" s="225"/>
      <c r="L35" s="226"/>
      <c r="M35" s="226"/>
      <c r="N35" s="181">
        <f t="shared" si="0"/>
        <v>0</v>
      </c>
      <c r="O35" s="227"/>
      <c r="P35" s="227"/>
      <c r="Q35" s="223"/>
      <c r="R35" s="781"/>
      <c r="S35" s="781"/>
    </row>
    <row r="36" spans="1:19" ht="21" customHeight="1" x14ac:dyDescent="0.25">
      <c r="A36" s="223"/>
      <c r="B36" s="281"/>
      <c r="C36" s="281"/>
      <c r="D36" s="281"/>
      <c r="E36" s="224"/>
      <c r="F36" s="192"/>
      <c r="G36" s="193"/>
      <c r="H36" s="223"/>
      <c r="I36" s="281"/>
      <c r="J36" s="225"/>
      <c r="K36" s="225"/>
      <c r="L36" s="226"/>
      <c r="M36" s="226"/>
      <c r="N36" s="181">
        <f t="shared" si="0"/>
        <v>0</v>
      </c>
      <c r="O36" s="227"/>
      <c r="P36" s="227"/>
      <c r="Q36" s="223"/>
      <c r="R36" s="781"/>
      <c r="S36" s="781"/>
    </row>
    <row r="37" spans="1:19" ht="21" customHeight="1" x14ac:dyDescent="0.25">
      <c r="A37" s="223"/>
      <c r="B37" s="281"/>
      <c r="C37" s="281"/>
      <c r="D37" s="281"/>
      <c r="E37" s="224"/>
      <c r="F37" s="192"/>
      <c r="G37" s="193"/>
      <c r="H37" s="223"/>
      <c r="I37" s="281"/>
      <c r="J37" s="225"/>
      <c r="K37" s="225"/>
      <c r="L37" s="226"/>
      <c r="M37" s="226"/>
      <c r="N37" s="181">
        <f t="shared" si="0"/>
        <v>0</v>
      </c>
      <c r="O37" s="227"/>
      <c r="P37" s="227"/>
      <c r="Q37" s="223"/>
      <c r="R37" s="781"/>
      <c r="S37" s="781"/>
    </row>
    <row r="38" spans="1:19" ht="21" customHeight="1" x14ac:dyDescent="0.25">
      <c r="A38" s="223"/>
      <c r="B38" s="281"/>
      <c r="C38" s="281"/>
      <c r="D38" s="281"/>
      <c r="E38" s="224"/>
      <c r="F38" s="192"/>
      <c r="G38" s="193"/>
      <c r="H38" s="223"/>
      <c r="I38" s="281"/>
      <c r="J38" s="225"/>
      <c r="K38" s="225"/>
      <c r="L38" s="226"/>
      <c r="M38" s="226"/>
      <c r="N38" s="181">
        <f t="shared" si="0"/>
        <v>0</v>
      </c>
      <c r="O38" s="227"/>
      <c r="P38" s="227"/>
      <c r="Q38" s="223"/>
      <c r="R38" s="781"/>
      <c r="S38" s="781"/>
    </row>
    <row r="39" spans="1:19" ht="21" customHeight="1" x14ac:dyDescent="0.25">
      <c r="A39" s="223"/>
      <c r="B39" s="281"/>
      <c r="C39" s="281"/>
      <c r="D39" s="281"/>
      <c r="E39" s="224"/>
      <c r="F39" s="192"/>
      <c r="G39" s="193"/>
      <c r="H39" s="223"/>
      <c r="I39" s="281"/>
      <c r="J39" s="225"/>
      <c r="K39" s="225"/>
      <c r="L39" s="226"/>
      <c r="M39" s="226"/>
      <c r="N39" s="181">
        <f t="shared" si="0"/>
        <v>0</v>
      </c>
      <c r="O39" s="227"/>
      <c r="P39" s="227"/>
      <c r="Q39" s="223"/>
      <c r="R39" s="781"/>
      <c r="S39" s="781"/>
    </row>
    <row r="40" spans="1:19" ht="21" customHeight="1" x14ac:dyDescent="0.25">
      <c r="A40" s="223"/>
      <c r="B40" s="281"/>
      <c r="C40" s="281"/>
      <c r="D40" s="281"/>
      <c r="E40" s="224"/>
      <c r="F40" s="192"/>
      <c r="G40" s="193"/>
      <c r="H40" s="223"/>
      <c r="I40" s="281"/>
      <c r="J40" s="225"/>
      <c r="K40" s="225"/>
      <c r="L40" s="226"/>
      <c r="M40" s="226"/>
      <c r="N40" s="181">
        <f t="shared" si="0"/>
        <v>0</v>
      </c>
      <c r="O40" s="227"/>
      <c r="P40" s="227"/>
      <c r="Q40" s="223"/>
      <c r="R40" s="781"/>
      <c r="S40" s="781"/>
    </row>
    <row r="41" spans="1:19" ht="21" customHeight="1" x14ac:dyDescent="0.25">
      <c r="A41" s="223"/>
      <c r="B41" s="281"/>
      <c r="C41" s="281"/>
      <c r="D41" s="281"/>
      <c r="E41" s="224"/>
      <c r="F41" s="192"/>
      <c r="G41" s="193"/>
      <c r="H41" s="223"/>
      <c r="I41" s="281"/>
      <c r="J41" s="225"/>
      <c r="K41" s="225"/>
      <c r="L41" s="226"/>
      <c r="M41" s="226"/>
      <c r="N41" s="181">
        <f t="shared" si="0"/>
        <v>0</v>
      </c>
      <c r="O41" s="227"/>
      <c r="P41" s="227"/>
      <c r="Q41" s="223"/>
      <c r="R41" s="781"/>
      <c r="S41" s="781"/>
    </row>
    <row r="42" spans="1:19" ht="21" customHeight="1" x14ac:dyDescent="0.25">
      <c r="A42" s="223"/>
      <c r="B42" s="281"/>
      <c r="C42" s="281"/>
      <c r="D42" s="281"/>
      <c r="E42" s="224"/>
      <c r="F42" s="192"/>
      <c r="G42" s="193"/>
      <c r="H42" s="223"/>
      <c r="I42" s="281"/>
      <c r="J42" s="225"/>
      <c r="K42" s="225"/>
      <c r="L42" s="226"/>
      <c r="M42" s="226"/>
      <c r="N42" s="181">
        <f t="shared" si="0"/>
        <v>0</v>
      </c>
      <c r="O42" s="227"/>
      <c r="P42" s="227"/>
      <c r="Q42" s="223"/>
      <c r="R42" s="781"/>
      <c r="S42" s="781"/>
    </row>
    <row r="43" spans="1:19" ht="21" customHeight="1" x14ac:dyDescent="0.25">
      <c r="A43" s="223"/>
      <c r="B43" s="281"/>
      <c r="C43" s="281"/>
      <c r="D43" s="281"/>
      <c r="E43" s="224"/>
      <c r="F43" s="192"/>
      <c r="G43" s="193"/>
      <c r="H43" s="223"/>
      <c r="I43" s="281"/>
      <c r="J43" s="225"/>
      <c r="K43" s="225"/>
      <c r="L43" s="226"/>
      <c r="M43" s="226"/>
      <c r="N43" s="181">
        <f t="shared" si="0"/>
        <v>0</v>
      </c>
      <c r="O43" s="227"/>
      <c r="P43" s="227"/>
      <c r="Q43" s="223"/>
      <c r="R43" s="781"/>
      <c r="S43" s="781"/>
    </row>
    <row r="44" spans="1:19" ht="21" customHeight="1" x14ac:dyDescent="0.25">
      <c r="A44" s="223"/>
      <c r="B44" s="281"/>
      <c r="C44" s="281"/>
      <c r="D44" s="281"/>
      <c r="E44" s="224"/>
      <c r="F44" s="192"/>
      <c r="G44" s="193"/>
      <c r="H44" s="223"/>
      <c r="I44" s="281"/>
      <c r="J44" s="225"/>
      <c r="K44" s="225"/>
      <c r="L44" s="226"/>
      <c r="M44" s="226"/>
      <c r="N44" s="181">
        <f t="shared" si="0"/>
        <v>0</v>
      </c>
      <c r="O44" s="227"/>
      <c r="P44" s="227"/>
      <c r="Q44" s="223"/>
      <c r="R44" s="781"/>
      <c r="S44" s="781"/>
    </row>
    <row r="45" spans="1:19" ht="21" customHeight="1" x14ac:dyDescent="0.25">
      <c r="A45" s="223"/>
      <c r="B45" s="281"/>
      <c r="C45" s="281"/>
      <c r="D45" s="281"/>
      <c r="E45" s="224"/>
      <c r="F45" s="192"/>
      <c r="G45" s="193"/>
      <c r="H45" s="223"/>
      <c r="I45" s="281"/>
      <c r="J45" s="225"/>
      <c r="K45" s="225"/>
      <c r="L45" s="226"/>
      <c r="M45" s="226"/>
      <c r="N45" s="181">
        <f t="shared" si="0"/>
        <v>0</v>
      </c>
      <c r="O45" s="227"/>
      <c r="P45" s="227"/>
      <c r="Q45" s="223"/>
      <c r="R45" s="781"/>
      <c r="S45" s="781"/>
    </row>
    <row r="46" spans="1:19" ht="21" customHeight="1" x14ac:dyDescent="0.25">
      <c r="A46" s="223"/>
      <c r="B46" s="281"/>
      <c r="C46" s="281"/>
      <c r="D46" s="281"/>
      <c r="E46" s="224"/>
      <c r="F46" s="192"/>
      <c r="G46" s="193"/>
      <c r="H46" s="223"/>
      <c r="I46" s="281"/>
      <c r="J46" s="225"/>
      <c r="K46" s="225"/>
      <c r="L46" s="226"/>
      <c r="M46" s="226"/>
      <c r="N46" s="181">
        <f t="shared" si="0"/>
        <v>0</v>
      </c>
      <c r="O46" s="227"/>
      <c r="P46" s="227"/>
      <c r="Q46" s="223"/>
      <c r="R46" s="781"/>
      <c r="S46" s="781"/>
    </row>
    <row r="47" spans="1:19" ht="21" customHeight="1" x14ac:dyDescent="0.25">
      <c r="A47" s="223"/>
      <c r="B47" s="281"/>
      <c r="C47" s="281"/>
      <c r="D47" s="281"/>
      <c r="E47" s="224"/>
      <c r="F47" s="192"/>
      <c r="G47" s="193"/>
      <c r="H47" s="223"/>
      <c r="I47" s="281"/>
      <c r="J47" s="225"/>
      <c r="K47" s="225"/>
      <c r="L47" s="226"/>
      <c r="M47" s="226"/>
      <c r="N47" s="181">
        <f t="shared" si="0"/>
        <v>0</v>
      </c>
      <c r="O47" s="227"/>
      <c r="P47" s="227"/>
      <c r="Q47" s="223"/>
      <c r="R47" s="781"/>
      <c r="S47" s="781"/>
    </row>
    <row r="48" spans="1:19" ht="21" customHeight="1" x14ac:dyDescent="0.25">
      <c r="A48" s="223"/>
      <c r="B48" s="281"/>
      <c r="C48" s="281"/>
      <c r="D48" s="281"/>
      <c r="E48" s="224"/>
      <c r="F48" s="192"/>
      <c r="G48" s="193"/>
      <c r="H48" s="223"/>
      <c r="I48" s="281"/>
      <c r="J48" s="225"/>
      <c r="K48" s="225"/>
      <c r="L48" s="226"/>
      <c r="M48" s="226"/>
      <c r="N48" s="181">
        <f t="shared" si="0"/>
        <v>0</v>
      </c>
      <c r="O48" s="227"/>
      <c r="P48" s="227"/>
      <c r="Q48" s="223"/>
      <c r="R48" s="781"/>
      <c r="S48" s="781"/>
    </row>
    <row r="49" spans="1:19" ht="21" customHeight="1" x14ac:dyDescent="0.25">
      <c r="A49" s="223"/>
      <c r="B49" s="281"/>
      <c r="C49" s="281"/>
      <c r="D49" s="281"/>
      <c r="E49" s="224"/>
      <c r="F49" s="192"/>
      <c r="G49" s="193"/>
      <c r="H49" s="223"/>
      <c r="I49" s="281"/>
      <c r="J49" s="225"/>
      <c r="K49" s="225"/>
      <c r="L49" s="226"/>
      <c r="M49" s="226"/>
      <c r="N49" s="181">
        <f t="shared" si="0"/>
        <v>0</v>
      </c>
      <c r="O49" s="227"/>
      <c r="P49" s="227"/>
      <c r="Q49" s="223"/>
      <c r="R49" s="781"/>
      <c r="S49" s="781"/>
    </row>
    <row r="50" spans="1:19" ht="21" customHeight="1" x14ac:dyDescent="0.25">
      <c r="A50" s="223"/>
      <c r="B50" s="281"/>
      <c r="C50" s="281"/>
      <c r="D50" s="281"/>
      <c r="E50" s="224"/>
      <c r="F50" s="192"/>
      <c r="G50" s="193"/>
      <c r="H50" s="223"/>
      <c r="I50" s="281"/>
      <c r="J50" s="225"/>
      <c r="K50" s="225"/>
      <c r="L50" s="226"/>
      <c r="M50" s="226"/>
      <c r="N50" s="181">
        <f t="shared" si="0"/>
        <v>0</v>
      </c>
      <c r="O50" s="227"/>
      <c r="P50" s="227"/>
      <c r="Q50" s="223"/>
      <c r="R50" s="781"/>
      <c r="S50" s="781"/>
    </row>
    <row r="51" spans="1:19" ht="21" customHeight="1" x14ac:dyDescent="0.25">
      <c r="A51" s="223"/>
      <c r="B51" s="281"/>
      <c r="C51" s="281"/>
      <c r="D51" s="281"/>
      <c r="E51" s="224"/>
      <c r="F51" s="192"/>
      <c r="G51" s="193"/>
      <c r="H51" s="223"/>
      <c r="I51" s="281"/>
      <c r="J51" s="225"/>
      <c r="K51" s="225"/>
      <c r="L51" s="226"/>
      <c r="M51" s="226"/>
      <c r="N51" s="181">
        <f t="shared" si="0"/>
        <v>0</v>
      </c>
      <c r="O51" s="227"/>
      <c r="P51" s="227"/>
      <c r="Q51" s="223"/>
      <c r="R51" s="781"/>
      <c r="S51" s="781"/>
    </row>
    <row r="52" spans="1:19" ht="21" customHeight="1" x14ac:dyDescent="0.25">
      <c r="A52" s="223"/>
      <c r="B52" s="281"/>
      <c r="C52" s="281"/>
      <c r="D52" s="281"/>
      <c r="E52" s="224"/>
      <c r="F52" s="192"/>
      <c r="G52" s="193"/>
      <c r="H52" s="223"/>
      <c r="I52" s="281"/>
      <c r="J52" s="225"/>
      <c r="K52" s="225"/>
      <c r="L52" s="226"/>
      <c r="M52" s="226"/>
      <c r="N52" s="181">
        <f t="shared" si="0"/>
        <v>0</v>
      </c>
      <c r="O52" s="227"/>
      <c r="P52" s="227"/>
      <c r="Q52" s="223"/>
      <c r="R52" s="781"/>
      <c r="S52" s="781"/>
    </row>
    <row r="53" spans="1:19" ht="21" customHeight="1" x14ac:dyDescent="0.25">
      <c r="A53" s="223"/>
      <c r="B53" s="281"/>
      <c r="C53" s="281"/>
      <c r="D53" s="281"/>
      <c r="E53" s="224"/>
      <c r="F53" s="192"/>
      <c r="G53" s="193"/>
      <c r="H53" s="223"/>
      <c r="I53" s="281"/>
      <c r="J53" s="225"/>
      <c r="K53" s="225"/>
      <c r="L53" s="226"/>
      <c r="M53" s="226"/>
      <c r="N53" s="181">
        <f t="shared" si="0"/>
        <v>0</v>
      </c>
      <c r="O53" s="227"/>
      <c r="P53" s="227"/>
      <c r="Q53" s="223"/>
      <c r="R53" s="781"/>
      <c r="S53" s="781"/>
    </row>
    <row r="54" spans="1:19" ht="21" customHeight="1" x14ac:dyDescent="0.25">
      <c r="A54" s="223"/>
      <c r="B54" s="281"/>
      <c r="C54" s="281"/>
      <c r="D54" s="281"/>
      <c r="E54" s="224"/>
      <c r="F54" s="192"/>
      <c r="G54" s="193"/>
      <c r="H54" s="223"/>
      <c r="I54" s="281"/>
      <c r="J54" s="225"/>
      <c r="K54" s="225"/>
      <c r="L54" s="226"/>
      <c r="M54" s="226"/>
      <c r="N54" s="181">
        <f t="shared" si="0"/>
        <v>0</v>
      </c>
      <c r="O54" s="227"/>
      <c r="P54" s="227"/>
      <c r="Q54" s="223"/>
      <c r="R54" s="781"/>
      <c r="S54" s="781"/>
    </row>
    <row r="55" spans="1:19" ht="21" customHeight="1" x14ac:dyDescent="0.25">
      <c r="A55" s="223"/>
      <c r="B55" s="281"/>
      <c r="C55" s="281"/>
      <c r="D55" s="281"/>
      <c r="E55" s="224"/>
      <c r="F55" s="192"/>
      <c r="G55" s="193"/>
      <c r="H55" s="223"/>
      <c r="I55" s="281"/>
      <c r="J55" s="225"/>
      <c r="K55" s="225"/>
      <c r="L55" s="226"/>
      <c r="M55" s="226"/>
      <c r="N55" s="181">
        <f t="shared" si="0"/>
        <v>0</v>
      </c>
      <c r="O55" s="227"/>
      <c r="P55" s="227"/>
      <c r="Q55" s="223"/>
      <c r="R55" s="781"/>
      <c r="S55" s="781"/>
    </row>
    <row r="56" spans="1:19" ht="21" customHeight="1" x14ac:dyDescent="0.25">
      <c r="A56" s="223"/>
      <c r="B56" s="281"/>
      <c r="C56" s="281"/>
      <c r="D56" s="281"/>
      <c r="E56" s="224"/>
      <c r="F56" s="192"/>
      <c r="G56" s="193"/>
      <c r="H56" s="223"/>
      <c r="I56" s="281"/>
      <c r="J56" s="225"/>
      <c r="K56" s="225"/>
      <c r="L56" s="226"/>
      <c r="M56" s="226"/>
      <c r="N56" s="181">
        <f t="shared" si="0"/>
        <v>0</v>
      </c>
      <c r="O56" s="227"/>
      <c r="P56" s="227"/>
      <c r="Q56" s="223"/>
      <c r="R56" s="781"/>
      <c r="S56" s="781"/>
    </row>
    <row r="57" spans="1:19" ht="21" customHeight="1" x14ac:dyDescent="0.25">
      <c r="A57" s="223"/>
      <c r="B57" s="281"/>
      <c r="C57" s="281"/>
      <c r="D57" s="281"/>
      <c r="E57" s="224"/>
      <c r="F57" s="192"/>
      <c r="G57" s="193"/>
      <c r="H57" s="223"/>
      <c r="I57" s="281"/>
      <c r="J57" s="225"/>
      <c r="K57" s="225"/>
      <c r="L57" s="226"/>
      <c r="M57" s="226"/>
      <c r="N57" s="181">
        <f t="shared" si="0"/>
        <v>0</v>
      </c>
      <c r="O57" s="227"/>
      <c r="P57" s="227"/>
      <c r="Q57" s="223"/>
      <c r="R57" s="781"/>
      <c r="S57" s="781"/>
    </row>
    <row r="58" spans="1:19" ht="21" customHeight="1" x14ac:dyDescent="0.25">
      <c r="A58" s="223"/>
      <c r="B58" s="281"/>
      <c r="C58" s="281"/>
      <c r="D58" s="281"/>
      <c r="E58" s="224"/>
      <c r="F58" s="192"/>
      <c r="G58" s="193"/>
      <c r="H58" s="223"/>
      <c r="I58" s="281"/>
      <c r="J58" s="225"/>
      <c r="K58" s="225"/>
      <c r="L58" s="226"/>
      <c r="M58" s="226"/>
      <c r="N58" s="181">
        <f t="shared" si="0"/>
        <v>0</v>
      </c>
      <c r="O58" s="227"/>
      <c r="P58" s="227"/>
      <c r="Q58" s="223"/>
      <c r="R58" s="781"/>
      <c r="S58" s="781"/>
    </row>
    <row r="59" spans="1:19" ht="21" customHeight="1" x14ac:dyDescent="0.25">
      <c r="A59" s="223"/>
      <c r="B59" s="281"/>
      <c r="C59" s="281"/>
      <c r="D59" s="281"/>
      <c r="E59" s="224"/>
      <c r="F59" s="192"/>
      <c r="G59" s="193"/>
      <c r="H59" s="223"/>
      <c r="I59" s="281"/>
      <c r="J59" s="225"/>
      <c r="K59" s="225"/>
      <c r="L59" s="226"/>
      <c r="M59" s="226"/>
      <c r="N59" s="181">
        <f t="shared" si="0"/>
        <v>0</v>
      </c>
      <c r="O59" s="227"/>
      <c r="P59" s="227"/>
      <c r="Q59" s="223"/>
      <c r="R59" s="781"/>
      <c r="S59" s="781"/>
    </row>
    <row r="60" spans="1:19" ht="21" customHeight="1" x14ac:dyDescent="0.25">
      <c r="A60" s="223"/>
      <c r="B60" s="281"/>
      <c r="C60" s="281"/>
      <c r="D60" s="281"/>
      <c r="E60" s="224"/>
      <c r="F60" s="192"/>
      <c r="G60" s="193"/>
      <c r="H60" s="223"/>
      <c r="I60" s="281"/>
      <c r="J60" s="225"/>
      <c r="K60" s="225"/>
      <c r="L60" s="226"/>
      <c r="M60" s="226"/>
      <c r="N60" s="181">
        <f t="shared" si="0"/>
        <v>0</v>
      </c>
      <c r="O60" s="227"/>
      <c r="P60" s="227"/>
      <c r="Q60" s="223"/>
      <c r="R60" s="781"/>
      <c r="S60" s="781"/>
    </row>
    <row r="61" spans="1:19" ht="21" customHeight="1" x14ac:dyDescent="0.25">
      <c r="A61" s="223"/>
      <c r="B61" s="281"/>
      <c r="C61" s="281"/>
      <c r="D61" s="281"/>
      <c r="E61" s="224"/>
      <c r="F61" s="192"/>
      <c r="G61" s="193"/>
      <c r="H61" s="223"/>
      <c r="I61" s="281"/>
      <c r="J61" s="225"/>
      <c r="K61" s="225"/>
      <c r="L61" s="226"/>
      <c r="M61" s="226"/>
      <c r="N61" s="181">
        <f t="shared" si="0"/>
        <v>0</v>
      </c>
      <c r="O61" s="227"/>
      <c r="P61" s="227"/>
      <c r="Q61" s="223"/>
      <c r="R61" s="781"/>
      <c r="S61" s="781"/>
    </row>
    <row r="62" spans="1:19" ht="21" customHeight="1" x14ac:dyDescent="0.25">
      <c r="A62" s="223"/>
      <c r="B62" s="281"/>
      <c r="C62" s="281"/>
      <c r="D62" s="281"/>
      <c r="E62" s="224"/>
      <c r="F62" s="192"/>
      <c r="G62" s="193"/>
      <c r="H62" s="223"/>
      <c r="I62" s="281"/>
      <c r="J62" s="225"/>
      <c r="K62" s="225"/>
      <c r="L62" s="226"/>
      <c r="M62" s="226"/>
      <c r="N62" s="181">
        <f t="shared" si="0"/>
        <v>0</v>
      </c>
      <c r="O62" s="227"/>
      <c r="P62" s="227"/>
      <c r="Q62" s="223"/>
      <c r="R62" s="781"/>
      <c r="S62" s="781"/>
    </row>
    <row r="63" spans="1:19" ht="21" customHeight="1" x14ac:dyDescent="0.25">
      <c r="A63" s="223"/>
      <c r="B63" s="281"/>
      <c r="C63" s="281"/>
      <c r="D63" s="281"/>
      <c r="E63" s="224"/>
      <c r="F63" s="192"/>
      <c r="G63" s="193"/>
      <c r="H63" s="223"/>
      <c r="I63" s="281"/>
      <c r="J63" s="225"/>
      <c r="K63" s="225"/>
      <c r="L63" s="226"/>
      <c r="M63" s="226"/>
      <c r="N63" s="181">
        <f t="shared" si="0"/>
        <v>0</v>
      </c>
      <c r="O63" s="227"/>
      <c r="P63" s="227"/>
      <c r="Q63" s="223"/>
      <c r="R63" s="781"/>
      <c r="S63" s="781"/>
    </row>
    <row r="64" spans="1:19" ht="21" customHeight="1" x14ac:dyDescent="0.25">
      <c r="A64" s="223"/>
      <c r="B64" s="281"/>
      <c r="C64" s="281"/>
      <c r="D64" s="281"/>
      <c r="E64" s="224"/>
      <c r="F64" s="192"/>
      <c r="G64" s="193"/>
      <c r="H64" s="223"/>
      <c r="I64" s="281"/>
      <c r="J64" s="225"/>
      <c r="K64" s="225"/>
      <c r="L64" s="226"/>
      <c r="M64" s="226"/>
      <c r="N64" s="181">
        <f t="shared" si="0"/>
        <v>0</v>
      </c>
      <c r="O64" s="227"/>
      <c r="P64" s="227"/>
      <c r="Q64" s="223"/>
      <c r="R64" s="781"/>
      <c r="S64" s="781"/>
    </row>
    <row r="65" spans="1:19" ht="15.75" x14ac:dyDescent="0.25">
      <c r="A65" s="223"/>
      <c r="B65" s="281"/>
      <c r="C65" s="281"/>
      <c r="D65" s="281"/>
      <c r="E65" s="224"/>
      <c r="F65" s="192"/>
      <c r="G65" s="193"/>
      <c r="H65" s="223"/>
      <c r="I65" s="281"/>
      <c r="J65" s="225"/>
      <c r="K65" s="225"/>
      <c r="L65" s="226"/>
      <c r="M65" s="226"/>
      <c r="N65" s="181">
        <f t="shared" si="0"/>
        <v>0</v>
      </c>
      <c r="O65" s="227"/>
      <c r="P65" s="227"/>
      <c r="Q65" s="223"/>
      <c r="R65" s="781"/>
      <c r="S65" s="781"/>
    </row>
    <row r="66" spans="1:19" ht="15.75" x14ac:dyDescent="0.25">
      <c r="A66" s="223"/>
      <c r="B66" s="281"/>
      <c r="C66" s="281"/>
      <c r="D66" s="281"/>
      <c r="E66" s="224"/>
      <c r="F66" s="192"/>
      <c r="G66" s="193"/>
      <c r="H66" s="223"/>
      <c r="I66" s="281"/>
      <c r="J66" s="225"/>
      <c r="K66" s="225"/>
      <c r="L66" s="226"/>
      <c r="M66" s="226"/>
      <c r="N66" s="181">
        <f t="shared" si="0"/>
        <v>0</v>
      </c>
      <c r="O66" s="227"/>
      <c r="P66" s="227"/>
      <c r="Q66" s="223"/>
      <c r="R66" s="781"/>
      <c r="S66" s="781"/>
    </row>
    <row r="67" spans="1:19" ht="15.75" x14ac:dyDescent="0.25">
      <c r="A67" s="223"/>
      <c r="B67" s="281"/>
      <c r="C67" s="281"/>
      <c r="D67" s="281"/>
      <c r="E67" s="224"/>
      <c r="F67" s="192"/>
      <c r="G67" s="193"/>
      <c r="H67" s="223"/>
      <c r="I67" s="281"/>
      <c r="J67" s="225"/>
      <c r="K67" s="225"/>
      <c r="L67" s="226"/>
      <c r="M67" s="226"/>
      <c r="N67" s="181">
        <f t="shared" si="0"/>
        <v>0</v>
      </c>
      <c r="O67" s="227"/>
      <c r="P67" s="227"/>
      <c r="Q67" s="223"/>
      <c r="R67" s="781"/>
      <c r="S67" s="781"/>
    </row>
    <row r="68" spans="1:19" ht="15.75" x14ac:dyDescent="0.25">
      <c r="A68" s="223"/>
      <c r="B68" s="281"/>
      <c r="C68" s="281"/>
      <c r="D68" s="281"/>
      <c r="E68" s="224"/>
      <c r="F68" s="192"/>
      <c r="G68" s="193"/>
      <c r="H68" s="223"/>
      <c r="I68" s="281"/>
      <c r="J68" s="225"/>
      <c r="K68" s="225"/>
      <c r="L68" s="226"/>
      <c r="M68" s="226"/>
      <c r="N68" s="181">
        <f t="shared" si="0"/>
        <v>0</v>
      </c>
      <c r="O68" s="227"/>
      <c r="P68" s="227"/>
      <c r="Q68" s="223"/>
      <c r="R68" s="781"/>
      <c r="S68" s="781"/>
    </row>
    <row r="69" spans="1:19" ht="15.75" x14ac:dyDescent="0.25">
      <c r="A69" s="223"/>
      <c r="B69" s="281"/>
      <c r="C69" s="281"/>
      <c r="D69" s="281"/>
      <c r="E69" s="224"/>
      <c r="F69" s="192"/>
      <c r="G69" s="193"/>
      <c r="H69" s="223"/>
      <c r="I69" s="281"/>
      <c r="J69" s="225"/>
      <c r="K69" s="225"/>
      <c r="L69" s="226"/>
      <c r="M69" s="226"/>
      <c r="N69" s="181">
        <f t="shared" si="0"/>
        <v>0</v>
      </c>
      <c r="O69" s="227"/>
      <c r="P69" s="227"/>
      <c r="Q69" s="223"/>
      <c r="R69" s="781"/>
      <c r="S69" s="781"/>
    </row>
    <row r="70" spans="1:19" ht="15.75" x14ac:dyDescent="0.25">
      <c r="A70" s="223"/>
      <c r="B70" s="281"/>
      <c r="C70" s="281"/>
      <c r="D70" s="281"/>
      <c r="E70" s="224"/>
      <c r="F70" s="192"/>
      <c r="G70" s="193"/>
      <c r="H70" s="223"/>
      <c r="I70" s="281"/>
      <c r="J70" s="225"/>
      <c r="K70" s="225"/>
      <c r="L70" s="226"/>
      <c r="M70" s="226"/>
      <c r="N70" s="181">
        <f t="shared" ref="N70:N133" si="1">M70+L70</f>
        <v>0</v>
      </c>
      <c r="O70" s="227"/>
      <c r="P70" s="227"/>
      <c r="Q70" s="223"/>
      <c r="R70" s="781"/>
      <c r="S70" s="781"/>
    </row>
    <row r="71" spans="1:19" ht="15.75" x14ac:dyDescent="0.25">
      <c r="A71" s="223"/>
      <c r="B71" s="281"/>
      <c r="C71" s="281"/>
      <c r="D71" s="281"/>
      <c r="E71" s="224"/>
      <c r="F71" s="192"/>
      <c r="G71" s="193"/>
      <c r="H71" s="223"/>
      <c r="I71" s="281"/>
      <c r="J71" s="225"/>
      <c r="K71" s="225"/>
      <c r="L71" s="226"/>
      <c r="M71" s="226"/>
      <c r="N71" s="181">
        <f t="shared" si="1"/>
        <v>0</v>
      </c>
      <c r="O71" s="227"/>
      <c r="P71" s="227"/>
      <c r="Q71" s="223"/>
      <c r="R71" s="781"/>
      <c r="S71" s="781"/>
    </row>
    <row r="72" spans="1:19" ht="15.75" x14ac:dyDescent="0.25">
      <c r="A72" s="223"/>
      <c r="B72" s="281"/>
      <c r="C72" s="281"/>
      <c r="D72" s="281"/>
      <c r="E72" s="224"/>
      <c r="F72" s="192"/>
      <c r="G72" s="193"/>
      <c r="H72" s="223"/>
      <c r="I72" s="281"/>
      <c r="J72" s="225"/>
      <c r="K72" s="225"/>
      <c r="L72" s="226"/>
      <c r="M72" s="226"/>
      <c r="N72" s="181">
        <f t="shared" si="1"/>
        <v>0</v>
      </c>
      <c r="O72" s="227"/>
      <c r="P72" s="227"/>
      <c r="Q72" s="223"/>
      <c r="R72" s="781"/>
      <c r="S72" s="781"/>
    </row>
    <row r="73" spans="1:19" ht="15.75" x14ac:dyDescent="0.25">
      <c r="A73" s="223"/>
      <c r="B73" s="281"/>
      <c r="C73" s="281"/>
      <c r="D73" s="281"/>
      <c r="E73" s="224"/>
      <c r="F73" s="192"/>
      <c r="G73" s="193"/>
      <c r="H73" s="223"/>
      <c r="I73" s="281"/>
      <c r="J73" s="225"/>
      <c r="K73" s="225"/>
      <c r="L73" s="226"/>
      <c r="M73" s="226"/>
      <c r="N73" s="181">
        <f t="shared" si="1"/>
        <v>0</v>
      </c>
      <c r="O73" s="227"/>
      <c r="P73" s="227"/>
      <c r="Q73" s="223"/>
      <c r="R73" s="781"/>
      <c r="S73" s="781"/>
    </row>
    <row r="74" spans="1:19" ht="15.75" x14ac:dyDescent="0.25">
      <c r="A74" s="223"/>
      <c r="B74" s="281"/>
      <c r="C74" s="281"/>
      <c r="D74" s="281"/>
      <c r="E74" s="224"/>
      <c r="F74" s="192"/>
      <c r="G74" s="193"/>
      <c r="H74" s="223"/>
      <c r="I74" s="281"/>
      <c r="J74" s="225"/>
      <c r="K74" s="225"/>
      <c r="L74" s="226"/>
      <c r="M74" s="226"/>
      <c r="N74" s="181">
        <f t="shared" si="1"/>
        <v>0</v>
      </c>
      <c r="O74" s="227"/>
      <c r="P74" s="227"/>
      <c r="Q74" s="223"/>
      <c r="R74" s="781"/>
      <c r="S74" s="781"/>
    </row>
    <row r="75" spans="1:19" ht="15.75" x14ac:dyDescent="0.25">
      <c r="A75" s="223"/>
      <c r="B75" s="281"/>
      <c r="C75" s="281"/>
      <c r="D75" s="281"/>
      <c r="E75" s="224"/>
      <c r="F75" s="192"/>
      <c r="G75" s="193"/>
      <c r="H75" s="223"/>
      <c r="I75" s="281"/>
      <c r="J75" s="225"/>
      <c r="K75" s="225"/>
      <c r="L75" s="226"/>
      <c r="M75" s="226"/>
      <c r="N75" s="181">
        <f t="shared" si="1"/>
        <v>0</v>
      </c>
      <c r="O75" s="227"/>
      <c r="P75" s="227"/>
      <c r="Q75" s="223"/>
      <c r="R75" s="781"/>
      <c r="S75" s="781"/>
    </row>
    <row r="76" spans="1:19" ht="15.75" x14ac:dyDescent="0.25">
      <c r="A76" s="223"/>
      <c r="B76" s="281"/>
      <c r="C76" s="281"/>
      <c r="D76" s="281"/>
      <c r="E76" s="224"/>
      <c r="F76" s="192"/>
      <c r="G76" s="193"/>
      <c r="H76" s="223"/>
      <c r="I76" s="281"/>
      <c r="J76" s="225"/>
      <c r="K76" s="225"/>
      <c r="L76" s="226"/>
      <c r="M76" s="226"/>
      <c r="N76" s="181">
        <f t="shared" si="1"/>
        <v>0</v>
      </c>
      <c r="O76" s="227"/>
      <c r="P76" s="227"/>
      <c r="Q76" s="223"/>
      <c r="R76" s="781"/>
      <c r="S76" s="781"/>
    </row>
    <row r="77" spans="1:19" ht="15.75" x14ac:dyDescent="0.25">
      <c r="A77" s="223"/>
      <c r="B77" s="281"/>
      <c r="C77" s="281"/>
      <c r="D77" s="281"/>
      <c r="E77" s="224"/>
      <c r="F77" s="192"/>
      <c r="G77" s="193"/>
      <c r="H77" s="223"/>
      <c r="I77" s="281"/>
      <c r="J77" s="225"/>
      <c r="K77" s="225"/>
      <c r="L77" s="226"/>
      <c r="M77" s="226"/>
      <c r="N77" s="181">
        <f t="shared" si="1"/>
        <v>0</v>
      </c>
      <c r="O77" s="227"/>
      <c r="P77" s="227"/>
      <c r="Q77" s="223"/>
      <c r="R77" s="781"/>
      <c r="S77" s="781"/>
    </row>
    <row r="78" spans="1:19" ht="15.75" x14ac:dyDescent="0.25">
      <c r="A78" s="223"/>
      <c r="B78" s="281"/>
      <c r="C78" s="281"/>
      <c r="D78" s="281"/>
      <c r="E78" s="224"/>
      <c r="F78" s="192"/>
      <c r="G78" s="193"/>
      <c r="H78" s="223"/>
      <c r="I78" s="281"/>
      <c r="J78" s="225"/>
      <c r="K78" s="225"/>
      <c r="L78" s="226"/>
      <c r="M78" s="226"/>
      <c r="N78" s="181">
        <f t="shared" si="1"/>
        <v>0</v>
      </c>
      <c r="O78" s="227"/>
      <c r="P78" s="227"/>
      <c r="Q78" s="223"/>
      <c r="R78" s="781"/>
      <c r="S78" s="781"/>
    </row>
    <row r="79" spans="1:19" ht="15.75" x14ac:dyDescent="0.25">
      <c r="A79" s="223"/>
      <c r="B79" s="281"/>
      <c r="C79" s="281"/>
      <c r="D79" s="281"/>
      <c r="E79" s="224"/>
      <c r="F79" s="192"/>
      <c r="G79" s="193"/>
      <c r="H79" s="223"/>
      <c r="I79" s="281"/>
      <c r="J79" s="225"/>
      <c r="K79" s="225"/>
      <c r="L79" s="226"/>
      <c r="M79" s="226"/>
      <c r="N79" s="181">
        <f t="shared" si="1"/>
        <v>0</v>
      </c>
      <c r="O79" s="227"/>
      <c r="P79" s="227"/>
      <c r="Q79" s="223"/>
      <c r="R79" s="781"/>
      <c r="S79" s="781"/>
    </row>
    <row r="80" spans="1:19" ht="15.75" x14ac:dyDescent="0.25">
      <c r="A80" s="223"/>
      <c r="B80" s="281"/>
      <c r="C80" s="281"/>
      <c r="D80" s="281"/>
      <c r="E80" s="224"/>
      <c r="F80" s="192"/>
      <c r="G80" s="193"/>
      <c r="H80" s="223"/>
      <c r="I80" s="281"/>
      <c r="J80" s="225"/>
      <c r="K80" s="225"/>
      <c r="L80" s="226"/>
      <c r="M80" s="226"/>
      <c r="N80" s="181">
        <f t="shared" si="1"/>
        <v>0</v>
      </c>
      <c r="O80" s="227"/>
      <c r="P80" s="227"/>
      <c r="Q80" s="223"/>
      <c r="R80" s="781"/>
      <c r="S80" s="781"/>
    </row>
    <row r="81" spans="1:19" ht="15.75" x14ac:dyDescent="0.25">
      <c r="A81" s="223"/>
      <c r="B81" s="281"/>
      <c r="C81" s="281"/>
      <c r="D81" s="281"/>
      <c r="E81" s="224"/>
      <c r="F81" s="192"/>
      <c r="G81" s="193"/>
      <c r="H81" s="223"/>
      <c r="I81" s="281"/>
      <c r="J81" s="225"/>
      <c r="K81" s="225"/>
      <c r="L81" s="226"/>
      <c r="M81" s="226"/>
      <c r="N81" s="181">
        <f t="shared" si="1"/>
        <v>0</v>
      </c>
      <c r="O81" s="227"/>
      <c r="P81" s="227"/>
      <c r="Q81" s="223"/>
      <c r="R81" s="781"/>
      <c r="S81" s="781"/>
    </row>
    <row r="82" spans="1:19" ht="15.75" x14ac:dyDescent="0.25">
      <c r="A82" s="223"/>
      <c r="B82" s="281"/>
      <c r="C82" s="281"/>
      <c r="D82" s="281"/>
      <c r="E82" s="224"/>
      <c r="F82" s="192"/>
      <c r="G82" s="193"/>
      <c r="H82" s="223"/>
      <c r="I82" s="281"/>
      <c r="J82" s="225"/>
      <c r="K82" s="225"/>
      <c r="L82" s="226"/>
      <c r="M82" s="226"/>
      <c r="N82" s="181">
        <f t="shared" si="1"/>
        <v>0</v>
      </c>
      <c r="O82" s="227"/>
      <c r="P82" s="227"/>
      <c r="Q82" s="223"/>
      <c r="R82" s="781"/>
      <c r="S82" s="781"/>
    </row>
    <row r="83" spans="1:19" ht="15.75" x14ac:dyDescent="0.25">
      <c r="A83" s="223"/>
      <c r="B83" s="281"/>
      <c r="C83" s="281"/>
      <c r="D83" s="281"/>
      <c r="E83" s="224"/>
      <c r="F83" s="192"/>
      <c r="G83" s="193"/>
      <c r="H83" s="223"/>
      <c r="I83" s="281"/>
      <c r="J83" s="225"/>
      <c r="K83" s="225"/>
      <c r="L83" s="226"/>
      <c r="M83" s="226"/>
      <c r="N83" s="181">
        <f t="shared" si="1"/>
        <v>0</v>
      </c>
      <c r="O83" s="227"/>
      <c r="P83" s="227"/>
      <c r="Q83" s="223"/>
      <c r="R83" s="781"/>
      <c r="S83" s="781"/>
    </row>
    <row r="84" spans="1:19" ht="15.75" x14ac:dyDescent="0.25">
      <c r="A84" s="223"/>
      <c r="B84" s="281"/>
      <c r="C84" s="281"/>
      <c r="D84" s="281"/>
      <c r="E84" s="224"/>
      <c r="F84" s="192"/>
      <c r="G84" s="193"/>
      <c r="H84" s="223"/>
      <c r="I84" s="281"/>
      <c r="J84" s="225"/>
      <c r="K84" s="225"/>
      <c r="L84" s="226"/>
      <c r="M84" s="226"/>
      <c r="N84" s="181">
        <f t="shared" si="1"/>
        <v>0</v>
      </c>
      <c r="O84" s="227"/>
      <c r="P84" s="227"/>
      <c r="Q84" s="223"/>
      <c r="R84" s="781"/>
      <c r="S84" s="781"/>
    </row>
    <row r="85" spans="1:19" ht="15.75" x14ac:dyDescent="0.25">
      <c r="A85" s="223"/>
      <c r="B85" s="281"/>
      <c r="C85" s="281"/>
      <c r="D85" s="281"/>
      <c r="E85" s="224"/>
      <c r="F85" s="192"/>
      <c r="G85" s="193"/>
      <c r="H85" s="223"/>
      <c r="I85" s="281"/>
      <c r="J85" s="225"/>
      <c r="K85" s="225"/>
      <c r="L85" s="226"/>
      <c r="M85" s="226"/>
      <c r="N85" s="181">
        <f t="shared" si="1"/>
        <v>0</v>
      </c>
      <c r="O85" s="227"/>
      <c r="P85" s="227"/>
      <c r="Q85" s="223"/>
      <c r="R85" s="781"/>
      <c r="S85" s="781"/>
    </row>
    <row r="86" spans="1:19" ht="15.75" x14ac:dyDescent="0.25">
      <c r="A86" s="223"/>
      <c r="B86" s="281"/>
      <c r="C86" s="281"/>
      <c r="D86" s="281"/>
      <c r="E86" s="224"/>
      <c r="F86" s="192"/>
      <c r="G86" s="193"/>
      <c r="H86" s="223"/>
      <c r="I86" s="281"/>
      <c r="J86" s="225"/>
      <c r="K86" s="225"/>
      <c r="L86" s="226"/>
      <c r="M86" s="226"/>
      <c r="N86" s="181">
        <f t="shared" si="1"/>
        <v>0</v>
      </c>
      <c r="O86" s="227"/>
      <c r="P86" s="227"/>
      <c r="Q86" s="223"/>
      <c r="R86" s="781"/>
      <c r="S86" s="781"/>
    </row>
    <row r="87" spans="1:19" ht="15.75" x14ac:dyDescent="0.25">
      <c r="A87" s="223"/>
      <c r="B87" s="281"/>
      <c r="C87" s="281"/>
      <c r="D87" s="281"/>
      <c r="E87" s="224"/>
      <c r="F87" s="192"/>
      <c r="G87" s="193"/>
      <c r="H87" s="223"/>
      <c r="I87" s="281"/>
      <c r="J87" s="225"/>
      <c r="K87" s="225"/>
      <c r="L87" s="226"/>
      <c r="M87" s="226"/>
      <c r="N87" s="181">
        <f t="shared" si="1"/>
        <v>0</v>
      </c>
      <c r="O87" s="227"/>
      <c r="P87" s="227"/>
      <c r="Q87" s="223"/>
      <c r="R87" s="781"/>
      <c r="S87" s="781"/>
    </row>
    <row r="88" spans="1:19" ht="15.75" x14ac:dyDescent="0.25">
      <c r="A88" s="223"/>
      <c r="B88" s="281"/>
      <c r="C88" s="281"/>
      <c r="D88" s="281"/>
      <c r="E88" s="224"/>
      <c r="F88" s="192"/>
      <c r="G88" s="193"/>
      <c r="H88" s="223"/>
      <c r="I88" s="281"/>
      <c r="J88" s="225"/>
      <c r="K88" s="225"/>
      <c r="L88" s="226"/>
      <c r="M88" s="226"/>
      <c r="N88" s="181">
        <f t="shared" si="1"/>
        <v>0</v>
      </c>
      <c r="O88" s="227"/>
      <c r="P88" s="227"/>
      <c r="Q88" s="223"/>
      <c r="R88" s="781"/>
      <c r="S88" s="781"/>
    </row>
    <row r="89" spans="1:19" ht="15.75" x14ac:dyDescent="0.25">
      <c r="A89" s="223"/>
      <c r="B89" s="281"/>
      <c r="C89" s="281"/>
      <c r="D89" s="281"/>
      <c r="E89" s="224"/>
      <c r="F89" s="192"/>
      <c r="G89" s="193"/>
      <c r="H89" s="223"/>
      <c r="I89" s="281"/>
      <c r="J89" s="225"/>
      <c r="K89" s="225"/>
      <c r="L89" s="226"/>
      <c r="M89" s="226"/>
      <c r="N89" s="181">
        <f t="shared" si="1"/>
        <v>0</v>
      </c>
      <c r="O89" s="227"/>
      <c r="P89" s="227"/>
      <c r="Q89" s="223"/>
      <c r="R89" s="781"/>
      <c r="S89" s="781"/>
    </row>
    <row r="90" spans="1:19" ht="15.75" x14ac:dyDescent="0.25">
      <c r="A90" s="223"/>
      <c r="B90" s="281"/>
      <c r="C90" s="281"/>
      <c r="D90" s="281"/>
      <c r="E90" s="224"/>
      <c r="F90" s="192"/>
      <c r="G90" s="193"/>
      <c r="H90" s="223"/>
      <c r="I90" s="281"/>
      <c r="J90" s="225"/>
      <c r="K90" s="225"/>
      <c r="L90" s="226"/>
      <c r="M90" s="226"/>
      <c r="N90" s="181">
        <f t="shared" si="1"/>
        <v>0</v>
      </c>
      <c r="O90" s="227"/>
      <c r="P90" s="227"/>
      <c r="Q90" s="223"/>
      <c r="R90" s="781"/>
      <c r="S90" s="781"/>
    </row>
    <row r="91" spans="1:19" ht="15.75" x14ac:dyDescent="0.25">
      <c r="A91" s="223"/>
      <c r="B91" s="281"/>
      <c r="C91" s="281"/>
      <c r="D91" s="281"/>
      <c r="E91" s="224"/>
      <c r="F91" s="192"/>
      <c r="G91" s="193"/>
      <c r="H91" s="223"/>
      <c r="I91" s="281"/>
      <c r="J91" s="225"/>
      <c r="K91" s="225"/>
      <c r="L91" s="226"/>
      <c r="M91" s="226"/>
      <c r="N91" s="181">
        <f t="shared" si="1"/>
        <v>0</v>
      </c>
      <c r="O91" s="227"/>
      <c r="P91" s="227"/>
      <c r="Q91" s="223"/>
      <c r="R91" s="781"/>
      <c r="S91" s="781"/>
    </row>
    <row r="92" spans="1:19" ht="15.75" x14ac:dyDescent="0.25">
      <c r="A92" s="223"/>
      <c r="B92" s="281"/>
      <c r="C92" s="281"/>
      <c r="D92" s="281"/>
      <c r="E92" s="224"/>
      <c r="F92" s="192"/>
      <c r="G92" s="193"/>
      <c r="H92" s="223"/>
      <c r="I92" s="281"/>
      <c r="J92" s="225"/>
      <c r="K92" s="225"/>
      <c r="L92" s="226"/>
      <c r="M92" s="226"/>
      <c r="N92" s="181">
        <f t="shared" si="1"/>
        <v>0</v>
      </c>
      <c r="O92" s="227"/>
      <c r="P92" s="227"/>
      <c r="Q92" s="223"/>
      <c r="R92" s="781"/>
      <c r="S92" s="781"/>
    </row>
    <row r="93" spans="1:19" ht="15.75" x14ac:dyDescent="0.25">
      <c r="A93" s="223"/>
      <c r="B93" s="281"/>
      <c r="C93" s="281"/>
      <c r="D93" s="281"/>
      <c r="E93" s="224"/>
      <c r="F93" s="192"/>
      <c r="G93" s="193"/>
      <c r="H93" s="223"/>
      <c r="I93" s="281"/>
      <c r="J93" s="225"/>
      <c r="K93" s="225"/>
      <c r="L93" s="226"/>
      <c r="M93" s="226"/>
      <c r="N93" s="181">
        <f t="shared" si="1"/>
        <v>0</v>
      </c>
      <c r="O93" s="227"/>
      <c r="P93" s="227"/>
      <c r="Q93" s="223"/>
      <c r="R93" s="781"/>
      <c r="S93" s="781"/>
    </row>
    <row r="94" spans="1:19" ht="15.75" x14ac:dyDescent="0.25">
      <c r="A94" s="223"/>
      <c r="B94" s="281"/>
      <c r="C94" s="281"/>
      <c r="D94" s="281"/>
      <c r="E94" s="224"/>
      <c r="F94" s="192"/>
      <c r="G94" s="193"/>
      <c r="H94" s="223"/>
      <c r="I94" s="281"/>
      <c r="J94" s="225"/>
      <c r="K94" s="225"/>
      <c r="L94" s="226"/>
      <c r="M94" s="226"/>
      <c r="N94" s="181">
        <f t="shared" si="1"/>
        <v>0</v>
      </c>
      <c r="O94" s="227"/>
      <c r="P94" s="227"/>
      <c r="Q94" s="223"/>
      <c r="R94" s="781"/>
      <c r="S94" s="781"/>
    </row>
    <row r="95" spans="1:19" ht="15.75" x14ac:dyDescent="0.25">
      <c r="A95" s="223"/>
      <c r="B95" s="281"/>
      <c r="C95" s="281"/>
      <c r="D95" s="281"/>
      <c r="E95" s="224"/>
      <c r="F95" s="192"/>
      <c r="G95" s="193"/>
      <c r="H95" s="223"/>
      <c r="I95" s="281"/>
      <c r="J95" s="225"/>
      <c r="K95" s="225"/>
      <c r="L95" s="226"/>
      <c r="M95" s="226"/>
      <c r="N95" s="181">
        <f t="shared" si="1"/>
        <v>0</v>
      </c>
      <c r="O95" s="227"/>
      <c r="P95" s="227"/>
      <c r="Q95" s="223"/>
      <c r="R95" s="781"/>
      <c r="S95" s="781"/>
    </row>
    <row r="96" spans="1:19" ht="15.75" x14ac:dyDescent="0.25">
      <c r="A96" s="223"/>
      <c r="B96" s="281"/>
      <c r="C96" s="281"/>
      <c r="D96" s="281"/>
      <c r="E96" s="224"/>
      <c r="F96" s="192"/>
      <c r="G96" s="193"/>
      <c r="H96" s="223"/>
      <c r="I96" s="281"/>
      <c r="J96" s="225"/>
      <c r="K96" s="225"/>
      <c r="L96" s="226"/>
      <c r="M96" s="226"/>
      <c r="N96" s="181">
        <f t="shared" si="1"/>
        <v>0</v>
      </c>
      <c r="O96" s="227"/>
      <c r="P96" s="227"/>
      <c r="Q96" s="223"/>
      <c r="R96" s="781"/>
      <c r="S96" s="781"/>
    </row>
    <row r="97" spans="1:19" ht="15.75" x14ac:dyDescent="0.25">
      <c r="A97" s="223"/>
      <c r="B97" s="281"/>
      <c r="C97" s="281"/>
      <c r="D97" s="281"/>
      <c r="E97" s="224"/>
      <c r="F97" s="192"/>
      <c r="G97" s="193"/>
      <c r="H97" s="223"/>
      <c r="I97" s="281"/>
      <c r="J97" s="225"/>
      <c r="K97" s="225"/>
      <c r="L97" s="226"/>
      <c r="M97" s="226"/>
      <c r="N97" s="181">
        <f t="shared" si="1"/>
        <v>0</v>
      </c>
      <c r="O97" s="227"/>
      <c r="P97" s="227"/>
      <c r="Q97" s="223"/>
      <c r="R97" s="781"/>
      <c r="S97" s="781"/>
    </row>
    <row r="98" spans="1:19" ht="15.75" x14ac:dyDescent="0.25">
      <c r="A98" s="223"/>
      <c r="B98" s="281"/>
      <c r="C98" s="281"/>
      <c r="D98" s="281"/>
      <c r="E98" s="224"/>
      <c r="F98" s="192"/>
      <c r="G98" s="193"/>
      <c r="H98" s="223"/>
      <c r="I98" s="281"/>
      <c r="J98" s="225"/>
      <c r="K98" s="225"/>
      <c r="L98" s="226"/>
      <c r="M98" s="226"/>
      <c r="N98" s="181">
        <f t="shared" si="1"/>
        <v>0</v>
      </c>
      <c r="O98" s="227"/>
      <c r="P98" s="227"/>
      <c r="Q98" s="223"/>
      <c r="R98" s="781"/>
      <c r="S98" s="781"/>
    </row>
    <row r="99" spans="1:19" ht="15.75" x14ac:dyDescent="0.25">
      <c r="A99" s="223"/>
      <c r="B99" s="281"/>
      <c r="C99" s="281"/>
      <c r="D99" s="281"/>
      <c r="E99" s="224"/>
      <c r="F99" s="192"/>
      <c r="G99" s="193"/>
      <c r="H99" s="223"/>
      <c r="I99" s="281"/>
      <c r="J99" s="225"/>
      <c r="K99" s="225"/>
      <c r="L99" s="226"/>
      <c r="M99" s="226"/>
      <c r="N99" s="181">
        <f t="shared" si="1"/>
        <v>0</v>
      </c>
      <c r="O99" s="227"/>
      <c r="P99" s="227"/>
      <c r="Q99" s="223"/>
      <c r="R99" s="781"/>
      <c r="S99" s="781"/>
    </row>
    <row r="100" spans="1:19" ht="15.75" x14ac:dyDescent="0.25">
      <c r="A100" s="223"/>
      <c r="B100" s="281"/>
      <c r="C100" s="281"/>
      <c r="D100" s="281"/>
      <c r="E100" s="224"/>
      <c r="F100" s="192"/>
      <c r="G100" s="193"/>
      <c r="H100" s="223"/>
      <c r="I100" s="281"/>
      <c r="J100" s="225"/>
      <c r="K100" s="225"/>
      <c r="L100" s="226"/>
      <c r="M100" s="226"/>
      <c r="N100" s="181">
        <f t="shared" si="1"/>
        <v>0</v>
      </c>
      <c r="O100" s="227"/>
      <c r="P100" s="227"/>
      <c r="Q100" s="223"/>
      <c r="R100" s="781"/>
      <c r="S100" s="781"/>
    </row>
    <row r="101" spans="1:19" ht="15.75" x14ac:dyDescent="0.25">
      <c r="A101" s="223"/>
      <c r="B101" s="281"/>
      <c r="C101" s="281"/>
      <c r="D101" s="281"/>
      <c r="E101" s="224"/>
      <c r="F101" s="192"/>
      <c r="G101" s="193"/>
      <c r="H101" s="223"/>
      <c r="I101" s="281"/>
      <c r="J101" s="225"/>
      <c r="K101" s="225"/>
      <c r="L101" s="226"/>
      <c r="M101" s="226"/>
      <c r="N101" s="181">
        <f t="shared" si="1"/>
        <v>0</v>
      </c>
      <c r="O101" s="227"/>
      <c r="P101" s="227"/>
      <c r="Q101" s="223"/>
      <c r="R101" s="781"/>
      <c r="S101" s="781"/>
    </row>
    <row r="102" spans="1:19" ht="15.75" x14ac:dyDescent="0.25">
      <c r="A102" s="223"/>
      <c r="B102" s="281"/>
      <c r="C102" s="281"/>
      <c r="D102" s="281"/>
      <c r="E102" s="224"/>
      <c r="F102" s="192"/>
      <c r="G102" s="193"/>
      <c r="H102" s="223"/>
      <c r="I102" s="281"/>
      <c r="J102" s="225"/>
      <c r="K102" s="225"/>
      <c r="L102" s="226"/>
      <c r="M102" s="226"/>
      <c r="N102" s="181">
        <f t="shared" si="1"/>
        <v>0</v>
      </c>
      <c r="O102" s="227"/>
      <c r="P102" s="227"/>
      <c r="Q102" s="223"/>
      <c r="R102" s="781"/>
      <c r="S102" s="781"/>
    </row>
    <row r="103" spans="1:19" ht="15.75" x14ac:dyDescent="0.25">
      <c r="A103" s="223"/>
      <c r="B103" s="281"/>
      <c r="C103" s="281"/>
      <c r="D103" s="281"/>
      <c r="E103" s="224"/>
      <c r="F103" s="192"/>
      <c r="G103" s="193"/>
      <c r="H103" s="223"/>
      <c r="I103" s="281"/>
      <c r="J103" s="225"/>
      <c r="K103" s="225"/>
      <c r="L103" s="226"/>
      <c r="M103" s="226"/>
      <c r="N103" s="181">
        <f t="shared" si="1"/>
        <v>0</v>
      </c>
      <c r="O103" s="227"/>
      <c r="P103" s="227"/>
      <c r="Q103" s="223"/>
      <c r="R103" s="781"/>
      <c r="S103" s="781"/>
    </row>
    <row r="104" spans="1:19" ht="15.75" x14ac:dyDescent="0.25">
      <c r="A104" s="223"/>
      <c r="B104" s="281"/>
      <c r="C104" s="281"/>
      <c r="D104" s="281"/>
      <c r="E104" s="224"/>
      <c r="F104" s="192"/>
      <c r="G104" s="193"/>
      <c r="H104" s="223"/>
      <c r="I104" s="281"/>
      <c r="J104" s="225"/>
      <c r="K104" s="225"/>
      <c r="L104" s="226"/>
      <c r="M104" s="226"/>
      <c r="N104" s="181">
        <f t="shared" si="1"/>
        <v>0</v>
      </c>
      <c r="O104" s="227"/>
      <c r="P104" s="227"/>
      <c r="Q104" s="223"/>
      <c r="R104" s="781"/>
      <c r="S104" s="781"/>
    </row>
    <row r="105" spans="1:19" ht="15.75" x14ac:dyDescent="0.25">
      <c r="A105" s="223"/>
      <c r="B105" s="281"/>
      <c r="C105" s="281"/>
      <c r="D105" s="281"/>
      <c r="E105" s="224"/>
      <c r="F105" s="192"/>
      <c r="G105" s="193"/>
      <c r="H105" s="223"/>
      <c r="I105" s="281"/>
      <c r="J105" s="225"/>
      <c r="K105" s="225"/>
      <c r="L105" s="226"/>
      <c r="M105" s="226"/>
      <c r="N105" s="181">
        <f t="shared" si="1"/>
        <v>0</v>
      </c>
      <c r="O105" s="227"/>
      <c r="P105" s="227"/>
      <c r="Q105" s="223"/>
      <c r="R105" s="781"/>
      <c r="S105" s="781"/>
    </row>
    <row r="106" spans="1:19" ht="15.75" x14ac:dyDescent="0.25">
      <c r="A106" s="223"/>
      <c r="B106" s="281"/>
      <c r="C106" s="281"/>
      <c r="D106" s="281"/>
      <c r="E106" s="224"/>
      <c r="F106" s="192"/>
      <c r="G106" s="193"/>
      <c r="H106" s="223"/>
      <c r="I106" s="281"/>
      <c r="J106" s="225"/>
      <c r="K106" s="225"/>
      <c r="L106" s="226"/>
      <c r="M106" s="226"/>
      <c r="N106" s="181">
        <f t="shared" si="1"/>
        <v>0</v>
      </c>
      <c r="O106" s="227"/>
      <c r="P106" s="227"/>
      <c r="Q106" s="223"/>
      <c r="R106" s="781"/>
      <c r="S106" s="781"/>
    </row>
    <row r="107" spans="1:19" ht="15.75" x14ac:dyDescent="0.25">
      <c r="A107" s="223"/>
      <c r="B107" s="281"/>
      <c r="C107" s="281"/>
      <c r="D107" s="281"/>
      <c r="E107" s="224"/>
      <c r="F107" s="192"/>
      <c r="G107" s="193"/>
      <c r="H107" s="223"/>
      <c r="I107" s="281"/>
      <c r="J107" s="225"/>
      <c r="K107" s="225"/>
      <c r="L107" s="226"/>
      <c r="M107" s="226"/>
      <c r="N107" s="181">
        <f t="shared" si="1"/>
        <v>0</v>
      </c>
      <c r="O107" s="227"/>
      <c r="P107" s="227"/>
      <c r="Q107" s="223"/>
      <c r="R107" s="781"/>
      <c r="S107" s="781"/>
    </row>
    <row r="108" spans="1:19" ht="15.75" x14ac:dyDescent="0.25">
      <c r="A108" s="223"/>
      <c r="B108" s="281"/>
      <c r="C108" s="281"/>
      <c r="D108" s="281"/>
      <c r="E108" s="224"/>
      <c r="F108" s="192"/>
      <c r="G108" s="193"/>
      <c r="H108" s="223"/>
      <c r="I108" s="281"/>
      <c r="J108" s="225"/>
      <c r="K108" s="225"/>
      <c r="L108" s="226"/>
      <c r="M108" s="226"/>
      <c r="N108" s="181">
        <f t="shared" si="1"/>
        <v>0</v>
      </c>
      <c r="O108" s="227"/>
      <c r="P108" s="227"/>
      <c r="Q108" s="223"/>
      <c r="R108" s="781"/>
      <c r="S108" s="781"/>
    </row>
    <row r="109" spans="1:19" ht="15.75" x14ac:dyDescent="0.25">
      <c r="A109" s="223"/>
      <c r="B109" s="281"/>
      <c r="C109" s="281"/>
      <c r="D109" s="281"/>
      <c r="E109" s="224"/>
      <c r="F109" s="192"/>
      <c r="G109" s="193"/>
      <c r="H109" s="223"/>
      <c r="I109" s="281"/>
      <c r="J109" s="225"/>
      <c r="K109" s="225"/>
      <c r="L109" s="226"/>
      <c r="M109" s="226"/>
      <c r="N109" s="181">
        <f t="shared" si="1"/>
        <v>0</v>
      </c>
      <c r="O109" s="227"/>
      <c r="P109" s="227"/>
      <c r="Q109" s="223"/>
      <c r="R109" s="781"/>
      <c r="S109" s="781"/>
    </row>
    <row r="110" spans="1:19" ht="15.75" x14ac:dyDescent="0.25">
      <c r="A110" s="223"/>
      <c r="B110" s="281"/>
      <c r="C110" s="281"/>
      <c r="D110" s="281"/>
      <c r="E110" s="224"/>
      <c r="F110" s="192"/>
      <c r="G110" s="193"/>
      <c r="H110" s="223"/>
      <c r="I110" s="281"/>
      <c r="J110" s="225"/>
      <c r="K110" s="225"/>
      <c r="L110" s="226"/>
      <c r="M110" s="226"/>
      <c r="N110" s="181">
        <f t="shared" si="1"/>
        <v>0</v>
      </c>
      <c r="O110" s="227"/>
      <c r="P110" s="227"/>
      <c r="Q110" s="223"/>
      <c r="R110" s="781"/>
      <c r="S110" s="781"/>
    </row>
    <row r="111" spans="1:19" ht="15.75" x14ac:dyDescent="0.25">
      <c r="A111" s="223"/>
      <c r="B111" s="281"/>
      <c r="C111" s="281"/>
      <c r="D111" s="281"/>
      <c r="E111" s="224"/>
      <c r="F111" s="192"/>
      <c r="G111" s="193"/>
      <c r="H111" s="223"/>
      <c r="I111" s="281"/>
      <c r="J111" s="225"/>
      <c r="K111" s="225"/>
      <c r="L111" s="226"/>
      <c r="M111" s="226"/>
      <c r="N111" s="181">
        <f t="shared" si="1"/>
        <v>0</v>
      </c>
      <c r="O111" s="227"/>
      <c r="P111" s="227"/>
      <c r="Q111" s="223"/>
      <c r="R111" s="781"/>
      <c r="S111" s="781"/>
    </row>
    <row r="112" spans="1:19" ht="15.75" x14ac:dyDescent="0.25">
      <c r="A112" s="223"/>
      <c r="B112" s="281"/>
      <c r="C112" s="281"/>
      <c r="D112" s="281"/>
      <c r="E112" s="224"/>
      <c r="F112" s="192"/>
      <c r="G112" s="193"/>
      <c r="H112" s="223"/>
      <c r="I112" s="281"/>
      <c r="J112" s="225"/>
      <c r="K112" s="225"/>
      <c r="L112" s="226"/>
      <c r="M112" s="226"/>
      <c r="N112" s="181">
        <f t="shared" si="1"/>
        <v>0</v>
      </c>
      <c r="O112" s="227"/>
      <c r="P112" s="227"/>
      <c r="Q112" s="223"/>
      <c r="R112" s="781"/>
      <c r="S112" s="781"/>
    </row>
    <row r="113" spans="1:19" ht="15.75" x14ac:dyDescent="0.25">
      <c r="A113" s="223"/>
      <c r="B113" s="281"/>
      <c r="C113" s="281"/>
      <c r="D113" s="281"/>
      <c r="E113" s="224"/>
      <c r="F113" s="192"/>
      <c r="G113" s="193"/>
      <c r="H113" s="223"/>
      <c r="I113" s="281"/>
      <c r="J113" s="225"/>
      <c r="K113" s="225"/>
      <c r="L113" s="226"/>
      <c r="M113" s="226"/>
      <c r="N113" s="181">
        <f t="shared" si="1"/>
        <v>0</v>
      </c>
      <c r="O113" s="227"/>
      <c r="P113" s="227"/>
      <c r="Q113" s="223"/>
      <c r="R113" s="781"/>
      <c r="S113" s="781"/>
    </row>
    <row r="114" spans="1:19" ht="15.75" x14ac:dyDescent="0.25">
      <c r="A114" s="223"/>
      <c r="B114" s="281"/>
      <c r="C114" s="281"/>
      <c r="D114" s="281"/>
      <c r="E114" s="224"/>
      <c r="F114" s="192"/>
      <c r="G114" s="193"/>
      <c r="H114" s="223"/>
      <c r="I114" s="281"/>
      <c r="J114" s="225"/>
      <c r="K114" s="225"/>
      <c r="L114" s="226"/>
      <c r="M114" s="226"/>
      <c r="N114" s="181">
        <f t="shared" si="1"/>
        <v>0</v>
      </c>
      <c r="O114" s="227"/>
      <c r="P114" s="227"/>
      <c r="Q114" s="223"/>
      <c r="R114" s="781"/>
      <c r="S114" s="781"/>
    </row>
    <row r="115" spans="1:19" ht="15.75" x14ac:dyDescent="0.25">
      <c r="A115" s="223"/>
      <c r="B115" s="281"/>
      <c r="C115" s="281"/>
      <c r="D115" s="281"/>
      <c r="E115" s="224"/>
      <c r="F115" s="192"/>
      <c r="G115" s="193"/>
      <c r="H115" s="223"/>
      <c r="I115" s="281"/>
      <c r="J115" s="225"/>
      <c r="K115" s="225"/>
      <c r="L115" s="226"/>
      <c r="M115" s="226"/>
      <c r="N115" s="181">
        <f t="shared" si="1"/>
        <v>0</v>
      </c>
      <c r="O115" s="227"/>
      <c r="P115" s="227"/>
      <c r="Q115" s="223"/>
      <c r="R115" s="781"/>
      <c r="S115" s="781"/>
    </row>
    <row r="116" spans="1:19" ht="15.75" x14ac:dyDescent="0.25">
      <c r="A116" s="223"/>
      <c r="B116" s="281"/>
      <c r="C116" s="281"/>
      <c r="D116" s="281"/>
      <c r="E116" s="224"/>
      <c r="F116" s="192"/>
      <c r="G116" s="193"/>
      <c r="H116" s="223"/>
      <c r="I116" s="281"/>
      <c r="J116" s="225"/>
      <c r="K116" s="225"/>
      <c r="L116" s="226"/>
      <c r="M116" s="226"/>
      <c r="N116" s="181">
        <f t="shared" si="1"/>
        <v>0</v>
      </c>
      <c r="O116" s="227"/>
      <c r="P116" s="227"/>
      <c r="Q116" s="223"/>
      <c r="R116" s="781"/>
      <c r="S116" s="781"/>
    </row>
    <row r="117" spans="1:19" ht="15.75" x14ac:dyDescent="0.25">
      <c r="A117" s="223"/>
      <c r="B117" s="281"/>
      <c r="C117" s="281"/>
      <c r="D117" s="281"/>
      <c r="E117" s="224"/>
      <c r="F117" s="192"/>
      <c r="G117" s="193"/>
      <c r="H117" s="223"/>
      <c r="I117" s="281"/>
      <c r="J117" s="225"/>
      <c r="K117" s="225"/>
      <c r="L117" s="226"/>
      <c r="M117" s="226"/>
      <c r="N117" s="181">
        <f t="shared" si="1"/>
        <v>0</v>
      </c>
      <c r="O117" s="227"/>
      <c r="P117" s="227"/>
      <c r="Q117" s="223"/>
      <c r="R117" s="781"/>
      <c r="S117" s="781"/>
    </row>
    <row r="118" spans="1:19" ht="15.75" x14ac:dyDescent="0.25">
      <c r="A118" s="223"/>
      <c r="B118" s="281"/>
      <c r="C118" s="281"/>
      <c r="D118" s="281"/>
      <c r="E118" s="224"/>
      <c r="F118" s="192"/>
      <c r="G118" s="193"/>
      <c r="H118" s="223"/>
      <c r="I118" s="281"/>
      <c r="J118" s="225"/>
      <c r="K118" s="225"/>
      <c r="L118" s="226"/>
      <c r="M118" s="226"/>
      <c r="N118" s="181">
        <f t="shared" si="1"/>
        <v>0</v>
      </c>
      <c r="O118" s="227"/>
      <c r="P118" s="227"/>
      <c r="Q118" s="223"/>
      <c r="R118" s="781"/>
      <c r="S118" s="781"/>
    </row>
    <row r="119" spans="1:19" ht="15.75" x14ac:dyDescent="0.25">
      <c r="A119" s="223"/>
      <c r="B119" s="281"/>
      <c r="C119" s="281"/>
      <c r="D119" s="281"/>
      <c r="E119" s="224"/>
      <c r="F119" s="192"/>
      <c r="G119" s="193"/>
      <c r="H119" s="223"/>
      <c r="I119" s="281"/>
      <c r="J119" s="225"/>
      <c r="K119" s="225"/>
      <c r="L119" s="226"/>
      <c r="M119" s="226"/>
      <c r="N119" s="181">
        <f t="shared" si="1"/>
        <v>0</v>
      </c>
      <c r="O119" s="227"/>
      <c r="P119" s="227"/>
      <c r="Q119" s="223"/>
      <c r="R119" s="781"/>
      <c r="S119" s="781"/>
    </row>
    <row r="120" spans="1:19" ht="15.75" x14ac:dyDescent="0.25">
      <c r="A120" s="223"/>
      <c r="B120" s="281"/>
      <c r="C120" s="281"/>
      <c r="D120" s="281"/>
      <c r="E120" s="224"/>
      <c r="F120" s="192"/>
      <c r="G120" s="193"/>
      <c r="H120" s="223"/>
      <c r="I120" s="281"/>
      <c r="J120" s="225"/>
      <c r="K120" s="225"/>
      <c r="L120" s="226"/>
      <c r="M120" s="226"/>
      <c r="N120" s="181">
        <f t="shared" si="1"/>
        <v>0</v>
      </c>
      <c r="O120" s="227"/>
      <c r="P120" s="227"/>
      <c r="Q120" s="223"/>
      <c r="R120" s="781"/>
      <c r="S120" s="781"/>
    </row>
    <row r="121" spans="1:19" ht="15.75" x14ac:dyDescent="0.25">
      <c r="A121" s="223"/>
      <c r="B121" s="281"/>
      <c r="C121" s="281"/>
      <c r="D121" s="281"/>
      <c r="E121" s="224"/>
      <c r="F121" s="192"/>
      <c r="G121" s="193"/>
      <c r="H121" s="223"/>
      <c r="I121" s="281"/>
      <c r="J121" s="225"/>
      <c r="K121" s="225"/>
      <c r="L121" s="226"/>
      <c r="M121" s="226"/>
      <c r="N121" s="181">
        <f t="shared" si="1"/>
        <v>0</v>
      </c>
      <c r="O121" s="227"/>
      <c r="P121" s="227"/>
      <c r="Q121" s="223"/>
      <c r="R121" s="781"/>
      <c r="S121" s="781"/>
    </row>
    <row r="122" spans="1:19" ht="15.75" x14ac:dyDescent="0.25">
      <c r="A122" s="223"/>
      <c r="B122" s="281"/>
      <c r="C122" s="281"/>
      <c r="D122" s="281"/>
      <c r="E122" s="224"/>
      <c r="F122" s="192"/>
      <c r="G122" s="193"/>
      <c r="H122" s="223"/>
      <c r="I122" s="281"/>
      <c r="J122" s="225"/>
      <c r="K122" s="225"/>
      <c r="L122" s="226"/>
      <c r="M122" s="226"/>
      <c r="N122" s="181">
        <f t="shared" si="1"/>
        <v>0</v>
      </c>
      <c r="O122" s="227"/>
      <c r="P122" s="227"/>
      <c r="Q122" s="223"/>
      <c r="R122" s="781"/>
      <c r="S122" s="781"/>
    </row>
    <row r="123" spans="1:19" ht="15.75" x14ac:dyDescent="0.25">
      <c r="A123" s="223"/>
      <c r="B123" s="281"/>
      <c r="C123" s="281"/>
      <c r="D123" s="281"/>
      <c r="E123" s="224"/>
      <c r="F123" s="192"/>
      <c r="G123" s="193"/>
      <c r="H123" s="223"/>
      <c r="I123" s="281"/>
      <c r="J123" s="225"/>
      <c r="K123" s="225"/>
      <c r="L123" s="226"/>
      <c r="M123" s="226"/>
      <c r="N123" s="181">
        <f t="shared" si="1"/>
        <v>0</v>
      </c>
      <c r="O123" s="227"/>
      <c r="P123" s="227"/>
      <c r="Q123" s="223"/>
      <c r="R123" s="781"/>
      <c r="S123" s="781"/>
    </row>
    <row r="124" spans="1:19" ht="15.75" x14ac:dyDescent="0.25">
      <c r="A124" s="223"/>
      <c r="B124" s="281"/>
      <c r="C124" s="281"/>
      <c r="D124" s="281"/>
      <c r="E124" s="224"/>
      <c r="F124" s="192"/>
      <c r="G124" s="193"/>
      <c r="H124" s="223"/>
      <c r="I124" s="281"/>
      <c r="J124" s="225"/>
      <c r="K124" s="225"/>
      <c r="L124" s="226"/>
      <c r="M124" s="226"/>
      <c r="N124" s="181">
        <f t="shared" si="1"/>
        <v>0</v>
      </c>
      <c r="O124" s="227"/>
      <c r="P124" s="227"/>
      <c r="Q124" s="223"/>
      <c r="R124" s="781"/>
      <c r="S124" s="781"/>
    </row>
    <row r="125" spans="1:19" ht="15.75" x14ac:dyDescent="0.25">
      <c r="A125" s="223"/>
      <c r="B125" s="281"/>
      <c r="C125" s="281"/>
      <c r="D125" s="281"/>
      <c r="E125" s="224"/>
      <c r="F125" s="192"/>
      <c r="G125" s="193"/>
      <c r="H125" s="223"/>
      <c r="I125" s="281"/>
      <c r="J125" s="225"/>
      <c r="K125" s="225"/>
      <c r="L125" s="226"/>
      <c r="M125" s="226"/>
      <c r="N125" s="181">
        <f t="shared" si="1"/>
        <v>0</v>
      </c>
      <c r="O125" s="227"/>
      <c r="P125" s="227"/>
      <c r="Q125" s="223"/>
      <c r="R125" s="781"/>
      <c r="S125" s="781"/>
    </row>
    <row r="126" spans="1:19" ht="15.75" x14ac:dyDescent="0.25">
      <c r="A126" s="223"/>
      <c r="B126" s="281"/>
      <c r="C126" s="281"/>
      <c r="D126" s="281"/>
      <c r="E126" s="224"/>
      <c r="F126" s="192"/>
      <c r="G126" s="193"/>
      <c r="H126" s="223"/>
      <c r="I126" s="281"/>
      <c r="J126" s="225"/>
      <c r="K126" s="225"/>
      <c r="L126" s="226"/>
      <c r="M126" s="226"/>
      <c r="N126" s="181">
        <f t="shared" si="1"/>
        <v>0</v>
      </c>
      <c r="O126" s="227"/>
      <c r="P126" s="227"/>
      <c r="Q126" s="223"/>
      <c r="R126" s="781"/>
      <c r="S126" s="781"/>
    </row>
    <row r="127" spans="1:19" ht="15.75" x14ac:dyDescent="0.25">
      <c r="A127" s="223"/>
      <c r="B127" s="281"/>
      <c r="C127" s="281"/>
      <c r="D127" s="281"/>
      <c r="E127" s="224"/>
      <c r="F127" s="192"/>
      <c r="G127" s="193"/>
      <c r="H127" s="223"/>
      <c r="I127" s="281"/>
      <c r="J127" s="225"/>
      <c r="K127" s="225"/>
      <c r="L127" s="226"/>
      <c r="M127" s="226"/>
      <c r="N127" s="181">
        <f t="shared" si="1"/>
        <v>0</v>
      </c>
      <c r="O127" s="227"/>
      <c r="P127" s="227"/>
      <c r="Q127" s="223"/>
      <c r="R127" s="781"/>
      <c r="S127" s="781"/>
    </row>
    <row r="128" spans="1:19" ht="15.75" x14ac:dyDescent="0.25">
      <c r="A128" s="223"/>
      <c r="B128" s="281"/>
      <c r="C128" s="281"/>
      <c r="D128" s="281"/>
      <c r="E128" s="224"/>
      <c r="F128" s="192"/>
      <c r="G128" s="193"/>
      <c r="H128" s="223"/>
      <c r="I128" s="281"/>
      <c r="J128" s="225"/>
      <c r="K128" s="225"/>
      <c r="L128" s="226"/>
      <c r="M128" s="226"/>
      <c r="N128" s="181">
        <f t="shared" si="1"/>
        <v>0</v>
      </c>
      <c r="O128" s="227"/>
      <c r="P128" s="227"/>
      <c r="Q128" s="223"/>
      <c r="R128" s="781"/>
      <c r="S128" s="781"/>
    </row>
    <row r="129" spans="1:19" ht="15.75" x14ac:dyDescent="0.25">
      <c r="A129" s="223"/>
      <c r="B129" s="281"/>
      <c r="C129" s="281"/>
      <c r="D129" s="281"/>
      <c r="E129" s="224"/>
      <c r="F129" s="192"/>
      <c r="G129" s="193"/>
      <c r="H129" s="223"/>
      <c r="I129" s="281"/>
      <c r="J129" s="225"/>
      <c r="K129" s="225"/>
      <c r="L129" s="226"/>
      <c r="M129" s="226"/>
      <c r="N129" s="181">
        <f t="shared" si="1"/>
        <v>0</v>
      </c>
      <c r="O129" s="227"/>
      <c r="P129" s="227"/>
      <c r="Q129" s="223"/>
      <c r="R129" s="781"/>
      <c r="S129" s="781"/>
    </row>
    <row r="130" spans="1:19" ht="15.75" x14ac:dyDescent="0.25">
      <c r="A130" s="223"/>
      <c r="B130" s="281"/>
      <c r="C130" s="281"/>
      <c r="D130" s="281"/>
      <c r="E130" s="224"/>
      <c r="F130" s="192"/>
      <c r="G130" s="193"/>
      <c r="H130" s="223"/>
      <c r="I130" s="281"/>
      <c r="J130" s="225"/>
      <c r="K130" s="225"/>
      <c r="L130" s="226"/>
      <c r="M130" s="226"/>
      <c r="N130" s="181">
        <f t="shared" si="1"/>
        <v>0</v>
      </c>
      <c r="O130" s="227"/>
      <c r="P130" s="227"/>
      <c r="Q130" s="223"/>
      <c r="R130" s="781"/>
      <c r="S130" s="781"/>
    </row>
    <row r="131" spans="1:19" ht="15.75" x14ac:dyDescent="0.25">
      <c r="A131" s="223"/>
      <c r="B131" s="281"/>
      <c r="C131" s="281"/>
      <c r="D131" s="281"/>
      <c r="E131" s="224"/>
      <c r="F131" s="192"/>
      <c r="G131" s="193"/>
      <c r="H131" s="223"/>
      <c r="I131" s="281"/>
      <c r="J131" s="225"/>
      <c r="K131" s="225"/>
      <c r="L131" s="226"/>
      <c r="M131" s="226"/>
      <c r="N131" s="181">
        <f t="shared" si="1"/>
        <v>0</v>
      </c>
      <c r="O131" s="227"/>
      <c r="P131" s="227"/>
      <c r="Q131" s="223"/>
      <c r="R131" s="781"/>
      <c r="S131" s="781"/>
    </row>
    <row r="132" spans="1:19" ht="15.75" x14ac:dyDescent="0.25">
      <c r="A132" s="223"/>
      <c r="B132" s="281"/>
      <c r="C132" s="281"/>
      <c r="D132" s="281"/>
      <c r="E132" s="224"/>
      <c r="F132" s="192"/>
      <c r="G132" s="193"/>
      <c r="H132" s="223"/>
      <c r="I132" s="281"/>
      <c r="J132" s="225"/>
      <c r="K132" s="225"/>
      <c r="L132" s="226"/>
      <c r="M132" s="226"/>
      <c r="N132" s="181">
        <f t="shared" si="1"/>
        <v>0</v>
      </c>
      <c r="O132" s="227"/>
      <c r="P132" s="227"/>
      <c r="Q132" s="223"/>
      <c r="R132" s="781"/>
      <c r="S132" s="781"/>
    </row>
    <row r="133" spans="1:19" ht="15.75" x14ac:dyDescent="0.25">
      <c r="A133" s="223"/>
      <c r="B133" s="281"/>
      <c r="C133" s="281"/>
      <c r="D133" s="281"/>
      <c r="E133" s="224"/>
      <c r="F133" s="192"/>
      <c r="G133" s="193"/>
      <c r="H133" s="223"/>
      <c r="I133" s="281"/>
      <c r="J133" s="225"/>
      <c r="K133" s="225"/>
      <c r="L133" s="226"/>
      <c r="M133" s="226"/>
      <c r="N133" s="181">
        <f t="shared" si="1"/>
        <v>0</v>
      </c>
      <c r="O133" s="227"/>
      <c r="P133" s="227"/>
      <c r="Q133" s="223"/>
      <c r="R133" s="781"/>
      <c r="S133" s="781"/>
    </row>
    <row r="134" spans="1:19" ht="15.75" x14ac:dyDescent="0.25">
      <c r="A134" s="223"/>
      <c r="B134" s="281"/>
      <c r="C134" s="281"/>
      <c r="D134" s="281"/>
      <c r="E134" s="224"/>
      <c r="F134" s="192"/>
      <c r="G134" s="193"/>
      <c r="H134" s="223"/>
      <c r="I134" s="281"/>
      <c r="J134" s="225"/>
      <c r="K134" s="225"/>
      <c r="L134" s="226"/>
      <c r="M134" s="226"/>
      <c r="N134" s="181">
        <f t="shared" ref="N134:N197" si="2">M134+L134</f>
        <v>0</v>
      </c>
      <c r="O134" s="227"/>
      <c r="P134" s="227"/>
      <c r="Q134" s="223"/>
      <c r="R134" s="781"/>
      <c r="S134" s="781"/>
    </row>
    <row r="135" spans="1:19" ht="15.75" x14ac:dyDescent="0.25">
      <c r="A135" s="223"/>
      <c r="B135" s="281"/>
      <c r="C135" s="281"/>
      <c r="D135" s="281"/>
      <c r="E135" s="224"/>
      <c r="F135" s="192"/>
      <c r="G135" s="193"/>
      <c r="H135" s="223"/>
      <c r="I135" s="281"/>
      <c r="J135" s="225"/>
      <c r="K135" s="225"/>
      <c r="L135" s="226"/>
      <c r="M135" s="226"/>
      <c r="N135" s="181">
        <f t="shared" si="2"/>
        <v>0</v>
      </c>
      <c r="O135" s="227"/>
      <c r="P135" s="227"/>
      <c r="Q135" s="223"/>
      <c r="R135" s="781"/>
      <c r="S135" s="781"/>
    </row>
    <row r="136" spans="1:19" ht="15.75" x14ac:dyDescent="0.25">
      <c r="A136" s="223"/>
      <c r="B136" s="281"/>
      <c r="C136" s="281"/>
      <c r="D136" s="281"/>
      <c r="E136" s="224"/>
      <c r="F136" s="192"/>
      <c r="G136" s="193"/>
      <c r="H136" s="223"/>
      <c r="I136" s="281"/>
      <c r="J136" s="225"/>
      <c r="K136" s="225"/>
      <c r="L136" s="226"/>
      <c r="M136" s="226"/>
      <c r="N136" s="181">
        <f t="shared" si="2"/>
        <v>0</v>
      </c>
      <c r="O136" s="227"/>
      <c r="P136" s="227"/>
      <c r="Q136" s="223"/>
      <c r="R136" s="781"/>
      <c r="S136" s="781"/>
    </row>
    <row r="137" spans="1:19" ht="15.75" x14ac:dyDescent="0.25">
      <c r="A137" s="223"/>
      <c r="B137" s="281"/>
      <c r="C137" s="281"/>
      <c r="D137" s="281"/>
      <c r="E137" s="224"/>
      <c r="F137" s="192"/>
      <c r="G137" s="193"/>
      <c r="H137" s="223"/>
      <c r="I137" s="281"/>
      <c r="J137" s="225"/>
      <c r="K137" s="225"/>
      <c r="L137" s="226"/>
      <c r="M137" s="226"/>
      <c r="N137" s="181">
        <f t="shared" si="2"/>
        <v>0</v>
      </c>
      <c r="O137" s="227"/>
      <c r="P137" s="227"/>
      <c r="Q137" s="223"/>
      <c r="R137" s="781"/>
      <c r="S137" s="781"/>
    </row>
    <row r="138" spans="1:19" ht="15.75" x14ac:dyDescent="0.25">
      <c r="A138" s="223"/>
      <c r="B138" s="281"/>
      <c r="C138" s="281"/>
      <c r="D138" s="281"/>
      <c r="E138" s="224"/>
      <c r="F138" s="192"/>
      <c r="G138" s="193"/>
      <c r="H138" s="223"/>
      <c r="I138" s="281"/>
      <c r="J138" s="225"/>
      <c r="K138" s="225"/>
      <c r="L138" s="226"/>
      <c r="M138" s="226"/>
      <c r="N138" s="181">
        <f t="shared" si="2"/>
        <v>0</v>
      </c>
      <c r="O138" s="227"/>
      <c r="P138" s="227"/>
      <c r="Q138" s="223"/>
      <c r="R138" s="781"/>
      <c r="S138" s="781"/>
    </row>
    <row r="139" spans="1:19" ht="15.75" x14ac:dyDescent="0.25">
      <c r="A139" s="223"/>
      <c r="B139" s="281"/>
      <c r="C139" s="281"/>
      <c r="D139" s="281"/>
      <c r="E139" s="224"/>
      <c r="F139" s="192"/>
      <c r="G139" s="193"/>
      <c r="H139" s="223"/>
      <c r="I139" s="281"/>
      <c r="J139" s="225"/>
      <c r="K139" s="225"/>
      <c r="L139" s="226"/>
      <c r="M139" s="226"/>
      <c r="N139" s="181">
        <f t="shared" si="2"/>
        <v>0</v>
      </c>
      <c r="O139" s="227"/>
      <c r="P139" s="227"/>
      <c r="Q139" s="223"/>
      <c r="R139" s="781"/>
      <c r="S139" s="781"/>
    </row>
    <row r="140" spans="1:19" ht="15.75" x14ac:dyDescent="0.25">
      <c r="A140" s="223"/>
      <c r="B140" s="281"/>
      <c r="C140" s="281"/>
      <c r="D140" s="281"/>
      <c r="E140" s="224"/>
      <c r="F140" s="192"/>
      <c r="G140" s="193"/>
      <c r="H140" s="223"/>
      <c r="I140" s="281"/>
      <c r="J140" s="225"/>
      <c r="K140" s="225"/>
      <c r="L140" s="226"/>
      <c r="M140" s="226"/>
      <c r="N140" s="181">
        <f t="shared" si="2"/>
        <v>0</v>
      </c>
      <c r="O140" s="227"/>
      <c r="P140" s="227"/>
      <c r="Q140" s="223"/>
      <c r="R140" s="781"/>
      <c r="S140" s="781"/>
    </row>
    <row r="141" spans="1:19" ht="15.75" x14ac:dyDescent="0.25">
      <c r="A141" s="223"/>
      <c r="B141" s="281"/>
      <c r="C141" s="281"/>
      <c r="D141" s="281"/>
      <c r="E141" s="224"/>
      <c r="F141" s="192"/>
      <c r="G141" s="193"/>
      <c r="H141" s="223"/>
      <c r="I141" s="281"/>
      <c r="J141" s="225"/>
      <c r="K141" s="225"/>
      <c r="L141" s="226"/>
      <c r="M141" s="226"/>
      <c r="N141" s="181">
        <f t="shared" si="2"/>
        <v>0</v>
      </c>
      <c r="O141" s="227"/>
      <c r="P141" s="227"/>
      <c r="Q141" s="223"/>
      <c r="R141" s="781"/>
      <c r="S141" s="781"/>
    </row>
    <row r="142" spans="1:19" ht="15.75" x14ac:dyDescent="0.25">
      <c r="A142" s="223"/>
      <c r="B142" s="281"/>
      <c r="C142" s="281"/>
      <c r="D142" s="281"/>
      <c r="E142" s="224"/>
      <c r="F142" s="192"/>
      <c r="G142" s="193"/>
      <c r="H142" s="223"/>
      <c r="I142" s="281"/>
      <c r="J142" s="225"/>
      <c r="K142" s="225"/>
      <c r="L142" s="226"/>
      <c r="M142" s="226"/>
      <c r="N142" s="181">
        <f t="shared" si="2"/>
        <v>0</v>
      </c>
      <c r="O142" s="227"/>
      <c r="P142" s="227"/>
      <c r="Q142" s="223"/>
      <c r="R142" s="781"/>
      <c r="S142" s="781"/>
    </row>
    <row r="143" spans="1:19" ht="15.75" x14ac:dyDescent="0.25">
      <c r="A143" s="223"/>
      <c r="B143" s="281"/>
      <c r="C143" s="281"/>
      <c r="D143" s="281"/>
      <c r="E143" s="224"/>
      <c r="F143" s="192"/>
      <c r="G143" s="193"/>
      <c r="H143" s="223"/>
      <c r="I143" s="281"/>
      <c r="J143" s="225"/>
      <c r="K143" s="225"/>
      <c r="L143" s="226"/>
      <c r="M143" s="226"/>
      <c r="N143" s="181">
        <f t="shared" si="2"/>
        <v>0</v>
      </c>
      <c r="O143" s="227"/>
      <c r="P143" s="227"/>
      <c r="Q143" s="223"/>
      <c r="R143" s="781"/>
      <c r="S143" s="781"/>
    </row>
    <row r="144" spans="1:19" ht="15.75" x14ac:dyDescent="0.25">
      <c r="A144" s="223"/>
      <c r="B144" s="281"/>
      <c r="C144" s="281"/>
      <c r="D144" s="281"/>
      <c r="E144" s="224"/>
      <c r="F144" s="192"/>
      <c r="G144" s="193"/>
      <c r="H144" s="223"/>
      <c r="I144" s="281"/>
      <c r="J144" s="225"/>
      <c r="K144" s="225"/>
      <c r="L144" s="226"/>
      <c r="M144" s="226"/>
      <c r="N144" s="181">
        <f t="shared" si="2"/>
        <v>0</v>
      </c>
      <c r="O144" s="227"/>
      <c r="P144" s="227"/>
      <c r="Q144" s="223"/>
      <c r="R144" s="781"/>
      <c r="S144" s="781"/>
    </row>
    <row r="145" spans="1:19" ht="15.75" x14ac:dyDescent="0.25">
      <c r="A145" s="223"/>
      <c r="B145" s="281"/>
      <c r="C145" s="281"/>
      <c r="D145" s="281"/>
      <c r="E145" s="224"/>
      <c r="F145" s="192"/>
      <c r="G145" s="193"/>
      <c r="H145" s="223"/>
      <c r="I145" s="281"/>
      <c r="J145" s="225"/>
      <c r="K145" s="225"/>
      <c r="L145" s="226"/>
      <c r="M145" s="226"/>
      <c r="N145" s="181">
        <f t="shared" si="2"/>
        <v>0</v>
      </c>
      <c r="O145" s="227"/>
      <c r="P145" s="227"/>
      <c r="Q145" s="223"/>
      <c r="R145" s="781"/>
      <c r="S145" s="781"/>
    </row>
    <row r="146" spans="1:19" ht="15.75" x14ac:dyDescent="0.25">
      <c r="A146" s="223"/>
      <c r="B146" s="281"/>
      <c r="C146" s="281"/>
      <c r="D146" s="281"/>
      <c r="E146" s="224"/>
      <c r="F146" s="192"/>
      <c r="G146" s="193"/>
      <c r="H146" s="223"/>
      <c r="I146" s="281"/>
      <c r="J146" s="225"/>
      <c r="K146" s="225"/>
      <c r="L146" s="226"/>
      <c r="M146" s="226"/>
      <c r="N146" s="181">
        <f t="shared" si="2"/>
        <v>0</v>
      </c>
      <c r="O146" s="227"/>
      <c r="P146" s="227"/>
      <c r="Q146" s="223"/>
      <c r="R146" s="781"/>
      <c r="S146" s="781"/>
    </row>
    <row r="147" spans="1:19" ht="15.75" x14ac:dyDescent="0.25">
      <c r="A147" s="223"/>
      <c r="B147" s="281"/>
      <c r="C147" s="281"/>
      <c r="D147" s="281"/>
      <c r="E147" s="224"/>
      <c r="F147" s="192"/>
      <c r="G147" s="193"/>
      <c r="H147" s="223"/>
      <c r="I147" s="281"/>
      <c r="J147" s="225"/>
      <c r="K147" s="225"/>
      <c r="L147" s="226"/>
      <c r="M147" s="226"/>
      <c r="N147" s="181">
        <f t="shared" si="2"/>
        <v>0</v>
      </c>
      <c r="O147" s="227"/>
      <c r="P147" s="227"/>
      <c r="Q147" s="223"/>
      <c r="R147" s="781"/>
      <c r="S147" s="781"/>
    </row>
    <row r="148" spans="1:19" ht="15.75" x14ac:dyDescent="0.25">
      <c r="A148" s="223"/>
      <c r="B148" s="281"/>
      <c r="C148" s="281"/>
      <c r="D148" s="281"/>
      <c r="E148" s="224"/>
      <c r="F148" s="192"/>
      <c r="G148" s="193"/>
      <c r="H148" s="223"/>
      <c r="I148" s="281"/>
      <c r="J148" s="225"/>
      <c r="K148" s="225"/>
      <c r="L148" s="226"/>
      <c r="M148" s="226"/>
      <c r="N148" s="181">
        <f t="shared" si="2"/>
        <v>0</v>
      </c>
      <c r="O148" s="227"/>
      <c r="P148" s="227"/>
      <c r="Q148" s="223"/>
      <c r="R148" s="781"/>
      <c r="S148" s="781"/>
    </row>
    <row r="149" spans="1:19" ht="15.75" x14ac:dyDescent="0.25">
      <c r="A149" s="223"/>
      <c r="B149" s="281"/>
      <c r="C149" s="281"/>
      <c r="D149" s="281"/>
      <c r="E149" s="224"/>
      <c r="F149" s="192"/>
      <c r="G149" s="193"/>
      <c r="H149" s="223"/>
      <c r="I149" s="281"/>
      <c r="J149" s="225"/>
      <c r="K149" s="225"/>
      <c r="L149" s="226"/>
      <c r="M149" s="226"/>
      <c r="N149" s="181">
        <f t="shared" si="2"/>
        <v>0</v>
      </c>
      <c r="O149" s="227"/>
      <c r="P149" s="227"/>
      <c r="Q149" s="223"/>
      <c r="R149" s="781"/>
      <c r="S149" s="781"/>
    </row>
    <row r="150" spans="1:19" ht="15.75" x14ac:dyDescent="0.25">
      <c r="A150" s="223"/>
      <c r="B150" s="281"/>
      <c r="C150" s="281"/>
      <c r="D150" s="281"/>
      <c r="E150" s="224"/>
      <c r="F150" s="192"/>
      <c r="G150" s="193"/>
      <c r="H150" s="223"/>
      <c r="I150" s="281"/>
      <c r="J150" s="225"/>
      <c r="K150" s="225"/>
      <c r="L150" s="226"/>
      <c r="M150" s="226"/>
      <c r="N150" s="181">
        <f t="shared" si="2"/>
        <v>0</v>
      </c>
      <c r="O150" s="227"/>
      <c r="P150" s="227"/>
      <c r="Q150" s="223"/>
      <c r="R150" s="781"/>
      <c r="S150" s="781"/>
    </row>
    <row r="151" spans="1:19" ht="15.75" x14ac:dyDescent="0.25">
      <c r="A151" s="223"/>
      <c r="B151" s="281"/>
      <c r="C151" s="281"/>
      <c r="D151" s="281"/>
      <c r="E151" s="224"/>
      <c r="F151" s="192"/>
      <c r="G151" s="193"/>
      <c r="H151" s="223"/>
      <c r="I151" s="281"/>
      <c r="J151" s="225"/>
      <c r="K151" s="225"/>
      <c r="L151" s="226"/>
      <c r="M151" s="226"/>
      <c r="N151" s="181">
        <f t="shared" si="2"/>
        <v>0</v>
      </c>
      <c r="O151" s="227"/>
      <c r="P151" s="227"/>
      <c r="Q151" s="223"/>
      <c r="R151" s="781"/>
      <c r="S151" s="781"/>
    </row>
    <row r="152" spans="1:19" ht="15.75" x14ac:dyDescent="0.25">
      <c r="A152" s="223"/>
      <c r="B152" s="281"/>
      <c r="C152" s="281"/>
      <c r="D152" s="281"/>
      <c r="E152" s="224"/>
      <c r="F152" s="192"/>
      <c r="G152" s="193"/>
      <c r="H152" s="223"/>
      <c r="I152" s="281"/>
      <c r="J152" s="225"/>
      <c r="K152" s="225"/>
      <c r="L152" s="226"/>
      <c r="M152" s="226"/>
      <c r="N152" s="181">
        <f t="shared" si="2"/>
        <v>0</v>
      </c>
      <c r="O152" s="227"/>
      <c r="P152" s="227"/>
      <c r="Q152" s="223"/>
      <c r="R152" s="781"/>
      <c r="S152" s="781"/>
    </row>
    <row r="153" spans="1:19" ht="15.75" x14ac:dyDescent="0.25">
      <c r="A153" s="223"/>
      <c r="B153" s="281"/>
      <c r="C153" s="281"/>
      <c r="D153" s="281"/>
      <c r="E153" s="224"/>
      <c r="F153" s="192"/>
      <c r="G153" s="193"/>
      <c r="H153" s="223"/>
      <c r="I153" s="281"/>
      <c r="J153" s="225"/>
      <c r="K153" s="225"/>
      <c r="L153" s="226"/>
      <c r="M153" s="226"/>
      <c r="N153" s="181">
        <f t="shared" si="2"/>
        <v>0</v>
      </c>
      <c r="O153" s="227"/>
      <c r="P153" s="227"/>
      <c r="Q153" s="223"/>
      <c r="R153" s="781"/>
      <c r="S153" s="781"/>
    </row>
    <row r="154" spans="1:19" ht="15.75" x14ac:dyDescent="0.25">
      <c r="A154" s="223"/>
      <c r="B154" s="281"/>
      <c r="C154" s="281"/>
      <c r="D154" s="281"/>
      <c r="E154" s="224"/>
      <c r="F154" s="192"/>
      <c r="G154" s="193"/>
      <c r="H154" s="223"/>
      <c r="I154" s="281"/>
      <c r="J154" s="225"/>
      <c r="K154" s="225"/>
      <c r="L154" s="226"/>
      <c r="M154" s="226"/>
      <c r="N154" s="181">
        <f t="shared" si="2"/>
        <v>0</v>
      </c>
      <c r="O154" s="227"/>
      <c r="P154" s="227"/>
      <c r="Q154" s="223"/>
      <c r="R154" s="781"/>
      <c r="S154" s="781"/>
    </row>
    <row r="155" spans="1:19" ht="15.75" x14ac:dyDescent="0.25">
      <c r="A155" s="223"/>
      <c r="B155" s="281"/>
      <c r="C155" s="281"/>
      <c r="D155" s="281"/>
      <c r="E155" s="224"/>
      <c r="F155" s="192"/>
      <c r="G155" s="193"/>
      <c r="H155" s="223"/>
      <c r="I155" s="281"/>
      <c r="J155" s="225"/>
      <c r="K155" s="225"/>
      <c r="L155" s="226"/>
      <c r="M155" s="226"/>
      <c r="N155" s="181">
        <f t="shared" si="2"/>
        <v>0</v>
      </c>
      <c r="O155" s="227"/>
      <c r="P155" s="227"/>
      <c r="Q155" s="223"/>
      <c r="R155" s="781"/>
      <c r="S155" s="781"/>
    </row>
    <row r="156" spans="1:19" ht="15.75" x14ac:dyDescent="0.25">
      <c r="A156" s="223"/>
      <c r="B156" s="281"/>
      <c r="C156" s="281"/>
      <c r="D156" s="281"/>
      <c r="E156" s="224"/>
      <c r="F156" s="192"/>
      <c r="G156" s="193"/>
      <c r="H156" s="223"/>
      <c r="I156" s="281"/>
      <c r="J156" s="225"/>
      <c r="K156" s="225"/>
      <c r="L156" s="226"/>
      <c r="M156" s="226"/>
      <c r="N156" s="181">
        <f t="shared" si="2"/>
        <v>0</v>
      </c>
      <c r="O156" s="227"/>
      <c r="P156" s="227"/>
      <c r="Q156" s="223"/>
      <c r="R156" s="781"/>
      <c r="S156" s="781"/>
    </row>
    <row r="157" spans="1:19" ht="15.75" x14ac:dyDescent="0.25">
      <c r="A157" s="223"/>
      <c r="B157" s="281"/>
      <c r="C157" s="281"/>
      <c r="D157" s="281"/>
      <c r="E157" s="224"/>
      <c r="F157" s="192"/>
      <c r="G157" s="193"/>
      <c r="H157" s="223"/>
      <c r="I157" s="281"/>
      <c r="J157" s="225"/>
      <c r="K157" s="225"/>
      <c r="L157" s="226"/>
      <c r="M157" s="226"/>
      <c r="N157" s="181">
        <f t="shared" si="2"/>
        <v>0</v>
      </c>
      <c r="O157" s="227"/>
      <c r="P157" s="227"/>
      <c r="Q157" s="223"/>
      <c r="R157" s="781"/>
      <c r="S157" s="781"/>
    </row>
    <row r="158" spans="1:19" ht="15.75" x14ac:dyDescent="0.25">
      <c r="A158" s="223"/>
      <c r="B158" s="281"/>
      <c r="C158" s="281"/>
      <c r="D158" s="281"/>
      <c r="E158" s="224"/>
      <c r="F158" s="192"/>
      <c r="G158" s="193"/>
      <c r="H158" s="223"/>
      <c r="I158" s="281"/>
      <c r="J158" s="225"/>
      <c r="K158" s="225"/>
      <c r="L158" s="226"/>
      <c r="M158" s="226"/>
      <c r="N158" s="181">
        <f t="shared" si="2"/>
        <v>0</v>
      </c>
      <c r="O158" s="227"/>
      <c r="P158" s="227"/>
      <c r="Q158" s="223"/>
      <c r="R158" s="781"/>
      <c r="S158" s="781"/>
    </row>
    <row r="159" spans="1:19" ht="15.75" x14ac:dyDescent="0.25">
      <c r="A159" s="223"/>
      <c r="B159" s="281"/>
      <c r="C159" s="281"/>
      <c r="D159" s="281"/>
      <c r="E159" s="224"/>
      <c r="F159" s="192"/>
      <c r="G159" s="193"/>
      <c r="H159" s="223"/>
      <c r="I159" s="281"/>
      <c r="J159" s="225"/>
      <c r="K159" s="225"/>
      <c r="L159" s="226"/>
      <c r="M159" s="226"/>
      <c r="N159" s="181">
        <f t="shared" si="2"/>
        <v>0</v>
      </c>
      <c r="O159" s="227"/>
      <c r="P159" s="227"/>
      <c r="Q159" s="223"/>
      <c r="R159" s="781"/>
      <c r="S159" s="781"/>
    </row>
    <row r="160" spans="1:19" ht="15.75" x14ac:dyDescent="0.25">
      <c r="A160" s="223"/>
      <c r="B160" s="281"/>
      <c r="C160" s="281"/>
      <c r="D160" s="281"/>
      <c r="E160" s="224"/>
      <c r="F160" s="192"/>
      <c r="G160" s="193"/>
      <c r="H160" s="223"/>
      <c r="I160" s="281"/>
      <c r="J160" s="225"/>
      <c r="K160" s="225"/>
      <c r="L160" s="226"/>
      <c r="M160" s="226"/>
      <c r="N160" s="181">
        <f t="shared" si="2"/>
        <v>0</v>
      </c>
      <c r="O160" s="227"/>
      <c r="P160" s="227"/>
      <c r="Q160" s="223"/>
      <c r="R160" s="781"/>
      <c r="S160" s="781"/>
    </row>
    <row r="161" spans="1:19" ht="15.75" x14ac:dyDescent="0.25">
      <c r="A161" s="223"/>
      <c r="B161" s="281"/>
      <c r="C161" s="281"/>
      <c r="D161" s="281"/>
      <c r="E161" s="224"/>
      <c r="F161" s="192"/>
      <c r="G161" s="193"/>
      <c r="H161" s="223"/>
      <c r="I161" s="281"/>
      <c r="J161" s="225"/>
      <c r="K161" s="225"/>
      <c r="L161" s="226"/>
      <c r="M161" s="226"/>
      <c r="N161" s="181">
        <f t="shared" si="2"/>
        <v>0</v>
      </c>
      <c r="O161" s="227"/>
      <c r="P161" s="227"/>
      <c r="Q161" s="223"/>
      <c r="R161" s="781"/>
      <c r="S161" s="781"/>
    </row>
    <row r="162" spans="1:19" ht="15.75" x14ac:dyDescent="0.25">
      <c r="A162" s="223"/>
      <c r="B162" s="281"/>
      <c r="C162" s="281"/>
      <c r="D162" s="281"/>
      <c r="E162" s="224"/>
      <c r="F162" s="192"/>
      <c r="G162" s="193"/>
      <c r="H162" s="223"/>
      <c r="I162" s="281"/>
      <c r="J162" s="225"/>
      <c r="K162" s="225"/>
      <c r="L162" s="226"/>
      <c r="M162" s="226"/>
      <c r="N162" s="181">
        <f t="shared" si="2"/>
        <v>0</v>
      </c>
      <c r="O162" s="227"/>
      <c r="P162" s="227"/>
      <c r="Q162" s="223"/>
      <c r="R162" s="781"/>
      <c r="S162" s="781"/>
    </row>
    <row r="163" spans="1:19" ht="15.75" x14ac:dyDescent="0.25">
      <c r="A163" s="223"/>
      <c r="B163" s="281"/>
      <c r="C163" s="281"/>
      <c r="D163" s="281"/>
      <c r="E163" s="224"/>
      <c r="F163" s="192"/>
      <c r="G163" s="193"/>
      <c r="H163" s="223"/>
      <c r="I163" s="281"/>
      <c r="J163" s="225"/>
      <c r="K163" s="225"/>
      <c r="L163" s="226"/>
      <c r="M163" s="226"/>
      <c r="N163" s="181">
        <f t="shared" si="2"/>
        <v>0</v>
      </c>
      <c r="O163" s="227"/>
      <c r="P163" s="227"/>
      <c r="Q163" s="223"/>
      <c r="R163" s="781"/>
      <c r="S163" s="781"/>
    </row>
    <row r="164" spans="1:19" ht="15.75" x14ac:dyDescent="0.25">
      <c r="A164" s="223"/>
      <c r="B164" s="281"/>
      <c r="C164" s="281"/>
      <c r="D164" s="281"/>
      <c r="E164" s="224"/>
      <c r="F164" s="192"/>
      <c r="G164" s="193"/>
      <c r="H164" s="223"/>
      <c r="I164" s="281"/>
      <c r="J164" s="225"/>
      <c r="K164" s="225"/>
      <c r="L164" s="226"/>
      <c r="M164" s="226"/>
      <c r="N164" s="181">
        <f t="shared" si="2"/>
        <v>0</v>
      </c>
      <c r="O164" s="227"/>
      <c r="P164" s="227"/>
      <c r="Q164" s="223"/>
      <c r="R164" s="781"/>
      <c r="S164" s="781"/>
    </row>
    <row r="165" spans="1:19" ht="15.75" x14ac:dyDescent="0.25">
      <c r="A165" s="223"/>
      <c r="B165" s="281"/>
      <c r="C165" s="281"/>
      <c r="D165" s="281"/>
      <c r="E165" s="224"/>
      <c r="F165" s="192"/>
      <c r="G165" s="193"/>
      <c r="H165" s="223"/>
      <c r="I165" s="281"/>
      <c r="J165" s="225"/>
      <c r="K165" s="225"/>
      <c r="L165" s="226"/>
      <c r="M165" s="226"/>
      <c r="N165" s="181">
        <f t="shared" si="2"/>
        <v>0</v>
      </c>
      <c r="O165" s="227"/>
      <c r="P165" s="227"/>
      <c r="Q165" s="223"/>
      <c r="R165" s="781"/>
      <c r="S165" s="781"/>
    </row>
    <row r="166" spans="1:19" ht="15.75" x14ac:dyDescent="0.25">
      <c r="A166" s="223"/>
      <c r="B166" s="281"/>
      <c r="C166" s="281"/>
      <c r="D166" s="281"/>
      <c r="E166" s="224"/>
      <c r="F166" s="192"/>
      <c r="G166" s="193"/>
      <c r="H166" s="223"/>
      <c r="I166" s="281"/>
      <c r="J166" s="225"/>
      <c r="K166" s="225"/>
      <c r="L166" s="226"/>
      <c r="M166" s="226"/>
      <c r="N166" s="181">
        <f t="shared" si="2"/>
        <v>0</v>
      </c>
      <c r="O166" s="227"/>
      <c r="P166" s="227"/>
      <c r="Q166" s="223"/>
      <c r="R166" s="781"/>
      <c r="S166" s="781"/>
    </row>
    <row r="167" spans="1:19" ht="15.75" x14ac:dyDescent="0.25">
      <c r="A167" s="223"/>
      <c r="B167" s="281"/>
      <c r="C167" s="281"/>
      <c r="D167" s="281"/>
      <c r="E167" s="224"/>
      <c r="F167" s="192"/>
      <c r="G167" s="193"/>
      <c r="H167" s="223"/>
      <c r="I167" s="281"/>
      <c r="J167" s="225"/>
      <c r="K167" s="225"/>
      <c r="L167" s="226"/>
      <c r="M167" s="226"/>
      <c r="N167" s="181">
        <f t="shared" si="2"/>
        <v>0</v>
      </c>
      <c r="O167" s="227"/>
      <c r="P167" s="227"/>
      <c r="Q167" s="223"/>
      <c r="R167" s="781"/>
      <c r="S167" s="781"/>
    </row>
    <row r="168" spans="1:19" ht="15.75" x14ac:dyDescent="0.25">
      <c r="A168" s="223"/>
      <c r="B168" s="281"/>
      <c r="C168" s="281"/>
      <c r="D168" s="281"/>
      <c r="E168" s="224"/>
      <c r="F168" s="192"/>
      <c r="G168" s="193"/>
      <c r="H168" s="223"/>
      <c r="I168" s="281"/>
      <c r="J168" s="225"/>
      <c r="K168" s="225"/>
      <c r="L168" s="226"/>
      <c r="M168" s="226"/>
      <c r="N168" s="181">
        <f t="shared" si="2"/>
        <v>0</v>
      </c>
      <c r="O168" s="227"/>
      <c r="P168" s="227"/>
      <c r="Q168" s="223"/>
      <c r="R168" s="781"/>
      <c r="S168" s="781"/>
    </row>
    <row r="169" spans="1:19" ht="15.75" x14ac:dyDescent="0.25">
      <c r="A169" s="223"/>
      <c r="B169" s="281"/>
      <c r="C169" s="281"/>
      <c r="D169" s="281"/>
      <c r="E169" s="224"/>
      <c r="F169" s="192"/>
      <c r="G169" s="193"/>
      <c r="H169" s="223"/>
      <c r="I169" s="281"/>
      <c r="J169" s="225"/>
      <c r="K169" s="225"/>
      <c r="L169" s="226"/>
      <c r="M169" s="226"/>
      <c r="N169" s="181">
        <f t="shared" si="2"/>
        <v>0</v>
      </c>
      <c r="O169" s="227"/>
      <c r="P169" s="227"/>
      <c r="Q169" s="223"/>
      <c r="R169" s="781"/>
      <c r="S169" s="781"/>
    </row>
    <row r="170" spans="1:19" ht="15.75" x14ac:dyDescent="0.25">
      <c r="A170" s="223"/>
      <c r="B170" s="281"/>
      <c r="C170" s="281"/>
      <c r="D170" s="281"/>
      <c r="E170" s="224"/>
      <c r="F170" s="192"/>
      <c r="G170" s="193"/>
      <c r="H170" s="223"/>
      <c r="I170" s="281"/>
      <c r="J170" s="225"/>
      <c r="K170" s="225"/>
      <c r="L170" s="226"/>
      <c r="M170" s="226"/>
      <c r="N170" s="181">
        <f t="shared" si="2"/>
        <v>0</v>
      </c>
      <c r="O170" s="227"/>
      <c r="P170" s="227"/>
      <c r="Q170" s="223"/>
      <c r="R170" s="781"/>
      <c r="S170" s="781"/>
    </row>
    <row r="171" spans="1:19" ht="15.75" x14ac:dyDescent="0.25">
      <c r="A171" s="223"/>
      <c r="B171" s="281"/>
      <c r="C171" s="281"/>
      <c r="D171" s="281"/>
      <c r="E171" s="224"/>
      <c r="F171" s="192"/>
      <c r="G171" s="193"/>
      <c r="H171" s="223"/>
      <c r="I171" s="281"/>
      <c r="J171" s="225"/>
      <c r="K171" s="225"/>
      <c r="L171" s="226"/>
      <c r="M171" s="226"/>
      <c r="N171" s="181">
        <f t="shared" si="2"/>
        <v>0</v>
      </c>
      <c r="O171" s="227"/>
      <c r="P171" s="227"/>
      <c r="Q171" s="223"/>
      <c r="R171" s="781"/>
      <c r="S171" s="781"/>
    </row>
    <row r="172" spans="1:19" ht="15.75" x14ac:dyDescent="0.25">
      <c r="A172" s="223"/>
      <c r="B172" s="281"/>
      <c r="C172" s="281"/>
      <c r="D172" s="281"/>
      <c r="E172" s="224"/>
      <c r="F172" s="192"/>
      <c r="G172" s="193"/>
      <c r="H172" s="223"/>
      <c r="I172" s="281"/>
      <c r="J172" s="225"/>
      <c r="K172" s="225"/>
      <c r="L172" s="226"/>
      <c r="M172" s="226"/>
      <c r="N172" s="181">
        <f t="shared" si="2"/>
        <v>0</v>
      </c>
      <c r="O172" s="227"/>
      <c r="P172" s="227"/>
      <c r="Q172" s="223"/>
      <c r="R172" s="781"/>
      <c r="S172" s="781"/>
    </row>
    <row r="173" spans="1:19" ht="15.75" x14ac:dyDescent="0.25">
      <c r="A173" s="223"/>
      <c r="B173" s="281"/>
      <c r="C173" s="281"/>
      <c r="D173" s="281"/>
      <c r="E173" s="224"/>
      <c r="F173" s="192"/>
      <c r="G173" s="193"/>
      <c r="H173" s="223"/>
      <c r="I173" s="281"/>
      <c r="J173" s="225"/>
      <c r="K173" s="225"/>
      <c r="L173" s="226"/>
      <c r="M173" s="226"/>
      <c r="N173" s="181">
        <f t="shared" si="2"/>
        <v>0</v>
      </c>
      <c r="O173" s="227"/>
      <c r="P173" s="227"/>
      <c r="Q173" s="223"/>
      <c r="R173" s="781"/>
      <c r="S173" s="781"/>
    </row>
    <row r="174" spans="1:19" ht="15.75" x14ac:dyDescent="0.25">
      <c r="A174" s="223"/>
      <c r="B174" s="281"/>
      <c r="C174" s="281"/>
      <c r="D174" s="281"/>
      <c r="E174" s="224"/>
      <c r="F174" s="192"/>
      <c r="G174" s="193"/>
      <c r="H174" s="223"/>
      <c r="I174" s="281"/>
      <c r="J174" s="225"/>
      <c r="K174" s="225"/>
      <c r="L174" s="226"/>
      <c r="M174" s="226"/>
      <c r="N174" s="181">
        <f t="shared" si="2"/>
        <v>0</v>
      </c>
      <c r="O174" s="227"/>
      <c r="P174" s="227"/>
      <c r="Q174" s="223"/>
      <c r="R174" s="781"/>
      <c r="S174" s="781"/>
    </row>
    <row r="175" spans="1:19" ht="15.75" x14ac:dyDescent="0.25">
      <c r="A175" s="223"/>
      <c r="B175" s="281"/>
      <c r="C175" s="281"/>
      <c r="D175" s="281"/>
      <c r="E175" s="224"/>
      <c r="F175" s="192"/>
      <c r="G175" s="193"/>
      <c r="H175" s="223"/>
      <c r="I175" s="281"/>
      <c r="J175" s="225"/>
      <c r="K175" s="225"/>
      <c r="L175" s="226"/>
      <c r="M175" s="226"/>
      <c r="N175" s="181">
        <f t="shared" si="2"/>
        <v>0</v>
      </c>
      <c r="O175" s="227"/>
      <c r="P175" s="227"/>
      <c r="Q175" s="223"/>
      <c r="R175" s="781"/>
      <c r="S175" s="781"/>
    </row>
    <row r="176" spans="1:19" ht="15.75" x14ac:dyDescent="0.25">
      <c r="A176" s="223"/>
      <c r="B176" s="281"/>
      <c r="C176" s="281"/>
      <c r="D176" s="281"/>
      <c r="E176" s="224"/>
      <c r="F176" s="192"/>
      <c r="G176" s="193"/>
      <c r="H176" s="223"/>
      <c r="I176" s="281"/>
      <c r="J176" s="225"/>
      <c r="K176" s="225"/>
      <c r="L176" s="226"/>
      <c r="M176" s="226"/>
      <c r="N176" s="181">
        <f t="shared" si="2"/>
        <v>0</v>
      </c>
      <c r="O176" s="227"/>
      <c r="P176" s="227"/>
      <c r="Q176" s="223"/>
      <c r="R176" s="781"/>
      <c r="S176" s="781"/>
    </row>
    <row r="177" spans="1:19" ht="15.75" x14ac:dyDescent="0.25">
      <c r="A177" s="223"/>
      <c r="B177" s="281"/>
      <c r="C177" s="281"/>
      <c r="D177" s="281"/>
      <c r="E177" s="224"/>
      <c r="F177" s="192"/>
      <c r="G177" s="193"/>
      <c r="H177" s="223"/>
      <c r="I177" s="281"/>
      <c r="J177" s="225"/>
      <c r="K177" s="225"/>
      <c r="L177" s="226"/>
      <c r="M177" s="226"/>
      <c r="N177" s="181">
        <f t="shared" si="2"/>
        <v>0</v>
      </c>
      <c r="O177" s="227"/>
      <c r="P177" s="227"/>
      <c r="Q177" s="223"/>
      <c r="R177" s="781"/>
      <c r="S177" s="781"/>
    </row>
    <row r="178" spans="1:19" ht="15.75" x14ac:dyDescent="0.25">
      <c r="A178" s="223"/>
      <c r="B178" s="281"/>
      <c r="C178" s="281"/>
      <c r="D178" s="281"/>
      <c r="E178" s="224"/>
      <c r="F178" s="192"/>
      <c r="G178" s="193"/>
      <c r="H178" s="223"/>
      <c r="I178" s="281"/>
      <c r="J178" s="225"/>
      <c r="K178" s="225"/>
      <c r="L178" s="226"/>
      <c r="M178" s="226"/>
      <c r="N178" s="181">
        <f t="shared" si="2"/>
        <v>0</v>
      </c>
      <c r="O178" s="227"/>
      <c r="P178" s="227"/>
      <c r="Q178" s="223"/>
      <c r="R178" s="781"/>
      <c r="S178" s="781"/>
    </row>
    <row r="179" spans="1:19" ht="15.75" x14ac:dyDescent="0.25">
      <c r="A179" s="223"/>
      <c r="B179" s="281"/>
      <c r="C179" s="281"/>
      <c r="D179" s="281"/>
      <c r="E179" s="224"/>
      <c r="F179" s="192"/>
      <c r="G179" s="193"/>
      <c r="H179" s="223"/>
      <c r="I179" s="281"/>
      <c r="J179" s="225"/>
      <c r="K179" s="225"/>
      <c r="L179" s="226"/>
      <c r="M179" s="226"/>
      <c r="N179" s="181">
        <f t="shared" si="2"/>
        <v>0</v>
      </c>
      <c r="O179" s="227"/>
      <c r="P179" s="227"/>
      <c r="Q179" s="223"/>
      <c r="R179" s="781"/>
      <c r="S179" s="781"/>
    </row>
    <row r="180" spans="1:19" ht="15.75" x14ac:dyDescent="0.25">
      <c r="A180" s="223"/>
      <c r="B180" s="281"/>
      <c r="C180" s="281"/>
      <c r="D180" s="281"/>
      <c r="E180" s="224"/>
      <c r="F180" s="192"/>
      <c r="G180" s="193"/>
      <c r="H180" s="223"/>
      <c r="I180" s="281"/>
      <c r="J180" s="225"/>
      <c r="K180" s="225"/>
      <c r="L180" s="226"/>
      <c r="M180" s="226"/>
      <c r="N180" s="181">
        <f t="shared" si="2"/>
        <v>0</v>
      </c>
      <c r="O180" s="227"/>
      <c r="P180" s="227"/>
      <c r="Q180" s="223"/>
      <c r="R180" s="781"/>
      <c r="S180" s="781"/>
    </row>
    <row r="181" spans="1:19" ht="15.75" x14ac:dyDescent="0.25">
      <c r="A181" s="223"/>
      <c r="B181" s="281"/>
      <c r="C181" s="281"/>
      <c r="D181" s="281"/>
      <c r="E181" s="224"/>
      <c r="F181" s="192"/>
      <c r="G181" s="193"/>
      <c r="H181" s="223"/>
      <c r="I181" s="281"/>
      <c r="J181" s="225"/>
      <c r="K181" s="225"/>
      <c r="L181" s="226"/>
      <c r="M181" s="226"/>
      <c r="N181" s="181">
        <f t="shared" si="2"/>
        <v>0</v>
      </c>
      <c r="O181" s="227"/>
      <c r="P181" s="227"/>
      <c r="Q181" s="223"/>
      <c r="R181" s="781"/>
      <c r="S181" s="781"/>
    </row>
    <row r="182" spans="1:19" ht="15.75" x14ac:dyDescent="0.25">
      <c r="A182" s="223"/>
      <c r="B182" s="281"/>
      <c r="C182" s="281"/>
      <c r="D182" s="281"/>
      <c r="E182" s="224"/>
      <c r="F182" s="192"/>
      <c r="G182" s="193"/>
      <c r="H182" s="223"/>
      <c r="I182" s="281"/>
      <c r="J182" s="225"/>
      <c r="K182" s="225"/>
      <c r="L182" s="226"/>
      <c r="M182" s="226"/>
      <c r="N182" s="181">
        <f t="shared" si="2"/>
        <v>0</v>
      </c>
      <c r="O182" s="227"/>
      <c r="P182" s="227"/>
      <c r="Q182" s="223"/>
      <c r="R182" s="781"/>
      <c r="S182" s="781"/>
    </row>
    <row r="183" spans="1:19" ht="15.75" x14ac:dyDescent="0.25">
      <c r="A183" s="223"/>
      <c r="B183" s="281"/>
      <c r="C183" s="281"/>
      <c r="D183" s="281"/>
      <c r="E183" s="224"/>
      <c r="F183" s="192"/>
      <c r="G183" s="193"/>
      <c r="H183" s="223"/>
      <c r="I183" s="281"/>
      <c r="J183" s="225"/>
      <c r="K183" s="225"/>
      <c r="L183" s="226"/>
      <c r="M183" s="226"/>
      <c r="N183" s="181">
        <f t="shared" si="2"/>
        <v>0</v>
      </c>
      <c r="O183" s="227"/>
      <c r="P183" s="227"/>
      <c r="Q183" s="223"/>
      <c r="R183" s="781"/>
      <c r="S183" s="781"/>
    </row>
    <row r="184" spans="1:19" ht="15.75" x14ac:dyDescent="0.25">
      <c r="A184" s="223"/>
      <c r="B184" s="281"/>
      <c r="C184" s="281"/>
      <c r="D184" s="281"/>
      <c r="E184" s="224"/>
      <c r="F184" s="192"/>
      <c r="G184" s="193"/>
      <c r="H184" s="223"/>
      <c r="I184" s="281"/>
      <c r="J184" s="225"/>
      <c r="K184" s="225"/>
      <c r="L184" s="226"/>
      <c r="M184" s="226"/>
      <c r="N184" s="181">
        <f t="shared" si="2"/>
        <v>0</v>
      </c>
      <c r="O184" s="227"/>
      <c r="P184" s="227"/>
      <c r="Q184" s="223"/>
      <c r="R184" s="781"/>
      <c r="S184" s="781"/>
    </row>
    <row r="185" spans="1:19" ht="15.75" x14ac:dyDescent="0.25">
      <c r="A185" s="223"/>
      <c r="B185" s="281"/>
      <c r="C185" s="281"/>
      <c r="D185" s="281"/>
      <c r="E185" s="224"/>
      <c r="F185" s="192"/>
      <c r="G185" s="193"/>
      <c r="H185" s="223"/>
      <c r="I185" s="281"/>
      <c r="J185" s="225"/>
      <c r="K185" s="225"/>
      <c r="L185" s="226"/>
      <c r="M185" s="226"/>
      <c r="N185" s="181">
        <f t="shared" si="2"/>
        <v>0</v>
      </c>
      <c r="O185" s="227"/>
      <c r="P185" s="227"/>
      <c r="Q185" s="223"/>
      <c r="R185" s="781"/>
      <c r="S185" s="781"/>
    </row>
    <row r="186" spans="1:19" ht="15.75" x14ac:dyDescent="0.25">
      <c r="A186" s="223"/>
      <c r="B186" s="281"/>
      <c r="C186" s="281"/>
      <c r="D186" s="281"/>
      <c r="E186" s="224"/>
      <c r="F186" s="192"/>
      <c r="G186" s="193"/>
      <c r="H186" s="223"/>
      <c r="I186" s="281"/>
      <c r="J186" s="225"/>
      <c r="K186" s="225"/>
      <c r="L186" s="226"/>
      <c r="M186" s="226"/>
      <c r="N186" s="181">
        <f t="shared" si="2"/>
        <v>0</v>
      </c>
      <c r="O186" s="227"/>
      <c r="P186" s="227"/>
      <c r="Q186" s="223"/>
      <c r="R186" s="781"/>
      <c r="S186" s="781"/>
    </row>
    <row r="187" spans="1:19" ht="15.75" x14ac:dyDescent="0.25">
      <c r="A187" s="223"/>
      <c r="B187" s="281"/>
      <c r="C187" s="281"/>
      <c r="D187" s="281"/>
      <c r="E187" s="224"/>
      <c r="F187" s="192"/>
      <c r="G187" s="193"/>
      <c r="H187" s="223"/>
      <c r="I187" s="281"/>
      <c r="J187" s="225"/>
      <c r="K187" s="225"/>
      <c r="L187" s="226"/>
      <c r="M187" s="226"/>
      <c r="N187" s="181">
        <f t="shared" si="2"/>
        <v>0</v>
      </c>
      <c r="O187" s="227"/>
      <c r="P187" s="227"/>
      <c r="Q187" s="223"/>
      <c r="R187" s="781"/>
      <c r="S187" s="781"/>
    </row>
    <row r="188" spans="1:19" ht="15.75" x14ac:dyDescent="0.25">
      <c r="A188" s="223"/>
      <c r="B188" s="281"/>
      <c r="C188" s="281"/>
      <c r="D188" s="281"/>
      <c r="E188" s="224"/>
      <c r="F188" s="192"/>
      <c r="G188" s="193"/>
      <c r="H188" s="223"/>
      <c r="I188" s="281"/>
      <c r="J188" s="225"/>
      <c r="K188" s="225"/>
      <c r="L188" s="226"/>
      <c r="M188" s="226"/>
      <c r="N188" s="181">
        <f t="shared" si="2"/>
        <v>0</v>
      </c>
      <c r="O188" s="227"/>
      <c r="P188" s="227"/>
      <c r="Q188" s="223"/>
      <c r="R188" s="781"/>
      <c r="S188" s="781"/>
    </row>
    <row r="189" spans="1:19" ht="15.75" x14ac:dyDescent="0.25">
      <c r="A189" s="223"/>
      <c r="B189" s="281"/>
      <c r="C189" s="281"/>
      <c r="D189" s="281"/>
      <c r="E189" s="224"/>
      <c r="F189" s="192"/>
      <c r="G189" s="193"/>
      <c r="H189" s="223"/>
      <c r="I189" s="281"/>
      <c r="J189" s="225"/>
      <c r="K189" s="225"/>
      <c r="L189" s="226"/>
      <c r="M189" s="226"/>
      <c r="N189" s="181">
        <f t="shared" si="2"/>
        <v>0</v>
      </c>
      <c r="O189" s="227"/>
      <c r="P189" s="227"/>
      <c r="Q189" s="223"/>
      <c r="R189" s="781"/>
      <c r="S189" s="781"/>
    </row>
    <row r="190" spans="1:19" ht="15.75" x14ac:dyDescent="0.25">
      <c r="A190" s="223"/>
      <c r="B190" s="281"/>
      <c r="C190" s="281"/>
      <c r="D190" s="281"/>
      <c r="E190" s="224"/>
      <c r="F190" s="192"/>
      <c r="G190" s="193"/>
      <c r="H190" s="223"/>
      <c r="I190" s="281"/>
      <c r="J190" s="225"/>
      <c r="K190" s="225"/>
      <c r="L190" s="226"/>
      <c r="M190" s="226"/>
      <c r="N190" s="181">
        <f t="shared" si="2"/>
        <v>0</v>
      </c>
      <c r="O190" s="227"/>
      <c r="P190" s="227"/>
      <c r="Q190" s="223"/>
      <c r="R190" s="781"/>
      <c r="S190" s="781"/>
    </row>
    <row r="191" spans="1:19" ht="15.75" x14ac:dyDescent="0.25">
      <c r="A191" s="223"/>
      <c r="B191" s="281"/>
      <c r="C191" s="281"/>
      <c r="D191" s="281"/>
      <c r="E191" s="224"/>
      <c r="F191" s="192"/>
      <c r="G191" s="193"/>
      <c r="H191" s="223"/>
      <c r="I191" s="281"/>
      <c r="J191" s="225"/>
      <c r="K191" s="225"/>
      <c r="L191" s="226"/>
      <c r="M191" s="226"/>
      <c r="N191" s="181">
        <f t="shared" si="2"/>
        <v>0</v>
      </c>
      <c r="O191" s="227"/>
      <c r="P191" s="227"/>
      <c r="Q191" s="223"/>
      <c r="R191" s="781"/>
      <c r="S191" s="781"/>
    </row>
    <row r="192" spans="1:19" ht="15.75" x14ac:dyDescent="0.25">
      <c r="A192" s="223"/>
      <c r="B192" s="281"/>
      <c r="C192" s="281"/>
      <c r="D192" s="281"/>
      <c r="E192" s="224"/>
      <c r="F192" s="192"/>
      <c r="G192" s="193"/>
      <c r="H192" s="223"/>
      <c r="I192" s="281"/>
      <c r="J192" s="225"/>
      <c r="K192" s="225"/>
      <c r="L192" s="226"/>
      <c r="M192" s="226"/>
      <c r="N192" s="181">
        <f t="shared" si="2"/>
        <v>0</v>
      </c>
      <c r="O192" s="227"/>
      <c r="P192" s="227"/>
      <c r="Q192" s="223"/>
      <c r="R192" s="781"/>
      <c r="S192" s="781"/>
    </row>
    <row r="193" spans="1:19" ht="15.75" x14ac:dyDescent="0.25">
      <c r="A193" s="223"/>
      <c r="B193" s="281"/>
      <c r="C193" s="281"/>
      <c r="D193" s="281"/>
      <c r="E193" s="224"/>
      <c r="F193" s="192"/>
      <c r="G193" s="193"/>
      <c r="H193" s="223"/>
      <c r="I193" s="281"/>
      <c r="J193" s="225"/>
      <c r="K193" s="225"/>
      <c r="L193" s="226"/>
      <c r="M193" s="226"/>
      <c r="N193" s="181">
        <f t="shared" si="2"/>
        <v>0</v>
      </c>
      <c r="O193" s="227"/>
      <c r="P193" s="227"/>
      <c r="Q193" s="223"/>
      <c r="R193" s="781"/>
      <c r="S193" s="781"/>
    </row>
    <row r="194" spans="1:19" ht="15.75" x14ac:dyDescent="0.25">
      <c r="A194" s="223"/>
      <c r="B194" s="281"/>
      <c r="C194" s="281"/>
      <c r="D194" s="281"/>
      <c r="E194" s="224"/>
      <c r="F194" s="192"/>
      <c r="G194" s="193"/>
      <c r="H194" s="223"/>
      <c r="I194" s="281"/>
      <c r="J194" s="225"/>
      <c r="K194" s="225"/>
      <c r="L194" s="226"/>
      <c r="M194" s="226"/>
      <c r="N194" s="181">
        <f t="shared" si="2"/>
        <v>0</v>
      </c>
      <c r="O194" s="227"/>
      <c r="P194" s="227"/>
      <c r="Q194" s="223"/>
      <c r="R194" s="781"/>
      <c r="S194" s="781"/>
    </row>
    <row r="195" spans="1:19" ht="15.75" x14ac:dyDescent="0.25">
      <c r="A195" s="223"/>
      <c r="B195" s="281"/>
      <c r="C195" s="281"/>
      <c r="D195" s="281"/>
      <c r="E195" s="224"/>
      <c r="F195" s="192"/>
      <c r="G195" s="193"/>
      <c r="H195" s="223"/>
      <c r="I195" s="281"/>
      <c r="J195" s="225"/>
      <c r="K195" s="225"/>
      <c r="L195" s="226"/>
      <c r="M195" s="226"/>
      <c r="N195" s="181">
        <f t="shared" si="2"/>
        <v>0</v>
      </c>
      <c r="O195" s="227"/>
      <c r="P195" s="227"/>
      <c r="Q195" s="223"/>
      <c r="R195" s="781"/>
      <c r="S195" s="781"/>
    </row>
    <row r="196" spans="1:19" ht="15.75" x14ac:dyDescent="0.25">
      <c r="A196" s="223"/>
      <c r="B196" s="281"/>
      <c r="C196" s="281"/>
      <c r="D196" s="281"/>
      <c r="E196" s="224"/>
      <c r="F196" s="192"/>
      <c r="G196" s="193"/>
      <c r="H196" s="223"/>
      <c r="I196" s="281"/>
      <c r="J196" s="225"/>
      <c r="K196" s="225"/>
      <c r="L196" s="226"/>
      <c r="M196" s="226"/>
      <c r="N196" s="181">
        <f t="shared" si="2"/>
        <v>0</v>
      </c>
      <c r="O196" s="227"/>
      <c r="P196" s="227"/>
      <c r="Q196" s="223"/>
      <c r="R196" s="781"/>
      <c r="S196" s="781"/>
    </row>
    <row r="197" spans="1:19" ht="15.75" x14ac:dyDescent="0.25">
      <c r="A197" s="223"/>
      <c r="B197" s="281"/>
      <c r="C197" s="281"/>
      <c r="D197" s="281"/>
      <c r="E197" s="224"/>
      <c r="F197" s="192"/>
      <c r="G197" s="193"/>
      <c r="H197" s="223"/>
      <c r="I197" s="281"/>
      <c r="J197" s="225"/>
      <c r="K197" s="225"/>
      <c r="L197" s="226"/>
      <c r="M197" s="226"/>
      <c r="N197" s="181">
        <f t="shared" si="2"/>
        <v>0</v>
      </c>
      <c r="O197" s="227"/>
      <c r="P197" s="227"/>
      <c r="Q197" s="223"/>
      <c r="R197" s="781"/>
      <c r="S197" s="781"/>
    </row>
    <row r="198" spans="1:19" ht="15.75" x14ac:dyDescent="0.25">
      <c r="A198" s="223"/>
      <c r="B198" s="281"/>
      <c r="C198" s="281"/>
      <c r="D198" s="281"/>
      <c r="E198" s="224"/>
      <c r="F198" s="192"/>
      <c r="G198" s="193"/>
      <c r="H198" s="223"/>
      <c r="I198" s="281"/>
      <c r="J198" s="225"/>
      <c r="K198" s="225"/>
      <c r="L198" s="226"/>
      <c r="M198" s="226"/>
      <c r="N198" s="181">
        <f t="shared" ref="N198:N242" si="3">M198+L198</f>
        <v>0</v>
      </c>
      <c r="O198" s="227"/>
      <c r="P198" s="227"/>
      <c r="Q198" s="223"/>
      <c r="R198" s="781"/>
      <c r="S198" s="781"/>
    </row>
    <row r="199" spans="1:19" ht="15.75" x14ac:dyDescent="0.25">
      <c r="A199" s="223"/>
      <c r="B199" s="281"/>
      <c r="C199" s="281"/>
      <c r="D199" s="281"/>
      <c r="E199" s="224"/>
      <c r="F199" s="192"/>
      <c r="G199" s="193"/>
      <c r="H199" s="223"/>
      <c r="I199" s="281"/>
      <c r="J199" s="225"/>
      <c r="K199" s="225"/>
      <c r="L199" s="226"/>
      <c r="M199" s="226"/>
      <c r="N199" s="181">
        <f t="shared" si="3"/>
        <v>0</v>
      </c>
      <c r="O199" s="227"/>
      <c r="P199" s="227"/>
      <c r="Q199" s="223"/>
      <c r="R199" s="781"/>
      <c r="S199" s="781"/>
    </row>
    <row r="200" spans="1:19" ht="15.75" x14ac:dyDescent="0.25">
      <c r="A200" s="223"/>
      <c r="B200" s="281"/>
      <c r="C200" s="281"/>
      <c r="D200" s="281"/>
      <c r="E200" s="224"/>
      <c r="F200" s="192"/>
      <c r="G200" s="193"/>
      <c r="H200" s="223"/>
      <c r="I200" s="281"/>
      <c r="J200" s="225"/>
      <c r="K200" s="225"/>
      <c r="L200" s="226"/>
      <c r="M200" s="226"/>
      <c r="N200" s="181">
        <f t="shared" si="3"/>
        <v>0</v>
      </c>
      <c r="O200" s="227"/>
      <c r="P200" s="227"/>
      <c r="Q200" s="223"/>
      <c r="R200" s="781"/>
      <c r="S200" s="781"/>
    </row>
    <row r="201" spans="1:19" ht="15.75" x14ac:dyDescent="0.25">
      <c r="A201" s="223"/>
      <c r="B201" s="281"/>
      <c r="C201" s="281"/>
      <c r="D201" s="281"/>
      <c r="E201" s="224"/>
      <c r="F201" s="192"/>
      <c r="G201" s="193"/>
      <c r="H201" s="223"/>
      <c r="I201" s="281"/>
      <c r="J201" s="225"/>
      <c r="K201" s="225"/>
      <c r="L201" s="226"/>
      <c r="M201" s="226"/>
      <c r="N201" s="181">
        <f t="shared" si="3"/>
        <v>0</v>
      </c>
      <c r="O201" s="227"/>
      <c r="P201" s="227"/>
      <c r="Q201" s="223"/>
      <c r="R201" s="781"/>
      <c r="S201" s="781"/>
    </row>
    <row r="202" spans="1:19" ht="15.75" x14ac:dyDescent="0.25">
      <c r="A202" s="223"/>
      <c r="B202" s="281"/>
      <c r="C202" s="281"/>
      <c r="D202" s="281"/>
      <c r="E202" s="224"/>
      <c r="F202" s="192"/>
      <c r="G202" s="193"/>
      <c r="H202" s="223"/>
      <c r="I202" s="281"/>
      <c r="J202" s="225"/>
      <c r="K202" s="225"/>
      <c r="L202" s="226"/>
      <c r="M202" s="226"/>
      <c r="N202" s="181">
        <f t="shared" si="3"/>
        <v>0</v>
      </c>
      <c r="O202" s="227"/>
      <c r="P202" s="227"/>
      <c r="Q202" s="223"/>
      <c r="R202" s="781"/>
      <c r="S202" s="781"/>
    </row>
    <row r="203" spans="1:19" ht="15.75" x14ac:dyDescent="0.25">
      <c r="A203" s="223"/>
      <c r="B203" s="281"/>
      <c r="C203" s="281"/>
      <c r="D203" s="281"/>
      <c r="E203" s="224"/>
      <c r="F203" s="192"/>
      <c r="G203" s="193"/>
      <c r="H203" s="223"/>
      <c r="I203" s="281"/>
      <c r="J203" s="225"/>
      <c r="K203" s="225"/>
      <c r="L203" s="226"/>
      <c r="M203" s="226"/>
      <c r="N203" s="181">
        <f t="shared" si="3"/>
        <v>0</v>
      </c>
      <c r="O203" s="227"/>
      <c r="P203" s="227"/>
      <c r="Q203" s="223"/>
      <c r="R203" s="781"/>
      <c r="S203" s="781"/>
    </row>
    <row r="204" spans="1:19" ht="15.75" x14ac:dyDescent="0.25">
      <c r="A204" s="223"/>
      <c r="B204" s="281"/>
      <c r="C204" s="281"/>
      <c r="D204" s="281"/>
      <c r="E204" s="224"/>
      <c r="F204" s="192"/>
      <c r="G204" s="193"/>
      <c r="H204" s="223"/>
      <c r="I204" s="281"/>
      <c r="J204" s="225"/>
      <c r="K204" s="225"/>
      <c r="L204" s="226"/>
      <c r="M204" s="226"/>
      <c r="N204" s="181">
        <f t="shared" si="3"/>
        <v>0</v>
      </c>
      <c r="O204" s="227"/>
      <c r="P204" s="227"/>
      <c r="Q204" s="223"/>
      <c r="R204" s="781"/>
      <c r="S204" s="781"/>
    </row>
    <row r="205" spans="1:19" ht="15.75" x14ac:dyDescent="0.25">
      <c r="A205" s="223"/>
      <c r="B205" s="281"/>
      <c r="C205" s="281"/>
      <c r="D205" s="281"/>
      <c r="E205" s="224"/>
      <c r="F205" s="192"/>
      <c r="G205" s="193"/>
      <c r="H205" s="223"/>
      <c r="I205" s="281"/>
      <c r="J205" s="225"/>
      <c r="K205" s="225"/>
      <c r="L205" s="226"/>
      <c r="M205" s="226"/>
      <c r="N205" s="181">
        <f t="shared" si="3"/>
        <v>0</v>
      </c>
      <c r="O205" s="227"/>
      <c r="P205" s="227"/>
      <c r="Q205" s="223"/>
      <c r="R205" s="781"/>
      <c r="S205" s="781"/>
    </row>
    <row r="206" spans="1:19" ht="15.75" x14ac:dyDescent="0.25">
      <c r="A206" s="223"/>
      <c r="B206" s="281"/>
      <c r="C206" s="281"/>
      <c r="D206" s="281"/>
      <c r="E206" s="224"/>
      <c r="F206" s="192"/>
      <c r="G206" s="193"/>
      <c r="H206" s="223"/>
      <c r="I206" s="281"/>
      <c r="J206" s="225"/>
      <c r="K206" s="225"/>
      <c r="L206" s="226"/>
      <c r="M206" s="226"/>
      <c r="N206" s="181">
        <f t="shared" si="3"/>
        <v>0</v>
      </c>
      <c r="O206" s="227"/>
      <c r="P206" s="227"/>
      <c r="Q206" s="223"/>
      <c r="R206" s="781"/>
      <c r="S206" s="781"/>
    </row>
    <row r="207" spans="1:19" ht="15.75" x14ac:dyDescent="0.25">
      <c r="A207" s="223"/>
      <c r="B207" s="281"/>
      <c r="C207" s="281"/>
      <c r="D207" s="281"/>
      <c r="E207" s="224"/>
      <c r="F207" s="192"/>
      <c r="G207" s="193"/>
      <c r="H207" s="223"/>
      <c r="I207" s="281"/>
      <c r="J207" s="225"/>
      <c r="K207" s="225"/>
      <c r="L207" s="226"/>
      <c r="M207" s="226"/>
      <c r="N207" s="181">
        <f t="shared" si="3"/>
        <v>0</v>
      </c>
      <c r="O207" s="227"/>
      <c r="P207" s="227"/>
      <c r="Q207" s="223"/>
      <c r="R207" s="781"/>
      <c r="S207" s="781"/>
    </row>
    <row r="208" spans="1:19" ht="15.75" x14ac:dyDescent="0.25">
      <c r="A208" s="223"/>
      <c r="B208" s="281"/>
      <c r="C208" s="281"/>
      <c r="D208" s="281"/>
      <c r="E208" s="224"/>
      <c r="F208" s="192"/>
      <c r="G208" s="193"/>
      <c r="H208" s="223"/>
      <c r="I208" s="281"/>
      <c r="J208" s="225"/>
      <c r="K208" s="225"/>
      <c r="L208" s="226"/>
      <c r="M208" s="226"/>
      <c r="N208" s="181">
        <f t="shared" si="3"/>
        <v>0</v>
      </c>
      <c r="O208" s="227"/>
      <c r="P208" s="227"/>
      <c r="Q208" s="223"/>
      <c r="R208" s="781"/>
      <c r="S208" s="781"/>
    </row>
    <row r="209" spans="1:19" ht="15.75" x14ac:dyDescent="0.25">
      <c r="A209" s="223"/>
      <c r="B209" s="281"/>
      <c r="C209" s="281"/>
      <c r="D209" s="281"/>
      <c r="E209" s="224"/>
      <c r="F209" s="192"/>
      <c r="G209" s="193"/>
      <c r="H209" s="223"/>
      <c r="I209" s="281"/>
      <c r="J209" s="225"/>
      <c r="K209" s="225"/>
      <c r="L209" s="226"/>
      <c r="M209" s="226"/>
      <c r="N209" s="181">
        <f t="shared" si="3"/>
        <v>0</v>
      </c>
      <c r="O209" s="227"/>
      <c r="P209" s="227"/>
      <c r="Q209" s="223"/>
      <c r="R209" s="781"/>
      <c r="S209" s="781"/>
    </row>
    <row r="210" spans="1:19" ht="15.75" x14ac:dyDescent="0.25">
      <c r="A210" s="223"/>
      <c r="B210" s="281"/>
      <c r="C210" s="281"/>
      <c r="D210" s="281"/>
      <c r="E210" s="224"/>
      <c r="F210" s="192"/>
      <c r="G210" s="193"/>
      <c r="H210" s="223"/>
      <c r="I210" s="281"/>
      <c r="J210" s="225"/>
      <c r="K210" s="225"/>
      <c r="L210" s="226"/>
      <c r="M210" s="226"/>
      <c r="N210" s="181">
        <f t="shared" si="3"/>
        <v>0</v>
      </c>
      <c r="O210" s="227"/>
      <c r="P210" s="227"/>
      <c r="Q210" s="223"/>
      <c r="R210" s="781"/>
      <c r="S210" s="781"/>
    </row>
    <row r="211" spans="1:19" ht="15.75" x14ac:dyDescent="0.25">
      <c r="A211" s="223"/>
      <c r="B211" s="281"/>
      <c r="C211" s="281"/>
      <c r="D211" s="281"/>
      <c r="E211" s="224"/>
      <c r="F211" s="192"/>
      <c r="G211" s="193"/>
      <c r="H211" s="223"/>
      <c r="I211" s="281"/>
      <c r="J211" s="225"/>
      <c r="K211" s="225"/>
      <c r="L211" s="226"/>
      <c r="M211" s="226"/>
      <c r="N211" s="181">
        <f t="shared" si="3"/>
        <v>0</v>
      </c>
      <c r="O211" s="227"/>
      <c r="P211" s="227"/>
      <c r="Q211" s="223"/>
      <c r="R211" s="781"/>
      <c r="S211" s="781"/>
    </row>
    <row r="212" spans="1:19" ht="15.75" x14ac:dyDescent="0.25">
      <c r="A212" s="223"/>
      <c r="B212" s="281"/>
      <c r="C212" s="281"/>
      <c r="D212" s="281"/>
      <c r="E212" s="224"/>
      <c r="F212" s="192"/>
      <c r="G212" s="193"/>
      <c r="H212" s="223"/>
      <c r="I212" s="281"/>
      <c r="J212" s="225"/>
      <c r="K212" s="225"/>
      <c r="L212" s="226"/>
      <c r="M212" s="226"/>
      <c r="N212" s="181">
        <f t="shared" si="3"/>
        <v>0</v>
      </c>
      <c r="O212" s="227"/>
      <c r="P212" s="227"/>
      <c r="Q212" s="223"/>
      <c r="R212" s="781"/>
      <c r="S212" s="781"/>
    </row>
    <row r="213" spans="1:19" ht="15.75" x14ac:dyDescent="0.25">
      <c r="A213" s="223"/>
      <c r="B213" s="281"/>
      <c r="C213" s="281"/>
      <c r="D213" s="281"/>
      <c r="E213" s="224"/>
      <c r="F213" s="192"/>
      <c r="G213" s="193"/>
      <c r="H213" s="223"/>
      <c r="I213" s="281"/>
      <c r="J213" s="225"/>
      <c r="K213" s="225"/>
      <c r="L213" s="226"/>
      <c r="M213" s="226"/>
      <c r="N213" s="181">
        <f t="shared" si="3"/>
        <v>0</v>
      </c>
      <c r="O213" s="227"/>
      <c r="P213" s="227"/>
      <c r="Q213" s="223"/>
      <c r="R213" s="781"/>
      <c r="S213" s="781"/>
    </row>
    <row r="214" spans="1:19" ht="15.75" x14ac:dyDescent="0.25">
      <c r="A214" s="223"/>
      <c r="B214" s="281"/>
      <c r="C214" s="281"/>
      <c r="D214" s="281"/>
      <c r="E214" s="224"/>
      <c r="F214" s="192"/>
      <c r="G214" s="193"/>
      <c r="H214" s="223"/>
      <c r="I214" s="281"/>
      <c r="J214" s="225"/>
      <c r="K214" s="225"/>
      <c r="L214" s="226"/>
      <c r="M214" s="226"/>
      <c r="N214" s="181">
        <f t="shared" si="3"/>
        <v>0</v>
      </c>
      <c r="O214" s="227"/>
      <c r="P214" s="227"/>
      <c r="Q214" s="223"/>
      <c r="R214" s="781"/>
      <c r="S214" s="781"/>
    </row>
    <row r="215" spans="1:19" ht="15.75" x14ac:dyDescent="0.25">
      <c r="A215" s="223"/>
      <c r="B215" s="281"/>
      <c r="C215" s="281"/>
      <c r="D215" s="281"/>
      <c r="E215" s="224"/>
      <c r="F215" s="192"/>
      <c r="G215" s="193"/>
      <c r="H215" s="223"/>
      <c r="I215" s="281"/>
      <c r="J215" s="225"/>
      <c r="K215" s="225"/>
      <c r="L215" s="226"/>
      <c r="M215" s="226"/>
      <c r="N215" s="181">
        <f t="shared" si="3"/>
        <v>0</v>
      </c>
      <c r="O215" s="227"/>
      <c r="P215" s="227"/>
      <c r="Q215" s="223"/>
      <c r="R215" s="781"/>
      <c r="S215" s="781"/>
    </row>
    <row r="216" spans="1:19" ht="15.75" x14ac:dyDescent="0.25">
      <c r="A216" s="223"/>
      <c r="B216" s="281"/>
      <c r="C216" s="281"/>
      <c r="D216" s="281"/>
      <c r="E216" s="224"/>
      <c r="F216" s="192"/>
      <c r="G216" s="193"/>
      <c r="H216" s="223"/>
      <c r="I216" s="281"/>
      <c r="J216" s="225"/>
      <c r="K216" s="225"/>
      <c r="L216" s="226"/>
      <c r="M216" s="226"/>
      <c r="N216" s="181">
        <f t="shared" si="3"/>
        <v>0</v>
      </c>
      <c r="O216" s="227"/>
      <c r="P216" s="227"/>
      <c r="Q216" s="223"/>
      <c r="R216" s="781"/>
      <c r="S216" s="781"/>
    </row>
    <row r="217" spans="1:19" ht="15.75" x14ac:dyDescent="0.25">
      <c r="A217" s="223"/>
      <c r="B217" s="281"/>
      <c r="C217" s="281"/>
      <c r="D217" s="281"/>
      <c r="E217" s="224"/>
      <c r="F217" s="192"/>
      <c r="G217" s="193"/>
      <c r="H217" s="223"/>
      <c r="I217" s="281"/>
      <c r="J217" s="225"/>
      <c r="K217" s="225"/>
      <c r="L217" s="226"/>
      <c r="M217" s="226"/>
      <c r="N217" s="181">
        <f t="shared" si="3"/>
        <v>0</v>
      </c>
      <c r="O217" s="227"/>
      <c r="P217" s="227"/>
      <c r="Q217" s="223"/>
      <c r="R217" s="781"/>
      <c r="S217" s="781"/>
    </row>
    <row r="218" spans="1:19" ht="15.75" x14ac:dyDescent="0.25">
      <c r="A218" s="223"/>
      <c r="B218" s="281"/>
      <c r="C218" s="281"/>
      <c r="D218" s="281"/>
      <c r="E218" s="224"/>
      <c r="F218" s="192"/>
      <c r="G218" s="193"/>
      <c r="H218" s="223"/>
      <c r="I218" s="281"/>
      <c r="J218" s="225"/>
      <c r="K218" s="225"/>
      <c r="L218" s="226"/>
      <c r="M218" s="226"/>
      <c r="N218" s="181">
        <f t="shared" si="3"/>
        <v>0</v>
      </c>
      <c r="O218" s="227"/>
      <c r="P218" s="227"/>
      <c r="Q218" s="223"/>
      <c r="R218" s="781"/>
      <c r="S218" s="781"/>
    </row>
    <row r="219" spans="1:19" ht="15.75" x14ac:dyDescent="0.25">
      <c r="A219" s="223"/>
      <c r="B219" s="281"/>
      <c r="C219" s="281"/>
      <c r="D219" s="281"/>
      <c r="E219" s="224"/>
      <c r="F219" s="192"/>
      <c r="G219" s="193"/>
      <c r="H219" s="223"/>
      <c r="I219" s="281"/>
      <c r="J219" s="225"/>
      <c r="K219" s="225"/>
      <c r="L219" s="226"/>
      <c r="M219" s="226"/>
      <c r="N219" s="181">
        <f t="shared" si="3"/>
        <v>0</v>
      </c>
      <c r="O219" s="227"/>
      <c r="P219" s="227"/>
      <c r="Q219" s="223"/>
      <c r="R219" s="781"/>
      <c r="S219" s="781"/>
    </row>
    <row r="220" spans="1:19" ht="15.75" x14ac:dyDescent="0.25">
      <c r="A220" s="223"/>
      <c r="B220" s="281"/>
      <c r="C220" s="281"/>
      <c r="D220" s="281"/>
      <c r="E220" s="224"/>
      <c r="F220" s="192"/>
      <c r="G220" s="193"/>
      <c r="H220" s="223"/>
      <c r="I220" s="281"/>
      <c r="J220" s="225"/>
      <c r="K220" s="225"/>
      <c r="L220" s="226"/>
      <c r="M220" s="226"/>
      <c r="N220" s="181">
        <f t="shared" si="3"/>
        <v>0</v>
      </c>
      <c r="O220" s="227"/>
      <c r="P220" s="227"/>
      <c r="Q220" s="223"/>
      <c r="R220" s="781"/>
      <c r="S220" s="781"/>
    </row>
    <row r="221" spans="1:19" ht="15.75" x14ac:dyDescent="0.25">
      <c r="A221" s="223"/>
      <c r="B221" s="281"/>
      <c r="C221" s="281"/>
      <c r="D221" s="281"/>
      <c r="E221" s="224"/>
      <c r="F221" s="192"/>
      <c r="G221" s="193"/>
      <c r="H221" s="223"/>
      <c r="I221" s="281"/>
      <c r="J221" s="225"/>
      <c r="K221" s="225"/>
      <c r="L221" s="226"/>
      <c r="M221" s="226"/>
      <c r="N221" s="181">
        <f t="shared" si="3"/>
        <v>0</v>
      </c>
      <c r="O221" s="227"/>
      <c r="P221" s="227"/>
      <c r="Q221" s="223"/>
      <c r="R221" s="781"/>
      <c r="S221" s="781"/>
    </row>
    <row r="222" spans="1:19" ht="15.75" x14ac:dyDescent="0.25">
      <c r="A222" s="223"/>
      <c r="B222" s="281"/>
      <c r="C222" s="281"/>
      <c r="D222" s="281"/>
      <c r="E222" s="224"/>
      <c r="F222" s="192"/>
      <c r="G222" s="193"/>
      <c r="H222" s="223"/>
      <c r="I222" s="281"/>
      <c r="J222" s="225"/>
      <c r="K222" s="225"/>
      <c r="L222" s="226"/>
      <c r="M222" s="226"/>
      <c r="N222" s="181">
        <f t="shared" si="3"/>
        <v>0</v>
      </c>
      <c r="O222" s="227"/>
      <c r="P222" s="227"/>
      <c r="Q222" s="223"/>
      <c r="R222" s="781"/>
      <c r="S222" s="781"/>
    </row>
    <row r="223" spans="1:19" ht="15.75" x14ac:dyDescent="0.25">
      <c r="A223" s="223"/>
      <c r="B223" s="281"/>
      <c r="C223" s="281"/>
      <c r="D223" s="281"/>
      <c r="E223" s="224"/>
      <c r="F223" s="192"/>
      <c r="G223" s="193"/>
      <c r="H223" s="223"/>
      <c r="I223" s="281"/>
      <c r="J223" s="225"/>
      <c r="K223" s="225"/>
      <c r="L223" s="226"/>
      <c r="M223" s="226"/>
      <c r="N223" s="181">
        <f t="shared" si="3"/>
        <v>0</v>
      </c>
      <c r="O223" s="227"/>
      <c r="P223" s="227"/>
      <c r="Q223" s="223"/>
      <c r="R223" s="781"/>
      <c r="S223" s="781"/>
    </row>
    <row r="224" spans="1:19" ht="15.75" x14ac:dyDescent="0.25">
      <c r="A224" s="223"/>
      <c r="B224" s="281"/>
      <c r="C224" s="281"/>
      <c r="D224" s="281"/>
      <c r="E224" s="224"/>
      <c r="F224" s="192"/>
      <c r="G224" s="193"/>
      <c r="H224" s="223"/>
      <c r="I224" s="281"/>
      <c r="J224" s="225"/>
      <c r="K224" s="225"/>
      <c r="L224" s="226"/>
      <c r="M224" s="226"/>
      <c r="N224" s="181">
        <f t="shared" si="3"/>
        <v>0</v>
      </c>
      <c r="O224" s="227"/>
      <c r="P224" s="227"/>
      <c r="Q224" s="223"/>
      <c r="R224" s="781"/>
      <c r="S224" s="781"/>
    </row>
    <row r="225" spans="1:19" ht="15.75" x14ac:dyDescent="0.25">
      <c r="A225" s="223"/>
      <c r="B225" s="281"/>
      <c r="C225" s="281"/>
      <c r="D225" s="281"/>
      <c r="E225" s="224"/>
      <c r="F225" s="192"/>
      <c r="G225" s="193"/>
      <c r="H225" s="223"/>
      <c r="I225" s="281"/>
      <c r="J225" s="225"/>
      <c r="K225" s="225"/>
      <c r="L225" s="226"/>
      <c r="M225" s="226"/>
      <c r="N225" s="181">
        <f t="shared" si="3"/>
        <v>0</v>
      </c>
      <c r="O225" s="227"/>
      <c r="P225" s="227"/>
      <c r="Q225" s="223"/>
      <c r="R225" s="781"/>
      <c r="S225" s="781"/>
    </row>
    <row r="226" spans="1:19" ht="15.75" x14ac:dyDescent="0.25">
      <c r="A226" s="223"/>
      <c r="B226" s="281"/>
      <c r="C226" s="281"/>
      <c r="D226" s="281"/>
      <c r="E226" s="224"/>
      <c r="F226" s="192"/>
      <c r="G226" s="193"/>
      <c r="H226" s="223"/>
      <c r="I226" s="281"/>
      <c r="J226" s="225"/>
      <c r="K226" s="225"/>
      <c r="L226" s="226"/>
      <c r="M226" s="226"/>
      <c r="N226" s="181">
        <f t="shared" si="3"/>
        <v>0</v>
      </c>
      <c r="O226" s="227"/>
      <c r="P226" s="227"/>
      <c r="Q226" s="223"/>
      <c r="R226" s="781"/>
      <c r="S226" s="781"/>
    </row>
    <row r="227" spans="1:19" ht="15.75" x14ac:dyDescent="0.25">
      <c r="A227" s="223"/>
      <c r="B227" s="281"/>
      <c r="C227" s="281"/>
      <c r="D227" s="281"/>
      <c r="E227" s="224"/>
      <c r="F227" s="192"/>
      <c r="G227" s="193"/>
      <c r="H227" s="223"/>
      <c r="I227" s="281"/>
      <c r="J227" s="225"/>
      <c r="K227" s="225"/>
      <c r="L227" s="226"/>
      <c r="M227" s="226"/>
      <c r="N227" s="181">
        <f t="shared" si="3"/>
        <v>0</v>
      </c>
      <c r="O227" s="227"/>
      <c r="P227" s="227"/>
      <c r="Q227" s="223"/>
      <c r="R227" s="781"/>
      <c r="S227" s="781"/>
    </row>
    <row r="228" spans="1:19" ht="15.75" x14ac:dyDescent="0.25">
      <c r="A228" s="223"/>
      <c r="B228" s="281"/>
      <c r="C228" s="281"/>
      <c r="D228" s="281"/>
      <c r="E228" s="224"/>
      <c r="F228" s="192"/>
      <c r="G228" s="193"/>
      <c r="H228" s="223"/>
      <c r="I228" s="281"/>
      <c r="J228" s="225"/>
      <c r="K228" s="225"/>
      <c r="L228" s="226"/>
      <c r="M228" s="226"/>
      <c r="N228" s="181">
        <f t="shared" si="3"/>
        <v>0</v>
      </c>
      <c r="O228" s="227"/>
      <c r="P228" s="227"/>
      <c r="Q228" s="223"/>
      <c r="R228" s="781"/>
      <c r="S228" s="781"/>
    </row>
    <row r="229" spans="1:19" ht="15.75" x14ac:dyDescent="0.25">
      <c r="A229" s="223"/>
      <c r="B229" s="281"/>
      <c r="C229" s="281"/>
      <c r="D229" s="281"/>
      <c r="E229" s="224"/>
      <c r="F229" s="192"/>
      <c r="G229" s="193"/>
      <c r="H229" s="223"/>
      <c r="I229" s="281"/>
      <c r="J229" s="225"/>
      <c r="K229" s="225"/>
      <c r="L229" s="226"/>
      <c r="M229" s="226"/>
      <c r="N229" s="181">
        <f t="shared" si="3"/>
        <v>0</v>
      </c>
      <c r="O229" s="227"/>
      <c r="P229" s="227"/>
      <c r="Q229" s="223"/>
      <c r="R229" s="781"/>
      <c r="S229" s="781"/>
    </row>
    <row r="230" spans="1:19" ht="15.75" x14ac:dyDescent="0.25">
      <c r="A230" s="223"/>
      <c r="B230" s="281"/>
      <c r="C230" s="281"/>
      <c r="D230" s="281"/>
      <c r="E230" s="224"/>
      <c r="F230" s="192"/>
      <c r="G230" s="193"/>
      <c r="H230" s="223"/>
      <c r="I230" s="281"/>
      <c r="J230" s="225"/>
      <c r="K230" s="225"/>
      <c r="L230" s="226"/>
      <c r="M230" s="226"/>
      <c r="N230" s="181">
        <f t="shared" si="3"/>
        <v>0</v>
      </c>
      <c r="O230" s="227"/>
      <c r="P230" s="227"/>
      <c r="Q230" s="223"/>
      <c r="R230" s="781"/>
      <c r="S230" s="781"/>
    </row>
    <row r="231" spans="1:19" ht="15.75" x14ac:dyDescent="0.25">
      <c r="A231" s="223"/>
      <c r="B231" s="281"/>
      <c r="C231" s="281"/>
      <c r="D231" s="281"/>
      <c r="E231" s="224"/>
      <c r="F231" s="192"/>
      <c r="G231" s="193"/>
      <c r="H231" s="223"/>
      <c r="I231" s="281"/>
      <c r="J231" s="225"/>
      <c r="K231" s="225"/>
      <c r="L231" s="226"/>
      <c r="M231" s="226"/>
      <c r="N231" s="181">
        <f t="shared" si="3"/>
        <v>0</v>
      </c>
      <c r="O231" s="227"/>
      <c r="P231" s="227"/>
      <c r="Q231" s="223"/>
      <c r="R231" s="781"/>
      <c r="S231" s="781"/>
    </row>
    <row r="232" spans="1:19" ht="15.75" x14ac:dyDescent="0.25">
      <c r="A232" s="223"/>
      <c r="B232" s="281"/>
      <c r="C232" s="281"/>
      <c r="D232" s="281"/>
      <c r="E232" s="224"/>
      <c r="F232" s="192"/>
      <c r="G232" s="193"/>
      <c r="H232" s="223"/>
      <c r="I232" s="281"/>
      <c r="J232" s="225"/>
      <c r="K232" s="225"/>
      <c r="L232" s="226"/>
      <c r="M232" s="226"/>
      <c r="N232" s="181">
        <f t="shared" si="3"/>
        <v>0</v>
      </c>
      <c r="O232" s="227"/>
      <c r="P232" s="227"/>
      <c r="Q232" s="223"/>
      <c r="R232" s="781"/>
      <c r="S232" s="781"/>
    </row>
    <row r="233" spans="1:19" ht="15.75" x14ac:dyDescent="0.25">
      <c r="A233" s="223"/>
      <c r="B233" s="281"/>
      <c r="C233" s="281"/>
      <c r="D233" s="281"/>
      <c r="E233" s="224"/>
      <c r="F233" s="192"/>
      <c r="G233" s="193"/>
      <c r="H233" s="223"/>
      <c r="I233" s="281"/>
      <c r="J233" s="225"/>
      <c r="K233" s="225"/>
      <c r="L233" s="226"/>
      <c r="M233" s="226"/>
      <c r="N233" s="181">
        <f t="shared" si="3"/>
        <v>0</v>
      </c>
      <c r="O233" s="227"/>
      <c r="P233" s="227"/>
      <c r="Q233" s="223"/>
      <c r="R233" s="781"/>
      <c r="S233" s="781"/>
    </row>
    <row r="234" spans="1:19" ht="15.75" x14ac:dyDescent="0.25">
      <c r="A234" s="223"/>
      <c r="B234" s="281"/>
      <c r="C234" s="281"/>
      <c r="D234" s="281"/>
      <c r="E234" s="224"/>
      <c r="F234" s="192"/>
      <c r="G234" s="193"/>
      <c r="H234" s="223"/>
      <c r="I234" s="281"/>
      <c r="J234" s="225"/>
      <c r="K234" s="225"/>
      <c r="L234" s="226"/>
      <c r="M234" s="226"/>
      <c r="N234" s="181">
        <f t="shared" si="3"/>
        <v>0</v>
      </c>
      <c r="O234" s="227"/>
      <c r="P234" s="227"/>
      <c r="Q234" s="223"/>
      <c r="R234" s="781"/>
      <c r="S234" s="781"/>
    </row>
    <row r="235" spans="1:19" ht="15.75" x14ac:dyDescent="0.25">
      <c r="A235" s="223"/>
      <c r="B235" s="281"/>
      <c r="C235" s="281"/>
      <c r="D235" s="281"/>
      <c r="E235" s="224"/>
      <c r="F235" s="192"/>
      <c r="G235" s="193"/>
      <c r="H235" s="223"/>
      <c r="I235" s="281"/>
      <c r="J235" s="225"/>
      <c r="K235" s="225"/>
      <c r="L235" s="226"/>
      <c r="M235" s="226"/>
      <c r="N235" s="181">
        <f t="shared" si="3"/>
        <v>0</v>
      </c>
      <c r="O235" s="227"/>
      <c r="P235" s="227"/>
      <c r="Q235" s="223"/>
      <c r="R235" s="781"/>
      <c r="S235" s="781"/>
    </row>
    <row r="236" spans="1:19" ht="15.75" x14ac:dyDescent="0.25">
      <c r="A236" s="223"/>
      <c r="B236" s="281"/>
      <c r="C236" s="281"/>
      <c r="D236" s="281"/>
      <c r="E236" s="224"/>
      <c r="F236" s="192"/>
      <c r="G236" s="193"/>
      <c r="H236" s="223"/>
      <c r="I236" s="281"/>
      <c r="J236" s="225"/>
      <c r="K236" s="225"/>
      <c r="L236" s="226"/>
      <c r="M236" s="226"/>
      <c r="N236" s="181">
        <f t="shared" si="3"/>
        <v>0</v>
      </c>
      <c r="O236" s="227"/>
      <c r="P236" s="227"/>
      <c r="Q236" s="223"/>
      <c r="R236" s="781"/>
      <c r="S236" s="781"/>
    </row>
    <row r="237" spans="1:19" ht="15.75" x14ac:dyDescent="0.25">
      <c r="A237" s="223"/>
      <c r="B237" s="281"/>
      <c r="C237" s="281"/>
      <c r="D237" s="281"/>
      <c r="E237" s="224"/>
      <c r="F237" s="192"/>
      <c r="G237" s="193"/>
      <c r="H237" s="223"/>
      <c r="I237" s="281"/>
      <c r="J237" s="225"/>
      <c r="K237" s="225"/>
      <c r="L237" s="226"/>
      <c r="M237" s="226"/>
      <c r="N237" s="181">
        <f t="shared" si="3"/>
        <v>0</v>
      </c>
      <c r="O237" s="227"/>
      <c r="P237" s="227"/>
      <c r="Q237" s="223"/>
      <c r="R237" s="781"/>
      <c r="S237" s="781"/>
    </row>
    <row r="238" spans="1:19" ht="15.75" x14ac:dyDescent="0.25">
      <c r="A238" s="223"/>
      <c r="B238" s="281"/>
      <c r="C238" s="281"/>
      <c r="D238" s="281"/>
      <c r="E238" s="224"/>
      <c r="F238" s="192"/>
      <c r="G238" s="193"/>
      <c r="H238" s="223"/>
      <c r="I238" s="281"/>
      <c r="J238" s="225"/>
      <c r="K238" s="225"/>
      <c r="L238" s="226"/>
      <c r="M238" s="226"/>
      <c r="N238" s="181">
        <f t="shared" si="3"/>
        <v>0</v>
      </c>
      <c r="O238" s="227"/>
      <c r="P238" s="227"/>
      <c r="Q238" s="223"/>
      <c r="R238" s="781"/>
      <c r="S238" s="781"/>
    </row>
    <row r="239" spans="1:19" ht="15.75" x14ac:dyDescent="0.25">
      <c r="A239" s="223"/>
      <c r="B239" s="281"/>
      <c r="C239" s="281"/>
      <c r="D239" s="281"/>
      <c r="E239" s="224"/>
      <c r="F239" s="192"/>
      <c r="G239" s="193"/>
      <c r="H239" s="223"/>
      <c r="I239" s="281"/>
      <c r="J239" s="225"/>
      <c r="K239" s="225"/>
      <c r="L239" s="226"/>
      <c r="M239" s="226"/>
      <c r="N239" s="181">
        <f t="shared" si="3"/>
        <v>0</v>
      </c>
      <c r="O239" s="227"/>
      <c r="P239" s="227"/>
      <c r="Q239" s="223"/>
      <c r="R239" s="781"/>
      <c r="S239" s="781"/>
    </row>
    <row r="240" spans="1:19" ht="15.75" x14ac:dyDescent="0.25">
      <c r="A240" s="223"/>
      <c r="B240" s="281"/>
      <c r="C240" s="281"/>
      <c r="D240" s="281"/>
      <c r="E240" s="224"/>
      <c r="F240" s="192"/>
      <c r="G240" s="193"/>
      <c r="H240" s="223"/>
      <c r="I240" s="281"/>
      <c r="J240" s="225"/>
      <c r="K240" s="225"/>
      <c r="L240" s="226"/>
      <c r="M240" s="226"/>
      <c r="N240" s="181">
        <f t="shared" si="3"/>
        <v>0</v>
      </c>
      <c r="O240" s="227"/>
      <c r="P240" s="227"/>
      <c r="Q240" s="223"/>
      <c r="R240" s="781"/>
      <c r="S240" s="781"/>
    </row>
    <row r="241" spans="1:19" ht="15.75" x14ac:dyDescent="0.25">
      <c r="A241" s="223"/>
      <c r="B241" s="281"/>
      <c r="C241" s="281"/>
      <c r="D241" s="281"/>
      <c r="E241" s="224"/>
      <c r="F241" s="192"/>
      <c r="G241" s="193"/>
      <c r="H241" s="223"/>
      <c r="I241" s="281"/>
      <c r="J241" s="225"/>
      <c r="K241" s="225"/>
      <c r="L241" s="226"/>
      <c r="M241" s="226"/>
      <c r="N241" s="181">
        <f t="shared" si="3"/>
        <v>0</v>
      </c>
      <c r="O241" s="227"/>
      <c r="P241" s="227"/>
      <c r="Q241" s="223"/>
      <c r="R241" s="781"/>
      <c r="S241" s="781"/>
    </row>
    <row r="242" spans="1:19" ht="15.75" x14ac:dyDescent="0.25">
      <c r="A242" s="223"/>
      <c r="B242" s="281"/>
      <c r="C242" s="281"/>
      <c r="D242" s="281"/>
      <c r="E242" s="224"/>
      <c r="F242" s="192"/>
      <c r="G242" s="193"/>
      <c r="H242" s="223"/>
      <c r="I242" s="281"/>
      <c r="J242" s="225"/>
      <c r="K242" s="225"/>
      <c r="L242" s="226"/>
      <c r="M242" s="226"/>
      <c r="N242" s="181">
        <f t="shared" si="3"/>
        <v>0</v>
      </c>
      <c r="O242" s="227"/>
      <c r="P242" s="227"/>
      <c r="Q242" s="223"/>
      <c r="R242" s="781"/>
      <c r="S242" s="781"/>
    </row>
    <row r="243" spans="1:19" x14ac:dyDescent="0.25">
      <c r="A243" s="223"/>
      <c r="B243" s="281"/>
      <c r="C243" s="281"/>
      <c r="D243" s="281"/>
      <c r="E243" s="224"/>
      <c r="F243" s="192"/>
      <c r="G243" s="193"/>
      <c r="H243" s="223"/>
      <c r="I243" s="281"/>
      <c r="J243" s="225"/>
      <c r="K243" s="225"/>
      <c r="L243" s="226"/>
      <c r="M243" s="226"/>
      <c r="N243" s="226"/>
      <c r="O243" s="227"/>
      <c r="P243" s="227"/>
      <c r="Q243" s="223"/>
      <c r="R243" s="781"/>
      <c r="S243" s="781"/>
    </row>
    <row r="244" spans="1:19" x14ac:dyDescent="0.25">
      <c r="A244" s="223"/>
      <c r="B244" s="281"/>
      <c r="C244" s="281"/>
      <c r="D244" s="281"/>
      <c r="E244" s="224"/>
      <c r="F244" s="192"/>
      <c r="G244" s="193"/>
      <c r="H244" s="223"/>
      <c r="I244" s="281"/>
      <c r="J244" s="225"/>
      <c r="K244" s="225"/>
      <c r="L244" s="226"/>
      <c r="M244" s="226"/>
      <c r="N244" s="226"/>
      <c r="O244" s="227"/>
      <c r="P244" s="227"/>
      <c r="Q244" s="223"/>
      <c r="R244" s="781"/>
      <c r="S244" s="781"/>
    </row>
    <row r="245" spans="1:19" x14ac:dyDescent="0.25">
      <c r="A245" s="223"/>
      <c r="B245" s="281"/>
      <c r="C245" s="281"/>
      <c r="D245" s="281"/>
      <c r="E245" s="224"/>
      <c r="F245" s="192"/>
      <c r="G245" s="193"/>
      <c r="H245" s="223"/>
      <c r="I245" s="281"/>
      <c r="J245" s="225"/>
      <c r="K245" s="225"/>
      <c r="L245" s="226"/>
      <c r="M245" s="226"/>
      <c r="N245" s="226"/>
      <c r="O245" s="227"/>
      <c r="P245" s="227"/>
      <c r="Q245" s="223"/>
      <c r="R245" s="781"/>
      <c r="S245" s="781"/>
    </row>
    <row r="246" spans="1:19" x14ac:dyDescent="0.25">
      <c r="A246" s="223"/>
      <c r="B246" s="281"/>
      <c r="C246" s="281"/>
      <c r="D246" s="281"/>
      <c r="E246" s="224"/>
      <c r="F246" s="192"/>
      <c r="G246" s="193"/>
      <c r="H246" s="223"/>
      <c r="I246" s="281"/>
      <c r="J246" s="225"/>
      <c r="K246" s="225"/>
      <c r="L246" s="226"/>
      <c r="M246" s="226"/>
      <c r="N246" s="226"/>
      <c r="O246" s="227"/>
      <c r="P246" s="227"/>
      <c r="Q246" s="223"/>
      <c r="R246" s="781"/>
      <c r="S246" s="781"/>
    </row>
    <row r="247" spans="1:19" x14ac:dyDescent="0.25">
      <c r="A247" s="223"/>
      <c r="B247" s="281"/>
      <c r="C247" s="281"/>
      <c r="D247" s="281"/>
      <c r="E247" s="224"/>
      <c r="F247" s="192"/>
      <c r="G247" s="193"/>
      <c r="H247" s="223"/>
      <c r="I247" s="281"/>
      <c r="J247" s="225"/>
      <c r="K247" s="225"/>
      <c r="L247" s="226"/>
      <c r="M247" s="226"/>
      <c r="N247" s="226"/>
      <c r="O247" s="227"/>
      <c r="P247" s="227"/>
      <c r="Q247" s="223"/>
      <c r="R247" s="781"/>
      <c r="S247" s="781"/>
    </row>
    <row r="248" spans="1:19" x14ac:dyDescent="0.25">
      <c r="A248" s="223"/>
      <c r="B248" s="281"/>
      <c r="C248" s="281"/>
      <c r="D248" s="281"/>
      <c r="E248" s="224"/>
      <c r="F248" s="192"/>
      <c r="G248" s="193"/>
      <c r="H248" s="223"/>
      <c r="I248" s="281"/>
      <c r="J248" s="225"/>
      <c r="K248" s="225"/>
      <c r="L248" s="226"/>
      <c r="M248" s="226"/>
      <c r="N248" s="226"/>
      <c r="O248" s="227"/>
      <c r="P248" s="227"/>
      <c r="Q248" s="223"/>
      <c r="R248" s="781"/>
      <c r="S248" s="781"/>
    </row>
    <row r="249" spans="1:19" x14ac:dyDescent="0.25">
      <c r="A249" s="223"/>
      <c r="B249" s="281"/>
      <c r="C249" s="281"/>
      <c r="D249" s="281"/>
      <c r="E249" s="224"/>
      <c r="F249" s="192"/>
      <c r="G249" s="193"/>
      <c r="H249" s="223"/>
      <c r="I249" s="281"/>
      <c r="J249" s="225"/>
      <c r="K249" s="225"/>
      <c r="L249" s="226"/>
      <c r="M249" s="226"/>
      <c r="N249" s="226"/>
      <c r="O249" s="227"/>
      <c r="P249" s="227"/>
      <c r="Q249" s="223"/>
      <c r="R249" s="781"/>
      <c r="S249" s="781"/>
    </row>
    <row r="250" spans="1:19" x14ac:dyDescent="0.25">
      <c r="A250" s="223"/>
      <c r="B250" s="281"/>
      <c r="C250" s="281"/>
      <c r="D250" s="281"/>
      <c r="E250" s="224"/>
      <c r="F250" s="192"/>
      <c r="G250" s="193"/>
      <c r="H250" s="223"/>
      <c r="I250" s="281"/>
      <c r="J250" s="225"/>
      <c r="K250" s="225"/>
      <c r="L250" s="226"/>
      <c r="M250" s="226"/>
      <c r="N250" s="226"/>
      <c r="O250" s="227"/>
      <c r="P250" s="227"/>
      <c r="Q250" s="223"/>
      <c r="R250" s="781"/>
      <c r="S250" s="781"/>
    </row>
    <row r="251" spans="1:19" x14ac:dyDescent="0.25">
      <c r="A251" s="223"/>
      <c r="B251" s="281"/>
      <c r="C251" s="281"/>
      <c r="D251" s="281"/>
      <c r="E251" s="224"/>
      <c r="F251" s="192"/>
      <c r="G251" s="193"/>
      <c r="H251" s="223"/>
      <c r="I251" s="281"/>
      <c r="J251" s="225"/>
      <c r="K251" s="225"/>
      <c r="L251" s="226"/>
      <c r="M251" s="226"/>
      <c r="N251" s="226"/>
      <c r="O251" s="227"/>
      <c r="P251" s="227"/>
      <c r="Q251" s="223"/>
      <c r="R251" s="781"/>
      <c r="S251" s="781"/>
    </row>
    <row r="252" spans="1:19" x14ac:dyDescent="0.25">
      <c r="A252" s="223"/>
      <c r="B252" s="281"/>
      <c r="C252" s="281"/>
      <c r="D252" s="281"/>
      <c r="E252" s="224"/>
      <c r="F252" s="192"/>
      <c r="G252" s="193"/>
      <c r="H252" s="223"/>
      <c r="I252" s="281"/>
      <c r="J252" s="225"/>
      <c r="K252" s="225"/>
      <c r="L252" s="226"/>
      <c r="M252" s="226"/>
      <c r="N252" s="226"/>
      <c r="O252" s="227"/>
      <c r="P252" s="227"/>
      <c r="Q252" s="223"/>
      <c r="R252" s="781"/>
      <c r="S252" s="781"/>
    </row>
    <row r="253" spans="1:19" x14ac:dyDescent="0.25">
      <c r="A253" s="223"/>
      <c r="B253" s="281"/>
      <c r="C253" s="281"/>
      <c r="D253" s="281"/>
      <c r="E253" s="224"/>
      <c r="F253" s="192"/>
      <c r="G253" s="193"/>
      <c r="H253" s="223"/>
      <c r="I253" s="281"/>
      <c r="J253" s="225"/>
      <c r="K253" s="225"/>
      <c r="L253" s="226"/>
      <c r="M253" s="226"/>
      <c r="N253" s="226"/>
      <c r="O253" s="227"/>
      <c r="P253" s="227"/>
      <c r="Q253" s="223"/>
      <c r="R253" s="781"/>
      <c r="S253" s="781"/>
    </row>
    <row r="254" spans="1:19" x14ac:dyDescent="0.25">
      <c r="A254" s="223"/>
      <c r="B254" s="281"/>
      <c r="C254" s="281"/>
      <c r="D254" s="281"/>
      <c r="E254" s="224"/>
      <c r="F254" s="192"/>
      <c r="G254" s="193"/>
      <c r="H254" s="223"/>
      <c r="I254" s="281"/>
      <c r="J254" s="225"/>
      <c r="K254" s="225"/>
      <c r="L254" s="226"/>
      <c r="M254" s="226"/>
      <c r="N254" s="226"/>
      <c r="O254" s="227"/>
      <c r="P254" s="227"/>
      <c r="Q254" s="223"/>
      <c r="R254" s="781"/>
      <c r="S254" s="781"/>
    </row>
    <row r="255" spans="1:19" x14ac:dyDescent="0.25">
      <c r="A255" s="223"/>
      <c r="B255" s="281"/>
      <c r="C255" s="281"/>
      <c r="D255" s="281"/>
      <c r="E255" s="224"/>
      <c r="F255" s="192"/>
      <c r="G255" s="193"/>
      <c r="H255" s="223"/>
      <c r="I255" s="281"/>
      <c r="J255" s="225"/>
      <c r="K255" s="225"/>
      <c r="L255" s="226"/>
      <c r="M255" s="226"/>
      <c r="N255" s="226"/>
      <c r="O255" s="227"/>
      <c r="P255" s="227"/>
      <c r="Q255" s="223"/>
      <c r="R255" s="781"/>
      <c r="S255" s="781"/>
    </row>
    <row r="256" spans="1:19" x14ac:dyDescent="0.25">
      <c r="A256" s="223"/>
      <c r="B256" s="281"/>
      <c r="C256" s="281"/>
      <c r="D256" s="281"/>
      <c r="E256" s="224"/>
      <c r="F256" s="192"/>
      <c r="G256" s="193"/>
      <c r="H256" s="223"/>
      <c r="I256" s="281"/>
      <c r="J256" s="225"/>
      <c r="K256" s="225"/>
      <c r="L256" s="226"/>
      <c r="M256" s="226"/>
      <c r="N256" s="226"/>
      <c r="O256" s="227"/>
      <c r="P256" s="227"/>
      <c r="Q256" s="223"/>
      <c r="R256" s="781"/>
      <c r="S256" s="781"/>
    </row>
    <row r="257" spans="1:19" x14ac:dyDescent="0.25">
      <c r="A257" s="223"/>
      <c r="B257" s="281"/>
      <c r="C257" s="281"/>
      <c r="D257" s="281"/>
      <c r="E257" s="224"/>
      <c r="F257" s="192"/>
      <c r="G257" s="193"/>
      <c r="H257" s="223"/>
      <c r="I257" s="281"/>
      <c r="J257" s="225"/>
      <c r="K257" s="225"/>
      <c r="L257" s="226"/>
      <c r="M257" s="226"/>
      <c r="N257" s="226"/>
      <c r="O257" s="227"/>
      <c r="P257" s="227"/>
      <c r="Q257" s="223"/>
      <c r="R257" s="781"/>
      <c r="S257" s="781"/>
    </row>
    <row r="258" spans="1:19" x14ac:dyDescent="0.25">
      <c r="A258" s="223"/>
      <c r="B258" s="281"/>
      <c r="C258" s="281"/>
      <c r="D258" s="281"/>
      <c r="E258" s="224"/>
      <c r="F258" s="192"/>
      <c r="G258" s="193"/>
      <c r="H258" s="223"/>
      <c r="I258" s="281"/>
      <c r="J258" s="225"/>
      <c r="K258" s="225"/>
      <c r="L258" s="226"/>
      <c r="M258" s="226"/>
      <c r="N258" s="226"/>
      <c r="O258" s="227"/>
      <c r="P258" s="227"/>
      <c r="Q258" s="223"/>
      <c r="R258" s="781"/>
      <c r="S258" s="781"/>
    </row>
    <row r="259" spans="1:19" x14ac:dyDescent="0.25">
      <c r="A259" s="223"/>
      <c r="B259" s="281"/>
      <c r="C259" s="281"/>
      <c r="D259" s="281"/>
      <c r="E259" s="224"/>
      <c r="F259" s="192"/>
      <c r="G259" s="193"/>
      <c r="H259" s="223"/>
      <c r="I259" s="281"/>
      <c r="J259" s="225"/>
      <c r="K259" s="225"/>
      <c r="L259" s="226"/>
      <c r="M259" s="226"/>
      <c r="N259" s="226"/>
      <c r="O259" s="227"/>
      <c r="P259" s="227"/>
      <c r="Q259" s="223"/>
      <c r="R259" s="781"/>
      <c r="S259" s="781"/>
    </row>
    <row r="260" spans="1:19" x14ac:dyDescent="0.25">
      <c r="A260" s="223"/>
      <c r="B260" s="281"/>
      <c r="C260" s="281"/>
      <c r="D260" s="281"/>
      <c r="E260" s="224"/>
      <c r="F260" s="192"/>
      <c r="G260" s="193"/>
      <c r="H260" s="223"/>
      <c r="I260" s="281"/>
      <c r="J260" s="225"/>
      <c r="K260" s="225"/>
      <c r="L260" s="226"/>
      <c r="M260" s="226"/>
      <c r="N260" s="226"/>
      <c r="O260" s="227"/>
      <c r="P260" s="227"/>
      <c r="Q260" s="223"/>
      <c r="R260" s="781"/>
      <c r="S260" s="781"/>
    </row>
    <row r="261" spans="1:19" x14ac:dyDescent="0.25">
      <c r="A261" s="223"/>
      <c r="B261" s="281"/>
      <c r="C261" s="281"/>
      <c r="D261" s="281"/>
      <c r="E261" s="224"/>
      <c r="F261" s="192"/>
      <c r="G261" s="193"/>
      <c r="H261" s="223"/>
      <c r="I261" s="281"/>
      <c r="J261" s="225"/>
      <c r="K261" s="225"/>
      <c r="L261" s="226"/>
      <c r="M261" s="226"/>
      <c r="N261" s="226"/>
      <c r="O261" s="227"/>
      <c r="P261" s="227"/>
      <c r="Q261" s="223"/>
      <c r="R261" s="781"/>
      <c r="S261" s="781"/>
    </row>
    <row r="262" spans="1:19" x14ac:dyDescent="0.25">
      <c r="A262" s="223"/>
      <c r="B262" s="281"/>
      <c r="C262" s="281"/>
      <c r="D262" s="281"/>
      <c r="E262" s="224"/>
      <c r="F262" s="192"/>
      <c r="G262" s="193"/>
      <c r="H262" s="223"/>
      <c r="I262" s="281"/>
      <c r="J262" s="225"/>
      <c r="K262" s="225"/>
      <c r="L262" s="226"/>
      <c r="M262" s="226"/>
      <c r="N262" s="226"/>
      <c r="O262" s="227"/>
      <c r="P262" s="227"/>
      <c r="Q262" s="223"/>
      <c r="R262" s="781"/>
      <c r="S262" s="781"/>
    </row>
    <row r="263" spans="1:19" x14ac:dyDescent="0.25">
      <c r="A263" s="223"/>
      <c r="B263" s="281"/>
      <c r="C263" s="281"/>
      <c r="D263" s="281"/>
      <c r="E263" s="224"/>
      <c r="F263" s="192"/>
      <c r="G263" s="193"/>
      <c r="H263" s="223"/>
      <c r="I263" s="281"/>
      <c r="J263" s="225"/>
      <c r="K263" s="225"/>
      <c r="L263" s="226"/>
      <c r="M263" s="226"/>
      <c r="N263" s="226"/>
      <c r="O263" s="227"/>
      <c r="P263" s="227"/>
      <c r="Q263" s="223"/>
      <c r="R263" s="781"/>
      <c r="S263" s="781"/>
    </row>
    <row r="264" spans="1:19" x14ac:dyDescent="0.25">
      <c r="A264" s="223"/>
      <c r="B264" s="281"/>
      <c r="C264" s="281"/>
      <c r="D264" s="281"/>
      <c r="E264" s="224"/>
      <c r="F264" s="192"/>
      <c r="G264" s="193"/>
      <c r="H264" s="223"/>
      <c r="I264" s="281"/>
      <c r="J264" s="225"/>
      <c r="K264" s="225"/>
      <c r="L264" s="226"/>
      <c r="M264" s="226"/>
      <c r="N264" s="226"/>
      <c r="O264" s="227"/>
      <c r="P264" s="227"/>
      <c r="Q264" s="223"/>
      <c r="R264" s="781"/>
      <c r="S264" s="781"/>
    </row>
    <row r="265" spans="1:19" x14ac:dyDescent="0.25">
      <c r="A265" s="223"/>
      <c r="B265" s="281"/>
      <c r="C265" s="281"/>
      <c r="D265" s="281"/>
      <c r="E265" s="224"/>
      <c r="F265" s="192"/>
      <c r="G265" s="193"/>
      <c r="H265" s="223"/>
      <c r="I265" s="281"/>
      <c r="J265" s="225"/>
      <c r="K265" s="225"/>
      <c r="L265" s="226"/>
      <c r="M265" s="226"/>
      <c r="N265" s="226"/>
      <c r="O265" s="227"/>
      <c r="P265" s="227"/>
      <c r="Q265" s="223"/>
      <c r="R265" s="781"/>
      <c r="S265" s="781"/>
    </row>
    <row r="266" spans="1:19" x14ac:dyDescent="0.25">
      <c r="A266" s="223"/>
      <c r="B266" s="281"/>
      <c r="C266" s="281"/>
      <c r="D266" s="281"/>
      <c r="E266" s="224"/>
      <c r="F266" s="192"/>
      <c r="G266" s="193"/>
      <c r="H266" s="223"/>
      <c r="I266" s="281"/>
      <c r="J266" s="225"/>
      <c r="K266" s="225"/>
      <c r="L266" s="226"/>
      <c r="M266" s="226"/>
      <c r="N266" s="226"/>
      <c r="O266" s="227"/>
      <c r="P266" s="227"/>
      <c r="Q266" s="223"/>
      <c r="R266" s="781"/>
      <c r="S266" s="781"/>
    </row>
    <row r="267" spans="1:19" x14ac:dyDescent="0.25">
      <c r="A267" s="223"/>
      <c r="B267" s="281"/>
      <c r="C267" s="281"/>
      <c r="D267" s="281"/>
      <c r="E267" s="224"/>
      <c r="F267" s="192"/>
      <c r="G267" s="193"/>
      <c r="H267" s="223"/>
      <c r="I267" s="281"/>
      <c r="J267" s="225"/>
      <c r="K267" s="225"/>
      <c r="L267" s="226"/>
      <c r="M267" s="226"/>
      <c r="N267" s="226"/>
      <c r="O267" s="227"/>
      <c r="P267" s="227"/>
      <c r="Q267" s="223"/>
      <c r="R267" s="781"/>
      <c r="S267" s="781"/>
    </row>
    <row r="268" spans="1:19" x14ac:dyDescent="0.25">
      <c r="A268" s="223"/>
      <c r="B268" s="281"/>
      <c r="C268" s="281"/>
      <c r="D268" s="281"/>
      <c r="E268" s="224"/>
      <c r="F268" s="192"/>
      <c r="G268" s="193"/>
      <c r="H268" s="223"/>
      <c r="I268" s="281"/>
      <c r="J268" s="225"/>
      <c r="K268" s="225"/>
      <c r="L268" s="226"/>
      <c r="M268" s="226"/>
      <c r="N268" s="226"/>
      <c r="O268" s="227"/>
      <c r="P268" s="227"/>
      <c r="Q268" s="223"/>
      <c r="R268" s="781"/>
      <c r="S268" s="781"/>
    </row>
    <row r="269" spans="1:19" x14ac:dyDescent="0.25">
      <c r="A269" s="223"/>
      <c r="B269" s="281"/>
      <c r="C269" s="281"/>
      <c r="D269" s="281"/>
      <c r="E269" s="224"/>
      <c r="F269" s="192"/>
      <c r="G269" s="193"/>
      <c r="H269" s="223"/>
      <c r="I269" s="281"/>
      <c r="J269" s="225"/>
      <c r="K269" s="225"/>
      <c r="L269" s="226"/>
      <c r="M269" s="226"/>
      <c r="N269" s="226"/>
      <c r="O269" s="227"/>
      <c r="P269" s="227"/>
      <c r="Q269" s="223"/>
      <c r="R269" s="781"/>
      <c r="S269" s="781"/>
    </row>
    <row r="270" spans="1:19" x14ac:dyDescent="0.25">
      <c r="A270" s="223"/>
      <c r="B270" s="281"/>
      <c r="C270" s="281"/>
      <c r="D270" s="281"/>
      <c r="E270" s="224"/>
      <c r="F270" s="192"/>
      <c r="G270" s="193"/>
      <c r="H270" s="223"/>
      <c r="I270" s="281"/>
      <c r="J270" s="225"/>
      <c r="K270" s="225"/>
      <c r="L270" s="226"/>
      <c r="M270" s="226"/>
      <c r="N270" s="226"/>
      <c r="O270" s="227"/>
      <c r="P270" s="227"/>
      <c r="Q270" s="223"/>
      <c r="R270" s="781"/>
      <c r="S270" s="781"/>
    </row>
    <row r="271" spans="1:19" x14ac:dyDescent="0.25">
      <c r="A271" s="223"/>
      <c r="B271" s="281"/>
      <c r="C271" s="281"/>
      <c r="D271" s="281"/>
      <c r="E271" s="224"/>
      <c r="F271" s="192"/>
      <c r="G271" s="193"/>
      <c r="H271" s="223"/>
      <c r="I271" s="281"/>
      <c r="J271" s="225"/>
      <c r="K271" s="225"/>
      <c r="L271" s="226"/>
      <c r="M271" s="226"/>
      <c r="N271" s="226"/>
      <c r="O271" s="227"/>
      <c r="P271" s="227"/>
      <c r="Q271" s="223"/>
      <c r="R271" s="781"/>
      <c r="S271" s="781"/>
    </row>
    <row r="272" spans="1:19" x14ac:dyDescent="0.25">
      <c r="A272" s="223"/>
      <c r="B272" s="281"/>
      <c r="C272" s="281"/>
      <c r="D272" s="281"/>
      <c r="E272" s="224"/>
      <c r="F272" s="192"/>
      <c r="G272" s="193"/>
      <c r="H272" s="223"/>
      <c r="I272" s="281"/>
      <c r="J272" s="225"/>
      <c r="K272" s="225"/>
      <c r="L272" s="226"/>
      <c r="M272" s="226"/>
      <c r="N272" s="226"/>
      <c r="O272" s="227"/>
      <c r="P272" s="227"/>
      <c r="Q272" s="223"/>
      <c r="R272" s="781"/>
      <c r="S272" s="781"/>
    </row>
    <row r="273" spans="1:19" x14ac:dyDescent="0.25">
      <c r="A273" s="223"/>
      <c r="B273" s="281"/>
      <c r="C273" s="281"/>
      <c r="D273" s="281"/>
      <c r="E273" s="224"/>
      <c r="F273" s="192"/>
      <c r="G273" s="193"/>
      <c r="H273" s="223"/>
      <c r="I273" s="281"/>
      <c r="J273" s="225"/>
      <c r="K273" s="225"/>
      <c r="L273" s="226"/>
      <c r="M273" s="226"/>
      <c r="N273" s="226"/>
      <c r="O273" s="227"/>
      <c r="P273" s="227"/>
      <c r="Q273" s="223"/>
      <c r="R273" s="781"/>
      <c r="S273" s="781"/>
    </row>
    <row r="274" spans="1:19" x14ac:dyDescent="0.25">
      <c r="A274" s="223"/>
      <c r="B274" s="281"/>
      <c r="C274" s="281"/>
      <c r="D274" s="281"/>
      <c r="E274" s="224"/>
      <c r="F274" s="192"/>
      <c r="G274" s="193"/>
      <c r="H274" s="223"/>
      <c r="I274" s="281"/>
      <c r="J274" s="225"/>
      <c r="K274" s="225"/>
      <c r="L274" s="226"/>
      <c r="M274" s="226"/>
      <c r="N274" s="226"/>
      <c r="O274" s="227"/>
      <c r="P274" s="227"/>
      <c r="Q274" s="223"/>
      <c r="R274" s="781"/>
      <c r="S274" s="781"/>
    </row>
    <row r="275" spans="1:19" x14ac:dyDescent="0.25">
      <c r="A275" s="223"/>
      <c r="B275" s="281"/>
      <c r="C275" s="281"/>
      <c r="D275" s="281"/>
      <c r="E275" s="224"/>
      <c r="F275" s="192"/>
      <c r="G275" s="193"/>
      <c r="H275" s="223"/>
      <c r="I275" s="281"/>
      <c r="J275" s="225"/>
      <c r="K275" s="225"/>
      <c r="L275" s="226"/>
      <c r="M275" s="226"/>
      <c r="N275" s="226"/>
      <c r="O275" s="227"/>
      <c r="P275" s="227"/>
      <c r="Q275" s="223"/>
      <c r="R275" s="781"/>
      <c r="S275" s="781"/>
    </row>
    <row r="276" spans="1:19" x14ac:dyDescent="0.25">
      <c r="A276" s="223"/>
      <c r="B276" s="281"/>
      <c r="C276" s="281"/>
      <c r="D276" s="281"/>
      <c r="E276" s="224"/>
      <c r="F276" s="192"/>
      <c r="G276" s="193"/>
      <c r="H276" s="223"/>
      <c r="I276" s="281"/>
      <c r="J276" s="225"/>
      <c r="K276" s="225"/>
      <c r="L276" s="226"/>
      <c r="M276" s="226"/>
      <c r="N276" s="226"/>
      <c r="O276" s="227"/>
      <c r="P276" s="227"/>
      <c r="Q276" s="223"/>
      <c r="R276" s="781"/>
      <c r="S276" s="781"/>
    </row>
    <row r="277" spans="1:19" x14ac:dyDescent="0.25">
      <c r="A277" s="223"/>
      <c r="B277" s="281"/>
      <c r="C277" s="281"/>
      <c r="D277" s="281"/>
      <c r="E277" s="224"/>
      <c r="F277" s="192"/>
      <c r="G277" s="193"/>
      <c r="H277" s="223"/>
      <c r="I277" s="281"/>
      <c r="J277" s="225"/>
      <c r="K277" s="225"/>
      <c r="L277" s="226"/>
      <c r="M277" s="226"/>
      <c r="N277" s="226"/>
      <c r="O277" s="227"/>
      <c r="P277" s="227"/>
      <c r="Q277" s="223"/>
      <c r="R277" s="781"/>
      <c r="S277" s="781"/>
    </row>
    <row r="278" spans="1:19" x14ac:dyDescent="0.25">
      <c r="A278" s="223"/>
      <c r="B278" s="281"/>
      <c r="C278" s="281"/>
      <c r="D278" s="281"/>
      <c r="E278" s="224"/>
      <c r="F278" s="192"/>
      <c r="G278" s="193"/>
      <c r="H278" s="223"/>
      <c r="I278" s="281"/>
      <c r="J278" s="225"/>
      <c r="K278" s="225"/>
      <c r="L278" s="226"/>
      <c r="M278" s="226"/>
      <c r="N278" s="226"/>
      <c r="O278" s="227"/>
      <c r="P278" s="227"/>
      <c r="Q278" s="223"/>
      <c r="R278" s="781"/>
      <c r="S278" s="781"/>
    </row>
    <row r="279" spans="1:19" x14ac:dyDescent="0.25">
      <c r="A279" s="223"/>
      <c r="B279" s="281"/>
      <c r="C279" s="281"/>
      <c r="D279" s="281"/>
      <c r="E279" s="224"/>
      <c r="F279" s="192"/>
      <c r="G279" s="193"/>
      <c r="H279" s="223"/>
      <c r="I279" s="281"/>
      <c r="J279" s="225"/>
      <c r="K279" s="225"/>
      <c r="L279" s="226"/>
      <c r="M279" s="226"/>
      <c r="N279" s="226"/>
      <c r="O279" s="227"/>
      <c r="P279" s="227"/>
      <c r="Q279" s="223"/>
      <c r="R279" s="781"/>
      <c r="S279" s="781"/>
    </row>
    <row r="280" spans="1:19" x14ac:dyDescent="0.25">
      <c r="A280" s="223"/>
      <c r="B280" s="281"/>
      <c r="C280" s="281"/>
      <c r="D280" s="281"/>
      <c r="E280" s="224"/>
      <c r="F280" s="192"/>
      <c r="G280" s="193"/>
      <c r="H280" s="223"/>
      <c r="I280" s="281"/>
      <c r="J280" s="225"/>
      <c r="K280" s="225"/>
      <c r="L280" s="226"/>
      <c r="M280" s="226"/>
      <c r="N280" s="226"/>
      <c r="O280" s="227"/>
      <c r="P280" s="227"/>
      <c r="Q280" s="223"/>
      <c r="R280" s="781"/>
      <c r="S280" s="781"/>
    </row>
    <row r="281" spans="1:19" x14ac:dyDescent="0.25">
      <c r="A281" s="223"/>
      <c r="B281" s="281"/>
      <c r="C281" s="281"/>
      <c r="D281" s="281"/>
      <c r="E281" s="224"/>
      <c r="F281" s="192"/>
      <c r="G281" s="193"/>
      <c r="H281" s="223"/>
      <c r="I281" s="281"/>
      <c r="J281" s="225"/>
      <c r="K281" s="225"/>
      <c r="L281" s="226"/>
      <c r="M281" s="226"/>
      <c r="N281" s="226"/>
      <c r="O281" s="227"/>
      <c r="P281" s="227"/>
      <c r="Q281" s="223"/>
      <c r="R281" s="781"/>
      <c r="S281" s="781"/>
    </row>
    <row r="282" spans="1:19" x14ac:dyDescent="0.25">
      <c r="A282" s="223"/>
      <c r="B282" s="281"/>
      <c r="C282" s="281"/>
      <c r="D282" s="281"/>
      <c r="E282" s="224"/>
      <c r="F282" s="192"/>
      <c r="G282" s="193"/>
      <c r="H282" s="223"/>
      <c r="I282" s="281"/>
      <c r="J282" s="225"/>
      <c r="K282" s="225"/>
      <c r="L282" s="226"/>
      <c r="M282" s="226"/>
      <c r="N282" s="226"/>
      <c r="O282" s="227"/>
      <c r="P282" s="227"/>
      <c r="Q282" s="223"/>
      <c r="R282" s="781"/>
      <c r="S282" s="781"/>
    </row>
    <row r="283" spans="1:19" x14ac:dyDescent="0.25">
      <c r="A283" s="223"/>
      <c r="B283" s="281"/>
      <c r="C283" s="281"/>
      <c r="D283" s="281"/>
      <c r="E283" s="224"/>
      <c r="F283" s="192"/>
      <c r="G283" s="193"/>
      <c r="H283" s="223"/>
      <c r="I283" s="281"/>
      <c r="J283" s="225"/>
      <c r="K283" s="225"/>
      <c r="L283" s="226"/>
      <c r="M283" s="226"/>
      <c r="N283" s="226"/>
      <c r="O283" s="227"/>
      <c r="P283" s="227"/>
      <c r="Q283" s="223"/>
      <c r="R283" s="781"/>
      <c r="S283" s="781"/>
    </row>
    <row r="284" spans="1:19" x14ac:dyDescent="0.25">
      <c r="A284" s="223"/>
      <c r="B284" s="281"/>
      <c r="C284" s="281"/>
      <c r="D284" s="281"/>
      <c r="E284" s="224"/>
      <c r="F284" s="192"/>
      <c r="G284" s="193"/>
      <c r="H284" s="223"/>
      <c r="I284" s="281"/>
      <c r="J284" s="225"/>
      <c r="K284" s="225"/>
      <c r="L284" s="226"/>
      <c r="M284" s="226"/>
      <c r="N284" s="226"/>
      <c r="O284" s="227"/>
      <c r="P284" s="227"/>
      <c r="Q284" s="223"/>
      <c r="R284" s="781"/>
      <c r="S284" s="781"/>
    </row>
    <row r="285" spans="1:19" x14ac:dyDescent="0.25">
      <c r="A285" s="223"/>
      <c r="B285" s="281"/>
      <c r="C285" s="281"/>
      <c r="D285" s="281"/>
      <c r="E285" s="224"/>
      <c r="F285" s="192"/>
      <c r="G285" s="193"/>
      <c r="H285" s="223"/>
      <c r="I285" s="281"/>
      <c r="J285" s="225"/>
      <c r="K285" s="225"/>
      <c r="L285" s="226"/>
      <c r="M285" s="226"/>
      <c r="N285" s="226"/>
      <c r="O285" s="227"/>
      <c r="P285" s="227"/>
      <c r="Q285" s="223"/>
      <c r="R285" s="781"/>
      <c r="S285" s="781"/>
    </row>
    <row r="286" spans="1:19" x14ac:dyDescent="0.25">
      <c r="A286" s="223"/>
      <c r="B286" s="281"/>
      <c r="C286" s="281"/>
      <c r="D286" s="281"/>
      <c r="E286" s="224"/>
      <c r="F286" s="192"/>
      <c r="G286" s="193"/>
      <c r="H286" s="223"/>
      <c r="I286" s="281"/>
      <c r="J286" s="225"/>
      <c r="K286" s="225"/>
      <c r="L286" s="226"/>
      <c r="M286" s="226"/>
      <c r="N286" s="226"/>
      <c r="O286" s="227"/>
      <c r="P286" s="227"/>
      <c r="Q286" s="223"/>
      <c r="R286" s="781"/>
      <c r="S286" s="781"/>
    </row>
    <row r="287" spans="1:19" x14ac:dyDescent="0.25">
      <c r="A287" s="223"/>
      <c r="B287" s="281"/>
      <c r="C287" s="281"/>
      <c r="D287" s="281"/>
      <c r="E287" s="224"/>
      <c r="F287" s="192"/>
      <c r="G287" s="193"/>
      <c r="H287" s="223"/>
      <c r="I287" s="281"/>
      <c r="J287" s="225"/>
      <c r="K287" s="225"/>
      <c r="L287" s="226"/>
      <c r="M287" s="226"/>
      <c r="N287" s="226"/>
      <c r="O287" s="227"/>
      <c r="P287" s="227"/>
      <c r="Q287" s="223"/>
      <c r="R287" s="781"/>
      <c r="S287" s="781"/>
    </row>
    <row r="288" spans="1:19" x14ac:dyDescent="0.25">
      <c r="A288" s="223"/>
      <c r="B288" s="281"/>
      <c r="C288" s="281"/>
      <c r="D288" s="281"/>
      <c r="E288" s="224"/>
      <c r="F288" s="192"/>
      <c r="G288" s="193"/>
      <c r="H288" s="223"/>
      <c r="I288" s="281"/>
      <c r="J288" s="225"/>
      <c r="K288" s="225"/>
      <c r="L288" s="226"/>
      <c r="M288" s="226"/>
      <c r="N288" s="226"/>
      <c r="O288" s="227"/>
      <c r="P288" s="227"/>
      <c r="Q288" s="223"/>
      <c r="R288" s="781"/>
      <c r="S288" s="781"/>
    </row>
    <row r="289" spans="1:19" x14ac:dyDescent="0.25">
      <c r="A289" s="223"/>
      <c r="B289" s="281"/>
      <c r="C289" s="281"/>
      <c r="D289" s="281"/>
      <c r="E289" s="224"/>
      <c r="F289" s="192"/>
      <c r="G289" s="193"/>
      <c r="H289" s="223"/>
      <c r="I289" s="281"/>
      <c r="J289" s="225"/>
      <c r="K289" s="225"/>
      <c r="L289" s="226"/>
      <c r="M289" s="226"/>
      <c r="N289" s="226"/>
      <c r="O289" s="227"/>
      <c r="P289" s="227"/>
      <c r="Q289" s="223"/>
      <c r="R289" s="781"/>
      <c r="S289" s="781"/>
    </row>
    <row r="290" spans="1:19" x14ac:dyDescent="0.25">
      <c r="A290" s="223"/>
      <c r="B290" s="281"/>
      <c r="C290" s="281"/>
      <c r="D290" s="281"/>
      <c r="E290" s="224"/>
      <c r="F290" s="192"/>
      <c r="G290" s="193"/>
      <c r="H290" s="223"/>
      <c r="I290" s="281"/>
      <c r="J290" s="225"/>
      <c r="K290" s="225"/>
      <c r="L290" s="226"/>
      <c r="M290" s="226"/>
      <c r="N290" s="226"/>
      <c r="O290" s="227"/>
      <c r="P290" s="227"/>
      <c r="Q290" s="223"/>
      <c r="R290" s="781"/>
      <c r="S290" s="781"/>
    </row>
    <row r="291" spans="1:19" x14ac:dyDescent="0.25">
      <c r="A291" s="223"/>
      <c r="B291" s="281"/>
      <c r="C291" s="281"/>
      <c r="D291" s="281"/>
      <c r="E291" s="224"/>
      <c r="F291" s="192"/>
      <c r="G291" s="193"/>
      <c r="H291" s="223"/>
      <c r="I291" s="281"/>
      <c r="J291" s="225"/>
      <c r="K291" s="225"/>
      <c r="L291" s="226"/>
      <c r="M291" s="226"/>
      <c r="N291" s="226"/>
      <c r="O291" s="227"/>
      <c r="P291" s="227"/>
      <c r="Q291" s="223"/>
      <c r="R291" s="781"/>
      <c r="S291" s="781"/>
    </row>
    <row r="292" spans="1:19" x14ac:dyDescent="0.25">
      <c r="A292" s="223"/>
      <c r="B292" s="281"/>
      <c r="C292" s="281"/>
      <c r="D292" s="281"/>
      <c r="E292" s="224"/>
      <c r="F292" s="192"/>
      <c r="G292" s="193"/>
      <c r="H292" s="223"/>
      <c r="I292" s="281"/>
      <c r="J292" s="225"/>
      <c r="K292" s="225"/>
      <c r="L292" s="226"/>
      <c r="M292" s="226"/>
      <c r="N292" s="226"/>
      <c r="O292" s="227"/>
      <c r="P292" s="227"/>
      <c r="Q292" s="223"/>
      <c r="R292" s="781"/>
      <c r="S292" s="781"/>
    </row>
    <row r="293" spans="1:19" x14ac:dyDescent="0.25">
      <c r="A293" s="223"/>
      <c r="B293" s="281"/>
      <c r="C293" s="281"/>
      <c r="D293" s="281"/>
      <c r="E293" s="224"/>
      <c r="F293" s="192"/>
      <c r="G293" s="193"/>
      <c r="H293" s="223"/>
      <c r="I293" s="281"/>
      <c r="J293" s="225"/>
      <c r="K293" s="225"/>
      <c r="L293" s="226"/>
      <c r="M293" s="226"/>
      <c r="N293" s="226"/>
      <c r="O293" s="227"/>
      <c r="P293" s="227"/>
      <c r="Q293" s="223"/>
      <c r="R293" s="781"/>
      <c r="S293" s="781"/>
    </row>
    <row r="294" spans="1:19" x14ac:dyDescent="0.25">
      <c r="A294" s="223"/>
      <c r="B294" s="281"/>
      <c r="C294" s="281"/>
      <c r="D294" s="281"/>
      <c r="E294" s="224"/>
      <c r="F294" s="192"/>
      <c r="G294" s="193"/>
      <c r="H294" s="223"/>
      <c r="I294" s="281"/>
      <c r="J294" s="225"/>
      <c r="K294" s="225"/>
      <c r="L294" s="226"/>
      <c r="M294" s="226"/>
      <c r="N294" s="226"/>
      <c r="O294" s="227"/>
      <c r="P294" s="227"/>
      <c r="Q294" s="223"/>
      <c r="R294" s="781"/>
      <c r="S294" s="781"/>
    </row>
    <row r="295" spans="1:19" x14ac:dyDescent="0.25">
      <c r="A295" s="223"/>
      <c r="B295" s="281"/>
      <c r="C295" s="281"/>
      <c r="D295" s="281"/>
      <c r="E295" s="224"/>
      <c r="F295" s="192"/>
      <c r="G295" s="193"/>
      <c r="H295" s="223"/>
      <c r="I295" s="281"/>
      <c r="J295" s="225"/>
      <c r="K295" s="225"/>
      <c r="L295" s="226"/>
      <c r="M295" s="226"/>
      <c r="N295" s="226"/>
      <c r="O295" s="227"/>
      <c r="P295" s="227"/>
      <c r="Q295" s="223"/>
      <c r="R295" s="781"/>
      <c r="S295" s="781"/>
    </row>
    <row r="296" spans="1:19" x14ac:dyDescent="0.25">
      <c r="A296" s="223"/>
      <c r="B296" s="281"/>
      <c r="C296" s="281"/>
      <c r="D296" s="281"/>
      <c r="E296" s="224"/>
      <c r="F296" s="192"/>
      <c r="G296" s="193"/>
      <c r="H296" s="223"/>
      <c r="I296" s="281"/>
      <c r="J296" s="225"/>
      <c r="K296" s="225"/>
      <c r="L296" s="226"/>
      <c r="M296" s="226"/>
      <c r="N296" s="226"/>
      <c r="O296" s="227"/>
      <c r="P296" s="227"/>
      <c r="Q296" s="223"/>
      <c r="R296" s="781"/>
      <c r="S296" s="781"/>
    </row>
    <row r="297" spans="1:19" x14ac:dyDescent="0.25">
      <c r="A297" s="223"/>
      <c r="B297" s="281"/>
      <c r="C297" s="281"/>
      <c r="D297" s="281"/>
      <c r="E297" s="224"/>
      <c r="F297" s="192"/>
      <c r="G297" s="193"/>
      <c r="H297" s="223"/>
      <c r="I297" s="281"/>
      <c r="J297" s="225"/>
      <c r="K297" s="225"/>
      <c r="L297" s="226"/>
      <c r="M297" s="226"/>
      <c r="N297" s="226"/>
      <c r="O297" s="227"/>
      <c r="P297" s="227"/>
      <c r="Q297" s="223"/>
      <c r="R297" s="781"/>
      <c r="S297" s="781"/>
    </row>
    <row r="298" spans="1:19" x14ac:dyDescent="0.25">
      <c r="A298" s="223"/>
      <c r="B298" s="281"/>
      <c r="C298" s="281"/>
      <c r="D298" s="281"/>
      <c r="E298" s="224"/>
      <c r="F298" s="192"/>
      <c r="G298" s="193"/>
      <c r="H298" s="223"/>
      <c r="I298" s="281"/>
      <c r="J298" s="225"/>
      <c r="K298" s="225"/>
      <c r="L298" s="226"/>
      <c r="M298" s="226"/>
      <c r="N298" s="226"/>
      <c r="O298" s="227"/>
      <c r="P298" s="227"/>
      <c r="Q298" s="223"/>
      <c r="R298" s="781"/>
      <c r="S298" s="781"/>
    </row>
    <row r="299" spans="1:19" x14ac:dyDescent="0.25">
      <c r="A299" s="223"/>
      <c r="B299" s="281"/>
      <c r="C299" s="281"/>
      <c r="D299" s="281"/>
      <c r="E299" s="224"/>
      <c r="F299" s="192"/>
      <c r="G299" s="193"/>
      <c r="H299" s="223"/>
      <c r="I299" s="281"/>
      <c r="J299" s="225"/>
      <c r="K299" s="225"/>
      <c r="L299" s="226"/>
      <c r="M299" s="226"/>
      <c r="N299" s="226"/>
      <c r="O299" s="227"/>
      <c r="P299" s="227"/>
      <c r="Q299" s="223"/>
      <c r="R299" s="781"/>
      <c r="S299" s="781"/>
    </row>
    <row r="300" spans="1:19" x14ac:dyDescent="0.25">
      <c r="A300" s="223"/>
      <c r="B300" s="281"/>
      <c r="C300" s="281"/>
      <c r="D300" s="281"/>
      <c r="E300" s="224"/>
      <c r="F300" s="192"/>
      <c r="G300" s="193"/>
      <c r="H300" s="223"/>
      <c r="I300" s="281"/>
      <c r="J300" s="225"/>
      <c r="K300" s="225"/>
      <c r="L300" s="226"/>
      <c r="M300" s="226"/>
      <c r="N300" s="226"/>
      <c r="O300" s="227"/>
      <c r="P300" s="227"/>
      <c r="Q300" s="223"/>
      <c r="R300" s="781"/>
      <c r="S300" s="781"/>
    </row>
  </sheetData>
  <sheetProtection selectLockedCells="1"/>
  <mergeCells count="310">
    <mergeCell ref="R295:S295"/>
    <mergeCell ref="R296:S296"/>
    <mergeCell ref="R297:S297"/>
    <mergeCell ref="R298:S298"/>
    <mergeCell ref="R299:S299"/>
    <mergeCell ref="R300:S300"/>
    <mergeCell ref="R289:S289"/>
    <mergeCell ref="R290:S290"/>
    <mergeCell ref="R291:S291"/>
    <mergeCell ref="R292:S292"/>
    <mergeCell ref="R293:S293"/>
    <mergeCell ref="R294:S294"/>
    <mergeCell ref="R283:S283"/>
    <mergeCell ref="R284:S284"/>
    <mergeCell ref="R285:S285"/>
    <mergeCell ref="R286:S286"/>
    <mergeCell ref="R287:S287"/>
    <mergeCell ref="R288:S288"/>
    <mergeCell ref="R277:S277"/>
    <mergeCell ref="R278:S278"/>
    <mergeCell ref="R279:S279"/>
    <mergeCell ref="R280:S280"/>
    <mergeCell ref="R281:S281"/>
    <mergeCell ref="R282:S282"/>
    <mergeCell ref="R271:S271"/>
    <mergeCell ref="R272:S272"/>
    <mergeCell ref="R273:S273"/>
    <mergeCell ref="R274:S274"/>
    <mergeCell ref="R275:S275"/>
    <mergeCell ref="R276:S276"/>
    <mergeCell ref="R265:S265"/>
    <mergeCell ref="R266:S266"/>
    <mergeCell ref="R267:S267"/>
    <mergeCell ref="R268:S268"/>
    <mergeCell ref="R269:S269"/>
    <mergeCell ref="R270:S270"/>
    <mergeCell ref="R259:S259"/>
    <mergeCell ref="R260:S260"/>
    <mergeCell ref="R261:S261"/>
    <mergeCell ref="R262:S262"/>
    <mergeCell ref="R263:S263"/>
    <mergeCell ref="R264:S264"/>
    <mergeCell ref="R253:S253"/>
    <mergeCell ref="R254:S254"/>
    <mergeCell ref="R255:S255"/>
    <mergeCell ref="R256:S256"/>
    <mergeCell ref="R257:S257"/>
    <mergeCell ref="R258:S258"/>
    <mergeCell ref="R247:S247"/>
    <mergeCell ref="R248:S248"/>
    <mergeCell ref="R249:S249"/>
    <mergeCell ref="R250:S250"/>
    <mergeCell ref="R251:S251"/>
    <mergeCell ref="R252:S252"/>
    <mergeCell ref="R241:S241"/>
    <mergeCell ref="R242:S242"/>
    <mergeCell ref="R243:S243"/>
    <mergeCell ref="R244:S244"/>
    <mergeCell ref="R245:S245"/>
    <mergeCell ref="R246:S246"/>
    <mergeCell ref="R235:S235"/>
    <mergeCell ref="R236:S236"/>
    <mergeCell ref="R237:S237"/>
    <mergeCell ref="R238:S238"/>
    <mergeCell ref="R239:S239"/>
    <mergeCell ref="R240:S240"/>
    <mergeCell ref="R229:S229"/>
    <mergeCell ref="R230:S230"/>
    <mergeCell ref="R231:S231"/>
    <mergeCell ref="R232:S232"/>
    <mergeCell ref="R233:S233"/>
    <mergeCell ref="R234:S234"/>
    <mergeCell ref="R223:S223"/>
    <mergeCell ref="R224:S224"/>
    <mergeCell ref="R225:S225"/>
    <mergeCell ref="R226:S226"/>
    <mergeCell ref="R227:S227"/>
    <mergeCell ref="R228:S228"/>
    <mergeCell ref="R217:S217"/>
    <mergeCell ref="R218:S218"/>
    <mergeCell ref="R219:S219"/>
    <mergeCell ref="R220:S220"/>
    <mergeCell ref="R221:S221"/>
    <mergeCell ref="R222:S222"/>
    <mergeCell ref="R211:S211"/>
    <mergeCell ref="R212:S212"/>
    <mergeCell ref="R213:S213"/>
    <mergeCell ref="R214:S214"/>
    <mergeCell ref="R215:S215"/>
    <mergeCell ref="R216:S216"/>
    <mergeCell ref="R205:S205"/>
    <mergeCell ref="R206:S206"/>
    <mergeCell ref="R207:S207"/>
    <mergeCell ref="R208:S208"/>
    <mergeCell ref="R209:S209"/>
    <mergeCell ref="R210:S210"/>
    <mergeCell ref="R199:S199"/>
    <mergeCell ref="R200:S200"/>
    <mergeCell ref="R201:S201"/>
    <mergeCell ref="R202:S202"/>
    <mergeCell ref="R203:S203"/>
    <mergeCell ref="R204:S204"/>
    <mergeCell ref="R193:S193"/>
    <mergeCell ref="R194:S194"/>
    <mergeCell ref="R195:S195"/>
    <mergeCell ref="R196:S196"/>
    <mergeCell ref="R197:S197"/>
    <mergeCell ref="R198:S198"/>
    <mergeCell ref="R187:S187"/>
    <mergeCell ref="R188:S188"/>
    <mergeCell ref="R189:S189"/>
    <mergeCell ref="R190:S190"/>
    <mergeCell ref="R191:S191"/>
    <mergeCell ref="R192:S192"/>
    <mergeCell ref="R181:S181"/>
    <mergeCell ref="R182:S182"/>
    <mergeCell ref="R183:S183"/>
    <mergeCell ref="R184:S184"/>
    <mergeCell ref="R185:S185"/>
    <mergeCell ref="R186:S186"/>
    <mergeCell ref="R175:S175"/>
    <mergeCell ref="R176:S176"/>
    <mergeCell ref="R177:S177"/>
    <mergeCell ref="R178:S178"/>
    <mergeCell ref="R179:S179"/>
    <mergeCell ref="R180:S180"/>
    <mergeCell ref="R169:S169"/>
    <mergeCell ref="R170:S170"/>
    <mergeCell ref="R171:S171"/>
    <mergeCell ref="R172:S172"/>
    <mergeCell ref="R173:S173"/>
    <mergeCell ref="R174:S174"/>
    <mergeCell ref="R163:S163"/>
    <mergeCell ref="R164:S164"/>
    <mergeCell ref="R165:S165"/>
    <mergeCell ref="R166:S166"/>
    <mergeCell ref="R167:S167"/>
    <mergeCell ref="R168:S168"/>
    <mergeCell ref="R157:S157"/>
    <mergeCell ref="R158:S158"/>
    <mergeCell ref="R159:S159"/>
    <mergeCell ref="R160:S160"/>
    <mergeCell ref="R161:S161"/>
    <mergeCell ref="R162:S162"/>
    <mergeCell ref="R151:S151"/>
    <mergeCell ref="R152:S152"/>
    <mergeCell ref="R153:S153"/>
    <mergeCell ref="R154:S154"/>
    <mergeCell ref="R155:S155"/>
    <mergeCell ref="R156:S156"/>
    <mergeCell ref="R145:S145"/>
    <mergeCell ref="R146:S146"/>
    <mergeCell ref="R147:S147"/>
    <mergeCell ref="R148:S148"/>
    <mergeCell ref="R149:S149"/>
    <mergeCell ref="R150:S150"/>
    <mergeCell ref="R139:S139"/>
    <mergeCell ref="R140:S140"/>
    <mergeCell ref="R141:S141"/>
    <mergeCell ref="R142:S142"/>
    <mergeCell ref="R143:S143"/>
    <mergeCell ref="R144:S144"/>
    <mergeCell ref="R133:S133"/>
    <mergeCell ref="R134:S134"/>
    <mergeCell ref="R135:S135"/>
    <mergeCell ref="R136:S136"/>
    <mergeCell ref="R137:S137"/>
    <mergeCell ref="R138:S138"/>
    <mergeCell ref="R127:S127"/>
    <mergeCell ref="R128:S128"/>
    <mergeCell ref="R129:S129"/>
    <mergeCell ref="R130:S130"/>
    <mergeCell ref="R131:S131"/>
    <mergeCell ref="R132:S132"/>
    <mergeCell ref="R121:S121"/>
    <mergeCell ref="R122:S122"/>
    <mergeCell ref="R123:S123"/>
    <mergeCell ref="R124:S124"/>
    <mergeCell ref="R125:S125"/>
    <mergeCell ref="R126:S126"/>
    <mergeCell ref="R115:S115"/>
    <mergeCell ref="R116:S116"/>
    <mergeCell ref="R117:S117"/>
    <mergeCell ref="R118:S118"/>
    <mergeCell ref="R119:S119"/>
    <mergeCell ref="R120:S120"/>
    <mergeCell ref="R109:S109"/>
    <mergeCell ref="R110:S110"/>
    <mergeCell ref="R111:S111"/>
    <mergeCell ref="R112:S112"/>
    <mergeCell ref="R113:S113"/>
    <mergeCell ref="R114:S114"/>
    <mergeCell ref="R103:S103"/>
    <mergeCell ref="R104:S104"/>
    <mergeCell ref="R105:S105"/>
    <mergeCell ref="R106:S106"/>
    <mergeCell ref="R107:S107"/>
    <mergeCell ref="R108:S108"/>
    <mergeCell ref="R97:S97"/>
    <mergeCell ref="R98:S98"/>
    <mergeCell ref="R99:S99"/>
    <mergeCell ref="R100:S100"/>
    <mergeCell ref="R101:S101"/>
    <mergeCell ref="R102:S102"/>
    <mergeCell ref="R91:S91"/>
    <mergeCell ref="R92:S92"/>
    <mergeCell ref="R93:S93"/>
    <mergeCell ref="R94:S94"/>
    <mergeCell ref="R95:S95"/>
    <mergeCell ref="R96:S96"/>
    <mergeCell ref="R85:S85"/>
    <mergeCell ref="R86:S86"/>
    <mergeCell ref="R87:S87"/>
    <mergeCell ref="R88:S88"/>
    <mergeCell ref="R89:S89"/>
    <mergeCell ref="R90:S90"/>
    <mergeCell ref="R79:S79"/>
    <mergeCell ref="R80:S80"/>
    <mergeCell ref="R81:S81"/>
    <mergeCell ref="R82:S82"/>
    <mergeCell ref="R83:S83"/>
    <mergeCell ref="R84:S84"/>
    <mergeCell ref="R73:S73"/>
    <mergeCell ref="R74:S74"/>
    <mergeCell ref="R75:S75"/>
    <mergeCell ref="R76:S76"/>
    <mergeCell ref="R77:S77"/>
    <mergeCell ref="R78:S78"/>
    <mergeCell ref="R67:S67"/>
    <mergeCell ref="R68:S68"/>
    <mergeCell ref="R69:S69"/>
    <mergeCell ref="R70:S70"/>
    <mergeCell ref="R71:S71"/>
    <mergeCell ref="R72:S72"/>
    <mergeCell ref="R61:S61"/>
    <mergeCell ref="R62:S62"/>
    <mergeCell ref="R63:S63"/>
    <mergeCell ref="R64:S64"/>
    <mergeCell ref="R65:S65"/>
    <mergeCell ref="R66:S66"/>
    <mergeCell ref="R55:S55"/>
    <mergeCell ref="R56:S56"/>
    <mergeCell ref="R57:S57"/>
    <mergeCell ref="R58:S58"/>
    <mergeCell ref="R59:S59"/>
    <mergeCell ref="R60:S60"/>
    <mergeCell ref="R49:S49"/>
    <mergeCell ref="R50:S50"/>
    <mergeCell ref="R51:S51"/>
    <mergeCell ref="R52:S52"/>
    <mergeCell ref="R53:S53"/>
    <mergeCell ref="R54:S54"/>
    <mergeCell ref="R43:S43"/>
    <mergeCell ref="R44:S44"/>
    <mergeCell ref="R45:S45"/>
    <mergeCell ref="R46:S46"/>
    <mergeCell ref="R47:S47"/>
    <mergeCell ref="R48:S48"/>
    <mergeCell ref="R37:S37"/>
    <mergeCell ref="R38:S38"/>
    <mergeCell ref="R39:S39"/>
    <mergeCell ref="R40:S40"/>
    <mergeCell ref="R41:S41"/>
    <mergeCell ref="R42:S42"/>
    <mergeCell ref="R31:S31"/>
    <mergeCell ref="R32:S32"/>
    <mergeCell ref="R33:S33"/>
    <mergeCell ref="R34:S34"/>
    <mergeCell ref="R35:S35"/>
    <mergeCell ref="R36:S36"/>
    <mergeCell ref="R25:S25"/>
    <mergeCell ref="R26:S26"/>
    <mergeCell ref="R27:S27"/>
    <mergeCell ref="R28:S28"/>
    <mergeCell ref="R29:S29"/>
    <mergeCell ref="R30:S30"/>
    <mergeCell ref="R19:S19"/>
    <mergeCell ref="R20:S20"/>
    <mergeCell ref="R21:S21"/>
    <mergeCell ref="R22:S22"/>
    <mergeCell ref="R23:S23"/>
    <mergeCell ref="R24:S24"/>
    <mergeCell ref="R13:S13"/>
    <mergeCell ref="R14:S14"/>
    <mergeCell ref="R15:S15"/>
    <mergeCell ref="R16:S16"/>
    <mergeCell ref="R17:S17"/>
    <mergeCell ref="R18:S18"/>
    <mergeCell ref="R7:S7"/>
    <mergeCell ref="R8:S8"/>
    <mergeCell ref="R9:S9"/>
    <mergeCell ref="R10:S10"/>
    <mergeCell ref="R11:S11"/>
    <mergeCell ref="R12:S12"/>
    <mergeCell ref="H3:K3"/>
    <mergeCell ref="L3:N3"/>
    <mergeCell ref="O3:P3"/>
    <mergeCell ref="R4:S4"/>
    <mergeCell ref="R5:S5"/>
    <mergeCell ref="R6:S6"/>
    <mergeCell ref="A1:E2"/>
    <mergeCell ref="K1:L1"/>
    <mergeCell ref="M1:P1"/>
    <mergeCell ref="Q1:S3"/>
    <mergeCell ref="F2:G2"/>
    <mergeCell ref="H2:I2"/>
    <mergeCell ref="K2:L2"/>
    <mergeCell ref="M2:P2"/>
    <mergeCell ref="A3:C3"/>
    <mergeCell ref="D3:E3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S300"/>
  <sheetViews>
    <sheetView zoomScale="90" zoomScaleNormal="90" workbookViewId="0">
      <pane ySplit="14" topLeftCell="A15" activePane="bottomLeft" state="frozen"/>
      <selection activeCell="H29" sqref="H29"/>
      <selection pane="bottomLeft" activeCell="D8" sqref="D8"/>
    </sheetView>
  </sheetViews>
  <sheetFormatPr defaultRowHeight="15" x14ac:dyDescent="0.25"/>
  <cols>
    <col min="1" max="1" width="9.5703125" bestFit="1" customWidth="1"/>
    <col min="2" max="2" width="8.85546875" style="148" customWidth="1"/>
    <col min="3" max="3" width="13.7109375" style="148" customWidth="1"/>
    <col min="4" max="5" width="17" style="148" bestFit="1" customWidth="1"/>
    <col min="6" max="6" width="15.28515625" bestFit="1" customWidth="1"/>
    <col min="7" max="7" width="18" bestFit="1" customWidth="1"/>
    <col min="8" max="8" width="9.5703125" style="228" bestFit="1" customWidth="1"/>
    <col min="9" max="9" width="18" style="148" bestFit="1" customWidth="1"/>
    <col min="10" max="10" width="22.140625" bestFit="1" customWidth="1"/>
    <col min="11" max="11" width="17" bestFit="1" customWidth="1"/>
    <col min="12" max="13" width="20.7109375" style="187" customWidth="1"/>
    <col min="14" max="14" width="11.7109375" style="187" customWidth="1"/>
    <col min="15" max="16" width="17" style="229" bestFit="1" customWidth="1"/>
    <col min="17" max="17" width="8.42578125" style="230" bestFit="1" customWidth="1"/>
    <col min="18" max="19" width="13.5703125" style="230" customWidth="1"/>
  </cols>
  <sheetData>
    <row r="1" spans="1:19" ht="24" customHeight="1" thickBot="1" x14ac:dyDescent="0.3">
      <c r="A1" s="749" t="s">
        <v>420</v>
      </c>
      <c r="B1" s="750"/>
      <c r="C1" s="750"/>
      <c r="D1" s="750"/>
      <c r="E1" s="750"/>
      <c r="F1" s="163" t="s">
        <v>327</v>
      </c>
      <c r="G1" s="164" t="str">
        <f>D4</f>
        <v>BIN # 1958</v>
      </c>
      <c r="H1" s="165" t="s">
        <v>328</v>
      </c>
      <c r="I1" s="164" t="str">
        <f>E4</f>
        <v>BIN # 2034</v>
      </c>
      <c r="J1" s="166"/>
      <c r="K1" s="753" t="s">
        <v>329</v>
      </c>
      <c r="L1" s="753"/>
      <c r="M1" s="754" t="s">
        <v>589</v>
      </c>
      <c r="N1" s="754"/>
      <c r="O1" s="754"/>
      <c r="P1" s="755"/>
      <c r="Q1" s="756" t="s">
        <v>330</v>
      </c>
      <c r="R1" s="757"/>
      <c r="S1" s="757"/>
    </row>
    <row r="2" spans="1:19" ht="24" customHeight="1" thickBot="1" x14ac:dyDescent="0.3">
      <c r="A2" s="751"/>
      <c r="B2" s="752"/>
      <c r="C2" s="752"/>
      <c r="D2" s="752"/>
      <c r="E2" s="752"/>
      <c r="F2" s="762">
        <f>G4-G8</f>
        <v>37.700000000000003</v>
      </c>
      <c r="G2" s="763"/>
      <c r="H2" s="764">
        <f>G6-G10</f>
        <v>19</v>
      </c>
      <c r="I2" s="765"/>
      <c r="J2" s="167"/>
      <c r="K2" s="753" t="s">
        <v>331</v>
      </c>
      <c r="L2" s="753"/>
      <c r="M2" s="766" t="s">
        <v>590</v>
      </c>
      <c r="N2" s="766"/>
      <c r="O2" s="766"/>
      <c r="P2" s="767"/>
      <c r="Q2" s="758"/>
      <c r="R2" s="759"/>
      <c r="S2" s="759"/>
    </row>
    <row r="3" spans="1:19" s="149" customFormat="1" ht="24" customHeight="1" thickBot="1" x14ac:dyDescent="0.4">
      <c r="A3" s="768" t="s">
        <v>332</v>
      </c>
      <c r="B3" s="769"/>
      <c r="C3" s="770"/>
      <c r="D3" s="768" t="s">
        <v>333</v>
      </c>
      <c r="E3" s="769"/>
      <c r="F3" s="168" t="s">
        <v>334</v>
      </c>
      <c r="G3" s="169" t="s">
        <v>328</v>
      </c>
      <c r="H3" s="775" t="s">
        <v>335</v>
      </c>
      <c r="I3" s="776"/>
      <c r="J3" s="776"/>
      <c r="K3" s="777"/>
      <c r="L3" s="775" t="s">
        <v>336</v>
      </c>
      <c r="M3" s="776"/>
      <c r="N3" s="777"/>
      <c r="O3" s="768" t="s">
        <v>337</v>
      </c>
      <c r="P3" s="770"/>
      <c r="Q3" s="760"/>
      <c r="R3" s="761"/>
      <c r="S3" s="761"/>
    </row>
    <row r="4" spans="1:19" s="149" customFormat="1" ht="24" thickBot="1" x14ac:dyDescent="0.4">
      <c r="A4" s="277" t="s">
        <v>297</v>
      </c>
      <c r="B4" s="277" t="s">
        <v>338</v>
      </c>
      <c r="C4" s="277" t="s">
        <v>339</v>
      </c>
      <c r="D4" s="277" t="s">
        <v>421</v>
      </c>
      <c r="E4" s="277" t="s">
        <v>422</v>
      </c>
      <c r="F4" s="170" t="str">
        <f>D4</f>
        <v>BIN # 1958</v>
      </c>
      <c r="G4" s="171">
        <f>SUM(D:D)</f>
        <v>57</v>
      </c>
      <c r="H4" s="172" t="s">
        <v>297</v>
      </c>
      <c r="I4" s="173" t="s">
        <v>342</v>
      </c>
      <c r="J4" s="173" t="s">
        <v>343</v>
      </c>
      <c r="K4" s="173" t="s">
        <v>344</v>
      </c>
      <c r="L4" s="174" t="str">
        <f>D4</f>
        <v>BIN # 1958</v>
      </c>
      <c r="M4" s="174" t="str">
        <f>E4</f>
        <v>BIN # 2034</v>
      </c>
      <c r="N4" s="174" t="s">
        <v>328</v>
      </c>
      <c r="O4" s="173" t="str">
        <f>D4</f>
        <v>BIN # 1958</v>
      </c>
      <c r="P4" s="173" t="str">
        <f>E4</f>
        <v>BIN # 2034</v>
      </c>
      <c r="Q4" s="175" t="s">
        <v>297</v>
      </c>
      <c r="R4" s="778" t="s">
        <v>345</v>
      </c>
      <c r="S4" s="779"/>
    </row>
    <row r="5" spans="1:19" ht="21" customHeight="1" x14ac:dyDescent="0.35">
      <c r="A5" s="176">
        <v>42906</v>
      </c>
      <c r="B5" s="279">
        <v>178132</v>
      </c>
      <c r="C5" s="279" t="s">
        <v>591</v>
      </c>
      <c r="D5" s="279">
        <v>38</v>
      </c>
      <c r="E5" s="177"/>
      <c r="F5" s="178" t="s">
        <v>334</v>
      </c>
      <c r="G5" s="179" t="s">
        <v>328</v>
      </c>
      <c r="H5" s="176">
        <v>42907</v>
      </c>
      <c r="I5" s="279">
        <v>445403</v>
      </c>
      <c r="J5" s="180" t="s">
        <v>591</v>
      </c>
      <c r="K5" s="180" t="s">
        <v>603</v>
      </c>
      <c r="L5" s="181">
        <v>19.3</v>
      </c>
      <c r="M5" s="182"/>
      <c r="N5" s="181">
        <f>M5+L5</f>
        <v>19.3</v>
      </c>
      <c r="O5" s="183"/>
      <c r="P5" s="183"/>
      <c r="Q5" s="176"/>
      <c r="R5" s="780"/>
      <c r="S5" s="780"/>
    </row>
    <row r="6" spans="1:19" ht="21" customHeight="1" thickBot="1" x14ac:dyDescent="0.4">
      <c r="A6" s="184">
        <v>42906</v>
      </c>
      <c r="B6" s="278">
        <v>178135</v>
      </c>
      <c r="C6" s="279" t="s">
        <v>591</v>
      </c>
      <c r="D6" s="278">
        <v>19</v>
      </c>
      <c r="E6" s="185">
        <v>19</v>
      </c>
      <c r="F6" s="170" t="str">
        <f>E4</f>
        <v>BIN # 2034</v>
      </c>
      <c r="G6" s="171">
        <f>SUM(E:E)</f>
        <v>19</v>
      </c>
      <c r="H6" s="184"/>
      <c r="I6" s="278"/>
      <c r="J6" s="186"/>
      <c r="K6" s="186"/>
      <c r="L6" s="182"/>
      <c r="N6" s="181">
        <f t="shared" ref="N6:N69" si="0">M6+L6</f>
        <v>0</v>
      </c>
      <c r="O6" s="188"/>
      <c r="P6" s="188"/>
      <c r="Q6" s="184"/>
      <c r="R6" s="773"/>
      <c r="S6" s="773"/>
    </row>
    <row r="7" spans="1:19" ht="21" customHeight="1" x14ac:dyDescent="0.35">
      <c r="A7" s="184">
        <v>42907</v>
      </c>
      <c r="B7" s="278"/>
      <c r="C7" s="279"/>
      <c r="D7" s="278" t="s">
        <v>615</v>
      </c>
      <c r="E7" s="185"/>
      <c r="F7" s="178" t="s">
        <v>348</v>
      </c>
      <c r="G7" s="179" t="s">
        <v>328</v>
      </c>
      <c r="H7" s="184"/>
      <c r="I7" s="278"/>
      <c r="J7" s="186"/>
      <c r="K7" s="186"/>
      <c r="L7" s="182"/>
      <c r="M7" s="182"/>
      <c r="N7" s="181">
        <f t="shared" si="0"/>
        <v>0</v>
      </c>
      <c r="O7" s="188"/>
      <c r="P7" s="188"/>
      <c r="Q7" s="184"/>
      <c r="R7" s="773"/>
      <c r="S7" s="773"/>
    </row>
    <row r="8" spans="1:19" ht="21" customHeight="1" thickBot="1" x14ac:dyDescent="0.4">
      <c r="A8" s="306"/>
      <c r="B8" s="237"/>
      <c r="C8" s="307"/>
      <c r="D8" s="237"/>
      <c r="E8" s="308"/>
      <c r="F8" s="170" t="str">
        <f>D4</f>
        <v>BIN # 1958</v>
      </c>
      <c r="G8" s="189">
        <f>SUM(L:L)</f>
        <v>19.3</v>
      </c>
      <c r="H8" s="232"/>
      <c r="I8" s="309"/>
      <c r="J8" s="200"/>
      <c r="K8" s="186"/>
      <c r="L8" s="182"/>
      <c r="M8" s="182"/>
      <c r="N8" s="181">
        <f t="shared" si="0"/>
        <v>0</v>
      </c>
      <c r="O8" s="188"/>
      <c r="P8" s="188"/>
      <c r="Q8" s="184"/>
      <c r="R8" s="773"/>
      <c r="S8" s="773"/>
    </row>
    <row r="9" spans="1:19" ht="21" customHeight="1" x14ac:dyDescent="0.35">
      <c r="A9" s="306"/>
      <c r="B9" s="237"/>
      <c r="C9" s="307"/>
      <c r="D9" s="237"/>
      <c r="E9" s="308"/>
      <c r="F9" s="178" t="s">
        <v>348</v>
      </c>
      <c r="G9" s="179" t="s">
        <v>328</v>
      </c>
      <c r="H9" s="184"/>
      <c r="I9" s="278"/>
      <c r="J9" s="200"/>
      <c r="K9" s="186"/>
      <c r="L9" s="182"/>
      <c r="M9" s="182"/>
      <c r="N9" s="181">
        <f t="shared" si="0"/>
        <v>0</v>
      </c>
      <c r="O9" s="188"/>
      <c r="P9" s="188"/>
      <c r="Q9" s="184"/>
      <c r="R9" s="773"/>
      <c r="S9" s="773"/>
    </row>
    <row r="10" spans="1:19" ht="21" customHeight="1" thickBot="1" x14ac:dyDescent="0.4">
      <c r="A10" s="184"/>
      <c r="B10" s="278"/>
      <c r="C10" s="279"/>
      <c r="D10" s="278"/>
      <c r="E10" s="185"/>
      <c r="F10" s="170" t="str">
        <f>E4</f>
        <v>BIN # 2034</v>
      </c>
      <c r="G10" s="189">
        <f>SUM(M:M)</f>
        <v>0</v>
      </c>
      <c r="H10" s="184"/>
      <c r="I10" s="278"/>
      <c r="J10" s="186"/>
      <c r="K10" s="186"/>
      <c r="L10" s="182"/>
      <c r="M10" s="182"/>
      <c r="N10" s="181">
        <f t="shared" si="0"/>
        <v>0</v>
      </c>
      <c r="O10" s="188"/>
      <c r="P10" s="188"/>
      <c r="Q10" s="184"/>
      <c r="R10" s="773"/>
      <c r="S10" s="773"/>
    </row>
    <row r="11" spans="1:19" ht="21" customHeight="1" x14ac:dyDescent="0.25">
      <c r="A11" s="184"/>
      <c r="B11" s="278"/>
      <c r="C11" s="279"/>
      <c r="D11" s="278"/>
      <c r="E11" s="185"/>
      <c r="F11" s="192"/>
      <c r="G11" s="193"/>
      <c r="H11" s="184"/>
      <c r="I11" s="278"/>
      <c r="J11" s="186"/>
      <c r="K11" s="186"/>
      <c r="L11" s="182"/>
      <c r="M11" s="182"/>
      <c r="N11" s="181">
        <f t="shared" si="0"/>
        <v>0</v>
      </c>
      <c r="O11" s="188"/>
      <c r="P11" s="188"/>
      <c r="Q11" s="184"/>
      <c r="R11" s="773"/>
      <c r="S11" s="773"/>
    </row>
    <row r="12" spans="1:19" ht="21" customHeight="1" x14ac:dyDescent="0.25">
      <c r="A12" s="194"/>
      <c r="B12" s="197"/>
      <c r="C12" s="196"/>
      <c r="D12" s="197"/>
      <c r="E12" s="198"/>
      <c r="F12" s="192"/>
      <c r="G12" s="193"/>
      <c r="H12" s="194"/>
      <c r="I12" s="278"/>
      <c r="J12" s="186"/>
      <c r="K12" s="186"/>
      <c r="L12" s="182"/>
      <c r="M12" s="182"/>
      <c r="N12" s="181">
        <f t="shared" si="0"/>
        <v>0</v>
      </c>
      <c r="O12" s="188"/>
      <c r="P12" s="188"/>
      <c r="Q12" s="194"/>
      <c r="R12" s="773"/>
      <c r="S12" s="773"/>
    </row>
    <row r="13" spans="1:19" ht="21" customHeight="1" x14ac:dyDescent="0.25">
      <c r="A13" s="184"/>
      <c r="B13" s="278"/>
      <c r="C13" s="279"/>
      <c r="D13" s="278"/>
      <c r="E13" s="185"/>
      <c r="F13" s="192"/>
      <c r="G13" s="193"/>
      <c r="H13" s="184"/>
      <c r="I13" s="278"/>
      <c r="J13" s="186"/>
      <c r="K13" s="186"/>
      <c r="L13" s="182"/>
      <c r="M13" s="182"/>
      <c r="N13" s="181">
        <f t="shared" si="0"/>
        <v>0</v>
      </c>
      <c r="O13" s="188"/>
      <c r="P13" s="188"/>
      <c r="Q13" s="184"/>
      <c r="R13" s="773"/>
      <c r="S13" s="773"/>
    </row>
    <row r="14" spans="1:19" ht="21" customHeight="1" x14ac:dyDescent="0.25">
      <c r="A14" s="184"/>
      <c r="B14" s="278"/>
      <c r="C14" s="279"/>
      <c r="D14" s="278"/>
      <c r="E14" s="191"/>
      <c r="F14" s="192"/>
      <c r="G14" s="193"/>
      <c r="H14" s="184"/>
      <c r="I14" s="199"/>
      <c r="J14" s="200"/>
      <c r="K14" s="186"/>
      <c r="L14" s="182"/>
      <c r="M14" s="182"/>
      <c r="N14" s="181">
        <f t="shared" si="0"/>
        <v>0</v>
      </c>
      <c r="O14" s="188"/>
      <c r="P14" s="188"/>
      <c r="Q14" s="184"/>
      <c r="R14" s="773"/>
      <c r="S14" s="773"/>
    </row>
    <row r="15" spans="1:19" ht="21" customHeight="1" x14ac:dyDescent="0.25">
      <c r="A15" s="184"/>
      <c r="B15" s="278"/>
      <c r="C15" s="279"/>
      <c r="D15" s="278"/>
      <c r="E15" s="185"/>
      <c r="F15" s="192"/>
      <c r="G15" s="193"/>
      <c r="H15" s="184"/>
      <c r="I15" s="199"/>
      <c r="J15" s="200"/>
      <c r="K15" s="186"/>
      <c r="L15" s="182"/>
      <c r="M15" s="182"/>
      <c r="N15" s="181">
        <f t="shared" si="0"/>
        <v>0</v>
      </c>
      <c r="O15" s="188"/>
      <c r="P15" s="188"/>
      <c r="Q15" s="184"/>
      <c r="R15" s="773"/>
      <c r="S15" s="773"/>
    </row>
    <row r="16" spans="1:19" ht="21" customHeight="1" x14ac:dyDescent="0.25">
      <c r="A16" s="184"/>
      <c r="B16" s="278"/>
      <c r="C16" s="279"/>
      <c r="D16" s="278"/>
      <c r="E16" s="185"/>
      <c r="F16" s="192"/>
      <c r="G16" s="193"/>
      <c r="H16" s="184"/>
      <c r="I16" s="278"/>
      <c r="J16" s="186"/>
      <c r="K16" s="186"/>
      <c r="L16" s="182"/>
      <c r="M16" s="182"/>
      <c r="N16" s="181">
        <f t="shared" si="0"/>
        <v>0</v>
      </c>
      <c r="O16" s="188"/>
      <c r="P16" s="188"/>
      <c r="Q16" s="184"/>
      <c r="R16" s="773"/>
      <c r="S16" s="773"/>
    </row>
    <row r="17" spans="1:19" ht="21" customHeight="1" x14ac:dyDescent="0.25">
      <c r="A17" s="184"/>
      <c r="B17" s="278"/>
      <c r="C17" s="279"/>
      <c r="D17" s="278"/>
      <c r="E17" s="185"/>
      <c r="F17" s="192"/>
      <c r="G17" s="193"/>
      <c r="H17" s="336"/>
      <c r="I17" s="337"/>
      <c r="J17" s="216"/>
      <c r="K17" s="216"/>
      <c r="L17" s="217"/>
      <c r="M17" s="217"/>
      <c r="N17" s="181">
        <f t="shared" si="0"/>
        <v>0</v>
      </c>
      <c r="O17" s="188"/>
      <c r="P17" s="188"/>
      <c r="Q17" s="184"/>
      <c r="R17" s="773"/>
      <c r="S17" s="773"/>
    </row>
    <row r="18" spans="1:19" ht="21" customHeight="1" x14ac:dyDescent="0.25">
      <c r="A18" s="184"/>
      <c r="B18" s="278"/>
      <c r="C18" s="279"/>
      <c r="D18" s="278"/>
      <c r="E18" s="185"/>
      <c r="F18" s="192"/>
      <c r="G18" s="193"/>
      <c r="H18" s="184"/>
      <c r="I18" s="199"/>
      <c r="K18" s="186"/>
      <c r="L18" s="182"/>
      <c r="M18" s="182"/>
      <c r="N18" s="181">
        <f t="shared" si="0"/>
        <v>0</v>
      </c>
      <c r="O18" s="188"/>
      <c r="P18" s="188"/>
      <c r="Q18" s="184"/>
      <c r="R18" s="773"/>
      <c r="S18" s="773"/>
    </row>
    <row r="19" spans="1:19" ht="21" customHeight="1" x14ac:dyDescent="0.25">
      <c r="A19" s="184"/>
      <c r="B19" s="278"/>
      <c r="C19" s="279"/>
      <c r="D19" s="278"/>
      <c r="E19" s="185"/>
      <c r="F19" s="192"/>
      <c r="G19" s="193"/>
      <c r="H19" s="184"/>
      <c r="I19" s="238"/>
      <c r="J19" s="238"/>
      <c r="K19" s="186"/>
      <c r="L19" s="182"/>
      <c r="M19" s="182"/>
      <c r="N19" s="181">
        <f t="shared" si="0"/>
        <v>0</v>
      </c>
      <c r="O19" s="188"/>
      <c r="P19" s="188"/>
      <c r="Q19" s="184"/>
      <c r="R19" s="773"/>
      <c r="S19" s="773"/>
    </row>
    <row r="20" spans="1:19" ht="21" customHeight="1" x14ac:dyDescent="0.25">
      <c r="A20" s="184"/>
      <c r="B20" s="278"/>
      <c r="C20" s="279"/>
      <c r="D20" s="278"/>
      <c r="E20" s="185"/>
      <c r="F20" s="192"/>
      <c r="G20" s="193"/>
      <c r="H20" s="184"/>
      <c r="I20" s="278"/>
      <c r="J20" s="186"/>
      <c r="K20" s="186"/>
      <c r="L20" s="182"/>
      <c r="M20" s="182"/>
      <c r="N20" s="181">
        <f t="shared" si="0"/>
        <v>0</v>
      </c>
      <c r="O20" s="188"/>
      <c r="P20" s="188"/>
      <c r="Q20" s="184"/>
      <c r="R20" s="773"/>
      <c r="S20" s="773"/>
    </row>
    <row r="21" spans="1:19" ht="21" customHeight="1" x14ac:dyDescent="0.25">
      <c r="A21" s="184"/>
      <c r="B21" s="278"/>
      <c r="C21" s="279"/>
      <c r="D21" s="278"/>
      <c r="E21" s="185"/>
      <c r="F21" s="192"/>
      <c r="G21" s="193"/>
      <c r="H21" s="184"/>
      <c r="I21" s="278"/>
      <c r="J21" s="186"/>
      <c r="K21" s="186"/>
      <c r="L21" s="182"/>
      <c r="M21" s="182"/>
      <c r="N21" s="181">
        <f t="shared" si="0"/>
        <v>0</v>
      </c>
      <c r="O21" s="188"/>
      <c r="P21" s="188"/>
      <c r="Q21" s="184"/>
      <c r="R21" s="773"/>
      <c r="S21" s="773"/>
    </row>
    <row r="22" spans="1:19" ht="21" customHeight="1" x14ac:dyDescent="0.25">
      <c r="A22" s="184"/>
      <c r="B22" s="278"/>
      <c r="C22" s="279"/>
      <c r="D22" s="278"/>
      <c r="E22" s="185"/>
      <c r="F22" s="192"/>
      <c r="G22" s="193"/>
      <c r="H22" s="184"/>
      <c r="I22" s="278"/>
      <c r="J22" s="186"/>
      <c r="K22" s="186"/>
      <c r="L22" s="182"/>
      <c r="M22" s="182"/>
      <c r="N22" s="181">
        <f t="shared" si="0"/>
        <v>0</v>
      </c>
      <c r="O22" s="188"/>
      <c r="P22" s="188"/>
      <c r="Q22" s="184"/>
      <c r="R22" s="773"/>
      <c r="S22" s="773"/>
    </row>
    <row r="23" spans="1:19" ht="21" customHeight="1" x14ac:dyDescent="0.25">
      <c r="A23" s="184"/>
      <c r="B23" s="278"/>
      <c r="C23" s="278"/>
      <c r="D23" s="278"/>
      <c r="E23" s="185"/>
      <c r="F23" s="192"/>
      <c r="G23" s="193"/>
      <c r="H23" s="184"/>
      <c r="I23" s="278"/>
      <c r="J23" s="186"/>
      <c r="K23" s="186"/>
      <c r="L23" s="182"/>
      <c r="M23" s="182"/>
      <c r="N23" s="181">
        <f t="shared" si="0"/>
        <v>0</v>
      </c>
      <c r="O23" s="188"/>
      <c r="P23" s="188"/>
      <c r="Q23" s="184"/>
      <c r="R23" s="773"/>
      <c r="S23" s="773"/>
    </row>
    <row r="24" spans="1:19" ht="21" customHeight="1" x14ac:dyDescent="0.25">
      <c r="A24" s="184"/>
      <c r="B24" s="278"/>
      <c r="C24" s="278"/>
      <c r="D24" s="278"/>
      <c r="E24" s="185"/>
      <c r="F24" s="192"/>
      <c r="G24" s="193"/>
      <c r="H24" s="184"/>
      <c r="I24" s="278"/>
      <c r="J24" s="186"/>
      <c r="K24" s="186"/>
      <c r="L24" s="182"/>
      <c r="M24" s="182"/>
      <c r="N24" s="181">
        <f t="shared" si="0"/>
        <v>0</v>
      </c>
      <c r="O24" s="188"/>
      <c r="P24" s="188"/>
      <c r="Q24" s="184"/>
      <c r="R24" s="773"/>
      <c r="S24" s="773"/>
    </row>
    <row r="25" spans="1:19" ht="21" customHeight="1" x14ac:dyDescent="0.25">
      <c r="A25" s="184"/>
      <c r="B25" s="278"/>
      <c r="C25" s="278"/>
      <c r="D25" s="278"/>
      <c r="E25" s="185"/>
      <c r="F25" s="192"/>
      <c r="G25" s="193"/>
      <c r="H25" s="184"/>
      <c r="I25" s="278"/>
      <c r="J25" s="186"/>
      <c r="K25" s="186"/>
      <c r="L25" s="182"/>
      <c r="M25" s="182"/>
      <c r="N25" s="181">
        <f t="shared" si="0"/>
        <v>0</v>
      </c>
      <c r="O25" s="188"/>
      <c r="P25" s="188"/>
      <c r="Q25" s="184"/>
      <c r="R25" s="773"/>
      <c r="S25" s="773"/>
    </row>
    <row r="26" spans="1:19" ht="21" customHeight="1" x14ac:dyDescent="0.25">
      <c r="A26" s="184"/>
      <c r="B26" s="278"/>
      <c r="C26" s="278"/>
      <c r="D26" s="278"/>
      <c r="E26" s="185"/>
      <c r="F26" s="192"/>
      <c r="G26" s="193"/>
      <c r="H26" s="184"/>
      <c r="I26" s="278"/>
      <c r="J26" s="186"/>
      <c r="K26" s="186"/>
      <c r="L26" s="182"/>
      <c r="M26" s="182"/>
      <c r="N26" s="181">
        <f t="shared" si="0"/>
        <v>0</v>
      </c>
      <c r="O26" s="188"/>
      <c r="P26" s="188"/>
      <c r="Q26" s="184"/>
      <c r="R26" s="773"/>
      <c r="S26" s="773"/>
    </row>
    <row r="27" spans="1:19" ht="21" customHeight="1" x14ac:dyDescent="0.25">
      <c r="A27" s="184"/>
      <c r="B27" s="278"/>
      <c r="C27" s="278"/>
      <c r="D27" s="278"/>
      <c r="E27" s="185"/>
      <c r="F27" s="192"/>
      <c r="G27" s="193"/>
      <c r="H27" s="184"/>
      <c r="I27" s="278"/>
      <c r="J27" s="186"/>
      <c r="K27" s="186"/>
      <c r="L27" s="182"/>
      <c r="M27" s="182"/>
      <c r="N27" s="181">
        <f t="shared" si="0"/>
        <v>0</v>
      </c>
      <c r="O27" s="188"/>
      <c r="P27" s="188"/>
      <c r="Q27" s="184"/>
      <c r="R27" s="773"/>
      <c r="S27" s="773"/>
    </row>
    <row r="28" spans="1:19" ht="21" customHeight="1" x14ac:dyDescent="0.25">
      <c r="A28" s="184"/>
      <c r="B28" s="278"/>
      <c r="C28" s="278"/>
      <c r="D28" s="278"/>
      <c r="E28" s="185"/>
      <c r="F28" s="192"/>
      <c r="G28" s="193"/>
      <c r="H28" s="184"/>
      <c r="I28" s="278"/>
      <c r="J28" s="186"/>
      <c r="K28" s="186"/>
      <c r="L28" s="182"/>
      <c r="M28" s="182"/>
      <c r="N28" s="181">
        <f t="shared" si="0"/>
        <v>0</v>
      </c>
      <c r="O28" s="188"/>
      <c r="P28" s="188"/>
      <c r="Q28" s="184"/>
      <c r="R28" s="773"/>
      <c r="S28" s="773"/>
    </row>
    <row r="29" spans="1:19" ht="21" customHeight="1" x14ac:dyDescent="0.25">
      <c r="A29" s="184"/>
      <c r="B29" s="278"/>
      <c r="C29" s="278"/>
      <c r="D29" s="278"/>
      <c r="E29" s="185"/>
      <c r="F29" s="192"/>
      <c r="G29" s="193"/>
      <c r="H29" s="184"/>
      <c r="I29" s="278"/>
      <c r="J29" s="186"/>
      <c r="K29" s="186"/>
      <c r="L29" s="182"/>
      <c r="M29" s="182"/>
      <c r="N29" s="181">
        <f t="shared" si="0"/>
        <v>0</v>
      </c>
      <c r="O29" s="188"/>
      <c r="P29" s="188"/>
      <c r="Q29" s="184"/>
      <c r="R29" s="773"/>
      <c r="S29" s="773"/>
    </row>
    <row r="30" spans="1:19" ht="21" customHeight="1" x14ac:dyDescent="0.25">
      <c r="A30" s="184"/>
      <c r="B30" s="278"/>
      <c r="C30" s="278"/>
      <c r="D30" s="278"/>
      <c r="E30" s="185"/>
      <c r="F30" s="192"/>
      <c r="G30" s="193"/>
      <c r="H30" s="184"/>
      <c r="I30" s="278"/>
      <c r="J30" s="186"/>
      <c r="K30" s="186"/>
      <c r="L30" s="182"/>
      <c r="M30" s="182"/>
      <c r="N30" s="181">
        <f t="shared" si="0"/>
        <v>0</v>
      </c>
      <c r="O30" s="188"/>
      <c r="P30" s="188"/>
      <c r="Q30" s="184"/>
      <c r="R30" s="773"/>
      <c r="S30" s="773"/>
    </row>
    <row r="31" spans="1:19" ht="21" customHeight="1" x14ac:dyDescent="0.25">
      <c r="A31" s="223"/>
      <c r="B31" s="281"/>
      <c r="C31" s="281"/>
      <c r="D31" s="281"/>
      <c r="E31" s="224"/>
      <c r="F31" s="192"/>
      <c r="G31" s="193"/>
      <c r="H31" s="223"/>
      <c r="I31" s="278"/>
      <c r="J31" s="186"/>
      <c r="K31" s="186"/>
      <c r="L31" s="182"/>
      <c r="M31" s="182"/>
      <c r="N31" s="181">
        <f t="shared" si="0"/>
        <v>0</v>
      </c>
      <c r="O31" s="188"/>
      <c r="P31" s="188"/>
      <c r="Q31" s="223"/>
      <c r="R31" s="773"/>
      <c r="S31" s="773"/>
    </row>
    <row r="32" spans="1:19" ht="21" customHeight="1" x14ac:dyDescent="0.25">
      <c r="A32" s="223"/>
      <c r="B32" s="281"/>
      <c r="C32" s="281"/>
      <c r="D32" s="281"/>
      <c r="E32" s="224"/>
      <c r="F32" s="192"/>
      <c r="G32" s="193"/>
      <c r="H32" s="223"/>
      <c r="I32" s="278"/>
      <c r="J32" s="186"/>
      <c r="K32" s="186"/>
      <c r="L32" s="182"/>
      <c r="M32" s="182"/>
      <c r="N32" s="181">
        <f t="shared" si="0"/>
        <v>0</v>
      </c>
      <c r="O32" s="188"/>
      <c r="P32" s="188"/>
      <c r="Q32" s="223"/>
      <c r="R32" s="773"/>
      <c r="S32" s="773"/>
    </row>
    <row r="33" spans="1:19" ht="21" customHeight="1" x14ac:dyDescent="0.25">
      <c r="A33" s="223"/>
      <c r="B33" s="281"/>
      <c r="C33" s="281"/>
      <c r="D33" s="281"/>
      <c r="E33" s="224"/>
      <c r="F33" s="192"/>
      <c r="G33" s="193"/>
      <c r="H33" s="223"/>
      <c r="I33" s="281"/>
      <c r="J33" s="225"/>
      <c r="K33" s="225"/>
      <c r="L33" s="226"/>
      <c r="M33" s="226"/>
      <c r="N33" s="181">
        <f t="shared" si="0"/>
        <v>0</v>
      </c>
      <c r="O33" s="227"/>
      <c r="P33" s="227"/>
      <c r="Q33" s="223"/>
      <c r="R33" s="781"/>
      <c r="S33" s="781"/>
    </row>
    <row r="34" spans="1:19" ht="21" customHeight="1" x14ac:dyDescent="0.25">
      <c r="A34" s="223"/>
      <c r="B34" s="281"/>
      <c r="C34" s="281"/>
      <c r="D34" s="281"/>
      <c r="E34" s="224"/>
      <c r="F34" s="192"/>
      <c r="G34" s="193"/>
      <c r="H34" s="223"/>
      <c r="I34" s="281"/>
      <c r="J34" s="225"/>
      <c r="K34" s="225"/>
      <c r="L34" s="226"/>
      <c r="M34" s="226"/>
      <c r="N34" s="181">
        <f t="shared" si="0"/>
        <v>0</v>
      </c>
      <c r="O34" s="227"/>
      <c r="P34" s="227"/>
      <c r="Q34" s="223"/>
      <c r="R34" s="781"/>
      <c r="S34" s="781"/>
    </row>
    <row r="35" spans="1:19" ht="21" customHeight="1" x14ac:dyDescent="0.25">
      <c r="A35" s="223"/>
      <c r="B35" s="281"/>
      <c r="C35" s="281"/>
      <c r="D35" s="281"/>
      <c r="E35" s="224"/>
      <c r="F35" s="192"/>
      <c r="G35" s="193"/>
      <c r="H35" s="223"/>
      <c r="I35" s="281"/>
      <c r="J35" s="225"/>
      <c r="K35" s="225"/>
      <c r="L35" s="226"/>
      <c r="M35" s="226"/>
      <c r="N35" s="181">
        <f t="shared" si="0"/>
        <v>0</v>
      </c>
      <c r="O35" s="227"/>
      <c r="P35" s="227"/>
      <c r="Q35" s="223"/>
      <c r="R35" s="781"/>
      <c r="S35" s="781"/>
    </row>
    <row r="36" spans="1:19" ht="21" customHeight="1" x14ac:dyDescent="0.25">
      <c r="A36" s="223"/>
      <c r="B36" s="281"/>
      <c r="C36" s="281"/>
      <c r="D36" s="281"/>
      <c r="E36" s="224"/>
      <c r="F36" s="192"/>
      <c r="G36" s="193"/>
      <c r="H36" s="223"/>
      <c r="I36" s="281"/>
      <c r="J36" s="225"/>
      <c r="K36" s="225"/>
      <c r="L36" s="226"/>
      <c r="M36" s="226"/>
      <c r="N36" s="181">
        <f t="shared" si="0"/>
        <v>0</v>
      </c>
      <c r="O36" s="227"/>
      <c r="P36" s="227"/>
      <c r="Q36" s="223"/>
      <c r="R36" s="781"/>
      <c r="S36" s="781"/>
    </row>
    <row r="37" spans="1:19" ht="21" customHeight="1" x14ac:dyDescent="0.25">
      <c r="A37" s="223"/>
      <c r="B37" s="281"/>
      <c r="C37" s="281"/>
      <c r="D37" s="281"/>
      <c r="E37" s="224"/>
      <c r="F37" s="192"/>
      <c r="G37" s="193"/>
      <c r="H37" s="223"/>
      <c r="I37" s="281"/>
      <c r="J37" s="225"/>
      <c r="K37" s="225"/>
      <c r="L37" s="226"/>
      <c r="M37" s="226"/>
      <c r="N37" s="181">
        <f t="shared" si="0"/>
        <v>0</v>
      </c>
      <c r="O37" s="227"/>
      <c r="P37" s="227"/>
      <c r="Q37" s="223"/>
      <c r="R37" s="781"/>
      <c r="S37" s="781"/>
    </row>
    <row r="38" spans="1:19" ht="21" customHeight="1" x14ac:dyDescent="0.25">
      <c r="A38" s="223"/>
      <c r="B38" s="281"/>
      <c r="C38" s="281"/>
      <c r="D38" s="281"/>
      <c r="E38" s="224"/>
      <c r="F38" s="192"/>
      <c r="G38" s="193"/>
      <c r="H38" s="223"/>
      <c r="I38" s="281"/>
      <c r="J38" s="225"/>
      <c r="K38" s="225"/>
      <c r="L38" s="226"/>
      <c r="M38" s="226"/>
      <c r="N38" s="181">
        <f t="shared" si="0"/>
        <v>0</v>
      </c>
      <c r="O38" s="227"/>
      <c r="P38" s="227"/>
      <c r="Q38" s="223"/>
      <c r="R38" s="781"/>
      <c r="S38" s="781"/>
    </row>
    <row r="39" spans="1:19" ht="21" customHeight="1" x14ac:dyDescent="0.25">
      <c r="A39" s="223"/>
      <c r="B39" s="281"/>
      <c r="C39" s="281"/>
      <c r="D39" s="281"/>
      <c r="E39" s="224"/>
      <c r="F39" s="192"/>
      <c r="G39" s="193"/>
      <c r="H39" s="223"/>
      <c r="I39" s="281"/>
      <c r="J39" s="225"/>
      <c r="K39" s="225"/>
      <c r="L39" s="226"/>
      <c r="M39" s="226"/>
      <c r="N39" s="181">
        <f t="shared" si="0"/>
        <v>0</v>
      </c>
      <c r="O39" s="227"/>
      <c r="P39" s="227"/>
      <c r="Q39" s="223"/>
      <c r="R39" s="781"/>
      <c r="S39" s="781"/>
    </row>
    <row r="40" spans="1:19" ht="21" customHeight="1" x14ac:dyDescent="0.25">
      <c r="A40" s="223"/>
      <c r="B40" s="281"/>
      <c r="C40" s="281"/>
      <c r="D40" s="281"/>
      <c r="E40" s="224"/>
      <c r="F40" s="192"/>
      <c r="G40" s="193"/>
      <c r="H40" s="223"/>
      <c r="I40" s="281"/>
      <c r="J40" s="225"/>
      <c r="K40" s="225"/>
      <c r="L40" s="226"/>
      <c r="M40" s="226"/>
      <c r="N40" s="181">
        <f t="shared" si="0"/>
        <v>0</v>
      </c>
      <c r="O40" s="227"/>
      <c r="P40" s="227"/>
      <c r="Q40" s="223"/>
      <c r="R40" s="781"/>
      <c r="S40" s="781"/>
    </row>
    <row r="41" spans="1:19" ht="21" customHeight="1" x14ac:dyDescent="0.25">
      <c r="A41" s="223"/>
      <c r="B41" s="281"/>
      <c r="C41" s="281"/>
      <c r="D41" s="281"/>
      <c r="E41" s="224"/>
      <c r="F41" s="192"/>
      <c r="G41" s="193"/>
      <c r="H41" s="223"/>
      <c r="I41" s="281"/>
      <c r="J41" s="225"/>
      <c r="K41" s="225"/>
      <c r="L41" s="226"/>
      <c r="M41" s="226"/>
      <c r="N41" s="181">
        <f t="shared" si="0"/>
        <v>0</v>
      </c>
      <c r="O41" s="227"/>
      <c r="P41" s="227"/>
      <c r="Q41" s="223"/>
      <c r="R41" s="781"/>
      <c r="S41" s="781"/>
    </row>
    <row r="42" spans="1:19" ht="21" customHeight="1" x14ac:dyDescent="0.25">
      <c r="A42" s="223"/>
      <c r="B42" s="281"/>
      <c r="C42" s="281"/>
      <c r="D42" s="281"/>
      <c r="E42" s="224"/>
      <c r="F42" s="192"/>
      <c r="G42" s="193"/>
      <c r="H42" s="223"/>
      <c r="I42" s="281"/>
      <c r="J42" s="225"/>
      <c r="K42" s="225"/>
      <c r="L42" s="226"/>
      <c r="M42" s="226"/>
      <c r="N42" s="181">
        <f t="shared" si="0"/>
        <v>0</v>
      </c>
      <c r="O42" s="227"/>
      <c r="P42" s="227"/>
      <c r="Q42" s="223"/>
      <c r="R42" s="781"/>
      <c r="S42" s="781"/>
    </row>
    <row r="43" spans="1:19" ht="21" customHeight="1" x14ac:dyDescent="0.25">
      <c r="A43" s="223"/>
      <c r="B43" s="281"/>
      <c r="C43" s="281"/>
      <c r="D43" s="281"/>
      <c r="E43" s="224"/>
      <c r="F43" s="192"/>
      <c r="G43" s="193"/>
      <c r="H43" s="223"/>
      <c r="I43" s="281"/>
      <c r="J43" s="225"/>
      <c r="K43" s="225"/>
      <c r="L43" s="226"/>
      <c r="M43" s="226"/>
      <c r="N43" s="181">
        <f t="shared" si="0"/>
        <v>0</v>
      </c>
      <c r="O43" s="227"/>
      <c r="P43" s="227"/>
      <c r="Q43" s="223"/>
      <c r="R43" s="781"/>
      <c r="S43" s="781"/>
    </row>
    <row r="44" spans="1:19" ht="21" customHeight="1" x14ac:dyDescent="0.25">
      <c r="A44" s="223"/>
      <c r="B44" s="281"/>
      <c r="C44" s="281"/>
      <c r="D44" s="281"/>
      <c r="E44" s="224"/>
      <c r="F44" s="192"/>
      <c r="G44" s="193"/>
      <c r="H44" s="223"/>
      <c r="I44" s="281"/>
      <c r="J44" s="225"/>
      <c r="K44" s="225"/>
      <c r="L44" s="226"/>
      <c r="M44" s="226"/>
      <c r="N44" s="181">
        <f t="shared" si="0"/>
        <v>0</v>
      </c>
      <c r="O44" s="227"/>
      <c r="P44" s="227"/>
      <c r="Q44" s="223"/>
      <c r="R44" s="781"/>
      <c r="S44" s="781"/>
    </row>
    <row r="45" spans="1:19" ht="21" customHeight="1" x14ac:dyDescent="0.25">
      <c r="A45" s="223"/>
      <c r="B45" s="281"/>
      <c r="C45" s="281"/>
      <c r="D45" s="281"/>
      <c r="E45" s="224"/>
      <c r="F45" s="192"/>
      <c r="G45" s="193"/>
      <c r="H45" s="223"/>
      <c r="I45" s="281"/>
      <c r="J45" s="225"/>
      <c r="K45" s="225"/>
      <c r="L45" s="226"/>
      <c r="M45" s="226"/>
      <c r="N45" s="181">
        <f t="shared" si="0"/>
        <v>0</v>
      </c>
      <c r="O45" s="227"/>
      <c r="P45" s="227"/>
      <c r="Q45" s="223"/>
      <c r="R45" s="781"/>
      <c r="S45" s="781"/>
    </row>
    <row r="46" spans="1:19" ht="21" customHeight="1" x14ac:dyDescent="0.25">
      <c r="A46" s="223"/>
      <c r="B46" s="281"/>
      <c r="C46" s="281"/>
      <c r="D46" s="281"/>
      <c r="E46" s="224"/>
      <c r="F46" s="192"/>
      <c r="G46" s="193"/>
      <c r="H46" s="223"/>
      <c r="I46" s="281"/>
      <c r="J46" s="225"/>
      <c r="K46" s="225"/>
      <c r="L46" s="226"/>
      <c r="M46" s="226"/>
      <c r="N46" s="181">
        <f t="shared" si="0"/>
        <v>0</v>
      </c>
      <c r="O46" s="227"/>
      <c r="P46" s="227"/>
      <c r="Q46" s="223"/>
      <c r="R46" s="781"/>
      <c r="S46" s="781"/>
    </row>
    <row r="47" spans="1:19" ht="21" customHeight="1" x14ac:dyDescent="0.25">
      <c r="A47" s="223"/>
      <c r="B47" s="281"/>
      <c r="C47" s="281"/>
      <c r="D47" s="281"/>
      <c r="E47" s="224"/>
      <c r="F47" s="192"/>
      <c r="G47" s="193"/>
      <c r="H47" s="223"/>
      <c r="I47" s="281"/>
      <c r="J47" s="225"/>
      <c r="K47" s="225"/>
      <c r="L47" s="226"/>
      <c r="M47" s="226"/>
      <c r="N47" s="181">
        <f t="shared" si="0"/>
        <v>0</v>
      </c>
      <c r="O47" s="227"/>
      <c r="P47" s="227"/>
      <c r="Q47" s="223"/>
      <c r="R47" s="781"/>
      <c r="S47" s="781"/>
    </row>
    <row r="48" spans="1:19" ht="21" customHeight="1" x14ac:dyDescent="0.25">
      <c r="A48" s="223"/>
      <c r="B48" s="281"/>
      <c r="C48" s="281"/>
      <c r="D48" s="281"/>
      <c r="E48" s="224"/>
      <c r="F48" s="192"/>
      <c r="G48" s="193"/>
      <c r="H48" s="223"/>
      <c r="I48" s="281"/>
      <c r="J48" s="225"/>
      <c r="K48" s="225"/>
      <c r="L48" s="226"/>
      <c r="M48" s="226"/>
      <c r="N48" s="181">
        <f t="shared" si="0"/>
        <v>0</v>
      </c>
      <c r="O48" s="227"/>
      <c r="P48" s="227"/>
      <c r="Q48" s="223"/>
      <c r="R48" s="781"/>
      <c r="S48" s="781"/>
    </row>
    <row r="49" spans="1:19" ht="21" customHeight="1" x14ac:dyDescent="0.25">
      <c r="A49" s="223"/>
      <c r="B49" s="281"/>
      <c r="C49" s="281"/>
      <c r="D49" s="281"/>
      <c r="E49" s="224"/>
      <c r="F49" s="192"/>
      <c r="G49" s="193"/>
      <c r="H49" s="223"/>
      <c r="I49" s="281"/>
      <c r="J49" s="225"/>
      <c r="K49" s="225"/>
      <c r="L49" s="226"/>
      <c r="M49" s="226"/>
      <c r="N49" s="181">
        <f t="shared" si="0"/>
        <v>0</v>
      </c>
      <c r="O49" s="227"/>
      <c r="P49" s="227"/>
      <c r="Q49" s="223"/>
      <c r="R49" s="781"/>
      <c r="S49" s="781"/>
    </row>
    <row r="50" spans="1:19" ht="21" customHeight="1" x14ac:dyDescent="0.25">
      <c r="A50" s="223"/>
      <c r="B50" s="281"/>
      <c r="C50" s="281"/>
      <c r="D50" s="281"/>
      <c r="E50" s="224"/>
      <c r="F50" s="192"/>
      <c r="G50" s="193"/>
      <c r="H50" s="223"/>
      <c r="I50" s="281"/>
      <c r="J50" s="225"/>
      <c r="K50" s="225"/>
      <c r="L50" s="226"/>
      <c r="M50" s="226"/>
      <c r="N50" s="181">
        <f t="shared" si="0"/>
        <v>0</v>
      </c>
      <c r="O50" s="227"/>
      <c r="P50" s="227"/>
      <c r="Q50" s="223"/>
      <c r="R50" s="781"/>
      <c r="S50" s="781"/>
    </row>
    <row r="51" spans="1:19" ht="21" customHeight="1" x14ac:dyDescent="0.25">
      <c r="A51" s="223"/>
      <c r="B51" s="281"/>
      <c r="C51" s="281"/>
      <c r="D51" s="281"/>
      <c r="E51" s="224"/>
      <c r="F51" s="192"/>
      <c r="G51" s="193"/>
      <c r="H51" s="223"/>
      <c r="I51" s="281"/>
      <c r="J51" s="225"/>
      <c r="K51" s="225"/>
      <c r="L51" s="226"/>
      <c r="M51" s="226"/>
      <c r="N51" s="181">
        <f t="shared" si="0"/>
        <v>0</v>
      </c>
      <c r="O51" s="227"/>
      <c r="P51" s="227"/>
      <c r="Q51" s="223"/>
      <c r="R51" s="781"/>
      <c r="S51" s="781"/>
    </row>
    <row r="52" spans="1:19" ht="21" customHeight="1" x14ac:dyDescent="0.25">
      <c r="A52" s="223"/>
      <c r="B52" s="281"/>
      <c r="C52" s="281"/>
      <c r="D52" s="281"/>
      <c r="E52" s="224"/>
      <c r="F52" s="192"/>
      <c r="G52" s="193"/>
      <c r="H52" s="223"/>
      <c r="I52" s="281"/>
      <c r="J52" s="225"/>
      <c r="K52" s="225"/>
      <c r="L52" s="226"/>
      <c r="M52" s="226"/>
      <c r="N52" s="181">
        <f t="shared" si="0"/>
        <v>0</v>
      </c>
      <c r="O52" s="227"/>
      <c r="P52" s="227"/>
      <c r="Q52" s="223"/>
      <c r="R52" s="781"/>
      <c r="S52" s="781"/>
    </row>
    <row r="53" spans="1:19" ht="21" customHeight="1" x14ac:dyDescent="0.25">
      <c r="A53" s="223"/>
      <c r="B53" s="281"/>
      <c r="C53" s="281"/>
      <c r="D53" s="281"/>
      <c r="E53" s="224"/>
      <c r="F53" s="192"/>
      <c r="G53" s="193"/>
      <c r="H53" s="223"/>
      <c r="I53" s="281"/>
      <c r="J53" s="225"/>
      <c r="K53" s="225"/>
      <c r="L53" s="226"/>
      <c r="M53" s="226"/>
      <c r="N53" s="181">
        <f t="shared" si="0"/>
        <v>0</v>
      </c>
      <c r="O53" s="227"/>
      <c r="P53" s="227"/>
      <c r="Q53" s="223"/>
      <c r="R53" s="781"/>
      <c r="S53" s="781"/>
    </row>
    <row r="54" spans="1:19" ht="21" customHeight="1" x14ac:dyDescent="0.25">
      <c r="A54" s="223"/>
      <c r="B54" s="281"/>
      <c r="C54" s="281"/>
      <c r="D54" s="281"/>
      <c r="E54" s="224"/>
      <c r="F54" s="192"/>
      <c r="G54" s="193"/>
      <c r="H54" s="223"/>
      <c r="I54" s="281"/>
      <c r="J54" s="225"/>
      <c r="K54" s="225"/>
      <c r="L54" s="226"/>
      <c r="M54" s="226"/>
      <c r="N54" s="181">
        <f t="shared" si="0"/>
        <v>0</v>
      </c>
      <c r="O54" s="227"/>
      <c r="P54" s="227"/>
      <c r="Q54" s="223"/>
      <c r="R54" s="781"/>
      <c r="S54" s="781"/>
    </row>
    <row r="55" spans="1:19" ht="21" customHeight="1" x14ac:dyDescent="0.25">
      <c r="A55" s="223"/>
      <c r="B55" s="281"/>
      <c r="C55" s="281"/>
      <c r="D55" s="281"/>
      <c r="E55" s="224"/>
      <c r="F55" s="192"/>
      <c r="G55" s="193"/>
      <c r="H55" s="223"/>
      <c r="I55" s="281"/>
      <c r="J55" s="225"/>
      <c r="K55" s="225"/>
      <c r="L55" s="226"/>
      <c r="M55" s="226"/>
      <c r="N55" s="181">
        <f t="shared" si="0"/>
        <v>0</v>
      </c>
      <c r="O55" s="227"/>
      <c r="P55" s="227"/>
      <c r="Q55" s="223"/>
      <c r="R55" s="781"/>
      <c r="S55" s="781"/>
    </row>
    <row r="56" spans="1:19" ht="21" customHeight="1" x14ac:dyDescent="0.25">
      <c r="A56" s="223"/>
      <c r="B56" s="281"/>
      <c r="C56" s="281"/>
      <c r="D56" s="281"/>
      <c r="E56" s="224"/>
      <c r="F56" s="192"/>
      <c r="G56" s="193"/>
      <c r="H56" s="223"/>
      <c r="I56" s="281"/>
      <c r="J56" s="225"/>
      <c r="K56" s="225"/>
      <c r="L56" s="226"/>
      <c r="M56" s="226"/>
      <c r="N56" s="181">
        <f t="shared" si="0"/>
        <v>0</v>
      </c>
      <c r="O56" s="227"/>
      <c r="P56" s="227"/>
      <c r="Q56" s="223"/>
      <c r="R56" s="781"/>
      <c r="S56" s="781"/>
    </row>
    <row r="57" spans="1:19" ht="21" customHeight="1" x14ac:dyDescent="0.25">
      <c r="A57" s="223"/>
      <c r="B57" s="281"/>
      <c r="C57" s="281"/>
      <c r="D57" s="281"/>
      <c r="E57" s="224"/>
      <c r="F57" s="192"/>
      <c r="G57" s="193"/>
      <c r="H57" s="223"/>
      <c r="I57" s="281"/>
      <c r="J57" s="225"/>
      <c r="K57" s="225"/>
      <c r="L57" s="226"/>
      <c r="M57" s="226"/>
      <c r="N57" s="181">
        <f t="shared" si="0"/>
        <v>0</v>
      </c>
      <c r="O57" s="227"/>
      <c r="P57" s="227"/>
      <c r="Q57" s="223"/>
      <c r="R57" s="781"/>
      <c r="S57" s="781"/>
    </row>
    <row r="58" spans="1:19" ht="21" customHeight="1" x14ac:dyDescent="0.25">
      <c r="A58" s="223"/>
      <c r="B58" s="281"/>
      <c r="C58" s="281"/>
      <c r="D58" s="281"/>
      <c r="E58" s="224"/>
      <c r="F58" s="192"/>
      <c r="G58" s="193"/>
      <c r="H58" s="223"/>
      <c r="I58" s="281"/>
      <c r="J58" s="225"/>
      <c r="K58" s="225"/>
      <c r="L58" s="226"/>
      <c r="M58" s="226"/>
      <c r="N58" s="181">
        <f t="shared" si="0"/>
        <v>0</v>
      </c>
      <c r="O58" s="227"/>
      <c r="P58" s="227"/>
      <c r="Q58" s="223"/>
      <c r="R58" s="781"/>
      <c r="S58" s="781"/>
    </row>
    <row r="59" spans="1:19" ht="21" customHeight="1" x14ac:dyDescent="0.25">
      <c r="A59" s="223"/>
      <c r="B59" s="281"/>
      <c r="C59" s="281"/>
      <c r="D59" s="281"/>
      <c r="E59" s="224"/>
      <c r="F59" s="192"/>
      <c r="G59" s="193"/>
      <c r="H59" s="223"/>
      <c r="I59" s="281"/>
      <c r="J59" s="225"/>
      <c r="K59" s="225"/>
      <c r="L59" s="226"/>
      <c r="M59" s="226"/>
      <c r="N59" s="181">
        <f t="shared" si="0"/>
        <v>0</v>
      </c>
      <c r="O59" s="227"/>
      <c r="P59" s="227"/>
      <c r="Q59" s="223"/>
      <c r="R59" s="781"/>
      <c r="S59" s="781"/>
    </row>
    <row r="60" spans="1:19" ht="21" customHeight="1" x14ac:dyDescent="0.25">
      <c r="A60" s="223"/>
      <c r="B60" s="281"/>
      <c r="C60" s="281"/>
      <c r="D60" s="281"/>
      <c r="E60" s="224"/>
      <c r="F60" s="192"/>
      <c r="G60" s="193"/>
      <c r="H60" s="223"/>
      <c r="I60" s="281"/>
      <c r="J60" s="225"/>
      <c r="K60" s="225"/>
      <c r="L60" s="226"/>
      <c r="M60" s="226"/>
      <c r="N60" s="181">
        <f t="shared" si="0"/>
        <v>0</v>
      </c>
      <c r="O60" s="227"/>
      <c r="P60" s="227"/>
      <c r="Q60" s="223"/>
      <c r="R60" s="781"/>
      <c r="S60" s="781"/>
    </row>
    <row r="61" spans="1:19" ht="21" customHeight="1" x14ac:dyDescent="0.25">
      <c r="A61" s="223"/>
      <c r="B61" s="281"/>
      <c r="C61" s="281"/>
      <c r="D61" s="281"/>
      <c r="E61" s="224"/>
      <c r="F61" s="192"/>
      <c r="G61" s="193"/>
      <c r="H61" s="223"/>
      <c r="I61" s="281"/>
      <c r="J61" s="225"/>
      <c r="K61" s="225"/>
      <c r="L61" s="226"/>
      <c r="M61" s="226"/>
      <c r="N61" s="181">
        <f t="shared" si="0"/>
        <v>0</v>
      </c>
      <c r="O61" s="227"/>
      <c r="P61" s="227"/>
      <c r="Q61" s="223"/>
      <c r="R61" s="781"/>
      <c r="S61" s="781"/>
    </row>
    <row r="62" spans="1:19" ht="21" customHeight="1" x14ac:dyDescent="0.25">
      <c r="A62" s="223"/>
      <c r="B62" s="281"/>
      <c r="C62" s="281"/>
      <c r="D62" s="281"/>
      <c r="E62" s="224"/>
      <c r="F62" s="192"/>
      <c r="G62" s="193"/>
      <c r="H62" s="223"/>
      <c r="I62" s="281"/>
      <c r="J62" s="225"/>
      <c r="K62" s="225"/>
      <c r="L62" s="226"/>
      <c r="M62" s="226"/>
      <c r="N62" s="181">
        <f t="shared" si="0"/>
        <v>0</v>
      </c>
      <c r="O62" s="227"/>
      <c r="P62" s="227"/>
      <c r="Q62" s="223"/>
      <c r="R62" s="781"/>
      <c r="S62" s="781"/>
    </row>
    <row r="63" spans="1:19" ht="21" customHeight="1" x14ac:dyDescent="0.25">
      <c r="A63" s="223"/>
      <c r="B63" s="281"/>
      <c r="C63" s="281"/>
      <c r="D63" s="281"/>
      <c r="E63" s="224"/>
      <c r="F63" s="192"/>
      <c r="G63" s="193"/>
      <c r="H63" s="223"/>
      <c r="I63" s="281"/>
      <c r="J63" s="225"/>
      <c r="K63" s="225"/>
      <c r="L63" s="226"/>
      <c r="M63" s="226"/>
      <c r="N63" s="181">
        <f t="shared" si="0"/>
        <v>0</v>
      </c>
      <c r="O63" s="227"/>
      <c r="P63" s="227"/>
      <c r="Q63" s="223"/>
      <c r="R63" s="781"/>
      <c r="S63" s="781"/>
    </row>
    <row r="64" spans="1:19" ht="21" customHeight="1" x14ac:dyDescent="0.25">
      <c r="A64" s="223"/>
      <c r="B64" s="281"/>
      <c r="C64" s="281"/>
      <c r="D64" s="281"/>
      <c r="E64" s="224"/>
      <c r="F64" s="192"/>
      <c r="G64" s="193"/>
      <c r="H64" s="223"/>
      <c r="I64" s="281"/>
      <c r="J64" s="225"/>
      <c r="K64" s="225"/>
      <c r="L64" s="226"/>
      <c r="M64" s="226"/>
      <c r="N64" s="181">
        <f t="shared" si="0"/>
        <v>0</v>
      </c>
      <c r="O64" s="227"/>
      <c r="P64" s="227"/>
      <c r="Q64" s="223"/>
      <c r="R64" s="781"/>
      <c r="S64" s="781"/>
    </row>
    <row r="65" spans="1:19" ht="15.75" x14ac:dyDescent="0.25">
      <c r="A65" s="223"/>
      <c r="B65" s="281"/>
      <c r="C65" s="281"/>
      <c r="D65" s="281"/>
      <c r="E65" s="224"/>
      <c r="F65" s="192"/>
      <c r="G65" s="193"/>
      <c r="H65" s="223"/>
      <c r="I65" s="281"/>
      <c r="J65" s="225"/>
      <c r="K65" s="225"/>
      <c r="L65" s="226"/>
      <c r="M65" s="226"/>
      <c r="N65" s="181">
        <f t="shared" si="0"/>
        <v>0</v>
      </c>
      <c r="O65" s="227"/>
      <c r="P65" s="227"/>
      <c r="Q65" s="223"/>
      <c r="R65" s="781"/>
      <c r="S65" s="781"/>
    </row>
    <row r="66" spans="1:19" ht="15.75" x14ac:dyDescent="0.25">
      <c r="A66" s="223"/>
      <c r="B66" s="281"/>
      <c r="C66" s="281"/>
      <c r="D66" s="281"/>
      <c r="E66" s="224"/>
      <c r="F66" s="192"/>
      <c r="G66" s="193"/>
      <c r="H66" s="223"/>
      <c r="I66" s="281"/>
      <c r="J66" s="225"/>
      <c r="K66" s="225"/>
      <c r="L66" s="226"/>
      <c r="M66" s="226"/>
      <c r="N66" s="181">
        <f t="shared" si="0"/>
        <v>0</v>
      </c>
      <c r="O66" s="227"/>
      <c r="P66" s="227"/>
      <c r="Q66" s="223"/>
      <c r="R66" s="781"/>
      <c r="S66" s="781"/>
    </row>
    <row r="67" spans="1:19" ht="15.75" x14ac:dyDescent="0.25">
      <c r="A67" s="223"/>
      <c r="B67" s="281"/>
      <c r="C67" s="281"/>
      <c r="D67" s="281"/>
      <c r="E67" s="224"/>
      <c r="F67" s="192"/>
      <c r="G67" s="193"/>
      <c r="H67" s="223"/>
      <c r="I67" s="281"/>
      <c r="J67" s="225"/>
      <c r="K67" s="225"/>
      <c r="L67" s="226"/>
      <c r="M67" s="226"/>
      <c r="N67" s="181">
        <f t="shared" si="0"/>
        <v>0</v>
      </c>
      <c r="O67" s="227"/>
      <c r="P67" s="227"/>
      <c r="Q67" s="223"/>
      <c r="R67" s="781"/>
      <c r="S67" s="781"/>
    </row>
    <row r="68" spans="1:19" ht="15.75" x14ac:dyDescent="0.25">
      <c r="A68" s="223"/>
      <c r="B68" s="281"/>
      <c r="C68" s="281"/>
      <c r="D68" s="281"/>
      <c r="E68" s="224"/>
      <c r="F68" s="192"/>
      <c r="G68" s="193"/>
      <c r="H68" s="223"/>
      <c r="I68" s="281"/>
      <c r="J68" s="225"/>
      <c r="K68" s="225"/>
      <c r="L68" s="226"/>
      <c r="M68" s="226"/>
      <c r="N68" s="181">
        <f t="shared" si="0"/>
        <v>0</v>
      </c>
      <c r="O68" s="227"/>
      <c r="P68" s="227"/>
      <c r="Q68" s="223"/>
      <c r="R68" s="781"/>
      <c r="S68" s="781"/>
    </row>
    <row r="69" spans="1:19" ht="15.75" x14ac:dyDescent="0.25">
      <c r="A69" s="223"/>
      <c r="B69" s="281"/>
      <c r="C69" s="281"/>
      <c r="D69" s="281"/>
      <c r="E69" s="224"/>
      <c r="F69" s="192"/>
      <c r="G69" s="193"/>
      <c r="H69" s="223"/>
      <c r="I69" s="281"/>
      <c r="J69" s="225"/>
      <c r="K69" s="225"/>
      <c r="L69" s="226"/>
      <c r="M69" s="226"/>
      <c r="N69" s="181">
        <f t="shared" si="0"/>
        <v>0</v>
      </c>
      <c r="O69" s="227"/>
      <c r="P69" s="227"/>
      <c r="Q69" s="223"/>
      <c r="R69" s="781"/>
      <c r="S69" s="781"/>
    </row>
    <row r="70" spans="1:19" ht="15.75" x14ac:dyDescent="0.25">
      <c r="A70" s="223"/>
      <c r="B70" s="281"/>
      <c r="C70" s="281"/>
      <c r="D70" s="281"/>
      <c r="E70" s="224"/>
      <c r="F70" s="192"/>
      <c r="G70" s="193"/>
      <c r="H70" s="223"/>
      <c r="I70" s="281"/>
      <c r="J70" s="225"/>
      <c r="K70" s="225"/>
      <c r="L70" s="226"/>
      <c r="M70" s="226"/>
      <c r="N70" s="181">
        <f t="shared" ref="N70:N133" si="1">M70+L70</f>
        <v>0</v>
      </c>
      <c r="O70" s="227"/>
      <c r="P70" s="227"/>
      <c r="Q70" s="223"/>
      <c r="R70" s="781"/>
      <c r="S70" s="781"/>
    </row>
    <row r="71" spans="1:19" ht="15.75" x14ac:dyDescent="0.25">
      <c r="A71" s="223"/>
      <c r="B71" s="281"/>
      <c r="C71" s="281"/>
      <c r="D71" s="281"/>
      <c r="E71" s="224"/>
      <c r="F71" s="192"/>
      <c r="G71" s="193"/>
      <c r="H71" s="223"/>
      <c r="I71" s="281"/>
      <c r="J71" s="225"/>
      <c r="K71" s="225"/>
      <c r="L71" s="226"/>
      <c r="M71" s="226"/>
      <c r="N71" s="181">
        <f t="shared" si="1"/>
        <v>0</v>
      </c>
      <c r="O71" s="227"/>
      <c r="P71" s="227"/>
      <c r="Q71" s="223"/>
      <c r="R71" s="781"/>
      <c r="S71" s="781"/>
    </row>
    <row r="72" spans="1:19" ht="15.75" x14ac:dyDescent="0.25">
      <c r="A72" s="223"/>
      <c r="B72" s="281"/>
      <c r="C72" s="281"/>
      <c r="D72" s="281"/>
      <c r="E72" s="224"/>
      <c r="F72" s="192"/>
      <c r="G72" s="193"/>
      <c r="H72" s="223"/>
      <c r="I72" s="281"/>
      <c r="J72" s="225"/>
      <c r="K72" s="225"/>
      <c r="L72" s="226"/>
      <c r="M72" s="226"/>
      <c r="N72" s="181">
        <f t="shared" si="1"/>
        <v>0</v>
      </c>
      <c r="O72" s="227"/>
      <c r="P72" s="227"/>
      <c r="Q72" s="223"/>
      <c r="R72" s="781"/>
      <c r="S72" s="781"/>
    </row>
    <row r="73" spans="1:19" ht="15.75" x14ac:dyDescent="0.25">
      <c r="A73" s="223"/>
      <c r="B73" s="281"/>
      <c r="C73" s="281"/>
      <c r="D73" s="281"/>
      <c r="E73" s="224"/>
      <c r="F73" s="192"/>
      <c r="G73" s="193"/>
      <c r="H73" s="223"/>
      <c r="I73" s="281"/>
      <c r="J73" s="225"/>
      <c r="K73" s="225"/>
      <c r="L73" s="226"/>
      <c r="M73" s="226"/>
      <c r="N73" s="181">
        <f t="shared" si="1"/>
        <v>0</v>
      </c>
      <c r="O73" s="227"/>
      <c r="P73" s="227"/>
      <c r="Q73" s="223"/>
      <c r="R73" s="781"/>
      <c r="S73" s="781"/>
    </row>
    <row r="74" spans="1:19" ht="15.75" x14ac:dyDescent="0.25">
      <c r="A74" s="223"/>
      <c r="B74" s="281"/>
      <c r="C74" s="281"/>
      <c r="D74" s="281"/>
      <c r="E74" s="224"/>
      <c r="F74" s="192"/>
      <c r="G74" s="193"/>
      <c r="H74" s="223"/>
      <c r="I74" s="281"/>
      <c r="J74" s="225"/>
      <c r="K74" s="225"/>
      <c r="L74" s="226"/>
      <c r="M74" s="226"/>
      <c r="N74" s="181">
        <f t="shared" si="1"/>
        <v>0</v>
      </c>
      <c r="O74" s="227"/>
      <c r="P74" s="227"/>
      <c r="Q74" s="223"/>
      <c r="R74" s="781"/>
      <c r="S74" s="781"/>
    </row>
    <row r="75" spans="1:19" ht="15.75" x14ac:dyDescent="0.25">
      <c r="A75" s="223"/>
      <c r="B75" s="281"/>
      <c r="C75" s="281"/>
      <c r="D75" s="281"/>
      <c r="E75" s="224"/>
      <c r="F75" s="192"/>
      <c r="G75" s="193"/>
      <c r="H75" s="223"/>
      <c r="I75" s="281"/>
      <c r="J75" s="225"/>
      <c r="K75" s="225"/>
      <c r="L75" s="226"/>
      <c r="M75" s="226"/>
      <c r="N75" s="181">
        <f t="shared" si="1"/>
        <v>0</v>
      </c>
      <c r="O75" s="227"/>
      <c r="P75" s="227"/>
      <c r="Q75" s="223"/>
      <c r="R75" s="781"/>
      <c r="S75" s="781"/>
    </row>
    <row r="76" spans="1:19" ht="15.75" x14ac:dyDescent="0.25">
      <c r="A76" s="223"/>
      <c r="B76" s="281"/>
      <c r="C76" s="281"/>
      <c r="D76" s="281"/>
      <c r="E76" s="224"/>
      <c r="F76" s="192"/>
      <c r="G76" s="193"/>
      <c r="H76" s="223"/>
      <c r="I76" s="281"/>
      <c r="J76" s="225"/>
      <c r="K76" s="225"/>
      <c r="L76" s="226"/>
      <c r="M76" s="226"/>
      <c r="N76" s="181">
        <f t="shared" si="1"/>
        <v>0</v>
      </c>
      <c r="O76" s="227"/>
      <c r="P76" s="227"/>
      <c r="Q76" s="223"/>
      <c r="R76" s="781"/>
      <c r="S76" s="781"/>
    </row>
    <row r="77" spans="1:19" ht="15.75" x14ac:dyDescent="0.25">
      <c r="A77" s="223"/>
      <c r="B77" s="281"/>
      <c r="C77" s="281"/>
      <c r="D77" s="281"/>
      <c r="E77" s="224"/>
      <c r="F77" s="192"/>
      <c r="G77" s="193"/>
      <c r="H77" s="223"/>
      <c r="I77" s="281"/>
      <c r="J77" s="225"/>
      <c r="K77" s="225"/>
      <c r="L77" s="226"/>
      <c r="M77" s="226"/>
      <c r="N77" s="181">
        <f t="shared" si="1"/>
        <v>0</v>
      </c>
      <c r="O77" s="227"/>
      <c r="P77" s="227"/>
      <c r="Q77" s="223"/>
      <c r="R77" s="781"/>
      <c r="S77" s="781"/>
    </row>
    <row r="78" spans="1:19" ht="15.75" x14ac:dyDescent="0.25">
      <c r="A78" s="223"/>
      <c r="B78" s="281"/>
      <c r="C78" s="281"/>
      <c r="D78" s="281"/>
      <c r="E78" s="224"/>
      <c r="F78" s="192"/>
      <c r="G78" s="193"/>
      <c r="H78" s="223"/>
      <c r="I78" s="281"/>
      <c r="J78" s="225"/>
      <c r="K78" s="225"/>
      <c r="L78" s="226"/>
      <c r="M78" s="226"/>
      <c r="N78" s="181">
        <f t="shared" si="1"/>
        <v>0</v>
      </c>
      <c r="O78" s="227"/>
      <c r="P78" s="227"/>
      <c r="Q78" s="223"/>
      <c r="R78" s="781"/>
      <c r="S78" s="781"/>
    </row>
    <row r="79" spans="1:19" ht="15.75" x14ac:dyDescent="0.25">
      <c r="A79" s="223"/>
      <c r="B79" s="281"/>
      <c r="C79" s="281"/>
      <c r="D79" s="281"/>
      <c r="E79" s="224"/>
      <c r="F79" s="192"/>
      <c r="G79" s="193"/>
      <c r="H79" s="223"/>
      <c r="I79" s="281"/>
      <c r="J79" s="225"/>
      <c r="K79" s="225"/>
      <c r="L79" s="226"/>
      <c r="M79" s="226"/>
      <c r="N79" s="181">
        <f t="shared" si="1"/>
        <v>0</v>
      </c>
      <c r="O79" s="227"/>
      <c r="P79" s="227"/>
      <c r="Q79" s="223"/>
      <c r="R79" s="781"/>
      <c r="S79" s="781"/>
    </row>
    <row r="80" spans="1:19" ht="15.75" x14ac:dyDescent="0.25">
      <c r="A80" s="223"/>
      <c r="B80" s="281"/>
      <c r="C80" s="281"/>
      <c r="D80" s="281"/>
      <c r="E80" s="224"/>
      <c r="F80" s="192"/>
      <c r="G80" s="193"/>
      <c r="H80" s="223"/>
      <c r="I80" s="281"/>
      <c r="J80" s="225"/>
      <c r="K80" s="225"/>
      <c r="L80" s="226"/>
      <c r="M80" s="226"/>
      <c r="N80" s="181">
        <f t="shared" si="1"/>
        <v>0</v>
      </c>
      <c r="O80" s="227"/>
      <c r="P80" s="227"/>
      <c r="Q80" s="223"/>
      <c r="R80" s="781"/>
      <c r="S80" s="781"/>
    </row>
    <row r="81" spans="1:19" ht="15.75" x14ac:dyDescent="0.25">
      <c r="A81" s="223"/>
      <c r="B81" s="281"/>
      <c r="C81" s="281"/>
      <c r="D81" s="281"/>
      <c r="E81" s="224"/>
      <c r="F81" s="192"/>
      <c r="G81" s="193"/>
      <c r="H81" s="223"/>
      <c r="I81" s="281"/>
      <c r="J81" s="225"/>
      <c r="K81" s="225"/>
      <c r="L81" s="226"/>
      <c r="M81" s="226"/>
      <c r="N81" s="181">
        <f t="shared" si="1"/>
        <v>0</v>
      </c>
      <c r="O81" s="227"/>
      <c r="P81" s="227"/>
      <c r="Q81" s="223"/>
      <c r="R81" s="781"/>
      <c r="S81" s="781"/>
    </row>
    <row r="82" spans="1:19" ht="15.75" x14ac:dyDescent="0.25">
      <c r="A82" s="223"/>
      <c r="B82" s="281"/>
      <c r="C82" s="281"/>
      <c r="D82" s="281"/>
      <c r="E82" s="224"/>
      <c r="F82" s="192"/>
      <c r="G82" s="193"/>
      <c r="H82" s="223"/>
      <c r="I82" s="281"/>
      <c r="J82" s="225"/>
      <c r="K82" s="225"/>
      <c r="L82" s="226"/>
      <c r="M82" s="226"/>
      <c r="N82" s="181">
        <f t="shared" si="1"/>
        <v>0</v>
      </c>
      <c r="O82" s="227"/>
      <c r="P82" s="227"/>
      <c r="Q82" s="223"/>
      <c r="R82" s="781"/>
      <c r="S82" s="781"/>
    </row>
    <row r="83" spans="1:19" ht="15.75" x14ac:dyDescent="0.25">
      <c r="A83" s="223"/>
      <c r="B83" s="281"/>
      <c r="C83" s="281"/>
      <c r="D83" s="281"/>
      <c r="E83" s="224"/>
      <c r="F83" s="192"/>
      <c r="G83" s="193"/>
      <c r="H83" s="223"/>
      <c r="I83" s="281"/>
      <c r="J83" s="225"/>
      <c r="K83" s="225"/>
      <c r="L83" s="226"/>
      <c r="M83" s="226"/>
      <c r="N83" s="181">
        <f t="shared" si="1"/>
        <v>0</v>
      </c>
      <c r="O83" s="227"/>
      <c r="P83" s="227"/>
      <c r="Q83" s="223"/>
      <c r="R83" s="781"/>
      <c r="S83" s="781"/>
    </row>
    <row r="84" spans="1:19" ht="15.75" x14ac:dyDescent="0.25">
      <c r="A84" s="223"/>
      <c r="B84" s="281"/>
      <c r="C84" s="281"/>
      <c r="D84" s="281"/>
      <c r="E84" s="224"/>
      <c r="F84" s="192"/>
      <c r="G84" s="193"/>
      <c r="H84" s="223"/>
      <c r="I84" s="281"/>
      <c r="J84" s="225"/>
      <c r="K84" s="225"/>
      <c r="L84" s="226"/>
      <c r="M84" s="226"/>
      <c r="N84" s="181">
        <f t="shared" si="1"/>
        <v>0</v>
      </c>
      <c r="O84" s="227"/>
      <c r="P84" s="227"/>
      <c r="Q84" s="223"/>
      <c r="R84" s="781"/>
      <c r="S84" s="781"/>
    </row>
    <row r="85" spans="1:19" ht="15.75" x14ac:dyDescent="0.25">
      <c r="A85" s="223"/>
      <c r="B85" s="281"/>
      <c r="C85" s="281"/>
      <c r="D85" s="281"/>
      <c r="E85" s="224"/>
      <c r="F85" s="192"/>
      <c r="G85" s="193"/>
      <c r="H85" s="223"/>
      <c r="I85" s="281"/>
      <c r="J85" s="225"/>
      <c r="K85" s="225"/>
      <c r="L85" s="226"/>
      <c r="M85" s="226"/>
      <c r="N85" s="181">
        <f t="shared" si="1"/>
        <v>0</v>
      </c>
      <c r="O85" s="227"/>
      <c r="P85" s="227"/>
      <c r="Q85" s="223"/>
      <c r="R85" s="781"/>
      <c r="S85" s="781"/>
    </row>
    <row r="86" spans="1:19" ht="15.75" x14ac:dyDescent="0.25">
      <c r="A86" s="223"/>
      <c r="B86" s="281"/>
      <c r="C86" s="281"/>
      <c r="D86" s="281"/>
      <c r="E86" s="224"/>
      <c r="F86" s="192"/>
      <c r="G86" s="193"/>
      <c r="H86" s="223"/>
      <c r="I86" s="281"/>
      <c r="J86" s="225"/>
      <c r="K86" s="225"/>
      <c r="L86" s="226"/>
      <c r="M86" s="226"/>
      <c r="N86" s="181">
        <f t="shared" si="1"/>
        <v>0</v>
      </c>
      <c r="O86" s="227"/>
      <c r="P86" s="227"/>
      <c r="Q86" s="223"/>
      <c r="R86" s="781"/>
      <c r="S86" s="781"/>
    </row>
    <row r="87" spans="1:19" ht="15.75" x14ac:dyDescent="0.25">
      <c r="A87" s="223"/>
      <c r="B87" s="281"/>
      <c r="C87" s="281"/>
      <c r="D87" s="281"/>
      <c r="E87" s="224"/>
      <c r="F87" s="192"/>
      <c r="G87" s="193"/>
      <c r="H87" s="223"/>
      <c r="I87" s="281"/>
      <c r="J87" s="225"/>
      <c r="K87" s="225"/>
      <c r="L87" s="226"/>
      <c r="M87" s="226"/>
      <c r="N87" s="181">
        <f t="shared" si="1"/>
        <v>0</v>
      </c>
      <c r="O87" s="227"/>
      <c r="P87" s="227"/>
      <c r="Q87" s="223"/>
      <c r="R87" s="781"/>
      <c r="S87" s="781"/>
    </row>
    <row r="88" spans="1:19" ht="15.75" x14ac:dyDescent="0.25">
      <c r="A88" s="223"/>
      <c r="B88" s="281"/>
      <c r="C88" s="281"/>
      <c r="D88" s="281"/>
      <c r="E88" s="224"/>
      <c r="F88" s="192"/>
      <c r="G88" s="193"/>
      <c r="H88" s="223"/>
      <c r="I88" s="281"/>
      <c r="J88" s="225"/>
      <c r="K88" s="225"/>
      <c r="L88" s="226"/>
      <c r="M88" s="226"/>
      <c r="N88" s="181">
        <f t="shared" si="1"/>
        <v>0</v>
      </c>
      <c r="O88" s="227"/>
      <c r="P88" s="227"/>
      <c r="Q88" s="223"/>
      <c r="R88" s="781"/>
      <c r="S88" s="781"/>
    </row>
    <row r="89" spans="1:19" ht="15.75" x14ac:dyDescent="0.25">
      <c r="A89" s="223"/>
      <c r="B89" s="281"/>
      <c r="C89" s="281"/>
      <c r="D89" s="281"/>
      <c r="E89" s="224"/>
      <c r="F89" s="192"/>
      <c r="G89" s="193"/>
      <c r="H89" s="223"/>
      <c r="I89" s="281"/>
      <c r="J89" s="225"/>
      <c r="K89" s="225"/>
      <c r="L89" s="226"/>
      <c r="M89" s="226"/>
      <c r="N89" s="181">
        <f t="shared" si="1"/>
        <v>0</v>
      </c>
      <c r="O89" s="227"/>
      <c r="P89" s="227"/>
      <c r="Q89" s="223"/>
      <c r="R89" s="781"/>
      <c r="S89" s="781"/>
    </row>
    <row r="90" spans="1:19" ht="15.75" x14ac:dyDescent="0.25">
      <c r="A90" s="223"/>
      <c r="B90" s="281"/>
      <c r="C90" s="281"/>
      <c r="D90" s="281"/>
      <c r="E90" s="224"/>
      <c r="F90" s="192"/>
      <c r="G90" s="193"/>
      <c r="H90" s="223"/>
      <c r="I90" s="281"/>
      <c r="J90" s="225"/>
      <c r="K90" s="225"/>
      <c r="L90" s="226"/>
      <c r="M90" s="226"/>
      <c r="N90" s="181">
        <f t="shared" si="1"/>
        <v>0</v>
      </c>
      <c r="O90" s="227"/>
      <c r="P90" s="227"/>
      <c r="Q90" s="223"/>
      <c r="R90" s="781"/>
      <c r="S90" s="781"/>
    </row>
    <row r="91" spans="1:19" ht="15.75" x14ac:dyDescent="0.25">
      <c r="A91" s="223"/>
      <c r="B91" s="281"/>
      <c r="C91" s="281"/>
      <c r="D91" s="281"/>
      <c r="E91" s="224"/>
      <c r="F91" s="192"/>
      <c r="G91" s="193"/>
      <c r="H91" s="223"/>
      <c r="I91" s="281"/>
      <c r="J91" s="225"/>
      <c r="K91" s="225"/>
      <c r="L91" s="226"/>
      <c r="M91" s="226"/>
      <c r="N91" s="181">
        <f t="shared" si="1"/>
        <v>0</v>
      </c>
      <c r="O91" s="227"/>
      <c r="P91" s="227"/>
      <c r="Q91" s="223"/>
      <c r="R91" s="781"/>
      <c r="S91" s="781"/>
    </row>
    <row r="92" spans="1:19" ht="15.75" x14ac:dyDescent="0.25">
      <c r="A92" s="223"/>
      <c r="B92" s="281"/>
      <c r="C92" s="281"/>
      <c r="D92" s="281"/>
      <c r="E92" s="224"/>
      <c r="F92" s="192"/>
      <c r="G92" s="193"/>
      <c r="H92" s="223"/>
      <c r="I92" s="281"/>
      <c r="J92" s="225"/>
      <c r="K92" s="225"/>
      <c r="L92" s="226"/>
      <c r="M92" s="226"/>
      <c r="N92" s="181">
        <f t="shared" si="1"/>
        <v>0</v>
      </c>
      <c r="O92" s="227"/>
      <c r="P92" s="227"/>
      <c r="Q92" s="223"/>
      <c r="R92" s="781"/>
      <c r="S92" s="781"/>
    </row>
    <row r="93" spans="1:19" ht="15.75" x14ac:dyDescent="0.25">
      <c r="A93" s="223"/>
      <c r="B93" s="281"/>
      <c r="C93" s="281"/>
      <c r="D93" s="281"/>
      <c r="E93" s="224"/>
      <c r="F93" s="192"/>
      <c r="G93" s="193"/>
      <c r="H93" s="223"/>
      <c r="I93" s="281"/>
      <c r="J93" s="225"/>
      <c r="K93" s="225"/>
      <c r="L93" s="226"/>
      <c r="M93" s="226"/>
      <c r="N93" s="181">
        <f t="shared" si="1"/>
        <v>0</v>
      </c>
      <c r="O93" s="227"/>
      <c r="P93" s="227"/>
      <c r="Q93" s="223"/>
      <c r="R93" s="781"/>
      <c r="S93" s="781"/>
    </row>
    <row r="94" spans="1:19" ht="15.75" x14ac:dyDescent="0.25">
      <c r="A94" s="223"/>
      <c r="B94" s="281"/>
      <c r="C94" s="281"/>
      <c r="D94" s="281"/>
      <c r="E94" s="224"/>
      <c r="F94" s="192"/>
      <c r="G94" s="193"/>
      <c r="H94" s="223"/>
      <c r="I94" s="281"/>
      <c r="J94" s="225"/>
      <c r="K94" s="225"/>
      <c r="L94" s="226"/>
      <c r="M94" s="226"/>
      <c r="N94" s="181">
        <f t="shared" si="1"/>
        <v>0</v>
      </c>
      <c r="O94" s="227"/>
      <c r="P94" s="227"/>
      <c r="Q94" s="223"/>
      <c r="R94" s="781"/>
      <c r="S94" s="781"/>
    </row>
    <row r="95" spans="1:19" ht="15.75" x14ac:dyDescent="0.25">
      <c r="A95" s="223"/>
      <c r="B95" s="281"/>
      <c r="C95" s="281"/>
      <c r="D95" s="281"/>
      <c r="E95" s="224"/>
      <c r="F95" s="192"/>
      <c r="G95" s="193"/>
      <c r="H95" s="223"/>
      <c r="I95" s="281"/>
      <c r="J95" s="225"/>
      <c r="K95" s="225"/>
      <c r="L95" s="226"/>
      <c r="M95" s="226"/>
      <c r="N95" s="181">
        <f t="shared" si="1"/>
        <v>0</v>
      </c>
      <c r="O95" s="227"/>
      <c r="P95" s="227"/>
      <c r="Q95" s="223"/>
      <c r="R95" s="781"/>
      <c r="S95" s="781"/>
    </row>
    <row r="96" spans="1:19" ht="15.75" x14ac:dyDescent="0.25">
      <c r="A96" s="223"/>
      <c r="B96" s="281"/>
      <c r="C96" s="281"/>
      <c r="D96" s="281"/>
      <c r="E96" s="224"/>
      <c r="F96" s="192"/>
      <c r="G96" s="193"/>
      <c r="H96" s="223"/>
      <c r="I96" s="281"/>
      <c r="J96" s="225"/>
      <c r="K96" s="225"/>
      <c r="L96" s="226"/>
      <c r="M96" s="226"/>
      <c r="N96" s="181">
        <f t="shared" si="1"/>
        <v>0</v>
      </c>
      <c r="O96" s="227"/>
      <c r="P96" s="227"/>
      <c r="Q96" s="223"/>
      <c r="R96" s="781"/>
      <c r="S96" s="781"/>
    </row>
    <row r="97" spans="1:19" ht="15.75" x14ac:dyDescent="0.25">
      <c r="A97" s="223"/>
      <c r="B97" s="281"/>
      <c r="C97" s="281"/>
      <c r="D97" s="281"/>
      <c r="E97" s="224"/>
      <c r="F97" s="192"/>
      <c r="G97" s="193"/>
      <c r="H97" s="223"/>
      <c r="I97" s="281"/>
      <c r="J97" s="225"/>
      <c r="K97" s="225"/>
      <c r="L97" s="226"/>
      <c r="M97" s="226"/>
      <c r="N97" s="181">
        <f t="shared" si="1"/>
        <v>0</v>
      </c>
      <c r="O97" s="227"/>
      <c r="P97" s="227"/>
      <c r="Q97" s="223"/>
      <c r="R97" s="781"/>
      <c r="S97" s="781"/>
    </row>
    <row r="98" spans="1:19" ht="15.75" x14ac:dyDescent="0.25">
      <c r="A98" s="223"/>
      <c r="B98" s="281"/>
      <c r="C98" s="281"/>
      <c r="D98" s="281"/>
      <c r="E98" s="224"/>
      <c r="F98" s="192"/>
      <c r="G98" s="193"/>
      <c r="H98" s="223"/>
      <c r="I98" s="281"/>
      <c r="J98" s="225"/>
      <c r="K98" s="225"/>
      <c r="L98" s="226"/>
      <c r="M98" s="226"/>
      <c r="N98" s="181">
        <f t="shared" si="1"/>
        <v>0</v>
      </c>
      <c r="O98" s="227"/>
      <c r="P98" s="227"/>
      <c r="Q98" s="223"/>
      <c r="R98" s="781"/>
      <c r="S98" s="781"/>
    </row>
    <row r="99" spans="1:19" ht="15.75" x14ac:dyDescent="0.25">
      <c r="A99" s="223"/>
      <c r="B99" s="281"/>
      <c r="C99" s="281"/>
      <c r="D99" s="281"/>
      <c r="E99" s="224"/>
      <c r="F99" s="192"/>
      <c r="G99" s="193"/>
      <c r="H99" s="223"/>
      <c r="I99" s="281"/>
      <c r="J99" s="225"/>
      <c r="K99" s="225"/>
      <c r="L99" s="226"/>
      <c r="M99" s="226"/>
      <c r="N99" s="181">
        <f t="shared" si="1"/>
        <v>0</v>
      </c>
      <c r="O99" s="227"/>
      <c r="P99" s="227"/>
      <c r="Q99" s="223"/>
      <c r="R99" s="781"/>
      <c r="S99" s="781"/>
    </row>
    <row r="100" spans="1:19" ht="15.75" x14ac:dyDescent="0.25">
      <c r="A100" s="223"/>
      <c r="B100" s="281"/>
      <c r="C100" s="281"/>
      <c r="D100" s="281"/>
      <c r="E100" s="224"/>
      <c r="F100" s="192"/>
      <c r="G100" s="193"/>
      <c r="H100" s="223"/>
      <c r="I100" s="281"/>
      <c r="J100" s="225"/>
      <c r="K100" s="225"/>
      <c r="L100" s="226"/>
      <c r="M100" s="226"/>
      <c r="N100" s="181">
        <f t="shared" si="1"/>
        <v>0</v>
      </c>
      <c r="O100" s="227"/>
      <c r="P100" s="227"/>
      <c r="Q100" s="223"/>
      <c r="R100" s="781"/>
      <c r="S100" s="781"/>
    </row>
    <row r="101" spans="1:19" ht="15.75" x14ac:dyDescent="0.25">
      <c r="A101" s="223"/>
      <c r="B101" s="281"/>
      <c r="C101" s="281"/>
      <c r="D101" s="281"/>
      <c r="E101" s="224"/>
      <c r="F101" s="192"/>
      <c r="G101" s="193"/>
      <c r="H101" s="223"/>
      <c r="I101" s="281"/>
      <c r="J101" s="225"/>
      <c r="K101" s="225"/>
      <c r="L101" s="226"/>
      <c r="M101" s="226"/>
      <c r="N101" s="181">
        <f t="shared" si="1"/>
        <v>0</v>
      </c>
      <c r="O101" s="227"/>
      <c r="P101" s="227"/>
      <c r="Q101" s="223"/>
      <c r="R101" s="781"/>
      <c r="S101" s="781"/>
    </row>
    <row r="102" spans="1:19" ht="15.75" x14ac:dyDescent="0.25">
      <c r="A102" s="223"/>
      <c r="B102" s="281"/>
      <c r="C102" s="281"/>
      <c r="D102" s="281"/>
      <c r="E102" s="224"/>
      <c r="F102" s="192"/>
      <c r="G102" s="193"/>
      <c r="H102" s="223"/>
      <c r="I102" s="281"/>
      <c r="J102" s="225"/>
      <c r="K102" s="225"/>
      <c r="L102" s="226"/>
      <c r="M102" s="226"/>
      <c r="N102" s="181">
        <f t="shared" si="1"/>
        <v>0</v>
      </c>
      <c r="O102" s="227"/>
      <c r="P102" s="227"/>
      <c r="Q102" s="223"/>
      <c r="R102" s="781"/>
      <c r="S102" s="781"/>
    </row>
    <row r="103" spans="1:19" ht="15.75" x14ac:dyDescent="0.25">
      <c r="A103" s="223"/>
      <c r="B103" s="281"/>
      <c r="C103" s="281"/>
      <c r="D103" s="281"/>
      <c r="E103" s="224"/>
      <c r="F103" s="192"/>
      <c r="G103" s="193"/>
      <c r="H103" s="223"/>
      <c r="I103" s="281"/>
      <c r="J103" s="225"/>
      <c r="K103" s="225"/>
      <c r="L103" s="226"/>
      <c r="M103" s="226"/>
      <c r="N103" s="181">
        <f t="shared" si="1"/>
        <v>0</v>
      </c>
      <c r="O103" s="227"/>
      <c r="P103" s="227"/>
      <c r="Q103" s="223"/>
      <c r="R103" s="781"/>
      <c r="S103" s="781"/>
    </row>
    <row r="104" spans="1:19" ht="15.75" x14ac:dyDescent="0.25">
      <c r="A104" s="223"/>
      <c r="B104" s="281"/>
      <c r="C104" s="281"/>
      <c r="D104" s="281"/>
      <c r="E104" s="224"/>
      <c r="F104" s="192"/>
      <c r="G104" s="193"/>
      <c r="H104" s="223"/>
      <c r="I104" s="281"/>
      <c r="J104" s="225"/>
      <c r="K104" s="225"/>
      <c r="L104" s="226"/>
      <c r="M104" s="226"/>
      <c r="N104" s="181">
        <f t="shared" si="1"/>
        <v>0</v>
      </c>
      <c r="O104" s="227"/>
      <c r="P104" s="227"/>
      <c r="Q104" s="223"/>
      <c r="R104" s="781"/>
      <c r="S104" s="781"/>
    </row>
    <row r="105" spans="1:19" ht="15.75" x14ac:dyDescent="0.25">
      <c r="A105" s="223"/>
      <c r="B105" s="281"/>
      <c r="C105" s="281"/>
      <c r="D105" s="281"/>
      <c r="E105" s="224"/>
      <c r="F105" s="192"/>
      <c r="G105" s="193"/>
      <c r="H105" s="223"/>
      <c r="I105" s="281"/>
      <c r="J105" s="225"/>
      <c r="K105" s="225"/>
      <c r="L105" s="226"/>
      <c r="M105" s="226"/>
      <c r="N105" s="181">
        <f t="shared" si="1"/>
        <v>0</v>
      </c>
      <c r="O105" s="227"/>
      <c r="P105" s="227"/>
      <c r="Q105" s="223"/>
      <c r="R105" s="781"/>
      <c r="S105" s="781"/>
    </row>
    <row r="106" spans="1:19" ht="15.75" x14ac:dyDescent="0.25">
      <c r="A106" s="223"/>
      <c r="B106" s="281"/>
      <c r="C106" s="281"/>
      <c r="D106" s="281"/>
      <c r="E106" s="224"/>
      <c r="F106" s="192"/>
      <c r="G106" s="193"/>
      <c r="H106" s="223"/>
      <c r="I106" s="281"/>
      <c r="J106" s="225"/>
      <c r="K106" s="225"/>
      <c r="L106" s="226"/>
      <c r="M106" s="226"/>
      <c r="N106" s="181">
        <f t="shared" si="1"/>
        <v>0</v>
      </c>
      <c r="O106" s="227"/>
      <c r="P106" s="227"/>
      <c r="Q106" s="223"/>
      <c r="R106" s="781"/>
      <c r="S106" s="781"/>
    </row>
    <row r="107" spans="1:19" ht="15.75" x14ac:dyDescent="0.25">
      <c r="A107" s="223"/>
      <c r="B107" s="281"/>
      <c r="C107" s="281"/>
      <c r="D107" s="281"/>
      <c r="E107" s="224"/>
      <c r="F107" s="192"/>
      <c r="G107" s="193"/>
      <c r="H107" s="223"/>
      <c r="I107" s="281"/>
      <c r="J107" s="225"/>
      <c r="K107" s="225"/>
      <c r="L107" s="226"/>
      <c r="M107" s="226"/>
      <c r="N107" s="181">
        <f t="shared" si="1"/>
        <v>0</v>
      </c>
      <c r="O107" s="227"/>
      <c r="P107" s="227"/>
      <c r="Q107" s="223"/>
      <c r="R107" s="781"/>
      <c r="S107" s="781"/>
    </row>
    <row r="108" spans="1:19" ht="15.75" x14ac:dyDescent="0.25">
      <c r="A108" s="223"/>
      <c r="B108" s="281"/>
      <c r="C108" s="281"/>
      <c r="D108" s="281"/>
      <c r="E108" s="224"/>
      <c r="F108" s="192"/>
      <c r="G108" s="193"/>
      <c r="H108" s="223"/>
      <c r="I108" s="281"/>
      <c r="J108" s="225"/>
      <c r="K108" s="225"/>
      <c r="L108" s="226"/>
      <c r="M108" s="226"/>
      <c r="N108" s="181">
        <f t="shared" si="1"/>
        <v>0</v>
      </c>
      <c r="O108" s="227"/>
      <c r="P108" s="227"/>
      <c r="Q108" s="223"/>
      <c r="R108" s="781"/>
      <c r="S108" s="781"/>
    </row>
    <row r="109" spans="1:19" ht="15.75" x14ac:dyDescent="0.25">
      <c r="A109" s="223"/>
      <c r="B109" s="281"/>
      <c r="C109" s="281"/>
      <c r="D109" s="281"/>
      <c r="E109" s="224"/>
      <c r="F109" s="192"/>
      <c r="G109" s="193"/>
      <c r="H109" s="223"/>
      <c r="I109" s="281"/>
      <c r="J109" s="225"/>
      <c r="K109" s="225"/>
      <c r="L109" s="226"/>
      <c r="M109" s="226"/>
      <c r="N109" s="181">
        <f t="shared" si="1"/>
        <v>0</v>
      </c>
      <c r="O109" s="227"/>
      <c r="P109" s="227"/>
      <c r="Q109" s="223"/>
      <c r="R109" s="781"/>
      <c r="S109" s="781"/>
    </row>
    <row r="110" spans="1:19" ht="15.75" x14ac:dyDescent="0.25">
      <c r="A110" s="223"/>
      <c r="B110" s="281"/>
      <c r="C110" s="281"/>
      <c r="D110" s="281"/>
      <c r="E110" s="224"/>
      <c r="F110" s="192"/>
      <c r="G110" s="193"/>
      <c r="H110" s="223"/>
      <c r="I110" s="281"/>
      <c r="J110" s="225"/>
      <c r="K110" s="225"/>
      <c r="L110" s="226"/>
      <c r="M110" s="226"/>
      <c r="N110" s="181">
        <f t="shared" si="1"/>
        <v>0</v>
      </c>
      <c r="O110" s="227"/>
      <c r="P110" s="227"/>
      <c r="Q110" s="223"/>
      <c r="R110" s="781"/>
      <c r="S110" s="781"/>
    </row>
    <row r="111" spans="1:19" ht="15.75" x14ac:dyDescent="0.25">
      <c r="A111" s="223"/>
      <c r="B111" s="281"/>
      <c r="C111" s="281"/>
      <c r="D111" s="281"/>
      <c r="E111" s="224"/>
      <c r="F111" s="192"/>
      <c r="G111" s="193"/>
      <c r="H111" s="223"/>
      <c r="I111" s="281"/>
      <c r="J111" s="225"/>
      <c r="K111" s="225"/>
      <c r="L111" s="226"/>
      <c r="M111" s="226"/>
      <c r="N111" s="181">
        <f t="shared" si="1"/>
        <v>0</v>
      </c>
      <c r="O111" s="227"/>
      <c r="P111" s="227"/>
      <c r="Q111" s="223"/>
      <c r="R111" s="781"/>
      <c r="S111" s="781"/>
    </row>
    <row r="112" spans="1:19" ht="15.75" x14ac:dyDescent="0.25">
      <c r="A112" s="223"/>
      <c r="B112" s="281"/>
      <c r="C112" s="281"/>
      <c r="D112" s="281"/>
      <c r="E112" s="224"/>
      <c r="F112" s="192"/>
      <c r="G112" s="193"/>
      <c r="H112" s="223"/>
      <c r="I112" s="281"/>
      <c r="J112" s="225"/>
      <c r="K112" s="225"/>
      <c r="L112" s="226"/>
      <c r="M112" s="226"/>
      <c r="N112" s="181">
        <f t="shared" si="1"/>
        <v>0</v>
      </c>
      <c r="O112" s="227"/>
      <c r="P112" s="227"/>
      <c r="Q112" s="223"/>
      <c r="R112" s="781"/>
      <c r="S112" s="781"/>
    </row>
    <row r="113" spans="1:19" ht="15.75" x14ac:dyDescent="0.25">
      <c r="A113" s="223"/>
      <c r="B113" s="281"/>
      <c r="C113" s="281"/>
      <c r="D113" s="281"/>
      <c r="E113" s="224"/>
      <c r="F113" s="192"/>
      <c r="G113" s="193"/>
      <c r="H113" s="223"/>
      <c r="I113" s="281"/>
      <c r="J113" s="225"/>
      <c r="K113" s="225"/>
      <c r="L113" s="226"/>
      <c r="M113" s="226"/>
      <c r="N113" s="181">
        <f t="shared" si="1"/>
        <v>0</v>
      </c>
      <c r="O113" s="227"/>
      <c r="P113" s="227"/>
      <c r="Q113" s="223"/>
      <c r="R113" s="781"/>
      <c r="S113" s="781"/>
    </row>
    <row r="114" spans="1:19" ht="15.75" x14ac:dyDescent="0.25">
      <c r="A114" s="223"/>
      <c r="B114" s="281"/>
      <c r="C114" s="281"/>
      <c r="D114" s="281"/>
      <c r="E114" s="224"/>
      <c r="F114" s="192"/>
      <c r="G114" s="193"/>
      <c r="H114" s="223"/>
      <c r="I114" s="281"/>
      <c r="J114" s="225"/>
      <c r="K114" s="225"/>
      <c r="L114" s="226"/>
      <c r="M114" s="226"/>
      <c r="N114" s="181">
        <f t="shared" si="1"/>
        <v>0</v>
      </c>
      <c r="O114" s="227"/>
      <c r="P114" s="227"/>
      <c r="Q114" s="223"/>
      <c r="R114" s="781"/>
      <c r="S114" s="781"/>
    </row>
    <row r="115" spans="1:19" ht="15.75" x14ac:dyDescent="0.25">
      <c r="A115" s="223"/>
      <c r="B115" s="281"/>
      <c r="C115" s="281"/>
      <c r="D115" s="281"/>
      <c r="E115" s="224"/>
      <c r="F115" s="192"/>
      <c r="G115" s="193"/>
      <c r="H115" s="223"/>
      <c r="I115" s="281"/>
      <c r="J115" s="225"/>
      <c r="K115" s="225"/>
      <c r="L115" s="226"/>
      <c r="M115" s="226"/>
      <c r="N115" s="181">
        <f t="shared" si="1"/>
        <v>0</v>
      </c>
      <c r="O115" s="227"/>
      <c r="P115" s="227"/>
      <c r="Q115" s="223"/>
      <c r="R115" s="781"/>
      <c r="S115" s="781"/>
    </row>
    <row r="116" spans="1:19" ht="15.75" x14ac:dyDescent="0.25">
      <c r="A116" s="223"/>
      <c r="B116" s="281"/>
      <c r="C116" s="281"/>
      <c r="D116" s="281"/>
      <c r="E116" s="224"/>
      <c r="F116" s="192"/>
      <c r="G116" s="193"/>
      <c r="H116" s="223"/>
      <c r="I116" s="281"/>
      <c r="J116" s="225"/>
      <c r="K116" s="225"/>
      <c r="L116" s="226"/>
      <c r="M116" s="226"/>
      <c r="N116" s="181">
        <f t="shared" si="1"/>
        <v>0</v>
      </c>
      <c r="O116" s="227"/>
      <c r="P116" s="227"/>
      <c r="Q116" s="223"/>
      <c r="R116" s="781"/>
      <c r="S116" s="781"/>
    </row>
    <row r="117" spans="1:19" ht="15.75" x14ac:dyDescent="0.25">
      <c r="A117" s="223"/>
      <c r="B117" s="281"/>
      <c r="C117" s="281"/>
      <c r="D117" s="281"/>
      <c r="E117" s="224"/>
      <c r="F117" s="192"/>
      <c r="G117" s="193"/>
      <c r="H117" s="223"/>
      <c r="I117" s="281"/>
      <c r="J117" s="225"/>
      <c r="K117" s="225"/>
      <c r="L117" s="226"/>
      <c r="M117" s="226"/>
      <c r="N117" s="181">
        <f t="shared" si="1"/>
        <v>0</v>
      </c>
      <c r="O117" s="227"/>
      <c r="P117" s="227"/>
      <c r="Q117" s="223"/>
      <c r="R117" s="781"/>
      <c r="S117" s="781"/>
    </row>
    <row r="118" spans="1:19" ht="15.75" x14ac:dyDescent="0.25">
      <c r="A118" s="223"/>
      <c r="B118" s="281"/>
      <c r="C118" s="281"/>
      <c r="D118" s="281"/>
      <c r="E118" s="224"/>
      <c r="F118" s="192"/>
      <c r="G118" s="193"/>
      <c r="H118" s="223"/>
      <c r="I118" s="281"/>
      <c r="J118" s="225"/>
      <c r="K118" s="225"/>
      <c r="L118" s="226"/>
      <c r="M118" s="226"/>
      <c r="N118" s="181">
        <f t="shared" si="1"/>
        <v>0</v>
      </c>
      <c r="O118" s="227"/>
      <c r="P118" s="227"/>
      <c r="Q118" s="223"/>
      <c r="R118" s="781"/>
      <c r="S118" s="781"/>
    </row>
    <row r="119" spans="1:19" ht="15.75" x14ac:dyDescent="0.25">
      <c r="A119" s="223"/>
      <c r="B119" s="281"/>
      <c r="C119" s="281"/>
      <c r="D119" s="281"/>
      <c r="E119" s="224"/>
      <c r="F119" s="192"/>
      <c r="G119" s="193"/>
      <c r="H119" s="223"/>
      <c r="I119" s="281"/>
      <c r="J119" s="225"/>
      <c r="K119" s="225"/>
      <c r="L119" s="226"/>
      <c r="M119" s="226"/>
      <c r="N119" s="181">
        <f t="shared" si="1"/>
        <v>0</v>
      </c>
      <c r="O119" s="227"/>
      <c r="P119" s="227"/>
      <c r="Q119" s="223"/>
      <c r="R119" s="781"/>
      <c r="S119" s="781"/>
    </row>
    <row r="120" spans="1:19" ht="15.75" x14ac:dyDescent="0.25">
      <c r="A120" s="223"/>
      <c r="B120" s="281"/>
      <c r="C120" s="281"/>
      <c r="D120" s="281"/>
      <c r="E120" s="224"/>
      <c r="F120" s="192"/>
      <c r="G120" s="193"/>
      <c r="H120" s="223"/>
      <c r="I120" s="281"/>
      <c r="J120" s="225"/>
      <c r="K120" s="225"/>
      <c r="L120" s="226"/>
      <c r="M120" s="226"/>
      <c r="N120" s="181">
        <f t="shared" si="1"/>
        <v>0</v>
      </c>
      <c r="O120" s="227"/>
      <c r="P120" s="227"/>
      <c r="Q120" s="223"/>
      <c r="R120" s="781"/>
      <c r="S120" s="781"/>
    </row>
    <row r="121" spans="1:19" ht="15.75" x14ac:dyDescent="0.25">
      <c r="A121" s="223"/>
      <c r="B121" s="281"/>
      <c r="C121" s="281"/>
      <c r="D121" s="281"/>
      <c r="E121" s="224"/>
      <c r="F121" s="192"/>
      <c r="G121" s="193"/>
      <c r="H121" s="223"/>
      <c r="I121" s="281"/>
      <c r="J121" s="225"/>
      <c r="K121" s="225"/>
      <c r="L121" s="226"/>
      <c r="M121" s="226"/>
      <c r="N121" s="181">
        <f t="shared" si="1"/>
        <v>0</v>
      </c>
      <c r="O121" s="227"/>
      <c r="P121" s="227"/>
      <c r="Q121" s="223"/>
      <c r="R121" s="781"/>
      <c r="S121" s="781"/>
    </row>
    <row r="122" spans="1:19" ht="15.75" x14ac:dyDescent="0.25">
      <c r="A122" s="223"/>
      <c r="B122" s="281"/>
      <c r="C122" s="281"/>
      <c r="D122" s="281"/>
      <c r="E122" s="224"/>
      <c r="F122" s="192"/>
      <c r="G122" s="193"/>
      <c r="H122" s="223"/>
      <c r="I122" s="281"/>
      <c r="J122" s="225"/>
      <c r="K122" s="225"/>
      <c r="L122" s="226"/>
      <c r="M122" s="226"/>
      <c r="N122" s="181">
        <f t="shared" si="1"/>
        <v>0</v>
      </c>
      <c r="O122" s="227"/>
      <c r="P122" s="227"/>
      <c r="Q122" s="223"/>
      <c r="R122" s="781"/>
      <c r="S122" s="781"/>
    </row>
    <row r="123" spans="1:19" ht="15.75" x14ac:dyDescent="0.25">
      <c r="A123" s="223"/>
      <c r="B123" s="281"/>
      <c r="C123" s="281"/>
      <c r="D123" s="281"/>
      <c r="E123" s="224"/>
      <c r="F123" s="192"/>
      <c r="G123" s="193"/>
      <c r="H123" s="223"/>
      <c r="I123" s="281"/>
      <c r="J123" s="225"/>
      <c r="K123" s="225"/>
      <c r="L123" s="226"/>
      <c r="M123" s="226"/>
      <c r="N123" s="181">
        <f t="shared" si="1"/>
        <v>0</v>
      </c>
      <c r="O123" s="227"/>
      <c r="P123" s="227"/>
      <c r="Q123" s="223"/>
      <c r="R123" s="781"/>
      <c r="S123" s="781"/>
    </row>
    <row r="124" spans="1:19" ht="15.75" x14ac:dyDescent="0.25">
      <c r="A124" s="223"/>
      <c r="B124" s="281"/>
      <c r="C124" s="281"/>
      <c r="D124" s="281"/>
      <c r="E124" s="224"/>
      <c r="F124" s="192"/>
      <c r="G124" s="193"/>
      <c r="H124" s="223"/>
      <c r="I124" s="281"/>
      <c r="J124" s="225"/>
      <c r="K124" s="225"/>
      <c r="L124" s="226"/>
      <c r="M124" s="226"/>
      <c r="N124" s="181">
        <f t="shared" si="1"/>
        <v>0</v>
      </c>
      <c r="O124" s="227"/>
      <c r="P124" s="227"/>
      <c r="Q124" s="223"/>
      <c r="R124" s="781"/>
      <c r="S124" s="781"/>
    </row>
    <row r="125" spans="1:19" ht="15.75" x14ac:dyDescent="0.25">
      <c r="A125" s="223"/>
      <c r="B125" s="281"/>
      <c r="C125" s="281"/>
      <c r="D125" s="281"/>
      <c r="E125" s="224"/>
      <c r="F125" s="192"/>
      <c r="G125" s="193"/>
      <c r="H125" s="223"/>
      <c r="I125" s="281"/>
      <c r="J125" s="225"/>
      <c r="K125" s="225"/>
      <c r="L125" s="226"/>
      <c r="M125" s="226"/>
      <c r="N125" s="181">
        <f t="shared" si="1"/>
        <v>0</v>
      </c>
      <c r="O125" s="227"/>
      <c r="P125" s="227"/>
      <c r="Q125" s="223"/>
      <c r="R125" s="781"/>
      <c r="S125" s="781"/>
    </row>
    <row r="126" spans="1:19" ht="15.75" x14ac:dyDescent="0.25">
      <c r="A126" s="223"/>
      <c r="B126" s="281"/>
      <c r="C126" s="281"/>
      <c r="D126" s="281"/>
      <c r="E126" s="224"/>
      <c r="F126" s="192"/>
      <c r="G126" s="193"/>
      <c r="H126" s="223"/>
      <c r="I126" s="281"/>
      <c r="J126" s="225"/>
      <c r="K126" s="225"/>
      <c r="L126" s="226"/>
      <c r="M126" s="226"/>
      <c r="N126" s="181">
        <f t="shared" si="1"/>
        <v>0</v>
      </c>
      <c r="O126" s="227"/>
      <c r="P126" s="227"/>
      <c r="Q126" s="223"/>
      <c r="R126" s="781"/>
      <c r="S126" s="781"/>
    </row>
    <row r="127" spans="1:19" ht="15.75" x14ac:dyDescent="0.25">
      <c r="A127" s="223"/>
      <c r="B127" s="281"/>
      <c r="C127" s="281"/>
      <c r="D127" s="281"/>
      <c r="E127" s="224"/>
      <c r="F127" s="192"/>
      <c r="G127" s="193"/>
      <c r="H127" s="223"/>
      <c r="I127" s="281"/>
      <c r="J127" s="225"/>
      <c r="K127" s="225"/>
      <c r="L127" s="226"/>
      <c r="M127" s="226"/>
      <c r="N127" s="181">
        <f t="shared" si="1"/>
        <v>0</v>
      </c>
      <c r="O127" s="227"/>
      <c r="P127" s="227"/>
      <c r="Q127" s="223"/>
      <c r="R127" s="781"/>
      <c r="S127" s="781"/>
    </row>
    <row r="128" spans="1:19" ht="15.75" x14ac:dyDescent="0.25">
      <c r="A128" s="223"/>
      <c r="B128" s="281"/>
      <c r="C128" s="281"/>
      <c r="D128" s="281"/>
      <c r="E128" s="224"/>
      <c r="F128" s="192"/>
      <c r="G128" s="193"/>
      <c r="H128" s="223"/>
      <c r="I128" s="281"/>
      <c r="J128" s="225"/>
      <c r="K128" s="225"/>
      <c r="L128" s="226"/>
      <c r="M128" s="226"/>
      <c r="N128" s="181">
        <f t="shared" si="1"/>
        <v>0</v>
      </c>
      <c r="O128" s="227"/>
      <c r="P128" s="227"/>
      <c r="Q128" s="223"/>
      <c r="R128" s="781"/>
      <c r="S128" s="781"/>
    </row>
    <row r="129" spans="1:19" ht="15.75" x14ac:dyDescent="0.25">
      <c r="A129" s="223"/>
      <c r="B129" s="281"/>
      <c r="C129" s="281"/>
      <c r="D129" s="281"/>
      <c r="E129" s="224"/>
      <c r="F129" s="192"/>
      <c r="G129" s="193"/>
      <c r="H129" s="223"/>
      <c r="I129" s="281"/>
      <c r="J129" s="225"/>
      <c r="K129" s="225"/>
      <c r="L129" s="226"/>
      <c r="M129" s="226"/>
      <c r="N129" s="181">
        <f t="shared" si="1"/>
        <v>0</v>
      </c>
      <c r="O129" s="227"/>
      <c r="P129" s="227"/>
      <c r="Q129" s="223"/>
      <c r="R129" s="781"/>
      <c r="S129" s="781"/>
    </row>
    <row r="130" spans="1:19" ht="15.75" x14ac:dyDescent="0.25">
      <c r="A130" s="223"/>
      <c r="B130" s="281"/>
      <c r="C130" s="281"/>
      <c r="D130" s="281"/>
      <c r="E130" s="224"/>
      <c r="F130" s="192"/>
      <c r="G130" s="193"/>
      <c r="H130" s="223"/>
      <c r="I130" s="281"/>
      <c r="J130" s="225"/>
      <c r="K130" s="225"/>
      <c r="L130" s="226"/>
      <c r="M130" s="226"/>
      <c r="N130" s="181">
        <f t="shared" si="1"/>
        <v>0</v>
      </c>
      <c r="O130" s="227"/>
      <c r="P130" s="227"/>
      <c r="Q130" s="223"/>
      <c r="R130" s="781"/>
      <c r="S130" s="781"/>
    </row>
    <row r="131" spans="1:19" ht="15.75" x14ac:dyDescent="0.25">
      <c r="A131" s="223"/>
      <c r="B131" s="281"/>
      <c r="C131" s="281"/>
      <c r="D131" s="281"/>
      <c r="E131" s="224"/>
      <c r="F131" s="192"/>
      <c r="G131" s="193"/>
      <c r="H131" s="223"/>
      <c r="I131" s="281"/>
      <c r="J131" s="225"/>
      <c r="K131" s="225"/>
      <c r="L131" s="226"/>
      <c r="M131" s="226"/>
      <c r="N131" s="181">
        <f t="shared" si="1"/>
        <v>0</v>
      </c>
      <c r="O131" s="227"/>
      <c r="P131" s="227"/>
      <c r="Q131" s="223"/>
      <c r="R131" s="781"/>
      <c r="S131" s="781"/>
    </row>
    <row r="132" spans="1:19" ht="15.75" x14ac:dyDescent="0.25">
      <c r="A132" s="223"/>
      <c r="B132" s="281"/>
      <c r="C132" s="281"/>
      <c r="D132" s="281"/>
      <c r="E132" s="224"/>
      <c r="F132" s="192"/>
      <c r="G132" s="193"/>
      <c r="H132" s="223"/>
      <c r="I132" s="281"/>
      <c r="J132" s="225"/>
      <c r="K132" s="225"/>
      <c r="L132" s="226"/>
      <c r="M132" s="226"/>
      <c r="N132" s="181">
        <f t="shared" si="1"/>
        <v>0</v>
      </c>
      <c r="O132" s="227"/>
      <c r="P132" s="227"/>
      <c r="Q132" s="223"/>
      <c r="R132" s="781"/>
      <c r="S132" s="781"/>
    </row>
    <row r="133" spans="1:19" ht="15.75" x14ac:dyDescent="0.25">
      <c r="A133" s="223"/>
      <c r="B133" s="281"/>
      <c r="C133" s="281"/>
      <c r="D133" s="281"/>
      <c r="E133" s="224"/>
      <c r="F133" s="192"/>
      <c r="G133" s="193"/>
      <c r="H133" s="223"/>
      <c r="I133" s="281"/>
      <c r="J133" s="225"/>
      <c r="K133" s="225"/>
      <c r="L133" s="226"/>
      <c r="M133" s="226"/>
      <c r="N133" s="181">
        <f t="shared" si="1"/>
        <v>0</v>
      </c>
      <c r="O133" s="227"/>
      <c r="P133" s="227"/>
      <c r="Q133" s="223"/>
      <c r="R133" s="781"/>
      <c r="S133" s="781"/>
    </row>
    <row r="134" spans="1:19" ht="15.75" x14ac:dyDescent="0.25">
      <c r="A134" s="223"/>
      <c r="B134" s="281"/>
      <c r="C134" s="281"/>
      <c r="D134" s="281"/>
      <c r="E134" s="224"/>
      <c r="F134" s="192"/>
      <c r="G134" s="193"/>
      <c r="H134" s="223"/>
      <c r="I134" s="281"/>
      <c r="J134" s="225"/>
      <c r="K134" s="225"/>
      <c r="L134" s="226"/>
      <c r="M134" s="226"/>
      <c r="N134" s="181">
        <f t="shared" ref="N134:N197" si="2">M134+L134</f>
        <v>0</v>
      </c>
      <c r="O134" s="227"/>
      <c r="P134" s="227"/>
      <c r="Q134" s="223"/>
      <c r="R134" s="781"/>
      <c r="S134" s="781"/>
    </row>
    <row r="135" spans="1:19" ht="15.75" x14ac:dyDescent="0.25">
      <c r="A135" s="223"/>
      <c r="B135" s="281"/>
      <c r="C135" s="281"/>
      <c r="D135" s="281"/>
      <c r="E135" s="224"/>
      <c r="F135" s="192"/>
      <c r="G135" s="193"/>
      <c r="H135" s="223"/>
      <c r="I135" s="281"/>
      <c r="J135" s="225"/>
      <c r="K135" s="225"/>
      <c r="L135" s="226"/>
      <c r="M135" s="226"/>
      <c r="N135" s="181">
        <f t="shared" si="2"/>
        <v>0</v>
      </c>
      <c r="O135" s="227"/>
      <c r="P135" s="227"/>
      <c r="Q135" s="223"/>
      <c r="R135" s="781"/>
      <c r="S135" s="781"/>
    </row>
    <row r="136" spans="1:19" ht="15.75" x14ac:dyDescent="0.25">
      <c r="A136" s="223"/>
      <c r="B136" s="281"/>
      <c r="C136" s="281"/>
      <c r="D136" s="281"/>
      <c r="E136" s="224"/>
      <c r="F136" s="192"/>
      <c r="G136" s="193"/>
      <c r="H136" s="223"/>
      <c r="I136" s="281"/>
      <c r="J136" s="225"/>
      <c r="K136" s="225"/>
      <c r="L136" s="226"/>
      <c r="M136" s="226"/>
      <c r="N136" s="181">
        <f t="shared" si="2"/>
        <v>0</v>
      </c>
      <c r="O136" s="227"/>
      <c r="P136" s="227"/>
      <c r="Q136" s="223"/>
      <c r="R136" s="781"/>
      <c r="S136" s="781"/>
    </row>
    <row r="137" spans="1:19" ht="15.75" x14ac:dyDescent="0.25">
      <c r="A137" s="223"/>
      <c r="B137" s="281"/>
      <c r="C137" s="281"/>
      <c r="D137" s="281"/>
      <c r="E137" s="224"/>
      <c r="F137" s="192"/>
      <c r="G137" s="193"/>
      <c r="H137" s="223"/>
      <c r="I137" s="281"/>
      <c r="J137" s="225"/>
      <c r="K137" s="225"/>
      <c r="L137" s="226"/>
      <c r="M137" s="226"/>
      <c r="N137" s="181">
        <f t="shared" si="2"/>
        <v>0</v>
      </c>
      <c r="O137" s="227"/>
      <c r="P137" s="227"/>
      <c r="Q137" s="223"/>
      <c r="R137" s="781"/>
      <c r="S137" s="781"/>
    </row>
    <row r="138" spans="1:19" ht="15.75" x14ac:dyDescent="0.25">
      <c r="A138" s="223"/>
      <c r="B138" s="281"/>
      <c r="C138" s="281"/>
      <c r="D138" s="281"/>
      <c r="E138" s="224"/>
      <c r="F138" s="192"/>
      <c r="G138" s="193"/>
      <c r="H138" s="223"/>
      <c r="I138" s="281"/>
      <c r="J138" s="225"/>
      <c r="K138" s="225"/>
      <c r="L138" s="226"/>
      <c r="M138" s="226"/>
      <c r="N138" s="181">
        <f t="shared" si="2"/>
        <v>0</v>
      </c>
      <c r="O138" s="227"/>
      <c r="P138" s="227"/>
      <c r="Q138" s="223"/>
      <c r="R138" s="781"/>
      <c r="S138" s="781"/>
    </row>
    <row r="139" spans="1:19" ht="15.75" x14ac:dyDescent="0.25">
      <c r="A139" s="223"/>
      <c r="B139" s="281"/>
      <c r="C139" s="281"/>
      <c r="D139" s="281"/>
      <c r="E139" s="224"/>
      <c r="F139" s="192"/>
      <c r="G139" s="193"/>
      <c r="H139" s="223"/>
      <c r="I139" s="281"/>
      <c r="J139" s="225"/>
      <c r="K139" s="225"/>
      <c r="L139" s="226"/>
      <c r="M139" s="226"/>
      <c r="N139" s="181">
        <f t="shared" si="2"/>
        <v>0</v>
      </c>
      <c r="O139" s="227"/>
      <c r="P139" s="227"/>
      <c r="Q139" s="223"/>
      <c r="R139" s="781"/>
      <c r="S139" s="781"/>
    </row>
    <row r="140" spans="1:19" ht="15.75" x14ac:dyDescent="0.25">
      <c r="A140" s="223"/>
      <c r="B140" s="281"/>
      <c r="C140" s="281"/>
      <c r="D140" s="281"/>
      <c r="E140" s="224"/>
      <c r="F140" s="192"/>
      <c r="G140" s="193"/>
      <c r="H140" s="223"/>
      <c r="I140" s="281"/>
      <c r="J140" s="225"/>
      <c r="K140" s="225"/>
      <c r="L140" s="226"/>
      <c r="M140" s="226"/>
      <c r="N140" s="181">
        <f t="shared" si="2"/>
        <v>0</v>
      </c>
      <c r="O140" s="227"/>
      <c r="P140" s="227"/>
      <c r="Q140" s="223"/>
      <c r="R140" s="781"/>
      <c r="S140" s="781"/>
    </row>
    <row r="141" spans="1:19" ht="15.75" x14ac:dyDescent="0.25">
      <c r="A141" s="223"/>
      <c r="B141" s="281"/>
      <c r="C141" s="281"/>
      <c r="D141" s="281"/>
      <c r="E141" s="224"/>
      <c r="F141" s="192"/>
      <c r="G141" s="193"/>
      <c r="H141" s="223"/>
      <c r="I141" s="281"/>
      <c r="J141" s="225"/>
      <c r="K141" s="225"/>
      <c r="L141" s="226"/>
      <c r="M141" s="226"/>
      <c r="N141" s="181">
        <f t="shared" si="2"/>
        <v>0</v>
      </c>
      <c r="O141" s="227"/>
      <c r="P141" s="227"/>
      <c r="Q141" s="223"/>
      <c r="R141" s="781"/>
      <c r="S141" s="781"/>
    </row>
    <row r="142" spans="1:19" ht="15.75" x14ac:dyDescent="0.25">
      <c r="A142" s="223"/>
      <c r="B142" s="281"/>
      <c r="C142" s="281"/>
      <c r="D142" s="281"/>
      <c r="E142" s="224"/>
      <c r="F142" s="192"/>
      <c r="G142" s="193"/>
      <c r="H142" s="223"/>
      <c r="I142" s="281"/>
      <c r="J142" s="225"/>
      <c r="K142" s="225"/>
      <c r="L142" s="226"/>
      <c r="M142" s="226"/>
      <c r="N142" s="181">
        <f t="shared" si="2"/>
        <v>0</v>
      </c>
      <c r="O142" s="227"/>
      <c r="P142" s="227"/>
      <c r="Q142" s="223"/>
      <c r="R142" s="781"/>
      <c r="S142" s="781"/>
    </row>
    <row r="143" spans="1:19" ht="15.75" x14ac:dyDescent="0.25">
      <c r="A143" s="223"/>
      <c r="B143" s="281"/>
      <c r="C143" s="281"/>
      <c r="D143" s="281"/>
      <c r="E143" s="224"/>
      <c r="F143" s="192"/>
      <c r="G143" s="193"/>
      <c r="H143" s="223"/>
      <c r="I143" s="281"/>
      <c r="J143" s="225"/>
      <c r="K143" s="225"/>
      <c r="L143" s="226"/>
      <c r="M143" s="226"/>
      <c r="N143" s="181">
        <f t="shared" si="2"/>
        <v>0</v>
      </c>
      <c r="O143" s="227"/>
      <c r="P143" s="227"/>
      <c r="Q143" s="223"/>
      <c r="R143" s="781"/>
      <c r="S143" s="781"/>
    </row>
    <row r="144" spans="1:19" ht="15.75" x14ac:dyDescent="0.25">
      <c r="A144" s="223"/>
      <c r="B144" s="281"/>
      <c r="C144" s="281"/>
      <c r="D144" s="281"/>
      <c r="E144" s="224"/>
      <c r="F144" s="192"/>
      <c r="G144" s="193"/>
      <c r="H144" s="223"/>
      <c r="I144" s="281"/>
      <c r="J144" s="225"/>
      <c r="K144" s="225"/>
      <c r="L144" s="226"/>
      <c r="M144" s="226"/>
      <c r="N144" s="181">
        <f t="shared" si="2"/>
        <v>0</v>
      </c>
      <c r="O144" s="227"/>
      <c r="P144" s="227"/>
      <c r="Q144" s="223"/>
      <c r="R144" s="781"/>
      <c r="S144" s="781"/>
    </row>
    <row r="145" spans="1:19" ht="15.75" x14ac:dyDescent="0.25">
      <c r="A145" s="223"/>
      <c r="B145" s="281"/>
      <c r="C145" s="281"/>
      <c r="D145" s="281"/>
      <c r="E145" s="224"/>
      <c r="F145" s="192"/>
      <c r="G145" s="193"/>
      <c r="H145" s="223"/>
      <c r="I145" s="281"/>
      <c r="J145" s="225"/>
      <c r="K145" s="225"/>
      <c r="L145" s="226"/>
      <c r="M145" s="226"/>
      <c r="N145" s="181">
        <f t="shared" si="2"/>
        <v>0</v>
      </c>
      <c r="O145" s="227"/>
      <c r="P145" s="227"/>
      <c r="Q145" s="223"/>
      <c r="R145" s="781"/>
      <c r="S145" s="781"/>
    </row>
    <row r="146" spans="1:19" ht="15.75" x14ac:dyDescent="0.25">
      <c r="A146" s="223"/>
      <c r="B146" s="281"/>
      <c r="C146" s="281"/>
      <c r="D146" s="281"/>
      <c r="E146" s="224"/>
      <c r="F146" s="192"/>
      <c r="G146" s="193"/>
      <c r="H146" s="223"/>
      <c r="I146" s="281"/>
      <c r="J146" s="225"/>
      <c r="K146" s="225"/>
      <c r="L146" s="226"/>
      <c r="M146" s="226"/>
      <c r="N146" s="181">
        <f t="shared" si="2"/>
        <v>0</v>
      </c>
      <c r="O146" s="227"/>
      <c r="P146" s="227"/>
      <c r="Q146" s="223"/>
      <c r="R146" s="781"/>
      <c r="S146" s="781"/>
    </row>
    <row r="147" spans="1:19" ht="15.75" x14ac:dyDescent="0.25">
      <c r="A147" s="223"/>
      <c r="B147" s="281"/>
      <c r="C147" s="281"/>
      <c r="D147" s="281"/>
      <c r="E147" s="224"/>
      <c r="F147" s="192"/>
      <c r="G147" s="193"/>
      <c r="H147" s="223"/>
      <c r="I147" s="281"/>
      <c r="J147" s="225"/>
      <c r="K147" s="225"/>
      <c r="L147" s="226"/>
      <c r="M147" s="226"/>
      <c r="N147" s="181">
        <f t="shared" si="2"/>
        <v>0</v>
      </c>
      <c r="O147" s="227"/>
      <c r="P147" s="227"/>
      <c r="Q147" s="223"/>
      <c r="R147" s="781"/>
      <c r="S147" s="781"/>
    </row>
    <row r="148" spans="1:19" ht="15.75" x14ac:dyDescent="0.25">
      <c r="A148" s="223"/>
      <c r="B148" s="281"/>
      <c r="C148" s="281"/>
      <c r="D148" s="281"/>
      <c r="E148" s="224"/>
      <c r="F148" s="192"/>
      <c r="G148" s="193"/>
      <c r="H148" s="223"/>
      <c r="I148" s="281"/>
      <c r="J148" s="225"/>
      <c r="K148" s="225"/>
      <c r="L148" s="226"/>
      <c r="M148" s="226"/>
      <c r="N148" s="181">
        <f t="shared" si="2"/>
        <v>0</v>
      </c>
      <c r="O148" s="227"/>
      <c r="P148" s="227"/>
      <c r="Q148" s="223"/>
      <c r="R148" s="781"/>
      <c r="S148" s="781"/>
    </row>
    <row r="149" spans="1:19" ht="15.75" x14ac:dyDescent="0.25">
      <c r="A149" s="223"/>
      <c r="B149" s="281"/>
      <c r="C149" s="281"/>
      <c r="D149" s="281"/>
      <c r="E149" s="224"/>
      <c r="F149" s="192"/>
      <c r="G149" s="193"/>
      <c r="H149" s="223"/>
      <c r="I149" s="281"/>
      <c r="J149" s="225"/>
      <c r="K149" s="225"/>
      <c r="L149" s="226"/>
      <c r="M149" s="226"/>
      <c r="N149" s="181">
        <f t="shared" si="2"/>
        <v>0</v>
      </c>
      <c r="O149" s="227"/>
      <c r="P149" s="227"/>
      <c r="Q149" s="223"/>
      <c r="R149" s="781"/>
      <c r="S149" s="781"/>
    </row>
    <row r="150" spans="1:19" ht="15.75" x14ac:dyDescent="0.25">
      <c r="A150" s="223"/>
      <c r="B150" s="281"/>
      <c r="C150" s="281"/>
      <c r="D150" s="281"/>
      <c r="E150" s="224"/>
      <c r="F150" s="192"/>
      <c r="G150" s="193"/>
      <c r="H150" s="223"/>
      <c r="I150" s="281"/>
      <c r="J150" s="225"/>
      <c r="K150" s="225"/>
      <c r="L150" s="226"/>
      <c r="M150" s="226"/>
      <c r="N150" s="181">
        <f t="shared" si="2"/>
        <v>0</v>
      </c>
      <c r="O150" s="227"/>
      <c r="P150" s="227"/>
      <c r="Q150" s="223"/>
      <c r="R150" s="781"/>
      <c r="S150" s="781"/>
    </row>
    <row r="151" spans="1:19" ht="15.75" x14ac:dyDescent="0.25">
      <c r="A151" s="223"/>
      <c r="B151" s="281"/>
      <c r="C151" s="281"/>
      <c r="D151" s="281"/>
      <c r="E151" s="224"/>
      <c r="F151" s="192"/>
      <c r="G151" s="193"/>
      <c r="H151" s="223"/>
      <c r="I151" s="281"/>
      <c r="J151" s="225"/>
      <c r="K151" s="225"/>
      <c r="L151" s="226"/>
      <c r="M151" s="226"/>
      <c r="N151" s="181">
        <f t="shared" si="2"/>
        <v>0</v>
      </c>
      <c r="O151" s="227"/>
      <c r="P151" s="227"/>
      <c r="Q151" s="223"/>
      <c r="R151" s="781"/>
      <c r="S151" s="781"/>
    </row>
    <row r="152" spans="1:19" ht="15.75" x14ac:dyDescent="0.25">
      <c r="A152" s="223"/>
      <c r="B152" s="281"/>
      <c r="C152" s="281"/>
      <c r="D152" s="281"/>
      <c r="E152" s="224"/>
      <c r="F152" s="192"/>
      <c r="G152" s="193"/>
      <c r="H152" s="223"/>
      <c r="I152" s="281"/>
      <c r="J152" s="225"/>
      <c r="K152" s="225"/>
      <c r="L152" s="226"/>
      <c r="M152" s="226"/>
      <c r="N152" s="181">
        <f t="shared" si="2"/>
        <v>0</v>
      </c>
      <c r="O152" s="227"/>
      <c r="P152" s="227"/>
      <c r="Q152" s="223"/>
      <c r="R152" s="781"/>
      <c r="S152" s="781"/>
    </row>
    <row r="153" spans="1:19" ht="15.75" x14ac:dyDescent="0.25">
      <c r="A153" s="223"/>
      <c r="B153" s="281"/>
      <c r="C153" s="281"/>
      <c r="D153" s="281"/>
      <c r="E153" s="224"/>
      <c r="F153" s="192"/>
      <c r="G153" s="193"/>
      <c r="H153" s="223"/>
      <c r="I153" s="281"/>
      <c r="J153" s="225"/>
      <c r="K153" s="225"/>
      <c r="L153" s="226"/>
      <c r="M153" s="226"/>
      <c r="N153" s="181">
        <f t="shared" si="2"/>
        <v>0</v>
      </c>
      <c r="O153" s="227"/>
      <c r="P153" s="227"/>
      <c r="Q153" s="223"/>
      <c r="R153" s="781"/>
      <c r="S153" s="781"/>
    </row>
    <row r="154" spans="1:19" ht="15.75" x14ac:dyDescent="0.25">
      <c r="A154" s="223"/>
      <c r="B154" s="281"/>
      <c r="C154" s="281"/>
      <c r="D154" s="281"/>
      <c r="E154" s="224"/>
      <c r="F154" s="192"/>
      <c r="G154" s="193"/>
      <c r="H154" s="223"/>
      <c r="I154" s="281"/>
      <c r="J154" s="225"/>
      <c r="K154" s="225"/>
      <c r="L154" s="226"/>
      <c r="M154" s="226"/>
      <c r="N154" s="181">
        <f t="shared" si="2"/>
        <v>0</v>
      </c>
      <c r="O154" s="227"/>
      <c r="P154" s="227"/>
      <c r="Q154" s="223"/>
      <c r="R154" s="781"/>
      <c r="S154" s="781"/>
    </row>
    <row r="155" spans="1:19" ht="15.75" x14ac:dyDescent="0.25">
      <c r="A155" s="223"/>
      <c r="B155" s="281"/>
      <c r="C155" s="281"/>
      <c r="D155" s="281"/>
      <c r="E155" s="224"/>
      <c r="F155" s="192"/>
      <c r="G155" s="193"/>
      <c r="H155" s="223"/>
      <c r="I155" s="281"/>
      <c r="J155" s="225"/>
      <c r="K155" s="225"/>
      <c r="L155" s="226"/>
      <c r="M155" s="226"/>
      <c r="N155" s="181">
        <f t="shared" si="2"/>
        <v>0</v>
      </c>
      <c r="O155" s="227"/>
      <c r="P155" s="227"/>
      <c r="Q155" s="223"/>
      <c r="R155" s="781"/>
      <c r="S155" s="781"/>
    </row>
    <row r="156" spans="1:19" ht="15.75" x14ac:dyDescent="0.25">
      <c r="A156" s="223"/>
      <c r="B156" s="281"/>
      <c r="C156" s="281"/>
      <c r="D156" s="281"/>
      <c r="E156" s="224"/>
      <c r="F156" s="192"/>
      <c r="G156" s="193"/>
      <c r="H156" s="223"/>
      <c r="I156" s="281"/>
      <c r="J156" s="225"/>
      <c r="K156" s="225"/>
      <c r="L156" s="226"/>
      <c r="M156" s="226"/>
      <c r="N156" s="181">
        <f t="shared" si="2"/>
        <v>0</v>
      </c>
      <c r="O156" s="227"/>
      <c r="P156" s="227"/>
      <c r="Q156" s="223"/>
      <c r="R156" s="781"/>
      <c r="S156" s="781"/>
    </row>
    <row r="157" spans="1:19" ht="15.75" x14ac:dyDescent="0.25">
      <c r="A157" s="223"/>
      <c r="B157" s="281"/>
      <c r="C157" s="281"/>
      <c r="D157" s="281"/>
      <c r="E157" s="224"/>
      <c r="F157" s="192"/>
      <c r="G157" s="193"/>
      <c r="H157" s="223"/>
      <c r="I157" s="281"/>
      <c r="J157" s="225"/>
      <c r="K157" s="225"/>
      <c r="L157" s="226"/>
      <c r="M157" s="226"/>
      <c r="N157" s="181">
        <f t="shared" si="2"/>
        <v>0</v>
      </c>
      <c r="O157" s="227"/>
      <c r="P157" s="227"/>
      <c r="Q157" s="223"/>
      <c r="R157" s="781"/>
      <c r="S157" s="781"/>
    </row>
    <row r="158" spans="1:19" ht="15.75" x14ac:dyDescent="0.25">
      <c r="A158" s="223"/>
      <c r="B158" s="281"/>
      <c r="C158" s="281"/>
      <c r="D158" s="281"/>
      <c r="E158" s="224"/>
      <c r="F158" s="192"/>
      <c r="G158" s="193"/>
      <c r="H158" s="223"/>
      <c r="I158" s="281"/>
      <c r="J158" s="225"/>
      <c r="K158" s="225"/>
      <c r="L158" s="226"/>
      <c r="M158" s="226"/>
      <c r="N158" s="181">
        <f t="shared" si="2"/>
        <v>0</v>
      </c>
      <c r="O158" s="227"/>
      <c r="P158" s="227"/>
      <c r="Q158" s="223"/>
      <c r="R158" s="781"/>
      <c r="S158" s="781"/>
    </row>
    <row r="159" spans="1:19" ht="15.75" x14ac:dyDescent="0.25">
      <c r="A159" s="223"/>
      <c r="B159" s="281"/>
      <c r="C159" s="281"/>
      <c r="D159" s="281"/>
      <c r="E159" s="224"/>
      <c r="F159" s="192"/>
      <c r="G159" s="193"/>
      <c r="H159" s="223"/>
      <c r="I159" s="281"/>
      <c r="J159" s="225"/>
      <c r="K159" s="225"/>
      <c r="L159" s="226"/>
      <c r="M159" s="226"/>
      <c r="N159" s="181">
        <f t="shared" si="2"/>
        <v>0</v>
      </c>
      <c r="O159" s="227"/>
      <c r="P159" s="227"/>
      <c r="Q159" s="223"/>
      <c r="R159" s="781"/>
      <c r="S159" s="781"/>
    </row>
    <row r="160" spans="1:19" ht="15.75" x14ac:dyDescent="0.25">
      <c r="A160" s="223"/>
      <c r="B160" s="281"/>
      <c r="C160" s="281"/>
      <c r="D160" s="281"/>
      <c r="E160" s="224"/>
      <c r="F160" s="192"/>
      <c r="G160" s="193"/>
      <c r="H160" s="223"/>
      <c r="I160" s="281"/>
      <c r="J160" s="225"/>
      <c r="K160" s="225"/>
      <c r="L160" s="226"/>
      <c r="M160" s="226"/>
      <c r="N160" s="181">
        <f t="shared" si="2"/>
        <v>0</v>
      </c>
      <c r="O160" s="227"/>
      <c r="P160" s="227"/>
      <c r="Q160" s="223"/>
      <c r="R160" s="781"/>
      <c r="S160" s="781"/>
    </row>
    <row r="161" spans="1:19" ht="15.75" x14ac:dyDescent="0.25">
      <c r="A161" s="223"/>
      <c r="B161" s="281"/>
      <c r="C161" s="281"/>
      <c r="D161" s="281"/>
      <c r="E161" s="224"/>
      <c r="F161" s="192"/>
      <c r="G161" s="193"/>
      <c r="H161" s="223"/>
      <c r="I161" s="281"/>
      <c r="J161" s="225"/>
      <c r="K161" s="225"/>
      <c r="L161" s="226"/>
      <c r="M161" s="226"/>
      <c r="N161" s="181">
        <f t="shared" si="2"/>
        <v>0</v>
      </c>
      <c r="O161" s="227"/>
      <c r="P161" s="227"/>
      <c r="Q161" s="223"/>
      <c r="R161" s="781"/>
      <c r="S161" s="781"/>
    </row>
    <row r="162" spans="1:19" ht="15.75" x14ac:dyDescent="0.25">
      <c r="A162" s="223"/>
      <c r="B162" s="281"/>
      <c r="C162" s="281"/>
      <c r="D162" s="281"/>
      <c r="E162" s="224"/>
      <c r="F162" s="192"/>
      <c r="G162" s="193"/>
      <c r="H162" s="223"/>
      <c r="I162" s="281"/>
      <c r="J162" s="225"/>
      <c r="K162" s="225"/>
      <c r="L162" s="226"/>
      <c r="M162" s="226"/>
      <c r="N162" s="181">
        <f t="shared" si="2"/>
        <v>0</v>
      </c>
      <c r="O162" s="227"/>
      <c r="P162" s="227"/>
      <c r="Q162" s="223"/>
      <c r="R162" s="781"/>
      <c r="S162" s="781"/>
    </row>
    <row r="163" spans="1:19" ht="15.75" x14ac:dyDescent="0.25">
      <c r="A163" s="223"/>
      <c r="B163" s="281"/>
      <c r="C163" s="281"/>
      <c r="D163" s="281"/>
      <c r="E163" s="224"/>
      <c r="F163" s="192"/>
      <c r="G163" s="193"/>
      <c r="H163" s="223"/>
      <c r="I163" s="281"/>
      <c r="J163" s="225"/>
      <c r="K163" s="225"/>
      <c r="L163" s="226"/>
      <c r="M163" s="226"/>
      <c r="N163" s="181">
        <f t="shared" si="2"/>
        <v>0</v>
      </c>
      <c r="O163" s="227"/>
      <c r="P163" s="227"/>
      <c r="Q163" s="223"/>
      <c r="R163" s="781"/>
      <c r="S163" s="781"/>
    </row>
    <row r="164" spans="1:19" ht="15.75" x14ac:dyDescent="0.25">
      <c r="A164" s="223"/>
      <c r="B164" s="281"/>
      <c r="C164" s="281"/>
      <c r="D164" s="281"/>
      <c r="E164" s="224"/>
      <c r="F164" s="192"/>
      <c r="G164" s="193"/>
      <c r="H164" s="223"/>
      <c r="I164" s="281"/>
      <c r="J164" s="225"/>
      <c r="K164" s="225"/>
      <c r="L164" s="226"/>
      <c r="M164" s="226"/>
      <c r="N164" s="181">
        <f t="shared" si="2"/>
        <v>0</v>
      </c>
      <c r="O164" s="227"/>
      <c r="P164" s="227"/>
      <c r="Q164" s="223"/>
      <c r="R164" s="781"/>
      <c r="S164" s="781"/>
    </row>
    <row r="165" spans="1:19" ht="15.75" x14ac:dyDescent="0.25">
      <c r="A165" s="223"/>
      <c r="B165" s="281"/>
      <c r="C165" s="281"/>
      <c r="D165" s="281"/>
      <c r="E165" s="224"/>
      <c r="F165" s="192"/>
      <c r="G165" s="193"/>
      <c r="H165" s="223"/>
      <c r="I165" s="281"/>
      <c r="J165" s="225"/>
      <c r="K165" s="225"/>
      <c r="L165" s="226"/>
      <c r="M165" s="226"/>
      <c r="N165" s="181">
        <f t="shared" si="2"/>
        <v>0</v>
      </c>
      <c r="O165" s="227"/>
      <c r="P165" s="227"/>
      <c r="Q165" s="223"/>
      <c r="R165" s="781"/>
      <c r="S165" s="781"/>
    </row>
    <row r="166" spans="1:19" ht="15.75" x14ac:dyDescent="0.25">
      <c r="A166" s="223"/>
      <c r="B166" s="281"/>
      <c r="C166" s="281"/>
      <c r="D166" s="281"/>
      <c r="E166" s="224"/>
      <c r="F166" s="192"/>
      <c r="G166" s="193"/>
      <c r="H166" s="223"/>
      <c r="I166" s="281"/>
      <c r="J166" s="225"/>
      <c r="K166" s="225"/>
      <c r="L166" s="226"/>
      <c r="M166" s="226"/>
      <c r="N166" s="181">
        <f t="shared" si="2"/>
        <v>0</v>
      </c>
      <c r="O166" s="227"/>
      <c r="P166" s="227"/>
      <c r="Q166" s="223"/>
      <c r="R166" s="781"/>
      <c r="S166" s="781"/>
    </row>
    <row r="167" spans="1:19" ht="15.75" x14ac:dyDescent="0.25">
      <c r="A167" s="223"/>
      <c r="B167" s="281"/>
      <c r="C167" s="281"/>
      <c r="D167" s="281"/>
      <c r="E167" s="224"/>
      <c r="F167" s="192"/>
      <c r="G167" s="193"/>
      <c r="H167" s="223"/>
      <c r="I167" s="281"/>
      <c r="J167" s="225"/>
      <c r="K167" s="225"/>
      <c r="L167" s="226"/>
      <c r="M167" s="226"/>
      <c r="N167" s="181">
        <f t="shared" si="2"/>
        <v>0</v>
      </c>
      <c r="O167" s="227"/>
      <c r="P167" s="227"/>
      <c r="Q167" s="223"/>
      <c r="R167" s="781"/>
      <c r="S167" s="781"/>
    </row>
    <row r="168" spans="1:19" ht="15.75" x14ac:dyDescent="0.25">
      <c r="A168" s="223"/>
      <c r="B168" s="281"/>
      <c r="C168" s="281"/>
      <c r="D168" s="281"/>
      <c r="E168" s="224"/>
      <c r="F168" s="192"/>
      <c r="G168" s="193"/>
      <c r="H168" s="223"/>
      <c r="I168" s="281"/>
      <c r="J168" s="225"/>
      <c r="K168" s="225"/>
      <c r="L168" s="226"/>
      <c r="M168" s="226"/>
      <c r="N168" s="181">
        <f t="shared" si="2"/>
        <v>0</v>
      </c>
      <c r="O168" s="227"/>
      <c r="P168" s="227"/>
      <c r="Q168" s="223"/>
      <c r="R168" s="781"/>
      <c r="S168" s="781"/>
    </row>
    <row r="169" spans="1:19" ht="15.75" x14ac:dyDescent="0.25">
      <c r="A169" s="223"/>
      <c r="B169" s="281"/>
      <c r="C169" s="281"/>
      <c r="D169" s="281"/>
      <c r="E169" s="224"/>
      <c r="F169" s="192"/>
      <c r="G169" s="193"/>
      <c r="H169" s="223"/>
      <c r="I169" s="281"/>
      <c r="J169" s="225"/>
      <c r="K169" s="225"/>
      <c r="L169" s="226"/>
      <c r="M169" s="226"/>
      <c r="N169" s="181">
        <f t="shared" si="2"/>
        <v>0</v>
      </c>
      <c r="O169" s="227"/>
      <c r="P169" s="227"/>
      <c r="Q169" s="223"/>
      <c r="R169" s="781"/>
      <c r="S169" s="781"/>
    </row>
    <row r="170" spans="1:19" ht="15.75" x14ac:dyDescent="0.25">
      <c r="A170" s="223"/>
      <c r="B170" s="281"/>
      <c r="C170" s="281"/>
      <c r="D170" s="281"/>
      <c r="E170" s="224"/>
      <c r="F170" s="192"/>
      <c r="G170" s="193"/>
      <c r="H170" s="223"/>
      <c r="I170" s="281"/>
      <c r="J170" s="225"/>
      <c r="K170" s="225"/>
      <c r="L170" s="226"/>
      <c r="M170" s="226"/>
      <c r="N170" s="181">
        <f t="shared" si="2"/>
        <v>0</v>
      </c>
      <c r="O170" s="227"/>
      <c r="P170" s="227"/>
      <c r="Q170" s="223"/>
      <c r="R170" s="781"/>
      <c r="S170" s="781"/>
    </row>
    <row r="171" spans="1:19" ht="15.75" x14ac:dyDescent="0.25">
      <c r="A171" s="223"/>
      <c r="B171" s="281"/>
      <c r="C171" s="281"/>
      <c r="D171" s="281"/>
      <c r="E171" s="224"/>
      <c r="F171" s="192"/>
      <c r="G171" s="193"/>
      <c r="H171" s="223"/>
      <c r="I171" s="281"/>
      <c r="J171" s="225"/>
      <c r="K171" s="225"/>
      <c r="L171" s="226"/>
      <c r="M171" s="226"/>
      <c r="N171" s="181">
        <f t="shared" si="2"/>
        <v>0</v>
      </c>
      <c r="O171" s="227"/>
      <c r="P171" s="227"/>
      <c r="Q171" s="223"/>
      <c r="R171" s="781"/>
      <c r="S171" s="781"/>
    </row>
    <row r="172" spans="1:19" ht="15.75" x14ac:dyDescent="0.25">
      <c r="A172" s="223"/>
      <c r="B172" s="281"/>
      <c r="C172" s="281"/>
      <c r="D172" s="281"/>
      <c r="E172" s="224"/>
      <c r="F172" s="192"/>
      <c r="G172" s="193"/>
      <c r="H172" s="223"/>
      <c r="I172" s="281"/>
      <c r="J172" s="225"/>
      <c r="K172" s="225"/>
      <c r="L172" s="226"/>
      <c r="M172" s="226"/>
      <c r="N172" s="181">
        <f t="shared" si="2"/>
        <v>0</v>
      </c>
      <c r="O172" s="227"/>
      <c r="P172" s="227"/>
      <c r="Q172" s="223"/>
      <c r="R172" s="781"/>
      <c r="S172" s="781"/>
    </row>
    <row r="173" spans="1:19" ht="15.75" x14ac:dyDescent="0.25">
      <c r="A173" s="223"/>
      <c r="B173" s="281"/>
      <c r="C173" s="281"/>
      <c r="D173" s="281"/>
      <c r="E173" s="224"/>
      <c r="F173" s="192"/>
      <c r="G173" s="193"/>
      <c r="H173" s="223"/>
      <c r="I173" s="281"/>
      <c r="J173" s="225"/>
      <c r="K173" s="225"/>
      <c r="L173" s="226"/>
      <c r="M173" s="226"/>
      <c r="N173" s="181">
        <f t="shared" si="2"/>
        <v>0</v>
      </c>
      <c r="O173" s="227"/>
      <c r="P173" s="227"/>
      <c r="Q173" s="223"/>
      <c r="R173" s="781"/>
      <c r="S173" s="781"/>
    </row>
    <row r="174" spans="1:19" ht="15.75" x14ac:dyDescent="0.25">
      <c r="A174" s="223"/>
      <c r="B174" s="281"/>
      <c r="C174" s="281"/>
      <c r="D174" s="281"/>
      <c r="E174" s="224"/>
      <c r="F174" s="192"/>
      <c r="G174" s="193"/>
      <c r="H174" s="223"/>
      <c r="I174" s="281"/>
      <c r="J174" s="225"/>
      <c r="K174" s="225"/>
      <c r="L174" s="226"/>
      <c r="M174" s="226"/>
      <c r="N174" s="181">
        <f t="shared" si="2"/>
        <v>0</v>
      </c>
      <c r="O174" s="227"/>
      <c r="P174" s="227"/>
      <c r="Q174" s="223"/>
      <c r="R174" s="781"/>
      <c r="S174" s="781"/>
    </row>
    <row r="175" spans="1:19" ht="15.75" x14ac:dyDescent="0.25">
      <c r="A175" s="223"/>
      <c r="B175" s="281"/>
      <c r="C175" s="281"/>
      <c r="D175" s="281"/>
      <c r="E175" s="224"/>
      <c r="F175" s="192"/>
      <c r="G175" s="193"/>
      <c r="H175" s="223"/>
      <c r="I175" s="281"/>
      <c r="J175" s="225"/>
      <c r="K175" s="225"/>
      <c r="L175" s="226"/>
      <c r="M175" s="226"/>
      <c r="N175" s="181">
        <f t="shared" si="2"/>
        <v>0</v>
      </c>
      <c r="O175" s="227"/>
      <c r="P175" s="227"/>
      <c r="Q175" s="223"/>
      <c r="R175" s="781"/>
      <c r="S175" s="781"/>
    </row>
    <row r="176" spans="1:19" ht="15.75" x14ac:dyDescent="0.25">
      <c r="A176" s="223"/>
      <c r="B176" s="281"/>
      <c r="C176" s="281"/>
      <c r="D176" s="281"/>
      <c r="E176" s="224"/>
      <c r="F176" s="192"/>
      <c r="G176" s="193"/>
      <c r="H176" s="223"/>
      <c r="I176" s="281"/>
      <c r="J176" s="225"/>
      <c r="K176" s="225"/>
      <c r="L176" s="226"/>
      <c r="M176" s="226"/>
      <c r="N176" s="181">
        <f t="shared" si="2"/>
        <v>0</v>
      </c>
      <c r="O176" s="227"/>
      <c r="P176" s="227"/>
      <c r="Q176" s="223"/>
      <c r="R176" s="781"/>
      <c r="S176" s="781"/>
    </row>
    <row r="177" spans="1:19" ht="15.75" x14ac:dyDescent="0.25">
      <c r="A177" s="223"/>
      <c r="B177" s="281"/>
      <c r="C177" s="281"/>
      <c r="D177" s="281"/>
      <c r="E177" s="224"/>
      <c r="F177" s="192"/>
      <c r="G177" s="193"/>
      <c r="H177" s="223"/>
      <c r="I177" s="281"/>
      <c r="J177" s="225"/>
      <c r="K177" s="225"/>
      <c r="L177" s="226"/>
      <c r="M177" s="226"/>
      <c r="N177" s="181">
        <f t="shared" si="2"/>
        <v>0</v>
      </c>
      <c r="O177" s="227"/>
      <c r="P177" s="227"/>
      <c r="Q177" s="223"/>
      <c r="R177" s="781"/>
      <c r="S177" s="781"/>
    </row>
    <row r="178" spans="1:19" ht="15.75" x14ac:dyDescent="0.25">
      <c r="A178" s="223"/>
      <c r="B178" s="281"/>
      <c r="C178" s="281"/>
      <c r="D178" s="281"/>
      <c r="E178" s="224"/>
      <c r="F178" s="192"/>
      <c r="G178" s="193"/>
      <c r="H178" s="223"/>
      <c r="I178" s="281"/>
      <c r="J178" s="225"/>
      <c r="K178" s="225"/>
      <c r="L178" s="226"/>
      <c r="M178" s="226"/>
      <c r="N178" s="181">
        <f t="shared" si="2"/>
        <v>0</v>
      </c>
      <c r="O178" s="227"/>
      <c r="P178" s="227"/>
      <c r="Q178" s="223"/>
      <c r="R178" s="781"/>
      <c r="S178" s="781"/>
    </row>
    <row r="179" spans="1:19" ht="15.75" x14ac:dyDescent="0.25">
      <c r="A179" s="223"/>
      <c r="B179" s="281"/>
      <c r="C179" s="281"/>
      <c r="D179" s="281"/>
      <c r="E179" s="224"/>
      <c r="F179" s="192"/>
      <c r="G179" s="193"/>
      <c r="H179" s="223"/>
      <c r="I179" s="281"/>
      <c r="J179" s="225"/>
      <c r="K179" s="225"/>
      <c r="L179" s="226"/>
      <c r="M179" s="226"/>
      <c r="N179" s="181">
        <f t="shared" si="2"/>
        <v>0</v>
      </c>
      <c r="O179" s="227"/>
      <c r="P179" s="227"/>
      <c r="Q179" s="223"/>
      <c r="R179" s="781"/>
      <c r="S179" s="781"/>
    </row>
    <row r="180" spans="1:19" ht="15.75" x14ac:dyDescent="0.25">
      <c r="A180" s="223"/>
      <c r="B180" s="281"/>
      <c r="C180" s="281"/>
      <c r="D180" s="281"/>
      <c r="E180" s="224"/>
      <c r="F180" s="192"/>
      <c r="G180" s="193"/>
      <c r="H180" s="223"/>
      <c r="I180" s="281"/>
      <c r="J180" s="225"/>
      <c r="K180" s="225"/>
      <c r="L180" s="226"/>
      <c r="M180" s="226"/>
      <c r="N180" s="181">
        <f t="shared" si="2"/>
        <v>0</v>
      </c>
      <c r="O180" s="227"/>
      <c r="P180" s="227"/>
      <c r="Q180" s="223"/>
      <c r="R180" s="781"/>
      <c r="S180" s="781"/>
    </row>
    <row r="181" spans="1:19" ht="15.75" x14ac:dyDescent="0.25">
      <c r="A181" s="223"/>
      <c r="B181" s="281"/>
      <c r="C181" s="281"/>
      <c r="D181" s="281"/>
      <c r="E181" s="224"/>
      <c r="F181" s="192"/>
      <c r="G181" s="193"/>
      <c r="H181" s="223"/>
      <c r="I181" s="281"/>
      <c r="J181" s="225"/>
      <c r="K181" s="225"/>
      <c r="L181" s="226"/>
      <c r="M181" s="226"/>
      <c r="N181" s="181">
        <f t="shared" si="2"/>
        <v>0</v>
      </c>
      <c r="O181" s="227"/>
      <c r="P181" s="227"/>
      <c r="Q181" s="223"/>
      <c r="R181" s="781"/>
      <c r="S181" s="781"/>
    </row>
    <row r="182" spans="1:19" ht="15.75" x14ac:dyDescent="0.25">
      <c r="A182" s="223"/>
      <c r="B182" s="281"/>
      <c r="C182" s="281"/>
      <c r="D182" s="281"/>
      <c r="E182" s="224"/>
      <c r="F182" s="192"/>
      <c r="G182" s="193"/>
      <c r="H182" s="223"/>
      <c r="I182" s="281"/>
      <c r="J182" s="225"/>
      <c r="K182" s="225"/>
      <c r="L182" s="226"/>
      <c r="M182" s="226"/>
      <c r="N182" s="181">
        <f t="shared" si="2"/>
        <v>0</v>
      </c>
      <c r="O182" s="227"/>
      <c r="P182" s="227"/>
      <c r="Q182" s="223"/>
      <c r="R182" s="781"/>
      <c r="S182" s="781"/>
    </row>
    <row r="183" spans="1:19" ht="15.75" x14ac:dyDescent="0.25">
      <c r="A183" s="223"/>
      <c r="B183" s="281"/>
      <c r="C183" s="281"/>
      <c r="D183" s="281"/>
      <c r="E183" s="224"/>
      <c r="F183" s="192"/>
      <c r="G183" s="193"/>
      <c r="H183" s="223"/>
      <c r="I183" s="281"/>
      <c r="J183" s="225"/>
      <c r="K183" s="225"/>
      <c r="L183" s="226"/>
      <c r="M183" s="226"/>
      <c r="N183" s="181">
        <f t="shared" si="2"/>
        <v>0</v>
      </c>
      <c r="O183" s="227"/>
      <c r="P183" s="227"/>
      <c r="Q183" s="223"/>
      <c r="R183" s="781"/>
      <c r="S183" s="781"/>
    </row>
    <row r="184" spans="1:19" ht="15.75" x14ac:dyDescent="0.25">
      <c r="A184" s="223"/>
      <c r="B184" s="281"/>
      <c r="C184" s="281"/>
      <c r="D184" s="281"/>
      <c r="E184" s="224"/>
      <c r="F184" s="192"/>
      <c r="G184" s="193"/>
      <c r="H184" s="223"/>
      <c r="I184" s="281"/>
      <c r="J184" s="225"/>
      <c r="K184" s="225"/>
      <c r="L184" s="226"/>
      <c r="M184" s="226"/>
      <c r="N184" s="181">
        <f t="shared" si="2"/>
        <v>0</v>
      </c>
      <c r="O184" s="227"/>
      <c r="P184" s="227"/>
      <c r="Q184" s="223"/>
      <c r="R184" s="781"/>
      <c r="S184" s="781"/>
    </row>
    <row r="185" spans="1:19" ht="15.75" x14ac:dyDescent="0.25">
      <c r="A185" s="223"/>
      <c r="B185" s="281"/>
      <c r="C185" s="281"/>
      <c r="D185" s="281"/>
      <c r="E185" s="224"/>
      <c r="F185" s="192"/>
      <c r="G185" s="193"/>
      <c r="H185" s="223"/>
      <c r="I185" s="281"/>
      <c r="J185" s="225"/>
      <c r="K185" s="225"/>
      <c r="L185" s="226"/>
      <c r="M185" s="226"/>
      <c r="N185" s="181">
        <f t="shared" si="2"/>
        <v>0</v>
      </c>
      <c r="O185" s="227"/>
      <c r="P185" s="227"/>
      <c r="Q185" s="223"/>
      <c r="R185" s="781"/>
      <c r="S185" s="781"/>
    </row>
    <row r="186" spans="1:19" ht="15.75" x14ac:dyDescent="0.25">
      <c r="A186" s="223"/>
      <c r="B186" s="281"/>
      <c r="C186" s="281"/>
      <c r="D186" s="281"/>
      <c r="E186" s="224"/>
      <c r="F186" s="192"/>
      <c r="G186" s="193"/>
      <c r="H186" s="223"/>
      <c r="I186" s="281"/>
      <c r="J186" s="225"/>
      <c r="K186" s="225"/>
      <c r="L186" s="226"/>
      <c r="M186" s="226"/>
      <c r="N186" s="181">
        <f t="shared" si="2"/>
        <v>0</v>
      </c>
      <c r="O186" s="227"/>
      <c r="P186" s="227"/>
      <c r="Q186" s="223"/>
      <c r="R186" s="781"/>
      <c r="S186" s="781"/>
    </row>
    <row r="187" spans="1:19" ht="15.75" x14ac:dyDescent="0.25">
      <c r="A187" s="223"/>
      <c r="B187" s="281"/>
      <c r="C187" s="281"/>
      <c r="D187" s="281"/>
      <c r="E187" s="224"/>
      <c r="F187" s="192"/>
      <c r="G187" s="193"/>
      <c r="H187" s="223"/>
      <c r="I187" s="281"/>
      <c r="J187" s="225"/>
      <c r="K187" s="225"/>
      <c r="L187" s="226"/>
      <c r="M187" s="226"/>
      <c r="N187" s="181">
        <f t="shared" si="2"/>
        <v>0</v>
      </c>
      <c r="O187" s="227"/>
      <c r="P187" s="227"/>
      <c r="Q187" s="223"/>
      <c r="R187" s="781"/>
      <c r="S187" s="781"/>
    </row>
    <row r="188" spans="1:19" ht="15.75" x14ac:dyDescent="0.25">
      <c r="A188" s="223"/>
      <c r="B188" s="281"/>
      <c r="C188" s="281"/>
      <c r="D188" s="281"/>
      <c r="E188" s="224"/>
      <c r="F188" s="192"/>
      <c r="G188" s="193"/>
      <c r="H188" s="223"/>
      <c r="I188" s="281"/>
      <c r="J188" s="225"/>
      <c r="K188" s="225"/>
      <c r="L188" s="226"/>
      <c r="M188" s="226"/>
      <c r="N188" s="181">
        <f t="shared" si="2"/>
        <v>0</v>
      </c>
      <c r="O188" s="227"/>
      <c r="P188" s="227"/>
      <c r="Q188" s="223"/>
      <c r="R188" s="781"/>
      <c r="S188" s="781"/>
    </row>
    <row r="189" spans="1:19" ht="15.75" x14ac:dyDescent="0.25">
      <c r="A189" s="223"/>
      <c r="B189" s="281"/>
      <c r="C189" s="281"/>
      <c r="D189" s="281"/>
      <c r="E189" s="224"/>
      <c r="F189" s="192"/>
      <c r="G189" s="193"/>
      <c r="H189" s="223"/>
      <c r="I189" s="281"/>
      <c r="J189" s="225"/>
      <c r="K189" s="225"/>
      <c r="L189" s="226"/>
      <c r="M189" s="226"/>
      <c r="N189" s="181">
        <f t="shared" si="2"/>
        <v>0</v>
      </c>
      <c r="O189" s="227"/>
      <c r="P189" s="227"/>
      <c r="Q189" s="223"/>
      <c r="R189" s="781"/>
      <c r="S189" s="781"/>
    </row>
    <row r="190" spans="1:19" ht="15.75" x14ac:dyDescent="0.25">
      <c r="A190" s="223"/>
      <c r="B190" s="281"/>
      <c r="C190" s="281"/>
      <c r="D190" s="281"/>
      <c r="E190" s="224"/>
      <c r="F190" s="192"/>
      <c r="G190" s="193"/>
      <c r="H190" s="223"/>
      <c r="I190" s="281"/>
      <c r="J190" s="225"/>
      <c r="K190" s="225"/>
      <c r="L190" s="226"/>
      <c r="M190" s="226"/>
      <c r="N190" s="181">
        <f t="shared" si="2"/>
        <v>0</v>
      </c>
      <c r="O190" s="227"/>
      <c r="P190" s="227"/>
      <c r="Q190" s="223"/>
      <c r="R190" s="781"/>
      <c r="S190" s="781"/>
    </row>
    <row r="191" spans="1:19" ht="15.75" x14ac:dyDescent="0.25">
      <c r="A191" s="223"/>
      <c r="B191" s="281"/>
      <c r="C191" s="281"/>
      <c r="D191" s="281"/>
      <c r="E191" s="224"/>
      <c r="F191" s="192"/>
      <c r="G191" s="193"/>
      <c r="H191" s="223"/>
      <c r="I191" s="281"/>
      <c r="J191" s="225"/>
      <c r="K191" s="225"/>
      <c r="L191" s="226"/>
      <c r="M191" s="226"/>
      <c r="N191" s="181">
        <f t="shared" si="2"/>
        <v>0</v>
      </c>
      <c r="O191" s="227"/>
      <c r="P191" s="227"/>
      <c r="Q191" s="223"/>
      <c r="R191" s="781"/>
      <c r="S191" s="781"/>
    </row>
    <row r="192" spans="1:19" ht="15.75" x14ac:dyDescent="0.25">
      <c r="A192" s="223"/>
      <c r="B192" s="281"/>
      <c r="C192" s="281"/>
      <c r="D192" s="281"/>
      <c r="E192" s="224"/>
      <c r="F192" s="192"/>
      <c r="G192" s="193"/>
      <c r="H192" s="223"/>
      <c r="I192" s="281"/>
      <c r="J192" s="225"/>
      <c r="K192" s="225"/>
      <c r="L192" s="226"/>
      <c r="M192" s="226"/>
      <c r="N192" s="181">
        <f t="shared" si="2"/>
        <v>0</v>
      </c>
      <c r="O192" s="227"/>
      <c r="P192" s="227"/>
      <c r="Q192" s="223"/>
      <c r="R192" s="781"/>
      <c r="S192" s="781"/>
    </row>
    <row r="193" spans="1:19" ht="15.75" x14ac:dyDescent="0.25">
      <c r="A193" s="223"/>
      <c r="B193" s="281"/>
      <c r="C193" s="281"/>
      <c r="D193" s="281"/>
      <c r="E193" s="224"/>
      <c r="F193" s="192"/>
      <c r="G193" s="193"/>
      <c r="H193" s="223"/>
      <c r="I193" s="281"/>
      <c r="J193" s="225"/>
      <c r="K193" s="225"/>
      <c r="L193" s="226"/>
      <c r="M193" s="226"/>
      <c r="N193" s="181">
        <f t="shared" si="2"/>
        <v>0</v>
      </c>
      <c r="O193" s="227"/>
      <c r="P193" s="227"/>
      <c r="Q193" s="223"/>
      <c r="R193" s="781"/>
      <c r="S193" s="781"/>
    </row>
    <row r="194" spans="1:19" ht="15.75" x14ac:dyDescent="0.25">
      <c r="A194" s="223"/>
      <c r="B194" s="281"/>
      <c r="C194" s="281"/>
      <c r="D194" s="281"/>
      <c r="E194" s="224"/>
      <c r="F194" s="192"/>
      <c r="G194" s="193"/>
      <c r="H194" s="223"/>
      <c r="I194" s="281"/>
      <c r="J194" s="225"/>
      <c r="K194" s="225"/>
      <c r="L194" s="226"/>
      <c r="M194" s="226"/>
      <c r="N194" s="181">
        <f t="shared" si="2"/>
        <v>0</v>
      </c>
      <c r="O194" s="227"/>
      <c r="P194" s="227"/>
      <c r="Q194" s="223"/>
      <c r="R194" s="781"/>
      <c r="S194" s="781"/>
    </row>
    <row r="195" spans="1:19" ht="15.75" x14ac:dyDescent="0.25">
      <c r="A195" s="223"/>
      <c r="B195" s="281"/>
      <c r="C195" s="281"/>
      <c r="D195" s="281"/>
      <c r="E195" s="224"/>
      <c r="F195" s="192"/>
      <c r="G195" s="193"/>
      <c r="H195" s="223"/>
      <c r="I195" s="281"/>
      <c r="J195" s="225"/>
      <c r="K195" s="225"/>
      <c r="L195" s="226"/>
      <c r="M195" s="226"/>
      <c r="N195" s="181">
        <f t="shared" si="2"/>
        <v>0</v>
      </c>
      <c r="O195" s="227"/>
      <c r="P195" s="227"/>
      <c r="Q195" s="223"/>
      <c r="R195" s="781"/>
      <c r="S195" s="781"/>
    </row>
    <row r="196" spans="1:19" ht="15.75" x14ac:dyDescent="0.25">
      <c r="A196" s="223"/>
      <c r="B196" s="281"/>
      <c r="C196" s="281"/>
      <c r="D196" s="281"/>
      <c r="E196" s="224"/>
      <c r="F196" s="192"/>
      <c r="G196" s="193"/>
      <c r="H196" s="223"/>
      <c r="I196" s="281"/>
      <c r="J196" s="225"/>
      <c r="K196" s="225"/>
      <c r="L196" s="226"/>
      <c r="M196" s="226"/>
      <c r="N196" s="181">
        <f t="shared" si="2"/>
        <v>0</v>
      </c>
      <c r="O196" s="227"/>
      <c r="P196" s="227"/>
      <c r="Q196" s="223"/>
      <c r="R196" s="781"/>
      <c r="S196" s="781"/>
    </row>
    <row r="197" spans="1:19" ht="15.75" x14ac:dyDescent="0.25">
      <c r="A197" s="223"/>
      <c r="B197" s="281"/>
      <c r="C197" s="281"/>
      <c r="D197" s="281"/>
      <c r="E197" s="224"/>
      <c r="F197" s="192"/>
      <c r="G197" s="193"/>
      <c r="H197" s="223"/>
      <c r="I197" s="281"/>
      <c r="J197" s="225"/>
      <c r="K197" s="225"/>
      <c r="L197" s="226"/>
      <c r="M197" s="226"/>
      <c r="N197" s="181">
        <f t="shared" si="2"/>
        <v>0</v>
      </c>
      <c r="O197" s="227"/>
      <c r="P197" s="227"/>
      <c r="Q197" s="223"/>
      <c r="R197" s="781"/>
      <c r="S197" s="781"/>
    </row>
    <row r="198" spans="1:19" ht="15.75" x14ac:dyDescent="0.25">
      <c r="A198" s="223"/>
      <c r="B198" s="281"/>
      <c r="C198" s="281"/>
      <c r="D198" s="281"/>
      <c r="E198" s="224"/>
      <c r="F198" s="192"/>
      <c r="G198" s="193"/>
      <c r="H198" s="223"/>
      <c r="I198" s="281"/>
      <c r="J198" s="225"/>
      <c r="K198" s="225"/>
      <c r="L198" s="226"/>
      <c r="M198" s="226"/>
      <c r="N198" s="181">
        <f t="shared" ref="N198:N211" si="3">M198+L198</f>
        <v>0</v>
      </c>
      <c r="O198" s="227"/>
      <c r="P198" s="227"/>
      <c r="Q198" s="223"/>
      <c r="R198" s="781"/>
      <c r="S198" s="781"/>
    </row>
    <row r="199" spans="1:19" ht="15.75" x14ac:dyDescent="0.25">
      <c r="A199" s="223"/>
      <c r="B199" s="281"/>
      <c r="C199" s="281"/>
      <c r="D199" s="281"/>
      <c r="E199" s="224"/>
      <c r="F199" s="192"/>
      <c r="G199" s="193"/>
      <c r="H199" s="223"/>
      <c r="I199" s="281"/>
      <c r="J199" s="225"/>
      <c r="K199" s="225"/>
      <c r="L199" s="226"/>
      <c r="M199" s="226"/>
      <c r="N199" s="181">
        <f t="shared" si="3"/>
        <v>0</v>
      </c>
      <c r="O199" s="227"/>
      <c r="P199" s="227"/>
      <c r="Q199" s="223"/>
      <c r="R199" s="781"/>
      <c r="S199" s="781"/>
    </row>
    <row r="200" spans="1:19" ht="15.75" x14ac:dyDescent="0.25">
      <c r="A200" s="223"/>
      <c r="B200" s="281"/>
      <c r="C200" s="281"/>
      <c r="D200" s="281"/>
      <c r="E200" s="224"/>
      <c r="F200" s="192"/>
      <c r="G200" s="193"/>
      <c r="H200" s="223"/>
      <c r="I200" s="281"/>
      <c r="J200" s="225"/>
      <c r="K200" s="225"/>
      <c r="L200" s="226"/>
      <c r="M200" s="226"/>
      <c r="N200" s="181">
        <f t="shared" si="3"/>
        <v>0</v>
      </c>
      <c r="O200" s="227"/>
      <c r="P200" s="227"/>
      <c r="Q200" s="223"/>
      <c r="R200" s="781"/>
      <c r="S200" s="781"/>
    </row>
    <row r="201" spans="1:19" ht="15.75" x14ac:dyDescent="0.25">
      <c r="A201" s="223"/>
      <c r="B201" s="281"/>
      <c r="C201" s="281"/>
      <c r="D201" s="281"/>
      <c r="E201" s="224"/>
      <c r="F201" s="192"/>
      <c r="G201" s="193"/>
      <c r="H201" s="223"/>
      <c r="I201" s="281"/>
      <c r="J201" s="225"/>
      <c r="K201" s="225"/>
      <c r="L201" s="226"/>
      <c r="M201" s="226"/>
      <c r="N201" s="181">
        <f t="shared" si="3"/>
        <v>0</v>
      </c>
      <c r="O201" s="227"/>
      <c r="P201" s="227"/>
      <c r="Q201" s="223"/>
      <c r="R201" s="781"/>
      <c r="S201" s="781"/>
    </row>
    <row r="202" spans="1:19" ht="15.75" x14ac:dyDescent="0.25">
      <c r="A202" s="223"/>
      <c r="B202" s="281"/>
      <c r="C202" s="281"/>
      <c r="D202" s="281"/>
      <c r="E202" s="224"/>
      <c r="F202" s="192"/>
      <c r="G202" s="193"/>
      <c r="H202" s="223"/>
      <c r="I202" s="281"/>
      <c r="J202" s="225"/>
      <c r="K202" s="225"/>
      <c r="L202" s="226"/>
      <c r="M202" s="226"/>
      <c r="N202" s="181">
        <f t="shared" si="3"/>
        <v>0</v>
      </c>
      <c r="O202" s="227"/>
      <c r="P202" s="227"/>
      <c r="Q202" s="223"/>
      <c r="R202" s="781"/>
      <c r="S202" s="781"/>
    </row>
    <row r="203" spans="1:19" ht="15.75" x14ac:dyDescent="0.25">
      <c r="A203" s="223"/>
      <c r="B203" s="281"/>
      <c r="C203" s="281"/>
      <c r="D203" s="281"/>
      <c r="E203" s="224"/>
      <c r="F203" s="192"/>
      <c r="G203" s="193"/>
      <c r="H203" s="223"/>
      <c r="I203" s="281"/>
      <c r="J203" s="225"/>
      <c r="K203" s="225"/>
      <c r="L203" s="226"/>
      <c r="M203" s="226"/>
      <c r="N203" s="181">
        <f t="shared" si="3"/>
        <v>0</v>
      </c>
      <c r="O203" s="227"/>
      <c r="P203" s="227"/>
      <c r="Q203" s="223"/>
      <c r="R203" s="781"/>
      <c r="S203" s="781"/>
    </row>
    <row r="204" spans="1:19" ht="15.75" x14ac:dyDescent="0.25">
      <c r="A204" s="223"/>
      <c r="B204" s="281"/>
      <c r="C204" s="281"/>
      <c r="D204" s="281"/>
      <c r="E204" s="224"/>
      <c r="F204" s="192"/>
      <c r="G204" s="193"/>
      <c r="H204" s="223"/>
      <c r="I204" s="281"/>
      <c r="J204" s="225"/>
      <c r="K204" s="225"/>
      <c r="L204" s="226"/>
      <c r="M204" s="226"/>
      <c r="N204" s="181">
        <f t="shared" si="3"/>
        <v>0</v>
      </c>
      <c r="O204" s="227"/>
      <c r="P204" s="227"/>
      <c r="Q204" s="223"/>
      <c r="R204" s="781"/>
      <c r="S204" s="781"/>
    </row>
    <row r="205" spans="1:19" ht="15.75" x14ac:dyDescent="0.25">
      <c r="A205" s="223"/>
      <c r="B205" s="281"/>
      <c r="C205" s="281"/>
      <c r="D205" s="281"/>
      <c r="E205" s="224"/>
      <c r="F205" s="192"/>
      <c r="G205" s="193"/>
      <c r="H205" s="223"/>
      <c r="I205" s="281"/>
      <c r="J205" s="225"/>
      <c r="K205" s="225"/>
      <c r="L205" s="226"/>
      <c r="M205" s="226"/>
      <c r="N205" s="181">
        <f t="shared" si="3"/>
        <v>0</v>
      </c>
      <c r="O205" s="227"/>
      <c r="P205" s="227"/>
      <c r="Q205" s="223"/>
      <c r="R205" s="781"/>
      <c r="S205" s="781"/>
    </row>
    <row r="206" spans="1:19" ht="15.75" x14ac:dyDescent="0.25">
      <c r="A206" s="223"/>
      <c r="B206" s="281"/>
      <c r="C206" s="281"/>
      <c r="D206" s="281"/>
      <c r="E206" s="224"/>
      <c r="F206" s="192"/>
      <c r="G206" s="193"/>
      <c r="H206" s="223"/>
      <c r="I206" s="281"/>
      <c r="J206" s="225"/>
      <c r="K206" s="225"/>
      <c r="L206" s="226"/>
      <c r="M206" s="226"/>
      <c r="N206" s="181">
        <f t="shared" si="3"/>
        <v>0</v>
      </c>
      <c r="O206" s="227"/>
      <c r="P206" s="227"/>
      <c r="Q206" s="223"/>
      <c r="R206" s="781"/>
      <c r="S206" s="781"/>
    </row>
    <row r="207" spans="1:19" ht="15.75" x14ac:dyDescent="0.25">
      <c r="A207" s="223"/>
      <c r="B207" s="281"/>
      <c r="C207" s="281"/>
      <c r="D207" s="281"/>
      <c r="E207" s="224"/>
      <c r="F207" s="192"/>
      <c r="G207" s="193"/>
      <c r="H207" s="223"/>
      <c r="I207" s="281"/>
      <c r="J207" s="225"/>
      <c r="K207" s="225"/>
      <c r="L207" s="226"/>
      <c r="M207" s="226"/>
      <c r="N207" s="181">
        <f t="shared" si="3"/>
        <v>0</v>
      </c>
      <c r="O207" s="227"/>
      <c r="P207" s="227"/>
      <c r="Q207" s="223"/>
      <c r="R207" s="781"/>
      <c r="S207" s="781"/>
    </row>
    <row r="208" spans="1:19" ht="15.75" x14ac:dyDescent="0.25">
      <c r="A208" s="223"/>
      <c r="B208" s="281"/>
      <c r="C208" s="281"/>
      <c r="D208" s="281"/>
      <c r="E208" s="224"/>
      <c r="F208" s="192"/>
      <c r="G208" s="193"/>
      <c r="H208" s="223"/>
      <c r="I208" s="281"/>
      <c r="J208" s="225"/>
      <c r="K208" s="225"/>
      <c r="L208" s="226"/>
      <c r="M208" s="226"/>
      <c r="N208" s="181">
        <f t="shared" si="3"/>
        <v>0</v>
      </c>
      <c r="O208" s="227"/>
      <c r="P208" s="227"/>
      <c r="Q208" s="223"/>
      <c r="R208" s="781"/>
      <c r="S208" s="781"/>
    </row>
    <row r="209" spans="1:19" ht="15.75" x14ac:dyDescent="0.25">
      <c r="A209" s="223"/>
      <c r="B209" s="281"/>
      <c r="C209" s="281"/>
      <c r="D209" s="281"/>
      <c r="E209" s="224"/>
      <c r="F209" s="192"/>
      <c r="G209" s="193"/>
      <c r="H209" s="223"/>
      <c r="I209" s="281"/>
      <c r="J209" s="225"/>
      <c r="K209" s="225"/>
      <c r="L209" s="226"/>
      <c r="M209" s="226"/>
      <c r="N209" s="181">
        <f t="shared" si="3"/>
        <v>0</v>
      </c>
      <c r="O209" s="227"/>
      <c r="P209" s="227"/>
      <c r="Q209" s="223"/>
      <c r="R209" s="781"/>
      <c r="S209" s="781"/>
    </row>
    <row r="210" spans="1:19" ht="15.75" x14ac:dyDescent="0.25">
      <c r="A210" s="223"/>
      <c r="B210" s="281"/>
      <c r="C210" s="281"/>
      <c r="D210" s="281"/>
      <c r="E210" s="224"/>
      <c r="F210" s="192"/>
      <c r="G210" s="193"/>
      <c r="H210" s="223"/>
      <c r="I210" s="281"/>
      <c r="J210" s="225"/>
      <c r="K210" s="225"/>
      <c r="L210" s="226"/>
      <c r="M210" s="226"/>
      <c r="N210" s="181">
        <f t="shared" si="3"/>
        <v>0</v>
      </c>
      <c r="O210" s="227"/>
      <c r="P210" s="227"/>
      <c r="Q210" s="223"/>
      <c r="R210" s="781"/>
      <c r="S210" s="781"/>
    </row>
    <row r="211" spans="1:19" ht="15.75" x14ac:dyDescent="0.25">
      <c r="A211" s="223"/>
      <c r="B211" s="281"/>
      <c r="C211" s="281"/>
      <c r="D211" s="281"/>
      <c r="E211" s="224"/>
      <c r="F211" s="192"/>
      <c r="G211" s="193"/>
      <c r="H211" s="223"/>
      <c r="I211" s="281"/>
      <c r="J211" s="225"/>
      <c r="K211" s="225"/>
      <c r="L211" s="226"/>
      <c r="M211" s="226"/>
      <c r="N211" s="181">
        <f t="shared" si="3"/>
        <v>0</v>
      </c>
      <c r="O211" s="227"/>
      <c r="P211" s="227"/>
      <c r="Q211" s="223"/>
      <c r="R211" s="781"/>
      <c r="S211" s="781"/>
    </row>
    <row r="212" spans="1:19" x14ac:dyDescent="0.25">
      <c r="A212" s="223"/>
      <c r="B212" s="281"/>
      <c r="C212" s="281"/>
      <c r="D212" s="281"/>
      <c r="E212" s="224"/>
      <c r="F212" s="192"/>
      <c r="G212" s="193"/>
      <c r="H212" s="223"/>
      <c r="I212" s="281"/>
      <c r="J212" s="225"/>
      <c r="K212" s="225"/>
      <c r="L212" s="226"/>
      <c r="M212" s="226"/>
      <c r="N212" s="226"/>
      <c r="O212" s="227"/>
      <c r="P212" s="227"/>
      <c r="Q212" s="223"/>
      <c r="R212" s="781"/>
      <c r="S212" s="781"/>
    </row>
    <row r="213" spans="1:19" x14ac:dyDescent="0.25">
      <c r="A213" s="223"/>
      <c r="B213" s="281"/>
      <c r="C213" s="281"/>
      <c r="D213" s="281"/>
      <c r="E213" s="224"/>
      <c r="F213" s="192"/>
      <c r="G213" s="193"/>
      <c r="H213" s="223"/>
      <c r="I213" s="281"/>
      <c r="J213" s="225"/>
      <c r="K213" s="225"/>
      <c r="L213" s="226"/>
      <c r="M213" s="226"/>
      <c r="N213" s="226"/>
      <c r="O213" s="227"/>
      <c r="P213" s="227"/>
      <c r="Q213" s="223"/>
      <c r="R213" s="781"/>
      <c r="S213" s="781"/>
    </row>
    <row r="214" spans="1:19" x14ac:dyDescent="0.25">
      <c r="A214" s="223"/>
      <c r="B214" s="281"/>
      <c r="C214" s="281"/>
      <c r="D214" s="281"/>
      <c r="E214" s="224"/>
      <c r="F214" s="192"/>
      <c r="G214" s="193"/>
      <c r="H214" s="223"/>
      <c r="I214" s="281"/>
      <c r="J214" s="225"/>
      <c r="K214" s="225"/>
      <c r="L214" s="226"/>
      <c r="M214" s="226"/>
      <c r="N214" s="226"/>
      <c r="O214" s="227"/>
      <c r="P214" s="227"/>
      <c r="Q214" s="223"/>
      <c r="R214" s="781"/>
      <c r="S214" s="781"/>
    </row>
    <row r="215" spans="1:19" x14ac:dyDescent="0.25">
      <c r="A215" s="223"/>
      <c r="B215" s="281"/>
      <c r="C215" s="281"/>
      <c r="D215" s="281"/>
      <c r="E215" s="224"/>
      <c r="F215" s="192"/>
      <c r="G215" s="193"/>
      <c r="H215" s="223"/>
      <c r="I215" s="281"/>
      <c r="J215" s="225"/>
      <c r="K215" s="225"/>
      <c r="L215" s="226"/>
      <c r="M215" s="226"/>
      <c r="N215" s="226"/>
      <c r="O215" s="227"/>
      <c r="P215" s="227"/>
      <c r="Q215" s="223"/>
      <c r="R215" s="781"/>
      <c r="S215" s="781"/>
    </row>
    <row r="216" spans="1:19" x14ac:dyDescent="0.25">
      <c r="A216" s="223"/>
      <c r="B216" s="281"/>
      <c r="C216" s="281"/>
      <c r="D216" s="281"/>
      <c r="E216" s="224"/>
      <c r="F216" s="192"/>
      <c r="G216" s="193"/>
      <c r="H216" s="223"/>
      <c r="I216" s="281"/>
      <c r="J216" s="225"/>
      <c r="K216" s="225"/>
      <c r="L216" s="226"/>
      <c r="M216" s="226"/>
      <c r="N216" s="226"/>
      <c r="O216" s="227"/>
      <c r="P216" s="227"/>
      <c r="Q216" s="223"/>
      <c r="R216" s="781"/>
      <c r="S216" s="781"/>
    </row>
    <row r="217" spans="1:19" x14ac:dyDescent="0.25">
      <c r="A217" s="223"/>
      <c r="B217" s="281"/>
      <c r="C217" s="281"/>
      <c r="D217" s="281"/>
      <c r="E217" s="224"/>
      <c r="F217" s="192"/>
      <c r="G217" s="193"/>
      <c r="H217" s="223"/>
      <c r="I217" s="281"/>
      <c r="J217" s="225"/>
      <c r="K217" s="225"/>
      <c r="L217" s="226"/>
      <c r="M217" s="226"/>
      <c r="N217" s="226"/>
      <c r="O217" s="227"/>
      <c r="P217" s="227"/>
      <c r="Q217" s="223"/>
      <c r="R217" s="781"/>
      <c r="S217" s="781"/>
    </row>
    <row r="218" spans="1:19" x14ac:dyDescent="0.25">
      <c r="A218" s="223"/>
      <c r="B218" s="281"/>
      <c r="C218" s="281"/>
      <c r="D218" s="281"/>
      <c r="E218" s="224"/>
      <c r="F218" s="192"/>
      <c r="G218" s="193"/>
      <c r="H218" s="223"/>
      <c r="I218" s="281"/>
      <c r="J218" s="225"/>
      <c r="K218" s="225"/>
      <c r="L218" s="226"/>
      <c r="M218" s="226"/>
      <c r="N218" s="226"/>
      <c r="O218" s="227"/>
      <c r="P218" s="227"/>
      <c r="Q218" s="223"/>
      <c r="R218" s="781"/>
      <c r="S218" s="781"/>
    </row>
    <row r="219" spans="1:19" x14ac:dyDescent="0.25">
      <c r="A219" s="223"/>
      <c r="B219" s="281"/>
      <c r="C219" s="281"/>
      <c r="D219" s="281"/>
      <c r="E219" s="224"/>
      <c r="F219" s="192"/>
      <c r="G219" s="193"/>
      <c r="H219" s="223"/>
      <c r="I219" s="281"/>
      <c r="J219" s="225"/>
      <c r="K219" s="225"/>
      <c r="L219" s="226"/>
      <c r="M219" s="226"/>
      <c r="N219" s="226"/>
      <c r="O219" s="227"/>
      <c r="P219" s="227"/>
      <c r="Q219" s="223"/>
      <c r="R219" s="781"/>
      <c r="S219" s="781"/>
    </row>
    <row r="220" spans="1:19" x14ac:dyDescent="0.25">
      <c r="A220" s="223"/>
      <c r="B220" s="281"/>
      <c r="C220" s="281"/>
      <c r="D220" s="281"/>
      <c r="E220" s="224"/>
      <c r="F220" s="192"/>
      <c r="G220" s="193"/>
      <c r="H220" s="223"/>
      <c r="I220" s="281"/>
      <c r="J220" s="225"/>
      <c r="K220" s="225"/>
      <c r="L220" s="226"/>
      <c r="M220" s="226"/>
      <c r="N220" s="226"/>
      <c r="O220" s="227"/>
      <c r="P220" s="227"/>
      <c r="Q220" s="223"/>
      <c r="R220" s="781"/>
      <c r="S220" s="781"/>
    </row>
    <row r="221" spans="1:19" x14ac:dyDescent="0.25">
      <c r="A221" s="223"/>
      <c r="B221" s="281"/>
      <c r="C221" s="281"/>
      <c r="D221" s="281"/>
      <c r="E221" s="224"/>
      <c r="F221" s="192"/>
      <c r="G221" s="193"/>
      <c r="H221" s="223"/>
      <c r="I221" s="281"/>
      <c r="J221" s="225"/>
      <c r="K221" s="225"/>
      <c r="L221" s="226"/>
      <c r="M221" s="226"/>
      <c r="N221" s="226"/>
      <c r="O221" s="227"/>
      <c r="P221" s="227"/>
      <c r="Q221" s="223"/>
      <c r="R221" s="781"/>
      <c r="S221" s="781"/>
    </row>
    <row r="222" spans="1:19" x14ac:dyDescent="0.25">
      <c r="A222" s="223"/>
      <c r="B222" s="281"/>
      <c r="C222" s="281"/>
      <c r="D222" s="281"/>
      <c r="E222" s="224"/>
      <c r="F222" s="192"/>
      <c r="G222" s="193"/>
      <c r="H222" s="223"/>
      <c r="I222" s="281"/>
      <c r="J222" s="225"/>
      <c r="K222" s="225"/>
      <c r="L222" s="226"/>
      <c r="M222" s="226"/>
      <c r="N222" s="226"/>
      <c r="O222" s="227"/>
      <c r="P222" s="227"/>
      <c r="Q222" s="223"/>
      <c r="R222" s="781"/>
      <c r="S222" s="781"/>
    </row>
    <row r="223" spans="1:19" x14ac:dyDescent="0.25">
      <c r="A223" s="223"/>
      <c r="B223" s="281"/>
      <c r="C223" s="281"/>
      <c r="D223" s="281"/>
      <c r="E223" s="224"/>
      <c r="F223" s="192"/>
      <c r="G223" s="193"/>
      <c r="H223" s="223"/>
      <c r="I223" s="281"/>
      <c r="J223" s="225"/>
      <c r="K223" s="225"/>
      <c r="L223" s="226"/>
      <c r="M223" s="226"/>
      <c r="N223" s="226"/>
      <c r="O223" s="227"/>
      <c r="P223" s="227"/>
      <c r="Q223" s="223"/>
      <c r="R223" s="781"/>
      <c r="S223" s="781"/>
    </row>
    <row r="224" spans="1:19" x14ac:dyDescent="0.25">
      <c r="A224" s="223"/>
      <c r="B224" s="281"/>
      <c r="C224" s="281"/>
      <c r="D224" s="281"/>
      <c r="E224" s="224"/>
      <c r="F224" s="192"/>
      <c r="G224" s="193"/>
      <c r="H224" s="223"/>
      <c r="I224" s="281"/>
      <c r="J224" s="225"/>
      <c r="K224" s="225"/>
      <c r="L224" s="226"/>
      <c r="M224" s="226"/>
      <c r="N224" s="226"/>
      <c r="O224" s="227"/>
      <c r="P224" s="227"/>
      <c r="Q224" s="223"/>
      <c r="R224" s="781"/>
      <c r="S224" s="781"/>
    </row>
    <row r="225" spans="1:19" x14ac:dyDescent="0.25">
      <c r="A225" s="223"/>
      <c r="B225" s="281"/>
      <c r="C225" s="281"/>
      <c r="D225" s="281"/>
      <c r="E225" s="224"/>
      <c r="F225" s="192"/>
      <c r="G225" s="193"/>
      <c r="H225" s="223"/>
      <c r="I225" s="281"/>
      <c r="J225" s="225"/>
      <c r="K225" s="225"/>
      <c r="L225" s="226"/>
      <c r="M225" s="226"/>
      <c r="N225" s="226"/>
      <c r="O225" s="227"/>
      <c r="P225" s="227"/>
      <c r="Q225" s="223"/>
      <c r="R225" s="781"/>
      <c r="S225" s="781"/>
    </row>
    <row r="226" spans="1:19" x14ac:dyDescent="0.25">
      <c r="A226" s="223"/>
      <c r="B226" s="281"/>
      <c r="C226" s="281"/>
      <c r="D226" s="281"/>
      <c r="E226" s="224"/>
      <c r="F226" s="192"/>
      <c r="G226" s="193"/>
      <c r="H226" s="223"/>
      <c r="I226" s="281"/>
      <c r="J226" s="225"/>
      <c r="K226" s="225"/>
      <c r="L226" s="226"/>
      <c r="M226" s="226"/>
      <c r="N226" s="226"/>
      <c r="O226" s="227"/>
      <c r="P226" s="227"/>
      <c r="Q226" s="223"/>
      <c r="R226" s="781"/>
      <c r="S226" s="781"/>
    </row>
    <row r="227" spans="1:19" x14ac:dyDescent="0.25">
      <c r="A227" s="223"/>
      <c r="B227" s="281"/>
      <c r="C227" s="281"/>
      <c r="D227" s="281"/>
      <c r="E227" s="224"/>
      <c r="F227" s="192"/>
      <c r="G227" s="193"/>
      <c r="H227" s="223"/>
      <c r="I227" s="281"/>
      <c r="J227" s="225"/>
      <c r="K227" s="225"/>
      <c r="L227" s="226"/>
      <c r="M227" s="226"/>
      <c r="N227" s="226"/>
      <c r="O227" s="227"/>
      <c r="P227" s="227"/>
      <c r="Q227" s="223"/>
      <c r="R227" s="781"/>
      <c r="S227" s="781"/>
    </row>
    <row r="228" spans="1:19" x14ac:dyDescent="0.25">
      <c r="A228" s="223"/>
      <c r="B228" s="281"/>
      <c r="C228" s="281"/>
      <c r="D228" s="281"/>
      <c r="E228" s="224"/>
      <c r="F228" s="192"/>
      <c r="G228" s="193"/>
      <c r="H228" s="223"/>
      <c r="I228" s="281"/>
      <c r="J228" s="225"/>
      <c r="K228" s="225"/>
      <c r="L228" s="226"/>
      <c r="M228" s="226"/>
      <c r="N228" s="226"/>
      <c r="O228" s="227"/>
      <c r="P228" s="227"/>
      <c r="Q228" s="223"/>
      <c r="R228" s="781"/>
      <c r="S228" s="781"/>
    </row>
    <row r="229" spans="1:19" x14ac:dyDescent="0.25">
      <c r="A229" s="223"/>
      <c r="B229" s="281"/>
      <c r="C229" s="281"/>
      <c r="D229" s="281"/>
      <c r="E229" s="224"/>
      <c r="F229" s="192"/>
      <c r="G229" s="193"/>
      <c r="H229" s="223"/>
      <c r="I229" s="281"/>
      <c r="J229" s="225"/>
      <c r="K229" s="225"/>
      <c r="L229" s="226"/>
      <c r="M229" s="226"/>
      <c r="N229" s="226"/>
      <c r="O229" s="227"/>
      <c r="P229" s="227"/>
      <c r="Q229" s="223"/>
      <c r="R229" s="781"/>
      <c r="S229" s="781"/>
    </row>
    <row r="230" spans="1:19" x14ac:dyDescent="0.25">
      <c r="A230" s="223"/>
      <c r="B230" s="281"/>
      <c r="C230" s="281"/>
      <c r="D230" s="281"/>
      <c r="E230" s="224"/>
      <c r="F230" s="192"/>
      <c r="G230" s="193"/>
      <c r="H230" s="223"/>
      <c r="I230" s="281"/>
      <c r="J230" s="225"/>
      <c r="K230" s="225"/>
      <c r="L230" s="226"/>
      <c r="M230" s="226"/>
      <c r="N230" s="226"/>
      <c r="O230" s="227"/>
      <c r="P230" s="227"/>
      <c r="Q230" s="223"/>
      <c r="R230" s="781"/>
      <c r="S230" s="781"/>
    </row>
    <row r="231" spans="1:19" x14ac:dyDescent="0.25">
      <c r="A231" s="223"/>
      <c r="B231" s="281"/>
      <c r="C231" s="281"/>
      <c r="D231" s="281"/>
      <c r="E231" s="224"/>
      <c r="F231" s="192"/>
      <c r="G231" s="193"/>
      <c r="H231" s="223"/>
      <c r="I231" s="281"/>
      <c r="J231" s="225"/>
      <c r="K231" s="225"/>
      <c r="L231" s="226"/>
      <c r="M231" s="226"/>
      <c r="N231" s="226"/>
      <c r="O231" s="227"/>
      <c r="P231" s="227"/>
      <c r="Q231" s="223"/>
      <c r="R231" s="781"/>
      <c r="S231" s="781"/>
    </row>
    <row r="232" spans="1:19" x14ac:dyDescent="0.25">
      <c r="A232" s="223"/>
      <c r="B232" s="281"/>
      <c r="C232" s="281"/>
      <c r="D232" s="281"/>
      <c r="E232" s="224"/>
      <c r="F232" s="192"/>
      <c r="G232" s="193"/>
      <c r="H232" s="223"/>
      <c r="I232" s="281"/>
      <c r="J232" s="225"/>
      <c r="K232" s="225"/>
      <c r="L232" s="226"/>
      <c r="M232" s="226"/>
      <c r="N232" s="226"/>
      <c r="O232" s="227"/>
      <c r="P232" s="227"/>
      <c r="Q232" s="223"/>
      <c r="R232" s="781"/>
      <c r="S232" s="781"/>
    </row>
    <row r="233" spans="1:19" x14ac:dyDescent="0.25">
      <c r="A233" s="223"/>
      <c r="B233" s="281"/>
      <c r="C233" s="281"/>
      <c r="D233" s="281"/>
      <c r="E233" s="224"/>
      <c r="F233" s="192"/>
      <c r="G233" s="193"/>
      <c r="H233" s="223"/>
      <c r="I233" s="281"/>
      <c r="J233" s="225"/>
      <c r="K233" s="225"/>
      <c r="L233" s="226"/>
      <c r="M233" s="226"/>
      <c r="N233" s="226"/>
      <c r="O233" s="227"/>
      <c r="P233" s="227"/>
      <c r="Q233" s="223"/>
      <c r="R233" s="781"/>
      <c r="S233" s="781"/>
    </row>
    <row r="234" spans="1:19" x14ac:dyDescent="0.25">
      <c r="A234" s="223"/>
      <c r="B234" s="281"/>
      <c r="C234" s="281"/>
      <c r="D234" s="281"/>
      <c r="E234" s="224"/>
      <c r="F234" s="192"/>
      <c r="G234" s="193"/>
      <c r="H234" s="223"/>
      <c r="I234" s="281"/>
      <c r="J234" s="225"/>
      <c r="K234" s="225"/>
      <c r="L234" s="226"/>
      <c r="M234" s="226"/>
      <c r="N234" s="226"/>
      <c r="O234" s="227"/>
      <c r="P234" s="227"/>
      <c r="Q234" s="223"/>
      <c r="R234" s="781"/>
      <c r="S234" s="781"/>
    </row>
    <row r="235" spans="1:19" x14ac:dyDescent="0.25">
      <c r="A235" s="223"/>
      <c r="B235" s="281"/>
      <c r="C235" s="281"/>
      <c r="D235" s="281"/>
      <c r="E235" s="224"/>
      <c r="F235" s="192"/>
      <c r="G235" s="193"/>
      <c r="H235" s="223"/>
      <c r="I235" s="281"/>
      <c r="J235" s="225"/>
      <c r="K235" s="225"/>
      <c r="L235" s="226"/>
      <c r="M235" s="226"/>
      <c r="N235" s="226"/>
      <c r="O235" s="227"/>
      <c r="P235" s="227"/>
      <c r="Q235" s="223"/>
      <c r="R235" s="781"/>
      <c r="S235" s="781"/>
    </row>
    <row r="236" spans="1:19" x14ac:dyDescent="0.25">
      <c r="A236" s="223"/>
      <c r="B236" s="281"/>
      <c r="C236" s="281"/>
      <c r="D236" s="281"/>
      <c r="E236" s="224"/>
      <c r="F236" s="192"/>
      <c r="G236" s="193"/>
      <c r="H236" s="223"/>
      <c r="I236" s="281"/>
      <c r="J236" s="225"/>
      <c r="K236" s="225"/>
      <c r="L236" s="226"/>
      <c r="M236" s="226"/>
      <c r="N236" s="226"/>
      <c r="O236" s="227"/>
      <c r="P236" s="227"/>
      <c r="Q236" s="223"/>
      <c r="R236" s="781"/>
      <c r="S236" s="781"/>
    </row>
    <row r="237" spans="1:19" x14ac:dyDescent="0.25">
      <c r="A237" s="223"/>
      <c r="B237" s="281"/>
      <c r="C237" s="281"/>
      <c r="D237" s="281"/>
      <c r="E237" s="224"/>
      <c r="F237" s="192"/>
      <c r="G237" s="193"/>
      <c r="H237" s="223"/>
      <c r="I237" s="281"/>
      <c r="J237" s="225"/>
      <c r="K237" s="225"/>
      <c r="L237" s="226"/>
      <c r="M237" s="226"/>
      <c r="N237" s="226"/>
      <c r="O237" s="227"/>
      <c r="P237" s="227"/>
      <c r="Q237" s="223"/>
      <c r="R237" s="781"/>
      <c r="S237" s="781"/>
    </row>
    <row r="238" spans="1:19" x14ac:dyDescent="0.25">
      <c r="A238" s="223"/>
      <c r="B238" s="281"/>
      <c r="C238" s="281"/>
      <c r="D238" s="281"/>
      <c r="E238" s="224"/>
      <c r="F238" s="192"/>
      <c r="G238" s="193"/>
      <c r="H238" s="223"/>
      <c r="I238" s="281"/>
      <c r="J238" s="225"/>
      <c r="K238" s="225"/>
      <c r="L238" s="226"/>
      <c r="M238" s="226"/>
      <c r="N238" s="226"/>
      <c r="O238" s="227"/>
      <c r="P238" s="227"/>
      <c r="Q238" s="223"/>
      <c r="R238" s="781"/>
      <c r="S238" s="781"/>
    </row>
    <row r="239" spans="1:19" x14ac:dyDescent="0.25">
      <c r="A239" s="223"/>
      <c r="B239" s="281"/>
      <c r="C239" s="281"/>
      <c r="D239" s="281"/>
      <c r="E239" s="224"/>
      <c r="F239" s="192"/>
      <c r="G239" s="193"/>
      <c r="H239" s="223"/>
      <c r="I239" s="281"/>
      <c r="J239" s="225"/>
      <c r="K239" s="225"/>
      <c r="L239" s="226"/>
      <c r="M239" s="226"/>
      <c r="N239" s="226"/>
      <c r="O239" s="227"/>
      <c r="P239" s="227"/>
      <c r="Q239" s="223"/>
      <c r="R239" s="781"/>
      <c r="S239" s="781"/>
    </row>
    <row r="240" spans="1:19" x14ac:dyDescent="0.25">
      <c r="A240" s="223"/>
      <c r="B240" s="281"/>
      <c r="C240" s="281"/>
      <c r="D240" s="281"/>
      <c r="E240" s="224"/>
      <c r="F240" s="192"/>
      <c r="G240" s="193"/>
      <c r="H240" s="223"/>
      <c r="I240" s="281"/>
      <c r="J240" s="225"/>
      <c r="K240" s="225"/>
      <c r="L240" s="226"/>
      <c r="M240" s="226"/>
      <c r="N240" s="226"/>
      <c r="O240" s="227"/>
      <c r="P240" s="227"/>
      <c r="Q240" s="223"/>
      <c r="R240" s="781"/>
      <c r="S240" s="781"/>
    </row>
    <row r="241" spans="1:19" x14ac:dyDescent="0.25">
      <c r="A241" s="223"/>
      <c r="B241" s="281"/>
      <c r="C241" s="281"/>
      <c r="D241" s="281"/>
      <c r="E241" s="224"/>
      <c r="F241" s="192"/>
      <c r="G241" s="193"/>
      <c r="H241" s="223"/>
      <c r="I241" s="281"/>
      <c r="J241" s="225"/>
      <c r="K241" s="225"/>
      <c r="L241" s="226"/>
      <c r="M241" s="226"/>
      <c r="N241" s="226"/>
      <c r="O241" s="227"/>
      <c r="P241" s="227"/>
      <c r="Q241" s="223"/>
      <c r="R241" s="781"/>
      <c r="S241" s="781"/>
    </row>
    <row r="242" spans="1:19" x14ac:dyDescent="0.25">
      <c r="A242" s="223"/>
      <c r="B242" s="281"/>
      <c r="C242" s="281"/>
      <c r="D242" s="281"/>
      <c r="E242" s="224"/>
      <c r="F242" s="192"/>
      <c r="G242" s="193"/>
      <c r="H242" s="223"/>
      <c r="I242" s="281"/>
      <c r="J242" s="225"/>
      <c r="K242" s="225"/>
      <c r="L242" s="226"/>
      <c r="M242" s="226"/>
      <c r="N242" s="226"/>
      <c r="O242" s="227"/>
      <c r="P242" s="227"/>
      <c r="Q242" s="223"/>
      <c r="R242" s="781"/>
      <c r="S242" s="781"/>
    </row>
    <row r="243" spans="1:19" x14ac:dyDescent="0.25">
      <c r="A243" s="223"/>
      <c r="B243" s="281"/>
      <c r="C243" s="281"/>
      <c r="D243" s="281"/>
      <c r="E243" s="224"/>
      <c r="F243" s="192"/>
      <c r="G243" s="193"/>
      <c r="H243" s="223"/>
      <c r="I243" s="281"/>
      <c r="J243" s="225"/>
      <c r="K243" s="225"/>
      <c r="L243" s="226"/>
      <c r="M243" s="226"/>
      <c r="N243" s="226"/>
      <c r="O243" s="227"/>
      <c r="P243" s="227"/>
      <c r="Q243" s="223"/>
      <c r="R243" s="781"/>
      <c r="S243" s="781"/>
    </row>
    <row r="244" spans="1:19" x14ac:dyDescent="0.25">
      <c r="A244" s="223"/>
      <c r="B244" s="281"/>
      <c r="C244" s="281"/>
      <c r="D244" s="281"/>
      <c r="E244" s="224"/>
      <c r="F244" s="192"/>
      <c r="G244" s="193"/>
      <c r="H244" s="223"/>
      <c r="I244" s="281"/>
      <c r="J244" s="225"/>
      <c r="K244" s="225"/>
      <c r="L244" s="226"/>
      <c r="M244" s="226"/>
      <c r="N244" s="226"/>
      <c r="O244" s="227"/>
      <c r="P244" s="227"/>
      <c r="Q244" s="223"/>
      <c r="R244" s="781"/>
      <c r="S244" s="781"/>
    </row>
    <row r="245" spans="1:19" x14ac:dyDescent="0.25">
      <c r="A245" s="223"/>
      <c r="B245" s="281"/>
      <c r="C245" s="281"/>
      <c r="D245" s="281"/>
      <c r="E245" s="224"/>
      <c r="F245" s="192"/>
      <c r="G245" s="193"/>
      <c r="H245" s="223"/>
      <c r="I245" s="281"/>
      <c r="J245" s="225"/>
      <c r="K245" s="225"/>
      <c r="L245" s="226"/>
      <c r="M245" s="226"/>
      <c r="N245" s="226"/>
      <c r="O245" s="227"/>
      <c r="P245" s="227"/>
      <c r="Q245" s="223"/>
      <c r="R245" s="781"/>
      <c r="S245" s="781"/>
    </row>
    <row r="246" spans="1:19" x14ac:dyDescent="0.25">
      <c r="A246" s="223"/>
      <c r="B246" s="281"/>
      <c r="C246" s="281"/>
      <c r="D246" s="281"/>
      <c r="E246" s="224"/>
      <c r="F246" s="192"/>
      <c r="G246" s="193"/>
      <c r="H246" s="223"/>
      <c r="I246" s="281"/>
      <c r="J246" s="225"/>
      <c r="K246" s="225"/>
      <c r="L246" s="226"/>
      <c r="M246" s="226"/>
      <c r="N246" s="226"/>
      <c r="O246" s="227"/>
      <c r="P246" s="227"/>
      <c r="Q246" s="223"/>
      <c r="R246" s="781"/>
      <c r="S246" s="781"/>
    </row>
    <row r="247" spans="1:19" x14ac:dyDescent="0.25">
      <c r="A247" s="223"/>
      <c r="B247" s="281"/>
      <c r="C247" s="281"/>
      <c r="D247" s="281"/>
      <c r="E247" s="224"/>
      <c r="F247" s="192"/>
      <c r="G247" s="193"/>
      <c r="H247" s="223"/>
      <c r="I247" s="281"/>
      <c r="J247" s="225"/>
      <c r="K247" s="225"/>
      <c r="L247" s="226"/>
      <c r="M247" s="226"/>
      <c r="N247" s="226"/>
      <c r="O247" s="227"/>
      <c r="P247" s="227"/>
      <c r="Q247" s="223"/>
      <c r="R247" s="781"/>
      <c r="S247" s="781"/>
    </row>
    <row r="248" spans="1:19" x14ac:dyDescent="0.25">
      <c r="A248" s="223"/>
      <c r="B248" s="281"/>
      <c r="C248" s="281"/>
      <c r="D248" s="281"/>
      <c r="E248" s="224"/>
      <c r="F248" s="192"/>
      <c r="G248" s="193"/>
      <c r="H248" s="223"/>
      <c r="I248" s="281"/>
      <c r="J248" s="225"/>
      <c r="K248" s="225"/>
      <c r="L248" s="226"/>
      <c r="M248" s="226"/>
      <c r="N248" s="226"/>
      <c r="O248" s="227"/>
      <c r="P248" s="227"/>
      <c r="Q248" s="223"/>
      <c r="R248" s="781"/>
      <c r="S248" s="781"/>
    </row>
    <row r="249" spans="1:19" x14ac:dyDescent="0.25">
      <c r="A249" s="223"/>
      <c r="B249" s="281"/>
      <c r="C249" s="281"/>
      <c r="D249" s="281"/>
      <c r="E249" s="224"/>
      <c r="F249" s="192"/>
      <c r="G249" s="193"/>
      <c r="H249" s="223"/>
      <c r="I249" s="281"/>
      <c r="J249" s="225"/>
      <c r="K249" s="225"/>
      <c r="L249" s="226"/>
      <c r="M249" s="226"/>
      <c r="N249" s="226"/>
      <c r="O249" s="227"/>
      <c r="P249" s="227"/>
      <c r="Q249" s="223"/>
      <c r="R249" s="781"/>
      <c r="S249" s="781"/>
    </row>
    <row r="250" spans="1:19" x14ac:dyDescent="0.25">
      <c r="A250" s="223"/>
      <c r="B250" s="281"/>
      <c r="C250" s="281"/>
      <c r="D250" s="281"/>
      <c r="E250" s="224"/>
      <c r="F250" s="192"/>
      <c r="G250" s="193"/>
      <c r="H250" s="223"/>
      <c r="I250" s="281"/>
      <c r="J250" s="225"/>
      <c r="K250" s="225"/>
      <c r="L250" s="226"/>
      <c r="M250" s="226"/>
      <c r="N250" s="226"/>
      <c r="O250" s="227"/>
      <c r="P250" s="227"/>
      <c r="Q250" s="223"/>
      <c r="R250" s="781"/>
      <c r="S250" s="781"/>
    </row>
    <row r="251" spans="1:19" x14ac:dyDescent="0.25">
      <c r="A251" s="223"/>
      <c r="B251" s="281"/>
      <c r="C251" s="281"/>
      <c r="D251" s="281"/>
      <c r="E251" s="224"/>
      <c r="F251" s="192"/>
      <c r="G251" s="193"/>
      <c r="H251" s="223"/>
      <c r="I251" s="281"/>
      <c r="J251" s="225"/>
      <c r="K251" s="225"/>
      <c r="L251" s="226"/>
      <c r="M251" s="226"/>
      <c r="N251" s="226"/>
      <c r="O251" s="227"/>
      <c r="P251" s="227"/>
      <c r="Q251" s="223"/>
      <c r="R251" s="781"/>
      <c r="S251" s="781"/>
    </row>
    <row r="252" spans="1:19" x14ac:dyDescent="0.25">
      <c r="A252" s="223"/>
      <c r="B252" s="281"/>
      <c r="C252" s="281"/>
      <c r="D252" s="281"/>
      <c r="E252" s="224"/>
      <c r="F252" s="192"/>
      <c r="G252" s="193"/>
      <c r="H252" s="223"/>
      <c r="I252" s="281"/>
      <c r="J252" s="225"/>
      <c r="K252" s="225"/>
      <c r="L252" s="226"/>
      <c r="M252" s="226"/>
      <c r="N252" s="226"/>
      <c r="O252" s="227"/>
      <c r="P252" s="227"/>
      <c r="Q252" s="223"/>
      <c r="R252" s="781"/>
      <c r="S252" s="781"/>
    </row>
    <row r="253" spans="1:19" x14ac:dyDescent="0.25">
      <c r="A253" s="223"/>
      <c r="B253" s="281"/>
      <c r="C253" s="281"/>
      <c r="D253" s="281"/>
      <c r="E253" s="224"/>
      <c r="F253" s="192"/>
      <c r="G253" s="193"/>
      <c r="H253" s="223"/>
      <c r="I253" s="281"/>
      <c r="J253" s="225"/>
      <c r="K253" s="225"/>
      <c r="L253" s="226"/>
      <c r="M253" s="226"/>
      <c r="N253" s="226"/>
      <c r="O253" s="227"/>
      <c r="P253" s="227"/>
      <c r="Q253" s="223"/>
      <c r="R253" s="781"/>
      <c r="S253" s="781"/>
    </row>
    <row r="254" spans="1:19" x14ac:dyDescent="0.25">
      <c r="A254" s="223"/>
      <c r="B254" s="281"/>
      <c r="C254" s="281"/>
      <c r="D254" s="281"/>
      <c r="E254" s="224"/>
      <c r="F254" s="192"/>
      <c r="G254" s="193"/>
      <c r="H254" s="223"/>
      <c r="I254" s="281"/>
      <c r="J254" s="225"/>
      <c r="K254" s="225"/>
      <c r="L254" s="226"/>
      <c r="M254" s="226"/>
      <c r="N254" s="226"/>
      <c r="O254" s="227"/>
      <c r="P254" s="227"/>
      <c r="Q254" s="223"/>
      <c r="R254" s="781"/>
      <c r="S254" s="781"/>
    </row>
    <row r="255" spans="1:19" x14ac:dyDescent="0.25">
      <c r="A255" s="223"/>
      <c r="B255" s="281"/>
      <c r="C255" s="281"/>
      <c r="D255" s="281"/>
      <c r="E255" s="224"/>
      <c r="F255" s="192"/>
      <c r="G255" s="193"/>
      <c r="H255" s="223"/>
      <c r="I255" s="281"/>
      <c r="J255" s="225"/>
      <c r="K255" s="225"/>
      <c r="L255" s="226"/>
      <c r="M255" s="226"/>
      <c r="N255" s="226"/>
      <c r="O255" s="227"/>
      <c r="P255" s="227"/>
      <c r="Q255" s="223"/>
      <c r="R255" s="781"/>
      <c r="S255" s="781"/>
    </row>
    <row r="256" spans="1:19" x14ac:dyDescent="0.25">
      <c r="A256" s="223"/>
      <c r="B256" s="281"/>
      <c r="C256" s="281"/>
      <c r="D256" s="281"/>
      <c r="E256" s="224"/>
      <c r="F256" s="192"/>
      <c r="G256" s="193"/>
      <c r="H256" s="223"/>
      <c r="I256" s="281"/>
      <c r="J256" s="225"/>
      <c r="K256" s="225"/>
      <c r="L256" s="226"/>
      <c r="M256" s="226"/>
      <c r="N256" s="226"/>
      <c r="O256" s="227"/>
      <c r="P256" s="227"/>
      <c r="Q256" s="223"/>
      <c r="R256" s="781"/>
      <c r="S256" s="781"/>
    </row>
    <row r="257" spans="1:19" x14ac:dyDescent="0.25">
      <c r="A257" s="223"/>
      <c r="B257" s="281"/>
      <c r="C257" s="281"/>
      <c r="D257" s="281"/>
      <c r="E257" s="224"/>
      <c r="F257" s="192"/>
      <c r="G257" s="193"/>
      <c r="H257" s="223"/>
      <c r="I257" s="281"/>
      <c r="J257" s="225"/>
      <c r="K257" s="225"/>
      <c r="L257" s="226"/>
      <c r="M257" s="226"/>
      <c r="N257" s="226"/>
      <c r="O257" s="227"/>
      <c r="P257" s="227"/>
      <c r="Q257" s="223"/>
      <c r="R257" s="781"/>
      <c r="S257" s="781"/>
    </row>
    <row r="258" spans="1:19" x14ac:dyDescent="0.25">
      <c r="A258" s="223"/>
      <c r="B258" s="281"/>
      <c r="C258" s="281"/>
      <c r="D258" s="281"/>
      <c r="E258" s="224"/>
      <c r="F258" s="192"/>
      <c r="G258" s="193"/>
      <c r="H258" s="223"/>
      <c r="I258" s="281"/>
      <c r="J258" s="225"/>
      <c r="K258" s="225"/>
      <c r="L258" s="226"/>
      <c r="M258" s="226"/>
      <c r="N258" s="226"/>
      <c r="O258" s="227"/>
      <c r="P258" s="227"/>
      <c r="Q258" s="223"/>
      <c r="R258" s="781"/>
      <c r="S258" s="781"/>
    </row>
    <row r="259" spans="1:19" x14ac:dyDescent="0.25">
      <c r="A259" s="223"/>
      <c r="B259" s="281"/>
      <c r="C259" s="281"/>
      <c r="D259" s="281"/>
      <c r="E259" s="224"/>
      <c r="F259" s="192"/>
      <c r="G259" s="193"/>
      <c r="H259" s="223"/>
      <c r="I259" s="281"/>
      <c r="J259" s="225"/>
      <c r="K259" s="225"/>
      <c r="L259" s="226"/>
      <c r="M259" s="226"/>
      <c r="N259" s="226"/>
      <c r="O259" s="227"/>
      <c r="P259" s="227"/>
      <c r="Q259" s="223"/>
      <c r="R259" s="781"/>
      <c r="S259" s="781"/>
    </row>
    <row r="260" spans="1:19" x14ac:dyDescent="0.25">
      <c r="A260" s="223"/>
      <c r="B260" s="281"/>
      <c r="C260" s="281"/>
      <c r="D260" s="281"/>
      <c r="E260" s="224"/>
      <c r="F260" s="192"/>
      <c r="G260" s="193"/>
      <c r="H260" s="223"/>
      <c r="I260" s="281"/>
      <c r="J260" s="225"/>
      <c r="K260" s="225"/>
      <c r="L260" s="226"/>
      <c r="M260" s="226"/>
      <c r="N260" s="226"/>
      <c r="O260" s="227"/>
      <c r="P260" s="227"/>
      <c r="Q260" s="223"/>
      <c r="R260" s="781"/>
      <c r="S260" s="781"/>
    </row>
    <row r="261" spans="1:19" x14ac:dyDescent="0.25">
      <c r="A261" s="223"/>
      <c r="B261" s="281"/>
      <c r="C261" s="281"/>
      <c r="D261" s="281"/>
      <c r="E261" s="224"/>
      <c r="F261" s="192"/>
      <c r="G261" s="193"/>
      <c r="H261" s="223"/>
      <c r="I261" s="281"/>
      <c r="J261" s="225"/>
      <c r="K261" s="225"/>
      <c r="L261" s="226"/>
      <c r="M261" s="226"/>
      <c r="N261" s="226"/>
      <c r="O261" s="227"/>
      <c r="P261" s="227"/>
      <c r="Q261" s="223"/>
      <c r="R261" s="781"/>
      <c r="S261" s="781"/>
    </row>
    <row r="262" spans="1:19" x14ac:dyDescent="0.25">
      <c r="A262" s="223"/>
      <c r="B262" s="281"/>
      <c r="C262" s="281"/>
      <c r="D262" s="281"/>
      <c r="E262" s="224"/>
      <c r="F262" s="192"/>
      <c r="G262" s="193"/>
      <c r="H262" s="223"/>
      <c r="I262" s="281"/>
      <c r="J262" s="225"/>
      <c r="K262" s="225"/>
      <c r="L262" s="226"/>
      <c r="M262" s="226"/>
      <c r="N262" s="226"/>
      <c r="O262" s="227"/>
      <c r="P262" s="227"/>
      <c r="Q262" s="223"/>
      <c r="R262" s="781"/>
      <c r="S262" s="781"/>
    </row>
    <row r="263" spans="1:19" x14ac:dyDescent="0.25">
      <c r="A263" s="223"/>
      <c r="B263" s="281"/>
      <c r="C263" s="281"/>
      <c r="D263" s="281"/>
      <c r="E263" s="224"/>
      <c r="F263" s="192"/>
      <c r="G263" s="193"/>
      <c r="H263" s="223"/>
      <c r="I263" s="281"/>
      <c r="J263" s="225"/>
      <c r="K263" s="225"/>
      <c r="L263" s="226"/>
      <c r="M263" s="226"/>
      <c r="N263" s="226"/>
      <c r="O263" s="227"/>
      <c r="P263" s="227"/>
      <c r="Q263" s="223"/>
      <c r="R263" s="781"/>
      <c r="S263" s="781"/>
    </row>
    <row r="264" spans="1:19" x14ac:dyDescent="0.25">
      <c r="A264" s="223"/>
      <c r="B264" s="281"/>
      <c r="C264" s="281"/>
      <c r="D264" s="281"/>
      <c r="E264" s="224"/>
      <c r="F264" s="192"/>
      <c r="G264" s="193"/>
      <c r="H264" s="223"/>
      <c r="I264" s="281"/>
      <c r="J264" s="225"/>
      <c r="K264" s="225"/>
      <c r="L264" s="226"/>
      <c r="M264" s="226"/>
      <c r="N264" s="226"/>
      <c r="O264" s="227"/>
      <c r="P264" s="227"/>
      <c r="Q264" s="223"/>
      <c r="R264" s="781"/>
      <c r="S264" s="781"/>
    </row>
    <row r="265" spans="1:19" x14ac:dyDescent="0.25">
      <c r="A265" s="223"/>
      <c r="B265" s="281"/>
      <c r="C265" s="281"/>
      <c r="D265" s="281"/>
      <c r="E265" s="224"/>
      <c r="F265" s="192"/>
      <c r="G265" s="193"/>
      <c r="H265" s="223"/>
      <c r="I265" s="281"/>
      <c r="J265" s="225"/>
      <c r="K265" s="225"/>
      <c r="L265" s="226"/>
      <c r="M265" s="226"/>
      <c r="N265" s="226"/>
      <c r="O265" s="227"/>
      <c r="P265" s="227"/>
      <c r="Q265" s="223"/>
      <c r="R265" s="781"/>
      <c r="S265" s="781"/>
    </row>
    <row r="266" spans="1:19" x14ac:dyDescent="0.25">
      <c r="A266" s="223"/>
      <c r="B266" s="281"/>
      <c r="C266" s="281"/>
      <c r="D266" s="281"/>
      <c r="E266" s="224"/>
      <c r="F266" s="192"/>
      <c r="G266" s="193"/>
      <c r="H266" s="223"/>
      <c r="I266" s="281"/>
      <c r="J266" s="225"/>
      <c r="K266" s="225"/>
      <c r="L266" s="226"/>
      <c r="M266" s="226"/>
      <c r="N266" s="226"/>
      <c r="O266" s="227"/>
      <c r="P266" s="227"/>
      <c r="Q266" s="223"/>
      <c r="R266" s="781"/>
      <c r="S266" s="781"/>
    </row>
    <row r="267" spans="1:19" x14ac:dyDescent="0.25">
      <c r="A267" s="223"/>
      <c r="B267" s="281"/>
      <c r="C267" s="281"/>
      <c r="D267" s="281"/>
      <c r="E267" s="224"/>
      <c r="F267" s="192"/>
      <c r="G267" s="193"/>
      <c r="H267" s="223"/>
      <c r="I267" s="281"/>
      <c r="J267" s="225"/>
      <c r="K267" s="225"/>
      <c r="L267" s="226"/>
      <c r="M267" s="226"/>
      <c r="N267" s="226"/>
      <c r="O267" s="227"/>
      <c r="P267" s="227"/>
      <c r="Q267" s="223"/>
      <c r="R267" s="781"/>
      <c r="S267" s="781"/>
    </row>
    <row r="268" spans="1:19" x14ac:dyDescent="0.25">
      <c r="A268" s="223"/>
      <c r="B268" s="281"/>
      <c r="C268" s="281"/>
      <c r="D268" s="281"/>
      <c r="E268" s="224"/>
      <c r="F268" s="192"/>
      <c r="G268" s="193"/>
      <c r="H268" s="223"/>
      <c r="I268" s="281"/>
      <c r="J268" s="225"/>
      <c r="K268" s="225"/>
      <c r="L268" s="226"/>
      <c r="M268" s="226"/>
      <c r="N268" s="226"/>
      <c r="O268" s="227"/>
      <c r="P268" s="227"/>
      <c r="Q268" s="223"/>
      <c r="R268" s="781"/>
      <c r="S268" s="781"/>
    </row>
    <row r="269" spans="1:19" x14ac:dyDescent="0.25">
      <c r="A269" s="223"/>
      <c r="B269" s="281"/>
      <c r="C269" s="281"/>
      <c r="D269" s="281"/>
      <c r="E269" s="224"/>
      <c r="F269" s="192"/>
      <c r="G269" s="193"/>
      <c r="H269" s="223"/>
      <c r="I269" s="281"/>
      <c r="J269" s="225"/>
      <c r="K269" s="225"/>
      <c r="L269" s="226"/>
      <c r="M269" s="226"/>
      <c r="N269" s="226"/>
      <c r="O269" s="227"/>
      <c r="P269" s="227"/>
      <c r="Q269" s="223"/>
      <c r="R269" s="781"/>
      <c r="S269" s="781"/>
    </row>
    <row r="270" spans="1:19" x14ac:dyDescent="0.25">
      <c r="A270" s="223"/>
      <c r="B270" s="281"/>
      <c r="C270" s="281"/>
      <c r="D270" s="281"/>
      <c r="E270" s="224"/>
      <c r="F270" s="192"/>
      <c r="G270" s="193"/>
      <c r="H270" s="223"/>
      <c r="I270" s="281"/>
      <c r="J270" s="225"/>
      <c r="K270" s="225"/>
      <c r="L270" s="226"/>
      <c r="M270" s="226"/>
      <c r="N270" s="226"/>
      <c r="O270" s="227"/>
      <c r="P270" s="227"/>
      <c r="Q270" s="223"/>
      <c r="R270" s="781"/>
      <c r="S270" s="781"/>
    </row>
    <row r="271" spans="1:19" x14ac:dyDescent="0.25">
      <c r="A271" s="223"/>
      <c r="B271" s="281"/>
      <c r="C271" s="281"/>
      <c r="D271" s="281"/>
      <c r="E271" s="224"/>
      <c r="F271" s="192"/>
      <c r="G271" s="193"/>
      <c r="H271" s="223"/>
      <c r="I271" s="281"/>
      <c r="J271" s="225"/>
      <c r="K271" s="225"/>
      <c r="L271" s="226"/>
      <c r="M271" s="226"/>
      <c r="N271" s="226"/>
      <c r="O271" s="227"/>
      <c r="P271" s="227"/>
      <c r="Q271" s="223"/>
      <c r="R271" s="781"/>
      <c r="S271" s="781"/>
    </row>
    <row r="272" spans="1:19" x14ac:dyDescent="0.25">
      <c r="A272" s="223"/>
      <c r="B272" s="281"/>
      <c r="C272" s="281"/>
      <c r="D272" s="281"/>
      <c r="E272" s="224"/>
      <c r="F272" s="192"/>
      <c r="G272" s="193"/>
      <c r="H272" s="223"/>
      <c r="I272" s="281"/>
      <c r="J272" s="225"/>
      <c r="K272" s="225"/>
      <c r="L272" s="226"/>
      <c r="M272" s="226"/>
      <c r="N272" s="226"/>
      <c r="O272" s="227"/>
      <c r="P272" s="227"/>
      <c r="Q272" s="223"/>
      <c r="R272" s="781"/>
      <c r="S272" s="781"/>
    </row>
    <row r="273" spans="1:19" x14ac:dyDescent="0.25">
      <c r="A273" s="223"/>
      <c r="B273" s="281"/>
      <c r="C273" s="281"/>
      <c r="D273" s="281"/>
      <c r="E273" s="224"/>
      <c r="F273" s="192"/>
      <c r="G273" s="193"/>
      <c r="H273" s="223"/>
      <c r="I273" s="281"/>
      <c r="J273" s="225"/>
      <c r="K273" s="225"/>
      <c r="L273" s="226"/>
      <c r="M273" s="226"/>
      <c r="N273" s="226"/>
      <c r="O273" s="227"/>
      <c r="P273" s="227"/>
      <c r="Q273" s="223"/>
      <c r="R273" s="781"/>
      <c r="S273" s="781"/>
    </row>
    <row r="274" spans="1:19" x14ac:dyDescent="0.25">
      <c r="A274" s="223"/>
      <c r="B274" s="281"/>
      <c r="C274" s="281"/>
      <c r="D274" s="281"/>
      <c r="E274" s="224"/>
      <c r="F274" s="192"/>
      <c r="G274" s="193"/>
      <c r="H274" s="223"/>
      <c r="I274" s="281"/>
      <c r="J274" s="225"/>
      <c r="K274" s="225"/>
      <c r="L274" s="226"/>
      <c r="M274" s="226"/>
      <c r="N274" s="226"/>
      <c r="O274" s="227"/>
      <c r="P274" s="227"/>
      <c r="Q274" s="223"/>
      <c r="R274" s="781"/>
      <c r="S274" s="781"/>
    </row>
    <row r="275" spans="1:19" x14ac:dyDescent="0.25">
      <c r="A275" s="223"/>
      <c r="B275" s="281"/>
      <c r="C275" s="281"/>
      <c r="D275" s="281"/>
      <c r="E275" s="224"/>
      <c r="F275" s="192"/>
      <c r="G275" s="193"/>
      <c r="H275" s="223"/>
      <c r="I275" s="281"/>
      <c r="J275" s="225"/>
      <c r="K275" s="225"/>
      <c r="L275" s="226"/>
      <c r="M275" s="226"/>
      <c r="N275" s="226"/>
      <c r="O275" s="227"/>
      <c r="P275" s="227"/>
      <c r="Q275" s="223"/>
      <c r="R275" s="781"/>
      <c r="S275" s="781"/>
    </row>
    <row r="276" spans="1:19" x14ac:dyDescent="0.25">
      <c r="A276" s="223"/>
      <c r="B276" s="281"/>
      <c r="C276" s="281"/>
      <c r="D276" s="281"/>
      <c r="E276" s="224"/>
      <c r="F276" s="192"/>
      <c r="G276" s="193"/>
      <c r="H276" s="223"/>
      <c r="I276" s="281"/>
      <c r="J276" s="225"/>
      <c r="K276" s="225"/>
      <c r="L276" s="226"/>
      <c r="M276" s="226"/>
      <c r="N276" s="226"/>
      <c r="O276" s="227"/>
      <c r="P276" s="227"/>
      <c r="Q276" s="223"/>
      <c r="R276" s="781"/>
      <c r="S276" s="781"/>
    </row>
    <row r="277" spans="1:19" x14ac:dyDescent="0.25">
      <c r="A277" s="223"/>
      <c r="B277" s="281"/>
      <c r="C277" s="281"/>
      <c r="D277" s="281"/>
      <c r="E277" s="224"/>
      <c r="F277" s="192"/>
      <c r="G277" s="193"/>
      <c r="H277" s="223"/>
      <c r="I277" s="281"/>
      <c r="J277" s="225"/>
      <c r="K277" s="225"/>
      <c r="L277" s="226"/>
      <c r="M277" s="226"/>
      <c r="N277" s="226"/>
      <c r="O277" s="227"/>
      <c r="P277" s="227"/>
      <c r="Q277" s="223"/>
      <c r="R277" s="781"/>
      <c r="S277" s="781"/>
    </row>
    <row r="278" spans="1:19" x14ac:dyDescent="0.25">
      <c r="A278" s="223"/>
      <c r="B278" s="281"/>
      <c r="C278" s="281"/>
      <c r="D278" s="281"/>
      <c r="E278" s="224"/>
      <c r="F278" s="192"/>
      <c r="G278" s="193"/>
      <c r="H278" s="223"/>
      <c r="I278" s="281"/>
      <c r="J278" s="225"/>
      <c r="K278" s="225"/>
      <c r="L278" s="226"/>
      <c r="M278" s="226"/>
      <c r="N278" s="226"/>
      <c r="O278" s="227"/>
      <c r="P278" s="227"/>
      <c r="Q278" s="223"/>
      <c r="R278" s="781"/>
      <c r="S278" s="781"/>
    </row>
    <row r="279" spans="1:19" x14ac:dyDescent="0.25">
      <c r="A279" s="223"/>
      <c r="B279" s="281"/>
      <c r="C279" s="281"/>
      <c r="D279" s="281"/>
      <c r="E279" s="224"/>
      <c r="F279" s="192"/>
      <c r="G279" s="193"/>
      <c r="H279" s="223"/>
      <c r="I279" s="281"/>
      <c r="J279" s="225"/>
      <c r="K279" s="225"/>
      <c r="L279" s="226"/>
      <c r="M279" s="226"/>
      <c r="N279" s="226"/>
      <c r="O279" s="227"/>
      <c r="P279" s="227"/>
      <c r="Q279" s="223"/>
      <c r="R279" s="781"/>
      <c r="S279" s="781"/>
    </row>
    <row r="280" spans="1:19" x14ac:dyDescent="0.25">
      <c r="A280" s="223"/>
      <c r="B280" s="281"/>
      <c r="C280" s="281"/>
      <c r="D280" s="281"/>
      <c r="E280" s="224"/>
      <c r="F280" s="192"/>
      <c r="G280" s="193"/>
      <c r="H280" s="223"/>
      <c r="I280" s="281"/>
      <c r="J280" s="225"/>
      <c r="K280" s="225"/>
      <c r="L280" s="226"/>
      <c r="M280" s="226"/>
      <c r="N280" s="226"/>
      <c r="O280" s="227"/>
      <c r="P280" s="227"/>
      <c r="Q280" s="223"/>
      <c r="R280" s="781"/>
      <c r="S280" s="781"/>
    </row>
    <row r="281" spans="1:19" x14ac:dyDescent="0.25">
      <c r="A281" s="223"/>
      <c r="B281" s="281"/>
      <c r="C281" s="281"/>
      <c r="D281" s="281"/>
      <c r="E281" s="224"/>
      <c r="F281" s="192"/>
      <c r="G281" s="193"/>
      <c r="H281" s="223"/>
      <c r="I281" s="281"/>
      <c r="J281" s="225"/>
      <c r="K281" s="225"/>
      <c r="L281" s="226"/>
      <c r="M281" s="226"/>
      <c r="N281" s="226"/>
      <c r="O281" s="227"/>
      <c r="P281" s="227"/>
      <c r="Q281" s="223"/>
      <c r="R281" s="781"/>
      <c r="S281" s="781"/>
    </row>
    <row r="282" spans="1:19" x14ac:dyDescent="0.25">
      <c r="A282" s="223"/>
      <c r="B282" s="281"/>
      <c r="C282" s="281"/>
      <c r="D282" s="281"/>
      <c r="E282" s="224"/>
      <c r="F282" s="192"/>
      <c r="G282" s="193"/>
      <c r="H282" s="223"/>
      <c r="I282" s="281"/>
      <c r="J282" s="225"/>
      <c r="K282" s="225"/>
      <c r="L282" s="226"/>
      <c r="M282" s="226"/>
      <c r="N282" s="226"/>
      <c r="O282" s="227"/>
      <c r="P282" s="227"/>
      <c r="Q282" s="223"/>
      <c r="R282" s="781"/>
      <c r="S282" s="781"/>
    </row>
    <row r="283" spans="1:19" x14ac:dyDescent="0.25">
      <c r="A283" s="223"/>
      <c r="B283" s="281"/>
      <c r="C283" s="281"/>
      <c r="D283" s="281"/>
      <c r="E283" s="224"/>
      <c r="F283" s="192"/>
      <c r="G283" s="193"/>
      <c r="H283" s="223"/>
      <c r="I283" s="281"/>
      <c r="J283" s="225"/>
      <c r="K283" s="225"/>
      <c r="L283" s="226"/>
      <c r="M283" s="226"/>
      <c r="N283" s="226"/>
      <c r="O283" s="227"/>
      <c r="P283" s="227"/>
      <c r="Q283" s="223"/>
      <c r="R283" s="781"/>
      <c r="S283" s="781"/>
    </row>
    <row r="284" spans="1:19" x14ac:dyDescent="0.25">
      <c r="A284" s="223"/>
      <c r="B284" s="281"/>
      <c r="C284" s="281"/>
      <c r="D284" s="281"/>
      <c r="E284" s="224"/>
      <c r="F284" s="192"/>
      <c r="G284" s="193"/>
      <c r="H284" s="223"/>
      <c r="I284" s="281"/>
      <c r="J284" s="225"/>
      <c r="K284" s="225"/>
      <c r="L284" s="226"/>
      <c r="M284" s="226"/>
      <c r="N284" s="226"/>
      <c r="O284" s="227"/>
      <c r="P284" s="227"/>
      <c r="Q284" s="223"/>
      <c r="R284" s="781"/>
      <c r="S284" s="781"/>
    </row>
    <row r="285" spans="1:19" x14ac:dyDescent="0.25">
      <c r="A285" s="223"/>
      <c r="B285" s="281"/>
      <c r="C285" s="281"/>
      <c r="D285" s="281"/>
      <c r="E285" s="224"/>
      <c r="F285" s="192"/>
      <c r="G285" s="193"/>
      <c r="H285" s="223"/>
      <c r="I285" s="281"/>
      <c r="J285" s="225"/>
      <c r="K285" s="225"/>
      <c r="L285" s="226"/>
      <c r="M285" s="226"/>
      <c r="N285" s="226"/>
      <c r="O285" s="227"/>
      <c r="P285" s="227"/>
      <c r="Q285" s="223"/>
      <c r="R285" s="781"/>
      <c r="S285" s="781"/>
    </row>
    <row r="286" spans="1:19" x14ac:dyDescent="0.25">
      <c r="A286" s="223"/>
      <c r="B286" s="281"/>
      <c r="C286" s="281"/>
      <c r="D286" s="281"/>
      <c r="E286" s="224"/>
      <c r="F286" s="192"/>
      <c r="G286" s="193"/>
      <c r="H286" s="223"/>
      <c r="I286" s="281"/>
      <c r="J286" s="225"/>
      <c r="K286" s="225"/>
      <c r="L286" s="226"/>
      <c r="M286" s="226"/>
      <c r="N286" s="226"/>
      <c r="O286" s="227"/>
      <c r="P286" s="227"/>
      <c r="Q286" s="223"/>
      <c r="R286" s="781"/>
      <c r="S286" s="781"/>
    </row>
    <row r="287" spans="1:19" x14ac:dyDescent="0.25">
      <c r="A287" s="223"/>
      <c r="B287" s="281"/>
      <c r="C287" s="281"/>
      <c r="D287" s="281"/>
      <c r="E287" s="224"/>
      <c r="F287" s="192"/>
      <c r="G287" s="193"/>
      <c r="H287" s="223"/>
      <c r="I287" s="281"/>
      <c r="J287" s="225"/>
      <c r="K287" s="225"/>
      <c r="L287" s="226"/>
      <c r="M287" s="226"/>
      <c r="N287" s="226"/>
      <c r="O287" s="227"/>
      <c r="P287" s="227"/>
      <c r="Q287" s="223"/>
      <c r="R287" s="781"/>
      <c r="S287" s="781"/>
    </row>
    <row r="288" spans="1:19" x14ac:dyDescent="0.25">
      <c r="A288" s="223"/>
      <c r="B288" s="281"/>
      <c r="C288" s="281"/>
      <c r="D288" s="281"/>
      <c r="E288" s="224"/>
      <c r="F288" s="192"/>
      <c r="G288" s="193"/>
      <c r="H288" s="223"/>
      <c r="I288" s="281"/>
      <c r="J288" s="225"/>
      <c r="K288" s="225"/>
      <c r="L288" s="226"/>
      <c r="M288" s="226"/>
      <c r="N288" s="226"/>
      <c r="O288" s="227"/>
      <c r="P288" s="227"/>
      <c r="Q288" s="223"/>
      <c r="R288" s="781"/>
      <c r="S288" s="781"/>
    </row>
    <row r="289" spans="1:19" x14ac:dyDescent="0.25">
      <c r="A289" s="223"/>
      <c r="B289" s="281"/>
      <c r="C289" s="281"/>
      <c r="D289" s="281"/>
      <c r="E289" s="224"/>
      <c r="F289" s="192"/>
      <c r="G289" s="193"/>
      <c r="H289" s="223"/>
      <c r="I289" s="281"/>
      <c r="J289" s="225"/>
      <c r="K289" s="225"/>
      <c r="L289" s="226"/>
      <c r="M289" s="226"/>
      <c r="N289" s="226"/>
      <c r="O289" s="227"/>
      <c r="P289" s="227"/>
      <c r="Q289" s="223"/>
      <c r="R289" s="781"/>
      <c r="S289" s="781"/>
    </row>
    <row r="290" spans="1:19" x14ac:dyDescent="0.25">
      <c r="A290" s="223"/>
      <c r="B290" s="281"/>
      <c r="C290" s="281"/>
      <c r="D290" s="281"/>
      <c r="E290" s="224"/>
      <c r="F290" s="192"/>
      <c r="G290" s="193"/>
      <c r="H290" s="223"/>
      <c r="I290" s="281"/>
      <c r="J290" s="225"/>
      <c r="K290" s="225"/>
      <c r="L290" s="226"/>
      <c r="M290" s="226"/>
      <c r="N290" s="226"/>
      <c r="O290" s="227"/>
      <c r="P290" s="227"/>
      <c r="Q290" s="223"/>
      <c r="R290" s="781"/>
      <c r="S290" s="781"/>
    </row>
    <row r="291" spans="1:19" x14ac:dyDescent="0.25">
      <c r="A291" s="223"/>
      <c r="B291" s="281"/>
      <c r="C291" s="281"/>
      <c r="D291" s="281"/>
      <c r="E291" s="224"/>
      <c r="F291" s="192"/>
      <c r="G291" s="193"/>
      <c r="H291" s="223"/>
      <c r="I291" s="281"/>
      <c r="J291" s="225"/>
      <c r="K291" s="225"/>
      <c r="L291" s="226"/>
      <c r="M291" s="226"/>
      <c r="N291" s="226"/>
      <c r="O291" s="227"/>
      <c r="P291" s="227"/>
      <c r="Q291" s="223"/>
      <c r="R291" s="781"/>
      <c r="S291" s="781"/>
    </row>
    <row r="292" spans="1:19" x14ac:dyDescent="0.25">
      <c r="A292" s="223"/>
      <c r="B292" s="281"/>
      <c r="C292" s="281"/>
      <c r="D292" s="281"/>
      <c r="E292" s="224"/>
      <c r="F292" s="192"/>
      <c r="G292" s="193"/>
      <c r="H292" s="223"/>
      <c r="I292" s="281"/>
      <c r="J292" s="225"/>
      <c r="K292" s="225"/>
      <c r="L292" s="226"/>
      <c r="M292" s="226"/>
      <c r="N292" s="226"/>
      <c r="O292" s="227"/>
      <c r="P292" s="227"/>
      <c r="Q292" s="223"/>
      <c r="R292" s="781"/>
      <c r="S292" s="781"/>
    </row>
    <row r="293" spans="1:19" x14ac:dyDescent="0.25">
      <c r="A293" s="223"/>
      <c r="B293" s="281"/>
      <c r="C293" s="281"/>
      <c r="D293" s="281"/>
      <c r="E293" s="224"/>
      <c r="F293" s="192"/>
      <c r="G293" s="193"/>
      <c r="H293" s="223"/>
      <c r="I293" s="281"/>
      <c r="J293" s="225"/>
      <c r="K293" s="225"/>
      <c r="L293" s="226"/>
      <c r="M293" s="226"/>
      <c r="N293" s="226"/>
      <c r="O293" s="227"/>
      <c r="P293" s="227"/>
      <c r="Q293" s="223"/>
      <c r="R293" s="781"/>
      <c r="S293" s="781"/>
    </row>
    <row r="294" spans="1:19" x14ac:dyDescent="0.25">
      <c r="A294" s="223"/>
      <c r="B294" s="281"/>
      <c r="C294" s="281"/>
      <c r="D294" s="281"/>
      <c r="E294" s="224"/>
      <c r="F294" s="192"/>
      <c r="G294" s="193"/>
      <c r="H294" s="223"/>
      <c r="I294" s="281"/>
      <c r="J294" s="225"/>
      <c r="K294" s="225"/>
      <c r="L294" s="226"/>
      <c r="M294" s="226"/>
      <c r="N294" s="226"/>
      <c r="O294" s="227"/>
      <c r="P294" s="227"/>
      <c r="Q294" s="223"/>
      <c r="R294" s="781"/>
      <c r="S294" s="781"/>
    </row>
    <row r="295" spans="1:19" x14ac:dyDescent="0.25">
      <c r="A295" s="223"/>
      <c r="B295" s="281"/>
      <c r="C295" s="281"/>
      <c r="D295" s="281"/>
      <c r="E295" s="224"/>
      <c r="F295" s="192"/>
      <c r="G295" s="193"/>
      <c r="H295" s="223"/>
      <c r="I295" s="281"/>
      <c r="J295" s="225"/>
      <c r="K295" s="225"/>
      <c r="L295" s="226"/>
      <c r="M295" s="226"/>
      <c r="N295" s="226"/>
      <c r="O295" s="227"/>
      <c r="P295" s="227"/>
      <c r="Q295" s="223"/>
      <c r="R295" s="781"/>
      <c r="S295" s="781"/>
    </row>
    <row r="296" spans="1:19" x14ac:dyDescent="0.25">
      <c r="A296" s="223"/>
      <c r="B296" s="281"/>
      <c r="C296" s="281"/>
      <c r="D296" s="281"/>
      <c r="E296" s="224"/>
      <c r="F296" s="192"/>
      <c r="G296" s="193"/>
      <c r="H296" s="223"/>
      <c r="I296" s="281"/>
      <c r="J296" s="225"/>
      <c r="K296" s="225"/>
      <c r="L296" s="226"/>
      <c r="M296" s="226"/>
      <c r="N296" s="226"/>
      <c r="O296" s="227"/>
      <c r="P296" s="227"/>
      <c r="Q296" s="223"/>
      <c r="R296" s="781"/>
      <c r="S296" s="781"/>
    </row>
    <row r="297" spans="1:19" x14ac:dyDescent="0.25">
      <c r="A297" s="223"/>
      <c r="B297" s="281"/>
      <c r="C297" s="281"/>
      <c r="D297" s="281"/>
      <c r="E297" s="224"/>
      <c r="F297" s="192"/>
      <c r="G297" s="193"/>
      <c r="H297" s="223"/>
      <c r="I297" s="281"/>
      <c r="J297" s="225"/>
      <c r="K297" s="225"/>
      <c r="L297" s="226"/>
      <c r="M297" s="226"/>
      <c r="N297" s="226"/>
      <c r="O297" s="227"/>
      <c r="P297" s="227"/>
      <c r="Q297" s="223"/>
      <c r="R297" s="781"/>
      <c r="S297" s="781"/>
    </row>
    <row r="298" spans="1:19" x14ac:dyDescent="0.25">
      <c r="A298" s="223"/>
      <c r="B298" s="281"/>
      <c r="C298" s="281"/>
      <c r="D298" s="281"/>
      <c r="E298" s="224"/>
      <c r="F298" s="192"/>
      <c r="G298" s="193"/>
      <c r="H298" s="223"/>
      <c r="I298" s="281"/>
      <c r="J298" s="225"/>
      <c r="K298" s="225"/>
      <c r="L298" s="226"/>
      <c r="M298" s="226"/>
      <c r="N298" s="226"/>
      <c r="O298" s="227"/>
      <c r="P298" s="227"/>
      <c r="Q298" s="223"/>
      <c r="R298" s="781"/>
      <c r="S298" s="781"/>
    </row>
    <row r="299" spans="1:19" x14ac:dyDescent="0.25">
      <c r="A299" s="223"/>
      <c r="B299" s="281"/>
      <c r="C299" s="281"/>
      <c r="D299" s="281"/>
      <c r="E299" s="224"/>
      <c r="F299" s="192"/>
      <c r="G299" s="193"/>
      <c r="H299" s="223"/>
      <c r="I299" s="281"/>
      <c r="J299" s="225"/>
      <c r="K299" s="225"/>
      <c r="L299" s="226"/>
      <c r="M299" s="226"/>
      <c r="N299" s="226"/>
      <c r="O299" s="227"/>
      <c r="P299" s="227"/>
      <c r="Q299" s="223"/>
      <c r="R299" s="781"/>
      <c r="S299" s="781"/>
    </row>
    <row r="300" spans="1:19" x14ac:dyDescent="0.25">
      <c r="A300" s="223"/>
      <c r="B300" s="281"/>
      <c r="C300" s="281"/>
      <c r="D300" s="281"/>
      <c r="E300" s="224"/>
      <c r="F300" s="192"/>
      <c r="G300" s="193"/>
      <c r="H300" s="223"/>
      <c r="I300" s="281"/>
      <c r="J300" s="225"/>
      <c r="K300" s="225"/>
      <c r="L300" s="226"/>
      <c r="M300" s="226"/>
      <c r="N300" s="226"/>
      <c r="O300" s="227"/>
      <c r="P300" s="227"/>
      <c r="Q300" s="223"/>
      <c r="R300" s="781"/>
      <c r="S300" s="781"/>
    </row>
  </sheetData>
  <sheetProtection selectLockedCells="1"/>
  <mergeCells count="310">
    <mergeCell ref="R295:S295"/>
    <mergeCell ref="R296:S296"/>
    <mergeCell ref="R297:S297"/>
    <mergeCell ref="R298:S298"/>
    <mergeCell ref="R299:S299"/>
    <mergeCell ref="R300:S300"/>
    <mergeCell ref="R289:S289"/>
    <mergeCell ref="R290:S290"/>
    <mergeCell ref="R291:S291"/>
    <mergeCell ref="R292:S292"/>
    <mergeCell ref="R293:S293"/>
    <mergeCell ref="R294:S294"/>
    <mergeCell ref="R283:S283"/>
    <mergeCell ref="R284:S284"/>
    <mergeCell ref="R285:S285"/>
    <mergeCell ref="R286:S286"/>
    <mergeCell ref="R287:S287"/>
    <mergeCell ref="R288:S288"/>
    <mergeCell ref="R277:S277"/>
    <mergeCell ref="R278:S278"/>
    <mergeCell ref="R279:S279"/>
    <mergeCell ref="R280:S280"/>
    <mergeCell ref="R281:S281"/>
    <mergeCell ref="R282:S282"/>
    <mergeCell ref="R271:S271"/>
    <mergeCell ref="R272:S272"/>
    <mergeCell ref="R273:S273"/>
    <mergeCell ref="R274:S274"/>
    <mergeCell ref="R275:S275"/>
    <mergeCell ref="R276:S276"/>
    <mergeCell ref="R265:S265"/>
    <mergeCell ref="R266:S266"/>
    <mergeCell ref="R267:S267"/>
    <mergeCell ref="R268:S268"/>
    <mergeCell ref="R269:S269"/>
    <mergeCell ref="R270:S270"/>
    <mergeCell ref="R259:S259"/>
    <mergeCell ref="R260:S260"/>
    <mergeCell ref="R261:S261"/>
    <mergeCell ref="R262:S262"/>
    <mergeCell ref="R263:S263"/>
    <mergeCell ref="R264:S264"/>
    <mergeCell ref="R253:S253"/>
    <mergeCell ref="R254:S254"/>
    <mergeCell ref="R255:S255"/>
    <mergeCell ref="R256:S256"/>
    <mergeCell ref="R257:S257"/>
    <mergeCell ref="R258:S258"/>
    <mergeCell ref="R247:S247"/>
    <mergeCell ref="R248:S248"/>
    <mergeCell ref="R249:S249"/>
    <mergeCell ref="R250:S250"/>
    <mergeCell ref="R251:S251"/>
    <mergeCell ref="R252:S252"/>
    <mergeCell ref="R241:S241"/>
    <mergeCell ref="R242:S242"/>
    <mergeCell ref="R243:S243"/>
    <mergeCell ref="R244:S244"/>
    <mergeCell ref="R245:S245"/>
    <mergeCell ref="R246:S246"/>
    <mergeCell ref="R235:S235"/>
    <mergeCell ref="R236:S236"/>
    <mergeCell ref="R237:S237"/>
    <mergeCell ref="R238:S238"/>
    <mergeCell ref="R239:S239"/>
    <mergeCell ref="R240:S240"/>
    <mergeCell ref="R229:S229"/>
    <mergeCell ref="R230:S230"/>
    <mergeCell ref="R231:S231"/>
    <mergeCell ref="R232:S232"/>
    <mergeCell ref="R233:S233"/>
    <mergeCell ref="R234:S234"/>
    <mergeCell ref="R223:S223"/>
    <mergeCell ref="R224:S224"/>
    <mergeCell ref="R225:S225"/>
    <mergeCell ref="R226:S226"/>
    <mergeCell ref="R227:S227"/>
    <mergeCell ref="R228:S228"/>
    <mergeCell ref="R217:S217"/>
    <mergeCell ref="R218:S218"/>
    <mergeCell ref="R219:S219"/>
    <mergeCell ref="R220:S220"/>
    <mergeCell ref="R221:S221"/>
    <mergeCell ref="R222:S222"/>
    <mergeCell ref="R211:S211"/>
    <mergeCell ref="R212:S212"/>
    <mergeCell ref="R213:S213"/>
    <mergeCell ref="R214:S214"/>
    <mergeCell ref="R215:S215"/>
    <mergeCell ref="R216:S216"/>
    <mergeCell ref="R205:S205"/>
    <mergeCell ref="R206:S206"/>
    <mergeCell ref="R207:S207"/>
    <mergeCell ref="R208:S208"/>
    <mergeCell ref="R209:S209"/>
    <mergeCell ref="R210:S210"/>
    <mergeCell ref="R199:S199"/>
    <mergeCell ref="R200:S200"/>
    <mergeCell ref="R201:S201"/>
    <mergeCell ref="R202:S202"/>
    <mergeCell ref="R203:S203"/>
    <mergeCell ref="R204:S204"/>
    <mergeCell ref="R193:S193"/>
    <mergeCell ref="R194:S194"/>
    <mergeCell ref="R195:S195"/>
    <mergeCell ref="R196:S196"/>
    <mergeCell ref="R197:S197"/>
    <mergeCell ref="R198:S198"/>
    <mergeCell ref="R187:S187"/>
    <mergeCell ref="R188:S188"/>
    <mergeCell ref="R189:S189"/>
    <mergeCell ref="R190:S190"/>
    <mergeCell ref="R191:S191"/>
    <mergeCell ref="R192:S192"/>
    <mergeCell ref="R181:S181"/>
    <mergeCell ref="R182:S182"/>
    <mergeCell ref="R183:S183"/>
    <mergeCell ref="R184:S184"/>
    <mergeCell ref="R185:S185"/>
    <mergeCell ref="R186:S186"/>
    <mergeCell ref="R175:S175"/>
    <mergeCell ref="R176:S176"/>
    <mergeCell ref="R177:S177"/>
    <mergeCell ref="R178:S178"/>
    <mergeCell ref="R179:S179"/>
    <mergeCell ref="R180:S180"/>
    <mergeCell ref="R169:S169"/>
    <mergeCell ref="R170:S170"/>
    <mergeCell ref="R171:S171"/>
    <mergeCell ref="R172:S172"/>
    <mergeCell ref="R173:S173"/>
    <mergeCell ref="R174:S174"/>
    <mergeCell ref="R163:S163"/>
    <mergeCell ref="R164:S164"/>
    <mergeCell ref="R165:S165"/>
    <mergeCell ref="R166:S166"/>
    <mergeCell ref="R167:S167"/>
    <mergeCell ref="R168:S168"/>
    <mergeCell ref="R157:S157"/>
    <mergeCell ref="R158:S158"/>
    <mergeCell ref="R159:S159"/>
    <mergeCell ref="R160:S160"/>
    <mergeCell ref="R161:S161"/>
    <mergeCell ref="R162:S162"/>
    <mergeCell ref="R151:S151"/>
    <mergeCell ref="R152:S152"/>
    <mergeCell ref="R153:S153"/>
    <mergeCell ref="R154:S154"/>
    <mergeCell ref="R155:S155"/>
    <mergeCell ref="R156:S156"/>
    <mergeCell ref="R145:S145"/>
    <mergeCell ref="R146:S146"/>
    <mergeCell ref="R147:S147"/>
    <mergeCell ref="R148:S148"/>
    <mergeCell ref="R149:S149"/>
    <mergeCell ref="R150:S150"/>
    <mergeCell ref="R139:S139"/>
    <mergeCell ref="R140:S140"/>
    <mergeCell ref="R141:S141"/>
    <mergeCell ref="R142:S142"/>
    <mergeCell ref="R143:S143"/>
    <mergeCell ref="R144:S144"/>
    <mergeCell ref="R133:S133"/>
    <mergeCell ref="R134:S134"/>
    <mergeCell ref="R135:S135"/>
    <mergeCell ref="R136:S136"/>
    <mergeCell ref="R137:S137"/>
    <mergeCell ref="R138:S138"/>
    <mergeCell ref="R127:S127"/>
    <mergeCell ref="R128:S128"/>
    <mergeCell ref="R129:S129"/>
    <mergeCell ref="R130:S130"/>
    <mergeCell ref="R131:S131"/>
    <mergeCell ref="R132:S132"/>
    <mergeCell ref="R121:S121"/>
    <mergeCell ref="R122:S122"/>
    <mergeCell ref="R123:S123"/>
    <mergeCell ref="R124:S124"/>
    <mergeCell ref="R125:S125"/>
    <mergeCell ref="R126:S126"/>
    <mergeCell ref="R115:S115"/>
    <mergeCell ref="R116:S116"/>
    <mergeCell ref="R117:S117"/>
    <mergeCell ref="R118:S118"/>
    <mergeCell ref="R119:S119"/>
    <mergeCell ref="R120:S120"/>
    <mergeCell ref="R109:S109"/>
    <mergeCell ref="R110:S110"/>
    <mergeCell ref="R111:S111"/>
    <mergeCell ref="R112:S112"/>
    <mergeCell ref="R113:S113"/>
    <mergeCell ref="R114:S114"/>
    <mergeCell ref="R103:S103"/>
    <mergeCell ref="R104:S104"/>
    <mergeCell ref="R105:S105"/>
    <mergeCell ref="R106:S106"/>
    <mergeCell ref="R107:S107"/>
    <mergeCell ref="R108:S108"/>
    <mergeCell ref="R97:S97"/>
    <mergeCell ref="R98:S98"/>
    <mergeCell ref="R99:S99"/>
    <mergeCell ref="R100:S100"/>
    <mergeCell ref="R101:S101"/>
    <mergeCell ref="R102:S102"/>
    <mergeCell ref="R91:S91"/>
    <mergeCell ref="R92:S92"/>
    <mergeCell ref="R93:S93"/>
    <mergeCell ref="R94:S94"/>
    <mergeCell ref="R95:S95"/>
    <mergeCell ref="R96:S96"/>
    <mergeCell ref="R85:S85"/>
    <mergeCell ref="R86:S86"/>
    <mergeCell ref="R87:S87"/>
    <mergeCell ref="R88:S88"/>
    <mergeCell ref="R89:S89"/>
    <mergeCell ref="R90:S90"/>
    <mergeCell ref="R79:S79"/>
    <mergeCell ref="R80:S80"/>
    <mergeCell ref="R81:S81"/>
    <mergeCell ref="R82:S82"/>
    <mergeCell ref="R83:S83"/>
    <mergeCell ref="R84:S84"/>
    <mergeCell ref="R73:S73"/>
    <mergeCell ref="R74:S74"/>
    <mergeCell ref="R75:S75"/>
    <mergeCell ref="R76:S76"/>
    <mergeCell ref="R77:S77"/>
    <mergeCell ref="R78:S78"/>
    <mergeCell ref="R67:S67"/>
    <mergeCell ref="R68:S68"/>
    <mergeCell ref="R69:S69"/>
    <mergeCell ref="R70:S70"/>
    <mergeCell ref="R71:S71"/>
    <mergeCell ref="R72:S72"/>
    <mergeCell ref="R61:S61"/>
    <mergeCell ref="R62:S62"/>
    <mergeCell ref="R63:S63"/>
    <mergeCell ref="R64:S64"/>
    <mergeCell ref="R65:S65"/>
    <mergeCell ref="R66:S66"/>
    <mergeCell ref="R55:S55"/>
    <mergeCell ref="R56:S56"/>
    <mergeCell ref="R57:S57"/>
    <mergeCell ref="R58:S58"/>
    <mergeCell ref="R59:S59"/>
    <mergeCell ref="R60:S60"/>
    <mergeCell ref="R49:S49"/>
    <mergeCell ref="R50:S50"/>
    <mergeCell ref="R51:S51"/>
    <mergeCell ref="R52:S52"/>
    <mergeCell ref="R53:S53"/>
    <mergeCell ref="R54:S54"/>
    <mergeCell ref="R43:S43"/>
    <mergeCell ref="R44:S44"/>
    <mergeCell ref="R45:S45"/>
    <mergeCell ref="R46:S46"/>
    <mergeCell ref="R47:S47"/>
    <mergeCell ref="R48:S48"/>
    <mergeCell ref="R37:S37"/>
    <mergeCell ref="R38:S38"/>
    <mergeCell ref="R39:S39"/>
    <mergeCell ref="R40:S40"/>
    <mergeCell ref="R41:S41"/>
    <mergeCell ref="R42:S42"/>
    <mergeCell ref="R31:S31"/>
    <mergeCell ref="R32:S32"/>
    <mergeCell ref="R33:S33"/>
    <mergeCell ref="R34:S34"/>
    <mergeCell ref="R35:S35"/>
    <mergeCell ref="R36:S36"/>
    <mergeCell ref="R25:S25"/>
    <mergeCell ref="R26:S26"/>
    <mergeCell ref="R27:S27"/>
    <mergeCell ref="R28:S28"/>
    <mergeCell ref="R29:S29"/>
    <mergeCell ref="R30:S30"/>
    <mergeCell ref="R19:S19"/>
    <mergeCell ref="R20:S20"/>
    <mergeCell ref="R21:S21"/>
    <mergeCell ref="R22:S22"/>
    <mergeCell ref="R23:S23"/>
    <mergeCell ref="R24:S24"/>
    <mergeCell ref="R13:S13"/>
    <mergeCell ref="R14:S14"/>
    <mergeCell ref="R15:S15"/>
    <mergeCell ref="R16:S16"/>
    <mergeCell ref="R17:S17"/>
    <mergeCell ref="R18:S18"/>
    <mergeCell ref="R7:S7"/>
    <mergeCell ref="R8:S8"/>
    <mergeCell ref="R9:S9"/>
    <mergeCell ref="R10:S10"/>
    <mergeCell ref="R11:S11"/>
    <mergeCell ref="R12:S12"/>
    <mergeCell ref="H3:K3"/>
    <mergeCell ref="L3:N3"/>
    <mergeCell ref="O3:P3"/>
    <mergeCell ref="R4:S4"/>
    <mergeCell ref="R5:S5"/>
    <mergeCell ref="R6:S6"/>
    <mergeCell ref="A1:E2"/>
    <mergeCell ref="K1:L1"/>
    <mergeCell ref="M1:P1"/>
    <mergeCell ref="Q1:S3"/>
    <mergeCell ref="F2:G2"/>
    <mergeCell ref="H2:I2"/>
    <mergeCell ref="K2:L2"/>
    <mergeCell ref="M2:P2"/>
    <mergeCell ref="A3:C3"/>
    <mergeCell ref="D3:E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S300"/>
  <sheetViews>
    <sheetView zoomScale="90" zoomScaleNormal="90" workbookViewId="0">
      <pane ySplit="14" topLeftCell="A15" activePane="bottomLeft" state="frozen"/>
      <selection activeCell="H29" sqref="H29"/>
      <selection pane="bottomLeft" activeCell="M2" sqref="M2:P2"/>
    </sheetView>
  </sheetViews>
  <sheetFormatPr defaultRowHeight="15" x14ac:dyDescent="0.25"/>
  <cols>
    <col min="1" max="1" width="9.5703125" bestFit="1" customWidth="1"/>
    <col min="2" max="2" width="8.85546875" style="148" bestFit="1" customWidth="1"/>
    <col min="3" max="3" width="15" style="148" customWidth="1"/>
    <col min="4" max="5" width="17" style="148" bestFit="1" customWidth="1"/>
    <col min="6" max="6" width="15.28515625" bestFit="1" customWidth="1"/>
    <col min="7" max="7" width="18" bestFit="1" customWidth="1"/>
    <col min="8" max="8" width="9.5703125" style="228" bestFit="1" customWidth="1"/>
    <col min="9" max="9" width="18" style="148" bestFit="1" customWidth="1"/>
    <col min="10" max="10" width="22.140625" bestFit="1" customWidth="1"/>
    <col min="11" max="11" width="17" bestFit="1" customWidth="1"/>
    <col min="12" max="13" width="20.7109375" style="187" customWidth="1"/>
    <col min="14" max="14" width="11.7109375" style="187" customWidth="1"/>
    <col min="15" max="16" width="17" style="229" bestFit="1" customWidth="1"/>
    <col min="17" max="17" width="8.42578125" style="230" bestFit="1" customWidth="1"/>
    <col min="18" max="19" width="13.5703125" style="230" customWidth="1"/>
  </cols>
  <sheetData>
    <row r="1" spans="1:19" ht="24" customHeight="1" thickBot="1" x14ac:dyDescent="0.3">
      <c r="A1" s="749" t="s">
        <v>364</v>
      </c>
      <c r="B1" s="750"/>
      <c r="C1" s="750"/>
      <c r="D1" s="750"/>
      <c r="E1" s="750"/>
      <c r="F1" s="163" t="s">
        <v>327</v>
      </c>
      <c r="G1" s="164" t="str">
        <f>D4</f>
        <v>Mega 2111</v>
      </c>
      <c r="H1" s="165" t="s">
        <v>328</v>
      </c>
      <c r="I1" s="164" t="str">
        <f>E4</f>
        <v>Mega 2115</v>
      </c>
      <c r="J1" s="166"/>
      <c r="K1" s="753" t="s">
        <v>329</v>
      </c>
      <c r="L1" s="753"/>
      <c r="M1" s="754"/>
      <c r="N1" s="754"/>
      <c r="O1" s="754"/>
      <c r="P1" s="755"/>
      <c r="Q1" s="782" t="s">
        <v>330</v>
      </c>
      <c r="R1" s="783"/>
      <c r="S1" s="783"/>
    </row>
    <row r="2" spans="1:19" ht="24" customHeight="1" thickBot="1" x14ac:dyDescent="0.3">
      <c r="A2" s="751"/>
      <c r="B2" s="752"/>
      <c r="C2" s="752"/>
      <c r="D2" s="752"/>
      <c r="E2" s="752"/>
      <c r="F2" s="762">
        <f>G4-G8</f>
        <v>0</v>
      </c>
      <c r="G2" s="763"/>
      <c r="H2" s="764">
        <f>G6-G10</f>
        <v>0</v>
      </c>
      <c r="I2" s="765"/>
      <c r="J2" s="167"/>
      <c r="K2" s="753" t="s">
        <v>331</v>
      </c>
      <c r="L2" s="753"/>
      <c r="M2" s="766"/>
      <c r="N2" s="766"/>
      <c r="O2" s="766"/>
      <c r="P2" s="767"/>
      <c r="Q2" s="784"/>
      <c r="R2" s="785"/>
      <c r="S2" s="785"/>
    </row>
    <row r="3" spans="1:19" s="149" customFormat="1" ht="24" customHeight="1" thickBot="1" x14ac:dyDescent="0.4">
      <c r="A3" s="768" t="s">
        <v>332</v>
      </c>
      <c r="B3" s="769"/>
      <c r="C3" s="770"/>
      <c r="D3" s="768" t="s">
        <v>333</v>
      </c>
      <c r="E3" s="769"/>
      <c r="F3" s="168" t="s">
        <v>334</v>
      </c>
      <c r="G3" s="169" t="s">
        <v>328</v>
      </c>
      <c r="H3" s="775" t="s">
        <v>335</v>
      </c>
      <c r="I3" s="776"/>
      <c r="J3" s="776"/>
      <c r="K3" s="777"/>
      <c r="L3" s="775" t="s">
        <v>336</v>
      </c>
      <c r="M3" s="776"/>
      <c r="N3" s="777"/>
      <c r="O3" s="768" t="s">
        <v>337</v>
      </c>
      <c r="P3" s="770"/>
      <c r="Q3" s="786"/>
      <c r="R3" s="787"/>
      <c r="S3" s="787"/>
    </row>
    <row r="4" spans="1:19" s="149" customFormat="1" ht="24" thickBot="1" x14ac:dyDescent="0.4">
      <c r="A4" s="277" t="s">
        <v>297</v>
      </c>
      <c r="B4" s="277" t="s">
        <v>338</v>
      </c>
      <c r="C4" s="277" t="s">
        <v>339</v>
      </c>
      <c r="D4" s="247" t="s">
        <v>363</v>
      </c>
      <c r="E4" s="277" t="s">
        <v>362</v>
      </c>
      <c r="F4" s="170" t="str">
        <f>D4</f>
        <v>Mega 2111</v>
      </c>
      <c r="G4" s="171">
        <f>SUM(D:D)</f>
        <v>0</v>
      </c>
      <c r="H4" s="172" t="s">
        <v>297</v>
      </c>
      <c r="I4" s="173" t="s">
        <v>342</v>
      </c>
      <c r="J4" s="173" t="s">
        <v>343</v>
      </c>
      <c r="K4" s="173" t="s">
        <v>344</v>
      </c>
      <c r="L4" s="174" t="s">
        <v>361</v>
      </c>
      <c r="M4" s="174" t="str">
        <f>E4</f>
        <v>Mega 2115</v>
      </c>
      <c r="N4" s="174" t="s">
        <v>328</v>
      </c>
      <c r="O4" s="173" t="str">
        <f>D4</f>
        <v>Mega 2111</v>
      </c>
      <c r="P4" s="173" t="str">
        <f>E4</f>
        <v>Mega 2115</v>
      </c>
      <c r="Q4" s="175" t="s">
        <v>297</v>
      </c>
      <c r="R4" s="778" t="s">
        <v>345</v>
      </c>
      <c r="S4" s="779"/>
    </row>
    <row r="5" spans="1:19" ht="21" customHeight="1" x14ac:dyDescent="0.35">
      <c r="A5" s="176">
        <v>42805</v>
      </c>
      <c r="B5" s="279">
        <v>167589</v>
      </c>
      <c r="C5" s="279" t="s">
        <v>359</v>
      </c>
      <c r="D5" s="279"/>
      <c r="E5" s="177"/>
      <c r="F5" s="178" t="s">
        <v>334</v>
      </c>
      <c r="G5" s="179" t="s">
        <v>328</v>
      </c>
      <c r="H5" s="246"/>
      <c r="I5" s="279"/>
      <c r="J5" s="180"/>
      <c r="K5" s="180"/>
      <c r="L5" s="181"/>
      <c r="M5" s="181"/>
      <c r="N5" s="181">
        <f t="shared" ref="N5:N68" si="0">M5+L5</f>
        <v>0</v>
      </c>
      <c r="O5" s="183"/>
      <c r="P5" s="183"/>
      <c r="Q5" s="176"/>
      <c r="R5" s="780"/>
      <c r="S5" s="780"/>
    </row>
    <row r="6" spans="1:19" ht="21" customHeight="1" thickBot="1" x14ac:dyDescent="0.4">
      <c r="A6" s="184">
        <v>42805</v>
      </c>
      <c r="B6" s="278">
        <v>167591</v>
      </c>
      <c r="C6" s="279" t="s">
        <v>359</v>
      </c>
      <c r="D6" s="278"/>
      <c r="E6" s="185"/>
      <c r="F6" s="170" t="str">
        <f>E4</f>
        <v>Mega 2115</v>
      </c>
      <c r="G6" s="171">
        <f>SUM(E:E)</f>
        <v>0</v>
      </c>
      <c r="H6" s="241"/>
      <c r="I6" s="278"/>
      <c r="J6" s="186"/>
      <c r="K6" s="186"/>
      <c r="L6" s="182"/>
      <c r="M6" s="182"/>
      <c r="N6" s="181">
        <f t="shared" si="0"/>
        <v>0</v>
      </c>
      <c r="O6" s="188"/>
      <c r="P6" s="188"/>
      <c r="Q6" s="184"/>
      <c r="R6" s="773"/>
      <c r="S6" s="773"/>
    </row>
    <row r="7" spans="1:19" ht="21" customHeight="1" x14ac:dyDescent="0.35">
      <c r="A7" s="184">
        <v>42805</v>
      </c>
      <c r="B7" s="278">
        <v>167593</v>
      </c>
      <c r="C7" s="279" t="s">
        <v>359</v>
      </c>
      <c r="D7" s="278"/>
      <c r="E7" s="185"/>
      <c r="F7" s="178" t="s">
        <v>348</v>
      </c>
      <c r="G7" s="179" t="s">
        <v>328</v>
      </c>
      <c r="H7" s="241"/>
      <c r="I7" s="278"/>
      <c r="J7" s="186"/>
      <c r="K7" s="186"/>
      <c r="L7" s="182"/>
      <c r="M7" s="182"/>
      <c r="N7" s="181">
        <f t="shared" si="0"/>
        <v>0</v>
      </c>
      <c r="O7" s="188"/>
      <c r="P7" s="188"/>
      <c r="Q7" s="184"/>
      <c r="R7" s="773"/>
      <c r="S7" s="773"/>
    </row>
    <row r="8" spans="1:19" ht="21" customHeight="1" thickBot="1" x14ac:dyDescent="0.4">
      <c r="A8" s="184">
        <v>42805</v>
      </c>
      <c r="B8" s="278">
        <v>167594</v>
      </c>
      <c r="C8" s="279" t="s">
        <v>359</v>
      </c>
      <c r="D8" s="278"/>
      <c r="E8" s="185"/>
      <c r="F8" s="170" t="str">
        <f>D4</f>
        <v>Mega 2111</v>
      </c>
      <c r="G8" s="189">
        <f>SUM(L:L)</f>
        <v>0</v>
      </c>
      <c r="H8" s="241"/>
      <c r="I8" s="278"/>
      <c r="J8" s="186"/>
      <c r="K8" s="186"/>
      <c r="L8" s="182"/>
      <c r="M8" s="182"/>
      <c r="N8" s="181">
        <f t="shared" si="0"/>
        <v>0</v>
      </c>
      <c r="O8" s="188"/>
      <c r="P8" s="188"/>
      <c r="Q8" s="184"/>
      <c r="R8" s="773"/>
      <c r="S8" s="773"/>
    </row>
    <row r="9" spans="1:19" ht="21" customHeight="1" x14ac:dyDescent="0.35">
      <c r="A9" s="184">
        <v>42806</v>
      </c>
      <c r="B9" s="278">
        <v>167595</v>
      </c>
      <c r="C9" s="279" t="s">
        <v>359</v>
      </c>
      <c r="D9" s="278"/>
      <c r="E9" s="185"/>
      <c r="F9" s="178" t="s">
        <v>348</v>
      </c>
      <c r="G9" s="179" t="s">
        <v>328</v>
      </c>
      <c r="H9" s="241"/>
      <c r="I9" s="278"/>
      <c r="J9" s="186"/>
      <c r="K9" s="186"/>
      <c r="L9" s="182"/>
      <c r="M9" s="182"/>
      <c r="N9" s="181">
        <f t="shared" si="0"/>
        <v>0</v>
      </c>
      <c r="O9" s="188"/>
      <c r="P9" s="188"/>
      <c r="Q9" s="184"/>
      <c r="R9" s="773"/>
      <c r="S9" s="773"/>
    </row>
    <row r="10" spans="1:19" ht="21" customHeight="1" thickBot="1" x14ac:dyDescent="0.4">
      <c r="A10" s="184">
        <v>42807</v>
      </c>
      <c r="B10" s="278">
        <v>167606</v>
      </c>
      <c r="C10" s="279" t="s">
        <v>359</v>
      </c>
      <c r="D10" s="278"/>
      <c r="E10" s="185"/>
      <c r="F10" s="170" t="str">
        <f>E4</f>
        <v>Mega 2115</v>
      </c>
      <c r="G10" s="189">
        <f>SUM(M:M)</f>
        <v>0</v>
      </c>
      <c r="H10" s="241"/>
      <c r="I10" s="278"/>
      <c r="J10" s="186"/>
      <c r="K10" s="186"/>
      <c r="L10" s="182"/>
      <c r="M10" s="182"/>
      <c r="N10" s="181">
        <f t="shared" si="0"/>
        <v>0</v>
      </c>
      <c r="O10" s="188"/>
      <c r="P10" s="188"/>
      <c r="Q10" s="184"/>
      <c r="R10" s="773"/>
      <c r="S10" s="773"/>
    </row>
    <row r="11" spans="1:19" ht="21" customHeight="1" x14ac:dyDescent="0.25">
      <c r="A11" s="184">
        <v>42808</v>
      </c>
      <c r="B11" s="278">
        <v>167607</v>
      </c>
      <c r="C11" s="279" t="s">
        <v>359</v>
      </c>
      <c r="D11" s="278"/>
      <c r="E11" s="185"/>
      <c r="F11" s="192"/>
      <c r="G11" s="193"/>
      <c r="H11" s="241"/>
      <c r="I11" s="278"/>
      <c r="J11" s="186"/>
      <c r="K11" s="186"/>
      <c r="L11" s="182"/>
      <c r="M11" s="182"/>
      <c r="N11" s="181">
        <f t="shared" si="0"/>
        <v>0</v>
      </c>
      <c r="O11" s="188"/>
      <c r="P11" s="188"/>
      <c r="Q11" s="184"/>
      <c r="R11" s="773"/>
      <c r="S11" s="773"/>
    </row>
    <row r="12" spans="1:19" ht="21" customHeight="1" x14ac:dyDescent="0.25">
      <c r="A12" s="194">
        <v>42808</v>
      </c>
      <c r="B12" s="197">
        <v>167609</v>
      </c>
      <c r="C12" s="196" t="s">
        <v>359</v>
      </c>
      <c r="D12" s="197"/>
      <c r="E12" s="198"/>
      <c r="F12" s="192"/>
      <c r="G12" s="193"/>
      <c r="H12" s="241"/>
      <c r="I12" s="278"/>
      <c r="J12" s="186"/>
      <c r="K12" s="186"/>
      <c r="L12" s="182"/>
      <c r="M12" s="182"/>
      <c r="N12" s="181">
        <f t="shared" si="0"/>
        <v>0</v>
      </c>
      <c r="O12" s="188"/>
      <c r="P12" s="188"/>
      <c r="Q12" s="194"/>
      <c r="R12" s="773"/>
      <c r="S12" s="773"/>
    </row>
    <row r="13" spans="1:19" ht="21" customHeight="1" x14ac:dyDescent="0.25">
      <c r="A13" s="184">
        <v>42809</v>
      </c>
      <c r="B13" s="278">
        <v>167613</v>
      </c>
      <c r="C13" s="279" t="s">
        <v>359</v>
      </c>
      <c r="D13" s="278"/>
      <c r="E13" s="185"/>
      <c r="F13" s="192"/>
      <c r="G13" s="193"/>
      <c r="H13" s="241"/>
      <c r="I13" s="278"/>
      <c r="J13" s="186"/>
      <c r="K13" s="186"/>
      <c r="L13" s="182"/>
      <c r="M13" s="182"/>
      <c r="N13" s="181">
        <f t="shared" si="0"/>
        <v>0</v>
      </c>
      <c r="O13" s="188"/>
      <c r="P13" s="188"/>
      <c r="Q13" s="184"/>
      <c r="R13" s="773"/>
      <c r="S13" s="773"/>
    </row>
    <row r="14" spans="1:19" ht="21" customHeight="1" x14ac:dyDescent="0.25">
      <c r="A14" s="184">
        <v>42810</v>
      </c>
      <c r="B14" s="278">
        <v>167617</v>
      </c>
      <c r="C14" s="279" t="s">
        <v>359</v>
      </c>
      <c r="D14" s="278"/>
      <c r="E14" s="185"/>
      <c r="F14" s="192"/>
      <c r="G14" s="193"/>
      <c r="H14" s="245"/>
      <c r="I14" s="199"/>
      <c r="J14" s="200"/>
      <c r="K14" s="186"/>
      <c r="L14" s="182"/>
      <c r="M14" s="182"/>
      <c r="N14" s="181">
        <f t="shared" si="0"/>
        <v>0</v>
      </c>
      <c r="O14" s="188"/>
      <c r="P14" s="188"/>
      <c r="Q14" s="184"/>
      <c r="R14" s="773"/>
      <c r="S14" s="773"/>
    </row>
    <row r="15" spans="1:19" ht="21" customHeight="1" x14ac:dyDescent="0.25">
      <c r="A15" s="184">
        <v>42811</v>
      </c>
      <c r="B15" s="278">
        <v>167620</v>
      </c>
      <c r="C15" s="279" t="s">
        <v>359</v>
      </c>
      <c r="D15" s="278"/>
      <c r="E15" s="185"/>
      <c r="F15" s="192"/>
      <c r="G15" s="193"/>
      <c r="H15" s="240"/>
      <c r="I15" s="281"/>
      <c r="J15" s="200"/>
      <c r="K15" s="225"/>
      <c r="L15" s="226"/>
      <c r="M15" s="226"/>
      <c r="N15" s="181">
        <f t="shared" si="0"/>
        <v>0</v>
      </c>
      <c r="O15" s="188"/>
      <c r="P15" s="188"/>
      <c r="Q15" s="184"/>
      <c r="R15" s="773"/>
      <c r="S15" s="773"/>
    </row>
    <row r="16" spans="1:19" ht="21" customHeight="1" x14ac:dyDescent="0.25">
      <c r="A16" s="184">
        <v>42811</v>
      </c>
      <c r="B16" s="278">
        <v>167622</v>
      </c>
      <c r="C16" s="279" t="s">
        <v>359</v>
      </c>
      <c r="D16" s="278"/>
      <c r="E16" s="185"/>
      <c r="F16" s="192"/>
      <c r="G16" s="193"/>
      <c r="H16" s="240"/>
      <c r="I16" s="281"/>
      <c r="J16" s="225"/>
      <c r="K16" s="225"/>
      <c r="L16" s="226"/>
      <c r="M16" s="182"/>
      <c r="N16" s="181">
        <f t="shared" si="0"/>
        <v>0</v>
      </c>
      <c r="O16" s="188"/>
      <c r="P16" s="188"/>
      <c r="Q16" s="184"/>
      <c r="R16" s="773"/>
      <c r="S16" s="773"/>
    </row>
    <row r="17" spans="1:19" ht="21" customHeight="1" x14ac:dyDescent="0.25">
      <c r="A17" s="184">
        <v>42814</v>
      </c>
      <c r="B17" s="278">
        <v>167631</v>
      </c>
      <c r="C17" s="279" t="s">
        <v>359</v>
      </c>
      <c r="D17" s="278"/>
      <c r="E17" s="185"/>
      <c r="F17" s="192"/>
      <c r="G17" s="193"/>
      <c r="H17" s="241"/>
      <c r="I17" s="278"/>
      <c r="J17" s="200"/>
      <c r="K17" s="186"/>
      <c r="L17" s="182"/>
      <c r="M17" s="182"/>
      <c r="N17" s="181">
        <f t="shared" si="0"/>
        <v>0</v>
      </c>
      <c r="O17" s="188"/>
      <c r="P17" s="188"/>
      <c r="Q17" s="184"/>
      <c r="R17" s="773"/>
      <c r="S17" s="773"/>
    </row>
    <row r="18" spans="1:19" ht="21" customHeight="1" x14ac:dyDescent="0.25">
      <c r="A18" s="184">
        <v>42814</v>
      </c>
      <c r="B18" s="278">
        <v>167632</v>
      </c>
      <c r="C18" s="279" t="s">
        <v>359</v>
      </c>
      <c r="D18" s="278"/>
      <c r="E18" s="185"/>
      <c r="F18" s="192"/>
      <c r="G18" s="193"/>
      <c r="H18" s="245"/>
      <c r="I18" s="199"/>
      <c r="J18" s="200"/>
      <c r="K18" s="186"/>
      <c r="L18" s="182"/>
      <c r="M18" s="182"/>
      <c r="N18" s="181">
        <f t="shared" si="0"/>
        <v>0</v>
      </c>
      <c r="O18" s="188"/>
      <c r="P18" s="188"/>
      <c r="Q18" s="184"/>
      <c r="R18" s="773"/>
      <c r="S18" s="773"/>
    </row>
    <row r="19" spans="1:19" ht="21" customHeight="1" x14ac:dyDescent="0.25">
      <c r="A19" s="184">
        <v>42814</v>
      </c>
      <c r="B19" s="278">
        <v>167634</v>
      </c>
      <c r="C19" s="279" t="s">
        <v>359</v>
      </c>
      <c r="D19" s="278"/>
      <c r="E19" s="185"/>
      <c r="F19" s="192"/>
      <c r="G19" s="193"/>
      <c r="H19" s="244"/>
      <c r="I19" s="243"/>
      <c r="J19" s="200"/>
      <c r="K19" s="186"/>
      <c r="L19" s="182"/>
      <c r="M19" s="182"/>
      <c r="N19" s="181">
        <f t="shared" si="0"/>
        <v>0</v>
      </c>
      <c r="O19" s="188"/>
      <c r="P19" s="188"/>
      <c r="Q19" s="184"/>
      <c r="R19" s="773"/>
      <c r="S19" s="773"/>
    </row>
    <row r="20" spans="1:19" ht="21" customHeight="1" x14ac:dyDescent="0.25">
      <c r="A20" s="184">
        <v>42816</v>
      </c>
      <c r="B20" s="278">
        <v>167635</v>
      </c>
      <c r="C20" s="279" t="s">
        <v>359</v>
      </c>
      <c r="D20" s="278"/>
      <c r="E20" s="185"/>
      <c r="F20" s="192"/>
      <c r="G20" s="193"/>
      <c r="H20" s="241"/>
      <c r="I20" s="278"/>
      <c r="J20" s="200"/>
      <c r="K20" s="186"/>
      <c r="L20" s="182"/>
      <c r="M20" s="182"/>
      <c r="N20" s="181">
        <f t="shared" si="0"/>
        <v>0</v>
      </c>
      <c r="O20" s="188"/>
      <c r="P20" s="188"/>
      <c r="Q20" s="184"/>
      <c r="R20" s="773"/>
      <c r="S20" s="773"/>
    </row>
    <row r="21" spans="1:19" ht="21" customHeight="1" x14ac:dyDescent="0.25">
      <c r="A21" s="184">
        <v>42817</v>
      </c>
      <c r="B21" s="278">
        <v>167636</v>
      </c>
      <c r="C21" s="279" t="s">
        <v>359</v>
      </c>
      <c r="D21" s="278"/>
      <c r="E21" s="185"/>
      <c r="F21" s="192"/>
      <c r="G21" s="193"/>
      <c r="H21" s="241"/>
      <c r="I21" s="278"/>
      <c r="J21" s="200"/>
      <c r="K21" s="186"/>
      <c r="L21" s="182"/>
      <c r="M21" s="182"/>
      <c r="N21" s="181">
        <f t="shared" si="0"/>
        <v>0</v>
      </c>
      <c r="O21" s="188"/>
      <c r="P21" s="188"/>
      <c r="Q21" s="184"/>
      <c r="R21" s="773"/>
      <c r="S21" s="773"/>
    </row>
    <row r="22" spans="1:19" ht="21" customHeight="1" x14ac:dyDescent="0.25">
      <c r="A22" s="184">
        <v>42817</v>
      </c>
      <c r="B22" s="278">
        <v>167638</v>
      </c>
      <c r="C22" s="279" t="s">
        <v>359</v>
      </c>
      <c r="D22" s="278"/>
      <c r="E22" s="185"/>
      <c r="F22" s="192"/>
      <c r="G22" s="193"/>
      <c r="H22" s="241"/>
      <c r="I22" s="278"/>
      <c r="J22" s="200"/>
      <c r="K22" s="186"/>
      <c r="L22" s="182"/>
      <c r="M22" s="182"/>
      <c r="N22" s="181">
        <f t="shared" si="0"/>
        <v>0</v>
      </c>
      <c r="O22" s="188"/>
      <c r="P22" s="188"/>
      <c r="Q22" s="184"/>
      <c r="R22" s="773"/>
      <c r="S22" s="773"/>
    </row>
    <row r="23" spans="1:19" ht="21" customHeight="1" x14ac:dyDescent="0.25">
      <c r="A23" s="184">
        <v>42817</v>
      </c>
      <c r="B23" s="278">
        <v>167639</v>
      </c>
      <c r="C23" s="278" t="s">
        <v>359</v>
      </c>
      <c r="D23" s="278"/>
      <c r="E23" s="185"/>
      <c r="F23" s="192"/>
      <c r="G23" s="193"/>
      <c r="H23" s="241"/>
      <c r="I23" s="278"/>
      <c r="J23" s="200"/>
      <c r="K23" s="186"/>
      <c r="L23" s="182"/>
      <c r="M23" s="182"/>
      <c r="N23" s="181">
        <f t="shared" si="0"/>
        <v>0</v>
      </c>
      <c r="O23" s="188"/>
      <c r="P23" s="188"/>
      <c r="Q23" s="184"/>
      <c r="R23" s="773"/>
      <c r="S23" s="773"/>
    </row>
    <row r="24" spans="1:19" ht="21" customHeight="1" x14ac:dyDescent="0.25">
      <c r="A24" s="184">
        <v>42822</v>
      </c>
      <c r="B24" s="278">
        <v>167648</v>
      </c>
      <c r="C24" s="278" t="s">
        <v>359</v>
      </c>
      <c r="D24" s="278"/>
      <c r="E24" s="185"/>
      <c r="F24" s="192"/>
      <c r="G24" s="193"/>
      <c r="H24" s="241"/>
      <c r="I24" s="278"/>
      <c r="J24" s="200"/>
      <c r="K24" s="186"/>
      <c r="L24" s="182"/>
      <c r="M24" s="182"/>
      <c r="N24" s="181">
        <f t="shared" si="0"/>
        <v>0</v>
      </c>
      <c r="O24" s="188"/>
      <c r="P24" s="188"/>
      <c r="Q24" s="184"/>
      <c r="R24" s="773"/>
      <c r="S24" s="773"/>
    </row>
    <row r="25" spans="1:19" ht="21" customHeight="1" x14ac:dyDescent="0.25">
      <c r="A25" s="184">
        <v>42823</v>
      </c>
      <c r="B25" s="278">
        <v>180001</v>
      </c>
      <c r="C25" s="278" t="s">
        <v>359</v>
      </c>
      <c r="D25" s="278"/>
      <c r="E25" s="185"/>
      <c r="F25" s="192"/>
      <c r="G25" s="193"/>
      <c r="H25" s="241"/>
      <c r="I25" s="278"/>
      <c r="J25" s="200"/>
      <c r="K25" s="186"/>
      <c r="L25" s="182"/>
      <c r="M25" s="182"/>
      <c r="N25" s="181">
        <f t="shared" si="0"/>
        <v>0</v>
      </c>
      <c r="O25" s="188"/>
      <c r="P25" s="188"/>
      <c r="Q25" s="184"/>
      <c r="R25" s="773"/>
      <c r="S25" s="773"/>
    </row>
    <row r="26" spans="1:19" ht="21" customHeight="1" x14ac:dyDescent="0.25">
      <c r="A26" s="184">
        <v>42824</v>
      </c>
      <c r="B26" s="278">
        <v>180006</v>
      </c>
      <c r="C26" s="278" t="s">
        <v>359</v>
      </c>
      <c r="D26" s="278"/>
      <c r="E26" s="185"/>
      <c r="F26" s="192"/>
      <c r="G26" s="193"/>
      <c r="H26" s="241"/>
      <c r="I26" s="278"/>
      <c r="J26" s="200"/>
      <c r="K26" s="186"/>
      <c r="L26" s="182"/>
      <c r="M26" s="182"/>
      <c r="N26" s="181">
        <f t="shared" si="0"/>
        <v>0</v>
      </c>
      <c r="O26" s="188"/>
      <c r="P26" s="188"/>
      <c r="Q26" s="184"/>
      <c r="R26" s="773"/>
      <c r="S26" s="773"/>
    </row>
    <row r="27" spans="1:19" ht="21" customHeight="1" x14ac:dyDescent="0.25">
      <c r="A27" s="184">
        <v>42825</v>
      </c>
      <c r="B27" s="278">
        <v>180007</v>
      </c>
      <c r="C27" s="278" t="s">
        <v>359</v>
      </c>
      <c r="D27" s="278"/>
      <c r="E27" s="185"/>
      <c r="F27" s="192"/>
      <c r="G27" s="193"/>
      <c r="H27" s="241"/>
      <c r="I27" s="278"/>
      <c r="J27" s="200"/>
      <c r="K27" s="186"/>
      <c r="L27" s="182"/>
      <c r="M27" s="182"/>
      <c r="N27" s="181">
        <f t="shared" si="0"/>
        <v>0</v>
      </c>
      <c r="O27" s="188"/>
      <c r="P27" s="188"/>
      <c r="Q27" s="184"/>
      <c r="R27" s="773"/>
      <c r="S27" s="773"/>
    </row>
    <row r="28" spans="1:19" ht="21" customHeight="1" x14ac:dyDescent="0.25">
      <c r="A28" s="184">
        <v>42825</v>
      </c>
      <c r="B28" s="278">
        <v>180008</v>
      </c>
      <c r="C28" s="278" t="s">
        <v>359</v>
      </c>
      <c r="D28" s="278"/>
      <c r="E28" s="185"/>
      <c r="F28" s="192"/>
      <c r="G28" s="193"/>
      <c r="H28" s="241"/>
      <c r="I28" s="278"/>
      <c r="J28" s="200"/>
      <c r="K28" s="186"/>
      <c r="L28" s="182"/>
      <c r="M28" s="182"/>
      <c r="N28" s="181">
        <f t="shared" si="0"/>
        <v>0</v>
      </c>
      <c r="O28" s="188"/>
      <c r="P28" s="188"/>
      <c r="Q28" s="184"/>
      <c r="R28" s="773"/>
      <c r="S28" s="773"/>
    </row>
    <row r="29" spans="1:19" ht="21" customHeight="1" x14ac:dyDescent="0.25">
      <c r="A29" s="184">
        <v>42825</v>
      </c>
      <c r="B29" s="278">
        <v>180009</v>
      </c>
      <c r="C29" s="278" t="s">
        <v>359</v>
      </c>
      <c r="D29" s="278"/>
      <c r="E29" s="185"/>
      <c r="F29" s="192"/>
      <c r="G29" s="193"/>
      <c r="H29" s="241"/>
      <c r="I29" s="278"/>
      <c r="J29" s="200"/>
      <c r="K29" s="186"/>
      <c r="L29" s="182"/>
      <c r="M29" s="182"/>
      <c r="N29" s="181">
        <f t="shared" si="0"/>
        <v>0</v>
      </c>
      <c r="O29" s="188"/>
      <c r="P29" s="188"/>
      <c r="Q29" s="184"/>
      <c r="R29" s="773"/>
      <c r="S29" s="773"/>
    </row>
    <row r="30" spans="1:19" ht="21" customHeight="1" x14ac:dyDescent="0.25">
      <c r="A30" s="184">
        <v>42825</v>
      </c>
      <c r="B30" s="278">
        <v>180012</v>
      </c>
      <c r="C30" s="278" t="s">
        <v>359</v>
      </c>
      <c r="D30" s="278"/>
      <c r="E30" s="185"/>
      <c r="F30" s="192"/>
      <c r="G30" s="193"/>
      <c r="H30" s="241"/>
      <c r="I30" s="278"/>
      <c r="J30" s="200"/>
      <c r="K30" s="186"/>
      <c r="L30" s="182"/>
      <c r="M30" s="182"/>
      <c r="N30" s="181">
        <f t="shared" si="0"/>
        <v>0</v>
      </c>
      <c r="O30" s="188"/>
      <c r="P30" s="188"/>
      <c r="Q30" s="184"/>
      <c r="R30" s="773"/>
      <c r="S30" s="773"/>
    </row>
    <row r="31" spans="1:19" ht="21" customHeight="1" x14ac:dyDescent="0.25">
      <c r="A31" s="223">
        <v>42825</v>
      </c>
      <c r="B31" s="281">
        <v>180011</v>
      </c>
      <c r="C31" s="281" t="s">
        <v>359</v>
      </c>
      <c r="D31" s="281"/>
      <c r="E31" s="224"/>
      <c r="F31" s="192"/>
      <c r="G31" s="193"/>
      <c r="H31" s="241"/>
      <c r="I31" s="278"/>
      <c r="J31" s="200"/>
      <c r="K31" s="186"/>
      <c r="L31" s="182"/>
      <c r="M31" s="182"/>
      <c r="N31" s="181">
        <f t="shared" si="0"/>
        <v>0</v>
      </c>
      <c r="O31" s="188"/>
      <c r="P31" s="188"/>
      <c r="Q31" s="223"/>
      <c r="R31" s="773"/>
      <c r="S31" s="773"/>
    </row>
    <row r="32" spans="1:19" ht="21" customHeight="1" x14ac:dyDescent="0.25">
      <c r="A32" s="223">
        <v>42827</v>
      </c>
      <c r="B32" s="281">
        <v>180014</v>
      </c>
      <c r="C32" s="281" t="s">
        <v>359</v>
      </c>
      <c r="D32" s="281"/>
      <c r="E32" s="224"/>
      <c r="F32" s="192"/>
      <c r="G32" s="193"/>
      <c r="H32" s="241"/>
      <c r="I32" s="278"/>
      <c r="J32" s="200"/>
      <c r="K32" s="186"/>
      <c r="L32" s="182"/>
      <c r="M32" s="182"/>
      <c r="N32" s="181">
        <f t="shared" si="0"/>
        <v>0</v>
      </c>
      <c r="O32" s="188"/>
      <c r="P32" s="188"/>
      <c r="Q32" s="223"/>
      <c r="R32" s="773"/>
      <c r="S32" s="773"/>
    </row>
    <row r="33" spans="1:19" ht="21" customHeight="1" x14ac:dyDescent="0.25">
      <c r="A33" s="223">
        <v>42829</v>
      </c>
      <c r="B33" s="281">
        <v>180018</v>
      </c>
      <c r="C33" s="281" t="s">
        <v>359</v>
      </c>
      <c r="D33" s="281"/>
      <c r="E33" s="224"/>
      <c r="F33" s="192"/>
      <c r="G33" s="193"/>
      <c r="H33" s="240"/>
      <c r="I33" s="281"/>
      <c r="J33" s="200"/>
      <c r="K33" s="225"/>
      <c r="L33" s="226"/>
      <c r="M33" s="226"/>
      <c r="N33" s="181">
        <f t="shared" si="0"/>
        <v>0</v>
      </c>
      <c r="O33" s="227"/>
      <c r="P33" s="227"/>
      <c r="Q33" s="223"/>
      <c r="R33" s="781"/>
      <c r="S33" s="781"/>
    </row>
    <row r="34" spans="1:19" ht="21" customHeight="1" x14ac:dyDescent="0.25">
      <c r="A34" s="223">
        <v>42830</v>
      </c>
      <c r="B34" s="281">
        <v>180021</v>
      </c>
      <c r="C34" s="281" t="s">
        <v>359</v>
      </c>
      <c r="D34" s="281"/>
      <c r="E34" s="224"/>
      <c r="F34" s="192"/>
      <c r="G34" s="193"/>
      <c r="H34" s="240"/>
      <c r="I34" s="281"/>
      <c r="J34" s="200"/>
      <c r="K34" s="225"/>
      <c r="L34" s="226"/>
      <c r="M34" s="226"/>
      <c r="N34" s="181">
        <f t="shared" si="0"/>
        <v>0</v>
      </c>
      <c r="O34" s="227"/>
      <c r="P34" s="227"/>
      <c r="Q34" s="223"/>
      <c r="R34" s="781"/>
      <c r="S34" s="781"/>
    </row>
    <row r="35" spans="1:19" ht="21" customHeight="1" x14ac:dyDescent="0.25">
      <c r="A35" s="223">
        <v>42830</v>
      </c>
      <c r="B35" s="281">
        <v>180022</v>
      </c>
      <c r="C35" s="281" t="s">
        <v>359</v>
      </c>
      <c r="D35" s="281"/>
      <c r="E35" s="224"/>
      <c r="F35" s="192"/>
      <c r="G35" s="193"/>
      <c r="H35" s="240"/>
      <c r="I35" s="281"/>
      <c r="J35" s="200"/>
      <c r="K35" s="225"/>
      <c r="L35" s="226"/>
      <c r="M35" s="226"/>
      <c r="N35" s="181">
        <f t="shared" si="0"/>
        <v>0</v>
      </c>
      <c r="O35" s="227"/>
      <c r="P35" s="227"/>
      <c r="Q35" s="223"/>
      <c r="R35" s="781"/>
      <c r="S35" s="781"/>
    </row>
    <row r="36" spans="1:19" ht="21" customHeight="1" x14ac:dyDescent="0.25">
      <c r="A36" s="223">
        <v>42832</v>
      </c>
      <c r="B36" s="281">
        <v>180028</v>
      </c>
      <c r="C36" s="281" t="s">
        <v>359</v>
      </c>
      <c r="D36" s="281"/>
      <c r="E36" s="224"/>
      <c r="F36" s="192"/>
      <c r="G36" s="193"/>
      <c r="H36" s="240"/>
      <c r="I36" s="281"/>
      <c r="J36" s="200"/>
      <c r="K36" s="225"/>
      <c r="L36" s="226"/>
      <c r="M36" s="226"/>
      <c r="N36" s="181">
        <f t="shared" si="0"/>
        <v>0</v>
      </c>
      <c r="O36" s="227"/>
      <c r="P36" s="227"/>
      <c r="Q36" s="223"/>
      <c r="R36" s="781"/>
      <c r="S36" s="781"/>
    </row>
    <row r="37" spans="1:19" ht="21" customHeight="1" x14ac:dyDescent="0.25">
      <c r="A37" s="223">
        <v>42856</v>
      </c>
      <c r="B37" s="281">
        <v>180085</v>
      </c>
      <c r="C37" s="281" t="s">
        <v>359</v>
      </c>
      <c r="D37" s="281"/>
      <c r="E37" s="224"/>
      <c r="F37" s="192"/>
      <c r="G37" s="193"/>
      <c r="H37" s="240"/>
      <c r="I37" s="281"/>
      <c r="J37" s="200"/>
      <c r="K37" s="225"/>
      <c r="L37" s="226"/>
      <c r="M37" s="226"/>
      <c r="N37" s="181">
        <f t="shared" si="0"/>
        <v>0</v>
      </c>
      <c r="O37" s="227"/>
      <c r="P37" s="227"/>
      <c r="Q37" s="223"/>
      <c r="R37" s="781"/>
      <c r="S37" s="781"/>
    </row>
    <row r="38" spans="1:19" ht="21" customHeight="1" x14ac:dyDescent="0.25">
      <c r="A38" s="223">
        <v>42856</v>
      </c>
      <c r="B38" s="281">
        <v>180086</v>
      </c>
      <c r="C38" s="281" t="s">
        <v>359</v>
      </c>
      <c r="D38" s="281"/>
      <c r="E38" s="224"/>
      <c r="F38" s="192"/>
      <c r="G38" s="193"/>
      <c r="H38" s="240"/>
      <c r="I38" s="281"/>
      <c r="J38" s="200"/>
      <c r="K38" s="225"/>
      <c r="L38" s="226"/>
      <c r="M38" s="226"/>
      <c r="N38" s="181">
        <f t="shared" si="0"/>
        <v>0</v>
      </c>
      <c r="O38" s="227"/>
      <c r="P38" s="227"/>
      <c r="Q38" s="223"/>
      <c r="R38" s="781"/>
      <c r="S38" s="781"/>
    </row>
    <row r="39" spans="1:19" ht="21" customHeight="1" x14ac:dyDescent="0.25">
      <c r="A39" s="223">
        <v>42859</v>
      </c>
      <c r="B39" s="281">
        <v>180093</v>
      </c>
      <c r="C39" s="281" t="s">
        <v>359</v>
      </c>
      <c r="D39" s="281"/>
      <c r="E39" s="224"/>
      <c r="F39" s="192"/>
      <c r="G39" s="193"/>
      <c r="H39" s="240"/>
      <c r="I39" s="281"/>
      <c r="J39" s="200"/>
      <c r="K39" s="225"/>
      <c r="L39" s="226"/>
      <c r="M39" s="226"/>
      <c r="N39" s="181">
        <f t="shared" si="0"/>
        <v>0</v>
      </c>
      <c r="O39" s="227"/>
      <c r="P39" s="227"/>
      <c r="Q39" s="223"/>
      <c r="R39" s="781"/>
      <c r="S39" s="781"/>
    </row>
    <row r="40" spans="1:19" ht="21" customHeight="1" x14ac:dyDescent="0.25">
      <c r="A40" s="223">
        <v>42860</v>
      </c>
      <c r="B40" s="281">
        <v>180099</v>
      </c>
      <c r="C40" s="281" t="s">
        <v>359</v>
      </c>
      <c r="D40" s="281"/>
      <c r="E40" s="224"/>
      <c r="F40" s="192"/>
      <c r="G40" s="193"/>
      <c r="H40" s="240"/>
      <c r="I40" s="281"/>
      <c r="J40" s="225"/>
      <c r="K40" s="225"/>
      <c r="L40" s="226"/>
      <c r="M40" s="226"/>
      <c r="N40" s="181">
        <f t="shared" si="0"/>
        <v>0</v>
      </c>
      <c r="O40" s="227"/>
      <c r="P40" s="227"/>
      <c r="Q40" s="223"/>
      <c r="R40" s="781"/>
      <c r="S40" s="781"/>
    </row>
    <row r="41" spans="1:19" ht="21" customHeight="1" x14ac:dyDescent="0.25">
      <c r="A41" s="223">
        <v>42861</v>
      </c>
      <c r="B41" s="281">
        <v>180100</v>
      </c>
      <c r="C41" s="281" t="s">
        <v>359</v>
      </c>
      <c r="D41" s="281"/>
      <c r="E41" s="224"/>
      <c r="F41" s="192"/>
      <c r="G41" s="193"/>
      <c r="H41" s="240"/>
      <c r="I41" s="281"/>
      <c r="J41" s="225"/>
      <c r="K41" s="225"/>
      <c r="L41" s="226"/>
      <c r="M41" s="226"/>
      <c r="N41" s="181">
        <f t="shared" si="0"/>
        <v>0</v>
      </c>
      <c r="O41" s="227"/>
      <c r="P41" s="227"/>
      <c r="Q41" s="223"/>
      <c r="R41" s="781"/>
      <c r="S41" s="781"/>
    </row>
    <row r="42" spans="1:19" ht="21" customHeight="1" x14ac:dyDescent="0.25">
      <c r="A42" s="223">
        <v>42861</v>
      </c>
      <c r="B42" s="281">
        <v>180102</v>
      </c>
      <c r="C42" s="281" t="s">
        <v>359</v>
      </c>
      <c r="D42" s="281"/>
      <c r="E42" s="224"/>
      <c r="F42" s="192"/>
      <c r="G42" s="193"/>
      <c r="H42" s="240"/>
      <c r="I42" s="281"/>
      <c r="J42" s="225"/>
      <c r="K42" s="225"/>
      <c r="L42" s="226"/>
      <c r="M42" s="226"/>
      <c r="N42" s="181">
        <f t="shared" si="0"/>
        <v>0</v>
      </c>
      <c r="O42" s="227"/>
      <c r="P42" s="227"/>
      <c r="Q42" s="223"/>
      <c r="R42" s="781"/>
      <c r="S42" s="781"/>
    </row>
    <row r="43" spans="1:19" ht="21" customHeight="1" x14ac:dyDescent="0.25">
      <c r="A43" s="223">
        <v>42863</v>
      </c>
      <c r="B43" s="281">
        <v>180108</v>
      </c>
      <c r="C43" s="281" t="s">
        <v>359</v>
      </c>
      <c r="D43" s="281"/>
      <c r="E43" s="224"/>
      <c r="F43" s="192"/>
      <c r="G43" s="193"/>
      <c r="H43" s="240"/>
      <c r="I43" s="281"/>
      <c r="J43" s="225"/>
      <c r="K43" s="225"/>
      <c r="L43" s="226"/>
      <c r="M43" s="226"/>
      <c r="N43" s="181">
        <f t="shared" si="0"/>
        <v>0</v>
      </c>
      <c r="O43" s="227"/>
      <c r="P43" s="227"/>
      <c r="Q43" s="223"/>
      <c r="R43" s="781"/>
      <c r="S43" s="781"/>
    </row>
    <row r="44" spans="1:19" ht="21" customHeight="1" x14ac:dyDescent="0.25">
      <c r="A44" s="223">
        <v>42864</v>
      </c>
      <c r="B44" s="281">
        <v>180110</v>
      </c>
      <c r="C44" s="281" t="s">
        <v>359</v>
      </c>
      <c r="D44" s="281"/>
      <c r="E44" s="224"/>
      <c r="F44" s="192"/>
      <c r="G44" s="193"/>
      <c r="H44" s="240"/>
      <c r="I44" s="281"/>
      <c r="J44" s="225"/>
      <c r="K44" s="225"/>
      <c r="L44" s="226"/>
      <c r="M44" s="226"/>
      <c r="N44" s="181">
        <f t="shared" si="0"/>
        <v>0</v>
      </c>
      <c r="O44" s="227"/>
      <c r="P44" s="227"/>
      <c r="Q44" s="223"/>
      <c r="R44" s="781"/>
      <c r="S44" s="781"/>
    </row>
    <row r="45" spans="1:19" ht="21" customHeight="1" x14ac:dyDescent="0.25">
      <c r="A45" s="223">
        <v>42865</v>
      </c>
      <c r="B45" s="281">
        <v>180111</v>
      </c>
      <c r="C45" s="281" t="s">
        <v>359</v>
      </c>
      <c r="D45" s="281"/>
      <c r="E45" s="224"/>
      <c r="F45" s="192"/>
      <c r="G45" s="193"/>
      <c r="H45" s="240"/>
      <c r="I45" s="281"/>
      <c r="J45" s="225"/>
      <c r="K45" s="225"/>
      <c r="L45" s="226"/>
      <c r="M45" s="226"/>
      <c r="N45" s="181">
        <f t="shared" si="0"/>
        <v>0</v>
      </c>
      <c r="O45" s="227"/>
      <c r="P45" s="227"/>
      <c r="Q45" s="223"/>
      <c r="R45" s="781"/>
      <c r="S45" s="781"/>
    </row>
    <row r="46" spans="1:19" ht="21" customHeight="1" x14ac:dyDescent="0.25">
      <c r="A46" s="223">
        <v>42868</v>
      </c>
      <c r="B46" s="281">
        <v>180120</v>
      </c>
      <c r="C46" s="281" t="s">
        <v>359</v>
      </c>
      <c r="D46" s="281"/>
      <c r="E46" s="224"/>
      <c r="F46" s="192"/>
      <c r="G46" s="193"/>
      <c r="H46" s="240"/>
      <c r="I46" s="281"/>
      <c r="J46" s="225"/>
      <c r="K46" s="225"/>
      <c r="L46" s="226"/>
      <c r="M46" s="226"/>
      <c r="N46" s="181">
        <f t="shared" si="0"/>
        <v>0</v>
      </c>
      <c r="O46" s="227"/>
      <c r="P46" s="227"/>
      <c r="Q46" s="223"/>
      <c r="R46" s="781"/>
      <c r="S46" s="781"/>
    </row>
    <row r="47" spans="1:19" ht="21" customHeight="1" x14ac:dyDescent="0.25">
      <c r="A47" s="223">
        <v>42869</v>
      </c>
      <c r="B47" s="281">
        <v>180124</v>
      </c>
      <c r="C47" s="281" t="s">
        <v>359</v>
      </c>
      <c r="D47" s="281"/>
      <c r="E47" s="224"/>
      <c r="F47" s="192"/>
      <c r="G47" s="193"/>
      <c r="H47" s="240"/>
      <c r="I47" s="281"/>
      <c r="J47" s="225"/>
      <c r="K47" s="225"/>
      <c r="L47" s="226"/>
      <c r="M47" s="226"/>
      <c r="N47" s="181">
        <f t="shared" si="0"/>
        <v>0</v>
      </c>
      <c r="O47" s="227"/>
      <c r="P47" s="227"/>
      <c r="Q47" s="223"/>
      <c r="R47" s="781"/>
      <c r="S47" s="781"/>
    </row>
    <row r="48" spans="1:19" ht="21" customHeight="1" x14ac:dyDescent="0.25">
      <c r="A48" s="223">
        <v>42869</v>
      </c>
      <c r="B48" s="281">
        <v>180125</v>
      </c>
      <c r="C48" s="281" t="s">
        <v>359</v>
      </c>
      <c r="D48" s="281"/>
      <c r="E48" s="224"/>
      <c r="F48" s="192"/>
      <c r="G48" s="193"/>
      <c r="H48" s="240"/>
      <c r="I48" s="281"/>
      <c r="J48" s="225"/>
      <c r="K48" s="225"/>
      <c r="L48" s="226"/>
      <c r="M48" s="226"/>
      <c r="N48" s="181">
        <f t="shared" si="0"/>
        <v>0</v>
      </c>
      <c r="O48" s="227"/>
      <c r="P48" s="227"/>
      <c r="Q48" s="223"/>
      <c r="R48" s="781"/>
      <c r="S48" s="781"/>
    </row>
    <row r="49" spans="1:19" ht="21" customHeight="1" x14ac:dyDescent="0.25">
      <c r="A49" s="223">
        <v>42871</v>
      </c>
      <c r="B49" s="281">
        <v>180051</v>
      </c>
      <c r="C49" s="281" t="s">
        <v>359</v>
      </c>
      <c r="D49" s="281"/>
      <c r="E49" s="224"/>
      <c r="F49" s="192"/>
      <c r="G49" s="193"/>
      <c r="H49" s="240"/>
      <c r="I49" s="281"/>
      <c r="J49" s="225"/>
      <c r="K49" s="225"/>
      <c r="L49" s="226"/>
      <c r="M49" s="226"/>
      <c r="N49" s="181">
        <f t="shared" si="0"/>
        <v>0</v>
      </c>
      <c r="O49" s="227"/>
      <c r="P49" s="227"/>
      <c r="Q49" s="223"/>
      <c r="R49" s="781"/>
      <c r="S49" s="781"/>
    </row>
    <row r="50" spans="1:19" ht="21" customHeight="1" x14ac:dyDescent="0.25">
      <c r="A50" s="223">
        <v>42873</v>
      </c>
      <c r="B50" s="281">
        <v>180056</v>
      </c>
      <c r="C50" s="281" t="s">
        <v>359</v>
      </c>
      <c r="D50" s="281"/>
      <c r="E50" s="224"/>
      <c r="F50" s="192"/>
      <c r="G50" s="193"/>
      <c r="H50" s="240"/>
      <c r="I50" s="281"/>
      <c r="J50" s="225"/>
      <c r="K50" s="225"/>
      <c r="L50" s="226"/>
      <c r="M50" s="226"/>
      <c r="N50" s="181">
        <f t="shared" si="0"/>
        <v>0</v>
      </c>
      <c r="O50" s="227"/>
      <c r="P50" s="227"/>
      <c r="Q50" s="223"/>
      <c r="R50" s="781"/>
      <c r="S50" s="781"/>
    </row>
    <row r="51" spans="1:19" ht="21" customHeight="1" x14ac:dyDescent="0.25">
      <c r="A51" s="223">
        <v>42873</v>
      </c>
      <c r="B51" s="281">
        <v>180057</v>
      </c>
      <c r="C51" s="281" t="s">
        <v>359</v>
      </c>
      <c r="D51" s="281"/>
      <c r="E51" s="224"/>
      <c r="F51" s="192"/>
      <c r="G51" s="193"/>
      <c r="H51" s="240"/>
      <c r="I51" s="281"/>
      <c r="J51" s="225"/>
      <c r="K51" s="225"/>
      <c r="L51" s="226"/>
      <c r="M51" s="226"/>
      <c r="N51" s="181">
        <f t="shared" si="0"/>
        <v>0</v>
      </c>
      <c r="O51" s="227"/>
      <c r="P51" s="227"/>
      <c r="Q51" s="223"/>
      <c r="R51" s="781"/>
      <c r="S51" s="781"/>
    </row>
    <row r="52" spans="1:19" ht="21" customHeight="1" x14ac:dyDescent="0.25">
      <c r="A52" s="223">
        <v>42873</v>
      </c>
      <c r="B52" s="281">
        <v>180058</v>
      </c>
      <c r="C52" s="281" t="s">
        <v>359</v>
      </c>
      <c r="D52" s="281"/>
      <c r="E52" s="224"/>
      <c r="F52" s="192"/>
      <c r="G52" s="193"/>
      <c r="H52" s="240"/>
      <c r="I52" s="281"/>
      <c r="J52" s="225"/>
      <c r="K52" s="225"/>
      <c r="L52" s="226"/>
      <c r="M52" s="226"/>
      <c r="N52" s="181">
        <f t="shared" si="0"/>
        <v>0</v>
      </c>
      <c r="O52" s="227"/>
      <c r="P52" s="227"/>
      <c r="Q52" s="223"/>
      <c r="R52" s="781"/>
      <c r="S52" s="781"/>
    </row>
    <row r="53" spans="1:19" ht="21" customHeight="1" x14ac:dyDescent="0.25">
      <c r="A53" s="223">
        <v>42875</v>
      </c>
      <c r="B53" s="281">
        <v>180059</v>
      </c>
      <c r="C53" s="281" t="s">
        <v>359</v>
      </c>
      <c r="D53" s="281"/>
      <c r="E53" s="224"/>
      <c r="F53" s="192"/>
      <c r="G53" s="193"/>
      <c r="H53" s="240"/>
      <c r="I53" s="281"/>
      <c r="J53" s="225"/>
      <c r="K53" s="225"/>
      <c r="L53" s="226"/>
      <c r="M53" s="226"/>
      <c r="N53" s="181">
        <f t="shared" si="0"/>
        <v>0</v>
      </c>
      <c r="O53" s="227"/>
      <c r="P53" s="227"/>
      <c r="Q53" s="223"/>
      <c r="R53" s="781"/>
      <c r="S53" s="781"/>
    </row>
    <row r="54" spans="1:19" ht="21" customHeight="1" x14ac:dyDescent="0.25">
      <c r="A54" s="223">
        <v>42876</v>
      </c>
      <c r="B54" s="281">
        <v>180062</v>
      </c>
      <c r="C54" s="281" t="s">
        <v>359</v>
      </c>
      <c r="D54" s="281"/>
      <c r="E54" s="224"/>
      <c r="F54" s="192"/>
      <c r="G54" s="193"/>
      <c r="H54" s="240"/>
      <c r="I54" s="281"/>
      <c r="J54" s="225"/>
      <c r="K54" s="225"/>
      <c r="L54" s="226"/>
      <c r="M54" s="226"/>
      <c r="N54" s="181">
        <f t="shared" si="0"/>
        <v>0</v>
      </c>
      <c r="O54" s="227"/>
      <c r="P54" s="227"/>
      <c r="Q54" s="223"/>
      <c r="R54" s="781"/>
      <c r="S54" s="781"/>
    </row>
    <row r="55" spans="1:19" ht="21" customHeight="1" x14ac:dyDescent="0.25">
      <c r="A55" s="223">
        <v>42876</v>
      </c>
      <c r="B55" s="281">
        <v>180063</v>
      </c>
      <c r="C55" s="281" t="s">
        <v>359</v>
      </c>
      <c r="D55" s="281"/>
      <c r="E55" s="224"/>
      <c r="F55" s="192"/>
      <c r="G55" s="193"/>
      <c r="H55" s="240"/>
      <c r="I55" s="281"/>
      <c r="J55" s="225"/>
      <c r="K55" s="225"/>
      <c r="L55" s="226"/>
      <c r="M55" s="226"/>
      <c r="N55" s="181">
        <f t="shared" si="0"/>
        <v>0</v>
      </c>
      <c r="O55" s="227"/>
      <c r="P55" s="227"/>
      <c r="Q55" s="223"/>
      <c r="R55" s="781"/>
      <c r="S55" s="781"/>
    </row>
    <row r="56" spans="1:19" ht="21" customHeight="1" x14ac:dyDescent="0.25">
      <c r="A56" s="223">
        <v>42876</v>
      </c>
      <c r="B56" s="281">
        <v>180064</v>
      </c>
      <c r="C56" s="281" t="s">
        <v>359</v>
      </c>
      <c r="D56" s="281"/>
      <c r="E56" s="224"/>
      <c r="F56" s="192"/>
      <c r="G56" s="193"/>
      <c r="H56" s="240"/>
      <c r="I56" s="281"/>
      <c r="J56" s="225"/>
      <c r="K56" s="225"/>
      <c r="L56" s="226"/>
      <c r="M56" s="226"/>
      <c r="N56" s="181">
        <f t="shared" si="0"/>
        <v>0</v>
      </c>
      <c r="O56" s="227"/>
      <c r="P56" s="227"/>
      <c r="Q56" s="223"/>
      <c r="R56" s="781"/>
      <c r="S56" s="781"/>
    </row>
    <row r="57" spans="1:19" ht="21" customHeight="1" x14ac:dyDescent="0.25">
      <c r="A57" s="223">
        <v>42878</v>
      </c>
      <c r="B57" s="281">
        <v>180066</v>
      </c>
      <c r="C57" s="281" t="s">
        <v>359</v>
      </c>
      <c r="D57" s="281"/>
      <c r="E57" s="224"/>
      <c r="F57" s="192"/>
      <c r="G57" s="193"/>
      <c r="H57" s="240"/>
      <c r="I57" s="281"/>
      <c r="J57" s="225"/>
      <c r="K57" s="225"/>
      <c r="L57" s="226"/>
      <c r="M57" s="226"/>
      <c r="N57" s="181">
        <f t="shared" si="0"/>
        <v>0</v>
      </c>
      <c r="O57" s="227"/>
      <c r="P57" s="227"/>
      <c r="Q57" s="223"/>
      <c r="R57" s="781"/>
      <c r="S57" s="781"/>
    </row>
    <row r="58" spans="1:19" ht="21" customHeight="1" x14ac:dyDescent="0.25">
      <c r="A58" s="223">
        <v>42879</v>
      </c>
      <c r="B58" s="281">
        <v>180068</v>
      </c>
      <c r="C58" s="281" t="s">
        <v>359</v>
      </c>
      <c r="D58" s="281"/>
      <c r="E58" s="224"/>
      <c r="F58" s="192"/>
      <c r="G58" s="193"/>
      <c r="H58" s="240"/>
      <c r="I58" s="281"/>
      <c r="J58" s="225"/>
      <c r="K58" s="225"/>
      <c r="L58" s="226"/>
      <c r="M58" s="226"/>
      <c r="N58" s="181">
        <f t="shared" si="0"/>
        <v>0</v>
      </c>
      <c r="O58" s="227"/>
      <c r="P58" s="227"/>
      <c r="Q58" s="223"/>
      <c r="R58" s="781"/>
      <c r="S58" s="781"/>
    </row>
    <row r="59" spans="1:19" ht="21" customHeight="1" x14ac:dyDescent="0.25">
      <c r="A59" s="223">
        <v>42879</v>
      </c>
      <c r="B59" s="281">
        <v>180069</v>
      </c>
      <c r="C59" s="281" t="s">
        <v>359</v>
      </c>
      <c r="D59" s="281"/>
      <c r="E59" s="224"/>
      <c r="F59" s="192"/>
      <c r="G59" s="193"/>
      <c r="H59" s="240"/>
      <c r="I59" s="281"/>
      <c r="J59" s="225"/>
      <c r="K59" s="225"/>
      <c r="L59" s="226"/>
      <c r="M59" s="226"/>
      <c r="N59" s="181">
        <f t="shared" si="0"/>
        <v>0</v>
      </c>
      <c r="O59" s="227"/>
      <c r="P59" s="227"/>
      <c r="Q59" s="223"/>
      <c r="R59" s="781"/>
      <c r="S59" s="781"/>
    </row>
    <row r="60" spans="1:19" ht="21" customHeight="1" x14ac:dyDescent="0.25">
      <c r="A60" s="223">
        <v>42881</v>
      </c>
      <c r="B60" s="281">
        <v>180075</v>
      </c>
      <c r="C60" s="281" t="s">
        <v>359</v>
      </c>
      <c r="D60" s="281"/>
      <c r="E60" s="224"/>
      <c r="F60" s="192"/>
      <c r="G60" s="193"/>
      <c r="H60" s="240"/>
      <c r="I60" s="281"/>
      <c r="J60" s="225"/>
      <c r="K60" s="225"/>
      <c r="L60" s="226"/>
      <c r="M60" s="226"/>
      <c r="N60" s="181">
        <f t="shared" si="0"/>
        <v>0</v>
      </c>
      <c r="O60" s="227"/>
      <c r="P60" s="227"/>
      <c r="Q60" s="223"/>
      <c r="R60" s="781"/>
      <c r="S60" s="781"/>
    </row>
    <row r="61" spans="1:19" ht="21" customHeight="1" x14ac:dyDescent="0.25">
      <c r="A61" s="223"/>
      <c r="B61" s="281"/>
      <c r="C61" s="281"/>
      <c r="D61" s="281"/>
      <c r="E61" s="224"/>
      <c r="F61" s="192"/>
      <c r="G61" s="193"/>
      <c r="H61" s="240"/>
      <c r="I61" s="281"/>
      <c r="J61" s="225"/>
      <c r="K61" s="225"/>
      <c r="L61" s="226"/>
      <c r="M61" s="226"/>
      <c r="N61" s="181">
        <f t="shared" si="0"/>
        <v>0</v>
      </c>
      <c r="O61" s="227"/>
      <c r="P61" s="227"/>
      <c r="Q61" s="223"/>
      <c r="R61" s="781"/>
      <c r="S61" s="781"/>
    </row>
    <row r="62" spans="1:19" ht="21" customHeight="1" x14ac:dyDescent="0.25">
      <c r="A62" s="223"/>
      <c r="B62" s="281"/>
      <c r="C62" s="281"/>
      <c r="D62" s="281"/>
      <c r="E62" s="224"/>
      <c r="F62" s="192"/>
      <c r="G62" s="193"/>
      <c r="H62" s="240"/>
      <c r="I62" s="281"/>
      <c r="J62" s="225"/>
      <c r="K62" s="225"/>
      <c r="L62" s="226"/>
      <c r="M62" s="226"/>
      <c r="N62" s="181">
        <f t="shared" si="0"/>
        <v>0</v>
      </c>
      <c r="O62" s="227"/>
      <c r="P62" s="227"/>
      <c r="Q62" s="223"/>
      <c r="R62" s="781"/>
      <c r="S62" s="781"/>
    </row>
    <row r="63" spans="1:19" ht="21" customHeight="1" x14ac:dyDescent="0.25">
      <c r="A63" s="223"/>
      <c r="B63" s="281"/>
      <c r="C63" s="281"/>
      <c r="D63" s="281"/>
      <c r="E63" s="224"/>
      <c r="F63" s="192"/>
      <c r="G63" s="193"/>
      <c r="H63" s="240"/>
      <c r="I63" s="281"/>
      <c r="J63" s="225"/>
      <c r="K63" s="225"/>
      <c r="L63" s="226"/>
      <c r="M63" s="226"/>
      <c r="N63" s="181">
        <f t="shared" si="0"/>
        <v>0</v>
      </c>
      <c r="O63" s="227"/>
      <c r="P63" s="227"/>
      <c r="Q63" s="223"/>
      <c r="R63" s="781"/>
      <c r="S63" s="781"/>
    </row>
    <row r="64" spans="1:19" ht="21" customHeight="1" x14ac:dyDescent="0.25">
      <c r="A64" s="223"/>
      <c r="B64" s="281"/>
      <c r="C64" s="281"/>
      <c r="D64" s="281"/>
      <c r="E64" s="224"/>
      <c r="F64" s="192"/>
      <c r="G64" s="193"/>
      <c r="H64" s="240"/>
      <c r="I64" s="281"/>
      <c r="J64" s="225"/>
      <c r="K64" s="225"/>
      <c r="L64" s="226"/>
      <c r="M64" s="226"/>
      <c r="N64" s="181">
        <f t="shared" si="0"/>
        <v>0</v>
      </c>
      <c r="O64" s="227"/>
      <c r="P64" s="227"/>
      <c r="Q64" s="223"/>
      <c r="R64" s="781"/>
      <c r="S64" s="781"/>
    </row>
    <row r="65" spans="1:19" ht="15.75" x14ac:dyDescent="0.25">
      <c r="A65" s="223"/>
      <c r="B65" s="281"/>
      <c r="C65" s="281"/>
      <c r="D65" s="281"/>
      <c r="E65" s="224"/>
      <c r="F65" s="192"/>
      <c r="G65" s="193"/>
      <c r="H65" s="240"/>
      <c r="I65" s="281"/>
      <c r="J65" s="225"/>
      <c r="K65" s="225"/>
      <c r="L65" s="226"/>
      <c r="M65" s="226"/>
      <c r="N65" s="181">
        <f t="shared" si="0"/>
        <v>0</v>
      </c>
      <c r="O65" s="227"/>
      <c r="P65" s="227"/>
      <c r="Q65" s="223"/>
      <c r="R65" s="781"/>
      <c r="S65" s="781"/>
    </row>
    <row r="66" spans="1:19" ht="15.75" x14ac:dyDescent="0.25">
      <c r="A66" s="223"/>
      <c r="B66" s="281"/>
      <c r="C66" s="281"/>
      <c r="D66" s="281"/>
      <c r="E66" s="224"/>
      <c r="F66" s="192"/>
      <c r="G66" s="193"/>
      <c r="H66" s="240"/>
      <c r="I66" s="281"/>
      <c r="J66" s="225"/>
      <c r="K66" s="225"/>
      <c r="L66" s="226"/>
      <c r="M66" s="226"/>
      <c r="N66" s="181">
        <f t="shared" si="0"/>
        <v>0</v>
      </c>
      <c r="O66" s="227"/>
      <c r="P66" s="227"/>
      <c r="Q66" s="223"/>
      <c r="R66" s="781"/>
      <c r="S66" s="781"/>
    </row>
    <row r="67" spans="1:19" ht="15.75" x14ac:dyDescent="0.25">
      <c r="A67" s="223"/>
      <c r="B67" s="281"/>
      <c r="C67" s="281"/>
      <c r="D67" s="281"/>
      <c r="E67" s="224"/>
      <c r="F67" s="192"/>
      <c r="G67" s="193"/>
      <c r="H67" s="240"/>
      <c r="I67" s="281"/>
      <c r="J67" s="225"/>
      <c r="K67" s="225"/>
      <c r="L67" s="226"/>
      <c r="M67" s="226"/>
      <c r="N67" s="181">
        <f t="shared" si="0"/>
        <v>0</v>
      </c>
      <c r="O67" s="227"/>
      <c r="P67" s="227"/>
      <c r="Q67" s="223"/>
      <c r="R67" s="781"/>
      <c r="S67" s="781"/>
    </row>
    <row r="68" spans="1:19" ht="15.75" x14ac:dyDescent="0.25">
      <c r="A68" s="223"/>
      <c r="B68" s="281"/>
      <c r="C68" s="281"/>
      <c r="D68" s="281"/>
      <c r="E68" s="224"/>
      <c r="F68" s="192"/>
      <c r="G68" s="193"/>
      <c r="H68" s="240"/>
      <c r="I68" s="281"/>
      <c r="J68" s="225"/>
      <c r="K68" s="225"/>
      <c r="L68" s="226"/>
      <c r="M68" s="226"/>
      <c r="N68" s="181">
        <f t="shared" si="0"/>
        <v>0</v>
      </c>
      <c r="O68" s="227"/>
      <c r="P68" s="227"/>
      <c r="Q68" s="223"/>
      <c r="R68" s="781"/>
      <c r="S68" s="781"/>
    </row>
    <row r="69" spans="1:19" ht="15.75" x14ac:dyDescent="0.25">
      <c r="A69" s="223"/>
      <c r="B69" s="281"/>
      <c r="C69" s="281"/>
      <c r="D69" s="281"/>
      <c r="E69" s="224"/>
      <c r="F69" s="192"/>
      <c r="G69" s="193"/>
      <c r="H69" s="240"/>
      <c r="I69" s="281"/>
      <c r="J69" s="225"/>
      <c r="K69" s="225"/>
      <c r="L69" s="226"/>
      <c r="M69" s="226"/>
      <c r="N69" s="181">
        <f t="shared" ref="N69:N132" si="1">M69+L69</f>
        <v>0</v>
      </c>
      <c r="O69" s="227"/>
      <c r="P69" s="227"/>
      <c r="Q69" s="223"/>
      <c r="R69" s="781"/>
      <c r="S69" s="781"/>
    </row>
    <row r="70" spans="1:19" ht="15.75" x14ac:dyDescent="0.25">
      <c r="A70" s="223"/>
      <c r="B70" s="281"/>
      <c r="C70" s="281"/>
      <c r="D70" s="281"/>
      <c r="E70" s="224"/>
      <c r="F70" s="192"/>
      <c r="G70" s="193"/>
      <c r="H70" s="240"/>
      <c r="I70" s="281"/>
      <c r="J70" s="225"/>
      <c r="K70" s="225"/>
      <c r="L70" s="226"/>
      <c r="M70" s="226"/>
      <c r="N70" s="181">
        <f t="shared" si="1"/>
        <v>0</v>
      </c>
      <c r="O70" s="227"/>
      <c r="P70" s="227"/>
      <c r="Q70" s="223"/>
      <c r="R70" s="781"/>
      <c r="S70" s="781"/>
    </row>
    <row r="71" spans="1:19" ht="15.75" x14ac:dyDescent="0.25">
      <c r="A71" s="223"/>
      <c r="B71" s="281"/>
      <c r="C71" s="281"/>
      <c r="D71" s="281"/>
      <c r="E71" s="224"/>
      <c r="F71" s="192"/>
      <c r="G71" s="193"/>
      <c r="H71" s="240"/>
      <c r="I71" s="281"/>
      <c r="J71" s="225"/>
      <c r="K71" s="225"/>
      <c r="L71" s="226"/>
      <c r="M71" s="226"/>
      <c r="N71" s="181">
        <f t="shared" si="1"/>
        <v>0</v>
      </c>
      <c r="O71" s="227"/>
      <c r="P71" s="227"/>
      <c r="Q71" s="223"/>
      <c r="R71" s="781"/>
      <c r="S71" s="781"/>
    </row>
    <row r="72" spans="1:19" ht="15.75" x14ac:dyDescent="0.25">
      <c r="A72" s="223"/>
      <c r="B72" s="281"/>
      <c r="C72" s="281"/>
      <c r="D72" s="281"/>
      <c r="E72" s="224"/>
      <c r="F72" s="192"/>
      <c r="G72" s="193"/>
      <c r="H72" s="240"/>
      <c r="I72" s="281"/>
      <c r="J72" s="225"/>
      <c r="K72" s="225"/>
      <c r="L72" s="226"/>
      <c r="M72" s="226"/>
      <c r="N72" s="181">
        <f t="shared" si="1"/>
        <v>0</v>
      </c>
      <c r="O72" s="227"/>
      <c r="P72" s="227"/>
      <c r="Q72" s="223"/>
      <c r="R72" s="781"/>
      <c r="S72" s="781"/>
    </row>
    <row r="73" spans="1:19" ht="15.75" x14ac:dyDescent="0.25">
      <c r="A73" s="223"/>
      <c r="B73" s="281"/>
      <c r="C73" s="281"/>
      <c r="D73" s="281"/>
      <c r="E73" s="224"/>
      <c r="F73" s="192"/>
      <c r="G73" s="193"/>
      <c r="H73" s="240"/>
      <c r="I73" s="281"/>
      <c r="J73" s="225"/>
      <c r="K73" s="225"/>
      <c r="L73" s="226"/>
      <c r="M73" s="226"/>
      <c r="N73" s="181">
        <f t="shared" si="1"/>
        <v>0</v>
      </c>
      <c r="O73" s="227"/>
      <c r="P73" s="227"/>
      <c r="Q73" s="223"/>
      <c r="R73" s="781"/>
      <c r="S73" s="781"/>
    </row>
    <row r="74" spans="1:19" ht="15.75" x14ac:dyDescent="0.25">
      <c r="A74" s="223"/>
      <c r="B74" s="281"/>
      <c r="C74" s="281"/>
      <c r="D74" s="281"/>
      <c r="E74" s="224"/>
      <c r="F74" s="192"/>
      <c r="G74" s="193"/>
      <c r="H74" s="240"/>
      <c r="I74" s="281"/>
      <c r="J74" s="225"/>
      <c r="K74" s="225"/>
      <c r="L74" s="226"/>
      <c r="M74" s="226"/>
      <c r="N74" s="181">
        <f t="shared" si="1"/>
        <v>0</v>
      </c>
      <c r="O74" s="227"/>
      <c r="P74" s="227"/>
      <c r="Q74" s="223"/>
      <c r="R74" s="781"/>
      <c r="S74" s="781"/>
    </row>
    <row r="75" spans="1:19" ht="15.75" x14ac:dyDescent="0.25">
      <c r="A75" s="223"/>
      <c r="B75" s="281"/>
      <c r="C75" s="281"/>
      <c r="D75" s="281"/>
      <c r="E75" s="224"/>
      <c r="F75" s="192"/>
      <c r="G75" s="193"/>
      <c r="H75" s="240"/>
      <c r="I75" s="281"/>
      <c r="J75" s="225"/>
      <c r="K75" s="225"/>
      <c r="L75" s="226"/>
      <c r="M75" s="226"/>
      <c r="N75" s="181">
        <f t="shared" si="1"/>
        <v>0</v>
      </c>
      <c r="O75" s="227"/>
      <c r="P75" s="227"/>
      <c r="Q75" s="223"/>
      <c r="R75" s="781"/>
      <c r="S75" s="781"/>
    </row>
    <row r="76" spans="1:19" ht="15.75" x14ac:dyDescent="0.25">
      <c r="A76" s="223"/>
      <c r="B76" s="281"/>
      <c r="C76" s="281"/>
      <c r="D76" s="281"/>
      <c r="E76" s="224"/>
      <c r="F76" s="192"/>
      <c r="G76" s="193"/>
      <c r="H76" s="240"/>
      <c r="I76" s="281"/>
      <c r="J76" s="225"/>
      <c r="K76" s="225"/>
      <c r="L76" s="226"/>
      <c r="M76" s="226"/>
      <c r="N76" s="181">
        <f t="shared" si="1"/>
        <v>0</v>
      </c>
      <c r="O76" s="227"/>
      <c r="P76" s="227"/>
      <c r="Q76" s="223"/>
      <c r="R76" s="781"/>
      <c r="S76" s="781"/>
    </row>
    <row r="77" spans="1:19" ht="15.75" x14ac:dyDescent="0.25">
      <c r="A77" s="223"/>
      <c r="B77" s="281"/>
      <c r="C77" s="281"/>
      <c r="D77" s="281"/>
      <c r="E77" s="224"/>
      <c r="F77" s="192"/>
      <c r="G77" s="193"/>
      <c r="H77" s="240"/>
      <c r="I77" s="281"/>
      <c r="J77" s="225"/>
      <c r="K77" s="225"/>
      <c r="L77" s="226"/>
      <c r="M77" s="226"/>
      <c r="N77" s="181">
        <f t="shared" si="1"/>
        <v>0</v>
      </c>
      <c r="O77" s="227"/>
      <c r="P77" s="227"/>
      <c r="Q77" s="223"/>
      <c r="R77" s="781"/>
      <c r="S77" s="781"/>
    </row>
    <row r="78" spans="1:19" ht="15.75" x14ac:dyDescent="0.25">
      <c r="A78" s="223"/>
      <c r="B78" s="281"/>
      <c r="C78" s="281"/>
      <c r="D78" s="281"/>
      <c r="E78" s="224"/>
      <c r="F78" s="192"/>
      <c r="G78" s="193"/>
      <c r="H78" s="240"/>
      <c r="I78" s="281"/>
      <c r="J78" s="225"/>
      <c r="K78" s="225"/>
      <c r="L78" s="226"/>
      <c r="M78" s="226"/>
      <c r="N78" s="181">
        <f t="shared" si="1"/>
        <v>0</v>
      </c>
      <c r="O78" s="227"/>
      <c r="P78" s="227"/>
      <c r="Q78" s="223"/>
      <c r="R78" s="781"/>
      <c r="S78" s="781"/>
    </row>
    <row r="79" spans="1:19" ht="15.75" x14ac:dyDescent="0.25">
      <c r="A79" s="223"/>
      <c r="B79" s="281"/>
      <c r="C79" s="281"/>
      <c r="D79" s="281"/>
      <c r="E79" s="224"/>
      <c r="F79" s="192"/>
      <c r="G79" s="193"/>
      <c r="H79" s="240"/>
      <c r="I79" s="281"/>
      <c r="J79" s="225"/>
      <c r="K79" s="225"/>
      <c r="L79" s="226"/>
      <c r="M79" s="226"/>
      <c r="N79" s="181">
        <f t="shared" si="1"/>
        <v>0</v>
      </c>
      <c r="O79" s="227"/>
      <c r="P79" s="227"/>
      <c r="Q79" s="223"/>
      <c r="R79" s="781"/>
      <c r="S79" s="781"/>
    </row>
    <row r="80" spans="1:19" ht="15.75" x14ac:dyDescent="0.25">
      <c r="A80" s="223"/>
      <c r="B80" s="281"/>
      <c r="C80" s="281"/>
      <c r="D80" s="281"/>
      <c r="E80" s="224"/>
      <c r="F80" s="192"/>
      <c r="G80" s="193"/>
      <c r="H80" s="240"/>
      <c r="I80" s="281"/>
      <c r="J80" s="225"/>
      <c r="K80" s="225"/>
      <c r="L80" s="226"/>
      <c r="M80" s="226"/>
      <c r="N80" s="181">
        <f t="shared" si="1"/>
        <v>0</v>
      </c>
      <c r="O80" s="227"/>
      <c r="P80" s="227"/>
      <c r="Q80" s="223"/>
      <c r="R80" s="781"/>
      <c r="S80" s="781"/>
    </row>
    <row r="81" spans="1:19" ht="15.75" x14ac:dyDescent="0.25">
      <c r="A81" s="223"/>
      <c r="B81" s="281"/>
      <c r="C81" s="281"/>
      <c r="D81" s="281"/>
      <c r="E81" s="224"/>
      <c r="F81" s="192"/>
      <c r="G81" s="193"/>
      <c r="H81" s="240"/>
      <c r="I81" s="281"/>
      <c r="J81" s="225"/>
      <c r="K81" s="225"/>
      <c r="L81" s="226"/>
      <c r="M81" s="226"/>
      <c r="N81" s="181">
        <f t="shared" si="1"/>
        <v>0</v>
      </c>
      <c r="O81" s="227"/>
      <c r="P81" s="227"/>
      <c r="Q81" s="223"/>
      <c r="R81" s="781"/>
      <c r="S81" s="781"/>
    </row>
    <row r="82" spans="1:19" ht="15.75" x14ac:dyDescent="0.25">
      <c r="A82" s="223"/>
      <c r="B82" s="281"/>
      <c r="C82" s="281"/>
      <c r="D82" s="281"/>
      <c r="E82" s="224"/>
      <c r="F82" s="192"/>
      <c r="G82" s="193"/>
      <c r="H82" s="240"/>
      <c r="I82" s="281"/>
      <c r="J82" s="225"/>
      <c r="K82" s="225"/>
      <c r="L82" s="226"/>
      <c r="M82" s="226"/>
      <c r="N82" s="181">
        <f t="shared" si="1"/>
        <v>0</v>
      </c>
      <c r="O82" s="227"/>
      <c r="P82" s="227"/>
      <c r="Q82" s="223"/>
      <c r="R82" s="781"/>
      <c r="S82" s="781"/>
    </row>
    <row r="83" spans="1:19" ht="15.75" x14ac:dyDescent="0.25">
      <c r="A83" s="223"/>
      <c r="B83" s="281"/>
      <c r="C83" s="281"/>
      <c r="D83" s="281"/>
      <c r="E83" s="224"/>
      <c r="F83" s="192"/>
      <c r="G83" s="193"/>
      <c r="H83" s="240"/>
      <c r="I83" s="281"/>
      <c r="J83" s="225"/>
      <c r="K83" s="225"/>
      <c r="L83" s="226"/>
      <c r="M83" s="226"/>
      <c r="N83" s="181">
        <f t="shared" si="1"/>
        <v>0</v>
      </c>
      <c r="O83" s="227"/>
      <c r="P83" s="227"/>
      <c r="Q83" s="223"/>
      <c r="R83" s="781"/>
      <c r="S83" s="781"/>
    </row>
    <row r="84" spans="1:19" ht="15.75" x14ac:dyDescent="0.25">
      <c r="A84" s="223"/>
      <c r="B84" s="281"/>
      <c r="C84" s="281"/>
      <c r="D84" s="281"/>
      <c r="E84" s="224"/>
      <c r="F84" s="192"/>
      <c r="G84" s="193"/>
      <c r="H84" s="240"/>
      <c r="I84" s="281"/>
      <c r="J84" s="225"/>
      <c r="K84" s="225"/>
      <c r="L84" s="226"/>
      <c r="M84" s="226"/>
      <c r="N84" s="181">
        <f t="shared" si="1"/>
        <v>0</v>
      </c>
      <c r="O84" s="227"/>
      <c r="P84" s="227"/>
      <c r="Q84" s="223"/>
      <c r="R84" s="781"/>
      <c r="S84" s="781"/>
    </row>
    <row r="85" spans="1:19" ht="15.75" x14ac:dyDescent="0.25">
      <c r="A85" s="223"/>
      <c r="B85" s="281"/>
      <c r="C85" s="281"/>
      <c r="D85" s="281"/>
      <c r="E85" s="224"/>
      <c r="F85" s="192"/>
      <c r="G85" s="193"/>
      <c r="H85" s="240"/>
      <c r="I85" s="281"/>
      <c r="J85" s="225"/>
      <c r="K85" s="225"/>
      <c r="L85" s="226"/>
      <c r="M85" s="226"/>
      <c r="N85" s="181">
        <f t="shared" si="1"/>
        <v>0</v>
      </c>
      <c r="O85" s="227"/>
      <c r="P85" s="227"/>
      <c r="Q85" s="223"/>
      <c r="R85" s="781"/>
      <c r="S85" s="781"/>
    </row>
    <row r="86" spans="1:19" ht="15.75" x14ac:dyDescent="0.25">
      <c r="A86" s="223"/>
      <c r="B86" s="281"/>
      <c r="C86" s="281"/>
      <c r="D86" s="281"/>
      <c r="E86" s="224"/>
      <c r="F86" s="192"/>
      <c r="G86" s="193"/>
      <c r="H86" s="240"/>
      <c r="I86" s="281"/>
      <c r="J86" s="225"/>
      <c r="K86" s="225"/>
      <c r="L86" s="226"/>
      <c r="M86" s="226"/>
      <c r="N86" s="181">
        <f t="shared" si="1"/>
        <v>0</v>
      </c>
      <c r="O86" s="227"/>
      <c r="P86" s="227"/>
      <c r="Q86" s="223"/>
      <c r="R86" s="781"/>
      <c r="S86" s="781"/>
    </row>
    <row r="87" spans="1:19" ht="15.75" x14ac:dyDescent="0.25">
      <c r="A87" s="223"/>
      <c r="B87" s="281"/>
      <c r="C87" s="281"/>
      <c r="D87" s="281"/>
      <c r="E87" s="224"/>
      <c r="F87" s="192"/>
      <c r="G87" s="193"/>
      <c r="H87" s="240"/>
      <c r="I87" s="281"/>
      <c r="J87" s="225"/>
      <c r="K87" s="225"/>
      <c r="L87" s="226"/>
      <c r="M87" s="226"/>
      <c r="N87" s="181">
        <f t="shared" si="1"/>
        <v>0</v>
      </c>
      <c r="O87" s="227"/>
      <c r="P87" s="227"/>
      <c r="Q87" s="223"/>
      <c r="R87" s="781"/>
      <c r="S87" s="781"/>
    </row>
    <row r="88" spans="1:19" ht="15.75" x14ac:dyDescent="0.25">
      <c r="A88" s="223"/>
      <c r="B88" s="281"/>
      <c r="C88" s="281"/>
      <c r="D88" s="281"/>
      <c r="E88" s="224"/>
      <c r="F88" s="192"/>
      <c r="G88" s="193"/>
      <c r="H88" s="240"/>
      <c r="I88" s="281"/>
      <c r="J88" s="225"/>
      <c r="K88" s="225"/>
      <c r="L88" s="226"/>
      <c r="M88" s="226"/>
      <c r="N88" s="181">
        <f t="shared" si="1"/>
        <v>0</v>
      </c>
      <c r="O88" s="227"/>
      <c r="P88" s="227"/>
      <c r="Q88" s="223"/>
      <c r="R88" s="781"/>
      <c r="S88" s="781"/>
    </row>
    <row r="89" spans="1:19" ht="15.75" x14ac:dyDescent="0.25">
      <c r="A89" s="223"/>
      <c r="B89" s="281"/>
      <c r="C89" s="281"/>
      <c r="D89" s="281"/>
      <c r="E89" s="224"/>
      <c r="F89" s="192"/>
      <c r="G89" s="193"/>
      <c r="H89" s="240"/>
      <c r="I89" s="281"/>
      <c r="J89" s="225"/>
      <c r="K89" s="225"/>
      <c r="L89" s="226"/>
      <c r="M89" s="226"/>
      <c r="N89" s="181">
        <f t="shared" si="1"/>
        <v>0</v>
      </c>
      <c r="O89" s="227"/>
      <c r="P89" s="227"/>
      <c r="Q89" s="223"/>
      <c r="R89" s="781"/>
      <c r="S89" s="781"/>
    </row>
    <row r="90" spans="1:19" ht="15.75" x14ac:dyDescent="0.25">
      <c r="A90" s="223"/>
      <c r="B90" s="281"/>
      <c r="C90" s="281"/>
      <c r="D90" s="281"/>
      <c r="E90" s="224"/>
      <c r="F90" s="192"/>
      <c r="G90" s="193"/>
      <c r="H90" s="240"/>
      <c r="I90" s="281"/>
      <c r="J90" s="225"/>
      <c r="K90" s="225"/>
      <c r="L90" s="226"/>
      <c r="M90" s="226"/>
      <c r="N90" s="181">
        <f t="shared" si="1"/>
        <v>0</v>
      </c>
      <c r="O90" s="227"/>
      <c r="P90" s="227"/>
      <c r="Q90" s="223"/>
      <c r="R90" s="781"/>
      <c r="S90" s="781"/>
    </row>
    <row r="91" spans="1:19" ht="15.75" x14ac:dyDescent="0.25">
      <c r="A91" s="223"/>
      <c r="B91" s="281"/>
      <c r="C91" s="281"/>
      <c r="D91" s="281"/>
      <c r="E91" s="224"/>
      <c r="F91" s="192"/>
      <c r="G91" s="193"/>
      <c r="H91" s="240"/>
      <c r="I91" s="281"/>
      <c r="J91" s="225"/>
      <c r="K91" s="225"/>
      <c r="L91" s="226"/>
      <c r="M91" s="226"/>
      <c r="N91" s="181">
        <f t="shared" si="1"/>
        <v>0</v>
      </c>
      <c r="O91" s="227"/>
      <c r="P91" s="227"/>
      <c r="Q91" s="223"/>
      <c r="R91" s="781"/>
      <c r="S91" s="781"/>
    </row>
    <row r="92" spans="1:19" ht="15.75" x14ac:dyDescent="0.25">
      <c r="A92" s="223"/>
      <c r="B92" s="281"/>
      <c r="C92" s="281"/>
      <c r="D92" s="281"/>
      <c r="E92" s="224"/>
      <c r="F92" s="192"/>
      <c r="G92" s="193"/>
      <c r="H92" s="240"/>
      <c r="I92" s="281"/>
      <c r="J92" s="225"/>
      <c r="K92" s="225"/>
      <c r="L92" s="226"/>
      <c r="M92" s="226"/>
      <c r="N92" s="181">
        <f t="shared" si="1"/>
        <v>0</v>
      </c>
      <c r="O92" s="227"/>
      <c r="P92" s="227"/>
      <c r="Q92" s="223"/>
      <c r="R92" s="781"/>
      <c r="S92" s="781"/>
    </row>
    <row r="93" spans="1:19" ht="15.75" x14ac:dyDescent="0.25">
      <c r="A93" s="223"/>
      <c r="B93" s="281"/>
      <c r="C93" s="281"/>
      <c r="D93" s="281"/>
      <c r="E93" s="224"/>
      <c r="F93" s="192"/>
      <c r="G93" s="193"/>
      <c r="H93" s="240"/>
      <c r="I93" s="281"/>
      <c r="J93" s="225"/>
      <c r="K93" s="225"/>
      <c r="L93" s="226"/>
      <c r="M93" s="226"/>
      <c r="N93" s="181">
        <f t="shared" si="1"/>
        <v>0</v>
      </c>
      <c r="O93" s="227"/>
      <c r="P93" s="227"/>
      <c r="Q93" s="223"/>
      <c r="R93" s="781"/>
      <c r="S93" s="781"/>
    </row>
    <row r="94" spans="1:19" ht="15.75" x14ac:dyDescent="0.25">
      <c r="A94" s="223"/>
      <c r="B94" s="281"/>
      <c r="C94" s="281"/>
      <c r="D94" s="281"/>
      <c r="E94" s="224"/>
      <c r="F94" s="192"/>
      <c r="G94" s="193"/>
      <c r="H94" s="240"/>
      <c r="I94" s="281"/>
      <c r="J94" s="225"/>
      <c r="K94" s="225"/>
      <c r="L94" s="226"/>
      <c r="M94" s="226"/>
      <c r="N94" s="181">
        <f t="shared" si="1"/>
        <v>0</v>
      </c>
      <c r="O94" s="227"/>
      <c r="P94" s="227"/>
      <c r="Q94" s="223"/>
      <c r="R94" s="781"/>
      <c r="S94" s="781"/>
    </row>
    <row r="95" spans="1:19" ht="15.75" x14ac:dyDescent="0.25">
      <c r="A95" s="223"/>
      <c r="B95" s="281"/>
      <c r="C95" s="281"/>
      <c r="D95" s="281"/>
      <c r="E95" s="224"/>
      <c r="F95" s="192"/>
      <c r="G95" s="193"/>
      <c r="H95" s="240"/>
      <c r="I95" s="281"/>
      <c r="J95" s="225"/>
      <c r="K95" s="225"/>
      <c r="L95" s="226"/>
      <c r="M95" s="226"/>
      <c r="N95" s="181">
        <f t="shared" si="1"/>
        <v>0</v>
      </c>
      <c r="O95" s="227"/>
      <c r="P95" s="227"/>
      <c r="Q95" s="223"/>
      <c r="R95" s="781"/>
      <c r="S95" s="781"/>
    </row>
    <row r="96" spans="1:19" ht="15.75" x14ac:dyDescent="0.25">
      <c r="A96" s="223"/>
      <c r="B96" s="281"/>
      <c r="C96" s="281"/>
      <c r="D96" s="281"/>
      <c r="E96" s="224"/>
      <c r="F96" s="192"/>
      <c r="G96" s="193"/>
      <c r="H96" s="240"/>
      <c r="I96" s="281"/>
      <c r="J96" s="225"/>
      <c r="K96" s="225"/>
      <c r="L96" s="226"/>
      <c r="M96" s="226"/>
      <c r="N96" s="181">
        <f t="shared" si="1"/>
        <v>0</v>
      </c>
      <c r="O96" s="227"/>
      <c r="P96" s="227"/>
      <c r="Q96" s="223"/>
      <c r="R96" s="781"/>
      <c r="S96" s="781"/>
    </row>
    <row r="97" spans="1:19" ht="15.75" x14ac:dyDescent="0.25">
      <c r="A97" s="223"/>
      <c r="B97" s="281"/>
      <c r="C97" s="281"/>
      <c r="D97" s="281"/>
      <c r="E97" s="224"/>
      <c r="F97" s="192"/>
      <c r="G97" s="193"/>
      <c r="H97" s="240"/>
      <c r="I97" s="281"/>
      <c r="J97" s="225"/>
      <c r="K97" s="225"/>
      <c r="L97" s="226"/>
      <c r="M97" s="226"/>
      <c r="N97" s="181">
        <f t="shared" si="1"/>
        <v>0</v>
      </c>
      <c r="O97" s="227"/>
      <c r="P97" s="227"/>
      <c r="Q97" s="223"/>
      <c r="R97" s="781"/>
      <c r="S97" s="781"/>
    </row>
    <row r="98" spans="1:19" ht="15.75" x14ac:dyDescent="0.25">
      <c r="A98" s="223"/>
      <c r="B98" s="281"/>
      <c r="C98" s="281"/>
      <c r="D98" s="281"/>
      <c r="E98" s="224"/>
      <c r="F98" s="192"/>
      <c r="G98" s="193"/>
      <c r="H98" s="240"/>
      <c r="I98" s="281"/>
      <c r="J98" s="225"/>
      <c r="K98" s="225"/>
      <c r="L98" s="226"/>
      <c r="M98" s="226"/>
      <c r="N98" s="181">
        <f t="shared" si="1"/>
        <v>0</v>
      </c>
      <c r="O98" s="227"/>
      <c r="P98" s="227"/>
      <c r="Q98" s="223"/>
      <c r="R98" s="781"/>
      <c r="S98" s="781"/>
    </row>
    <row r="99" spans="1:19" ht="15.75" x14ac:dyDescent="0.25">
      <c r="A99" s="223"/>
      <c r="B99" s="281"/>
      <c r="C99" s="281"/>
      <c r="D99" s="281"/>
      <c r="E99" s="224"/>
      <c r="F99" s="192"/>
      <c r="G99" s="193"/>
      <c r="H99" s="240"/>
      <c r="I99" s="281"/>
      <c r="J99" s="225"/>
      <c r="K99" s="225"/>
      <c r="L99" s="226"/>
      <c r="M99" s="226"/>
      <c r="N99" s="181">
        <f t="shared" si="1"/>
        <v>0</v>
      </c>
      <c r="O99" s="227"/>
      <c r="P99" s="227"/>
      <c r="Q99" s="223"/>
      <c r="R99" s="781"/>
      <c r="S99" s="781"/>
    </row>
    <row r="100" spans="1:19" ht="15.75" x14ac:dyDescent="0.25">
      <c r="A100" s="223"/>
      <c r="B100" s="281"/>
      <c r="C100" s="281"/>
      <c r="D100" s="281"/>
      <c r="E100" s="224"/>
      <c r="F100" s="192"/>
      <c r="G100" s="193"/>
      <c r="H100" s="240"/>
      <c r="I100" s="281"/>
      <c r="J100" s="225"/>
      <c r="K100" s="225"/>
      <c r="L100" s="226"/>
      <c r="M100" s="226"/>
      <c r="N100" s="181">
        <f t="shared" si="1"/>
        <v>0</v>
      </c>
      <c r="O100" s="227"/>
      <c r="P100" s="227"/>
      <c r="Q100" s="223"/>
      <c r="R100" s="781"/>
      <c r="S100" s="781"/>
    </row>
    <row r="101" spans="1:19" ht="15.75" x14ac:dyDescent="0.25">
      <c r="A101" s="223"/>
      <c r="B101" s="281"/>
      <c r="C101" s="281"/>
      <c r="D101" s="281"/>
      <c r="E101" s="224"/>
      <c r="F101" s="192"/>
      <c r="G101" s="193"/>
      <c r="H101" s="240"/>
      <c r="I101" s="281"/>
      <c r="J101" s="225"/>
      <c r="K101" s="225"/>
      <c r="L101" s="226"/>
      <c r="M101" s="226"/>
      <c r="N101" s="181">
        <f t="shared" si="1"/>
        <v>0</v>
      </c>
      <c r="O101" s="227"/>
      <c r="P101" s="227"/>
      <c r="Q101" s="223"/>
      <c r="R101" s="781"/>
      <c r="S101" s="781"/>
    </row>
    <row r="102" spans="1:19" ht="15.75" x14ac:dyDescent="0.25">
      <c r="A102" s="223"/>
      <c r="B102" s="281"/>
      <c r="C102" s="281"/>
      <c r="D102" s="281"/>
      <c r="E102" s="224"/>
      <c r="F102" s="192"/>
      <c r="G102" s="193"/>
      <c r="H102" s="240"/>
      <c r="I102" s="281"/>
      <c r="J102" s="225"/>
      <c r="K102" s="225"/>
      <c r="L102" s="226"/>
      <c r="M102" s="226"/>
      <c r="N102" s="181">
        <f t="shared" si="1"/>
        <v>0</v>
      </c>
      <c r="O102" s="227"/>
      <c r="P102" s="227"/>
      <c r="Q102" s="223"/>
      <c r="R102" s="781"/>
      <c r="S102" s="781"/>
    </row>
    <row r="103" spans="1:19" ht="15.75" x14ac:dyDescent="0.25">
      <c r="A103" s="223"/>
      <c r="B103" s="281"/>
      <c r="C103" s="281"/>
      <c r="D103" s="281"/>
      <c r="E103" s="224"/>
      <c r="F103" s="192"/>
      <c r="G103" s="193"/>
      <c r="H103" s="240"/>
      <c r="I103" s="281"/>
      <c r="J103" s="225"/>
      <c r="K103" s="225"/>
      <c r="L103" s="226"/>
      <c r="M103" s="226"/>
      <c r="N103" s="181">
        <f t="shared" si="1"/>
        <v>0</v>
      </c>
      <c r="O103" s="227"/>
      <c r="P103" s="227"/>
      <c r="Q103" s="223"/>
      <c r="R103" s="781"/>
      <c r="S103" s="781"/>
    </row>
    <row r="104" spans="1:19" ht="15.75" x14ac:dyDescent="0.25">
      <c r="A104" s="223"/>
      <c r="B104" s="281"/>
      <c r="C104" s="281"/>
      <c r="D104" s="281"/>
      <c r="E104" s="224"/>
      <c r="F104" s="192"/>
      <c r="G104" s="193"/>
      <c r="H104" s="240"/>
      <c r="I104" s="281"/>
      <c r="J104" s="225"/>
      <c r="K104" s="225"/>
      <c r="L104" s="226"/>
      <c r="M104" s="226"/>
      <c r="N104" s="181">
        <f t="shared" si="1"/>
        <v>0</v>
      </c>
      <c r="O104" s="227"/>
      <c r="P104" s="227"/>
      <c r="Q104" s="223"/>
      <c r="R104" s="781"/>
      <c r="S104" s="781"/>
    </row>
    <row r="105" spans="1:19" ht="15.75" x14ac:dyDescent="0.25">
      <c r="A105" s="223"/>
      <c r="B105" s="281"/>
      <c r="C105" s="281"/>
      <c r="D105" s="281"/>
      <c r="E105" s="224"/>
      <c r="F105" s="192"/>
      <c r="G105" s="193"/>
      <c r="H105" s="240"/>
      <c r="I105" s="281"/>
      <c r="J105" s="225"/>
      <c r="K105" s="225"/>
      <c r="L105" s="226"/>
      <c r="M105" s="226"/>
      <c r="N105" s="181">
        <f t="shared" si="1"/>
        <v>0</v>
      </c>
      <c r="O105" s="227"/>
      <c r="P105" s="227"/>
      <c r="Q105" s="223"/>
      <c r="R105" s="781"/>
      <c r="S105" s="781"/>
    </row>
    <row r="106" spans="1:19" ht="15.75" x14ac:dyDescent="0.25">
      <c r="A106" s="223"/>
      <c r="B106" s="281"/>
      <c r="C106" s="281"/>
      <c r="D106" s="281"/>
      <c r="E106" s="224"/>
      <c r="F106" s="192"/>
      <c r="G106" s="193"/>
      <c r="H106" s="240"/>
      <c r="I106" s="281"/>
      <c r="J106" s="225"/>
      <c r="K106" s="225"/>
      <c r="L106" s="226"/>
      <c r="M106" s="226"/>
      <c r="N106" s="181">
        <f t="shared" si="1"/>
        <v>0</v>
      </c>
      <c r="O106" s="227"/>
      <c r="P106" s="227"/>
      <c r="Q106" s="223"/>
      <c r="R106" s="781"/>
      <c r="S106" s="781"/>
    </row>
    <row r="107" spans="1:19" ht="15.75" x14ac:dyDescent="0.25">
      <c r="A107" s="223"/>
      <c r="B107" s="281"/>
      <c r="C107" s="281"/>
      <c r="D107" s="281"/>
      <c r="E107" s="224"/>
      <c r="F107" s="192"/>
      <c r="G107" s="193"/>
      <c r="H107" s="240"/>
      <c r="I107" s="281"/>
      <c r="J107" s="225"/>
      <c r="K107" s="225"/>
      <c r="L107" s="226"/>
      <c r="M107" s="226"/>
      <c r="N107" s="181">
        <f t="shared" si="1"/>
        <v>0</v>
      </c>
      <c r="O107" s="227"/>
      <c r="P107" s="227"/>
      <c r="Q107" s="223"/>
      <c r="R107" s="781"/>
      <c r="S107" s="781"/>
    </row>
    <row r="108" spans="1:19" ht="15.75" x14ac:dyDescent="0.25">
      <c r="A108" s="223"/>
      <c r="B108" s="281"/>
      <c r="C108" s="281"/>
      <c r="D108" s="281"/>
      <c r="E108" s="224"/>
      <c r="F108" s="192"/>
      <c r="G108" s="193"/>
      <c r="H108" s="240"/>
      <c r="I108" s="281"/>
      <c r="J108" s="225"/>
      <c r="K108" s="225"/>
      <c r="L108" s="226"/>
      <c r="M108" s="226"/>
      <c r="N108" s="181">
        <f t="shared" si="1"/>
        <v>0</v>
      </c>
      <c r="O108" s="227"/>
      <c r="P108" s="227"/>
      <c r="Q108" s="223"/>
      <c r="R108" s="781"/>
      <c r="S108" s="781"/>
    </row>
    <row r="109" spans="1:19" ht="15.75" x14ac:dyDescent="0.25">
      <c r="A109" s="223"/>
      <c r="B109" s="281"/>
      <c r="C109" s="281"/>
      <c r="D109" s="281"/>
      <c r="E109" s="224"/>
      <c r="F109" s="192"/>
      <c r="G109" s="193"/>
      <c r="H109" s="240"/>
      <c r="I109" s="281"/>
      <c r="J109" s="225"/>
      <c r="K109" s="225"/>
      <c r="L109" s="226"/>
      <c r="M109" s="226"/>
      <c r="N109" s="181">
        <f t="shared" si="1"/>
        <v>0</v>
      </c>
      <c r="O109" s="227"/>
      <c r="P109" s="227"/>
      <c r="Q109" s="223"/>
      <c r="R109" s="781"/>
      <c r="S109" s="781"/>
    </row>
    <row r="110" spans="1:19" ht="15.75" x14ac:dyDescent="0.25">
      <c r="A110" s="223"/>
      <c r="B110" s="281"/>
      <c r="C110" s="281"/>
      <c r="D110" s="281"/>
      <c r="E110" s="224"/>
      <c r="F110" s="192"/>
      <c r="G110" s="193"/>
      <c r="H110" s="240"/>
      <c r="I110" s="281"/>
      <c r="J110" s="225"/>
      <c r="K110" s="225"/>
      <c r="L110" s="226"/>
      <c r="M110" s="226"/>
      <c r="N110" s="181">
        <f t="shared" si="1"/>
        <v>0</v>
      </c>
      <c r="O110" s="227"/>
      <c r="P110" s="227"/>
      <c r="Q110" s="223"/>
      <c r="R110" s="781"/>
      <c r="S110" s="781"/>
    </row>
    <row r="111" spans="1:19" ht="15.75" x14ac:dyDescent="0.25">
      <c r="A111" s="223"/>
      <c r="B111" s="281"/>
      <c r="C111" s="281"/>
      <c r="D111" s="281"/>
      <c r="E111" s="224"/>
      <c r="F111" s="192"/>
      <c r="G111" s="193"/>
      <c r="H111" s="240"/>
      <c r="I111" s="281"/>
      <c r="J111" s="225"/>
      <c r="K111" s="225"/>
      <c r="L111" s="226"/>
      <c r="M111" s="226"/>
      <c r="N111" s="181">
        <f t="shared" si="1"/>
        <v>0</v>
      </c>
      <c r="O111" s="227"/>
      <c r="P111" s="227"/>
      <c r="Q111" s="223"/>
      <c r="R111" s="781"/>
      <c r="S111" s="781"/>
    </row>
    <row r="112" spans="1:19" ht="15.75" x14ac:dyDescent="0.25">
      <c r="A112" s="223"/>
      <c r="B112" s="281"/>
      <c r="C112" s="281"/>
      <c r="D112" s="281"/>
      <c r="E112" s="224"/>
      <c r="F112" s="192"/>
      <c r="G112" s="193"/>
      <c r="H112" s="240"/>
      <c r="I112" s="281"/>
      <c r="J112" s="225"/>
      <c r="K112" s="225"/>
      <c r="L112" s="226"/>
      <c r="M112" s="226"/>
      <c r="N112" s="181">
        <f t="shared" si="1"/>
        <v>0</v>
      </c>
      <c r="O112" s="227"/>
      <c r="P112" s="227"/>
      <c r="Q112" s="223"/>
      <c r="R112" s="781"/>
      <c r="S112" s="781"/>
    </row>
    <row r="113" spans="1:19" ht="15.75" x14ac:dyDescent="0.25">
      <c r="A113" s="223"/>
      <c r="B113" s="281"/>
      <c r="C113" s="281"/>
      <c r="D113" s="281"/>
      <c r="E113" s="224"/>
      <c r="F113" s="192"/>
      <c r="G113" s="193"/>
      <c r="H113" s="240"/>
      <c r="I113" s="281"/>
      <c r="J113" s="225"/>
      <c r="K113" s="225"/>
      <c r="L113" s="226"/>
      <c r="M113" s="226"/>
      <c r="N113" s="181">
        <f t="shared" si="1"/>
        <v>0</v>
      </c>
      <c r="O113" s="227"/>
      <c r="P113" s="227"/>
      <c r="Q113" s="223"/>
      <c r="R113" s="781"/>
      <c r="S113" s="781"/>
    </row>
    <row r="114" spans="1:19" ht="15.75" x14ac:dyDescent="0.25">
      <c r="A114" s="223"/>
      <c r="B114" s="281"/>
      <c r="C114" s="281"/>
      <c r="D114" s="281"/>
      <c r="E114" s="224"/>
      <c r="F114" s="192"/>
      <c r="G114" s="193"/>
      <c r="H114" s="240"/>
      <c r="I114" s="281"/>
      <c r="J114" s="225"/>
      <c r="K114" s="225"/>
      <c r="L114" s="226"/>
      <c r="M114" s="226"/>
      <c r="N114" s="181">
        <f t="shared" si="1"/>
        <v>0</v>
      </c>
      <c r="O114" s="227"/>
      <c r="P114" s="227"/>
      <c r="Q114" s="223"/>
      <c r="R114" s="781"/>
      <c r="S114" s="781"/>
    </row>
    <row r="115" spans="1:19" ht="15.75" x14ac:dyDescent="0.25">
      <c r="A115" s="223"/>
      <c r="B115" s="281"/>
      <c r="C115" s="281"/>
      <c r="D115" s="281"/>
      <c r="E115" s="224"/>
      <c r="F115" s="192"/>
      <c r="G115" s="193"/>
      <c r="H115" s="240"/>
      <c r="I115" s="281"/>
      <c r="J115" s="225"/>
      <c r="K115" s="225"/>
      <c r="L115" s="226"/>
      <c r="M115" s="226"/>
      <c r="N115" s="181">
        <f t="shared" si="1"/>
        <v>0</v>
      </c>
      <c r="O115" s="227"/>
      <c r="P115" s="227"/>
      <c r="Q115" s="223"/>
      <c r="R115" s="781"/>
      <c r="S115" s="781"/>
    </row>
    <row r="116" spans="1:19" ht="15.75" x14ac:dyDescent="0.25">
      <c r="A116" s="223"/>
      <c r="B116" s="281"/>
      <c r="C116" s="281"/>
      <c r="D116" s="281"/>
      <c r="E116" s="224"/>
      <c r="F116" s="192"/>
      <c r="G116" s="193"/>
      <c r="H116" s="240"/>
      <c r="I116" s="281"/>
      <c r="J116" s="225"/>
      <c r="K116" s="225"/>
      <c r="L116" s="226"/>
      <c r="M116" s="226"/>
      <c r="N116" s="181">
        <f t="shared" si="1"/>
        <v>0</v>
      </c>
      <c r="O116" s="227"/>
      <c r="P116" s="227"/>
      <c r="Q116" s="223"/>
      <c r="R116" s="781"/>
      <c r="S116" s="781"/>
    </row>
    <row r="117" spans="1:19" ht="15.75" x14ac:dyDescent="0.25">
      <c r="A117" s="223"/>
      <c r="B117" s="281"/>
      <c r="C117" s="281"/>
      <c r="D117" s="281"/>
      <c r="E117" s="224"/>
      <c r="F117" s="192"/>
      <c r="G117" s="193"/>
      <c r="H117" s="240"/>
      <c r="I117" s="281"/>
      <c r="J117" s="225"/>
      <c r="K117" s="225"/>
      <c r="L117" s="226"/>
      <c r="M117" s="226"/>
      <c r="N117" s="181">
        <f t="shared" si="1"/>
        <v>0</v>
      </c>
      <c r="O117" s="227"/>
      <c r="P117" s="227"/>
      <c r="Q117" s="223"/>
      <c r="R117" s="781"/>
      <c r="S117" s="781"/>
    </row>
    <row r="118" spans="1:19" ht="15.75" x14ac:dyDescent="0.25">
      <c r="A118" s="223"/>
      <c r="B118" s="281"/>
      <c r="C118" s="281"/>
      <c r="D118" s="281"/>
      <c r="E118" s="224"/>
      <c r="F118" s="192"/>
      <c r="G118" s="193"/>
      <c r="H118" s="240"/>
      <c r="I118" s="281"/>
      <c r="J118" s="225"/>
      <c r="K118" s="225"/>
      <c r="L118" s="226"/>
      <c r="M118" s="226"/>
      <c r="N118" s="181">
        <f t="shared" si="1"/>
        <v>0</v>
      </c>
      <c r="O118" s="227"/>
      <c r="P118" s="227"/>
      <c r="Q118" s="223"/>
      <c r="R118" s="781"/>
      <c r="S118" s="781"/>
    </row>
    <row r="119" spans="1:19" ht="15.75" x14ac:dyDescent="0.25">
      <c r="A119" s="223"/>
      <c r="B119" s="281"/>
      <c r="C119" s="281"/>
      <c r="D119" s="281"/>
      <c r="E119" s="224"/>
      <c r="F119" s="192"/>
      <c r="G119" s="193"/>
      <c r="H119" s="240"/>
      <c r="I119" s="281"/>
      <c r="J119" s="225"/>
      <c r="K119" s="225"/>
      <c r="L119" s="226"/>
      <c r="M119" s="226"/>
      <c r="N119" s="181">
        <f t="shared" si="1"/>
        <v>0</v>
      </c>
      <c r="O119" s="227"/>
      <c r="P119" s="227"/>
      <c r="Q119" s="223"/>
      <c r="R119" s="781"/>
      <c r="S119" s="781"/>
    </row>
    <row r="120" spans="1:19" ht="15.75" x14ac:dyDescent="0.25">
      <c r="A120" s="223"/>
      <c r="B120" s="281"/>
      <c r="C120" s="281"/>
      <c r="D120" s="281"/>
      <c r="E120" s="224"/>
      <c r="F120" s="192"/>
      <c r="G120" s="193"/>
      <c r="H120" s="240"/>
      <c r="I120" s="281"/>
      <c r="J120" s="225"/>
      <c r="K120" s="225"/>
      <c r="L120" s="226"/>
      <c r="M120" s="226"/>
      <c r="N120" s="181">
        <f t="shared" si="1"/>
        <v>0</v>
      </c>
      <c r="O120" s="227"/>
      <c r="P120" s="227"/>
      <c r="Q120" s="223"/>
      <c r="R120" s="781"/>
      <c r="S120" s="781"/>
    </row>
    <row r="121" spans="1:19" ht="15.75" x14ac:dyDescent="0.25">
      <c r="A121" s="223"/>
      <c r="B121" s="281"/>
      <c r="C121" s="281"/>
      <c r="D121" s="281"/>
      <c r="E121" s="224"/>
      <c r="F121" s="192"/>
      <c r="G121" s="193"/>
      <c r="H121" s="240"/>
      <c r="I121" s="281"/>
      <c r="J121" s="225"/>
      <c r="K121" s="225"/>
      <c r="L121" s="226"/>
      <c r="M121" s="226"/>
      <c r="N121" s="181">
        <f t="shared" si="1"/>
        <v>0</v>
      </c>
      <c r="O121" s="227"/>
      <c r="P121" s="227"/>
      <c r="Q121" s="223"/>
      <c r="R121" s="781"/>
      <c r="S121" s="781"/>
    </row>
    <row r="122" spans="1:19" ht="15.75" x14ac:dyDescent="0.25">
      <c r="A122" s="223"/>
      <c r="B122" s="281"/>
      <c r="C122" s="281"/>
      <c r="D122" s="281"/>
      <c r="E122" s="224"/>
      <c r="F122" s="192"/>
      <c r="G122" s="193"/>
      <c r="H122" s="240"/>
      <c r="I122" s="281"/>
      <c r="J122" s="225"/>
      <c r="K122" s="225"/>
      <c r="L122" s="226"/>
      <c r="M122" s="226"/>
      <c r="N122" s="181">
        <f t="shared" si="1"/>
        <v>0</v>
      </c>
      <c r="O122" s="227"/>
      <c r="P122" s="227"/>
      <c r="Q122" s="223"/>
      <c r="R122" s="781"/>
      <c r="S122" s="781"/>
    </row>
    <row r="123" spans="1:19" ht="15.75" x14ac:dyDescent="0.25">
      <c r="A123" s="223"/>
      <c r="B123" s="281"/>
      <c r="C123" s="281"/>
      <c r="D123" s="281"/>
      <c r="E123" s="224"/>
      <c r="F123" s="192"/>
      <c r="G123" s="193"/>
      <c r="H123" s="240"/>
      <c r="I123" s="281"/>
      <c r="J123" s="225"/>
      <c r="K123" s="225"/>
      <c r="L123" s="226"/>
      <c r="M123" s="226"/>
      <c r="N123" s="181">
        <f t="shared" si="1"/>
        <v>0</v>
      </c>
      <c r="O123" s="227"/>
      <c r="P123" s="227"/>
      <c r="Q123" s="223"/>
      <c r="R123" s="781"/>
      <c r="S123" s="781"/>
    </row>
    <row r="124" spans="1:19" ht="15.75" x14ac:dyDescent="0.25">
      <c r="A124" s="223"/>
      <c r="B124" s="281"/>
      <c r="C124" s="281"/>
      <c r="D124" s="281"/>
      <c r="E124" s="224"/>
      <c r="F124" s="192"/>
      <c r="G124" s="193"/>
      <c r="H124" s="240"/>
      <c r="I124" s="281"/>
      <c r="J124" s="225"/>
      <c r="K124" s="225"/>
      <c r="L124" s="226"/>
      <c r="M124" s="226"/>
      <c r="N124" s="181">
        <f t="shared" si="1"/>
        <v>0</v>
      </c>
      <c r="O124" s="227"/>
      <c r="P124" s="227"/>
      <c r="Q124" s="223"/>
      <c r="R124" s="781"/>
      <c r="S124" s="781"/>
    </row>
    <row r="125" spans="1:19" ht="15.75" x14ac:dyDescent="0.25">
      <c r="A125" s="223"/>
      <c r="B125" s="281"/>
      <c r="C125" s="281"/>
      <c r="D125" s="281"/>
      <c r="E125" s="224"/>
      <c r="F125" s="192"/>
      <c r="G125" s="193"/>
      <c r="H125" s="240"/>
      <c r="I125" s="281"/>
      <c r="J125" s="225"/>
      <c r="K125" s="225"/>
      <c r="L125" s="226"/>
      <c r="M125" s="226"/>
      <c r="N125" s="181">
        <f t="shared" si="1"/>
        <v>0</v>
      </c>
      <c r="O125" s="227"/>
      <c r="P125" s="227"/>
      <c r="Q125" s="223"/>
      <c r="R125" s="781"/>
      <c r="S125" s="781"/>
    </row>
    <row r="126" spans="1:19" ht="15.75" x14ac:dyDescent="0.25">
      <c r="A126" s="223"/>
      <c r="B126" s="281"/>
      <c r="C126" s="281"/>
      <c r="D126" s="281"/>
      <c r="E126" s="224"/>
      <c r="F126" s="192"/>
      <c r="G126" s="193"/>
      <c r="H126" s="240"/>
      <c r="I126" s="281"/>
      <c r="J126" s="225"/>
      <c r="K126" s="225"/>
      <c r="L126" s="226"/>
      <c r="M126" s="226"/>
      <c r="N126" s="181">
        <f t="shared" si="1"/>
        <v>0</v>
      </c>
      <c r="O126" s="227"/>
      <c r="P126" s="227"/>
      <c r="Q126" s="223"/>
      <c r="R126" s="781"/>
      <c r="S126" s="781"/>
    </row>
    <row r="127" spans="1:19" ht="15.75" x14ac:dyDescent="0.25">
      <c r="A127" s="223"/>
      <c r="B127" s="281"/>
      <c r="C127" s="281"/>
      <c r="D127" s="281"/>
      <c r="E127" s="224"/>
      <c r="F127" s="192"/>
      <c r="G127" s="193"/>
      <c r="H127" s="240"/>
      <c r="I127" s="281"/>
      <c r="J127" s="225"/>
      <c r="K127" s="225"/>
      <c r="L127" s="226"/>
      <c r="M127" s="226"/>
      <c r="N127" s="181">
        <f t="shared" si="1"/>
        <v>0</v>
      </c>
      <c r="O127" s="227"/>
      <c r="P127" s="227"/>
      <c r="Q127" s="223"/>
      <c r="R127" s="781"/>
      <c r="S127" s="781"/>
    </row>
    <row r="128" spans="1:19" ht="15.75" x14ac:dyDescent="0.25">
      <c r="A128" s="223"/>
      <c r="B128" s="281"/>
      <c r="C128" s="281"/>
      <c r="D128" s="281"/>
      <c r="E128" s="224"/>
      <c r="F128" s="192"/>
      <c r="G128" s="193"/>
      <c r="H128" s="240"/>
      <c r="I128" s="281"/>
      <c r="J128" s="225"/>
      <c r="K128" s="225"/>
      <c r="L128" s="226"/>
      <c r="M128" s="226"/>
      <c r="N128" s="181">
        <f t="shared" si="1"/>
        <v>0</v>
      </c>
      <c r="O128" s="227"/>
      <c r="P128" s="227"/>
      <c r="Q128" s="223"/>
      <c r="R128" s="781"/>
      <c r="S128" s="781"/>
    </row>
    <row r="129" spans="1:19" ht="15.75" x14ac:dyDescent="0.25">
      <c r="A129" s="223"/>
      <c r="B129" s="281"/>
      <c r="C129" s="281"/>
      <c r="D129" s="281"/>
      <c r="E129" s="224"/>
      <c r="F129" s="192"/>
      <c r="G129" s="193"/>
      <c r="H129" s="240"/>
      <c r="I129" s="281"/>
      <c r="J129" s="225"/>
      <c r="K129" s="225"/>
      <c r="L129" s="226"/>
      <c r="M129" s="226"/>
      <c r="N129" s="181">
        <f t="shared" si="1"/>
        <v>0</v>
      </c>
      <c r="O129" s="227"/>
      <c r="P129" s="227"/>
      <c r="Q129" s="223"/>
      <c r="R129" s="781"/>
      <c r="S129" s="781"/>
    </row>
    <row r="130" spans="1:19" ht="15.75" x14ac:dyDescent="0.25">
      <c r="A130" s="223"/>
      <c r="B130" s="281"/>
      <c r="C130" s="281"/>
      <c r="D130" s="281"/>
      <c r="E130" s="224"/>
      <c r="F130" s="192"/>
      <c r="G130" s="193"/>
      <c r="H130" s="240"/>
      <c r="I130" s="281"/>
      <c r="J130" s="225"/>
      <c r="K130" s="225"/>
      <c r="L130" s="226"/>
      <c r="M130" s="226"/>
      <c r="N130" s="181">
        <f t="shared" si="1"/>
        <v>0</v>
      </c>
      <c r="O130" s="227"/>
      <c r="P130" s="227"/>
      <c r="Q130" s="223"/>
      <c r="R130" s="781"/>
      <c r="S130" s="781"/>
    </row>
    <row r="131" spans="1:19" ht="15.75" x14ac:dyDescent="0.25">
      <c r="A131" s="223"/>
      <c r="B131" s="281"/>
      <c r="C131" s="281"/>
      <c r="D131" s="281"/>
      <c r="E131" s="224"/>
      <c r="F131" s="192"/>
      <c r="G131" s="193"/>
      <c r="H131" s="240"/>
      <c r="I131" s="281"/>
      <c r="J131" s="225"/>
      <c r="K131" s="225"/>
      <c r="L131" s="226"/>
      <c r="M131" s="226"/>
      <c r="N131" s="181">
        <f t="shared" si="1"/>
        <v>0</v>
      </c>
      <c r="O131" s="227"/>
      <c r="P131" s="227"/>
      <c r="Q131" s="223"/>
      <c r="R131" s="781"/>
      <c r="S131" s="781"/>
    </row>
    <row r="132" spans="1:19" ht="15.75" x14ac:dyDescent="0.25">
      <c r="A132" s="223"/>
      <c r="B132" s="281"/>
      <c r="C132" s="281"/>
      <c r="D132" s="281"/>
      <c r="E132" s="224"/>
      <c r="F132" s="192"/>
      <c r="G132" s="193"/>
      <c r="H132" s="240"/>
      <c r="I132" s="281"/>
      <c r="J132" s="225"/>
      <c r="K132" s="225"/>
      <c r="L132" s="226"/>
      <c r="M132" s="226"/>
      <c r="N132" s="181">
        <f t="shared" si="1"/>
        <v>0</v>
      </c>
      <c r="O132" s="227"/>
      <c r="P132" s="227"/>
      <c r="Q132" s="223"/>
      <c r="R132" s="781"/>
      <c r="S132" s="781"/>
    </row>
    <row r="133" spans="1:19" ht="15.75" x14ac:dyDescent="0.25">
      <c r="A133" s="223"/>
      <c r="B133" s="281"/>
      <c r="C133" s="281"/>
      <c r="D133" s="281"/>
      <c r="E133" s="224"/>
      <c r="F133" s="192"/>
      <c r="G133" s="193"/>
      <c r="H133" s="240"/>
      <c r="I133" s="281"/>
      <c r="J133" s="225"/>
      <c r="K133" s="225"/>
      <c r="L133" s="226"/>
      <c r="M133" s="226"/>
      <c r="N133" s="181">
        <f t="shared" ref="N133:N196" si="2">M133+L133</f>
        <v>0</v>
      </c>
      <c r="O133" s="227"/>
      <c r="P133" s="227"/>
      <c r="Q133" s="223"/>
      <c r="R133" s="781"/>
      <c r="S133" s="781"/>
    </row>
    <row r="134" spans="1:19" ht="15.75" x14ac:dyDescent="0.25">
      <c r="A134" s="223"/>
      <c r="B134" s="281"/>
      <c r="C134" s="281"/>
      <c r="D134" s="281"/>
      <c r="E134" s="224"/>
      <c r="F134" s="192"/>
      <c r="G134" s="193"/>
      <c r="H134" s="240"/>
      <c r="I134" s="281"/>
      <c r="J134" s="225"/>
      <c r="K134" s="225"/>
      <c r="L134" s="226"/>
      <c r="M134" s="226"/>
      <c r="N134" s="181">
        <f t="shared" si="2"/>
        <v>0</v>
      </c>
      <c r="O134" s="227"/>
      <c r="P134" s="227"/>
      <c r="Q134" s="223"/>
      <c r="R134" s="781"/>
      <c r="S134" s="781"/>
    </row>
    <row r="135" spans="1:19" ht="15.75" x14ac:dyDescent="0.25">
      <c r="A135" s="223"/>
      <c r="B135" s="281"/>
      <c r="C135" s="281"/>
      <c r="D135" s="281"/>
      <c r="E135" s="224"/>
      <c r="F135" s="192"/>
      <c r="G135" s="193"/>
      <c r="H135" s="240"/>
      <c r="I135" s="281"/>
      <c r="J135" s="225"/>
      <c r="K135" s="225"/>
      <c r="L135" s="226"/>
      <c r="M135" s="226"/>
      <c r="N135" s="181">
        <f t="shared" si="2"/>
        <v>0</v>
      </c>
      <c r="O135" s="227"/>
      <c r="P135" s="227"/>
      <c r="Q135" s="223"/>
      <c r="R135" s="781"/>
      <c r="S135" s="781"/>
    </row>
    <row r="136" spans="1:19" ht="15.75" x14ac:dyDescent="0.25">
      <c r="A136" s="223"/>
      <c r="B136" s="281"/>
      <c r="C136" s="281"/>
      <c r="D136" s="281"/>
      <c r="E136" s="224"/>
      <c r="F136" s="192"/>
      <c r="G136" s="193"/>
      <c r="H136" s="240"/>
      <c r="I136" s="281"/>
      <c r="J136" s="225"/>
      <c r="K136" s="225"/>
      <c r="L136" s="226"/>
      <c r="M136" s="226"/>
      <c r="N136" s="181">
        <f t="shared" si="2"/>
        <v>0</v>
      </c>
      <c r="O136" s="227"/>
      <c r="P136" s="227"/>
      <c r="Q136" s="223"/>
      <c r="R136" s="781"/>
      <c r="S136" s="781"/>
    </row>
    <row r="137" spans="1:19" ht="15.75" x14ac:dyDescent="0.25">
      <c r="A137" s="223"/>
      <c r="B137" s="281"/>
      <c r="C137" s="281"/>
      <c r="D137" s="281"/>
      <c r="E137" s="224"/>
      <c r="F137" s="192"/>
      <c r="G137" s="193"/>
      <c r="H137" s="240"/>
      <c r="I137" s="281"/>
      <c r="J137" s="225"/>
      <c r="K137" s="225"/>
      <c r="L137" s="226"/>
      <c r="M137" s="226"/>
      <c r="N137" s="181">
        <f t="shared" si="2"/>
        <v>0</v>
      </c>
      <c r="O137" s="227"/>
      <c r="P137" s="227"/>
      <c r="Q137" s="223"/>
      <c r="R137" s="781"/>
      <c r="S137" s="781"/>
    </row>
    <row r="138" spans="1:19" ht="15.75" x14ac:dyDescent="0.25">
      <c r="A138" s="223"/>
      <c r="B138" s="281"/>
      <c r="C138" s="281"/>
      <c r="D138" s="281"/>
      <c r="E138" s="224"/>
      <c r="F138" s="192"/>
      <c r="G138" s="193"/>
      <c r="H138" s="240"/>
      <c r="I138" s="281"/>
      <c r="J138" s="225"/>
      <c r="K138" s="225"/>
      <c r="L138" s="226"/>
      <c r="M138" s="226"/>
      <c r="N138" s="181">
        <f t="shared" si="2"/>
        <v>0</v>
      </c>
      <c r="O138" s="227"/>
      <c r="P138" s="227"/>
      <c r="Q138" s="223"/>
      <c r="R138" s="781"/>
      <c r="S138" s="781"/>
    </row>
    <row r="139" spans="1:19" ht="15.75" x14ac:dyDescent="0.25">
      <c r="A139" s="223"/>
      <c r="B139" s="281"/>
      <c r="C139" s="281"/>
      <c r="D139" s="281"/>
      <c r="E139" s="224"/>
      <c r="F139" s="192"/>
      <c r="G139" s="193"/>
      <c r="H139" s="240"/>
      <c r="I139" s="281"/>
      <c r="J139" s="225"/>
      <c r="K139" s="225"/>
      <c r="L139" s="226"/>
      <c r="M139" s="226"/>
      <c r="N139" s="181">
        <f t="shared" si="2"/>
        <v>0</v>
      </c>
      <c r="O139" s="227"/>
      <c r="P139" s="227"/>
      <c r="Q139" s="223"/>
      <c r="R139" s="781"/>
      <c r="S139" s="781"/>
    </row>
    <row r="140" spans="1:19" ht="15.75" x14ac:dyDescent="0.25">
      <c r="A140" s="223"/>
      <c r="B140" s="281"/>
      <c r="C140" s="281"/>
      <c r="D140" s="281"/>
      <c r="E140" s="224"/>
      <c r="F140" s="192"/>
      <c r="G140" s="193"/>
      <c r="H140" s="240"/>
      <c r="I140" s="281"/>
      <c r="J140" s="225"/>
      <c r="K140" s="225"/>
      <c r="L140" s="226"/>
      <c r="M140" s="226"/>
      <c r="N140" s="181">
        <f t="shared" si="2"/>
        <v>0</v>
      </c>
      <c r="O140" s="227"/>
      <c r="P140" s="227"/>
      <c r="Q140" s="223"/>
      <c r="R140" s="781"/>
      <c r="S140" s="781"/>
    </row>
    <row r="141" spans="1:19" ht="15.75" x14ac:dyDescent="0.25">
      <c r="A141" s="223"/>
      <c r="B141" s="281"/>
      <c r="C141" s="281"/>
      <c r="D141" s="281"/>
      <c r="E141" s="224"/>
      <c r="F141" s="192"/>
      <c r="G141" s="193"/>
      <c r="H141" s="240"/>
      <c r="I141" s="281"/>
      <c r="J141" s="225"/>
      <c r="K141" s="225"/>
      <c r="L141" s="226"/>
      <c r="M141" s="226"/>
      <c r="N141" s="181">
        <f t="shared" si="2"/>
        <v>0</v>
      </c>
      <c r="O141" s="227"/>
      <c r="P141" s="227"/>
      <c r="Q141" s="223"/>
      <c r="R141" s="781"/>
      <c r="S141" s="781"/>
    </row>
    <row r="142" spans="1:19" ht="15.75" x14ac:dyDescent="0.25">
      <c r="A142" s="223"/>
      <c r="B142" s="281"/>
      <c r="C142" s="281"/>
      <c r="D142" s="281"/>
      <c r="E142" s="224"/>
      <c r="F142" s="192"/>
      <c r="G142" s="193"/>
      <c r="H142" s="240"/>
      <c r="I142" s="281"/>
      <c r="J142" s="225"/>
      <c r="K142" s="225"/>
      <c r="L142" s="226"/>
      <c r="M142" s="226"/>
      <c r="N142" s="181">
        <f t="shared" si="2"/>
        <v>0</v>
      </c>
      <c r="O142" s="227"/>
      <c r="P142" s="227"/>
      <c r="Q142" s="223"/>
      <c r="R142" s="781"/>
      <c r="S142" s="781"/>
    </row>
    <row r="143" spans="1:19" ht="15.75" x14ac:dyDescent="0.25">
      <c r="A143" s="223"/>
      <c r="B143" s="281"/>
      <c r="C143" s="281"/>
      <c r="D143" s="281"/>
      <c r="E143" s="224"/>
      <c r="F143" s="192"/>
      <c r="G143" s="193"/>
      <c r="H143" s="240"/>
      <c r="I143" s="281"/>
      <c r="J143" s="225"/>
      <c r="K143" s="225"/>
      <c r="L143" s="226"/>
      <c r="M143" s="226"/>
      <c r="N143" s="181">
        <f t="shared" si="2"/>
        <v>0</v>
      </c>
      <c r="O143" s="227"/>
      <c r="P143" s="227"/>
      <c r="Q143" s="223"/>
      <c r="R143" s="781"/>
      <c r="S143" s="781"/>
    </row>
    <row r="144" spans="1:19" ht="15.75" x14ac:dyDescent="0.25">
      <c r="A144" s="223"/>
      <c r="B144" s="281"/>
      <c r="C144" s="281"/>
      <c r="D144" s="281"/>
      <c r="E144" s="224"/>
      <c r="F144" s="192"/>
      <c r="G144" s="193"/>
      <c r="H144" s="240"/>
      <c r="I144" s="281"/>
      <c r="J144" s="225"/>
      <c r="K144" s="225"/>
      <c r="L144" s="226"/>
      <c r="M144" s="226"/>
      <c r="N144" s="181">
        <f t="shared" si="2"/>
        <v>0</v>
      </c>
      <c r="O144" s="227"/>
      <c r="P144" s="227"/>
      <c r="Q144" s="223"/>
      <c r="R144" s="781"/>
      <c r="S144" s="781"/>
    </row>
    <row r="145" spans="1:19" ht="15.75" x14ac:dyDescent="0.25">
      <c r="A145" s="223"/>
      <c r="B145" s="281"/>
      <c r="C145" s="281"/>
      <c r="D145" s="281"/>
      <c r="E145" s="224"/>
      <c r="F145" s="192"/>
      <c r="G145" s="193"/>
      <c r="H145" s="240"/>
      <c r="I145" s="281"/>
      <c r="J145" s="225"/>
      <c r="K145" s="225"/>
      <c r="L145" s="226"/>
      <c r="M145" s="226"/>
      <c r="N145" s="181">
        <f t="shared" si="2"/>
        <v>0</v>
      </c>
      <c r="O145" s="227"/>
      <c r="P145" s="227"/>
      <c r="Q145" s="223"/>
      <c r="R145" s="781"/>
      <c r="S145" s="781"/>
    </row>
    <row r="146" spans="1:19" ht="15.75" x14ac:dyDescent="0.25">
      <c r="A146" s="223"/>
      <c r="B146" s="281"/>
      <c r="C146" s="281"/>
      <c r="D146" s="281"/>
      <c r="E146" s="224"/>
      <c r="F146" s="192"/>
      <c r="G146" s="193"/>
      <c r="H146" s="240"/>
      <c r="I146" s="281"/>
      <c r="J146" s="225"/>
      <c r="K146" s="225"/>
      <c r="L146" s="226"/>
      <c r="M146" s="226"/>
      <c r="N146" s="181">
        <f t="shared" si="2"/>
        <v>0</v>
      </c>
      <c r="O146" s="227"/>
      <c r="P146" s="227"/>
      <c r="Q146" s="223"/>
      <c r="R146" s="781"/>
      <c r="S146" s="781"/>
    </row>
    <row r="147" spans="1:19" ht="15.75" x14ac:dyDescent="0.25">
      <c r="A147" s="223"/>
      <c r="B147" s="281"/>
      <c r="C147" s="281"/>
      <c r="D147" s="281"/>
      <c r="E147" s="224"/>
      <c r="F147" s="192"/>
      <c r="G147" s="193"/>
      <c r="H147" s="240"/>
      <c r="I147" s="281"/>
      <c r="J147" s="225"/>
      <c r="K147" s="225"/>
      <c r="L147" s="226"/>
      <c r="M147" s="226"/>
      <c r="N147" s="181">
        <f t="shared" si="2"/>
        <v>0</v>
      </c>
      <c r="O147" s="227"/>
      <c r="P147" s="227"/>
      <c r="Q147" s="223"/>
      <c r="R147" s="781"/>
      <c r="S147" s="781"/>
    </row>
    <row r="148" spans="1:19" ht="15.75" x14ac:dyDescent="0.25">
      <c r="A148" s="223"/>
      <c r="B148" s="281"/>
      <c r="C148" s="281"/>
      <c r="D148" s="281"/>
      <c r="E148" s="224"/>
      <c r="F148" s="192"/>
      <c r="G148" s="193"/>
      <c r="H148" s="240"/>
      <c r="I148" s="281"/>
      <c r="J148" s="225"/>
      <c r="K148" s="225"/>
      <c r="L148" s="226"/>
      <c r="M148" s="226"/>
      <c r="N148" s="181">
        <f t="shared" si="2"/>
        <v>0</v>
      </c>
      <c r="O148" s="227"/>
      <c r="P148" s="227"/>
      <c r="Q148" s="223"/>
      <c r="R148" s="781"/>
      <c r="S148" s="781"/>
    </row>
    <row r="149" spans="1:19" ht="15.75" x14ac:dyDescent="0.25">
      <c r="A149" s="223"/>
      <c r="B149" s="281"/>
      <c r="C149" s="281"/>
      <c r="D149" s="281"/>
      <c r="E149" s="224"/>
      <c r="F149" s="192"/>
      <c r="G149" s="193"/>
      <c r="H149" s="240"/>
      <c r="I149" s="281"/>
      <c r="J149" s="225"/>
      <c r="K149" s="225"/>
      <c r="L149" s="226"/>
      <c r="M149" s="226"/>
      <c r="N149" s="181">
        <f t="shared" si="2"/>
        <v>0</v>
      </c>
      <c r="O149" s="227"/>
      <c r="P149" s="227"/>
      <c r="Q149" s="223"/>
      <c r="R149" s="781"/>
      <c r="S149" s="781"/>
    </row>
    <row r="150" spans="1:19" ht="15.75" x14ac:dyDescent="0.25">
      <c r="A150" s="223"/>
      <c r="B150" s="281"/>
      <c r="C150" s="281"/>
      <c r="D150" s="281"/>
      <c r="E150" s="224"/>
      <c r="F150" s="192"/>
      <c r="G150" s="193"/>
      <c r="H150" s="240"/>
      <c r="I150" s="281"/>
      <c r="J150" s="225"/>
      <c r="K150" s="225"/>
      <c r="L150" s="226"/>
      <c r="M150" s="226"/>
      <c r="N150" s="181">
        <f t="shared" si="2"/>
        <v>0</v>
      </c>
      <c r="O150" s="227"/>
      <c r="P150" s="227"/>
      <c r="Q150" s="223"/>
      <c r="R150" s="781"/>
      <c r="S150" s="781"/>
    </row>
    <row r="151" spans="1:19" ht="15.75" x14ac:dyDescent="0.25">
      <c r="A151" s="223"/>
      <c r="B151" s="281"/>
      <c r="C151" s="281"/>
      <c r="D151" s="281"/>
      <c r="E151" s="224"/>
      <c r="F151" s="192"/>
      <c r="G151" s="193"/>
      <c r="H151" s="240"/>
      <c r="I151" s="281"/>
      <c r="J151" s="225"/>
      <c r="K151" s="225"/>
      <c r="L151" s="226"/>
      <c r="M151" s="226"/>
      <c r="N151" s="181">
        <f t="shared" si="2"/>
        <v>0</v>
      </c>
      <c r="O151" s="227"/>
      <c r="P151" s="227"/>
      <c r="Q151" s="223"/>
      <c r="R151" s="781"/>
      <c r="S151" s="781"/>
    </row>
    <row r="152" spans="1:19" ht="15.75" x14ac:dyDescent="0.25">
      <c r="A152" s="223"/>
      <c r="B152" s="281"/>
      <c r="C152" s="281"/>
      <c r="D152" s="281"/>
      <c r="E152" s="224"/>
      <c r="F152" s="192"/>
      <c r="G152" s="193"/>
      <c r="H152" s="240"/>
      <c r="I152" s="281"/>
      <c r="J152" s="225"/>
      <c r="K152" s="225"/>
      <c r="L152" s="226"/>
      <c r="M152" s="226"/>
      <c r="N152" s="181">
        <f t="shared" si="2"/>
        <v>0</v>
      </c>
      <c r="O152" s="227"/>
      <c r="P152" s="227"/>
      <c r="Q152" s="223"/>
      <c r="R152" s="781"/>
      <c r="S152" s="781"/>
    </row>
    <row r="153" spans="1:19" ht="15.75" x14ac:dyDescent="0.25">
      <c r="A153" s="223"/>
      <c r="B153" s="281"/>
      <c r="C153" s="281"/>
      <c r="D153" s="281"/>
      <c r="E153" s="224"/>
      <c r="F153" s="192"/>
      <c r="G153" s="193"/>
      <c r="H153" s="240"/>
      <c r="I153" s="281"/>
      <c r="J153" s="225"/>
      <c r="K153" s="225"/>
      <c r="L153" s="226"/>
      <c r="M153" s="226"/>
      <c r="N153" s="181">
        <f t="shared" si="2"/>
        <v>0</v>
      </c>
      <c r="O153" s="227"/>
      <c r="P153" s="227"/>
      <c r="Q153" s="223"/>
      <c r="R153" s="781"/>
      <c r="S153" s="781"/>
    </row>
    <row r="154" spans="1:19" ht="15.75" x14ac:dyDescent="0.25">
      <c r="A154" s="223"/>
      <c r="B154" s="281"/>
      <c r="C154" s="281"/>
      <c r="D154" s="281"/>
      <c r="E154" s="224"/>
      <c r="F154" s="192"/>
      <c r="G154" s="193"/>
      <c r="H154" s="240"/>
      <c r="I154" s="281"/>
      <c r="J154" s="225"/>
      <c r="K154" s="225"/>
      <c r="L154" s="226"/>
      <c r="M154" s="226"/>
      <c r="N154" s="181">
        <f t="shared" si="2"/>
        <v>0</v>
      </c>
      <c r="O154" s="227"/>
      <c r="P154" s="227"/>
      <c r="Q154" s="223"/>
      <c r="R154" s="781"/>
      <c r="S154" s="781"/>
    </row>
    <row r="155" spans="1:19" ht="15.75" x14ac:dyDescent="0.25">
      <c r="A155" s="223"/>
      <c r="B155" s="281"/>
      <c r="C155" s="281"/>
      <c r="D155" s="281"/>
      <c r="E155" s="224"/>
      <c r="F155" s="192"/>
      <c r="G155" s="193"/>
      <c r="H155" s="240"/>
      <c r="I155" s="281"/>
      <c r="J155" s="225"/>
      <c r="K155" s="225"/>
      <c r="L155" s="226"/>
      <c r="M155" s="226"/>
      <c r="N155" s="181">
        <f t="shared" si="2"/>
        <v>0</v>
      </c>
      <c r="O155" s="227"/>
      <c r="P155" s="227"/>
      <c r="Q155" s="223"/>
      <c r="R155" s="781"/>
      <c r="S155" s="781"/>
    </row>
    <row r="156" spans="1:19" ht="15.75" x14ac:dyDescent="0.25">
      <c r="A156" s="223"/>
      <c r="B156" s="281"/>
      <c r="C156" s="281"/>
      <c r="D156" s="281"/>
      <c r="E156" s="224"/>
      <c r="F156" s="192"/>
      <c r="G156" s="193"/>
      <c r="H156" s="240"/>
      <c r="I156" s="281"/>
      <c r="J156" s="225"/>
      <c r="K156" s="225"/>
      <c r="L156" s="226"/>
      <c r="M156" s="226"/>
      <c r="N156" s="181">
        <f t="shared" si="2"/>
        <v>0</v>
      </c>
      <c r="O156" s="227"/>
      <c r="P156" s="227"/>
      <c r="Q156" s="223"/>
      <c r="R156" s="781"/>
      <c r="S156" s="781"/>
    </row>
    <row r="157" spans="1:19" ht="15.75" x14ac:dyDescent="0.25">
      <c r="A157" s="223"/>
      <c r="B157" s="281"/>
      <c r="C157" s="281"/>
      <c r="D157" s="281"/>
      <c r="E157" s="224"/>
      <c r="F157" s="192"/>
      <c r="G157" s="193"/>
      <c r="H157" s="240"/>
      <c r="I157" s="281"/>
      <c r="J157" s="225"/>
      <c r="K157" s="225"/>
      <c r="L157" s="226"/>
      <c r="M157" s="226"/>
      <c r="N157" s="181">
        <f t="shared" si="2"/>
        <v>0</v>
      </c>
      <c r="O157" s="227"/>
      <c r="P157" s="227"/>
      <c r="Q157" s="223"/>
      <c r="R157" s="781"/>
      <c r="S157" s="781"/>
    </row>
    <row r="158" spans="1:19" ht="15.75" x14ac:dyDescent="0.25">
      <c r="A158" s="223"/>
      <c r="B158" s="281"/>
      <c r="C158" s="281"/>
      <c r="D158" s="281"/>
      <c r="E158" s="224"/>
      <c r="F158" s="192"/>
      <c r="G158" s="193"/>
      <c r="H158" s="240"/>
      <c r="I158" s="281"/>
      <c r="J158" s="225"/>
      <c r="K158" s="225"/>
      <c r="L158" s="226"/>
      <c r="M158" s="226"/>
      <c r="N158" s="181">
        <f t="shared" si="2"/>
        <v>0</v>
      </c>
      <c r="O158" s="227"/>
      <c r="P158" s="227"/>
      <c r="Q158" s="223"/>
      <c r="R158" s="781"/>
      <c r="S158" s="781"/>
    </row>
    <row r="159" spans="1:19" ht="15.75" x14ac:dyDescent="0.25">
      <c r="A159" s="223"/>
      <c r="B159" s="281"/>
      <c r="C159" s="281"/>
      <c r="D159" s="281"/>
      <c r="E159" s="224"/>
      <c r="F159" s="192"/>
      <c r="G159" s="193"/>
      <c r="H159" s="240"/>
      <c r="I159" s="281"/>
      <c r="J159" s="225"/>
      <c r="K159" s="225"/>
      <c r="L159" s="226"/>
      <c r="M159" s="226"/>
      <c r="N159" s="181">
        <f t="shared" si="2"/>
        <v>0</v>
      </c>
      <c r="O159" s="227"/>
      <c r="P159" s="227"/>
      <c r="Q159" s="223"/>
      <c r="R159" s="781"/>
      <c r="S159" s="781"/>
    </row>
    <row r="160" spans="1:19" ht="15.75" x14ac:dyDescent="0.25">
      <c r="A160" s="223"/>
      <c r="B160" s="281"/>
      <c r="C160" s="281"/>
      <c r="D160" s="281"/>
      <c r="E160" s="224"/>
      <c r="F160" s="192"/>
      <c r="G160" s="193"/>
      <c r="H160" s="240"/>
      <c r="I160" s="281"/>
      <c r="J160" s="225"/>
      <c r="K160" s="225"/>
      <c r="L160" s="226"/>
      <c r="M160" s="226"/>
      <c r="N160" s="181">
        <f t="shared" si="2"/>
        <v>0</v>
      </c>
      <c r="O160" s="227"/>
      <c r="P160" s="227"/>
      <c r="Q160" s="223"/>
      <c r="R160" s="781"/>
      <c r="S160" s="781"/>
    </row>
    <row r="161" spans="1:19" ht="15.75" x14ac:dyDescent="0.25">
      <c r="A161" s="223"/>
      <c r="B161" s="281"/>
      <c r="C161" s="281"/>
      <c r="D161" s="281"/>
      <c r="E161" s="224"/>
      <c r="F161" s="192"/>
      <c r="G161" s="193"/>
      <c r="H161" s="240"/>
      <c r="I161" s="281"/>
      <c r="J161" s="225"/>
      <c r="K161" s="225"/>
      <c r="L161" s="226"/>
      <c r="M161" s="226"/>
      <c r="N161" s="181">
        <f t="shared" si="2"/>
        <v>0</v>
      </c>
      <c r="O161" s="227"/>
      <c r="P161" s="227"/>
      <c r="Q161" s="223"/>
      <c r="R161" s="781"/>
      <c r="S161" s="781"/>
    </row>
    <row r="162" spans="1:19" ht="15.75" x14ac:dyDescent="0.25">
      <c r="A162" s="223"/>
      <c r="B162" s="281"/>
      <c r="C162" s="281"/>
      <c r="D162" s="281"/>
      <c r="E162" s="224"/>
      <c r="F162" s="192"/>
      <c r="G162" s="193"/>
      <c r="H162" s="240"/>
      <c r="I162" s="281"/>
      <c r="J162" s="225"/>
      <c r="K162" s="225"/>
      <c r="L162" s="226"/>
      <c r="M162" s="226"/>
      <c r="N162" s="181">
        <f t="shared" si="2"/>
        <v>0</v>
      </c>
      <c r="O162" s="227"/>
      <c r="P162" s="227"/>
      <c r="Q162" s="223"/>
      <c r="R162" s="781"/>
      <c r="S162" s="781"/>
    </row>
    <row r="163" spans="1:19" ht="15.75" x14ac:dyDescent="0.25">
      <c r="A163" s="223"/>
      <c r="B163" s="281"/>
      <c r="C163" s="281"/>
      <c r="D163" s="281"/>
      <c r="E163" s="224"/>
      <c r="F163" s="192"/>
      <c r="G163" s="193"/>
      <c r="H163" s="240"/>
      <c r="I163" s="281"/>
      <c r="J163" s="225"/>
      <c r="K163" s="225"/>
      <c r="L163" s="226"/>
      <c r="M163" s="226"/>
      <c r="N163" s="181">
        <f t="shared" si="2"/>
        <v>0</v>
      </c>
      <c r="O163" s="227"/>
      <c r="P163" s="227"/>
      <c r="Q163" s="223"/>
      <c r="R163" s="781"/>
      <c r="S163" s="781"/>
    </row>
    <row r="164" spans="1:19" ht="15.75" x14ac:dyDescent="0.25">
      <c r="A164" s="223"/>
      <c r="B164" s="281"/>
      <c r="C164" s="281"/>
      <c r="D164" s="281"/>
      <c r="E164" s="224"/>
      <c r="F164" s="192"/>
      <c r="G164" s="193"/>
      <c r="H164" s="240"/>
      <c r="I164" s="281"/>
      <c r="J164" s="225"/>
      <c r="K164" s="225"/>
      <c r="L164" s="226"/>
      <c r="M164" s="226"/>
      <c r="N164" s="181">
        <f t="shared" si="2"/>
        <v>0</v>
      </c>
      <c r="O164" s="227"/>
      <c r="P164" s="227"/>
      <c r="Q164" s="223"/>
      <c r="R164" s="781"/>
      <c r="S164" s="781"/>
    </row>
    <row r="165" spans="1:19" ht="15.75" x14ac:dyDescent="0.25">
      <c r="A165" s="223"/>
      <c r="B165" s="281"/>
      <c r="C165" s="281"/>
      <c r="D165" s="281"/>
      <c r="E165" s="224"/>
      <c r="F165" s="192"/>
      <c r="G165" s="193"/>
      <c r="H165" s="240"/>
      <c r="I165" s="281"/>
      <c r="J165" s="225"/>
      <c r="K165" s="225"/>
      <c r="L165" s="226"/>
      <c r="M165" s="226"/>
      <c r="N165" s="181">
        <f t="shared" si="2"/>
        <v>0</v>
      </c>
      <c r="O165" s="227"/>
      <c r="P165" s="227"/>
      <c r="Q165" s="223"/>
      <c r="R165" s="781"/>
      <c r="S165" s="781"/>
    </row>
    <row r="166" spans="1:19" ht="15.75" x14ac:dyDescent="0.25">
      <c r="A166" s="223"/>
      <c r="B166" s="281"/>
      <c r="C166" s="281"/>
      <c r="D166" s="281"/>
      <c r="E166" s="224"/>
      <c r="F166" s="192"/>
      <c r="G166" s="193"/>
      <c r="H166" s="240"/>
      <c r="I166" s="281"/>
      <c r="J166" s="225"/>
      <c r="K166" s="225"/>
      <c r="L166" s="226"/>
      <c r="M166" s="226"/>
      <c r="N166" s="181">
        <f t="shared" si="2"/>
        <v>0</v>
      </c>
      <c r="O166" s="227"/>
      <c r="P166" s="227"/>
      <c r="Q166" s="223"/>
      <c r="R166" s="781"/>
      <c r="S166" s="781"/>
    </row>
    <row r="167" spans="1:19" ht="15.75" x14ac:dyDescent="0.25">
      <c r="A167" s="223"/>
      <c r="B167" s="281"/>
      <c r="C167" s="281"/>
      <c r="D167" s="281"/>
      <c r="E167" s="224"/>
      <c r="F167" s="192"/>
      <c r="G167" s="193"/>
      <c r="H167" s="240"/>
      <c r="I167" s="281"/>
      <c r="J167" s="225"/>
      <c r="K167" s="225"/>
      <c r="L167" s="226"/>
      <c r="M167" s="226"/>
      <c r="N167" s="181">
        <f t="shared" si="2"/>
        <v>0</v>
      </c>
      <c r="O167" s="227"/>
      <c r="P167" s="227"/>
      <c r="Q167" s="223"/>
      <c r="R167" s="781"/>
      <c r="S167" s="781"/>
    </row>
    <row r="168" spans="1:19" ht="15.75" x14ac:dyDescent="0.25">
      <c r="A168" s="223"/>
      <c r="B168" s="281"/>
      <c r="C168" s="281"/>
      <c r="D168" s="281"/>
      <c r="E168" s="224"/>
      <c r="F168" s="192"/>
      <c r="G168" s="193"/>
      <c r="H168" s="240"/>
      <c r="I168" s="281"/>
      <c r="J168" s="225"/>
      <c r="K168" s="225"/>
      <c r="L168" s="226"/>
      <c r="M168" s="226"/>
      <c r="N168" s="181">
        <f t="shared" si="2"/>
        <v>0</v>
      </c>
      <c r="O168" s="227"/>
      <c r="P168" s="227"/>
      <c r="Q168" s="223"/>
      <c r="R168" s="781"/>
      <c r="S168" s="781"/>
    </row>
    <row r="169" spans="1:19" ht="15.75" x14ac:dyDescent="0.25">
      <c r="A169" s="223"/>
      <c r="B169" s="281"/>
      <c r="C169" s="281"/>
      <c r="D169" s="281"/>
      <c r="E169" s="224"/>
      <c r="F169" s="192"/>
      <c r="G169" s="193"/>
      <c r="H169" s="240"/>
      <c r="I169" s="281"/>
      <c r="J169" s="225"/>
      <c r="K169" s="225"/>
      <c r="L169" s="226"/>
      <c r="M169" s="226"/>
      <c r="N169" s="181">
        <f t="shared" si="2"/>
        <v>0</v>
      </c>
      <c r="O169" s="227"/>
      <c r="P169" s="227"/>
      <c r="Q169" s="223"/>
      <c r="R169" s="781"/>
      <c r="S169" s="781"/>
    </row>
    <row r="170" spans="1:19" ht="15.75" x14ac:dyDescent="0.25">
      <c r="A170" s="223"/>
      <c r="B170" s="281"/>
      <c r="C170" s="281"/>
      <c r="D170" s="281"/>
      <c r="E170" s="224"/>
      <c r="F170" s="192"/>
      <c r="G170" s="193"/>
      <c r="H170" s="240"/>
      <c r="I170" s="281"/>
      <c r="J170" s="225"/>
      <c r="K170" s="225"/>
      <c r="L170" s="226"/>
      <c r="M170" s="226"/>
      <c r="N170" s="181">
        <f t="shared" si="2"/>
        <v>0</v>
      </c>
      <c r="O170" s="227"/>
      <c r="P170" s="227"/>
      <c r="Q170" s="223"/>
      <c r="R170" s="781"/>
      <c r="S170" s="781"/>
    </row>
    <row r="171" spans="1:19" ht="15.75" x14ac:dyDescent="0.25">
      <c r="A171" s="223"/>
      <c r="B171" s="281"/>
      <c r="C171" s="281"/>
      <c r="D171" s="281"/>
      <c r="E171" s="224"/>
      <c r="F171" s="192"/>
      <c r="G171" s="193"/>
      <c r="H171" s="240"/>
      <c r="I171" s="281"/>
      <c r="J171" s="225"/>
      <c r="K171" s="225"/>
      <c r="L171" s="226"/>
      <c r="M171" s="226"/>
      <c r="N171" s="181">
        <f t="shared" si="2"/>
        <v>0</v>
      </c>
      <c r="O171" s="227"/>
      <c r="P171" s="227"/>
      <c r="Q171" s="223"/>
      <c r="R171" s="781"/>
      <c r="S171" s="781"/>
    </row>
    <row r="172" spans="1:19" ht="15.75" x14ac:dyDescent="0.25">
      <c r="A172" s="223"/>
      <c r="B172" s="281"/>
      <c r="C172" s="281"/>
      <c r="D172" s="281"/>
      <c r="E172" s="224"/>
      <c r="F172" s="192"/>
      <c r="G172" s="193"/>
      <c r="H172" s="240"/>
      <c r="I172" s="281"/>
      <c r="J172" s="225"/>
      <c r="K172" s="225"/>
      <c r="L172" s="226"/>
      <c r="M172" s="226"/>
      <c r="N172" s="181">
        <f t="shared" si="2"/>
        <v>0</v>
      </c>
      <c r="O172" s="227"/>
      <c r="P172" s="227"/>
      <c r="Q172" s="223"/>
      <c r="R172" s="781"/>
      <c r="S172" s="781"/>
    </row>
    <row r="173" spans="1:19" ht="15.75" x14ac:dyDescent="0.25">
      <c r="A173" s="223"/>
      <c r="B173" s="281"/>
      <c r="C173" s="281"/>
      <c r="D173" s="281"/>
      <c r="E173" s="224"/>
      <c r="F173" s="192"/>
      <c r="G173" s="193"/>
      <c r="H173" s="240"/>
      <c r="I173" s="281"/>
      <c r="J173" s="225"/>
      <c r="K173" s="225"/>
      <c r="L173" s="226"/>
      <c r="M173" s="226"/>
      <c r="N173" s="181">
        <f t="shared" si="2"/>
        <v>0</v>
      </c>
      <c r="O173" s="227"/>
      <c r="P173" s="227"/>
      <c r="Q173" s="223"/>
      <c r="R173" s="781"/>
      <c r="S173" s="781"/>
    </row>
    <row r="174" spans="1:19" ht="15.75" x14ac:dyDescent="0.25">
      <c r="A174" s="223"/>
      <c r="B174" s="281"/>
      <c r="C174" s="281"/>
      <c r="D174" s="281"/>
      <c r="E174" s="224"/>
      <c r="F174" s="192"/>
      <c r="G174" s="193"/>
      <c r="H174" s="240"/>
      <c r="I174" s="281"/>
      <c r="J174" s="225"/>
      <c r="K174" s="225"/>
      <c r="L174" s="226"/>
      <c r="M174" s="226"/>
      <c r="N174" s="181">
        <f t="shared" si="2"/>
        <v>0</v>
      </c>
      <c r="O174" s="227"/>
      <c r="P174" s="227"/>
      <c r="Q174" s="223"/>
      <c r="R174" s="781"/>
      <c r="S174" s="781"/>
    </row>
    <row r="175" spans="1:19" ht="15.75" x14ac:dyDescent="0.25">
      <c r="A175" s="223"/>
      <c r="B175" s="281"/>
      <c r="C175" s="281"/>
      <c r="D175" s="281"/>
      <c r="E175" s="224"/>
      <c r="F175" s="192"/>
      <c r="G175" s="193"/>
      <c r="H175" s="240"/>
      <c r="I175" s="281"/>
      <c r="J175" s="225"/>
      <c r="K175" s="225"/>
      <c r="L175" s="226"/>
      <c r="M175" s="226"/>
      <c r="N175" s="181">
        <f t="shared" si="2"/>
        <v>0</v>
      </c>
      <c r="O175" s="227"/>
      <c r="P175" s="227"/>
      <c r="Q175" s="223"/>
      <c r="R175" s="781"/>
      <c r="S175" s="781"/>
    </row>
    <row r="176" spans="1:19" ht="15.75" x14ac:dyDescent="0.25">
      <c r="A176" s="223"/>
      <c r="B176" s="281"/>
      <c r="C176" s="281"/>
      <c r="D176" s="281"/>
      <c r="E176" s="224"/>
      <c r="F176" s="192"/>
      <c r="G176" s="193"/>
      <c r="H176" s="240"/>
      <c r="I176" s="281"/>
      <c r="J176" s="225"/>
      <c r="K176" s="225"/>
      <c r="L176" s="226"/>
      <c r="M176" s="226"/>
      <c r="N176" s="181">
        <f t="shared" si="2"/>
        <v>0</v>
      </c>
      <c r="O176" s="227"/>
      <c r="P176" s="227"/>
      <c r="Q176" s="223"/>
      <c r="R176" s="781"/>
      <c r="S176" s="781"/>
    </row>
    <row r="177" spans="1:19" ht="15.75" x14ac:dyDescent="0.25">
      <c r="A177" s="223"/>
      <c r="B177" s="281"/>
      <c r="C177" s="281"/>
      <c r="D177" s="281"/>
      <c r="E177" s="224"/>
      <c r="F177" s="192"/>
      <c r="G177" s="193"/>
      <c r="H177" s="240"/>
      <c r="I177" s="281"/>
      <c r="J177" s="225"/>
      <c r="K177" s="225"/>
      <c r="L177" s="226"/>
      <c r="M177" s="226"/>
      <c r="N177" s="181">
        <f t="shared" si="2"/>
        <v>0</v>
      </c>
      <c r="O177" s="227"/>
      <c r="P177" s="227"/>
      <c r="Q177" s="223"/>
      <c r="R177" s="781"/>
      <c r="S177" s="781"/>
    </row>
    <row r="178" spans="1:19" ht="15.75" x14ac:dyDescent="0.25">
      <c r="A178" s="223"/>
      <c r="B178" s="281"/>
      <c r="C178" s="281"/>
      <c r="D178" s="281"/>
      <c r="E178" s="224"/>
      <c r="F178" s="192"/>
      <c r="G178" s="193"/>
      <c r="H178" s="240"/>
      <c r="I178" s="281"/>
      <c r="J178" s="225"/>
      <c r="K178" s="225"/>
      <c r="L178" s="226"/>
      <c r="M178" s="226"/>
      <c r="N178" s="181">
        <f t="shared" si="2"/>
        <v>0</v>
      </c>
      <c r="O178" s="227"/>
      <c r="P178" s="227"/>
      <c r="Q178" s="223"/>
      <c r="R178" s="781"/>
      <c r="S178" s="781"/>
    </row>
    <row r="179" spans="1:19" ht="15.75" x14ac:dyDescent="0.25">
      <c r="A179" s="223"/>
      <c r="B179" s="281"/>
      <c r="C179" s="281"/>
      <c r="D179" s="281"/>
      <c r="E179" s="224"/>
      <c r="F179" s="192"/>
      <c r="G179" s="193"/>
      <c r="H179" s="240"/>
      <c r="I179" s="281"/>
      <c r="J179" s="225"/>
      <c r="K179" s="225"/>
      <c r="L179" s="226"/>
      <c r="M179" s="226"/>
      <c r="N179" s="181">
        <f t="shared" si="2"/>
        <v>0</v>
      </c>
      <c r="O179" s="227"/>
      <c r="P179" s="227"/>
      <c r="Q179" s="223"/>
      <c r="R179" s="781"/>
      <c r="S179" s="781"/>
    </row>
    <row r="180" spans="1:19" ht="15.75" x14ac:dyDescent="0.25">
      <c r="A180" s="223"/>
      <c r="B180" s="281"/>
      <c r="C180" s="281"/>
      <c r="D180" s="281"/>
      <c r="E180" s="224"/>
      <c r="F180" s="192"/>
      <c r="G180" s="193"/>
      <c r="H180" s="240"/>
      <c r="I180" s="281"/>
      <c r="J180" s="225"/>
      <c r="K180" s="225"/>
      <c r="L180" s="226"/>
      <c r="M180" s="226"/>
      <c r="N180" s="181">
        <f t="shared" si="2"/>
        <v>0</v>
      </c>
      <c r="O180" s="227"/>
      <c r="P180" s="227"/>
      <c r="Q180" s="223"/>
      <c r="R180" s="781"/>
      <c r="S180" s="781"/>
    </row>
    <row r="181" spans="1:19" ht="15.75" x14ac:dyDescent="0.25">
      <c r="A181" s="223"/>
      <c r="B181" s="281"/>
      <c r="C181" s="281"/>
      <c r="D181" s="281"/>
      <c r="E181" s="224"/>
      <c r="F181" s="192"/>
      <c r="G181" s="193"/>
      <c r="H181" s="240"/>
      <c r="I181" s="281"/>
      <c r="J181" s="225"/>
      <c r="K181" s="225"/>
      <c r="L181" s="226"/>
      <c r="M181" s="226"/>
      <c r="N181" s="181">
        <f t="shared" si="2"/>
        <v>0</v>
      </c>
      <c r="O181" s="227"/>
      <c r="P181" s="227"/>
      <c r="Q181" s="223"/>
      <c r="R181" s="781"/>
      <c r="S181" s="781"/>
    </row>
    <row r="182" spans="1:19" ht="15.75" x14ac:dyDescent="0.25">
      <c r="A182" s="223"/>
      <c r="B182" s="281"/>
      <c r="C182" s="281"/>
      <c r="D182" s="281"/>
      <c r="E182" s="224"/>
      <c r="F182" s="192"/>
      <c r="G182" s="193"/>
      <c r="H182" s="240"/>
      <c r="I182" s="281"/>
      <c r="J182" s="225"/>
      <c r="K182" s="225"/>
      <c r="L182" s="226"/>
      <c r="M182" s="226"/>
      <c r="N182" s="181">
        <f t="shared" si="2"/>
        <v>0</v>
      </c>
      <c r="O182" s="227"/>
      <c r="P182" s="227"/>
      <c r="Q182" s="223"/>
      <c r="R182" s="781"/>
      <c r="S182" s="781"/>
    </row>
    <row r="183" spans="1:19" ht="15.75" x14ac:dyDescent="0.25">
      <c r="A183" s="223"/>
      <c r="B183" s="281"/>
      <c r="C183" s="281"/>
      <c r="D183" s="281"/>
      <c r="E183" s="224"/>
      <c r="F183" s="192"/>
      <c r="G183" s="193"/>
      <c r="H183" s="240"/>
      <c r="I183" s="281"/>
      <c r="J183" s="225"/>
      <c r="K183" s="225"/>
      <c r="L183" s="226"/>
      <c r="M183" s="226"/>
      <c r="N183" s="181">
        <f t="shared" si="2"/>
        <v>0</v>
      </c>
      <c r="O183" s="227"/>
      <c r="P183" s="227"/>
      <c r="Q183" s="223"/>
      <c r="R183" s="781"/>
      <c r="S183" s="781"/>
    </row>
    <row r="184" spans="1:19" ht="15.75" x14ac:dyDescent="0.25">
      <c r="A184" s="223"/>
      <c r="B184" s="281"/>
      <c r="C184" s="281"/>
      <c r="D184" s="281"/>
      <c r="E184" s="224"/>
      <c r="F184" s="192"/>
      <c r="G184" s="193"/>
      <c r="H184" s="240"/>
      <c r="I184" s="281"/>
      <c r="J184" s="225"/>
      <c r="K184" s="225"/>
      <c r="L184" s="226"/>
      <c r="M184" s="226"/>
      <c r="N184" s="181">
        <f t="shared" si="2"/>
        <v>0</v>
      </c>
      <c r="O184" s="227"/>
      <c r="P184" s="227"/>
      <c r="Q184" s="223"/>
      <c r="R184" s="781"/>
      <c r="S184" s="781"/>
    </row>
    <row r="185" spans="1:19" ht="15.75" x14ac:dyDescent="0.25">
      <c r="A185" s="223"/>
      <c r="B185" s="281"/>
      <c r="C185" s="281"/>
      <c r="D185" s="281"/>
      <c r="E185" s="224"/>
      <c r="F185" s="192"/>
      <c r="G185" s="193"/>
      <c r="H185" s="240"/>
      <c r="I185" s="281"/>
      <c r="J185" s="225"/>
      <c r="K185" s="225"/>
      <c r="L185" s="226"/>
      <c r="M185" s="226"/>
      <c r="N185" s="181">
        <f t="shared" si="2"/>
        <v>0</v>
      </c>
      <c r="O185" s="227"/>
      <c r="P185" s="227"/>
      <c r="Q185" s="223"/>
      <c r="R185" s="781"/>
      <c r="S185" s="781"/>
    </row>
    <row r="186" spans="1:19" ht="15.75" x14ac:dyDescent="0.25">
      <c r="A186" s="223"/>
      <c r="B186" s="281"/>
      <c r="C186" s="281"/>
      <c r="D186" s="281"/>
      <c r="E186" s="224"/>
      <c r="F186" s="192"/>
      <c r="G186" s="193"/>
      <c r="H186" s="240"/>
      <c r="I186" s="281"/>
      <c r="J186" s="225"/>
      <c r="K186" s="225"/>
      <c r="L186" s="226"/>
      <c r="M186" s="226"/>
      <c r="N186" s="181">
        <f t="shared" si="2"/>
        <v>0</v>
      </c>
      <c r="O186" s="227"/>
      <c r="P186" s="227"/>
      <c r="Q186" s="223"/>
      <c r="R186" s="781"/>
      <c r="S186" s="781"/>
    </row>
    <row r="187" spans="1:19" ht="15.75" x14ac:dyDescent="0.25">
      <c r="A187" s="223"/>
      <c r="B187" s="281"/>
      <c r="C187" s="281"/>
      <c r="D187" s="281"/>
      <c r="E187" s="224"/>
      <c r="F187" s="192"/>
      <c r="G187" s="193"/>
      <c r="H187" s="240"/>
      <c r="I187" s="281"/>
      <c r="J187" s="225"/>
      <c r="K187" s="225"/>
      <c r="L187" s="226"/>
      <c r="M187" s="226"/>
      <c r="N187" s="181">
        <f t="shared" si="2"/>
        <v>0</v>
      </c>
      <c r="O187" s="227"/>
      <c r="P187" s="227"/>
      <c r="Q187" s="223"/>
      <c r="R187" s="781"/>
      <c r="S187" s="781"/>
    </row>
    <row r="188" spans="1:19" ht="15.75" x14ac:dyDescent="0.25">
      <c r="A188" s="223"/>
      <c r="B188" s="281"/>
      <c r="C188" s="281"/>
      <c r="D188" s="281"/>
      <c r="E188" s="224"/>
      <c r="F188" s="192"/>
      <c r="G188" s="193"/>
      <c r="H188" s="240"/>
      <c r="I188" s="281"/>
      <c r="J188" s="225"/>
      <c r="K188" s="225"/>
      <c r="L188" s="226"/>
      <c r="M188" s="226"/>
      <c r="N188" s="181">
        <f t="shared" si="2"/>
        <v>0</v>
      </c>
      <c r="O188" s="227"/>
      <c r="P188" s="227"/>
      <c r="Q188" s="223"/>
      <c r="R188" s="781"/>
      <c r="S188" s="781"/>
    </row>
    <row r="189" spans="1:19" ht="15.75" x14ac:dyDescent="0.25">
      <c r="A189" s="223"/>
      <c r="B189" s="281"/>
      <c r="C189" s="281"/>
      <c r="D189" s="281"/>
      <c r="E189" s="224"/>
      <c r="F189" s="192"/>
      <c r="G189" s="193"/>
      <c r="H189" s="240"/>
      <c r="I189" s="281"/>
      <c r="J189" s="225"/>
      <c r="K189" s="225"/>
      <c r="L189" s="226"/>
      <c r="M189" s="226"/>
      <c r="N189" s="181">
        <f t="shared" si="2"/>
        <v>0</v>
      </c>
      <c r="O189" s="227"/>
      <c r="P189" s="227"/>
      <c r="Q189" s="223"/>
      <c r="R189" s="781"/>
      <c r="S189" s="781"/>
    </row>
    <row r="190" spans="1:19" ht="15.75" x14ac:dyDescent="0.25">
      <c r="A190" s="223"/>
      <c r="B190" s="281"/>
      <c r="C190" s="281"/>
      <c r="D190" s="281"/>
      <c r="E190" s="224"/>
      <c r="F190" s="192"/>
      <c r="G190" s="193"/>
      <c r="H190" s="240"/>
      <c r="I190" s="281"/>
      <c r="J190" s="225"/>
      <c r="K190" s="225"/>
      <c r="L190" s="226"/>
      <c r="M190" s="226"/>
      <c r="N190" s="181">
        <f t="shared" si="2"/>
        <v>0</v>
      </c>
      <c r="O190" s="227"/>
      <c r="P190" s="227"/>
      <c r="Q190" s="223"/>
      <c r="R190" s="781"/>
      <c r="S190" s="781"/>
    </row>
    <row r="191" spans="1:19" ht="15.75" x14ac:dyDescent="0.25">
      <c r="A191" s="223"/>
      <c r="B191" s="281"/>
      <c r="C191" s="281"/>
      <c r="D191" s="281"/>
      <c r="E191" s="224"/>
      <c r="F191" s="192"/>
      <c r="G191" s="193"/>
      <c r="H191" s="240"/>
      <c r="I191" s="281"/>
      <c r="J191" s="225"/>
      <c r="K191" s="225"/>
      <c r="L191" s="226"/>
      <c r="M191" s="226"/>
      <c r="N191" s="181">
        <f t="shared" si="2"/>
        <v>0</v>
      </c>
      <c r="O191" s="227"/>
      <c r="P191" s="227"/>
      <c r="Q191" s="223"/>
      <c r="R191" s="781"/>
      <c r="S191" s="781"/>
    </row>
    <row r="192" spans="1:19" ht="15.75" x14ac:dyDescent="0.25">
      <c r="A192" s="223"/>
      <c r="B192" s="281"/>
      <c r="C192" s="281"/>
      <c r="D192" s="281"/>
      <c r="E192" s="224"/>
      <c r="F192" s="192"/>
      <c r="G192" s="193"/>
      <c r="H192" s="240"/>
      <c r="I192" s="281"/>
      <c r="J192" s="225"/>
      <c r="K192" s="225"/>
      <c r="L192" s="226"/>
      <c r="M192" s="226"/>
      <c r="N192" s="181">
        <f t="shared" si="2"/>
        <v>0</v>
      </c>
      <c r="O192" s="227"/>
      <c r="P192" s="227"/>
      <c r="Q192" s="223"/>
      <c r="R192" s="781"/>
      <c r="S192" s="781"/>
    </row>
    <row r="193" spans="1:19" ht="15.75" x14ac:dyDescent="0.25">
      <c r="A193" s="223"/>
      <c r="B193" s="281"/>
      <c r="C193" s="281"/>
      <c r="D193" s="281"/>
      <c r="E193" s="224"/>
      <c r="F193" s="192"/>
      <c r="G193" s="193"/>
      <c r="H193" s="240"/>
      <c r="I193" s="281"/>
      <c r="J193" s="225"/>
      <c r="K193" s="225"/>
      <c r="L193" s="226"/>
      <c r="M193" s="226"/>
      <c r="N193" s="181">
        <f t="shared" si="2"/>
        <v>0</v>
      </c>
      <c r="O193" s="227"/>
      <c r="P193" s="227"/>
      <c r="Q193" s="223"/>
      <c r="R193" s="781"/>
      <c r="S193" s="781"/>
    </row>
    <row r="194" spans="1:19" ht="15.75" x14ac:dyDescent="0.25">
      <c r="A194" s="223"/>
      <c r="B194" s="281"/>
      <c r="C194" s="281"/>
      <c r="D194" s="281"/>
      <c r="E194" s="224"/>
      <c r="F194" s="192"/>
      <c r="G194" s="193"/>
      <c r="H194" s="240"/>
      <c r="I194" s="281"/>
      <c r="J194" s="225"/>
      <c r="K194" s="225"/>
      <c r="L194" s="226"/>
      <c r="M194" s="226"/>
      <c r="N194" s="181">
        <f t="shared" si="2"/>
        <v>0</v>
      </c>
      <c r="O194" s="227"/>
      <c r="P194" s="227"/>
      <c r="Q194" s="223"/>
      <c r="R194" s="781"/>
      <c r="S194" s="781"/>
    </row>
    <row r="195" spans="1:19" ht="15.75" x14ac:dyDescent="0.25">
      <c r="A195" s="223"/>
      <c r="B195" s="281"/>
      <c r="C195" s="281"/>
      <c r="D195" s="281"/>
      <c r="E195" s="224"/>
      <c r="F195" s="192"/>
      <c r="G195" s="193"/>
      <c r="H195" s="240"/>
      <c r="I195" s="281"/>
      <c r="J195" s="225"/>
      <c r="K195" s="225"/>
      <c r="L195" s="226"/>
      <c r="M195" s="226"/>
      <c r="N195" s="181">
        <f t="shared" si="2"/>
        <v>0</v>
      </c>
      <c r="O195" s="227"/>
      <c r="P195" s="227"/>
      <c r="Q195" s="223"/>
      <c r="R195" s="781"/>
      <c r="S195" s="781"/>
    </row>
    <row r="196" spans="1:19" ht="15.75" x14ac:dyDescent="0.25">
      <c r="A196" s="223"/>
      <c r="B196" s="281"/>
      <c r="C196" s="281"/>
      <c r="D196" s="281"/>
      <c r="E196" s="224"/>
      <c r="F196" s="192"/>
      <c r="G196" s="193"/>
      <c r="H196" s="240"/>
      <c r="I196" s="281"/>
      <c r="J196" s="225"/>
      <c r="K196" s="225"/>
      <c r="L196" s="226"/>
      <c r="M196" s="226"/>
      <c r="N196" s="181">
        <f t="shared" si="2"/>
        <v>0</v>
      </c>
      <c r="O196" s="227"/>
      <c r="P196" s="227"/>
      <c r="Q196" s="223"/>
      <c r="R196" s="781"/>
      <c r="S196" s="781"/>
    </row>
    <row r="197" spans="1:19" ht="15.75" x14ac:dyDescent="0.25">
      <c r="A197" s="223"/>
      <c r="B197" s="281"/>
      <c r="C197" s="281"/>
      <c r="D197" s="281"/>
      <c r="E197" s="224"/>
      <c r="F197" s="192"/>
      <c r="G197" s="193"/>
      <c r="H197" s="240"/>
      <c r="I197" s="281"/>
      <c r="J197" s="225"/>
      <c r="K197" s="225"/>
      <c r="L197" s="226"/>
      <c r="M197" s="226"/>
      <c r="N197" s="181">
        <f t="shared" ref="N197:N210" si="3">M197+L197</f>
        <v>0</v>
      </c>
      <c r="O197" s="227"/>
      <c r="P197" s="227"/>
      <c r="Q197" s="223"/>
      <c r="R197" s="781"/>
      <c r="S197" s="781"/>
    </row>
    <row r="198" spans="1:19" ht="15.75" x14ac:dyDescent="0.25">
      <c r="A198" s="223"/>
      <c r="B198" s="281"/>
      <c r="C198" s="281"/>
      <c r="D198" s="281"/>
      <c r="E198" s="224"/>
      <c r="F198" s="192"/>
      <c r="G198" s="193"/>
      <c r="H198" s="240"/>
      <c r="I198" s="281"/>
      <c r="J198" s="225"/>
      <c r="K198" s="225"/>
      <c r="L198" s="226"/>
      <c r="M198" s="226"/>
      <c r="N198" s="181">
        <f t="shared" si="3"/>
        <v>0</v>
      </c>
      <c r="O198" s="227"/>
      <c r="P198" s="227"/>
      <c r="Q198" s="223"/>
      <c r="R198" s="781"/>
      <c r="S198" s="781"/>
    </row>
    <row r="199" spans="1:19" ht="15.75" x14ac:dyDescent="0.25">
      <c r="A199" s="223"/>
      <c r="B199" s="281"/>
      <c r="C199" s="281"/>
      <c r="D199" s="281"/>
      <c r="E199" s="224"/>
      <c r="F199" s="192"/>
      <c r="G199" s="193"/>
      <c r="H199" s="240"/>
      <c r="I199" s="281"/>
      <c r="J199" s="225"/>
      <c r="K199" s="225"/>
      <c r="L199" s="226"/>
      <c r="M199" s="226"/>
      <c r="N199" s="181">
        <f t="shared" si="3"/>
        <v>0</v>
      </c>
      <c r="O199" s="227"/>
      <c r="P199" s="227"/>
      <c r="Q199" s="223"/>
      <c r="R199" s="781"/>
      <c r="S199" s="781"/>
    </row>
    <row r="200" spans="1:19" ht="15.75" x14ac:dyDescent="0.25">
      <c r="A200" s="223"/>
      <c r="B200" s="281"/>
      <c r="C200" s="281"/>
      <c r="D200" s="281"/>
      <c r="E200" s="224"/>
      <c r="F200" s="192"/>
      <c r="G200" s="193"/>
      <c r="H200" s="240"/>
      <c r="I200" s="281"/>
      <c r="J200" s="225"/>
      <c r="K200" s="225"/>
      <c r="L200" s="226"/>
      <c r="M200" s="226"/>
      <c r="N200" s="181">
        <f t="shared" si="3"/>
        <v>0</v>
      </c>
      <c r="O200" s="227"/>
      <c r="P200" s="227"/>
      <c r="Q200" s="223"/>
      <c r="R200" s="781"/>
      <c r="S200" s="781"/>
    </row>
    <row r="201" spans="1:19" ht="15.75" x14ac:dyDescent="0.25">
      <c r="A201" s="223"/>
      <c r="B201" s="281"/>
      <c r="C201" s="281"/>
      <c r="D201" s="281"/>
      <c r="E201" s="224"/>
      <c r="F201" s="192"/>
      <c r="G201" s="193"/>
      <c r="H201" s="240"/>
      <c r="I201" s="281"/>
      <c r="J201" s="225"/>
      <c r="K201" s="225"/>
      <c r="L201" s="226"/>
      <c r="M201" s="226"/>
      <c r="N201" s="181">
        <f t="shared" si="3"/>
        <v>0</v>
      </c>
      <c r="O201" s="227"/>
      <c r="P201" s="227"/>
      <c r="Q201" s="223"/>
      <c r="R201" s="781"/>
      <c r="S201" s="781"/>
    </row>
    <row r="202" spans="1:19" ht="15.75" x14ac:dyDescent="0.25">
      <c r="A202" s="223"/>
      <c r="B202" s="281"/>
      <c r="C202" s="281"/>
      <c r="D202" s="281"/>
      <c r="E202" s="224"/>
      <c r="F202" s="192"/>
      <c r="G202" s="193"/>
      <c r="H202" s="240"/>
      <c r="I202" s="281"/>
      <c r="J202" s="225"/>
      <c r="K202" s="225"/>
      <c r="L202" s="226"/>
      <c r="M202" s="226"/>
      <c r="N202" s="181">
        <f t="shared" si="3"/>
        <v>0</v>
      </c>
      <c r="O202" s="227"/>
      <c r="P202" s="227"/>
      <c r="Q202" s="223"/>
      <c r="R202" s="781"/>
      <c r="S202" s="781"/>
    </row>
    <row r="203" spans="1:19" ht="15.75" x14ac:dyDescent="0.25">
      <c r="A203" s="223"/>
      <c r="B203" s="281"/>
      <c r="C203" s="281"/>
      <c r="D203" s="281"/>
      <c r="E203" s="224"/>
      <c r="F203" s="192"/>
      <c r="G203" s="193"/>
      <c r="H203" s="240"/>
      <c r="I203" s="281"/>
      <c r="J203" s="225"/>
      <c r="K203" s="225"/>
      <c r="L203" s="226"/>
      <c r="M203" s="226"/>
      <c r="N203" s="181">
        <f t="shared" si="3"/>
        <v>0</v>
      </c>
      <c r="O203" s="227"/>
      <c r="P203" s="227"/>
      <c r="Q203" s="223"/>
      <c r="R203" s="781"/>
      <c r="S203" s="781"/>
    </row>
    <row r="204" spans="1:19" ht="15.75" x14ac:dyDescent="0.25">
      <c r="A204" s="223"/>
      <c r="B204" s="281"/>
      <c r="C204" s="281"/>
      <c r="D204" s="281"/>
      <c r="E204" s="224"/>
      <c r="F204" s="192"/>
      <c r="G204" s="193"/>
      <c r="H204" s="240"/>
      <c r="I204" s="281"/>
      <c r="J204" s="225"/>
      <c r="K204" s="225"/>
      <c r="L204" s="226"/>
      <c r="M204" s="226"/>
      <c r="N204" s="181">
        <f t="shared" si="3"/>
        <v>0</v>
      </c>
      <c r="O204" s="227"/>
      <c r="P204" s="227"/>
      <c r="Q204" s="223"/>
      <c r="R204" s="781"/>
      <c r="S204" s="781"/>
    </row>
    <row r="205" spans="1:19" ht="15.75" x14ac:dyDescent="0.25">
      <c r="A205" s="223"/>
      <c r="B205" s="281"/>
      <c r="C205" s="281"/>
      <c r="D205" s="281"/>
      <c r="E205" s="224"/>
      <c r="F205" s="192"/>
      <c r="G205" s="193"/>
      <c r="H205" s="240"/>
      <c r="I205" s="281"/>
      <c r="J205" s="225"/>
      <c r="K205" s="225"/>
      <c r="L205" s="226"/>
      <c r="M205" s="226"/>
      <c r="N205" s="181">
        <f t="shared" si="3"/>
        <v>0</v>
      </c>
      <c r="O205" s="227"/>
      <c r="P205" s="227"/>
      <c r="Q205" s="223"/>
      <c r="R205" s="781"/>
      <c r="S205" s="781"/>
    </row>
    <row r="206" spans="1:19" ht="15.75" x14ac:dyDescent="0.25">
      <c r="A206" s="223"/>
      <c r="B206" s="281"/>
      <c r="C206" s="281"/>
      <c r="D206" s="281"/>
      <c r="E206" s="224"/>
      <c r="F206" s="192"/>
      <c r="G206" s="193"/>
      <c r="H206" s="240"/>
      <c r="I206" s="281"/>
      <c r="J206" s="225"/>
      <c r="K206" s="225"/>
      <c r="L206" s="226"/>
      <c r="M206" s="226"/>
      <c r="N206" s="181">
        <f t="shared" si="3"/>
        <v>0</v>
      </c>
      <c r="O206" s="227"/>
      <c r="P206" s="227"/>
      <c r="Q206" s="223"/>
      <c r="R206" s="781"/>
      <c r="S206" s="781"/>
    </row>
    <row r="207" spans="1:19" ht="15.75" x14ac:dyDescent="0.25">
      <c r="A207" s="223"/>
      <c r="B207" s="281"/>
      <c r="C207" s="281"/>
      <c r="D207" s="281"/>
      <c r="E207" s="224"/>
      <c r="F207" s="192"/>
      <c r="G207" s="193"/>
      <c r="H207" s="240"/>
      <c r="I207" s="281"/>
      <c r="J207" s="225"/>
      <c r="K207" s="225"/>
      <c r="L207" s="226"/>
      <c r="M207" s="226"/>
      <c r="N207" s="181">
        <f t="shared" si="3"/>
        <v>0</v>
      </c>
      <c r="O207" s="227"/>
      <c r="P207" s="227"/>
      <c r="Q207" s="223"/>
      <c r="R207" s="781"/>
      <c r="S207" s="781"/>
    </row>
    <row r="208" spans="1:19" ht="15.75" x14ac:dyDescent="0.25">
      <c r="A208" s="223"/>
      <c r="B208" s="281"/>
      <c r="C208" s="281"/>
      <c r="D208" s="281"/>
      <c r="E208" s="224"/>
      <c r="F208" s="192"/>
      <c r="G208" s="193"/>
      <c r="H208" s="240"/>
      <c r="I208" s="281"/>
      <c r="J208" s="225"/>
      <c r="K208" s="225"/>
      <c r="L208" s="226"/>
      <c r="M208" s="226"/>
      <c r="N208" s="181">
        <f t="shared" si="3"/>
        <v>0</v>
      </c>
      <c r="O208" s="227"/>
      <c r="P208" s="227"/>
      <c r="Q208" s="223"/>
      <c r="R208" s="781"/>
      <c r="S208" s="781"/>
    </row>
    <row r="209" spans="1:19" ht="15.75" x14ac:dyDescent="0.25">
      <c r="A209" s="223"/>
      <c r="B209" s="281"/>
      <c r="C209" s="281"/>
      <c r="D209" s="281"/>
      <c r="E209" s="224"/>
      <c r="F209" s="192"/>
      <c r="G209" s="193"/>
      <c r="H209" s="240"/>
      <c r="I209" s="281"/>
      <c r="J209" s="225"/>
      <c r="K209" s="225"/>
      <c r="L209" s="226"/>
      <c r="M209" s="226"/>
      <c r="N209" s="181">
        <f t="shared" si="3"/>
        <v>0</v>
      </c>
      <c r="O209" s="227"/>
      <c r="P209" s="227"/>
      <c r="Q209" s="223"/>
      <c r="R209" s="781"/>
      <c r="S209" s="781"/>
    </row>
    <row r="210" spans="1:19" ht="15.75" x14ac:dyDescent="0.25">
      <c r="A210" s="223"/>
      <c r="B210" s="281"/>
      <c r="C210" s="281"/>
      <c r="D210" s="281"/>
      <c r="E210" s="224"/>
      <c r="F210" s="192"/>
      <c r="G210" s="193"/>
      <c r="H210" s="240"/>
      <c r="I210" s="281"/>
      <c r="J210" s="225"/>
      <c r="K210" s="225"/>
      <c r="L210" s="226"/>
      <c r="M210" s="226"/>
      <c r="N210" s="181">
        <f t="shared" si="3"/>
        <v>0</v>
      </c>
      <c r="O210" s="227"/>
      <c r="P210" s="227"/>
      <c r="Q210" s="223"/>
      <c r="R210" s="781"/>
      <c r="S210" s="781"/>
    </row>
    <row r="211" spans="1:19" x14ac:dyDescent="0.25">
      <c r="A211" s="223"/>
      <c r="B211" s="281"/>
      <c r="C211" s="281"/>
      <c r="D211" s="281"/>
      <c r="E211" s="224"/>
      <c r="F211" s="192"/>
      <c r="G211" s="193"/>
      <c r="H211" s="240"/>
      <c r="I211" s="281"/>
      <c r="J211" s="225"/>
      <c r="K211" s="225"/>
      <c r="L211" s="226"/>
      <c r="M211" s="226"/>
      <c r="N211" s="226"/>
      <c r="O211" s="227"/>
      <c r="P211" s="227"/>
      <c r="Q211" s="223"/>
      <c r="R211" s="781"/>
      <c r="S211" s="781"/>
    </row>
    <row r="212" spans="1:19" x14ac:dyDescent="0.25">
      <c r="A212" s="223"/>
      <c r="B212" s="281"/>
      <c r="C212" s="281"/>
      <c r="D212" s="281"/>
      <c r="E212" s="224"/>
      <c r="F212" s="192"/>
      <c r="G212" s="193"/>
      <c r="H212" s="240"/>
      <c r="I212" s="281"/>
      <c r="J212" s="225"/>
      <c r="K212" s="225"/>
      <c r="L212" s="226"/>
      <c r="M212" s="226"/>
      <c r="N212" s="226"/>
      <c r="O212" s="227"/>
      <c r="P212" s="227"/>
      <c r="Q212" s="223"/>
      <c r="R212" s="781"/>
      <c r="S212" s="781"/>
    </row>
    <row r="213" spans="1:19" x14ac:dyDescent="0.25">
      <c r="A213" s="223"/>
      <c r="B213" s="281"/>
      <c r="C213" s="281"/>
      <c r="D213" s="281"/>
      <c r="E213" s="224"/>
      <c r="F213" s="192"/>
      <c r="G213" s="193"/>
      <c r="H213" s="240"/>
      <c r="I213" s="281"/>
      <c r="J213" s="225"/>
      <c r="K213" s="225"/>
      <c r="L213" s="226"/>
      <c r="M213" s="226"/>
      <c r="N213" s="226"/>
      <c r="O213" s="227"/>
      <c r="P213" s="227"/>
      <c r="Q213" s="223"/>
      <c r="R213" s="781"/>
      <c r="S213" s="781"/>
    </row>
    <row r="214" spans="1:19" x14ac:dyDescent="0.25">
      <c r="A214" s="223"/>
      <c r="B214" s="281"/>
      <c r="C214" s="281"/>
      <c r="D214" s="281"/>
      <c r="E214" s="224"/>
      <c r="F214" s="192"/>
      <c r="G214" s="193"/>
      <c r="H214" s="240"/>
      <c r="I214" s="281"/>
      <c r="J214" s="225"/>
      <c r="K214" s="225"/>
      <c r="L214" s="226"/>
      <c r="M214" s="226"/>
      <c r="N214" s="226"/>
      <c r="O214" s="227"/>
      <c r="P214" s="227"/>
      <c r="Q214" s="223"/>
      <c r="R214" s="781"/>
      <c r="S214" s="781"/>
    </row>
    <row r="215" spans="1:19" x14ac:dyDescent="0.25">
      <c r="A215" s="223"/>
      <c r="B215" s="281"/>
      <c r="C215" s="281"/>
      <c r="D215" s="281"/>
      <c r="E215" s="224"/>
      <c r="F215" s="192"/>
      <c r="G215" s="193"/>
      <c r="H215" s="240"/>
      <c r="I215" s="281"/>
      <c r="J215" s="225"/>
      <c r="K215" s="225"/>
      <c r="L215" s="226"/>
      <c r="M215" s="226"/>
      <c r="N215" s="226"/>
      <c r="O215" s="227"/>
      <c r="P215" s="227"/>
      <c r="Q215" s="223"/>
      <c r="R215" s="781"/>
      <c r="S215" s="781"/>
    </row>
    <row r="216" spans="1:19" x14ac:dyDescent="0.25">
      <c r="A216" s="223"/>
      <c r="B216" s="281"/>
      <c r="C216" s="281"/>
      <c r="D216" s="281"/>
      <c r="E216" s="224"/>
      <c r="F216" s="192"/>
      <c r="G216" s="193"/>
      <c r="H216" s="240"/>
      <c r="I216" s="281"/>
      <c r="J216" s="225"/>
      <c r="K216" s="225"/>
      <c r="L216" s="226"/>
      <c r="M216" s="226"/>
      <c r="N216" s="226"/>
      <c r="O216" s="227"/>
      <c r="P216" s="227"/>
      <c r="Q216" s="223"/>
      <c r="R216" s="781"/>
      <c r="S216" s="781"/>
    </row>
    <row r="217" spans="1:19" x14ac:dyDescent="0.25">
      <c r="A217" s="223"/>
      <c r="B217" s="281"/>
      <c r="C217" s="281"/>
      <c r="D217" s="281"/>
      <c r="E217" s="224"/>
      <c r="F217" s="192"/>
      <c r="G217" s="193"/>
      <c r="H217" s="240"/>
      <c r="I217" s="281"/>
      <c r="J217" s="225"/>
      <c r="K217" s="225"/>
      <c r="L217" s="226"/>
      <c r="M217" s="226"/>
      <c r="N217" s="226"/>
      <c r="O217" s="227"/>
      <c r="P217" s="227"/>
      <c r="Q217" s="223"/>
      <c r="R217" s="781"/>
      <c r="S217" s="781"/>
    </row>
    <row r="218" spans="1:19" x14ac:dyDescent="0.25">
      <c r="A218" s="223"/>
      <c r="B218" s="281"/>
      <c r="C218" s="281"/>
      <c r="D218" s="281"/>
      <c r="E218" s="224"/>
      <c r="F218" s="192"/>
      <c r="G218" s="193"/>
      <c r="H218" s="240"/>
      <c r="I218" s="281"/>
      <c r="J218" s="225"/>
      <c r="K218" s="225"/>
      <c r="L218" s="226"/>
      <c r="M218" s="226"/>
      <c r="N218" s="226"/>
      <c r="O218" s="227"/>
      <c r="P218" s="227"/>
      <c r="Q218" s="223"/>
      <c r="R218" s="781"/>
      <c r="S218" s="781"/>
    </row>
    <row r="219" spans="1:19" x14ac:dyDescent="0.25">
      <c r="A219" s="223"/>
      <c r="B219" s="281"/>
      <c r="C219" s="281"/>
      <c r="D219" s="281"/>
      <c r="E219" s="224"/>
      <c r="F219" s="192"/>
      <c r="G219" s="193"/>
      <c r="H219" s="240"/>
      <c r="I219" s="281"/>
      <c r="J219" s="225"/>
      <c r="K219" s="225"/>
      <c r="L219" s="226"/>
      <c r="M219" s="226"/>
      <c r="N219" s="226"/>
      <c r="O219" s="227"/>
      <c r="P219" s="227"/>
      <c r="Q219" s="223"/>
      <c r="R219" s="781"/>
      <c r="S219" s="781"/>
    </row>
    <row r="220" spans="1:19" x14ac:dyDescent="0.25">
      <c r="A220" s="223"/>
      <c r="B220" s="281"/>
      <c r="C220" s="281"/>
      <c r="D220" s="281"/>
      <c r="E220" s="224"/>
      <c r="F220" s="192"/>
      <c r="G220" s="193"/>
      <c r="H220" s="240"/>
      <c r="I220" s="281"/>
      <c r="J220" s="225"/>
      <c r="K220" s="225"/>
      <c r="L220" s="226"/>
      <c r="M220" s="226"/>
      <c r="N220" s="226"/>
      <c r="O220" s="227"/>
      <c r="P220" s="227"/>
      <c r="Q220" s="223"/>
      <c r="R220" s="781"/>
      <c r="S220" s="781"/>
    </row>
    <row r="221" spans="1:19" x14ac:dyDescent="0.25">
      <c r="A221" s="223"/>
      <c r="B221" s="281"/>
      <c r="C221" s="281"/>
      <c r="D221" s="281"/>
      <c r="E221" s="224"/>
      <c r="F221" s="192"/>
      <c r="G221" s="193"/>
      <c r="H221" s="240"/>
      <c r="I221" s="281"/>
      <c r="J221" s="225"/>
      <c r="K221" s="225"/>
      <c r="L221" s="226"/>
      <c r="M221" s="226"/>
      <c r="N221" s="226"/>
      <c r="O221" s="227"/>
      <c r="P221" s="227"/>
      <c r="Q221" s="223"/>
      <c r="R221" s="781"/>
      <c r="S221" s="781"/>
    </row>
    <row r="222" spans="1:19" x14ac:dyDescent="0.25">
      <c r="A222" s="223"/>
      <c r="B222" s="281"/>
      <c r="C222" s="281"/>
      <c r="D222" s="281"/>
      <c r="E222" s="224"/>
      <c r="F222" s="192"/>
      <c r="G222" s="193"/>
      <c r="H222" s="240"/>
      <c r="I222" s="281"/>
      <c r="J222" s="225"/>
      <c r="K222" s="225"/>
      <c r="L222" s="226"/>
      <c r="M222" s="226"/>
      <c r="N222" s="226"/>
      <c r="O222" s="227"/>
      <c r="P222" s="227"/>
      <c r="Q222" s="223"/>
      <c r="R222" s="781"/>
      <c r="S222" s="781"/>
    </row>
    <row r="223" spans="1:19" x14ac:dyDescent="0.25">
      <c r="A223" s="223"/>
      <c r="B223" s="281"/>
      <c r="C223" s="281"/>
      <c r="D223" s="281"/>
      <c r="E223" s="224"/>
      <c r="F223" s="192"/>
      <c r="G223" s="193"/>
      <c r="H223" s="240"/>
      <c r="I223" s="281"/>
      <c r="J223" s="225"/>
      <c r="K223" s="225"/>
      <c r="L223" s="226"/>
      <c r="M223" s="226"/>
      <c r="N223" s="226"/>
      <c r="O223" s="227"/>
      <c r="P223" s="227"/>
      <c r="Q223" s="223"/>
      <c r="R223" s="781"/>
      <c r="S223" s="781"/>
    </row>
    <row r="224" spans="1:19" x14ac:dyDescent="0.25">
      <c r="A224" s="223"/>
      <c r="B224" s="281"/>
      <c r="C224" s="281"/>
      <c r="D224" s="281"/>
      <c r="E224" s="224"/>
      <c r="F224" s="192"/>
      <c r="G224" s="193"/>
      <c r="H224" s="240"/>
      <c r="I224" s="281"/>
      <c r="J224" s="225"/>
      <c r="K224" s="225"/>
      <c r="L224" s="226"/>
      <c r="M224" s="226"/>
      <c r="N224" s="226"/>
      <c r="O224" s="227"/>
      <c r="P224" s="227"/>
      <c r="Q224" s="223"/>
      <c r="R224" s="781"/>
      <c r="S224" s="781"/>
    </row>
    <row r="225" spans="1:19" x14ac:dyDescent="0.25">
      <c r="A225" s="223"/>
      <c r="B225" s="281"/>
      <c r="C225" s="281"/>
      <c r="D225" s="281"/>
      <c r="E225" s="224"/>
      <c r="F225" s="192"/>
      <c r="G225" s="193"/>
      <c r="H225" s="240"/>
      <c r="I225" s="281"/>
      <c r="J225" s="225"/>
      <c r="K225" s="225"/>
      <c r="L225" s="226"/>
      <c r="M225" s="226"/>
      <c r="N225" s="226"/>
      <c r="O225" s="227"/>
      <c r="P225" s="227"/>
      <c r="Q225" s="223"/>
      <c r="R225" s="781"/>
      <c r="S225" s="781"/>
    </row>
    <row r="226" spans="1:19" x14ac:dyDescent="0.25">
      <c r="A226" s="223"/>
      <c r="B226" s="281"/>
      <c r="C226" s="281"/>
      <c r="D226" s="281"/>
      <c r="E226" s="224"/>
      <c r="F226" s="192"/>
      <c r="G226" s="193"/>
      <c r="H226" s="240"/>
      <c r="I226" s="281"/>
      <c r="J226" s="225"/>
      <c r="K226" s="225"/>
      <c r="L226" s="226"/>
      <c r="M226" s="226"/>
      <c r="N226" s="226"/>
      <c r="O226" s="227"/>
      <c r="P226" s="227"/>
      <c r="Q226" s="223"/>
      <c r="R226" s="781"/>
      <c r="S226" s="781"/>
    </row>
    <row r="227" spans="1:19" x14ac:dyDescent="0.25">
      <c r="A227" s="223"/>
      <c r="B227" s="281"/>
      <c r="C227" s="281"/>
      <c r="D227" s="281"/>
      <c r="E227" s="224"/>
      <c r="F227" s="192"/>
      <c r="G227" s="193"/>
      <c r="H227" s="240"/>
      <c r="I227" s="281"/>
      <c r="J227" s="225"/>
      <c r="K227" s="225"/>
      <c r="L227" s="226"/>
      <c r="M227" s="226"/>
      <c r="N227" s="226"/>
      <c r="O227" s="227"/>
      <c r="P227" s="227"/>
      <c r="Q227" s="223"/>
      <c r="R227" s="781"/>
      <c r="S227" s="781"/>
    </row>
    <row r="228" spans="1:19" x14ac:dyDescent="0.25">
      <c r="A228" s="223"/>
      <c r="B228" s="281"/>
      <c r="C228" s="281"/>
      <c r="D228" s="281"/>
      <c r="E228" s="224"/>
      <c r="F228" s="192"/>
      <c r="G228" s="193"/>
      <c r="H228" s="240"/>
      <c r="I228" s="281"/>
      <c r="J228" s="225"/>
      <c r="K228" s="225"/>
      <c r="L228" s="226"/>
      <c r="M228" s="226"/>
      <c r="N228" s="226"/>
      <c r="O228" s="227"/>
      <c r="P228" s="227"/>
      <c r="Q228" s="223"/>
      <c r="R228" s="781"/>
      <c r="S228" s="781"/>
    </row>
    <row r="229" spans="1:19" x14ac:dyDescent="0.25">
      <c r="A229" s="223"/>
      <c r="B229" s="281"/>
      <c r="C229" s="281"/>
      <c r="D229" s="281"/>
      <c r="E229" s="224"/>
      <c r="F229" s="192"/>
      <c r="G229" s="193"/>
      <c r="H229" s="240"/>
      <c r="I229" s="281"/>
      <c r="J229" s="225"/>
      <c r="K229" s="225"/>
      <c r="L229" s="226"/>
      <c r="M229" s="226"/>
      <c r="N229" s="226"/>
      <c r="O229" s="227"/>
      <c r="P229" s="227"/>
      <c r="Q229" s="223"/>
      <c r="R229" s="781"/>
      <c r="S229" s="781"/>
    </row>
    <row r="230" spans="1:19" x14ac:dyDescent="0.25">
      <c r="A230" s="223"/>
      <c r="B230" s="281"/>
      <c r="C230" s="281"/>
      <c r="D230" s="281"/>
      <c r="E230" s="224"/>
      <c r="F230" s="192"/>
      <c r="G230" s="193"/>
      <c r="H230" s="240"/>
      <c r="I230" s="281"/>
      <c r="J230" s="225"/>
      <c r="K230" s="225"/>
      <c r="L230" s="226"/>
      <c r="M230" s="226"/>
      <c r="N230" s="226"/>
      <c r="O230" s="227"/>
      <c r="P230" s="227"/>
      <c r="Q230" s="223"/>
      <c r="R230" s="781"/>
      <c r="S230" s="781"/>
    </row>
    <row r="231" spans="1:19" x14ac:dyDescent="0.25">
      <c r="A231" s="223"/>
      <c r="B231" s="281"/>
      <c r="C231" s="281"/>
      <c r="D231" s="281"/>
      <c r="E231" s="224"/>
      <c r="F231" s="192"/>
      <c r="G231" s="193"/>
      <c r="H231" s="240"/>
      <c r="I231" s="281"/>
      <c r="J231" s="225"/>
      <c r="K231" s="225"/>
      <c r="L231" s="226"/>
      <c r="M231" s="226"/>
      <c r="N231" s="226"/>
      <c r="O231" s="227"/>
      <c r="P231" s="227"/>
      <c r="Q231" s="223"/>
      <c r="R231" s="781"/>
      <c r="S231" s="781"/>
    </row>
    <row r="232" spans="1:19" x14ac:dyDescent="0.25">
      <c r="A232" s="223"/>
      <c r="B232" s="281"/>
      <c r="C232" s="281"/>
      <c r="D232" s="281"/>
      <c r="E232" s="224"/>
      <c r="F232" s="192"/>
      <c r="G232" s="193"/>
      <c r="H232" s="240"/>
      <c r="I232" s="281"/>
      <c r="J232" s="225"/>
      <c r="K232" s="225"/>
      <c r="L232" s="226"/>
      <c r="M232" s="226"/>
      <c r="N232" s="226"/>
      <c r="O232" s="227"/>
      <c r="P232" s="227"/>
      <c r="Q232" s="223"/>
      <c r="R232" s="781"/>
      <c r="S232" s="781"/>
    </row>
    <row r="233" spans="1:19" x14ac:dyDescent="0.25">
      <c r="A233" s="223"/>
      <c r="B233" s="281"/>
      <c r="C233" s="281"/>
      <c r="D233" s="281"/>
      <c r="E233" s="224"/>
      <c r="F233" s="192"/>
      <c r="G233" s="193"/>
      <c r="H233" s="240"/>
      <c r="I233" s="281"/>
      <c r="J233" s="225"/>
      <c r="K233" s="225"/>
      <c r="L233" s="226"/>
      <c r="M233" s="226"/>
      <c r="N233" s="226"/>
      <c r="O233" s="227"/>
      <c r="P233" s="227"/>
      <c r="Q233" s="223"/>
      <c r="R233" s="781"/>
      <c r="S233" s="781"/>
    </row>
    <row r="234" spans="1:19" x14ac:dyDescent="0.25">
      <c r="A234" s="223"/>
      <c r="B234" s="281"/>
      <c r="C234" s="281"/>
      <c r="D234" s="281"/>
      <c r="E234" s="224"/>
      <c r="F234" s="192"/>
      <c r="G234" s="193"/>
      <c r="H234" s="240"/>
      <c r="I234" s="281"/>
      <c r="J234" s="225"/>
      <c r="K234" s="225"/>
      <c r="L234" s="226"/>
      <c r="M234" s="226"/>
      <c r="N234" s="226"/>
      <c r="O234" s="227"/>
      <c r="P234" s="227"/>
      <c r="Q234" s="223"/>
      <c r="R234" s="781"/>
      <c r="S234" s="781"/>
    </row>
    <row r="235" spans="1:19" x14ac:dyDescent="0.25">
      <c r="A235" s="223"/>
      <c r="B235" s="281"/>
      <c r="C235" s="281"/>
      <c r="D235" s="281"/>
      <c r="E235" s="224"/>
      <c r="F235" s="192"/>
      <c r="G235" s="193"/>
      <c r="H235" s="240"/>
      <c r="I235" s="281"/>
      <c r="J235" s="225"/>
      <c r="K235" s="225"/>
      <c r="L235" s="226"/>
      <c r="M235" s="226"/>
      <c r="N235" s="226"/>
      <c r="O235" s="227"/>
      <c r="P235" s="227"/>
      <c r="Q235" s="223"/>
      <c r="R235" s="781"/>
      <c r="S235" s="781"/>
    </row>
    <row r="236" spans="1:19" x14ac:dyDescent="0.25">
      <c r="A236" s="223"/>
      <c r="B236" s="281"/>
      <c r="C236" s="281"/>
      <c r="D236" s="281"/>
      <c r="E236" s="224"/>
      <c r="F236" s="192"/>
      <c r="G236" s="193"/>
      <c r="H236" s="240"/>
      <c r="I236" s="281"/>
      <c r="J236" s="225"/>
      <c r="K236" s="225"/>
      <c r="L236" s="226"/>
      <c r="M236" s="226"/>
      <c r="N236" s="226"/>
      <c r="O236" s="227"/>
      <c r="P236" s="227"/>
      <c r="Q236" s="223"/>
      <c r="R236" s="781"/>
      <c r="S236" s="781"/>
    </row>
    <row r="237" spans="1:19" x14ac:dyDescent="0.25">
      <c r="A237" s="223"/>
      <c r="B237" s="281"/>
      <c r="C237" s="281"/>
      <c r="D237" s="281"/>
      <c r="E237" s="224"/>
      <c r="F237" s="192"/>
      <c r="G237" s="193"/>
      <c r="H237" s="240"/>
      <c r="I237" s="281"/>
      <c r="J237" s="225"/>
      <c r="K237" s="225"/>
      <c r="L237" s="226"/>
      <c r="M237" s="226"/>
      <c r="N237" s="226"/>
      <c r="O237" s="227"/>
      <c r="P237" s="227"/>
      <c r="Q237" s="223"/>
      <c r="R237" s="781"/>
      <c r="S237" s="781"/>
    </row>
    <row r="238" spans="1:19" x14ac:dyDescent="0.25">
      <c r="A238" s="223"/>
      <c r="B238" s="281"/>
      <c r="C238" s="281"/>
      <c r="D238" s="281"/>
      <c r="E238" s="224"/>
      <c r="F238" s="192"/>
      <c r="G238" s="193"/>
      <c r="H238" s="240"/>
      <c r="I238" s="281"/>
      <c r="J238" s="225"/>
      <c r="K238" s="225"/>
      <c r="L238" s="226"/>
      <c r="M238" s="226"/>
      <c r="N238" s="226"/>
      <c r="O238" s="227"/>
      <c r="P238" s="227"/>
      <c r="Q238" s="223"/>
      <c r="R238" s="781"/>
      <c r="S238" s="781"/>
    </row>
    <row r="239" spans="1:19" x14ac:dyDescent="0.25">
      <c r="A239" s="223"/>
      <c r="B239" s="281"/>
      <c r="C239" s="281"/>
      <c r="D239" s="281"/>
      <c r="E239" s="224"/>
      <c r="F239" s="192"/>
      <c r="G239" s="193"/>
      <c r="H239" s="240"/>
      <c r="I239" s="281"/>
      <c r="J239" s="225"/>
      <c r="K239" s="225"/>
      <c r="L239" s="226"/>
      <c r="M239" s="226"/>
      <c r="N239" s="226"/>
      <c r="O239" s="227"/>
      <c r="P239" s="227"/>
      <c r="Q239" s="223"/>
      <c r="R239" s="781"/>
      <c r="S239" s="781"/>
    </row>
    <row r="240" spans="1:19" x14ac:dyDescent="0.25">
      <c r="A240" s="223"/>
      <c r="B240" s="281"/>
      <c r="C240" s="281"/>
      <c r="D240" s="281"/>
      <c r="E240" s="224"/>
      <c r="F240" s="192"/>
      <c r="G240" s="193"/>
      <c r="H240" s="240"/>
      <c r="I240" s="281"/>
      <c r="J240" s="225"/>
      <c r="K240" s="225"/>
      <c r="L240" s="226"/>
      <c r="M240" s="226"/>
      <c r="N240" s="226"/>
      <c r="O240" s="227"/>
      <c r="P240" s="227"/>
      <c r="Q240" s="223"/>
      <c r="R240" s="781"/>
      <c r="S240" s="781"/>
    </row>
    <row r="241" spans="1:19" x14ac:dyDescent="0.25">
      <c r="A241" s="223"/>
      <c r="B241" s="281"/>
      <c r="C241" s="281"/>
      <c r="D241" s="281"/>
      <c r="E241" s="224"/>
      <c r="F241" s="192"/>
      <c r="G241" s="193"/>
      <c r="H241" s="240"/>
      <c r="I241" s="281"/>
      <c r="J241" s="225"/>
      <c r="K241" s="225"/>
      <c r="L241" s="226"/>
      <c r="M241" s="226"/>
      <c r="N241" s="226"/>
      <c r="O241" s="227"/>
      <c r="P241" s="227"/>
      <c r="Q241" s="223"/>
      <c r="R241" s="781"/>
      <c r="S241" s="781"/>
    </row>
    <row r="242" spans="1:19" x14ac:dyDescent="0.25">
      <c r="A242" s="223"/>
      <c r="B242" s="281"/>
      <c r="C242" s="281"/>
      <c r="D242" s="281"/>
      <c r="E242" s="224"/>
      <c r="F242" s="192"/>
      <c r="G242" s="193"/>
      <c r="H242" s="240"/>
      <c r="I242" s="281"/>
      <c r="J242" s="225"/>
      <c r="K242" s="225"/>
      <c r="L242" s="226"/>
      <c r="M242" s="226"/>
      <c r="N242" s="226"/>
      <c r="O242" s="227"/>
      <c r="P242" s="227"/>
      <c r="Q242" s="223"/>
      <c r="R242" s="781"/>
      <c r="S242" s="781"/>
    </row>
    <row r="243" spans="1:19" x14ac:dyDescent="0.25">
      <c r="A243" s="223"/>
      <c r="B243" s="281"/>
      <c r="C243" s="281"/>
      <c r="D243" s="281"/>
      <c r="E243" s="224"/>
      <c r="F243" s="192"/>
      <c r="G243" s="193"/>
      <c r="H243" s="240"/>
      <c r="I243" s="281"/>
      <c r="J243" s="225"/>
      <c r="K243" s="225"/>
      <c r="L243" s="226"/>
      <c r="M243" s="226"/>
      <c r="N243" s="226"/>
      <c r="O243" s="227"/>
      <c r="P243" s="227"/>
      <c r="Q243" s="223"/>
      <c r="R243" s="781"/>
      <c r="S243" s="781"/>
    </row>
    <row r="244" spans="1:19" x14ac:dyDescent="0.25">
      <c r="A244" s="223"/>
      <c r="B244" s="281"/>
      <c r="C244" s="281"/>
      <c r="D244" s="281"/>
      <c r="E244" s="224"/>
      <c r="F244" s="192"/>
      <c r="G244" s="193"/>
      <c r="H244" s="240"/>
      <c r="I244" s="281"/>
      <c r="J244" s="225"/>
      <c r="K244" s="225"/>
      <c r="L244" s="226"/>
      <c r="M244" s="226"/>
      <c r="N244" s="226"/>
      <c r="O244" s="227"/>
      <c r="P244" s="227"/>
      <c r="Q244" s="223"/>
      <c r="R244" s="781"/>
      <c r="S244" s="781"/>
    </row>
    <row r="245" spans="1:19" x14ac:dyDescent="0.25">
      <c r="A245" s="223"/>
      <c r="B245" s="281"/>
      <c r="C245" s="281"/>
      <c r="D245" s="281"/>
      <c r="E245" s="224"/>
      <c r="F245" s="192"/>
      <c r="G245" s="193"/>
      <c r="H245" s="240"/>
      <c r="I245" s="281"/>
      <c r="J245" s="225"/>
      <c r="K245" s="225"/>
      <c r="L245" s="226"/>
      <c r="M245" s="226"/>
      <c r="N245" s="226"/>
      <c r="O245" s="227"/>
      <c r="P245" s="227"/>
      <c r="Q245" s="223"/>
      <c r="R245" s="781"/>
      <c r="S245" s="781"/>
    </row>
    <row r="246" spans="1:19" x14ac:dyDescent="0.25">
      <c r="A246" s="223"/>
      <c r="B246" s="281"/>
      <c r="C246" s="281"/>
      <c r="D246" s="281"/>
      <c r="E246" s="224"/>
      <c r="F246" s="192"/>
      <c r="G246" s="193"/>
      <c r="H246" s="240"/>
      <c r="I246" s="281"/>
      <c r="J246" s="225"/>
      <c r="K246" s="225"/>
      <c r="L246" s="226"/>
      <c r="M246" s="226"/>
      <c r="N246" s="226"/>
      <c r="O246" s="227"/>
      <c r="P246" s="227"/>
      <c r="Q246" s="223"/>
      <c r="R246" s="781"/>
      <c r="S246" s="781"/>
    </row>
    <row r="247" spans="1:19" x14ac:dyDescent="0.25">
      <c r="A247" s="223"/>
      <c r="B247" s="281"/>
      <c r="C247" s="281"/>
      <c r="D247" s="281"/>
      <c r="E247" s="224"/>
      <c r="F247" s="192"/>
      <c r="G247" s="193"/>
      <c r="H247" s="240"/>
      <c r="I247" s="281"/>
      <c r="J247" s="225"/>
      <c r="K247" s="225"/>
      <c r="L247" s="226"/>
      <c r="M247" s="226"/>
      <c r="N247" s="226"/>
      <c r="O247" s="227"/>
      <c r="P247" s="227"/>
      <c r="Q247" s="223"/>
      <c r="R247" s="781"/>
      <c r="S247" s="781"/>
    </row>
    <row r="248" spans="1:19" x14ac:dyDescent="0.25">
      <c r="A248" s="223"/>
      <c r="B248" s="281"/>
      <c r="C248" s="281"/>
      <c r="D248" s="281"/>
      <c r="E248" s="224"/>
      <c r="F248" s="192"/>
      <c r="G248" s="193"/>
      <c r="H248" s="240"/>
      <c r="I248" s="281"/>
      <c r="J248" s="225"/>
      <c r="K248" s="225"/>
      <c r="L248" s="226"/>
      <c r="M248" s="226"/>
      <c r="N248" s="226"/>
      <c r="O248" s="227"/>
      <c r="P248" s="227"/>
      <c r="Q248" s="223"/>
      <c r="R248" s="781"/>
      <c r="S248" s="781"/>
    </row>
    <row r="249" spans="1:19" x14ac:dyDescent="0.25">
      <c r="A249" s="223"/>
      <c r="B249" s="281"/>
      <c r="C249" s="281"/>
      <c r="D249" s="281"/>
      <c r="E249" s="224"/>
      <c r="F249" s="192"/>
      <c r="G249" s="193"/>
      <c r="H249" s="240"/>
      <c r="I249" s="281"/>
      <c r="J249" s="225"/>
      <c r="K249" s="225"/>
      <c r="L249" s="226"/>
      <c r="M249" s="226"/>
      <c r="N249" s="226"/>
      <c r="O249" s="227"/>
      <c r="P249" s="227"/>
      <c r="Q249" s="223"/>
      <c r="R249" s="781"/>
      <c r="S249" s="781"/>
    </row>
    <row r="250" spans="1:19" x14ac:dyDescent="0.25">
      <c r="A250" s="223"/>
      <c r="B250" s="281"/>
      <c r="C250" s="281"/>
      <c r="D250" s="281"/>
      <c r="E250" s="224"/>
      <c r="F250" s="192"/>
      <c r="G250" s="193"/>
      <c r="H250" s="240"/>
      <c r="I250" s="281"/>
      <c r="J250" s="225"/>
      <c r="K250" s="225"/>
      <c r="L250" s="226"/>
      <c r="M250" s="226"/>
      <c r="N250" s="226"/>
      <c r="O250" s="227"/>
      <c r="P250" s="227"/>
      <c r="Q250" s="223"/>
      <c r="R250" s="781"/>
      <c r="S250" s="781"/>
    </row>
    <row r="251" spans="1:19" x14ac:dyDescent="0.25">
      <c r="A251" s="223"/>
      <c r="B251" s="281"/>
      <c r="C251" s="281"/>
      <c r="D251" s="281"/>
      <c r="E251" s="224"/>
      <c r="F251" s="192"/>
      <c r="G251" s="193"/>
      <c r="H251" s="240"/>
      <c r="I251" s="281"/>
      <c r="J251" s="225"/>
      <c r="K251" s="225"/>
      <c r="L251" s="226"/>
      <c r="M251" s="226"/>
      <c r="N251" s="226"/>
      <c r="O251" s="227"/>
      <c r="P251" s="227"/>
      <c r="Q251" s="223"/>
      <c r="R251" s="781"/>
      <c r="S251" s="781"/>
    </row>
    <row r="252" spans="1:19" x14ac:dyDescent="0.25">
      <c r="A252" s="223"/>
      <c r="B252" s="281"/>
      <c r="C252" s="281"/>
      <c r="D252" s="281"/>
      <c r="E252" s="224"/>
      <c r="F252" s="192"/>
      <c r="G252" s="193"/>
      <c r="H252" s="240"/>
      <c r="I252" s="281"/>
      <c r="J252" s="225"/>
      <c r="K252" s="225"/>
      <c r="L252" s="226"/>
      <c r="M252" s="226"/>
      <c r="N252" s="226"/>
      <c r="O252" s="227"/>
      <c r="P252" s="227"/>
      <c r="Q252" s="223"/>
      <c r="R252" s="781"/>
      <c r="S252" s="781"/>
    </row>
    <row r="253" spans="1:19" x14ac:dyDescent="0.25">
      <c r="A253" s="223"/>
      <c r="B253" s="281"/>
      <c r="C253" s="281"/>
      <c r="D253" s="281"/>
      <c r="E253" s="224"/>
      <c r="F253" s="192"/>
      <c r="G253" s="193"/>
      <c r="H253" s="240"/>
      <c r="I253" s="281"/>
      <c r="J253" s="225"/>
      <c r="K253" s="225"/>
      <c r="L253" s="226"/>
      <c r="M253" s="226"/>
      <c r="N253" s="226"/>
      <c r="O253" s="227"/>
      <c r="P253" s="227"/>
      <c r="Q253" s="223"/>
      <c r="R253" s="781"/>
      <c r="S253" s="781"/>
    </row>
    <row r="254" spans="1:19" x14ac:dyDescent="0.25">
      <c r="A254" s="223"/>
      <c r="B254" s="281"/>
      <c r="C254" s="281"/>
      <c r="D254" s="281"/>
      <c r="E254" s="224"/>
      <c r="F254" s="192"/>
      <c r="G254" s="193"/>
      <c r="H254" s="240"/>
      <c r="I254" s="281"/>
      <c r="J254" s="225"/>
      <c r="K254" s="225"/>
      <c r="L254" s="226"/>
      <c r="M254" s="226"/>
      <c r="N254" s="226"/>
      <c r="O254" s="227"/>
      <c r="P254" s="227"/>
      <c r="Q254" s="223"/>
      <c r="R254" s="781"/>
      <c r="S254" s="781"/>
    </row>
    <row r="255" spans="1:19" x14ac:dyDescent="0.25">
      <c r="A255" s="223"/>
      <c r="B255" s="281"/>
      <c r="C255" s="281"/>
      <c r="D255" s="281"/>
      <c r="E255" s="224"/>
      <c r="F255" s="192"/>
      <c r="G255" s="193"/>
      <c r="H255" s="240"/>
      <c r="I255" s="281"/>
      <c r="J255" s="225"/>
      <c r="K255" s="225"/>
      <c r="L255" s="226"/>
      <c r="M255" s="226"/>
      <c r="N255" s="226"/>
      <c r="O255" s="227"/>
      <c r="P255" s="227"/>
      <c r="Q255" s="223"/>
      <c r="R255" s="781"/>
      <c r="S255" s="781"/>
    </row>
    <row r="256" spans="1:19" x14ac:dyDescent="0.25">
      <c r="A256" s="223"/>
      <c r="B256" s="281"/>
      <c r="C256" s="281"/>
      <c r="D256" s="281"/>
      <c r="E256" s="224"/>
      <c r="F256" s="192"/>
      <c r="G256" s="193"/>
      <c r="H256" s="240"/>
      <c r="I256" s="281"/>
      <c r="J256" s="225"/>
      <c r="K256" s="225"/>
      <c r="L256" s="226"/>
      <c r="M256" s="226"/>
      <c r="N256" s="226"/>
      <c r="O256" s="227"/>
      <c r="P256" s="227"/>
      <c r="Q256" s="223"/>
      <c r="R256" s="781"/>
      <c r="S256" s="781"/>
    </row>
    <row r="257" spans="1:19" x14ac:dyDescent="0.25">
      <c r="A257" s="223"/>
      <c r="B257" s="281"/>
      <c r="C257" s="281"/>
      <c r="D257" s="281"/>
      <c r="E257" s="224"/>
      <c r="F257" s="192"/>
      <c r="G257" s="193"/>
      <c r="H257" s="240"/>
      <c r="I257" s="281"/>
      <c r="J257" s="225"/>
      <c r="K257" s="225"/>
      <c r="L257" s="226"/>
      <c r="M257" s="226"/>
      <c r="N257" s="226"/>
      <c r="O257" s="227"/>
      <c r="P257" s="227"/>
      <c r="Q257" s="223"/>
      <c r="R257" s="781"/>
      <c r="S257" s="781"/>
    </row>
    <row r="258" spans="1:19" x14ac:dyDescent="0.25">
      <c r="A258" s="223"/>
      <c r="B258" s="281"/>
      <c r="C258" s="281"/>
      <c r="D258" s="281"/>
      <c r="E258" s="224"/>
      <c r="F258" s="192"/>
      <c r="G258" s="193"/>
      <c r="H258" s="240"/>
      <c r="I258" s="281"/>
      <c r="J258" s="225"/>
      <c r="K258" s="225"/>
      <c r="L258" s="226"/>
      <c r="M258" s="226"/>
      <c r="N258" s="226"/>
      <c r="O258" s="227"/>
      <c r="P258" s="227"/>
      <c r="Q258" s="223"/>
      <c r="R258" s="781"/>
      <c r="S258" s="781"/>
    </row>
    <row r="259" spans="1:19" x14ac:dyDescent="0.25">
      <c r="A259" s="223"/>
      <c r="B259" s="281"/>
      <c r="C259" s="281"/>
      <c r="D259" s="281"/>
      <c r="E259" s="224"/>
      <c r="F259" s="192"/>
      <c r="G259" s="193"/>
      <c r="H259" s="240"/>
      <c r="I259" s="281"/>
      <c r="J259" s="225"/>
      <c r="K259" s="225"/>
      <c r="L259" s="226"/>
      <c r="M259" s="226"/>
      <c r="N259" s="226"/>
      <c r="O259" s="227"/>
      <c r="P259" s="227"/>
      <c r="Q259" s="223"/>
      <c r="R259" s="781"/>
      <c r="S259" s="781"/>
    </row>
    <row r="260" spans="1:19" x14ac:dyDescent="0.25">
      <c r="A260" s="223"/>
      <c r="B260" s="281"/>
      <c r="C260" s="281"/>
      <c r="D260" s="281"/>
      <c r="E260" s="224"/>
      <c r="F260" s="192"/>
      <c r="G260" s="193"/>
      <c r="H260" s="240"/>
      <c r="I260" s="281"/>
      <c r="J260" s="225"/>
      <c r="K260" s="225"/>
      <c r="L260" s="226"/>
      <c r="M260" s="226"/>
      <c r="N260" s="226"/>
      <c r="O260" s="227"/>
      <c r="P260" s="227"/>
      <c r="Q260" s="223"/>
      <c r="R260" s="781"/>
      <c r="S260" s="781"/>
    </row>
    <row r="261" spans="1:19" x14ac:dyDescent="0.25">
      <c r="A261" s="223"/>
      <c r="B261" s="281"/>
      <c r="C261" s="281"/>
      <c r="D261" s="281"/>
      <c r="E261" s="224"/>
      <c r="F261" s="192"/>
      <c r="G261" s="193"/>
      <c r="H261" s="240"/>
      <c r="I261" s="281"/>
      <c r="J261" s="225"/>
      <c r="K261" s="225"/>
      <c r="L261" s="226"/>
      <c r="M261" s="226"/>
      <c r="N261" s="226"/>
      <c r="O261" s="227"/>
      <c r="P261" s="227"/>
      <c r="Q261" s="223"/>
      <c r="R261" s="781"/>
      <c r="S261" s="781"/>
    </row>
    <row r="262" spans="1:19" x14ac:dyDescent="0.25">
      <c r="A262" s="223"/>
      <c r="B262" s="281"/>
      <c r="C262" s="281"/>
      <c r="D262" s="281"/>
      <c r="E262" s="224"/>
      <c r="F262" s="192"/>
      <c r="G262" s="193"/>
      <c r="H262" s="240"/>
      <c r="I262" s="281"/>
      <c r="J262" s="225"/>
      <c r="K262" s="225"/>
      <c r="L262" s="226"/>
      <c r="M262" s="226"/>
      <c r="N262" s="226"/>
      <c r="O262" s="227"/>
      <c r="P262" s="227"/>
      <c r="Q262" s="223"/>
      <c r="R262" s="781"/>
      <c r="S262" s="781"/>
    </row>
    <row r="263" spans="1:19" x14ac:dyDescent="0.25">
      <c r="A263" s="223"/>
      <c r="B263" s="281"/>
      <c r="C263" s="281"/>
      <c r="D263" s="281"/>
      <c r="E263" s="224"/>
      <c r="F263" s="192"/>
      <c r="G263" s="193"/>
      <c r="H263" s="240"/>
      <c r="I263" s="281"/>
      <c r="J263" s="225"/>
      <c r="K263" s="225"/>
      <c r="L263" s="226"/>
      <c r="M263" s="226"/>
      <c r="N263" s="226"/>
      <c r="O263" s="227"/>
      <c r="P263" s="227"/>
      <c r="Q263" s="223"/>
      <c r="R263" s="781"/>
      <c r="S263" s="781"/>
    </row>
    <row r="264" spans="1:19" x14ac:dyDescent="0.25">
      <c r="A264" s="223"/>
      <c r="B264" s="281"/>
      <c r="C264" s="281"/>
      <c r="D264" s="281"/>
      <c r="E264" s="224"/>
      <c r="F264" s="192"/>
      <c r="G264" s="193"/>
      <c r="H264" s="240"/>
      <c r="I264" s="281"/>
      <c r="J264" s="225"/>
      <c r="K264" s="225"/>
      <c r="L264" s="226"/>
      <c r="M264" s="226"/>
      <c r="N264" s="226"/>
      <c r="O264" s="227"/>
      <c r="P264" s="227"/>
      <c r="Q264" s="223"/>
      <c r="R264" s="781"/>
      <c r="S264" s="781"/>
    </row>
    <row r="265" spans="1:19" x14ac:dyDescent="0.25">
      <c r="A265" s="223"/>
      <c r="B265" s="281"/>
      <c r="C265" s="281"/>
      <c r="D265" s="281"/>
      <c r="E265" s="224"/>
      <c r="F265" s="192"/>
      <c r="G265" s="193"/>
      <c r="H265" s="240"/>
      <c r="I265" s="281"/>
      <c r="J265" s="225"/>
      <c r="K265" s="225"/>
      <c r="L265" s="226"/>
      <c r="M265" s="226"/>
      <c r="N265" s="226"/>
      <c r="O265" s="227"/>
      <c r="P265" s="227"/>
      <c r="Q265" s="223"/>
      <c r="R265" s="781"/>
      <c r="S265" s="781"/>
    </row>
    <row r="266" spans="1:19" x14ac:dyDescent="0.25">
      <c r="A266" s="223"/>
      <c r="B266" s="281"/>
      <c r="C266" s="281"/>
      <c r="D266" s="281"/>
      <c r="E266" s="224"/>
      <c r="F266" s="192"/>
      <c r="G266" s="193"/>
      <c r="H266" s="240"/>
      <c r="I266" s="281"/>
      <c r="J266" s="225"/>
      <c r="K266" s="225"/>
      <c r="L266" s="226"/>
      <c r="M266" s="226"/>
      <c r="N266" s="226"/>
      <c r="O266" s="227"/>
      <c r="P266" s="227"/>
      <c r="Q266" s="223"/>
      <c r="R266" s="781"/>
      <c r="S266" s="781"/>
    </row>
    <row r="267" spans="1:19" x14ac:dyDescent="0.25">
      <c r="A267" s="223"/>
      <c r="B267" s="281"/>
      <c r="C267" s="281"/>
      <c r="D267" s="281"/>
      <c r="E267" s="224"/>
      <c r="F267" s="192"/>
      <c r="G267" s="193"/>
      <c r="H267" s="240"/>
      <c r="I267" s="281"/>
      <c r="J267" s="225"/>
      <c r="K267" s="225"/>
      <c r="L267" s="226"/>
      <c r="M267" s="226"/>
      <c r="N267" s="226"/>
      <c r="O267" s="227"/>
      <c r="P267" s="227"/>
      <c r="Q267" s="223"/>
      <c r="R267" s="781"/>
      <c r="S267" s="781"/>
    </row>
    <row r="268" spans="1:19" x14ac:dyDescent="0.25">
      <c r="A268" s="223"/>
      <c r="B268" s="281"/>
      <c r="C268" s="281"/>
      <c r="D268" s="281"/>
      <c r="E268" s="224"/>
      <c r="F268" s="192"/>
      <c r="G268" s="193"/>
      <c r="H268" s="240"/>
      <c r="I268" s="281"/>
      <c r="J268" s="225"/>
      <c r="K268" s="225"/>
      <c r="L268" s="226"/>
      <c r="M268" s="226"/>
      <c r="N268" s="226"/>
      <c r="O268" s="227"/>
      <c r="P268" s="227"/>
      <c r="Q268" s="223"/>
      <c r="R268" s="781"/>
      <c r="S268" s="781"/>
    </row>
    <row r="269" spans="1:19" x14ac:dyDescent="0.25">
      <c r="A269" s="223"/>
      <c r="B269" s="281"/>
      <c r="C269" s="281"/>
      <c r="D269" s="281"/>
      <c r="E269" s="224"/>
      <c r="F269" s="192"/>
      <c r="G269" s="193"/>
      <c r="H269" s="240"/>
      <c r="I269" s="281"/>
      <c r="J269" s="225"/>
      <c r="K269" s="225"/>
      <c r="L269" s="226"/>
      <c r="M269" s="226"/>
      <c r="N269" s="226"/>
      <c r="O269" s="227"/>
      <c r="P269" s="227"/>
      <c r="Q269" s="223"/>
      <c r="R269" s="781"/>
      <c r="S269" s="781"/>
    </row>
    <row r="270" spans="1:19" x14ac:dyDescent="0.25">
      <c r="A270" s="223"/>
      <c r="B270" s="281"/>
      <c r="C270" s="281"/>
      <c r="D270" s="281"/>
      <c r="E270" s="224"/>
      <c r="F270" s="192"/>
      <c r="G270" s="193"/>
      <c r="H270" s="240"/>
      <c r="I270" s="281"/>
      <c r="J270" s="225"/>
      <c r="K270" s="225"/>
      <c r="L270" s="226"/>
      <c r="M270" s="226"/>
      <c r="N270" s="226"/>
      <c r="O270" s="227"/>
      <c r="P270" s="227"/>
      <c r="Q270" s="223"/>
      <c r="R270" s="781"/>
      <c r="S270" s="781"/>
    </row>
    <row r="271" spans="1:19" x14ac:dyDescent="0.25">
      <c r="A271" s="223"/>
      <c r="B271" s="281"/>
      <c r="C271" s="281"/>
      <c r="D271" s="281"/>
      <c r="E271" s="224"/>
      <c r="F271" s="192"/>
      <c r="G271" s="193"/>
      <c r="H271" s="240"/>
      <c r="I271" s="281"/>
      <c r="J271" s="225"/>
      <c r="K271" s="225"/>
      <c r="L271" s="226"/>
      <c r="M271" s="226"/>
      <c r="N271" s="226"/>
      <c r="O271" s="227"/>
      <c r="P271" s="227"/>
      <c r="Q271" s="223"/>
      <c r="R271" s="781"/>
      <c r="S271" s="781"/>
    </row>
    <row r="272" spans="1:19" x14ac:dyDescent="0.25">
      <c r="A272" s="223"/>
      <c r="B272" s="281"/>
      <c r="C272" s="281"/>
      <c r="D272" s="281"/>
      <c r="E272" s="224"/>
      <c r="F272" s="192"/>
      <c r="G272" s="193"/>
      <c r="H272" s="240"/>
      <c r="I272" s="281"/>
      <c r="J272" s="225"/>
      <c r="K272" s="225"/>
      <c r="L272" s="226"/>
      <c r="M272" s="226"/>
      <c r="N272" s="226"/>
      <c r="O272" s="227"/>
      <c r="P272" s="227"/>
      <c r="Q272" s="223"/>
      <c r="R272" s="781"/>
      <c r="S272" s="781"/>
    </row>
    <row r="273" spans="1:19" x14ac:dyDescent="0.25">
      <c r="A273" s="223"/>
      <c r="B273" s="281"/>
      <c r="C273" s="281"/>
      <c r="D273" s="281"/>
      <c r="E273" s="224"/>
      <c r="F273" s="192"/>
      <c r="G273" s="193"/>
      <c r="H273" s="240"/>
      <c r="I273" s="281"/>
      <c r="J273" s="225"/>
      <c r="K273" s="225"/>
      <c r="L273" s="226"/>
      <c r="M273" s="226"/>
      <c r="N273" s="226"/>
      <c r="O273" s="227"/>
      <c r="P273" s="227"/>
      <c r="Q273" s="223"/>
      <c r="R273" s="781"/>
      <c r="S273" s="781"/>
    </row>
    <row r="274" spans="1:19" x14ac:dyDescent="0.25">
      <c r="A274" s="223"/>
      <c r="B274" s="281"/>
      <c r="C274" s="281"/>
      <c r="D274" s="281"/>
      <c r="E274" s="224"/>
      <c r="F274" s="192"/>
      <c r="G274" s="193"/>
      <c r="H274" s="240"/>
      <c r="I274" s="281"/>
      <c r="J274" s="225"/>
      <c r="K274" s="225"/>
      <c r="L274" s="226"/>
      <c r="M274" s="226"/>
      <c r="N274" s="226"/>
      <c r="O274" s="227"/>
      <c r="P274" s="227"/>
      <c r="Q274" s="223"/>
      <c r="R274" s="781"/>
      <c r="S274" s="781"/>
    </row>
    <row r="275" spans="1:19" x14ac:dyDescent="0.25">
      <c r="A275" s="223"/>
      <c r="B275" s="281"/>
      <c r="C275" s="281"/>
      <c r="D275" s="281"/>
      <c r="E275" s="224"/>
      <c r="F275" s="192"/>
      <c r="G275" s="193"/>
      <c r="H275" s="240"/>
      <c r="I275" s="281"/>
      <c r="J275" s="225"/>
      <c r="K275" s="225"/>
      <c r="L275" s="226"/>
      <c r="M275" s="226"/>
      <c r="N275" s="226"/>
      <c r="O275" s="227"/>
      <c r="P275" s="227"/>
      <c r="Q275" s="223"/>
      <c r="R275" s="781"/>
      <c r="S275" s="781"/>
    </row>
    <row r="276" spans="1:19" x14ac:dyDescent="0.25">
      <c r="A276" s="223"/>
      <c r="B276" s="281"/>
      <c r="C276" s="281"/>
      <c r="D276" s="281"/>
      <c r="E276" s="224"/>
      <c r="F276" s="192"/>
      <c r="G276" s="193"/>
      <c r="H276" s="240"/>
      <c r="I276" s="281"/>
      <c r="J276" s="225"/>
      <c r="K276" s="225"/>
      <c r="L276" s="226"/>
      <c r="M276" s="226"/>
      <c r="N276" s="226"/>
      <c r="O276" s="227"/>
      <c r="P276" s="227"/>
      <c r="Q276" s="223"/>
      <c r="R276" s="781"/>
      <c r="S276" s="781"/>
    </row>
    <row r="277" spans="1:19" x14ac:dyDescent="0.25">
      <c r="A277" s="223"/>
      <c r="B277" s="281"/>
      <c r="C277" s="281"/>
      <c r="D277" s="281"/>
      <c r="E277" s="224"/>
      <c r="F277" s="192"/>
      <c r="G277" s="193"/>
      <c r="H277" s="240"/>
      <c r="I277" s="281"/>
      <c r="J277" s="225"/>
      <c r="K277" s="225"/>
      <c r="L277" s="226"/>
      <c r="M277" s="226"/>
      <c r="N277" s="226"/>
      <c r="O277" s="227"/>
      <c r="P277" s="227"/>
      <c r="Q277" s="223"/>
      <c r="R277" s="781"/>
      <c r="S277" s="781"/>
    </row>
    <row r="278" spans="1:19" x14ac:dyDescent="0.25">
      <c r="A278" s="223"/>
      <c r="B278" s="281"/>
      <c r="C278" s="281"/>
      <c r="D278" s="281"/>
      <c r="E278" s="224"/>
      <c r="F278" s="192"/>
      <c r="G278" s="193"/>
      <c r="H278" s="240"/>
      <c r="I278" s="281"/>
      <c r="J278" s="225"/>
      <c r="K278" s="225"/>
      <c r="L278" s="226"/>
      <c r="M278" s="226"/>
      <c r="N278" s="226"/>
      <c r="O278" s="227"/>
      <c r="P278" s="227"/>
      <c r="Q278" s="223"/>
      <c r="R278" s="781"/>
      <c r="S278" s="781"/>
    </row>
    <row r="279" spans="1:19" x14ac:dyDescent="0.25">
      <c r="A279" s="223"/>
      <c r="B279" s="281"/>
      <c r="C279" s="281"/>
      <c r="D279" s="281"/>
      <c r="E279" s="224"/>
      <c r="F279" s="192"/>
      <c r="G279" s="193"/>
      <c r="H279" s="240"/>
      <c r="I279" s="281"/>
      <c r="J279" s="225"/>
      <c r="K279" s="225"/>
      <c r="L279" s="226"/>
      <c r="M279" s="226"/>
      <c r="N279" s="226"/>
      <c r="O279" s="227"/>
      <c r="P279" s="227"/>
      <c r="Q279" s="223"/>
      <c r="R279" s="781"/>
      <c r="S279" s="781"/>
    </row>
    <row r="280" spans="1:19" x14ac:dyDescent="0.25">
      <c r="A280" s="223"/>
      <c r="B280" s="281"/>
      <c r="C280" s="281"/>
      <c r="D280" s="281"/>
      <c r="E280" s="224"/>
      <c r="F280" s="192"/>
      <c r="G280" s="193"/>
      <c r="H280" s="240"/>
      <c r="I280" s="281"/>
      <c r="J280" s="225"/>
      <c r="K280" s="225"/>
      <c r="L280" s="226"/>
      <c r="M280" s="226"/>
      <c r="N280" s="226"/>
      <c r="O280" s="227"/>
      <c r="P280" s="227"/>
      <c r="Q280" s="223"/>
      <c r="R280" s="781"/>
      <c r="S280" s="781"/>
    </row>
    <row r="281" spans="1:19" x14ac:dyDescent="0.25">
      <c r="A281" s="223"/>
      <c r="B281" s="281"/>
      <c r="C281" s="281"/>
      <c r="D281" s="281"/>
      <c r="E281" s="224"/>
      <c r="F281" s="192"/>
      <c r="G281" s="193"/>
      <c r="H281" s="240"/>
      <c r="I281" s="281"/>
      <c r="J281" s="225"/>
      <c r="K281" s="225"/>
      <c r="L281" s="226"/>
      <c r="M281" s="226"/>
      <c r="N281" s="226"/>
      <c r="O281" s="227"/>
      <c r="P281" s="227"/>
      <c r="Q281" s="223"/>
      <c r="R281" s="781"/>
      <c r="S281" s="781"/>
    </row>
    <row r="282" spans="1:19" x14ac:dyDescent="0.25">
      <c r="A282" s="223"/>
      <c r="B282" s="281"/>
      <c r="C282" s="281"/>
      <c r="D282" s="281"/>
      <c r="E282" s="224"/>
      <c r="F282" s="192"/>
      <c r="G282" s="193"/>
      <c r="H282" s="240"/>
      <c r="I282" s="281"/>
      <c r="J282" s="225"/>
      <c r="K282" s="225"/>
      <c r="L282" s="226"/>
      <c r="M282" s="226"/>
      <c r="N282" s="226"/>
      <c r="O282" s="227"/>
      <c r="P282" s="227"/>
      <c r="Q282" s="223"/>
      <c r="R282" s="781"/>
      <c r="S282" s="781"/>
    </row>
    <row r="283" spans="1:19" x14ac:dyDescent="0.25">
      <c r="A283" s="223"/>
      <c r="B283" s="281"/>
      <c r="C283" s="281"/>
      <c r="D283" s="281"/>
      <c r="E283" s="224"/>
      <c r="F283" s="192"/>
      <c r="G283" s="193"/>
      <c r="H283" s="240"/>
      <c r="I283" s="281"/>
      <c r="J283" s="225"/>
      <c r="K283" s="225"/>
      <c r="L283" s="226"/>
      <c r="M283" s="226"/>
      <c r="N283" s="226"/>
      <c r="O283" s="227"/>
      <c r="P283" s="227"/>
      <c r="Q283" s="223"/>
      <c r="R283" s="781"/>
      <c r="S283" s="781"/>
    </row>
    <row r="284" spans="1:19" x14ac:dyDescent="0.25">
      <c r="A284" s="223"/>
      <c r="B284" s="281"/>
      <c r="C284" s="281"/>
      <c r="D284" s="281"/>
      <c r="E284" s="224"/>
      <c r="F284" s="192"/>
      <c r="G284" s="193"/>
      <c r="H284" s="240"/>
      <c r="I284" s="281"/>
      <c r="J284" s="225"/>
      <c r="K284" s="225"/>
      <c r="L284" s="226"/>
      <c r="M284" s="226"/>
      <c r="N284" s="226"/>
      <c r="O284" s="227"/>
      <c r="P284" s="227"/>
      <c r="Q284" s="223"/>
      <c r="R284" s="781"/>
      <c r="S284" s="781"/>
    </row>
    <row r="285" spans="1:19" x14ac:dyDescent="0.25">
      <c r="A285" s="223"/>
      <c r="B285" s="281"/>
      <c r="C285" s="281"/>
      <c r="D285" s="281"/>
      <c r="E285" s="224"/>
      <c r="F285" s="192"/>
      <c r="G285" s="193"/>
      <c r="H285" s="240"/>
      <c r="I285" s="281"/>
      <c r="J285" s="225"/>
      <c r="K285" s="225"/>
      <c r="L285" s="226"/>
      <c r="M285" s="226"/>
      <c r="N285" s="226"/>
      <c r="O285" s="227"/>
      <c r="P285" s="227"/>
      <c r="Q285" s="223"/>
      <c r="R285" s="781"/>
      <c r="S285" s="781"/>
    </row>
    <row r="286" spans="1:19" x14ac:dyDescent="0.25">
      <c r="A286" s="223"/>
      <c r="B286" s="281"/>
      <c r="C286" s="281"/>
      <c r="D286" s="281"/>
      <c r="E286" s="224"/>
      <c r="F286" s="192"/>
      <c r="G286" s="193"/>
      <c r="H286" s="240"/>
      <c r="I286" s="281"/>
      <c r="J286" s="225"/>
      <c r="K286" s="225"/>
      <c r="L286" s="226"/>
      <c r="M286" s="226"/>
      <c r="N286" s="226"/>
      <c r="O286" s="227"/>
      <c r="P286" s="227"/>
      <c r="Q286" s="223"/>
      <c r="R286" s="781"/>
      <c r="S286" s="781"/>
    </row>
    <row r="287" spans="1:19" x14ac:dyDescent="0.25">
      <c r="A287" s="223"/>
      <c r="B287" s="281"/>
      <c r="C287" s="281"/>
      <c r="D287" s="281"/>
      <c r="E287" s="224"/>
      <c r="F287" s="192"/>
      <c r="G287" s="193"/>
      <c r="H287" s="240"/>
      <c r="I287" s="281"/>
      <c r="J287" s="225"/>
      <c r="K287" s="225"/>
      <c r="L287" s="226"/>
      <c r="M287" s="226"/>
      <c r="N287" s="226"/>
      <c r="O287" s="227"/>
      <c r="P287" s="227"/>
      <c r="Q287" s="223"/>
      <c r="R287" s="781"/>
      <c r="S287" s="781"/>
    </row>
    <row r="288" spans="1:19" x14ac:dyDescent="0.25">
      <c r="A288" s="223"/>
      <c r="B288" s="281"/>
      <c r="C288" s="281"/>
      <c r="D288" s="281"/>
      <c r="E288" s="224"/>
      <c r="F288" s="192"/>
      <c r="G288" s="193"/>
      <c r="H288" s="240"/>
      <c r="I288" s="281"/>
      <c r="J288" s="225"/>
      <c r="K288" s="225"/>
      <c r="L288" s="226"/>
      <c r="M288" s="226"/>
      <c r="N288" s="226"/>
      <c r="O288" s="227"/>
      <c r="P288" s="227"/>
      <c r="Q288" s="223"/>
      <c r="R288" s="781"/>
      <c r="S288" s="781"/>
    </row>
    <row r="289" spans="1:19" x14ac:dyDescent="0.25">
      <c r="A289" s="223"/>
      <c r="B289" s="281"/>
      <c r="C289" s="281"/>
      <c r="D289" s="281"/>
      <c r="E289" s="224"/>
      <c r="F289" s="192"/>
      <c r="G289" s="193"/>
      <c r="H289" s="240"/>
      <c r="I289" s="281"/>
      <c r="J289" s="225"/>
      <c r="K289" s="225"/>
      <c r="L289" s="226"/>
      <c r="M289" s="226"/>
      <c r="N289" s="226"/>
      <c r="O289" s="227"/>
      <c r="P289" s="227"/>
      <c r="Q289" s="223"/>
      <c r="R289" s="781"/>
      <c r="S289" s="781"/>
    </row>
    <row r="290" spans="1:19" x14ac:dyDescent="0.25">
      <c r="A290" s="223"/>
      <c r="B290" s="281"/>
      <c r="C290" s="281"/>
      <c r="D290" s="281"/>
      <c r="E290" s="224"/>
      <c r="F290" s="192"/>
      <c r="G290" s="193"/>
      <c r="H290" s="240"/>
      <c r="I290" s="281"/>
      <c r="J290" s="225"/>
      <c r="K290" s="225"/>
      <c r="L290" s="226"/>
      <c r="M290" s="226"/>
      <c r="N290" s="226"/>
      <c r="O290" s="227"/>
      <c r="P290" s="227"/>
      <c r="Q290" s="223"/>
      <c r="R290" s="781"/>
      <c r="S290" s="781"/>
    </row>
    <row r="291" spans="1:19" x14ac:dyDescent="0.25">
      <c r="A291" s="223"/>
      <c r="B291" s="281"/>
      <c r="C291" s="281"/>
      <c r="D291" s="281"/>
      <c r="E291" s="224"/>
      <c r="F291" s="192"/>
      <c r="G291" s="193"/>
      <c r="H291" s="240"/>
      <c r="I291" s="281"/>
      <c r="J291" s="225"/>
      <c r="K291" s="225"/>
      <c r="L291" s="226"/>
      <c r="M291" s="226"/>
      <c r="N291" s="226"/>
      <c r="O291" s="227"/>
      <c r="P291" s="227"/>
      <c r="Q291" s="223"/>
      <c r="R291" s="781"/>
      <c r="S291" s="781"/>
    </row>
    <row r="292" spans="1:19" x14ac:dyDescent="0.25">
      <c r="A292" s="223"/>
      <c r="B292" s="281"/>
      <c r="C292" s="281"/>
      <c r="D292" s="281"/>
      <c r="E292" s="224"/>
      <c r="F292" s="192"/>
      <c r="G292" s="193"/>
      <c r="H292" s="240"/>
      <c r="I292" s="281"/>
      <c r="J292" s="225"/>
      <c r="K292" s="225"/>
      <c r="L292" s="226"/>
      <c r="M292" s="226"/>
      <c r="N292" s="226"/>
      <c r="O292" s="227"/>
      <c r="P292" s="227"/>
      <c r="Q292" s="223"/>
      <c r="R292" s="781"/>
      <c r="S292" s="781"/>
    </row>
    <row r="293" spans="1:19" x14ac:dyDescent="0.25">
      <c r="A293" s="223"/>
      <c r="B293" s="281"/>
      <c r="C293" s="281"/>
      <c r="D293" s="281"/>
      <c r="E293" s="224"/>
      <c r="F293" s="192"/>
      <c r="G293" s="193"/>
      <c r="H293" s="240"/>
      <c r="I293" s="281"/>
      <c r="J293" s="225"/>
      <c r="K293" s="225"/>
      <c r="L293" s="226"/>
      <c r="M293" s="226"/>
      <c r="N293" s="226"/>
      <c r="O293" s="227"/>
      <c r="P293" s="227"/>
      <c r="Q293" s="223"/>
      <c r="R293" s="781"/>
      <c r="S293" s="781"/>
    </row>
    <row r="294" spans="1:19" x14ac:dyDescent="0.25">
      <c r="A294" s="223"/>
      <c r="B294" s="281"/>
      <c r="C294" s="281"/>
      <c r="D294" s="281"/>
      <c r="E294" s="224"/>
      <c r="F294" s="192"/>
      <c r="G294" s="193"/>
      <c r="H294" s="240"/>
      <c r="I294" s="281"/>
      <c r="J294" s="225"/>
      <c r="K294" s="225"/>
      <c r="L294" s="226"/>
      <c r="M294" s="226"/>
      <c r="N294" s="226"/>
      <c r="O294" s="227"/>
      <c r="P294" s="227"/>
      <c r="Q294" s="223"/>
      <c r="R294" s="781"/>
      <c r="S294" s="781"/>
    </row>
    <row r="295" spans="1:19" x14ac:dyDescent="0.25">
      <c r="A295" s="223"/>
      <c r="B295" s="281"/>
      <c r="C295" s="281"/>
      <c r="D295" s="281"/>
      <c r="E295" s="224"/>
      <c r="F295" s="192"/>
      <c r="G295" s="193"/>
      <c r="H295" s="240"/>
      <c r="I295" s="281"/>
      <c r="J295" s="225"/>
      <c r="K295" s="225"/>
      <c r="L295" s="226"/>
      <c r="M295" s="226"/>
      <c r="N295" s="226"/>
      <c r="O295" s="227"/>
      <c r="P295" s="227"/>
      <c r="Q295" s="223"/>
      <c r="R295" s="781"/>
      <c r="S295" s="781"/>
    </row>
    <row r="296" spans="1:19" x14ac:dyDescent="0.25">
      <c r="A296" s="223"/>
      <c r="B296" s="281"/>
      <c r="C296" s="281"/>
      <c r="D296" s="281"/>
      <c r="E296" s="224"/>
      <c r="F296" s="192"/>
      <c r="G296" s="193"/>
      <c r="H296" s="240"/>
      <c r="I296" s="281"/>
      <c r="J296" s="225"/>
      <c r="K296" s="225"/>
      <c r="L296" s="226"/>
      <c r="M296" s="226"/>
      <c r="N296" s="226"/>
      <c r="O296" s="227"/>
      <c r="P296" s="227"/>
      <c r="Q296" s="223"/>
      <c r="R296" s="781"/>
      <c r="S296" s="781"/>
    </row>
    <row r="297" spans="1:19" x14ac:dyDescent="0.25">
      <c r="A297" s="223"/>
      <c r="B297" s="281"/>
      <c r="C297" s="281"/>
      <c r="D297" s="281"/>
      <c r="E297" s="224"/>
      <c r="F297" s="192"/>
      <c r="G297" s="193"/>
      <c r="H297" s="240"/>
      <c r="I297" s="281"/>
      <c r="J297" s="225"/>
      <c r="K297" s="225"/>
      <c r="L297" s="226"/>
      <c r="M297" s="226"/>
      <c r="N297" s="226"/>
      <c r="O297" s="227"/>
      <c r="P297" s="227"/>
      <c r="Q297" s="223"/>
      <c r="R297" s="781"/>
      <c r="S297" s="781"/>
    </row>
    <row r="298" spans="1:19" x14ac:dyDescent="0.25">
      <c r="A298" s="223"/>
      <c r="B298" s="281"/>
      <c r="C298" s="281"/>
      <c r="D298" s="281"/>
      <c r="E298" s="224"/>
      <c r="F298" s="192"/>
      <c r="G298" s="193"/>
      <c r="H298" s="240"/>
      <c r="I298" s="281"/>
      <c r="J298" s="225"/>
      <c r="K298" s="225"/>
      <c r="L298" s="226"/>
      <c r="M298" s="226"/>
      <c r="N298" s="226"/>
      <c r="O298" s="227"/>
      <c r="P298" s="227"/>
      <c r="Q298" s="223"/>
      <c r="R298" s="781"/>
      <c r="S298" s="781"/>
    </row>
    <row r="299" spans="1:19" x14ac:dyDescent="0.25">
      <c r="A299" s="223"/>
      <c r="B299" s="281"/>
      <c r="C299" s="281"/>
      <c r="D299" s="281"/>
      <c r="E299" s="224"/>
      <c r="F299" s="192"/>
      <c r="G299" s="193"/>
      <c r="H299" s="240"/>
      <c r="I299" s="281"/>
      <c r="J299" s="225"/>
      <c r="K299" s="225"/>
      <c r="L299" s="226"/>
      <c r="M299" s="226"/>
      <c r="N299" s="226"/>
      <c r="O299" s="227"/>
      <c r="P299" s="227"/>
      <c r="Q299" s="223"/>
      <c r="R299" s="781"/>
      <c r="S299" s="781"/>
    </row>
    <row r="300" spans="1:19" x14ac:dyDescent="0.25">
      <c r="A300" s="223"/>
      <c r="B300" s="281"/>
      <c r="C300" s="281"/>
      <c r="D300" s="281"/>
      <c r="E300" s="224"/>
      <c r="F300" s="192"/>
      <c r="G300" s="193"/>
      <c r="H300" s="240"/>
      <c r="I300" s="281"/>
      <c r="J300" s="225"/>
      <c r="K300" s="225"/>
      <c r="L300" s="226"/>
      <c r="M300" s="226"/>
      <c r="N300" s="226"/>
      <c r="O300" s="227"/>
      <c r="P300" s="227"/>
      <c r="Q300" s="223"/>
      <c r="R300" s="781"/>
      <c r="S300" s="781"/>
    </row>
  </sheetData>
  <sheetProtection selectLockedCells="1"/>
  <mergeCells count="310">
    <mergeCell ref="R295:S295"/>
    <mergeCell ref="R296:S296"/>
    <mergeCell ref="R297:S297"/>
    <mergeCell ref="R298:S298"/>
    <mergeCell ref="R299:S299"/>
    <mergeCell ref="R300:S300"/>
    <mergeCell ref="R289:S289"/>
    <mergeCell ref="R290:S290"/>
    <mergeCell ref="R291:S291"/>
    <mergeCell ref="R292:S292"/>
    <mergeCell ref="R293:S293"/>
    <mergeCell ref="R294:S294"/>
    <mergeCell ref="R283:S283"/>
    <mergeCell ref="R284:S284"/>
    <mergeCell ref="R285:S285"/>
    <mergeCell ref="R286:S286"/>
    <mergeCell ref="R287:S287"/>
    <mergeCell ref="R288:S288"/>
    <mergeCell ref="R277:S277"/>
    <mergeCell ref="R278:S278"/>
    <mergeCell ref="R279:S279"/>
    <mergeCell ref="R280:S280"/>
    <mergeCell ref="R281:S281"/>
    <mergeCell ref="R282:S282"/>
    <mergeCell ref="R271:S271"/>
    <mergeCell ref="R272:S272"/>
    <mergeCell ref="R273:S273"/>
    <mergeCell ref="R274:S274"/>
    <mergeCell ref="R275:S275"/>
    <mergeCell ref="R276:S276"/>
    <mergeCell ref="R265:S265"/>
    <mergeCell ref="R266:S266"/>
    <mergeCell ref="R267:S267"/>
    <mergeCell ref="R268:S268"/>
    <mergeCell ref="R269:S269"/>
    <mergeCell ref="R270:S270"/>
    <mergeCell ref="R259:S259"/>
    <mergeCell ref="R260:S260"/>
    <mergeCell ref="R261:S261"/>
    <mergeCell ref="R262:S262"/>
    <mergeCell ref="R263:S263"/>
    <mergeCell ref="R264:S264"/>
    <mergeCell ref="R253:S253"/>
    <mergeCell ref="R254:S254"/>
    <mergeCell ref="R255:S255"/>
    <mergeCell ref="R256:S256"/>
    <mergeCell ref="R257:S257"/>
    <mergeCell ref="R258:S258"/>
    <mergeCell ref="R247:S247"/>
    <mergeCell ref="R248:S248"/>
    <mergeCell ref="R249:S249"/>
    <mergeCell ref="R250:S250"/>
    <mergeCell ref="R251:S251"/>
    <mergeCell ref="R252:S252"/>
    <mergeCell ref="R241:S241"/>
    <mergeCell ref="R242:S242"/>
    <mergeCell ref="R243:S243"/>
    <mergeCell ref="R244:S244"/>
    <mergeCell ref="R245:S245"/>
    <mergeCell ref="R246:S246"/>
    <mergeCell ref="R235:S235"/>
    <mergeCell ref="R236:S236"/>
    <mergeCell ref="R237:S237"/>
    <mergeCell ref="R238:S238"/>
    <mergeCell ref="R239:S239"/>
    <mergeCell ref="R240:S240"/>
    <mergeCell ref="R229:S229"/>
    <mergeCell ref="R230:S230"/>
    <mergeCell ref="R231:S231"/>
    <mergeCell ref="R232:S232"/>
    <mergeCell ref="R233:S233"/>
    <mergeCell ref="R234:S234"/>
    <mergeCell ref="R223:S223"/>
    <mergeCell ref="R224:S224"/>
    <mergeCell ref="R225:S225"/>
    <mergeCell ref="R226:S226"/>
    <mergeCell ref="R227:S227"/>
    <mergeCell ref="R228:S228"/>
    <mergeCell ref="R217:S217"/>
    <mergeCell ref="R218:S218"/>
    <mergeCell ref="R219:S219"/>
    <mergeCell ref="R220:S220"/>
    <mergeCell ref="R221:S221"/>
    <mergeCell ref="R222:S222"/>
    <mergeCell ref="R211:S211"/>
    <mergeCell ref="R212:S212"/>
    <mergeCell ref="R213:S213"/>
    <mergeCell ref="R214:S214"/>
    <mergeCell ref="R215:S215"/>
    <mergeCell ref="R216:S216"/>
    <mergeCell ref="R205:S205"/>
    <mergeCell ref="R206:S206"/>
    <mergeCell ref="R207:S207"/>
    <mergeCell ref="R208:S208"/>
    <mergeCell ref="R209:S209"/>
    <mergeCell ref="R210:S210"/>
    <mergeCell ref="R199:S199"/>
    <mergeCell ref="R200:S200"/>
    <mergeCell ref="R201:S201"/>
    <mergeCell ref="R202:S202"/>
    <mergeCell ref="R203:S203"/>
    <mergeCell ref="R204:S204"/>
    <mergeCell ref="R193:S193"/>
    <mergeCell ref="R194:S194"/>
    <mergeCell ref="R195:S195"/>
    <mergeCell ref="R196:S196"/>
    <mergeCell ref="R197:S197"/>
    <mergeCell ref="R198:S198"/>
    <mergeCell ref="R187:S187"/>
    <mergeCell ref="R188:S188"/>
    <mergeCell ref="R189:S189"/>
    <mergeCell ref="R190:S190"/>
    <mergeCell ref="R191:S191"/>
    <mergeCell ref="R192:S192"/>
    <mergeCell ref="R181:S181"/>
    <mergeCell ref="R182:S182"/>
    <mergeCell ref="R183:S183"/>
    <mergeCell ref="R184:S184"/>
    <mergeCell ref="R185:S185"/>
    <mergeCell ref="R186:S186"/>
    <mergeCell ref="R175:S175"/>
    <mergeCell ref="R176:S176"/>
    <mergeCell ref="R177:S177"/>
    <mergeCell ref="R178:S178"/>
    <mergeCell ref="R179:S179"/>
    <mergeCell ref="R180:S180"/>
    <mergeCell ref="R169:S169"/>
    <mergeCell ref="R170:S170"/>
    <mergeCell ref="R171:S171"/>
    <mergeCell ref="R172:S172"/>
    <mergeCell ref="R173:S173"/>
    <mergeCell ref="R174:S174"/>
    <mergeCell ref="R163:S163"/>
    <mergeCell ref="R164:S164"/>
    <mergeCell ref="R165:S165"/>
    <mergeCell ref="R166:S166"/>
    <mergeCell ref="R167:S167"/>
    <mergeCell ref="R168:S168"/>
    <mergeCell ref="R157:S157"/>
    <mergeCell ref="R158:S158"/>
    <mergeCell ref="R159:S159"/>
    <mergeCell ref="R160:S160"/>
    <mergeCell ref="R161:S161"/>
    <mergeCell ref="R162:S162"/>
    <mergeCell ref="R151:S151"/>
    <mergeCell ref="R152:S152"/>
    <mergeCell ref="R153:S153"/>
    <mergeCell ref="R154:S154"/>
    <mergeCell ref="R155:S155"/>
    <mergeCell ref="R156:S156"/>
    <mergeCell ref="R145:S145"/>
    <mergeCell ref="R146:S146"/>
    <mergeCell ref="R147:S147"/>
    <mergeCell ref="R148:S148"/>
    <mergeCell ref="R149:S149"/>
    <mergeCell ref="R150:S150"/>
    <mergeCell ref="R139:S139"/>
    <mergeCell ref="R140:S140"/>
    <mergeCell ref="R141:S141"/>
    <mergeCell ref="R142:S142"/>
    <mergeCell ref="R143:S143"/>
    <mergeCell ref="R144:S144"/>
    <mergeCell ref="R133:S133"/>
    <mergeCell ref="R134:S134"/>
    <mergeCell ref="R135:S135"/>
    <mergeCell ref="R136:S136"/>
    <mergeCell ref="R137:S137"/>
    <mergeCell ref="R138:S138"/>
    <mergeCell ref="R127:S127"/>
    <mergeCell ref="R128:S128"/>
    <mergeCell ref="R129:S129"/>
    <mergeCell ref="R130:S130"/>
    <mergeCell ref="R131:S131"/>
    <mergeCell ref="R132:S132"/>
    <mergeCell ref="R121:S121"/>
    <mergeCell ref="R122:S122"/>
    <mergeCell ref="R123:S123"/>
    <mergeCell ref="R124:S124"/>
    <mergeCell ref="R125:S125"/>
    <mergeCell ref="R126:S126"/>
    <mergeCell ref="R115:S115"/>
    <mergeCell ref="R116:S116"/>
    <mergeCell ref="R117:S117"/>
    <mergeCell ref="R118:S118"/>
    <mergeCell ref="R119:S119"/>
    <mergeCell ref="R120:S120"/>
    <mergeCell ref="R109:S109"/>
    <mergeCell ref="R110:S110"/>
    <mergeCell ref="R111:S111"/>
    <mergeCell ref="R112:S112"/>
    <mergeCell ref="R113:S113"/>
    <mergeCell ref="R114:S114"/>
    <mergeCell ref="R103:S103"/>
    <mergeCell ref="R104:S104"/>
    <mergeCell ref="R105:S105"/>
    <mergeCell ref="R106:S106"/>
    <mergeCell ref="R107:S107"/>
    <mergeCell ref="R108:S108"/>
    <mergeCell ref="R97:S97"/>
    <mergeCell ref="R98:S98"/>
    <mergeCell ref="R99:S99"/>
    <mergeCell ref="R100:S100"/>
    <mergeCell ref="R101:S101"/>
    <mergeCell ref="R102:S102"/>
    <mergeCell ref="R91:S91"/>
    <mergeCell ref="R92:S92"/>
    <mergeCell ref="R93:S93"/>
    <mergeCell ref="R94:S94"/>
    <mergeCell ref="R95:S95"/>
    <mergeCell ref="R96:S96"/>
    <mergeCell ref="R85:S85"/>
    <mergeCell ref="R86:S86"/>
    <mergeCell ref="R87:S87"/>
    <mergeCell ref="R88:S88"/>
    <mergeCell ref="R89:S89"/>
    <mergeCell ref="R90:S90"/>
    <mergeCell ref="R79:S79"/>
    <mergeCell ref="R80:S80"/>
    <mergeCell ref="R81:S81"/>
    <mergeCell ref="R82:S82"/>
    <mergeCell ref="R83:S83"/>
    <mergeCell ref="R84:S84"/>
    <mergeCell ref="R73:S73"/>
    <mergeCell ref="R74:S74"/>
    <mergeCell ref="R75:S75"/>
    <mergeCell ref="R76:S76"/>
    <mergeCell ref="R77:S77"/>
    <mergeCell ref="R78:S78"/>
    <mergeCell ref="R67:S67"/>
    <mergeCell ref="R68:S68"/>
    <mergeCell ref="R69:S69"/>
    <mergeCell ref="R70:S70"/>
    <mergeCell ref="R71:S71"/>
    <mergeCell ref="R72:S72"/>
    <mergeCell ref="R61:S61"/>
    <mergeCell ref="R62:S62"/>
    <mergeCell ref="R63:S63"/>
    <mergeCell ref="R64:S64"/>
    <mergeCell ref="R65:S65"/>
    <mergeCell ref="R66:S66"/>
    <mergeCell ref="R55:S55"/>
    <mergeCell ref="R56:S56"/>
    <mergeCell ref="R57:S57"/>
    <mergeCell ref="R58:S58"/>
    <mergeCell ref="R59:S59"/>
    <mergeCell ref="R60:S60"/>
    <mergeCell ref="R49:S49"/>
    <mergeCell ref="R50:S50"/>
    <mergeCell ref="R51:S51"/>
    <mergeCell ref="R52:S52"/>
    <mergeCell ref="R53:S53"/>
    <mergeCell ref="R54:S54"/>
    <mergeCell ref="R43:S43"/>
    <mergeCell ref="R44:S44"/>
    <mergeCell ref="R45:S45"/>
    <mergeCell ref="R46:S46"/>
    <mergeCell ref="R47:S47"/>
    <mergeCell ref="R48:S48"/>
    <mergeCell ref="R37:S37"/>
    <mergeCell ref="R38:S38"/>
    <mergeCell ref="R39:S39"/>
    <mergeCell ref="R40:S40"/>
    <mergeCell ref="R41:S41"/>
    <mergeCell ref="R42:S42"/>
    <mergeCell ref="R31:S31"/>
    <mergeCell ref="R32:S32"/>
    <mergeCell ref="R33:S33"/>
    <mergeCell ref="R34:S34"/>
    <mergeCell ref="R35:S35"/>
    <mergeCell ref="R36:S36"/>
    <mergeCell ref="R25:S25"/>
    <mergeCell ref="R26:S26"/>
    <mergeCell ref="R27:S27"/>
    <mergeCell ref="R28:S28"/>
    <mergeCell ref="R29:S29"/>
    <mergeCell ref="R30:S30"/>
    <mergeCell ref="R19:S19"/>
    <mergeCell ref="R20:S20"/>
    <mergeCell ref="R21:S21"/>
    <mergeCell ref="R22:S22"/>
    <mergeCell ref="R23:S23"/>
    <mergeCell ref="R24:S24"/>
    <mergeCell ref="R13:S13"/>
    <mergeCell ref="R14:S14"/>
    <mergeCell ref="R15:S15"/>
    <mergeCell ref="R16:S16"/>
    <mergeCell ref="R17:S17"/>
    <mergeCell ref="R18:S18"/>
    <mergeCell ref="R7:S7"/>
    <mergeCell ref="R8:S8"/>
    <mergeCell ref="R9:S9"/>
    <mergeCell ref="R10:S10"/>
    <mergeCell ref="R11:S11"/>
    <mergeCell ref="R12:S12"/>
    <mergeCell ref="H3:K3"/>
    <mergeCell ref="L3:N3"/>
    <mergeCell ref="O3:P3"/>
    <mergeCell ref="R4:S4"/>
    <mergeCell ref="R5:S5"/>
    <mergeCell ref="R6:S6"/>
    <mergeCell ref="A1:E2"/>
    <mergeCell ref="K1:L1"/>
    <mergeCell ref="M1:P1"/>
    <mergeCell ref="Q1:S3"/>
    <mergeCell ref="F2:G2"/>
    <mergeCell ref="H2:I2"/>
    <mergeCell ref="K2:L2"/>
    <mergeCell ref="M2:P2"/>
    <mergeCell ref="A3:C3"/>
    <mergeCell ref="D3:E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AA300"/>
  <sheetViews>
    <sheetView zoomScale="90" zoomScaleNormal="90" workbookViewId="0">
      <pane ySplit="14" topLeftCell="A15" activePane="bottomLeft" state="frozen"/>
      <selection activeCell="H29" sqref="H29"/>
      <selection pane="bottomLeft" activeCell="P18" sqref="P18"/>
    </sheetView>
  </sheetViews>
  <sheetFormatPr defaultRowHeight="15" x14ac:dyDescent="0.25"/>
  <cols>
    <col min="1" max="1" width="9.5703125" bestFit="1" customWidth="1"/>
    <col min="2" max="2" width="9" style="148" bestFit="1" customWidth="1"/>
    <col min="3" max="3" width="22.42578125" style="148" customWidth="1"/>
    <col min="4" max="6" width="12.85546875" style="148" bestFit="1" customWidth="1"/>
    <col min="7" max="7" width="12.140625" style="148" bestFit="1" customWidth="1"/>
    <col min="8" max="8" width="11.7109375" bestFit="1" customWidth="1"/>
    <col min="9" max="9" width="13.42578125" bestFit="1" customWidth="1"/>
    <col min="10" max="10" width="9.5703125" style="228" bestFit="1" customWidth="1"/>
    <col min="11" max="11" width="13.42578125" style="148" bestFit="1" customWidth="1"/>
    <col min="12" max="12" width="22.140625" bestFit="1" customWidth="1"/>
    <col min="13" max="13" width="20.28515625" customWidth="1"/>
    <col min="14" max="14" width="15.5703125" style="187" bestFit="1" customWidth="1"/>
    <col min="15" max="16" width="11.42578125" style="187" bestFit="1" customWidth="1"/>
    <col min="17" max="17" width="10.7109375" style="187" bestFit="1" customWidth="1"/>
    <col min="18" max="18" width="11.7109375" style="187" customWidth="1"/>
    <col min="19" max="19" width="8.42578125" style="230" bestFit="1" customWidth="1"/>
    <col min="20" max="21" width="13.5703125" style="230" customWidth="1"/>
  </cols>
  <sheetData>
    <row r="1" spans="1:27" ht="24" customHeight="1" thickBot="1" x14ac:dyDescent="0.3">
      <c r="A1" s="749" t="s">
        <v>365</v>
      </c>
      <c r="B1" s="750"/>
      <c r="C1" s="750"/>
      <c r="D1" s="750"/>
      <c r="E1" s="750"/>
      <c r="F1" s="750"/>
      <c r="G1" s="788"/>
      <c r="H1" s="163" t="s">
        <v>327</v>
      </c>
      <c r="I1" s="164" t="str">
        <f>D4</f>
        <v>PT 1912</v>
      </c>
      <c r="J1" s="165" t="s">
        <v>328</v>
      </c>
      <c r="K1" s="164" t="str">
        <f>E4</f>
        <v>PT 1917</v>
      </c>
      <c r="L1" s="248" t="s">
        <v>366</v>
      </c>
      <c r="M1" s="248" t="s">
        <v>367</v>
      </c>
      <c r="N1" s="249" t="s">
        <v>329</v>
      </c>
      <c r="O1" s="754"/>
      <c r="P1" s="754"/>
      <c r="Q1" s="754"/>
      <c r="R1" s="754"/>
      <c r="S1" s="782" t="s">
        <v>330</v>
      </c>
      <c r="T1" s="783"/>
      <c r="U1" s="783"/>
    </row>
    <row r="2" spans="1:27" ht="24" customHeight="1" thickBot="1" x14ac:dyDescent="0.3">
      <c r="A2" s="789"/>
      <c r="B2" s="790"/>
      <c r="C2" s="790"/>
      <c r="D2" s="790"/>
      <c r="E2" s="790"/>
      <c r="F2" s="790"/>
      <c r="G2" s="791"/>
      <c r="H2" s="762">
        <f>I4-I12</f>
        <v>39.299999999999955</v>
      </c>
      <c r="I2" s="763"/>
      <c r="J2" s="762">
        <f>I6-I14</f>
        <v>2.5</v>
      </c>
      <c r="K2" s="763"/>
      <c r="L2" s="250">
        <f>I8-I16</f>
        <v>2</v>
      </c>
      <c r="M2" s="250">
        <f>I10-I18</f>
        <v>2</v>
      </c>
      <c r="N2" s="249" t="s">
        <v>331</v>
      </c>
      <c r="O2" s="766"/>
      <c r="P2" s="766"/>
      <c r="Q2" s="766"/>
      <c r="R2" s="766"/>
      <c r="S2" s="784"/>
      <c r="T2" s="785"/>
      <c r="U2" s="785"/>
    </row>
    <row r="3" spans="1:27" s="149" customFormat="1" ht="24" customHeight="1" thickBot="1" x14ac:dyDescent="0.4">
      <c r="A3" s="792" t="s">
        <v>332</v>
      </c>
      <c r="B3" s="793"/>
      <c r="C3" s="794"/>
      <c r="D3" s="792" t="s">
        <v>333</v>
      </c>
      <c r="E3" s="793"/>
      <c r="F3" s="793"/>
      <c r="G3" s="794"/>
      <c r="H3" s="168" t="s">
        <v>334</v>
      </c>
      <c r="I3" s="169" t="s">
        <v>328</v>
      </c>
      <c r="J3" s="775" t="s">
        <v>335</v>
      </c>
      <c r="K3" s="776"/>
      <c r="L3" s="776"/>
      <c r="M3" s="777"/>
      <c r="N3" s="775" t="s">
        <v>336</v>
      </c>
      <c r="O3" s="776"/>
      <c r="P3" s="776"/>
      <c r="Q3" s="776"/>
      <c r="R3" s="777"/>
      <c r="S3" s="786"/>
      <c r="T3" s="787"/>
      <c r="U3" s="787"/>
    </row>
    <row r="4" spans="1:27" s="149" customFormat="1" ht="24" thickBot="1" x14ac:dyDescent="0.4">
      <c r="A4" s="277" t="s">
        <v>297</v>
      </c>
      <c r="B4" s="277" t="s">
        <v>338</v>
      </c>
      <c r="C4" s="277" t="s">
        <v>339</v>
      </c>
      <c r="D4" s="277" t="s">
        <v>368</v>
      </c>
      <c r="E4" s="277" t="s">
        <v>369</v>
      </c>
      <c r="F4" s="277" t="s">
        <v>370</v>
      </c>
      <c r="G4" s="277" t="s">
        <v>371</v>
      </c>
      <c r="H4" s="170" t="str">
        <f>D4</f>
        <v>PT 1912</v>
      </c>
      <c r="I4" s="171">
        <f>SUM(D:D)</f>
        <v>304.39999999999998</v>
      </c>
      <c r="J4" s="172" t="s">
        <v>297</v>
      </c>
      <c r="K4" s="173" t="s">
        <v>342</v>
      </c>
      <c r="L4" s="173" t="s">
        <v>343</v>
      </c>
      <c r="M4" s="173" t="s">
        <v>344</v>
      </c>
      <c r="N4" s="174" t="s">
        <v>368</v>
      </c>
      <c r="O4" s="174" t="str">
        <f>E4</f>
        <v>PT 1917</v>
      </c>
      <c r="P4" s="174" t="str">
        <f>F4</f>
        <v>PT 2072</v>
      </c>
      <c r="Q4" s="174" t="str">
        <f>G4</f>
        <v>PT 2064</v>
      </c>
      <c r="R4" s="174" t="s">
        <v>328</v>
      </c>
      <c r="S4" s="175" t="s">
        <v>297</v>
      </c>
      <c r="T4" s="778" t="s">
        <v>345</v>
      </c>
      <c r="U4" s="779"/>
    </row>
    <row r="5" spans="1:27" ht="21" customHeight="1" x14ac:dyDescent="0.35">
      <c r="A5" s="176">
        <v>42857</v>
      </c>
      <c r="B5" s="279">
        <v>180087</v>
      </c>
      <c r="C5" s="279" t="s">
        <v>346</v>
      </c>
      <c r="D5" s="279">
        <v>20</v>
      </c>
      <c r="E5" s="177"/>
      <c r="F5" s="177"/>
      <c r="G5" s="177"/>
      <c r="H5" s="178" t="s">
        <v>334</v>
      </c>
      <c r="I5" s="179" t="s">
        <v>328</v>
      </c>
      <c r="J5" s="246">
        <v>42858</v>
      </c>
      <c r="K5" s="279">
        <v>443437</v>
      </c>
      <c r="L5" s="180" t="s">
        <v>372</v>
      </c>
      <c r="M5" s="180" t="s">
        <v>360</v>
      </c>
      <c r="N5" s="181">
        <v>21</v>
      </c>
      <c r="O5" s="181">
        <v>30</v>
      </c>
      <c r="P5" s="181">
        <v>30</v>
      </c>
      <c r="Q5" s="181">
        <v>30</v>
      </c>
      <c r="R5" s="181">
        <f>SUM(N5:Q5)</f>
        <v>111</v>
      </c>
      <c r="S5" s="176"/>
      <c r="T5" s="780"/>
      <c r="U5" s="780"/>
    </row>
    <row r="6" spans="1:27" ht="21" customHeight="1" thickBot="1" x14ac:dyDescent="0.4">
      <c r="A6" s="184">
        <v>42857</v>
      </c>
      <c r="B6" s="278">
        <v>171992</v>
      </c>
      <c r="C6" s="279" t="s">
        <v>346</v>
      </c>
      <c r="D6" s="278">
        <v>10</v>
      </c>
      <c r="E6" s="185">
        <v>30</v>
      </c>
      <c r="F6" s="185"/>
      <c r="G6" s="185"/>
      <c r="H6" s="170" t="str">
        <f>E4</f>
        <v>PT 1917</v>
      </c>
      <c r="I6" s="171">
        <f>SUM(E:E)</f>
        <v>289</v>
      </c>
      <c r="J6" s="241">
        <v>42861</v>
      </c>
      <c r="K6" s="278">
        <v>443966</v>
      </c>
      <c r="L6" s="186" t="s">
        <v>372</v>
      </c>
      <c r="M6" s="186" t="s">
        <v>373</v>
      </c>
      <c r="N6" s="182">
        <v>16</v>
      </c>
      <c r="O6" s="182">
        <v>16</v>
      </c>
      <c r="P6" s="182">
        <v>30</v>
      </c>
      <c r="Q6" s="182">
        <v>30</v>
      </c>
      <c r="R6" s="181">
        <f>SUM(N6:Q6)</f>
        <v>92</v>
      </c>
      <c r="S6" s="184"/>
      <c r="T6" s="773"/>
      <c r="U6" s="773"/>
    </row>
    <row r="7" spans="1:27" ht="21" customHeight="1" x14ac:dyDescent="0.35">
      <c r="A7" s="184">
        <v>42857</v>
      </c>
      <c r="B7" s="278">
        <v>180088</v>
      </c>
      <c r="C7" s="279" t="s">
        <v>346</v>
      </c>
      <c r="D7" s="278"/>
      <c r="E7" s="185"/>
      <c r="F7" s="185">
        <v>20</v>
      </c>
      <c r="G7" s="185"/>
      <c r="H7" s="178" t="s">
        <v>334</v>
      </c>
      <c r="I7" s="179" t="s">
        <v>328</v>
      </c>
      <c r="J7" s="241">
        <v>42865</v>
      </c>
      <c r="K7" s="278">
        <v>443967</v>
      </c>
      <c r="L7" s="186" t="s">
        <v>372</v>
      </c>
      <c r="M7" s="186" t="s">
        <v>373</v>
      </c>
      <c r="N7" s="182">
        <v>25</v>
      </c>
      <c r="O7" s="182">
        <v>30</v>
      </c>
      <c r="P7" s="182">
        <v>30</v>
      </c>
      <c r="Q7" s="182">
        <v>30</v>
      </c>
      <c r="R7" s="181">
        <f t="shared" ref="R7:R70" si="0">SUM(N7:Q7)</f>
        <v>115</v>
      </c>
      <c r="S7" s="184"/>
      <c r="T7" s="773"/>
      <c r="U7" s="773"/>
      <c r="AA7" s="310"/>
    </row>
    <row r="8" spans="1:27" ht="21" customHeight="1" thickBot="1" x14ac:dyDescent="0.4">
      <c r="A8" s="184">
        <v>42857</v>
      </c>
      <c r="B8" s="278">
        <v>180089</v>
      </c>
      <c r="C8" s="279" t="s">
        <v>346</v>
      </c>
      <c r="D8" s="278"/>
      <c r="E8" s="185"/>
      <c r="F8" s="185">
        <v>10</v>
      </c>
      <c r="G8" s="185">
        <v>30</v>
      </c>
      <c r="H8" s="170" t="str">
        <f>F4</f>
        <v>PT 2072</v>
      </c>
      <c r="I8" s="251">
        <f>SUM(F:F)</f>
        <v>268.10000000000002</v>
      </c>
      <c r="J8" s="241">
        <v>42867</v>
      </c>
      <c r="K8" s="278">
        <v>443442</v>
      </c>
      <c r="L8" s="186" t="s">
        <v>372</v>
      </c>
      <c r="M8" s="186" t="s">
        <v>360</v>
      </c>
      <c r="N8" s="182">
        <v>29</v>
      </c>
      <c r="O8" s="182">
        <v>26</v>
      </c>
      <c r="P8" s="182">
        <v>26</v>
      </c>
      <c r="Q8" s="182">
        <v>30</v>
      </c>
      <c r="R8" s="181">
        <f t="shared" si="0"/>
        <v>111</v>
      </c>
      <c r="S8" s="184"/>
      <c r="T8" s="773"/>
      <c r="U8" s="773"/>
      <c r="AA8" s="311"/>
    </row>
    <row r="9" spans="1:27" ht="21" customHeight="1" x14ac:dyDescent="0.35">
      <c r="A9" s="184">
        <v>42859</v>
      </c>
      <c r="B9" s="278">
        <v>171631</v>
      </c>
      <c r="C9" s="279" t="s">
        <v>346</v>
      </c>
      <c r="D9" s="278"/>
      <c r="E9" s="185"/>
      <c r="F9" s="185">
        <v>10</v>
      </c>
      <c r="G9" s="185">
        <v>30</v>
      </c>
      <c r="H9" s="178" t="s">
        <v>334</v>
      </c>
      <c r="I9" s="179" t="s">
        <v>328</v>
      </c>
      <c r="J9" s="241">
        <v>42871</v>
      </c>
      <c r="K9" s="278">
        <v>443921</v>
      </c>
      <c r="L9" s="186" t="s">
        <v>372</v>
      </c>
      <c r="M9" s="186" t="s">
        <v>423</v>
      </c>
      <c r="N9" s="182">
        <v>37</v>
      </c>
      <c r="O9" s="182"/>
      <c r="P9" s="182"/>
      <c r="Q9" s="182"/>
      <c r="R9" s="181">
        <f t="shared" si="0"/>
        <v>37</v>
      </c>
      <c r="S9" s="184"/>
      <c r="T9" s="773"/>
      <c r="U9" s="773"/>
      <c r="AA9" s="310"/>
    </row>
    <row r="10" spans="1:27" ht="21" customHeight="1" thickBot="1" x14ac:dyDescent="0.4">
      <c r="A10" s="184">
        <v>42860</v>
      </c>
      <c r="B10" s="278">
        <v>171633</v>
      </c>
      <c r="C10" s="279" t="s">
        <v>346</v>
      </c>
      <c r="D10" s="278">
        <v>20</v>
      </c>
      <c r="E10" s="185"/>
      <c r="F10" s="185">
        <v>20</v>
      </c>
      <c r="G10" s="185"/>
      <c r="H10" s="170" t="str">
        <f>G4</f>
        <v>PT 2064</v>
      </c>
      <c r="I10" s="251">
        <f>SUM(G:G)</f>
        <v>272.60000000000002</v>
      </c>
      <c r="J10" s="241">
        <v>42872</v>
      </c>
      <c r="K10" s="278">
        <v>443922</v>
      </c>
      <c r="L10" s="186" t="s">
        <v>372</v>
      </c>
      <c r="M10" s="186" t="s">
        <v>423</v>
      </c>
      <c r="N10" s="182"/>
      <c r="O10" s="182">
        <v>31</v>
      </c>
      <c r="P10" s="182"/>
      <c r="Q10" s="182"/>
      <c r="R10" s="181">
        <f t="shared" si="0"/>
        <v>31</v>
      </c>
      <c r="S10" s="184"/>
      <c r="T10" s="773"/>
      <c r="U10" s="773"/>
      <c r="AA10" s="310"/>
    </row>
    <row r="11" spans="1:27" ht="21" customHeight="1" x14ac:dyDescent="0.35">
      <c r="A11" s="184">
        <v>42860</v>
      </c>
      <c r="B11" s="278">
        <v>180097</v>
      </c>
      <c r="C11" s="279" t="s">
        <v>346</v>
      </c>
      <c r="D11" s="278"/>
      <c r="E11" s="185">
        <v>20</v>
      </c>
      <c r="F11" s="185"/>
      <c r="G11" s="185"/>
      <c r="H11" s="178" t="s">
        <v>348</v>
      </c>
      <c r="I11" s="179" t="s">
        <v>328</v>
      </c>
      <c r="J11" s="241">
        <v>42873</v>
      </c>
      <c r="K11" s="278">
        <v>443938</v>
      </c>
      <c r="L11" s="186" t="s">
        <v>424</v>
      </c>
      <c r="M11" s="186" t="s">
        <v>425</v>
      </c>
      <c r="N11" s="182">
        <v>26.1</v>
      </c>
      <c r="O11" s="182">
        <v>38</v>
      </c>
      <c r="P11" s="182">
        <v>14.6</v>
      </c>
      <c r="Q11" s="182">
        <v>14.6</v>
      </c>
      <c r="R11" s="181">
        <f t="shared" si="0"/>
        <v>93.299999999999983</v>
      </c>
      <c r="S11" s="184"/>
      <c r="T11" s="773"/>
      <c r="U11" s="773"/>
      <c r="AA11" s="310"/>
    </row>
    <row r="12" spans="1:27" ht="21" customHeight="1" thickBot="1" x14ac:dyDescent="0.4">
      <c r="A12" s="194">
        <v>42860</v>
      </c>
      <c r="B12" s="197" t="s">
        <v>374</v>
      </c>
      <c r="C12" s="196" t="s">
        <v>346</v>
      </c>
      <c r="D12" s="197">
        <v>-9</v>
      </c>
      <c r="E12" s="198"/>
      <c r="F12" s="198"/>
      <c r="G12" s="198"/>
      <c r="H12" s="170" t="str">
        <f>D4</f>
        <v>PT 1912</v>
      </c>
      <c r="I12" s="251">
        <f>SUM(N:N)</f>
        <v>265.10000000000002</v>
      </c>
      <c r="J12" s="241">
        <v>42877</v>
      </c>
      <c r="K12" s="278">
        <v>443971</v>
      </c>
      <c r="L12" s="186" t="s">
        <v>372</v>
      </c>
      <c r="M12" s="186" t="s">
        <v>426</v>
      </c>
      <c r="N12" s="182">
        <v>24.3</v>
      </c>
      <c r="O12" s="182">
        <v>30</v>
      </c>
      <c r="P12" s="182">
        <v>28</v>
      </c>
      <c r="Q12" s="182">
        <v>24.5</v>
      </c>
      <c r="R12" s="181">
        <f t="shared" si="0"/>
        <v>106.8</v>
      </c>
      <c r="S12" s="194"/>
      <c r="T12" s="773"/>
      <c r="U12" s="773"/>
      <c r="AA12" s="310"/>
    </row>
    <row r="13" spans="1:27" ht="21" customHeight="1" x14ac:dyDescent="0.35">
      <c r="A13" s="184">
        <v>42860</v>
      </c>
      <c r="B13" s="278">
        <v>180098</v>
      </c>
      <c r="C13" s="279" t="s">
        <v>346</v>
      </c>
      <c r="D13" s="278">
        <v>10</v>
      </c>
      <c r="E13" s="185">
        <v>10</v>
      </c>
      <c r="F13" s="185"/>
      <c r="G13" s="185"/>
      <c r="H13" s="178" t="s">
        <v>348</v>
      </c>
      <c r="I13" s="179" t="s">
        <v>328</v>
      </c>
      <c r="J13" s="241">
        <v>42896</v>
      </c>
      <c r="K13" s="278">
        <v>445337</v>
      </c>
      <c r="L13" s="186" t="s">
        <v>372</v>
      </c>
      <c r="M13" s="186" t="s">
        <v>515</v>
      </c>
      <c r="N13" s="182">
        <v>30</v>
      </c>
      <c r="O13" s="182">
        <v>30</v>
      </c>
      <c r="P13" s="182">
        <v>30</v>
      </c>
      <c r="Q13" s="182">
        <v>30</v>
      </c>
      <c r="R13" s="181">
        <f t="shared" si="0"/>
        <v>120</v>
      </c>
      <c r="S13" s="184"/>
      <c r="T13" s="773"/>
      <c r="U13" s="773"/>
    </row>
    <row r="14" spans="1:27" ht="21" customHeight="1" thickBot="1" x14ac:dyDescent="0.4">
      <c r="A14" s="184">
        <v>42862</v>
      </c>
      <c r="B14" s="278">
        <v>180103</v>
      </c>
      <c r="C14" s="279" t="s">
        <v>346</v>
      </c>
      <c r="D14" s="278"/>
      <c r="E14" s="185"/>
      <c r="F14" s="185">
        <v>10</v>
      </c>
      <c r="G14" s="185">
        <v>30</v>
      </c>
      <c r="H14" s="170" t="str">
        <f>E4</f>
        <v>PT 1917</v>
      </c>
      <c r="I14" s="251">
        <f>SUM(O:O)</f>
        <v>286.5</v>
      </c>
      <c r="J14" s="245">
        <v>42898</v>
      </c>
      <c r="K14" s="199">
        <v>444979</v>
      </c>
      <c r="L14" s="200" t="s">
        <v>424</v>
      </c>
      <c r="M14" s="186" t="s">
        <v>57</v>
      </c>
      <c r="N14" s="182">
        <v>0</v>
      </c>
      <c r="O14" s="182">
        <v>0</v>
      </c>
      <c r="P14" s="182">
        <v>15</v>
      </c>
      <c r="Q14" s="182">
        <v>15</v>
      </c>
      <c r="R14" s="181">
        <f t="shared" si="0"/>
        <v>30</v>
      </c>
      <c r="S14" s="339"/>
      <c r="T14" s="797" t="s">
        <v>525</v>
      </c>
      <c r="U14" s="798"/>
    </row>
    <row r="15" spans="1:27" ht="21" customHeight="1" x14ac:dyDescent="0.35">
      <c r="A15" s="184">
        <v>42862</v>
      </c>
      <c r="B15" s="278" t="s">
        <v>375</v>
      </c>
      <c r="C15" s="279" t="s">
        <v>346</v>
      </c>
      <c r="D15" s="278">
        <v>-14</v>
      </c>
      <c r="E15" s="185">
        <v>-14</v>
      </c>
      <c r="F15" s="185"/>
      <c r="G15" s="185"/>
      <c r="H15" s="178" t="s">
        <v>348</v>
      </c>
      <c r="I15" s="179" t="s">
        <v>328</v>
      </c>
      <c r="J15" s="240">
        <v>42900</v>
      </c>
      <c r="K15" s="347">
        <v>444959</v>
      </c>
      <c r="L15" s="225" t="s">
        <v>346</v>
      </c>
      <c r="M15" s="225" t="s">
        <v>423</v>
      </c>
      <c r="N15" s="226"/>
      <c r="O15" s="226"/>
      <c r="P15" s="226">
        <v>26</v>
      </c>
      <c r="Q15" s="226">
        <v>29</v>
      </c>
      <c r="R15" s="181">
        <f t="shared" si="0"/>
        <v>55</v>
      </c>
      <c r="S15" s="184"/>
      <c r="T15" s="797" t="s">
        <v>538</v>
      </c>
      <c r="U15" s="798"/>
    </row>
    <row r="16" spans="1:27" ht="21" customHeight="1" thickBot="1" x14ac:dyDescent="0.4">
      <c r="A16" s="184">
        <v>42862</v>
      </c>
      <c r="B16" s="278">
        <v>180104</v>
      </c>
      <c r="C16" s="279" t="s">
        <v>346</v>
      </c>
      <c r="D16" s="278">
        <v>20</v>
      </c>
      <c r="E16" s="185"/>
      <c r="F16" s="185">
        <v>20</v>
      </c>
      <c r="G16" s="185"/>
      <c r="H16" s="170" t="str">
        <f>F4</f>
        <v>PT 2072</v>
      </c>
      <c r="I16" s="251">
        <f>SUM(P:P)</f>
        <v>266.10000000000002</v>
      </c>
      <c r="J16" s="366">
        <v>42902</v>
      </c>
      <c r="K16" s="278">
        <v>444983</v>
      </c>
      <c r="L16" s="186" t="s">
        <v>424</v>
      </c>
      <c r="M16" s="186" t="s">
        <v>57</v>
      </c>
      <c r="N16" s="182">
        <v>26.5</v>
      </c>
      <c r="O16" s="182">
        <v>25.3</v>
      </c>
      <c r="P16" s="182">
        <v>12.5</v>
      </c>
      <c r="Q16" s="182">
        <v>13</v>
      </c>
      <c r="R16" s="181">
        <f t="shared" si="0"/>
        <v>77.3</v>
      </c>
      <c r="S16" s="184"/>
      <c r="T16" s="773"/>
      <c r="U16" s="773"/>
    </row>
    <row r="17" spans="1:21" ht="21" customHeight="1" x14ac:dyDescent="0.35">
      <c r="A17" s="184">
        <v>42862</v>
      </c>
      <c r="B17" s="278">
        <v>180105</v>
      </c>
      <c r="C17" s="279" t="s">
        <v>346</v>
      </c>
      <c r="D17" s="278"/>
      <c r="E17" s="185">
        <v>20</v>
      </c>
      <c r="F17" s="185"/>
      <c r="G17" s="185"/>
      <c r="H17" s="178" t="s">
        <v>348</v>
      </c>
      <c r="I17" s="179" t="s">
        <v>328</v>
      </c>
      <c r="J17" s="366">
        <v>42904</v>
      </c>
      <c r="K17" s="387"/>
      <c r="L17" s="186" t="s">
        <v>424</v>
      </c>
      <c r="M17" s="216" t="s">
        <v>558</v>
      </c>
      <c r="N17" s="226">
        <v>30.2</v>
      </c>
      <c r="O17" s="226">
        <v>30.2</v>
      </c>
      <c r="P17" s="226">
        <v>13</v>
      </c>
      <c r="Q17" s="226">
        <v>13</v>
      </c>
      <c r="R17" s="218">
        <f t="shared" si="0"/>
        <v>86.4</v>
      </c>
      <c r="S17" s="210"/>
      <c r="T17" s="774"/>
      <c r="U17" s="774"/>
    </row>
    <row r="18" spans="1:21" ht="21" customHeight="1" thickBot="1" x14ac:dyDescent="0.4">
      <c r="A18" s="184">
        <v>42862</v>
      </c>
      <c r="B18" s="278">
        <v>180106</v>
      </c>
      <c r="C18" s="279" t="s">
        <v>346</v>
      </c>
      <c r="D18" s="278">
        <v>10</v>
      </c>
      <c r="E18" s="185">
        <v>10</v>
      </c>
      <c r="F18" s="185"/>
      <c r="G18" s="185"/>
      <c r="H18" s="170" t="str">
        <f>G4</f>
        <v>PT 2064</v>
      </c>
      <c r="I18" s="251">
        <f>SUM(Q:Q)</f>
        <v>270.60000000000002</v>
      </c>
      <c r="J18" s="245"/>
      <c r="K18" s="199"/>
      <c r="L18" s="200"/>
      <c r="M18" s="186"/>
      <c r="N18" s="182"/>
      <c r="O18" s="182"/>
      <c r="P18" s="182">
        <v>11</v>
      </c>
      <c r="Q18" s="182">
        <v>11.5</v>
      </c>
      <c r="R18" s="181">
        <f t="shared" si="0"/>
        <v>22.5</v>
      </c>
      <c r="S18" s="184"/>
      <c r="T18" s="773"/>
      <c r="U18" s="773"/>
    </row>
    <row r="19" spans="1:21" ht="21" customHeight="1" x14ac:dyDescent="0.25">
      <c r="A19" s="184">
        <v>42865</v>
      </c>
      <c r="B19" s="278">
        <v>180112</v>
      </c>
      <c r="C19" s="279" t="s">
        <v>346</v>
      </c>
      <c r="D19" s="278"/>
      <c r="E19" s="185"/>
      <c r="F19" s="185">
        <v>10</v>
      </c>
      <c r="G19" s="185">
        <v>30</v>
      </c>
      <c r="H19" s="795" t="s">
        <v>376</v>
      </c>
      <c r="I19" s="796"/>
      <c r="J19" s="244"/>
      <c r="K19" s="243"/>
      <c r="L19" s="242"/>
      <c r="M19" s="186"/>
      <c r="N19" s="182"/>
      <c r="O19" s="182"/>
      <c r="P19" s="182"/>
      <c r="Q19" s="182"/>
      <c r="R19" s="181">
        <f t="shared" si="0"/>
        <v>0</v>
      </c>
      <c r="S19" s="184"/>
      <c r="T19" s="773"/>
      <c r="U19" s="773"/>
    </row>
    <row r="20" spans="1:21" ht="21" customHeight="1" x14ac:dyDescent="0.25">
      <c r="A20" s="184">
        <v>42865</v>
      </c>
      <c r="B20" s="278">
        <v>180113</v>
      </c>
      <c r="C20" s="279" t="s">
        <v>346</v>
      </c>
      <c r="D20" s="278"/>
      <c r="E20" s="185">
        <v>20</v>
      </c>
      <c r="F20" s="185">
        <v>20</v>
      </c>
      <c r="G20" s="185"/>
      <c r="H20" s="192"/>
      <c r="I20" s="193"/>
      <c r="J20" s="241"/>
      <c r="K20" s="278"/>
      <c r="L20" s="186"/>
      <c r="M20" s="186"/>
      <c r="N20" s="182"/>
      <c r="O20" s="182"/>
      <c r="P20" s="182"/>
      <c r="Q20" s="182"/>
      <c r="R20" s="181">
        <f t="shared" si="0"/>
        <v>0</v>
      </c>
      <c r="S20" s="184"/>
      <c r="T20" s="773"/>
      <c r="U20" s="773"/>
    </row>
    <row r="21" spans="1:21" ht="21" customHeight="1" x14ac:dyDescent="0.25">
      <c r="A21" s="184">
        <v>42866</v>
      </c>
      <c r="B21" s="278">
        <v>180115</v>
      </c>
      <c r="C21" s="279" t="s">
        <v>346</v>
      </c>
      <c r="D21" s="278">
        <v>10</v>
      </c>
      <c r="E21" s="185">
        <v>10</v>
      </c>
      <c r="F21" s="185"/>
      <c r="G21" s="185"/>
      <c r="H21" s="192"/>
      <c r="I21" s="193"/>
      <c r="J21" s="241"/>
      <c r="K21" s="278"/>
      <c r="L21" s="186"/>
      <c r="M21" s="186"/>
      <c r="N21" s="182"/>
      <c r="O21" s="182"/>
      <c r="P21" s="182"/>
      <c r="Q21" s="182"/>
      <c r="R21" s="181">
        <f t="shared" si="0"/>
        <v>0</v>
      </c>
      <c r="S21" s="184"/>
      <c r="T21" s="773"/>
      <c r="U21" s="773"/>
    </row>
    <row r="22" spans="1:21" ht="21" customHeight="1" x14ac:dyDescent="0.25">
      <c r="A22" s="184">
        <v>42866</v>
      </c>
      <c r="B22" s="278">
        <v>180117</v>
      </c>
      <c r="C22" s="279" t="s">
        <v>346</v>
      </c>
      <c r="D22" s="278">
        <v>15</v>
      </c>
      <c r="E22" s="185"/>
      <c r="F22" s="185"/>
      <c r="G22" s="185"/>
      <c r="H22" s="192"/>
      <c r="I22" s="193"/>
      <c r="J22" s="241"/>
      <c r="K22" s="278"/>
      <c r="L22" s="186"/>
      <c r="M22" s="186"/>
      <c r="N22" s="182"/>
      <c r="O22" s="182"/>
      <c r="P22" s="182"/>
      <c r="Q22" s="182"/>
      <c r="R22" s="181">
        <f t="shared" si="0"/>
        <v>0</v>
      </c>
      <c r="S22" s="184"/>
      <c r="T22" s="773"/>
      <c r="U22" s="773"/>
    </row>
    <row r="23" spans="1:21" ht="21" customHeight="1" x14ac:dyDescent="0.25">
      <c r="A23" s="184">
        <v>42868</v>
      </c>
      <c r="B23" s="278">
        <v>180122</v>
      </c>
      <c r="C23" s="278" t="s">
        <v>346</v>
      </c>
      <c r="D23" s="278"/>
      <c r="E23" s="185">
        <v>26</v>
      </c>
      <c r="F23" s="185"/>
      <c r="G23" s="185"/>
      <c r="H23" s="192"/>
      <c r="I23" s="193"/>
      <c r="J23" s="241"/>
      <c r="K23" s="278"/>
      <c r="L23" s="186"/>
      <c r="M23" s="186"/>
      <c r="N23" s="182"/>
      <c r="O23" s="182"/>
      <c r="P23" s="182"/>
      <c r="Q23" s="182"/>
      <c r="R23" s="181">
        <f t="shared" si="0"/>
        <v>0</v>
      </c>
      <c r="S23" s="184"/>
      <c r="T23" s="773"/>
      <c r="U23" s="773"/>
    </row>
    <row r="24" spans="1:21" ht="21" customHeight="1" x14ac:dyDescent="0.25">
      <c r="A24" s="184">
        <v>42868</v>
      </c>
      <c r="B24" s="278">
        <v>171677</v>
      </c>
      <c r="C24" s="278" t="s">
        <v>346</v>
      </c>
      <c r="D24" s="278">
        <v>30</v>
      </c>
      <c r="E24" s="185"/>
      <c r="F24" s="185"/>
      <c r="G24" s="185">
        <v>10</v>
      </c>
      <c r="H24" s="192"/>
      <c r="I24" s="193"/>
      <c r="J24" s="241"/>
      <c r="K24" s="278"/>
      <c r="L24" s="186"/>
      <c r="M24" s="186"/>
      <c r="N24" s="182"/>
      <c r="O24" s="182"/>
      <c r="P24" s="182"/>
      <c r="Q24" s="182"/>
      <c r="R24" s="181">
        <f t="shared" si="0"/>
        <v>0</v>
      </c>
      <c r="S24" s="184"/>
      <c r="T24" s="773"/>
      <c r="U24" s="773"/>
    </row>
    <row r="25" spans="1:21" ht="21" customHeight="1" x14ac:dyDescent="0.25">
      <c r="A25" s="184">
        <v>42868</v>
      </c>
      <c r="B25" s="278">
        <v>180123</v>
      </c>
      <c r="C25" s="278" t="s">
        <v>346</v>
      </c>
      <c r="D25" s="278">
        <v>7</v>
      </c>
      <c r="E25" s="185">
        <v>8</v>
      </c>
      <c r="F25" s="185">
        <v>-4</v>
      </c>
      <c r="G25" s="185"/>
      <c r="H25" s="192"/>
      <c r="I25" s="193"/>
      <c r="J25" s="241"/>
      <c r="K25" s="278"/>
      <c r="L25" s="186"/>
      <c r="M25" s="186"/>
      <c r="N25" s="182"/>
      <c r="O25" s="182"/>
      <c r="P25" s="182"/>
      <c r="Q25" s="182"/>
      <c r="R25" s="181">
        <f t="shared" si="0"/>
        <v>0</v>
      </c>
      <c r="S25" s="184"/>
      <c r="T25" s="773"/>
      <c r="U25" s="773"/>
    </row>
    <row r="26" spans="1:21" ht="21" customHeight="1" x14ac:dyDescent="0.25">
      <c r="A26" s="184">
        <v>42869</v>
      </c>
      <c r="B26" s="278" t="s">
        <v>375</v>
      </c>
      <c r="C26" s="278" t="s">
        <v>346</v>
      </c>
      <c r="D26" s="278"/>
      <c r="E26" s="185"/>
      <c r="F26" s="185"/>
      <c r="G26" s="185">
        <v>-10</v>
      </c>
      <c r="H26" s="192"/>
      <c r="I26" s="193"/>
      <c r="J26" s="241"/>
      <c r="K26" s="278"/>
      <c r="L26" s="186"/>
      <c r="M26" s="186"/>
      <c r="N26" s="182"/>
      <c r="O26" s="182"/>
      <c r="P26" s="182"/>
      <c r="Q26" s="182"/>
      <c r="R26" s="181">
        <f t="shared" si="0"/>
        <v>0</v>
      </c>
      <c r="S26" s="184"/>
      <c r="T26" s="773"/>
      <c r="U26" s="773"/>
    </row>
    <row r="27" spans="1:21" ht="21" customHeight="1" x14ac:dyDescent="0.25">
      <c r="A27" s="184">
        <v>42869</v>
      </c>
      <c r="B27" s="278">
        <v>171679</v>
      </c>
      <c r="C27" s="278" t="s">
        <v>347</v>
      </c>
      <c r="D27" s="278"/>
      <c r="E27" s="185"/>
      <c r="F27" s="185">
        <v>14.6</v>
      </c>
      <c r="G27" s="185"/>
      <c r="H27" s="192"/>
      <c r="I27" s="193"/>
      <c r="J27" s="241"/>
      <c r="K27" s="278"/>
      <c r="L27" s="186"/>
      <c r="M27" s="186"/>
      <c r="N27" s="182"/>
      <c r="O27" s="182"/>
      <c r="P27" s="182"/>
      <c r="Q27" s="182"/>
      <c r="R27" s="181">
        <f t="shared" si="0"/>
        <v>0</v>
      </c>
      <c r="S27" s="184"/>
      <c r="T27" s="773"/>
      <c r="U27" s="773"/>
    </row>
    <row r="28" spans="1:21" ht="21" customHeight="1" x14ac:dyDescent="0.25">
      <c r="A28" s="184">
        <v>42869</v>
      </c>
      <c r="B28" s="278">
        <v>171680</v>
      </c>
      <c r="C28" s="278" t="s">
        <v>347</v>
      </c>
      <c r="D28" s="278"/>
      <c r="E28" s="185"/>
      <c r="F28" s="185"/>
      <c r="G28" s="185">
        <v>14.6</v>
      </c>
      <c r="H28" s="192"/>
      <c r="I28" s="193"/>
      <c r="J28" s="241"/>
      <c r="K28" s="278"/>
      <c r="L28" s="186"/>
      <c r="M28" s="186"/>
      <c r="N28" s="182"/>
      <c r="O28" s="182"/>
      <c r="P28" s="182"/>
      <c r="Q28" s="182"/>
      <c r="R28" s="181">
        <f t="shared" si="0"/>
        <v>0</v>
      </c>
      <c r="S28" s="184"/>
      <c r="T28" s="773"/>
      <c r="U28" s="773"/>
    </row>
    <row r="29" spans="1:21" ht="21" customHeight="1" x14ac:dyDescent="0.25">
      <c r="A29" s="184">
        <v>42871</v>
      </c>
      <c r="B29" s="278">
        <v>180052</v>
      </c>
      <c r="C29" s="278" t="s">
        <v>346</v>
      </c>
      <c r="D29" s="278">
        <v>26</v>
      </c>
      <c r="E29" s="185"/>
      <c r="F29" s="185"/>
      <c r="G29" s="185"/>
      <c r="H29" s="192"/>
      <c r="I29" s="193"/>
      <c r="J29" s="241"/>
      <c r="K29" s="278"/>
      <c r="L29" s="186"/>
      <c r="M29" s="186"/>
      <c r="N29" s="182"/>
      <c r="O29" s="182"/>
      <c r="P29" s="182"/>
      <c r="Q29" s="182"/>
      <c r="R29" s="181">
        <f t="shared" si="0"/>
        <v>0</v>
      </c>
      <c r="S29" s="184"/>
      <c r="T29" s="773"/>
      <c r="U29" s="773"/>
    </row>
    <row r="30" spans="1:21" ht="21" customHeight="1" x14ac:dyDescent="0.25">
      <c r="A30" s="184">
        <v>42871</v>
      </c>
      <c r="B30" s="278">
        <v>180053</v>
      </c>
      <c r="C30" s="278" t="s">
        <v>346</v>
      </c>
      <c r="D30" s="278">
        <v>15</v>
      </c>
      <c r="E30" s="185"/>
      <c r="F30" s="185"/>
      <c r="G30" s="185"/>
      <c r="H30" s="192"/>
      <c r="I30" s="193"/>
      <c r="J30" s="241"/>
      <c r="K30" s="278"/>
      <c r="L30" s="186"/>
      <c r="M30" s="186"/>
      <c r="N30" s="182"/>
      <c r="O30" s="182"/>
      <c r="P30" s="182"/>
      <c r="Q30" s="182"/>
      <c r="R30" s="181">
        <f t="shared" si="0"/>
        <v>0</v>
      </c>
      <c r="S30" s="184"/>
      <c r="T30" s="773"/>
      <c r="U30" s="773"/>
    </row>
    <row r="31" spans="1:21" ht="21" customHeight="1" x14ac:dyDescent="0.25">
      <c r="A31" s="223">
        <v>42872</v>
      </c>
      <c r="B31" s="281">
        <v>180054</v>
      </c>
      <c r="C31" s="281" t="s">
        <v>346</v>
      </c>
      <c r="D31" s="281"/>
      <c r="E31" s="224">
        <v>21</v>
      </c>
      <c r="F31" s="224"/>
      <c r="G31" s="224"/>
      <c r="H31" s="192"/>
      <c r="I31" s="193"/>
      <c r="J31" s="241"/>
      <c r="K31" s="278"/>
      <c r="L31" s="186"/>
      <c r="M31" s="186"/>
      <c r="N31" s="182"/>
      <c r="O31" s="182"/>
      <c r="P31" s="182"/>
      <c r="Q31" s="182"/>
      <c r="R31" s="181">
        <f t="shared" si="0"/>
        <v>0</v>
      </c>
      <c r="S31" s="223"/>
      <c r="T31" s="773"/>
      <c r="U31" s="773"/>
    </row>
    <row r="32" spans="1:21" ht="21" customHeight="1" x14ac:dyDescent="0.25">
      <c r="A32" s="223">
        <v>42872</v>
      </c>
      <c r="B32" s="281">
        <v>180055</v>
      </c>
      <c r="C32" s="281" t="s">
        <v>346</v>
      </c>
      <c r="D32" s="281"/>
      <c r="E32" s="224">
        <v>10</v>
      </c>
      <c r="F32" s="224"/>
      <c r="G32" s="224"/>
      <c r="H32" s="192"/>
      <c r="I32" s="193"/>
      <c r="J32" s="241"/>
      <c r="K32" s="278"/>
      <c r="L32" s="186"/>
      <c r="M32" s="186"/>
      <c r="N32" s="182"/>
      <c r="O32" s="182"/>
      <c r="P32" s="182"/>
      <c r="Q32" s="182"/>
      <c r="R32" s="181">
        <f t="shared" si="0"/>
        <v>0</v>
      </c>
      <c r="S32" s="223"/>
      <c r="T32" s="773"/>
      <c r="U32" s="773"/>
    </row>
    <row r="33" spans="1:21" ht="21" customHeight="1" x14ac:dyDescent="0.25">
      <c r="A33" s="223">
        <v>42875</v>
      </c>
      <c r="B33" s="281">
        <v>180060</v>
      </c>
      <c r="C33" s="281" t="s">
        <v>346</v>
      </c>
      <c r="D33" s="281"/>
      <c r="E33" s="224">
        <v>20</v>
      </c>
      <c r="F33" s="224"/>
      <c r="G33" s="224"/>
      <c r="H33" s="192"/>
      <c r="I33" s="193"/>
      <c r="J33" s="240"/>
      <c r="K33" s="281"/>
      <c r="L33" s="225"/>
      <c r="M33" s="225"/>
      <c r="N33" s="226"/>
      <c r="O33" s="226"/>
      <c r="P33" s="226"/>
      <c r="Q33" s="226"/>
      <c r="R33" s="181">
        <f t="shared" si="0"/>
        <v>0</v>
      </c>
      <c r="S33" s="223"/>
      <c r="T33" s="781"/>
      <c r="U33" s="781"/>
    </row>
    <row r="34" spans="1:21" ht="21" customHeight="1" x14ac:dyDescent="0.25">
      <c r="A34" s="223">
        <v>42875</v>
      </c>
      <c r="B34" s="281">
        <v>178537</v>
      </c>
      <c r="C34" s="281" t="s">
        <v>346</v>
      </c>
      <c r="D34" s="281"/>
      <c r="E34" s="224">
        <v>10</v>
      </c>
      <c r="F34" s="224"/>
      <c r="G34" s="224">
        <v>30</v>
      </c>
      <c r="H34" s="192"/>
      <c r="I34" s="193"/>
      <c r="J34" s="240"/>
      <c r="K34" s="281"/>
      <c r="L34" s="225"/>
      <c r="M34" s="225"/>
      <c r="N34" s="226"/>
      <c r="O34" s="226"/>
      <c r="P34" s="226"/>
      <c r="Q34" s="226"/>
      <c r="R34" s="181">
        <f t="shared" si="0"/>
        <v>0</v>
      </c>
      <c r="S34" s="223"/>
      <c r="T34" s="781"/>
      <c r="U34" s="781"/>
    </row>
    <row r="35" spans="1:21" ht="21" customHeight="1" x14ac:dyDescent="0.25">
      <c r="A35" s="223">
        <v>42787</v>
      </c>
      <c r="B35" s="281"/>
      <c r="C35" s="281" t="s">
        <v>427</v>
      </c>
      <c r="D35" s="281">
        <v>-15.9</v>
      </c>
      <c r="E35" s="224"/>
      <c r="F35" s="224"/>
      <c r="G35" s="224"/>
      <c r="H35" s="192"/>
      <c r="I35" s="193"/>
      <c r="J35" s="240"/>
      <c r="K35" s="281"/>
      <c r="L35" s="225"/>
      <c r="M35" s="225"/>
      <c r="N35" s="226"/>
      <c r="O35" s="226"/>
      <c r="P35" s="226"/>
      <c r="Q35" s="226"/>
      <c r="R35" s="181">
        <f t="shared" si="0"/>
        <v>0</v>
      </c>
      <c r="S35" s="223"/>
      <c r="T35" s="781"/>
      <c r="U35" s="781"/>
    </row>
    <row r="36" spans="1:21" ht="21" customHeight="1" x14ac:dyDescent="0.25">
      <c r="A36" s="223">
        <v>42787</v>
      </c>
      <c r="B36" s="281">
        <v>180061</v>
      </c>
      <c r="C36" s="281" t="s">
        <v>372</v>
      </c>
      <c r="D36" s="281">
        <v>20</v>
      </c>
      <c r="E36" s="224"/>
      <c r="F36" s="224"/>
      <c r="G36" s="224"/>
      <c r="H36" s="192"/>
      <c r="I36" s="193"/>
      <c r="J36" s="240"/>
      <c r="K36" s="281"/>
      <c r="L36" s="225"/>
      <c r="M36" s="225"/>
      <c r="N36" s="226"/>
      <c r="O36" s="226"/>
      <c r="P36" s="226"/>
      <c r="Q36" s="226"/>
      <c r="R36" s="181">
        <f t="shared" si="0"/>
        <v>0</v>
      </c>
      <c r="S36" s="223"/>
      <c r="T36" s="781"/>
      <c r="U36" s="781"/>
    </row>
    <row r="37" spans="1:21" ht="21" customHeight="1" x14ac:dyDescent="0.25">
      <c r="A37" s="223">
        <v>42787</v>
      </c>
      <c r="B37" s="281">
        <v>178539</v>
      </c>
      <c r="C37" s="281" t="s">
        <v>346</v>
      </c>
      <c r="D37" s="281">
        <v>10</v>
      </c>
      <c r="E37" s="224"/>
      <c r="F37" s="224">
        <v>30</v>
      </c>
      <c r="G37" s="224"/>
      <c r="H37" s="192"/>
      <c r="I37" s="193"/>
      <c r="J37" s="240"/>
      <c r="K37" s="281"/>
      <c r="L37" s="225"/>
      <c r="M37" s="225"/>
      <c r="N37" s="226"/>
      <c r="O37" s="226"/>
      <c r="P37" s="226"/>
      <c r="Q37" s="226"/>
      <c r="R37" s="181">
        <f t="shared" si="0"/>
        <v>0</v>
      </c>
      <c r="S37" s="223"/>
      <c r="T37" s="781"/>
      <c r="U37" s="781"/>
    </row>
    <row r="38" spans="1:21" ht="21" customHeight="1" x14ac:dyDescent="0.25">
      <c r="A38" s="223">
        <v>42883</v>
      </c>
      <c r="B38" s="281" t="s">
        <v>428</v>
      </c>
      <c r="C38" s="281" t="s">
        <v>346</v>
      </c>
      <c r="D38" s="281">
        <v>-5.7</v>
      </c>
      <c r="E38" s="224"/>
      <c r="F38" s="224">
        <v>-2</v>
      </c>
      <c r="G38" s="224">
        <v>-5.5</v>
      </c>
      <c r="H38" s="192"/>
      <c r="I38" s="193"/>
      <c r="J38" s="240"/>
      <c r="K38" s="281"/>
      <c r="L38" s="225"/>
      <c r="M38" s="225"/>
      <c r="N38" s="226"/>
      <c r="O38" s="226"/>
      <c r="P38" s="226"/>
      <c r="Q38" s="226"/>
      <c r="R38" s="181">
        <f t="shared" si="0"/>
        <v>0</v>
      </c>
      <c r="S38" s="223"/>
      <c r="T38" s="781"/>
      <c r="U38" s="781"/>
    </row>
    <row r="39" spans="1:21" ht="21" customHeight="1" x14ac:dyDescent="0.25">
      <c r="A39" s="223">
        <v>42894</v>
      </c>
      <c r="B39" s="281">
        <v>178594</v>
      </c>
      <c r="C39" s="281" t="s">
        <v>346</v>
      </c>
      <c r="D39" s="281">
        <v>30</v>
      </c>
      <c r="E39" s="224"/>
      <c r="F39" s="224"/>
      <c r="G39" s="224"/>
      <c r="H39" s="192"/>
      <c r="I39" s="193"/>
      <c r="J39" s="240"/>
      <c r="K39" s="281"/>
      <c r="L39" s="225"/>
      <c r="M39" s="225"/>
      <c r="N39" s="226"/>
      <c r="O39" s="226"/>
      <c r="P39" s="226"/>
      <c r="Q39" s="226"/>
      <c r="R39" s="181">
        <f t="shared" si="0"/>
        <v>0</v>
      </c>
      <c r="S39" s="223"/>
      <c r="T39" s="781"/>
      <c r="U39" s="781"/>
    </row>
    <row r="40" spans="1:21" ht="21" customHeight="1" x14ac:dyDescent="0.25">
      <c r="A40" s="223">
        <v>42894</v>
      </c>
      <c r="B40" s="281">
        <v>178595</v>
      </c>
      <c r="C40" s="281" t="s">
        <v>346</v>
      </c>
      <c r="D40" s="281"/>
      <c r="E40" s="224"/>
      <c r="F40" s="224">
        <v>30</v>
      </c>
      <c r="G40" s="224"/>
      <c r="H40" s="192"/>
      <c r="I40" s="193"/>
      <c r="J40" s="240"/>
      <c r="K40" s="281"/>
      <c r="L40" s="225"/>
      <c r="M40" s="225"/>
      <c r="N40" s="226"/>
      <c r="O40" s="226"/>
      <c r="P40" s="226"/>
      <c r="Q40" s="226"/>
      <c r="R40" s="181">
        <f t="shared" si="0"/>
        <v>0</v>
      </c>
      <c r="S40" s="223"/>
      <c r="T40" s="781"/>
      <c r="U40" s="781"/>
    </row>
    <row r="41" spans="1:21" ht="21" customHeight="1" x14ac:dyDescent="0.25">
      <c r="A41" s="223">
        <v>42895</v>
      </c>
      <c r="B41" s="281">
        <v>178596</v>
      </c>
      <c r="C41" s="281" t="s">
        <v>346</v>
      </c>
      <c r="D41" s="281"/>
      <c r="E41" s="224">
        <v>30</v>
      </c>
      <c r="F41" s="224"/>
      <c r="G41" s="224"/>
      <c r="H41" s="192"/>
      <c r="I41" s="193"/>
      <c r="J41" s="240"/>
      <c r="K41" s="281"/>
      <c r="L41" s="225"/>
      <c r="M41" s="225"/>
      <c r="N41" s="226"/>
      <c r="O41" s="226"/>
      <c r="P41" s="226"/>
      <c r="Q41" s="226"/>
      <c r="R41" s="181">
        <f t="shared" si="0"/>
        <v>0</v>
      </c>
      <c r="S41" s="223"/>
      <c r="T41" s="781"/>
      <c r="U41" s="781"/>
    </row>
    <row r="42" spans="1:21" ht="21" customHeight="1" x14ac:dyDescent="0.25">
      <c r="A42" s="223">
        <v>42895</v>
      </c>
      <c r="B42" s="281" t="s">
        <v>511</v>
      </c>
      <c r="C42" s="281" t="s">
        <v>346</v>
      </c>
      <c r="D42" s="281"/>
      <c r="E42" s="224"/>
      <c r="F42" s="224"/>
      <c r="G42" s="224">
        <v>30</v>
      </c>
      <c r="H42" s="192"/>
      <c r="I42" s="193"/>
      <c r="J42" s="240"/>
      <c r="K42" s="281"/>
      <c r="L42" s="225"/>
      <c r="M42" s="225"/>
      <c r="N42" s="226"/>
      <c r="O42" s="226"/>
      <c r="P42" s="226"/>
      <c r="Q42" s="226"/>
      <c r="R42" s="181">
        <f t="shared" si="0"/>
        <v>0</v>
      </c>
      <c r="S42" s="223"/>
      <c r="T42" s="781"/>
      <c r="U42" s="781"/>
    </row>
    <row r="43" spans="1:21" ht="21" customHeight="1" x14ac:dyDescent="0.25">
      <c r="A43" s="223">
        <v>42897</v>
      </c>
      <c r="B43" s="281">
        <v>178600</v>
      </c>
      <c r="C43" s="281" t="s">
        <v>346</v>
      </c>
      <c r="D43" s="281"/>
      <c r="E43" s="224">
        <v>30</v>
      </c>
      <c r="F43" s="224"/>
      <c r="G43" s="224"/>
      <c r="H43" s="192"/>
      <c r="I43" s="193"/>
      <c r="J43" s="240"/>
      <c r="K43" s="281"/>
      <c r="L43" s="225"/>
      <c r="M43" s="225"/>
      <c r="N43" s="226"/>
      <c r="O43" s="226"/>
      <c r="P43" s="226"/>
      <c r="Q43" s="226"/>
      <c r="R43" s="181">
        <f t="shared" si="0"/>
        <v>0</v>
      </c>
      <c r="S43" s="223"/>
      <c r="T43" s="781"/>
      <c r="U43" s="781"/>
    </row>
    <row r="44" spans="1:21" ht="21" customHeight="1" x14ac:dyDescent="0.25">
      <c r="A44" s="223">
        <v>42897</v>
      </c>
      <c r="B44" s="281">
        <v>178601</v>
      </c>
      <c r="C44" s="281" t="s">
        <v>346</v>
      </c>
      <c r="D44" s="281"/>
      <c r="E44" s="224"/>
      <c r="F44" s="224">
        <v>30</v>
      </c>
      <c r="G44" s="224"/>
      <c r="H44" s="192"/>
      <c r="I44" s="193"/>
      <c r="J44" s="240"/>
      <c r="K44" s="281"/>
      <c r="L44" s="225"/>
      <c r="M44" s="225"/>
      <c r="N44" s="226"/>
      <c r="O44" s="226"/>
      <c r="P44" s="226"/>
      <c r="Q44" s="226"/>
      <c r="R44" s="181">
        <f t="shared" si="0"/>
        <v>0</v>
      </c>
      <c r="S44" s="223"/>
      <c r="T44" s="781"/>
      <c r="U44" s="781"/>
    </row>
    <row r="45" spans="1:21" ht="21" customHeight="1" x14ac:dyDescent="0.25">
      <c r="A45" s="223">
        <v>42897</v>
      </c>
      <c r="B45" s="281">
        <v>178602</v>
      </c>
      <c r="C45" s="281" t="s">
        <v>346</v>
      </c>
      <c r="D45" s="281">
        <v>30</v>
      </c>
      <c r="E45" s="224"/>
      <c r="F45" s="224"/>
      <c r="G45" s="224">
        <v>10</v>
      </c>
      <c r="H45" s="192"/>
      <c r="I45" s="193"/>
      <c r="J45" s="240"/>
      <c r="K45" s="281"/>
      <c r="L45" s="225"/>
      <c r="M45" s="225"/>
      <c r="N45" s="226"/>
      <c r="O45" s="226"/>
      <c r="P45" s="226"/>
      <c r="Q45" s="226"/>
      <c r="R45" s="181">
        <f t="shared" si="0"/>
        <v>0</v>
      </c>
      <c r="S45" s="223"/>
      <c r="T45" s="781"/>
      <c r="U45" s="781"/>
    </row>
    <row r="46" spans="1:21" ht="21" customHeight="1" x14ac:dyDescent="0.25">
      <c r="A46" s="223">
        <v>42897</v>
      </c>
      <c r="B46" s="281">
        <v>180566</v>
      </c>
      <c r="C46" s="281" t="s">
        <v>346</v>
      </c>
      <c r="D46" s="281"/>
      <c r="E46" s="224"/>
      <c r="F46" s="224"/>
      <c r="G46" s="224">
        <v>20</v>
      </c>
      <c r="H46" s="192"/>
      <c r="I46" s="193"/>
      <c r="J46" s="240"/>
      <c r="K46" s="281"/>
      <c r="L46" s="225"/>
      <c r="M46" s="225"/>
      <c r="N46" s="226"/>
      <c r="O46" s="226"/>
      <c r="P46" s="226"/>
      <c r="Q46" s="226"/>
      <c r="R46" s="181">
        <f t="shared" si="0"/>
        <v>0</v>
      </c>
      <c r="S46" s="223"/>
      <c r="T46" s="781"/>
      <c r="U46" s="781"/>
    </row>
    <row r="47" spans="1:21" ht="21" customHeight="1" x14ac:dyDescent="0.25">
      <c r="A47" s="223">
        <v>42899</v>
      </c>
      <c r="B47" s="281">
        <v>178610</v>
      </c>
      <c r="C47" s="281" t="s">
        <v>346</v>
      </c>
      <c r="D47" s="281"/>
      <c r="E47" s="224"/>
      <c r="F47" s="224">
        <v>15</v>
      </c>
      <c r="G47" s="224">
        <v>15</v>
      </c>
      <c r="H47" s="192"/>
      <c r="I47" s="193"/>
      <c r="J47" s="240"/>
      <c r="K47" s="281"/>
      <c r="L47" s="225"/>
      <c r="M47" s="225"/>
      <c r="N47" s="226"/>
      <c r="O47" s="226"/>
      <c r="P47" s="226"/>
      <c r="Q47" s="226"/>
      <c r="R47" s="181">
        <f t="shared" si="0"/>
        <v>0</v>
      </c>
      <c r="S47" s="223"/>
      <c r="T47" s="781"/>
      <c r="U47" s="781"/>
    </row>
    <row r="48" spans="1:21" ht="21" customHeight="1" x14ac:dyDescent="0.25">
      <c r="A48" s="223">
        <v>42901</v>
      </c>
      <c r="B48" s="281">
        <v>180579</v>
      </c>
      <c r="C48" s="281" t="s">
        <v>539</v>
      </c>
      <c r="D48" s="281"/>
      <c r="E48" s="224"/>
      <c r="F48" s="224">
        <v>12.5</v>
      </c>
      <c r="G48" s="224">
        <v>12.5</v>
      </c>
      <c r="H48" s="192"/>
      <c r="I48" s="193"/>
      <c r="J48" s="240"/>
      <c r="K48" s="281"/>
      <c r="L48" s="225"/>
      <c r="M48" s="225"/>
      <c r="N48" s="226"/>
      <c r="O48" s="226"/>
      <c r="P48" s="226"/>
      <c r="Q48" s="226"/>
      <c r="R48" s="181">
        <f t="shared" si="0"/>
        <v>0</v>
      </c>
      <c r="S48" s="223"/>
      <c r="T48" s="781"/>
      <c r="U48" s="781"/>
    </row>
    <row r="49" spans="1:21" ht="21" customHeight="1" x14ac:dyDescent="0.25">
      <c r="A49" s="223">
        <v>42901</v>
      </c>
      <c r="B49" s="281" t="s">
        <v>540</v>
      </c>
      <c r="C49" s="281" t="s">
        <v>346</v>
      </c>
      <c r="D49" s="281">
        <v>2</v>
      </c>
      <c r="E49" s="224">
        <v>2</v>
      </c>
      <c r="F49" s="224">
        <v>-4</v>
      </c>
      <c r="G49" s="224"/>
      <c r="H49" s="192"/>
      <c r="I49" s="193"/>
      <c r="J49" s="240"/>
      <c r="K49" s="281"/>
      <c r="L49" s="225"/>
      <c r="M49" s="225"/>
      <c r="N49" s="226"/>
      <c r="O49" s="226"/>
      <c r="P49" s="226"/>
      <c r="Q49" s="226"/>
      <c r="R49" s="181">
        <f t="shared" si="0"/>
        <v>0</v>
      </c>
      <c r="S49" s="223"/>
      <c r="T49" s="781"/>
      <c r="U49" s="781"/>
    </row>
    <row r="50" spans="1:21" ht="21" customHeight="1" x14ac:dyDescent="0.25">
      <c r="A50" s="223">
        <v>42903</v>
      </c>
      <c r="B50" s="281">
        <v>180582</v>
      </c>
      <c r="C50" s="281" t="s">
        <v>346</v>
      </c>
      <c r="D50" s="281">
        <v>26</v>
      </c>
      <c r="E50" s="224"/>
      <c r="F50" s="224"/>
      <c r="G50" s="224"/>
      <c r="H50" s="192"/>
      <c r="I50" s="193"/>
      <c r="J50" s="240"/>
      <c r="K50" s="281"/>
      <c r="L50" s="225"/>
      <c r="M50" s="225">
        <v>19</v>
      </c>
      <c r="N50" s="226"/>
      <c r="O50" s="226"/>
      <c r="P50" s="226"/>
      <c r="Q50" s="226"/>
      <c r="R50" s="181">
        <f t="shared" si="0"/>
        <v>0</v>
      </c>
      <c r="S50" s="223"/>
      <c r="T50" s="781"/>
      <c r="U50" s="781"/>
    </row>
    <row r="51" spans="1:21" ht="21" customHeight="1" x14ac:dyDescent="0.25">
      <c r="A51" s="223">
        <v>42903</v>
      </c>
      <c r="B51" s="281">
        <v>180582</v>
      </c>
      <c r="C51" s="281" t="s">
        <v>346</v>
      </c>
      <c r="D51" s="281"/>
      <c r="E51" s="224">
        <v>26</v>
      </c>
      <c r="F51" s="224"/>
      <c r="G51" s="224"/>
      <c r="H51" s="192"/>
      <c r="I51" s="193"/>
      <c r="J51" s="240"/>
      <c r="K51" s="281"/>
      <c r="L51" s="225"/>
      <c r="M51" s="225"/>
      <c r="N51" s="226"/>
      <c r="O51" s="226"/>
      <c r="P51" s="226"/>
      <c r="Q51" s="226"/>
      <c r="R51" s="181">
        <f t="shared" si="0"/>
        <v>0</v>
      </c>
      <c r="S51" s="223"/>
      <c r="T51" s="781"/>
      <c r="U51" s="781"/>
    </row>
    <row r="52" spans="1:21" ht="21" customHeight="1" x14ac:dyDescent="0.25">
      <c r="A52" s="223">
        <v>42903</v>
      </c>
      <c r="B52" s="281">
        <v>180585</v>
      </c>
      <c r="C52" s="281" t="s">
        <v>539</v>
      </c>
      <c r="D52" s="281"/>
      <c r="E52" s="224"/>
      <c r="F52" s="148">
        <v>13</v>
      </c>
      <c r="G52" s="224"/>
      <c r="H52" s="192"/>
      <c r="I52" s="193"/>
      <c r="J52" s="240"/>
      <c r="K52" s="281"/>
      <c r="L52" s="225"/>
      <c r="M52" s="225"/>
      <c r="N52" s="226"/>
      <c r="O52" s="226"/>
      <c r="P52" s="226"/>
      <c r="Q52" s="226"/>
      <c r="R52" s="181">
        <f t="shared" si="0"/>
        <v>0</v>
      </c>
      <c r="S52" s="223"/>
      <c r="T52" s="781"/>
      <c r="U52" s="781"/>
    </row>
    <row r="53" spans="1:21" ht="21" customHeight="1" x14ac:dyDescent="0.25">
      <c r="A53" s="223">
        <v>42903</v>
      </c>
      <c r="B53" s="281">
        <v>180585</v>
      </c>
      <c r="C53" s="281" t="s">
        <v>539</v>
      </c>
      <c r="D53" s="281"/>
      <c r="E53" s="224"/>
      <c r="F53" s="224"/>
      <c r="G53" s="224">
        <v>13</v>
      </c>
      <c r="H53" s="192"/>
      <c r="I53" s="193"/>
      <c r="J53" s="240"/>
      <c r="K53" s="281"/>
      <c r="L53" s="225"/>
      <c r="M53" s="225"/>
      <c r="N53" s="226"/>
      <c r="O53" s="226"/>
      <c r="P53" s="226"/>
      <c r="Q53" s="226"/>
      <c r="R53" s="181">
        <f t="shared" si="0"/>
        <v>0</v>
      </c>
      <c r="S53" s="223"/>
      <c r="T53" s="781"/>
      <c r="U53" s="781"/>
    </row>
    <row r="54" spans="1:21" ht="21" customHeight="1" x14ac:dyDescent="0.25">
      <c r="A54" s="223">
        <v>42905</v>
      </c>
      <c r="B54" s="281">
        <v>180590</v>
      </c>
      <c r="C54" s="281" t="s">
        <v>539</v>
      </c>
      <c r="D54" s="281"/>
      <c r="E54" s="224"/>
      <c r="F54" s="224">
        <v>13</v>
      </c>
      <c r="G54" s="224"/>
      <c r="H54" s="192"/>
      <c r="I54" s="193"/>
      <c r="J54" s="240"/>
      <c r="K54" s="281"/>
      <c r="L54" s="225"/>
      <c r="M54" s="225"/>
      <c r="N54" s="226"/>
      <c r="O54" s="226"/>
      <c r="P54" s="226"/>
      <c r="Q54" s="226"/>
      <c r="R54" s="181">
        <f t="shared" si="0"/>
        <v>0</v>
      </c>
      <c r="S54" s="223"/>
      <c r="T54" s="781"/>
      <c r="U54" s="781"/>
    </row>
    <row r="55" spans="1:21" ht="21" customHeight="1" x14ac:dyDescent="0.25">
      <c r="A55" s="223">
        <v>42905</v>
      </c>
      <c r="B55" s="281">
        <v>180591</v>
      </c>
      <c r="C55" s="281" t="s">
        <v>539</v>
      </c>
      <c r="D55" s="281"/>
      <c r="E55" s="224"/>
      <c r="F55" s="224"/>
      <c r="G55" s="224">
        <v>13</v>
      </c>
      <c r="H55" s="192"/>
      <c r="I55" s="193"/>
      <c r="J55" s="240"/>
      <c r="K55" s="281"/>
      <c r="L55" s="225"/>
      <c r="M55" s="225"/>
      <c r="N55" s="226"/>
      <c r="O55" s="226"/>
      <c r="P55" s="226"/>
      <c r="Q55" s="226"/>
      <c r="R55" s="181">
        <f t="shared" si="0"/>
        <v>0</v>
      </c>
      <c r="S55" s="223"/>
      <c r="T55" s="781"/>
      <c r="U55" s="781"/>
    </row>
    <row r="56" spans="1:21" ht="21" customHeight="1" x14ac:dyDescent="0.25">
      <c r="A56" s="223">
        <v>42905</v>
      </c>
      <c r="B56" s="281">
        <v>178129</v>
      </c>
      <c r="C56" s="281" t="s">
        <v>346</v>
      </c>
      <c r="D56" s="281">
        <v>38</v>
      </c>
      <c r="E56" s="224"/>
      <c r="F56" s="224"/>
      <c r="G56" s="224"/>
      <c r="H56" s="192"/>
      <c r="I56" s="193"/>
      <c r="J56" s="240"/>
      <c r="K56" s="281"/>
      <c r="L56" s="225"/>
      <c r="M56" s="225"/>
      <c r="N56" s="226"/>
      <c r="O56" s="226"/>
      <c r="P56" s="226"/>
      <c r="Q56" s="226"/>
      <c r="R56" s="181">
        <f t="shared" si="0"/>
        <v>0</v>
      </c>
      <c r="S56" s="223"/>
      <c r="T56" s="781"/>
      <c r="U56" s="781"/>
    </row>
    <row r="57" spans="1:21" ht="21" customHeight="1" x14ac:dyDescent="0.25">
      <c r="A57" s="223">
        <v>42905</v>
      </c>
      <c r="B57" s="281">
        <v>178130</v>
      </c>
      <c r="C57" s="281" t="s">
        <v>346</v>
      </c>
      <c r="D57" s="281"/>
      <c r="E57" s="224" t="s">
        <v>560</v>
      </c>
      <c r="F57" s="224"/>
      <c r="G57" s="224"/>
      <c r="H57" s="192"/>
      <c r="I57" s="193"/>
      <c r="J57" s="240"/>
      <c r="K57" s="281"/>
      <c r="L57" s="225"/>
      <c r="M57" s="225"/>
      <c r="N57" s="226"/>
      <c r="O57" s="226"/>
      <c r="P57" s="226"/>
      <c r="Q57" s="226"/>
      <c r="R57" s="181">
        <f t="shared" si="0"/>
        <v>0</v>
      </c>
      <c r="S57" s="223"/>
      <c r="T57" s="781"/>
      <c r="U57" s="781"/>
    </row>
    <row r="58" spans="1:21" ht="21" customHeight="1" x14ac:dyDescent="0.25">
      <c r="A58" s="223"/>
      <c r="B58" s="281"/>
      <c r="C58" s="281"/>
      <c r="D58" s="281"/>
      <c r="E58" s="224"/>
      <c r="F58" s="224"/>
      <c r="G58" s="224"/>
      <c r="H58" s="192"/>
      <c r="I58" s="193"/>
      <c r="J58" s="240"/>
      <c r="K58" s="281"/>
      <c r="L58" s="225"/>
      <c r="M58" s="225"/>
      <c r="N58" s="226"/>
      <c r="O58" s="226"/>
      <c r="P58" s="226"/>
      <c r="Q58" s="226"/>
      <c r="R58" s="181">
        <f t="shared" si="0"/>
        <v>0</v>
      </c>
      <c r="S58" s="223"/>
      <c r="T58" s="781"/>
      <c r="U58" s="781"/>
    </row>
    <row r="59" spans="1:21" ht="21" customHeight="1" x14ac:dyDescent="0.25">
      <c r="A59" s="223"/>
      <c r="B59" s="281"/>
      <c r="C59" s="281"/>
      <c r="D59" s="281"/>
      <c r="E59" s="224"/>
      <c r="F59" s="224"/>
      <c r="G59" s="224"/>
      <c r="H59" s="192"/>
      <c r="I59" s="193"/>
      <c r="J59" s="240"/>
      <c r="K59" s="281"/>
      <c r="L59" s="225"/>
      <c r="M59" s="225"/>
      <c r="N59" s="226"/>
      <c r="O59" s="226"/>
      <c r="P59" s="226"/>
      <c r="Q59" s="226"/>
      <c r="R59" s="181">
        <f t="shared" si="0"/>
        <v>0</v>
      </c>
      <c r="S59" s="223"/>
      <c r="T59" s="781"/>
      <c r="U59" s="781"/>
    </row>
    <row r="60" spans="1:21" ht="21" customHeight="1" x14ac:dyDescent="0.25">
      <c r="A60" s="223"/>
      <c r="B60" s="281"/>
      <c r="C60" s="281"/>
      <c r="D60" s="281"/>
      <c r="E60" s="224"/>
      <c r="F60" s="224"/>
      <c r="G60" s="224"/>
      <c r="H60" s="192"/>
      <c r="I60" s="193"/>
      <c r="J60" s="240"/>
      <c r="K60" s="281"/>
      <c r="L60" s="225"/>
      <c r="M60" s="225"/>
      <c r="N60" s="226"/>
      <c r="O60" s="226"/>
      <c r="P60" s="226"/>
      <c r="Q60" s="226"/>
      <c r="R60" s="181">
        <f t="shared" si="0"/>
        <v>0</v>
      </c>
      <c r="S60" s="223"/>
      <c r="T60" s="781"/>
      <c r="U60" s="781"/>
    </row>
    <row r="61" spans="1:21" ht="21" customHeight="1" x14ac:dyDescent="0.25">
      <c r="A61" s="223"/>
      <c r="B61" s="281"/>
      <c r="C61" s="281"/>
      <c r="D61" s="281"/>
      <c r="E61" s="224"/>
      <c r="F61" s="224"/>
      <c r="G61" s="224"/>
      <c r="H61" s="192"/>
      <c r="I61" s="193"/>
      <c r="J61" s="240"/>
      <c r="K61" s="281"/>
      <c r="L61" s="225"/>
      <c r="M61" s="225"/>
      <c r="N61" s="226"/>
      <c r="O61" s="226"/>
      <c r="P61" s="226"/>
      <c r="Q61" s="226"/>
      <c r="R61" s="181">
        <f t="shared" si="0"/>
        <v>0</v>
      </c>
      <c r="S61" s="223"/>
      <c r="T61" s="781"/>
      <c r="U61" s="781"/>
    </row>
    <row r="62" spans="1:21" ht="21" customHeight="1" x14ac:dyDescent="0.25">
      <c r="A62" s="223"/>
      <c r="B62" s="281"/>
      <c r="C62" s="281"/>
      <c r="D62" s="281"/>
      <c r="E62" s="224"/>
      <c r="F62" s="224"/>
      <c r="G62" s="224"/>
      <c r="H62" s="192"/>
      <c r="I62" s="193"/>
      <c r="J62" s="240"/>
      <c r="K62" s="281"/>
      <c r="L62" s="225"/>
      <c r="M62" s="225"/>
      <c r="N62" s="226"/>
      <c r="O62" s="226"/>
      <c r="P62" s="226"/>
      <c r="Q62" s="226"/>
      <c r="R62" s="181">
        <f t="shared" si="0"/>
        <v>0</v>
      </c>
      <c r="S62" s="223"/>
      <c r="T62" s="781"/>
      <c r="U62" s="781"/>
    </row>
    <row r="63" spans="1:21" ht="21" customHeight="1" x14ac:dyDescent="0.25">
      <c r="A63" s="223"/>
      <c r="B63" s="281"/>
      <c r="C63" s="281"/>
      <c r="D63" s="281"/>
      <c r="E63" s="224"/>
      <c r="F63" s="224"/>
      <c r="G63" s="224"/>
      <c r="H63" s="192"/>
      <c r="I63" s="193"/>
      <c r="J63" s="240"/>
      <c r="K63" s="281"/>
      <c r="L63" s="225"/>
      <c r="M63" s="225"/>
      <c r="N63" s="226"/>
      <c r="O63" s="226"/>
      <c r="P63" s="226"/>
      <c r="Q63" s="226"/>
      <c r="R63" s="181">
        <f t="shared" si="0"/>
        <v>0</v>
      </c>
      <c r="S63" s="223"/>
      <c r="T63" s="781"/>
      <c r="U63" s="781"/>
    </row>
    <row r="64" spans="1:21" ht="21" customHeight="1" x14ac:dyDescent="0.25">
      <c r="A64" s="223"/>
      <c r="B64" s="281"/>
      <c r="C64" s="281"/>
      <c r="D64" s="281"/>
      <c r="E64" s="224"/>
      <c r="F64" s="224"/>
      <c r="G64" s="224"/>
      <c r="H64" s="192"/>
      <c r="I64" s="193"/>
      <c r="J64" s="240"/>
      <c r="K64" s="281"/>
      <c r="L64" s="225"/>
      <c r="M64" s="225"/>
      <c r="N64" s="226"/>
      <c r="O64" s="226"/>
      <c r="P64" s="226"/>
      <c r="Q64" s="226"/>
      <c r="R64" s="181">
        <f t="shared" si="0"/>
        <v>0</v>
      </c>
      <c r="S64" s="223"/>
      <c r="T64" s="781"/>
      <c r="U64" s="781"/>
    </row>
    <row r="65" spans="1:21" ht="15.75" x14ac:dyDescent="0.25">
      <c r="A65" s="223"/>
      <c r="B65" s="281"/>
      <c r="C65" s="281"/>
      <c r="D65" s="281"/>
      <c r="E65" s="224"/>
      <c r="F65" s="224"/>
      <c r="G65" s="224"/>
      <c r="H65" s="192"/>
      <c r="I65" s="193"/>
      <c r="J65" s="240"/>
      <c r="K65" s="281"/>
      <c r="L65" s="225"/>
      <c r="M65" s="225"/>
      <c r="N65" s="226"/>
      <c r="O65" s="226"/>
      <c r="P65" s="226"/>
      <c r="Q65" s="226"/>
      <c r="R65" s="181">
        <f t="shared" si="0"/>
        <v>0</v>
      </c>
      <c r="S65" s="223"/>
      <c r="T65" s="781"/>
      <c r="U65" s="781"/>
    </row>
    <row r="66" spans="1:21" ht="15.75" x14ac:dyDescent="0.25">
      <c r="A66" s="223"/>
      <c r="B66" s="281"/>
      <c r="C66" s="281"/>
      <c r="D66" s="281"/>
      <c r="E66" s="224"/>
      <c r="F66" s="224"/>
      <c r="G66" s="224"/>
      <c r="H66" s="192"/>
      <c r="I66" s="193"/>
      <c r="J66" s="240"/>
      <c r="K66" s="281"/>
      <c r="L66" s="225"/>
      <c r="M66" s="225"/>
      <c r="N66" s="226"/>
      <c r="O66" s="226"/>
      <c r="P66" s="226"/>
      <c r="Q66" s="226"/>
      <c r="R66" s="181">
        <f t="shared" si="0"/>
        <v>0</v>
      </c>
      <c r="S66" s="223"/>
      <c r="T66" s="781"/>
      <c r="U66" s="781"/>
    </row>
    <row r="67" spans="1:21" ht="15.75" x14ac:dyDescent="0.25">
      <c r="A67" s="223"/>
      <c r="B67" s="281"/>
      <c r="C67" s="281"/>
      <c r="D67" s="281"/>
      <c r="E67" s="224"/>
      <c r="F67" s="224"/>
      <c r="G67" s="224"/>
      <c r="H67" s="192"/>
      <c r="I67" s="193"/>
      <c r="J67" s="240"/>
      <c r="K67" s="281"/>
      <c r="L67" s="225"/>
      <c r="M67" s="225"/>
      <c r="N67" s="226"/>
      <c r="O67" s="226"/>
      <c r="P67" s="226"/>
      <c r="Q67" s="226"/>
      <c r="R67" s="181">
        <f t="shared" si="0"/>
        <v>0</v>
      </c>
      <c r="S67" s="223"/>
      <c r="T67" s="781"/>
      <c r="U67" s="781"/>
    </row>
    <row r="68" spans="1:21" ht="15.75" x14ac:dyDescent="0.25">
      <c r="A68" s="223"/>
      <c r="B68" s="281"/>
      <c r="C68" s="281"/>
      <c r="D68" s="281"/>
      <c r="E68" s="224"/>
      <c r="F68" s="224"/>
      <c r="G68" s="224"/>
      <c r="H68" s="192"/>
      <c r="I68" s="193"/>
      <c r="J68" s="240"/>
      <c r="K68" s="281"/>
      <c r="L68" s="225"/>
      <c r="M68" s="225"/>
      <c r="N68" s="226"/>
      <c r="O68" s="226"/>
      <c r="P68" s="226"/>
      <c r="Q68" s="226"/>
      <c r="R68" s="181">
        <f t="shared" si="0"/>
        <v>0</v>
      </c>
      <c r="S68" s="223"/>
      <c r="T68" s="781"/>
      <c r="U68" s="781"/>
    </row>
    <row r="69" spans="1:21" ht="15.75" x14ac:dyDescent="0.25">
      <c r="A69" s="223"/>
      <c r="B69" s="281"/>
      <c r="C69" s="281"/>
      <c r="D69" s="281"/>
      <c r="E69" s="224"/>
      <c r="F69" s="224"/>
      <c r="G69" s="224"/>
      <c r="H69" s="192"/>
      <c r="I69" s="193"/>
      <c r="J69" s="240"/>
      <c r="K69" s="281"/>
      <c r="L69" s="225"/>
      <c r="M69" s="225"/>
      <c r="N69" s="226"/>
      <c r="O69" s="226"/>
      <c r="P69" s="226"/>
      <c r="Q69" s="226"/>
      <c r="R69" s="181">
        <f t="shared" si="0"/>
        <v>0</v>
      </c>
      <c r="S69" s="223"/>
      <c r="T69" s="781"/>
      <c r="U69" s="781"/>
    </row>
    <row r="70" spans="1:21" ht="15.75" x14ac:dyDescent="0.25">
      <c r="A70" s="223"/>
      <c r="B70" s="281"/>
      <c r="C70" s="281"/>
      <c r="D70" s="281"/>
      <c r="E70" s="224"/>
      <c r="F70" s="224"/>
      <c r="G70" s="224"/>
      <c r="H70" s="192"/>
      <c r="I70" s="193"/>
      <c r="J70" s="240"/>
      <c r="K70" s="281"/>
      <c r="L70" s="225"/>
      <c r="M70" s="225"/>
      <c r="N70" s="226"/>
      <c r="O70" s="226"/>
      <c r="P70" s="226"/>
      <c r="Q70" s="226"/>
      <c r="R70" s="181">
        <f t="shared" si="0"/>
        <v>0</v>
      </c>
      <c r="S70" s="223"/>
      <c r="T70" s="781"/>
      <c r="U70" s="781"/>
    </row>
    <row r="71" spans="1:21" ht="15.75" x14ac:dyDescent="0.25">
      <c r="A71" s="223"/>
      <c r="B71" s="281"/>
      <c r="C71" s="281"/>
      <c r="D71" s="281"/>
      <c r="E71" s="224"/>
      <c r="F71" s="224"/>
      <c r="G71" s="224"/>
      <c r="H71" s="192"/>
      <c r="I71" s="193"/>
      <c r="J71" s="240"/>
      <c r="K71" s="281"/>
      <c r="L71" s="225"/>
      <c r="M71" s="225"/>
      <c r="N71" s="226"/>
      <c r="O71" s="226"/>
      <c r="P71" s="226"/>
      <c r="Q71" s="226"/>
      <c r="R71" s="181">
        <f t="shared" ref="R71:R134" si="1">SUM(N71:Q71)</f>
        <v>0</v>
      </c>
      <c r="S71" s="223"/>
      <c r="T71" s="781"/>
      <c r="U71" s="781"/>
    </row>
    <row r="72" spans="1:21" ht="15.75" x14ac:dyDescent="0.25">
      <c r="A72" s="223"/>
      <c r="B72" s="281"/>
      <c r="C72" s="281"/>
      <c r="D72" s="281"/>
      <c r="E72" s="224"/>
      <c r="F72" s="224"/>
      <c r="G72" s="224"/>
      <c r="H72" s="192"/>
      <c r="I72" s="193"/>
      <c r="J72" s="240"/>
      <c r="K72" s="281"/>
      <c r="L72" s="225"/>
      <c r="M72" s="225"/>
      <c r="N72" s="226"/>
      <c r="O72" s="226"/>
      <c r="P72" s="226"/>
      <c r="Q72" s="226"/>
      <c r="R72" s="181">
        <f t="shared" si="1"/>
        <v>0</v>
      </c>
      <c r="S72" s="223"/>
      <c r="T72" s="781"/>
      <c r="U72" s="781"/>
    </row>
    <row r="73" spans="1:21" ht="15.75" x14ac:dyDescent="0.25">
      <c r="A73" s="223"/>
      <c r="B73" s="281"/>
      <c r="C73" s="281"/>
      <c r="D73" s="281"/>
      <c r="E73" s="224"/>
      <c r="F73" s="224"/>
      <c r="G73" s="224"/>
      <c r="H73" s="192"/>
      <c r="I73" s="193"/>
      <c r="J73" s="240"/>
      <c r="K73" s="281"/>
      <c r="L73" s="225"/>
      <c r="M73" s="225"/>
      <c r="N73" s="226"/>
      <c r="O73" s="226"/>
      <c r="P73" s="226"/>
      <c r="Q73" s="226"/>
      <c r="R73" s="181">
        <f t="shared" si="1"/>
        <v>0</v>
      </c>
      <c r="S73" s="223"/>
      <c r="T73" s="781"/>
      <c r="U73" s="781"/>
    </row>
    <row r="74" spans="1:21" ht="15.75" x14ac:dyDescent="0.25">
      <c r="A74" s="223"/>
      <c r="B74" s="281"/>
      <c r="C74" s="281"/>
      <c r="D74" s="281"/>
      <c r="E74" s="224"/>
      <c r="F74" s="224"/>
      <c r="G74" s="224"/>
      <c r="H74" s="192"/>
      <c r="I74" s="193"/>
      <c r="J74" s="240"/>
      <c r="K74" s="281"/>
      <c r="L74" s="225"/>
      <c r="M74" s="225"/>
      <c r="N74" s="226"/>
      <c r="O74" s="226"/>
      <c r="P74" s="226"/>
      <c r="Q74" s="226"/>
      <c r="R74" s="181">
        <f t="shared" si="1"/>
        <v>0</v>
      </c>
      <c r="S74" s="223"/>
      <c r="T74" s="781"/>
      <c r="U74" s="781"/>
    </row>
    <row r="75" spans="1:21" ht="15.75" x14ac:dyDescent="0.25">
      <c r="A75" s="223"/>
      <c r="B75" s="281"/>
      <c r="C75" s="281"/>
      <c r="D75" s="281"/>
      <c r="E75" s="224"/>
      <c r="F75" s="224"/>
      <c r="G75" s="224"/>
      <c r="H75" s="192"/>
      <c r="I75" s="193"/>
      <c r="J75" s="240"/>
      <c r="K75" s="281"/>
      <c r="L75" s="225"/>
      <c r="M75" s="225"/>
      <c r="N75" s="226"/>
      <c r="O75" s="226"/>
      <c r="P75" s="226"/>
      <c r="Q75" s="226"/>
      <c r="R75" s="181">
        <f t="shared" si="1"/>
        <v>0</v>
      </c>
      <c r="S75" s="223"/>
      <c r="T75" s="781"/>
      <c r="U75" s="781"/>
    </row>
    <row r="76" spans="1:21" ht="15.75" x14ac:dyDescent="0.25">
      <c r="A76" s="223"/>
      <c r="B76" s="281"/>
      <c r="C76" s="281"/>
      <c r="D76" s="281"/>
      <c r="E76" s="224"/>
      <c r="F76" s="224"/>
      <c r="G76" s="224"/>
      <c r="H76" s="192"/>
      <c r="I76" s="193"/>
      <c r="J76" s="240"/>
      <c r="K76" s="281"/>
      <c r="L76" s="225"/>
      <c r="M76" s="225"/>
      <c r="N76" s="226"/>
      <c r="O76" s="226"/>
      <c r="P76" s="226"/>
      <c r="Q76" s="226"/>
      <c r="R76" s="181">
        <f t="shared" si="1"/>
        <v>0</v>
      </c>
      <c r="S76" s="223"/>
      <c r="T76" s="781"/>
      <c r="U76" s="781"/>
    </row>
    <row r="77" spans="1:21" ht="15.75" x14ac:dyDescent="0.25">
      <c r="A77" s="223"/>
      <c r="B77" s="281"/>
      <c r="C77" s="281"/>
      <c r="D77" s="281"/>
      <c r="E77" s="224"/>
      <c r="F77" s="224"/>
      <c r="G77" s="224"/>
      <c r="H77" s="192"/>
      <c r="I77" s="193"/>
      <c r="J77" s="240"/>
      <c r="K77" s="281"/>
      <c r="L77" s="225"/>
      <c r="M77" s="225"/>
      <c r="N77" s="226"/>
      <c r="O77" s="226"/>
      <c r="P77" s="226"/>
      <c r="Q77" s="226"/>
      <c r="R77" s="181">
        <f t="shared" si="1"/>
        <v>0</v>
      </c>
      <c r="S77" s="223"/>
      <c r="T77" s="781"/>
      <c r="U77" s="781"/>
    </row>
    <row r="78" spans="1:21" ht="15.75" x14ac:dyDescent="0.25">
      <c r="A78" s="223"/>
      <c r="B78" s="281"/>
      <c r="C78" s="281"/>
      <c r="D78" s="281"/>
      <c r="E78" s="224"/>
      <c r="F78" s="224"/>
      <c r="G78" s="224"/>
      <c r="H78" s="192"/>
      <c r="I78" s="193"/>
      <c r="J78" s="240"/>
      <c r="K78" s="281"/>
      <c r="L78" s="225"/>
      <c r="M78" s="225"/>
      <c r="N78" s="226"/>
      <c r="O78" s="226"/>
      <c r="P78" s="226"/>
      <c r="Q78" s="226"/>
      <c r="R78" s="181">
        <f t="shared" si="1"/>
        <v>0</v>
      </c>
      <c r="S78" s="223"/>
      <c r="T78" s="781"/>
      <c r="U78" s="781"/>
    </row>
    <row r="79" spans="1:21" ht="15.75" x14ac:dyDescent="0.25">
      <c r="A79" s="223"/>
      <c r="B79" s="281"/>
      <c r="C79" s="281"/>
      <c r="D79" s="281"/>
      <c r="E79" s="224"/>
      <c r="F79" s="224"/>
      <c r="G79" s="224"/>
      <c r="H79" s="192"/>
      <c r="I79" s="193"/>
      <c r="J79" s="240"/>
      <c r="K79" s="281"/>
      <c r="L79" s="225"/>
      <c r="M79" s="225"/>
      <c r="N79" s="226"/>
      <c r="O79" s="226"/>
      <c r="P79" s="226"/>
      <c r="Q79" s="226"/>
      <c r="R79" s="181">
        <f t="shared" si="1"/>
        <v>0</v>
      </c>
      <c r="S79" s="223"/>
      <c r="T79" s="781"/>
      <c r="U79" s="781"/>
    </row>
    <row r="80" spans="1:21" ht="15.75" x14ac:dyDescent="0.25">
      <c r="A80" s="223"/>
      <c r="B80" s="281"/>
      <c r="C80" s="281"/>
      <c r="D80" s="281"/>
      <c r="E80" s="224"/>
      <c r="F80" s="224"/>
      <c r="G80" s="224"/>
      <c r="H80" s="192"/>
      <c r="I80" s="193"/>
      <c r="J80" s="240"/>
      <c r="K80" s="281"/>
      <c r="L80" s="225"/>
      <c r="M80" s="225"/>
      <c r="N80" s="226"/>
      <c r="O80" s="226"/>
      <c r="P80" s="226"/>
      <c r="Q80" s="226"/>
      <c r="R80" s="181">
        <f t="shared" si="1"/>
        <v>0</v>
      </c>
      <c r="S80" s="223"/>
      <c r="T80" s="781"/>
      <c r="U80" s="781"/>
    </row>
    <row r="81" spans="1:21" ht="15.75" x14ac:dyDescent="0.25">
      <c r="A81" s="223"/>
      <c r="B81" s="281"/>
      <c r="C81" s="281"/>
      <c r="D81" s="281"/>
      <c r="E81" s="224"/>
      <c r="F81" s="224"/>
      <c r="G81" s="224"/>
      <c r="H81" s="192"/>
      <c r="I81" s="193"/>
      <c r="J81" s="240"/>
      <c r="K81" s="281"/>
      <c r="L81" s="225"/>
      <c r="M81" s="225"/>
      <c r="N81" s="226"/>
      <c r="O81" s="226"/>
      <c r="P81" s="226"/>
      <c r="Q81" s="226"/>
      <c r="R81" s="181">
        <f t="shared" si="1"/>
        <v>0</v>
      </c>
      <c r="S81" s="223"/>
      <c r="T81" s="781"/>
      <c r="U81" s="781"/>
    </row>
    <row r="82" spans="1:21" ht="15.75" x14ac:dyDescent="0.25">
      <c r="A82" s="223"/>
      <c r="B82" s="281"/>
      <c r="C82" s="281"/>
      <c r="D82" s="281"/>
      <c r="E82" s="224"/>
      <c r="F82" s="224"/>
      <c r="G82" s="224"/>
      <c r="H82" s="192"/>
      <c r="I82" s="193"/>
      <c r="J82" s="240"/>
      <c r="K82" s="281"/>
      <c r="L82" s="225"/>
      <c r="M82" s="225"/>
      <c r="N82" s="226"/>
      <c r="O82" s="226"/>
      <c r="P82" s="226"/>
      <c r="Q82" s="226"/>
      <c r="R82" s="181">
        <f t="shared" si="1"/>
        <v>0</v>
      </c>
      <c r="S82" s="223"/>
      <c r="T82" s="781"/>
      <c r="U82" s="781"/>
    </row>
    <row r="83" spans="1:21" ht="15.75" x14ac:dyDescent="0.25">
      <c r="A83" s="223"/>
      <c r="B83" s="281"/>
      <c r="C83" s="281"/>
      <c r="D83" s="281"/>
      <c r="E83" s="224"/>
      <c r="F83" s="224"/>
      <c r="G83" s="224"/>
      <c r="H83" s="192"/>
      <c r="I83" s="193"/>
      <c r="J83" s="240"/>
      <c r="K83" s="281"/>
      <c r="L83" s="225"/>
      <c r="M83" s="225"/>
      <c r="N83" s="226"/>
      <c r="O83" s="226"/>
      <c r="P83" s="226"/>
      <c r="Q83" s="226"/>
      <c r="R83" s="181">
        <f t="shared" si="1"/>
        <v>0</v>
      </c>
      <c r="S83" s="223"/>
      <c r="T83" s="781"/>
      <c r="U83" s="781"/>
    </row>
    <row r="84" spans="1:21" ht="15.75" x14ac:dyDescent="0.25">
      <c r="A84" s="223"/>
      <c r="B84" s="281"/>
      <c r="C84" s="281"/>
      <c r="D84" s="281"/>
      <c r="E84" s="224"/>
      <c r="F84" s="224"/>
      <c r="G84" s="224"/>
      <c r="H84" s="192"/>
      <c r="I84" s="193"/>
      <c r="J84" s="240"/>
      <c r="K84" s="281"/>
      <c r="L84" s="225"/>
      <c r="M84" s="225"/>
      <c r="N84" s="226"/>
      <c r="O84" s="226"/>
      <c r="P84" s="226"/>
      <c r="Q84" s="226"/>
      <c r="R84" s="181">
        <f t="shared" si="1"/>
        <v>0</v>
      </c>
      <c r="S84" s="223"/>
      <c r="T84" s="781"/>
      <c r="U84" s="781"/>
    </row>
    <row r="85" spans="1:21" ht="15.75" x14ac:dyDescent="0.25">
      <c r="A85" s="223"/>
      <c r="B85" s="281"/>
      <c r="C85" s="281"/>
      <c r="D85" s="281"/>
      <c r="E85" s="224"/>
      <c r="F85" s="224"/>
      <c r="G85" s="224"/>
      <c r="H85" s="192"/>
      <c r="I85" s="193"/>
      <c r="J85" s="240"/>
      <c r="K85" s="281"/>
      <c r="L85" s="225"/>
      <c r="M85" s="225"/>
      <c r="N85" s="226"/>
      <c r="O85" s="226"/>
      <c r="P85" s="226"/>
      <c r="Q85" s="226"/>
      <c r="R85" s="181">
        <f t="shared" si="1"/>
        <v>0</v>
      </c>
      <c r="S85" s="223"/>
      <c r="T85" s="781"/>
      <c r="U85" s="781"/>
    </row>
    <row r="86" spans="1:21" ht="15.75" x14ac:dyDescent="0.25">
      <c r="A86" s="223"/>
      <c r="B86" s="281"/>
      <c r="C86" s="281"/>
      <c r="D86" s="281"/>
      <c r="E86" s="224"/>
      <c r="F86" s="224"/>
      <c r="G86" s="224"/>
      <c r="H86" s="192"/>
      <c r="I86" s="193"/>
      <c r="J86" s="240"/>
      <c r="K86" s="281"/>
      <c r="L86" s="225"/>
      <c r="M86" s="225"/>
      <c r="N86" s="226"/>
      <c r="O86" s="226"/>
      <c r="P86" s="226"/>
      <c r="Q86" s="226"/>
      <c r="R86" s="181">
        <f t="shared" si="1"/>
        <v>0</v>
      </c>
      <c r="S86" s="223"/>
      <c r="T86" s="781"/>
      <c r="U86" s="781"/>
    </row>
    <row r="87" spans="1:21" ht="15.75" x14ac:dyDescent="0.25">
      <c r="A87" s="223"/>
      <c r="B87" s="281"/>
      <c r="C87" s="281"/>
      <c r="D87" s="281"/>
      <c r="E87" s="224"/>
      <c r="F87" s="224"/>
      <c r="G87" s="224"/>
      <c r="H87" s="192"/>
      <c r="I87" s="193"/>
      <c r="J87" s="240"/>
      <c r="K87" s="281"/>
      <c r="L87" s="225"/>
      <c r="M87" s="225"/>
      <c r="N87" s="226"/>
      <c r="O87" s="226"/>
      <c r="P87" s="226"/>
      <c r="Q87" s="226"/>
      <c r="R87" s="181">
        <f t="shared" si="1"/>
        <v>0</v>
      </c>
      <c r="S87" s="223"/>
      <c r="T87" s="781"/>
      <c r="U87" s="781"/>
    </row>
    <row r="88" spans="1:21" ht="15.75" x14ac:dyDescent="0.25">
      <c r="A88" s="223"/>
      <c r="B88" s="281"/>
      <c r="C88" s="281"/>
      <c r="D88" s="281"/>
      <c r="E88" s="224"/>
      <c r="F88" s="224"/>
      <c r="G88" s="224"/>
      <c r="H88" s="192"/>
      <c r="I88" s="193"/>
      <c r="J88" s="240"/>
      <c r="K88" s="281"/>
      <c r="L88" s="225"/>
      <c r="M88" s="225"/>
      <c r="N88" s="226"/>
      <c r="O88" s="226"/>
      <c r="P88" s="226"/>
      <c r="Q88" s="226"/>
      <c r="R88" s="181">
        <f t="shared" si="1"/>
        <v>0</v>
      </c>
      <c r="S88" s="223"/>
      <c r="T88" s="781"/>
      <c r="U88" s="781"/>
    </row>
    <row r="89" spans="1:21" ht="15.75" x14ac:dyDescent="0.25">
      <c r="A89" s="223"/>
      <c r="B89" s="281"/>
      <c r="C89" s="281"/>
      <c r="D89" s="281"/>
      <c r="E89" s="224"/>
      <c r="F89" s="224"/>
      <c r="G89" s="224"/>
      <c r="H89" s="192"/>
      <c r="I89" s="193"/>
      <c r="J89" s="240"/>
      <c r="K89" s="281"/>
      <c r="L89" s="225"/>
      <c r="M89" s="225"/>
      <c r="N89" s="226"/>
      <c r="O89" s="226"/>
      <c r="P89" s="226"/>
      <c r="Q89" s="226"/>
      <c r="R89" s="181">
        <f t="shared" si="1"/>
        <v>0</v>
      </c>
      <c r="S89" s="223"/>
      <c r="T89" s="781"/>
      <c r="U89" s="781"/>
    </row>
    <row r="90" spans="1:21" ht="15.75" x14ac:dyDescent="0.25">
      <c r="A90" s="223"/>
      <c r="B90" s="281"/>
      <c r="C90" s="281"/>
      <c r="D90" s="281"/>
      <c r="E90" s="224"/>
      <c r="F90" s="224"/>
      <c r="G90" s="224"/>
      <c r="H90" s="192"/>
      <c r="I90" s="193"/>
      <c r="J90" s="240"/>
      <c r="K90" s="281"/>
      <c r="L90" s="225"/>
      <c r="M90" s="225"/>
      <c r="N90" s="226"/>
      <c r="O90" s="226"/>
      <c r="P90" s="226"/>
      <c r="Q90" s="226"/>
      <c r="R90" s="181">
        <f t="shared" si="1"/>
        <v>0</v>
      </c>
      <c r="S90" s="223"/>
      <c r="T90" s="781"/>
      <c r="U90" s="781"/>
    </row>
    <row r="91" spans="1:21" ht="15.75" x14ac:dyDescent="0.25">
      <c r="A91" s="223"/>
      <c r="B91" s="281"/>
      <c r="C91" s="281"/>
      <c r="D91" s="281"/>
      <c r="E91" s="224"/>
      <c r="F91" s="224"/>
      <c r="G91" s="224"/>
      <c r="H91" s="192"/>
      <c r="I91" s="193"/>
      <c r="J91" s="240"/>
      <c r="K91" s="281"/>
      <c r="L91" s="225"/>
      <c r="M91" s="225"/>
      <c r="N91" s="226"/>
      <c r="O91" s="226"/>
      <c r="P91" s="226"/>
      <c r="Q91" s="226"/>
      <c r="R91" s="181">
        <f t="shared" si="1"/>
        <v>0</v>
      </c>
      <c r="S91" s="223"/>
      <c r="T91" s="781"/>
      <c r="U91" s="781"/>
    </row>
    <row r="92" spans="1:21" ht="15.75" x14ac:dyDescent="0.25">
      <c r="A92" s="223"/>
      <c r="B92" s="281"/>
      <c r="C92" s="281"/>
      <c r="D92" s="281"/>
      <c r="E92" s="224"/>
      <c r="F92" s="224"/>
      <c r="G92" s="224"/>
      <c r="H92" s="192"/>
      <c r="I92" s="193"/>
      <c r="J92" s="240"/>
      <c r="K92" s="281"/>
      <c r="L92" s="225"/>
      <c r="M92" s="225"/>
      <c r="N92" s="226"/>
      <c r="O92" s="226"/>
      <c r="P92" s="226"/>
      <c r="Q92" s="226"/>
      <c r="R92" s="181">
        <f t="shared" si="1"/>
        <v>0</v>
      </c>
      <c r="S92" s="223"/>
      <c r="T92" s="781"/>
      <c r="U92" s="781"/>
    </row>
    <row r="93" spans="1:21" ht="15.75" x14ac:dyDescent="0.25">
      <c r="A93" s="223"/>
      <c r="B93" s="281"/>
      <c r="C93" s="281"/>
      <c r="D93" s="281"/>
      <c r="E93" s="224"/>
      <c r="F93" s="224"/>
      <c r="G93" s="224"/>
      <c r="H93" s="192"/>
      <c r="I93" s="193"/>
      <c r="J93" s="240"/>
      <c r="K93" s="281"/>
      <c r="L93" s="225"/>
      <c r="M93" s="225"/>
      <c r="N93" s="226"/>
      <c r="O93" s="226"/>
      <c r="P93" s="226"/>
      <c r="Q93" s="226"/>
      <c r="R93" s="181">
        <f t="shared" si="1"/>
        <v>0</v>
      </c>
      <c r="S93" s="223"/>
      <c r="T93" s="781"/>
      <c r="U93" s="781"/>
    </row>
    <row r="94" spans="1:21" ht="15.75" x14ac:dyDescent="0.25">
      <c r="A94" s="223"/>
      <c r="B94" s="281"/>
      <c r="C94" s="281"/>
      <c r="D94" s="281"/>
      <c r="E94" s="224"/>
      <c r="F94" s="224"/>
      <c r="G94" s="224"/>
      <c r="H94" s="192"/>
      <c r="I94" s="193"/>
      <c r="J94" s="240"/>
      <c r="K94" s="281"/>
      <c r="L94" s="225"/>
      <c r="M94" s="225"/>
      <c r="N94" s="226"/>
      <c r="O94" s="226"/>
      <c r="P94" s="226"/>
      <c r="Q94" s="226"/>
      <c r="R94" s="181">
        <f t="shared" si="1"/>
        <v>0</v>
      </c>
      <c r="S94" s="223"/>
      <c r="T94" s="781"/>
      <c r="U94" s="781"/>
    </row>
    <row r="95" spans="1:21" ht="15.75" x14ac:dyDescent="0.25">
      <c r="A95" s="223"/>
      <c r="B95" s="281"/>
      <c r="C95" s="281"/>
      <c r="D95" s="281"/>
      <c r="E95" s="224"/>
      <c r="F95" s="224"/>
      <c r="G95" s="224"/>
      <c r="H95" s="192"/>
      <c r="I95" s="193"/>
      <c r="J95" s="240"/>
      <c r="K95" s="281"/>
      <c r="L95" s="225"/>
      <c r="M95" s="225"/>
      <c r="N95" s="226"/>
      <c r="O95" s="226"/>
      <c r="P95" s="226"/>
      <c r="Q95" s="226"/>
      <c r="R95" s="181">
        <f t="shared" si="1"/>
        <v>0</v>
      </c>
      <c r="S95" s="223"/>
      <c r="T95" s="781"/>
      <c r="U95" s="781"/>
    </row>
    <row r="96" spans="1:21" ht="15.75" x14ac:dyDescent="0.25">
      <c r="A96" s="223"/>
      <c r="B96" s="281"/>
      <c r="C96" s="281"/>
      <c r="D96" s="281"/>
      <c r="E96" s="224"/>
      <c r="F96" s="224"/>
      <c r="G96" s="224"/>
      <c r="H96" s="192"/>
      <c r="I96" s="193"/>
      <c r="J96" s="240"/>
      <c r="K96" s="281"/>
      <c r="L96" s="225"/>
      <c r="M96" s="225"/>
      <c r="N96" s="226"/>
      <c r="O96" s="226"/>
      <c r="P96" s="226"/>
      <c r="Q96" s="226"/>
      <c r="R96" s="181">
        <f t="shared" si="1"/>
        <v>0</v>
      </c>
      <c r="S96" s="223"/>
      <c r="T96" s="781"/>
      <c r="U96" s="781"/>
    </row>
    <row r="97" spans="1:21" ht="15.75" x14ac:dyDescent="0.25">
      <c r="A97" s="223"/>
      <c r="B97" s="281"/>
      <c r="C97" s="281"/>
      <c r="D97" s="281"/>
      <c r="E97" s="224"/>
      <c r="F97" s="224"/>
      <c r="G97" s="224"/>
      <c r="H97" s="192"/>
      <c r="I97" s="193"/>
      <c r="J97" s="240"/>
      <c r="K97" s="281"/>
      <c r="L97" s="225"/>
      <c r="M97" s="225"/>
      <c r="N97" s="226"/>
      <c r="O97" s="226"/>
      <c r="P97" s="226"/>
      <c r="Q97" s="226"/>
      <c r="R97" s="181">
        <f t="shared" si="1"/>
        <v>0</v>
      </c>
      <c r="S97" s="223"/>
      <c r="T97" s="781"/>
      <c r="U97" s="781"/>
    </row>
    <row r="98" spans="1:21" ht="15.75" x14ac:dyDescent="0.25">
      <c r="A98" s="223"/>
      <c r="B98" s="281"/>
      <c r="C98" s="281"/>
      <c r="D98" s="281"/>
      <c r="E98" s="224"/>
      <c r="F98" s="224"/>
      <c r="G98" s="224"/>
      <c r="H98" s="192"/>
      <c r="I98" s="193"/>
      <c r="J98" s="240"/>
      <c r="K98" s="281"/>
      <c r="L98" s="225"/>
      <c r="M98" s="225"/>
      <c r="N98" s="226"/>
      <c r="O98" s="226"/>
      <c r="P98" s="226"/>
      <c r="Q98" s="226"/>
      <c r="R98" s="181">
        <f t="shared" si="1"/>
        <v>0</v>
      </c>
      <c r="S98" s="223"/>
      <c r="T98" s="781"/>
      <c r="U98" s="781"/>
    </row>
    <row r="99" spans="1:21" ht="15.75" x14ac:dyDescent="0.25">
      <c r="A99" s="223"/>
      <c r="B99" s="281"/>
      <c r="C99" s="281"/>
      <c r="D99" s="281"/>
      <c r="E99" s="224"/>
      <c r="F99" s="224"/>
      <c r="G99" s="224"/>
      <c r="H99" s="192"/>
      <c r="I99" s="193"/>
      <c r="J99" s="240"/>
      <c r="K99" s="281"/>
      <c r="L99" s="225"/>
      <c r="M99" s="225"/>
      <c r="N99" s="226"/>
      <c r="O99" s="226"/>
      <c r="P99" s="226"/>
      <c r="Q99" s="226"/>
      <c r="R99" s="181">
        <f t="shared" si="1"/>
        <v>0</v>
      </c>
      <c r="S99" s="223"/>
      <c r="T99" s="781"/>
      <c r="U99" s="781"/>
    </row>
    <row r="100" spans="1:21" ht="15.75" x14ac:dyDescent="0.25">
      <c r="A100" s="223"/>
      <c r="B100" s="281"/>
      <c r="C100" s="281"/>
      <c r="D100" s="281"/>
      <c r="E100" s="224"/>
      <c r="F100" s="224"/>
      <c r="G100" s="224"/>
      <c r="H100" s="192"/>
      <c r="I100" s="193"/>
      <c r="J100" s="240"/>
      <c r="K100" s="281"/>
      <c r="L100" s="225"/>
      <c r="M100" s="225"/>
      <c r="N100" s="226"/>
      <c r="O100" s="226"/>
      <c r="P100" s="226"/>
      <c r="Q100" s="226"/>
      <c r="R100" s="181">
        <f t="shared" si="1"/>
        <v>0</v>
      </c>
      <c r="S100" s="223"/>
      <c r="T100" s="781"/>
      <c r="U100" s="781"/>
    </row>
    <row r="101" spans="1:21" ht="15.75" x14ac:dyDescent="0.25">
      <c r="A101" s="223"/>
      <c r="B101" s="281"/>
      <c r="C101" s="281"/>
      <c r="D101" s="281"/>
      <c r="E101" s="224"/>
      <c r="F101" s="224"/>
      <c r="G101" s="224"/>
      <c r="H101" s="192"/>
      <c r="I101" s="193"/>
      <c r="J101" s="240"/>
      <c r="K101" s="281"/>
      <c r="L101" s="225"/>
      <c r="M101" s="225"/>
      <c r="N101" s="226"/>
      <c r="O101" s="226"/>
      <c r="P101" s="226"/>
      <c r="Q101" s="226"/>
      <c r="R101" s="181">
        <f t="shared" si="1"/>
        <v>0</v>
      </c>
      <c r="S101" s="223"/>
      <c r="T101" s="781"/>
      <c r="U101" s="781"/>
    </row>
    <row r="102" spans="1:21" ht="15.75" x14ac:dyDescent="0.25">
      <c r="A102" s="223"/>
      <c r="B102" s="281"/>
      <c r="C102" s="281"/>
      <c r="D102" s="281"/>
      <c r="E102" s="224"/>
      <c r="F102" s="224"/>
      <c r="G102" s="224"/>
      <c r="H102" s="192"/>
      <c r="I102" s="193"/>
      <c r="J102" s="240"/>
      <c r="K102" s="281"/>
      <c r="L102" s="225"/>
      <c r="M102" s="225"/>
      <c r="N102" s="226"/>
      <c r="O102" s="226"/>
      <c r="P102" s="226"/>
      <c r="Q102" s="226"/>
      <c r="R102" s="181">
        <f t="shared" si="1"/>
        <v>0</v>
      </c>
      <c r="S102" s="223"/>
      <c r="T102" s="781"/>
      <c r="U102" s="781"/>
    </row>
    <row r="103" spans="1:21" ht="15.75" x14ac:dyDescent="0.25">
      <c r="A103" s="223"/>
      <c r="B103" s="281"/>
      <c r="C103" s="281"/>
      <c r="D103" s="281"/>
      <c r="E103" s="224"/>
      <c r="F103" s="224"/>
      <c r="G103" s="224"/>
      <c r="H103" s="192"/>
      <c r="I103" s="193"/>
      <c r="J103" s="240"/>
      <c r="K103" s="281"/>
      <c r="L103" s="225"/>
      <c r="M103" s="225"/>
      <c r="N103" s="226"/>
      <c r="O103" s="226"/>
      <c r="P103" s="226"/>
      <c r="Q103" s="226"/>
      <c r="R103" s="181">
        <f t="shared" si="1"/>
        <v>0</v>
      </c>
      <c r="S103" s="223"/>
      <c r="T103" s="781"/>
      <c r="U103" s="781"/>
    </row>
    <row r="104" spans="1:21" ht="15.75" x14ac:dyDescent="0.25">
      <c r="A104" s="223"/>
      <c r="B104" s="281"/>
      <c r="C104" s="281"/>
      <c r="D104" s="281"/>
      <c r="E104" s="224"/>
      <c r="F104" s="224"/>
      <c r="G104" s="224"/>
      <c r="H104" s="192"/>
      <c r="I104" s="193"/>
      <c r="J104" s="240"/>
      <c r="K104" s="281"/>
      <c r="L104" s="225"/>
      <c r="M104" s="225"/>
      <c r="N104" s="226"/>
      <c r="O104" s="226"/>
      <c r="P104" s="226"/>
      <c r="Q104" s="226"/>
      <c r="R104" s="181">
        <f t="shared" si="1"/>
        <v>0</v>
      </c>
      <c r="S104" s="223"/>
      <c r="T104" s="781"/>
      <c r="U104" s="781"/>
    </row>
    <row r="105" spans="1:21" ht="15.75" x14ac:dyDescent="0.25">
      <c r="A105" s="223"/>
      <c r="B105" s="281"/>
      <c r="C105" s="281"/>
      <c r="D105" s="281"/>
      <c r="E105" s="224"/>
      <c r="F105" s="224"/>
      <c r="G105" s="224"/>
      <c r="H105" s="192"/>
      <c r="I105" s="193"/>
      <c r="J105" s="240"/>
      <c r="K105" s="281"/>
      <c r="L105" s="225"/>
      <c r="M105" s="225"/>
      <c r="N105" s="226"/>
      <c r="O105" s="226"/>
      <c r="P105" s="226"/>
      <c r="Q105" s="226"/>
      <c r="R105" s="181">
        <f t="shared" si="1"/>
        <v>0</v>
      </c>
      <c r="S105" s="223"/>
      <c r="T105" s="781"/>
      <c r="U105" s="781"/>
    </row>
    <row r="106" spans="1:21" ht="15.75" x14ac:dyDescent="0.25">
      <c r="A106" s="223"/>
      <c r="B106" s="281"/>
      <c r="C106" s="281"/>
      <c r="D106" s="281"/>
      <c r="E106" s="224"/>
      <c r="F106" s="224"/>
      <c r="G106" s="224"/>
      <c r="H106" s="192"/>
      <c r="I106" s="193"/>
      <c r="J106" s="240"/>
      <c r="K106" s="281"/>
      <c r="L106" s="225"/>
      <c r="M106" s="225"/>
      <c r="N106" s="226"/>
      <c r="O106" s="226"/>
      <c r="P106" s="226"/>
      <c r="Q106" s="226"/>
      <c r="R106" s="181">
        <f t="shared" si="1"/>
        <v>0</v>
      </c>
      <c r="S106" s="223"/>
      <c r="T106" s="781"/>
      <c r="U106" s="781"/>
    </row>
    <row r="107" spans="1:21" ht="15.75" x14ac:dyDescent="0.25">
      <c r="A107" s="223"/>
      <c r="B107" s="281"/>
      <c r="C107" s="281"/>
      <c r="D107" s="281"/>
      <c r="E107" s="224"/>
      <c r="F107" s="224"/>
      <c r="G107" s="224"/>
      <c r="H107" s="192"/>
      <c r="I107" s="193"/>
      <c r="J107" s="240"/>
      <c r="K107" s="281"/>
      <c r="L107" s="225"/>
      <c r="M107" s="225"/>
      <c r="N107" s="226"/>
      <c r="O107" s="226"/>
      <c r="P107" s="226"/>
      <c r="Q107" s="226"/>
      <c r="R107" s="181">
        <f t="shared" si="1"/>
        <v>0</v>
      </c>
      <c r="S107" s="223"/>
      <c r="T107" s="781"/>
      <c r="U107" s="781"/>
    </row>
    <row r="108" spans="1:21" ht="15.75" x14ac:dyDescent="0.25">
      <c r="A108" s="223"/>
      <c r="B108" s="281"/>
      <c r="C108" s="281"/>
      <c r="D108" s="281"/>
      <c r="E108" s="224"/>
      <c r="F108" s="224"/>
      <c r="G108" s="224"/>
      <c r="H108" s="192"/>
      <c r="I108" s="193"/>
      <c r="J108" s="240"/>
      <c r="K108" s="281"/>
      <c r="L108" s="225"/>
      <c r="M108" s="225"/>
      <c r="N108" s="226"/>
      <c r="O108" s="226"/>
      <c r="P108" s="226"/>
      <c r="Q108" s="226"/>
      <c r="R108" s="181">
        <f t="shared" si="1"/>
        <v>0</v>
      </c>
      <c r="S108" s="223"/>
      <c r="T108" s="781"/>
      <c r="U108" s="781"/>
    </row>
    <row r="109" spans="1:21" ht="15.75" x14ac:dyDescent="0.25">
      <c r="A109" s="223"/>
      <c r="B109" s="281"/>
      <c r="C109" s="281"/>
      <c r="D109" s="281"/>
      <c r="E109" s="224"/>
      <c r="F109" s="224"/>
      <c r="G109" s="224"/>
      <c r="H109" s="192"/>
      <c r="I109" s="193"/>
      <c r="J109" s="240"/>
      <c r="K109" s="281"/>
      <c r="L109" s="225"/>
      <c r="M109" s="225"/>
      <c r="N109" s="226"/>
      <c r="O109" s="226"/>
      <c r="P109" s="226"/>
      <c r="Q109" s="226"/>
      <c r="R109" s="181">
        <f t="shared" si="1"/>
        <v>0</v>
      </c>
      <c r="S109" s="223"/>
      <c r="T109" s="781"/>
      <c r="U109" s="781"/>
    </row>
    <row r="110" spans="1:21" ht="15.75" x14ac:dyDescent="0.25">
      <c r="A110" s="223"/>
      <c r="B110" s="281"/>
      <c r="C110" s="281"/>
      <c r="D110" s="281"/>
      <c r="E110" s="224"/>
      <c r="F110" s="224"/>
      <c r="G110" s="224"/>
      <c r="H110" s="192"/>
      <c r="I110" s="193"/>
      <c r="J110" s="240"/>
      <c r="K110" s="281"/>
      <c r="L110" s="225"/>
      <c r="M110" s="225"/>
      <c r="N110" s="226"/>
      <c r="O110" s="226"/>
      <c r="P110" s="226"/>
      <c r="Q110" s="226"/>
      <c r="R110" s="181">
        <f t="shared" si="1"/>
        <v>0</v>
      </c>
      <c r="S110" s="223"/>
      <c r="T110" s="781"/>
      <c r="U110" s="781"/>
    </row>
    <row r="111" spans="1:21" ht="15.75" x14ac:dyDescent="0.25">
      <c r="A111" s="223"/>
      <c r="B111" s="281"/>
      <c r="C111" s="281"/>
      <c r="D111" s="281"/>
      <c r="E111" s="224"/>
      <c r="F111" s="224"/>
      <c r="G111" s="224"/>
      <c r="H111" s="192"/>
      <c r="I111" s="193"/>
      <c r="J111" s="240"/>
      <c r="K111" s="281"/>
      <c r="L111" s="225"/>
      <c r="M111" s="225"/>
      <c r="N111" s="226"/>
      <c r="O111" s="226"/>
      <c r="P111" s="226"/>
      <c r="Q111" s="226"/>
      <c r="R111" s="181">
        <f t="shared" si="1"/>
        <v>0</v>
      </c>
      <c r="S111" s="223"/>
      <c r="T111" s="781"/>
      <c r="U111" s="781"/>
    </row>
    <row r="112" spans="1:21" ht="15.75" x14ac:dyDescent="0.25">
      <c r="A112" s="223"/>
      <c r="B112" s="281"/>
      <c r="C112" s="281"/>
      <c r="D112" s="281"/>
      <c r="E112" s="224"/>
      <c r="F112" s="224"/>
      <c r="G112" s="224"/>
      <c r="H112" s="192"/>
      <c r="I112" s="193"/>
      <c r="J112" s="240"/>
      <c r="K112" s="281"/>
      <c r="L112" s="225"/>
      <c r="M112" s="225"/>
      <c r="N112" s="226"/>
      <c r="O112" s="226"/>
      <c r="P112" s="226"/>
      <c r="Q112" s="226"/>
      <c r="R112" s="181">
        <f t="shared" si="1"/>
        <v>0</v>
      </c>
      <c r="S112" s="223"/>
      <c r="T112" s="781"/>
      <c r="U112" s="781"/>
    </row>
    <row r="113" spans="1:21" ht="15.75" x14ac:dyDescent="0.25">
      <c r="A113" s="223"/>
      <c r="B113" s="281"/>
      <c r="C113" s="281"/>
      <c r="D113" s="281"/>
      <c r="E113" s="224"/>
      <c r="F113" s="224"/>
      <c r="G113" s="224"/>
      <c r="H113" s="192"/>
      <c r="I113" s="193"/>
      <c r="J113" s="240"/>
      <c r="K113" s="281"/>
      <c r="L113" s="225"/>
      <c r="M113" s="225"/>
      <c r="N113" s="226"/>
      <c r="O113" s="226"/>
      <c r="P113" s="226"/>
      <c r="Q113" s="226"/>
      <c r="R113" s="181">
        <f t="shared" si="1"/>
        <v>0</v>
      </c>
      <c r="S113" s="223"/>
      <c r="T113" s="781"/>
      <c r="U113" s="781"/>
    </row>
    <row r="114" spans="1:21" ht="15.75" x14ac:dyDescent="0.25">
      <c r="A114" s="223"/>
      <c r="B114" s="281"/>
      <c r="C114" s="281"/>
      <c r="D114" s="281"/>
      <c r="E114" s="224"/>
      <c r="F114" s="224"/>
      <c r="G114" s="224"/>
      <c r="H114" s="192"/>
      <c r="I114" s="193"/>
      <c r="J114" s="240"/>
      <c r="K114" s="281"/>
      <c r="L114" s="225"/>
      <c r="M114" s="225"/>
      <c r="N114" s="226"/>
      <c r="O114" s="226"/>
      <c r="P114" s="226"/>
      <c r="Q114" s="226"/>
      <c r="R114" s="181">
        <f t="shared" si="1"/>
        <v>0</v>
      </c>
      <c r="S114" s="223"/>
      <c r="T114" s="781"/>
      <c r="U114" s="781"/>
    </row>
    <row r="115" spans="1:21" ht="15.75" x14ac:dyDescent="0.25">
      <c r="A115" s="223"/>
      <c r="B115" s="281"/>
      <c r="C115" s="281"/>
      <c r="D115" s="281"/>
      <c r="E115" s="224"/>
      <c r="F115" s="224"/>
      <c r="G115" s="224"/>
      <c r="H115" s="192"/>
      <c r="I115" s="193"/>
      <c r="J115" s="240"/>
      <c r="K115" s="281"/>
      <c r="L115" s="225"/>
      <c r="M115" s="225"/>
      <c r="N115" s="226"/>
      <c r="O115" s="226"/>
      <c r="P115" s="226"/>
      <c r="Q115" s="226"/>
      <c r="R115" s="181">
        <f t="shared" si="1"/>
        <v>0</v>
      </c>
      <c r="S115" s="223"/>
      <c r="T115" s="781"/>
      <c r="U115" s="781"/>
    </row>
    <row r="116" spans="1:21" ht="15.75" x14ac:dyDescent="0.25">
      <c r="A116" s="223"/>
      <c r="B116" s="281"/>
      <c r="C116" s="281"/>
      <c r="D116" s="281"/>
      <c r="E116" s="224"/>
      <c r="F116" s="224"/>
      <c r="G116" s="224"/>
      <c r="H116" s="192"/>
      <c r="I116" s="193"/>
      <c r="J116" s="240"/>
      <c r="K116" s="281"/>
      <c r="L116" s="225"/>
      <c r="M116" s="225"/>
      <c r="N116" s="226"/>
      <c r="O116" s="226"/>
      <c r="P116" s="226"/>
      <c r="Q116" s="226"/>
      <c r="R116" s="181">
        <f t="shared" si="1"/>
        <v>0</v>
      </c>
      <c r="S116" s="223"/>
      <c r="T116" s="781"/>
      <c r="U116" s="781"/>
    </row>
    <row r="117" spans="1:21" ht="15.75" x14ac:dyDescent="0.25">
      <c r="A117" s="223"/>
      <c r="B117" s="281"/>
      <c r="C117" s="281"/>
      <c r="D117" s="281"/>
      <c r="E117" s="224"/>
      <c r="F117" s="224"/>
      <c r="G117" s="224"/>
      <c r="H117" s="192"/>
      <c r="I117" s="193"/>
      <c r="J117" s="240"/>
      <c r="K117" s="281"/>
      <c r="L117" s="225"/>
      <c r="M117" s="225"/>
      <c r="N117" s="226"/>
      <c r="O117" s="226"/>
      <c r="P117" s="226"/>
      <c r="Q117" s="226"/>
      <c r="R117" s="181">
        <f t="shared" si="1"/>
        <v>0</v>
      </c>
      <c r="S117" s="223"/>
      <c r="T117" s="781"/>
      <c r="U117" s="781"/>
    </row>
    <row r="118" spans="1:21" ht="15.75" x14ac:dyDescent="0.25">
      <c r="A118" s="223"/>
      <c r="B118" s="281"/>
      <c r="C118" s="281"/>
      <c r="D118" s="281"/>
      <c r="E118" s="224"/>
      <c r="F118" s="224"/>
      <c r="G118" s="224"/>
      <c r="H118" s="192"/>
      <c r="I118" s="193"/>
      <c r="J118" s="240"/>
      <c r="K118" s="281"/>
      <c r="L118" s="225"/>
      <c r="M118" s="225"/>
      <c r="N118" s="226"/>
      <c r="O118" s="226"/>
      <c r="P118" s="226"/>
      <c r="Q118" s="226"/>
      <c r="R118" s="181">
        <f t="shared" si="1"/>
        <v>0</v>
      </c>
      <c r="S118" s="223"/>
      <c r="T118" s="781"/>
      <c r="U118" s="781"/>
    </row>
    <row r="119" spans="1:21" ht="15.75" x14ac:dyDescent="0.25">
      <c r="A119" s="223"/>
      <c r="B119" s="281"/>
      <c r="C119" s="281"/>
      <c r="D119" s="281"/>
      <c r="E119" s="224"/>
      <c r="F119" s="224"/>
      <c r="G119" s="224"/>
      <c r="H119" s="192"/>
      <c r="I119" s="193"/>
      <c r="J119" s="240"/>
      <c r="K119" s="281"/>
      <c r="L119" s="225"/>
      <c r="M119" s="225"/>
      <c r="N119" s="226"/>
      <c r="O119" s="226"/>
      <c r="P119" s="226"/>
      <c r="Q119" s="226"/>
      <c r="R119" s="181">
        <f t="shared" si="1"/>
        <v>0</v>
      </c>
      <c r="S119" s="223"/>
      <c r="T119" s="781"/>
      <c r="U119" s="781"/>
    </row>
    <row r="120" spans="1:21" ht="15.75" x14ac:dyDescent="0.25">
      <c r="A120" s="223"/>
      <c r="B120" s="281"/>
      <c r="C120" s="281"/>
      <c r="D120" s="281"/>
      <c r="E120" s="224"/>
      <c r="F120" s="224"/>
      <c r="G120" s="224"/>
      <c r="H120" s="192"/>
      <c r="I120" s="193"/>
      <c r="J120" s="240"/>
      <c r="K120" s="281"/>
      <c r="L120" s="225"/>
      <c r="M120" s="225"/>
      <c r="N120" s="226"/>
      <c r="O120" s="226"/>
      <c r="P120" s="226"/>
      <c r="Q120" s="226"/>
      <c r="R120" s="181">
        <f t="shared" si="1"/>
        <v>0</v>
      </c>
      <c r="S120" s="223"/>
      <c r="T120" s="781"/>
      <c r="U120" s="781"/>
    </row>
    <row r="121" spans="1:21" ht="15.75" x14ac:dyDescent="0.25">
      <c r="A121" s="223"/>
      <c r="B121" s="281"/>
      <c r="C121" s="281"/>
      <c r="D121" s="281"/>
      <c r="E121" s="224"/>
      <c r="F121" s="224"/>
      <c r="G121" s="224"/>
      <c r="H121" s="192"/>
      <c r="I121" s="193"/>
      <c r="J121" s="240"/>
      <c r="K121" s="281"/>
      <c r="L121" s="225"/>
      <c r="M121" s="225"/>
      <c r="N121" s="226"/>
      <c r="O121" s="226"/>
      <c r="P121" s="226"/>
      <c r="Q121" s="226"/>
      <c r="R121" s="181">
        <f t="shared" si="1"/>
        <v>0</v>
      </c>
      <c r="S121" s="223"/>
      <c r="T121" s="781"/>
      <c r="U121" s="781"/>
    </row>
    <row r="122" spans="1:21" ht="15.75" x14ac:dyDescent="0.25">
      <c r="A122" s="223"/>
      <c r="B122" s="281"/>
      <c r="C122" s="281"/>
      <c r="D122" s="281"/>
      <c r="E122" s="224"/>
      <c r="F122" s="224"/>
      <c r="G122" s="224"/>
      <c r="H122" s="192"/>
      <c r="I122" s="193"/>
      <c r="J122" s="240"/>
      <c r="K122" s="281"/>
      <c r="L122" s="225"/>
      <c r="M122" s="225"/>
      <c r="N122" s="226"/>
      <c r="O122" s="226"/>
      <c r="P122" s="226"/>
      <c r="Q122" s="226"/>
      <c r="R122" s="181">
        <f t="shared" si="1"/>
        <v>0</v>
      </c>
      <c r="S122" s="223"/>
      <c r="T122" s="781"/>
      <c r="U122" s="781"/>
    </row>
    <row r="123" spans="1:21" ht="15.75" x14ac:dyDescent="0.25">
      <c r="A123" s="223"/>
      <c r="B123" s="281"/>
      <c r="C123" s="281"/>
      <c r="D123" s="281"/>
      <c r="E123" s="224"/>
      <c r="F123" s="224"/>
      <c r="G123" s="224"/>
      <c r="H123" s="192"/>
      <c r="I123" s="193"/>
      <c r="J123" s="240"/>
      <c r="K123" s="281"/>
      <c r="L123" s="225"/>
      <c r="M123" s="225"/>
      <c r="N123" s="226"/>
      <c r="O123" s="226"/>
      <c r="P123" s="226"/>
      <c r="Q123" s="226"/>
      <c r="R123" s="181">
        <f t="shared" si="1"/>
        <v>0</v>
      </c>
      <c r="S123" s="223"/>
      <c r="T123" s="781"/>
      <c r="U123" s="781"/>
    </row>
    <row r="124" spans="1:21" ht="15.75" x14ac:dyDescent="0.25">
      <c r="A124" s="223"/>
      <c r="B124" s="281"/>
      <c r="C124" s="281"/>
      <c r="D124" s="281"/>
      <c r="E124" s="224"/>
      <c r="F124" s="224"/>
      <c r="G124" s="224"/>
      <c r="H124" s="192"/>
      <c r="I124" s="193"/>
      <c r="J124" s="240"/>
      <c r="K124" s="281"/>
      <c r="L124" s="225"/>
      <c r="M124" s="225"/>
      <c r="N124" s="226"/>
      <c r="O124" s="226"/>
      <c r="P124" s="226"/>
      <c r="Q124" s="226"/>
      <c r="R124" s="181">
        <f t="shared" si="1"/>
        <v>0</v>
      </c>
      <c r="S124" s="223"/>
      <c r="T124" s="781"/>
      <c r="U124" s="781"/>
    </row>
    <row r="125" spans="1:21" ht="15.75" x14ac:dyDescent="0.25">
      <c r="A125" s="223"/>
      <c r="B125" s="281"/>
      <c r="C125" s="281"/>
      <c r="D125" s="281"/>
      <c r="E125" s="224"/>
      <c r="F125" s="224"/>
      <c r="G125" s="224"/>
      <c r="H125" s="192"/>
      <c r="I125" s="193"/>
      <c r="J125" s="240"/>
      <c r="K125" s="281"/>
      <c r="L125" s="225"/>
      <c r="M125" s="225"/>
      <c r="N125" s="226"/>
      <c r="O125" s="226"/>
      <c r="P125" s="226"/>
      <c r="Q125" s="226"/>
      <c r="R125" s="181">
        <f t="shared" si="1"/>
        <v>0</v>
      </c>
      <c r="S125" s="223"/>
      <c r="T125" s="781"/>
      <c r="U125" s="781"/>
    </row>
    <row r="126" spans="1:21" ht="15.75" x14ac:dyDescent="0.25">
      <c r="A126" s="223"/>
      <c r="B126" s="281"/>
      <c r="C126" s="281"/>
      <c r="D126" s="281"/>
      <c r="E126" s="224"/>
      <c r="F126" s="224"/>
      <c r="G126" s="224"/>
      <c r="H126" s="192"/>
      <c r="I126" s="193"/>
      <c r="J126" s="240"/>
      <c r="K126" s="281"/>
      <c r="L126" s="225"/>
      <c r="M126" s="225"/>
      <c r="N126" s="226"/>
      <c r="O126" s="226"/>
      <c r="P126" s="226"/>
      <c r="Q126" s="226"/>
      <c r="R126" s="181">
        <f t="shared" si="1"/>
        <v>0</v>
      </c>
      <c r="S126" s="223"/>
      <c r="T126" s="781"/>
      <c r="U126" s="781"/>
    </row>
    <row r="127" spans="1:21" ht="15.75" x14ac:dyDescent="0.25">
      <c r="A127" s="223"/>
      <c r="B127" s="281"/>
      <c r="C127" s="281"/>
      <c r="D127" s="281"/>
      <c r="E127" s="224"/>
      <c r="F127" s="224"/>
      <c r="G127" s="224"/>
      <c r="H127" s="192"/>
      <c r="I127" s="193"/>
      <c r="J127" s="240"/>
      <c r="K127" s="281"/>
      <c r="L127" s="225"/>
      <c r="M127" s="225"/>
      <c r="N127" s="226"/>
      <c r="O127" s="226"/>
      <c r="P127" s="226"/>
      <c r="Q127" s="226"/>
      <c r="R127" s="181">
        <f t="shared" si="1"/>
        <v>0</v>
      </c>
      <c r="S127" s="223"/>
      <c r="T127" s="781"/>
      <c r="U127" s="781"/>
    </row>
    <row r="128" spans="1:21" ht="15.75" x14ac:dyDescent="0.25">
      <c r="A128" s="223"/>
      <c r="B128" s="281"/>
      <c r="C128" s="281"/>
      <c r="D128" s="281"/>
      <c r="E128" s="224"/>
      <c r="F128" s="224"/>
      <c r="G128" s="224"/>
      <c r="H128" s="192"/>
      <c r="I128" s="193"/>
      <c r="J128" s="240"/>
      <c r="K128" s="281"/>
      <c r="L128" s="225"/>
      <c r="M128" s="225"/>
      <c r="N128" s="226"/>
      <c r="O128" s="226"/>
      <c r="P128" s="226"/>
      <c r="Q128" s="226"/>
      <c r="R128" s="181">
        <f t="shared" si="1"/>
        <v>0</v>
      </c>
      <c r="S128" s="223"/>
      <c r="T128" s="781"/>
      <c r="U128" s="781"/>
    </row>
    <row r="129" spans="1:21" ht="15.75" x14ac:dyDescent="0.25">
      <c r="A129" s="223"/>
      <c r="B129" s="281"/>
      <c r="C129" s="281"/>
      <c r="D129" s="281"/>
      <c r="E129" s="224"/>
      <c r="F129" s="224"/>
      <c r="G129" s="224"/>
      <c r="H129" s="192"/>
      <c r="I129" s="193"/>
      <c r="J129" s="240"/>
      <c r="K129" s="281"/>
      <c r="L129" s="225"/>
      <c r="M129" s="225"/>
      <c r="N129" s="226"/>
      <c r="O129" s="226"/>
      <c r="P129" s="226"/>
      <c r="Q129" s="226"/>
      <c r="R129" s="181">
        <f t="shared" si="1"/>
        <v>0</v>
      </c>
      <c r="S129" s="223"/>
      <c r="T129" s="781"/>
      <c r="U129" s="781"/>
    </row>
    <row r="130" spans="1:21" ht="15.75" x14ac:dyDescent="0.25">
      <c r="A130" s="223"/>
      <c r="B130" s="281"/>
      <c r="C130" s="281"/>
      <c r="D130" s="281"/>
      <c r="E130" s="224"/>
      <c r="F130" s="224"/>
      <c r="G130" s="224"/>
      <c r="H130" s="192"/>
      <c r="I130" s="193"/>
      <c r="J130" s="240"/>
      <c r="K130" s="281"/>
      <c r="L130" s="225"/>
      <c r="M130" s="225"/>
      <c r="N130" s="226"/>
      <c r="O130" s="226"/>
      <c r="P130" s="226"/>
      <c r="Q130" s="226"/>
      <c r="R130" s="181">
        <f t="shared" si="1"/>
        <v>0</v>
      </c>
      <c r="S130" s="223"/>
      <c r="T130" s="781"/>
      <c r="U130" s="781"/>
    </row>
    <row r="131" spans="1:21" ht="15.75" x14ac:dyDescent="0.25">
      <c r="A131" s="223"/>
      <c r="B131" s="281"/>
      <c r="C131" s="281"/>
      <c r="D131" s="281"/>
      <c r="E131" s="224"/>
      <c r="F131" s="224"/>
      <c r="G131" s="224"/>
      <c r="H131" s="192"/>
      <c r="I131" s="193"/>
      <c r="J131" s="240"/>
      <c r="K131" s="281"/>
      <c r="L131" s="225"/>
      <c r="M131" s="225"/>
      <c r="N131" s="226"/>
      <c r="O131" s="226"/>
      <c r="P131" s="226"/>
      <c r="Q131" s="226"/>
      <c r="R131" s="181">
        <f t="shared" si="1"/>
        <v>0</v>
      </c>
      <c r="S131" s="223"/>
      <c r="T131" s="781"/>
      <c r="U131" s="781"/>
    </row>
    <row r="132" spans="1:21" ht="15.75" x14ac:dyDescent="0.25">
      <c r="A132" s="223"/>
      <c r="B132" s="281"/>
      <c r="C132" s="281"/>
      <c r="D132" s="281"/>
      <c r="E132" s="224"/>
      <c r="F132" s="224"/>
      <c r="G132" s="224"/>
      <c r="H132" s="192"/>
      <c r="I132" s="193"/>
      <c r="J132" s="240"/>
      <c r="K132" s="281"/>
      <c r="L132" s="225"/>
      <c r="M132" s="225"/>
      <c r="N132" s="226"/>
      <c r="O132" s="226"/>
      <c r="P132" s="226"/>
      <c r="Q132" s="226"/>
      <c r="R132" s="181">
        <f t="shared" si="1"/>
        <v>0</v>
      </c>
      <c r="S132" s="223"/>
      <c r="T132" s="781"/>
      <c r="U132" s="781"/>
    </row>
    <row r="133" spans="1:21" ht="15.75" x14ac:dyDescent="0.25">
      <c r="A133" s="223"/>
      <c r="B133" s="281"/>
      <c r="C133" s="281"/>
      <c r="D133" s="281"/>
      <c r="E133" s="224"/>
      <c r="F133" s="224"/>
      <c r="G133" s="224"/>
      <c r="H133" s="192"/>
      <c r="I133" s="193"/>
      <c r="J133" s="240"/>
      <c r="K133" s="281"/>
      <c r="L133" s="225"/>
      <c r="M133" s="225"/>
      <c r="N133" s="226"/>
      <c r="O133" s="226"/>
      <c r="P133" s="226"/>
      <c r="Q133" s="226"/>
      <c r="R133" s="181">
        <f t="shared" si="1"/>
        <v>0</v>
      </c>
      <c r="S133" s="223"/>
      <c r="T133" s="781"/>
      <c r="U133" s="781"/>
    </row>
    <row r="134" spans="1:21" ht="15.75" x14ac:dyDescent="0.25">
      <c r="A134" s="223"/>
      <c r="B134" s="281"/>
      <c r="C134" s="281"/>
      <c r="D134" s="281"/>
      <c r="E134" s="224"/>
      <c r="F134" s="224"/>
      <c r="G134" s="224"/>
      <c r="H134" s="192"/>
      <c r="I134" s="193"/>
      <c r="J134" s="240"/>
      <c r="K134" s="281"/>
      <c r="L134" s="225"/>
      <c r="M134" s="225"/>
      <c r="N134" s="226"/>
      <c r="O134" s="226"/>
      <c r="P134" s="226"/>
      <c r="Q134" s="226"/>
      <c r="R134" s="181">
        <f t="shared" si="1"/>
        <v>0</v>
      </c>
      <c r="S134" s="223"/>
      <c r="T134" s="781"/>
      <c r="U134" s="781"/>
    </row>
    <row r="135" spans="1:21" ht="15.75" x14ac:dyDescent="0.25">
      <c r="A135" s="223"/>
      <c r="B135" s="281"/>
      <c r="C135" s="281"/>
      <c r="D135" s="281"/>
      <c r="E135" s="224"/>
      <c r="F135" s="224"/>
      <c r="G135" s="224"/>
      <c r="H135" s="192"/>
      <c r="I135" s="193"/>
      <c r="J135" s="240"/>
      <c r="K135" s="281"/>
      <c r="L135" s="225"/>
      <c r="M135" s="225"/>
      <c r="N135" s="226"/>
      <c r="O135" s="226"/>
      <c r="P135" s="226"/>
      <c r="Q135" s="226"/>
      <c r="R135" s="181">
        <f t="shared" ref="R135:R198" si="2">SUM(N135:Q135)</f>
        <v>0</v>
      </c>
      <c r="S135" s="223"/>
      <c r="T135" s="781"/>
      <c r="U135" s="781"/>
    </row>
    <row r="136" spans="1:21" ht="15.75" x14ac:dyDescent="0.25">
      <c r="A136" s="223"/>
      <c r="B136" s="281"/>
      <c r="C136" s="281"/>
      <c r="D136" s="281"/>
      <c r="E136" s="224"/>
      <c r="F136" s="224"/>
      <c r="G136" s="224"/>
      <c r="H136" s="192"/>
      <c r="I136" s="193"/>
      <c r="J136" s="240"/>
      <c r="K136" s="281"/>
      <c r="L136" s="225"/>
      <c r="M136" s="225"/>
      <c r="N136" s="226"/>
      <c r="O136" s="226"/>
      <c r="P136" s="226"/>
      <c r="Q136" s="226"/>
      <c r="R136" s="181">
        <f t="shared" si="2"/>
        <v>0</v>
      </c>
      <c r="S136" s="223"/>
      <c r="T136" s="781"/>
      <c r="U136" s="781"/>
    </row>
    <row r="137" spans="1:21" ht="15.75" x14ac:dyDescent="0.25">
      <c r="A137" s="223"/>
      <c r="B137" s="281"/>
      <c r="C137" s="281"/>
      <c r="D137" s="281"/>
      <c r="E137" s="224"/>
      <c r="F137" s="224"/>
      <c r="G137" s="224"/>
      <c r="H137" s="192"/>
      <c r="I137" s="193"/>
      <c r="J137" s="240"/>
      <c r="K137" s="281"/>
      <c r="L137" s="225"/>
      <c r="M137" s="225"/>
      <c r="N137" s="226"/>
      <c r="O137" s="226"/>
      <c r="P137" s="226"/>
      <c r="Q137" s="226"/>
      <c r="R137" s="181">
        <f t="shared" si="2"/>
        <v>0</v>
      </c>
      <c r="S137" s="223"/>
      <c r="T137" s="781"/>
      <c r="U137" s="781"/>
    </row>
    <row r="138" spans="1:21" ht="15.75" x14ac:dyDescent="0.25">
      <c r="A138" s="223"/>
      <c r="B138" s="281"/>
      <c r="C138" s="281"/>
      <c r="D138" s="281"/>
      <c r="E138" s="224"/>
      <c r="F138" s="224"/>
      <c r="G138" s="224"/>
      <c r="H138" s="192"/>
      <c r="I138" s="193"/>
      <c r="J138" s="240"/>
      <c r="K138" s="281"/>
      <c r="L138" s="225"/>
      <c r="M138" s="225"/>
      <c r="N138" s="226"/>
      <c r="O138" s="226"/>
      <c r="P138" s="226"/>
      <c r="Q138" s="226"/>
      <c r="R138" s="181">
        <f t="shared" si="2"/>
        <v>0</v>
      </c>
      <c r="S138" s="223"/>
      <c r="T138" s="781"/>
      <c r="U138" s="781"/>
    </row>
    <row r="139" spans="1:21" ht="15.75" x14ac:dyDescent="0.25">
      <c r="A139" s="223"/>
      <c r="B139" s="281"/>
      <c r="C139" s="281"/>
      <c r="D139" s="281"/>
      <c r="E139" s="224"/>
      <c r="F139" s="224"/>
      <c r="G139" s="224"/>
      <c r="H139" s="192"/>
      <c r="I139" s="193"/>
      <c r="J139" s="240"/>
      <c r="K139" s="281"/>
      <c r="L139" s="225"/>
      <c r="M139" s="225"/>
      <c r="N139" s="226"/>
      <c r="O139" s="226"/>
      <c r="P139" s="226"/>
      <c r="Q139" s="226"/>
      <c r="R139" s="181">
        <f t="shared" si="2"/>
        <v>0</v>
      </c>
      <c r="S139" s="223"/>
      <c r="T139" s="781"/>
      <c r="U139" s="781"/>
    </row>
    <row r="140" spans="1:21" ht="15.75" x14ac:dyDescent="0.25">
      <c r="A140" s="223"/>
      <c r="B140" s="281"/>
      <c r="C140" s="281"/>
      <c r="D140" s="281"/>
      <c r="E140" s="224"/>
      <c r="F140" s="224"/>
      <c r="G140" s="224"/>
      <c r="H140" s="192"/>
      <c r="I140" s="193"/>
      <c r="J140" s="240"/>
      <c r="K140" s="281"/>
      <c r="L140" s="225"/>
      <c r="M140" s="225"/>
      <c r="N140" s="226"/>
      <c r="O140" s="226"/>
      <c r="P140" s="226"/>
      <c r="Q140" s="226"/>
      <c r="R140" s="181">
        <f t="shared" si="2"/>
        <v>0</v>
      </c>
      <c r="S140" s="223"/>
      <c r="T140" s="781"/>
      <c r="U140" s="781"/>
    </row>
    <row r="141" spans="1:21" ht="15.75" x14ac:dyDescent="0.25">
      <c r="A141" s="223"/>
      <c r="B141" s="281"/>
      <c r="C141" s="281"/>
      <c r="D141" s="281"/>
      <c r="E141" s="224"/>
      <c r="F141" s="224"/>
      <c r="G141" s="224"/>
      <c r="H141" s="192"/>
      <c r="I141" s="193"/>
      <c r="J141" s="240"/>
      <c r="K141" s="281"/>
      <c r="L141" s="225"/>
      <c r="M141" s="225"/>
      <c r="N141" s="226"/>
      <c r="O141" s="226"/>
      <c r="P141" s="226"/>
      <c r="Q141" s="226"/>
      <c r="R141" s="181">
        <f t="shared" si="2"/>
        <v>0</v>
      </c>
      <c r="S141" s="223"/>
      <c r="T141" s="781"/>
      <c r="U141" s="781"/>
    </row>
    <row r="142" spans="1:21" ht="15.75" x14ac:dyDescent="0.25">
      <c r="A142" s="223"/>
      <c r="B142" s="281"/>
      <c r="C142" s="281"/>
      <c r="D142" s="281"/>
      <c r="E142" s="224"/>
      <c r="F142" s="224"/>
      <c r="G142" s="224"/>
      <c r="H142" s="192"/>
      <c r="I142" s="193"/>
      <c r="J142" s="240"/>
      <c r="K142" s="281"/>
      <c r="L142" s="225"/>
      <c r="M142" s="225"/>
      <c r="N142" s="226"/>
      <c r="O142" s="226"/>
      <c r="P142" s="226"/>
      <c r="Q142" s="226"/>
      <c r="R142" s="181">
        <f t="shared" si="2"/>
        <v>0</v>
      </c>
      <c r="S142" s="223"/>
      <c r="T142" s="781"/>
      <c r="U142" s="781"/>
    </row>
    <row r="143" spans="1:21" ht="15.75" x14ac:dyDescent="0.25">
      <c r="A143" s="223"/>
      <c r="B143" s="281"/>
      <c r="C143" s="281"/>
      <c r="D143" s="281"/>
      <c r="E143" s="224"/>
      <c r="F143" s="224"/>
      <c r="G143" s="224"/>
      <c r="H143" s="192"/>
      <c r="I143" s="193"/>
      <c r="J143" s="240"/>
      <c r="K143" s="281"/>
      <c r="L143" s="225"/>
      <c r="M143" s="225"/>
      <c r="N143" s="226"/>
      <c r="O143" s="226"/>
      <c r="P143" s="226"/>
      <c r="Q143" s="226"/>
      <c r="R143" s="181">
        <f t="shared" si="2"/>
        <v>0</v>
      </c>
      <c r="S143" s="223"/>
      <c r="T143" s="781"/>
      <c r="U143" s="781"/>
    </row>
    <row r="144" spans="1:21" ht="15.75" x14ac:dyDescent="0.25">
      <c r="A144" s="223"/>
      <c r="B144" s="281"/>
      <c r="C144" s="281"/>
      <c r="D144" s="281"/>
      <c r="E144" s="224"/>
      <c r="F144" s="224"/>
      <c r="G144" s="224"/>
      <c r="H144" s="192"/>
      <c r="I144" s="193"/>
      <c r="J144" s="240"/>
      <c r="K144" s="281"/>
      <c r="L144" s="225"/>
      <c r="M144" s="225"/>
      <c r="N144" s="226"/>
      <c r="O144" s="226"/>
      <c r="P144" s="226"/>
      <c r="Q144" s="226"/>
      <c r="R144" s="181">
        <f t="shared" si="2"/>
        <v>0</v>
      </c>
      <c r="S144" s="223"/>
      <c r="T144" s="781"/>
      <c r="U144" s="781"/>
    </row>
    <row r="145" spans="1:21" ht="15.75" x14ac:dyDescent="0.25">
      <c r="A145" s="223"/>
      <c r="B145" s="281"/>
      <c r="C145" s="281"/>
      <c r="D145" s="281"/>
      <c r="E145" s="224"/>
      <c r="F145" s="224"/>
      <c r="G145" s="224"/>
      <c r="H145" s="192"/>
      <c r="I145" s="193"/>
      <c r="J145" s="240"/>
      <c r="K145" s="281"/>
      <c r="L145" s="225"/>
      <c r="M145" s="225"/>
      <c r="N145" s="226"/>
      <c r="O145" s="226"/>
      <c r="P145" s="226"/>
      <c r="Q145" s="226"/>
      <c r="R145" s="181">
        <f t="shared" si="2"/>
        <v>0</v>
      </c>
      <c r="S145" s="223"/>
      <c r="T145" s="781"/>
      <c r="U145" s="781"/>
    </row>
    <row r="146" spans="1:21" ht="15.75" x14ac:dyDescent="0.25">
      <c r="A146" s="223"/>
      <c r="B146" s="281"/>
      <c r="C146" s="281"/>
      <c r="D146" s="281"/>
      <c r="E146" s="224"/>
      <c r="F146" s="224"/>
      <c r="G146" s="224"/>
      <c r="H146" s="192"/>
      <c r="I146" s="193"/>
      <c r="J146" s="240"/>
      <c r="K146" s="281"/>
      <c r="L146" s="225"/>
      <c r="M146" s="225"/>
      <c r="N146" s="226"/>
      <c r="O146" s="226"/>
      <c r="P146" s="226"/>
      <c r="Q146" s="226"/>
      <c r="R146" s="181">
        <f t="shared" si="2"/>
        <v>0</v>
      </c>
      <c r="S146" s="223"/>
      <c r="T146" s="781"/>
      <c r="U146" s="781"/>
    </row>
    <row r="147" spans="1:21" ht="15.75" x14ac:dyDescent="0.25">
      <c r="A147" s="223"/>
      <c r="B147" s="281"/>
      <c r="C147" s="281"/>
      <c r="D147" s="281"/>
      <c r="E147" s="224"/>
      <c r="F147" s="224"/>
      <c r="G147" s="224"/>
      <c r="H147" s="192"/>
      <c r="I147" s="193"/>
      <c r="J147" s="240"/>
      <c r="K147" s="281"/>
      <c r="L147" s="225"/>
      <c r="M147" s="225"/>
      <c r="N147" s="226"/>
      <c r="O147" s="226"/>
      <c r="P147" s="226"/>
      <c r="Q147" s="226"/>
      <c r="R147" s="181">
        <f t="shared" si="2"/>
        <v>0</v>
      </c>
      <c r="S147" s="223"/>
      <c r="T147" s="781"/>
      <c r="U147" s="781"/>
    </row>
    <row r="148" spans="1:21" ht="15.75" x14ac:dyDescent="0.25">
      <c r="A148" s="223"/>
      <c r="B148" s="281"/>
      <c r="C148" s="281"/>
      <c r="D148" s="281"/>
      <c r="E148" s="224"/>
      <c r="F148" s="224"/>
      <c r="G148" s="224"/>
      <c r="H148" s="192"/>
      <c r="I148" s="193"/>
      <c r="J148" s="240"/>
      <c r="K148" s="281"/>
      <c r="L148" s="225"/>
      <c r="M148" s="225"/>
      <c r="N148" s="226"/>
      <c r="O148" s="226"/>
      <c r="P148" s="226"/>
      <c r="Q148" s="226"/>
      <c r="R148" s="181">
        <f t="shared" si="2"/>
        <v>0</v>
      </c>
      <c r="S148" s="223"/>
      <c r="T148" s="781"/>
      <c r="U148" s="781"/>
    </row>
    <row r="149" spans="1:21" ht="15.75" x14ac:dyDescent="0.25">
      <c r="A149" s="223"/>
      <c r="B149" s="281"/>
      <c r="C149" s="281"/>
      <c r="D149" s="281"/>
      <c r="E149" s="224"/>
      <c r="F149" s="224"/>
      <c r="G149" s="224"/>
      <c r="H149" s="192"/>
      <c r="I149" s="193"/>
      <c r="J149" s="240"/>
      <c r="K149" s="281"/>
      <c r="L149" s="225"/>
      <c r="M149" s="225"/>
      <c r="N149" s="226"/>
      <c r="O149" s="226"/>
      <c r="P149" s="226"/>
      <c r="Q149" s="226"/>
      <c r="R149" s="181">
        <f t="shared" si="2"/>
        <v>0</v>
      </c>
      <c r="S149" s="223"/>
      <c r="T149" s="781"/>
      <c r="U149" s="781"/>
    </row>
    <row r="150" spans="1:21" ht="15.75" x14ac:dyDescent="0.25">
      <c r="A150" s="223"/>
      <c r="B150" s="281"/>
      <c r="C150" s="281"/>
      <c r="D150" s="281"/>
      <c r="E150" s="224"/>
      <c r="F150" s="224"/>
      <c r="G150" s="224"/>
      <c r="H150" s="192"/>
      <c r="I150" s="193"/>
      <c r="J150" s="240"/>
      <c r="K150" s="281"/>
      <c r="L150" s="225"/>
      <c r="M150" s="225"/>
      <c r="N150" s="226"/>
      <c r="O150" s="226"/>
      <c r="P150" s="226"/>
      <c r="Q150" s="226"/>
      <c r="R150" s="181">
        <f t="shared" si="2"/>
        <v>0</v>
      </c>
      <c r="S150" s="223"/>
      <c r="T150" s="781"/>
      <c r="U150" s="781"/>
    </row>
    <row r="151" spans="1:21" ht="15.75" x14ac:dyDescent="0.25">
      <c r="A151" s="223"/>
      <c r="B151" s="281"/>
      <c r="C151" s="281"/>
      <c r="D151" s="281"/>
      <c r="E151" s="224"/>
      <c r="F151" s="224"/>
      <c r="G151" s="224"/>
      <c r="H151" s="192"/>
      <c r="I151" s="193"/>
      <c r="J151" s="240"/>
      <c r="K151" s="281"/>
      <c r="L151" s="225"/>
      <c r="M151" s="225"/>
      <c r="N151" s="226"/>
      <c r="O151" s="226"/>
      <c r="P151" s="226"/>
      <c r="Q151" s="226"/>
      <c r="R151" s="181">
        <f t="shared" si="2"/>
        <v>0</v>
      </c>
      <c r="S151" s="223"/>
      <c r="T151" s="781"/>
      <c r="U151" s="781"/>
    </row>
    <row r="152" spans="1:21" ht="15.75" x14ac:dyDescent="0.25">
      <c r="A152" s="223"/>
      <c r="B152" s="281"/>
      <c r="C152" s="281"/>
      <c r="D152" s="281"/>
      <c r="E152" s="224"/>
      <c r="F152" s="224"/>
      <c r="G152" s="224"/>
      <c r="H152" s="192"/>
      <c r="I152" s="193"/>
      <c r="J152" s="240"/>
      <c r="K152" s="281"/>
      <c r="L152" s="225"/>
      <c r="M152" s="225"/>
      <c r="N152" s="226"/>
      <c r="O152" s="226"/>
      <c r="P152" s="226"/>
      <c r="Q152" s="226"/>
      <c r="R152" s="181">
        <f t="shared" si="2"/>
        <v>0</v>
      </c>
      <c r="S152" s="223"/>
      <c r="T152" s="781"/>
      <c r="U152" s="781"/>
    </row>
    <row r="153" spans="1:21" ht="15.75" x14ac:dyDescent="0.25">
      <c r="A153" s="223"/>
      <c r="B153" s="281"/>
      <c r="C153" s="281"/>
      <c r="D153" s="281"/>
      <c r="E153" s="224"/>
      <c r="F153" s="224"/>
      <c r="G153" s="224"/>
      <c r="H153" s="192"/>
      <c r="I153" s="193"/>
      <c r="J153" s="240"/>
      <c r="K153" s="281"/>
      <c r="L153" s="225"/>
      <c r="M153" s="225"/>
      <c r="N153" s="226"/>
      <c r="O153" s="226"/>
      <c r="P153" s="226"/>
      <c r="Q153" s="226"/>
      <c r="R153" s="181">
        <f t="shared" si="2"/>
        <v>0</v>
      </c>
      <c r="S153" s="223"/>
      <c r="T153" s="781"/>
      <c r="U153" s="781"/>
    </row>
    <row r="154" spans="1:21" ht="15.75" x14ac:dyDescent="0.25">
      <c r="A154" s="223"/>
      <c r="B154" s="281"/>
      <c r="C154" s="281"/>
      <c r="D154" s="281"/>
      <c r="E154" s="224"/>
      <c r="F154" s="224"/>
      <c r="G154" s="224"/>
      <c r="H154" s="192"/>
      <c r="I154" s="193"/>
      <c r="J154" s="240"/>
      <c r="K154" s="281"/>
      <c r="L154" s="225"/>
      <c r="M154" s="225"/>
      <c r="N154" s="226"/>
      <c r="O154" s="226"/>
      <c r="P154" s="226"/>
      <c r="Q154" s="226"/>
      <c r="R154" s="181">
        <f t="shared" si="2"/>
        <v>0</v>
      </c>
      <c r="S154" s="223"/>
      <c r="T154" s="781"/>
      <c r="U154" s="781"/>
    </row>
    <row r="155" spans="1:21" ht="15.75" x14ac:dyDescent="0.25">
      <c r="A155" s="223"/>
      <c r="B155" s="281"/>
      <c r="C155" s="281"/>
      <c r="D155" s="281"/>
      <c r="E155" s="224"/>
      <c r="F155" s="224"/>
      <c r="G155" s="224"/>
      <c r="H155" s="192"/>
      <c r="I155" s="193"/>
      <c r="J155" s="240"/>
      <c r="K155" s="281"/>
      <c r="L155" s="225"/>
      <c r="M155" s="225"/>
      <c r="N155" s="226"/>
      <c r="O155" s="226"/>
      <c r="P155" s="226"/>
      <c r="Q155" s="226"/>
      <c r="R155" s="181">
        <f t="shared" si="2"/>
        <v>0</v>
      </c>
      <c r="S155" s="223"/>
      <c r="T155" s="781"/>
      <c r="U155" s="781"/>
    </row>
    <row r="156" spans="1:21" ht="15.75" x14ac:dyDescent="0.25">
      <c r="A156" s="223"/>
      <c r="B156" s="281"/>
      <c r="C156" s="281"/>
      <c r="D156" s="281"/>
      <c r="E156" s="224"/>
      <c r="F156" s="224"/>
      <c r="G156" s="224"/>
      <c r="H156" s="192"/>
      <c r="I156" s="193"/>
      <c r="J156" s="240"/>
      <c r="K156" s="281"/>
      <c r="L156" s="225"/>
      <c r="M156" s="225"/>
      <c r="N156" s="226"/>
      <c r="O156" s="226"/>
      <c r="P156" s="226"/>
      <c r="Q156" s="226"/>
      <c r="R156" s="181">
        <f t="shared" si="2"/>
        <v>0</v>
      </c>
      <c r="S156" s="223"/>
      <c r="T156" s="781"/>
      <c r="U156" s="781"/>
    </row>
    <row r="157" spans="1:21" ht="15.75" x14ac:dyDescent="0.25">
      <c r="A157" s="223"/>
      <c r="B157" s="281"/>
      <c r="C157" s="281"/>
      <c r="D157" s="281"/>
      <c r="E157" s="224"/>
      <c r="F157" s="224"/>
      <c r="G157" s="224"/>
      <c r="H157" s="192"/>
      <c r="I157" s="193"/>
      <c r="J157" s="240"/>
      <c r="K157" s="281"/>
      <c r="L157" s="225"/>
      <c r="M157" s="225"/>
      <c r="N157" s="226"/>
      <c r="O157" s="226"/>
      <c r="P157" s="226"/>
      <c r="Q157" s="226"/>
      <c r="R157" s="181">
        <f t="shared" si="2"/>
        <v>0</v>
      </c>
      <c r="S157" s="223"/>
      <c r="T157" s="781"/>
      <c r="U157" s="781"/>
    </row>
    <row r="158" spans="1:21" ht="15.75" x14ac:dyDescent="0.25">
      <c r="A158" s="223"/>
      <c r="B158" s="281"/>
      <c r="C158" s="281"/>
      <c r="D158" s="281"/>
      <c r="E158" s="224"/>
      <c r="F158" s="224"/>
      <c r="G158" s="224"/>
      <c r="H158" s="192"/>
      <c r="I158" s="193"/>
      <c r="J158" s="240"/>
      <c r="K158" s="281"/>
      <c r="L158" s="225"/>
      <c r="M158" s="225"/>
      <c r="N158" s="226"/>
      <c r="O158" s="226"/>
      <c r="P158" s="226"/>
      <c r="Q158" s="226"/>
      <c r="R158" s="181">
        <f t="shared" si="2"/>
        <v>0</v>
      </c>
      <c r="S158" s="223"/>
      <c r="T158" s="781"/>
      <c r="U158" s="781"/>
    </row>
    <row r="159" spans="1:21" ht="15.75" x14ac:dyDescent="0.25">
      <c r="A159" s="223"/>
      <c r="B159" s="281"/>
      <c r="C159" s="281"/>
      <c r="D159" s="281"/>
      <c r="E159" s="224"/>
      <c r="F159" s="224"/>
      <c r="G159" s="224"/>
      <c r="H159" s="192"/>
      <c r="I159" s="193"/>
      <c r="J159" s="240"/>
      <c r="K159" s="281"/>
      <c r="L159" s="225"/>
      <c r="M159" s="225"/>
      <c r="N159" s="226"/>
      <c r="O159" s="226"/>
      <c r="P159" s="226"/>
      <c r="Q159" s="226"/>
      <c r="R159" s="181">
        <f t="shared" si="2"/>
        <v>0</v>
      </c>
      <c r="S159" s="223"/>
      <c r="T159" s="781"/>
      <c r="U159" s="781"/>
    </row>
    <row r="160" spans="1:21" ht="15.75" x14ac:dyDescent="0.25">
      <c r="A160" s="223"/>
      <c r="B160" s="281"/>
      <c r="C160" s="281"/>
      <c r="D160" s="281"/>
      <c r="E160" s="224"/>
      <c r="F160" s="224"/>
      <c r="G160" s="224"/>
      <c r="H160" s="192"/>
      <c r="I160" s="193"/>
      <c r="J160" s="240"/>
      <c r="K160" s="281"/>
      <c r="L160" s="225"/>
      <c r="M160" s="225"/>
      <c r="N160" s="226"/>
      <c r="O160" s="226"/>
      <c r="P160" s="226"/>
      <c r="Q160" s="226"/>
      <c r="R160" s="181">
        <f t="shared" si="2"/>
        <v>0</v>
      </c>
      <c r="S160" s="223"/>
      <c r="T160" s="781"/>
      <c r="U160" s="781"/>
    </row>
    <row r="161" spans="1:21" ht="15.75" x14ac:dyDescent="0.25">
      <c r="A161" s="223"/>
      <c r="B161" s="281"/>
      <c r="C161" s="281"/>
      <c r="D161" s="281"/>
      <c r="E161" s="224"/>
      <c r="F161" s="224"/>
      <c r="G161" s="224"/>
      <c r="H161" s="192"/>
      <c r="I161" s="193"/>
      <c r="J161" s="240"/>
      <c r="K161" s="281"/>
      <c r="L161" s="225"/>
      <c r="M161" s="225"/>
      <c r="N161" s="226"/>
      <c r="O161" s="226"/>
      <c r="P161" s="226"/>
      <c r="Q161" s="226"/>
      <c r="R161" s="181">
        <f t="shared" si="2"/>
        <v>0</v>
      </c>
      <c r="S161" s="223"/>
      <c r="T161" s="781"/>
      <c r="U161" s="781"/>
    </row>
    <row r="162" spans="1:21" ht="15.75" x14ac:dyDescent="0.25">
      <c r="A162" s="223"/>
      <c r="B162" s="281"/>
      <c r="C162" s="281"/>
      <c r="D162" s="281"/>
      <c r="E162" s="224"/>
      <c r="F162" s="224"/>
      <c r="G162" s="224"/>
      <c r="H162" s="192"/>
      <c r="I162" s="193"/>
      <c r="J162" s="240"/>
      <c r="K162" s="281"/>
      <c r="L162" s="225"/>
      <c r="M162" s="225"/>
      <c r="N162" s="226"/>
      <c r="O162" s="226"/>
      <c r="P162" s="226"/>
      <c r="Q162" s="226"/>
      <c r="R162" s="181">
        <f t="shared" si="2"/>
        <v>0</v>
      </c>
      <c r="S162" s="223"/>
      <c r="T162" s="781"/>
      <c r="U162" s="781"/>
    </row>
    <row r="163" spans="1:21" ht="15.75" x14ac:dyDescent="0.25">
      <c r="A163" s="223"/>
      <c r="B163" s="281"/>
      <c r="C163" s="281"/>
      <c r="D163" s="281"/>
      <c r="E163" s="224"/>
      <c r="F163" s="224"/>
      <c r="G163" s="224"/>
      <c r="H163" s="192"/>
      <c r="I163" s="193"/>
      <c r="J163" s="240"/>
      <c r="K163" s="281"/>
      <c r="L163" s="225"/>
      <c r="M163" s="225"/>
      <c r="N163" s="226"/>
      <c r="O163" s="226"/>
      <c r="P163" s="226"/>
      <c r="Q163" s="226"/>
      <c r="R163" s="181">
        <f t="shared" si="2"/>
        <v>0</v>
      </c>
      <c r="S163" s="223"/>
      <c r="T163" s="781"/>
      <c r="U163" s="781"/>
    </row>
    <row r="164" spans="1:21" ht="15.75" x14ac:dyDescent="0.25">
      <c r="A164" s="223"/>
      <c r="B164" s="281"/>
      <c r="C164" s="281"/>
      <c r="D164" s="281"/>
      <c r="E164" s="224"/>
      <c r="F164" s="224"/>
      <c r="G164" s="224"/>
      <c r="H164" s="192"/>
      <c r="I164" s="193"/>
      <c r="J164" s="240"/>
      <c r="K164" s="281"/>
      <c r="L164" s="225"/>
      <c r="M164" s="225"/>
      <c r="N164" s="226"/>
      <c r="O164" s="226"/>
      <c r="P164" s="226"/>
      <c r="Q164" s="226"/>
      <c r="R164" s="181">
        <f t="shared" si="2"/>
        <v>0</v>
      </c>
      <c r="S164" s="223"/>
      <c r="T164" s="781"/>
      <c r="U164" s="781"/>
    </row>
    <row r="165" spans="1:21" ht="15.75" x14ac:dyDescent="0.25">
      <c r="A165" s="223"/>
      <c r="B165" s="281"/>
      <c r="C165" s="281"/>
      <c r="D165" s="281"/>
      <c r="E165" s="224"/>
      <c r="F165" s="224"/>
      <c r="G165" s="224"/>
      <c r="H165" s="192"/>
      <c r="I165" s="193"/>
      <c r="J165" s="240"/>
      <c r="K165" s="281"/>
      <c r="L165" s="225"/>
      <c r="M165" s="225"/>
      <c r="N165" s="226"/>
      <c r="O165" s="226"/>
      <c r="P165" s="226"/>
      <c r="Q165" s="226"/>
      <c r="R165" s="181">
        <f t="shared" si="2"/>
        <v>0</v>
      </c>
      <c r="S165" s="223"/>
      <c r="T165" s="781"/>
      <c r="U165" s="781"/>
    </row>
    <row r="166" spans="1:21" ht="15.75" x14ac:dyDescent="0.25">
      <c r="A166" s="223"/>
      <c r="B166" s="281"/>
      <c r="C166" s="281"/>
      <c r="D166" s="281"/>
      <c r="E166" s="224"/>
      <c r="F166" s="224"/>
      <c r="G166" s="224"/>
      <c r="H166" s="192"/>
      <c r="I166" s="193"/>
      <c r="J166" s="240"/>
      <c r="K166" s="281"/>
      <c r="L166" s="225"/>
      <c r="M166" s="225"/>
      <c r="N166" s="226"/>
      <c r="O166" s="226"/>
      <c r="P166" s="226"/>
      <c r="Q166" s="226"/>
      <c r="R166" s="181">
        <f t="shared" si="2"/>
        <v>0</v>
      </c>
      <c r="S166" s="223"/>
      <c r="T166" s="781"/>
      <c r="U166" s="781"/>
    </row>
    <row r="167" spans="1:21" ht="15.75" x14ac:dyDescent="0.25">
      <c r="A167" s="223"/>
      <c r="B167" s="281"/>
      <c r="C167" s="281"/>
      <c r="D167" s="281"/>
      <c r="E167" s="224"/>
      <c r="F167" s="224"/>
      <c r="G167" s="224"/>
      <c r="H167" s="192"/>
      <c r="I167" s="193"/>
      <c r="J167" s="240"/>
      <c r="K167" s="281"/>
      <c r="L167" s="225"/>
      <c r="M167" s="225"/>
      <c r="N167" s="226"/>
      <c r="O167" s="226"/>
      <c r="P167" s="226"/>
      <c r="Q167" s="226"/>
      <c r="R167" s="181">
        <f t="shared" si="2"/>
        <v>0</v>
      </c>
      <c r="S167" s="223"/>
      <c r="T167" s="781"/>
      <c r="U167" s="781"/>
    </row>
    <row r="168" spans="1:21" ht="15.75" x14ac:dyDescent="0.25">
      <c r="A168" s="223"/>
      <c r="B168" s="281"/>
      <c r="C168" s="281"/>
      <c r="D168" s="281"/>
      <c r="E168" s="224"/>
      <c r="F168" s="224"/>
      <c r="G168" s="224"/>
      <c r="H168" s="192"/>
      <c r="I168" s="193"/>
      <c r="J168" s="240"/>
      <c r="K168" s="281"/>
      <c r="L168" s="225"/>
      <c r="M168" s="225"/>
      <c r="N168" s="226"/>
      <c r="O168" s="226"/>
      <c r="P168" s="226"/>
      <c r="Q168" s="226"/>
      <c r="R168" s="181">
        <f t="shared" si="2"/>
        <v>0</v>
      </c>
      <c r="S168" s="223"/>
      <c r="T168" s="781"/>
      <c r="U168" s="781"/>
    </row>
    <row r="169" spans="1:21" ht="15.75" x14ac:dyDescent="0.25">
      <c r="A169" s="223"/>
      <c r="B169" s="281"/>
      <c r="C169" s="281"/>
      <c r="D169" s="281"/>
      <c r="E169" s="224"/>
      <c r="F169" s="224"/>
      <c r="G169" s="224"/>
      <c r="H169" s="192"/>
      <c r="I169" s="193"/>
      <c r="J169" s="240"/>
      <c r="K169" s="281"/>
      <c r="L169" s="225"/>
      <c r="M169" s="225"/>
      <c r="N169" s="226"/>
      <c r="O169" s="226"/>
      <c r="P169" s="226"/>
      <c r="Q169" s="226"/>
      <c r="R169" s="181">
        <f t="shared" si="2"/>
        <v>0</v>
      </c>
      <c r="S169" s="223"/>
      <c r="T169" s="781"/>
      <c r="U169" s="781"/>
    </row>
    <row r="170" spans="1:21" ht="15.75" x14ac:dyDescent="0.25">
      <c r="A170" s="223"/>
      <c r="B170" s="281"/>
      <c r="C170" s="281"/>
      <c r="D170" s="281"/>
      <c r="E170" s="224"/>
      <c r="F170" s="224"/>
      <c r="G170" s="224"/>
      <c r="H170" s="192"/>
      <c r="I170" s="193"/>
      <c r="J170" s="240"/>
      <c r="K170" s="281"/>
      <c r="L170" s="225"/>
      <c r="M170" s="225"/>
      <c r="N170" s="226"/>
      <c r="O170" s="226"/>
      <c r="P170" s="226"/>
      <c r="Q170" s="226"/>
      <c r="R170" s="181">
        <f t="shared" si="2"/>
        <v>0</v>
      </c>
      <c r="S170" s="223"/>
      <c r="T170" s="781"/>
      <c r="U170" s="781"/>
    </row>
    <row r="171" spans="1:21" ht="15.75" x14ac:dyDescent="0.25">
      <c r="A171" s="223"/>
      <c r="B171" s="281"/>
      <c r="C171" s="281"/>
      <c r="D171" s="281"/>
      <c r="E171" s="224"/>
      <c r="F171" s="224"/>
      <c r="G171" s="224"/>
      <c r="H171" s="192"/>
      <c r="I171" s="193"/>
      <c r="J171" s="240"/>
      <c r="K171" s="281"/>
      <c r="L171" s="225"/>
      <c r="M171" s="225"/>
      <c r="N171" s="226"/>
      <c r="O171" s="226"/>
      <c r="P171" s="226"/>
      <c r="Q171" s="226"/>
      <c r="R171" s="181">
        <f t="shared" si="2"/>
        <v>0</v>
      </c>
      <c r="S171" s="223"/>
      <c r="T171" s="781"/>
      <c r="U171" s="781"/>
    </row>
    <row r="172" spans="1:21" ht="15.75" x14ac:dyDescent="0.25">
      <c r="A172" s="223"/>
      <c r="B172" s="281"/>
      <c r="C172" s="281"/>
      <c r="D172" s="281"/>
      <c r="E172" s="224"/>
      <c r="F172" s="224"/>
      <c r="G172" s="224"/>
      <c r="H172" s="192"/>
      <c r="I172" s="193"/>
      <c r="J172" s="240"/>
      <c r="K172" s="281"/>
      <c r="L172" s="225"/>
      <c r="M172" s="225"/>
      <c r="N172" s="226"/>
      <c r="O172" s="226"/>
      <c r="P172" s="226"/>
      <c r="Q172" s="226"/>
      <c r="R172" s="181">
        <f t="shared" si="2"/>
        <v>0</v>
      </c>
      <c r="S172" s="223"/>
      <c r="T172" s="781"/>
      <c r="U172" s="781"/>
    </row>
    <row r="173" spans="1:21" ht="15.75" x14ac:dyDescent="0.25">
      <c r="A173" s="223"/>
      <c r="B173" s="281"/>
      <c r="C173" s="281"/>
      <c r="D173" s="281"/>
      <c r="E173" s="224"/>
      <c r="F173" s="224"/>
      <c r="G173" s="224"/>
      <c r="H173" s="192"/>
      <c r="I173" s="193"/>
      <c r="J173" s="240"/>
      <c r="K173" s="281"/>
      <c r="L173" s="225"/>
      <c r="M173" s="225"/>
      <c r="N173" s="226"/>
      <c r="O173" s="226"/>
      <c r="P173" s="226"/>
      <c r="Q173" s="226"/>
      <c r="R173" s="181">
        <f t="shared" si="2"/>
        <v>0</v>
      </c>
      <c r="S173" s="223"/>
      <c r="T173" s="781"/>
      <c r="U173" s="781"/>
    </row>
    <row r="174" spans="1:21" ht="15.75" x14ac:dyDescent="0.25">
      <c r="A174" s="223"/>
      <c r="B174" s="281"/>
      <c r="C174" s="281"/>
      <c r="D174" s="281"/>
      <c r="E174" s="224"/>
      <c r="F174" s="224"/>
      <c r="G174" s="224"/>
      <c r="H174" s="192"/>
      <c r="I174" s="193"/>
      <c r="J174" s="240"/>
      <c r="K174" s="281"/>
      <c r="L174" s="225"/>
      <c r="M174" s="225"/>
      <c r="N174" s="226"/>
      <c r="O174" s="226"/>
      <c r="P174" s="226"/>
      <c r="Q174" s="226"/>
      <c r="R174" s="181">
        <f t="shared" si="2"/>
        <v>0</v>
      </c>
      <c r="S174" s="223"/>
      <c r="T174" s="781"/>
      <c r="U174" s="781"/>
    </row>
    <row r="175" spans="1:21" ht="15.75" x14ac:dyDescent="0.25">
      <c r="A175" s="223"/>
      <c r="B175" s="281"/>
      <c r="C175" s="281"/>
      <c r="D175" s="281"/>
      <c r="E175" s="224"/>
      <c r="F175" s="224"/>
      <c r="G175" s="224"/>
      <c r="H175" s="192"/>
      <c r="I175" s="193"/>
      <c r="J175" s="240"/>
      <c r="K175" s="281"/>
      <c r="L175" s="225"/>
      <c r="M175" s="225"/>
      <c r="N175" s="226"/>
      <c r="O175" s="226"/>
      <c r="P175" s="226"/>
      <c r="Q175" s="226"/>
      <c r="R175" s="181">
        <f t="shared" si="2"/>
        <v>0</v>
      </c>
      <c r="S175" s="223"/>
      <c r="T175" s="781"/>
      <c r="U175" s="781"/>
    </row>
    <row r="176" spans="1:21" ht="15.75" x14ac:dyDescent="0.25">
      <c r="A176" s="223"/>
      <c r="B176" s="281"/>
      <c r="C176" s="281"/>
      <c r="D176" s="281"/>
      <c r="E176" s="224"/>
      <c r="F176" s="224"/>
      <c r="G176" s="224"/>
      <c r="H176" s="192"/>
      <c r="I176" s="193"/>
      <c r="J176" s="240"/>
      <c r="K176" s="281"/>
      <c r="L176" s="225"/>
      <c r="M176" s="225"/>
      <c r="N176" s="226"/>
      <c r="O176" s="226"/>
      <c r="P176" s="226"/>
      <c r="Q176" s="226"/>
      <c r="R176" s="181">
        <f t="shared" si="2"/>
        <v>0</v>
      </c>
      <c r="S176" s="223"/>
      <c r="T176" s="781"/>
      <c r="U176" s="781"/>
    </row>
    <row r="177" spans="1:21" ht="15.75" x14ac:dyDescent="0.25">
      <c r="A177" s="223"/>
      <c r="B177" s="281"/>
      <c r="C177" s="281"/>
      <c r="D177" s="281"/>
      <c r="E177" s="224"/>
      <c r="F177" s="224"/>
      <c r="G177" s="224"/>
      <c r="H177" s="192"/>
      <c r="I177" s="193"/>
      <c r="J177" s="240"/>
      <c r="K177" s="281"/>
      <c r="L177" s="225"/>
      <c r="M177" s="225"/>
      <c r="N177" s="226"/>
      <c r="O177" s="226"/>
      <c r="P177" s="226"/>
      <c r="Q177" s="226"/>
      <c r="R177" s="181">
        <f t="shared" si="2"/>
        <v>0</v>
      </c>
      <c r="S177" s="223"/>
      <c r="T177" s="781"/>
      <c r="U177" s="781"/>
    </row>
    <row r="178" spans="1:21" ht="15.75" x14ac:dyDescent="0.25">
      <c r="A178" s="223"/>
      <c r="B178" s="281"/>
      <c r="C178" s="281"/>
      <c r="D178" s="281"/>
      <c r="E178" s="224"/>
      <c r="F178" s="224"/>
      <c r="G178" s="224"/>
      <c r="H178" s="192"/>
      <c r="I178" s="193"/>
      <c r="J178" s="240"/>
      <c r="K178" s="281"/>
      <c r="L178" s="225"/>
      <c r="M178" s="225"/>
      <c r="N178" s="226"/>
      <c r="O178" s="226"/>
      <c r="P178" s="226"/>
      <c r="Q178" s="226"/>
      <c r="R178" s="181">
        <f t="shared" si="2"/>
        <v>0</v>
      </c>
      <c r="S178" s="223"/>
      <c r="T178" s="781"/>
      <c r="U178" s="781"/>
    </row>
    <row r="179" spans="1:21" ht="15.75" x14ac:dyDescent="0.25">
      <c r="A179" s="223"/>
      <c r="B179" s="281"/>
      <c r="C179" s="281"/>
      <c r="D179" s="281"/>
      <c r="E179" s="224"/>
      <c r="F179" s="224"/>
      <c r="G179" s="224"/>
      <c r="H179" s="192"/>
      <c r="I179" s="193"/>
      <c r="J179" s="240"/>
      <c r="K179" s="281"/>
      <c r="L179" s="225"/>
      <c r="M179" s="225"/>
      <c r="N179" s="226"/>
      <c r="O179" s="226"/>
      <c r="P179" s="226"/>
      <c r="Q179" s="226"/>
      <c r="R179" s="181">
        <f t="shared" si="2"/>
        <v>0</v>
      </c>
      <c r="S179" s="223"/>
      <c r="T179" s="781"/>
      <c r="U179" s="781"/>
    </row>
    <row r="180" spans="1:21" ht="15.75" x14ac:dyDescent="0.25">
      <c r="A180" s="223"/>
      <c r="B180" s="281"/>
      <c r="C180" s="281"/>
      <c r="D180" s="281"/>
      <c r="E180" s="224"/>
      <c r="F180" s="224"/>
      <c r="G180" s="224"/>
      <c r="H180" s="192"/>
      <c r="I180" s="193"/>
      <c r="J180" s="240"/>
      <c r="K180" s="281"/>
      <c r="L180" s="225"/>
      <c r="M180" s="225"/>
      <c r="N180" s="226"/>
      <c r="O180" s="226"/>
      <c r="P180" s="226"/>
      <c r="Q180" s="226"/>
      <c r="R180" s="181">
        <f t="shared" si="2"/>
        <v>0</v>
      </c>
      <c r="S180" s="223"/>
      <c r="T180" s="781"/>
      <c r="U180" s="781"/>
    </row>
    <row r="181" spans="1:21" ht="15.75" x14ac:dyDescent="0.25">
      <c r="A181" s="223"/>
      <c r="B181" s="281"/>
      <c r="C181" s="281"/>
      <c r="D181" s="281"/>
      <c r="E181" s="224"/>
      <c r="F181" s="224"/>
      <c r="G181" s="224"/>
      <c r="H181" s="192"/>
      <c r="I181" s="193"/>
      <c r="J181" s="240"/>
      <c r="K181" s="281"/>
      <c r="L181" s="225"/>
      <c r="M181" s="225"/>
      <c r="N181" s="226"/>
      <c r="O181" s="226"/>
      <c r="P181" s="226"/>
      <c r="Q181" s="226"/>
      <c r="R181" s="181">
        <f t="shared" si="2"/>
        <v>0</v>
      </c>
      <c r="S181" s="223"/>
      <c r="T181" s="781"/>
      <c r="U181" s="781"/>
    </row>
    <row r="182" spans="1:21" ht="15.75" x14ac:dyDescent="0.25">
      <c r="A182" s="223"/>
      <c r="B182" s="281"/>
      <c r="C182" s="281"/>
      <c r="D182" s="281"/>
      <c r="E182" s="224"/>
      <c r="F182" s="224"/>
      <c r="G182" s="224"/>
      <c r="H182" s="192"/>
      <c r="I182" s="193"/>
      <c r="J182" s="240"/>
      <c r="K182" s="281"/>
      <c r="L182" s="225"/>
      <c r="M182" s="225"/>
      <c r="N182" s="226"/>
      <c r="O182" s="226"/>
      <c r="P182" s="226"/>
      <c r="Q182" s="226"/>
      <c r="R182" s="181">
        <f t="shared" si="2"/>
        <v>0</v>
      </c>
      <c r="S182" s="223"/>
      <c r="T182" s="781"/>
      <c r="U182" s="781"/>
    </row>
    <row r="183" spans="1:21" ht="15.75" x14ac:dyDescent="0.25">
      <c r="A183" s="223"/>
      <c r="B183" s="281"/>
      <c r="C183" s="281"/>
      <c r="D183" s="281"/>
      <c r="E183" s="224"/>
      <c r="F183" s="224"/>
      <c r="G183" s="224"/>
      <c r="H183" s="192"/>
      <c r="I183" s="193"/>
      <c r="J183" s="240"/>
      <c r="K183" s="281"/>
      <c r="L183" s="225"/>
      <c r="M183" s="225"/>
      <c r="N183" s="226"/>
      <c r="O183" s="226"/>
      <c r="P183" s="226"/>
      <c r="Q183" s="226"/>
      <c r="R183" s="181">
        <f t="shared" si="2"/>
        <v>0</v>
      </c>
      <c r="S183" s="223"/>
      <c r="T183" s="781"/>
      <c r="U183" s="781"/>
    </row>
    <row r="184" spans="1:21" ht="15.75" x14ac:dyDescent="0.25">
      <c r="A184" s="223"/>
      <c r="B184" s="281"/>
      <c r="C184" s="281"/>
      <c r="D184" s="281"/>
      <c r="E184" s="224"/>
      <c r="F184" s="224"/>
      <c r="G184" s="224"/>
      <c r="H184" s="192"/>
      <c r="I184" s="193"/>
      <c r="J184" s="240"/>
      <c r="K184" s="281"/>
      <c r="L184" s="225"/>
      <c r="M184" s="225"/>
      <c r="N184" s="226"/>
      <c r="O184" s="226"/>
      <c r="P184" s="226"/>
      <c r="Q184" s="226"/>
      <c r="R184" s="181">
        <f t="shared" si="2"/>
        <v>0</v>
      </c>
      <c r="S184" s="223"/>
      <c r="T184" s="781"/>
      <c r="U184" s="781"/>
    </row>
    <row r="185" spans="1:21" ht="15.75" x14ac:dyDescent="0.25">
      <c r="A185" s="223"/>
      <c r="B185" s="281"/>
      <c r="C185" s="281"/>
      <c r="D185" s="281"/>
      <c r="E185" s="224"/>
      <c r="F185" s="224"/>
      <c r="G185" s="224"/>
      <c r="H185" s="192"/>
      <c r="I185" s="193"/>
      <c r="J185" s="240"/>
      <c r="K185" s="281"/>
      <c r="L185" s="225"/>
      <c r="M185" s="225"/>
      <c r="N185" s="226"/>
      <c r="O185" s="226"/>
      <c r="P185" s="226"/>
      <c r="Q185" s="226"/>
      <c r="R185" s="181">
        <f t="shared" si="2"/>
        <v>0</v>
      </c>
      <c r="S185" s="223"/>
      <c r="T185" s="781"/>
      <c r="U185" s="781"/>
    </row>
    <row r="186" spans="1:21" ht="15.75" x14ac:dyDescent="0.25">
      <c r="A186" s="223"/>
      <c r="B186" s="281"/>
      <c r="C186" s="281"/>
      <c r="D186" s="281"/>
      <c r="E186" s="224"/>
      <c r="F186" s="224"/>
      <c r="G186" s="224"/>
      <c r="H186" s="192"/>
      <c r="I186" s="193"/>
      <c r="J186" s="240"/>
      <c r="K186" s="281"/>
      <c r="L186" s="225"/>
      <c r="M186" s="225"/>
      <c r="N186" s="226"/>
      <c r="O186" s="226"/>
      <c r="P186" s="226"/>
      <c r="Q186" s="226"/>
      <c r="R186" s="181">
        <f t="shared" si="2"/>
        <v>0</v>
      </c>
      <c r="S186" s="223"/>
      <c r="T186" s="781"/>
      <c r="U186" s="781"/>
    </row>
    <row r="187" spans="1:21" ht="15.75" x14ac:dyDescent="0.25">
      <c r="A187" s="223"/>
      <c r="B187" s="281"/>
      <c r="C187" s="281"/>
      <c r="D187" s="281"/>
      <c r="E187" s="224"/>
      <c r="F187" s="224"/>
      <c r="G187" s="224"/>
      <c r="H187" s="192"/>
      <c r="I187" s="193"/>
      <c r="J187" s="240"/>
      <c r="K187" s="281"/>
      <c r="L187" s="225"/>
      <c r="M187" s="225"/>
      <c r="N187" s="226"/>
      <c r="O187" s="226"/>
      <c r="P187" s="226"/>
      <c r="Q187" s="226"/>
      <c r="R187" s="181">
        <f t="shared" si="2"/>
        <v>0</v>
      </c>
      <c r="S187" s="223"/>
      <c r="T187" s="781"/>
      <c r="U187" s="781"/>
    </row>
    <row r="188" spans="1:21" ht="15.75" x14ac:dyDescent="0.25">
      <c r="A188" s="223"/>
      <c r="B188" s="281"/>
      <c r="C188" s="281"/>
      <c r="D188" s="281"/>
      <c r="E188" s="224"/>
      <c r="F188" s="224"/>
      <c r="G188" s="224"/>
      <c r="H188" s="192"/>
      <c r="I188" s="193"/>
      <c r="J188" s="240"/>
      <c r="K188" s="281"/>
      <c r="L188" s="225"/>
      <c r="M188" s="225"/>
      <c r="N188" s="226"/>
      <c r="O188" s="226"/>
      <c r="P188" s="226"/>
      <c r="Q188" s="226"/>
      <c r="R188" s="181">
        <f t="shared" si="2"/>
        <v>0</v>
      </c>
      <c r="S188" s="223"/>
      <c r="T188" s="781"/>
      <c r="U188" s="781"/>
    </row>
    <row r="189" spans="1:21" ht="15.75" x14ac:dyDescent="0.25">
      <c r="A189" s="223"/>
      <c r="B189" s="281"/>
      <c r="C189" s="281"/>
      <c r="D189" s="281"/>
      <c r="E189" s="224"/>
      <c r="F189" s="224"/>
      <c r="G189" s="224"/>
      <c r="H189" s="192"/>
      <c r="I189" s="193"/>
      <c r="J189" s="240"/>
      <c r="K189" s="281"/>
      <c r="L189" s="225"/>
      <c r="M189" s="225"/>
      <c r="N189" s="226"/>
      <c r="O189" s="226"/>
      <c r="P189" s="226"/>
      <c r="Q189" s="226"/>
      <c r="R189" s="181">
        <f t="shared" si="2"/>
        <v>0</v>
      </c>
      <c r="S189" s="223"/>
      <c r="T189" s="781"/>
      <c r="U189" s="781"/>
    </row>
    <row r="190" spans="1:21" ht="15.75" x14ac:dyDescent="0.25">
      <c r="A190" s="223"/>
      <c r="B190" s="281"/>
      <c r="C190" s="281"/>
      <c r="D190" s="281"/>
      <c r="E190" s="224"/>
      <c r="F190" s="224"/>
      <c r="G190" s="224"/>
      <c r="H190" s="192"/>
      <c r="I190" s="193"/>
      <c r="J190" s="240"/>
      <c r="K190" s="281"/>
      <c r="L190" s="225"/>
      <c r="M190" s="225"/>
      <c r="N190" s="226"/>
      <c r="O190" s="226"/>
      <c r="P190" s="226"/>
      <c r="Q190" s="226"/>
      <c r="R190" s="181">
        <f t="shared" si="2"/>
        <v>0</v>
      </c>
      <c r="S190" s="223"/>
      <c r="T190" s="781"/>
      <c r="U190" s="781"/>
    </row>
    <row r="191" spans="1:21" ht="15.75" x14ac:dyDescent="0.25">
      <c r="A191" s="223"/>
      <c r="B191" s="281"/>
      <c r="C191" s="281"/>
      <c r="D191" s="281"/>
      <c r="E191" s="224"/>
      <c r="F191" s="224"/>
      <c r="G191" s="224"/>
      <c r="H191" s="192"/>
      <c r="I191" s="193"/>
      <c r="J191" s="240"/>
      <c r="K191" s="281"/>
      <c r="L191" s="225"/>
      <c r="M191" s="225"/>
      <c r="N191" s="226"/>
      <c r="O191" s="226"/>
      <c r="P191" s="226"/>
      <c r="Q191" s="226"/>
      <c r="R191" s="181">
        <f t="shared" si="2"/>
        <v>0</v>
      </c>
      <c r="S191" s="223"/>
      <c r="T191" s="781"/>
      <c r="U191" s="781"/>
    </row>
    <row r="192" spans="1:21" ht="15.75" x14ac:dyDescent="0.25">
      <c r="A192" s="223"/>
      <c r="B192" s="281"/>
      <c r="C192" s="281"/>
      <c r="D192" s="281"/>
      <c r="E192" s="224"/>
      <c r="F192" s="224"/>
      <c r="G192" s="224"/>
      <c r="H192" s="192"/>
      <c r="I192" s="193"/>
      <c r="J192" s="240"/>
      <c r="K192" s="281"/>
      <c r="L192" s="225"/>
      <c r="M192" s="225"/>
      <c r="N192" s="226"/>
      <c r="O192" s="226"/>
      <c r="P192" s="226"/>
      <c r="Q192" s="226"/>
      <c r="R192" s="181">
        <f t="shared" si="2"/>
        <v>0</v>
      </c>
      <c r="S192" s="223"/>
      <c r="T192" s="781"/>
      <c r="U192" s="781"/>
    </row>
    <row r="193" spans="1:21" ht="15.75" x14ac:dyDescent="0.25">
      <c r="A193" s="223"/>
      <c r="B193" s="281"/>
      <c r="C193" s="281"/>
      <c r="D193" s="281"/>
      <c r="E193" s="224"/>
      <c r="F193" s="224"/>
      <c r="G193" s="224"/>
      <c r="H193" s="192"/>
      <c r="I193" s="193"/>
      <c r="J193" s="240"/>
      <c r="K193" s="281"/>
      <c r="L193" s="225"/>
      <c r="M193" s="225"/>
      <c r="N193" s="226"/>
      <c r="O193" s="226"/>
      <c r="P193" s="226"/>
      <c r="Q193" s="226"/>
      <c r="R193" s="181">
        <f t="shared" si="2"/>
        <v>0</v>
      </c>
      <c r="S193" s="223"/>
      <c r="T193" s="781"/>
      <c r="U193" s="781"/>
    </row>
    <row r="194" spans="1:21" ht="15.75" x14ac:dyDescent="0.25">
      <c r="A194" s="223"/>
      <c r="B194" s="281"/>
      <c r="C194" s="281"/>
      <c r="D194" s="281"/>
      <c r="E194" s="224"/>
      <c r="F194" s="224"/>
      <c r="G194" s="224"/>
      <c r="H194" s="192"/>
      <c r="I194" s="193"/>
      <c r="J194" s="240"/>
      <c r="K194" s="281"/>
      <c r="L194" s="225"/>
      <c r="M194" s="225"/>
      <c r="N194" s="226"/>
      <c r="O194" s="226"/>
      <c r="P194" s="226"/>
      <c r="Q194" s="226"/>
      <c r="R194" s="181">
        <f t="shared" si="2"/>
        <v>0</v>
      </c>
      <c r="S194" s="223"/>
      <c r="T194" s="781"/>
      <c r="U194" s="781"/>
    </row>
    <row r="195" spans="1:21" ht="15.75" x14ac:dyDescent="0.25">
      <c r="A195" s="223"/>
      <c r="B195" s="281"/>
      <c r="C195" s="281"/>
      <c r="D195" s="281"/>
      <c r="E195" s="224"/>
      <c r="F195" s="224"/>
      <c r="G195" s="224"/>
      <c r="H195" s="192"/>
      <c r="I195" s="193"/>
      <c r="J195" s="240"/>
      <c r="K195" s="281"/>
      <c r="L195" s="225"/>
      <c r="M195" s="225"/>
      <c r="N195" s="226"/>
      <c r="O195" s="226"/>
      <c r="P195" s="226"/>
      <c r="Q195" s="226"/>
      <c r="R195" s="181">
        <f t="shared" si="2"/>
        <v>0</v>
      </c>
      <c r="S195" s="223"/>
      <c r="T195" s="781"/>
      <c r="U195" s="781"/>
    </row>
    <row r="196" spans="1:21" ht="15.75" x14ac:dyDescent="0.25">
      <c r="A196" s="223"/>
      <c r="B196" s="281"/>
      <c r="C196" s="281"/>
      <c r="D196" s="281"/>
      <c r="E196" s="224"/>
      <c r="F196" s="224"/>
      <c r="G196" s="224"/>
      <c r="H196" s="192"/>
      <c r="I196" s="193"/>
      <c r="J196" s="240"/>
      <c r="K196" s="281"/>
      <c r="L196" s="225"/>
      <c r="M196" s="225"/>
      <c r="N196" s="226"/>
      <c r="O196" s="226"/>
      <c r="P196" s="226"/>
      <c r="Q196" s="226"/>
      <c r="R196" s="181">
        <f t="shared" si="2"/>
        <v>0</v>
      </c>
      <c r="S196" s="223"/>
      <c r="T196" s="781"/>
      <c r="U196" s="781"/>
    </row>
    <row r="197" spans="1:21" ht="15.75" x14ac:dyDescent="0.25">
      <c r="A197" s="223"/>
      <c r="B197" s="281"/>
      <c r="C197" s="281"/>
      <c r="D197" s="281"/>
      <c r="E197" s="224"/>
      <c r="F197" s="224"/>
      <c r="G197" s="224"/>
      <c r="H197" s="192"/>
      <c r="I197" s="193"/>
      <c r="J197" s="240"/>
      <c r="K197" s="281"/>
      <c r="L197" s="225"/>
      <c r="M197" s="225"/>
      <c r="N197" s="226"/>
      <c r="O197" s="226"/>
      <c r="P197" s="226"/>
      <c r="Q197" s="226"/>
      <c r="R197" s="181">
        <f t="shared" si="2"/>
        <v>0</v>
      </c>
      <c r="S197" s="223"/>
      <c r="T197" s="781"/>
      <c r="U197" s="781"/>
    </row>
    <row r="198" spans="1:21" ht="15.75" x14ac:dyDescent="0.25">
      <c r="A198" s="223"/>
      <c r="B198" s="281"/>
      <c r="C198" s="281"/>
      <c r="D198" s="281"/>
      <c r="E198" s="224"/>
      <c r="F198" s="224"/>
      <c r="G198" s="224"/>
      <c r="H198" s="192"/>
      <c r="I198" s="193"/>
      <c r="J198" s="240"/>
      <c r="K198" s="281"/>
      <c r="L198" s="225"/>
      <c r="M198" s="225"/>
      <c r="N198" s="226"/>
      <c r="O198" s="226"/>
      <c r="P198" s="226"/>
      <c r="Q198" s="226"/>
      <c r="R198" s="181">
        <f t="shared" si="2"/>
        <v>0</v>
      </c>
      <c r="S198" s="223"/>
      <c r="T198" s="781"/>
      <c r="U198" s="781"/>
    </row>
    <row r="199" spans="1:21" ht="15.75" x14ac:dyDescent="0.25">
      <c r="A199" s="223"/>
      <c r="B199" s="281"/>
      <c r="C199" s="281"/>
      <c r="D199" s="281"/>
      <c r="E199" s="224"/>
      <c r="F199" s="224"/>
      <c r="G199" s="224"/>
      <c r="H199" s="192"/>
      <c r="I199" s="193"/>
      <c r="J199" s="240"/>
      <c r="K199" s="281"/>
      <c r="L199" s="225"/>
      <c r="M199" s="225"/>
      <c r="N199" s="226"/>
      <c r="O199" s="226"/>
      <c r="P199" s="226"/>
      <c r="Q199" s="226"/>
      <c r="R199" s="181">
        <f t="shared" ref="R199:R210" si="3">SUM(N199:Q199)</f>
        <v>0</v>
      </c>
      <c r="S199" s="223"/>
      <c r="T199" s="781"/>
      <c r="U199" s="781"/>
    </row>
    <row r="200" spans="1:21" ht="15.75" x14ac:dyDescent="0.25">
      <c r="A200" s="223"/>
      <c r="B200" s="281"/>
      <c r="C200" s="281"/>
      <c r="D200" s="281"/>
      <c r="E200" s="224"/>
      <c r="F200" s="224"/>
      <c r="G200" s="224"/>
      <c r="H200" s="192"/>
      <c r="I200" s="193"/>
      <c r="J200" s="240"/>
      <c r="K200" s="281"/>
      <c r="L200" s="225"/>
      <c r="M200" s="225"/>
      <c r="N200" s="226"/>
      <c r="O200" s="226"/>
      <c r="P200" s="226"/>
      <c r="Q200" s="226"/>
      <c r="R200" s="181">
        <f t="shared" si="3"/>
        <v>0</v>
      </c>
      <c r="S200" s="223"/>
      <c r="T200" s="781"/>
      <c r="U200" s="781"/>
    </row>
    <row r="201" spans="1:21" ht="15.75" x14ac:dyDescent="0.25">
      <c r="A201" s="223"/>
      <c r="B201" s="281"/>
      <c r="C201" s="281"/>
      <c r="D201" s="281"/>
      <c r="E201" s="224"/>
      <c r="F201" s="224"/>
      <c r="G201" s="224"/>
      <c r="H201" s="192"/>
      <c r="I201" s="193"/>
      <c r="J201" s="240"/>
      <c r="K201" s="281"/>
      <c r="L201" s="225"/>
      <c r="M201" s="225"/>
      <c r="N201" s="226"/>
      <c r="O201" s="226"/>
      <c r="P201" s="226"/>
      <c r="Q201" s="226"/>
      <c r="R201" s="181">
        <f t="shared" si="3"/>
        <v>0</v>
      </c>
      <c r="S201" s="223"/>
      <c r="T201" s="781"/>
      <c r="U201" s="781"/>
    </row>
    <row r="202" spans="1:21" ht="15.75" x14ac:dyDescent="0.25">
      <c r="A202" s="223"/>
      <c r="B202" s="281"/>
      <c r="C202" s="281"/>
      <c r="D202" s="281"/>
      <c r="E202" s="224"/>
      <c r="F202" s="224"/>
      <c r="G202" s="224"/>
      <c r="H202" s="192"/>
      <c r="I202" s="193"/>
      <c r="J202" s="240"/>
      <c r="K202" s="281"/>
      <c r="L202" s="225"/>
      <c r="M202" s="225"/>
      <c r="N202" s="226"/>
      <c r="O202" s="226"/>
      <c r="P202" s="226"/>
      <c r="Q202" s="226"/>
      <c r="R202" s="181">
        <f t="shared" si="3"/>
        <v>0</v>
      </c>
      <c r="S202" s="223"/>
      <c r="T202" s="781"/>
      <c r="U202" s="781"/>
    </row>
    <row r="203" spans="1:21" ht="15.75" x14ac:dyDescent="0.25">
      <c r="A203" s="223"/>
      <c r="B203" s="281"/>
      <c r="C203" s="281"/>
      <c r="D203" s="281"/>
      <c r="E203" s="224"/>
      <c r="F203" s="224"/>
      <c r="G203" s="224"/>
      <c r="H203" s="192"/>
      <c r="I203" s="193"/>
      <c r="J203" s="240"/>
      <c r="K203" s="281"/>
      <c r="L203" s="225"/>
      <c r="M203" s="225"/>
      <c r="N203" s="226"/>
      <c r="O203" s="226"/>
      <c r="P203" s="226"/>
      <c r="Q203" s="226"/>
      <c r="R203" s="181">
        <f t="shared" si="3"/>
        <v>0</v>
      </c>
      <c r="S203" s="223"/>
      <c r="T203" s="781"/>
      <c r="U203" s="781"/>
    </row>
    <row r="204" spans="1:21" ht="15.75" x14ac:dyDescent="0.25">
      <c r="A204" s="223"/>
      <c r="B204" s="281"/>
      <c r="C204" s="281"/>
      <c r="D204" s="281"/>
      <c r="E204" s="224"/>
      <c r="F204" s="224"/>
      <c r="G204" s="224"/>
      <c r="H204" s="192"/>
      <c r="I204" s="193"/>
      <c r="J204" s="240"/>
      <c r="K204" s="281"/>
      <c r="L204" s="225"/>
      <c r="M204" s="225"/>
      <c r="N204" s="226"/>
      <c r="O204" s="226"/>
      <c r="P204" s="226"/>
      <c r="Q204" s="226"/>
      <c r="R204" s="181">
        <f t="shared" si="3"/>
        <v>0</v>
      </c>
      <c r="S204" s="223"/>
      <c r="T204" s="781"/>
      <c r="U204" s="781"/>
    </row>
    <row r="205" spans="1:21" ht="15.75" x14ac:dyDescent="0.25">
      <c r="A205" s="223"/>
      <c r="B205" s="281"/>
      <c r="C205" s="281"/>
      <c r="D205" s="281"/>
      <c r="E205" s="224"/>
      <c r="F205" s="224"/>
      <c r="G205" s="224"/>
      <c r="H205" s="192"/>
      <c r="I205" s="193"/>
      <c r="J205" s="240"/>
      <c r="K205" s="281"/>
      <c r="L205" s="225"/>
      <c r="M205" s="225"/>
      <c r="N205" s="226"/>
      <c r="O205" s="226"/>
      <c r="P205" s="226"/>
      <c r="Q205" s="226"/>
      <c r="R205" s="181">
        <f t="shared" si="3"/>
        <v>0</v>
      </c>
      <c r="S205" s="223"/>
      <c r="T205" s="781"/>
      <c r="U205" s="781"/>
    </row>
    <row r="206" spans="1:21" ht="15.75" x14ac:dyDescent="0.25">
      <c r="A206" s="223"/>
      <c r="B206" s="281"/>
      <c r="C206" s="281"/>
      <c r="D206" s="281"/>
      <c r="E206" s="224"/>
      <c r="F206" s="224"/>
      <c r="G206" s="224"/>
      <c r="H206" s="192"/>
      <c r="I206" s="193"/>
      <c r="J206" s="240"/>
      <c r="K206" s="281"/>
      <c r="L206" s="225"/>
      <c r="M206" s="225"/>
      <c r="N206" s="226"/>
      <c r="O206" s="226"/>
      <c r="P206" s="226"/>
      <c r="Q206" s="226"/>
      <c r="R206" s="181">
        <f t="shared" si="3"/>
        <v>0</v>
      </c>
      <c r="S206" s="223"/>
      <c r="T206" s="781"/>
      <c r="U206" s="781"/>
    </row>
    <row r="207" spans="1:21" ht="15.75" x14ac:dyDescent="0.25">
      <c r="A207" s="223"/>
      <c r="B207" s="281"/>
      <c r="C207" s="281"/>
      <c r="D207" s="281"/>
      <c r="E207" s="224"/>
      <c r="F207" s="224"/>
      <c r="G207" s="224"/>
      <c r="H207" s="192"/>
      <c r="I207" s="193"/>
      <c r="J207" s="240"/>
      <c r="K207" s="281"/>
      <c r="L207" s="225"/>
      <c r="M207" s="225"/>
      <c r="N207" s="226"/>
      <c r="O207" s="226"/>
      <c r="P207" s="226"/>
      <c r="Q207" s="226"/>
      <c r="R207" s="181">
        <f t="shared" si="3"/>
        <v>0</v>
      </c>
      <c r="S207" s="223"/>
      <c r="T207" s="781"/>
      <c r="U207" s="781"/>
    </row>
    <row r="208" spans="1:21" ht="15.75" x14ac:dyDescent="0.25">
      <c r="A208" s="223"/>
      <c r="B208" s="281"/>
      <c r="C208" s="281"/>
      <c r="D208" s="281"/>
      <c r="E208" s="224"/>
      <c r="F208" s="224"/>
      <c r="G208" s="224"/>
      <c r="H208" s="192"/>
      <c r="I208" s="193"/>
      <c r="J208" s="240"/>
      <c r="K208" s="281"/>
      <c r="L208" s="225"/>
      <c r="M208" s="225"/>
      <c r="N208" s="226"/>
      <c r="O208" s="226"/>
      <c r="P208" s="226"/>
      <c r="Q208" s="226"/>
      <c r="R208" s="181">
        <f t="shared" si="3"/>
        <v>0</v>
      </c>
      <c r="S208" s="223"/>
      <c r="T208" s="781"/>
      <c r="U208" s="781"/>
    </row>
    <row r="209" spans="1:21" ht="15.75" x14ac:dyDescent="0.25">
      <c r="A209" s="223"/>
      <c r="B209" s="281"/>
      <c r="C209" s="281"/>
      <c r="D209" s="281"/>
      <c r="E209" s="224"/>
      <c r="F209" s="224"/>
      <c r="G209" s="224"/>
      <c r="H209" s="192"/>
      <c r="I209" s="193"/>
      <c r="J209" s="240"/>
      <c r="K209" s="281"/>
      <c r="L209" s="225"/>
      <c r="M209" s="225"/>
      <c r="N209" s="226"/>
      <c r="O209" s="226"/>
      <c r="P209" s="226"/>
      <c r="Q209" s="226"/>
      <c r="R209" s="181">
        <f t="shared" si="3"/>
        <v>0</v>
      </c>
      <c r="S209" s="223"/>
      <c r="T209" s="781"/>
      <c r="U209" s="781"/>
    </row>
    <row r="210" spans="1:21" ht="15.75" x14ac:dyDescent="0.25">
      <c r="A210" s="223"/>
      <c r="B210" s="281"/>
      <c r="C210" s="281"/>
      <c r="D210" s="281"/>
      <c r="E210" s="224"/>
      <c r="F210" s="224"/>
      <c r="G210" s="224"/>
      <c r="H210" s="192"/>
      <c r="I210" s="193"/>
      <c r="J210" s="240"/>
      <c r="K210" s="281"/>
      <c r="L210" s="225"/>
      <c r="M210" s="225"/>
      <c r="N210" s="226"/>
      <c r="O210" s="226"/>
      <c r="P210" s="226"/>
      <c r="Q210" s="226"/>
      <c r="R210" s="181">
        <f t="shared" si="3"/>
        <v>0</v>
      </c>
      <c r="S210" s="223"/>
      <c r="T210" s="781"/>
      <c r="U210" s="781"/>
    </row>
    <row r="211" spans="1:21" x14ac:dyDescent="0.25">
      <c r="A211" s="223"/>
      <c r="B211" s="281"/>
      <c r="C211" s="281"/>
      <c r="D211" s="281"/>
      <c r="E211" s="224"/>
      <c r="F211" s="224"/>
      <c r="G211" s="224"/>
      <c r="H211" s="192"/>
      <c r="I211" s="193"/>
      <c r="J211" s="240"/>
      <c r="K211" s="281"/>
      <c r="L211" s="225"/>
      <c r="M211" s="225"/>
      <c r="N211" s="226"/>
      <c r="O211" s="226"/>
      <c r="P211" s="226"/>
      <c r="Q211" s="226"/>
      <c r="R211" s="226"/>
      <c r="S211" s="223"/>
      <c r="T211" s="781"/>
      <c r="U211" s="781"/>
    </row>
    <row r="212" spans="1:21" x14ac:dyDescent="0.25">
      <c r="A212" s="223"/>
      <c r="B212" s="281"/>
      <c r="C212" s="281"/>
      <c r="D212" s="281"/>
      <c r="E212" s="224"/>
      <c r="F212" s="224"/>
      <c r="G212" s="224"/>
      <c r="H212" s="192"/>
      <c r="I212" s="193"/>
      <c r="J212" s="240"/>
      <c r="K212" s="281"/>
      <c r="L212" s="225"/>
      <c r="M212" s="225"/>
      <c r="N212" s="226"/>
      <c r="O212" s="226"/>
      <c r="P212" s="226"/>
      <c r="Q212" s="226"/>
      <c r="R212" s="226"/>
      <c r="S212" s="223"/>
      <c r="T212" s="781"/>
      <c r="U212" s="781"/>
    </row>
    <row r="213" spans="1:21" x14ac:dyDescent="0.25">
      <c r="A213" s="223"/>
      <c r="B213" s="281"/>
      <c r="C213" s="281"/>
      <c r="D213" s="281"/>
      <c r="E213" s="224"/>
      <c r="F213" s="224"/>
      <c r="G213" s="224"/>
      <c r="H213" s="192"/>
      <c r="I213" s="193"/>
      <c r="J213" s="240"/>
      <c r="K213" s="281"/>
      <c r="L213" s="225"/>
      <c r="M213" s="225"/>
      <c r="N213" s="226"/>
      <c r="O213" s="226"/>
      <c r="P213" s="226"/>
      <c r="Q213" s="226"/>
      <c r="R213" s="226"/>
      <c r="S213" s="223"/>
      <c r="T213" s="781"/>
      <c r="U213" s="781"/>
    </row>
    <row r="214" spans="1:21" x14ac:dyDescent="0.25">
      <c r="A214" s="223"/>
      <c r="B214" s="281"/>
      <c r="C214" s="281"/>
      <c r="D214" s="281"/>
      <c r="E214" s="224"/>
      <c r="F214" s="224"/>
      <c r="G214" s="224"/>
      <c r="H214" s="192"/>
      <c r="I214" s="193"/>
      <c r="J214" s="240"/>
      <c r="K214" s="281"/>
      <c r="L214" s="225"/>
      <c r="M214" s="225"/>
      <c r="N214" s="226"/>
      <c r="O214" s="226"/>
      <c r="P214" s="226"/>
      <c r="Q214" s="226"/>
      <c r="R214" s="226"/>
      <c r="S214" s="223"/>
      <c r="T214" s="781"/>
      <c r="U214" s="781"/>
    </row>
    <row r="215" spans="1:21" x14ac:dyDescent="0.25">
      <c r="A215" s="223"/>
      <c r="B215" s="281"/>
      <c r="C215" s="281"/>
      <c r="D215" s="281"/>
      <c r="E215" s="224"/>
      <c r="F215" s="224"/>
      <c r="G215" s="224"/>
      <c r="H215" s="192"/>
      <c r="I215" s="193"/>
      <c r="J215" s="240"/>
      <c r="K215" s="281"/>
      <c r="L215" s="225"/>
      <c r="M215" s="225"/>
      <c r="N215" s="226"/>
      <c r="O215" s="226"/>
      <c r="P215" s="226"/>
      <c r="Q215" s="226"/>
      <c r="R215" s="226"/>
      <c r="S215" s="223"/>
      <c r="T215" s="781"/>
      <c r="U215" s="781"/>
    </row>
    <row r="216" spans="1:21" x14ac:dyDescent="0.25">
      <c r="A216" s="223"/>
      <c r="B216" s="281"/>
      <c r="C216" s="281"/>
      <c r="D216" s="281"/>
      <c r="E216" s="224"/>
      <c r="F216" s="224"/>
      <c r="G216" s="224"/>
      <c r="H216" s="192"/>
      <c r="I216" s="193"/>
      <c r="J216" s="240"/>
      <c r="K216" s="281"/>
      <c r="L216" s="225"/>
      <c r="M216" s="225"/>
      <c r="N216" s="226"/>
      <c r="O216" s="226"/>
      <c r="P216" s="226"/>
      <c r="Q216" s="226"/>
      <c r="R216" s="226"/>
      <c r="S216" s="223"/>
      <c r="T216" s="781"/>
      <c r="U216" s="781"/>
    </row>
    <row r="217" spans="1:21" x14ac:dyDescent="0.25">
      <c r="A217" s="223"/>
      <c r="B217" s="281"/>
      <c r="C217" s="281"/>
      <c r="D217" s="281"/>
      <c r="E217" s="224"/>
      <c r="F217" s="224"/>
      <c r="G217" s="224"/>
      <c r="H217" s="192"/>
      <c r="I217" s="193"/>
      <c r="J217" s="240"/>
      <c r="K217" s="281"/>
      <c r="L217" s="225"/>
      <c r="M217" s="225"/>
      <c r="N217" s="226"/>
      <c r="O217" s="226"/>
      <c r="P217" s="226"/>
      <c r="Q217" s="226"/>
      <c r="R217" s="226"/>
      <c r="S217" s="223"/>
      <c r="T217" s="781"/>
      <c r="U217" s="781"/>
    </row>
    <row r="218" spans="1:21" x14ac:dyDescent="0.25">
      <c r="A218" s="223"/>
      <c r="B218" s="281"/>
      <c r="C218" s="281"/>
      <c r="D218" s="281"/>
      <c r="E218" s="224"/>
      <c r="F218" s="224"/>
      <c r="G218" s="224"/>
      <c r="H218" s="192"/>
      <c r="I218" s="193"/>
      <c r="J218" s="240"/>
      <c r="K218" s="281"/>
      <c r="L218" s="225"/>
      <c r="M218" s="225"/>
      <c r="N218" s="226"/>
      <c r="O218" s="226"/>
      <c r="P218" s="226"/>
      <c r="Q218" s="226"/>
      <c r="R218" s="226"/>
      <c r="S218" s="223"/>
      <c r="T218" s="781"/>
      <c r="U218" s="781"/>
    </row>
    <row r="219" spans="1:21" x14ac:dyDescent="0.25">
      <c r="A219" s="223"/>
      <c r="B219" s="281"/>
      <c r="C219" s="281"/>
      <c r="D219" s="281"/>
      <c r="E219" s="224"/>
      <c r="F219" s="224"/>
      <c r="G219" s="224"/>
      <c r="H219" s="192"/>
      <c r="I219" s="193"/>
      <c r="J219" s="240"/>
      <c r="K219" s="281"/>
      <c r="L219" s="225"/>
      <c r="M219" s="225"/>
      <c r="N219" s="226"/>
      <c r="O219" s="226"/>
      <c r="P219" s="226"/>
      <c r="Q219" s="226"/>
      <c r="R219" s="226"/>
      <c r="S219" s="223"/>
      <c r="T219" s="781"/>
      <c r="U219" s="781"/>
    </row>
    <row r="220" spans="1:21" x14ac:dyDescent="0.25">
      <c r="A220" s="223"/>
      <c r="B220" s="281"/>
      <c r="C220" s="281"/>
      <c r="D220" s="281"/>
      <c r="E220" s="224"/>
      <c r="F220" s="224"/>
      <c r="G220" s="224"/>
      <c r="H220" s="192"/>
      <c r="I220" s="193"/>
      <c r="J220" s="240"/>
      <c r="K220" s="281"/>
      <c r="L220" s="225"/>
      <c r="M220" s="225"/>
      <c r="N220" s="226"/>
      <c r="O220" s="226"/>
      <c r="P220" s="226"/>
      <c r="Q220" s="226"/>
      <c r="R220" s="226"/>
      <c r="S220" s="223"/>
      <c r="T220" s="781"/>
      <c r="U220" s="781"/>
    </row>
    <row r="221" spans="1:21" x14ac:dyDescent="0.25">
      <c r="A221" s="223"/>
      <c r="B221" s="281"/>
      <c r="C221" s="281"/>
      <c r="D221" s="281"/>
      <c r="E221" s="224"/>
      <c r="F221" s="224"/>
      <c r="G221" s="224"/>
      <c r="H221" s="192"/>
      <c r="I221" s="193"/>
      <c r="J221" s="240"/>
      <c r="K221" s="281"/>
      <c r="L221" s="225"/>
      <c r="M221" s="225"/>
      <c r="N221" s="226"/>
      <c r="O221" s="226"/>
      <c r="P221" s="226"/>
      <c r="Q221" s="226"/>
      <c r="R221" s="226"/>
      <c r="S221" s="223"/>
      <c r="T221" s="781"/>
      <c r="U221" s="781"/>
    </row>
    <row r="222" spans="1:21" x14ac:dyDescent="0.25">
      <c r="A222" s="223"/>
      <c r="B222" s="281"/>
      <c r="C222" s="281"/>
      <c r="D222" s="281"/>
      <c r="E222" s="224"/>
      <c r="F222" s="224"/>
      <c r="G222" s="224"/>
      <c r="H222" s="192"/>
      <c r="I222" s="193"/>
      <c r="J222" s="240"/>
      <c r="K222" s="281"/>
      <c r="L222" s="225"/>
      <c r="M222" s="225"/>
      <c r="N222" s="226"/>
      <c r="O222" s="226"/>
      <c r="P222" s="226"/>
      <c r="Q222" s="226"/>
      <c r="R222" s="226"/>
      <c r="S222" s="223"/>
      <c r="T222" s="781"/>
      <c r="U222" s="781"/>
    </row>
    <row r="223" spans="1:21" x14ac:dyDescent="0.25">
      <c r="A223" s="223"/>
      <c r="B223" s="281"/>
      <c r="C223" s="281"/>
      <c r="D223" s="281"/>
      <c r="E223" s="224"/>
      <c r="F223" s="224"/>
      <c r="G223" s="224"/>
      <c r="H223" s="192"/>
      <c r="I223" s="193"/>
      <c r="J223" s="240"/>
      <c r="K223" s="281"/>
      <c r="L223" s="225"/>
      <c r="M223" s="225"/>
      <c r="N223" s="226"/>
      <c r="O223" s="226"/>
      <c r="P223" s="226"/>
      <c r="Q223" s="226"/>
      <c r="R223" s="226"/>
      <c r="S223" s="223"/>
      <c r="T223" s="781"/>
      <c r="U223" s="781"/>
    </row>
    <row r="224" spans="1:21" x14ac:dyDescent="0.25">
      <c r="A224" s="223"/>
      <c r="B224" s="281"/>
      <c r="C224" s="281"/>
      <c r="D224" s="281"/>
      <c r="E224" s="224"/>
      <c r="F224" s="224"/>
      <c r="G224" s="224"/>
      <c r="H224" s="192"/>
      <c r="I224" s="193"/>
      <c r="J224" s="240"/>
      <c r="K224" s="281"/>
      <c r="L224" s="225"/>
      <c r="M224" s="225"/>
      <c r="N224" s="226"/>
      <c r="O224" s="226"/>
      <c r="P224" s="226"/>
      <c r="Q224" s="226"/>
      <c r="R224" s="226"/>
      <c r="S224" s="223"/>
      <c r="T224" s="781"/>
      <c r="U224" s="781"/>
    </row>
    <row r="225" spans="1:21" x14ac:dyDescent="0.25">
      <c r="A225" s="223"/>
      <c r="B225" s="281"/>
      <c r="C225" s="281"/>
      <c r="D225" s="281"/>
      <c r="E225" s="224"/>
      <c r="F225" s="224"/>
      <c r="G225" s="224"/>
      <c r="H225" s="192"/>
      <c r="I225" s="193"/>
      <c r="J225" s="240"/>
      <c r="K225" s="281"/>
      <c r="L225" s="225"/>
      <c r="M225" s="225"/>
      <c r="N225" s="226"/>
      <c r="O225" s="226"/>
      <c r="P225" s="226"/>
      <c r="Q225" s="226"/>
      <c r="R225" s="226"/>
      <c r="S225" s="223"/>
      <c r="T225" s="781"/>
      <c r="U225" s="781"/>
    </row>
    <row r="226" spans="1:21" x14ac:dyDescent="0.25">
      <c r="A226" s="223"/>
      <c r="B226" s="281"/>
      <c r="C226" s="281"/>
      <c r="D226" s="281"/>
      <c r="E226" s="224"/>
      <c r="F226" s="224"/>
      <c r="G226" s="224"/>
      <c r="H226" s="192"/>
      <c r="I226" s="193"/>
      <c r="J226" s="240"/>
      <c r="K226" s="281"/>
      <c r="L226" s="225"/>
      <c r="M226" s="225"/>
      <c r="N226" s="226"/>
      <c r="O226" s="226"/>
      <c r="P226" s="226"/>
      <c r="Q226" s="226"/>
      <c r="R226" s="226"/>
      <c r="S226" s="223"/>
      <c r="T226" s="781"/>
      <c r="U226" s="781"/>
    </row>
    <row r="227" spans="1:21" x14ac:dyDescent="0.25">
      <c r="A227" s="223"/>
      <c r="B227" s="281"/>
      <c r="C227" s="281"/>
      <c r="D227" s="281"/>
      <c r="E227" s="224"/>
      <c r="F227" s="224"/>
      <c r="G227" s="224"/>
      <c r="H227" s="192"/>
      <c r="I227" s="193"/>
      <c r="J227" s="240"/>
      <c r="K227" s="281"/>
      <c r="L227" s="225"/>
      <c r="M227" s="225"/>
      <c r="N227" s="226"/>
      <c r="O227" s="226"/>
      <c r="P227" s="226"/>
      <c r="Q227" s="226"/>
      <c r="R227" s="226"/>
      <c r="S227" s="223"/>
      <c r="T227" s="781"/>
      <c r="U227" s="781"/>
    </row>
    <row r="228" spans="1:21" x14ac:dyDescent="0.25">
      <c r="A228" s="223"/>
      <c r="B228" s="281"/>
      <c r="C228" s="281"/>
      <c r="D228" s="281"/>
      <c r="E228" s="224"/>
      <c r="F228" s="224"/>
      <c r="G228" s="224"/>
      <c r="H228" s="192"/>
      <c r="I228" s="193"/>
      <c r="J228" s="240"/>
      <c r="K228" s="281"/>
      <c r="L228" s="225"/>
      <c r="M228" s="225"/>
      <c r="N228" s="226"/>
      <c r="O228" s="226"/>
      <c r="P228" s="226"/>
      <c r="Q228" s="226"/>
      <c r="R228" s="226"/>
      <c r="S228" s="223"/>
      <c r="T228" s="781"/>
      <c r="U228" s="781"/>
    </row>
    <row r="229" spans="1:21" x14ac:dyDescent="0.25">
      <c r="A229" s="223"/>
      <c r="B229" s="281"/>
      <c r="C229" s="281"/>
      <c r="D229" s="281"/>
      <c r="E229" s="224"/>
      <c r="F229" s="224"/>
      <c r="G229" s="224"/>
      <c r="H229" s="192"/>
      <c r="I229" s="193"/>
      <c r="J229" s="240"/>
      <c r="K229" s="281"/>
      <c r="L229" s="225"/>
      <c r="M229" s="225"/>
      <c r="N229" s="226"/>
      <c r="O229" s="226"/>
      <c r="P229" s="226"/>
      <c r="Q229" s="226"/>
      <c r="R229" s="226"/>
      <c r="S229" s="223"/>
      <c r="T229" s="781"/>
      <c r="U229" s="781"/>
    </row>
    <row r="230" spans="1:21" x14ac:dyDescent="0.25">
      <c r="A230" s="223"/>
      <c r="B230" s="281"/>
      <c r="C230" s="281"/>
      <c r="D230" s="281"/>
      <c r="E230" s="224"/>
      <c r="F230" s="224"/>
      <c r="G230" s="224"/>
      <c r="H230" s="192"/>
      <c r="I230" s="193"/>
      <c r="J230" s="240"/>
      <c r="K230" s="281"/>
      <c r="L230" s="225"/>
      <c r="M230" s="225"/>
      <c r="N230" s="226"/>
      <c r="O230" s="226"/>
      <c r="P230" s="226"/>
      <c r="Q230" s="226"/>
      <c r="R230" s="226"/>
      <c r="S230" s="223"/>
      <c r="T230" s="781"/>
      <c r="U230" s="781"/>
    </row>
    <row r="231" spans="1:21" x14ac:dyDescent="0.25">
      <c r="A231" s="223"/>
      <c r="B231" s="281"/>
      <c r="C231" s="281"/>
      <c r="D231" s="281"/>
      <c r="E231" s="224"/>
      <c r="F231" s="224"/>
      <c r="G231" s="224"/>
      <c r="H231" s="192"/>
      <c r="I231" s="193"/>
      <c r="J231" s="240"/>
      <c r="K231" s="281"/>
      <c r="L231" s="225"/>
      <c r="M231" s="225"/>
      <c r="N231" s="226"/>
      <c r="O231" s="226"/>
      <c r="P231" s="226"/>
      <c r="Q231" s="226"/>
      <c r="R231" s="226"/>
      <c r="S231" s="223"/>
      <c r="T231" s="781"/>
      <c r="U231" s="781"/>
    </row>
    <row r="232" spans="1:21" x14ac:dyDescent="0.25">
      <c r="A232" s="223"/>
      <c r="B232" s="281"/>
      <c r="C232" s="281"/>
      <c r="D232" s="281"/>
      <c r="E232" s="224"/>
      <c r="F232" s="224"/>
      <c r="G232" s="224"/>
      <c r="H232" s="192"/>
      <c r="I232" s="193"/>
      <c r="J232" s="240"/>
      <c r="K232" s="281"/>
      <c r="L232" s="225"/>
      <c r="M232" s="225"/>
      <c r="N232" s="226"/>
      <c r="O232" s="226"/>
      <c r="P232" s="226"/>
      <c r="Q232" s="226"/>
      <c r="R232" s="226"/>
      <c r="S232" s="223"/>
      <c r="T232" s="781"/>
      <c r="U232" s="781"/>
    </row>
    <row r="233" spans="1:21" x14ac:dyDescent="0.25">
      <c r="A233" s="223"/>
      <c r="B233" s="281"/>
      <c r="C233" s="281"/>
      <c r="D233" s="281"/>
      <c r="E233" s="224"/>
      <c r="F233" s="224"/>
      <c r="G233" s="224"/>
      <c r="H233" s="192"/>
      <c r="I233" s="193"/>
      <c r="J233" s="240"/>
      <c r="K233" s="281"/>
      <c r="L233" s="225"/>
      <c r="M233" s="225"/>
      <c r="N233" s="226"/>
      <c r="O233" s="226"/>
      <c r="P233" s="226"/>
      <c r="Q233" s="226"/>
      <c r="R233" s="226"/>
      <c r="S233" s="223"/>
      <c r="T233" s="781"/>
      <c r="U233" s="781"/>
    </row>
    <row r="234" spans="1:21" x14ac:dyDescent="0.25">
      <c r="A234" s="223"/>
      <c r="B234" s="281"/>
      <c r="C234" s="281"/>
      <c r="D234" s="281"/>
      <c r="E234" s="224"/>
      <c r="F234" s="224"/>
      <c r="G234" s="224"/>
      <c r="H234" s="192"/>
      <c r="I234" s="193"/>
      <c r="J234" s="240"/>
      <c r="K234" s="281"/>
      <c r="L234" s="225"/>
      <c r="M234" s="225"/>
      <c r="N234" s="226"/>
      <c r="O234" s="226"/>
      <c r="P234" s="226"/>
      <c r="Q234" s="226"/>
      <c r="R234" s="226"/>
      <c r="S234" s="223"/>
      <c r="T234" s="781"/>
      <c r="U234" s="781"/>
    </row>
    <row r="235" spans="1:21" x14ac:dyDescent="0.25">
      <c r="A235" s="223"/>
      <c r="B235" s="281"/>
      <c r="C235" s="281"/>
      <c r="D235" s="281"/>
      <c r="E235" s="224"/>
      <c r="F235" s="224"/>
      <c r="G235" s="224"/>
      <c r="H235" s="192"/>
      <c r="I235" s="193"/>
      <c r="J235" s="240"/>
      <c r="K235" s="281"/>
      <c r="L235" s="225"/>
      <c r="M235" s="225"/>
      <c r="N235" s="226"/>
      <c r="O235" s="226"/>
      <c r="P235" s="226"/>
      <c r="Q235" s="226"/>
      <c r="R235" s="226"/>
      <c r="S235" s="223"/>
      <c r="T235" s="781"/>
      <c r="U235" s="781"/>
    </row>
    <row r="236" spans="1:21" x14ac:dyDescent="0.25">
      <c r="A236" s="223"/>
      <c r="B236" s="281"/>
      <c r="C236" s="281"/>
      <c r="D236" s="281"/>
      <c r="E236" s="224"/>
      <c r="F236" s="224"/>
      <c r="G236" s="224"/>
      <c r="H236" s="192"/>
      <c r="I236" s="193"/>
      <c r="J236" s="240"/>
      <c r="K236" s="281"/>
      <c r="L236" s="225"/>
      <c r="M236" s="225"/>
      <c r="N236" s="226"/>
      <c r="O236" s="226"/>
      <c r="P236" s="226"/>
      <c r="Q236" s="226"/>
      <c r="R236" s="226"/>
      <c r="S236" s="223"/>
      <c r="T236" s="781"/>
      <c r="U236" s="781"/>
    </row>
    <row r="237" spans="1:21" x14ac:dyDescent="0.25">
      <c r="A237" s="223"/>
      <c r="B237" s="281"/>
      <c r="C237" s="281"/>
      <c r="D237" s="281"/>
      <c r="E237" s="224"/>
      <c r="F237" s="224"/>
      <c r="G237" s="224"/>
      <c r="H237" s="192"/>
      <c r="I237" s="193"/>
      <c r="J237" s="240"/>
      <c r="K237" s="281"/>
      <c r="L237" s="225"/>
      <c r="M237" s="225"/>
      <c r="N237" s="226"/>
      <c r="O237" s="226"/>
      <c r="P237" s="226"/>
      <c r="Q237" s="226"/>
      <c r="R237" s="226"/>
      <c r="S237" s="223"/>
      <c r="T237" s="781"/>
      <c r="U237" s="781"/>
    </row>
    <row r="238" spans="1:21" x14ac:dyDescent="0.25">
      <c r="A238" s="223"/>
      <c r="B238" s="281"/>
      <c r="C238" s="281"/>
      <c r="D238" s="281"/>
      <c r="E238" s="224"/>
      <c r="F238" s="224"/>
      <c r="G238" s="224"/>
      <c r="H238" s="192"/>
      <c r="I238" s="193"/>
      <c r="J238" s="240"/>
      <c r="K238" s="281"/>
      <c r="L238" s="225"/>
      <c r="M238" s="225"/>
      <c r="N238" s="226"/>
      <c r="O238" s="226"/>
      <c r="P238" s="226"/>
      <c r="Q238" s="226"/>
      <c r="R238" s="226"/>
      <c r="S238" s="223"/>
      <c r="T238" s="781"/>
      <c r="U238" s="781"/>
    </row>
    <row r="239" spans="1:21" x14ac:dyDescent="0.25">
      <c r="A239" s="223"/>
      <c r="B239" s="281"/>
      <c r="C239" s="281"/>
      <c r="D239" s="281"/>
      <c r="E239" s="224"/>
      <c r="F239" s="224"/>
      <c r="G239" s="224"/>
      <c r="H239" s="192"/>
      <c r="I239" s="193"/>
      <c r="J239" s="240"/>
      <c r="K239" s="281"/>
      <c r="L239" s="225"/>
      <c r="M239" s="225"/>
      <c r="N239" s="226"/>
      <c r="O239" s="226"/>
      <c r="P239" s="226"/>
      <c r="Q239" s="226"/>
      <c r="R239" s="226"/>
      <c r="S239" s="223"/>
      <c r="T239" s="781"/>
      <c r="U239" s="781"/>
    </row>
    <row r="240" spans="1:21" x14ac:dyDescent="0.25">
      <c r="A240" s="223"/>
      <c r="B240" s="281"/>
      <c r="C240" s="281"/>
      <c r="D240" s="281"/>
      <c r="E240" s="224"/>
      <c r="F240" s="224"/>
      <c r="G240" s="224"/>
      <c r="H240" s="192"/>
      <c r="I240" s="193"/>
      <c r="J240" s="240"/>
      <c r="K240" s="281"/>
      <c r="L240" s="225"/>
      <c r="M240" s="225"/>
      <c r="N240" s="226"/>
      <c r="O240" s="226"/>
      <c r="P240" s="226"/>
      <c r="Q240" s="226"/>
      <c r="R240" s="226"/>
      <c r="S240" s="223"/>
      <c r="T240" s="781"/>
      <c r="U240" s="781"/>
    </row>
    <row r="241" spans="1:21" x14ac:dyDescent="0.25">
      <c r="A241" s="223"/>
      <c r="B241" s="281"/>
      <c r="C241" s="281"/>
      <c r="D241" s="281"/>
      <c r="E241" s="224"/>
      <c r="F241" s="224"/>
      <c r="G241" s="224"/>
      <c r="H241" s="192"/>
      <c r="I241" s="193"/>
      <c r="J241" s="240"/>
      <c r="K241" s="281"/>
      <c r="L241" s="225"/>
      <c r="M241" s="225"/>
      <c r="N241" s="226"/>
      <c r="O241" s="226"/>
      <c r="P241" s="226"/>
      <c r="Q241" s="226"/>
      <c r="R241" s="226"/>
      <c r="S241" s="223"/>
      <c r="T241" s="781"/>
      <c r="U241" s="781"/>
    </row>
    <row r="242" spans="1:21" x14ac:dyDescent="0.25">
      <c r="A242" s="223"/>
      <c r="B242" s="281"/>
      <c r="C242" s="281"/>
      <c r="D242" s="281"/>
      <c r="E242" s="224"/>
      <c r="F242" s="224"/>
      <c r="G242" s="224"/>
      <c r="H242" s="192"/>
      <c r="I242" s="193"/>
      <c r="J242" s="240"/>
      <c r="K242" s="281"/>
      <c r="L242" s="225"/>
      <c r="M242" s="225"/>
      <c r="N242" s="226"/>
      <c r="O242" s="226"/>
      <c r="P242" s="226"/>
      <c r="Q242" s="226"/>
      <c r="R242" s="226"/>
      <c r="S242" s="223"/>
      <c r="T242" s="781"/>
      <c r="U242" s="781"/>
    </row>
    <row r="243" spans="1:21" x14ac:dyDescent="0.25">
      <c r="A243" s="223"/>
      <c r="B243" s="281"/>
      <c r="C243" s="281"/>
      <c r="D243" s="281"/>
      <c r="E243" s="224"/>
      <c r="F243" s="224"/>
      <c r="G243" s="224"/>
      <c r="H243" s="192"/>
      <c r="I243" s="193"/>
      <c r="J243" s="240"/>
      <c r="K243" s="281"/>
      <c r="L243" s="225"/>
      <c r="M243" s="225"/>
      <c r="N243" s="226"/>
      <c r="O243" s="226"/>
      <c r="P243" s="226"/>
      <c r="Q243" s="226"/>
      <c r="R243" s="226"/>
      <c r="S243" s="223"/>
      <c r="T243" s="781"/>
      <c r="U243" s="781"/>
    </row>
    <row r="244" spans="1:21" x14ac:dyDescent="0.25">
      <c r="A244" s="223"/>
      <c r="B244" s="281"/>
      <c r="C244" s="281"/>
      <c r="D244" s="281"/>
      <c r="E244" s="224"/>
      <c r="F244" s="224"/>
      <c r="G244" s="224"/>
      <c r="H244" s="192"/>
      <c r="I244" s="193"/>
      <c r="J244" s="240"/>
      <c r="K244" s="281"/>
      <c r="L244" s="225"/>
      <c r="M244" s="225"/>
      <c r="N244" s="226"/>
      <c r="O244" s="226"/>
      <c r="P244" s="226"/>
      <c r="Q244" s="226"/>
      <c r="R244" s="226"/>
      <c r="S244" s="223"/>
      <c r="T244" s="781"/>
      <c r="U244" s="781"/>
    </row>
    <row r="245" spans="1:21" x14ac:dyDescent="0.25">
      <c r="A245" s="223"/>
      <c r="B245" s="281"/>
      <c r="C245" s="281"/>
      <c r="D245" s="281"/>
      <c r="E245" s="224"/>
      <c r="F245" s="224"/>
      <c r="G245" s="224"/>
      <c r="H245" s="192"/>
      <c r="I245" s="193"/>
      <c r="J245" s="240"/>
      <c r="K245" s="281"/>
      <c r="L245" s="225"/>
      <c r="M245" s="225"/>
      <c r="N245" s="226"/>
      <c r="O245" s="226"/>
      <c r="P245" s="226"/>
      <c r="Q245" s="226"/>
      <c r="R245" s="226"/>
      <c r="S245" s="223"/>
      <c r="T245" s="781"/>
      <c r="U245" s="781"/>
    </row>
    <row r="246" spans="1:21" x14ac:dyDescent="0.25">
      <c r="A246" s="223"/>
      <c r="B246" s="281"/>
      <c r="C246" s="281"/>
      <c r="D246" s="281"/>
      <c r="E246" s="224"/>
      <c r="F246" s="224"/>
      <c r="G246" s="224"/>
      <c r="H246" s="192"/>
      <c r="I246" s="193"/>
      <c r="J246" s="240"/>
      <c r="K246" s="281"/>
      <c r="L246" s="225"/>
      <c r="M246" s="225"/>
      <c r="N246" s="226"/>
      <c r="O246" s="226"/>
      <c r="P246" s="226"/>
      <c r="Q246" s="226"/>
      <c r="R246" s="226"/>
      <c r="S246" s="223"/>
      <c r="T246" s="781"/>
      <c r="U246" s="781"/>
    </row>
    <row r="247" spans="1:21" x14ac:dyDescent="0.25">
      <c r="A247" s="223"/>
      <c r="B247" s="281"/>
      <c r="C247" s="281"/>
      <c r="D247" s="281"/>
      <c r="E247" s="224"/>
      <c r="F247" s="224"/>
      <c r="G247" s="224"/>
      <c r="H247" s="192"/>
      <c r="I247" s="193"/>
      <c r="J247" s="240"/>
      <c r="K247" s="281"/>
      <c r="L247" s="225"/>
      <c r="M247" s="225"/>
      <c r="N247" s="226"/>
      <c r="O247" s="226"/>
      <c r="P247" s="226"/>
      <c r="Q247" s="226"/>
      <c r="R247" s="226"/>
      <c r="S247" s="223"/>
      <c r="T247" s="781"/>
      <c r="U247" s="781"/>
    </row>
    <row r="248" spans="1:21" x14ac:dyDescent="0.25">
      <c r="A248" s="223"/>
      <c r="B248" s="281"/>
      <c r="C248" s="281"/>
      <c r="D248" s="281"/>
      <c r="E248" s="224"/>
      <c r="F248" s="224"/>
      <c r="G248" s="224"/>
      <c r="H248" s="192"/>
      <c r="I248" s="193"/>
      <c r="J248" s="240"/>
      <c r="K248" s="281"/>
      <c r="L248" s="225"/>
      <c r="M248" s="225"/>
      <c r="N248" s="226"/>
      <c r="O248" s="226"/>
      <c r="P248" s="226"/>
      <c r="Q248" s="226"/>
      <c r="R248" s="226"/>
      <c r="S248" s="223"/>
      <c r="T248" s="781"/>
      <c r="U248" s="781"/>
    </row>
    <row r="249" spans="1:21" x14ac:dyDescent="0.25">
      <c r="A249" s="223"/>
      <c r="B249" s="281"/>
      <c r="C249" s="281"/>
      <c r="D249" s="281"/>
      <c r="E249" s="224"/>
      <c r="F249" s="224"/>
      <c r="G249" s="224"/>
      <c r="H249" s="192"/>
      <c r="I249" s="193"/>
      <c r="J249" s="240"/>
      <c r="K249" s="281"/>
      <c r="L249" s="225"/>
      <c r="M249" s="225"/>
      <c r="N249" s="226"/>
      <c r="O249" s="226"/>
      <c r="P249" s="226"/>
      <c r="Q249" s="226"/>
      <c r="R249" s="226"/>
      <c r="S249" s="223"/>
      <c r="T249" s="781"/>
      <c r="U249" s="781"/>
    </row>
    <row r="250" spans="1:21" x14ac:dyDescent="0.25">
      <c r="A250" s="223"/>
      <c r="B250" s="281"/>
      <c r="C250" s="281"/>
      <c r="D250" s="281"/>
      <c r="E250" s="224"/>
      <c r="F250" s="224"/>
      <c r="G250" s="224"/>
      <c r="H250" s="192"/>
      <c r="I250" s="193"/>
      <c r="J250" s="240"/>
      <c r="K250" s="281"/>
      <c r="L250" s="225"/>
      <c r="M250" s="225"/>
      <c r="N250" s="226"/>
      <c r="O250" s="226"/>
      <c r="P250" s="226"/>
      <c r="Q250" s="226"/>
      <c r="R250" s="226"/>
      <c r="S250" s="223"/>
      <c r="T250" s="781"/>
      <c r="U250" s="781"/>
    </row>
    <row r="251" spans="1:21" x14ac:dyDescent="0.25">
      <c r="A251" s="223"/>
      <c r="B251" s="281"/>
      <c r="C251" s="281"/>
      <c r="D251" s="281"/>
      <c r="E251" s="224"/>
      <c r="F251" s="224"/>
      <c r="G251" s="224"/>
      <c r="H251" s="192"/>
      <c r="I251" s="193"/>
      <c r="J251" s="240"/>
      <c r="K251" s="281"/>
      <c r="L251" s="225"/>
      <c r="M251" s="225"/>
      <c r="N251" s="226"/>
      <c r="O251" s="226"/>
      <c r="P251" s="226"/>
      <c r="Q251" s="226"/>
      <c r="R251" s="226"/>
      <c r="S251" s="223"/>
      <c r="T251" s="781"/>
      <c r="U251" s="781"/>
    </row>
    <row r="252" spans="1:21" x14ac:dyDescent="0.25">
      <c r="A252" s="223"/>
      <c r="B252" s="281"/>
      <c r="C252" s="281"/>
      <c r="D252" s="281"/>
      <c r="E252" s="224"/>
      <c r="F252" s="224"/>
      <c r="G252" s="224"/>
      <c r="H252" s="192"/>
      <c r="I252" s="193"/>
      <c r="J252" s="240"/>
      <c r="K252" s="281"/>
      <c r="L252" s="225"/>
      <c r="M252" s="225"/>
      <c r="N252" s="226"/>
      <c r="O252" s="226"/>
      <c r="P252" s="226"/>
      <c r="Q252" s="226"/>
      <c r="R252" s="226"/>
      <c r="S252" s="223"/>
      <c r="T252" s="781"/>
      <c r="U252" s="781"/>
    </row>
    <row r="253" spans="1:21" x14ac:dyDescent="0.25">
      <c r="A253" s="223"/>
      <c r="B253" s="281"/>
      <c r="C253" s="281"/>
      <c r="D253" s="281"/>
      <c r="E253" s="224"/>
      <c r="F253" s="224"/>
      <c r="G253" s="224"/>
      <c r="H253" s="192"/>
      <c r="I253" s="193"/>
      <c r="J253" s="240"/>
      <c r="K253" s="281"/>
      <c r="L253" s="225"/>
      <c r="M253" s="225"/>
      <c r="N253" s="226"/>
      <c r="O253" s="226"/>
      <c r="P253" s="226"/>
      <c r="Q253" s="226"/>
      <c r="R253" s="226"/>
      <c r="S253" s="223"/>
      <c r="T253" s="781"/>
      <c r="U253" s="781"/>
    </row>
    <row r="254" spans="1:21" x14ac:dyDescent="0.25">
      <c r="A254" s="223"/>
      <c r="B254" s="281"/>
      <c r="C254" s="281"/>
      <c r="D254" s="281"/>
      <c r="E254" s="224"/>
      <c r="F254" s="224"/>
      <c r="G254" s="224"/>
      <c r="H254" s="192"/>
      <c r="I254" s="193"/>
      <c r="J254" s="240"/>
      <c r="K254" s="281"/>
      <c r="L254" s="225"/>
      <c r="M254" s="225"/>
      <c r="N254" s="226"/>
      <c r="O254" s="226"/>
      <c r="P254" s="226"/>
      <c r="Q254" s="226"/>
      <c r="R254" s="226"/>
      <c r="S254" s="223"/>
      <c r="T254" s="781"/>
      <c r="U254" s="781"/>
    </row>
    <row r="255" spans="1:21" x14ac:dyDescent="0.25">
      <c r="A255" s="223"/>
      <c r="B255" s="281"/>
      <c r="C255" s="281"/>
      <c r="D255" s="281"/>
      <c r="E255" s="224"/>
      <c r="F255" s="224"/>
      <c r="G255" s="224"/>
      <c r="H255" s="192"/>
      <c r="I255" s="193"/>
      <c r="J255" s="240"/>
      <c r="K255" s="281"/>
      <c r="L255" s="225"/>
      <c r="M255" s="225"/>
      <c r="N255" s="226"/>
      <c r="O255" s="226"/>
      <c r="P255" s="226"/>
      <c r="Q255" s="226"/>
      <c r="R255" s="226"/>
      <c r="S255" s="223"/>
      <c r="T255" s="781"/>
      <c r="U255" s="781"/>
    </row>
    <row r="256" spans="1:21" x14ac:dyDescent="0.25">
      <c r="A256" s="223"/>
      <c r="B256" s="281"/>
      <c r="C256" s="281"/>
      <c r="D256" s="281"/>
      <c r="E256" s="224"/>
      <c r="F256" s="224"/>
      <c r="G256" s="224"/>
      <c r="H256" s="192"/>
      <c r="I256" s="193"/>
      <c r="J256" s="240"/>
      <c r="K256" s="281"/>
      <c r="L256" s="225"/>
      <c r="M256" s="225"/>
      <c r="N256" s="226"/>
      <c r="O256" s="226"/>
      <c r="P256" s="226"/>
      <c r="Q256" s="226"/>
      <c r="R256" s="226"/>
      <c r="S256" s="223"/>
      <c r="T256" s="781"/>
      <c r="U256" s="781"/>
    </row>
    <row r="257" spans="1:21" x14ac:dyDescent="0.25">
      <c r="A257" s="223"/>
      <c r="B257" s="281"/>
      <c r="C257" s="281"/>
      <c r="D257" s="281"/>
      <c r="E257" s="224"/>
      <c r="F257" s="224"/>
      <c r="G257" s="224"/>
      <c r="H257" s="192"/>
      <c r="I257" s="193"/>
      <c r="J257" s="240"/>
      <c r="K257" s="281"/>
      <c r="L257" s="225"/>
      <c r="M257" s="225"/>
      <c r="N257" s="226"/>
      <c r="O257" s="226"/>
      <c r="P257" s="226"/>
      <c r="Q257" s="226"/>
      <c r="R257" s="226"/>
      <c r="S257" s="223"/>
      <c r="T257" s="781"/>
      <c r="U257" s="781"/>
    </row>
    <row r="258" spans="1:21" x14ac:dyDescent="0.25">
      <c r="A258" s="223"/>
      <c r="B258" s="281"/>
      <c r="C258" s="281"/>
      <c r="D258" s="281"/>
      <c r="E258" s="224"/>
      <c r="F258" s="224"/>
      <c r="G258" s="224"/>
      <c r="H258" s="192"/>
      <c r="I258" s="193"/>
      <c r="J258" s="240"/>
      <c r="K258" s="281"/>
      <c r="L258" s="225"/>
      <c r="M258" s="225"/>
      <c r="N258" s="226"/>
      <c r="O258" s="226"/>
      <c r="P258" s="226"/>
      <c r="Q258" s="226"/>
      <c r="R258" s="226"/>
      <c r="S258" s="223"/>
      <c r="T258" s="781"/>
      <c r="U258" s="781"/>
    </row>
    <row r="259" spans="1:21" x14ac:dyDescent="0.25">
      <c r="A259" s="223"/>
      <c r="B259" s="281"/>
      <c r="C259" s="281"/>
      <c r="D259" s="281"/>
      <c r="E259" s="224"/>
      <c r="F259" s="224"/>
      <c r="G259" s="224"/>
      <c r="H259" s="192"/>
      <c r="I259" s="193"/>
      <c r="J259" s="240"/>
      <c r="K259" s="281"/>
      <c r="L259" s="225"/>
      <c r="M259" s="225"/>
      <c r="N259" s="226"/>
      <c r="O259" s="226"/>
      <c r="P259" s="226"/>
      <c r="Q259" s="226"/>
      <c r="R259" s="226"/>
      <c r="S259" s="223"/>
      <c r="T259" s="781"/>
      <c r="U259" s="781"/>
    </row>
    <row r="260" spans="1:21" x14ac:dyDescent="0.25">
      <c r="A260" s="223"/>
      <c r="B260" s="281"/>
      <c r="C260" s="281"/>
      <c r="D260" s="281"/>
      <c r="E260" s="224"/>
      <c r="F260" s="224"/>
      <c r="G260" s="224"/>
      <c r="H260" s="192"/>
      <c r="I260" s="193"/>
      <c r="J260" s="240"/>
      <c r="K260" s="281"/>
      <c r="L260" s="225"/>
      <c r="M260" s="225"/>
      <c r="N260" s="226"/>
      <c r="O260" s="226"/>
      <c r="P260" s="226"/>
      <c r="Q260" s="226"/>
      <c r="R260" s="226"/>
      <c r="S260" s="223"/>
      <c r="T260" s="781"/>
      <c r="U260" s="781"/>
    </row>
    <row r="261" spans="1:21" x14ac:dyDescent="0.25">
      <c r="A261" s="223"/>
      <c r="B261" s="281"/>
      <c r="C261" s="281"/>
      <c r="D261" s="281"/>
      <c r="E261" s="224"/>
      <c r="F261" s="224"/>
      <c r="G261" s="224"/>
      <c r="H261" s="192"/>
      <c r="I261" s="193"/>
      <c r="J261" s="240"/>
      <c r="K261" s="281"/>
      <c r="L261" s="225"/>
      <c r="M261" s="225"/>
      <c r="N261" s="226"/>
      <c r="O261" s="226"/>
      <c r="P261" s="226"/>
      <c r="Q261" s="226"/>
      <c r="R261" s="226"/>
      <c r="S261" s="223"/>
      <c r="T261" s="781"/>
      <c r="U261" s="781"/>
    </row>
    <row r="262" spans="1:21" x14ac:dyDescent="0.25">
      <c r="A262" s="223"/>
      <c r="B262" s="281"/>
      <c r="C262" s="281"/>
      <c r="D262" s="281"/>
      <c r="E262" s="224"/>
      <c r="F262" s="224"/>
      <c r="G262" s="224"/>
      <c r="H262" s="192"/>
      <c r="I262" s="193"/>
      <c r="J262" s="240"/>
      <c r="K262" s="281"/>
      <c r="L262" s="225"/>
      <c r="M262" s="225"/>
      <c r="N262" s="226"/>
      <c r="O262" s="226"/>
      <c r="P262" s="226"/>
      <c r="Q262" s="226"/>
      <c r="R262" s="226"/>
      <c r="S262" s="223"/>
      <c r="T262" s="781"/>
      <c r="U262" s="781"/>
    </row>
    <row r="263" spans="1:21" x14ac:dyDescent="0.25">
      <c r="A263" s="223"/>
      <c r="B263" s="281"/>
      <c r="C263" s="281"/>
      <c r="D263" s="281"/>
      <c r="E263" s="224"/>
      <c r="F263" s="224"/>
      <c r="G263" s="224"/>
      <c r="H263" s="192"/>
      <c r="I263" s="193"/>
      <c r="J263" s="240"/>
      <c r="K263" s="281"/>
      <c r="L263" s="225"/>
      <c r="M263" s="225"/>
      <c r="N263" s="226"/>
      <c r="O263" s="226"/>
      <c r="P263" s="226"/>
      <c r="Q263" s="226"/>
      <c r="R263" s="226"/>
      <c r="S263" s="223"/>
      <c r="T263" s="781"/>
      <c r="U263" s="781"/>
    </row>
    <row r="264" spans="1:21" x14ac:dyDescent="0.25">
      <c r="A264" s="223"/>
      <c r="B264" s="281"/>
      <c r="C264" s="281"/>
      <c r="D264" s="281"/>
      <c r="E264" s="224"/>
      <c r="F264" s="224"/>
      <c r="G264" s="224"/>
      <c r="H264" s="192"/>
      <c r="I264" s="193"/>
      <c r="J264" s="240"/>
      <c r="K264" s="281"/>
      <c r="L264" s="225"/>
      <c r="M264" s="225"/>
      <c r="N264" s="226"/>
      <c r="O264" s="226"/>
      <c r="P264" s="226"/>
      <c r="Q264" s="226"/>
      <c r="R264" s="226"/>
      <c r="S264" s="223"/>
      <c r="T264" s="781"/>
      <c r="U264" s="781"/>
    </row>
    <row r="265" spans="1:21" x14ac:dyDescent="0.25">
      <c r="A265" s="223"/>
      <c r="B265" s="281"/>
      <c r="C265" s="281"/>
      <c r="D265" s="281"/>
      <c r="E265" s="224"/>
      <c r="F265" s="224"/>
      <c r="G265" s="224"/>
      <c r="H265" s="192"/>
      <c r="I265" s="193"/>
      <c r="J265" s="240"/>
      <c r="K265" s="281"/>
      <c r="L265" s="225"/>
      <c r="M265" s="225"/>
      <c r="N265" s="226"/>
      <c r="O265" s="226"/>
      <c r="P265" s="226"/>
      <c r="Q265" s="226"/>
      <c r="R265" s="226"/>
      <c r="S265" s="223"/>
      <c r="T265" s="781"/>
      <c r="U265" s="781"/>
    </row>
    <row r="266" spans="1:21" x14ac:dyDescent="0.25">
      <c r="A266" s="223"/>
      <c r="B266" s="281"/>
      <c r="C266" s="281"/>
      <c r="D266" s="281"/>
      <c r="E266" s="224"/>
      <c r="F266" s="224"/>
      <c r="G266" s="224"/>
      <c r="H266" s="192"/>
      <c r="I266" s="193"/>
      <c r="J266" s="240"/>
      <c r="K266" s="281"/>
      <c r="L266" s="225"/>
      <c r="M266" s="225"/>
      <c r="N266" s="226"/>
      <c r="O266" s="226"/>
      <c r="P266" s="226"/>
      <c r="Q266" s="226"/>
      <c r="R266" s="226"/>
      <c r="S266" s="223"/>
      <c r="T266" s="781"/>
      <c r="U266" s="781"/>
    </row>
    <row r="267" spans="1:21" x14ac:dyDescent="0.25">
      <c r="A267" s="223"/>
      <c r="B267" s="281"/>
      <c r="C267" s="281"/>
      <c r="D267" s="281"/>
      <c r="E267" s="224"/>
      <c r="F267" s="224"/>
      <c r="G267" s="224"/>
      <c r="H267" s="192"/>
      <c r="I267" s="193"/>
      <c r="J267" s="240"/>
      <c r="K267" s="281"/>
      <c r="L267" s="225"/>
      <c r="M267" s="225"/>
      <c r="N267" s="226"/>
      <c r="O267" s="226"/>
      <c r="P267" s="226"/>
      <c r="Q267" s="226"/>
      <c r="R267" s="226"/>
      <c r="S267" s="223"/>
      <c r="T267" s="781"/>
      <c r="U267" s="781"/>
    </row>
    <row r="268" spans="1:21" x14ac:dyDescent="0.25">
      <c r="A268" s="223"/>
      <c r="B268" s="281"/>
      <c r="C268" s="281"/>
      <c r="D268" s="281"/>
      <c r="E268" s="224"/>
      <c r="F268" s="224"/>
      <c r="G268" s="224"/>
      <c r="H268" s="192"/>
      <c r="I268" s="193"/>
      <c r="J268" s="240"/>
      <c r="K268" s="281"/>
      <c r="L268" s="225"/>
      <c r="M268" s="225"/>
      <c r="N268" s="226"/>
      <c r="O268" s="226"/>
      <c r="P268" s="226"/>
      <c r="Q268" s="226"/>
      <c r="R268" s="226"/>
      <c r="S268" s="223"/>
      <c r="T268" s="781"/>
      <c r="U268" s="781"/>
    </row>
    <row r="269" spans="1:21" x14ac:dyDescent="0.25">
      <c r="A269" s="223"/>
      <c r="B269" s="281"/>
      <c r="C269" s="281"/>
      <c r="D269" s="281"/>
      <c r="E269" s="224"/>
      <c r="F269" s="224"/>
      <c r="G269" s="224"/>
      <c r="H269" s="192"/>
      <c r="I269" s="193"/>
      <c r="J269" s="240"/>
      <c r="K269" s="281"/>
      <c r="L269" s="225"/>
      <c r="M269" s="225"/>
      <c r="N269" s="226"/>
      <c r="O269" s="226"/>
      <c r="P269" s="226"/>
      <c r="Q269" s="226"/>
      <c r="R269" s="226"/>
      <c r="S269" s="223"/>
      <c r="T269" s="781"/>
      <c r="U269" s="781"/>
    </row>
    <row r="270" spans="1:21" x14ac:dyDescent="0.25">
      <c r="A270" s="223"/>
      <c r="B270" s="281"/>
      <c r="C270" s="281"/>
      <c r="D270" s="281"/>
      <c r="E270" s="224"/>
      <c r="F270" s="224"/>
      <c r="G270" s="224"/>
      <c r="H270" s="192"/>
      <c r="I270" s="193"/>
      <c r="J270" s="240"/>
      <c r="K270" s="281"/>
      <c r="L270" s="225"/>
      <c r="M270" s="225"/>
      <c r="N270" s="226"/>
      <c r="O270" s="226"/>
      <c r="P270" s="226"/>
      <c r="Q270" s="226"/>
      <c r="R270" s="226"/>
      <c r="S270" s="223"/>
      <c r="T270" s="781"/>
      <c r="U270" s="781"/>
    </row>
    <row r="271" spans="1:21" x14ac:dyDescent="0.25">
      <c r="A271" s="223"/>
      <c r="B271" s="281"/>
      <c r="C271" s="281"/>
      <c r="D271" s="281"/>
      <c r="E271" s="224"/>
      <c r="F271" s="224"/>
      <c r="G271" s="224"/>
      <c r="H271" s="192"/>
      <c r="I271" s="193"/>
      <c r="J271" s="240"/>
      <c r="K271" s="281"/>
      <c r="L271" s="225"/>
      <c r="M271" s="225"/>
      <c r="N271" s="226"/>
      <c r="O271" s="226"/>
      <c r="P271" s="226"/>
      <c r="Q271" s="226"/>
      <c r="R271" s="226"/>
      <c r="S271" s="223"/>
      <c r="T271" s="781"/>
      <c r="U271" s="781"/>
    </row>
    <row r="272" spans="1:21" x14ac:dyDescent="0.25">
      <c r="A272" s="223"/>
      <c r="B272" s="281"/>
      <c r="C272" s="281"/>
      <c r="D272" s="281"/>
      <c r="E272" s="224"/>
      <c r="F272" s="224"/>
      <c r="G272" s="224"/>
      <c r="H272" s="192"/>
      <c r="I272" s="193"/>
      <c r="J272" s="240"/>
      <c r="K272" s="281"/>
      <c r="L272" s="225"/>
      <c r="M272" s="225"/>
      <c r="N272" s="226"/>
      <c r="O272" s="226"/>
      <c r="P272" s="226"/>
      <c r="Q272" s="226"/>
      <c r="R272" s="226"/>
      <c r="S272" s="223"/>
      <c r="T272" s="781"/>
      <c r="U272" s="781"/>
    </row>
    <row r="273" spans="1:21" x14ac:dyDescent="0.25">
      <c r="A273" s="223"/>
      <c r="B273" s="281"/>
      <c r="C273" s="281"/>
      <c r="D273" s="281"/>
      <c r="E273" s="224"/>
      <c r="F273" s="224"/>
      <c r="G273" s="224"/>
      <c r="H273" s="192"/>
      <c r="I273" s="193"/>
      <c r="J273" s="240"/>
      <c r="K273" s="281"/>
      <c r="L273" s="225"/>
      <c r="M273" s="225"/>
      <c r="N273" s="226"/>
      <c r="O273" s="226"/>
      <c r="P273" s="226"/>
      <c r="Q273" s="226"/>
      <c r="R273" s="226"/>
      <c r="S273" s="223"/>
      <c r="T273" s="781"/>
      <c r="U273" s="781"/>
    </row>
    <row r="274" spans="1:21" x14ac:dyDescent="0.25">
      <c r="A274" s="223"/>
      <c r="B274" s="281"/>
      <c r="C274" s="281"/>
      <c r="D274" s="281"/>
      <c r="E274" s="224"/>
      <c r="F274" s="224"/>
      <c r="G274" s="224"/>
      <c r="H274" s="192"/>
      <c r="I274" s="193"/>
      <c r="J274" s="240"/>
      <c r="K274" s="281"/>
      <c r="L274" s="225"/>
      <c r="M274" s="225"/>
      <c r="N274" s="226"/>
      <c r="O274" s="226"/>
      <c r="P274" s="226"/>
      <c r="Q274" s="226"/>
      <c r="R274" s="226"/>
      <c r="S274" s="223"/>
      <c r="T274" s="781"/>
      <c r="U274" s="781"/>
    </row>
    <row r="275" spans="1:21" x14ac:dyDescent="0.25">
      <c r="A275" s="223"/>
      <c r="B275" s="281"/>
      <c r="C275" s="281"/>
      <c r="D275" s="281"/>
      <c r="E275" s="224"/>
      <c r="F275" s="224"/>
      <c r="G275" s="224"/>
      <c r="H275" s="192"/>
      <c r="I275" s="193"/>
      <c r="J275" s="240"/>
      <c r="K275" s="281"/>
      <c r="L275" s="225"/>
      <c r="M275" s="225"/>
      <c r="N275" s="226"/>
      <c r="O275" s="226"/>
      <c r="P275" s="226"/>
      <c r="Q275" s="226"/>
      <c r="R275" s="226"/>
      <c r="S275" s="223"/>
      <c r="T275" s="781"/>
      <c r="U275" s="781"/>
    </row>
    <row r="276" spans="1:21" x14ac:dyDescent="0.25">
      <c r="A276" s="223"/>
      <c r="B276" s="281"/>
      <c r="C276" s="281"/>
      <c r="D276" s="281"/>
      <c r="E276" s="224"/>
      <c r="F276" s="224"/>
      <c r="G276" s="224"/>
      <c r="H276" s="192"/>
      <c r="I276" s="193"/>
      <c r="J276" s="240"/>
      <c r="K276" s="281"/>
      <c r="L276" s="225"/>
      <c r="M276" s="225"/>
      <c r="N276" s="226"/>
      <c r="O276" s="226"/>
      <c r="P276" s="226"/>
      <c r="Q276" s="226"/>
      <c r="R276" s="226"/>
      <c r="S276" s="223"/>
      <c r="T276" s="781"/>
      <c r="U276" s="781"/>
    </row>
    <row r="277" spans="1:21" x14ac:dyDescent="0.25">
      <c r="A277" s="223"/>
      <c r="B277" s="281"/>
      <c r="C277" s="281"/>
      <c r="D277" s="281"/>
      <c r="E277" s="224"/>
      <c r="F277" s="224"/>
      <c r="G277" s="224"/>
      <c r="H277" s="192"/>
      <c r="I277" s="193"/>
      <c r="J277" s="240"/>
      <c r="K277" s="281"/>
      <c r="L277" s="225"/>
      <c r="M277" s="225"/>
      <c r="N277" s="226"/>
      <c r="O277" s="226"/>
      <c r="P277" s="226"/>
      <c r="Q277" s="226"/>
      <c r="R277" s="226"/>
      <c r="S277" s="223"/>
      <c r="T277" s="781"/>
      <c r="U277" s="781"/>
    </row>
    <row r="278" spans="1:21" x14ac:dyDescent="0.25">
      <c r="A278" s="223"/>
      <c r="B278" s="281"/>
      <c r="C278" s="281"/>
      <c r="D278" s="281"/>
      <c r="E278" s="224"/>
      <c r="F278" s="224"/>
      <c r="G278" s="224"/>
      <c r="H278" s="192"/>
      <c r="I278" s="193"/>
      <c r="J278" s="240"/>
      <c r="K278" s="281"/>
      <c r="L278" s="225"/>
      <c r="M278" s="225"/>
      <c r="N278" s="226"/>
      <c r="O278" s="226"/>
      <c r="P278" s="226"/>
      <c r="Q278" s="226"/>
      <c r="R278" s="226"/>
      <c r="S278" s="223"/>
      <c r="T278" s="781"/>
      <c r="U278" s="781"/>
    </row>
    <row r="279" spans="1:21" x14ac:dyDescent="0.25">
      <c r="A279" s="223"/>
      <c r="B279" s="281"/>
      <c r="C279" s="281"/>
      <c r="D279" s="281"/>
      <c r="E279" s="224"/>
      <c r="F279" s="224"/>
      <c r="G279" s="224"/>
      <c r="H279" s="192"/>
      <c r="I279" s="193"/>
      <c r="J279" s="240"/>
      <c r="K279" s="281"/>
      <c r="L279" s="225"/>
      <c r="M279" s="225"/>
      <c r="N279" s="226"/>
      <c r="O279" s="226"/>
      <c r="P279" s="226"/>
      <c r="Q279" s="226"/>
      <c r="R279" s="226"/>
      <c r="S279" s="223"/>
      <c r="T279" s="781"/>
      <c r="U279" s="781"/>
    </row>
    <row r="280" spans="1:21" x14ac:dyDescent="0.25">
      <c r="A280" s="223"/>
      <c r="B280" s="281"/>
      <c r="C280" s="281"/>
      <c r="D280" s="281"/>
      <c r="E280" s="224"/>
      <c r="F280" s="224"/>
      <c r="G280" s="224"/>
      <c r="H280" s="192"/>
      <c r="I280" s="193"/>
      <c r="J280" s="240"/>
      <c r="K280" s="281"/>
      <c r="L280" s="225"/>
      <c r="M280" s="225"/>
      <c r="N280" s="226"/>
      <c r="O280" s="226"/>
      <c r="P280" s="226"/>
      <c r="Q280" s="226"/>
      <c r="R280" s="226"/>
      <c r="S280" s="223"/>
      <c r="T280" s="781"/>
      <c r="U280" s="781"/>
    </row>
    <row r="281" spans="1:21" x14ac:dyDescent="0.25">
      <c r="A281" s="223"/>
      <c r="B281" s="281"/>
      <c r="C281" s="281"/>
      <c r="D281" s="281"/>
      <c r="E281" s="224"/>
      <c r="F281" s="224"/>
      <c r="G281" s="224"/>
      <c r="H281" s="192"/>
      <c r="I281" s="193"/>
      <c r="J281" s="240"/>
      <c r="K281" s="281"/>
      <c r="L281" s="225"/>
      <c r="M281" s="225"/>
      <c r="N281" s="226"/>
      <c r="O281" s="226"/>
      <c r="P281" s="226"/>
      <c r="Q281" s="226"/>
      <c r="R281" s="226"/>
      <c r="S281" s="223"/>
      <c r="T281" s="781"/>
      <c r="U281" s="781"/>
    </row>
    <row r="282" spans="1:21" x14ac:dyDescent="0.25">
      <c r="A282" s="223"/>
      <c r="B282" s="281"/>
      <c r="C282" s="281"/>
      <c r="D282" s="281"/>
      <c r="E282" s="224"/>
      <c r="F282" s="224"/>
      <c r="G282" s="224"/>
      <c r="H282" s="192"/>
      <c r="I282" s="193"/>
      <c r="J282" s="240"/>
      <c r="K282" s="281"/>
      <c r="L282" s="225"/>
      <c r="M282" s="225"/>
      <c r="N282" s="226"/>
      <c r="O282" s="226"/>
      <c r="P282" s="226"/>
      <c r="Q282" s="226"/>
      <c r="R282" s="226"/>
      <c r="S282" s="223"/>
      <c r="T282" s="781"/>
      <c r="U282" s="781"/>
    </row>
    <row r="283" spans="1:21" x14ac:dyDescent="0.25">
      <c r="A283" s="223"/>
      <c r="B283" s="281"/>
      <c r="C283" s="281"/>
      <c r="D283" s="281"/>
      <c r="E283" s="224"/>
      <c r="F283" s="224"/>
      <c r="G283" s="224"/>
      <c r="H283" s="192"/>
      <c r="I283" s="193"/>
      <c r="J283" s="240"/>
      <c r="K283" s="281"/>
      <c r="L283" s="225"/>
      <c r="M283" s="225"/>
      <c r="N283" s="226"/>
      <c r="O283" s="226"/>
      <c r="P283" s="226"/>
      <c r="Q283" s="226"/>
      <c r="R283" s="226"/>
      <c r="S283" s="223"/>
      <c r="T283" s="781"/>
      <c r="U283" s="781"/>
    </row>
    <row r="284" spans="1:21" x14ac:dyDescent="0.25">
      <c r="A284" s="223"/>
      <c r="B284" s="281"/>
      <c r="C284" s="281"/>
      <c r="D284" s="281"/>
      <c r="E284" s="224"/>
      <c r="F284" s="224"/>
      <c r="G284" s="224"/>
      <c r="H284" s="192"/>
      <c r="I284" s="193"/>
      <c r="J284" s="240"/>
      <c r="K284" s="281"/>
      <c r="L284" s="225"/>
      <c r="M284" s="225"/>
      <c r="N284" s="226"/>
      <c r="O284" s="226"/>
      <c r="P284" s="226"/>
      <c r="Q284" s="226"/>
      <c r="R284" s="226"/>
      <c r="S284" s="223"/>
      <c r="T284" s="781"/>
      <c r="U284" s="781"/>
    </row>
    <row r="285" spans="1:21" x14ac:dyDescent="0.25">
      <c r="A285" s="223"/>
      <c r="B285" s="281"/>
      <c r="C285" s="281"/>
      <c r="D285" s="281"/>
      <c r="E285" s="224"/>
      <c r="F285" s="224"/>
      <c r="G285" s="224"/>
      <c r="H285" s="192"/>
      <c r="I285" s="193"/>
      <c r="J285" s="240"/>
      <c r="K285" s="281"/>
      <c r="L285" s="225"/>
      <c r="M285" s="225"/>
      <c r="N285" s="226"/>
      <c r="O285" s="226"/>
      <c r="P285" s="226"/>
      <c r="Q285" s="226"/>
      <c r="R285" s="226"/>
      <c r="S285" s="223"/>
      <c r="T285" s="781"/>
      <c r="U285" s="781"/>
    </row>
    <row r="286" spans="1:21" x14ac:dyDescent="0.25">
      <c r="A286" s="223"/>
      <c r="B286" s="281"/>
      <c r="C286" s="281"/>
      <c r="D286" s="281"/>
      <c r="E286" s="224"/>
      <c r="F286" s="224"/>
      <c r="G286" s="224"/>
      <c r="H286" s="192"/>
      <c r="I286" s="193"/>
      <c r="J286" s="240"/>
      <c r="K286" s="281"/>
      <c r="L286" s="225"/>
      <c r="M286" s="225"/>
      <c r="N286" s="226"/>
      <c r="O286" s="226"/>
      <c r="P286" s="226"/>
      <c r="Q286" s="226"/>
      <c r="R286" s="226"/>
      <c r="S286" s="223"/>
      <c r="T286" s="781"/>
      <c r="U286" s="781"/>
    </row>
    <row r="287" spans="1:21" x14ac:dyDescent="0.25">
      <c r="A287" s="223"/>
      <c r="B287" s="281"/>
      <c r="C287" s="281"/>
      <c r="D287" s="281"/>
      <c r="E287" s="224"/>
      <c r="F287" s="224"/>
      <c r="G287" s="224"/>
      <c r="H287" s="192"/>
      <c r="I287" s="193"/>
      <c r="J287" s="240"/>
      <c r="K287" s="281"/>
      <c r="L287" s="225"/>
      <c r="M287" s="225"/>
      <c r="N287" s="226"/>
      <c r="O287" s="226"/>
      <c r="P287" s="226"/>
      <c r="Q287" s="226"/>
      <c r="R287" s="226"/>
      <c r="S287" s="223"/>
      <c r="T287" s="781"/>
      <c r="U287" s="781"/>
    </row>
    <row r="288" spans="1:21" x14ac:dyDescent="0.25">
      <c r="A288" s="223"/>
      <c r="B288" s="281"/>
      <c r="C288" s="281"/>
      <c r="D288" s="281"/>
      <c r="E288" s="224"/>
      <c r="F288" s="224"/>
      <c r="G288" s="224"/>
      <c r="H288" s="192"/>
      <c r="I288" s="193"/>
      <c r="J288" s="240"/>
      <c r="K288" s="281"/>
      <c r="L288" s="225"/>
      <c r="M288" s="225"/>
      <c r="N288" s="226"/>
      <c r="O288" s="226"/>
      <c r="P288" s="226"/>
      <c r="Q288" s="226"/>
      <c r="R288" s="226"/>
      <c r="S288" s="223"/>
      <c r="T288" s="781"/>
      <c r="U288" s="781"/>
    </row>
    <row r="289" spans="1:21" x14ac:dyDescent="0.25">
      <c r="A289" s="223"/>
      <c r="B289" s="281"/>
      <c r="C289" s="281"/>
      <c r="D289" s="281"/>
      <c r="E289" s="224"/>
      <c r="F289" s="224"/>
      <c r="G289" s="224"/>
      <c r="H289" s="192"/>
      <c r="I289" s="193"/>
      <c r="J289" s="240"/>
      <c r="K289" s="281"/>
      <c r="L289" s="225"/>
      <c r="M289" s="225"/>
      <c r="N289" s="226"/>
      <c r="O289" s="226"/>
      <c r="P289" s="226"/>
      <c r="Q289" s="226"/>
      <c r="R289" s="226"/>
      <c r="S289" s="223"/>
      <c r="T289" s="781"/>
      <c r="U289" s="781"/>
    </row>
    <row r="290" spans="1:21" x14ac:dyDescent="0.25">
      <c r="A290" s="223"/>
      <c r="B290" s="281"/>
      <c r="C290" s="281"/>
      <c r="D290" s="281"/>
      <c r="E290" s="224"/>
      <c r="F290" s="224"/>
      <c r="G290" s="224"/>
      <c r="H290" s="192"/>
      <c r="I290" s="193"/>
      <c r="J290" s="240"/>
      <c r="K290" s="281"/>
      <c r="L290" s="225"/>
      <c r="M290" s="225"/>
      <c r="N290" s="226"/>
      <c r="O290" s="226"/>
      <c r="P290" s="226"/>
      <c r="Q290" s="226"/>
      <c r="R290" s="226"/>
      <c r="S290" s="223"/>
      <c r="T290" s="781"/>
      <c r="U290" s="781"/>
    </row>
    <row r="291" spans="1:21" x14ac:dyDescent="0.25">
      <c r="A291" s="223"/>
      <c r="B291" s="281"/>
      <c r="C291" s="281"/>
      <c r="D291" s="281"/>
      <c r="E291" s="224"/>
      <c r="F291" s="224"/>
      <c r="G291" s="224"/>
      <c r="H291" s="192"/>
      <c r="I291" s="193"/>
      <c r="J291" s="240"/>
      <c r="K291" s="281"/>
      <c r="L291" s="225"/>
      <c r="M291" s="225"/>
      <c r="N291" s="226"/>
      <c r="O291" s="226"/>
      <c r="P291" s="226"/>
      <c r="Q291" s="226"/>
      <c r="R291" s="226"/>
      <c r="S291" s="223"/>
      <c r="T291" s="781"/>
      <c r="U291" s="781"/>
    </row>
    <row r="292" spans="1:21" x14ac:dyDescent="0.25">
      <c r="A292" s="223"/>
      <c r="B292" s="281"/>
      <c r="C292" s="281"/>
      <c r="D292" s="281"/>
      <c r="E292" s="224"/>
      <c r="F292" s="224"/>
      <c r="G292" s="224"/>
      <c r="H292" s="192"/>
      <c r="I292" s="193"/>
      <c r="J292" s="240"/>
      <c r="K292" s="281"/>
      <c r="L292" s="225"/>
      <c r="M292" s="225"/>
      <c r="N292" s="226"/>
      <c r="O292" s="226"/>
      <c r="P292" s="226"/>
      <c r="Q292" s="226"/>
      <c r="R292" s="226"/>
      <c r="S292" s="223"/>
      <c r="T292" s="781"/>
      <c r="U292" s="781"/>
    </row>
    <row r="293" spans="1:21" x14ac:dyDescent="0.25">
      <c r="A293" s="223"/>
      <c r="B293" s="281"/>
      <c r="C293" s="281"/>
      <c r="D293" s="281"/>
      <c r="E293" s="224"/>
      <c r="F293" s="224"/>
      <c r="G293" s="224"/>
      <c r="H293" s="192"/>
      <c r="I293" s="193"/>
      <c r="J293" s="240"/>
      <c r="K293" s="281"/>
      <c r="L293" s="225"/>
      <c r="M293" s="225"/>
      <c r="N293" s="226"/>
      <c r="O293" s="226"/>
      <c r="P293" s="226"/>
      <c r="Q293" s="226"/>
      <c r="R293" s="226"/>
      <c r="S293" s="223"/>
      <c r="T293" s="781"/>
      <c r="U293" s="781"/>
    </row>
    <row r="294" spans="1:21" x14ac:dyDescent="0.25">
      <c r="A294" s="223"/>
      <c r="B294" s="281"/>
      <c r="C294" s="281"/>
      <c r="D294" s="281"/>
      <c r="E294" s="224"/>
      <c r="F294" s="224"/>
      <c r="G294" s="224"/>
      <c r="H294" s="192"/>
      <c r="I294" s="193"/>
      <c r="J294" s="240"/>
      <c r="K294" s="281"/>
      <c r="L294" s="225"/>
      <c r="M294" s="225"/>
      <c r="N294" s="226"/>
      <c r="O294" s="226"/>
      <c r="P294" s="226"/>
      <c r="Q294" s="226"/>
      <c r="R294" s="226"/>
      <c r="S294" s="223"/>
      <c r="T294" s="781"/>
      <c r="U294" s="781"/>
    </row>
    <row r="295" spans="1:21" x14ac:dyDescent="0.25">
      <c r="A295" s="223"/>
      <c r="B295" s="281"/>
      <c r="C295" s="281"/>
      <c r="D295" s="281"/>
      <c r="E295" s="224"/>
      <c r="F295" s="224"/>
      <c r="G295" s="224"/>
      <c r="H295" s="192"/>
      <c r="I295" s="193"/>
      <c r="J295" s="240"/>
      <c r="K295" s="281"/>
      <c r="L295" s="225"/>
      <c r="M295" s="225"/>
      <c r="N295" s="226"/>
      <c r="O295" s="226"/>
      <c r="P295" s="226"/>
      <c r="Q295" s="226"/>
      <c r="R295" s="226"/>
      <c r="S295" s="223"/>
      <c r="T295" s="781"/>
      <c r="U295" s="781"/>
    </row>
    <row r="296" spans="1:21" x14ac:dyDescent="0.25">
      <c r="A296" s="223"/>
      <c r="B296" s="281"/>
      <c r="C296" s="281"/>
      <c r="D296" s="281"/>
      <c r="E296" s="224"/>
      <c r="F296" s="224"/>
      <c r="G296" s="224"/>
      <c r="H296" s="192"/>
      <c r="I296" s="193"/>
      <c r="J296" s="240"/>
      <c r="K296" s="281"/>
      <c r="L296" s="225"/>
      <c r="M296" s="225"/>
      <c r="N296" s="226"/>
      <c r="O296" s="226"/>
      <c r="P296" s="226"/>
      <c r="Q296" s="226"/>
      <c r="R296" s="226"/>
      <c r="S296" s="223"/>
      <c r="T296" s="781"/>
      <c r="U296" s="781"/>
    </row>
    <row r="297" spans="1:21" x14ac:dyDescent="0.25">
      <c r="A297" s="223"/>
      <c r="B297" s="281"/>
      <c r="C297" s="281"/>
      <c r="D297" s="281"/>
      <c r="E297" s="224"/>
      <c r="F297" s="224"/>
      <c r="G297" s="224"/>
      <c r="H297" s="192"/>
      <c r="I297" s="193"/>
      <c r="J297" s="240"/>
      <c r="K297" s="281"/>
      <c r="L297" s="225"/>
      <c r="M297" s="225"/>
      <c r="N297" s="226"/>
      <c r="O297" s="226"/>
      <c r="P297" s="226"/>
      <c r="Q297" s="226"/>
      <c r="R297" s="226"/>
      <c r="S297" s="223"/>
      <c r="T297" s="781"/>
      <c r="U297" s="781"/>
    </row>
    <row r="298" spans="1:21" x14ac:dyDescent="0.25">
      <c r="A298" s="223"/>
      <c r="B298" s="281"/>
      <c r="C298" s="281"/>
      <c r="D298" s="281"/>
      <c r="E298" s="224"/>
      <c r="F298" s="224"/>
      <c r="G298" s="224"/>
      <c r="H298" s="192"/>
      <c r="I298" s="193"/>
      <c r="J298" s="240"/>
      <c r="K298" s="281"/>
      <c r="L298" s="225"/>
      <c r="M298" s="225"/>
      <c r="N298" s="226"/>
      <c r="O298" s="226"/>
      <c r="P298" s="226"/>
      <c r="Q298" s="226"/>
      <c r="R298" s="226"/>
      <c r="S298" s="223"/>
      <c r="T298" s="781"/>
      <c r="U298" s="781"/>
    </row>
    <row r="299" spans="1:21" x14ac:dyDescent="0.25">
      <c r="A299" s="223"/>
      <c r="B299" s="281"/>
      <c r="C299" s="281"/>
      <c r="D299" s="281"/>
      <c r="E299" s="224"/>
      <c r="F299" s="224"/>
      <c r="G299" s="224"/>
      <c r="H299" s="192"/>
      <c r="I299" s="193"/>
      <c r="J299" s="240"/>
      <c r="K299" s="281"/>
      <c r="L299" s="225"/>
      <c r="M299" s="225"/>
      <c r="N299" s="226"/>
      <c r="O299" s="226"/>
      <c r="P299" s="226"/>
      <c r="Q299" s="226"/>
      <c r="R299" s="226"/>
      <c r="S299" s="223"/>
      <c r="T299" s="781"/>
      <c r="U299" s="781"/>
    </row>
    <row r="300" spans="1:21" x14ac:dyDescent="0.25">
      <c r="A300" s="223"/>
      <c r="B300" s="281"/>
      <c r="C300" s="281"/>
      <c r="D300" s="281"/>
      <c r="E300" s="224"/>
      <c r="F300" s="224"/>
      <c r="G300" s="224"/>
      <c r="H300" s="192"/>
      <c r="I300" s="193"/>
      <c r="J300" s="240"/>
      <c r="K300" s="281"/>
      <c r="L300" s="225"/>
      <c r="M300" s="225"/>
      <c r="N300" s="226"/>
      <c r="O300" s="226"/>
      <c r="P300" s="226"/>
      <c r="Q300" s="226"/>
      <c r="R300" s="226"/>
      <c r="S300" s="223"/>
      <c r="T300" s="781"/>
      <c r="U300" s="781"/>
    </row>
  </sheetData>
  <sheetProtection selectLockedCells="1"/>
  <mergeCells count="308">
    <mergeCell ref="T297:U297"/>
    <mergeCell ref="T298:U298"/>
    <mergeCell ref="T299:U299"/>
    <mergeCell ref="T300:U300"/>
    <mergeCell ref="T291:U291"/>
    <mergeCell ref="T292:U292"/>
    <mergeCell ref="T293:U293"/>
    <mergeCell ref="T294:U294"/>
    <mergeCell ref="T295:U295"/>
    <mergeCell ref="T296:U296"/>
    <mergeCell ref="T285:U285"/>
    <mergeCell ref="T286:U286"/>
    <mergeCell ref="T287:U287"/>
    <mergeCell ref="T288:U288"/>
    <mergeCell ref="T289:U289"/>
    <mergeCell ref="T290:U290"/>
    <mergeCell ref="T279:U279"/>
    <mergeCell ref="T280:U280"/>
    <mergeCell ref="T281:U281"/>
    <mergeCell ref="T282:U282"/>
    <mergeCell ref="T283:U283"/>
    <mergeCell ref="T284:U284"/>
    <mergeCell ref="T273:U273"/>
    <mergeCell ref="T274:U274"/>
    <mergeCell ref="T275:U275"/>
    <mergeCell ref="T276:U276"/>
    <mergeCell ref="T277:U277"/>
    <mergeCell ref="T278:U278"/>
    <mergeCell ref="T267:U267"/>
    <mergeCell ref="T268:U268"/>
    <mergeCell ref="T269:U269"/>
    <mergeCell ref="T270:U270"/>
    <mergeCell ref="T271:U271"/>
    <mergeCell ref="T272:U272"/>
    <mergeCell ref="T261:U261"/>
    <mergeCell ref="T262:U262"/>
    <mergeCell ref="T263:U263"/>
    <mergeCell ref="T264:U264"/>
    <mergeCell ref="T265:U265"/>
    <mergeCell ref="T266:U266"/>
    <mergeCell ref="T255:U255"/>
    <mergeCell ref="T256:U256"/>
    <mergeCell ref="T257:U257"/>
    <mergeCell ref="T258:U258"/>
    <mergeCell ref="T259:U259"/>
    <mergeCell ref="T260:U260"/>
    <mergeCell ref="T249:U249"/>
    <mergeCell ref="T250:U250"/>
    <mergeCell ref="T251:U251"/>
    <mergeCell ref="T252:U252"/>
    <mergeCell ref="T253:U253"/>
    <mergeCell ref="T254:U254"/>
    <mergeCell ref="T243:U243"/>
    <mergeCell ref="T244:U244"/>
    <mergeCell ref="T245:U245"/>
    <mergeCell ref="T246:U246"/>
    <mergeCell ref="T247:U247"/>
    <mergeCell ref="T248:U248"/>
    <mergeCell ref="T237:U237"/>
    <mergeCell ref="T238:U238"/>
    <mergeCell ref="T239:U239"/>
    <mergeCell ref="T240:U240"/>
    <mergeCell ref="T241:U241"/>
    <mergeCell ref="T242:U242"/>
    <mergeCell ref="T231:U231"/>
    <mergeCell ref="T232:U232"/>
    <mergeCell ref="T233:U233"/>
    <mergeCell ref="T234:U234"/>
    <mergeCell ref="T235:U235"/>
    <mergeCell ref="T236:U236"/>
    <mergeCell ref="T225:U225"/>
    <mergeCell ref="T226:U226"/>
    <mergeCell ref="T227:U227"/>
    <mergeCell ref="T228:U228"/>
    <mergeCell ref="T229:U229"/>
    <mergeCell ref="T230:U230"/>
    <mergeCell ref="T219:U219"/>
    <mergeCell ref="T220:U220"/>
    <mergeCell ref="T221:U221"/>
    <mergeCell ref="T222:U222"/>
    <mergeCell ref="T223:U223"/>
    <mergeCell ref="T224:U224"/>
    <mergeCell ref="T213:U213"/>
    <mergeCell ref="T214:U214"/>
    <mergeCell ref="T215:U215"/>
    <mergeCell ref="T216:U216"/>
    <mergeCell ref="T217:U217"/>
    <mergeCell ref="T218:U218"/>
    <mergeCell ref="T207:U207"/>
    <mergeCell ref="T208:U208"/>
    <mergeCell ref="T209:U209"/>
    <mergeCell ref="T210:U210"/>
    <mergeCell ref="T211:U211"/>
    <mergeCell ref="T212:U212"/>
    <mergeCell ref="T201:U201"/>
    <mergeCell ref="T202:U202"/>
    <mergeCell ref="T203:U203"/>
    <mergeCell ref="T204:U204"/>
    <mergeCell ref="T205:U205"/>
    <mergeCell ref="T206:U206"/>
    <mergeCell ref="T195:U195"/>
    <mergeCell ref="T196:U196"/>
    <mergeCell ref="T197:U197"/>
    <mergeCell ref="T198:U198"/>
    <mergeCell ref="T199:U199"/>
    <mergeCell ref="T200:U200"/>
    <mergeCell ref="T189:U189"/>
    <mergeCell ref="T190:U190"/>
    <mergeCell ref="T191:U191"/>
    <mergeCell ref="T192:U192"/>
    <mergeCell ref="T193:U193"/>
    <mergeCell ref="T194:U194"/>
    <mergeCell ref="T183:U183"/>
    <mergeCell ref="T184:U184"/>
    <mergeCell ref="T185:U185"/>
    <mergeCell ref="T186:U186"/>
    <mergeCell ref="T187:U187"/>
    <mergeCell ref="T188:U188"/>
    <mergeCell ref="T177:U177"/>
    <mergeCell ref="T178:U178"/>
    <mergeCell ref="T179:U179"/>
    <mergeCell ref="T180:U180"/>
    <mergeCell ref="T181:U181"/>
    <mergeCell ref="T182:U182"/>
    <mergeCell ref="T171:U171"/>
    <mergeCell ref="T172:U172"/>
    <mergeCell ref="T173:U173"/>
    <mergeCell ref="T174:U174"/>
    <mergeCell ref="T175:U175"/>
    <mergeCell ref="T176:U176"/>
    <mergeCell ref="T165:U165"/>
    <mergeCell ref="T166:U166"/>
    <mergeCell ref="T167:U167"/>
    <mergeCell ref="T168:U168"/>
    <mergeCell ref="T169:U169"/>
    <mergeCell ref="T170:U170"/>
    <mergeCell ref="T159:U159"/>
    <mergeCell ref="T160:U160"/>
    <mergeCell ref="T161:U161"/>
    <mergeCell ref="T162:U162"/>
    <mergeCell ref="T163:U163"/>
    <mergeCell ref="T164:U164"/>
    <mergeCell ref="T153:U153"/>
    <mergeCell ref="T154:U154"/>
    <mergeCell ref="T155:U155"/>
    <mergeCell ref="T156:U156"/>
    <mergeCell ref="T157:U157"/>
    <mergeCell ref="T158:U158"/>
    <mergeCell ref="T147:U147"/>
    <mergeCell ref="T148:U148"/>
    <mergeCell ref="T149:U149"/>
    <mergeCell ref="T150:U150"/>
    <mergeCell ref="T151:U151"/>
    <mergeCell ref="T152:U152"/>
    <mergeCell ref="T141:U141"/>
    <mergeCell ref="T142:U142"/>
    <mergeCell ref="T143:U143"/>
    <mergeCell ref="T144:U144"/>
    <mergeCell ref="T145:U145"/>
    <mergeCell ref="T146:U146"/>
    <mergeCell ref="T135:U135"/>
    <mergeCell ref="T136:U136"/>
    <mergeCell ref="T137:U137"/>
    <mergeCell ref="T138:U138"/>
    <mergeCell ref="T139:U139"/>
    <mergeCell ref="T140:U140"/>
    <mergeCell ref="T129:U129"/>
    <mergeCell ref="T130:U130"/>
    <mergeCell ref="T131:U131"/>
    <mergeCell ref="T132:U132"/>
    <mergeCell ref="T133:U133"/>
    <mergeCell ref="T134:U134"/>
    <mergeCell ref="T123:U123"/>
    <mergeCell ref="T124:U124"/>
    <mergeCell ref="T125:U125"/>
    <mergeCell ref="T126:U126"/>
    <mergeCell ref="T127:U127"/>
    <mergeCell ref="T128:U128"/>
    <mergeCell ref="T117:U117"/>
    <mergeCell ref="T118:U118"/>
    <mergeCell ref="T119:U119"/>
    <mergeCell ref="T120:U120"/>
    <mergeCell ref="T121:U121"/>
    <mergeCell ref="T122:U122"/>
    <mergeCell ref="T111:U111"/>
    <mergeCell ref="T112:U112"/>
    <mergeCell ref="T113:U113"/>
    <mergeCell ref="T114:U114"/>
    <mergeCell ref="T115:U115"/>
    <mergeCell ref="T116:U116"/>
    <mergeCell ref="T105:U105"/>
    <mergeCell ref="T106:U106"/>
    <mergeCell ref="T107:U107"/>
    <mergeCell ref="T108:U108"/>
    <mergeCell ref="T109:U109"/>
    <mergeCell ref="T110:U110"/>
    <mergeCell ref="T99:U99"/>
    <mergeCell ref="T100:U100"/>
    <mergeCell ref="T101:U101"/>
    <mergeCell ref="T102:U102"/>
    <mergeCell ref="T103:U103"/>
    <mergeCell ref="T104:U104"/>
    <mergeCell ref="T93:U93"/>
    <mergeCell ref="T94:U94"/>
    <mergeCell ref="T95:U95"/>
    <mergeCell ref="T96:U96"/>
    <mergeCell ref="T97:U97"/>
    <mergeCell ref="T98:U98"/>
    <mergeCell ref="T87:U87"/>
    <mergeCell ref="T88:U88"/>
    <mergeCell ref="T89:U89"/>
    <mergeCell ref="T90:U90"/>
    <mergeCell ref="T91:U91"/>
    <mergeCell ref="T92:U92"/>
    <mergeCell ref="T81:U81"/>
    <mergeCell ref="T82:U82"/>
    <mergeCell ref="T83:U83"/>
    <mergeCell ref="T84:U84"/>
    <mergeCell ref="T85:U85"/>
    <mergeCell ref="T86:U86"/>
    <mergeCell ref="T75:U75"/>
    <mergeCell ref="T76:U76"/>
    <mergeCell ref="T77:U77"/>
    <mergeCell ref="T78:U78"/>
    <mergeCell ref="T79:U79"/>
    <mergeCell ref="T80:U80"/>
    <mergeCell ref="T69:U69"/>
    <mergeCell ref="T70:U70"/>
    <mergeCell ref="T71:U71"/>
    <mergeCell ref="T72:U72"/>
    <mergeCell ref="T73:U73"/>
    <mergeCell ref="T74:U74"/>
    <mergeCell ref="T63:U63"/>
    <mergeCell ref="T64:U64"/>
    <mergeCell ref="T65:U65"/>
    <mergeCell ref="T66:U66"/>
    <mergeCell ref="T67:U67"/>
    <mergeCell ref="T68:U68"/>
    <mergeCell ref="T57:U57"/>
    <mergeCell ref="T58:U58"/>
    <mergeCell ref="T59:U59"/>
    <mergeCell ref="T60:U60"/>
    <mergeCell ref="T61:U61"/>
    <mergeCell ref="T62:U62"/>
    <mergeCell ref="T51:U51"/>
    <mergeCell ref="T52:U52"/>
    <mergeCell ref="T53:U53"/>
    <mergeCell ref="T54:U54"/>
    <mergeCell ref="T55:U55"/>
    <mergeCell ref="T56:U56"/>
    <mergeCell ref="T45:U45"/>
    <mergeCell ref="T46:U46"/>
    <mergeCell ref="T47:U47"/>
    <mergeCell ref="T48:U48"/>
    <mergeCell ref="T49:U49"/>
    <mergeCell ref="T50:U50"/>
    <mergeCell ref="T39:U39"/>
    <mergeCell ref="T40:U40"/>
    <mergeCell ref="T41:U41"/>
    <mergeCell ref="T42:U42"/>
    <mergeCell ref="T43:U43"/>
    <mergeCell ref="T44:U44"/>
    <mergeCell ref="T33:U33"/>
    <mergeCell ref="T34:U34"/>
    <mergeCell ref="T35:U35"/>
    <mergeCell ref="T36:U36"/>
    <mergeCell ref="T37:U37"/>
    <mergeCell ref="T38:U38"/>
    <mergeCell ref="T27:U27"/>
    <mergeCell ref="T28:U28"/>
    <mergeCell ref="T29:U29"/>
    <mergeCell ref="T30:U30"/>
    <mergeCell ref="T31:U31"/>
    <mergeCell ref="T32:U32"/>
    <mergeCell ref="T21:U21"/>
    <mergeCell ref="T22:U22"/>
    <mergeCell ref="T23:U23"/>
    <mergeCell ref="T24:U24"/>
    <mergeCell ref="T25:U25"/>
    <mergeCell ref="T26:U26"/>
    <mergeCell ref="T16:U16"/>
    <mergeCell ref="T17:U17"/>
    <mergeCell ref="T18:U18"/>
    <mergeCell ref="H19:I19"/>
    <mergeCell ref="T19:U19"/>
    <mergeCell ref="T20:U20"/>
    <mergeCell ref="T10:U10"/>
    <mergeCell ref="T11:U11"/>
    <mergeCell ref="T12:U12"/>
    <mergeCell ref="T13:U13"/>
    <mergeCell ref="T14:U14"/>
    <mergeCell ref="T15:U15"/>
    <mergeCell ref="T4:U4"/>
    <mergeCell ref="T5:U5"/>
    <mergeCell ref="T6:U6"/>
    <mergeCell ref="T7:U7"/>
    <mergeCell ref="T8:U8"/>
    <mergeCell ref="T9:U9"/>
    <mergeCell ref="A1:G2"/>
    <mergeCell ref="O1:R1"/>
    <mergeCell ref="S1:U3"/>
    <mergeCell ref="H2:I2"/>
    <mergeCell ref="J2:K2"/>
    <mergeCell ref="O2:R2"/>
    <mergeCell ref="A3:C3"/>
    <mergeCell ref="D3:G3"/>
    <mergeCell ref="J3:M3"/>
    <mergeCell ref="N3:R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01"/>
  <sheetViews>
    <sheetView zoomScaleNormal="100" workbookViewId="0">
      <pane ySplit="1" topLeftCell="A2" activePane="bottomLeft" state="frozen"/>
      <selection pane="bottomLeft" activeCell="E21" sqref="E21"/>
    </sheetView>
  </sheetViews>
  <sheetFormatPr defaultRowHeight="15" x14ac:dyDescent="0.25"/>
  <cols>
    <col min="1" max="1" width="14.5703125" style="11" bestFit="1" customWidth="1"/>
    <col min="2" max="2" width="15.5703125" style="11" customWidth="1"/>
    <col min="3" max="3" width="14.85546875" style="11" customWidth="1"/>
    <col min="4" max="4" width="12.85546875" style="11" customWidth="1"/>
    <col min="5" max="5" width="16" style="11" customWidth="1"/>
    <col min="6" max="6" width="43.42578125" style="11" customWidth="1"/>
    <col min="7" max="7" width="41.7109375" style="11" customWidth="1"/>
    <col min="8" max="8" width="29.28515625" style="11" customWidth="1"/>
    <col min="9" max="9" width="31.140625" style="11" customWidth="1"/>
    <col min="10" max="16384" width="9.140625" style="11"/>
  </cols>
  <sheetData>
    <row r="1" spans="1:9" x14ac:dyDescent="0.25">
      <c r="A1" s="10" t="s">
        <v>264</v>
      </c>
      <c r="B1" s="10" t="s">
        <v>265</v>
      </c>
      <c r="C1" s="10" t="s">
        <v>266</v>
      </c>
      <c r="D1" s="10" t="s">
        <v>267</v>
      </c>
      <c r="E1" s="10" t="s">
        <v>248</v>
      </c>
      <c r="F1" s="10" t="s">
        <v>264</v>
      </c>
      <c r="G1" s="10" t="s">
        <v>265</v>
      </c>
      <c r="H1" s="10" t="s">
        <v>266</v>
      </c>
      <c r="I1" s="10" t="s">
        <v>267</v>
      </c>
    </row>
    <row r="2" spans="1:9" ht="14.25" customHeight="1" x14ac:dyDescent="0.25">
      <c r="F2" s="11" t="s">
        <v>413</v>
      </c>
      <c r="G2" s="12" t="s">
        <v>396</v>
      </c>
      <c r="H2" s="12" t="s">
        <v>385</v>
      </c>
    </row>
    <row r="3" spans="1:9" x14ac:dyDescent="0.25">
      <c r="A3" s="12" t="s">
        <v>412</v>
      </c>
      <c r="B3" s="12" t="s">
        <v>268</v>
      </c>
      <c r="C3" s="12" t="s">
        <v>14</v>
      </c>
      <c r="D3" s="12" t="s">
        <v>249</v>
      </c>
      <c r="E3" s="12" t="s">
        <v>8</v>
      </c>
      <c r="F3" s="12" t="s">
        <v>430</v>
      </c>
      <c r="G3" s="12" t="s">
        <v>397</v>
      </c>
      <c r="H3" s="12" t="s">
        <v>383</v>
      </c>
      <c r="I3" s="12" t="s">
        <v>288</v>
      </c>
    </row>
    <row r="4" spans="1:9" x14ac:dyDescent="0.25">
      <c r="A4" s="12" t="s">
        <v>432</v>
      </c>
      <c r="B4" s="12" t="s">
        <v>269</v>
      </c>
      <c r="C4" s="12" t="s">
        <v>270</v>
      </c>
      <c r="D4" s="12" t="s">
        <v>277</v>
      </c>
      <c r="E4" s="12" t="s">
        <v>19</v>
      </c>
      <c r="F4" s="12" t="s">
        <v>434</v>
      </c>
      <c r="G4" s="12" t="s">
        <v>401</v>
      </c>
      <c r="H4" s="12" t="s">
        <v>384</v>
      </c>
      <c r="I4" s="12" t="s">
        <v>287</v>
      </c>
    </row>
    <row r="5" spans="1:9" x14ac:dyDescent="0.25">
      <c r="A5" s="12" t="s">
        <v>429</v>
      </c>
      <c r="B5" s="12" t="s">
        <v>443</v>
      </c>
      <c r="C5" s="12" t="s">
        <v>386</v>
      </c>
      <c r="D5" s="12" t="s">
        <v>279</v>
      </c>
      <c r="E5" s="12" t="s">
        <v>9</v>
      </c>
      <c r="F5" s="12" t="s">
        <v>435</v>
      </c>
      <c r="G5" s="12" t="s">
        <v>400</v>
      </c>
      <c r="H5" s="12" t="s">
        <v>475</v>
      </c>
      <c r="I5" s="12" t="s">
        <v>455</v>
      </c>
    </row>
    <row r="6" spans="1:9" x14ac:dyDescent="0.25">
      <c r="A6" s="12" t="s">
        <v>398</v>
      </c>
      <c r="B6" s="12" t="s">
        <v>445</v>
      </c>
      <c r="C6" s="12" t="s">
        <v>389</v>
      </c>
      <c r="D6" s="12" t="s">
        <v>278</v>
      </c>
      <c r="E6" s="12" t="s">
        <v>271</v>
      </c>
      <c r="F6" s="12" t="s">
        <v>510</v>
      </c>
      <c r="G6" s="12" t="s">
        <v>405</v>
      </c>
      <c r="H6" s="12" t="s">
        <v>472</v>
      </c>
      <c r="I6" s="12" t="s">
        <v>454</v>
      </c>
    </row>
    <row r="7" spans="1:9" x14ac:dyDescent="0.25">
      <c r="A7" s="12" t="s">
        <v>249</v>
      </c>
      <c r="B7" s="12" t="s">
        <v>465</v>
      </c>
      <c r="C7" s="12"/>
      <c r="D7" s="12" t="s">
        <v>536</v>
      </c>
      <c r="E7" s="12" t="s">
        <v>250</v>
      </c>
      <c r="F7" s="12" t="s">
        <v>517</v>
      </c>
      <c r="G7" s="12" t="s">
        <v>407</v>
      </c>
      <c r="H7" s="12" t="s">
        <v>388</v>
      </c>
      <c r="I7" s="12" t="s">
        <v>453</v>
      </c>
    </row>
    <row r="8" spans="1:9" x14ac:dyDescent="0.25">
      <c r="A8" s="12"/>
      <c r="B8" s="12" t="s">
        <v>402</v>
      </c>
      <c r="C8" s="12"/>
      <c r="D8" s="12"/>
      <c r="E8" s="12" t="s">
        <v>272</v>
      </c>
      <c r="F8" s="12"/>
      <c r="G8" s="12" t="s">
        <v>409</v>
      </c>
      <c r="H8" s="12" t="s">
        <v>391</v>
      </c>
      <c r="I8" s="12" t="s">
        <v>451</v>
      </c>
    </row>
    <row r="9" spans="1:9" x14ac:dyDescent="0.25">
      <c r="A9" s="12"/>
      <c r="B9" s="12" t="s">
        <v>403</v>
      </c>
      <c r="C9" s="12"/>
      <c r="D9" s="12"/>
      <c r="E9" s="12" t="s">
        <v>273</v>
      </c>
      <c r="F9" s="12"/>
      <c r="G9" s="12" t="s">
        <v>411</v>
      </c>
      <c r="H9" s="12" t="s">
        <v>437</v>
      </c>
      <c r="I9" s="12" t="s">
        <v>452</v>
      </c>
    </row>
    <row r="10" spans="1:9" x14ac:dyDescent="0.25">
      <c r="A10" s="12"/>
      <c r="B10" s="12" t="s">
        <v>398</v>
      </c>
      <c r="C10" s="12"/>
      <c r="D10" s="12"/>
      <c r="E10" s="12" t="s">
        <v>274</v>
      </c>
      <c r="F10" s="12"/>
      <c r="G10" s="12" t="s">
        <v>490</v>
      </c>
      <c r="H10" s="12" t="s">
        <v>522</v>
      </c>
      <c r="I10" s="12" t="s">
        <v>456</v>
      </c>
    </row>
    <row r="11" spans="1:9" x14ac:dyDescent="0.25">
      <c r="A11" s="12"/>
      <c r="B11" s="12" t="s">
        <v>249</v>
      </c>
      <c r="C11" s="12"/>
      <c r="D11" s="12"/>
      <c r="E11" s="12" t="s">
        <v>275</v>
      </c>
      <c r="F11" s="12"/>
      <c r="G11" s="12" t="s">
        <v>444</v>
      </c>
      <c r="H11" s="12"/>
      <c r="I11" s="12" t="s">
        <v>392</v>
      </c>
    </row>
    <row r="12" spans="1:9" x14ac:dyDescent="0.25">
      <c r="A12" s="12"/>
      <c r="B12" s="12"/>
      <c r="C12" s="12"/>
      <c r="D12" s="12"/>
      <c r="E12" s="12" t="s">
        <v>276</v>
      </c>
      <c r="F12" s="12"/>
      <c r="G12" s="12" t="s">
        <v>446</v>
      </c>
      <c r="H12" s="12"/>
      <c r="I12" s="12" t="s">
        <v>393</v>
      </c>
    </row>
    <row r="13" spans="1:9" x14ac:dyDescent="0.25">
      <c r="A13" s="12"/>
      <c r="B13" s="12"/>
      <c r="C13" s="12"/>
      <c r="D13" s="12"/>
      <c r="E13" s="12" t="s">
        <v>263</v>
      </c>
      <c r="F13" s="12"/>
      <c r="G13" s="12" t="s">
        <v>466</v>
      </c>
      <c r="H13" s="12"/>
      <c r="I13" s="12" t="s">
        <v>440</v>
      </c>
    </row>
    <row r="14" spans="1:9" x14ac:dyDescent="0.25">
      <c r="A14" s="12"/>
      <c r="B14" s="12"/>
      <c r="C14" s="12"/>
      <c r="D14" s="12"/>
      <c r="E14" s="12" t="s">
        <v>286</v>
      </c>
      <c r="F14" s="12"/>
      <c r="G14" s="12" t="s">
        <v>471</v>
      </c>
      <c r="H14" s="12"/>
      <c r="I14" s="12" t="s">
        <v>442</v>
      </c>
    </row>
    <row r="15" spans="1:9" ht="15.75" customHeight="1" x14ac:dyDescent="0.25">
      <c r="A15" s="12"/>
      <c r="B15" s="12"/>
      <c r="C15" s="12"/>
      <c r="D15" s="12"/>
      <c r="E15" s="12" t="s">
        <v>438</v>
      </c>
      <c r="F15" s="12"/>
      <c r="G15" s="12" t="s">
        <v>487</v>
      </c>
      <c r="H15" s="12"/>
      <c r="I15" s="12" t="s">
        <v>470</v>
      </c>
    </row>
    <row r="16" spans="1:9" ht="15.75" customHeight="1" x14ac:dyDescent="0.25">
      <c r="A16" s="12"/>
      <c r="B16" s="12"/>
      <c r="C16" s="12"/>
      <c r="D16" s="12"/>
      <c r="E16" s="12" t="s">
        <v>441</v>
      </c>
      <c r="F16" s="12"/>
      <c r="G16" s="12" t="s">
        <v>503</v>
      </c>
      <c r="I16" s="12" t="s">
        <v>469</v>
      </c>
    </row>
    <row r="17" spans="1:9" x14ac:dyDescent="0.25">
      <c r="A17" s="12"/>
      <c r="B17" s="12"/>
      <c r="C17" s="12"/>
      <c r="D17" s="12"/>
      <c r="E17" s="12" t="s">
        <v>19</v>
      </c>
      <c r="F17" s="12"/>
      <c r="G17" s="12" t="s">
        <v>507</v>
      </c>
      <c r="H17" s="12"/>
      <c r="I17" s="12" t="s">
        <v>463</v>
      </c>
    </row>
    <row r="18" spans="1:9" x14ac:dyDescent="0.25">
      <c r="A18" s="12"/>
      <c r="B18" s="12"/>
      <c r="C18" s="12"/>
      <c r="D18" s="12"/>
      <c r="E18" s="12" t="s">
        <v>518</v>
      </c>
      <c r="F18" s="12"/>
      <c r="G18" s="12" t="s">
        <v>508</v>
      </c>
      <c r="I18" s="12" t="s">
        <v>468</v>
      </c>
    </row>
    <row r="19" spans="1:9" x14ac:dyDescent="0.25">
      <c r="A19" s="12"/>
      <c r="B19" s="12"/>
      <c r="C19" s="12"/>
      <c r="D19" s="12"/>
      <c r="E19" s="12" t="s">
        <v>547</v>
      </c>
      <c r="F19" s="12"/>
      <c r="G19" s="301" t="s">
        <v>530</v>
      </c>
      <c r="H19" s="301"/>
      <c r="I19" s="12" t="s">
        <v>467</v>
      </c>
    </row>
    <row r="20" spans="1:9" x14ac:dyDescent="0.25">
      <c r="A20" s="12"/>
      <c r="B20" s="12"/>
      <c r="C20" s="12"/>
      <c r="D20" s="12"/>
      <c r="E20" s="12" t="s">
        <v>548</v>
      </c>
      <c r="F20" s="12"/>
      <c r="G20" s="12"/>
      <c r="I20" s="12" t="s">
        <v>477</v>
      </c>
    </row>
    <row r="21" spans="1:9" x14ac:dyDescent="0.25">
      <c r="A21" s="12"/>
      <c r="B21" s="12"/>
      <c r="C21" s="12"/>
      <c r="D21" s="12"/>
      <c r="E21" s="12"/>
      <c r="F21" s="12"/>
      <c r="G21" s="12"/>
      <c r="H21" s="12"/>
      <c r="I21" s="12" t="s">
        <v>478</v>
      </c>
    </row>
    <row r="22" spans="1:9" x14ac:dyDescent="0.25">
      <c r="A22" s="12"/>
      <c r="B22" s="12"/>
      <c r="C22" s="12"/>
      <c r="D22" s="12"/>
      <c r="E22" s="12"/>
      <c r="F22" s="12"/>
      <c r="G22" s="12"/>
      <c r="I22" s="12" t="s">
        <v>489</v>
      </c>
    </row>
    <row r="23" spans="1:9" x14ac:dyDescent="0.25">
      <c r="A23" s="12"/>
      <c r="B23" s="12"/>
      <c r="C23" s="12"/>
      <c r="D23" s="12"/>
      <c r="E23" s="12"/>
      <c r="F23" s="12"/>
      <c r="G23" s="13"/>
      <c r="H23" s="12"/>
      <c r="I23" s="12" t="s">
        <v>492</v>
      </c>
    </row>
    <row r="24" spans="1:9" x14ac:dyDescent="0.25">
      <c r="A24" s="12"/>
      <c r="B24" s="12"/>
      <c r="C24" s="12"/>
      <c r="D24" s="12"/>
      <c r="E24" s="12"/>
      <c r="F24" s="12"/>
      <c r="G24" s="12"/>
      <c r="H24" s="12"/>
      <c r="I24" s="12" t="s">
        <v>496</v>
      </c>
    </row>
    <row r="25" spans="1:9" x14ac:dyDescent="0.25">
      <c r="A25" s="12"/>
      <c r="B25" s="12"/>
      <c r="C25" s="12"/>
      <c r="D25" s="12"/>
      <c r="E25" s="12"/>
      <c r="F25" s="12"/>
      <c r="G25" s="12"/>
      <c r="H25" s="12"/>
      <c r="I25" s="12" t="s">
        <v>528</v>
      </c>
    </row>
    <row r="26" spans="1:9" x14ac:dyDescent="0.25">
      <c r="A26" s="12"/>
      <c r="B26" s="12"/>
      <c r="C26" s="12"/>
      <c r="D26" s="12"/>
      <c r="E26" s="12"/>
      <c r="F26" s="12"/>
      <c r="G26" s="12"/>
      <c r="H26" s="12"/>
      <c r="I26" s="12"/>
    </row>
    <row r="27" spans="1:9" x14ac:dyDescent="0.25">
      <c r="A27" s="12"/>
      <c r="B27" s="12"/>
      <c r="C27" s="12"/>
      <c r="D27" s="12"/>
      <c r="E27" s="12"/>
      <c r="F27" s="12"/>
      <c r="G27" s="12"/>
      <c r="H27" s="12"/>
      <c r="I27" s="12"/>
    </row>
    <row r="28" spans="1:9" x14ac:dyDescent="0.25">
      <c r="A28" s="12"/>
      <c r="B28" s="12"/>
      <c r="C28" s="12"/>
      <c r="D28" s="12"/>
      <c r="E28" s="12"/>
      <c r="F28" s="12"/>
      <c r="G28" s="12"/>
      <c r="H28" s="12"/>
      <c r="I28" s="12"/>
    </row>
    <row r="29" spans="1:9" x14ac:dyDescent="0.25">
      <c r="A29" s="12"/>
      <c r="B29" s="12"/>
      <c r="C29" s="12"/>
      <c r="D29" s="12"/>
      <c r="E29" s="12"/>
      <c r="F29" s="12"/>
      <c r="G29" s="12"/>
      <c r="H29" s="12"/>
      <c r="I29" s="12"/>
    </row>
    <row r="30" spans="1:9" x14ac:dyDescent="0.25">
      <c r="A30" s="12"/>
      <c r="B30" s="12"/>
      <c r="C30" s="12"/>
      <c r="D30" s="12"/>
      <c r="E30" s="12"/>
      <c r="F30" s="12"/>
      <c r="G30" s="12"/>
      <c r="H30" s="12"/>
      <c r="I30" s="12"/>
    </row>
    <row r="31" spans="1:9" x14ac:dyDescent="0.25">
      <c r="A31" s="12"/>
      <c r="B31" s="12"/>
      <c r="C31" s="12"/>
      <c r="D31" s="12"/>
      <c r="E31" s="12"/>
      <c r="F31" s="12"/>
      <c r="G31" s="12"/>
      <c r="H31" s="12"/>
      <c r="I31" s="12"/>
    </row>
    <row r="32" spans="1:9" x14ac:dyDescent="0.25">
      <c r="A32" s="12"/>
      <c r="B32" s="12"/>
      <c r="C32" s="12"/>
      <c r="D32" s="12"/>
      <c r="E32" s="12"/>
      <c r="F32" s="12"/>
      <c r="G32" s="12"/>
      <c r="H32" s="12"/>
      <c r="I32" s="12"/>
    </row>
    <row r="33" spans="1:9" x14ac:dyDescent="0.25">
      <c r="A33" s="12"/>
      <c r="B33" s="12"/>
      <c r="C33" s="12"/>
      <c r="D33" s="12"/>
      <c r="E33" s="12"/>
      <c r="F33" s="12"/>
      <c r="G33" s="13"/>
      <c r="H33" s="12"/>
      <c r="I33" s="12"/>
    </row>
    <row r="34" spans="1:9" x14ac:dyDescent="0.25">
      <c r="A34" s="12"/>
      <c r="B34" s="12"/>
      <c r="C34" s="12"/>
      <c r="D34" s="12"/>
      <c r="E34" s="12"/>
      <c r="F34" s="12"/>
      <c r="G34" s="12"/>
      <c r="H34" s="12"/>
      <c r="I34" s="12"/>
    </row>
    <row r="35" spans="1:9" x14ac:dyDescent="0.25">
      <c r="A35" s="12"/>
      <c r="B35" s="12"/>
      <c r="C35" s="12"/>
      <c r="D35" s="12"/>
      <c r="E35" s="12"/>
      <c r="F35" s="12"/>
      <c r="G35" s="12"/>
      <c r="H35" s="12"/>
      <c r="I35" s="12"/>
    </row>
    <row r="36" spans="1:9" x14ac:dyDescent="0.25">
      <c r="A36" s="12"/>
      <c r="B36" s="12"/>
      <c r="C36" s="12"/>
      <c r="D36" s="12"/>
      <c r="E36" s="12"/>
      <c r="F36" s="13"/>
      <c r="G36" s="12"/>
      <c r="H36" s="12"/>
      <c r="I36" s="12"/>
    </row>
    <row r="37" spans="1:9" x14ac:dyDescent="0.25">
      <c r="A37" s="12"/>
      <c r="B37" s="12"/>
      <c r="C37" s="12"/>
      <c r="D37" s="12"/>
      <c r="E37" s="12"/>
      <c r="F37" s="12"/>
      <c r="G37" s="12"/>
      <c r="H37" s="12"/>
      <c r="I37" s="12"/>
    </row>
    <row r="38" spans="1:9" x14ac:dyDescent="0.25">
      <c r="A38" s="12"/>
      <c r="B38" s="12"/>
      <c r="C38" s="12"/>
      <c r="D38" s="12"/>
      <c r="E38" s="12"/>
      <c r="F38" s="12"/>
      <c r="G38" s="12"/>
      <c r="H38" s="12"/>
      <c r="I38" s="12"/>
    </row>
    <row r="39" spans="1:9" x14ac:dyDescent="0.25">
      <c r="A39" s="12"/>
      <c r="B39" s="12"/>
      <c r="C39" s="12"/>
      <c r="D39" s="12"/>
      <c r="E39" s="12"/>
      <c r="F39" s="12"/>
      <c r="G39" s="12"/>
      <c r="H39" s="12"/>
      <c r="I39" s="12"/>
    </row>
    <row r="40" spans="1:9" x14ac:dyDescent="0.25">
      <c r="A40" s="12"/>
      <c r="B40" s="12"/>
      <c r="C40" s="12"/>
      <c r="D40" s="12"/>
      <c r="E40" s="12"/>
      <c r="F40" s="12"/>
      <c r="G40" s="12"/>
      <c r="H40" s="12"/>
      <c r="I40" s="12"/>
    </row>
    <row r="41" spans="1:9" x14ac:dyDescent="0.25">
      <c r="A41" s="12"/>
      <c r="B41" s="12"/>
      <c r="C41" s="12"/>
      <c r="D41" s="12"/>
      <c r="E41" s="12"/>
      <c r="F41" s="12"/>
      <c r="G41" s="12"/>
      <c r="H41" s="12"/>
      <c r="I41" s="12"/>
    </row>
    <row r="42" spans="1:9" x14ac:dyDescent="0.25">
      <c r="A42" s="12"/>
      <c r="B42" s="12"/>
      <c r="C42" s="12"/>
      <c r="D42" s="12"/>
      <c r="E42" s="12"/>
      <c r="F42" s="12"/>
      <c r="G42" s="12"/>
      <c r="H42" s="12"/>
      <c r="I42" s="12"/>
    </row>
    <row r="43" spans="1:9" x14ac:dyDescent="0.25">
      <c r="A43" s="12"/>
      <c r="B43" s="12"/>
      <c r="C43" s="12"/>
      <c r="D43" s="12"/>
      <c r="E43" s="12"/>
      <c r="F43" s="12"/>
      <c r="G43" s="12"/>
      <c r="H43" s="12"/>
      <c r="I43" s="12"/>
    </row>
    <row r="44" spans="1:9" x14ac:dyDescent="0.25">
      <c r="A44" s="12"/>
      <c r="B44" s="12"/>
      <c r="C44" s="12"/>
      <c r="D44" s="12"/>
      <c r="E44" s="12"/>
      <c r="F44" s="12"/>
      <c r="G44" s="12"/>
      <c r="H44" s="12"/>
      <c r="I44" s="12"/>
    </row>
    <row r="45" spans="1:9" x14ac:dyDescent="0.25">
      <c r="A45" s="12"/>
      <c r="B45" s="12"/>
      <c r="C45" s="12"/>
      <c r="D45" s="12"/>
      <c r="E45" s="12"/>
      <c r="F45" s="12"/>
      <c r="G45" s="12"/>
      <c r="H45" s="12"/>
      <c r="I45" s="12"/>
    </row>
    <row r="46" spans="1:9" x14ac:dyDescent="0.25">
      <c r="A46" s="12"/>
      <c r="B46" s="12"/>
      <c r="C46" s="12"/>
      <c r="D46" s="12"/>
      <c r="E46" s="12"/>
      <c r="F46" s="12"/>
      <c r="G46" s="12"/>
      <c r="H46" s="12"/>
      <c r="I46" s="12"/>
    </row>
    <row r="47" spans="1:9" x14ac:dyDescent="0.25">
      <c r="A47" s="12"/>
      <c r="B47" s="12"/>
      <c r="C47" s="12"/>
      <c r="D47" s="12"/>
      <c r="E47" s="12"/>
      <c r="F47" s="12"/>
      <c r="G47" s="12"/>
      <c r="H47" s="12"/>
      <c r="I47" s="12"/>
    </row>
    <row r="48" spans="1:9" x14ac:dyDescent="0.25">
      <c r="A48" s="12"/>
      <c r="B48" s="12"/>
      <c r="C48" s="12"/>
      <c r="D48" s="12"/>
      <c r="E48" s="12"/>
      <c r="F48" s="12"/>
      <c r="G48" s="12"/>
      <c r="H48" s="12"/>
      <c r="I48" s="12"/>
    </row>
    <row r="49" spans="1:9" x14ac:dyDescent="0.25">
      <c r="A49" s="12"/>
      <c r="B49" s="12"/>
      <c r="C49" s="12"/>
      <c r="D49" s="12"/>
      <c r="E49" s="12"/>
      <c r="F49" s="12"/>
      <c r="G49" s="12"/>
      <c r="H49" s="12"/>
      <c r="I49" s="12"/>
    </row>
    <row r="50" spans="1:9" x14ac:dyDescent="0.25">
      <c r="A50" s="12"/>
      <c r="B50" s="12"/>
      <c r="C50" s="12"/>
      <c r="D50" s="12"/>
      <c r="E50" s="12"/>
      <c r="F50" s="12"/>
      <c r="G50" s="12"/>
      <c r="H50" s="12"/>
      <c r="I50" s="12"/>
    </row>
    <row r="51" spans="1:9" x14ac:dyDescent="0.25">
      <c r="A51" s="12"/>
      <c r="B51" s="12"/>
      <c r="C51" s="12"/>
      <c r="D51" s="12"/>
      <c r="E51" s="12"/>
      <c r="F51" s="12"/>
      <c r="G51" s="12"/>
      <c r="H51" s="12"/>
      <c r="I51" s="12"/>
    </row>
    <row r="52" spans="1:9" x14ac:dyDescent="0.25">
      <c r="A52" s="12"/>
      <c r="B52" s="12"/>
      <c r="C52" s="12"/>
      <c r="D52" s="12"/>
      <c r="E52" s="12"/>
      <c r="F52" s="12"/>
      <c r="G52" s="13"/>
      <c r="H52" s="12"/>
      <c r="I52" s="12"/>
    </row>
    <row r="53" spans="1:9" x14ac:dyDescent="0.25">
      <c r="A53" s="12"/>
      <c r="B53" s="12"/>
      <c r="C53" s="12"/>
      <c r="D53" s="12"/>
      <c r="E53" s="12"/>
      <c r="F53" s="12"/>
      <c r="G53" s="12"/>
      <c r="H53" s="12"/>
      <c r="I53" s="12"/>
    </row>
    <row r="54" spans="1:9" x14ac:dyDescent="0.25">
      <c r="A54" s="12"/>
      <c r="B54" s="12"/>
      <c r="C54" s="12"/>
      <c r="D54" s="12"/>
      <c r="E54" s="12"/>
      <c r="F54" s="13"/>
      <c r="G54" s="12"/>
      <c r="H54" s="12"/>
      <c r="I54" s="12"/>
    </row>
    <row r="55" spans="1:9" x14ac:dyDescent="0.25">
      <c r="A55" s="12"/>
      <c r="B55" s="12"/>
      <c r="C55" s="12"/>
      <c r="D55" s="12"/>
      <c r="E55" s="12"/>
      <c r="F55" s="13"/>
      <c r="G55" s="12"/>
      <c r="H55" s="12"/>
      <c r="I55" s="12"/>
    </row>
    <row r="56" spans="1:9" x14ac:dyDescent="0.25">
      <c r="A56" s="12"/>
      <c r="B56" s="12"/>
      <c r="C56" s="12"/>
      <c r="D56" s="12"/>
      <c r="E56" s="12"/>
      <c r="F56" s="12"/>
      <c r="G56" s="12"/>
      <c r="H56" s="12"/>
      <c r="I56" s="12"/>
    </row>
    <row r="57" spans="1:9" x14ac:dyDescent="0.25">
      <c r="A57" s="12"/>
      <c r="B57" s="12"/>
      <c r="C57" s="12"/>
      <c r="D57" s="12"/>
      <c r="E57" s="12"/>
      <c r="F57" s="12"/>
      <c r="G57" s="12"/>
      <c r="H57" s="12"/>
      <c r="I57" s="12"/>
    </row>
    <row r="58" spans="1:9" x14ac:dyDescent="0.25">
      <c r="A58" s="12"/>
      <c r="B58" s="12"/>
      <c r="C58" s="12"/>
      <c r="D58" s="12"/>
      <c r="E58" s="12"/>
      <c r="F58" s="12"/>
      <c r="G58" s="12"/>
      <c r="H58" s="12"/>
      <c r="I58" s="12"/>
    </row>
    <row r="59" spans="1:9" x14ac:dyDescent="0.25">
      <c r="A59" s="12"/>
      <c r="B59" s="12"/>
      <c r="C59" s="12"/>
      <c r="D59" s="12"/>
      <c r="E59" s="12"/>
      <c r="F59" s="12"/>
      <c r="G59" s="12"/>
      <c r="H59" s="12"/>
      <c r="I59" s="12"/>
    </row>
    <row r="60" spans="1:9" x14ac:dyDescent="0.25">
      <c r="A60" s="12"/>
      <c r="B60" s="12"/>
      <c r="C60" s="12"/>
      <c r="D60" s="12"/>
      <c r="E60" s="12"/>
      <c r="F60" s="12"/>
      <c r="G60" s="12"/>
      <c r="H60" s="12"/>
      <c r="I60" s="12"/>
    </row>
    <row r="61" spans="1:9" x14ac:dyDescent="0.25">
      <c r="A61" s="12"/>
      <c r="B61" s="12"/>
      <c r="C61" s="12"/>
      <c r="D61" s="12"/>
      <c r="E61" s="12"/>
      <c r="F61" s="12"/>
      <c r="G61" s="12"/>
      <c r="H61" s="12"/>
      <c r="I61" s="12"/>
    </row>
    <row r="62" spans="1:9" x14ac:dyDescent="0.25">
      <c r="A62" s="12"/>
      <c r="B62" s="12"/>
      <c r="C62" s="12"/>
      <c r="D62" s="12"/>
      <c r="E62" s="12"/>
      <c r="F62" s="12"/>
      <c r="G62" s="12"/>
      <c r="H62" s="12"/>
      <c r="I62" s="12"/>
    </row>
    <row r="63" spans="1:9" x14ac:dyDescent="0.25">
      <c r="A63" s="12"/>
      <c r="B63" s="12"/>
      <c r="C63" s="12"/>
      <c r="D63" s="12"/>
      <c r="E63" s="12"/>
      <c r="F63" s="35"/>
      <c r="G63" s="13"/>
      <c r="H63" s="12"/>
      <c r="I63" s="35"/>
    </row>
    <row r="64" spans="1:9" x14ac:dyDescent="0.25">
      <c r="A64" s="12"/>
      <c r="B64" s="12"/>
      <c r="C64" s="12"/>
      <c r="D64" s="12"/>
      <c r="E64" s="12"/>
      <c r="F64" s="35"/>
      <c r="G64" s="13"/>
      <c r="H64" s="12"/>
      <c r="I64" s="35"/>
    </row>
    <row r="65" spans="1:9" x14ac:dyDescent="0.25">
      <c r="A65" s="12"/>
      <c r="B65" s="12"/>
      <c r="C65" s="12"/>
      <c r="D65" s="12"/>
      <c r="E65" s="12"/>
      <c r="F65" s="35"/>
      <c r="G65" s="13"/>
      <c r="H65" s="12"/>
      <c r="I65" s="35"/>
    </row>
    <row r="66" spans="1:9" x14ac:dyDescent="0.25">
      <c r="A66" s="12"/>
      <c r="B66" s="12"/>
      <c r="C66" s="12"/>
      <c r="D66" s="12"/>
      <c r="E66" s="12"/>
      <c r="F66" s="35"/>
      <c r="G66" s="13"/>
      <c r="H66" s="12"/>
      <c r="I66" s="12"/>
    </row>
    <row r="67" spans="1:9" x14ac:dyDescent="0.25">
      <c r="A67" s="12"/>
      <c r="B67" s="12"/>
      <c r="C67" s="12"/>
      <c r="D67" s="12"/>
      <c r="E67" s="12"/>
      <c r="F67" s="35"/>
      <c r="G67" s="13"/>
    </row>
    <row r="68" spans="1:9" x14ac:dyDescent="0.25">
      <c r="A68" s="12"/>
      <c r="B68" s="12"/>
      <c r="C68" s="12"/>
      <c r="D68" s="12"/>
      <c r="E68" s="12"/>
      <c r="F68" s="12"/>
      <c r="G68" s="13"/>
      <c r="I68" s="35"/>
    </row>
    <row r="69" spans="1:9" x14ac:dyDescent="0.25">
      <c r="F69" s="35"/>
      <c r="G69" s="13"/>
      <c r="I69" s="35"/>
    </row>
    <row r="70" spans="1:9" x14ac:dyDescent="0.25">
      <c r="G70" s="12"/>
      <c r="I70" s="35"/>
    </row>
    <row r="71" spans="1:9" x14ac:dyDescent="0.25">
      <c r="G71" s="13"/>
    </row>
    <row r="72" spans="1:9" x14ac:dyDescent="0.25">
      <c r="G72" s="13"/>
    </row>
    <row r="73" spans="1:9" x14ac:dyDescent="0.25">
      <c r="G73" s="13"/>
    </row>
    <row r="74" spans="1:9" x14ac:dyDescent="0.25">
      <c r="G74" s="13"/>
    </row>
    <row r="75" spans="1:9" x14ac:dyDescent="0.25">
      <c r="G75" s="13"/>
    </row>
    <row r="76" spans="1:9" x14ac:dyDescent="0.25">
      <c r="G76" s="13"/>
    </row>
    <row r="77" spans="1:9" x14ac:dyDescent="0.25">
      <c r="G77" s="35"/>
    </row>
    <row r="78" spans="1:9" x14ac:dyDescent="0.25">
      <c r="G78" s="12"/>
    </row>
    <row r="80" spans="1:9" x14ac:dyDescent="0.25">
      <c r="G80" s="35"/>
    </row>
    <row r="81" spans="7:7" x14ac:dyDescent="0.25">
      <c r="G81" s="12"/>
    </row>
    <row r="82" spans="7:7" x14ac:dyDescent="0.25">
      <c r="G82" s="35"/>
    </row>
    <row r="83" spans="7:7" x14ac:dyDescent="0.25">
      <c r="G83" s="35"/>
    </row>
    <row r="84" spans="7:7" x14ac:dyDescent="0.25">
      <c r="G84" s="35"/>
    </row>
    <row r="86" spans="7:7" x14ac:dyDescent="0.25">
      <c r="G86" s="35"/>
    </row>
    <row r="87" spans="7:7" x14ac:dyDescent="0.25">
      <c r="G87" s="35"/>
    </row>
    <row r="89" spans="7:7" x14ac:dyDescent="0.25">
      <c r="G89" s="35"/>
    </row>
    <row r="90" spans="7:7" x14ac:dyDescent="0.25">
      <c r="G90" s="35"/>
    </row>
    <row r="91" spans="7:7" x14ac:dyDescent="0.25">
      <c r="G91" s="35"/>
    </row>
    <row r="93" spans="7:7" x14ac:dyDescent="0.25">
      <c r="G93" s="35"/>
    </row>
    <row r="94" spans="7:7" x14ac:dyDescent="0.25">
      <c r="G94" s="35"/>
    </row>
    <row r="95" spans="7:7" x14ac:dyDescent="0.25">
      <c r="G95" s="35"/>
    </row>
    <row r="96" spans="7:7" x14ac:dyDescent="0.25">
      <c r="G96" s="35"/>
    </row>
    <row r="97" spans="7:7" x14ac:dyDescent="0.25">
      <c r="G97" s="35"/>
    </row>
    <row r="98" spans="7:7" x14ac:dyDescent="0.25">
      <c r="G98" s="35"/>
    </row>
    <row r="99" spans="7:7" x14ac:dyDescent="0.25">
      <c r="G99" s="35"/>
    </row>
    <row r="101" spans="7:7" x14ac:dyDescent="0.25">
      <c r="G101" s="35"/>
    </row>
  </sheetData>
  <autoFilter ref="A1:I22"/>
  <sortState ref="F3:F70">
    <sortCondition ref="F3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Y95"/>
  <sheetViews>
    <sheetView zoomScaleNormal="100" workbookViewId="0">
      <selection activeCell="K7" sqref="K7:T7"/>
    </sheetView>
  </sheetViews>
  <sheetFormatPr defaultRowHeight="15" x14ac:dyDescent="0.25"/>
  <cols>
    <col min="1" max="20" width="2.7109375" customWidth="1"/>
    <col min="21" max="21" width="2.42578125" customWidth="1"/>
    <col min="22" max="22" width="2.7109375" hidden="1" customWidth="1"/>
    <col min="23" max="51" width="2.7109375" customWidth="1"/>
  </cols>
  <sheetData>
    <row r="1" spans="1:51" x14ac:dyDescent="0.25">
      <c r="A1" s="799" t="s">
        <v>22</v>
      </c>
      <c r="B1" s="799"/>
      <c r="C1" s="799"/>
      <c r="D1" s="799"/>
      <c r="E1" s="799"/>
      <c r="F1" s="799"/>
      <c r="G1" s="799"/>
      <c r="H1" s="799"/>
      <c r="I1" s="799"/>
      <c r="J1" s="799"/>
      <c r="K1" s="799"/>
      <c r="L1" s="799"/>
      <c r="M1" s="799"/>
      <c r="N1" s="799"/>
      <c r="O1" s="799"/>
      <c r="P1" s="799"/>
      <c r="Q1" s="799"/>
      <c r="R1" s="799"/>
      <c r="S1" s="799"/>
      <c r="T1" s="799"/>
      <c r="U1" s="799"/>
      <c r="V1" s="799"/>
      <c r="W1" s="799"/>
      <c r="X1" s="799"/>
      <c r="Y1" s="799"/>
      <c r="Z1" s="799"/>
      <c r="AA1" s="799"/>
      <c r="AB1" s="799"/>
      <c r="AC1" s="799"/>
      <c r="AD1" s="799"/>
      <c r="AE1" s="799"/>
      <c r="AF1" s="799"/>
      <c r="AG1" s="799"/>
      <c r="AH1" s="799"/>
      <c r="AI1" s="799"/>
      <c r="AJ1" s="799"/>
      <c r="AK1" s="799"/>
      <c r="AL1" s="799"/>
      <c r="AM1" s="799"/>
      <c r="AN1" s="799"/>
      <c r="AO1" s="799"/>
      <c r="AP1" s="799"/>
      <c r="AQ1" s="799"/>
      <c r="AR1" s="799"/>
      <c r="AS1" s="799"/>
      <c r="AT1" s="799"/>
      <c r="AU1" s="799"/>
      <c r="AV1" s="799"/>
      <c r="AW1" s="799"/>
      <c r="AX1" s="799"/>
      <c r="AY1" s="799"/>
    </row>
    <row r="2" spans="1:51" x14ac:dyDescent="0.25">
      <c r="A2" s="799"/>
      <c r="B2" s="799"/>
      <c r="C2" s="799"/>
      <c r="D2" s="799"/>
      <c r="E2" s="799"/>
      <c r="F2" s="799"/>
      <c r="G2" s="799"/>
      <c r="H2" s="799"/>
      <c r="I2" s="799"/>
      <c r="J2" s="799"/>
      <c r="K2" s="799"/>
      <c r="L2" s="799"/>
      <c r="M2" s="799"/>
      <c r="N2" s="799"/>
      <c r="O2" s="799"/>
      <c r="P2" s="799"/>
      <c r="Q2" s="799"/>
      <c r="R2" s="799"/>
      <c r="S2" s="799"/>
      <c r="T2" s="799"/>
      <c r="U2" s="799"/>
      <c r="V2" s="799"/>
      <c r="W2" s="799"/>
      <c r="X2" s="799"/>
      <c r="Y2" s="799"/>
      <c r="Z2" s="799"/>
      <c r="AA2" s="799"/>
      <c r="AB2" s="799"/>
      <c r="AC2" s="799"/>
      <c r="AD2" s="799"/>
      <c r="AE2" s="799"/>
      <c r="AF2" s="799"/>
      <c r="AG2" s="799"/>
      <c r="AH2" s="799"/>
      <c r="AI2" s="799"/>
      <c r="AJ2" s="799"/>
      <c r="AK2" s="799"/>
      <c r="AL2" s="799"/>
      <c r="AM2" s="799"/>
      <c r="AN2" s="799"/>
      <c r="AO2" s="799"/>
      <c r="AP2" s="799"/>
      <c r="AQ2" s="799"/>
      <c r="AR2" s="799"/>
      <c r="AS2" s="799"/>
      <c r="AT2" s="799"/>
      <c r="AU2" s="799"/>
      <c r="AV2" s="799"/>
      <c r="AW2" s="799"/>
      <c r="AX2" s="799"/>
      <c r="AY2" s="799"/>
    </row>
    <row r="3" spans="1:51" x14ac:dyDescent="0.25">
      <c r="A3" s="799"/>
      <c r="B3" s="799"/>
      <c r="C3" s="799"/>
      <c r="D3" s="799"/>
      <c r="E3" s="799"/>
      <c r="F3" s="799"/>
      <c r="G3" s="799"/>
      <c r="H3" s="799"/>
      <c r="I3" s="799"/>
      <c r="J3" s="799"/>
      <c r="K3" s="799"/>
      <c r="L3" s="799"/>
      <c r="M3" s="799"/>
      <c r="N3" s="799"/>
      <c r="O3" s="799"/>
      <c r="P3" s="799"/>
      <c r="Q3" s="799"/>
      <c r="R3" s="799"/>
      <c r="S3" s="799"/>
      <c r="T3" s="799"/>
      <c r="U3" s="799"/>
      <c r="V3" s="799"/>
      <c r="W3" s="799"/>
      <c r="X3" s="799"/>
      <c r="Y3" s="799"/>
      <c r="Z3" s="799"/>
      <c r="AA3" s="799"/>
      <c r="AB3" s="799"/>
      <c r="AC3" s="799"/>
      <c r="AD3" s="799"/>
      <c r="AE3" s="799"/>
      <c r="AF3" s="799"/>
      <c r="AG3" s="799"/>
      <c r="AH3" s="799"/>
      <c r="AI3" s="799"/>
      <c r="AJ3" s="799"/>
      <c r="AK3" s="799"/>
      <c r="AL3" s="799"/>
      <c r="AM3" s="799"/>
      <c r="AN3" s="799"/>
      <c r="AO3" s="799"/>
      <c r="AP3" s="799"/>
      <c r="AQ3" s="799"/>
      <c r="AR3" s="799"/>
      <c r="AS3" s="799"/>
      <c r="AT3" s="799"/>
      <c r="AU3" s="799"/>
      <c r="AV3" s="799"/>
      <c r="AW3" s="799"/>
      <c r="AX3" s="799"/>
      <c r="AY3" s="799"/>
    </row>
    <row r="4" spans="1:51" x14ac:dyDescent="0.25">
      <c r="A4" s="799"/>
      <c r="B4" s="799"/>
      <c r="C4" s="799"/>
      <c r="D4" s="799"/>
      <c r="E4" s="799"/>
      <c r="F4" s="799"/>
      <c r="G4" s="799"/>
      <c r="H4" s="799"/>
      <c r="I4" s="799"/>
      <c r="J4" s="799"/>
      <c r="K4" s="799"/>
      <c r="L4" s="799"/>
      <c r="M4" s="799"/>
      <c r="N4" s="799"/>
      <c r="O4" s="799"/>
      <c r="P4" s="799"/>
      <c r="Q4" s="799"/>
      <c r="R4" s="799"/>
      <c r="S4" s="799"/>
      <c r="T4" s="799"/>
      <c r="U4" s="799"/>
      <c r="V4" s="799"/>
      <c r="W4" s="799"/>
      <c r="X4" s="799"/>
      <c r="Y4" s="799"/>
      <c r="Z4" s="799"/>
      <c r="AA4" s="799"/>
      <c r="AB4" s="799"/>
      <c r="AC4" s="799"/>
      <c r="AD4" s="799"/>
      <c r="AE4" s="799"/>
      <c r="AF4" s="799"/>
      <c r="AG4" s="799"/>
      <c r="AH4" s="799"/>
      <c r="AI4" s="799"/>
      <c r="AJ4" s="799"/>
      <c r="AK4" s="799"/>
      <c r="AL4" s="799"/>
      <c r="AM4" s="799"/>
      <c r="AN4" s="799"/>
      <c r="AO4" s="799"/>
      <c r="AP4" s="799"/>
      <c r="AQ4" s="799"/>
      <c r="AR4" s="799"/>
      <c r="AS4" s="799"/>
      <c r="AT4" s="799"/>
      <c r="AU4" s="799"/>
      <c r="AV4" s="799"/>
      <c r="AW4" s="799"/>
      <c r="AX4" s="799"/>
      <c r="AY4" s="799"/>
    </row>
    <row r="5" spans="1:51" x14ac:dyDescent="0.25">
      <c r="A5" s="799"/>
      <c r="B5" s="799"/>
      <c r="C5" s="799"/>
      <c r="D5" s="799"/>
      <c r="E5" s="799"/>
      <c r="F5" s="799"/>
      <c r="G5" s="799"/>
      <c r="H5" s="799"/>
      <c r="I5" s="799"/>
      <c r="J5" s="799"/>
      <c r="K5" s="799"/>
      <c r="L5" s="799"/>
      <c r="M5" s="799"/>
      <c r="N5" s="799"/>
      <c r="O5" s="799"/>
      <c r="P5" s="799"/>
      <c r="Q5" s="799"/>
      <c r="R5" s="799"/>
      <c r="S5" s="799"/>
      <c r="T5" s="799"/>
      <c r="U5" s="799"/>
      <c r="V5" s="799"/>
      <c r="W5" s="799"/>
      <c r="X5" s="799"/>
      <c r="Y5" s="799"/>
      <c r="Z5" s="799"/>
      <c r="AA5" s="799"/>
      <c r="AB5" s="799"/>
      <c r="AC5" s="799"/>
      <c r="AD5" s="799"/>
      <c r="AE5" s="799"/>
      <c r="AF5" s="799"/>
      <c r="AG5" s="799"/>
      <c r="AH5" s="799"/>
      <c r="AI5" s="799"/>
      <c r="AJ5" s="799"/>
      <c r="AK5" s="799"/>
      <c r="AL5" s="799"/>
      <c r="AM5" s="799"/>
      <c r="AN5" s="799"/>
      <c r="AO5" s="799"/>
      <c r="AP5" s="799"/>
      <c r="AQ5" s="799"/>
      <c r="AR5" s="799"/>
      <c r="AS5" s="799"/>
      <c r="AT5" s="799"/>
      <c r="AU5" s="799"/>
      <c r="AV5" s="799"/>
      <c r="AW5" s="799"/>
      <c r="AX5" s="799"/>
      <c r="AY5" s="799"/>
    </row>
    <row r="6" spans="1:51" ht="18.75" x14ac:dyDescent="0.3">
      <c r="A6" s="800" t="s">
        <v>23</v>
      </c>
      <c r="B6" s="800"/>
      <c r="C6" s="800"/>
      <c r="D6" s="800"/>
      <c r="E6" s="800"/>
      <c r="F6" s="800"/>
      <c r="G6" s="800"/>
      <c r="H6" s="800"/>
      <c r="I6" s="800"/>
      <c r="J6" s="800"/>
      <c r="K6" s="800" t="s">
        <v>24</v>
      </c>
      <c r="L6" s="800"/>
      <c r="M6" s="800"/>
      <c r="N6" s="800"/>
      <c r="O6" s="800"/>
      <c r="P6" s="800"/>
      <c r="Q6" s="800"/>
      <c r="R6" s="800"/>
      <c r="S6" s="800"/>
      <c r="T6" s="800"/>
      <c r="U6" s="800" t="s">
        <v>25</v>
      </c>
      <c r="V6" s="800"/>
      <c r="W6" s="800"/>
      <c r="X6" s="800"/>
      <c r="Y6" s="800"/>
      <c r="Z6" s="800"/>
      <c r="AA6" s="800"/>
      <c r="AB6" s="800"/>
      <c r="AC6" s="800"/>
      <c r="AD6" s="800"/>
      <c r="AE6" s="800"/>
      <c r="AF6" s="800"/>
      <c r="AG6" s="800"/>
      <c r="AH6" s="800"/>
      <c r="AI6" s="800"/>
      <c r="AJ6" s="800"/>
      <c r="AK6" s="800"/>
      <c r="AL6" s="800"/>
      <c r="AM6" s="800"/>
      <c r="AN6" s="800"/>
      <c r="AO6" s="800"/>
      <c r="AP6" s="801" t="s">
        <v>26</v>
      </c>
      <c r="AQ6" s="801"/>
      <c r="AR6" s="801"/>
      <c r="AS6" s="801"/>
      <c r="AT6" s="801"/>
      <c r="AU6" s="801"/>
      <c r="AV6" s="801"/>
      <c r="AW6" s="801"/>
      <c r="AX6" s="801"/>
      <c r="AY6" s="801"/>
    </row>
    <row r="7" spans="1:51" ht="18.75" x14ac:dyDescent="0.3">
      <c r="A7" s="802" t="s">
        <v>27</v>
      </c>
      <c r="B7" s="802"/>
      <c r="C7" s="802"/>
      <c r="D7" s="802"/>
      <c r="E7" s="802"/>
      <c r="F7" s="802"/>
      <c r="G7" s="802"/>
      <c r="H7" s="802"/>
      <c r="I7" s="802"/>
      <c r="J7" s="802"/>
      <c r="K7" s="803" t="s">
        <v>28</v>
      </c>
      <c r="L7" s="803"/>
      <c r="M7" s="803"/>
      <c r="N7" s="803"/>
      <c r="O7" s="803"/>
      <c r="P7" s="803"/>
      <c r="Q7" s="803"/>
      <c r="R7" s="803"/>
      <c r="S7" s="803"/>
      <c r="T7" s="803"/>
      <c r="U7" s="804" t="s">
        <v>29</v>
      </c>
      <c r="V7" s="800"/>
      <c r="W7" s="800"/>
      <c r="X7" s="800"/>
      <c r="Y7" s="800"/>
      <c r="Z7" s="800"/>
      <c r="AA7" s="800"/>
      <c r="AB7" s="800"/>
      <c r="AC7" s="800"/>
      <c r="AD7" s="800"/>
      <c r="AE7" s="800"/>
      <c r="AF7" s="800"/>
      <c r="AG7" s="800"/>
      <c r="AH7" s="800"/>
      <c r="AI7" s="800"/>
      <c r="AJ7" s="800"/>
      <c r="AK7" s="800"/>
      <c r="AL7" s="800"/>
      <c r="AM7" s="800"/>
      <c r="AN7" s="800"/>
      <c r="AO7" s="800"/>
      <c r="AP7" s="805" t="s">
        <v>30</v>
      </c>
      <c r="AQ7" s="805"/>
      <c r="AR7" s="805"/>
      <c r="AS7" s="805"/>
      <c r="AT7" s="805"/>
      <c r="AU7" s="805"/>
      <c r="AV7" s="805"/>
      <c r="AW7" s="805"/>
      <c r="AX7" s="805"/>
      <c r="AY7" s="805"/>
    </row>
    <row r="8" spans="1:51" ht="18.75" x14ac:dyDescent="0.3">
      <c r="A8" s="802" t="s">
        <v>31</v>
      </c>
      <c r="B8" s="802"/>
      <c r="C8" s="802"/>
      <c r="D8" s="802"/>
      <c r="E8" s="802"/>
      <c r="F8" s="802"/>
      <c r="G8" s="802"/>
      <c r="H8" s="802"/>
      <c r="I8" s="802"/>
      <c r="J8" s="802"/>
      <c r="K8" s="803" t="s">
        <v>32</v>
      </c>
      <c r="L8" s="803"/>
      <c r="M8" s="803"/>
      <c r="N8" s="803"/>
      <c r="O8" s="803"/>
      <c r="P8" s="803"/>
      <c r="Q8" s="803"/>
      <c r="R8" s="803"/>
      <c r="S8" s="803"/>
      <c r="T8" s="803"/>
      <c r="U8" s="804" t="s">
        <v>33</v>
      </c>
      <c r="V8" s="803"/>
      <c r="W8" s="803"/>
      <c r="X8" s="803"/>
      <c r="Y8" s="803"/>
      <c r="Z8" s="803"/>
      <c r="AA8" s="803"/>
      <c r="AB8" s="803"/>
      <c r="AC8" s="803"/>
      <c r="AD8" s="803"/>
      <c r="AE8" s="803"/>
      <c r="AF8" s="803"/>
      <c r="AG8" s="803"/>
      <c r="AH8" s="803"/>
      <c r="AI8" s="803"/>
      <c r="AJ8" s="803"/>
      <c r="AK8" s="803"/>
      <c r="AL8" s="803"/>
      <c r="AM8" s="803"/>
      <c r="AN8" s="803"/>
      <c r="AO8" s="803"/>
      <c r="AP8" s="805" t="s">
        <v>12</v>
      </c>
      <c r="AQ8" s="805"/>
      <c r="AR8" s="805"/>
      <c r="AS8" s="805"/>
      <c r="AT8" s="805"/>
      <c r="AU8" s="805"/>
      <c r="AV8" s="805"/>
      <c r="AW8" s="805"/>
      <c r="AX8" s="805"/>
      <c r="AY8" s="805"/>
    </row>
    <row r="9" spans="1:51" ht="18.75" x14ac:dyDescent="0.3">
      <c r="A9" s="802" t="s">
        <v>34</v>
      </c>
      <c r="B9" s="802"/>
      <c r="C9" s="802"/>
      <c r="D9" s="802"/>
      <c r="E9" s="802"/>
      <c r="F9" s="802"/>
      <c r="G9" s="802"/>
      <c r="H9" s="802"/>
      <c r="I9" s="802"/>
      <c r="J9" s="802"/>
      <c r="K9" s="803" t="s">
        <v>35</v>
      </c>
      <c r="L9" s="803"/>
      <c r="M9" s="803"/>
      <c r="N9" s="803"/>
      <c r="O9" s="803"/>
      <c r="P9" s="803"/>
      <c r="Q9" s="803"/>
      <c r="R9" s="803"/>
      <c r="S9" s="803"/>
      <c r="T9" s="803"/>
      <c r="U9" s="803"/>
      <c r="V9" s="803"/>
      <c r="W9" s="803"/>
      <c r="X9" s="803"/>
      <c r="Y9" s="803"/>
      <c r="Z9" s="803"/>
      <c r="AA9" s="803"/>
      <c r="AB9" s="803"/>
      <c r="AC9" s="803"/>
      <c r="AD9" s="803"/>
      <c r="AE9" s="803"/>
      <c r="AF9" s="803"/>
      <c r="AG9" s="803"/>
      <c r="AH9" s="803"/>
      <c r="AI9" s="803"/>
      <c r="AJ9" s="803"/>
      <c r="AK9" s="803"/>
      <c r="AL9" s="803"/>
      <c r="AM9" s="803"/>
      <c r="AN9" s="803"/>
      <c r="AO9" s="803"/>
      <c r="AP9" s="805" t="s">
        <v>12</v>
      </c>
      <c r="AQ9" s="805"/>
      <c r="AR9" s="805"/>
      <c r="AS9" s="805"/>
      <c r="AT9" s="805"/>
      <c r="AU9" s="805"/>
      <c r="AV9" s="805"/>
      <c r="AW9" s="805"/>
      <c r="AX9" s="805"/>
      <c r="AY9" s="805"/>
    </row>
    <row r="10" spans="1:51" ht="18.75" x14ac:dyDescent="0.3">
      <c r="A10" s="802" t="s">
        <v>36</v>
      </c>
      <c r="B10" s="802"/>
      <c r="C10" s="802"/>
      <c r="D10" s="802"/>
      <c r="E10" s="802"/>
      <c r="F10" s="802"/>
      <c r="G10" s="802"/>
      <c r="H10" s="802"/>
      <c r="I10" s="802"/>
      <c r="J10" s="802"/>
      <c r="K10" s="803" t="s">
        <v>37</v>
      </c>
      <c r="L10" s="803"/>
      <c r="M10" s="803"/>
      <c r="N10" s="803"/>
      <c r="O10" s="803"/>
      <c r="P10" s="803"/>
      <c r="Q10" s="803"/>
      <c r="R10" s="803"/>
      <c r="S10" s="803"/>
      <c r="T10" s="803"/>
      <c r="U10" s="803"/>
      <c r="V10" s="803"/>
      <c r="W10" s="803"/>
      <c r="X10" s="803"/>
      <c r="Y10" s="803"/>
      <c r="Z10" s="803"/>
      <c r="AA10" s="803"/>
      <c r="AB10" s="803"/>
      <c r="AC10" s="803"/>
      <c r="AD10" s="803"/>
      <c r="AE10" s="803"/>
      <c r="AF10" s="803"/>
      <c r="AG10" s="803"/>
      <c r="AH10" s="803"/>
      <c r="AI10" s="803"/>
      <c r="AJ10" s="803"/>
      <c r="AK10" s="803"/>
      <c r="AL10" s="803"/>
      <c r="AM10" s="803"/>
      <c r="AN10" s="803"/>
      <c r="AO10" s="803"/>
      <c r="AP10" s="805" t="s">
        <v>13</v>
      </c>
      <c r="AQ10" s="805"/>
      <c r="AR10" s="805"/>
      <c r="AS10" s="805"/>
      <c r="AT10" s="805"/>
      <c r="AU10" s="805"/>
      <c r="AV10" s="805"/>
      <c r="AW10" s="805"/>
      <c r="AX10" s="805"/>
      <c r="AY10" s="805"/>
    </row>
    <row r="11" spans="1:51" ht="18.75" x14ac:dyDescent="0.3">
      <c r="A11" s="802" t="s">
        <v>38</v>
      </c>
      <c r="B11" s="802"/>
      <c r="C11" s="802"/>
      <c r="D11" s="802"/>
      <c r="E11" s="802"/>
      <c r="F11" s="802"/>
      <c r="G11" s="802"/>
      <c r="H11" s="802"/>
      <c r="I11" s="802"/>
      <c r="J11" s="802"/>
      <c r="K11" s="803" t="s">
        <v>39</v>
      </c>
      <c r="L11" s="803"/>
      <c r="M11" s="803"/>
      <c r="N11" s="803"/>
      <c r="O11" s="803"/>
      <c r="P11" s="803"/>
      <c r="Q11" s="803"/>
      <c r="R11" s="803"/>
      <c r="S11" s="803"/>
      <c r="T11" s="803"/>
      <c r="U11" s="803"/>
      <c r="V11" s="803"/>
      <c r="W11" s="803"/>
      <c r="X11" s="803"/>
      <c r="Y11" s="803"/>
      <c r="Z11" s="803"/>
      <c r="AA11" s="803"/>
      <c r="AB11" s="803"/>
      <c r="AC11" s="803"/>
      <c r="AD11" s="803"/>
      <c r="AE11" s="803"/>
      <c r="AF11" s="803"/>
      <c r="AG11" s="803"/>
      <c r="AH11" s="803"/>
      <c r="AI11" s="803"/>
      <c r="AJ11" s="803"/>
      <c r="AK11" s="803"/>
      <c r="AL11" s="803"/>
      <c r="AM11" s="803"/>
      <c r="AN11" s="803"/>
      <c r="AO11" s="803"/>
      <c r="AP11" s="805" t="s">
        <v>13</v>
      </c>
      <c r="AQ11" s="805"/>
      <c r="AR11" s="805"/>
      <c r="AS11" s="805"/>
      <c r="AT11" s="805"/>
      <c r="AU11" s="805"/>
      <c r="AV11" s="805"/>
      <c r="AW11" s="805"/>
      <c r="AX11" s="805"/>
      <c r="AY11" s="805"/>
    </row>
    <row r="12" spans="1:51" ht="18.75" x14ac:dyDescent="0.3">
      <c r="A12" s="802" t="s">
        <v>26</v>
      </c>
      <c r="B12" s="802"/>
      <c r="C12" s="802"/>
      <c r="D12" s="802"/>
      <c r="E12" s="802"/>
      <c r="F12" s="802"/>
      <c r="G12" s="802"/>
      <c r="H12" s="802"/>
      <c r="I12" s="802"/>
      <c r="J12" s="802"/>
      <c r="K12" s="803" t="s">
        <v>40</v>
      </c>
      <c r="L12" s="803"/>
      <c r="M12" s="803"/>
      <c r="N12" s="803"/>
      <c r="O12" s="803"/>
      <c r="P12" s="803"/>
      <c r="Q12" s="803"/>
      <c r="R12" s="803"/>
      <c r="S12" s="803"/>
      <c r="T12" s="803"/>
      <c r="U12" s="804" t="s">
        <v>41</v>
      </c>
      <c r="V12" s="803"/>
      <c r="W12" s="803"/>
      <c r="X12" s="803"/>
      <c r="Y12" s="803"/>
      <c r="Z12" s="803"/>
      <c r="AA12" s="803"/>
      <c r="AB12" s="803"/>
      <c r="AC12" s="803"/>
      <c r="AD12" s="803"/>
      <c r="AE12" s="803"/>
      <c r="AF12" s="803"/>
      <c r="AG12" s="803"/>
      <c r="AH12" s="803"/>
      <c r="AI12" s="803"/>
      <c r="AJ12" s="803"/>
      <c r="AK12" s="803"/>
      <c r="AL12" s="803"/>
      <c r="AM12" s="803"/>
      <c r="AN12" s="803"/>
      <c r="AO12" s="803"/>
      <c r="AP12" s="805" t="s">
        <v>13</v>
      </c>
      <c r="AQ12" s="805"/>
      <c r="AR12" s="805"/>
      <c r="AS12" s="805"/>
      <c r="AT12" s="805"/>
      <c r="AU12" s="805"/>
      <c r="AV12" s="805"/>
      <c r="AW12" s="805"/>
      <c r="AX12" s="805"/>
      <c r="AY12" s="805"/>
    </row>
    <row r="13" spans="1:51" ht="18.75" x14ac:dyDescent="0.3">
      <c r="A13" s="802" t="s">
        <v>42</v>
      </c>
      <c r="B13" s="802"/>
      <c r="C13" s="802"/>
      <c r="D13" s="802"/>
      <c r="E13" s="802"/>
      <c r="F13" s="802"/>
      <c r="G13" s="802"/>
      <c r="H13" s="802"/>
      <c r="I13" s="802"/>
      <c r="J13" s="802"/>
      <c r="K13" s="803" t="s">
        <v>43</v>
      </c>
      <c r="L13" s="803"/>
      <c r="M13" s="803"/>
      <c r="N13" s="803"/>
      <c r="O13" s="803"/>
      <c r="P13" s="803"/>
      <c r="Q13" s="803"/>
      <c r="R13" s="803"/>
      <c r="S13" s="803"/>
      <c r="T13" s="803"/>
      <c r="U13" s="804" t="s">
        <v>44</v>
      </c>
      <c r="V13" s="803"/>
      <c r="W13" s="803"/>
      <c r="X13" s="803"/>
      <c r="Y13" s="803"/>
      <c r="Z13" s="803"/>
      <c r="AA13" s="803"/>
      <c r="AB13" s="803"/>
      <c r="AC13" s="803"/>
      <c r="AD13" s="803"/>
      <c r="AE13" s="803"/>
      <c r="AF13" s="803"/>
      <c r="AG13" s="803"/>
      <c r="AH13" s="803"/>
      <c r="AI13" s="803"/>
      <c r="AJ13" s="803"/>
      <c r="AK13" s="803"/>
      <c r="AL13" s="803"/>
      <c r="AM13" s="803"/>
      <c r="AN13" s="803"/>
      <c r="AO13" s="803"/>
      <c r="AP13" s="805" t="s">
        <v>45</v>
      </c>
      <c r="AQ13" s="805"/>
      <c r="AR13" s="805"/>
      <c r="AS13" s="805"/>
      <c r="AT13" s="805"/>
      <c r="AU13" s="805"/>
      <c r="AV13" s="805"/>
      <c r="AW13" s="805"/>
      <c r="AX13" s="805"/>
      <c r="AY13" s="805"/>
    </row>
    <row r="14" spans="1:51" ht="18.75" x14ac:dyDescent="0.3">
      <c r="A14" s="802" t="s">
        <v>46</v>
      </c>
      <c r="B14" s="802"/>
      <c r="C14" s="802"/>
      <c r="D14" s="802"/>
      <c r="E14" s="802"/>
      <c r="F14" s="802"/>
      <c r="G14" s="802"/>
      <c r="H14" s="802"/>
      <c r="I14" s="802"/>
      <c r="J14" s="802"/>
      <c r="K14" s="803" t="s">
        <v>47</v>
      </c>
      <c r="L14" s="803"/>
      <c r="M14" s="803"/>
      <c r="N14" s="803"/>
      <c r="O14" s="803"/>
      <c r="P14" s="803"/>
      <c r="Q14" s="803"/>
      <c r="R14" s="803"/>
      <c r="S14" s="803"/>
      <c r="T14" s="803"/>
      <c r="U14" s="803"/>
      <c r="V14" s="803"/>
      <c r="W14" s="803"/>
      <c r="X14" s="803"/>
      <c r="Y14" s="803"/>
      <c r="Z14" s="803"/>
      <c r="AA14" s="803"/>
      <c r="AB14" s="803"/>
      <c r="AC14" s="803"/>
      <c r="AD14" s="803"/>
      <c r="AE14" s="803"/>
      <c r="AF14" s="803"/>
      <c r="AG14" s="803"/>
      <c r="AH14" s="803"/>
      <c r="AI14" s="803"/>
      <c r="AJ14" s="803"/>
      <c r="AK14" s="803"/>
      <c r="AL14" s="803"/>
      <c r="AM14" s="803"/>
      <c r="AN14" s="803"/>
      <c r="AO14" s="803"/>
      <c r="AP14" s="805" t="s">
        <v>45</v>
      </c>
      <c r="AQ14" s="805"/>
      <c r="AR14" s="805"/>
      <c r="AS14" s="805"/>
      <c r="AT14" s="805"/>
      <c r="AU14" s="805"/>
      <c r="AV14" s="805"/>
      <c r="AW14" s="805"/>
      <c r="AX14" s="805"/>
      <c r="AY14" s="805"/>
    </row>
    <row r="15" spans="1:51" ht="18.75" x14ac:dyDescent="0.3">
      <c r="A15" s="802" t="s">
        <v>48</v>
      </c>
      <c r="B15" s="802"/>
      <c r="C15" s="802"/>
      <c r="D15" s="802"/>
      <c r="E15" s="802"/>
      <c r="F15" s="802"/>
      <c r="G15" s="802"/>
      <c r="H15" s="802"/>
      <c r="I15" s="802"/>
      <c r="J15" s="802"/>
      <c r="K15" s="803" t="s">
        <v>49</v>
      </c>
      <c r="L15" s="803"/>
      <c r="M15" s="803"/>
      <c r="N15" s="803"/>
      <c r="O15" s="803"/>
      <c r="P15" s="803"/>
      <c r="Q15" s="803"/>
      <c r="R15" s="803"/>
      <c r="S15" s="803"/>
      <c r="T15" s="803"/>
      <c r="U15" s="803"/>
      <c r="V15" s="803"/>
      <c r="W15" s="803"/>
      <c r="X15" s="803"/>
      <c r="Y15" s="803"/>
      <c r="Z15" s="803"/>
      <c r="AA15" s="803"/>
      <c r="AB15" s="803"/>
      <c r="AC15" s="803"/>
      <c r="AD15" s="803"/>
      <c r="AE15" s="803"/>
      <c r="AF15" s="803"/>
      <c r="AG15" s="803"/>
      <c r="AH15" s="803"/>
      <c r="AI15" s="803"/>
      <c r="AJ15" s="803"/>
      <c r="AK15" s="803"/>
      <c r="AL15" s="803"/>
      <c r="AM15" s="803"/>
      <c r="AN15" s="803"/>
      <c r="AO15" s="803"/>
      <c r="AP15" s="805" t="s">
        <v>7</v>
      </c>
      <c r="AQ15" s="805"/>
      <c r="AR15" s="805"/>
      <c r="AS15" s="805"/>
      <c r="AT15" s="805"/>
      <c r="AU15" s="805"/>
      <c r="AV15" s="805"/>
      <c r="AW15" s="805"/>
      <c r="AX15" s="805"/>
      <c r="AY15" s="805"/>
    </row>
    <row r="16" spans="1:51" ht="18.75" x14ac:dyDescent="0.3">
      <c r="A16" s="802" t="s">
        <v>251</v>
      </c>
      <c r="B16" s="802"/>
      <c r="C16" s="802"/>
      <c r="D16" s="802"/>
      <c r="E16" s="802"/>
      <c r="F16" s="802"/>
      <c r="G16" s="802"/>
      <c r="H16" s="802"/>
      <c r="I16" s="802"/>
      <c r="J16" s="802"/>
      <c r="K16" s="803" t="s">
        <v>50</v>
      </c>
      <c r="L16" s="803"/>
      <c r="M16" s="803"/>
      <c r="N16" s="803"/>
      <c r="O16" s="803"/>
      <c r="P16" s="803"/>
      <c r="Q16" s="803"/>
      <c r="R16" s="803"/>
      <c r="S16" s="803"/>
      <c r="T16" s="803"/>
      <c r="U16" s="803"/>
      <c r="V16" s="803"/>
      <c r="W16" s="803"/>
      <c r="X16" s="803"/>
      <c r="Y16" s="803"/>
      <c r="Z16" s="803"/>
      <c r="AA16" s="803"/>
      <c r="AB16" s="803"/>
      <c r="AC16" s="803"/>
      <c r="AD16" s="803"/>
      <c r="AE16" s="803"/>
      <c r="AF16" s="803"/>
      <c r="AG16" s="803"/>
      <c r="AH16" s="803"/>
      <c r="AI16" s="803"/>
      <c r="AJ16" s="803"/>
      <c r="AK16" s="803"/>
      <c r="AL16" s="803"/>
      <c r="AM16" s="803"/>
      <c r="AN16" s="803"/>
      <c r="AO16" s="803"/>
      <c r="AP16" s="805" t="s">
        <v>7</v>
      </c>
      <c r="AQ16" s="805"/>
      <c r="AR16" s="805"/>
      <c r="AS16" s="805"/>
      <c r="AT16" s="805"/>
      <c r="AU16" s="805"/>
      <c r="AV16" s="805"/>
      <c r="AW16" s="805"/>
      <c r="AX16" s="805"/>
      <c r="AY16" s="805"/>
    </row>
    <row r="17" spans="1:51" ht="18.75" x14ac:dyDescent="0.3">
      <c r="A17" s="802" t="s">
        <v>51</v>
      </c>
      <c r="B17" s="802"/>
      <c r="C17" s="802"/>
      <c r="D17" s="802"/>
      <c r="E17" s="802"/>
      <c r="F17" s="802"/>
      <c r="G17" s="802"/>
      <c r="H17" s="802"/>
      <c r="I17" s="802"/>
      <c r="J17" s="802"/>
      <c r="K17" s="803" t="s">
        <v>52</v>
      </c>
      <c r="L17" s="803"/>
      <c r="M17" s="803"/>
      <c r="N17" s="803"/>
      <c r="O17" s="803"/>
      <c r="P17" s="803"/>
      <c r="Q17" s="803"/>
      <c r="R17" s="803"/>
      <c r="S17" s="803"/>
      <c r="T17" s="803"/>
      <c r="U17" s="803"/>
      <c r="V17" s="803"/>
      <c r="W17" s="803"/>
      <c r="X17" s="803"/>
      <c r="Y17" s="803"/>
      <c r="Z17" s="803"/>
      <c r="AA17" s="803"/>
      <c r="AB17" s="803"/>
      <c r="AC17" s="803"/>
      <c r="AD17" s="803"/>
      <c r="AE17" s="803"/>
      <c r="AF17" s="803"/>
      <c r="AG17" s="803"/>
      <c r="AH17" s="803"/>
      <c r="AI17" s="803"/>
      <c r="AJ17" s="803"/>
      <c r="AK17" s="803"/>
      <c r="AL17" s="803"/>
      <c r="AM17" s="803"/>
      <c r="AN17" s="803"/>
      <c r="AO17" s="803"/>
      <c r="AP17" s="805" t="s">
        <v>7</v>
      </c>
      <c r="AQ17" s="805"/>
      <c r="AR17" s="805"/>
      <c r="AS17" s="805"/>
      <c r="AT17" s="805"/>
      <c r="AU17" s="805"/>
      <c r="AV17" s="805"/>
      <c r="AW17" s="805"/>
      <c r="AX17" s="805"/>
      <c r="AY17" s="805"/>
    </row>
    <row r="18" spans="1:51" ht="18.75" x14ac:dyDescent="0.3">
      <c r="A18" s="802" t="s">
        <v>26</v>
      </c>
      <c r="B18" s="802"/>
      <c r="C18" s="802"/>
      <c r="D18" s="802"/>
      <c r="E18" s="802"/>
      <c r="F18" s="802"/>
      <c r="G18" s="802"/>
      <c r="H18" s="802"/>
      <c r="I18" s="802"/>
      <c r="J18" s="802"/>
      <c r="K18" s="803" t="s">
        <v>53</v>
      </c>
      <c r="L18" s="803"/>
      <c r="M18" s="803"/>
      <c r="N18" s="803"/>
      <c r="O18" s="803"/>
      <c r="P18" s="803"/>
      <c r="Q18" s="803"/>
      <c r="R18" s="803"/>
      <c r="S18" s="803"/>
      <c r="T18" s="803"/>
      <c r="U18" s="804" t="s">
        <v>54</v>
      </c>
      <c r="V18" s="803"/>
      <c r="W18" s="803"/>
      <c r="X18" s="803"/>
      <c r="Y18" s="803"/>
      <c r="Z18" s="803"/>
      <c r="AA18" s="803"/>
      <c r="AB18" s="803"/>
      <c r="AC18" s="803"/>
      <c r="AD18" s="803"/>
      <c r="AE18" s="803"/>
      <c r="AF18" s="803"/>
      <c r="AG18" s="803"/>
      <c r="AH18" s="803"/>
      <c r="AI18" s="803"/>
      <c r="AJ18" s="803"/>
      <c r="AK18" s="803"/>
      <c r="AL18" s="803"/>
      <c r="AM18" s="803"/>
      <c r="AN18" s="803"/>
      <c r="AO18" s="803"/>
      <c r="AP18" s="805" t="s">
        <v>7</v>
      </c>
      <c r="AQ18" s="805"/>
      <c r="AR18" s="805"/>
      <c r="AS18" s="805"/>
      <c r="AT18" s="805"/>
      <c r="AU18" s="805"/>
      <c r="AV18" s="805"/>
      <c r="AW18" s="805"/>
      <c r="AX18" s="805"/>
      <c r="AY18" s="805"/>
    </row>
    <row r="19" spans="1:51" ht="18.75" x14ac:dyDescent="0.3">
      <c r="A19" s="802" t="s">
        <v>55</v>
      </c>
      <c r="B19" s="802"/>
      <c r="C19" s="802"/>
      <c r="D19" s="802"/>
      <c r="E19" s="802"/>
      <c r="F19" s="802"/>
      <c r="G19" s="802"/>
      <c r="H19" s="802"/>
      <c r="I19" s="802"/>
      <c r="J19" s="802"/>
      <c r="K19" s="803" t="s">
        <v>56</v>
      </c>
      <c r="L19" s="803"/>
      <c r="M19" s="803"/>
      <c r="N19" s="803"/>
      <c r="O19" s="803"/>
      <c r="P19" s="803"/>
      <c r="Q19" s="803"/>
      <c r="R19" s="803"/>
      <c r="S19" s="803"/>
      <c r="T19" s="803"/>
      <c r="U19" s="803"/>
      <c r="V19" s="803"/>
      <c r="W19" s="803"/>
      <c r="X19" s="803"/>
      <c r="Y19" s="803"/>
      <c r="Z19" s="803"/>
      <c r="AA19" s="803"/>
      <c r="AB19" s="803"/>
      <c r="AC19" s="803"/>
      <c r="AD19" s="803"/>
      <c r="AE19" s="803"/>
      <c r="AF19" s="803"/>
      <c r="AG19" s="803"/>
      <c r="AH19" s="803"/>
      <c r="AI19" s="803"/>
      <c r="AJ19" s="803"/>
      <c r="AK19" s="803"/>
      <c r="AL19" s="803"/>
      <c r="AM19" s="803"/>
      <c r="AN19" s="803"/>
      <c r="AO19" s="803"/>
      <c r="AP19" s="805" t="s">
        <v>10</v>
      </c>
      <c r="AQ19" s="805"/>
      <c r="AR19" s="805"/>
      <c r="AS19" s="805"/>
      <c r="AT19" s="805"/>
      <c r="AU19" s="805"/>
      <c r="AV19" s="805"/>
      <c r="AW19" s="805"/>
      <c r="AX19" s="805"/>
      <c r="AY19" s="805"/>
    </row>
    <row r="20" spans="1:51" ht="18.75" x14ac:dyDescent="0.3">
      <c r="A20" s="802" t="s">
        <v>57</v>
      </c>
      <c r="B20" s="802"/>
      <c r="C20" s="802"/>
      <c r="D20" s="802"/>
      <c r="E20" s="802"/>
      <c r="F20" s="802"/>
      <c r="G20" s="802"/>
      <c r="H20" s="802"/>
      <c r="I20" s="802"/>
      <c r="J20" s="802"/>
      <c r="K20" s="803"/>
      <c r="L20" s="803"/>
      <c r="M20" s="803"/>
      <c r="N20" s="803"/>
      <c r="O20" s="803"/>
      <c r="P20" s="803"/>
      <c r="Q20" s="803"/>
      <c r="R20" s="803"/>
      <c r="S20" s="803"/>
      <c r="T20" s="803"/>
      <c r="U20" s="803"/>
      <c r="V20" s="803"/>
      <c r="W20" s="803"/>
      <c r="X20" s="803"/>
      <c r="Y20" s="803"/>
      <c r="Z20" s="803"/>
      <c r="AA20" s="803"/>
      <c r="AB20" s="803"/>
      <c r="AC20" s="803"/>
      <c r="AD20" s="803"/>
      <c r="AE20" s="803"/>
      <c r="AF20" s="803"/>
      <c r="AG20" s="803"/>
      <c r="AH20" s="803"/>
      <c r="AI20" s="803"/>
      <c r="AJ20" s="803"/>
      <c r="AK20" s="803"/>
      <c r="AL20" s="803"/>
      <c r="AM20" s="803"/>
      <c r="AN20" s="803"/>
      <c r="AO20" s="803"/>
      <c r="AP20" s="805" t="s">
        <v>10</v>
      </c>
      <c r="AQ20" s="805"/>
      <c r="AR20" s="805"/>
      <c r="AS20" s="805"/>
      <c r="AT20" s="805"/>
      <c r="AU20" s="805"/>
      <c r="AV20" s="805"/>
      <c r="AW20" s="805"/>
      <c r="AX20" s="805"/>
      <c r="AY20" s="805"/>
    </row>
    <row r="21" spans="1:51" ht="18.75" x14ac:dyDescent="0.3">
      <c r="A21" s="802" t="s">
        <v>26</v>
      </c>
      <c r="B21" s="802"/>
      <c r="C21" s="802"/>
      <c r="D21" s="802"/>
      <c r="E21" s="802"/>
      <c r="F21" s="802"/>
      <c r="G21" s="802"/>
      <c r="H21" s="802"/>
      <c r="I21" s="802"/>
      <c r="J21" s="802"/>
      <c r="K21" s="803" t="s">
        <v>58</v>
      </c>
      <c r="L21" s="803"/>
      <c r="M21" s="803"/>
      <c r="N21" s="803"/>
      <c r="O21" s="803"/>
      <c r="P21" s="803"/>
      <c r="Q21" s="803"/>
      <c r="R21" s="803"/>
      <c r="S21" s="803"/>
      <c r="T21" s="803"/>
      <c r="U21" s="804" t="s">
        <v>59</v>
      </c>
      <c r="V21" s="803"/>
      <c r="W21" s="803"/>
      <c r="X21" s="803"/>
      <c r="Y21" s="803"/>
      <c r="Z21" s="803"/>
      <c r="AA21" s="803"/>
      <c r="AB21" s="803"/>
      <c r="AC21" s="803"/>
      <c r="AD21" s="803"/>
      <c r="AE21" s="803"/>
      <c r="AF21" s="803"/>
      <c r="AG21" s="803"/>
      <c r="AH21" s="803"/>
      <c r="AI21" s="803"/>
      <c r="AJ21" s="803"/>
      <c r="AK21" s="803"/>
      <c r="AL21" s="803"/>
      <c r="AM21" s="803"/>
      <c r="AN21" s="803"/>
      <c r="AO21" s="803"/>
      <c r="AP21" s="805" t="s">
        <v>10</v>
      </c>
      <c r="AQ21" s="805"/>
      <c r="AR21" s="805"/>
      <c r="AS21" s="805"/>
      <c r="AT21" s="805"/>
      <c r="AU21" s="805"/>
      <c r="AV21" s="805"/>
      <c r="AW21" s="805"/>
      <c r="AX21" s="805"/>
      <c r="AY21" s="805"/>
    </row>
    <row r="22" spans="1:51" ht="18.75" x14ac:dyDescent="0.3">
      <c r="A22" s="802" t="s">
        <v>60</v>
      </c>
      <c r="B22" s="802"/>
      <c r="C22" s="802"/>
      <c r="D22" s="802"/>
      <c r="E22" s="802"/>
      <c r="F22" s="802"/>
      <c r="G22" s="802"/>
      <c r="H22" s="802"/>
      <c r="I22" s="802"/>
      <c r="J22" s="802"/>
      <c r="K22" s="803" t="s">
        <v>61</v>
      </c>
      <c r="L22" s="803"/>
      <c r="M22" s="803"/>
      <c r="N22" s="803"/>
      <c r="O22" s="803"/>
      <c r="P22" s="803"/>
      <c r="Q22" s="803"/>
      <c r="R22" s="803"/>
      <c r="S22" s="803"/>
      <c r="T22" s="803"/>
      <c r="U22" s="803"/>
      <c r="V22" s="803"/>
      <c r="W22" s="803"/>
      <c r="X22" s="803"/>
      <c r="Y22" s="803"/>
      <c r="Z22" s="803"/>
      <c r="AA22" s="803"/>
      <c r="AB22" s="803"/>
      <c r="AC22" s="803"/>
      <c r="AD22" s="803"/>
      <c r="AE22" s="803"/>
      <c r="AF22" s="803"/>
      <c r="AG22" s="803"/>
      <c r="AH22" s="803"/>
      <c r="AI22" s="803"/>
      <c r="AJ22" s="803"/>
      <c r="AK22" s="803"/>
      <c r="AL22" s="803"/>
      <c r="AM22" s="803"/>
      <c r="AN22" s="803"/>
      <c r="AO22" s="803"/>
      <c r="AP22" s="805" t="s">
        <v>62</v>
      </c>
      <c r="AQ22" s="805"/>
      <c r="AR22" s="805"/>
      <c r="AS22" s="805"/>
      <c r="AT22" s="805"/>
      <c r="AU22" s="805"/>
      <c r="AV22" s="805"/>
      <c r="AW22" s="805"/>
      <c r="AX22" s="805"/>
      <c r="AY22" s="805"/>
    </row>
    <row r="23" spans="1:51" ht="18.75" x14ac:dyDescent="0.3">
      <c r="A23" s="802" t="s">
        <v>63</v>
      </c>
      <c r="B23" s="802"/>
      <c r="C23" s="802"/>
      <c r="D23" s="802"/>
      <c r="E23" s="802"/>
      <c r="F23" s="802"/>
      <c r="G23" s="802"/>
      <c r="H23" s="802"/>
      <c r="I23" s="802"/>
      <c r="J23" s="802"/>
      <c r="K23" s="803" t="s">
        <v>64</v>
      </c>
      <c r="L23" s="803"/>
      <c r="M23" s="803"/>
      <c r="N23" s="803"/>
      <c r="O23" s="803"/>
      <c r="P23" s="803"/>
      <c r="Q23" s="803"/>
      <c r="R23" s="803"/>
      <c r="S23" s="803"/>
      <c r="T23" s="803"/>
      <c r="U23" s="803"/>
      <c r="V23" s="803"/>
      <c r="W23" s="803"/>
      <c r="X23" s="803"/>
      <c r="Y23" s="803"/>
      <c r="Z23" s="803"/>
      <c r="AA23" s="803"/>
      <c r="AB23" s="803"/>
      <c r="AC23" s="803"/>
      <c r="AD23" s="803"/>
      <c r="AE23" s="803"/>
      <c r="AF23" s="803"/>
      <c r="AG23" s="803"/>
      <c r="AH23" s="803"/>
      <c r="AI23" s="803"/>
      <c r="AJ23" s="803"/>
      <c r="AK23" s="803"/>
      <c r="AL23" s="803"/>
      <c r="AM23" s="803"/>
      <c r="AN23" s="803"/>
      <c r="AO23" s="803"/>
      <c r="AP23" s="805" t="s">
        <v>62</v>
      </c>
      <c r="AQ23" s="805"/>
      <c r="AR23" s="805"/>
      <c r="AS23" s="805"/>
      <c r="AT23" s="805"/>
      <c r="AU23" s="805"/>
      <c r="AV23" s="805"/>
      <c r="AW23" s="805"/>
      <c r="AX23" s="805"/>
      <c r="AY23" s="805"/>
    </row>
    <row r="24" spans="1:51" ht="18.75" x14ac:dyDescent="0.3">
      <c r="A24" s="802" t="s">
        <v>65</v>
      </c>
      <c r="B24" s="802"/>
      <c r="C24" s="802"/>
      <c r="D24" s="802"/>
      <c r="E24" s="802"/>
      <c r="F24" s="802"/>
      <c r="G24" s="802"/>
      <c r="H24" s="802"/>
      <c r="I24" s="802"/>
      <c r="J24" s="802"/>
      <c r="K24" s="803" t="s">
        <v>66</v>
      </c>
      <c r="L24" s="803"/>
      <c r="M24" s="803"/>
      <c r="N24" s="803"/>
      <c r="O24" s="803"/>
      <c r="P24" s="803"/>
      <c r="Q24" s="803"/>
      <c r="R24" s="803"/>
      <c r="S24" s="803"/>
      <c r="T24" s="803"/>
      <c r="U24" s="803"/>
      <c r="V24" s="803"/>
      <c r="W24" s="803"/>
      <c r="X24" s="803"/>
      <c r="Y24" s="803"/>
      <c r="Z24" s="803"/>
      <c r="AA24" s="803"/>
      <c r="AB24" s="803"/>
      <c r="AC24" s="803"/>
      <c r="AD24" s="803"/>
      <c r="AE24" s="803"/>
      <c r="AF24" s="803"/>
      <c r="AG24" s="803"/>
      <c r="AH24" s="803"/>
      <c r="AI24" s="803"/>
      <c r="AJ24" s="803"/>
      <c r="AK24" s="803"/>
      <c r="AL24" s="803"/>
      <c r="AM24" s="803"/>
      <c r="AN24" s="803"/>
      <c r="AO24" s="803"/>
      <c r="AP24" s="805" t="s">
        <v>62</v>
      </c>
      <c r="AQ24" s="805"/>
      <c r="AR24" s="805"/>
      <c r="AS24" s="805"/>
      <c r="AT24" s="805"/>
      <c r="AU24" s="805"/>
      <c r="AV24" s="805"/>
      <c r="AW24" s="805"/>
      <c r="AX24" s="805"/>
      <c r="AY24" s="805"/>
    </row>
    <row r="25" spans="1:51" ht="18.75" x14ac:dyDescent="0.3">
      <c r="A25" s="802" t="s">
        <v>26</v>
      </c>
      <c r="B25" s="802"/>
      <c r="C25" s="802"/>
      <c r="D25" s="802"/>
      <c r="E25" s="802"/>
      <c r="F25" s="802"/>
      <c r="G25" s="802"/>
      <c r="H25" s="802"/>
      <c r="I25" s="802"/>
      <c r="J25" s="802"/>
      <c r="K25" s="803" t="s">
        <v>67</v>
      </c>
      <c r="L25" s="803"/>
      <c r="M25" s="803"/>
      <c r="N25" s="803"/>
      <c r="O25" s="803"/>
      <c r="P25" s="803"/>
      <c r="Q25" s="803"/>
      <c r="R25" s="803"/>
      <c r="S25" s="803"/>
      <c r="T25" s="803"/>
      <c r="U25" s="804" t="s">
        <v>68</v>
      </c>
      <c r="V25" s="803"/>
      <c r="W25" s="803"/>
      <c r="X25" s="803"/>
      <c r="Y25" s="803"/>
      <c r="Z25" s="803"/>
      <c r="AA25" s="803"/>
      <c r="AB25" s="803"/>
      <c r="AC25" s="803"/>
      <c r="AD25" s="803"/>
      <c r="AE25" s="803"/>
      <c r="AF25" s="803"/>
      <c r="AG25" s="803"/>
      <c r="AH25" s="803"/>
      <c r="AI25" s="803"/>
      <c r="AJ25" s="803"/>
      <c r="AK25" s="803"/>
      <c r="AL25" s="803"/>
      <c r="AM25" s="803"/>
      <c r="AN25" s="803"/>
      <c r="AO25" s="803"/>
      <c r="AP25" s="805" t="s">
        <v>62</v>
      </c>
      <c r="AQ25" s="805"/>
      <c r="AR25" s="805"/>
      <c r="AS25" s="805"/>
      <c r="AT25" s="805"/>
      <c r="AU25" s="805"/>
      <c r="AV25" s="805"/>
      <c r="AW25" s="805"/>
      <c r="AX25" s="805"/>
      <c r="AY25" s="805"/>
    </row>
    <row r="26" spans="1:51" ht="18.75" x14ac:dyDescent="0.3">
      <c r="A26" s="802" t="s">
        <v>69</v>
      </c>
      <c r="B26" s="802"/>
      <c r="C26" s="802"/>
      <c r="D26" s="802"/>
      <c r="E26" s="802"/>
      <c r="F26" s="802"/>
      <c r="G26" s="802"/>
      <c r="H26" s="802"/>
      <c r="I26" s="802"/>
      <c r="J26" s="802"/>
      <c r="K26" s="803" t="s">
        <v>70</v>
      </c>
      <c r="L26" s="803"/>
      <c r="M26" s="803"/>
      <c r="N26" s="803"/>
      <c r="O26" s="803"/>
      <c r="P26" s="803"/>
      <c r="Q26" s="803"/>
      <c r="R26" s="803"/>
      <c r="S26" s="803"/>
      <c r="T26" s="803"/>
      <c r="U26" s="803"/>
      <c r="V26" s="803"/>
      <c r="W26" s="803"/>
      <c r="X26" s="803"/>
      <c r="Y26" s="803"/>
      <c r="Z26" s="803"/>
      <c r="AA26" s="803"/>
      <c r="AB26" s="803"/>
      <c r="AC26" s="803"/>
      <c r="AD26" s="803"/>
      <c r="AE26" s="803"/>
      <c r="AF26" s="803"/>
      <c r="AG26" s="803"/>
      <c r="AH26" s="803"/>
      <c r="AI26" s="803"/>
      <c r="AJ26" s="803"/>
      <c r="AK26" s="803"/>
      <c r="AL26" s="803"/>
      <c r="AM26" s="803"/>
      <c r="AN26" s="803"/>
      <c r="AO26" s="803"/>
      <c r="AP26" s="805" t="s">
        <v>71</v>
      </c>
      <c r="AQ26" s="805"/>
      <c r="AR26" s="805"/>
      <c r="AS26" s="805"/>
      <c r="AT26" s="805"/>
      <c r="AU26" s="805"/>
      <c r="AV26" s="805"/>
      <c r="AW26" s="805"/>
      <c r="AX26" s="805"/>
      <c r="AY26" s="805"/>
    </row>
    <row r="27" spans="1:51" ht="18.75" x14ac:dyDescent="0.3">
      <c r="A27" s="802" t="s">
        <v>72</v>
      </c>
      <c r="B27" s="802"/>
      <c r="C27" s="802"/>
      <c r="D27" s="802"/>
      <c r="E27" s="802"/>
      <c r="F27" s="802"/>
      <c r="G27" s="802"/>
      <c r="H27" s="802"/>
      <c r="I27" s="802"/>
      <c r="J27" s="802"/>
      <c r="K27" s="803" t="s">
        <v>73</v>
      </c>
      <c r="L27" s="803"/>
      <c r="M27" s="803"/>
      <c r="N27" s="803"/>
      <c r="O27" s="803"/>
      <c r="P27" s="803"/>
      <c r="Q27" s="803"/>
      <c r="R27" s="803"/>
      <c r="S27" s="803"/>
      <c r="T27" s="803"/>
      <c r="U27" s="804" t="s">
        <v>74</v>
      </c>
      <c r="V27" s="803"/>
      <c r="W27" s="803"/>
      <c r="X27" s="803"/>
      <c r="Y27" s="803"/>
      <c r="Z27" s="803"/>
      <c r="AA27" s="803"/>
      <c r="AB27" s="803"/>
      <c r="AC27" s="803"/>
      <c r="AD27" s="803"/>
      <c r="AE27" s="803"/>
      <c r="AF27" s="803"/>
      <c r="AG27" s="803"/>
      <c r="AH27" s="803"/>
      <c r="AI27" s="803"/>
      <c r="AJ27" s="803"/>
      <c r="AK27" s="803"/>
      <c r="AL27" s="803"/>
      <c r="AM27" s="803"/>
      <c r="AN27" s="803"/>
      <c r="AO27" s="803"/>
      <c r="AP27" s="805" t="s">
        <v>71</v>
      </c>
      <c r="AQ27" s="805"/>
      <c r="AR27" s="805"/>
      <c r="AS27" s="805"/>
      <c r="AT27" s="805"/>
      <c r="AU27" s="805"/>
      <c r="AV27" s="805"/>
      <c r="AW27" s="805"/>
      <c r="AX27" s="805"/>
      <c r="AY27" s="805"/>
    </row>
    <row r="28" spans="1:51" ht="18.75" x14ac:dyDescent="0.3">
      <c r="A28" s="802" t="s">
        <v>75</v>
      </c>
      <c r="B28" s="802"/>
      <c r="C28" s="802"/>
      <c r="D28" s="802"/>
      <c r="E28" s="802"/>
      <c r="F28" s="802"/>
      <c r="G28" s="802"/>
      <c r="H28" s="802"/>
      <c r="I28" s="802"/>
      <c r="J28" s="802"/>
      <c r="K28" s="803" t="s">
        <v>76</v>
      </c>
      <c r="L28" s="803"/>
      <c r="M28" s="803"/>
      <c r="N28" s="803"/>
      <c r="O28" s="803"/>
      <c r="P28" s="803"/>
      <c r="Q28" s="803"/>
      <c r="R28" s="803"/>
      <c r="S28" s="803"/>
      <c r="T28" s="803"/>
      <c r="U28" s="804" t="s">
        <v>77</v>
      </c>
      <c r="V28" s="803"/>
      <c r="W28" s="803"/>
      <c r="X28" s="803"/>
      <c r="Y28" s="803"/>
      <c r="Z28" s="803"/>
      <c r="AA28" s="803"/>
      <c r="AB28" s="803"/>
      <c r="AC28" s="803"/>
      <c r="AD28" s="803"/>
      <c r="AE28" s="803"/>
      <c r="AF28" s="803"/>
      <c r="AG28" s="803"/>
      <c r="AH28" s="803"/>
      <c r="AI28" s="803"/>
      <c r="AJ28" s="803"/>
      <c r="AK28" s="803"/>
      <c r="AL28" s="803"/>
      <c r="AM28" s="803"/>
      <c r="AN28" s="803"/>
      <c r="AO28" s="803"/>
      <c r="AP28" s="805" t="s">
        <v>78</v>
      </c>
      <c r="AQ28" s="805"/>
      <c r="AR28" s="805"/>
      <c r="AS28" s="805"/>
      <c r="AT28" s="805"/>
      <c r="AU28" s="805"/>
      <c r="AV28" s="805"/>
      <c r="AW28" s="805"/>
      <c r="AX28" s="805"/>
      <c r="AY28" s="805"/>
    </row>
    <row r="29" spans="1:51" ht="18.75" x14ac:dyDescent="0.3">
      <c r="A29" s="802" t="s">
        <v>79</v>
      </c>
      <c r="B29" s="802"/>
      <c r="C29" s="802"/>
      <c r="D29" s="802"/>
      <c r="E29" s="802"/>
      <c r="F29" s="802"/>
      <c r="G29" s="802"/>
      <c r="H29" s="802"/>
      <c r="I29" s="802"/>
      <c r="J29" s="802"/>
      <c r="K29" s="803" t="s">
        <v>80</v>
      </c>
      <c r="L29" s="803"/>
      <c r="M29" s="803"/>
      <c r="N29" s="803"/>
      <c r="O29" s="803"/>
      <c r="P29" s="803"/>
      <c r="Q29" s="803"/>
      <c r="R29" s="803"/>
      <c r="S29" s="803"/>
      <c r="T29" s="803"/>
      <c r="U29" s="803"/>
      <c r="V29" s="803"/>
      <c r="W29" s="803"/>
      <c r="X29" s="803"/>
      <c r="Y29" s="803"/>
      <c r="Z29" s="803"/>
      <c r="AA29" s="803"/>
      <c r="AB29" s="803"/>
      <c r="AC29" s="803"/>
      <c r="AD29" s="803"/>
      <c r="AE29" s="803"/>
      <c r="AF29" s="803"/>
      <c r="AG29" s="803"/>
      <c r="AH29" s="803"/>
      <c r="AI29" s="803"/>
      <c r="AJ29" s="803"/>
      <c r="AK29" s="803"/>
      <c r="AL29" s="803"/>
      <c r="AM29" s="803"/>
      <c r="AN29" s="803"/>
      <c r="AO29" s="803"/>
      <c r="AP29" s="805" t="s">
        <v>78</v>
      </c>
      <c r="AQ29" s="805"/>
      <c r="AR29" s="805"/>
      <c r="AS29" s="805"/>
      <c r="AT29" s="805"/>
      <c r="AU29" s="805"/>
      <c r="AV29" s="805"/>
      <c r="AW29" s="805"/>
      <c r="AX29" s="805"/>
      <c r="AY29" s="805"/>
    </row>
    <row r="30" spans="1:51" ht="18.75" x14ac:dyDescent="0.3">
      <c r="A30" s="802" t="s">
        <v>81</v>
      </c>
      <c r="B30" s="802"/>
      <c r="C30" s="802"/>
      <c r="D30" s="802"/>
      <c r="E30" s="802"/>
      <c r="F30" s="802"/>
      <c r="G30" s="802"/>
      <c r="H30" s="802"/>
      <c r="I30" s="802"/>
      <c r="J30" s="802"/>
      <c r="K30" s="803" t="s">
        <v>82</v>
      </c>
      <c r="L30" s="803"/>
      <c r="M30" s="803"/>
      <c r="N30" s="803"/>
      <c r="O30" s="803"/>
      <c r="P30" s="803"/>
      <c r="Q30" s="803"/>
      <c r="R30" s="803"/>
      <c r="S30" s="803"/>
      <c r="T30" s="803"/>
      <c r="U30" s="803"/>
      <c r="V30" s="803"/>
      <c r="W30" s="803"/>
      <c r="X30" s="803"/>
      <c r="Y30" s="803"/>
      <c r="Z30" s="803"/>
      <c r="AA30" s="803"/>
      <c r="AB30" s="803"/>
      <c r="AC30" s="803"/>
      <c r="AD30" s="803"/>
      <c r="AE30" s="803"/>
      <c r="AF30" s="803"/>
      <c r="AG30" s="803"/>
      <c r="AH30" s="803"/>
      <c r="AI30" s="803"/>
      <c r="AJ30" s="803"/>
      <c r="AK30" s="803"/>
      <c r="AL30" s="803"/>
      <c r="AM30" s="803"/>
      <c r="AN30" s="803"/>
      <c r="AO30" s="803"/>
      <c r="AP30" s="805" t="s">
        <v>78</v>
      </c>
      <c r="AQ30" s="805"/>
      <c r="AR30" s="805"/>
      <c r="AS30" s="805"/>
      <c r="AT30" s="805"/>
      <c r="AU30" s="805"/>
      <c r="AV30" s="805"/>
      <c r="AW30" s="805"/>
      <c r="AX30" s="805"/>
      <c r="AY30" s="805"/>
    </row>
    <row r="31" spans="1:51" ht="18.75" x14ac:dyDescent="0.3">
      <c r="A31" s="802" t="s">
        <v>83</v>
      </c>
      <c r="B31" s="802"/>
      <c r="C31" s="802"/>
      <c r="D31" s="802"/>
      <c r="E31" s="802"/>
      <c r="F31" s="802"/>
      <c r="G31" s="802"/>
      <c r="H31" s="802"/>
      <c r="I31" s="802"/>
      <c r="J31" s="802"/>
      <c r="K31" s="803" t="s">
        <v>84</v>
      </c>
      <c r="L31" s="803"/>
      <c r="M31" s="803"/>
      <c r="N31" s="803"/>
      <c r="O31" s="803"/>
      <c r="P31" s="803"/>
      <c r="Q31" s="803"/>
      <c r="R31" s="803"/>
      <c r="S31" s="803"/>
      <c r="T31" s="803"/>
      <c r="U31" s="803"/>
      <c r="V31" s="803"/>
      <c r="W31" s="803"/>
      <c r="X31" s="803"/>
      <c r="Y31" s="803"/>
      <c r="Z31" s="803"/>
      <c r="AA31" s="803"/>
      <c r="AB31" s="803"/>
      <c r="AC31" s="803"/>
      <c r="AD31" s="803"/>
      <c r="AE31" s="803"/>
      <c r="AF31" s="803"/>
      <c r="AG31" s="803"/>
      <c r="AH31" s="803"/>
      <c r="AI31" s="803"/>
      <c r="AJ31" s="803"/>
      <c r="AK31" s="803"/>
      <c r="AL31" s="803"/>
      <c r="AM31" s="803"/>
      <c r="AN31" s="803"/>
      <c r="AO31" s="803"/>
      <c r="AP31" s="805" t="s">
        <v>85</v>
      </c>
      <c r="AQ31" s="805"/>
      <c r="AR31" s="805"/>
      <c r="AS31" s="805"/>
      <c r="AT31" s="805"/>
      <c r="AU31" s="805"/>
      <c r="AV31" s="805"/>
      <c r="AW31" s="805"/>
      <c r="AX31" s="805"/>
      <c r="AY31" s="805"/>
    </row>
    <row r="32" spans="1:51" ht="18.75" x14ac:dyDescent="0.3">
      <c r="A32" s="802" t="s">
        <v>86</v>
      </c>
      <c r="B32" s="802"/>
      <c r="C32" s="802"/>
      <c r="D32" s="802"/>
      <c r="E32" s="802"/>
      <c r="F32" s="802"/>
      <c r="G32" s="802"/>
      <c r="H32" s="802"/>
      <c r="I32" s="802"/>
      <c r="J32" s="802"/>
      <c r="K32" s="803" t="s">
        <v>87</v>
      </c>
      <c r="L32" s="803"/>
      <c r="M32" s="803"/>
      <c r="N32" s="803"/>
      <c r="O32" s="803"/>
      <c r="P32" s="803"/>
      <c r="Q32" s="803"/>
      <c r="R32" s="803"/>
      <c r="S32" s="803"/>
      <c r="T32" s="803"/>
      <c r="U32" s="804" t="s">
        <v>88</v>
      </c>
      <c r="V32" s="803"/>
      <c r="W32" s="803"/>
      <c r="X32" s="803"/>
      <c r="Y32" s="803"/>
      <c r="Z32" s="803"/>
      <c r="AA32" s="803"/>
      <c r="AB32" s="803"/>
      <c r="AC32" s="803"/>
      <c r="AD32" s="803"/>
      <c r="AE32" s="803"/>
      <c r="AF32" s="803"/>
      <c r="AG32" s="803"/>
      <c r="AH32" s="803"/>
      <c r="AI32" s="803"/>
      <c r="AJ32" s="803"/>
      <c r="AK32" s="803"/>
      <c r="AL32" s="803"/>
      <c r="AM32" s="803"/>
      <c r="AN32" s="803"/>
      <c r="AO32" s="803"/>
      <c r="AP32" s="805" t="s">
        <v>85</v>
      </c>
      <c r="AQ32" s="805"/>
      <c r="AR32" s="805"/>
      <c r="AS32" s="805"/>
      <c r="AT32" s="805"/>
      <c r="AU32" s="805"/>
      <c r="AV32" s="805"/>
      <c r="AW32" s="805"/>
      <c r="AX32" s="805"/>
      <c r="AY32" s="805"/>
    </row>
    <row r="33" spans="1:51" ht="18.75" x14ac:dyDescent="0.3">
      <c r="A33" s="802" t="s">
        <v>89</v>
      </c>
      <c r="B33" s="802"/>
      <c r="C33" s="802"/>
      <c r="D33" s="802"/>
      <c r="E33" s="802"/>
      <c r="F33" s="802"/>
      <c r="G33" s="802"/>
      <c r="H33" s="802"/>
      <c r="I33" s="802"/>
      <c r="J33" s="802"/>
      <c r="K33" s="803" t="s">
        <v>90</v>
      </c>
      <c r="L33" s="803"/>
      <c r="M33" s="803"/>
      <c r="N33" s="803"/>
      <c r="O33" s="803"/>
      <c r="P33" s="803"/>
      <c r="Q33" s="803"/>
      <c r="R33" s="803"/>
      <c r="S33" s="803"/>
      <c r="T33" s="803"/>
      <c r="U33" s="804" t="s">
        <v>91</v>
      </c>
      <c r="V33" s="803"/>
      <c r="W33" s="803"/>
      <c r="X33" s="803"/>
      <c r="Y33" s="803"/>
      <c r="Z33" s="803"/>
      <c r="AA33" s="803"/>
      <c r="AB33" s="803"/>
      <c r="AC33" s="803"/>
      <c r="AD33" s="803"/>
      <c r="AE33" s="803"/>
      <c r="AF33" s="803"/>
      <c r="AG33" s="803"/>
      <c r="AH33" s="803"/>
      <c r="AI33" s="803"/>
      <c r="AJ33" s="803"/>
      <c r="AK33" s="803"/>
      <c r="AL33" s="803"/>
      <c r="AM33" s="803"/>
      <c r="AN33" s="803"/>
      <c r="AO33" s="803"/>
      <c r="AP33" s="805" t="s">
        <v>92</v>
      </c>
      <c r="AQ33" s="805"/>
      <c r="AR33" s="805"/>
      <c r="AS33" s="805"/>
      <c r="AT33" s="805"/>
      <c r="AU33" s="805"/>
      <c r="AV33" s="805"/>
      <c r="AW33" s="805"/>
      <c r="AX33" s="805"/>
      <c r="AY33" s="805"/>
    </row>
    <row r="34" spans="1:51" ht="18.75" x14ac:dyDescent="0.3">
      <c r="A34" s="802" t="s">
        <v>93</v>
      </c>
      <c r="B34" s="802"/>
      <c r="C34" s="802"/>
      <c r="D34" s="802"/>
      <c r="E34" s="802"/>
      <c r="F34" s="802"/>
      <c r="G34" s="802"/>
      <c r="H34" s="802"/>
      <c r="I34" s="802"/>
      <c r="J34" s="802"/>
      <c r="K34" s="803" t="s">
        <v>94</v>
      </c>
      <c r="L34" s="803"/>
      <c r="M34" s="803"/>
      <c r="N34" s="803"/>
      <c r="O34" s="803"/>
      <c r="P34" s="803"/>
      <c r="Q34" s="803"/>
      <c r="R34" s="803"/>
      <c r="S34" s="803"/>
      <c r="T34" s="803"/>
      <c r="U34" s="803"/>
      <c r="V34" s="803"/>
      <c r="W34" s="803"/>
      <c r="X34" s="803"/>
      <c r="Y34" s="803"/>
      <c r="Z34" s="803"/>
      <c r="AA34" s="803"/>
      <c r="AB34" s="803"/>
      <c r="AC34" s="803"/>
      <c r="AD34" s="803"/>
      <c r="AE34" s="803"/>
      <c r="AF34" s="803"/>
      <c r="AG34" s="803"/>
      <c r="AH34" s="803"/>
      <c r="AI34" s="803"/>
      <c r="AJ34" s="803"/>
      <c r="AK34" s="803"/>
      <c r="AL34" s="803"/>
      <c r="AM34" s="803"/>
      <c r="AN34" s="803"/>
      <c r="AO34" s="803"/>
      <c r="AP34" s="805" t="s">
        <v>92</v>
      </c>
      <c r="AQ34" s="805"/>
      <c r="AR34" s="805"/>
      <c r="AS34" s="805"/>
      <c r="AT34" s="805"/>
      <c r="AU34" s="805"/>
      <c r="AV34" s="805"/>
      <c r="AW34" s="805"/>
      <c r="AX34" s="805"/>
      <c r="AY34" s="805"/>
    </row>
    <row r="35" spans="1:51" ht="18.75" x14ac:dyDescent="0.3">
      <c r="A35" s="802" t="s">
        <v>95</v>
      </c>
      <c r="B35" s="802"/>
      <c r="C35" s="802"/>
      <c r="D35" s="802"/>
      <c r="E35" s="802"/>
      <c r="F35" s="802"/>
      <c r="G35" s="802"/>
      <c r="H35" s="802"/>
      <c r="I35" s="802"/>
      <c r="J35" s="802"/>
      <c r="K35" s="803" t="s">
        <v>96</v>
      </c>
      <c r="L35" s="803"/>
      <c r="M35" s="803"/>
      <c r="N35" s="803"/>
      <c r="O35" s="803"/>
      <c r="P35" s="803"/>
      <c r="Q35" s="803"/>
      <c r="R35" s="803"/>
      <c r="S35" s="803"/>
      <c r="T35" s="803"/>
      <c r="U35" s="804" t="s">
        <v>97</v>
      </c>
      <c r="V35" s="803"/>
      <c r="W35" s="803"/>
      <c r="X35" s="803"/>
      <c r="Y35" s="803"/>
      <c r="Z35" s="803"/>
      <c r="AA35" s="803"/>
      <c r="AB35" s="803"/>
      <c r="AC35" s="803"/>
      <c r="AD35" s="803"/>
      <c r="AE35" s="803"/>
      <c r="AF35" s="803"/>
      <c r="AG35" s="803"/>
      <c r="AH35" s="803"/>
      <c r="AI35" s="803"/>
      <c r="AJ35" s="803"/>
      <c r="AK35" s="803"/>
      <c r="AL35" s="803"/>
      <c r="AM35" s="803"/>
      <c r="AN35" s="803"/>
      <c r="AO35" s="803"/>
      <c r="AP35" s="805" t="s">
        <v>21</v>
      </c>
      <c r="AQ35" s="805"/>
      <c r="AR35" s="805"/>
      <c r="AS35" s="805"/>
      <c r="AT35" s="805"/>
      <c r="AU35" s="805"/>
      <c r="AV35" s="805"/>
      <c r="AW35" s="805"/>
      <c r="AX35" s="805"/>
      <c r="AY35" s="805"/>
    </row>
    <row r="36" spans="1:51" ht="18.75" x14ac:dyDescent="0.3">
      <c r="A36" s="802" t="s">
        <v>98</v>
      </c>
      <c r="B36" s="802"/>
      <c r="C36" s="802"/>
      <c r="D36" s="802"/>
      <c r="E36" s="802"/>
      <c r="F36" s="802"/>
      <c r="G36" s="802"/>
      <c r="H36" s="802"/>
      <c r="I36" s="802"/>
      <c r="J36" s="802"/>
      <c r="K36" s="803" t="s">
        <v>99</v>
      </c>
      <c r="L36" s="803"/>
      <c r="M36" s="803"/>
      <c r="N36" s="803"/>
      <c r="O36" s="803"/>
      <c r="P36" s="803"/>
      <c r="Q36" s="803"/>
      <c r="R36" s="803"/>
      <c r="S36" s="803"/>
      <c r="T36" s="803"/>
      <c r="U36" s="803"/>
      <c r="V36" s="803"/>
      <c r="W36" s="803"/>
      <c r="X36" s="803"/>
      <c r="Y36" s="803"/>
      <c r="Z36" s="803"/>
      <c r="AA36" s="803"/>
      <c r="AB36" s="803"/>
      <c r="AC36" s="803"/>
      <c r="AD36" s="803"/>
      <c r="AE36" s="803"/>
      <c r="AF36" s="803"/>
      <c r="AG36" s="803"/>
      <c r="AH36" s="803"/>
      <c r="AI36" s="803"/>
      <c r="AJ36" s="803"/>
      <c r="AK36" s="803"/>
      <c r="AL36" s="803"/>
      <c r="AM36" s="803"/>
      <c r="AN36" s="803"/>
      <c r="AO36" s="803"/>
      <c r="AP36" s="805" t="s">
        <v>21</v>
      </c>
      <c r="AQ36" s="805"/>
      <c r="AR36" s="805"/>
      <c r="AS36" s="805"/>
      <c r="AT36" s="805"/>
      <c r="AU36" s="805"/>
      <c r="AV36" s="805"/>
      <c r="AW36" s="805"/>
      <c r="AX36" s="805"/>
      <c r="AY36" s="805"/>
    </row>
    <row r="37" spans="1:51" ht="18.75" x14ac:dyDescent="0.3">
      <c r="A37" s="802" t="s">
        <v>100</v>
      </c>
      <c r="B37" s="802"/>
      <c r="C37" s="802"/>
      <c r="D37" s="802"/>
      <c r="E37" s="802"/>
      <c r="F37" s="802"/>
      <c r="G37" s="802"/>
      <c r="H37" s="802"/>
      <c r="I37" s="802"/>
      <c r="J37" s="802"/>
      <c r="K37" s="803" t="s">
        <v>101</v>
      </c>
      <c r="L37" s="803"/>
      <c r="M37" s="803"/>
      <c r="N37" s="803"/>
      <c r="O37" s="803"/>
      <c r="P37" s="803"/>
      <c r="Q37" s="803"/>
      <c r="R37" s="803"/>
      <c r="S37" s="803"/>
      <c r="T37" s="803"/>
      <c r="U37" s="804" t="s">
        <v>102</v>
      </c>
      <c r="V37" s="803"/>
      <c r="W37" s="803"/>
      <c r="X37" s="803"/>
      <c r="Y37" s="803"/>
      <c r="Z37" s="803"/>
      <c r="AA37" s="803"/>
      <c r="AB37" s="803"/>
      <c r="AC37" s="803"/>
      <c r="AD37" s="803"/>
      <c r="AE37" s="803"/>
      <c r="AF37" s="803"/>
      <c r="AG37" s="803"/>
      <c r="AH37" s="803"/>
      <c r="AI37" s="803"/>
      <c r="AJ37" s="803"/>
      <c r="AK37" s="803"/>
      <c r="AL37" s="803"/>
      <c r="AM37" s="803"/>
      <c r="AN37" s="803"/>
      <c r="AO37" s="803"/>
      <c r="AP37" s="805" t="s">
        <v>20</v>
      </c>
      <c r="AQ37" s="805"/>
      <c r="AR37" s="805"/>
      <c r="AS37" s="805"/>
      <c r="AT37" s="805"/>
      <c r="AU37" s="805"/>
      <c r="AV37" s="805"/>
      <c r="AW37" s="805"/>
      <c r="AX37" s="805"/>
      <c r="AY37" s="805"/>
    </row>
    <row r="38" spans="1:51" ht="18.75" x14ac:dyDescent="0.3">
      <c r="A38" s="802" t="s">
        <v>103</v>
      </c>
      <c r="B38" s="802"/>
      <c r="C38" s="802"/>
      <c r="D38" s="802"/>
      <c r="E38" s="802"/>
      <c r="F38" s="802"/>
      <c r="G38" s="802"/>
      <c r="H38" s="802"/>
      <c r="I38" s="802"/>
      <c r="J38" s="802"/>
      <c r="K38" s="803" t="s">
        <v>104</v>
      </c>
      <c r="L38" s="803"/>
      <c r="M38" s="803"/>
      <c r="N38" s="803"/>
      <c r="O38" s="803"/>
      <c r="P38" s="803"/>
      <c r="Q38" s="803"/>
      <c r="R38" s="803"/>
      <c r="S38" s="803"/>
      <c r="T38" s="803"/>
      <c r="U38" s="803"/>
      <c r="V38" s="803"/>
      <c r="W38" s="803"/>
      <c r="X38" s="803"/>
      <c r="Y38" s="803"/>
      <c r="Z38" s="803"/>
      <c r="AA38" s="803"/>
      <c r="AB38" s="803"/>
      <c r="AC38" s="803"/>
      <c r="AD38" s="803"/>
      <c r="AE38" s="803"/>
      <c r="AF38" s="803"/>
      <c r="AG38" s="803"/>
      <c r="AH38" s="803"/>
      <c r="AI38" s="803"/>
      <c r="AJ38" s="803"/>
      <c r="AK38" s="803"/>
      <c r="AL38" s="803"/>
      <c r="AM38" s="803"/>
      <c r="AN38" s="803"/>
      <c r="AO38" s="803"/>
      <c r="AP38" s="805" t="s">
        <v>21</v>
      </c>
      <c r="AQ38" s="805"/>
      <c r="AR38" s="805"/>
      <c r="AS38" s="805"/>
      <c r="AT38" s="805"/>
      <c r="AU38" s="805"/>
      <c r="AV38" s="805"/>
      <c r="AW38" s="805"/>
      <c r="AX38" s="805"/>
      <c r="AY38" s="805"/>
    </row>
    <row r="39" spans="1:51" ht="18.75" x14ac:dyDescent="0.3">
      <c r="A39" s="802" t="s">
        <v>105</v>
      </c>
      <c r="B39" s="802"/>
      <c r="C39" s="802"/>
      <c r="D39" s="802"/>
      <c r="E39" s="802"/>
      <c r="F39" s="802"/>
      <c r="G39" s="802"/>
      <c r="H39" s="802"/>
      <c r="I39" s="802"/>
      <c r="J39" s="802"/>
      <c r="K39" s="803" t="s">
        <v>106</v>
      </c>
      <c r="L39" s="803"/>
      <c r="M39" s="803"/>
      <c r="N39" s="803"/>
      <c r="O39" s="803"/>
      <c r="P39" s="803"/>
      <c r="Q39" s="803"/>
      <c r="R39" s="803"/>
      <c r="S39" s="803"/>
      <c r="T39" s="803"/>
      <c r="U39" s="803"/>
      <c r="V39" s="803"/>
      <c r="W39" s="803"/>
      <c r="X39" s="803"/>
      <c r="Y39" s="803"/>
      <c r="Z39" s="803"/>
      <c r="AA39" s="803"/>
      <c r="AB39" s="803"/>
      <c r="AC39" s="803"/>
      <c r="AD39" s="803"/>
      <c r="AE39" s="803"/>
      <c r="AF39" s="803"/>
      <c r="AG39" s="803"/>
      <c r="AH39" s="803"/>
      <c r="AI39" s="803"/>
      <c r="AJ39" s="803"/>
      <c r="AK39" s="803"/>
      <c r="AL39" s="803"/>
      <c r="AM39" s="803"/>
      <c r="AN39" s="803"/>
      <c r="AO39" s="803"/>
      <c r="AP39" s="805" t="s">
        <v>107</v>
      </c>
      <c r="AQ39" s="805"/>
      <c r="AR39" s="805"/>
      <c r="AS39" s="805"/>
      <c r="AT39" s="805"/>
      <c r="AU39" s="805"/>
      <c r="AV39" s="805"/>
      <c r="AW39" s="805"/>
      <c r="AX39" s="805"/>
      <c r="AY39" s="805"/>
    </row>
    <row r="40" spans="1:51" ht="18.75" x14ac:dyDescent="0.3">
      <c r="A40" s="802" t="s">
        <v>108</v>
      </c>
      <c r="B40" s="802"/>
      <c r="C40" s="802"/>
      <c r="D40" s="802"/>
      <c r="E40" s="802"/>
      <c r="F40" s="802"/>
      <c r="G40" s="802"/>
      <c r="H40" s="802"/>
      <c r="I40" s="802"/>
      <c r="J40" s="802"/>
      <c r="K40" s="803"/>
      <c r="L40" s="803"/>
      <c r="M40" s="803"/>
      <c r="N40" s="803"/>
      <c r="O40" s="803"/>
      <c r="P40" s="803"/>
      <c r="Q40" s="803"/>
      <c r="R40" s="803"/>
      <c r="S40" s="803"/>
      <c r="T40" s="803"/>
      <c r="U40" s="803"/>
      <c r="V40" s="803"/>
      <c r="W40" s="803"/>
      <c r="X40" s="803"/>
      <c r="Y40" s="803"/>
      <c r="Z40" s="803"/>
      <c r="AA40" s="803"/>
      <c r="AB40" s="803"/>
      <c r="AC40" s="803"/>
      <c r="AD40" s="803"/>
      <c r="AE40" s="803"/>
      <c r="AF40" s="803"/>
      <c r="AG40" s="803"/>
      <c r="AH40" s="803"/>
      <c r="AI40" s="803"/>
      <c r="AJ40" s="803"/>
      <c r="AK40" s="803"/>
      <c r="AL40" s="803"/>
      <c r="AM40" s="803"/>
      <c r="AN40" s="803"/>
      <c r="AO40" s="803"/>
      <c r="AP40" s="805" t="s">
        <v>107</v>
      </c>
      <c r="AQ40" s="805"/>
      <c r="AR40" s="805"/>
      <c r="AS40" s="805"/>
      <c r="AT40" s="805"/>
      <c r="AU40" s="805"/>
      <c r="AV40" s="805"/>
      <c r="AW40" s="805"/>
      <c r="AX40" s="805"/>
      <c r="AY40" s="805"/>
    </row>
    <row r="41" spans="1:51" ht="18.75" x14ac:dyDescent="0.3">
      <c r="A41" s="802" t="s">
        <v>109</v>
      </c>
      <c r="B41" s="802"/>
      <c r="C41" s="802"/>
      <c r="D41" s="802"/>
      <c r="E41" s="802"/>
      <c r="F41" s="802"/>
      <c r="G41" s="802"/>
      <c r="H41" s="802"/>
      <c r="I41" s="802"/>
      <c r="J41" s="802"/>
      <c r="K41" s="803" t="s">
        <v>110</v>
      </c>
      <c r="L41" s="803"/>
      <c r="M41" s="803"/>
      <c r="N41" s="803"/>
      <c r="O41" s="803"/>
      <c r="P41" s="803"/>
      <c r="Q41" s="803"/>
      <c r="R41" s="803"/>
      <c r="S41" s="803"/>
      <c r="T41" s="803"/>
      <c r="U41" s="803"/>
      <c r="V41" s="803"/>
      <c r="W41" s="803"/>
      <c r="X41" s="803"/>
      <c r="Y41" s="803"/>
      <c r="Z41" s="803"/>
      <c r="AA41" s="803"/>
      <c r="AB41" s="803"/>
      <c r="AC41" s="803"/>
      <c r="AD41" s="803"/>
      <c r="AE41" s="803"/>
      <c r="AF41" s="803"/>
      <c r="AG41" s="803"/>
      <c r="AH41" s="803"/>
      <c r="AI41" s="803"/>
      <c r="AJ41" s="803"/>
      <c r="AK41" s="803"/>
      <c r="AL41" s="803"/>
      <c r="AM41" s="803"/>
      <c r="AN41" s="803"/>
      <c r="AO41" s="803"/>
      <c r="AP41" s="805" t="s">
        <v>111</v>
      </c>
      <c r="AQ41" s="805"/>
      <c r="AR41" s="805"/>
      <c r="AS41" s="805"/>
      <c r="AT41" s="805"/>
      <c r="AU41" s="805"/>
      <c r="AV41" s="805"/>
      <c r="AW41" s="805"/>
      <c r="AX41" s="805"/>
      <c r="AY41" s="805"/>
    </row>
    <row r="42" spans="1:51" ht="18.75" x14ac:dyDescent="0.3">
      <c r="A42" s="802" t="s">
        <v>112</v>
      </c>
      <c r="B42" s="802"/>
      <c r="C42" s="802"/>
      <c r="D42" s="802"/>
      <c r="E42" s="802"/>
      <c r="F42" s="802"/>
      <c r="G42" s="802"/>
      <c r="H42" s="802"/>
      <c r="I42" s="802"/>
      <c r="J42" s="802"/>
      <c r="K42" s="803" t="s">
        <v>113</v>
      </c>
      <c r="L42" s="803"/>
      <c r="M42" s="803"/>
      <c r="N42" s="803"/>
      <c r="O42" s="803"/>
      <c r="P42" s="803"/>
      <c r="Q42" s="803"/>
      <c r="R42" s="803"/>
      <c r="S42" s="803"/>
      <c r="T42" s="803"/>
      <c r="U42" s="803"/>
      <c r="V42" s="803"/>
      <c r="W42" s="803"/>
      <c r="X42" s="803"/>
      <c r="Y42" s="803"/>
      <c r="Z42" s="803"/>
      <c r="AA42" s="803"/>
      <c r="AB42" s="803"/>
      <c r="AC42" s="803"/>
      <c r="AD42" s="803"/>
      <c r="AE42" s="803"/>
      <c r="AF42" s="803"/>
      <c r="AG42" s="803"/>
      <c r="AH42" s="803"/>
      <c r="AI42" s="803"/>
      <c r="AJ42" s="803"/>
      <c r="AK42" s="803"/>
      <c r="AL42" s="803"/>
      <c r="AM42" s="803"/>
      <c r="AN42" s="803"/>
      <c r="AO42" s="803"/>
      <c r="AP42" s="805" t="s">
        <v>111</v>
      </c>
      <c r="AQ42" s="805"/>
      <c r="AR42" s="805"/>
      <c r="AS42" s="805"/>
      <c r="AT42" s="805"/>
      <c r="AU42" s="805"/>
      <c r="AV42" s="805"/>
      <c r="AW42" s="805"/>
      <c r="AX42" s="805"/>
      <c r="AY42" s="805"/>
    </row>
    <row r="43" spans="1:51" ht="18.75" x14ac:dyDescent="0.3">
      <c r="A43" s="802" t="s">
        <v>114</v>
      </c>
      <c r="B43" s="802"/>
      <c r="C43" s="802"/>
      <c r="D43" s="802"/>
      <c r="E43" s="802"/>
      <c r="F43" s="802"/>
      <c r="G43" s="802"/>
      <c r="H43" s="802"/>
      <c r="I43" s="802"/>
      <c r="J43" s="802"/>
      <c r="K43" s="803" t="s">
        <v>115</v>
      </c>
      <c r="L43" s="803"/>
      <c r="M43" s="803"/>
      <c r="N43" s="803"/>
      <c r="O43" s="803"/>
      <c r="P43" s="803"/>
      <c r="Q43" s="803"/>
      <c r="R43" s="803"/>
      <c r="S43" s="803"/>
      <c r="T43" s="803"/>
      <c r="U43" s="803"/>
      <c r="V43" s="803"/>
      <c r="W43" s="803"/>
      <c r="X43" s="803"/>
      <c r="Y43" s="803"/>
      <c r="Z43" s="803"/>
      <c r="AA43" s="803"/>
      <c r="AB43" s="803"/>
      <c r="AC43" s="803"/>
      <c r="AD43" s="803"/>
      <c r="AE43" s="803"/>
      <c r="AF43" s="803"/>
      <c r="AG43" s="803"/>
      <c r="AH43" s="803"/>
      <c r="AI43" s="803"/>
      <c r="AJ43" s="803"/>
      <c r="AK43" s="803"/>
      <c r="AL43" s="803"/>
      <c r="AM43" s="803"/>
      <c r="AN43" s="803"/>
      <c r="AO43" s="803"/>
      <c r="AP43" s="805" t="s">
        <v>116</v>
      </c>
      <c r="AQ43" s="805"/>
      <c r="AR43" s="805"/>
      <c r="AS43" s="805"/>
      <c r="AT43" s="805"/>
      <c r="AU43" s="805"/>
      <c r="AV43" s="805"/>
      <c r="AW43" s="805"/>
      <c r="AX43" s="805"/>
      <c r="AY43" s="805"/>
    </row>
    <row r="44" spans="1:51" ht="18.75" x14ac:dyDescent="0.3">
      <c r="A44" s="802" t="s">
        <v>117</v>
      </c>
      <c r="B44" s="802"/>
      <c r="C44" s="802"/>
      <c r="D44" s="802"/>
      <c r="E44" s="802"/>
      <c r="F44" s="802"/>
      <c r="G44" s="802"/>
      <c r="H44" s="802"/>
      <c r="I44" s="802"/>
      <c r="J44" s="802"/>
      <c r="K44" s="803" t="s">
        <v>118</v>
      </c>
      <c r="L44" s="803"/>
      <c r="M44" s="803"/>
      <c r="N44" s="803"/>
      <c r="O44" s="803"/>
      <c r="P44" s="803"/>
      <c r="Q44" s="803"/>
      <c r="R44" s="803"/>
      <c r="S44" s="803"/>
      <c r="T44" s="803"/>
      <c r="U44" s="803"/>
      <c r="V44" s="803"/>
      <c r="W44" s="803"/>
      <c r="X44" s="803"/>
      <c r="Y44" s="803"/>
      <c r="Z44" s="803"/>
      <c r="AA44" s="803"/>
      <c r="AB44" s="803"/>
      <c r="AC44" s="803"/>
      <c r="AD44" s="803"/>
      <c r="AE44" s="803"/>
      <c r="AF44" s="803"/>
      <c r="AG44" s="803"/>
      <c r="AH44" s="803"/>
      <c r="AI44" s="803"/>
      <c r="AJ44" s="803"/>
      <c r="AK44" s="803"/>
      <c r="AL44" s="803"/>
      <c r="AM44" s="803"/>
      <c r="AN44" s="803"/>
      <c r="AO44" s="803"/>
      <c r="AP44" s="805" t="s">
        <v>116</v>
      </c>
      <c r="AQ44" s="805"/>
      <c r="AR44" s="805"/>
      <c r="AS44" s="805"/>
      <c r="AT44" s="805"/>
      <c r="AU44" s="805"/>
      <c r="AV44" s="805"/>
      <c r="AW44" s="805"/>
      <c r="AX44" s="805"/>
      <c r="AY44" s="805"/>
    </row>
    <row r="45" spans="1:51" ht="18.75" x14ac:dyDescent="0.3">
      <c r="A45" s="802" t="s">
        <v>119</v>
      </c>
      <c r="B45" s="802"/>
      <c r="C45" s="802"/>
      <c r="D45" s="802"/>
      <c r="E45" s="802"/>
      <c r="F45" s="802"/>
      <c r="G45" s="802"/>
      <c r="H45" s="802"/>
      <c r="I45" s="802"/>
      <c r="J45" s="802"/>
      <c r="K45" s="803" t="s">
        <v>120</v>
      </c>
      <c r="L45" s="803"/>
      <c r="M45" s="803"/>
      <c r="N45" s="803"/>
      <c r="O45" s="803"/>
      <c r="P45" s="803"/>
      <c r="Q45" s="803"/>
      <c r="R45" s="803"/>
      <c r="S45" s="803"/>
      <c r="T45" s="803"/>
      <c r="U45" s="803"/>
      <c r="V45" s="803"/>
      <c r="W45" s="803"/>
      <c r="X45" s="803"/>
      <c r="Y45" s="803"/>
      <c r="Z45" s="803"/>
      <c r="AA45" s="803"/>
      <c r="AB45" s="803"/>
      <c r="AC45" s="803"/>
      <c r="AD45" s="803"/>
      <c r="AE45" s="803"/>
      <c r="AF45" s="803"/>
      <c r="AG45" s="803"/>
      <c r="AH45" s="803"/>
      <c r="AI45" s="803"/>
      <c r="AJ45" s="803"/>
      <c r="AK45" s="803"/>
      <c r="AL45" s="803"/>
      <c r="AM45" s="803"/>
      <c r="AN45" s="803"/>
      <c r="AO45" s="803"/>
      <c r="AP45" s="805" t="s">
        <v>116</v>
      </c>
      <c r="AQ45" s="805"/>
      <c r="AR45" s="805"/>
      <c r="AS45" s="805"/>
      <c r="AT45" s="805"/>
      <c r="AU45" s="805"/>
      <c r="AV45" s="805"/>
      <c r="AW45" s="805"/>
      <c r="AX45" s="805"/>
      <c r="AY45" s="805"/>
    </row>
    <row r="46" spans="1:51" ht="18.75" x14ac:dyDescent="0.3">
      <c r="A46" s="802" t="s">
        <v>121</v>
      </c>
      <c r="B46" s="802"/>
      <c r="C46" s="802"/>
      <c r="D46" s="802"/>
      <c r="E46" s="802"/>
      <c r="F46" s="802"/>
      <c r="G46" s="802"/>
      <c r="H46" s="802"/>
      <c r="I46" s="802"/>
      <c r="J46" s="802"/>
      <c r="K46" s="803" t="s">
        <v>122</v>
      </c>
      <c r="L46" s="803"/>
      <c r="M46" s="803"/>
      <c r="N46" s="803"/>
      <c r="O46" s="803"/>
      <c r="P46" s="803"/>
      <c r="Q46" s="803"/>
      <c r="R46" s="803"/>
      <c r="S46" s="803"/>
      <c r="T46" s="803"/>
      <c r="U46" s="803"/>
      <c r="V46" s="803"/>
      <c r="W46" s="803"/>
      <c r="X46" s="803"/>
      <c r="Y46" s="803"/>
      <c r="Z46" s="803"/>
      <c r="AA46" s="803"/>
      <c r="AB46" s="803"/>
      <c r="AC46" s="803"/>
      <c r="AD46" s="803"/>
      <c r="AE46" s="803"/>
      <c r="AF46" s="803"/>
      <c r="AG46" s="803"/>
      <c r="AH46" s="803"/>
      <c r="AI46" s="803"/>
      <c r="AJ46" s="803"/>
      <c r="AK46" s="803"/>
      <c r="AL46" s="803"/>
      <c r="AM46" s="803"/>
      <c r="AN46" s="803"/>
      <c r="AO46" s="803"/>
      <c r="AP46" s="805" t="s">
        <v>123</v>
      </c>
      <c r="AQ46" s="805"/>
      <c r="AR46" s="805"/>
      <c r="AS46" s="805"/>
      <c r="AT46" s="805"/>
      <c r="AU46" s="805"/>
      <c r="AV46" s="805"/>
      <c r="AW46" s="805"/>
      <c r="AX46" s="805"/>
      <c r="AY46" s="805"/>
    </row>
    <row r="47" spans="1:51" ht="18.75" x14ac:dyDescent="0.3">
      <c r="A47" s="802" t="s">
        <v>124</v>
      </c>
      <c r="B47" s="802"/>
      <c r="C47" s="802"/>
      <c r="D47" s="802"/>
      <c r="E47" s="802"/>
      <c r="F47" s="802"/>
      <c r="G47" s="802"/>
      <c r="H47" s="802"/>
      <c r="I47" s="802"/>
      <c r="J47" s="802"/>
      <c r="K47" s="803" t="s">
        <v>125</v>
      </c>
      <c r="L47" s="803"/>
      <c r="M47" s="803"/>
      <c r="N47" s="803"/>
      <c r="O47" s="803"/>
      <c r="P47" s="803"/>
      <c r="Q47" s="803"/>
      <c r="R47" s="803"/>
      <c r="S47" s="803"/>
      <c r="T47" s="803"/>
      <c r="U47" s="803"/>
      <c r="V47" s="803"/>
      <c r="W47" s="803"/>
      <c r="X47" s="803"/>
      <c r="Y47" s="803"/>
      <c r="Z47" s="803"/>
      <c r="AA47" s="803"/>
      <c r="AB47" s="803"/>
      <c r="AC47" s="803"/>
      <c r="AD47" s="803"/>
      <c r="AE47" s="803"/>
      <c r="AF47" s="803"/>
      <c r="AG47" s="803"/>
      <c r="AH47" s="803"/>
      <c r="AI47" s="803"/>
      <c r="AJ47" s="803"/>
      <c r="AK47" s="803"/>
      <c r="AL47" s="803"/>
      <c r="AM47" s="803"/>
      <c r="AN47" s="803"/>
      <c r="AO47" s="803"/>
      <c r="AP47" s="805" t="s">
        <v>126</v>
      </c>
      <c r="AQ47" s="805"/>
      <c r="AR47" s="805"/>
      <c r="AS47" s="805"/>
      <c r="AT47" s="805"/>
      <c r="AU47" s="805"/>
      <c r="AV47" s="805"/>
      <c r="AW47" s="805"/>
      <c r="AX47" s="805"/>
      <c r="AY47" s="805"/>
    </row>
    <row r="48" spans="1:51" ht="18.75" x14ac:dyDescent="0.3">
      <c r="A48" s="802" t="s">
        <v>26</v>
      </c>
      <c r="B48" s="802"/>
      <c r="C48" s="802"/>
      <c r="D48" s="802"/>
      <c r="E48" s="802"/>
      <c r="F48" s="802"/>
      <c r="G48" s="802"/>
      <c r="H48" s="802"/>
      <c r="I48" s="802"/>
      <c r="J48" s="802"/>
      <c r="K48" s="803" t="s">
        <v>127</v>
      </c>
      <c r="L48" s="803"/>
      <c r="M48" s="803"/>
      <c r="N48" s="803"/>
      <c r="O48" s="803"/>
      <c r="P48" s="803"/>
      <c r="Q48" s="803"/>
      <c r="R48" s="803"/>
      <c r="S48" s="803"/>
      <c r="T48" s="803"/>
      <c r="U48" s="803"/>
      <c r="V48" s="803"/>
      <c r="W48" s="803"/>
      <c r="X48" s="803"/>
      <c r="Y48" s="803"/>
      <c r="Z48" s="803"/>
      <c r="AA48" s="803"/>
      <c r="AB48" s="803"/>
      <c r="AC48" s="803"/>
      <c r="AD48" s="803"/>
      <c r="AE48" s="803"/>
      <c r="AF48" s="803"/>
      <c r="AG48" s="803"/>
      <c r="AH48" s="803"/>
      <c r="AI48" s="803"/>
      <c r="AJ48" s="803"/>
      <c r="AK48" s="803"/>
      <c r="AL48" s="803"/>
      <c r="AM48" s="803"/>
      <c r="AN48" s="803"/>
      <c r="AO48" s="803"/>
      <c r="AP48" s="805" t="s">
        <v>128</v>
      </c>
      <c r="AQ48" s="805"/>
      <c r="AR48" s="805"/>
      <c r="AS48" s="805"/>
      <c r="AT48" s="805"/>
      <c r="AU48" s="805"/>
      <c r="AV48" s="805"/>
      <c r="AW48" s="805"/>
      <c r="AX48" s="805"/>
      <c r="AY48" s="805"/>
    </row>
    <row r="49" spans="1:51" ht="18.75" x14ac:dyDescent="0.3">
      <c r="A49" s="802" t="s">
        <v>129</v>
      </c>
      <c r="B49" s="802"/>
      <c r="C49" s="802"/>
      <c r="D49" s="802"/>
      <c r="E49" s="802"/>
      <c r="F49" s="802"/>
      <c r="G49" s="802"/>
      <c r="H49" s="802"/>
      <c r="I49" s="802"/>
      <c r="J49" s="802"/>
      <c r="K49" s="803" t="s">
        <v>130</v>
      </c>
      <c r="L49" s="803"/>
      <c r="M49" s="803"/>
      <c r="N49" s="803"/>
      <c r="O49" s="803"/>
      <c r="P49" s="803"/>
      <c r="Q49" s="803"/>
      <c r="R49" s="803"/>
      <c r="S49" s="803"/>
      <c r="T49" s="803"/>
      <c r="U49" s="803"/>
      <c r="V49" s="803"/>
      <c r="W49" s="803"/>
      <c r="X49" s="803"/>
      <c r="Y49" s="803"/>
      <c r="Z49" s="803"/>
      <c r="AA49" s="803"/>
      <c r="AB49" s="803"/>
      <c r="AC49" s="803"/>
      <c r="AD49" s="803"/>
      <c r="AE49" s="803"/>
      <c r="AF49" s="803"/>
      <c r="AG49" s="803"/>
      <c r="AH49" s="803"/>
      <c r="AI49" s="803"/>
      <c r="AJ49" s="803"/>
      <c r="AK49" s="803"/>
      <c r="AL49" s="803"/>
      <c r="AM49" s="803"/>
      <c r="AN49" s="803"/>
      <c r="AO49" s="803"/>
      <c r="AP49" s="805" t="s">
        <v>128</v>
      </c>
      <c r="AQ49" s="805"/>
      <c r="AR49" s="805"/>
      <c r="AS49" s="805"/>
      <c r="AT49" s="805"/>
      <c r="AU49" s="805"/>
      <c r="AV49" s="805"/>
      <c r="AW49" s="805"/>
      <c r="AX49" s="805"/>
      <c r="AY49" s="805"/>
    </row>
    <row r="50" spans="1:51" ht="18.75" x14ac:dyDescent="0.3">
      <c r="A50" s="802" t="s">
        <v>131</v>
      </c>
      <c r="B50" s="802"/>
      <c r="C50" s="802"/>
      <c r="D50" s="802"/>
      <c r="E50" s="802"/>
      <c r="F50" s="802"/>
      <c r="G50" s="802"/>
      <c r="H50" s="802"/>
      <c r="I50" s="802"/>
      <c r="J50" s="802"/>
      <c r="K50" s="803" t="s">
        <v>132</v>
      </c>
      <c r="L50" s="803"/>
      <c r="M50" s="803"/>
      <c r="N50" s="803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803"/>
      <c r="AA50" s="803"/>
      <c r="AB50" s="803"/>
      <c r="AC50" s="803"/>
      <c r="AD50" s="803"/>
      <c r="AE50" s="803"/>
      <c r="AF50" s="803"/>
      <c r="AG50" s="803"/>
      <c r="AH50" s="803"/>
      <c r="AI50" s="803"/>
      <c r="AJ50" s="803"/>
      <c r="AK50" s="803"/>
      <c r="AL50" s="803"/>
      <c r="AM50" s="803"/>
      <c r="AN50" s="803"/>
      <c r="AO50" s="803"/>
      <c r="AP50" s="805" t="s">
        <v>126</v>
      </c>
      <c r="AQ50" s="805"/>
      <c r="AR50" s="805"/>
      <c r="AS50" s="805"/>
      <c r="AT50" s="805"/>
      <c r="AU50" s="805"/>
      <c r="AV50" s="805"/>
      <c r="AW50" s="805"/>
      <c r="AX50" s="805"/>
      <c r="AY50" s="805"/>
    </row>
    <row r="51" spans="1:51" ht="18.75" x14ac:dyDescent="0.3">
      <c r="A51" s="802" t="s">
        <v>133</v>
      </c>
      <c r="B51" s="802"/>
      <c r="C51" s="802"/>
      <c r="D51" s="802"/>
      <c r="E51" s="802"/>
      <c r="F51" s="802"/>
      <c r="G51" s="802"/>
      <c r="H51" s="802"/>
      <c r="I51" s="802"/>
      <c r="J51" s="802"/>
      <c r="K51" s="803" t="s">
        <v>134</v>
      </c>
      <c r="L51" s="803"/>
      <c r="M51" s="803"/>
      <c r="N51" s="803"/>
      <c r="O51" s="803"/>
      <c r="P51" s="803"/>
      <c r="Q51" s="803"/>
      <c r="R51" s="803"/>
      <c r="S51" s="803"/>
      <c r="T51" s="803"/>
      <c r="U51" s="803"/>
      <c r="V51" s="803"/>
      <c r="W51" s="803"/>
      <c r="X51" s="803"/>
      <c r="Y51" s="803"/>
      <c r="Z51" s="803"/>
      <c r="AA51" s="803"/>
      <c r="AB51" s="803"/>
      <c r="AC51" s="803"/>
      <c r="AD51" s="803"/>
      <c r="AE51" s="803"/>
      <c r="AF51" s="803"/>
      <c r="AG51" s="803"/>
      <c r="AH51" s="803"/>
      <c r="AI51" s="803"/>
      <c r="AJ51" s="803"/>
      <c r="AK51" s="803"/>
      <c r="AL51" s="803"/>
      <c r="AM51" s="803"/>
      <c r="AN51" s="803"/>
      <c r="AO51" s="803"/>
      <c r="AP51" s="805" t="s">
        <v>135</v>
      </c>
      <c r="AQ51" s="805"/>
      <c r="AR51" s="805"/>
      <c r="AS51" s="805"/>
      <c r="AT51" s="805"/>
      <c r="AU51" s="805"/>
      <c r="AV51" s="805"/>
      <c r="AW51" s="805"/>
      <c r="AX51" s="805"/>
      <c r="AY51" s="805"/>
    </row>
    <row r="52" spans="1:51" ht="18.75" x14ac:dyDescent="0.3">
      <c r="A52" s="802" t="s">
        <v>136</v>
      </c>
      <c r="B52" s="802"/>
      <c r="C52" s="802"/>
      <c r="D52" s="802"/>
      <c r="E52" s="802"/>
      <c r="F52" s="802"/>
      <c r="G52" s="802"/>
      <c r="H52" s="802"/>
      <c r="I52" s="802"/>
      <c r="J52" s="802"/>
      <c r="K52" s="803" t="s">
        <v>137</v>
      </c>
      <c r="L52" s="803"/>
      <c r="M52" s="803"/>
      <c r="N52" s="803"/>
      <c r="O52" s="803"/>
      <c r="P52" s="803"/>
      <c r="Q52" s="803"/>
      <c r="R52" s="803"/>
      <c r="S52" s="803"/>
      <c r="T52" s="803"/>
      <c r="U52" s="803"/>
      <c r="V52" s="803"/>
      <c r="W52" s="803"/>
      <c r="X52" s="803"/>
      <c r="Y52" s="803"/>
      <c r="Z52" s="803"/>
      <c r="AA52" s="803"/>
      <c r="AB52" s="803"/>
      <c r="AC52" s="803"/>
      <c r="AD52" s="803"/>
      <c r="AE52" s="803"/>
      <c r="AF52" s="803"/>
      <c r="AG52" s="803"/>
      <c r="AH52" s="803"/>
      <c r="AI52" s="803"/>
      <c r="AJ52" s="803"/>
      <c r="AK52" s="803"/>
      <c r="AL52" s="803"/>
      <c r="AM52" s="803"/>
      <c r="AN52" s="803"/>
      <c r="AO52" s="803"/>
      <c r="AP52" s="805" t="s">
        <v>138</v>
      </c>
      <c r="AQ52" s="805"/>
      <c r="AR52" s="805"/>
      <c r="AS52" s="805"/>
      <c r="AT52" s="805"/>
      <c r="AU52" s="805"/>
      <c r="AV52" s="805"/>
      <c r="AW52" s="805"/>
      <c r="AX52" s="805"/>
      <c r="AY52" s="805"/>
    </row>
    <row r="53" spans="1:51" ht="18.75" x14ac:dyDescent="0.3">
      <c r="A53" s="802" t="s">
        <v>139</v>
      </c>
      <c r="B53" s="802"/>
      <c r="C53" s="802"/>
      <c r="D53" s="802"/>
      <c r="E53" s="802"/>
      <c r="F53" s="802"/>
      <c r="G53" s="802"/>
      <c r="H53" s="802"/>
      <c r="I53" s="802"/>
      <c r="J53" s="802"/>
      <c r="K53" s="803" t="s">
        <v>140</v>
      </c>
      <c r="L53" s="803"/>
      <c r="M53" s="803"/>
      <c r="N53" s="803"/>
      <c r="O53" s="803"/>
      <c r="P53" s="803"/>
      <c r="Q53" s="803"/>
      <c r="R53" s="803"/>
      <c r="S53" s="803"/>
      <c r="T53" s="803"/>
      <c r="U53" s="804" t="s">
        <v>141</v>
      </c>
      <c r="V53" s="804"/>
      <c r="W53" s="804"/>
      <c r="X53" s="804"/>
      <c r="Y53" s="804"/>
      <c r="Z53" s="804"/>
      <c r="AA53" s="804"/>
      <c r="AB53" s="804"/>
      <c r="AC53" s="804"/>
      <c r="AD53" s="804"/>
      <c r="AE53" s="804"/>
      <c r="AF53" s="804"/>
      <c r="AG53" s="804"/>
      <c r="AH53" s="804"/>
      <c r="AI53" s="804"/>
      <c r="AJ53" s="804"/>
      <c r="AK53" s="804"/>
      <c r="AL53" s="804"/>
      <c r="AM53" s="804"/>
      <c r="AN53" s="804"/>
      <c r="AO53" s="804"/>
      <c r="AP53" s="805" t="s">
        <v>138</v>
      </c>
      <c r="AQ53" s="805"/>
      <c r="AR53" s="805"/>
      <c r="AS53" s="805"/>
      <c r="AT53" s="805"/>
      <c r="AU53" s="805"/>
      <c r="AV53" s="805"/>
      <c r="AW53" s="805"/>
      <c r="AX53" s="805"/>
      <c r="AY53" s="805"/>
    </row>
    <row r="54" spans="1:51" ht="18.75" x14ac:dyDescent="0.3">
      <c r="A54" s="802" t="s">
        <v>142</v>
      </c>
      <c r="B54" s="802"/>
      <c r="C54" s="802"/>
      <c r="D54" s="802"/>
      <c r="E54" s="802"/>
      <c r="F54" s="802"/>
      <c r="G54" s="802"/>
      <c r="H54" s="802"/>
      <c r="I54" s="802"/>
      <c r="J54" s="802"/>
      <c r="K54" s="803" t="s">
        <v>143</v>
      </c>
      <c r="L54" s="803"/>
      <c r="M54" s="803"/>
      <c r="N54" s="803"/>
      <c r="O54" s="803"/>
      <c r="P54" s="803"/>
      <c r="Q54" s="803"/>
      <c r="R54" s="803"/>
      <c r="S54" s="803"/>
      <c r="T54" s="803"/>
      <c r="U54" s="804" t="s">
        <v>144</v>
      </c>
      <c r="V54" s="803"/>
      <c r="W54" s="803"/>
      <c r="X54" s="803"/>
      <c r="Y54" s="803"/>
      <c r="Z54" s="803"/>
      <c r="AA54" s="803"/>
      <c r="AB54" s="803"/>
      <c r="AC54" s="803"/>
      <c r="AD54" s="803"/>
      <c r="AE54" s="803"/>
      <c r="AF54" s="803"/>
      <c r="AG54" s="803"/>
      <c r="AH54" s="803"/>
      <c r="AI54" s="803"/>
      <c r="AJ54" s="803"/>
      <c r="AK54" s="803"/>
      <c r="AL54" s="803"/>
      <c r="AM54" s="803"/>
      <c r="AN54" s="803"/>
      <c r="AO54" s="803"/>
      <c r="AP54" s="805" t="s">
        <v>30</v>
      </c>
      <c r="AQ54" s="805"/>
      <c r="AR54" s="805"/>
      <c r="AS54" s="805"/>
      <c r="AT54" s="805"/>
      <c r="AU54" s="805"/>
      <c r="AV54" s="805"/>
      <c r="AW54" s="805"/>
      <c r="AX54" s="805"/>
      <c r="AY54" s="805"/>
    </row>
    <row r="55" spans="1:51" ht="18.75" x14ac:dyDescent="0.3">
      <c r="A55" s="802" t="s">
        <v>145</v>
      </c>
      <c r="B55" s="802"/>
      <c r="C55" s="802"/>
      <c r="D55" s="802"/>
      <c r="E55" s="802"/>
      <c r="F55" s="802"/>
      <c r="G55" s="802"/>
      <c r="H55" s="802"/>
      <c r="I55" s="802"/>
      <c r="J55" s="802"/>
      <c r="K55" s="803" t="s">
        <v>146</v>
      </c>
      <c r="L55" s="803"/>
      <c r="M55" s="803"/>
      <c r="N55" s="803"/>
      <c r="O55" s="803"/>
      <c r="P55" s="803"/>
      <c r="Q55" s="803"/>
      <c r="R55" s="803"/>
      <c r="S55" s="803"/>
      <c r="T55" s="803"/>
      <c r="U55" s="803"/>
      <c r="V55" s="803"/>
      <c r="W55" s="803"/>
      <c r="X55" s="803"/>
      <c r="Y55" s="803"/>
      <c r="Z55" s="803"/>
      <c r="AA55" s="803"/>
      <c r="AB55" s="803"/>
      <c r="AC55" s="803"/>
      <c r="AD55" s="803"/>
      <c r="AE55" s="803"/>
      <c r="AF55" s="803"/>
      <c r="AG55" s="803"/>
      <c r="AH55" s="803"/>
      <c r="AI55" s="803"/>
      <c r="AJ55" s="803"/>
      <c r="AK55" s="803"/>
      <c r="AL55" s="803"/>
      <c r="AM55" s="803"/>
      <c r="AN55" s="803"/>
      <c r="AO55" s="803"/>
      <c r="AP55" s="805" t="s">
        <v>85</v>
      </c>
      <c r="AQ55" s="805"/>
      <c r="AR55" s="805"/>
      <c r="AS55" s="805"/>
      <c r="AT55" s="805"/>
      <c r="AU55" s="805"/>
      <c r="AV55" s="805"/>
      <c r="AW55" s="805"/>
      <c r="AX55" s="805"/>
      <c r="AY55" s="805"/>
    </row>
    <row r="56" spans="1:51" ht="18.75" x14ac:dyDescent="0.3">
      <c r="A56" s="802" t="s">
        <v>147</v>
      </c>
      <c r="B56" s="802"/>
      <c r="C56" s="802"/>
      <c r="D56" s="802"/>
      <c r="E56" s="802"/>
      <c r="F56" s="802"/>
      <c r="G56" s="802"/>
      <c r="H56" s="802"/>
      <c r="I56" s="802"/>
      <c r="J56" s="802"/>
      <c r="K56" s="803" t="s">
        <v>148</v>
      </c>
      <c r="L56" s="803"/>
      <c r="M56" s="803"/>
      <c r="N56" s="803"/>
      <c r="O56" s="803"/>
      <c r="P56" s="803"/>
      <c r="Q56" s="803"/>
      <c r="R56" s="803"/>
      <c r="S56" s="803"/>
      <c r="T56" s="803"/>
      <c r="U56" s="803"/>
      <c r="V56" s="803"/>
      <c r="W56" s="803"/>
      <c r="X56" s="803"/>
      <c r="Y56" s="803"/>
      <c r="Z56" s="803"/>
      <c r="AA56" s="803"/>
      <c r="AB56" s="803"/>
      <c r="AC56" s="803"/>
      <c r="AD56" s="803"/>
      <c r="AE56" s="803"/>
      <c r="AF56" s="803"/>
      <c r="AG56" s="803"/>
      <c r="AH56" s="803"/>
      <c r="AI56" s="803"/>
      <c r="AJ56" s="803"/>
      <c r="AK56" s="803"/>
      <c r="AL56" s="803"/>
      <c r="AM56" s="803"/>
      <c r="AN56" s="803"/>
      <c r="AO56" s="803"/>
      <c r="AP56" s="805" t="s">
        <v>149</v>
      </c>
      <c r="AQ56" s="805"/>
      <c r="AR56" s="805"/>
      <c r="AS56" s="805"/>
      <c r="AT56" s="805"/>
      <c r="AU56" s="805"/>
      <c r="AV56" s="805"/>
      <c r="AW56" s="805"/>
      <c r="AX56" s="805"/>
      <c r="AY56" s="805"/>
    </row>
    <row r="57" spans="1:51" ht="18.75" x14ac:dyDescent="0.3">
      <c r="A57" s="802" t="s">
        <v>150</v>
      </c>
      <c r="B57" s="802"/>
      <c r="C57" s="802"/>
      <c r="D57" s="802"/>
      <c r="E57" s="802"/>
      <c r="F57" s="802"/>
      <c r="G57" s="802"/>
      <c r="H57" s="802"/>
      <c r="I57" s="802"/>
      <c r="J57" s="802"/>
      <c r="K57" s="803" t="s">
        <v>151</v>
      </c>
      <c r="L57" s="803"/>
      <c r="M57" s="803"/>
      <c r="N57" s="803"/>
      <c r="O57" s="803"/>
      <c r="P57" s="803"/>
      <c r="Q57" s="803"/>
      <c r="R57" s="803"/>
      <c r="S57" s="803"/>
      <c r="T57" s="803"/>
      <c r="U57" s="803"/>
      <c r="V57" s="803"/>
      <c r="W57" s="803"/>
      <c r="X57" s="803"/>
      <c r="Y57" s="803"/>
      <c r="Z57" s="803"/>
      <c r="AA57" s="803"/>
      <c r="AB57" s="803"/>
      <c r="AC57" s="803"/>
      <c r="AD57" s="803"/>
      <c r="AE57" s="803"/>
      <c r="AF57" s="803"/>
      <c r="AG57" s="803"/>
      <c r="AH57" s="803"/>
      <c r="AI57" s="803"/>
      <c r="AJ57" s="803"/>
      <c r="AK57" s="803"/>
      <c r="AL57" s="803"/>
      <c r="AM57" s="803"/>
      <c r="AN57" s="803"/>
      <c r="AO57" s="803"/>
      <c r="AP57" s="805" t="s">
        <v>149</v>
      </c>
      <c r="AQ57" s="805"/>
      <c r="AR57" s="805"/>
      <c r="AS57" s="805"/>
      <c r="AT57" s="805"/>
      <c r="AU57" s="805"/>
      <c r="AV57" s="805"/>
      <c r="AW57" s="805"/>
      <c r="AX57" s="805"/>
      <c r="AY57" s="805"/>
    </row>
    <row r="58" spans="1:51" ht="18.75" x14ac:dyDescent="0.3">
      <c r="A58" s="802" t="s">
        <v>152</v>
      </c>
      <c r="B58" s="802"/>
      <c r="C58" s="802"/>
      <c r="D58" s="802"/>
      <c r="E58" s="802"/>
      <c r="F58" s="802"/>
      <c r="G58" s="802"/>
      <c r="H58" s="802"/>
      <c r="I58" s="802"/>
      <c r="J58" s="802"/>
      <c r="K58" s="803" t="s">
        <v>153</v>
      </c>
      <c r="L58" s="803"/>
      <c r="M58" s="803"/>
      <c r="N58" s="803"/>
      <c r="O58" s="803"/>
      <c r="P58" s="803"/>
      <c r="Q58" s="803"/>
      <c r="R58" s="803"/>
      <c r="S58" s="803"/>
      <c r="T58" s="803"/>
      <c r="U58" s="804" t="s">
        <v>154</v>
      </c>
      <c r="V58" s="803"/>
      <c r="W58" s="803"/>
      <c r="X58" s="803"/>
      <c r="Y58" s="803"/>
      <c r="Z58" s="803"/>
      <c r="AA58" s="803"/>
      <c r="AB58" s="803"/>
      <c r="AC58" s="803"/>
      <c r="AD58" s="803"/>
      <c r="AE58" s="803"/>
      <c r="AF58" s="803"/>
      <c r="AG58" s="803"/>
      <c r="AH58" s="803"/>
      <c r="AI58" s="803"/>
      <c r="AJ58" s="803"/>
      <c r="AK58" s="803"/>
      <c r="AL58" s="803"/>
      <c r="AM58" s="803"/>
      <c r="AN58" s="803"/>
      <c r="AO58" s="803"/>
      <c r="AP58" s="805" t="s">
        <v>155</v>
      </c>
      <c r="AQ58" s="805"/>
      <c r="AR58" s="805"/>
      <c r="AS58" s="805"/>
      <c r="AT58" s="805"/>
      <c r="AU58" s="805"/>
      <c r="AV58" s="805"/>
      <c r="AW58" s="805"/>
      <c r="AX58" s="805"/>
      <c r="AY58" s="805"/>
    </row>
    <row r="59" spans="1:51" ht="18.75" x14ac:dyDescent="0.3">
      <c r="A59" s="802" t="s">
        <v>156</v>
      </c>
      <c r="B59" s="802"/>
      <c r="C59" s="802"/>
      <c r="D59" s="802"/>
      <c r="E59" s="802"/>
      <c r="F59" s="802"/>
      <c r="G59" s="802"/>
      <c r="H59" s="802"/>
      <c r="I59" s="802"/>
      <c r="J59" s="802"/>
      <c r="K59" s="803" t="s">
        <v>157</v>
      </c>
      <c r="L59" s="803"/>
      <c r="M59" s="803"/>
      <c r="N59" s="803"/>
      <c r="O59" s="803"/>
      <c r="P59" s="803"/>
      <c r="Q59" s="803"/>
      <c r="R59" s="803"/>
      <c r="S59" s="803"/>
      <c r="T59" s="803"/>
      <c r="U59" s="804"/>
      <c r="V59" s="803"/>
      <c r="W59" s="803"/>
      <c r="X59" s="803"/>
      <c r="Y59" s="803"/>
      <c r="Z59" s="803"/>
      <c r="AA59" s="803"/>
      <c r="AB59" s="803"/>
      <c r="AC59" s="803"/>
      <c r="AD59" s="803"/>
      <c r="AE59" s="803"/>
      <c r="AF59" s="803"/>
      <c r="AG59" s="803"/>
      <c r="AH59" s="803"/>
      <c r="AI59" s="803"/>
      <c r="AJ59" s="803"/>
      <c r="AK59" s="803"/>
      <c r="AL59" s="803"/>
      <c r="AM59" s="803"/>
      <c r="AN59" s="803"/>
      <c r="AO59" s="803"/>
      <c r="AP59" s="805" t="s">
        <v>155</v>
      </c>
      <c r="AQ59" s="805"/>
      <c r="AR59" s="805"/>
      <c r="AS59" s="805"/>
      <c r="AT59" s="805"/>
      <c r="AU59" s="805"/>
      <c r="AV59" s="805"/>
      <c r="AW59" s="805"/>
      <c r="AX59" s="805"/>
      <c r="AY59" s="805"/>
    </row>
    <row r="60" spans="1:51" ht="18.75" x14ac:dyDescent="0.3">
      <c r="A60" s="802" t="s">
        <v>26</v>
      </c>
      <c r="B60" s="802"/>
      <c r="C60" s="802"/>
      <c r="D60" s="802"/>
      <c r="E60" s="802"/>
      <c r="F60" s="802"/>
      <c r="G60" s="802"/>
      <c r="H60" s="802"/>
      <c r="I60" s="802"/>
      <c r="J60" s="802"/>
      <c r="K60" s="803" t="s">
        <v>158</v>
      </c>
      <c r="L60" s="803"/>
      <c r="M60" s="803"/>
      <c r="N60" s="803"/>
      <c r="O60" s="803"/>
      <c r="P60" s="803"/>
      <c r="Q60" s="803"/>
      <c r="R60" s="803"/>
      <c r="S60" s="803"/>
      <c r="T60" s="803"/>
      <c r="U60" s="803" t="s">
        <v>159</v>
      </c>
      <c r="V60" s="803"/>
      <c r="W60" s="803"/>
      <c r="X60" s="803"/>
      <c r="Y60" s="803"/>
      <c r="Z60" s="803"/>
      <c r="AA60" s="803"/>
      <c r="AB60" s="803"/>
      <c r="AC60" s="803"/>
      <c r="AD60" s="803"/>
      <c r="AE60" s="803"/>
      <c r="AF60" s="803"/>
      <c r="AG60" s="803"/>
      <c r="AH60" s="803"/>
      <c r="AI60" s="803"/>
      <c r="AJ60" s="803"/>
      <c r="AK60" s="803"/>
      <c r="AL60" s="803"/>
      <c r="AM60" s="803"/>
      <c r="AN60" s="803"/>
      <c r="AO60" s="803"/>
      <c r="AP60" s="805" t="s">
        <v>160</v>
      </c>
      <c r="AQ60" s="805"/>
      <c r="AR60" s="805"/>
      <c r="AS60" s="805"/>
      <c r="AT60" s="805"/>
      <c r="AU60" s="805"/>
      <c r="AV60" s="805"/>
      <c r="AW60" s="805"/>
      <c r="AX60" s="805"/>
      <c r="AY60" s="805"/>
    </row>
    <row r="61" spans="1:51" ht="18.75" x14ac:dyDescent="0.3">
      <c r="A61" s="802" t="s">
        <v>161</v>
      </c>
      <c r="B61" s="802"/>
      <c r="C61" s="802"/>
      <c r="D61" s="802"/>
      <c r="E61" s="802"/>
      <c r="F61" s="802"/>
      <c r="G61" s="802"/>
      <c r="H61" s="802"/>
      <c r="I61" s="802"/>
      <c r="J61" s="802"/>
      <c r="K61" s="803"/>
      <c r="L61" s="803"/>
      <c r="M61" s="803"/>
      <c r="N61" s="803"/>
      <c r="O61" s="803"/>
      <c r="P61" s="803"/>
      <c r="Q61" s="803"/>
      <c r="R61" s="803"/>
      <c r="S61" s="803"/>
      <c r="T61" s="803"/>
      <c r="U61" s="803"/>
      <c r="V61" s="803"/>
      <c r="W61" s="803"/>
      <c r="X61" s="803"/>
      <c r="Y61" s="803"/>
      <c r="Z61" s="803"/>
      <c r="AA61" s="803"/>
      <c r="AB61" s="803"/>
      <c r="AC61" s="803"/>
      <c r="AD61" s="803"/>
      <c r="AE61" s="803"/>
      <c r="AF61" s="803"/>
      <c r="AG61" s="803"/>
      <c r="AH61" s="803"/>
      <c r="AI61" s="803"/>
      <c r="AJ61" s="803"/>
      <c r="AK61" s="803"/>
      <c r="AL61" s="803"/>
      <c r="AM61" s="803"/>
      <c r="AN61" s="803"/>
      <c r="AO61" s="803"/>
      <c r="AP61" s="805" t="s">
        <v>160</v>
      </c>
      <c r="AQ61" s="805"/>
      <c r="AR61" s="805"/>
      <c r="AS61" s="805"/>
      <c r="AT61" s="805"/>
      <c r="AU61" s="805"/>
      <c r="AV61" s="805"/>
      <c r="AW61" s="805"/>
      <c r="AX61" s="805"/>
      <c r="AY61" s="805"/>
    </row>
    <row r="62" spans="1:51" ht="18.75" x14ac:dyDescent="0.3">
      <c r="A62" s="802" t="s">
        <v>162</v>
      </c>
      <c r="B62" s="802"/>
      <c r="C62" s="802"/>
      <c r="D62" s="802"/>
      <c r="E62" s="802"/>
      <c r="F62" s="802"/>
      <c r="G62" s="802"/>
      <c r="H62" s="802"/>
      <c r="I62" s="802"/>
      <c r="J62" s="802"/>
      <c r="K62" s="803" t="s">
        <v>163</v>
      </c>
      <c r="L62" s="803"/>
      <c r="M62" s="803"/>
      <c r="N62" s="803"/>
      <c r="O62" s="803"/>
      <c r="P62" s="803"/>
      <c r="Q62" s="803"/>
      <c r="R62" s="803"/>
      <c r="S62" s="803"/>
      <c r="T62" s="803"/>
      <c r="U62" s="803"/>
      <c r="V62" s="803"/>
      <c r="W62" s="803"/>
      <c r="X62" s="803"/>
      <c r="Y62" s="803"/>
      <c r="Z62" s="803"/>
      <c r="AA62" s="803"/>
      <c r="AB62" s="803"/>
      <c r="AC62" s="803"/>
      <c r="AD62" s="803"/>
      <c r="AE62" s="803"/>
      <c r="AF62" s="803"/>
      <c r="AG62" s="803"/>
      <c r="AH62" s="803"/>
      <c r="AI62" s="803"/>
      <c r="AJ62" s="803"/>
      <c r="AK62" s="803"/>
      <c r="AL62" s="803"/>
      <c r="AM62" s="803"/>
      <c r="AN62" s="803"/>
      <c r="AO62" s="803"/>
      <c r="AP62" s="805" t="s">
        <v>11</v>
      </c>
      <c r="AQ62" s="805"/>
      <c r="AR62" s="805"/>
      <c r="AS62" s="805"/>
      <c r="AT62" s="805"/>
      <c r="AU62" s="805"/>
      <c r="AV62" s="805"/>
      <c r="AW62" s="805"/>
      <c r="AX62" s="805"/>
      <c r="AY62" s="805"/>
    </row>
    <row r="63" spans="1:51" ht="18.75" x14ac:dyDescent="0.3">
      <c r="A63" s="802" t="s">
        <v>164</v>
      </c>
      <c r="B63" s="802"/>
      <c r="C63" s="802"/>
      <c r="D63" s="802"/>
      <c r="E63" s="802"/>
      <c r="F63" s="802"/>
      <c r="G63" s="802"/>
      <c r="H63" s="802"/>
      <c r="I63" s="802"/>
      <c r="J63" s="802"/>
      <c r="K63" s="803" t="s">
        <v>165</v>
      </c>
      <c r="L63" s="803"/>
      <c r="M63" s="803"/>
      <c r="N63" s="803"/>
      <c r="O63" s="803"/>
      <c r="P63" s="803"/>
      <c r="Q63" s="803"/>
      <c r="R63" s="803"/>
      <c r="S63" s="803"/>
      <c r="T63" s="803"/>
      <c r="U63" s="804" t="s">
        <v>166</v>
      </c>
      <c r="V63" s="803"/>
      <c r="W63" s="803"/>
      <c r="X63" s="803"/>
      <c r="Y63" s="803"/>
      <c r="Z63" s="803"/>
      <c r="AA63" s="803"/>
      <c r="AB63" s="803"/>
      <c r="AC63" s="803"/>
      <c r="AD63" s="803"/>
      <c r="AE63" s="803"/>
      <c r="AF63" s="803"/>
      <c r="AG63" s="803"/>
      <c r="AH63" s="803"/>
      <c r="AI63" s="803"/>
      <c r="AJ63" s="803"/>
      <c r="AK63" s="803"/>
      <c r="AL63" s="803"/>
      <c r="AM63" s="803"/>
      <c r="AN63" s="803"/>
      <c r="AO63" s="803"/>
      <c r="AP63" s="805" t="s">
        <v>11</v>
      </c>
      <c r="AQ63" s="805"/>
      <c r="AR63" s="805"/>
      <c r="AS63" s="805"/>
      <c r="AT63" s="805"/>
      <c r="AU63" s="805"/>
      <c r="AV63" s="805"/>
      <c r="AW63" s="805"/>
      <c r="AX63" s="805"/>
      <c r="AY63" s="805"/>
    </row>
    <row r="64" spans="1:51" ht="18.75" x14ac:dyDescent="0.3">
      <c r="A64" s="802" t="s">
        <v>167</v>
      </c>
      <c r="B64" s="802"/>
      <c r="C64" s="802"/>
      <c r="D64" s="802"/>
      <c r="E64" s="802"/>
      <c r="F64" s="802"/>
      <c r="G64" s="802"/>
      <c r="H64" s="802"/>
      <c r="I64" s="802"/>
      <c r="J64" s="802"/>
      <c r="K64" s="803" t="s">
        <v>168</v>
      </c>
      <c r="L64" s="803"/>
      <c r="M64" s="803"/>
      <c r="N64" s="803"/>
      <c r="O64" s="803"/>
      <c r="P64" s="803"/>
      <c r="Q64" s="803"/>
      <c r="R64" s="803"/>
      <c r="S64" s="803"/>
      <c r="T64" s="803"/>
      <c r="U64" s="804" t="s">
        <v>169</v>
      </c>
      <c r="V64" s="803"/>
      <c r="W64" s="803"/>
      <c r="X64" s="803"/>
      <c r="Y64" s="803"/>
      <c r="Z64" s="803"/>
      <c r="AA64" s="803"/>
      <c r="AB64" s="803"/>
      <c r="AC64" s="803"/>
      <c r="AD64" s="803"/>
      <c r="AE64" s="803"/>
      <c r="AF64" s="803"/>
      <c r="AG64" s="803"/>
      <c r="AH64" s="803"/>
      <c r="AI64" s="803"/>
      <c r="AJ64" s="803"/>
      <c r="AK64" s="803"/>
      <c r="AL64" s="803"/>
      <c r="AM64" s="803"/>
      <c r="AN64" s="803"/>
      <c r="AO64" s="803"/>
      <c r="AP64" s="805" t="s">
        <v>170</v>
      </c>
      <c r="AQ64" s="805"/>
      <c r="AR64" s="805"/>
      <c r="AS64" s="805"/>
      <c r="AT64" s="805"/>
      <c r="AU64" s="805"/>
      <c r="AV64" s="805"/>
      <c r="AW64" s="805"/>
      <c r="AX64" s="805"/>
      <c r="AY64" s="805"/>
    </row>
    <row r="65" spans="1:51" ht="18.75" x14ac:dyDescent="0.3">
      <c r="A65" s="802" t="s">
        <v>171</v>
      </c>
      <c r="B65" s="802"/>
      <c r="C65" s="802"/>
      <c r="D65" s="802"/>
      <c r="E65" s="802"/>
      <c r="F65" s="802"/>
      <c r="G65" s="802"/>
      <c r="H65" s="802"/>
      <c r="I65" s="802"/>
      <c r="J65" s="802"/>
      <c r="K65" s="803" t="s">
        <v>172</v>
      </c>
      <c r="L65" s="803"/>
      <c r="M65" s="803"/>
      <c r="N65" s="803"/>
      <c r="O65" s="803"/>
      <c r="P65" s="803"/>
      <c r="Q65" s="803"/>
      <c r="R65" s="803"/>
      <c r="S65" s="803"/>
      <c r="T65" s="803"/>
      <c r="U65" s="804" t="s">
        <v>173</v>
      </c>
      <c r="V65" s="803"/>
      <c r="W65" s="803"/>
      <c r="X65" s="803"/>
      <c r="Y65" s="803"/>
      <c r="Z65" s="803"/>
      <c r="AA65" s="803"/>
      <c r="AB65" s="803"/>
      <c r="AC65" s="803"/>
      <c r="AD65" s="803"/>
      <c r="AE65" s="803"/>
      <c r="AF65" s="803"/>
      <c r="AG65" s="803"/>
      <c r="AH65" s="803"/>
      <c r="AI65" s="803"/>
      <c r="AJ65" s="803"/>
      <c r="AK65" s="803"/>
      <c r="AL65" s="803"/>
      <c r="AM65" s="803"/>
      <c r="AN65" s="803"/>
      <c r="AO65" s="803"/>
      <c r="AP65" s="805" t="s">
        <v>170</v>
      </c>
      <c r="AQ65" s="805"/>
      <c r="AR65" s="805"/>
      <c r="AS65" s="805"/>
      <c r="AT65" s="805"/>
      <c r="AU65" s="805"/>
      <c r="AV65" s="805"/>
      <c r="AW65" s="805"/>
      <c r="AX65" s="805"/>
      <c r="AY65" s="805"/>
    </row>
    <row r="66" spans="1:51" ht="18.75" x14ac:dyDescent="0.3">
      <c r="A66" s="802" t="s">
        <v>174</v>
      </c>
      <c r="B66" s="802"/>
      <c r="C66" s="802"/>
      <c r="D66" s="802"/>
      <c r="E66" s="802"/>
      <c r="F66" s="802"/>
      <c r="G66" s="802"/>
      <c r="H66" s="802"/>
      <c r="I66" s="802"/>
      <c r="J66" s="802"/>
      <c r="K66" s="803" t="s">
        <v>175</v>
      </c>
      <c r="L66" s="803"/>
      <c r="M66" s="803"/>
      <c r="N66" s="803"/>
      <c r="O66" s="803"/>
      <c r="P66" s="803"/>
      <c r="Q66" s="803"/>
      <c r="R66" s="803"/>
      <c r="S66" s="803"/>
      <c r="T66" s="803"/>
      <c r="U66" s="803" t="s">
        <v>176</v>
      </c>
      <c r="V66" s="803"/>
      <c r="W66" s="803"/>
      <c r="X66" s="803"/>
      <c r="Y66" s="803"/>
      <c r="Z66" s="803"/>
      <c r="AA66" s="803"/>
      <c r="AB66" s="803"/>
      <c r="AC66" s="803"/>
      <c r="AD66" s="803"/>
      <c r="AE66" s="803"/>
      <c r="AF66" s="803"/>
      <c r="AG66" s="803"/>
      <c r="AH66" s="803"/>
      <c r="AI66" s="803"/>
      <c r="AJ66" s="803"/>
      <c r="AK66" s="803"/>
      <c r="AL66" s="803"/>
      <c r="AM66" s="803"/>
      <c r="AN66" s="803"/>
      <c r="AO66" s="803"/>
      <c r="AP66" s="805" t="s">
        <v>177</v>
      </c>
      <c r="AQ66" s="805"/>
      <c r="AR66" s="805"/>
      <c r="AS66" s="805"/>
      <c r="AT66" s="805"/>
      <c r="AU66" s="805"/>
      <c r="AV66" s="805"/>
      <c r="AW66" s="805"/>
      <c r="AX66" s="805"/>
      <c r="AY66" s="805"/>
    </row>
    <row r="67" spans="1:51" ht="18.75" x14ac:dyDescent="0.3">
      <c r="A67" s="802" t="s">
        <v>178</v>
      </c>
      <c r="B67" s="802"/>
      <c r="C67" s="802"/>
      <c r="D67" s="802"/>
      <c r="E67" s="802"/>
      <c r="F67" s="802"/>
      <c r="G67" s="802"/>
      <c r="H67" s="802"/>
      <c r="I67" s="802"/>
      <c r="J67" s="802"/>
      <c r="K67" s="803" t="s">
        <v>175</v>
      </c>
      <c r="L67" s="803"/>
      <c r="M67" s="803"/>
      <c r="N67" s="803"/>
      <c r="O67" s="803"/>
      <c r="P67" s="803"/>
      <c r="Q67" s="803"/>
      <c r="R67" s="803"/>
      <c r="S67" s="803"/>
      <c r="T67" s="803"/>
      <c r="U67" s="803" t="s">
        <v>176</v>
      </c>
      <c r="V67" s="803"/>
      <c r="W67" s="803"/>
      <c r="X67" s="803"/>
      <c r="Y67" s="803"/>
      <c r="Z67" s="803"/>
      <c r="AA67" s="803"/>
      <c r="AB67" s="803"/>
      <c r="AC67" s="803"/>
      <c r="AD67" s="803"/>
      <c r="AE67" s="803"/>
      <c r="AF67" s="803"/>
      <c r="AG67" s="803"/>
      <c r="AH67" s="803"/>
      <c r="AI67" s="803"/>
      <c r="AJ67" s="803"/>
      <c r="AK67" s="803"/>
      <c r="AL67" s="803"/>
      <c r="AM67" s="803"/>
      <c r="AN67" s="803"/>
      <c r="AO67" s="803"/>
      <c r="AP67" s="805" t="s">
        <v>177</v>
      </c>
      <c r="AQ67" s="805"/>
      <c r="AR67" s="805"/>
      <c r="AS67" s="805"/>
      <c r="AT67" s="805"/>
      <c r="AU67" s="805"/>
      <c r="AV67" s="805"/>
      <c r="AW67" s="805"/>
      <c r="AX67" s="805"/>
      <c r="AY67" s="805"/>
    </row>
    <row r="68" spans="1:51" ht="18.75" x14ac:dyDescent="0.3">
      <c r="A68" s="802" t="s">
        <v>179</v>
      </c>
      <c r="B68" s="802"/>
      <c r="C68" s="802"/>
      <c r="D68" s="802"/>
      <c r="E68" s="802"/>
      <c r="F68" s="802"/>
      <c r="G68" s="802"/>
      <c r="H68" s="802"/>
      <c r="I68" s="802"/>
      <c r="J68" s="802"/>
      <c r="K68" s="803" t="s">
        <v>180</v>
      </c>
      <c r="L68" s="803"/>
      <c r="M68" s="803"/>
      <c r="N68" s="803"/>
      <c r="O68" s="803"/>
      <c r="P68" s="803"/>
      <c r="Q68" s="803"/>
      <c r="R68" s="803"/>
      <c r="S68" s="803"/>
      <c r="T68" s="803"/>
      <c r="U68" s="804" t="s">
        <v>181</v>
      </c>
      <c r="V68" s="803"/>
      <c r="W68" s="803"/>
      <c r="X68" s="803"/>
      <c r="Y68" s="803"/>
      <c r="Z68" s="803"/>
      <c r="AA68" s="803"/>
      <c r="AB68" s="803"/>
      <c r="AC68" s="803"/>
      <c r="AD68" s="803"/>
      <c r="AE68" s="803"/>
      <c r="AF68" s="803"/>
      <c r="AG68" s="803"/>
      <c r="AH68" s="803"/>
      <c r="AI68" s="803"/>
      <c r="AJ68" s="803"/>
      <c r="AK68" s="803"/>
      <c r="AL68" s="803"/>
      <c r="AM68" s="803"/>
      <c r="AN68" s="803"/>
      <c r="AO68" s="803"/>
      <c r="AP68" s="805" t="s">
        <v>182</v>
      </c>
      <c r="AQ68" s="805"/>
      <c r="AR68" s="805"/>
      <c r="AS68" s="805"/>
      <c r="AT68" s="805"/>
      <c r="AU68" s="805"/>
      <c r="AV68" s="805"/>
      <c r="AW68" s="805"/>
      <c r="AX68" s="805"/>
      <c r="AY68" s="805"/>
    </row>
    <row r="69" spans="1:51" ht="18.75" x14ac:dyDescent="0.3">
      <c r="A69" s="802" t="s">
        <v>183</v>
      </c>
      <c r="B69" s="802"/>
      <c r="C69" s="802"/>
      <c r="D69" s="802"/>
      <c r="E69" s="802"/>
      <c r="F69" s="802"/>
      <c r="G69" s="802"/>
      <c r="H69" s="802"/>
      <c r="I69" s="802"/>
      <c r="J69" s="802"/>
      <c r="K69" s="803" t="s">
        <v>184</v>
      </c>
      <c r="L69" s="803"/>
      <c r="M69" s="803"/>
      <c r="N69" s="803"/>
      <c r="O69" s="803"/>
      <c r="P69" s="803"/>
      <c r="Q69" s="803"/>
      <c r="R69" s="803"/>
      <c r="S69" s="803"/>
      <c r="T69" s="803"/>
      <c r="U69" s="804" t="s">
        <v>181</v>
      </c>
      <c r="V69" s="803"/>
      <c r="W69" s="803"/>
      <c r="X69" s="803"/>
      <c r="Y69" s="803"/>
      <c r="Z69" s="803"/>
      <c r="AA69" s="803"/>
      <c r="AB69" s="803"/>
      <c r="AC69" s="803"/>
      <c r="AD69" s="803"/>
      <c r="AE69" s="803"/>
      <c r="AF69" s="803"/>
      <c r="AG69" s="803"/>
      <c r="AH69" s="803"/>
      <c r="AI69" s="803"/>
      <c r="AJ69" s="803"/>
      <c r="AK69" s="803"/>
      <c r="AL69" s="803"/>
      <c r="AM69" s="803"/>
      <c r="AN69" s="803"/>
      <c r="AO69" s="803"/>
      <c r="AP69" s="805" t="s">
        <v>182</v>
      </c>
      <c r="AQ69" s="805"/>
      <c r="AR69" s="805"/>
      <c r="AS69" s="805"/>
      <c r="AT69" s="805"/>
      <c r="AU69" s="805"/>
      <c r="AV69" s="805"/>
      <c r="AW69" s="805"/>
      <c r="AX69" s="805"/>
      <c r="AY69" s="805"/>
    </row>
    <row r="70" spans="1:51" ht="18.75" x14ac:dyDescent="0.3">
      <c r="A70" s="802" t="s">
        <v>185</v>
      </c>
      <c r="B70" s="802"/>
      <c r="C70" s="802"/>
      <c r="D70" s="802"/>
      <c r="E70" s="802"/>
      <c r="F70" s="802"/>
      <c r="G70" s="802"/>
      <c r="H70" s="802"/>
      <c r="I70" s="802"/>
      <c r="J70" s="802"/>
      <c r="K70" s="803" t="s">
        <v>186</v>
      </c>
      <c r="L70" s="803"/>
      <c r="M70" s="803"/>
      <c r="N70" s="803"/>
      <c r="O70" s="803"/>
      <c r="P70" s="803"/>
      <c r="Q70" s="803"/>
      <c r="R70" s="803"/>
      <c r="S70" s="803"/>
      <c r="T70" s="803"/>
      <c r="U70" s="804" t="s">
        <v>181</v>
      </c>
      <c r="V70" s="803"/>
      <c r="W70" s="803"/>
      <c r="X70" s="803"/>
      <c r="Y70" s="803"/>
      <c r="Z70" s="803"/>
      <c r="AA70" s="803"/>
      <c r="AB70" s="803"/>
      <c r="AC70" s="803"/>
      <c r="AD70" s="803"/>
      <c r="AE70" s="803"/>
      <c r="AF70" s="803"/>
      <c r="AG70" s="803"/>
      <c r="AH70" s="803"/>
      <c r="AI70" s="803"/>
      <c r="AJ70" s="803"/>
      <c r="AK70" s="803"/>
      <c r="AL70" s="803"/>
      <c r="AM70" s="803"/>
      <c r="AN70" s="803"/>
      <c r="AO70" s="803"/>
      <c r="AP70" s="805" t="s">
        <v>182</v>
      </c>
      <c r="AQ70" s="805"/>
      <c r="AR70" s="805"/>
      <c r="AS70" s="805"/>
      <c r="AT70" s="805"/>
      <c r="AU70" s="805"/>
      <c r="AV70" s="805"/>
      <c r="AW70" s="805"/>
      <c r="AX70" s="805"/>
      <c r="AY70" s="805"/>
    </row>
    <row r="71" spans="1:51" ht="18.75" x14ac:dyDescent="0.3">
      <c r="A71" s="802" t="s">
        <v>176</v>
      </c>
      <c r="B71" s="802"/>
      <c r="C71" s="802"/>
      <c r="D71" s="802"/>
      <c r="E71" s="802"/>
      <c r="F71" s="802"/>
      <c r="G71" s="802"/>
      <c r="H71" s="802"/>
      <c r="I71" s="802"/>
      <c r="J71" s="802"/>
      <c r="K71" s="803" t="s">
        <v>187</v>
      </c>
      <c r="L71" s="803"/>
      <c r="M71" s="803"/>
      <c r="N71" s="803"/>
      <c r="O71" s="803"/>
      <c r="P71" s="803"/>
      <c r="Q71" s="803"/>
      <c r="R71" s="803"/>
      <c r="S71" s="803"/>
      <c r="T71" s="803"/>
      <c r="U71" s="804" t="s">
        <v>181</v>
      </c>
      <c r="V71" s="803"/>
      <c r="W71" s="803"/>
      <c r="X71" s="803"/>
      <c r="Y71" s="803"/>
      <c r="Z71" s="803"/>
      <c r="AA71" s="803"/>
      <c r="AB71" s="803"/>
      <c r="AC71" s="803"/>
      <c r="AD71" s="803"/>
      <c r="AE71" s="803"/>
      <c r="AF71" s="803"/>
      <c r="AG71" s="803"/>
      <c r="AH71" s="803"/>
      <c r="AI71" s="803"/>
      <c r="AJ71" s="803"/>
      <c r="AK71" s="803"/>
      <c r="AL71" s="803"/>
      <c r="AM71" s="803"/>
      <c r="AN71" s="803"/>
      <c r="AO71" s="803"/>
      <c r="AP71" s="805" t="s">
        <v>182</v>
      </c>
      <c r="AQ71" s="805"/>
      <c r="AR71" s="805"/>
      <c r="AS71" s="805"/>
      <c r="AT71" s="805"/>
      <c r="AU71" s="805"/>
      <c r="AV71" s="805"/>
      <c r="AW71" s="805"/>
      <c r="AX71" s="805"/>
      <c r="AY71" s="805"/>
    </row>
    <row r="72" spans="1:51" ht="18.75" x14ac:dyDescent="0.3">
      <c r="A72" s="802" t="s">
        <v>188</v>
      </c>
      <c r="B72" s="802"/>
      <c r="C72" s="802"/>
      <c r="D72" s="802"/>
      <c r="E72" s="802"/>
      <c r="F72" s="802"/>
      <c r="G72" s="802"/>
      <c r="H72" s="802"/>
      <c r="I72" s="802"/>
      <c r="J72" s="802"/>
      <c r="K72" s="803" t="s">
        <v>189</v>
      </c>
      <c r="L72" s="803"/>
      <c r="M72" s="803"/>
      <c r="N72" s="803"/>
      <c r="O72" s="803"/>
      <c r="P72" s="803"/>
      <c r="Q72" s="803"/>
      <c r="R72" s="803"/>
      <c r="S72" s="803"/>
      <c r="T72" s="803"/>
      <c r="U72" s="804" t="s">
        <v>190</v>
      </c>
      <c r="V72" s="803"/>
      <c r="W72" s="803"/>
      <c r="X72" s="803"/>
      <c r="Y72" s="803"/>
      <c r="Z72" s="803"/>
      <c r="AA72" s="803"/>
      <c r="AB72" s="803"/>
      <c r="AC72" s="803"/>
      <c r="AD72" s="803"/>
      <c r="AE72" s="803"/>
      <c r="AF72" s="803"/>
      <c r="AG72" s="803"/>
      <c r="AH72" s="803"/>
      <c r="AI72" s="803"/>
      <c r="AJ72" s="803"/>
      <c r="AK72" s="803"/>
      <c r="AL72" s="803"/>
      <c r="AM72" s="803"/>
      <c r="AN72" s="803"/>
      <c r="AO72" s="803"/>
      <c r="AP72" s="805"/>
      <c r="AQ72" s="805"/>
      <c r="AR72" s="805"/>
      <c r="AS72" s="805"/>
      <c r="AT72" s="805"/>
      <c r="AU72" s="805"/>
      <c r="AV72" s="805"/>
      <c r="AW72" s="805"/>
      <c r="AX72" s="805"/>
      <c r="AY72" s="805"/>
    </row>
    <row r="73" spans="1:51" ht="18.75" x14ac:dyDescent="0.3">
      <c r="A73" s="802" t="s">
        <v>191</v>
      </c>
      <c r="B73" s="802"/>
      <c r="C73" s="802"/>
      <c r="D73" s="802"/>
      <c r="E73" s="802"/>
      <c r="F73" s="802"/>
      <c r="G73" s="802"/>
      <c r="H73" s="802"/>
      <c r="I73" s="802"/>
      <c r="J73" s="802"/>
      <c r="K73" s="803" t="s">
        <v>192</v>
      </c>
      <c r="L73" s="803"/>
      <c r="M73" s="803"/>
      <c r="N73" s="803"/>
      <c r="O73" s="803"/>
      <c r="P73" s="803"/>
      <c r="Q73" s="803"/>
      <c r="R73" s="803"/>
      <c r="S73" s="803"/>
      <c r="T73" s="803"/>
      <c r="U73" s="804" t="s">
        <v>193</v>
      </c>
      <c r="V73" s="803"/>
      <c r="W73" s="803"/>
      <c r="X73" s="803"/>
      <c r="Y73" s="803"/>
      <c r="Z73" s="803"/>
      <c r="AA73" s="803"/>
      <c r="AB73" s="803"/>
      <c r="AC73" s="803"/>
      <c r="AD73" s="803"/>
      <c r="AE73" s="803"/>
      <c r="AF73" s="803"/>
      <c r="AG73" s="803"/>
      <c r="AH73" s="803"/>
      <c r="AI73" s="803"/>
      <c r="AJ73" s="803"/>
      <c r="AK73" s="803"/>
      <c r="AL73" s="803"/>
      <c r="AM73" s="803"/>
      <c r="AN73" s="803"/>
      <c r="AO73" s="803"/>
      <c r="AP73" s="805" t="s">
        <v>194</v>
      </c>
      <c r="AQ73" s="805"/>
      <c r="AR73" s="805"/>
      <c r="AS73" s="805"/>
      <c r="AT73" s="805"/>
      <c r="AU73" s="805"/>
      <c r="AV73" s="805"/>
      <c r="AW73" s="805"/>
      <c r="AX73" s="805"/>
      <c r="AY73" s="805"/>
    </row>
    <row r="74" spans="1:51" ht="18.75" x14ac:dyDescent="0.3">
      <c r="A74" s="802" t="s">
        <v>195</v>
      </c>
      <c r="B74" s="802"/>
      <c r="C74" s="802"/>
      <c r="D74" s="802"/>
      <c r="E74" s="802"/>
      <c r="F74" s="802"/>
      <c r="G74" s="802"/>
      <c r="H74" s="802"/>
      <c r="I74" s="802"/>
      <c r="J74" s="802"/>
      <c r="K74" s="803" t="s">
        <v>196</v>
      </c>
      <c r="L74" s="803"/>
      <c r="M74" s="803"/>
      <c r="N74" s="803"/>
      <c r="O74" s="803"/>
      <c r="P74" s="803"/>
      <c r="Q74" s="803"/>
      <c r="R74" s="803"/>
      <c r="S74" s="803"/>
      <c r="T74" s="803"/>
      <c r="U74" s="803"/>
      <c r="V74" s="803"/>
      <c r="W74" s="803"/>
      <c r="X74" s="803"/>
      <c r="Y74" s="803"/>
      <c r="Z74" s="803"/>
      <c r="AA74" s="803"/>
      <c r="AB74" s="803"/>
      <c r="AC74" s="803"/>
      <c r="AD74" s="803"/>
      <c r="AE74" s="803"/>
      <c r="AF74" s="803"/>
      <c r="AG74" s="803"/>
      <c r="AH74" s="803"/>
      <c r="AI74" s="803"/>
      <c r="AJ74" s="803"/>
      <c r="AK74" s="803"/>
      <c r="AL74" s="803"/>
      <c r="AM74" s="803"/>
      <c r="AN74" s="803"/>
      <c r="AO74" s="803"/>
      <c r="AP74" s="805" t="s">
        <v>194</v>
      </c>
      <c r="AQ74" s="805"/>
      <c r="AR74" s="805"/>
      <c r="AS74" s="805"/>
      <c r="AT74" s="805"/>
      <c r="AU74" s="805"/>
      <c r="AV74" s="805"/>
      <c r="AW74" s="805"/>
      <c r="AX74" s="805"/>
      <c r="AY74" s="805"/>
    </row>
    <row r="75" spans="1:51" ht="18.75" x14ac:dyDescent="0.3">
      <c r="A75" s="802" t="s">
        <v>197</v>
      </c>
      <c r="B75" s="802"/>
      <c r="C75" s="802"/>
      <c r="D75" s="802"/>
      <c r="E75" s="802"/>
      <c r="F75" s="802"/>
      <c r="G75" s="802"/>
      <c r="H75" s="802"/>
      <c r="I75" s="802"/>
      <c r="J75" s="802"/>
      <c r="K75" s="803" t="s">
        <v>198</v>
      </c>
      <c r="L75" s="803"/>
      <c r="M75" s="803"/>
      <c r="N75" s="803"/>
      <c r="O75" s="803"/>
      <c r="P75" s="803"/>
      <c r="Q75" s="803"/>
      <c r="R75" s="803"/>
      <c r="S75" s="803"/>
      <c r="T75" s="803"/>
      <c r="U75" s="803"/>
      <c r="V75" s="803"/>
      <c r="W75" s="803"/>
      <c r="X75" s="803"/>
      <c r="Y75" s="803"/>
      <c r="Z75" s="803"/>
      <c r="AA75" s="803"/>
      <c r="AB75" s="803"/>
      <c r="AC75" s="803"/>
      <c r="AD75" s="803"/>
      <c r="AE75" s="803"/>
      <c r="AF75" s="803"/>
      <c r="AG75" s="803"/>
      <c r="AH75" s="803"/>
      <c r="AI75" s="803"/>
      <c r="AJ75" s="803"/>
      <c r="AK75" s="803"/>
      <c r="AL75" s="803"/>
      <c r="AM75" s="803"/>
      <c r="AN75" s="803"/>
      <c r="AO75" s="803"/>
      <c r="AP75" s="805" t="s">
        <v>199</v>
      </c>
      <c r="AQ75" s="805"/>
      <c r="AR75" s="805"/>
      <c r="AS75" s="805"/>
      <c r="AT75" s="805"/>
      <c r="AU75" s="805"/>
      <c r="AV75" s="805"/>
      <c r="AW75" s="805"/>
      <c r="AX75" s="805"/>
      <c r="AY75" s="805"/>
    </row>
    <row r="76" spans="1:51" ht="18.75" x14ac:dyDescent="0.3">
      <c r="A76" s="802" t="s">
        <v>200</v>
      </c>
      <c r="B76" s="802"/>
      <c r="C76" s="802"/>
      <c r="D76" s="802"/>
      <c r="E76" s="802"/>
      <c r="F76" s="802"/>
      <c r="G76" s="802"/>
      <c r="H76" s="802"/>
      <c r="I76" s="802"/>
      <c r="J76" s="802"/>
      <c r="K76" s="803" t="s">
        <v>201</v>
      </c>
      <c r="L76" s="803"/>
      <c r="M76" s="803"/>
      <c r="N76" s="803"/>
      <c r="O76" s="803"/>
      <c r="P76" s="803"/>
      <c r="Q76" s="803"/>
      <c r="R76" s="803"/>
      <c r="S76" s="803"/>
      <c r="T76" s="803"/>
      <c r="U76" s="803"/>
      <c r="V76" s="803"/>
      <c r="W76" s="803"/>
      <c r="X76" s="803"/>
      <c r="Y76" s="803"/>
      <c r="Z76" s="803"/>
      <c r="AA76" s="803"/>
      <c r="AB76" s="803"/>
      <c r="AC76" s="803"/>
      <c r="AD76" s="803"/>
      <c r="AE76" s="803"/>
      <c r="AF76" s="803"/>
      <c r="AG76" s="803"/>
      <c r="AH76" s="803"/>
      <c r="AI76" s="803"/>
      <c r="AJ76" s="803"/>
      <c r="AK76" s="803"/>
      <c r="AL76" s="803"/>
      <c r="AM76" s="803"/>
      <c r="AN76" s="803"/>
      <c r="AO76" s="803"/>
      <c r="AP76" s="805" t="s">
        <v>199</v>
      </c>
      <c r="AQ76" s="805"/>
      <c r="AR76" s="805"/>
      <c r="AS76" s="805"/>
      <c r="AT76" s="805"/>
      <c r="AU76" s="805"/>
      <c r="AV76" s="805"/>
      <c r="AW76" s="805"/>
      <c r="AX76" s="805"/>
      <c r="AY76" s="805"/>
    </row>
    <row r="77" spans="1:51" ht="18.75" x14ac:dyDescent="0.3">
      <c r="A77" s="802" t="s">
        <v>202</v>
      </c>
      <c r="B77" s="802"/>
      <c r="C77" s="802"/>
      <c r="D77" s="802"/>
      <c r="E77" s="802"/>
      <c r="F77" s="802"/>
      <c r="G77" s="802"/>
      <c r="H77" s="802"/>
      <c r="I77" s="802"/>
      <c r="J77" s="802"/>
      <c r="K77" s="803" t="s">
        <v>203</v>
      </c>
      <c r="L77" s="803"/>
      <c r="M77" s="803"/>
      <c r="N77" s="803"/>
      <c r="O77" s="803"/>
      <c r="P77" s="803"/>
      <c r="Q77" s="803"/>
      <c r="R77" s="803"/>
      <c r="S77" s="803"/>
      <c r="T77" s="803"/>
      <c r="U77" s="803"/>
      <c r="V77" s="803"/>
      <c r="W77" s="803"/>
      <c r="X77" s="803"/>
      <c r="Y77" s="803"/>
      <c r="Z77" s="803"/>
      <c r="AA77" s="803"/>
      <c r="AB77" s="803"/>
      <c r="AC77" s="803"/>
      <c r="AD77" s="803"/>
      <c r="AE77" s="803"/>
      <c r="AF77" s="803"/>
      <c r="AG77" s="803"/>
      <c r="AH77" s="803"/>
      <c r="AI77" s="803"/>
      <c r="AJ77" s="803"/>
      <c r="AK77" s="803"/>
      <c r="AL77" s="803"/>
      <c r="AM77" s="803"/>
      <c r="AN77" s="803"/>
      <c r="AO77" s="803"/>
      <c r="AP77" s="805" t="s">
        <v>204</v>
      </c>
      <c r="AQ77" s="805"/>
      <c r="AR77" s="805"/>
      <c r="AS77" s="805"/>
      <c r="AT77" s="805"/>
      <c r="AU77" s="805"/>
      <c r="AV77" s="805"/>
      <c r="AW77" s="805"/>
      <c r="AX77" s="805"/>
      <c r="AY77" s="805"/>
    </row>
    <row r="78" spans="1:51" ht="18.75" x14ac:dyDescent="0.3">
      <c r="A78" s="802" t="s">
        <v>205</v>
      </c>
      <c r="B78" s="802"/>
      <c r="C78" s="802"/>
      <c r="D78" s="802"/>
      <c r="E78" s="802"/>
      <c r="F78" s="802"/>
      <c r="G78" s="802"/>
      <c r="H78" s="802"/>
      <c r="I78" s="802"/>
      <c r="J78" s="802"/>
      <c r="K78" s="803" t="s">
        <v>206</v>
      </c>
      <c r="L78" s="803"/>
      <c r="M78" s="803"/>
      <c r="N78" s="803"/>
      <c r="O78" s="803"/>
      <c r="P78" s="803"/>
      <c r="Q78" s="803"/>
      <c r="R78" s="803"/>
      <c r="S78" s="803"/>
      <c r="T78" s="803"/>
      <c r="U78" s="803"/>
      <c r="V78" s="803"/>
      <c r="W78" s="803"/>
      <c r="X78" s="803"/>
      <c r="Y78" s="803"/>
      <c r="Z78" s="803"/>
      <c r="AA78" s="803"/>
      <c r="AB78" s="803"/>
      <c r="AC78" s="803"/>
      <c r="AD78" s="803"/>
      <c r="AE78" s="803"/>
      <c r="AF78" s="803"/>
      <c r="AG78" s="803"/>
      <c r="AH78" s="803"/>
      <c r="AI78" s="803"/>
      <c r="AJ78" s="803"/>
      <c r="AK78" s="803"/>
      <c r="AL78" s="803"/>
      <c r="AM78" s="803"/>
      <c r="AN78" s="803"/>
      <c r="AO78" s="803"/>
      <c r="AP78" s="805" t="s">
        <v>204</v>
      </c>
      <c r="AQ78" s="805"/>
      <c r="AR78" s="805"/>
      <c r="AS78" s="805"/>
      <c r="AT78" s="805"/>
      <c r="AU78" s="805"/>
      <c r="AV78" s="805"/>
      <c r="AW78" s="805"/>
      <c r="AX78" s="805"/>
      <c r="AY78" s="805"/>
    </row>
    <row r="79" spans="1:51" ht="18.75" x14ac:dyDescent="0.3">
      <c r="A79" s="802" t="s">
        <v>207</v>
      </c>
      <c r="B79" s="802"/>
      <c r="C79" s="802"/>
      <c r="D79" s="802"/>
      <c r="E79" s="802"/>
      <c r="F79" s="802"/>
      <c r="G79" s="802"/>
      <c r="H79" s="802"/>
      <c r="I79" s="802"/>
      <c r="J79" s="802"/>
      <c r="K79" s="803" t="s">
        <v>208</v>
      </c>
      <c r="L79" s="803"/>
      <c r="M79" s="803"/>
      <c r="N79" s="803"/>
      <c r="O79" s="803"/>
      <c r="P79" s="803"/>
      <c r="Q79" s="803"/>
      <c r="R79" s="803"/>
      <c r="S79" s="803"/>
      <c r="T79" s="803"/>
      <c r="U79" s="804" t="s">
        <v>209</v>
      </c>
      <c r="V79" s="803"/>
      <c r="W79" s="803"/>
      <c r="X79" s="803"/>
      <c r="Y79" s="803"/>
      <c r="Z79" s="803"/>
      <c r="AA79" s="803"/>
      <c r="AB79" s="803"/>
      <c r="AC79" s="803"/>
      <c r="AD79" s="803"/>
      <c r="AE79" s="803"/>
      <c r="AF79" s="803"/>
      <c r="AG79" s="803"/>
      <c r="AH79" s="803"/>
      <c r="AI79" s="803"/>
      <c r="AJ79" s="803"/>
      <c r="AK79" s="803"/>
      <c r="AL79" s="803"/>
      <c r="AM79" s="803"/>
      <c r="AN79" s="803"/>
      <c r="AO79" s="803"/>
      <c r="AP79" s="805" t="s">
        <v>210</v>
      </c>
      <c r="AQ79" s="805"/>
      <c r="AR79" s="805"/>
      <c r="AS79" s="805"/>
      <c r="AT79" s="805"/>
      <c r="AU79" s="805"/>
      <c r="AV79" s="805"/>
      <c r="AW79" s="805"/>
      <c r="AX79" s="805"/>
      <c r="AY79" s="805"/>
    </row>
    <row r="80" spans="1:51" ht="18.75" x14ac:dyDescent="0.3">
      <c r="A80" s="802" t="s">
        <v>211</v>
      </c>
      <c r="B80" s="802"/>
      <c r="C80" s="802"/>
      <c r="D80" s="802"/>
      <c r="E80" s="802"/>
      <c r="F80" s="802"/>
      <c r="G80" s="802"/>
      <c r="H80" s="802"/>
      <c r="I80" s="802"/>
      <c r="J80" s="802"/>
      <c r="K80" s="803" t="s">
        <v>212</v>
      </c>
      <c r="L80" s="803"/>
      <c r="M80" s="803"/>
      <c r="N80" s="803"/>
      <c r="O80" s="803"/>
      <c r="P80" s="803"/>
      <c r="Q80" s="803"/>
      <c r="R80" s="803"/>
      <c r="S80" s="803"/>
      <c r="T80" s="803"/>
      <c r="U80" s="804" t="s">
        <v>213</v>
      </c>
      <c r="V80" s="803"/>
      <c r="W80" s="803"/>
      <c r="X80" s="803"/>
      <c r="Y80" s="803"/>
      <c r="Z80" s="803"/>
      <c r="AA80" s="803"/>
      <c r="AB80" s="803"/>
      <c r="AC80" s="803"/>
      <c r="AD80" s="803"/>
      <c r="AE80" s="803"/>
      <c r="AF80" s="803"/>
      <c r="AG80" s="803"/>
      <c r="AH80" s="803"/>
      <c r="AI80" s="803"/>
      <c r="AJ80" s="803"/>
      <c r="AK80" s="803"/>
      <c r="AL80" s="803"/>
      <c r="AM80" s="803"/>
      <c r="AN80" s="803"/>
      <c r="AO80" s="803"/>
      <c r="AP80" s="805" t="s">
        <v>15</v>
      </c>
      <c r="AQ80" s="805"/>
      <c r="AR80" s="805"/>
      <c r="AS80" s="805"/>
      <c r="AT80" s="805"/>
      <c r="AU80" s="805"/>
      <c r="AV80" s="805"/>
      <c r="AW80" s="805"/>
      <c r="AX80" s="805"/>
      <c r="AY80" s="805"/>
    </row>
    <row r="81" spans="1:51" ht="18.75" x14ac:dyDescent="0.3">
      <c r="A81" s="802" t="s">
        <v>214</v>
      </c>
      <c r="B81" s="802"/>
      <c r="C81" s="802"/>
      <c r="D81" s="802"/>
      <c r="E81" s="802"/>
      <c r="F81" s="802"/>
      <c r="G81" s="802"/>
      <c r="H81" s="802"/>
      <c r="I81" s="802"/>
      <c r="J81" s="802"/>
      <c r="K81" s="803" t="s">
        <v>215</v>
      </c>
      <c r="L81" s="803"/>
      <c r="M81" s="803"/>
      <c r="N81" s="803"/>
      <c r="O81" s="803"/>
      <c r="P81" s="803"/>
      <c r="Q81" s="803"/>
      <c r="R81" s="803"/>
      <c r="S81" s="803"/>
      <c r="T81" s="803"/>
      <c r="U81" s="804"/>
      <c r="V81" s="803"/>
      <c r="W81" s="803"/>
      <c r="X81" s="803"/>
      <c r="Y81" s="803"/>
      <c r="Z81" s="803"/>
      <c r="AA81" s="803"/>
      <c r="AB81" s="803"/>
      <c r="AC81" s="803"/>
      <c r="AD81" s="803"/>
      <c r="AE81" s="803"/>
      <c r="AF81" s="803"/>
      <c r="AG81" s="803"/>
      <c r="AH81" s="803"/>
      <c r="AI81" s="803"/>
      <c r="AJ81" s="803"/>
      <c r="AK81" s="803"/>
      <c r="AL81" s="803"/>
      <c r="AM81" s="803"/>
      <c r="AN81" s="803"/>
      <c r="AO81" s="803"/>
      <c r="AP81" s="805" t="s">
        <v>216</v>
      </c>
      <c r="AQ81" s="805"/>
      <c r="AR81" s="805"/>
      <c r="AS81" s="805"/>
      <c r="AT81" s="805"/>
      <c r="AU81" s="805"/>
      <c r="AV81" s="805"/>
      <c r="AW81" s="805"/>
      <c r="AX81" s="805"/>
      <c r="AY81" s="805"/>
    </row>
    <row r="82" spans="1:51" ht="18.75" x14ac:dyDescent="0.3">
      <c r="A82" s="802" t="s">
        <v>217</v>
      </c>
      <c r="B82" s="802"/>
      <c r="C82" s="802"/>
      <c r="D82" s="802"/>
      <c r="E82" s="802"/>
      <c r="F82" s="802"/>
      <c r="G82" s="802"/>
      <c r="H82" s="802"/>
      <c r="I82" s="802"/>
      <c r="J82" s="802"/>
      <c r="K82" s="803" t="s">
        <v>218</v>
      </c>
      <c r="L82" s="803"/>
      <c r="M82" s="803"/>
      <c r="N82" s="803"/>
      <c r="O82" s="803"/>
      <c r="P82" s="803"/>
      <c r="Q82" s="803"/>
      <c r="R82" s="803"/>
      <c r="S82" s="803"/>
      <c r="T82" s="803"/>
      <c r="U82" s="804"/>
      <c r="V82" s="803"/>
      <c r="W82" s="803"/>
      <c r="X82" s="803"/>
      <c r="Y82" s="803"/>
      <c r="Z82" s="803"/>
      <c r="AA82" s="803"/>
      <c r="AB82" s="803"/>
      <c r="AC82" s="803"/>
      <c r="AD82" s="803"/>
      <c r="AE82" s="803"/>
      <c r="AF82" s="803"/>
      <c r="AG82" s="803"/>
      <c r="AH82" s="803"/>
      <c r="AI82" s="803"/>
      <c r="AJ82" s="803"/>
      <c r="AK82" s="803"/>
      <c r="AL82" s="803"/>
      <c r="AM82" s="803"/>
      <c r="AN82" s="803"/>
      <c r="AO82" s="803"/>
      <c r="AP82" s="805" t="s">
        <v>216</v>
      </c>
      <c r="AQ82" s="805"/>
      <c r="AR82" s="805"/>
      <c r="AS82" s="805"/>
      <c r="AT82" s="805"/>
      <c r="AU82" s="805"/>
      <c r="AV82" s="805"/>
      <c r="AW82" s="805"/>
      <c r="AX82" s="805"/>
      <c r="AY82" s="805"/>
    </row>
    <row r="83" spans="1:51" ht="18.75" x14ac:dyDescent="0.3">
      <c r="A83" s="802" t="s">
        <v>219</v>
      </c>
      <c r="B83" s="802"/>
      <c r="C83" s="802"/>
      <c r="D83" s="802"/>
      <c r="E83" s="802"/>
      <c r="F83" s="802"/>
      <c r="G83" s="802"/>
      <c r="H83" s="802"/>
      <c r="I83" s="802"/>
      <c r="J83" s="802"/>
      <c r="K83" s="803" t="s">
        <v>220</v>
      </c>
      <c r="L83" s="803"/>
      <c r="M83" s="803"/>
      <c r="N83" s="803"/>
      <c r="O83" s="803"/>
      <c r="P83" s="803"/>
      <c r="Q83" s="803"/>
      <c r="R83" s="803"/>
      <c r="S83" s="803"/>
      <c r="T83" s="803"/>
      <c r="U83" s="804"/>
      <c r="V83" s="803"/>
      <c r="W83" s="803"/>
      <c r="X83" s="803"/>
      <c r="Y83" s="803"/>
      <c r="Z83" s="803"/>
      <c r="AA83" s="803"/>
      <c r="AB83" s="803"/>
      <c r="AC83" s="803"/>
      <c r="AD83" s="803"/>
      <c r="AE83" s="803"/>
      <c r="AF83" s="803"/>
      <c r="AG83" s="803"/>
      <c r="AH83" s="803"/>
      <c r="AI83" s="803"/>
      <c r="AJ83" s="803"/>
      <c r="AK83" s="803"/>
      <c r="AL83" s="803"/>
      <c r="AM83" s="803"/>
      <c r="AN83" s="803"/>
      <c r="AO83" s="803"/>
      <c r="AP83" s="805" t="s">
        <v>221</v>
      </c>
      <c r="AQ83" s="805"/>
      <c r="AR83" s="805"/>
      <c r="AS83" s="805"/>
      <c r="AT83" s="805"/>
      <c r="AU83" s="805"/>
      <c r="AV83" s="805"/>
      <c r="AW83" s="805"/>
      <c r="AX83" s="805"/>
      <c r="AY83" s="805"/>
    </row>
    <row r="84" spans="1:51" ht="18.75" x14ac:dyDescent="0.3">
      <c r="A84" s="802" t="s">
        <v>222</v>
      </c>
      <c r="B84" s="802"/>
      <c r="C84" s="802"/>
      <c r="D84" s="802"/>
      <c r="E84" s="802"/>
      <c r="F84" s="802"/>
      <c r="G84" s="802"/>
      <c r="H84" s="802"/>
      <c r="I84" s="802"/>
      <c r="J84" s="802"/>
      <c r="K84" s="803" t="s">
        <v>223</v>
      </c>
      <c r="L84" s="803"/>
      <c r="M84" s="803"/>
      <c r="N84" s="803"/>
      <c r="O84" s="803"/>
      <c r="P84" s="803"/>
      <c r="Q84" s="803"/>
      <c r="R84" s="803"/>
      <c r="S84" s="803"/>
      <c r="T84" s="803"/>
      <c r="U84" s="803"/>
      <c r="V84" s="803"/>
      <c r="W84" s="803"/>
      <c r="X84" s="803"/>
      <c r="Y84" s="803"/>
      <c r="Z84" s="803"/>
      <c r="AA84" s="803"/>
      <c r="AB84" s="803"/>
      <c r="AC84" s="803"/>
      <c r="AD84" s="803"/>
      <c r="AE84" s="803"/>
      <c r="AF84" s="803"/>
      <c r="AG84" s="803"/>
      <c r="AH84" s="803"/>
      <c r="AI84" s="803"/>
      <c r="AJ84" s="803"/>
      <c r="AK84" s="803"/>
      <c r="AL84" s="803"/>
      <c r="AM84" s="803"/>
      <c r="AN84" s="803"/>
      <c r="AO84" s="803"/>
      <c r="AP84" s="805" t="s">
        <v>221</v>
      </c>
      <c r="AQ84" s="805"/>
      <c r="AR84" s="805"/>
      <c r="AS84" s="805"/>
      <c r="AT84" s="805"/>
      <c r="AU84" s="805"/>
      <c r="AV84" s="805"/>
      <c r="AW84" s="805"/>
      <c r="AX84" s="805"/>
      <c r="AY84" s="805"/>
    </row>
    <row r="85" spans="1:51" ht="18.75" x14ac:dyDescent="0.3">
      <c r="A85" s="802" t="s">
        <v>224</v>
      </c>
      <c r="B85" s="802"/>
      <c r="C85" s="802"/>
      <c r="D85" s="802"/>
      <c r="E85" s="802"/>
      <c r="F85" s="802"/>
      <c r="G85" s="802"/>
      <c r="H85" s="802"/>
      <c r="I85" s="802"/>
      <c r="J85" s="802"/>
      <c r="K85" s="803" t="s">
        <v>225</v>
      </c>
      <c r="L85" s="803"/>
      <c r="M85" s="803"/>
      <c r="N85" s="803"/>
      <c r="O85" s="803"/>
      <c r="P85" s="803"/>
      <c r="Q85" s="803"/>
      <c r="R85" s="803"/>
      <c r="S85" s="803"/>
      <c r="T85" s="803"/>
      <c r="U85" s="804"/>
      <c r="V85" s="803"/>
      <c r="W85" s="803"/>
      <c r="X85" s="803"/>
      <c r="Y85" s="803"/>
      <c r="Z85" s="803"/>
      <c r="AA85" s="803"/>
      <c r="AB85" s="803"/>
      <c r="AC85" s="803"/>
      <c r="AD85" s="803"/>
      <c r="AE85" s="803"/>
      <c r="AF85" s="803"/>
      <c r="AG85" s="803"/>
      <c r="AH85" s="803"/>
      <c r="AI85" s="803"/>
      <c r="AJ85" s="803"/>
      <c r="AK85" s="803"/>
      <c r="AL85" s="803"/>
      <c r="AM85" s="803"/>
      <c r="AN85" s="803"/>
      <c r="AO85" s="803"/>
      <c r="AP85" s="805" t="s">
        <v>18</v>
      </c>
      <c r="AQ85" s="805"/>
      <c r="AR85" s="805"/>
      <c r="AS85" s="805"/>
      <c r="AT85" s="805"/>
      <c r="AU85" s="805"/>
      <c r="AV85" s="805"/>
      <c r="AW85" s="805"/>
      <c r="AX85" s="805"/>
      <c r="AY85" s="805"/>
    </row>
    <row r="86" spans="1:51" ht="18.75" x14ac:dyDescent="0.3">
      <c r="A86" s="802" t="s">
        <v>226</v>
      </c>
      <c r="B86" s="802"/>
      <c r="C86" s="802"/>
      <c r="D86" s="802"/>
      <c r="E86" s="802"/>
      <c r="F86" s="802"/>
      <c r="G86" s="802"/>
      <c r="H86" s="802"/>
      <c r="I86" s="802"/>
      <c r="J86" s="802"/>
      <c r="K86" s="803" t="s">
        <v>225</v>
      </c>
      <c r="L86" s="803"/>
      <c r="M86" s="803"/>
      <c r="N86" s="803"/>
      <c r="O86" s="803"/>
      <c r="P86" s="803"/>
      <c r="Q86" s="803"/>
      <c r="R86" s="803"/>
      <c r="S86" s="803"/>
      <c r="T86" s="803"/>
      <c r="U86" s="804" t="s">
        <v>227</v>
      </c>
      <c r="V86" s="803"/>
      <c r="W86" s="803"/>
      <c r="X86" s="803"/>
      <c r="Y86" s="803"/>
      <c r="Z86" s="803"/>
      <c r="AA86" s="803"/>
      <c r="AB86" s="803"/>
      <c r="AC86" s="803"/>
      <c r="AD86" s="803"/>
      <c r="AE86" s="803"/>
      <c r="AF86" s="803"/>
      <c r="AG86" s="803"/>
      <c r="AH86" s="803"/>
      <c r="AI86" s="803"/>
      <c r="AJ86" s="803"/>
      <c r="AK86" s="803"/>
      <c r="AL86" s="803"/>
      <c r="AM86" s="803"/>
      <c r="AN86" s="803"/>
      <c r="AO86" s="803"/>
      <c r="AP86" s="805" t="s">
        <v>18</v>
      </c>
      <c r="AQ86" s="805"/>
      <c r="AR86" s="805"/>
      <c r="AS86" s="805"/>
      <c r="AT86" s="805"/>
      <c r="AU86" s="805"/>
      <c r="AV86" s="805"/>
      <c r="AW86" s="805"/>
      <c r="AX86" s="805"/>
      <c r="AY86" s="805"/>
    </row>
    <row r="87" spans="1:51" ht="18.75" x14ac:dyDescent="0.3">
      <c r="A87" s="802" t="s">
        <v>228</v>
      </c>
      <c r="B87" s="802"/>
      <c r="C87" s="802"/>
      <c r="D87" s="802"/>
      <c r="E87" s="802"/>
      <c r="F87" s="802"/>
      <c r="G87" s="802"/>
      <c r="H87" s="802"/>
      <c r="I87" s="802"/>
      <c r="J87" s="802"/>
      <c r="K87" s="803" t="s">
        <v>229</v>
      </c>
      <c r="L87" s="803"/>
      <c r="M87" s="803"/>
      <c r="N87" s="803"/>
      <c r="O87" s="803"/>
      <c r="P87" s="803"/>
      <c r="Q87" s="803"/>
      <c r="R87" s="803"/>
      <c r="S87" s="803"/>
      <c r="T87" s="803"/>
      <c r="U87" s="804"/>
      <c r="V87" s="803"/>
      <c r="W87" s="803"/>
      <c r="X87" s="803"/>
      <c r="Y87" s="803"/>
      <c r="Z87" s="803"/>
      <c r="AA87" s="803"/>
      <c r="AB87" s="803"/>
      <c r="AC87" s="803"/>
      <c r="AD87" s="803"/>
      <c r="AE87" s="803"/>
      <c r="AF87" s="803"/>
      <c r="AG87" s="803"/>
      <c r="AH87" s="803"/>
      <c r="AI87" s="803"/>
      <c r="AJ87" s="803"/>
      <c r="AK87" s="803"/>
      <c r="AL87" s="803"/>
      <c r="AM87" s="803"/>
      <c r="AN87" s="803"/>
      <c r="AO87" s="803"/>
      <c r="AP87" s="805" t="s">
        <v>230</v>
      </c>
      <c r="AQ87" s="805"/>
      <c r="AR87" s="805"/>
      <c r="AS87" s="805"/>
      <c r="AT87" s="805"/>
      <c r="AU87" s="805"/>
      <c r="AV87" s="805"/>
      <c r="AW87" s="805"/>
      <c r="AX87" s="805"/>
      <c r="AY87" s="805"/>
    </row>
    <row r="88" spans="1:51" ht="18.75" x14ac:dyDescent="0.3">
      <c r="A88" s="802" t="s">
        <v>231</v>
      </c>
      <c r="B88" s="802"/>
      <c r="C88" s="802"/>
      <c r="D88" s="802"/>
      <c r="E88" s="802"/>
      <c r="F88" s="802"/>
      <c r="G88" s="802"/>
      <c r="H88" s="802"/>
      <c r="I88" s="802"/>
      <c r="J88" s="802"/>
      <c r="K88" s="803" t="s">
        <v>232</v>
      </c>
      <c r="L88" s="803"/>
      <c r="M88" s="803"/>
      <c r="N88" s="803"/>
      <c r="O88" s="803"/>
      <c r="P88" s="803"/>
      <c r="Q88" s="803"/>
      <c r="R88" s="803"/>
      <c r="S88" s="803"/>
      <c r="T88" s="803"/>
      <c r="U88" s="804"/>
      <c r="V88" s="803"/>
      <c r="W88" s="803"/>
      <c r="X88" s="803"/>
      <c r="Y88" s="803"/>
      <c r="Z88" s="803"/>
      <c r="AA88" s="803"/>
      <c r="AB88" s="803"/>
      <c r="AC88" s="803"/>
      <c r="AD88" s="803"/>
      <c r="AE88" s="803"/>
      <c r="AF88" s="803"/>
      <c r="AG88" s="803"/>
      <c r="AH88" s="803"/>
      <c r="AI88" s="803"/>
      <c r="AJ88" s="803"/>
      <c r="AK88" s="803"/>
      <c r="AL88" s="803"/>
      <c r="AM88" s="803"/>
      <c r="AN88" s="803"/>
      <c r="AO88" s="803"/>
      <c r="AP88" s="805" t="s">
        <v>17</v>
      </c>
      <c r="AQ88" s="805"/>
      <c r="AR88" s="805"/>
      <c r="AS88" s="805"/>
      <c r="AT88" s="805"/>
      <c r="AU88" s="805"/>
      <c r="AV88" s="805"/>
      <c r="AW88" s="805"/>
      <c r="AX88" s="805"/>
      <c r="AY88" s="805"/>
    </row>
    <row r="89" spans="1:51" ht="18.75" x14ac:dyDescent="0.3">
      <c r="A89" s="802" t="s">
        <v>233</v>
      </c>
      <c r="B89" s="802"/>
      <c r="C89" s="802"/>
      <c r="D89" s="802"/>
      <c r="E89" s="802"/>
      <c r="F89" s="802"/>
      <c r="G89" s="802"/>
      <c r="H89" s="802"/>
      <c r="I89" s="802"/>
      <c r="J89" s="802"/>
      <c r="K89" s="803" t="s">
        <v>234</v>
      </c>
      <c r="L89" s="803"/>
      <c r="M89" s="803"/>
      <c r="N89" s="803"/>
      <c r="O89" s="803"/>
      <c r="P89" s="803"/>
      <c r="Q89" s="803"/>
      <c r="R89" s="803"/>
      <c r="S89" s="803"/>
      <c r="T89" s="803"/>
      <c r="U89" s="804" t="s">
        <v>235</v>
      </c>
      <c r="V89" s="803"/>
      <c r="W89" s="803"/>
      <c r="X89" s="803"/>
      <c r="Y89" s="803"/>
      <c r="Z89" s="803"/>
      <c r="AA89" s="803"/>
      <c r="AB89" s="803"/>
      <c r="AC89" s="803"/>
      <c r="AD89" s="803"/>
      <c r="AE89" s="803"/>
      <c r="AF89" s="803"/>
      <c r="AG89" s="803"/>
      <c r="AH89" s="803"/>
      <c r="AI89" s="803"/>
      <c r="AJ89" s="803"/>
      <c r="AK89" s="803"/>
      <c r="AL89" s="803"/>
      <c r="AM89" s="803"/>
      <c r="AN89" s="803"/>
      <c r="AO89" s="803"/>
      <c r="AP89" s="805" t="s">
        <v>236</v>
      </c>
      <c r="AQ89" s="805"/>
      <c r="AR89" s="805"/>
      <c r="AS89" s="805"/>
      <c r="AT89" s="805"/>
      <c r="AU89" s="805"/>
      <c r="AV89" s="805"/>
      <c r="AW89" s="805"/>
      <c r="AX89" s="805"/>
      <c r="AY89" s="805"/>
    </row>
    <row r="90" spans="1:51" ht="18.75" x14ac:dyDescent="0.3">
      <c r="A90" s="802" t="s">
        <v>237</v>
      </c>
      <c r="B90" s="802"/>
      <c r="C90" s="802"/>
      <c r="D90" s="802"/>
      <c r="E90" s="802"/>
      <c r="F90" s="802"/>
      <c r="G90" s="802"/>
      <c r="H90" s="802"/>
      <c r="I90" s="802"/>
      <c r="J90" s="802"/>
      <c r="K90" s="803" t="s">
        <v>238</v>
      </c>
      <c r="L90" s="803"/>
      <c r="M90" s="803"/>
      <c r="N90" s="803"/>
      <c r="O90" s="803"/>
      <c r="P90" s="803"/>
      <c r="Q90" s="803"/>
      <c r="R90" s="803"/>
      <c r="S90" s="803"/>
      <c r="T90" s="803"/>
      <c r="U90" s="804"/>
      <c r="V90" s="803"/>
      <c r="W90" s="803"/>
      <c r="X90" s="803"/>
      <c r="Y90" s="803"/>
      <c r="Z90" s="803"/>
      <c r="AA90" s="803"/>
      <c r="AB90" s="803"/>
      <c r="AC90" s="803"/>
      <c r="AD90" s="803"/>
      <c r="AE90" s="803"/>
      <c r="AF90" s="803"/>
      <c r="AG90" s="803"/>
      <c r="AH90" s="803"/>
      <c r="AI90" s="803"/>
      <c r="AJ90" s="803"/>
      <c r="AK90" s="803"/>
      <c r="AL90" s="803"/>
      <c r="AM90" s="803"/>
      <c r="AN90" s="803"/>
      <c r="AO90" s="803"/>
      <c r="AP90" s="805" t="s">
        <v>236</v>
      </c>
      <c r="AQ90" s="805"/>
      <c r="AR90" s="805"/>
      <c r="AS90" s="805"/>
      <c r="AT90" s="805"/>
      <c r="AU90" s="805"/>
      <c r="AV90" s="805"/>
      <c r="AW90" s="805"/>
      <c r="AX90" s="805"/>
      <c r="AY90" s="805"/>
    </row>
    <row r="91" spans="1:51" ht="18.75" x14ac:dyDescent="0.3">
      <c r="A91" s="802" t="s">
        <v>239</v>
      </c>
      <c r="B91" s="802"/>
      <c r="C91" s="802"/>
      <c r="D91" s="802"/>
      <c r="E91" s="802"/>
      <c r="F91" s="802"/>
      <c r="G91" s="802"/>
      <c r="H91" s="802"/>
      <c r="I91" s="802"/>
      <c r="J91" s="802"/>
      <c r="K91" s="803" t="s">
        <v>240</v>
      </c>
      <c r="L91" s="803"/>
      <c r="M91" s="803"/>
      <c r="N91" s="803"/>
      <c r="O91" s="803"/>
      <c r="P91" s="803"/>
      <c r="Q91" s="803"/>
      <c r="R91" s="803"/>
      <c r="S91" s="803"/>
      <c r="T91" s="803"/>
      <c r="U91" s="804"/>
      <c r="V91" s="803"/>
      <c r="W91" s="803"/>
      <c r="X91" s="803"/>
      <c r="Y91" s="803"/>
      <c r="Z91" s="803"/>
      <c r="AA91" s="803"/>
      <c r="AB91" s="803"/>
      <c r="AC91" s="803"/>
      <c r="AD91" s="803"/>
      <c r="AE91" s="803"/>
      <c r="AF91" s="803"/>
      <c r="AG91" s="803"/>
      <c r="AH91" s="803"/>
      <c r="AI91" s="803"/>
      <c r="AJ91" s="803"/>
      <c r="AK91" s="803"/>
      <c r="AL91" s="803"/>
      <c r="AM91" s="803"/>
      <c r="AN91" s="803"/>
      <c r="AO91" s="803"/>
      <c r="AP91" s="805" t="s">
        <v>241</v>
      </c>
      <c r="AQ91" s="805"/>
      <c r="AR91" s="805"/>
      <c r="AS91" s="805"/>
      <c r="AT91" s="805"/>
      <c r="AU91" s="805"/>
      <c r="AV91" s="805"/>
      <c r="AW91" s="805"/>
      <c r="AX91" s="805"/>
      <c r="AY91" s="805"/>
    </row>
    <row r="92" spans="1:51" ht="18.75" x14ac:dyDescent="0.3">
      <c r="A92" s="802" t="s">
        <v>242</v>
      </c>
      <c r="B92" s="802"/>
      <c r="C92" s="802"/>
      <c r="D92" s="802"/>
      <c r="E92" s="802"/>
      <c r="F92" s="802"/>
      <c r="G92" s="802"/>
      <c r="H92" s="802"/>
      <c r="I92" s="802"/>
      <c r="J92" s="802"/>
      <c r="K92" s="803" t="s">
        <v>243</v>
      </c>
      <c r="L92" s="803"/>
      <c r="M92" s="803"/>
      <c r="N92" s="803"/>
      <c r="O92" s="803"/>
      <c r="P92" s="803"/>
      <c r="Q92" s="803"/>
      <c r="R92" s="803"/>
      <c r="S92" s="803"/>
      <c r="T92" s="803"/>
      <c r="U92" s="804"/>
      <c r="V92" s="803"/>
      <c r="W92" s="803"/>
      <c r="X92" s="803"/>
      <c r="Y92" s="803"/>
      <c r="Z92" s="803"/>
      <c r="AA92" s="803"/>
      <c r="AB92" s="803"/>
      <c r="AC92" s="803"/>
      <c r="AD92" s="803"/>
      <c r="AE92" s="803"/>
      <c r="AF92" s="803"/>
      <c r="AG92" s="803"/>
      <c r="AH92" s="803"/>
      <c r="AI92" s="803"/>
      <c r="AJ92" s="803"/>
      <c r="AK92" s="803"/>
      <c r="AL92" s="803"/>
      <c r="AM92" s="803"/>
      <c r="AN92" s="803"/>
      <c r="AO92" s="803"/>
      <c r="AP92" s="805" t="s">
        <v>241</v>
      </c>
      <c r="AQ92" s="805"/>
      <c r="AR92" s="805"/>
      <c r="AS92" s="805"/>
      <c r="AT92" s="805"/>
      <c r="AU92" s="805"/>
      <c r="AV92" s="805"/>
      <c r="AW92" s="805"/>
      <c r="AX92" s="805"/>
      <c r="AY92" s="805"/>
    </row>
    <row r="93" spans="1:51" ht="18.75" x14ac:dyDescent="0.3">
      <c r="A93" s="802" t="s">
        <v>244</v>
      </c>
      <c r="B93" s="802"/>
      <c r="C93" s="802"/>
      <c r="D93" s="802"/>
      <c r="E93" s="802"/>
      <c r="F93" s="802"/>
      <c r="G93" s="802"/>
      <c r="H93" s="802"/>
      <c r="I93" s="802"/>
      <c r="J93" s="802"/>
      <c r="K93" s="803" t="s">
        <v>245</v>
      </c>
      <c r="L93" s="803"/>
      <c r="M93" s="803"/>
      <c r="N93" s="803"/>
      <c r="O93" s="803"/>
      <c r="P93" s="803"/>
      <c r="Q93" s="803"/>
      <c r="R93" s="803"/>
      <c r="S93" s="803"/>
      <c r="T93" s="803"/>
      <c r="U93" s="804" t="s">
        <v>246</v>
      </c>
      <c r="V93" s="803"/>
      <c r="W93" s="803"/>
      <c r="X93" s="803"/>
      <c r="Y93" s="803"/>
      <c r="Z93" s="803"/>
      <c r="AA93" s="803"/>
      <c r="AB93" s="803"/>
      <c r="AC93" s="803"/>
      <c r="AD93" s="803"/>
      <c r="AE93" s="803"/>
      <c r="AF93" s="803"/>
      <c r="AG93" s="803"/>
      <c r="AH93" s="803"/>
      <c r="AI93" s="803"/>
      <c r="AJ93" s="803"/>
      <c r="AK93" s="803"/>
      <c r="AL93" s="803"/>
      <c r="AM93" s="803"/>
      <c r="AN93" s="803"/>
      <c r="AO93" s="803"/>
      <c r="AP93" s="805" t="s">
        <v>16</v>
      </c>
      <c r="AQ93" s="805"/>
      <c r="AR93" s="805"/>
      <c r="AS93" s="805"/>
      <c r="AT93" s="805"/>
      <c r="AU93" s="805"/>
      <c r="AV93" s="805"/>
      <c r="AW93" s="805"/>
      <c r="AX93" s="805"/>
      <c r="AY93" s="805"/>
    </row>
    <row r="94" spans="1:51" ht="18.75" x14ac:dyDescent="0.3">
      <c r="A94" s="802" t="s">
        <v>247</v>
      </c>
      <c r="B94" s="802"/>
      <c r="C94" s="802"/>
      <c r="D94" s="802"/>
      <c r="E94" s="802"/>
      <c r="F94" s="802"/>
      <c r="G94" s="802"/>
      <c r="H94" s="802"/>
      <c r="I94" s="802"/>
      <c r="J94" s="802"/>
      <c r="K94" s="803" t="s">
        <v>245</v>
      </c>
      <c r="L94" s="803"/>
      <c r="M94" s="803"/>
      <c r="N94" s="803"/>
      <c r="O94" s="803"/>
      <c r="P94" s="803"/>
      <c r="Q94" s="803"/>
      <c r="R94" s="803"/>
      <c r="S94" s="803"/>
      <c r="T94" s="803"/>
      <c r="U94" s="804"/>
      <c r="V94" s="803"/>
      <c r="W94" s="803"/>
      <c r="X94" s="803"/>
      <c r="Y94" s="803"/>
      <c r="Z94" s="803"/>
      <c r="AA94" s="803"/>
      <c r="AB94" s="803"/>
      <c r="AC94" s="803"/>
      <c r="AD94" s="803"/>
      <c r="AE94" s="803"/>
      <c r="AF94" s="803"/>
      <c r="AG94" s="803"/>
      <c r="AH94" s="803"/>
      <c r="AI94" s="803"/>
      <c r="AJ94" s="803"/>
      <c r="AK94" s="803"/>
      <c r="AL94" s="803"/>
      <c r="AM94" s="803"/>
      <c r="AN94" s="803"/>
      <c r="AO94" s="803"/>
      <c r="AP94" s="805" t="s">
        <v>16</v>
      </c>
      <c r="AQ94" s="805"/>
      <c r="AR94" s="805"/>
      <c r="AS94" s="805"/>
      <c r="AT94" s="805"/>
      <c r="AU94" s="805"/>
      <c r="AV94" s="805"/>
      <c r="AW94" s="805"/>
      <c r="AX94" s="805"/>
      <c r="AY94" s="805"/>
    </row>
    <row r="95" spans="1:51" ht="18.75" x14ac:dyDescent="0.3">
      <c r="A95" s="802" t="s">
        <v>252</v>
      </c>
      <c r="B95" s="802"/>
      <c r="C95" s="802"/>
      <c r="D95" s="802"/>
      <c r="E95" s="802"/>
      <c r="F95" s="802"/>
      <c r="G95" s="802"/>
      <c r="H95" s="802"/>
      <c r="I95" s="802"/>
      <c r="J95" s="802"/>
      <c r="K95" s="803" t="s">
        <v>253</v>
      </c>
      <c r="L95" s="803"/>
      <c r="M95" s="803"/>
      <c r="N95" s="803"/>
      <c r="O95" s="803"/>
      <c r="P95" s="803"/>
      <c r="Q95" s="803"/>
      <c r="R95" s="803"/>
      <c r="S95" s="803"/>
      <c r="T95" s="803"/>
      <c r="U95" s="804"/>
      <c r="V95" s="803"/>
      <c r="W95" s="803"/>
      <c r="X95" s="803"/>
      <c r="Y95" s="803"/>
      <c r="Z95" s="803"/>
      <c r="AA95" s="803"/>
      <c r="AB95" s="803"/>
      <c r="AC95" s="803"/>
      <c r="AD95" s="803"/>
      <c r="AE95" s="803"/>
      <c r="AF95" s="803"/>
      <c r="AG95" s="803"/>
      <c r="AH95" s="803"/>
      <c r="AI95" s="803"/>
      <c r="AJ95" s="803"/>
      <c r="AK95" s="803"/>
      <c r="AL95" s="803"/>
      <c r="AM95" s="803"/>
      <c r="AN95" s="803"/>
      <c r="AO95" s="803"/>
      <c r="AP95" s="805" t="s">
        <v>254</v>
      </c>
      <c r="AQ95" s="805"/>
      <c r="AR95" s="805"/>
      <c r="AS95" s="805"/>
      <c r="AT95" s="805"/>
      <c r="AU95" s="805"/>
      <c r="AV95" s="805"/>
      <c r="AW95" s="805"/>
      <c r="AX95" s="805"/>
      <c r="AY95" s="805"/>
    </row>
  </sheetData>
  <mergeCells count="361">
    <mergeCell ref="A94:J94"/>
    <mergeCell ref="K94:T94"/>
    <mergeCell ref="U94:AO94"/>
    <mergeCell ref="AP94:AY94"/>
    <mergeCell ref="A95:J95"/>
    <mergeCell ref="K95:T95"/>
    <mergeCell ref="U95:AO95"/>
    <mergeCell ref="AP95:AY95"/>
    <mergeCell ref="A92:J92"/>
    <mergeCell ref="K92:T92"/>
    <mergeCell ref="U92:AO92"/>
    <mergeCell ref="AP92:AY92"/>
    <mergeCell ref="A93:J93"/>
    <mergeCell ref="K93:T93"/>
    <mergeCell ref="U93:AO93"/>
    <mergeCell ref="AP93:AY93"/>
    <mergeCell ref="A90:J90"/>
    <mergeCell ref="K90:T90"/>
    <mergeCell ref="U90:AO90"/>
    <mergeCell ref="AP90:AY90"/>
    <mergeCell ref="A91:J91"/>
    <mergeCell ref="K91:T91"/>
    <mergeCell ref="U91:AO91"/>
    <mergeCell ref="AP91:AY91"/>
    <mergeCell ref="A88:J88"/>
    <mergeCell ref="K88:T88"/>
    <mergeCell ref="U88:AO88"/>
    <mergeCell ref="AP88:AY88"/>
    <mergeCell ref="A89:J89"/>
    <mergeCell ref="K89:T89"/>
    <mergeCell ref="U89:AO89"/>
    <mergeCell ref="AP89:AY89"/>
    <mergeCell ref="A86:J86"/>
    <mergeCell ref="K86:T86"/>
    <mergeCell ref="U86:AO86"/>
    <mergeCell ref="AP86:AY86"/>
    <mergeCell ref="A87:J87"/>
    <mergeCell ref="K87:T87"/>
    <mergeCell ref="U87:AO87"/>
    <mergeCell ref="AP87:AY87"/>
    <mergeCell ref="A84:J84"/>
    <mergeCell ref="K84:T84"/>
    <mergeCell ref="U84:AO84"/>
    <mergeCell ref="AP84:AY84"/>
    <mergeCell ref="A85:J85"/>
    <mergeCell ref="K85:T85"/>
    <mergeCell ref="U85:AO85"/>
    <mergeCell ref="AP85:AY85"/>
    <mergeCell ref="A82:J82"/>
    <mergeCell ref="K82:T82"/>
    <mergeCell ref="U82:AO82"/>
    <mergeCell ref="AP82:AY82"/>
    <mergeCell ref="A83:J83"/>
    <mergeCell ref="K83:T83"/>
    <mergeCell ref="U83:AO83"/>
    <mergeCell ref="AP83:AY83"/>
    <mergeCell ref="A80:J80"/>
    <mergeCell ref="K80:T80"/>
    <mergeCell ref="U80:AO80"/>
    <mergeCell ref="AP80:AY80"/>
    <mergeCell ref="A81:J81"/>
    <mergeCell ref="K81:T81"/>
    <mergeCell ref="U81:AO81"/>
    <mergeCell ref="AP81:AY81"/>
    <mergeCell ref="A78:J78"/>
    <mergeCell ref="K78:T78"/>
    <mergeCell ref="U78:AO78"/>
    <mergeCell ref="AP78:AY78"/>
    <mergeCell ref="A79:J79"/>
    <mergeCell ref="K79:T79"/>
    <mergeCell ref="U79:AO79"/>
    <mergeCell ref="AP79:AY79"/>
    <mergeCell ref="A76:J76"/>
    <mergeCell ref="K76:T76"/>
    <mergeCell ref="U76:AO76"/>
    <mergeCell ref="AP76:AY76"/>
    <mergeCell ref="A77:J77"/>
    <mergeCell ref="K77:T77"/>
    <mergeCell ref="U77:AO77"/>
    <mergeCell ref="AP77:AY77"/>
    <mergeCell ref="A74:J74"/>
    <mergeCell ref="K74:T74"/>
    <mergeCell ref="U74:AO74"/>
    <mergeCell ref="AP74:AY74"/>
    <mergeCell ref="A75:J75"/>
    <mergeCell ref="K75:T75"/>
    <mergeCell ref="U75:AO75"/>
    <mergeCell ref="AP75:AY75"/>
    <mergeCell ref="A72:J72"/>
    <mergeCell ref="K72:T72"/>
    <mergeCell ref="U72:AO72"/>
    <mergeCell ref="AP72:AY72"/>
    <mergeCell ref="A73:J73"/>
    <mergeCell ref="K73:T73"/>
    <mergeCell ref="U73:AO73"/>
    <mergeCell ref="AP73:AY73"/>
    <mergeCell ref="A70:J70"/>
    <mergeCell ref="K70:T70"/>
    <mergeCell ref="U70:AO70"/>
    <mergeCell ref="AP70:AY70"/>
    <mergeCell ref="A71:J71"/>
    <mergeCell ref="K71:T71"/>
    <mergeCell ref="U71:AO71"/>
    <mergeCell ref="AP71:AY71"/>
    <mergeCell ref="A68:J68"/>
    <mergeCell ref="K68:T68"/>
    <mergeCell ref="U68:AO68"/>
    <mergeCell ref="AP68:AY68"/>
    <mergeCell ref="A69:J69"/>
    <mergeCell ref="K69:T69"/>
    <mergeCell ref="U69:AO69"/>
    <mergeCell ref="AP69:AY69"/>
    <mergeCell ref="A66:J66"/>
    <mergeCell ref="K66:T66"/>
    <mergeCell ref="U66:AO66"/>
    <mergeCell ref="AP66:AY66"/>
    <mergeCell ref="A67:J67"/>
    <mergeCell ref="K67:T67"/>
    <mergeCell ref="U67:AO67"/>
    <mergeCell ref="AP67:AY67"/>
    <mergeCell ref="A64:J64"/>
    <mergeCell ref="K64:T64"/>
    <mergeCell ref="U64:AO64"/>
    <mergeCell ref="AP64:AY64"/>
    <mergeCell ref="A65:J65"/>
    <mergeCell ref="K65:T65"/>
    <mergeCell ref="U65:AO65"/>
    <mergeCell ref="AP65:AY65"/>
    <mergeCell ref="A62:J62"/>
    <mergeCell ref="K62:T62"/>
    <mergeCell ref="U62:AO62"/>
    <mergeCell ref="AP62:AY62"/>
    <mergeCell ref="A63:J63"/>
    <mergeCell ref="K63:T63"/>
    <mergeCell ref="U63:AO63"/>
    <mergeCell ref="AP63:AY63"/>
    <mergeCell ref="A60:J60"/>
    <mergeCell ref="K60:T60"/>
    <mergeCell ref="U60:AO60"/>
    <mergeCell ref="AP60:AY60"/>
    <mergeCell ref="A61:J61"/>
    <mergeCell ref="K61:T61"/>
    <mergeCell ref="U61:AO61"/>
    <mergeCell ref="AP61:AY61"/>
    <mergeCell ref="A58:J58"/>
    <mergeCell ref="K58:T58"/>
    <mergeCell ref="U58:AO58"/>
    <mergeCell ref="AP58:AY58"/>
    <mergeCell ref="A59:J59"/>
    <mergeCell ref="K59:T59"/>
    <mergeCell ref="U59:AO59"/>
    <mergeCell ref="AP59:AY59"/>
    <mergeCell ref="A56:J56"/>
    <mergeCell ref="K56:T56"/>
    <mergeCell ref="U56:AO56"/>
    <mergeCell ref="AP56:AY56"/>
    <mergeCell ref="A57:J57"/>
    <mergeCell ref="K57:T57"/>
    <mergeCell ref="U57:AO57"/>
    <mergeCell ref="AP57:AY57"/>
    <mergeCell ref="A54:J54"/>
    <mergeCell ref="K54:T54"/>
    <mergeCell ref="U54:AO54"/>
    <mergeCell ref="AP54:AY54"/>
    <mergeCell ref="A55:J55"/>
    <mergeCell ref="K55:T55"/>
    <mergeCell ref="U55:AO55"/>
    <mergeCell ref="AP55:AY55"/>
    <mergeCell ref="A52:J52"/>
    <mergeCell ref="K52:T52"/>
    <mergeCell ref="U52:AO52"/>
    <mergeCell ref="AP52:AY52"/>
    <mergeCell ref="A53:J53"/>
    <mergeCell ref="K53:T53"/>
    <mergeCell ref="U53:AO53"/>
    <mergeCell ref="AP53:AY53"/>
    <mergeCell ref="A50:J50"/>
    <mergeCell ref="K50:T50"/>
    <mergeCell ref="U50:AO50"/>
    <mergeCell ref="AP50:AY50"/>
    <mergeCell ref="A51:J51"/>
    <mergeCell ref="K51:T51"/>
    <mergeCell ref="U51:AO51"/>
    <mergeCell ref="AP51:AY51"/>
    <mergeCell ref="A48:J48"/>
    <mergeCell ref="K48:T48"/>
    <mergeCell ref="U48:AO48"/>
    <mergeCell ref="AP48:AY48"/>
    <mergeCell ref="A49:J49"/>
    <mergeCell ref="K49:T49"/>
    <mergeCell ref="U49:AO49"/>
    <mergeCell ref="AP49:AY49"/>
    <mergeCell ref="A46:J46"/>
    <mergeCell ref="K46:T46"/>
    <mergeCell ref="U46:AO46"/>
    <mergeCell ref="AP46:AY46"/>
    <mergeCell ref="A47:J47"/>
    <mergeCell ref="K47:T47"/>
    <mergeCell ref="U47:AO47"/>
    <mergeCell ref="AP47:AY47"/>
    <mergeCell ref="A44:J44"/>
    <mergeCell ref="K44:T44"/>
    <mergeCell ref="U44:AO44"/>
    <mergeCell ref="AP44:AY44"/>
    <mergeCell ref="A45:J45"/>
    <mergeCell ref="K45:T45"/>
    <mergeCell ref="U45:AO45"/>
    <mergeCell ref="AP45:AY45"/>
    <mergeCell ref="A42:J42"/>
    <mergeCell ref="K42:T42"/>
    <mergeCell ref="U42:AO42"/>
    <mergeCell ref="AP42:AY42"/>
    <mergeCell ref="A43:J43"/>
    <mergeCell ref="K43:T43"/>
    <mergeCell ref="U43:AO43"/>
    <mergeCell ref="AP43:AY43"/>
    <mergeCell ref="A40:J40"/>
    <mergeCell ref="K40:T40"/>
    <mergeCell ref="U40:AO40"/>
    <mergeCell ref="AP40:AY40"/>
    <mergeCell ref="A41:J41"/>
    <mergeCell ref="K41:T41"/>
    <mergeCell ref="U41:AO41"/>
    <mergeCell ref="AP41:AY41"/>
    <mergeCell ref="A38:J38"/>
    <mergeCell ref="K38:T38"/>
    <mergeCell ref="U38:AO38"/>
    <mergeCell ref="AP38:AY38"/>
    <mergeCell ref="A39:J39"/>
    <mergeCell ref="K39:T39"/>
    <mergeCell ref="U39:AO39"/>
    <mergeCell ref="AP39:AY39"/>
    <mergeCell ref="A36:J36"/>
    <mergeCell ref="K36:T36"/>
    <mergeCell ref="U36:AO36"/>
    <mergeCell ref="AP36:AY36"/>
    <mergeCell ref="A37:J37"/>
    <mergeCell ref="K37:T37"/>
    <mergeCell ref="U37:AO37"/>
    <mergeCell ref="AP37:AY37"/>
    <mergeCell ref="A34:J34"/>
    <mergeCell ref="K34:T34"/>
    <mergeCell ref="U34:AO34"/>
    <mergeCell ref="AP34:AY34"/>
    <mergeCell ref="A35:J35"/>
    <mergeCell ref="K35:T35"/>
    <mergeCell ref="U35:AO35"/>
    <mergeCell ref="AP35:AY35"/>
    <mergeCell ref="A32:J32"/>
    <mergeCell ref="K32:T32"/>
    <mergeCell ref="U32:AO32"/>
    <mergeCell ref="AP32:AY32"/>
    <mergeCell ref="A33:J33"/>
    <mergeCell ref="K33:T33"/>
    <mergeCell ref="U33:AO33"/>
    <mergeCell ref="AP33:AY33"/>
    <mergeCell ref="A30:J30"/>
    <mergeCell ref="K30:T30"/>
    <mergeCell ref="U30:AO30"/>
    <mergeCell ref="AP30:AY30"/>
    <mergeCell ref="A31:J31"/>
    <mergeCell ref="K31:T31"/>
    <mergeCell ref="U31:AO31"/>
    <mergeCell ref="AP31:AY31"/>
    <mergeCell ref="A28:J28"/>
    <mergeCell ref="K28:T28"/>
    <mergeCell ref="U28:AO28"/>
    <mergeCell ref="AP28:AY28"/>
    <mergeCell ref="A29:J29"/>
    <mergeCell ref="K29:T29"/>
    <mergeCell ref="U29:AO29"/>
    <mergeCell ref="AP29:AY29"/>
    <mergeCell ref="A26:J26"/>
    <mergeCell ref="K26:T26"/>
    <mergeCell ref="U26:AO26"/>
    <mergeCell ref="AP26:AY26"/>
    <mergeCell ref="A27:J27"/>
    <mergeCell ref="K27:T27"/>
    <mergeCell ref="U27:AO27"/>
    <mergeCell ref="AP27:AY27"/>
    <mergeCell ref="A24:J24"/>
    <mergeCell ref="K24:T24"/>
    <mergeCell ref="U24:AO24"/>
    <mergeCell ref="AP24:AY24"/>
    <mergeCell ref="A25:J25"/>
    <mergeCell ref="K25:T25"/>
    <mergeCell ref="U25:AO25"/>
    <mergeCell ref="AP25:AY25"/>
    <mergeCell ref="A22:J22"/>
    <mergeCell ref="K22:T22"/>
    <mergeCell ref="U22:AO22"/>
    <mergeCell ref="AP22:AY22"/>
    <mergeCell ref="A23:J23"/>
    <mergeCell ref="K23:T23"/>
    <mergeCell ref="U23:AO23"/>
    <mergeCell ref="AP23:AY23"/>
    <mergeCell ref="A20:J20"/>
    <mergeCell ref="K20:T20"/>
    <mergeCell ref="U20:AO20"/>
    <mergeCell ref="AP20:AY20"/>
    <mergeCell ref="A21:J21"/>
    <mergeCell ref="K21:T21"/>
    <mergeCell ref="U21:AO21"/>
    <mergeCell ref="AP21:AY21"/>
    <mergeCell ref="A18:J18"/>
    <mergeCell ref="K18:T18"/>
    <mergeCell ref="U18:AO18"/>
    <mergeCell ref="AP18:AY18"/>
    <mergeCell ref="A19:J19"/>
    <mergeCell ref="K19:T19"/>
    <mergeCell ref="U19:AO19"/>
    <mergeCell ref="AP19:AY19"/>
    <mergeCell ref="A16:J16"/>
    <mergeCell ref="K16:T16"/>
    <mergeCell ref="U16:AO16"/>
    <mergeCell ref="AP16:AY16"/>
    <mergeCell ref="A17:J17"/>
    <mergeCell ref="K17:T17"/>
    <mergeCell ref="U17:AO17"/>
    <mergeCell ref="AP17:AY17"/>
    <mergeCell ref="A14:J14"/>
    <mergeCell ref="K14:T14"/>
    <mergeCell ref="U14:AO14"/>
    <mergeCell ref="AP14:AY14"/>
    <mergeCell ref="A15:J15"/>
    <mergeCell ref="K15:T15"/>
    <mergeCell ref="U15:AO15"/>
    <mergeCell ref="AP15:AY15"/>
    <mergeCell ref="A12:J12"/>
    <mergeCell ref="K12:T12"/>
    <mergeCell ref="U12:AO12"/>
    <mergeCell ref="AP12:AY12"/>
    <mergeCell ref="A13:J13"/>
    <mergeCell ref="K13:T13"/>
    <mergeCell ref="U13:AO13"/>
    <mergeCell ref="AP13:AY13"/>
    <mergeCell ref="A10:J10"/>
    <mergeCell ref="K10:T10"/>
    <mergeCell ref="U10:AO10"/>
    <mergeCell ref="AP10:AY10"/>
    <mergeCell ref="A11:J11"/>
    <mergeCell ref="K11:T11"/>
    <mergeCell ref="U11:AO11"/>
    <mergeCell ref="AP11:AY11"/>
    <mergeCell ref="A8:J8"/>
    <mergeCell ref="K8:T8"/>
    <mergeCell ref="U8:AO8"/>
    <mergeCell ref="AP8:AY8"/>
    <mergeCell ref="A9:J9"/>
    <mergeCell ref="K9:T9"/>
    <mergeCell ref="U9:AO9"/>
    <mergeCell ref="AP9:AY9"/>
    <mergeCell ref="A1:AY5"/>
    <mergeCell ref="A6:J6"/>
    <mergeCell ref="K6:T6"/>
    <mergeCell ref="U6:AO6"/>
    <mergeCell ref="AP6:AY6"/>
    <mergeCell ref="A7:J7"/>
    <mergeCell ref="K7:T7"/>
    <mergeCell ref="U7:AO7"/>
    <mergeCell ref="AP7:AY7"/>
  </mergeCells>
  <hyperlinks>
    <hyperlink ref="U7" r:id="rId1"/>
    <hyperlink ref="U32" r:id="rId2"/>
    <hyperlink ref="U13" r:id="rId3"/>
    <hyperlink ref="U21" r:id="rId4"/>
    <hyperlink ref="U12" r:id="rId5"/>
    <hyperlink ref="U18" r:id="rId6"/>
    <hyperlink ref="U27" r:id="rId7"/>
    <hyperlink ref="U54" r:id="rId8"/>
    <hyperlink ref="U58" r:id="rId9"/>
    <hyperlink ref="U28" r:id="rId10"/>
    <hyperlink ref="U33" r:id="rId11"/>
    <hyperlink ref="U35" r:id="rId12"/>
    <hyperlink ref="U64" r:id="rId13"/>
    <hyperlink ref="U8" r:id="rId14"/>
    <hyperlink ref="U72" r:id="rId15"/>
    <hyperlink ref="U65" r:id="rId16"/>
    <hyperlink ref="U63" r:id="rId17"/>
    <hyperlink ref="U73" r:id="rId18"/>
    <hyperlink ref="U79" r:id="rId19"/>
    <hyperlink ref="U25" r:id="rId20"/>
    <hyperlink ref="U80" r:id="rId21"/>
    <hyperlink ref="U53" r:id="rId22"/>
    <hyperlink ref="U68" r:id="rId23"/>
    <hyperlink ref="U69" r:id="rId24"/>
    <hyperlink ref="U70" r:id="rId25"/>
    <hyperlink ref="U71" r:id="rId26"/>
    <hyperlink ref="U86" r:id="rId27"/>
    <hyperlink ref="U89" r:id="rId28"/>
    <hyperlink ref="U93" r:id="rId29"/>
    <hyperlink ref="U37" r:id="rId30"/>
  </hyperlinks>
  <pageMargins left="0.7" right="0.7" top="0.75" bottom="0.75" header="0.3" footer="0.3"/>
  <pageSetup orientation="portrait" horizontalDpi="300" verticalDpi="300" r:id="rId3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</vt:i4>
      </vt:variant>
    </vt:vector>
  </HeadingPairs>
  <TitlesOfParts>
    <vt:vector size="16" baseType="lpstr">
      <vt:lpstr>EST</vt:lpstr>
      <vt:lpstr>SC</vt:lpstr>
      <vt:lpstr>LLD</vt:lpstr>
      <vt:lpstr>LLB</vt:lpstr>
      <vt:lpstr>Bin Inv.</vt:lpstr>
      <vt:lpstr>Kindersley Plant</vt:lpstr>
      <vt:lpstr>PD #199</vt:lpstr>
      <vt:lpstr>Akita 27</vt:lpstr>
      <vt:lpstr>Akita 25</vt:lpstr>
      <vt:lpstr>Akita 21</vt:lpstr>
      <vt:lpstr>Husky PD #197</vt:lpstr>
      <vt:lpstr>Pengrowth Akita #40</vt:lpstr>
      <vt:lpstr>DATA</vt:lpstr>
      <vt:lpstr>Consultant Directory</vt:lpstr>
      <vt:lpstr>JobType</vt:lpstr>
      <vt:lpstr>'Bin Inv.'!Print_Area</vt:lpstr>
    </vt:vector>
  </TitlesOfParts>
  <Company>Sanjel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Proud</dc:creator>
  <cp:lastModifiedBy>Andrew Kana</cp:lastModifiedBy>
  <cp:lastPrinted>2017-02-25T05:54:04Z</cp:lastPrinted>
  <dcterms:created xsi:type="dcterms:W3CDTF">2016-03-22T20:46:10Z</dcterms:created>
  <dcterms:modified xsi:type="dcterms:W3CDTF">2017-06-22T21:08:00Z</dcterms:modified>
</cp:coreProperties>
</file>